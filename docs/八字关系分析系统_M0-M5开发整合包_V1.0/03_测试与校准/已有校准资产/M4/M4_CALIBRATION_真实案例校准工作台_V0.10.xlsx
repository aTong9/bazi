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ddc103737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指南" sheetId="1" r:id="R8f3b0588e6f24928"/>
    <x:sheet xmlns:r="http://schemas.openxmlformats.org/officeDocument/2006/relationships" name="01_案例与预测" sheetId="2" r:id="R9edcd80764e1498c"/>
    <x:sheet xmlns:r="http://schemas.openxmlformats.org/officeDocument/2006/relationships" name="02_事件与节点" sheetId="3" r:id="Ra61646ae7c3e466e"/>
    <x:sheet xmlns:r="http://schemas.openxmlformats.org/officeDocument/2006/relationships" name="03_核验日志" sheetId="4" r:id="R3375a7c16b3b4ca4"/>
    <x:sheet xmlns:r="http://schemas.openxmlformats.org/officeDocument/2006/relationships" name="04_规则校准" sheetId="5" r:id="R6c752147282942a7"/>
    <x:sheet xmlns:r="http://schemas.openxmlformats.org/officeDocument/2006/relationships" name="05_结构测试阈值" sheetId="6" r:id="Raf82cf7025c942ee"/>
    <x:sheet xmlns:r="http://schemas.openxmlformats.org/officeDocument/2006/relationships" name="06_看板与版本" sheetId="7" r:id="Ra9d9e906dde14532"/>
    <x:sheet xmlns:r="http://schemas.openxmlformats.org/officeDocument/2006/relationships" name="07_词典" sheetId="8" r:id="Racb2ae71b857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.0%"/>
    <x:numFmt numFmtId="203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8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115fb7957454d" /><Relationship Type="http://schemas.openxmlformats.org/officeDocument/2006/relationships/theme" Target="/xl/theme/theme1.xml" Id="Rc2e09352872a415b" /><Relationship Type="http://schemas.openxmlformats.org/officeDocument/2006/relationships/sharedStrings" Target="/xl/sharedStrings.xml" Id="R75287df2f51d46c8" /><Relationship Type="http://schemas.openxmlformats.org/officeDocument/2006/relationships/worksheet" Target="/xl/worksheets/sheet1.xml" Id="R8f3b0588e6f24928" /><Relationship Type="http://schemas.openxmlformats.org/officeDocument/2006/relationships/worksheet" Target="/xl/worksheets/sheet2.xml" Id="R9edcd80764e1498c" /><Relationship Type="http://schemas.openxmlformats.org/officeDocument/2006/relationships/worksheet" Target="/xl/worksheets/sheet3.xml" Id="Ra61646ae7c3e466e" /><Relationship Type="http://schemas.openxmlformats.org/officeDocument/2006/relationships/worksheet" Target="/xl/worksheets/sheet4.xml" Id="R3375a7c16b3b4ca4" /><Relationship Type="http://schemas.openxmlformats.org/officeDocument/2006/relationships/worksheet" Target="/xl/worksheets/sheet5.xml" Id="R6c752147282942a7" /><Relationship Type="http://schemas.openxmlformats.org/officeDocument/2006/relationships/worksheet" Target="/xl/worksheets/sheet6.xml" Id="Raf82cf7025c942ee" /><Relationship Type="http://schemas.openxmlformats.org/officeDocument/2006/relationships/worksheet" Target="/xl/worksheets/sheet7.xml" Id="Ra9d9e906dde14532" /><Relationship Type="http://schemas.openxmlformats.org/officeDocument/2006/relationships/worksheet" Target="/xl/worksheets/sheet8.xml" Id="Racb2ae71b857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  <x:col min="3" max="3" width="20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M4-CALIBRATION 真实案例校准工作台 V0.10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先冻结预测，再收集反馈；逐字段、逐规则核验；安全事实与反例优先。</x:v>
      </x:c>
      <x:c r="B2" s="11"/>
      <x:c r="C2" s="11"/>
      <x:c r="D2" s="11"/>
      <x:c r="E2" s="11"/>
      <x:c r="F2" s="11"/>
      <x:c r="G2" s="11"/>
      <x:c r="H2" s="11"/>
    </x:row>
    <x:row r="4">
      <x:c r="A4" s="20" t="str">
        <x:v>原则</x:v>
      </x:c>
      <x:c r="B4" s="20" t="str">
        <x:v>说明</x:v>
      </x:c>
    </x:row>
    <x:row r="5">
      <x:c r="A5" s="28" t="str">
        <x:v>预测冻结</x:v>
      </x:c>
      <x:c r="B5" s="28" t="str">
        <x:v>没有反馈前冻结快照的案例，只能探索，不能进入准确性统计。</x:v>
      </x:c>
    </x:row>
    <x:row r="6">
      <x:c r="A6" s="28" t="str">
        <x:v>逐字段核验</x:v>
      </x:c>
      <x:c r="B6" s="28" t="str">
        <x:v>分别核验主盲点、触发、循环、修复、保护、E等级和用户语言。</x:v>
      </x:c>
    </x:row>
    <x:row r="7">
      <x:c r="A7" s="28" t="str">
        <x:v>现实反馈</x:v>
      </x:c>
      <x:c r="B7" s="28" t="str">
        <x:v>对方反馈只记录可观察行为，不由八字补写动机。</x:v>
      </x:c>
    </x:row>
    <x:row r="8">
      <x:c r="A8" s="28" t="str">
        <x:v>同源去重</x:v>
      </x:c>
      <x:c r="B8" s="28" t="str">
        <x:v>同一source_id/event_id可被多模块解释，但只算一次基础证据。</x:v>
      </x:c>
    </x:row>
    <x:row r="9">
      <x:c r="A9" s="28" t="str">
        <x:v>E3/E4</x:v>
      </x:c>
      <x:c r="B9" s="28" t="str">
        <x:v>E3必须有反馈与复发；E4必须跨事件/跨情境、独立佐证和反例审查。</x:v>
      </x:c>
    </x:row>
    <x:row r="10">
      <x:c r="A10" s="28" t="str">
        <x:v>安全优先</x:v>
      </x:c>
      <x:c r="B10" s="28" t="str">
        <x:v>暴力、威胁、强迫、跟踪、经济控制等事实出现时，停止普通双方循环解释。</x:v>
      </x:c>
    </x:row>
    <x:row r="11">
      <x:c r="A11" s="28" t="str">
        <x:v>当前状态</x:v>
      </x:c>
      <x:c r="B11" s="28" t="str">
        <x:v>校准框架已完成，真实案例尚未录入，M4规则仍全部待验证。</x:v>
      </x:c>
    </x:row>
    <x:row r="14">
      <x:c r="A14" s="20" t="str">
        <x:v>阶段</x:v>
      </x:c>
      <x:c r="B14" s="20" t="str">
        <x:v>规模</x:v>
      </x:c>
      <x:c r="C14" s="20" t="str">
        <x:v>目标</x:v>
      </x:c>
      <x:c r="D14" s="20" t="str">
        <x:v>下一步条件</x:v>
      </x:c>
    </x:row>
    <x:row r="15">
      <x:c r="A15" s="28" t="str">
        <x:v>C0 结构测试</x:v>
      </x:c>
      <x:c r="B15" s="28" t="str">
        <x:v>24项</x:v>
      </x:c>
      <x:c r="C15" s="28" t="str">
        <x:v>验证停止、去重、升级和报告密度</x:v>
      </x:c>
      <x:c r="D15" s="28" t="str">
        <x:v>24项全部通过</x:v>
      </x:c>
    </x:row>
    <x:row r="16">
      <x:c r="A16" s="28" t="str">
        <x:v>C1 试点</x:v>
      </x:c>
      <x:c r="B16" s="28" t="str">
        <x:v>20—30例</x:v>
      </x:c>
      <x:c r="C16" s="28" t="str">
        <x:v>发现误判、资料缺口和语言问题</x:v>
      </x:c>
      <x:c r="D16" s="28" t="str">
        <x:v>完成首轮修订</x:v>
      </x:c>
    </x:row>
    <x:row r="17">
      <x:c r="A17" s="28" t="str">
        <x:v>C2 扩展</x:v>
      </x:c>
      <x:c r="B17" s="28" t="str">
        <x:v>80—120例</x:v>
      </x:c>
      <x:c r="C17" s="28" t="str">
        <x:v>补足K/TR/LP/RB/BF覆盖</x:v>
      </x:c>
      <x:c r="D17" s="28" t="str">
        <x:v>反例库成形</x:v>
      </x:c>
    </x:row>
    <x:row r="18">
      <x:c r="A18" s="28" t="str">
        <x:v>C3 双人盲评</x:v>
      </x:c>
      <x:c r="B18" s="28" t="str">
        <x:v>≥50可评案例</x:v>
      </x:c>
      <x:c r="C18" s="28" t="str">
        <x:v>检查主盲点和E等级一致性</x:v>
      </x:c>
      <x:c r="D18" s="28" t="str">
        <x:v>完成裁决流程</x:v>
      </x:c>
    </x:row>
    <x:row r="19">
      <x:c r="A19" s="28" t="str">
        <x:v>C4 跨情境</x:v>
      </x:c>
      <x:c r="B19" s="28" t="str">
        <x:v>多个事件/关系</x:v>
      </x:c>
      <x:c r="C19" s="28" t="str">
        <x:v>验证E3/E4和保护稳定性</x:v>
      </x:c>
      <x:c r="D19" s="28" t="str">
        <x:v>完成反例审查</x:v>
      </x:c>
    </x:row>
    <x:row r="20">
      <x:c r="A20" s="28" t="str">
        <x:v>C5 冻结</x:v>
      </x:c>
      <x:c r="B20" s="28" t="str">
        <x:v>规则稳定后</x:v>
      </x:c>
      <x:c r="C20" s="28" t="str">
        <x:v>冻结M4 V1.0候选</x:v>
      </x:c>
      <x:c r="D20" s="28" t="str">
        <x:v>发布检查通过</x:v>
      </x:c>
    </x:row>
    <x:row r="23">
      <x:c r="A23" s="20" t="str">
        <x:v>访谈重点</x:v>
      </x:c>
      <x:c r="B23" s="20" t="str">
        <x:v>示例问题</x:v>
      </x:c>
    </x:row>
    <x:row r="24">
      <x:c r="A24" s="28" t="str">
        <x:v>触发</x:v>
      </x:c>
      <x:c r="B24" s="28" t="str">
        <x:v>反应启动前，关系里具体发生了什么变化？</x:v>
      </x:c>
    </x:row>
    <x:row r="25">
      <x:c r="A25" s="28" t="str">
        <x:v>第一反应</x:v>
      </x:c>
      <x:c r="B25" s="28" t="str">
        <x:v>你首先做了什么？什么功能更晚进入？</x:v>
      </x:c>
    </x:row>
    <x:row r="26">
      <x:c r="A26" s="28" t="str">
        <x:v>对方反馈</x:v>
      </x:c>
      <x:c r="B26" s="28" t="str">
        <x:v>对方实际做了什么或减少了什么？</x:v>
      </x:c>
    </x:row>
    <x:row r="27">
      <x:c r="A27" s="28" t="str">
        <x:v>强化</x:v>
      </x:c>
      <x:c r="B27" s="28" t="str">
        <x:v>你怎样理解反馈？随后加码、撤回还是换方式？</x:v>
      </x:c>
    </x:row>
    <x:row r="28">
      <x:c r="A28" s="28" t="str">
        <x:v>复发</x:v>
      </x:c>
      <x:c r="B28" s="28" t="str">
        <x:v>类似顺序是否在其他事件或关系出现？</x:v>
      </x:c>
    </x:row>
    <x:row r="29">
      <x:c r="A29" s="28" t="str">
        <x:v>修复</x:v>
      </x:c>
      <x:c r="B29" s="28" t="str">
        <x:v>事实、影响、责任、边界、补救、反馈、回访完成了哪些？</x:v>
      </x:c>
    </x:row>
    <x:row r="30">
      <x:c r="A30" s="28" t="str">
        <x:v>保护</x:v>
      </x:c>
      <x:c r="B30" s="28" t="str">
        <x:v>什么做法实际改变过这条链？</x:v>
      </x:c>
    </x:row>
    <x:row r="31">
      <x:c r="A31" s="28" t="str">
        <x:v>反例</x:v>
      </x:c>
      <x:c r="B31" s="28" t="str">
        <x:v>哪些预测在现实中长期没有出现？</x:v>
      </x:c>
    </x:row>
    <x:row r="32">
      <x:c r="A32" s="28" t="str">
        <x:v>安全</x:v>
      </x:c>
      <x:c r="B32" s="28" t="str">
        <x:v>是否存在威胁、强迫、暴力、跟踪、经济控制或不能自由拒绝？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8" hidden="0" customWidth="1"/>
    <x:col min="8" max="8" width="12" hidden="0" customWidth="1"/>
    <x:col min="9" max="9" width="24" hidden="0" customWidth="1"/>
    <x:col min="10" max="10" width="14" hidden="0" customWidth="1"/>
    <x:col min="11" max="11" width="22" hidden="0" customWidth="1"/>
    <x:col min="12" max="12" width="18" hidden="0" customWidth="1"/>
    <x:col min="13" max="13" width="14" hidden="0" customWidth="1"/>
    <x:col min="14" max="14" width="14" hidden="0" customWidth="1"/>
    <x:col min="15" max="15" width="16" hidden="0" customWidth="1"/>
    <x:col min="16" max="16" width="14" hidden="0" customWidth="1"/>
    <x:col min="17" max="17" width="16" hidden="0" customWidth="1"/>
    <x:col min="18" max="18" width="44" hidden="0" customWidth="1"/>
    <x:col min="19" max="19" width="34" hidden="0" customWidth="1"/>
    <x:col min="20" max="20" width="40" hidden="0" customWidth="1"/>
    <x:col min="21" max="21" width="62" hidden="0" customWidth="1"/>
    <x:col min="22" max="22" width="36" hidden="0" customWidth="1"/>
  </x:cols>
  <x:sheetData>
    <x:row r="1">
      <x:c r="A1" s="4" t="str">
        <x:v>案例主档与预测冻结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>
      <x:c r="A2" s="11" t="str">
        <x:v>上半区建档；下半区必须在查看完整反馈前冻结预测。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</x:row>
    <x:row r="4">
      <x:c r="A4" s="20" t="str">
        <x:v>case_id</x:v>
      </x:c>
      <x:c r="B4" s="20" t="str">
        <x:v>匿名代号</x:v>
      </x:c>
      <x:c r="C4" s="20" t="str">
        <x:v>分析者</x:v>
      </x:c>
      <x:c r="D4" s="20" t="str">
        <x:v>复核者</x:v>
      </x:c>
      <x:c r="E4" s="20" t="str">
        <x:v>日期</x:v>
      </x:c>
      <x:c r="F4" s="20" t="str">
        <x:v>性别</x:v>
      </x:c>
      <x:c r="G4" s="20" t="str">
        <x:v>关系阶段</x:v>
      </x:c>
      <x:c r="H4" s="20" t="str">
        <x:v>事件数</x:v>
      </x:c>
      <x:c r="I4" s="20" t="str">
        <x:v>资料来源</x:v>
      </x:c>
      <x:c r="J4" s="20" t="str">
        <x:v>同意</x:v>
      </x:c>
      <x:c r="K4" s="20" t="str">
        <x:v>安全状态</x:v>
      </x:c>
      <x:c r="L4" s="20" t="str">
        <x:v>命盘状态</x:v>
      </x:c>
      <x:c r="M4" s="20" t="str">
        <x:v>预测冻结</x:v>
      </x:c>
      <x:c r="N4" s="20" t="str">
        <x:v>反馈完整</x:v>
      </x:c>
      <x:c r="O4" s="20" t="str">
        <x:v>案例状态</x:v>
      </x:c>
      <x:c r="P4" s="20" t="str">
        <x:v>纳入统计</x:v>
      </x:c>
      <x:c r="Q4" s="20" t="str">
        <x:v>备注</x:v>
      </x:c>
    </x:row>
    <x:row r="5">
      <x:c r="A5" s="28"/>
      <x:c r="B5" s="28"/>
      <x:c r="C5" s="28"/>
      <x:c r="D5" s="28"/>
      <x:c r="E5" s="32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32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32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32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32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32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  <x:row r="11">
      <x:c r="A11" s="28"/>
      <x:c r="B11" s="28"/>
      <x:c r="C11" s="28"/>
      <x:c r="D11" s="28"/>
      <x:c r="E11" s="32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</x:row>
    <x:row r="12">
      <x:c r="A12" s="28"/>
      <x:c r="B12" s="28"/>
      <x:c r="C12" s="28"/>
      <x:c r="D12" s="28"/>
      <x:c r="E12" s="32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</x:row>
    <x:row r="13">
      <x:c r="A13" s="28"/>
      <x:c r="B13" s="28"/>
      <x:c r="C13" s="28"/>
      <x:c r="D13" s="28"/>
      <x:c r="E13" s="32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</x:row>
    <x:row r="14">
      <x:c r="A14" s="28"/>
      <x:c r="B14" s="28"/>
      <x:c r="C14" s="28"/>
      <x:c r="D14" s="28"/>
      <x:c r="E14" s="32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</x:row>
    <x:row r="15">
      <x:c r="A15" s="28"/>
      <x:c r="B15" s="28"/>
      <x:c r="C15" s="28"/>
      <x:c r="D15" s="28"/>
      <x:c r="E15" s="32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</x:row>
    <x:row r="16">
      <x:c r="A16" s="28"/>
      <x:c r="B16" s="28"/>
      <x:c r="C16" s="28"/>
      <x:c r="D16" s="28"/>
      <x:c r="E16" s="32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</x:row>
    <x:row r="17">
      <x:c r="A17" s="28"/>
      <x:c r="B17" s="28"/>
      <x:c r="C17" s="28"/>
      <x:c r="D17" s="28"/>
      <x:c r="E17" s="32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</x:row>
    <x:row r="18">
      <x:c r="A18" s="28"/>
      <x:c r="B18" s="28"/>
      <x:c r="C18" s="28"/>
      <x:c r="D18" s="28"/>
      <x:c r="E18" s="32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</x:row>
    <x:row r="19">
      <x:c r="A19" s="28"/>
      <x:c r="B19" s="28"/>
      <x:c r="C19" s="28"/>
      <x:c r="D19" s="28"/>
      <x:c r="E19" s="32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</x:row>
    <x:row r="20">
      <x:c r="A20" s="28"/>
      <x:c r="B20" s="28"/>
      <x:c r="C20" s="28"/>
      <x:c r="D20" s="28"/>
      <x:c r="E20" s="32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</x:row>
    <x:row r="21">
      <x:c r="A21" s="28"/>
      <x:c r="B21" s="28"/>
      <x:c r="C21" s="28"/>
      <x:c r="D21" s="28"/>
      <x:c r="E21" s="32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</x:row>
    <x:row r="22">
      <x:c r="A22" s="28"/>
      <x:c r="B22" s="28"/>
      <x:c r="C22" s="28"/>
      <x:c r="D22" s="28"/>
      <x:c r="E22" s="32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</x:row>
    <x:row r="23">
      <x:c r="A23" s="28"/>
      <x:c r="B23" s="28"/>
      <x:c r="C23" s="28"/>
      <x:c r="D23" s="28"/>
      <x:c r="E23" s="32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</x:row>
    <x:row r="24">
      <x:c r="A24" s="28"/>
      <x:c r="B24" s="28"/>
      <x:c r="C24" s="28"/>
      <x:c r="D24" s="28"/>
      <x:c r="E24" s="32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</x:row>
    <x:row r="25">
      <x:c r="A25" s="28"/>
      <x:c r="B25" s="28"/>
      <x:c r="C25" s="28"/>
      <x:c r="D25" s="28"/>
      <x:c r="E25" s="32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</x:row>
    <x:row r="26">
      <x:c r="A26" s="28"/>
      <x:c r="B26" s="28"/>
      <x:c r="C26" s="28"/>
      <x:c r="D26" s="28"/>
      <x:c r="E26" s="32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</x:row>
    <x:row r="27">
      <x:c r="A27" s="28"/>
      <x:c r="B27" s="28"/>
      <x:c r="C27" s="28"/>
      <x:c r="D27" s="28"/>
      <x:c r="E27" s="32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</x:row>
    <x:row r="28">
      <x:c r="A28" s="28"/>
      <x:c r="B28" s="28"/>
      <x:c r="C28" s="28"/>
      <x:c r="D28" s="28"/>
      <x:c r="E28" s="32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</x:row>
    <x:row r="29">
      <x:c r="A29" s="28"/>
      <x:c r="B29" s="28"/>
      <x:c r="C29" s="28"/>
      <x:c r="D29" s="28"/>
      <x:c r="E29" s="32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</x:row>
    <x:row r="30">
      <x:c r="A30" s="28"/>
      <x:c r="B30" s="28"/>
      <x:c r="C30" s="28"/>
      <x:c r="D30" s="28"/>
      <x:c r="E30" s="32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</x:row>
    <x:row r="31">
      <x:c r="A31" s="28"/>
      <x:c r="B31" s="28"/>
      <x:c r="C31" s="28"/>
      <x:c r="D31" s="28"/>
      <x:c r="E31" s="32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</x:row>
    <x:row r="32">
      <x:c r="A32" s="28"/>
      <x:c r="B32" s="28"/>
      <x:c r="C32" s="28"/>
      <x:c r="D32" s="28"/>
      <x:c r="E32" s="32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</x:row>
    <x:row r="33">
      <x:c r="A33" s="28"/>
      <x:c r="B33" s="28"/>
      <x:c r="C33" s="28"/>
      <x:c r="D33" s="28"/>
      <x:c r="E33" s="32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</x:row>
    <x:row r="34">
      <x:c r="A34" s="28"/>
      <x:c r="B34" s="28"/>
      <x:c r="C34" s="28"/>
      <x:c r="D34" s="28"/>
      <x:c r="E34" s="32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</x:row>
    <x:row r="35">
      <x:c r="A35" s="28"/>
      <x:c r="B35" s="28"/>
      <x:c r="C35" s="28"/>
      <x:c r="D35" s="28"/>
      <x:c r="E35" s="32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</x:row>
    <x:row r="36">
      <x:c r="A36" s="28"/>
      <x:c r="B36" s="28"/>
      <x:c r="C36" s="28"/>
      <x:c r="D36" s="28"/>
      <x:c r="E36" s="32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</x:row>
    <x:row r="37">
      <x:c r="A37" s="28"/>
      <x:c r="B37" s="28"/>
      <x:c r="C37" s="28"/>
      <x:c r="D37" s="28"/>
      <x:c r="E37" s="32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</x:row>
    <x:row r="38">
      <x:c r="A38" s="28"/>
      <x:c r="B38" s="28"/>
      <x:c r="C38" s="28"/>
      <x:c r="D38" s="28"/>
      <x:c r="E38" s="32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</x:row>
    <x:row r="39">
      <x:c r="A39" s="28"/>
      <x:c r="B39" s="28"/>
      <x:c r="C39" s="28"/>
      <x:c r="D39" s="28"/>
      <x:c r="E39" s="32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</x:row>
    <x:row r="40">
      <x:c r="A40" s="28"/>
      <x:c r="B40" s="28"/>
      <x:c r="C40" s="28"/>
      <x:c r="D40" s="28"/>
      <x:c r="E40" s="32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</x:row>
    <x:row r="41">
      <x:c r="A41" s="28"/>
      <x:c r="B41" s="28"/>
      <x:c r="C41" s="28"/>
      <x:c r="D41" s="28"/>
      <x:c r="E41" s="32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</x:row>
    <x:row r="42">
      <x:c r="A42" s="28"/>
      <x:c r="B42" s="28"/>
      <x:c r="C42" s="28"/>
      <x:c r="D42" s="28"/>
      <x:c r="E42" s="32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</x:row>
    <x:row r="43">
      <x:c r="A43" s="28"/>
      <x:c r="B43" s="28"/>
      <x:c r="C43" s="28"/>
      <x:c r="D43" s="28"/>
      <x:c r="E43" s="32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</x:row>
    <x:row r="44">
      <x:c r="A44" s="28"/>
      <x:c r="B44" s="28"/>
      <x:c r="C44" s="28"/>
      <x:c r="D44" s="28"/>
      <x:c r="E44" s="32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</x:row>
    <x:row r="45">
      <x:c r="A45" s="28"/>
      <x:c r="B45" s="28"/>
      <x:c r="C45" s="28"/>
      <x:c r="D45" s="28"/>
      <x:c r="E45" s="32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</x:row>
    <x:row r="46">
      <x:c r="A46" s="28"/>
      <x:c r="B46" s="28"/>
      <x:c r="C46" s="28"/>
      <x:c r="D46" s="28"/>
      <x:c r="E46" s="32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</x:row>
    <x:row r="47">
      <x:c r="A47" s="28"/>
      <x:c r="B47" s="28"/>
      <x:c r="C47" s="28"/>
      <x:c r="D47" s="28"/>
      <x:c r="E47" s="32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</x:row>
    <x:row r="48">
      <x:c r="A48" s="28"/>
      <x:c r="B48" s="28"/>
      <x:c r="C48" s="28"/>
      <x:c r="D48" s="28"/>
      <x:c r="E48" s="32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</x:row>
    <x:row r="49">
      <x:c r="A49" s="28"/>
      <x:c r="B49" s="28"/>
      <x:c r="C49" s="28"/>
      <x:c r="D49" s="28"/>
      <x:c r="E49" s="32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</x:row>
    <x:row r="50">
      <x:c r="A50" s="28"/>
      <x:c r="B50" s="28"/>
      <x:c r="C50" s="28"/>
      <x:c r="D50" s="28"/>
      <x:c r="E50" s="32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</x:row>
    <x:row r="51">
      <x:c r="A51" s="28"/>
      <x:c r="B51" s="28"/>
      <x:c r="C51" s="28"/>
      <x:c r="D51" s="28"/>
      <x:c r="E51" s="32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</x:row>
    <x:row r="52">
      <x:c r="A52" s="28"/>
      <x:c r="B52" s="28"/>
      <x:c r="C52" s="28"/>
      <x:c r="D52" s="28"/>
      <x:c r="E52" s="32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</x:row>
    <x:row r="53">
      <x:c r="A53" s="28"/>
      <x:c r="B53" s="28"/>
      <x:c r="C53" s="28"/>
      <x:c r="D53" s="28"/>
      <x:c r="E53" s="32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</x:row>
    <x:row r="54">
      <x:c r="A54" s="28"/>
      <x:c r="B54" s="28"/>
      <x:c r="C54" s="28"/>
      <x:c r="D54" s="28"/>
      <x:c r="E54" s="32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</x:row>
    <x:row r="55">
      <x:c r="A55" s="28"/>
      <x:c r="B55" s="28"/>
      <x:c r="C55" s="28"/>
      <x:c r="D55" s="28"/>
      <x:c r="E55" s="32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</x:row>
    <x:row r="56">
      <x:c r="A56" s="28"/>
      <x:c r="B56" s="28"/>
      <x:c r="C56" s="28"/>
      <x:c r="D56" s="28"/>
      <x:c r="E56" s="32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</x:row>
    <x:row r="57">
      <x:c r="A57" s="28"/>
      <x:c r="B57" s="28"/>
      <x:c r="C57" s="28"/>
      <x:c r="D57" s="28"/>
      <x:c r="E57" s="32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</x:row>
    <x:row r="58">
      <x:c r="A58" s="28"/>
      <x:c r="B58" s="28"/>
      <x:c r="C58" s="28"/>
      <x:c r="D58" s="28"/>
      <x:c r="E58" s="32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</x:row>
    <x:row r="59">
      <x:c r="A59" s="28"/>
      <x:c r="B59" s="28"/>
      <x:c r="C59" s="28"/>
      <x:c r="D59" s="28"/>
      <x:c r="E59" s="32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</x:row>
    <x:row r="60">
      <x:c r="A60" s="28"/>
      <x:c r="B60" s="28"/>
      <x:c r="C60" s="28"/>
      <x:c r="D60" s="28"/>
      <x:c r="E60" s="32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</x:row>
    <x:row r="61">
      <x:c r="A61" s="28"/>
      <x:c r="B61" s="28"/>
      <x:c r="C61" s="28"/>
      <x:c r="D61" s="28"/>
      <x:c r="E61" s="32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</x:row>
    <x:row r="62">
      <x:c r="A62" s="28"/>
      <x:c r="B62" s="28"/>
      <x:c r="C62" s="28"/>
      <x:c r="D62" s="28"/>
      <x:c r="E62" s="32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</x:row>
    <x:row r="63">
      <x:c r="A63" s="28"/>
      <x:c r="B63" s="28"/>
      <x:c r="C63" s="28"/>
      <x:c r="D63" s="28"/>
      <x:c r="E63" s="32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</x:row>
    <x:row r="64">
      <x:c r="A64" s="28"/>
      <x:c r="B64" s="28"/>
      <x:c r="C64" s="28"/>
      <x:c r="D64" s="28"/>
      <x:c r="E64" s="32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</x:row>
    <x:row r="65">
      <x:c r="A65" s="28"/>
      <x:c r="B65" s="28"/>
      <x:c r="C65" s="28"/>
      <x:c r="D65" s="28"/>
      <x:c r="E65" s="32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</x:row>
    <x:row r="66">
      <x:c r="A66" s="28"/>
      <x:c r="B66" s="28"/>
      <x:c r="C66" s="28"/>
      <x:c r="D66" s="28"/>
      <x:c r="E66" s="32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</x:row>
    <x:row r="67">
      <x:c r="A67" s="28"/>
      <x:c r="B67" s="28"/>
      <x:c r="C67" s="28"/>
      <x:c r="D67" s="28"/>
      <x:c r="E67" s="32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</x:row>
    <x:row r="68">
      <x:c r="A68" s="28"/>
      <x:c r="B68" s="28"/>
      <x:c r="C68" s="28"/>
      <x:c r="D68" s="28"/>
      <x:c r="E68" s="32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</x:row>
    <x:row r="69">
      <x:c r="A69" s="28"/>
      <x:c r="B69" s="28"/>
      <x:c r="C69" s="28"/>
      <x:c r="D69" s="28"/>
      <x:c r="E69" s="32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</x:row>
    <x:row r="70">
      <x:c r="A70" s="28"/>
      <x:c r="B70" s="28"/>
      <x:c r="C70" s="28"/>
      <x:c r="D70" s="28"/>
      <x:c r="E70" s="32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</x:row>
    <x:row r="71">
      <x:c r="A71" s="28"/>
      <x:c r="B71" s="28"/>
      <x:c r="C71" s="28"/>
      <x:c r="D71" s="28"/>
      <x:c r="E71" s="32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</x:row>
    <x:row r="72">
      <x:c r="A72" s="28"/>
      <x:c r="B72" s="28"/>
      <x:c r="C72" s="28"/>
      <x:c r="D72" s="28"/>
      <x:c r="E72" s="32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</x:row>
    <x:row r="73">
      <x:c r="A73" s="28"/>
      <x:c r="B73" s="28"/>
      <x:c r="C73" s="28"/>
      <x:c r="D73" s="28"/>
      <x:c r="E73" s="32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</x:row>
    <x:row r="74">
      <x:c r="A74" s="28"/>
      <x:c r="B74" s="28"/>
      <x:c r="C74" s="28"/>
      <x:c r="D74" s="28"/>
      <x:c r="E74" s="32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</x:row>
    <x:row r="75">
      <x:c r="A75" s="28"/>
      <x:c r="B75" s="28"/>
      <x:c r="C75" s="28"/>
      <x:c r="D75" s="28"/>
      <x:c r="E75" s="32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</x:row>
    <x:row r="76">
      <x:c r="A76" s="28"/>
      <x:c r="B76" s="28"/>
      <x:c r="C76" s="28"/>
      <x:c r="D76" s="28"/>
      <x:c r="E76" s="32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</x:row>
    <x:row r="77">
      <x:c r="A77" s="28"/>
      <x:c r="B77" s="28"/>
      <x:c r="C77" s="28"/>
      <x:c r="D77" s="28"/>
      <x:c r="E77" s="32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</x:row>
    <x:row r="78">
      <x:c r="A78" s="28"/>
      <x:c r="B78" s="28"/>
      <x:c r="C78" s="28"/>
      <x:c r="D78" s="28"/>
      <x:c r="E78" s="32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</x:row>
    <x:row r="79">
      <x:c r="A79" s="28"/>
      <x:c r="B79" s="28"/>
      <x:c r="C79" s="28"/>
      <x:c r="D79" s="28"/>
      <x:c r="E79" s="32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</x:row>
    <x:row r="80">
      <x:c r="A80" s="28"/>
      <x:c r="B80" s="28"/>
      <x:c r="C80" s="28"/>
      <x:c r="D80" s="28"/>
      <x:c r="E80" s="32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</x:row>
    <x:row r="81">
      <x:c r="A81" s="28"/>
      <x:c r="B81" s="28"/>
      <x:c r="C81" s="28"/>
      <x:c r="D81" s="28"/>
      <x:c r="E81" s="32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</x:row>
    <x:row r="82">
      <x:c r="A82" s="28"/>
      <x:c r="B82" s="28"/>
      <x:c r="C82" s="28"/>
      <x:c r="D82" s="28"/>
      <x:c r="E82" s="32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</x:row>
    <x:row r="83">
      <x:c r="A83" s="28"/>
      <x:c r="B83" s="28"/>
      <x:c r="C83" s="28"/>
      <x:c r="D83" s="28"/>
      <x:c r="E83" s="32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</x:row>
    <x:row r="84">
      <x:c r="A84" s="28"/>
      <x:c r="B84" s="28"/>
      <x:c r="C84" s="28"/>
      <x:c r="D84" s="28"/>
      <x:c r="E84" s="32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</x:row>
    <x:row r="85">
      <x:c r="A85" s="28"/>
      <x:c r="B85" s="28"/>
      <x:c r="C85" s="28"/>
      <x:c r="D85" s="28"/>
      <x:c r="E85" s="32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</x:row>
    <x:row r="86">
      <x:c r="A86" s="28"/>
      <x:c r="B86" s="28"/>
      <x:c r="C86" s="28"/>
      <x:c r="D86" s="28"/>
      <x:c r="E86" s="32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</x:row>
    <x:row r="87">
      <x:c r="A87" s="28"/>
      <x:c r="B87" s="28"/>
      <x:c r="C87" s="28"/>
      <x:c r="D87" s="28"/>
      <x:c r="E87" s="32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</x:row>
    <x:row r="88">
      <x:c r="A88" s="28"/>
      <x:c r="B88" s="28"/>
      <x:c r="C88" s="28"/>
      <x:c r="D88" s="28"/>
      <x:c r="E88" s="32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</x:row>
    <x:row r="89">
      <x:c r="A89" s="28"/>
      <x:c r="B89" s="28"/>
      <x:c r="C89" s="28"/>
      <x:c r="D89" s="28"/>
      <x:c r="E89" s="32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</x:row>
    <x:row r="90">
      <x:c r="A90" s="28"/>
      <x:c r="B90" s="28"/>
      <x:c r="C90" s="28"/>
      <x:c r="D90" s="28"/>
      <x:c r="E90" s="32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</x:row>
    <x:row r="91">
      <x:c r="A91" s="28"/>
      <x:c r="B91" s="28"/>
      <x:c r="C91" s="28"/>
      <x:c r="D91" s="28"/>
      <x:c r="E91" s="32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</x:row>
    <x:row r="92">
      <x:c r="A92" s="28"/>
      <x:c r="B92" s="28"/>
      <x:c r="C92" s="28"/>
      <x:c r="D92" s="28"/>
      <x:c r="E92" s="32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</x:row>
    <x:row r="93">
      <x:c r="A93" s="28"/>
      <x:c r="B93" s="28"/>
      <x:c r="C93" s="28"/>
      <x:c r="D93" s="28"/>
      <x:c r="E93" s="32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</x:row>
    <x:row r="94">
      <x:c r="A94" s="28"/>
      <x:c r="B94" s="28"/>
      <x:c r="C94" s="28"/>
      <x:c r="D94" s="28"/>
      <x:c r="E94" s="32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</x:row>
    <x:row r="95">
      <x:c r="A95" s="28"/>
      <x:c r="B95" s="28"/>
      <x:c r="C95" s="28"/>
      <x:c r="D95" s="28"/>
      <x:c r="E95" s="32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</x:row>
    <x:row r="96">
      <x:c r="A96" s="28"/>
      <x:c r="B96" s="28"/>
      <x:c r="C96" s="28"/>
      <x:c r="D96" s="28"/>
      <x:c r="E96" s="32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</x:row>
    <x:row r="97">
      <x:c r="A97" s="28"/>
      <x:c r="B97" s="28"/>
      <x:c r="C97" s="28"/>
      <x:c r="D97" s="28"/>
      <x:c r="E97" s="32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</x:row>
    <x:row r="98">
      <x:c r="A98" s="28"/>
      <x:c r="B98" s="28"/>
      <x:c r="C98" s="28"/>
      <x:c r="D98" s="28"/>
      <x:c r="E98" s="32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</x:row>
    <x:row r="99">
      <x:c r="A99" s="28"/>
      <x:c r="B99" s="28"/>
      <x:c r="C99" s="28"/>
      <x:c r="D99" s="28"/>
      <x:c r="E99" s="32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</x:row>
    <x:row r="100">
      <x:c r="A100" s="28"/>
      <x:c r="B100" s="28"/>
      <x:c r="C100" s="28"/>
      <x:c r="D100" s="28"/>
      <x:c r="E100" s="32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</x:row>
    <x:row r="101">
      <x:c r="A101" s="28"/>
      <x:c r="B101" s="28"/>
      <x:c r="C101" s="28"/>
      <x:c r="D101" s="28"/>
      <x:c r="E101" s="32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</x:row>
    <x:row r="102">
      <x:c r="A102" s="28"/>
      <x:c r="B102" s="28"/>
      <x:c r="C102" s="28"/>
      <x:c r="D102" s="28"/>
      <x:c r="E102" s="32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</x:row>
    <x:row r="103">
      <x:c r="A103" s="28"/>
      <x:c r="B103" s="28"/>
      <x:c r="C103" s="28"/>
      <x:c r="D103" s="28"/>
      <x:c r="E103" s="32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</x:row>
    <x:row r="104">
      <x:c r="A104" s="28"/>
      <x:c r="B104" s="28"/>
      <x:c r="C104" s="28"/>
      <x:c r="D104" s="28"/>
      <x:c r="E104" s="32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</x:row>
    <x:row r="110">
      <x:c r="A110" s="20" t="str">
        <x:v>prediction_id</x:v>
      </x:c>
      <x:c r="B110" s="20" t="str">
        <x:v>case_id</x:v>
      </x:c>
      <x:c r="C110" s="20" t="str">
        <x:v>冻结时间</x:v>
      </x:c>
      <x:c r="D110" s="20" t="str">
        <x:v>冻结状态</x:v>
      </x:c>
      <x:c r="E110" s="20" t="str">
        <x:v>正常功能</x:v>
      </x:c>
      <x:c r="F110" s="20" t="str">
        <x:v>主盲点</x:v>
      </x:c>
      <x:c r="G110" s="20" t="str">
        <x:v>主机制</x:v>
      </x:c>
      <x:c r="H110" s="20" t="str">
        <x:v>次盲点</x:v>
      </x:c>
      <x:c r="I110" s="20" t="str">
        <x:v>主触发</x:v>
      </x:c>
      <x:c r="J110" s="20" t="str">
        <x:v>循环状态/类型</x:v>
      </x:c>
      <x:c r="K110" s="20" t="str">
        <x:v>修复断点</x:v>
      </x:c>
      <x:c r="L110" s="20" t="str">
        <x:v>主保护</x:v>
      </x:c>
      <x:c r="M110" s="20" t="str">
        <x:v>BL层级</x:v>
      </x:c>
      <x:c r="N110" s="20" t="str">
        <x:v>残余状态</x:v>
      </x:c>
      <x:c r="O110" s="20" t="str">
        <x:v>E上限</x:v>
      </x:c>
      <x:c r="P110" s="20" t="str">
        <x:v>置信分</x:v>
      </x:c>
      <x:c r="Q110" s="20" t="str">
        <x:v>置信等级</x:v>
      </x:c>
      <x:c r="R110" s="20" t="str">
        <x:v>规则ID</x:v>
      </x:c>
      <x:c r="S110" s="20" t="str">
        <x:v>source_id</x:v>
      </x:c>
      <x:c r="T110" s="20" t="str">
        <x:v>边界说明</x:v>
      </x:c>
      <x:c r="U110" s="20" t="str">
        <x:v>报告草稿</x:v>
      </x:c>
      <x:c r="V110" s="20" t="str">
        <x:v>备注</x:v>
      </x:c>
    </x:row>
    <x:row r="111">
      <x:c r="A111" s="28"/>
      <x:c r="B111" s="28"/>
      <x:c r="C111" s="34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</x:row>
    <x:row r="112">
      <x:c r="A112" s="28"/>
      <x:c r="B112" s="28"/>
      <x:c r="C112" s="34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</x:row>
    <x:row r="113">
      <x:c r="A113" s="28"/>
      <x:c r="B113" s="28"/>
      <x:c r="C113" s="34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</x:row>
    <x:row r="114">
      <x:c r="A114" s="28"/>
      <x:c r="B114" s="28"/>
      <x:c r="C114" s="34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</x:row>
    <x:row r="115">
      <x:c r="A115" s="28"/>
      <x:c r="B115" s="28"/>
      <x:c r="C115" s="34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</x:row>
    <x:row r="116">
      <x:c r="A116" s="28"/>
      <x:c r="B116" s="28"/>
      <x:c r="C116" s="34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</x:row>
    <x:row r="117">
      <x:c r="A117" s="28"/>
      <x:c r="B117" s="28"/>
      <x:c r="C117" s="34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</x:row>
    <x:row r="118">
      <x:c r="A118" s="28"/>
      <x:c r="B118" s="28"/>
      <x:c r="C118" s="34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</x:row>
    <x:row r="119">
      <x:c r="A119" s="28"/>
      <x:c r="B119" s="28"/>
      <x:c r="C119" s="34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</x:row>
    <x:row r="120">
      <x:c r="A120" s="28"/>
      <x:c r="B120" s="28"/>
      <x:c r="C120" s="34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</x:row>
    <x:row r="121">
      <x:c r="A121" s="28"/>
      <x:c r="B121" s="28"/>
      <x:c r="C121" s="34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</x:row>
    <x:row r="122">
      <x:c r="A122" s="28"/>
      <x:c r="B122" s="28"/>
      <x:c r="C122" s="34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</x:row>
    <x:row r="123">
      <x:c r="A123" s="28"/>
      <x:c r="B123" s="28"/>
      <x:c r="C123" s="34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</x:row>
    <x:row r="124">
      <x:c r="A124" s="28"/>
      <x:c r="B124" s="28"/>
      <x:c r="C124" s="34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</x:row>
    <x:row r="125">
      <x:c r="A125" s="28"/>
      <x:c r="B125" s="28"/>
      <x:c r="C125" s="34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</x:row>
    <x:row r="126">
      <x:c r="A126" s="28"/>
      <x:c r="B126" s="28"/>
      <x:c r="C126" s="34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</x:row>
    <x:row r="127">
      <x:c r="A127" s="28"/>
      <x:c r="B127" s="28"/>
      <x:c r="C127" s="34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</x:row>
    <x:row r="128">
      <x:c r="A128" s="28"/>
      <x:c r="B128" s="28"/>
      <x:c r="C128" s="34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</x:row>
    <x:row r="129">
      <x:c r="A129" s="28"/>
      <x:c r="B129" s="28"/>
      <x:c r="C129" s="34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</x:row>
    <x:row r="130">
      <x:c r="A130" s="28"/>
      <x:c r="B130" s="28"/>
      <x:c r="C130" s="34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</x:row>
    <x:row r="131">
      <x:c r="A131" s="28"/>
      <x:c r="B131" s="28"/>
      <x:c r="C131" s="34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</x:row>
    <x:row r="132">
      <x:c r="A132" s="28"/>
      <x:c r="B132" s="28"/>
      <x:c r="C132" s="34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</x:row>
    <x:row r="133">
      <x:c r="A133" s="28"/>
      <x:c r="B133" s="28"/>
      <x:c r="C133" s="34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</x:row>
    <x:row r="134">
      <x:c r="A134" s="28"/>
      <x:c r="B134" s="28"/>
      <x:c r="C134" s="34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</x:row>
    <x:row r="135">
      <x:c r="A135" s="28"/>
      <x:c r="B135" s="28"/>
      <x:c r="C135" s="34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</x:row>
    <x:row r="136">
      <x:c r="A136" s="28"/>
      <x:c r="B136" s="28"/>
      <x:c r="C136" s="34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</x:row>
    <x:row r="137">
      <x:c r="A137" s="28"/>
      <x:c r="B137" s="28"/>
      <x:c r="C137" s="34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</x:row>
    <x:row r="138">
      <x:c r="A138" s="28"/>
      <x:c r="B138" s="28"/>
      <x:c r="C138" s="34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</x:row>
    <x:row r="139">
      <x:c r="A139" s="28"/>
      <x:c r="B139" s="28"/>
      <x:c r="C139" s="34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</x:row>
    <x:row r="140">
      <x:c r="A140" s="28"/>
      <x:c r="B140" s="28"/>
      <x:c r="C140" s="34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</x:row>
    <x:row r="141">
      <x:c r="A141" s="28"/>
      <x:c r="B141" s="28"/>
      <x:c r="C141" s="34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</x:row>
    <x:row r="142">
      <x:c r="A142" s="28"/>
      <x:c r="B142" s="28"/>
      <x:c r="C142" s="34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</x:row>
    <x:row r="143">
      <x:c r="A143" s="28"/>
      <x:c r="B143" s="28"/>
      <x:c r="C143" s="34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</x:row>
    <x:row r="144">
      <x:c r="A144" s="28"/>
      <x:c r="B144" s="28"/>
      <x:c r="C144" s="34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</x:row>
    <x:row r="145">
      <x:c r="A145" s="28"/>
      <x:c r="B145" s="28"/>
      <x:c r="C145" s="34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</x:row>
    <x:row r="146">
      <x:c r="A146" s="28"/>
      <x:c r="B146" s="28"/>
      <x:c r="C146" s="34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</x:row>
    <x:row r="147">
      <x:c r="A147" s="28"/>
      <x:c r="B147" s="28"/>
      <x:c r="C147" s="34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</x:row>
    <x:row r="148">
      <x:c r="A148" s="28"/>
      <x:c r="B148" s="28"/>
      <x:c r="C148" s="34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</x:row>
    <x:row r="149">
      <x:c r="A149" s="28"/>
      <x:c r="B149" s="28"/>
      <x:c r="C149" s="34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</x:row>
    <x:row r="150">
      <x:c r="A150" s="28"/>
      <x:c r="B150" s="28"/>
      <x:c r="C150" s="34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</x:row>
    <x:row r="151">
      <x:c r="A151" s="28"/>
      <x:c r="B151" s="28"/>
      <x:c r="C151" s="34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</x:row>
    <x:row r="152">
      <x:c r="A152" s="28"/>
      <x:c r="B152" s="28"/>
      <x:c r="C152" s="34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</x:row>
    <x:row r="153">
      <x:c r="A153" s="28"/>
      <x:c r="B153" s="28"/>
      <x:c r="C153" s="34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</x:row>
    <x:row r="154">
      <x:c r="A154" s="28"/>
      <x:c r="B154" s="28"/>
      <x:c r="C154" s="34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</x:row>
    <x:row r="155">
      <x:c r="A155" s="28"/>
      <x:c r="B155" s="28"/>
      <x:c r="C155" s="34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</x:row>
    <x:row r="156">
      <x:c r="A156" s="28"/>
      <x:c r="B156" s="28"/>
      <x:c r="C156" s="34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</x:row>
    <x:row r="157">
      <x:c r="A157" s="28"/>
      <x:c r="B157" s="28"/>
      <x:c r="C157" s="34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</x:row>
    <x:row r="158">
      <x:c r="A158" s="28"/>
      <x:c r="B158" s="28"/>
      <x:c r="C158" s="34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</x:row>
    <x:row r="159">
      <x:c r="A159" s="28"/>
      <x:c r="B159" s="28"/>
      <x:c r="C159" s="34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</x:row>
    <x:row r="160">
      <x:c r="A160" s="28"/>
      <x:c r="B160" s="28"/>
      <x:c r="C160" s="34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</x:row>
    <x:row r="161">
      <x:c r="A161" s="28"/>
      <x:c r="B161" s="28"/>
      <x:c r="C161" s="34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</x:row>
    <x:row r="162">
      <x:c r="A162" s="28"/>
      <x:c r="B162" s="28"/>
      <x:c r="C162" s="34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</x:row>
    <x:row r="163">
      <x:c r="A163" s="28"/>
      <x:c r="B163" s="28"/>
      <x:c r="C163" s="34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</x:row>
    <x:row r="164">
      <x:c r="A164" s="28"/>
      <x:c r="B164" s="28"/>
      <x:c r="C164" s="34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</x:row>
    <x:row r="165">
      <x:c r="A165" s="28"/>
      <x:c r="B165" s="28"/>
      <x:c r="C165" s="34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</x:row>
    <x:row r="166">
      <x:c r="A166" s="28"/>
      <x:c r="B166" s="28"/>
      <x:c r="C166" s="34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</x:row>
    <x:row r="167">
      <x:c r="A167" s="28"/>
      <x:c r="B167" s="28"/>
      <x:c r="C167" s="34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</x:row>
    <x:row r="168">
      <x:c r="A168" s="28"/>
      <x:c r="B168" s="28"/>
      <x:c r="C168" s="34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</x:row>
    <x:row r="169">
      <x:c r="A169" s="28"/>
      <x:c r="B169" s="28"/>
      <x:c r="C169" s="34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</x:row>
    <x:row r="170">
      <x:c r="A170" s="28"/>
      <x:c r="B170" s="28"/>
      <x:c r="C170" s="34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</x:row>
    <x:row r="171">
      <x:c r="A171" s="28"/>
      <x:c r="B171" s="28"/>
      <x:c r="C171" s="34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</x:row>
    <x:row r="172">
      <x:c r="A172" s="28"/>
      <x:c r="B172" s="28"/>
      <x:c r="C172" s="34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</x:row>
    <x:row r="173">
      <x:c r="A173" s="28"/>
      <x:c r="B173" s="28"/>
      <x:c r="C173" s="34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</x:row>
    <x:row r="174">
      <x:c r="A174" s="28"/>
      <x:c r="B174" s="28"/>
      <x:c r="C174" s="34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</x:row>
    <x:row r="175">
      <x:c r="A175" s="28"/>
      <x:c r="B175" s="28"/>
      <x:c r="C175" s="34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</x:row>
    <x:row r="176">
      <x:c r="A176" s="28"/>
      <x:c r="B176" s="28"/>
      <x:c r="C176" s="34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</x:row>
    <x:row r="177">
      <x:c r="A177" s="28"/>
      <x:c r="B177" s="28"/>
      <x:c r="C177" s="34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</x:row>
    <x:row r="178">
      <x:c r="A178" s="28"/>
      <x:c r="B178" s="28"/>
      <x:c r="C178" s="34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</x:row>
    <x:row r="179">
      <x:c r="A179" s="28"/>
      <x:c r="B179" s="28"/>
      <x:c r="C179" s="34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</x:row>
    <x:row r="180">
      <x:c r="A180" s="28"/>
      <x:c r="B180" s="28"/>
      <x:c r="C180" s="34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</x:row>
    <x:row r="181">
      <x:c r="A181" s="28"/>
      <x:c r="B181" s="28"/>
      <x:c r="C181" s="34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</x:row>
    <x:row r="182">
      <x:c r="A182" s="28"/>
      <x:c r="B182" s="28"/>
      <x:c r="C182" s="34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</x:row>
    <x:row r="183">
      <x:c r="A183" s="28"/>
      <x:c r="B183" s="28"/>
      <x:c r="C183" s="34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</x:row>
    <x:row r="184">
      <x:c r="A184" s="28"/>
      <x:c r="B184" s="28"/>
      <x:c r="C184" s="34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</x:row>
    <x:row r="185">
      <x:c r="A185" s="28"/>
      <x:c r="B185" s="28"/>
      <x:c r="C185" s="34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</x:row>
    <x:row r="186">
      <x:c r="A186" s="28"/>
      <x:c r="B186" s="28"/>
      <x:c r="C186" s="34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</x:row>
    <x:row r="187">
      <x:c r="A187" s="28"/>
      <x:c r="B187" s="28"/>
      <x:c r="C187" s="34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</x:row>
    <x:row r="188">
      <x:c r="A188" s="28"/>
      <x:c r="B188" s="28"/>
      <x:c r="C188" s="34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</x:row>
    <x:row r="189">
      <x:c r="A189" s="28"/>
      <x:c r="B189" s="28"/>
      <x:c r="C189" s="34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</x:row>
    <x:row r="190">
      <x:c r="A190" s="28"/>
      <x:c r="B190" s="28"/>
      <x:c r="C190" s="34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</x:row>
    <x:row r="191">
      <x:c r="A191" s="28"/>
      <x:c r="B191" s="28"/>
      <x:c r="C191" s="34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</x:row>
    <x:row r="192">
      <x:c r="A192" s="28"/>
      <x:c r="B192" s="28"/>
      <x:c r="C192" s="34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</x:row>
    <x:row r="193">
      <x:c r="A193" s="28"/>
      <x:c r="B193" s="28"/>
      <x:c r="C193" s="34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</x:row>
    <x:row r="194">
      <x:c r="A194" s="28"/>
      <x:c r="B194" s="28"/>
      <x:c r="C194" s="34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</x:row>
    <x:row r="195">
      <x:c r="A195" s="28"/>
      <x:c r="B195" s="28"/>
      <x:c r="C195" s="34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</x:row>
    <x:row r="196">
      <x:c r="A196" s="28"/>
      <x:c r="B196" s="28"/>
      <x:c r="C196" s="34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</x:row>
    <x:row r="197">
      <x:c r="A197" s="28"/>
      <x:c r="B197" s="28"/>
      <x:c r="C197" s="34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</x:row>
    <x:row r="198">
      <x:c r="A198" s="28"/>
      <x:c r="B198" s="28"/>
      <x:c r="C198" s="34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</x:row>
    <x:row r="199">
      <x:c r="A199" s="28"/>
      <x:c r="B199" s="28"/>
      <x:c r="C199" s="34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</x:row>
    <x:row r="200">
      <x:c r="A200" s="28"/>
      <x:c r="B200" s="28"/>
      <x:c r="C200" s="34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</x:row>
    <x:row r="201">
      <x:c r="A201" s="28"/>
      <x:c r="B201" s="28"/>
      <x:c r="C201" s="34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</x:row>
    <x:row r="202">
      <x:c r="A202" s="28"/>
      <x:c r="B202" s="28"/>
      <x:c r="C202" s="34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</x:row>
    <x:row r="203">
      <x:c r="A203" s="28"/>
      <x:c r="B203" s="28"/>
      <x:c r="C203" s="34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</x:row>
    <x:row r="204">
      <x:c r="A204" s="28"/>
      <x:c r="B204" s="28"/>
      <x:c r="C204" s="34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</x:row>
    <x:row r="205">
      <x:c r="A205" s="28"/>
      <x:c r="B205" s="28"/>
      <x:c r="C205" s="34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</x:row>
    <x:row r="206">
      <x:c r="A206" s="28"/>
      <x:c r="B206" s="28"/>
      <x:c r="C206" s="34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</x:row>
    <x:row r="207">
      <x:c r="A207" s="28"/>
      <x:c r="B207" s="28"/>
      <x:c r="C207" s="34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</x:row>
    <x:row r="208">
      <x:c r="A208" s="28"/>
      <x:c r="B208" s="28"/>
      <x:c r="C208" s="34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</x:row>
    <x:row r="209">
      <x:c r="A209" s="28"/>
      <x:c r="B209" s="28"/>
      <x:c r="C209" s="34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</x:row>
    <x:row r="210">
      <x:c r="A210" s="28"/>
      <x:c r="B210" s="28"/>
      <x:c r="C210" s="34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</x:row>
  </x:sheetData>
  <x:mergeCells>
    <x:mergeCell ref="A1:V1"/>
    <x:mergeCell ref="A2:V2"/>
  </x:mergeCells>
  <x:dataValidations count="15">
    <x:dataValidation type="list" sqref="F5:F104">
      <x:formula1>"女命,男命,不公开/其他"</x:formula1>
    </x:dataValidation>
    <x:dataValidation type="list" sqref="G5:G104">
      <x:formula1>"初识,关系评估,稳定交往,高压阶段,修复阶段,结束后回顾,跨阶段"</x:formula1>
    </x:dataValidation>
    <x:dataValidation type="list" sqref="J5:J104">
      <x:formula1>"已取得,未取得,不适用"</x:formula1>
    </x:dataValidation>
    <x:dataValidation type="list" sqref="K5:K104">
      <x:formula1>"无明显安全问题,需进一步筛查,存在威胁/强迫,存在暴力风险,存在经济控制,存在跟踪监视,其他安全停止"</x:formula1>
    </x:dataValidation>
    <x:dataValidation type="list" sqref="L5:L104">
      <x:formula1>"已确认,部分确认,存在争议,不可用"</x:formula1>
    </x:dataValidation>
    <x:dataValidation type="list" sqref="M5:M104">
      <x:formula1>"未冻结,已冻结,作废重做"</x:formula1>
    </x:dataValidation>
    <x:dataValidation type="list" sqref="N5:N104">
      <x:formula1>"是,否,部分"</x:formula1>
    </x:dataValidation>
    <x:dataValidation type="list" sqref="O5:O104">
      <x:formula1>"待录入,预测待冻结,反馈待收集,待复核,已评估,暂不纳入,安全停止"</x:formula1>
    </x:dataValidation>
    <x:dataValidation type="list" sqref="P5:P104">
      <x:formula1>"是,否"</x:formula1>
    </x:dataValidation>
    <x:dataValidation type="list" sqref="D111:D210">
      <x:formula1>"未冻结,已冻结,作废重做"</x:formula1>
    </x:dataValidation>
    <x:dataValidation type="list" sqref="G111:G210">
      <x:formula1>"J01,J02,J03,J04,J05,J06,J07,J08,J09,J10,K01,K02,K03,K04,K05,K06,K07,K08"</x:formula1>
    </x:dataValidation>
    <x:dataValidation type="list" sqref="M111:M210">
      <x:formula1>"BL0,BL1,BL2,BL3,BL4,BL5,BL6,BL7"</x:formula1>
    </x:dataValidation>
    <x:dataValidation type="list" sqref="N111:N210">
      <x:formula1>"RP01,RP02,RP03,RP04,RP05,RP06,RP07,RP08"</x:formula1>
    </x:dataValidation>
    <x:dataValidation type="list" sqref="O111:O210">
      <x:formula1>"E0,E1,E2,E3,E4"</x:formula1>
    </x:dataValidation>
    <x:dataValidation type="list" sqref="Q111:Q210">
      <x:formula1>"高,中高,中,中低,低,停止"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6" hidden="0" customWidth="1"/>
    <x:col min="5" max="5" width="14" hidden="0" customWidth="1"/>
    <x:col min="6" max="6" width="14" hidden="0" customWidth="1"/>
    <x:col min="7" max="7" width="46" hidden="0" customWidth="1"/>
    <x:col min="8" max="8" width="40" hidden="0" customWidth="1"/>
    <x:col min="9" max="9" width="40" hidden="0" customWidth="1"/>
    <x:col min="10" max="10" width="34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22" hidden="0" customWidth="1"/>
    <x:col min="27" max="27" width="38" hidden="0" customWidth="1"/>
  </x:cols>
  <x:sheetData>
    <x:row r="1">
      <x:c r="A1" s="4" t="str">
        <x:v>关系事件、循环、修复与保护节点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>
      <x:c r="A2" s="11" t="str">
        <x:v>只记录具体事实和可观察反馈；E3需反馈与复发；RN07/RN08决定修复发布边界。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</x:row>
    <x:row r="4">
      <x:c r="A4" s="20" t="str">
        <x:v>event_id</x:v>
      </x:c>
      <x:c r="B4" s="20" t="str">
        <x:v>case_id</x:v>
      </x:c>
      <x:c r="C4" s="20" t="str">
        <x:v>序号</x:v>
      </x:c>
      <x:c r="D4" s="20" t="str">
        <x:v>日期/阶段</x:v>
      </x:c>
      <x:c r="E4" s="20" t="str">
        <x:v>TR域</x:v>
      </x:c>
      <x:c r="F4" s="20" t="str">
        <x:v>TF形式</x:v>
      </x:c>
      <x:c r="G4" s="20" t="str">
        <x:v>事件事实</x:v>
      </x:c>
      <x:c r="H4" s="20" t="str">
        <x:v>第一反应</x:v>
      </x:c>
      <x:c r="I4" s="20" t="str">
        <x:v>对方反馈</x:v>
      </x:c>
      <x:c r="J4" s="20" t="str">
        <x:v>反馈理解</x:v>
      </x:c>
      <x:c r="K4" s="20" t="str">
        <x:v>是否加码</x:v>
      </x:c>
      <x:c r="L4" s="20" t="str">
        <x:v>复发组</x:v>
      </x:c>
      <x:c r="M4" s="20" t="str">
        <x:v>LP循环</x:v>
      </x:c>
      <x:c r="N4" s="20" t="str">
        <x:v>RN01安全</x:v>
      </x:c>
      <x:c r="O4" s="20" t="str">
        <x:v>RN02事实</x:v>
      </x:c>
      <x:c r="P4" s="20" t="str">
        <x:v>RN03影响</x:v>
      </x:c>
      <x:c r="Q4" s="20" t="str">
        <x:v>RN04责任</x:v>
      </x:c>
      <x:c r="R4" s="20" t="str">
        <x:v>RN05边界</x:v>
      </x:c>
      <x:c r="S4" s="20" t="str">
        <x:v>RN06补救</x:v>
      </x:c>
      <x:c r="T4" s="20" t="str">
        <x:v>RN07反馈</x:v>
      </x:c>
      <x:c r="U4" s="20" t="str">
        <x:v>RN08持续</x:v>
      </x:c>
      <x:c r="V4" s="20" t="str">
        <x:v>RB盲点</x:v>
      </x:c>
      <x:c r="W4" s="20" t="str">
        <x:v>BF保护</x:v>
      </x:c>
      <x:c r="X4" s="20" t="str">
        <x:v>BL层级</x:v>
      </x:c>
      <x:c r="Y4" s="20" t="str">
        <x:v>E等级</x:v>
      </x:c>
      <x:c r="Z4" s="20" t="str">
        <x:v>安全状态</x:v>
      </x:c>
      <x:c r="AA4" s="20" t="str">
        <x:v>备注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  <x:c r="AA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  <x:c r="AA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  <x:c r="AA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  <x:c r="AA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  <x:c r="AA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  <x:c r="AA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  <x:c r="AA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  <x:c r="AA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  <x:c r="AA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  <x:c r="AA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  <x:c r="AA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  <x:c r="AA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  <x:c r="AA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  <x:c r="AA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  <x:c r="AA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  <x:c r="AA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  <x:c r="AA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  <x:c r="AA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  <x:c r="AA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  <x:c r="AA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  <x:c r="AA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  <x:c r="AA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  <x:c r="AA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  <x:c r="AA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  <x:c r="AA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  <x:c r="AA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  <x:c r="AA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  <x:c r="AA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  <x:c r="AA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  <x:c r="AA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  <x:c r="AA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  <x:c r="AA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  <x:c r="AA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  <x:c r="AA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  <x:c r="AA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  <x:c r="AA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  <x:c r="AA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  <x:c r="AA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  <x:c r="AA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  <x:c r="AA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  <x:c r="AA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  <x:c r="AA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  <x:c r="AA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  <x:c r="AA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  <x:c r="AA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  <x:c r="AA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  <x:c r="AA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  <x:c r="AA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  <x:c r="AA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  <x:c r="AA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  <x:c r="AA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  <x:c r="AA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  <x:c r="AA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  <x:c r="AA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  <x:c r="AA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  <x:c r="AA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  <x:c r="AA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  <x:c r="AA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  <x:c r="AA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  <x:c r="AA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  <x:c r="AA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  <x:c r="AA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  <x:c r="AA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  <x:c r="AA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  <x:c r="AA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  <x:c r="AA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  <x:c r="AA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  <x:c r="AA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  <x:c r="AA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  <x:c r="AA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  <x:c r="AA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  <x:c r="AA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  <x:c r="AA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  <x:c r="AA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  <x:c r="AA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  <x:c r="AA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  <x:c r="AA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  <x:c r="AA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  <x:c r="AA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  <x:c r="AA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  <x:c r="AA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  <x:c r="AA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  <x:c r="AA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  <x:c r="AA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  <x:c r="AA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  <x:c r="AA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  <x:c r="AA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  <x:c r="AA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  <x:c r="AA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  <x:c r="AA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  <x:c r="AA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  <x:c r="AA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  <x:c r="AA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  <x:c r="AA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  <x:c r="AA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  <x:c r="AA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  <x:c r="AA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  <x:c r="AA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  <x:c r="AA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  <x:c r="AA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  <x:c r="AA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  <x:c r="AA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  <x:c r="AA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  <x:c r="AA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  <x:c r="AA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  <x:c r="AA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  <x:c r="AA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  <x:c r="AA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  <x:c r="AA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  <x:c r="AA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  <x:c r="AA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  <x:c r="AA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  <x:c r="AA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  <x:c r="AA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  <x:c r="AA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  <x:c r="AA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  <x:c r="AA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  <x:c r="AA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  <x:c r="AA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  <x:c r="AA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  <x:c r="AA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  <x:c r="AA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  <x:c r="AA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  <x:c r="AA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  <x:c r="AA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  <x:c r="AA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  <x:c r="AA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  <x:c r="AA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  <x:c r="AA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  <x:c r="AA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  <x:c r="AA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  <x:c r="AA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  <x:c r="AA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  <x:c r="AA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  <x:c r="AA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  <x:c r="AA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  <x:c r="AA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  <x:c r="AA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  <x:c r="AA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  <x:c r="AA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  <x:c r="AA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  <x:c r="AA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  <x:c r="AA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  <x:c r="AA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  <x:c r="AA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  <x:c r="AA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  <x:c r="AA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  <x:c r="AA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  <x:c r="AA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  <x:c r="AA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  <x:c r="AA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  <x:c r="AA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  <x:c r="AA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  <x:c r="AA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  <x:c r="AA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  <x:c r="AA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  <x:c r="AA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  <x:c r="AA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  <x:c r="AA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  <x:c r="AA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  <x:c r="AA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  <x:c r="AA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  <x:c r="AA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  <x:c r="AA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  <x:c r="AA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  <x:c r="AA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  <x:c r="AA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  <x:c r="AA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  <x:c r="AA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  <x:c r="AA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  <x:c r="AA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  <x:c r="AA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  <x:c r="AA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  <x:c r="AA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  <x:c r="AA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  <x:c r="AA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  <x:c r="AA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  <x:c r="AA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  <x:c r="AA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  <x:c r="AA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  <x:c r="AA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  <x:c r="AA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  <x:c r="AA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  <x:c r="AA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  <x:c r="AA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  <x:c r="AA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  <x:c r="AA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  <x:c r="AA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  <x:c r="AA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  <x:c r="AA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  <x:c r="AA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  <x:c r="AA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28"/>
      <x:c r="X201" s="28"/>
      <x:c r="Y201" s="28"/>
      <x:c r="Z201" s="28"/>
      <x:c r="AA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28"/>
      <x:c r="X202" s="28"/>
      <x:c r="Y202" s="28"/>
      <x:c r="Z202" s="28"/>
      <x:c r="AA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28"/>
      <x:c r="Y203" s="28"/>
      <x:c r="Z203" s="28"/>
      <x:c r="AA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28"/>
      <x:c r="Y204" s="28"/>
      <x:c r="Z204" s="28"/>
      <x:c r="AA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28"/>
      <x:c r="Y205" s="28"/>
      <x:c r="Z205" s="28"/>
      <x:c r="AA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28"/>
      <x:c r="Y206" s="28"/>
      <x:c r="Z206" s="28"/>
      <x:c r="AA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28"/>
      <x:c r="Y207" s="28"/>
      <x:c r="Z207" s="28"/>
      <x:c r="AA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28"/>
      <x:c r="Y208" s="28"/>
      <x:c r="Z208" s="28"/>
      <x:c r="AA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28"/>
      <x:c r="Y209" s="28"/>
      <x:c r="Z209" s="28"/>
      <x:c r="AA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28"/>
      <x:c r="Y210" s="28"/>
      <x:c r="Z210" s="28"/>
      <x:c r="AA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28"/>
      <x:c r="Y211" s="28"/>
      <x:c r="Z211" s="28"/>
      <x:c r="AA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28"/>
      <x:c r="Y212" s="28"/>
      <x:c r="Z212" s="28"/>
      <x:c r="AA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28"/>
      <x:c r="Y213" s="28"/>
      <x:c r="Z213" s="28"/>
      <x:c r="AA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28"/>
      <x:c r="Y214" s="28"/>
      <x:c r="Z214" s="28"/>
      <x:c r="AA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28"/>
      <x:c r="Y215" s="28"/>
      <x:c r="Z215" s="28"/>
      <x:c r="AA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28"/>
      <x:c r="Y216" s="28"/>
      <x:c r="Z216" s="28"/>
      <x:c r="AA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28"/>
      <x:c r="Y217" s="28"/>
      <x:c r="Z217" s="28"/>
      <x:c r="AA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28"/>
      <x:c r="Y218" s="28"/>
      <x:c r="Z218" s="28"/>
      <x:c r="AA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28"/>
      <x:c r="Y219" s="28"/>
      <x:c r="Z219" s="28"/>
      <x:c r="AA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28"/>
      <x:c r="Y220" s="28"/>
      <x:c r="Z220" s="28"/>
      <x:c r="AA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28"/>
      <x:c r="Y221" s="28"/>
      <x:c r="Z221" s="28"/>
      <x:c r="AA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28"/>
      <x:c r="Y222" s="28"/>
      <x:c r="Z222" s="28"/>
      <x:c r="AA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28"/>
      <x:c r="Y223" s="28"/>
      <x:c r="Z223" s="28"/>
      <x:c r="AA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28"/>
      <x:c r="Y224" s="28"/>
      <x:c r="Z224" s="28"/>
      <x:c r="AA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28"/>
      <x:c r="Y225" s="28"/>
      <x:c r="Z225" s="28"/>
      <x:c r="AA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28"/>
      <x:c r="Y226" s="28"/>
      <x:c r="Z226" s="28"/>
      <x:c r="AA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28"/>
      <x:c r="Y227" s="28"/>
      <x:c r="Z227" s="28"/>
      <x:c r="AA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28"/>
      <x:c r="Y228" s="28"/>
      <x:c r="Z228" s="28"/>
      <x:c r="AA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28"/>
      <x:c r="Y229" s="28"/>
      <x:c r="Z229" s="28"/>
      <x:c r="AA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28"/>
      <x:c r="Y230" s="28"/>
      <x:c r="Z230" s="28"/>
      <x:c r="AA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28"/>
      <x:c r="Y231" s="28"/>
      <x:c r="Z231" s="28"/>
      <x:c r="AA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28"/>
      <x:c r="Y232" s="28"/>
      <x:c r="Z232" s="28"/>
      <x:c r="AA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28"/>
      <x:c r="Y233" s="28"/>
      <x:c r="Z233" s="28"/>
      <x:c r="AA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28"/>
      <x:c r="Y234" s="28"/>
      <x:c r="Z234" s="28"/>
      <x:c r="AA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28"/>
      <x:c r="Y235" s="28"/>
      <x:c r="Z235" s="28"/>
      <x:c r="AA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28"/>
      <x:c r="Y236" s="28"/>
      <x:c r="Z236" s="28"/>
      <x:c r="AA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28"/>
      <x:c r="Y237" s="28"/>
      <x:c r="Z237" s="28"/>
      <x:c r="AA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28"/>
      <x:c r="Y238" s="28"/>
      <x:c r="Z238" s="28"/>
      <x:c r="AA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28"/>
      <x:c r="Y239" s="28"/>
      <x:c r="Z239" s="28"/>
      <x:c r="AA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28"/>
      <x:c r="Y240" s="28"/>
      <x:c r="Z240" s="28"/>
      <x:c r="AA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28"/>
      <x:c r="Y241" s="28"/>
      <x:c r="Z241" s="28"/>
      <x:c r="AA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28"/>
      <x:c r="Y242" s="28"/>
      <x:c r="Z242" s="28"/>
      <x:c r="AA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28"/>
      <x:c r="Y243" s="28"/>
      <x:c r="Z243" s="28"/>
      <x:c r="AA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28"/>
      <x:c r="Y244" s="28"/>
      <x:c r="Z244" s="28"/>
      <x:c r="AA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28"/>
      <x:c r="Y245" s="28"/>
      <x:c r="Z245" s="28"/>
      <x:c r="AA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28"/>
      <x:c r="Y246" s="28"/>
      <x:c r="Z246" s="28"/>
      <x:c r="AA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28"/>
      <x:c r="Y247" s="28"/>
      <x:c r="Z247" s="28"/>
      <x:c r="AA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28"/>
      <x:c r="Y248" s="28"/>
      <x:c r="Z248" s="28"/>
      <x:c r="AA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28"/>
      <x:c r="Y249" s="28"/>
      <x:c r="Z249" s="28"/>
      <x:c r="AA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28"/>
      <x:c r="Y250" s="28"/>
      <x:c r="Z250" s="28"/>
      <x:c r="AA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28"/>
      <x:c r="Y251" s="28"/>
      <x:c r="Z251" s="28"/>
      <x:c r="AA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28"/>
      <x:c r="Y252" s="28"/>
      <x:c r="Z252" s="28"/>
      <x:c r="AA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28"/>
      <x:c r="Y253" s="28"/>
      <x:c r="Z253" s="28"/>
      <x:c r="AA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28"/>
      <x:c r="Y254" s="28"/>
      <x:c r="Z254" s="28"/>
      <x:c r="AA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28"/>
      <x:c r="Y255" s="28"/>
      <x:c r="Z255" s="28"/>
      <x:c r="AA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28"/>
      <x:c r="Y256" s="28"/>
      <x:c r="Z256" s="28"/>
      <x:c r="AA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28"/>
      <x:c r="Y257" s="28"/>
      <x:c r="Z257" s="28"/>
      <x:c r="AA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28"/>
      <x:c r="Y258" s="28"/>
      <x:c r="Z258" s="28"/>
      <x:c r="AA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28"/>
      <x:c r="Y259" s="28"/>
      <x:c r="Z259" s="28"/>
      <x:c r="AA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28"/>
      <x:c r="Y260" s="28"/>
      <x:c r="Z260" s="28"/>
      <x:c r="AA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28"/>
      <x:c r="Y261" s="28"/>
      <x:c r="Z261" s="28"/>
      <x:c r="AA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28"/>
      <x:c r="Y262" s="28"/>
      <x:c r="Z262" s="28"/>
      <x:c r="AA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28"/>
      <x:c r="Y263" s="28"/>
      <x:c r="Z263" s="28"/>
      <x:c r="AA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28"/>
      <x:c r="Y264" s="28"/>
      <x:c r="Z264" s="28"/>
      <x:c r="AA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28"/>
      <x:c r="Y265" s="28"/>
      <x:c r="Z265" s="28"/>
      <x:c r="AA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28"/>
      <x:c r="Y266" s="28"/>
      <x:c r="Z266" s="28"/>
      <x:c r="AA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28"/>
      <x:c r="Y267" s="28"/>
      <x:c r="Z267" s="28"/>
      <x:c r="AA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28"/>
      <x:c r="Y268" s="28"/>
      <x:c r="Z268" s="28"/>
      <x:c r="AA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28"/>
      <x:c r="Y269" s="28"/>
      <x:c r="Z269" s="28"/>
      <x:c r="AA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28"/>
      <x:c r="Y270" s="28"/>
      <x:c r="Z270" s="28"/>
      <x:c r="AA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28"/>
      <x:c r="Y271" s="28"/>
      <x:c r="Z271" s="28"/>
      <x:c r="AA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28"/>
      <x:c r="Y272" s="28"/>
      <x:c r="Z272" s="28"/>
      <x:c r="AA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28"/>
      <x:c r="Y273" s="28"/>
      <x:c r="Z273" s="28"/>
      <x:c r="AA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28"/>
      <x:c r="Y274" s="28"/>
      <x:c r="Z274" s="28"/>
      <x:c r="AA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28"/>
      <x:c r="Y275" s="28"/>
      <x:c r="Z275" s="28"/>
      <x:c r="AA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28"/>
      <x:c r="Y276" s="28"/>
      <x:c r="Z276" s="28"/>
      <x:c r="AA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28"/>
      <x:c r="Y277" s="28"/>
      <x:c r="Z277" s="28"/>
      <x:c r="AA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28"/>
      <x:c r="Y278" s="28"/>
      <x:c r="Z278" s="28"/>
      <x:c r="AA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28"/>
      <x:c r="Y279" s="28"/>
      <x:c r="Z279" s="28"/>
      <x:c r="AA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28"/>
      <x:c r="Y280" s="28"/>
      <x:c r="Z280" s="28"/>
      <x:c r="AA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28"/>
      <x:c r="Y281" s="28"/>
      <x:c r="Z281" s="28"/>
      <x:c r="AA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28"/>
      <x:c r="Y282" s="28"/>
      <x:c r="Z282" s="28"/>
      <x:c r="AA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28"/>
      <x:c r="Y283" s="28"/>
      <x:c r="Z283" s="28"/>
      <x:c r="AA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28"/>
      <x:c r="Y284" s="28"/>
      <x:c r="Z284" s="28"/>
      <x:c r="AA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28"/>
      <x:c r="X285" s="28"/>
      <x:c r="Y285" s="28"/>
      <x:c r="Z285" s="28"/>
      <x:c r="AA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28"/>
      <x:c r="X286" s="28"/>
      <x:c r="Y286" s="28"/>
      <x:c r="Z286" s="28"/>
      <x:c r="AA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28"/>
      <x:c r="X287" s="28"/>
      <x:c r="Y287" s="28"/>
      <x:c r="Z287" s="28"/>
      <x:c r="AA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28"/>
      <x:c r="X288" s="28"/>
      <x:c r="Y288" s="28"/>
      <x:c r="Z288" s="28"/>
      <x:c r="AA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28"/>
      <x:c r="X289" s="28"/>
      <x:c r="Y289" s="28"/>
      <x:c r="Z289" s="28"/>
      <x:c r="AA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28"/>
      <x:c r="X290" s="28"/>
      <x:c r="Y290" s="28"/>
      <x:c r="Z290" s="28"/>
      <x:c r="AA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28"/>
      <x:c r="X291" s="28"/>
      <x:c r="Y291" s="28"/>
      <x:c r="Z291" s="28"/>
      <x:c r="AA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28"/>
      <x:c r="X292" s="28"/>
      <x:c r="Y292" s="28"/>
      <x:c r="Z292" s="28"/>
      <x:c r="AA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28"/>
      <x:c r="X293" s="28"/>
      <x:c r="Y293" s="28"/>
      <x:c r="Z293" s="28"/>
      <x:c r="AA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28"/>
      <x:c r="X294" s="28"/>
      <x:c r="Y294" s="28"/>
      <x:c r="Z294" s="28"/>
      <x:c r="AA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28"/>
      <x:c r="X295" s="28"/>
      <x:c r="Y295" s="28"/>
      <x:c r="Z295" s="28"/>
      <x:c r="AA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28"/>
      <x:c r="X296" s="28"/>
      <x:c r="Y296" s="28"/>
      <x:c r="Z296" s="28"/>
      <x:c r="AA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28"/>
      <x:c r="X297" s="28"/>
      <x:c r="Y297" s="28"/>
      <x:c r="Z297" s="28"/>
      <x:c r="AA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28"/>
      <x:c r="X298" s="28"/>
      <x:c r="Y298" s="28"/>
      <x:c r="Z298" s="28"/>
      <x:c r="AA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28"/>
      <x:c r="X299" s="28"/>
      <x:c r="Y299" s="28"/>
      <x:c r="Z299" s="28"/>
      <x:c r="AA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28"/>
      <x:c r="X300" s="28"/>
      <x:c r="Y300" s="28"/>
      <x:c r="Z300" s="28"/>
      <x:c r="AA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28"/>
      <x:c r="X301" s="28"/>
      <x:c r="Y301" s="28"/>
      <x:c r="Z301" s="28"/>
      <x:c r="AA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28"/>
      <x:c r="X302" s="28"/>
      <x:c r="Y302" s="28"/>
      <x:c r="Z302" s="28"/>
      <x:c r="AA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28"/>
      <x:c r="X303" s="28"/>
      <x:c r="Y303" s="28"/>
      <x:c r="Z303" s="28"/>
      <x:c r="AA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28"/>
      <x:c r="X304" s="28"/>
      <x:c r="Y304" s="28"/>
      <x:c r="Z304" s="28"/>
      <x:c r="AA304" s="28"/>
    </x:row>
  </x:sheetData>
  <x:mergeCells>
    <x:mergeCell ref="A1:AA1"/>
    <x:mergeCell ref="A2:AA2"/>
  </x:mergeCells>
  <x:dataValidations count="17">
    <x:dataValidation type="list" sqref="E5:E304">
      <x:formula1>"TR01,TR02,TR03,TR04,TR05,TR06,TR07,TR08"</x:formula1>
    </x:dataValidation>
    <x:dataValidation type="list" sqref="F5:F304">
      <x:formula1>"TF01,TF02,TF03,TF04,TF05,TF06"</x:formula1>
    </x:dataValidation>
    <x:dataValidation type="list" sqref="K5:K304">
      <x:formula1>"是,否,部分,不确定"</x:formula1>
    </x:dataValidation>
    <x:dataValidation type="list" sqref="M5:M304">
      <x:formula1>"LP01,LP02,LP03,LP04,LP05,LP06,LP07,LP08,LP09,LP10,LP11,LP12,未定"</x:formula1>
    </x:dataValidation>
    <x:dataValidation type="list" sqref="N5:N304">
      <x:formula1>"未观察,未完成,部分完成,已完成,不适用"</x:formula1>
    </x:dataValidation>
    <x:dataValidation type="list" sqref="O5:O304">
      <x:formula1>"未观察,未完成,部分完成,已完成,不适用"</x:formula1>
    </x:dataValidation>
    <x:dataValidation type="list" sqref="P5:P304">
      <x:formula1>"未观察,未完成,部分完成,已完成,不适用"</x:formula1>
    </x:dataValidation>
    <x:dataValidation type="list" sqref="Q5:Q304">
      <x:formula1>"未观察,未完成,部分完成,已完成,不适用"</x:formula1>
    </x:dataValidation>
    <x:dataValidation type="list" sqref="R5:R304">
      <x:formula1>"未观察,未完成,部分完成,已完成,不适用"</x:formula1>
    </x:dataValidation>
    <x:dataValidation type="list" sqref="S5:S304">
      <x:formula1>"未观察,未完成,部分完成,已完成,不适用"</x:formula1>
    </x:dataValidation>
    <x:dataValidation type="list" sqref="T5:T304">
      <x:formula1>"未观察,未完成,部分完成,已完成,不适用"</x:formula1>
    </x:dataValidation>
    <x:dataValidation type="list" sqref="U5:U304">
      <x:formula1>"未观察,未完成,部分完成,已完成,不适用"</x:formula1>
    </x:dataValidation>
    <x:dataValidation type="list" sqref="V5:V304">
      <x:formula1>"RB01,RB02,RB03,RB04,RB05,RB06,RB07,RB08,RB09,RB10,RB11,RB12,未定"</x:formula1>
    </x:dataValidation>
    <x:dataValidation type="list" sqref="W5:W304">
      <x:formula1>"BF01,BF02,BF03,BF04,BF05,BF06,BF07,BF08,未定"</x:formula1>
    </x:dataValidation>
    <x:dataValidation type="list" sqref="X5:X304">
      <x:formula1>"BL0,BL1,BL2,BL3,BL4,BL5,BL6,BL7"</x:formula1>
    </x:dataValidation>
    <x:dataValidation type="list" sqref="Y5:Y304">
      <x:formula1>"E0,E1,E2,E3,E4"</x:formula1>
    </x:dataValidation>
    <x:dataValidation type="list" sqref="Z5:Z304">
      <x:formula1>"无明显安全问题,需进一步筛查,存在威胁/强迫,存在暴力风险,存在经济控制,存在跟踪监视,其他安全停止"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2" hidden="0" customWidth="1"/>
    <x:col min="5" max="5" width="34" hidden="0" customWidth="1"/>
    <x:col min="6" max="6" width="4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14" hidden="0" customWidth="1"/>
    <x:col min="14" max="14" width="38" hidden="0" customWidth="1"/>
    <x:col min="15" max="15" width="14" hidden="0" customWidth="1"/>
    <x:col min="16" max="16" width="38" hidden="0" customWidth="1"/>
  </x:cols>
  <x:sheetData>
    <x:row r="1">
      <x:c r="A1" s="4" t="str">
        <x:v>字段核验、规则命中与反例偏差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11" t="str">
        <x:v>所有“准确/不准确”都要落到字段、规则、现实证据与反例。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>
      <x:c r="A4" s="20" t="str">
        <x:v>eval_id</x:v>
      </x:c>
      <x:c r="B4" s="20" t="str">
        <x:v>case_id</x:v>
      </x:c>
      <x:c r="C4" s="20" t="str">
        <x:v>event_id</x:v>
      </x:c>
      <x:c r="D4" s="20" t="str">
        <x:v>字段</x:v>
      </x:c>
      <x:c r="E4" s="20" t="str">
        <x:v>预测值</x:v>
      </x:c>
      <x:c r="F4" s="20" t="str">
        <x:v>现实值</x:v>
      </x:c>
      <x:c r="G4" s="20" t="str">
        <x:v>匹配等级</x:v>
      </x:c>
      <x:c r="H4" s="20" t="str">
        <x:v>匹配分</x:v>
      </x:c>
      <x:c r="I4" s="20" t="str">
        <x:v>假阳性</x:v>
      </x:c>
      <x:c r="J4" s="20" t="str">
        <x:v>假阴性</x:v>
      </x:c>
      <x:c r="K4" s="20" t="str">
        <x:v>现实E</x:v>
      </x:c>
      <x:c r="L4" s="20" t="str">
        <x:v>偏差原因</x:v>
      </x:c>
      <x:c r="M4" s="20" t="str">
        <x:v>复核者</x:v>
      </x:c>
      <x:c r="N4" s="20" t="str">
        <x:v>备注</x:v>
      </x:c>
    </x:row>
    <x:row r="5">
      <x:c r="A5" s="28"/>
      <x:c r="B5" s="28"/>
      <x:c r="C5" s="28"/>
      <x:c r="D5" s="28"/>
      <x:c r="E5" s="28"/>
      <x:c r="F5" s="28"/>
      <x:c r="G5" s="28"/>
      <x:c r="H5" s="28" t="str">
        <x:f>IF(G5="","",IF(G5="完全吻合",3,IF(G5="基本吻合",2,IF(G5="部分吻合",1,IF(G5="明显不符",0,"")))))</x:f>
      </x:c>
      <x:c r="I5" s="28"/>
      <x:c r="J5" s="28"/>
      <x:c r="K5" s="28"/>
      <x:c r="L5" s="28"/>
      <x:c r="M5" s="28"/>
      <x:c r="N5" s="28"/>
    </x:row>
    <x:row r="6">
      <x:c r="A6" s="28"/>
      <x:c r="B6" s="28"/>
      <x:c r="C6" s="28"/>
      <x:c r="D6" s="28"/>
      <x:c r="E6" s="28"/>
      <x:c r="F6" s="28"/>
      <x:c r="G6" s="28"/>
      <x:c r="H6" s="28" t="str">
        <x:f>IF(G6="","",IF(G6="完全吻合",3,IF(G6="基本吻合",2,IF(G6="部分吻合",1,IF(G6="明显不符",0,"")))))</x:f>
      </x:c>
      <x:c r="I6" s="28"/>
      <x:c r="J6" s="28"/>
      <x:c r="K6" s="28"/>
      <x:c r="L6" s="28"/>
      <x:c r="M6" s="28"/>
      <x:c r="N6" s="28"/>
    </x:row>
    <x:row r="7">
      <x:c r="A7" s="28"/>
      <x:c r="B7" s="28"/>
      <x:c r="C7" s="28"/>
      <x:c r="D7" s="28"/>
      <x:c r="E7" s="28"/>
      <x:c r="F7" s="28"/>
      <x:c r="G7" s="28"/>
      <x:c r="H7" s="28" t="str">
        <x:f>IF(G7="","",IF(G7="完全吻合",3,IF(G7="基本吻合",2,IF(G7="部分吻合",1,IF(G7="明显不符",0,"")))))</x:f>
      </x:c>
      <x:c r="I7" s="28"/>
      <x:c r="J7" s="28"/>
      <x:c r="K7" s="28"/>
      <x:c r="L7" s="28"/>
      <x:c r="M7" s="28"/>
      <x:c r="N7" s="28"/>
    </x:row>
    <x:row r="8">
      <x:c r="A8" s="28"/>
      <x:c r="B8" s="28"/>
      <x:c r="C8" s="28"/>
      <x:c r="D8" s="28"/>
      <x:c r="E8" s="28"/>
      <x:c r="F8" s="28"/>
      <x:c r="G8" s="28"/>
      <x:c r="H8" s="28" t="str">
        <x:f>IF(G8="","",IF(G8="完全吻合",3,IF(G8="基本吻合",2,IF(G8="部分吻合",1,IF(G8="明显不符",0,"")))))</x:f>
      </x:c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/>
      <x:c r="F9" s="28"/>
      <x:c r="G9" s="28"/>
      <x:c r="H9" s="28" t="str">
        <x:f>IF(G9="","",IF(G9="完全吻合",3,IF(G9="基本吻合",2,IF(G9="部分吻合",1,IF(G9="明显不符",0,"")))))</x:f>
      </x:c>
      <x:c r="I9" s="28"/>
      <x:c r="J9" s="28"/>
      <x:c r="K9" s="28"/>
      <x:c r="L9" s="28"/>
      <x:c r="M9" s="28"/>
      <x:c r="N9" s="28"/>
    </x:row>
    <x:row r="10">
      <x:c r="A10" s="28"/>
      <x:c r="B10" s="28"/>
      <x:c r="C10" s="28"/>
      <x:c r="D10" s="28"/>
      <x:c r="E10" s="28"/>
      <x:c r="F10" s="28"/>
      <x:c r="G10" s="28"/>
      <x:c r="H10" s="28" t="str">
        <x:f>IF(G10="","",IF(G10="完全吻合",3,IF(G10="基本吻合",2,IF(G10="部分吻合",1,IF(G10="明显不符",0,"")))))</x:f>
      </x:c>
      <x:c r="I10" s="28"/>
      <x:c r="J10" s="28"/>
      <x:c r="K10" s="28"/>
      <x:c r="L10" s="28"/>
      <x:c r="M10" s="28"/>
      <x:c r="N10" s="28"/>
    </x:row>
    <x:row r="11">
      <x:c r="A11" s="28"/>
      <x:c r="B11" s="28"/>
      <x:c r="C11" s="28"/>
      <x:c r="D11" s="28"/>
      <x:c r="E11" s="28"/>
      <x:c r="F11" s="28"/>
      <x:c r="G11" s="28"/>
      <x:c r="H11" s="28" t="str">
        <x:f>IF(G11="","",IF(G11="完全吻合",3,IF(G11="基本吻合",2,IF(G11="部分吻合",1,IF(G11="明显不符",0,"")))))</x:f>
      </x:c>
      <x:c r="I11" s="28"/>
      <x:c r="J11" s="28"/>
      <x:c r="K11" s="28"/>
      <x:c r="L11" s="28"/>
      <x:c r="M11" s="28"/>
      <x:c r="N11" s="28"/>
    </x:row>
    <x:row r="12">
      <x:c r="A12" s="28"/>
      <x:c r="B12" s="28"/>
      <x:c r="C12" s="28"/>
      <x:c r="D12" s="28"/>
      <x:c r="E12" s="28"/>
      <x:c r="F12" s="28"/>
      <x:c r="G12" s="28"/>
      <x:c r="H12" s="28" t="str">
        <x:f>IF(G12="","",IF(G12="完全吻合",3,IF(G12="基本吻合",2,IF(G12="部分吻合",1,IF(G12="明显不符",0,"")))))</x:f>
      </x:c>
      <x:c r="I12" s="28"/>
      <x:c r="J12" s="28"/>
      <x:c r="K12" s="28"/>
      <x:c r="L12" s="28"/>
      <x:c r="M12" s="28"/>
      <x:c r="N12" s="28"/>
    </x:row>
    <x:row r="13">
      <x:c r="A13" s="28"/>
      <x:c r="B13" s="28"/>
      <x:c r="C13" s="28"/>
      <x:c r="D13" s="28"/>
      <x:c r="E13" s="28"/>
      <x:c r="F13" s="28"/>
      <x:c r="G13" s="28"/>
      <x:c r="H13" s="28" t="str">
        <x:f>IF(G13="","",IF(G13="完全吻合",3,IF(G13="基本吻合",2,IF(G13="部分吻合",1,IF(G13="明显不符",0,"")))))</x:f>
      </x:c>
      <x:c r="I13" s="28"/>
      <x:c r="J13" s="28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 t="str">
        <x:f>IF(G14="","",IF(G14="完全吻合",3,IF(G14="基本吻合",2,IF(G14="部分吻合",1,IF(G14="明显不符",0,"")))))</x:f>
      </x:c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 t="str">
        <x:f>IF(G15="","",IF(G15="完全吻合",3,IF(G15="基本吻合",2,IF(G15="部分吻合",1,IF(G15="明显不符",0,"")))))</x:f>
      </x:c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 t="str">
        <x:f>IF(G16="","",IF(G16="完全吻合",3,IF(G16="基本吻合",2,IF(G16="部分吻合",1,IF(G16="明显不符",0,"")))))</x:f>
      </x:c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 t="str">
        <x:f>IF(G17="","",IF(G17="完全吻合",3,IF(G17="基本吻合",2,IF(G17="部分吻合",1,IF(G17="明显不符",0,"")))))</x:f>
      </x:c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 t="str">
        <x:f>IF(G18="","",IF(G18="完全吻合",3,IF(G18="基本吻合",2,IF(G18="部分吻合",1,IF(G18="明显不符",0,"")))))</x:f>
      </x:c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 t="str">
        <x:f>IF(G19="","",IF(G19="完全吻合",3,IF(G19="基本吻合",2,IF(G19="部分吻合",1,IF(G19="明显不符",0,"")))))</x:f>
      </x:c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 t="str">
        <x:f>IF(G20="","",IF(G20="完全吻合",3,IF(G20="基本吻合",2,IF(G20="部分吻合",1,IF(G20="明显不符",0,"")))))</x:f>
      </x:c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 t="str">
        <x:f>IF(G21="","",IF(G21="完全吻合",3,IF(G21="基本吻合",2,IF(G21="部分吻合",1,IF(G21="明显不符",0,"")))))</x:f>
      </x:c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 t="str">
        <x:f>IF(G22="","",IF(G22="完全吻合",3,IF(G22="基本吻合",2,IF(G22="部分吻合",1,IF(G22="明显不符",0,"")))))</x:f>
      </x:c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 t="str">
        <x:f>IF(G23="","",IF(G23="完全吻合",3,IF(G23="基本吻合",2,IF(G23="部分吻合",1,IF(G23="明显不符",0,"")))))</x:f>
      </x:c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 t="str">
        <x:f>IF(G24="","",IF(G24="完全吻合",3,IF(G24="基本吻合",2,IF(G24="部分吻合",1,IF(G24="明显不符",0,"")))))</x:f>
      </x:c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 t="str">
        <x:f>IF(G25="","",IF(G25="完全吻合",3,IF(G25="基本吻合",2,IF(G25="部分吻合",1,IF(G25="明显不符",0,"")))))</x:f>
      </x:c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 t="str">
        <x:f>IF(G26="","",IF(G26="完全吻合",3,IF(G26="基本吻合",2,IF(G26="部分吻合",1,IF(G26="明显不符",0,"")))))</x:f>
      </x:c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 t="str">
        <x:f>IF(G27="","",IF(G27="完全吻合",3,IF(G27="基本吻合",2,IF(G27="部分吻合",1,IF(G27="明显不符",0,"")))))</x:f>
      </x:c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 t="str">
        <x:f>IF(G28="","",IF(G28="完全吻合",3,IF(G28="基本吻合",2,IF(G28="部分吻合",1,IF(G28="明显不符",0,"")))))</x:f>
      </x:c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 t="str">
        <x:f>IF(G29="","",IF(G29="完全吻合",3,IF(G29="基本吻合",2,IF(G29="部分吻合",1,IF(G29="明显不符",0,"")))))</x:f>
      </x:c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 t="str">
        <x:f>IF(G30="","",IF(G30="完全吻合",3,IF(G30="基本吻合",2,IF(G30="部分吻合",1,IF(G30="明显不符",0,"")))))</x:f>
      </x:c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 t="str">
        <x:f>IF(G31="","",IF(G31="完全吻合",3,IF(G31="基本吻合",2,IF(G31="部分吻合",1,IF(G31="明显不符",0,"")))))</x:f>
      </x:c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 t="str">
        <x:f>IF(G32="","",IF(G32="完全吻合",3,IF(G32="基本吻合",2,IF(G32="部分吻合",1,IF(G32="明显不符",0,"")))))</x:f>
      </x:c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 t="str">
        <x:f>IF(G33="","",IF(G33="完全吻合",3,IF(G33="基本吻合",2,IF(G33="部分吻合",1,IF(G33="明显不符",0,"")))))</x:f>
      </x:c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 t="str">
        <x:f>IF(G34="","",IF(G34="完全吻合",3,IF(G34="基本吻合",2,IF(G34="部分吻合",1,IF(G34="明显不符",0,"")))))</x:f>
      </x:c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 t="str">
        <x:f>IF(G35="","",IF(G35="完全吻合",3,IF(G35="基本吻合",2,IF(G35="部分吻合",1,IF(G35="明显不符",0,"")))))</x:f>
      </x:c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 t="str">
        <x:f>IF(G36="","",IF(G36="完全吻合",3,IF(G36="基本吻合",2,IF(G36="部分吻合",1,IF(G36="明显不符",0,"")))))</x:f>
      </x:c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 t="str">
        <x:f>IF(G37="","",IF(G37="完全吻合",3,IF(G37="基本吻合",2,IF(G37="部分吻合",1,IF(G37="明显不符",0,"")))))</x:f>
      </x:c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 t="str">
        <x:f>IF(G38="","",IF(G38="完全吻合",3,IF(G38="基本吻合",2,IF(G38="部分吻合",1,IF(G38="明显不符",0,"")))))</x:f>
      </x:c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 t="str">
        <x:f>IF(G39="","",IF(G39="完全吻合",3,IF(G39="基本吻合",2,IF(G39="部分吻合",1,IF(G39="明显不符",0,"")))))</x:f>
      </x:c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 t="str">
        <x:f>IF(G40="","",IF(G40="完全吻合",3,IF(G40="基本吻合",2,IF(G40="部分吻合",1,IF(G40="明显不符",0,"")))))</x:f>
      </x:c>
      <x:c r="I40" s="28"/>
      <x:c r="J40" s="28"/>
      <x:c r="K40" s="28"/>
      <x:c r="L40" s="28"/>
      <x:c r="M40" s="28"/>
      <x:c r="N40" s="28"/>
    </x:row>
    <x:row r="41">
      <x:c r="A41" s="28"/>
      <x:c r="B41" s="28"/>
      <x:c r="C41" s="28"/>
      <x:c r="D41" s="28"/>
      <x:c r="E41" s="28"/>
      <x:c r="F41" s="28"/>
      <x:c r="G41" s="28"/>
      <x:c r="H41" s="28" t="str">
        <x:f>IF(G41="","",IF(G41="完全吻合",3,IF(G41="基本吻合",2,IF(G41="部分吻合",1,IF(G41="明显不符",0,"")))))</x:f>
      </x:c>
      <x:c r="I41" s="28"/>
      <x:c r="J41" s="28"/>
      <x:c r="K41" s="28"/>
      <x:c r="L41" s="28"/>
      <x:c r="M41" s="28"/>
      <x:c r="N41" s="28"/>
    </x:row>
    <x:row r="42">
      <x:c r="A42" s="28"/>
      <x:c r="B42" s="28"/>
      <x:c r="C42" s="28"/>
      <x:c r="D42" s="28"/>
      <x:c r="E42" s="28"/>
      <x:c r="F42" s="28"/>
      <x:c r="G42" s="28"/>
      <x:c r="H42" s="28" t="str">
        <x:f>IF(G42="","",IF(G42="完全吻合",3,IF(G42="基本吻合",2,IF(G42="部分吻合",1,IF(G42="明显不符",0,"")))))</x:f>
      </x:c>
      <x:c r="I42" s="28"/>
      <x:c r="J42" s="28"/>
      <x:c r="K42" s="28"/>
      <x:c r="L42" s="28"/>
      <x:c r="M42" s="28"/>
      <x:c r="N42" s="28"/>
    </x:row>
    <x:row r="43">
      <x:c r="A43" s="28"/>
      <x:c r="B43" s="28"/>
      <x:c r="C43" s="28"/>
      <x:c r="D43" s="28"/>
      <x:c r="E43" s="28"/>
      <x:c r="F43" s="28"/>
      <x:c r="G43" s="28"/>
      <x:c r="H43" s="28" t="str">
        <x:f>IF(G43="","",IF(G43="完全吻合",3,IF(G43="基本吻合",2,IF(G43="部分吻合",1,IF(G43="明显不符",0,"")))))</x:f>
      </x:c>
      <x:c r="I43" s="28"/>
      <x:c r="J43" s="28"/>
      <x:c r="K43" s="28"/>
      <x:c r="L43" s="28"/>
      <x:c r="M43" s="28"/>
      <x:c r="N43" s="28"/>
    </x:row>
    <x:row r="44">
      <x:c r="A44" s="28"/>
      <x:c r="B44" s="28"/>
      <x:c r="C44" s="28"/>
      <x:c r="D44" s="28"/>
      <x:c r="E44" s="28"/>
      <x:c r="F44" s="28"/>
      <x:c r="G44" s="28"/>
      <x:c r="H44" s="28" t="str">
        <x:f>IF(G44="","",IF(G44="完全吻合",3,IF(G44="基本吻合",2,IF(G44="部分吻合",1,IF(G44="明显不符",0,"")))))</x:f>
      </x:c>
      <x:c r="I44" s="28"/>
      <x:c r="J44" s="28"/>
      <x:c r="K44" s="28"/>
      <x:c r="L44" s="28"/>
      <x:c r="M44" s="28"/>
      <x:c r="N44" s="28"/>
    </x:row>
    <x:row r="45">
      <x:c r="A45" s="28"/>
      <x:c r="B45" s="28"/>
      <x:c r="C45" s="28"/>
      <x:c r="D45" s="28"/>
      <x:c r="E45" s="28"/>
      <x:c r="F45" s="28"/>
      <x:c r="G45" s="28"/>
      <x:c r="H45" s="28" t="str">
        <x:f>IF(G45="","",IF(G45="完全吻合",3,IF(G45="基本吻合",2,IF(G45="部分吻合",1,IF(G45="明显不符",0,"")))))</x:f>
      </x:c>
      <x:c r="I45" s="28"/>
      <x:c r="J45" s="28"/>
      <x:c r="K45" s="28"/>
      <x:c r="L45" s="28"/>
      <x:c r="M45" s="28"/>
      <x:c r="N45" s="28"/>
    </x:row>
    <x:row r="46">
      <x:c r="A46" s="28"/>
      <x:c r="B46" s="28"/>
      <x:c r="C46" s="28"/>
      <x:c r="D46" s="28"/>
      <x:c r="E46" s="28"/>
      <x:c r="F46" s="28"/>
      <x:c r="G46" s="28"/>
      <x:c r="H46" s="28" t="str">
        <x:f>IF(G46="","",IF(G46="完全吻合",3,IF(G46="基本吻合",2,IF(G46="部分吻合",1,IF(G46="明显不符",0,"")))))</x:f>
      </x:c>
      <x:c r="I46" s="28"/>
      <x:c r="J46" s="28"/>
      <x:c r="K46" s="28"/>
      <x:c r="L46" s="28"/>
      <x:c r="M46" s="28"/>
      <x:c r="N46" s="28"/>
    </x:row>
    <x:row r="47">
      <x:c r="A47" s="28"/>
      <x:c r="B47" s="28"/>
      <x:c r="C47" s="28"/>
      <x:c r="D47" s="28"/>
      <x:c r="E47" s="28"/>
      <x:c r="F47" s="28"/>
      <x:c r="G47" s="28"/>
      <x:c r="H47" s="28" t="str">
        <x:f>IF(G47="","",IF(G47="完全吻合",3,IF(G47="基本吻合",2,IF(G47="部分吻合",1,IF(G47="明显不符",0,"")))))</x:f>
      </x:c>
      <x:c r="I47" s="28"/>
      <x:c r="J47" s="28"/>
      <x:c r="K47" s="28"/>
      <x:c r="L47" s="28"/>
      <x:c r="M47" s="28"/>
      <x:c r="N47" s="28"/>
    </x:row>
    <x:row r="48">
      <x:c r="A48" s="28"/>
      <x:c r="B48" s="28"/>
      <x:c r="C48" s="28"/>
      <x:c r="D48" s="28"/>
      <x:c r="E48" s="28"/>
      <x:c r="F48" s="28"/>
      <x:c r="G48" s="28"/>
      <x:c r="H48" s="28" t="str">
        <x:f>IF(G48="","",IF(G48="完全吻合",3,IF(G48="基本吻合",2,IF(G48="部分吻合",1,IF(G48="明显不符",0,"")))))</x:f>
      </x:c>
      <x:c r="I48" s="28"/>
      <x:c r="J48" s="28"/>
      <x:c r="K48" s="28"/>
      <x:c r="L48" s="28"/>
      <x:c r="M48" s="28"/>
      <x:c r="N48" s="28"/>
    </x:row>
    <x:row r="49">
      <x:c r="A49" s="28"/>
      <x:c r="B49" s="28"/>
      <x:c r="C49" s="28"/>
      <x:c r="D49" s="28"/>
      <x:c r="E49" s="28"/>
      <x:c r="F49" s="28"/>
      <x:c r="G49" s="28"/>
      <x:c r="H49" s="28" t="str">
        <x:f>IF(G49="","",IF(G49="完全吻合",3,IF(G49="基本吻合",2,IF(G49="部分吻合",1,IF(G49="明显不符",0,"")))))</x:f>
      </x:c>
      <x:c r="I49" s="28"/>
      <x:c r="J49" s="28"/>
      <x:c r="K49" s="28"/>
      <x:c r="L49" s="28"/>
      <x:c r="M49" s="28"/>
      <x:c r="N49" s="28"/>
    </x:row>
    <x:row r="50">
      <x:c r="A50" s="28"/>
      <x:c r="B50" s="28"/>
      <x:c r="C50" s="28"/>
      <x:c r="D50" s="28"/>
      <x:c r="E50" s="28"/>
      <x:c r="F50" s="28"/>
      <x:c r="G50" s="28"/>
      <x:c r="H50" s="28" t="str">
        <x:f>IF(G50="","",IF(G50="完全吻合",3,IF(G50="基本吻合",2,IF(G50="部分吻合",1,IF(G50="明显不符",0,"")))))</x:f>
      </x:c>
      <x:c r="I50" s="28"/>
      <x:c r="J50" s="28"/>
      <x:c r="K50" s="28"/>
      <x:c r="L50" s="28"/>
      <x:c r="M50" s="28"/>
      <x:c r="N50" s="28"/>
    </x:row>
    <x:row r="51">
      <x:c r="A51" s="28"/>
      <x:c r="B51" s="28"/>
      <x:c r="C51" s="28"/>
      <x:c r="D51" s="28"/>
      <x:c r="E51" s="28"/>
      <x:c r="F51" s="28"/>
      <x:c r="G51" s="28"/>
      <x:c r="H51" s="28" t="str">
        <x:f>IF(G51="","",IF(G51="完全吻合",3,IF(G51="基本吻合",2,IF(G51="部分吻合",1,IF(G51="明显不符",0,"")))))</x:f>
      </x:c>
      <x:c r="I51" s="28"/>
      <x:c r="J51" s="28"/>
      <x:c r="K51" s="28"/>
      <x:c r="L51" s="28"/>
      <x:c r="M51" s="28"/>
      <x:c r="N51" s="28"/>
    </x:row>
    <x:row r="52">
      <x:c r="A52" s="28"/>
      <x:c r="B52" s="28"/>
      <x:c r="C52" s="28"/>
      <x:c r="D52" s="28"/>
      <x:c r="E52" s="28"/>
      <x:c r="F52" s="28"/>
      <x:c r="G52" s="28"/>
      <x:c r="H52" s="28" t="str">
        <x:f>IF(G52="","",IF(G52="完全吻合",3,IF(G52="基本吻合",2,IF(G52="部分吻合",1,IF(G52="明显不符",0,"")))))</x:f>
      </x:c>
      <x:c r="I52" s="28"/>
      <x:c r="J52" s="28"/>
      <x:c r="K52" s="28"/>
      <x:c r="L52" s="28"/>
      <x:c r="M52" s="28"/>
      <x:c r="N52" s="28"/>
    </x:row>
    <x:row r="53">
      <x:c r="A53" s="28"/>
      <x:c r="B53" s="28"/>
      <x:c r="C53" s="28"/>
      <x:c r="D53" s="28"/>
      <x:c r="E53" s="28"/>
      <x:c r="F53" s="28"/>
      <x:c r="G53" s="28"/>
      <x:c r="H53" s="28" t="str">
        <x:f>IF(G53="","",IF(G53="完全吻合",3,IF(G53="基本吻合",2,IF(G53="部分吻合",1,IF(G53="明显不符",0,"")))))</x:f>
      </x:c>
      <x:c r="I53" s="28"/>
      <x:c r="J53" s="28"/>
      <x:c r="K53" s="28"/>
      <x:c r="L53" s="28"/>
      <x:c r="M53" s="28"/>
      <x:c r="N53" s="28"/>
    </x:row>
    <x:row r="54">
      <x:c r="A54" s="28"/>
      <x:c r="B54" s="28"/>
      <x:c r="C54" s="28"/>
      <x:c r="D54" s="28"/>
      <x:c r="E54" s="28"/>
      <x:c r="F54" s="28"/>
      <x:c r="G54" s="28"/>
      <x:c r="H54" s="28" t="str">
        <x:f>IF(G54="","",IF(G54="完全吻合",3,IF(G54="基本吻合",2,IF(G54="部分吻合",1,IF(G54="明显不符",0,"")))))</x:f>
      </x:c>
      <x:c r="I54" s="28"/>
      <x:c r="J54" s="28"/>
      <x:c r="K54" s="28"/>
      <x:c r="L54" s="28"/>
      <x:c r="M54" s="28"/>
      <x:c r="N54" s="28"/>
    </x:row>
    <x:row r="55">
      <x:c r="A55" s="28"/>
      <x:c r="B55" s="28"/>
      <x:c r="C55" s="28"/>
      <x:c r="D55" s="28"/>
      <x:c r="E55" s="28"/>
      <x:c r="F55" s="28"/>
      <x:c r="G55" s="28"/>
      <x:c r="H55" s="28" t="str">
        <x:f>IF(G55="","",IF(G55="完全吻合",3,IF(G55="基本吻合",2,IF(G55="部分吻合",1,IF(G55="明显不符",0,"")))))</x:f>
      </x:c>
      <x:c r="I55" s="28"/>
      <x:c r="J55" s="28"/>
      <x:c r="K55" s="28"/>
      <x:c r="L55" s="28"/>
      <x:c r="M55" s="28"/>
      <x:c r="N55" s="28"/>
    </x:row>
    <x:row r="56">
      <x:c r="A56" s="28"/>
      <x:c r="B56" s="28"/>
      <x:c r="C56" s="28"/>
      <x:c r="D56" s="28"/>
      <x:c r="E56" s="28"/>
      <x:c r="F56" s="28"/>
      <x:c r="G56" s="28"/>
      <x:c r="H56" s="28" t="str">
        <x:f>IF(G56="","",IF(G56="完全吻合",3,IF(G56="基本吻合",2,IF(G56="部分吻合",1,IF(G56="明显不符",0,"")))))</x:f>
      </x:c>
      <x:c r="I56" s="28"/>
      <x:c r="J56" s="28"/>
      <x:c r="K56" s="28"/>
      <x:c r="L56" s="28"/>
      <x:c r="M56" s="28"/>
      <x:c r="N56" s="28"/>
    </x:row>
    <x:row r="57">
      <x:c r="A57" s="28"/>
      <x:c r="B57" s="28"/>
      <x:c r="C57" s="28"/>
      <x:c r="D57" s="28"/>
      <x:c r="E57" s="28"/>
      <x:c r="F57" s="28"/>
      <x:c r="G57" s="28"/>
      <x:c r="H57" s="28" t="str">
        <x:f>IF(G57="","",IF(G57="完全吻合",3,IF(G57="基本吻合",2,IF(G57="部分吻合",1,IF(G57="明显不符",0,"")))))</x:f>
      </x:c>
      <x:c r="I57" s="28"/>
      <x:c r="J57" s="28"/>
      <x:c r="K57" s="28"/>
      <x:c r="L57" s="28"/>
      <x:c r="M57" s="28"/>
      <x:c r="N57" s="28"/>
    </x:row>
    <x:row r="58">
      <x:c r="A58" s="28"/>
      <x:c r="B58" s="28"/>
      <x:c r="C58" s="28"/>
      <x:c r="D58" s="28"/>
      <x:c r="E58" s="28"/>
      <x:c r="F58" s="28"/>
      <x:c r="G58" s="28"/>
      <x:c r="H58" s="28" t="str">
        <x:f>IF(G58="","",IF(G58="完全吻合",3,IF(G58="基本吻合",2,IF(G58="部分吻合",1,IF(G58="明显不符",0,"")))))</x:f>
      </x:c>
      <x:c r="I58" s="28"/>
      <x:c r="J58" s="28"/>
      <x:c r="K58" s="28"/>
      <x:c r="L58" s="28"/>
      <x:c r="M58" s="28"/>
      <x:c r="N58" s="28"/>
    </x:row>
    <x:row r="59">
      <x:c r="A59" s="28"/>
      <x:c r="B59" s="28"/>
      <x:c r="C59" s="28"/>
      <x:c r="D59" s="28"/>
      <x:c r="E59" s="28"/>
      <x:c r="F59" s="28"/>
      <x:c r="G59" s="28"/>
      <x:c r="H59" s="28" t="str">
        <x:f>IF(G59="","",IF(G59="完全吻合",3,IF(G59="基本吻合",2,IF(G59="部分吻合",1,IF(G59="明显不符",0,"")))))</x:f>
      </x:c>
      <x:c r="I59" s="28"/>
      <x:c r="J59" s="28"/>
      <x:c r="K59" s="28"/>
      <x:c r="L59" s="28"/>
      <x:c r="M59" s="28"/>
      <x:c r="N59" s="28"/>
    </x:row>
    <x:row r="60">
      <x:c r="A60" s="28"/>
      <x:c r="B60" s="28"/>
      <x:c r="C60" s="28"/>
      <x:c r="D60" s="28"/>
      <x:c r="E60" s="28"/>
      <x:c r="F60" s="28"/>
      <x:c r="G60" s="28"/>
      <x:c r="H60" s="28" t="str">
        <x:f>IF(G60="","",IF(G60="完全吻合",3,IF(G60="基本吻合",2,IF(G60="部分吻合",1,IF(G60="明显不符",0,"")))))</x:f>
      </x:c>
      <x:c r="I60" s="28"/>
      <x:c r="J60" s="28"/>
      <x:c r="K60" s="28"/>
      <x:c r="L60" s="28"/>
      <x:c r="M60" s="28"/>
      <x:c r="N60" s="28"/>
    </x:row>
    <x:row r="61">
      <x:c r="A61" s="28"/>
      <x:c r="B61" s="28"/>
      <x:c r="C61" s="28"/>
      <x:c r="D61" s="28"/>
      <x:c r="E61" s="28"/>
      <x:c r="F61" s="28"/>
      <x:c r="G61" s="28"/>
      <x:c r="H61" s="28" t="str">
        <x:f>IF(G61="","",IF(G61="完全吻合",3,IF(G61="基本吻合",2,IF(G61="部分吻合",1,IF(G61="明显不符",0,"")))))</x:f>
      </x:c>
      <x:c r="I61" s="28"/>
      <x:c r="J61" s="28"/>
      <x:c r="K61" s="28"/>
      <x:c r="L61" s="28"/>
      <x:c r="M61" s="28"/>
      <x:c r="N61" s="28"/>
    </x:row>
    <x:row r="62">
      <x:c r="A62" s="28"/>
      <x:c r="B62" s="28"/>
      <x:c r="C62" s="28"/>
      <x:c r="D62" s="28"/>
      <x:c r="E62" s="28"/>
      <x:c r="F62" s="28"/>
      <x:c r="G62" s="28"/>
      <x:c r="H62" s="28" t="str">
        <x:f>IF(G62="","",IF(G62="完全吻合",3,IF(G62="基本吻合",2,IF(G62="部分吻合",1,IF(G62="明显不符",0,"")))))</x:f>
      </x:c>
      <x:c r="I62" s="28"/>
      <x:c r="J62" s="28"/>
      <x:c r="K62" s="28"/>
      <x:c r="L62" s="28"/>
      <x:c r="M62" s="28"/>
      <x:c r="N62" s="28"/>
    </x:row>
    <x:row r="63">
      <x:c r="A63" s="28"/>
      <x:c r="B63" s="28"/>
      <x:c r="C63" s="28"/>
      <x:c r="D63" s="28"/>
      <x:c r="E63" s="28"/>
      <x:c r="F63" s="28"/>
      <x:c r="G63" s="28"/>
      <x:c r="H63" s="28" t="str">
        <x:f>IF(G63="","",IF(G63="完全吻合",3,IF(G63="基本吻合",2,IF(G63="部分吻合",1,IF(G63="明显不符",0,"")))))</x:f>
      </x:c>
      <x:c r="I63" s="28"/>
      <x:c r="J63" s="28"/>
      <x:c r="K63" s="28"/>
      <x:c r="L63" s="28"/>
      <x:c r="M63" s="28"/>
      <x:c r="N63" s="28"/>
    </x:row>
    <x:row r="64">
      <x:c r="A64" s="28"/>
      <x:c r="B64" s="28"/>
      <x:c r="C64" s="28"/>
      <x:c r="D64" s="28"/>
      <x:c r="E64" s="28"/>
      <x:c r="F64" s="28"/>
      <x:c r="G64" s="28"/>
      <x:c r="H64" s="28" t="str">
        <x:f>IF(G64="","",IF(G64="完全吻合",3,IF(G64="基本吻合",2,IF(G64="部分吻合",1,IF(G64="明显不符",0,"")))))</x:f>
      </x:c>
      <x:c r="I64" s="28"/>
      <x:c r="J64" s="28"/>
      <x:c r="K64" s="28"/>
      <x:c r="L64" s="28"/>
      <x:c r="M64" s="28"/>
      <x:c r="N64" s="28"/>
    </x:row>
    <x:row r="65">
      <x:c r="A65" s="28"/>
      <x:c r="B65" s="28"/>
      <x:c r="C65" s="28"/>
      <x:c r="D65" s="28"/>
      <x:c r="E65" s="28"/>
      <x:c r="F65" s="28"/>
      <x:c r="G65" s="28"/>
      <x:c r="H65" s="28" t="str">
        <x:f>IF(G65="","",IF(G65="完全吻合",3,IF(G65="基本吻合",2,IF(G65="部分吻合",1,IF(G65="明显不符",0,"")))))</x:f>
      </x:c>
      <x:c r="I65" s="28"/>
      <x:c r="J65" s="28"/>
      <x:c r="K65" s="28"/>
      <x:c r="L65" s="28"/>
      <x:c r="M65" s="28"/>
      <x:c r="N65" s="28"/>
    </x:row>
    <x:row r="66">
      <x:c r="A66" s="28"/>
      <x:c r="B66" s="28"/>
      <x:c r="C66" s="28"/>
      <x:c r="D66" s="28"/>
      <x:c r="E66" s="28"/>
      <x:c r="F66" s="28"/>
      <x:c r="G66" s="28"/>
      <x:c r="H66" s="28" t="str">
        <x:f>IF(G66="","",IF(G66="完全吻合",3,IF(G66="基本吻合",2,IF(G66="部分吻合",1,IF(G66="明显不符",0,"")))))</x:f>
      </x:c>
      <x:c r="I66" s="28"/>
      <x:c r="J66" s="28"/>
      <x:c r="K66" s="28"/>
      <x:c r="L66" s="28"/>
      <x:c r="M66" s="28"/>
      <x:c r="N66" s="28"/>
    </x:row>
    <x:row r="67">
      <x:c r="A67" s="28"/>
      <x:c r="B67" s="28"/>
      <x:c r="C67" s="28"/>
      <x:c r="D67" s="28"/>
      <x:c r="E67" s="28"/>
      <x:c r="F67" s="28"/>
      <x:c r="G67" s="28"/>
      <x:c r="H67" s="28" t="str">
        <x:f>IF(G67="","",IF(G67="完全吻合",3,IF(G67="基本吻合",2,IF(G67="部分吻合",1,IF(G67="明显不符",0,"")))))</x:f>
      </x:c>
      <x:c r="I67" s="28"/>
      <x:c r="J67" s="28"/>
      <x:c r="K67" s="28"/>
      <x:c r="L67" s="28"/>
      <x:c r="M67" s="28"/>
      <x:c r="N67" s="28"/>
    </x:row>
    <x:row r="68">
      <x:c r="A68" s="28"/>
      <x:c r="B68" s="28"/>
      <x:c r="C68" s="28"/>
      <x:c r="D68" s="28"/>
      <x:c r="E68" s="28"/>
      <x:c r="F68" s="28"/>
      <x:c r="G68" s="28"/>
      <x:c r="H68" s="28" t="str">
        <x:f>IF(G68="","",IF(G68="完全吻合",3,IF(G68="基本吻合",2,IF(G68="部分吻合",1,IF(G68="明显不符",0,"")))))</x:f>
      </x:c>
      <x:c r="I68" s="28"/>
      <x:c r="J68" s="28"/>
      <x:c r="K68" s="28"/>
      <x:c r="L68" s="28"/>
      <x:c r="M68" s="28"/>
      <x:c r="N68" s="28"/>
    </x:row>
    <x:row r="69">
      <x:c r="A69" s="28"/>
      <x:c r="B69" s="28"/>
      <x:c r="C69" s="28"/>
      <x:c r="D69" s="28"/>
      <x:c r="E69" s="28"/>
      <x:c r="F69" s="28"/>
      <x:c r="G69" s="28"/>
      <x:c r="H69" s="28" t="str">
        <x:f>IF(G69="","",IF(G69="完全吻合",3,IF(G69="基本吻合",2,IF(G69="部分吻合",1,IF(G69="明显不符",0,"")))))</x:f>
      </x:c>
      <x:c r="I69" s="28"/>
      <x:c r="J69" s="28"/>
      <x:c r="K69" s="28"/>
      <x:c r="L69" s="28"/>
      <x:c r="M69" s="28"/>
      <x:c r="N69" s="28"/>
    </x:row>
    <x:row r="70">
      <x:c r="A70" s="28"/>
      <x:c r="B70" s="28"/>
      <x:c r="C70" s="28"/>
      <x:c r="D70" s="28"/>
      <x:c r="E70" s="28"/>
      <x:c r="F70" s="28"/>
      <x:c r="G70" s="28"/>
      <x:c r="H70" s="28" t="str">
        <x:f>IF(G70="","",IF(G70="完全吻合",3,IF(G70="基本吻合",2,IF(G70="部分吻合",1,IF(G70="明显不符",0,"")))))</x:f>
      </x:c>
      <x:c r="I70" s="28"/>
      <x:c r="J70" s="28"/>
      <x:c r="K70" s="28"/>
      <x:c r="L70" s="28"/>
      <x:c r="M70" s="28"/>
      <x:c r="N70" s="28"/>
    </x:row>
    <x:row r="71">
      <x:c r="A71" s="28"/>
      <x:c r="B71" s="28"/>
      <x:c r="C71" s="28"/>
      <x:c r="D71" s="28"/>
      <x:c r="E71" s="28"/>
      <x:c r="F71" s="28"/>
      <x:c r="G71" s="28"/>
      <x:c r="H71" s="28" t="str">
        <x:f>IF(G71="","",IF(G71="完全吻合",3,IF(G71="基本吻合",2,IF(G71="部分吻合",1,IF(G71="明显不符",0,"")))))</x:f>
      </x:c>
      <x:c r="I71" s="28"/>
      <x:c r="J71" s="28"/>
      <x:c r="K71" s="28"/>
      <x:c r="L71" s="28"/>
      <x:c r="M71" s="28"/>
      <x:c r="N71" s="28"/>
    </x:row>
    <x:row r="72">
      <x:c r="A72" s="28"/>
      <x:c r="B72" s="28"/>
      <x:c r="C72" s="28"/>
      <x:c r="D72" s="28"/>
      <x:c r="E72" s="28"/>
      <x:c r="F72" s="28"/>
      <x:c r="G72" s="28"/>
      <x:c r="H72" s="28" t="str">
        <x:f>IF(G72="","",IF(G72="完全吻合",3,IF(G72="基本吻合",2,IF(G72="部分吻合",1,IF(G72="明显不符",0,"")))))</x:f>
      </x:c>
      <x:c r="I72" s="28"/>
      <x:c r="J72" s="28"/>
      <x:c r="K72" s="28"/>
      <x:c r="L72" s="28"/>
      <x:c r="M72" s="28"/>
      <x:c r="N72" s="28"/>
    </x:row>
    <x:row r="73">
      <x:c r="A73" s="28"/>
      <x:c r="B73" s="28"/>
      <x:c r="C73" s="28"/>
      <x:c r="D73" s="28"/>
      <x:c r="E73" s="28"/>
      <x:c r="F73" s="28"/>
      <x:c r="G73" s="28"/>
      <x:c r="H73" s="28" t="str">
        <x:f>IF(G73="","",IF(G73="完全吻合",3,IF(G73="基本吻合",2,IF(G73="部分吻合",1,IF(G73="明显不符",0,"")))))</x:f>
      </x:c>
      <x:c r="I73" s="28"/>
      <x:c r="J73" s="28"/>
      <x:c r="K73" s="28"/>
      <x:c r="L73" s="28"/>
      <x:c r="M73" s="28"/>
      <x:c r="N73" s="28"/>
    </x:row>
    <x:row r="74">
      <x:c r="A74" s="28"/>
      <x:c r="B74" s="28"/>
      <x:c r="C74" s="28"/>
      <x:c r="D74" s="28"/>
      <x:c r="E74" s="28"/>
      <x:c r="F74" s="28"/>
      <x:c r="G74" s="28"/>
      <x:c r="H74" s="28" t="str">
        <x:f>IF(G74="","",IF(G74="完全吻合",3,IF(G74="基本吻合",2,IF(G74="部分吻合",1,IF(G74="明显不符",0,"")))))</x:f>
      </x:c>
      <x:c r="I74" s="28"/>
      <x:c r="J74" s="28"/>
      <x:c r="K74" s="28"/>
      <x:c r="L74" s="28"/>
      <x:c r="M74" s="28"/>
      <x:c r="N74" s="28"/>
    </x:row>
    <x:row r="75">
      <x:c r="A75" s="28"/>
      <x:c r="B75" s="28"/>
      <x:c r="C75" s="28"/>
      <x:c r="D75" s="28"/>
      <x:c r="E75" s="28"/>
      <x:c r="F75" s="28"/>
      <x:c r="G75" s="28"/>
      <x:c r="H75" s="28" t="str">
        <x:f>IF(G75="","",IF(G75="完全吻合",3,IF(G75="基本吻合",2,IF(G75="部分吻合",1,IF(G75="明显不符",0,"")))))</x:f>
      </x:c>
      <x:c r="I75" s="28"/>
      <x:c r="J75" s="28"/>
      <x:c r="K75" s="28"/>
      <x:c r="L75" s="28"/>
      <x:c r="M75" s="28"/>
      <x:c r="N75" s="28"/>
    </x:row>
    <x:row r="76">
      <x:c r="A76" s="28"/>
      <x:c r="B76" s="28"/>
      <x:c r="C76" s="28"/>
      <x:c r="D76" s="28"/>
      <x:c r="E76" s="28"/>
      <x:c r="F76" s="28"/>
      <x:c r="G76" s="28"/>
      <x:c r="H76" s="28" t="str">
        <x:f>IF(G76="","",IF(G76="完全吻合",3,IF(G76="基本吻合",2,IF(G76="部分吻合",1,IF(G76="明显不符",0,"")))))</x:f>
      </x:c>
      <x:c r="I76" s="28"/>
      <x:c r="J76" s="28"/>
      <x:c r="K76" s="28"/>
      <x:c r="L76" s="28"/>
      <x:c r="M76" s="28"/>
      <x:c r="N76" s="28"/>
    </x:row>
    <x:row r="77">
      <x:c r="A77" s="28"/>
      <x:c r="B77" s="28"/>
      <x:c r="C77" s="28"/>
      <x:c r="D77" s="28"/>
      <x:c r="E77" s="28"/>
      <x:c r="F77" s="28"/>
      <x:c r="G77" s="28"/>
      <x:c r="H77" s="28" t="str">
        <x:f>IF(G77="","",IF(G77="完全吻合",3,IF(G77="基本吻合",2,IF(G77="部分吻合",1,IF(G77="明显不符",0,"")))))</x:f>
      </x:c>
      <x:c r="I77" s="28"/>
      <x:c r="J77" s="28"/>
      <x:c r="K77" s="28"/>
      <x:c r="L77" s="28"/>
      <x:c r="M77" s="28"/>
      <x:c r="N77" s="28"/>
    </x:row>
    <x:row r="78">
      <x:c r="A78" s="28"/>
      <x:c r="B78" s="28"/>
      <x:c r="C78" s="28"/>
      <x:c r="D78" s="28"/>
      <x:c r="E78" s="28"/>
      <x:c r="F78" s="28"/>
      <x:c r="G78" s="28"/>
      <x:c r="H78" s="28" t="str">
        <x:f>IF(G78="","",IF(G78="完全吻合",3,IF(G78="基本吻合",2,IF(G78="部分吻合",1,IF(G78="明显不符",0,"")))))</x:f>
      </x:c>
      <x:c r="I78" s="28"/>
      <x:c r="J78" s="28"/>
      <x:c r="K78" s="28"/>
      <x:c r="L78" s="28"/>
      <x:c r="M78" s="28"/>
      <x:c r="N78" s="28"/>
    </x:row>
    <x:row r="79">
      <x:c r="A79" s="28"/>
      <x:c r="B79" s="28"/>
      <x:c r="C79" s="28"/>
      <x:c r="D79" s="28"/>
      <x:c r="E79" s="28"/>
      <x:c r="F79" s="28"/>
      <x:c r="G79" s="28"/>
      <x:c r="H79" s="28" t="str">
        <x:f>IF(G79="","",IF(G79="完全吻合",3,IF(G79="基本吻合",2,IF(G79="部分吻合",1,IF(G79="明显不符",0,"")))))</x:f>
      </x:c>
      <x:c r="I79" s="28"/>
      <x:c r="J79" s="28"/>
      <x:c r="K79" s="28"/>
      <x:c r="L79" s="28"/>
      <x:c r="M79" s="28"/>
      <x:c r="N79" s="28"/>
    </x:row>
    <x:row r="80">
      <x:c r="A80" s="28"/>
      <x:c r="B80" s="28"/>
      <x:c r="C80" s="28"/>
      <x:c r="D80" s="28"/>
      <x:c r="E80" s="28"/>
      <x:c r="F80" s="28"/>
      <x:c r="G80" s="28"/>
      <x:c r="H80" s="28" t="str">
        <x:f>IF(G80="","",IF(G80="完全吻合",3,IF(G80="基本吻合",2,IF(G80="部分吻合",1,IF(G80="明显不符",0,"")))))</x:f>
      </x:c>
      <x:c r="I80" s="28"/>
      <x:c r="J80" s="28"/>
      <x:c r="K80" s="28"/>
      <x:c r="L80" s="28"/>
      <x:c r="M80" s="28"/>
      <x:c r="N80" s="28"/>
    </x:row>
    <x:row r="81">
      <x:c r="A81" s="28"/>
      <x:c r="B81" s="28"/>
      <x:c r="C81" s="28"/>
      <x:c r="D81" s="28"/>
      <x:c r="E81" s="28"/>
      <x:c r="F81" s="28"/>
      <x:c r="G81" s="28"/>
      <x:c r="H81" s="28" t="str">
        <x:f>IF(G81="","",IF(G81="完全吻合",3,IF(G81="基本吻合",2,IF(G81="部分吻合",1,IF(G81="明显不符",0,"")))))</x:f>
      </x:c>
      <x:c r="I81" s="28"/>
      <x:c r="J81" s="28"/>
      <x:c r="K81" s="28"/>
      <x:c r="L81" s="28"/>
      <x:c r="M81" s="28"/>
      <x:c r="N81" s="28"/>
    </x:row>
    <x:row r="82">
      <x:c r="A82" s="28"/>
      <x:c r="B82" s="28"/>
      <x:c r="C82" s="28"/>
      <x:c r="D82" s="28"/>
      <x:c r="E82" s="28"/>
      <x:c r="F82" s="28"/>
      <x:c r="G82" s="28"/>
      <x:c r="H82" s="28" t="str">
        <x:f>IF(G82="","",IF(G82="完全吻合",3,IF(G82="基本吻合",2,IF(G82="部分吻合",1,IF(G82="明显不符",0,"")))))</x:f>
      </x:c>
      <x:c r="I82" s="28"/>
      <x:c r="J82" s="28"/>
      <x:c r="K82" s="28"/>
      <x:c r="L82" s="28"/>
      <x:c r="M82" s="28"/>
      <x:c r="N82" s="28"/>
    </x:row>
    <x:row r="83">
      <x:c r="A83" s="28"/>
      <x:c r="B83" s="28"/>
      <x:c r="C83" s="28"/>
      <x:c r="D83" s="28"/>
      <x:c r="E83" s="28"/>
      <x:c r="F83" s="28"/>
      <x:c r="G83" s="28"/>
      <x:c r="H83" s="28" t="str">
        <x:f>IF(G83="","",IF(G83="完全吻合",3,IF(G83="基本吻合",2,IF(G83="部分吻合",1,IF(G83="明显不符",0,"")))))</x:f>
      </x:c>
      <x:c r="I83" s="28"/>
      <x:c r="J83" s="28"/>
      <x:c r="K83" s="28"/>
      <x:c r="L83" s="28"/>
      <x:c r="M83" s="28"/>
      <x:c r="N83" s="28"/>
    </x:row>
    <x:row r="84">
      <x:c r="A84" s="28"/>
      <x:c r="B84" s="28"/>
      <x:c r="C84" s="28"/>
      <x:c r="D84" s="28"/>
      <x:c r="E84" s="28"/>
      <x:c r="F84" s="28"/>
      <x:c r="G84" s="28"/>
      <x:c r="H84" s="28" t="str">
        <x:f>IF(G84="","",IF(G84="完全吻合",3,IF(G84="基本吻合",2,IF(G84="部分吻合",1,IF(G84="明显不符",0,"")))))</x:f>
      </x:c>
      <x:c r="I84" s="28"/>
      <x:c r="J84" s="28"/>
      <x:c r="K84" s="28"/>
      <x:c r="L84" s="28"/>
      <x:c r="M84" s="28"/>
      <x:c r="N84" s="28"/>
    </x:row>
    <x:row r="85">
      <x:c r="A85" s="28"/>
      <x:c r="B85" s="28"/>
      <x:c r="C85" s="28"/>
      <x:c r="D85" s="28"/>
      <x:c r="E85" s="28"/>
      <x:c r="F85" s="28"/>
      <x:c r="G85" s="28"/>
      <x:c r="H85" s="28" t="str">
        <x:f>IF(G85="","",IF(G85="完全吻合",3,IF(G85="基本吻合",2,IF(G85="部分吻合",1,IF(G85="明显不符",0,"")))))</x:f>
      </x:c>
      <x:c r="I85" s="28"/>
      <x:c r="J85" s="28"/>
      <x:c r="K85" s="28"/>
      <x:c r="L85" s="28"/>
      <x:c r="M85" s="28"/>
      <x:c r="N85" s="28"/>
    </x:row>
    <x:row r="86">
      <x:c r="A86" s="28"/>
      <x:c r="B86" s="28"/>
      <x:c r="C86" s="28"/>
      <x:c r="D86" s="28"/>
      <x:c r="E86" s="28"/>
      <x:c r="F86" s="28"/>
      <x:c r="G86" s="28"/>
      <x:c r="H86" s="28" t="str">
        <x:f>IF(G86="","",IF(G86="完全吻合",3,IF(G86="基本吻合",2,IF(G86="部分吻合",1,IF(G86="明显不符",0,"")))))</x:f>
      </x:c>
      <x:c r="I86" s="28"/>
      <x:c r="J86" s="28"/>
      <x:c r="K86" s="28"/>
      <x:c r="L86" s="28"/>
      <x:c r="M86" s="28"/>
      <x:c r="N86" s="28"/>
    </x:row>
    <x:row r="87">
      <x:c r="A87" s="28"/>
      <x:c r="B87" s="28"/>
      <x:c r="C87" s="28"/>
      <x:c r="D87" s="28"/>
      <x:c r="E87" s="28"/>
      <x:c r="F87" s="28"/>
      <x:c r="G87" s="28"/>
      <x:c r="H87" s="28" t="str">
        <x:f>IF(G87="","",IF(G87="完全吻合",3,IF(G87="基本吻合",2,IF(G87="部分吻合",1,IF(G87="明显不符",0,"")))))</x:f>
      </x:c>
      <x:c r="I87" s="28"/>
      <x:c r="J87" s="28"/>
      <x:c r="K87" s="28"/>
      <x:c r="L87" s="28"/>
      <x:c r="M87" s="28"/>
      <x:c r="N87" s="28"/>
    </x:row>
    <x:row r="88">
      <x:c r="A88" s="28"/>
      <x:c r="B88" s="28"/>
      <x:c r="C88" s="28"/>
      <x:c r="D88" s="28"/>
      <x:c r="E88" s="28"/>
      <x:c r="F88" s="28"/>
      <x:c r="G88" s="28"/>
      <x:c r="H88" s="28" t="str">
        <x:f>IF(G88="","",IF(G88="完全吻合",3,IF(G88="基本吻合",2,IF(G88="部分吻合",1,IF(G88="明显不符",0,"")))))</x:f>
      </x:c>
      <x:c r="I88" s="28"/>
      <x:c r="J88" s="28"/>
      <x:c r="K88" s="28"/>
      <x:c r="L88" s="28"/>
      <x:c r="M88" s="28"/>
      <x:c r="N88" s="28"/>
    </x:row>
    <x:row r="89">
      <x:c r="A89" s="28"/>
      <x:c r="B89" s="28"/>
      <x:c r="C89" s="28"/>
      <x:c r="D89" s="28"/>
      <x:c r="E89" s="28"/>
      <x:c r="F89" s="28"/>
      <x:c r="G89" s="28"/>
      <x:c r="H89" s="28" t="str">
        <x:f>IF(G89="","",IF(G89="完全吻合",3,IF(G89="基本吻合",2,IF(G89="部分吻合",1,IF(G89="明显不符",0,"")))))</x:f>
      </x:c>
      <x:c r="I89" s="28"/>
      <x:c r="J89" s="28"/>
      <x:c r="K89" s="28"/>
      <x:c r="L89" s="28"/>
      <x:c r="M89" s="28"/>
      <x:c r="N89" s="28"/>
    </x:row>
    <x:row r="90">
      <x:c r="A90" s="28"/>
      <x:c r="B90" s="28"/>
      <x:c r="C90" s="28"/>
      <x:c r="D90" s="28"/>
      <x:c r="E90" s="28"/>
      <x:c r="F90" s="28"/>
      <x:c r="G90" s="28"/>
      <x:c r="H90" s="28" t="str">
        <x:f>IF(G90="","",IF(G90="完全吻合",3,IF(G90="基本吻合",2,IF(G90="部分吻合",1,IF(G90="明显不符",0,"")))))</x:f>
      </x:c>
      <x:c r="I90" s="28"/>
      <x:c r="J90" s="28"/>
      <x:c r="K90" s="28"/>
      <x:c r="L90" s="28"/>
      <x:c r="M90" s="28"/>
      <x:c r="N90" s="28"/>
    </x:row>
    <x:row r="91">
      <x:c r="A91" s="28"/>
      <x:c r="B91" s="28"/>
      <x:c r="C91" s="28"/>
      <x:c r="D91" s="28"/>
      <x:c r="E91" s="28"/>
      <x:c r="F91" s="28"/>
      <x:c r="G91" s="28"/>
      <x:c r="H91" s="28" t="str">
        <x:f>IF(G91="","",IF(G91="完全吻合",3,IF(G91="基本吻合",2,IF(G91="部分吻合",1,IF(G91="明显不符",0,"")))))</x:f>
      </x:c>
      <x:c r="I91" s="28"/>
      <x:c r="J91" s="28"/>
      <x:c r="K91" s="28"/>
      <x:c r="L91" s="28"/>
      <x:c r="M91" s="28"/>
      <x:c r="N91" s="28"/>
    </x:row>
    <x:row r="92">
      <x:c r="A92" s="28"/>
      <x:c r="B92" s="28"/>
      <x:c r="C92" s="28"/>
      <x:c r="D92" s="28"/>
      <x:c r="E92" s="28"/>
      <x:c r="F92" s="28"/>
      <x:c r="G92" s="28"/>
      <x:c r="H92" s="28" t="str">
        <x:f>IF(G92="","",IF(G92="完全吻合",3,IF(G92="基本吻合",2,IF(G92="部分吻合",1,IF(G92="明显不符",0,"")))))</x:f>
      </x:c>
      <x:c r="I92" s="28"/>
      <x:c r="J92" s="28"/>
      <x:c r="K92" s="28"/>
      <x:c r="L92" s="28"/>
      <x:c r="M92" s="28"/>
      <x:c r="N92" s="28"/>
    </x:row>
    <x:row r="93">
      <x:c r="A93" s="28"/>
      <x:c r="B93" s="28"/>
      <x:c r="C93" s="28"/>
      <x:c r="D93" s="28"/>
      <x:c r="E93" s="28"/>
      <x:c r="F93" s="28"/>
      <x:c r="G93" s="28"/>
      <x:c r="H93" s="28" t="str">
        <x:f>IF(G93="","",IF(G93="完全吻合",3,IF(G93="基本吻合",2,IF(G93="部分吻合",1,IF(G93="明显不符",0,"")))))</x:f>
      </x:c>
      <x:c r="I93" s="28"/>
      <x:c r="J93" s="28"/>
      <x:c r="K93" s="28"/>
      <x:c r="L93" s="28"/>
      <x:c r="M93" s="28"/>
      <x:c r="N93" s="28"/>
    </x:row>
    <x:row r="94">
      <x:c r="A94" s="28"/>
      <x:c r="B94" s="28"/>
      <x:c r="C94" s="28"/>
      <x:c r="D94" s="28"/>
      <x:c r="E94" s="28"/>
      <x:c r="F94" s="28"/>
      <x:c r="G94" s="28"/>
      <x:c r="H94" s="28" t="str">
        <x:f>IF(G94="","",IF(G94="完全吻合",3,IF(G94="基本吻合",2,IF(G94="部分吻合",1,IF(G94="明显不符",0,"")))))</x:f>
      </x:c>
      <x:c r="I94" s="28"/>
      <x:c r="J94" s="28"/>
      <x:c r="K94" s="28"/>
      <x:c r="L94" s="28"/>
      <x:c r="M94" s="28"/>
      <x:c r="N94" s="28"/>
    </x:row>
    <x:row r="95">
      <x:c r="A95" s="28"/>
      <x:c r="B95" s="28"/>
      <x:c r="C95" s="28"/>
      <x:c r="D95" s="28"/>
      <x:c r="E95" s="28"/>
      <x:c r="F95" s="28"/>
      <x:c r="G95" s="28"/>
      <x:c r="H95" s="28" t="str">
        <x:f>IF(G95="","",IF(G95="完全吻合",3,IF(G95="基本吻合",2,IF(G95="部分吻合",1,IF(G95="明显不符",0,"")))))</x:f>
      </x:c>
      <x:c r="I95" s="28"/>
      <x:c r="J95" s="28"/>
      <x:c r="K95" s="28"/>
      <x:c r="L95" s="28"/>
      <x:c r="M95" s="28"/>
      <x:c r="N95" s="28"/>
    </x:row>
    <x:row r="96">
      <x:c r="A96" s="28"/>
      <x:c r="B96" s="28"/>
      <x:c r="C96" s="28"/>
      <x:c r="D96" s="28"/>
      <x:c r="E96" s="28"/>
      <x:c r="F96" s="28"/>
      <x:c r="G96" s="28"/>
      <x:c r="H96" s="28" t="str">
        <x:f>IF(G96="","",IF(G96="完全吻合",3,IF(G96="基本吻合",2,IF(G96="部分吻合",1,IF(G96="明显不符",0,"")))))</x:f>
      </x:c>
      <x:c r="I96" s="28"/>
      <x:c r="J96" s="28"/>
      <x:c r="K96" s="28"/>
      <x:c r="L96" s="28"/>
      <x:c r="M96" s="28"/>
      <x:c r="N96" s="28"/>
    </x:row>
    <x:row r="97">
      <x:c r="A97" s="28"/>
      <x:c r="B97" s="28"/>
      <x:c r="C97" s="28"/>
      <x:c r="D97" s="28"/>
      <x:c r="E97" s="28"/>
      <x:c r="F97" s="28"/>
      <x:c r="G97" s="28"/>
      <x:c r="H97" s="28" t="str">
        <x:f>IF(G97="","",IF(G97="完全吻合",3,IF(G97="基本吻合",2,IF(G97="部分吻合",1,IF(G97="明显不符",0,"")))))</x:f>
      </x:c>
      <x:c r="I97" s="28"/>
      <x:c r="J97" s="28"/>
      <x:c r="K97" s="28"/>
      <x:c r="L97" s="28"/>
      <x:c r="M97" s="28"/>
      <x:c r="N97" s="28"/>
    </x:row>
    <x:row r="98">
      <x:c r="A98" s="28"/>
      <x:c r="B98" s="28"/>
      <x:c r="C98" s="28"/>
      <x:c r="D98" s="28"/>
      <x:c r="E98" s="28"/>
      <x:c r="F98" s="28"/>
      <x:c r="G98" s="28"/>
      <x:c r="H98" s="28" t="str">
        <x:f>IF(G98="","",IF(G98="完全吻合",3,IF(G98="基本吻合",2,IF(G98="部分吻合",1,IF(G98="明显不符",0,"")))))</x:f>
      </x:c>
      <x:c r="I98" s="28"/>
      <x:c r="J98" s="28"/>
      <x:c r="K98" s="28"/>
      <x:c r="L98" s="28"/>
      <x:c r="M98" s="28"/>
      <x:c r="N98" s="28"/>
    </x:row>
    <x:row r="99">
      <x:c r="A99" s="28"/>
      <x:c r="B99" s="28"/>
      <x:c r="C99" s="28"/>
      <x:c r="D99" s="28"/>
      <x:c r="E99" s="28"/>
      <x:c r="F99" s="28"/>
      <x:c r="G99" s="28"/>
      <x:c r="H99" s="28" t="str">
        <x:f>IF(G99="","",IF(G99="完全吻合",3,IF(G99="基本吻合",2,IF(G99="部分吻合",1,IF(G99="明显不符",0,"")))))</x:f>
      </x:c>
      <x:c r="I99" s="28"/>
      <x:c r="J99" s="28"/>
      <x:c r="K99" s="28"/>
      <x:c r="L99" s="28"/>
      <x:c r="M99" s="28"/>
      <x:c r="N99" s="28"/>
    </x:row>
    <x:row r="100">
      <x:c r="A100" s="28"/>
      <x:c r="B100" s="28"/>
      <x:c r="C100" s="28"/>
      <x:c r="D100" s="28"/>
      <x:c r="E100" s="28"/>
      <x:c r="F100" s="28"/>
      <x:c r="G100" s="28"/>
      <x:c r="H100" s="28" t="str">
        <x:f>IF(G100="","",IF(G100="完全吻合",3,IF(G100="基本吻合",2,IF(G100="部分吻合",1,IF(G100="明显不符",0,"")))))</x:f>
      </x:c>
      <x:c r="I100" s="28"/>
      <x:c r="J100" s="28"/>
      <x:c r="K100" s="28"/>
      <x:c r="L100" s="28"/>
      <x:c r="M100" s="28"/>
      <x:c r="N100" s="28"/>
    </x:row>
    <x:row r="101">
      <x:c r="A101" s="28"/>
      <x:c r="B101" s="28"/>
      <x:c r="C101" s="28"/>
      <x:c r="D101" s="28"/>
      <x:c r="E101" s="28"/>
      <x:c r="F101" s="28"/>
      <x:c r="G101" s="28"/>
      <x:c r="H101" s="28" t="str">
        <x:f>IF(G101="","",IF(G101="完全吻合",3,IF(G101="基本吻合",2,IF(G101="部分吻合",1,IF(G101="明显不符",0,"")))))</x:f>
      </x:c>
      <x:c r="I101" s="28"/>
      <x:c r="J101" s="28"/>
      <x:c r="K101" s="28"/>
      <x:c r="L101" s="28"/>
      <x:c r="M101" s="28"/>
      <x:c r="N101" s="28"/>
    </x:row>
    <x:row r="102">
      <x:c r="A102" s="28"/>
      <x:c r="B102" s="28"/>
      <x:c r="C102" s="28"/>
      <x:c r="D102" s="28"/>
      <x:c r="E102" s="28"/>
      <x:c r="F102" s="28"/>
      <x:c r="G102" s="28"/>
      <x:c r="H102" s="28" t="str">
        <x:f>IF(G102="","",IF(G102="完全吻合",3,IF(G102="基本吻合",2,IF(G102="部分吻合",1,IF(G102="明显不符",0,"")))))</x:f>
      </x:c>
      <x:c r="I102" s="28"/>
      <x:c r="J102" s="28"/>
      <x:c r="K102" s="28"/>
      <x:c r="L102" s="28"/>
      <x:c r="M102" s="28"/>
      <x:c r="N102" s="28"/>
    </x:row>
    <x:row r="103">
      <x:c r="A103" s="28"/>
      <x:c r="B103" s="28"/>
      <x:c r="C103" s="28"/>
      <x:c r="D103" s="28"/>
      <x:c r="E103" s="28"/>
      <x:c r="F103" s="28"/>
      <x:c r="G103" s="28"/>
      <x:c r="H103" s="28" t="str">
        <x:f>IF(G103="","",IF(G103="完全吻合",3,IF(G103="基本吻合",2,IF(G103="部分吻合",1,IF(G103="明显不符",0,"")))))</x:f>
      </x:c>
      <x:c r="I103" s="28"/>
      <x:c r="J103" s="28"/>
      <x:c r="K103" s="28"/>
      <x:c r="L103" s="28"/>
      <x:c r="M103" s="28"/>
      <x:c r="N103" s="28"/>
    </x:row>
    <x:row r="104">
      <x:c r="A104" s="28"/>
      <x:c r="B104" s="28"/>
      <x:c r="C104" s="28"/>
      <x:c r="D104" s="28"/>
      <x:c r="E104" s="28"/>
      <x:c r="F104" s="28"/>
      <x:c r="G104" s="28"/>
      <x:c r="H104" s="28" t="str">
        <x:f>IF(G104="","",IF(G104="完全吻合",3,IF(G104="基本吻合",2,IF(G104="部分吻合",1,IF(G104="明显不符",0,"")))))</x:f>
      </x:c>
      <x:c r="I104" s="28"/>
      <x:c r="J104" s="28"/>
      <x:c r="K104" s="28"/>
      <x:c r="L104" s="28"/>
      <x:c r="M104" s="28"/>
      <x:c r="N104" s="28"/>
    </x:row>
    <x:row r="105">
      <x:c r="A105" s="28"/>
      <x:c r="B105" s="28"/>
      <x:c r="C105" s="28"/>
      <x:c r="D105" s="28"/>
      <x:c r="E105" s="28"/>
      <x:c r="F105" s="28"/>
      <x:c r="G105" s="28"/>
      <x:c r="H105" s="28" t="str">
        <x:f>IF(G105="","",IF(G105="完全吻合",3,IF(G105="基本吻合",2,IF(G105="部分吻合",1,IF(G105="明显不符",0,"")))))</x:f>
      </x:c>
      <x:c r="I105" s="28"/>
      <x:c r="J105" s="28"/>
      <x:c r="K105" s="28"/>
      <x:c r="L105" s="28"/>
      <x:c r="M105" s="28"/>
      <x:c r="N105" s="28"/>
    </x:row>
    <x:row r="106">
      <x:c r="A106" s="28"/>
      <x:c r="B106" s="28"/>
      <x:c r="C106" s="28"/>
      <x:c r="D106" s="28"/>
      <x:c r="E106" s="28"/>
      <x:c r="F106" s="28"/>
      <x:c r="G106" s="28"/>
      <x:c r="H106" s="28" t="str">
        <x:f>IF(G106="","",IF(G106="完全吻合",3,IF(G106="基本吻合",2,IF(G106="部分吻合",1,IF(G106="明显不符",0,"")))))</x:f>
      </x:c>
      <x:c r="I106" s="28"/>
      <x:c r="J106" s="28"/>
      <x:c r="K106" s="28"/>
      <x:c r="L106" s="28"/>
      <x:c r="M106" s="28"/>
      <x:c r="N106" s="28"/>
    </x:row>
    <x:row r="107">
      <x:c r="A107" s="28"/>
      <x:c r="B107" s="28"/>
      <x:c r="C107" s="28"/>
      <x:c r="D107" s="28"/>
      <x:c r="E107" s="28"/>
      <x:c r="F107" s="28"/>
      <x:c r="G107" s="28"/>
      <x:c r="H107" s="28" t="str">
        <x:f>IF(G107="","",IF(G107="完全吻合",3,IF(G107="基本吻合",2,IF(G107="部分吻合",1,IF(G107="明显不符",0,"")))))</x:f>
      </x:c>
      <x:c r="I107" s="28"/>
      <x:c r="J107" s="28"/>
      <x:c r="K107" s="28"/>
      <x:c r="L107" s="28"/>
      <x:c r="M107" s="28"/>
      <x:c r="N107" s="28"/>
    </x:row>
    <x:row r="108">
      <x:c r="A108" s="28"/>
      <x:c r="B108" s="28"/>
      <x:c r="C108" s="28"/>
      <x:c r="D108" s="28"/>
      <x:c r="E108" s="28"/>
      <x:c r="F108" s="28"/>
      <x:c r="G108" s="28"/>
      <x:c r="H108" s="28" t="str">
        <x:f>IF(G108="","",IF(G108="完全吻合",3,IF(G108="基本吻合",2,IF(G108="部分吻合",1,IF(G108="明显不符",0,"")))))</x:f>
      </x:c>
      <x:c r="I108" s="28"/>
      <x:c r="J108" s="28"/>
      <x:c r="K108" s="28"/>
      <x:c r="L108" s="28"/>
      <x:c r="M108" s="28"/>
      <x:c r="N108" s="28"/>
    </x:row>
    <x:row r="109">
      <x:c r="A109" s="28"/>
      <x:c r="B109" s="28"/>
      <x:c r="C109" s="28"/>
      <x:c r="D109" s="28"/>
      <x:c r="E109" s="28"/>
      <x:c r="F109" s="28"/>
      <x:c r="G109" s="28"/>
      <x:c r="H109" s="28" t="str">
        <x:f>IF(G109="","",IF(G109="完全吻合",3,IF(G109="基本吻合",2,IF(G109="部分吻合",1,IF(G109="明显不符",0,"")))))</x:f>
      </x:c>
      <x:c r="I109" s="28"/>
      <x:c r="J109" s="28"/>
      <x:c r="K109" s="28"/>
      <x:c r="L109" s="28"/>
      <x:c r="M109" s="28"/>
      <x:c r="N109" s="28"/>
    </x:row>
    <x:row r="110">
      <x:c r="A110" s="28"/>
      <x:c r="B110" s="28"/>
      <x:c r="C110" s="28"/>
      <x:c r="D110" s="28"/>
      <x:c r="E110" s="28"/>
      <x:c r="F110" s="28"/>
      <x:c r="G110" s="28"/>
      <x:c r="H110" s="28" t="str">
        <x:f>IF(G110="","",IF(G110="完全吻合",3,IF(G110="基本吻合",2,IF(G110="部分吻合",1,IF(G110="明显不符",0,"")))))</x:f>
      </x:c>
      <x:c r="I110" s="28"/>
      <x:c r="J110" s="28"/>
      <x:c r="K110" s="28"/>
      <x:c r="L110" s="28"/>
      <x:c r="M110" s="28"/>
      <x:c r="N110" s="28"/>
    </x:row>
    <x:row r="111">
      <x:c r="A111" s="28"/>
      <x:c r="B111" s="28"/>
      <x:c r="C111" s="28"/>
      <x:c r="D111" s="28"/>
      <x:c r="E111" s="28"/>
      <x:c r="F111" s="28"/>
      <x:c r="G111" s="28"/>
      <x:c r="H111" s="28" t="str">
        <x:f>IF(G111="","",IF(G111="完全吻合",3,IF(G111="基本吻合",2,IF(G111="部分吻合",1,IF(G111="明显不符",0,"")))))</x:f>
      </x:c>
      <x:c r="I111" s="28"/>
      <x:c r="J111" s="28"/>
      <x:c r="K111" s="28"/>
      <x:c r="L111" s="28"/>
      <x:c r="M111" s="28"/>
      <x:c r="N111" s="28"/>
    </x:row>
    <x:row r="112">
      <x:c r="A112" s="28"/>
      <x:c r="B112" s="28"/>
      <x:c r="C112" s="28"/>
      <x:c r="D112" s="28"/>
      <x:c r="E112" s="28"/>
      <x:c r="F112" s="28"/>
      <x:c r="G112" s="28"/>
      <x:c r="H112" s="28" t="str">
        <x:f>IF(G112="","",IF(G112="完全吻合",3,IF(G112="基本吻合",2,IF(G112="部分吻合",1,IF(G112="明显不符",0,"")))))</x:f>
      </x:c>
      <x:c r="I112" s="28"/>
      <x:c r="J112" s="28"/>
      <x:c r="K112" s="28"/>
      <x:c r="L112" s="28"/>
      <x:c r="M112" s="28"/>
      <x:c r="N112" s="28"/>
    </x:row>
    <x:row r="113">
      <x:c r="A113" s="28"/>
      <x:c r="B113" s="28"/>
      <x:c r="C113" s="28"/>
      <x:c r="D113" s="28"/>
      <x:c r="E113" s="28"/>
      <x:c r="F113" s="28"/>
      <x:c r="G113" s="28"/>
      <x:c r="H113" s="28" t="str">
        <x:f>IF(G113="","",IF(G113="完全吻合",3,IF(G113="基本吻合",2,IF(G113="部分吻合",1,IF(G113="明显不符",0,"")))))</x:f>
      </x:c>
      <x:c r="I113" s="28"/>
      <x:c r="J113" s="28"/>
      <x:c r="K113" s="28"/>
      <x:c r="L113" s="28"/>
      <x:c r="M113" s="28"/>
      <x:c r="N113" s="28"/>
    </x:row>
    <x:row r="114">
      <x:c r="A114" s="28"/>
      <x:c r="B114" s="28"/>
      <x:c r="C114" s="28"/>
      <x:c r="D114" s="28"/>
      <x:c r="E114" s="28"/>
      <x:c r="F114" s="28"/>
      <x:c r="G114" s="28"/>
      <x:c r="H114" s="28" t="str">
        <x:f>IF(G114="","",IF(G114="完全吻合",3,IF(G114="基本吻合",2,IF(G114="部分吻合",1,IF(G114="明显不符",0,"")))))</x:f>
      </x:c>
      <x:c r="I114" s="28"/>
      <x:c r="J114" s="28"/>
      <x:c r="K114" s="28"/>
      <x:c r="L114" s="28"/>
      <x:c r="M114" s="28"/>
      <x:c r="N114" s="28"/>
    </x:row>
    <x:row r="115">
      <x:c r="A115" s="28"/>
      <x:c r="B115" s="28"/>
      <x:c r="C115" s="28"/>
      <x:c r="D115" s="28"/>
      <x:c r="E115" s="28"/>
      <x:c r="F115" s="28"/>
      <x:c r="G115" s="28"/>
      <x:c r="H115" s="28" t="str">
        <x:f>IF(G115="","",IF(G115="完全吻合",3,IF(G115="基本吻合",2,IF(G115="部分吻合",1,IF(G115="明显不符",0,"")))))</x:f>
      </x:c>
      <x:c r="I115" s="28"/>
      <x:c r="J115" s="28"/>
      <x:c r="K115" s="28"/>
      <x:c r="L115" s="28"/>
      <x:c r="M115" s="28"/>
      <x:c r="N115" s="28"/>
    </x:row>
    <x:row r="116">
      <x:c r="A116" s="28"/>
      <x:c r="B116" s="28"/>
      <x:c r="C116" s="28"/>
      <x:c r="D116" s="28"/>
      <x:c r="E116" s="28"/>
      <x:c r="F116" s="28"/>
      <x:c r="G116" s="28"/>
      <x:c r="H116" s="28" t="str">
        <x:f>IF(G116="","",IF(G116="完全吻合",3,IF(G116="基本吻合",2,IF(G116="部分吻合",1,IF(G116="明显不符",0,"")))))</x:f>
      </x:c>
      <x:c r="I116" s="28"/>
      <x:c r="J116" s="28"/>
      <x:c r="K116" s="28"/>
      <x:c r="L116" s="28"/>
      <x:c r="M116" s="28"/>
      <x:c r="N116" s="28"/>
    </x:row>
    <x:row r="117">
      <x:c r="A117" s="28"/>
      <x:c r="B117" s="28"/>
      <x:c r="C117" s="28"/>
      <x:c r="D117" s="28"/>
      <x:c r="E117" s="28"/>
      <x:c r="F117" s="28"/>
      <x:c r="G117" s="28"/>
      <x:c r="H117" s="28" t="str">
        <x:f>IF(G117="","",IF(G117="完全吻合",3,IF(G117="基本吻合",2,IF(G117="部分吻合",1,IF(G117="明显不符",0,"")))))</x:f>
      </x:c>
      <x:c r="I117" s="28"/>
      <x:c r="J117" s="28"/>
      <x:c r="K117" s="28"/>
      <x:c r="L117" s="28"/>
      <x:c r="M117" s="28"/>
      <x:c r="N117" s="28"/>
    </x:row>
    <x:row r="118">
      <x:c r="A118" s="28"/>
      <x:c r="B118" s="28"/>
      <x:c r="C118" s="28"/>
      <x:c r="D118" s="28"/>
      <x:c r="E118" s="28"/>
      <x:c r="F118" s="28"/>
      <x:c r="G118" s="28"/>
      <x:c r="H118" s="28" t="str">
        <x:f>IF(G118="","",IF(G118="完全吻合",3,IF(G118="基本吻合",2,IF(G118="部分吻合",1,IF(G118="明显不符",0,"")))))</x:f>
      </x:c>
      <x:c r="I118" s="28"/>
      <x:c r="J118" s="28"/>
      <x:c r="K118" s="28"/>
      <x:c r="L118" s="28"/>
      <x:c r="M118" s="28"/>
      <x:c r="N118" s="28"/>
    </x:row>
    <x:row r="119">
      <x:c r="A119" s="28"/>
      <x:c r="B119" s="28"/>
      <x:c r="C119" s="28"/>
      <x:c r="D119" s="28"/>
      <x:c r="E119" s="28"/>
      <x:c r="F119" s="28"/>
      <x:c r="G119" s="28"/>
      <x:c r="H119" s="28" t="str">
        <x:f>IF(G119="","",IF(G119="完全吻合",3,IF(G119="基本吻合",2,IF(G119="部分吻合",1,IF(G119="明显不符",0,"")))))</x:f>
      </x:c>
      <x:c r="I119" s="28"/>
      <x:c r="J119" s="28"/>
      <x:c r="K119" s="28"/>
      <x:c r="L119" s="28"/>
      <x:c r="M119" s="28"/>
      <x:c r="N119" s="28"/>
    </x:row>
    <x:row r="120">
      <x:c r="A120" s="28"/>
      <x:c r="B120" s="28"/>
      <x:c r="C120" s="28"/>
      <x:c r="D120" s="28"/>
      <x:c r="E120" s="28"/>
      <x:c r="F120" s="28"/>
      <x:c r="G120" s="28"/>
      <x:c r="H120" s="28" t="str">
        <x:f>IF(G120="","",IF(G120="完全吻合",3,IF(G120="基本吻合",2,IF(G120="部分吻合",1,IF(G120="明显不符",0,"")))))</x:f>
      </x:c>
      <x:c r="I120" s="28"/>
      <x:c r="J120" s="28"/>
      <x:c r="K120" s="28"/>
      <x:c r="L120" s="28"/>
      <x:c r="M120" s="28"/>
      <x:c r="N120" s="28"/>
    </x:row>
    <x:row r="121">
      <x:c r="A121" s="28"/>
      <x:c r="B121" s="28"/>
      <x:c r="C121" s="28"/>
      <x:c r="D121" s="28"/>
      <x:c r="E121" s="28"/>
      <x:c r="F121" s="28"/>
      <x:c r="G121" s="28"/>
      <x:c r="H121" s="28" t="str">
        <x:f>IF(G121="","",IF(G121="完全吻合",3,IF(G121="基本吻合",2,IF(G121="部分吻合",1,IF(G121="明显不符",0,"")))))</x:f>
      </x:c>
      <x:c r="I121" s="28"/>
      <x:c r="J121" s="28"/>
      <x:c r="K121" s="28"/>
      <x:c r="L121" s="28"/>
      <x:c r="M121" s="28"/>
      <x:c r="N121" s="28"/>
    </x:row>
    <x:row r="122">
      <x:c r="A122" s="28"/>
      <x:c r="B122" s="28"/>
      <x:c r="C122" s="28"/>
      <x:c r="D122" s="28"/>
      <x:c r="E122" s="28"/>
      <x:c r="F122" s="28"/>
      <x:c r="G122" s="28"/>
      <x:c r="H122" s="28" t="str">
        <x:f>IF(G122="","",IF(G122="完全吻合",3,IF(G122="基本吻合",2,IF(G122="部分吻合",1,IF(G122="明显不符",0,"")))))</x:f>
      </x:c>
      <x:c r="I122" s="28"/>
      <x:c r="J122" s="28"/>
      <x:c r="K122" s="28"/>
      <x:c r="L122" s="28"/>
      <x:c r="M122" s="28"/>
      <x:c r="N122" s="28"/>
    </x:row>
    <x:row r="123">
      <x:c r="A123" s="28"/>
      <x:c r="B123" s="28"/>
      <x:c r="C123" s="28"/>
      <x:c r="D123" s="28"/>
      <x:c r="E123" s="28"/>
      <x:c r="F123" s="28"/>
      <x:c r="G123" s="28"/>
      <x:c r="H123" s="28" t="str">
        <x:f>IF(G123="","",IF(G123="完全吻合",3,IF(G123="基本吻合",2,IF(G123="部分吻合",1,IF(G123="明显不符",0,"")))))</x:f>
      </x:c>
      <x:c r="I123" s="28"/>
      <x:c r="J123" s="28"/>
      <x:c r="K123" s="28"/>
      <x:c r="L123" s="28"/>
      <x:c r="M123" s="28"/>
      <x:c r="N123" s="28"/>
    </x:row>
    <x:row r="124">
      <x:c r="A124" s="28"/>
      <x:c r="B124" s="28"/>
      <x:c r="C124" s="28"/>
      <x:c r="D124" s="28"/>
      <x:c r="E124" s="28"/>
      <x:c r="F124" s="28"/>
      <x:c r="G124" s="28"/>
      <x:c r="H124" s="28" t="str">
        <x:f>IF(G124="","",IF(G124="完全吻合",3,IF(G124="基本吻合",2,IF(G124="部分吻合",1,IF(G124="明显不符",0,"")))))</x:f>
      </x:c>
      <x:c r="I124" s="28"/>
      <x:c r="J124" s="28"/>
      <x:c r="K124" s="28"/>
      <x:c r="L124" s="28"/>
      <x:c r="M124" s="28"/>
      <x:c r="N124" s="28"/>
    </x:row>
    <x:row r="125">
      <x:c r="A125" s="28"/>
      <x:c r="B125" s="28"/>
      <x:c r="C125" s="28"/>
      <x:c r="D125" s="28"/>
      <x:c r="E125" s="28"/>
      <x:c r="F125" s="28"/>
      <x:c r="G125" s="28"/>
      <x:c r="H125" s="28" t="str">
        <x:f>IF(G125="","",IF(G125="完全吻合",3,IF(G125="基本吻合",2,IF(G125="部分吻合",1,IF(G125="明显不符",0,"")))))</x:f>
      </x:c>
      <x:c r="I125" s="28"/>
      <x:c r="J125" s="28"/>
      <x:c r="K125" s="28"/>
      <x:c r="L125" s="28"/>
      <x:c r="M125" s="28"/>
      <x:c r="N125" s="28"/>
    </x:row>
    <x:row r="126">
      <x:c r="A126" s="28"/>
      <x:c r="B126" s="28"/>
      <x:c r="C126" s="28"/>
      <x:c r="D126" s="28"/>
      <x:c r="E126" s="28"/>
      <x:c r="F126" s="28"/>
      <x:c r="G126" s="28"/>
      <x:c r="H126" s="28" t="str">
        <x:f>IF(G126="","",IF(G126="完全吻合",3,IF(G126="基本吻合",2,IF(G126="部分吻合",1,IF(G126="明显不符",0,"")))))</x:f>
      </x:c>
      <x:c r="I126" s="28"/>
      <x:c r="J126" s="28"/>
      <x:c r="K126" s="28"/>
      <x:c r="L126" s="28"/>
      <x:c r="M126" s="28"/>
      <x:c r="N126" s="28"/>
    </x:row>
    <x:row r="127">
      <x:c r="A127" s="28"/>
      <x:c r="B127" s="28"/>
      <x:c r="C127" s="28"/>
      <x:c r="D127" s="28"/>
      <x:c r="E127" s="28"/>
      <x:c r="F127" s="28"/>
      <x:c r="G127" s="28"/>
      <x:c r="H127" s="28" t="str">
        <x:f>IF(G127="","",IF(G127="完全吻合",3,IF(G127="基本吻合",2,IF(G127="部分吻合",1,IF(G127="明显不符",0,"")))))</x:f>
      </x:c>
      <x:c r="I127" s="28"/>
      <x:c r="J127" s="28"/>
      <x:c r="K127" s="28"/>
      <x:c r="L127" s="28"/>
      <x:c r="M127" s="28"/>
      <x:c r="N127" s="28"/>
    </x:row>
    <x:row r="128">
      <x:c r="A128" s="28"/>
      <x:c r="B128" s="28"/>
      <x:c r="C128" s="28"/>
      <x:c r="D128" s="28"/>
      <x:c r="E128" s="28"/>
      <x:c r="F128" s="28"/>
      <x:c r="G128" s="28"/>
      <x:c r="H128" s="28" t="str">
        <x:f>IF(G128="","",IF(G128="完全吻合",3,IF(G128="基本吻合",2,IF(G128="部分吻合",1,IF(G128="明显不符",0,"")))))</x:f>
      </x:c>
      <x:c r="I128" s="28"/>
      <x:c r="J128" s="28"/>
      <x:c r="K128" s="28"/>
      <x:c r="L128" s="28"/>
      <x:c r="M128" s="28"/>
      <x:c r="N128" s="28"/>
    </x:row>
    <x:row r="129">
      <x:c r="A129" s="28"/>
      <x:c r="B129" s="28"/>
      <x:c r="C129" s="28"/>
      <x:c r="D129" s="28"/>
      <x:c r="E129" s="28"/>
      <x:c r="F129" s="28"/>
      <x:c r="G129" s="28"/>
      <x:c r="H129" s="28" t="str">
        <x:f>IF(G129="","",IF(G129="完全吻合",3,IF(G129="基本吻合",2,IF(G129="部分吻合",1,IF(G129="明显不符",0,"")))))</x:f>
      </x:c>
      <x:c r="I129" s="28"/>
      <x:c r="J129" s="28"/>
      <x:c r="K129" s="28"/>
      <x:c r="L129" s="28"/>
      <x:c r="M129" s="28"/>
      <x:c r="N129" s="28"/>
    </x:row>
    <x:row r="130">
      <x:c r="A130" s="28"/>
      <x:c r="B130" s="28"/>
      <x:c r="C130" s="28"/>
      <x:c r="D130" s="28"/>
      <x:c r="E130" s="28"/>
      <x:c r="F130" s="28"/>
      <x:c r="G130" s="28"/>
      <x:c r="H130" s="28" t="str">
        <x:f>IF(G130="","",IF(G130="完全吻合",3,IF(G130="基本吻合",2,IF(G130="部分吻合",1,IF(G130="明显不符",0,"")))))</x:f>
      </x:c>
      <x:c r="I130" s="28"/>
      <x:c r="J130" s="28"/>
      <x:c r="K130" s="28"/>
      <x:c r="L130" s="28"/>
      <x:c r="M130" s="28"/>
      <x:c r="N130" s="28"/>
    </x:row>
    <x:row r="131">
      <x:c r="A131" s="28"/>
      <x:c r="B131" s="28"/>
      <x:c r="C131" s="28"/>
      <x:c r="D131" s="28"/>
      <x:c r="E131" s="28"/>
      <x:c r="F131" s="28"/>
      <x:c r="G131" s="28"/>
      <x:c r="H131" s="28" t="str">
        <x:f>IF(G131="","",IF(G131="完全吻合",3,IF(G131="基本吻合",2,IF(G131="部分吻合",1,IF(G131="明显不符",0,"")))))</x:f>
      </x:c>
      <x:c r="I131" s="28"/>
      <x:c r="J131" s="28"/>
      <x:c r="K131" s="28"/>
      <x:c r="L131" s="28"/>
      <x:c r="M131" s="28"/>
      <x:c r="N131" s="28"/>
    </x:row>
    <x:row r="132">
      <x:c r="A132" s="28"/>
      <x:c r="B132" s="28"/>
      <x:c r="C132" s="28"/>
      <x:c r="D132" s="28"/>
      <x:c r="E132" s="28"/>
      <x:c r="F132" s="28"/>
      <x:c r="G132" s="28"/>
      <x:c r="H132" s="28" t="str">
        <x:f>IF(G132="","",IF(G132="完全吻合",3,IF(G132="基本吻合",2,IF(G132="部分吻合",1,IF(G132="明显不符",0,"")))))</x:f>
      </x:c>
      <x:c r="I132" s="28"/>
      <x:c r="J132" s="28"/>
      <x:c r="K132" s="28"/>
      <x:c r="L132" s="28"/>
      <x:c r="M132" s="28"/>
      <x:c r="N132" s="28"/>
    </x:row>
    <x:row r="133">
      <x:c r="A133" s="28"/>
      <x:c r="B133" s="28"/>
      <x:c r="C133" s="28"/>
      <x:c r="D133" s="28"/>
      <x:c r="E133" s="28"/>
      <x:c r="F133" s="28"/>
      <x:c r="G133" s="28"/>
      <x:c r="H133" s="28" t="str">
        <x:f>IF(G133="","",IF(G133="完全吻合",3,IF(G133="基本吻合",2,IF(G133="部分吻合",1,IF(G133="明显不符",0,"")))))</x:f>
      </x:c>
      <x:c r="I133" s="28"/>
      <x:c r="J133" s="28"/>
      <x:c r="K133" s="28"/>
      <x:c r="L133" s="28"/>
      <x:c r="M133" s="28"/>
      <x:c r="N133" s="28"/>
    </x:row>
    <x:row r="134">
      <x:c r="A134" s="28"/>
      <x:c r="B134" s="28"/>
      <x:c r="C134" s="28"/>
      <x:c r="D134" s="28"/>
      <x:c r="E134" s="28"/>
      <x:c r="F134" s="28"/>
      <x:c r="G134" s="28"/>
      <x:c r="H134" s="28" t="str">
        <x:f>IF(G134="","",IF(G134="完全吻合",3,IF(G134="基本吻合",2,IF(G134="部分吻合",1,IF(G134="明显不符",0,"")))))</x:f>
      </x:c>
      <x:c r="I134" s="28"/>
      <x:c r="J134" s="28"/>
      <x:c r="K134" s="28"/>
      <x:c r="L134" s="28"/>
      <x:c r="M134" s="28"/>
      <x:c r="N134" s="28"/>
    </x:row>
    <x:row r="135">
      <x:c r="A135" s="28"/>
      <x:c r="B135" s="28"/>
      <x:c r="C135" s="28"/>
      <x:c r="D135" s="28"/>
      <x:c r="E135" s="28"/>
      <x:c r="F135" s="28"/>
      <x:c r="G135" s="28"/>
      <x:c r="H135" s="28" t="str">
        <x:f>IF(G135="","",IF(G135="完全吻合",3,IF(G135="基本吻合",2,IF(G135="部分吻合",1,IF(G135="明显不符",0,"")))))</x:f>
      </x:c>
      <x:c r="I135" s="28"/>
      <x:c r="J135" s="28"/>
      <x:c r="K135" s="28"/>
      <x:c r="L135" s="28"/>
      <x:c r="M135" s="28"/>
      <x:c r="N135" s="28"/>
    </x:row>
    <x:row r="136">
      <x:c r="A136" s="28"/>
      <x:c r="B136" s="28"/>
      <x:c r="C136" s="28"/>
      <x:c r="D136" s="28"/>
      <x:c r="E136" s="28"/>
      <x:c r="F136" s="28"/>
      <x:c r="G136" s="28"/>
      <x:c r="H136" s="28" t="str">
        <x:f>IF(G136="","",IF(G136="完全吻合",3,IF(G136="基本吻合",2,IF(G136="部分吻合",1,IF(G136="明显不符",0,"")))))</x:f>
      </x:c>
      <x:c r="I136" s="28"/>
      <x:c r="J136" s="28"/>
      <x:c r="K136" s="28"/>
      <x:c r="L136" s="28"/>
      <x:c r="M136" s="28"/>
      <x:c r="N136" s="28"/>
    </x:row>
    <x:row r="137">
      <x:c r="A137" s="28"/>
      <x:c r="B137" s="28"/>
      <x:c r="C137" s="28"/>
      <x:c r="D137" s="28"/>
      <x:c r="E137" s="28"/>
      <x:c r="F137" s="28"/>
      <x:c r="G137" s="28"/>
      <x:c r="H137" s="28" t="str">
        <x:f>IF(G137="","",IF(G137="完全吻合",3,IF(G137="基本吻合",2,IF(G137="部分吻合",1,IF(G137="明显不符",0,"")))))</x:f>
      </x:c>
      <x:c r="I137" s="28"/>
      <x:c r="J137" s="28"/>
      <x:c r="K137" s="28"/>
      <x:c r="L137" s="28"/>
      <x:c r="M137" s="28"/>
      <x:c r="N137" s="28"/>
    </x:row>
    <x:row r="138">
      <x:c r="A138" s="28"/>
      <x:c r="B138" s="28"/>
      <x:c r="C138" s="28"/>
      <x:c r="D138" s="28"/>
      <x:c r="E138" s="28"/>
      <x:c r="F138" s="28"/>
      <x:c r="G138" s="28"/>
      <x:c r="H138" s="28" t="str">
        <x:f>IF(G138="","",IF(G138="完全吻合",3,IF(G138="基本吻合",2,IF(G138="部分吻合",1,IF(G138="明显不符",0,"")))))</x:f>
      </x:c>
      <x:c r="I138" s="28"/>
      <x:c r="J138" s="28"/>
      <x:c r="K138" s="28"/>
      <x:c r="L138" s="28"/>
      <x:c r="M138" s="28"/>
      <x:c r="N138" s="28"/>
    </x:row>
    <x:row r="139">
      <x:c r="A139" s="28"/>
      <x:c r="B139" s="28"/>
      <x:c r="C139" s="28"/>
      <x:c r="D139" s="28"/>
      <x:c r="E139" s="28"/>
      <x:c r="F139" s="28"/>
      <x:c r="G139" s="28"/>
      <x:c r="H139" s="28" t="str">
        <x:f>IF(G139="","",IF(G139="完全吻合",3,IF(G139="基本吻合",2,IF(G139="部分吻合",1,IF(G139="明显不符",0,"")))))</x:f>
      </x:c>
      <x:c r="I139" s="28"/>
      <x:c r="J139" s="28"/>
      <x:c r="K139" s="28"/>
      <x:c r="L139" s="28"/>
      <x:c r="M139" s="28"/>
      <x:c r="N139" s="28"/>
    </x:row>
    <x:row r="140">
      <x:c r="A140" s="28"/>
      <x:c r="B140" s="28"/>
      <x:c r="C140" s="28"/>
      <x:c r="D140" s="28"/>
      <x:c r="E140" s="28"/>
      <x:c r="F140" s="28"/>
      <x:c r="G140" s="28"/>
      <x:c r="H140" s="28" t="str">
        <x:f>IF(G140="","",IF(G140="完全吻合",3,IF(G140="基本吻合",2,IF(G140="部分吻合",1,IF(G140="明显不符",0,"")))))</x:f>
      </x:c>
      <x:c r="I140" s="28"/>
      <x:c r="J140" s="28"/>
      <x:c r="K140" s="28"/>
      <x:c r="L140" s="28"/>
      <x:c r="M140" s="28"/>
      <x:c r="N140" s="28"/>
    </x:row>
    <x:row r="141">
      <x:c r="A141" s="28"/>
      <x:c r="B141" s="28"/>
      <x:c r="C141" s="28"/>
      <x:c r="D141" s="28"/>
      <x:c r="E141" s="28"/>
      <x:c r="F141" s="28"/>
      <x:c r="G141" s="28"/>
      <x:c r="H141" s="28" t="str">
        <x:f>IF(G141="","",IF(G141="完全吻合",3,IF(G141="基本吻合",2,IF(G141="部分吻合",1,IF(G141="明显不符",0,"")))))</x:f>
      </x:c>
      <x:c r="I141" s="28"/>
      <x:c r="J141" s="28"/>
      <x:c r="K141" s="28"/>
      <x:c r="L141" s="28"/>
      <x:c r="M141" s="28"/>
      <x:c r="N141" s="28"/>
    </x:row>
    <x:row r="142">
      <x:c r="A142" s="28"/>
      <x:c r="B142" s="28"/>
      <x:c r="C142" s="28"/>
      <x:c r="D142" s="28"/>
      <x:c r="E142" s="28"/>
      <x:c r="F142" s="28"/>
      <x:c r="G142" s="28"/>
      <x:c r="H142" s="28" t="str">
        <x:f>IF(G142="","",IF(G142="完全吻合",3,IF(G142="基本吻合",2,IF(G142="部分吻合",1,IF(G142="明显不符",0,"")))))</x:f>
      </x:c>
      <x:c r="I142" s="28"/>
      <x:c r="J142" s="28"/>
      <x:c r="K142" s="28"/>
      <x:c r="L142" s="28"/>
      <x:c r="M142" s="28"/>
      <x:c r="N142" s="28"/>
    </x:row>
    <x:row r="143">
      <x:c r="A143" s="28"/>
      <x:c r="B143" s="28"/>
      <x:c r="C143" s="28"/>
      <x:c r="D143" s="28"/>
      <x:c r="E143" s="28"/>
      <x:c r="F143" s="28"/>
      <x:c r="G143" s="28"/>
      <x:c r="H143" s="28" t="str">
        <x:f>IF(G143="","",IF(G143="完全吻合",3,IF(G143="基本吻合",2,IF(G143="部分吻合",1,IF(G143="明显不符",0,"")))))</x:f>
      </x:c>
      <x:c r="I143" s="28"/>
      <x:c r="J143" s="28"/>
      <x:c r="K143" s="28"/>
      <x:c r="L143" s="28"/>
      <x:c r="M143" s="28"/>
      <x:c r="N143" s="28"/>
    </x:row>
    <x:row r="144">
      <x:c r="A144" s="28"/>
      <x:c r="B144" s="28"/>
      <x:c r="C144" s="28"/>
      <x:c r="D144" s="28"/>
      <x:c r="E144" s="28"/>
      <x:c r="F144" s="28"/>
      <x:c r="G144" s="28"/>
      <x:c r="H144" s="28" t="str">
        <x:f>IF(G144="","",IF(G144="完全吻合",3,IF(G144="基本吻合",2,IF(G144="部分吻合",1,IF(G144="明显不符",0,"")))))</x:f>
      </x:c>
      <x:c r="I144" s="28"/>
      <x:c r="J144" s="28"/>
      <x:c r="K144" s="28"/>
      <x:c r="L144" s="28"/>
      <x:c r="M144" s="28"/>
      <x:c r="N144" s="28"/>
    </x:row>
    <x:row r="145">
      <x:c r="A145" s="28"/>
      <x:c r="B145" s="28"/>
      <x:c r="C145" s="28"/>
      <x:c r="D145" s="28"/>
      <x:c r="E145" s="28"/>
      <x:c r="F145" s="28"/>
      <x:c r="G145" s="28"/>
      <x:c r="H145" s="28" t="str">
        <x:f>IF(G145="","",IF(G145="完全吻合",3,IF(G145="基本吻合",2,IF(G145="部分吻合",1,IF(G145="明显不符",0,"")))))</x:f>
      </x:c>
      <x:c r="I145" s="28"/>
      <x:c r="J145" s="28"/>
      <x:c r="K145" s="28"/>
      <x:c r="L145" s="28"/>
      <x:c r="M145" s="28"/>
      <x:c r="N145" s="28"/>
    </x:row>
    <x:row r="146">
      <x:c r="A146" s="28"/>
      <x:c r="B146" s="28"/>
      <x:c r="C146" s="28"/>
      <x:c r="D146" s="28"/>
      <x:c r="E146" s="28"/>
      <x:c r="F146" s="28"/>
      <x:c r="G146" s="28"/>
      <x:c r="H146" s="28" t="str">
        <x:f>IF(G146="","",IF(G146="完全吻合",3,IF(G146="基本吻合",2,IF(G146="部分吻合",1,IF(G146="明显不符",0,"")))))</x:f>
      </x:c>
      <x:c r="I146" s="28"/>
      <x:c r="J146" s="28"/>
      <x:c r="K146" s="28"/>
      <x:c r="L146" s="28"/>
      <x:c r="M146" s="28"/>
      <x:c r="N146" s="28"/>
    </x:row>
    <x:row r="147">
      <x:c r="A147" s="28"/>
      <x:c r="B147" s="28"/>
      <x:c r="C147" s="28"/>
      <x:c r="D147" s="28"/>
      <x:c r="E147" s="28"/>
      <x:c r="F147" s="28"/>
      <x:c r="G147" s="28"/>
      <x:c r="H147" s="28" t="str">
        <x:f>IF(G147="","",IF(G147="完全吻合",3,IF(G147="基本吻合",2,IF(G147="部分吻合",1,IF(G147="明显不符",0,"")))))</x:f>
      </x:c>
      <x:c r="I147" s="28"/>
      <x:c r="J147" s="28"/>
      <x:c r="K147" s="28"/>
      <x:c r="L147" s="28"/>
      <x:c r="M147" s="28"/>
      <x:c r="N147" s="28"/>
    </x:row>
    <x:row r="148">
      <x:c r="A148" s="28"/>
      <x:c r="B148" s="28"/>
      <x:c r="C148" s="28"/>
      <x:c r="D148" s="28"/>
      <x:c r="E148" s="28"/>
      <x:c r="F148" s="28"/>
      <x:c r="G148" s="28"/>
      <x:c r="H148" s="28" t="str">
        <x:f>IF(G148="","",IF(G148="完全吻合",3,IF(G148="基本吻合",2,IF(G148="部分吻合",1,IF(G148="明显不符",0,"")))))</x:f>
      </x:c>
      <x:c r="I148" s="28"/>
      <x:c r="J148" s="28"/>
      <x:c r="K148" s="28"/>
      <x:c r="L148" s="28"/>
      <x:c r="M148" s="28"/>
      <x:c r="N148" s="28"/>
    </x:row>
    <x:row r="149">
      <x:c r="A149" s="28"/>
      <x:c r="B149" s="28"/>
      <x:c r="C149" s="28"/>
      <x:c r="D149" s="28"/>
      <x:c r="E149" s="28"/>
      <x:c r="F149" s="28"/>
      <x:c r="G149" s="28"/>
      <x:c r="H149" s="28" t="str">
        <x:f>IF(G149="","",IF(G149="完全吻合",3,IF(G149="基本吻合",2,IF(G149="部分吻合",1,IF(G149="明显不符",0,"")))))</x:f>
      </x:c>
      <x:c r="I149" s="28"/>
      <x:c r="J149" s="28"/>
      <x:c r="K149" s="28"/>
      <x:c r="L149" s="28"/>
      <x:c r="M149" s="28"/>
      <x:c r="N149" s="28"/>
    </x:row>
    <x:row r="150">
      <x:c r="A150" s="28"/>
      <x:c r="B150" s="28"/>
      <x:c r="C150" s="28"/>
      <x:c r="D150" s="28"/>
      <x:c r="E150" s="28"/>
      <x:c r="F150" s="28"/>
      <x:c r="G150" s="28"/>
      <x:c r="H150" s="28" t="str">
        <x:f>IF(G150="","",IF(G150="完全吻合",3,IF(G150="基本吻合",2,IF(G150="部分吻合",1,IF(G150="明显不符",0,"")))))</x:f>
      </x:c>
      <x:c r="I150" s="28"/>
      <x:c r="J150" s="28"/>
      <x:c r="K150" s="28"/>
      <x:c r="L150" s="28"/>
      <x:c r="M150" s="28"/>
      <x:c r="N150" s="28"/>
    </x:row>
    <x:row r="151">
      <x:c r="A151" s="28"/>
      <x:c r="B151" s="28"/>
      <x:c r="C151" s="28"/>
      <x:c r="D151" s="28"/>
      <x:c r="E151" s="28"/>
      <x:c r="F151" s="28"/>
      <x:c r="G151" s="28"/>
      <x:c r="H151" s="28" t="str">
        <x:f>IF(G151="","",IF(G151="完全吻合",3,IF(G151="基本吻合",2,IF(G151="部分吻合",1,IF(G151="明显不符",0,"")))))</x:f>
      </x:c>
      <x:c r="I151" s="28"/>
      <x:c r="J151" s="28"/>
      <x:c r="K151" s="28"/>
      <x:c r="L151" s="28"/>
      <x:c r="M151" s="28"/>
      <x:c r="N151" s="28"/>
    </x:row>
    <x:row r="152">
      <x:c r="A152" s="28"/>
      <x:c r="B152" s="28"/>
      <x:c r="C152" s="28"/>
      <x:c r="D152" s="28"/>
      <x:c r="E152" s="28"/>
      <x:c r="F152" s="28"/>
      <x:c r="G152" s="28"/>
      <x:c r="H152" s="28" t="str">
        <x:f>IF(G152="","",IF(G152="完全吻合",3,IF(G152="基本吻合",2,IF(G152="部分吻合",1,IF(G152="明显不符",0,"")))))</x:f>
      </x:c>
      <x:c r="I152" s="28"/>
      <x:c r="J152" s="28"/>
      <x:c r="K152" s="28"/>
      <x:c r="L152" s="28"/>
      <x:c r="M152" s="28"/>
      <x:c r="N152" s="28"/>
    </x:row>
    <x:row r="153">
      <x:c r="A153" s="28"/>
      <x:c r="B153" s="28"/>
      <x:c r="C153" s="28"/>
      <x:c r="D153" s="28"/>
      <x:c r="E153" s="28"/>
      <x:c r="F153" s="28"/>
      <x:c r="G153" s="28"/>
      <x:c r="H153" s="28" t="str">
        <x:f>IF(G153="","",IF(G153="完全吻合",3,IF(G153="基本吻合",2,IF(G153="部分吻合",1,IF(G153="明显不符",0,"")))))</x:f>
      </x:c>
      <x:c r="I153" s="28"/>
      <x:c r="J153" s="28"/>
      <x:c r="K153" s="28"/>
      <x:c r="L153" s="28"/>
      <x:c r="M153" s="28"/>
      <x:c r="N153" s="28"/>
    </x:row>
    <x:row r="154">
      <x:c r="A154" s="28"/>
      <x:c r="B154" s="28"/>
      <x:c r="C154" s="28"/>
      <x:c r="D154" s="28"/>
      <x:c r="E154" s="28"/>
      <x:c r="F154" s="28"/>
      <x:c r="G154" s="28"/>
      <x:c r="H154" s="28" t="str">
        <x:f>IF(G154="","",IF(G154="完全吻合",3,IF(G154="基本吻合",2,IF(G154="部分吻合",1,IF(G154="明显不符",0,"")))))</x:f>
      </x:c>
      <x:c r="I154" s="28"/>
      <x:c r="J154" s="28"/>
      <x:c r="K154" s="28"/>
      <x:c r="L154" s="28"/>
      <x:c r="M154" s="28"/>
      <x:c r="N154" s="28"/>
    </x:row>
    <x:row r="155">
      <x:c r="A155" s="28"/>
      <x:c r="B155" s="28"/>
      <x:c r="C155" s="28"/>
      <x:c r="D155" s="28"/>
      <x:c r="E155" s="28"/>
      <x:c r="F155" s="28"/>
      <x:c r="G155" s="28"/>
      <x:c r="H155" s="28" t="str">
        <x:f>IF(G155="","",IF(G155="完全吻合",3,IF(G155="基本吻合",2,IF(G155="部分吻合",1,IF(G155="明显不符",0,"")))))</x:f>
      </x:c>
      <x:c r="I155" s="28"/>
      <x:c r="J155" s="28"/>
      <x:c r="K155" s="28"/>
      <x:c r="L155" s="28"/>
      <x:c r="M155" s="28"/>
      <x:c r="N155" s="28"/>
    </x:row>
    <x:row r="156">
      <x:c r="A156" s="28"/>
      <x:c r="B156" s="28"/>
      <x:c r="C156" s="28"/>
      <x:c r="D156" s="28"/>
      <x:c r="E156" s="28"/>
      <x:c r="F156" s="28"/>
      <x:c r="G156" s="28"/>
      <x:c r="H156" s="28" t="str">
        <x:f>IF(G156="","",IF(G156="完全吻合",3,IF(G156="基本吻合",2,IF(G156="部分吻合",1,IF(G156="明显不符",0,"")))))</x:f>
      </x:c>
      <x:c r="I156" s="28"/>
      <x:c r="J156" s="28"/>
      <x:c r="K156" s="28"/>
      <x:c r="L156" s="28"/>
      <x:c r="M156" s="28"/>
      <x:c r="N156" s="28"/>
    </x:row>
    <x:row r="157">
      <x:c r="A157" s="28"/>
      <x:c r="B157" s="28"/>
      <x:c r="C157" s="28"/>
      <x:c r="D157" s="28"/>
      <x:c r="E157" s="28"/>
      <x:c r="F157" s="28"/>
      <x:c r="G157" s="28"/>
      <x:c r="H157" s="28" t="str">
        <x:f>IF(G157="","",IF(G157="完全吻合",3,IF(G157="基本吻合",2,IF(G157="部分吻合",1,IF(G157="明显不符",0,"")))))</x:f>
      </x:c>
      <x:c r="I157" s="28"/>
      <x:c r="J157" s="28"/>
      <x:c r="K157" s="28"/>
      <x:c r="L157" s="28"/>
      <x:c r="M157" s="28"/>
      <x:c r="N157" s="28"/>
    </x:row>
    <x:row r="158">
      <x:c r="A158" s="28"/>
      <x:c r="B158" s="28"/>
      <x:c r="C158" s="28"/>
      <x:c r="D158" s="28"/>
      <x:c r="E158" s="28"/>
      <x:c r="F158" s="28"/>
      <x:c r="G158" s="28"/>
      <x:c r="H158" s="28" t="str">
        <x:f>IF(G158="","",IF(G158="完全吻合",3,IF(G158="基本吻合",2,IF(G158="部分吻合",1,IF(G158="明显不符",0,"")))))</x:f>
      </x:c>
      <x:c r="I158" s="28"/>
      <x:c r="J158" s="28"/>
      <x:c r="K158" s="28"/>
      <x:c r="L158" s="28"/>
      <x:c r="M158" s="28"/>
      <x:c r="N158" s="28"/>
    </x:row>
    <x:row r="159">
      <x:c r="A159" s="28"/>
      <x:c r="B159" s="28"/>
      <x:c r="C159" s="28"/>
      <x:c r="D159" s="28"/>
      <x:c r="E159" s="28"/>
      <x:c r="F159" s="28"/>
      <x:c r="G159" s="28"/>
      <x:c r="H159" s="28" t="str">
        <x:f>IF(G159="","",IF(G159="完全吻合",3,IF(G159="基本吻合",2,IF(G159="部分吻合",1,IF(G159="明显不符",0,"")))))</x:f>
      </x:c>
      <x:c r="I159" s="28"/>
      <x:c r="J159" s="28"/>
      <x:c r="K159" s="28"/>
      <x:c r="L159" s="28"/>
      <x:c r="M159" s="28"/>
      <x:c r="N159" s="28"/>
    </x:row>
    <x:row r="160">
      <x:c r="A160" s="28"/>
      <x:c r="B160" s="28"/>
      <x:c r="C160" s="28"/>
      <x:c r="D160" s="28"/>
      <x:c r="E160" s="28"/>
      <x:c r="F160" s="28"/>
      <x:c r="G160" s="28"/>
      <x:c r="H160" s="28" t="str">
        <x:f>IF(G160="","",IF(G160="完全吻合",3,IF(G160="基本吻合",2,IF(G160="部分吻合",1,IF(G160="明显不符",0,"")))))</x:f>
      </x:c>
      <x:c r="I160" s="28"/>
      <x:c r="J160" s="28"/>
      <x:c r="K160" s="28"/>
      <x:c r="L160" s="28"/>
      <x:c r="M160" s="28"/>
      <x:c r="N160" s="28"/>
    </x:row>
    <x:row r="161">
      <x:c r="A161" s="28"/>
      <x:c r="B161" s="28"/>
      <x:c r="C161" s="28"/>
      <x:c r="D161" s="28"/>
      <x:c r="E161" s="28"/>
      <x:c r="F161" s="28"/>
      <x:c r="G161" s="28"/>
      <x:c r="H161" s="28" t="str">
        <x:f>IF(G161="","",IF(G161="完全吻合",3,IF(G161="基本吻合",2,IF(G161="部分吻合",1,IF(G161="明显不符",0,"")))))</x:f>
      </x:c>
      <x:c r="I161" s="28"/>
      <x:c r="J161" s="28"/>
      <x:c r="K161" s="28"/>
      <x:c r="L161" s="28"/>
      <x:c r="M161" s="28"/>
      <x:c r="N161" s="28"/>
    </x:row>
    <x:row r="162">
      <x:c r="A162" s="28"/>
      <x:c r="B162" s="28"/>
      <x:c r="C162" s="28"/>
      <x:c r="D162" s="28"/>
      <x:c r="E162" s="28"/>
      <x:c r="F162" s="28"/>
      <x:c r="G162" s="28"/>
      <x:c r="H162" s="28" t="str">
        <x:f>IF(G162="","",IF(G162="完全吻合",3,IF(G162="基本吻合",2,IF(G162="部分吻合",1,IF(G162="明显不符",0,"")))))</x:f>
      </x:c>
      <x:c r="I162" s="28"/>
      <x:c r="J162" s="28"/>
      <x:c r="K162" s="28"/>
      <x:c r="L162" s="28"/>
      <x:c r="M162" s="28"/>
      <x:c r="N162" s="28"/>
    </x:row>
    <x:row r="163">
      <x:c r="A163" s="28"/>
      <x:c r="B163" s="28"/>
      <x:c r="C163" s="28"/>
      <x:c r="D163" s="28"/>
      <x:c r="E163" s="28"/>
      <x:c r="F163" s="28"/>
      <x:c r="G163" s="28"/>
      <x:c r="H163" s="28" t="str">
        <x:f>IF(G163="","",IF(G163="完全吻合",3,IF(G163="基本吻合",2,IF(G163="部分吻合",1,IF(G163="明显不符",0,"")))))</x:f>
      </x:c>
      <x:c r="I163" s="28"/>
      <x:c r="J163" s="28"/>
      <x:c r="K163" s="28"/>
      <x:c r="L163" s="28"/>
      <x:c r="M163" s="28"/>
      <x:c r="N163" s="28"/>
    </x:row>
    <x:row r="164">
      <x:c r="A164" s="28"/>
      <x:c r="B164" s="28"/>
      <x:c r="C164" s="28"/>
      <x:c r="D164" s="28"/>
      <x:c r="E164" s="28"/>
      <x:c r="F164" s="28"/>
      <x:c r="G164" s="28"/>
      <x:c r="H164" s="28" t="str">
        <x:f>IF(G164="","",IF(G164="完全吻合",3,IF(G164="基本吻合",2,IF(G164="部分吻合",1,IF(G164="明显不符",0,"")))))</x:f>
      </x:c>
      <x:c r="I164" s="28"/>
      <x:c r="J164" s="28"/>
      <x:c r="K164" s="28"/>
      <x:c r="L164" s="28"/>
      <x:c r="M164" s="28"/>
      <x:c r="N164" s="28"/>
    </x:row>
    <x:row r="165">
      <x:c r="A165" s="28"/>
      <x:c r="B165" s="28"/>
      <x:c r="C165" s="28"/>
      <x:c r="D165" s="28"/>
      <x:c r="E165" s="28"/>
      <x:c r="F165" s="28"/>
      <x:c r="G165" s="28"/>
      <x:c r="H165" s="28" t="str">
        <x:f>IF(G165="","",IF(G165="完全吻合",3,IF(G165="基本吻合",2,IF(G165="部分吻合",1,IF(G165="明显不符",0,"")))))</x:f>
      </x:c>
      <x:c r="I165" s="28"/>
      <x:c r="J165" s="28"/>
      <x:c r="K165" s="28"/>
      <x:c r="L165" s="28"/>
      <x:c r="M165" s="28"/>
      <x:c r="N165" s="28"/>
    </x:row>
    <x:row r="166">
      <x:c r="A166" s="28"/>
      <x:c r="B166" s="28"/>
      <x:c r="C166" s="28"/>
      <x:c r="D166" s="28"/>
      <x:c r="E166" s="28"/>
      <x:c r="F166" s="28"/>
      <x:c r="G166" s="28"/>
      <x:c r="H166" s="28" t="str">
        <x:f>IF(G166="","",IF(G166="完全吻合",3,IF(G166="基本吻合",2,IF(G166="部分吻合",1,IF(G166="明显不符",0,"")))))</x:f>
      </x:c>
      <x:c r="I166" s="28"/>
      <x:c r="J166" s="28"/>
      <x:c r="K166" s="28"/>
      <x:c r="L166" s="28"/>
      <x:c r="M166" s="28"/>
      <x:c r="N166" s="28"/>
    </x:row>
    <x:row r="167">
      <x:c r="A167" s="28"/>
      <x:c r="B167" s="28"/>
      <x:c r="C167" s="28"/>
      <x:c r="D167" s="28"/>
      <x:c r="E167" s="28"/>
      <x:c r="F167" s="28"/>
      <x:c r="G167" s="28"/>
      <x:c r="H167" s="28" t="str">
        <x:f>IF(G167="","",IF(G167="完全吻合",3,IF(G167="基本吻合",2,IF(G167="部分吻合",1,IF(G167="明显不符",0,"")))))</x:f>
      </x:c>
      <x:c r="I167" s="28"/>
      <x:c r="J167" s="28"/>
      <x:c r="K167" s="28"/>
      <x:c r="L167" s="28"/>
      <x:c r="M167" s="28"/>
      <x:c r="N167" s="28"/>
    </x:row>
    <x:row r="168">
      <x:c r="A168" s="28"/>
      <x:c r="B168" s="28"/>
      <x:c r="C168" s="28"/>
      <x:c r="D168" s="28"/>
      <x:c r="E168" s="28"/>
      <x:c r="F168" s="28"/>
      <x:c r="G168" s="28"/>
      <x:c r="H168" s="28" t="str">
        <x:f>IF(G168="","",IF(G168="完全吻合",3,IF(G168="基本吻合",2,IF(G168="部分吻合",1,IF(G168="明显不符",0,"")))))</x:f>
      </x:c>
      <x:c r="I168" s="28"/>
      <x:c r="J168" s="28"/>
      <x:c r="K168" s="28"/>
      <x:c r="L168" s="28"/>
      <x:c r="M168" s="28"/>
      <x:c r="N168" s="28"/>
    </x:row>
    <x:row r="169">
      <x:c r="A169" s="28"/>
      <x:c r="B169" s="28"/>
      <x:c r="C169" s="28"/>
      <x:c r="D169" s="28"/>
      <x:c r="E169" s="28"/>
      <x:c r="F169" s="28"/>
      <x:c r="G169" s="28"/>
      <x:c r="H169" s="28" t="str">
        <x:f>IF(G169="","",IF(G169="完全吻合",3,IF(G169="基本吻合",2,IF(G169="部分吻合",1,IF(G169="明显不符",0,"")))))</x:f>
      </x:c>
      <x:c r="I169" s="28"/>
      <x:c r="J169" s="28"/>
      <x:c r="K169" s="28"/>
      <x:c r="L169" s="28"/>
      <x:c r="M169" s="28"/>
      <x:c r="N169" s="28"/>
    </x:row>
    <x:row r="170">
      <x:c r="A170" s="28"/>
      <x:c r="B170" s="28"/>
      <x:c r="C170" s="28"/>
      <x:c r="D170" s="28"/>
      <x:c r="E170" s="28"/>
      <x:c r="F170" s="28"/>
      <x:c r="G170" s="28"/>
      <x:c r="H170" s="28" t="str">
        <x:f>IF(G170="","",IF(G170="完全吻合",3,IF(G170="基本吻合",2,IF(G170="部分吻合",1,IF(G170="明显不符",0,"")))))</x:f>
      </x:c>
      <x:c r="I170" s="28"/>
      <x:c r="J170" s="28"/>
      <x:c r="K170" s="28"/>
      <x:c r="L170" s="28"/>
      <x:c r="M170" s="28"/>
      <x:c r="N170" s="28"/>
    </x:row>
    <x:row r="171">
      <x:c r="A171" s="28"/>
      <x:c r="B171" s="28"/>
      <x:c r="C171" s="28"/>
      <x:c r="D171" s="28"/>
      <x:c r="E171" s="28"/>
      <x:c r="F171" s="28"/>
      <x:c r="G171" s="28"/>
      <x:c r="H171" s="28" t="str">
        <x:f>IF(G171="","",IF(G171="完全吻合",3,IF(G171="基本吻合",2,IF(G171="部分吻合",1,IF(G171="明显不符",0,"")))))</x:f>
      </x:c>
      <x:c r="I171" s="28"/>
      <x:c r="J171" s="28"/>
      <x:c r="K171" s="28"/>
      <x:c r="L171" s="28"/>
      <x:c r="M171" s="28"/>
      <x:c r="N171" s="28"/>
    </x:row>
    <x:row r="172">
      <x:c r="A172" s="28"/>
      <x:c r="B172" s="28"/>
      <x:c r="C172" s="28"/>
      <x:c r="D172" s="28"/>
      <x:c r="E172" s="28"/>
      <x:c r="F172" s="28"/>
      <x:c r="G172" s="28"/>
      <x:c r="H172" s="28" t="str">
        <x:f>IF(G172="","",IF(G172="完全吻合",3,IF(G172="基本吻合",2,IF(G172="部分吻合",1,IF(G172="明显不符",0,"")))))</x:f>
      </x:c>
      <x:c r="I172" s="28"/>
      <x:c r="J172" s="28"/>
      <x:c r="K172" s="28"/>
      <x:c r="L172" s="28"/>
      <x:c r="M172" s="28"/>
      <x:c r="N172" s="28"/>
    </x:row>
    <x:row r="173">
      <x:c r="A173" s="28"/>
      <x:c r="B173" s="28"/>
      <x:c r="C173" s="28"/>
      <x:c r="D173" s="28"/>
      <x:c r="E173" s="28"/>
      <x:c r="F173" s="28"/>
      <x:c r="G173" s="28"/>
      <x:c r="H173" s="28" t="str">
        <x:f>IF(G173="","",IF(G173="完全吻合",3,IF(G173="基本吻合",2,IF(G173="部分吻合",1,IF(G173="明显不符",0,"")))))</x:f>
      </x:c>
      <x:c r="I173" s="28"/>
      <x:c r="J173" s="28"/>
      <x:c r="K173" s="28"/>
      <x:c r="L173" s="28"/>
      <x:c r="M173" s="28"/>
      <x:c r="N173" s="28"/>
    </x:row>
    <x:row r="174">
      <x:c r="A174" s="28"/>
      <x:c r="B174" s="28"/>
      <x:c r="C174" s="28"/>
      <x:c r="D174" s="28"/>
      <x:c r="E174" s="28"/>
      <x:c r="F174" s="28"/>
      <x:c r="G174" s="28"/>
      <x:c r="H174" s="28" t="str">
        <x:f>IF(G174="","",IF(G174="完全吻合",3,IF(G174="基本吻合",2,IF(G174="部分吻合",1,IF(G174="明显不符",0,"")))))</x:f>
      </x:c>
      <x:c r="I174" s="28"/>
      <x:c r="J174" s="28"/>
      <x:c r="K174" s="28"/>
      <x:c r="L174" s="28"/>
      <x:c r="M174" s="28"/>
      <x:c r="N174" s="28"/>
    </x:row>
    <x:row r="175">
      <x:c r="A175" s="28"/>
      <x:c r="B175" s="28"/>
      <x:c r="C175" s="28"/>
      <x:c r="D175" s="28"/>
      <x:c r="E175" s="28"/>
      <x:c r="F175" s="28"/>
      <x:c r="G175" s="28"/>
      <x:c r="H175" s="28" t="str">
        <x:f>IF(G175="","",IF(G175="完全吻合",3,IF(G175="基本吻合",2,IF(G175="部分吻合",1,IF(G175="明显不符",0,"")))))</x:f>
      </x:c>
      <x:c r="I175" s="28"/>
      <x:c r="J175" s="28"/>
      <x:c r="K175" s="28"/>
      <x:c r="L175" s="28"/>
      <x:c r="M175" s="28"/>
      <x:c r="N175" s="28"/>
    </x:row>
    <x:row r="176">
      <x:c r="A176" s="28"/>
      <x:c r="B176" s="28"/>
      <x:c r="C176" s="28"/>
      <x:c r="D176" s="28"/>
      <x:c r="E176" s="28"/>
      <x:c r="F176" s="28"/>
      <x:c r="G176" s="28"/>
      <x:c r="H176" s="28" t="str">
        <x:f>IF(G176="","",IF(G176="完全吻合",3,IF(G176="基本吻合",2,IF(G176="部分吻合",1,IF(G176="明显不符",0,"")))))</x:f>
      </x:c>
      <x:c r="I176" s="28"/>
      <x:c r="J176" s="28"/>
      <x:c r="K176" s="28"/>
      <x:c r="L176" s="28"/>
      <x:c r="M176" s="28"/>
      <x:c r="N176" s="28"/>
    </x:row>
    <x:row r="177">
      <x:c r="A177" s="28"/>
      <x:c r="B177" s="28"/>
      <x:c r="C177" s="28"/>
      <x:c r="D177" s="28"/>
      <x:c r="E177" s="28"/>
      <x:c r="F177" s="28"/>
      <x:c r="G177" s="28"/>
      <x:c r="H177" s="28" t="str">
        <x:f>IF(G177="","",IF(G177="完全吻合",3,IF(G177="基本吻合",2,IF(G177="部分吻合",1,IF(G177="明显不符",0,"")))))</x:f>
      </x:c>
      <x:c r="I177" s="28"/>
      <x:c r="J177" s="28"/>
      <x:c r="K177" s="28"/>
      <x:c r="L177" s="28"/>
      <x:c r="M177" s="28"/>
      <x:c r="N177" s="28"/>
    </x:row>
    <x:row r="178">
      <x:c r="A178" s="28"/>
      <x:c r="B178" s="28"/>
      <x:c r="C178" s="28"/>
      <x:c r="D178" s="28"/>
      <x:c r="E178" s="28"/>
      <x:c r="F178" s="28"/>
      <x:c r="G178" s="28"/>
      <x:c r="H178" s="28" t="str">
        <x:f>IF(G178="","",IF(G178="完全吻合",3,IF(G178="基本吻合",2,IF(G178="部分吻合",1,IF(G178="明显不符",0,"")))))</x:f>
      </x:c>
      <x:c r="I178" s="28"/>
      <x:c r="J178" s="28"/>
      <x:c r="K178" s="28"/>
      <x:c r="L178" s="28"/>
      <x:c r="M178" s="28"/>
      <x:c r="N178" s="28"/>
    </x:row>
    <x:row r="179">
      <x:c r="A179" s="28"/>
      <x:c r="B179" s="28"/>
      <x:c r="C179" s="28"/>
      <x:c r="D179" s="28"/>
      <x:c r="E179" s="28"/>
      <x:c r="F179" s="28"/>
      <x:c r="G179" s="28"/>
      <x:c r="H179" s="28" t="str">
        <x:f>IF(G179="","",IF(G179="完全吻合",3,IF(G179="基本吻合",2,IF(G179="部分吻合",1,IF(G179="明显不符",0,"")))))</x:f>
      </x:c>
      <x:c r="I179" s="28"/>
      <x:c r="J179" s="28"/>
      <x:c r="K179" s="28"/>
      <x:c r="L179" s="28"/>
      <x:c r="M179" s="28"/>
      <x:c r="N179" s="28"/>
    </x:row>
    <x:row r="180">
      <x:c r="A180" s="28"/>
      <x:c r="B180" s="28"/>
      <x:c r="C180" s="28"/>
      <x:c r="D180" s="28"/>
      <x:c r="E180" s="28"/>
      <x:c r="F180" s="28"/>
      <x:c r="G180" s="28"/>
      <x:c r="H180" s="28" t="str">
        <x:f>IF(G180="","",IF(G180="完全吻合",3,IF(G180="基本吻合",2,IF(G180="部分吻合",1,IF(G180="明显不符",0,"")))))</x:f>
      </x:c>
      <x:c r="I180" s="28"/>
      <x:c r="J180" s="28"/>
      <x:c r="K180" s="28"/>
      <x:c r="L180" s="28"/>
      <x:c r="M180" s="28"/>
      <x:c r="N180" s="28"/>
    </x:row>
    <x:row r="181">
      <x:c r="A181" s="28"/>
      <x:c r="B181" s="28"/>
      <x:c r="C181" s="28"/>
      <x:c r="D181" s="28"/>
      <x:c r="E181" s="28"/>
      <x:c r="F181" s="28"/>
      <x:c r="G181" s="28"/>
      <x:c r="H181" s="28" t="str">
        <x:f>IF(G181="","",IF(G181="完全吻合",3,IF(G181="基本吻合",2,IF(G181="部分吻合",1,IF(G181="明显不符",0,"")))))</x:f>
      </x:c>
      <x:c r="I181" s="28"/>
      <x:c r="J181" s="28"/>
      <x:c r="K181" s="28"/>
      <x:c r="L181" s="28"/>
      <x:c r="M181" s="28"/>
      <x:c r="N181" s="28"/>
    </x:row>
    <x:row r="182">
      <x:c r="A182" s="28"/>
      <x:c r="B182" s="28"/>
      <x:c r="C182" s="28"/>
      <x:c r="D182" s="28"/>
      <x:c r="E182" s="28"/>
      <x:c r="F182" s="28"/>
      <x:c r="G182" s="28"/>
      <x:c r="H182" s="28" t="str">
        <x:f>IF(G182="","",IF(G182="完全吻合",3,IF(G182="基本吻合",2,IF(G182="部分吻合",1,IF(G182="明显不符",0,"")))))</x:f>
      </x:c>
      <x:c r="I182" s="28"/>
      <x:c r="J182" s="28"/>
      <x:c r="K182" s="28"/>
      <x:c r="L182" s="28"/>
      <x:c r="M182" s="28"/>
      <x:c r="N182" s="28"/>
    </x:row>
    <x:row r="183">
      <x:c r="A183" s="28"/>
      <x:c r="B183" s="28"/>
      <x:c r="C183" s="28"/>
      <x:c r="D183" s="28"/>
      <x:c r="E183" s="28"/>
      <x:c r="F183" s="28"/>
      <x:c r="G183" s="28"/>
      <x:c r="H183" s="28" t="str">
        <x:f>IF(G183="","",IF(G183="完全吻合",3,IF(G183="基本吻合",2,IF(G183="部分吻合",1,IF(G183="明显不符",0,"")))))</x:f>
      </x:c>
      <x:c r="I183" s="28"/>
      <x:c r="J183" s="28"/>
      <x:c r="K183" s="28"/>
      <x:c r="L183" s="28"/>
      <x:c r="M183" s="28"/>
      <x:c r="N183" s="28"/>
    </x:row>
    <x:row r="184">
      <x:c r="A184" s="28"/>
      <x:c r="B184" s="28"/>
      <x:c r="C184" s="28"/>
      <x:c r="D184" s="28"/>
      <x:c r="E184" s="28"/>
      <x:c r="F184" s="28"/>
      <x:c r="G184" s="28"/>
      <x:c r="H184" s="28" t="str">
        <x:f>IF(G184="","",IF(G184="完全吻合",3,IF(G184="基本吻合",2,IF(G184="部分吻合",1,IF(G184="明显不符",0,"")))))</x:f>
      </x:c>
      <x:c r="I184" s="28"/>
      <x:c r="J184" s="28"/>
      <x:c r="K184" s="28"/>
      <x:c r="L184" s="28"/>
      <x:c r="M184" s="28"/>
      <x:c r="N184" s="28"/>
    </x:row>
    <x:row r="185">
      <x:c r="A185" s="28"/>
      <x:c r="B185" s="28"/>
      <x:c r="C185" s="28"/>
      <x:c r="D185" s="28"/>
      <x:c r="E185" s="28"/>
      <x:c r="F185" s="28"/>
      <x:c r="G185" s="28"/>
      <x:c r="H185" s="28" t="str">
        <x:f>IF(G185="","",IF(G185="完全吻合",3,IF(G185="基本吻合",2,IF(G185="部分吻合",1,IF(G185="明显不符",0,"")))))</x:f>
      </x:c>
      <x:c r="I185" s="28"/>
      <x:c r="J185" s="28"/>
      <x:c r="K185" s="28"/>
      <x:c r="L185" s="28"/>
      <x:c r="M185" s="28"/>
      <x:c r="N185" s="28"/>
    </x:row>
    <x:row r="186">
      <x:c r="A186" s="28"/>
      <x:c r="B186" s="28"/>
      <x:c r="C186" s="28"/>
      <x:c r="D186" s="28"/>
      <x:c r="E186" s="28"/>
      <x:c r="F186" s="28"/>
      <x:c r="G186" s="28"/>
      <x:c r="H186" s="28" t="str">
        <x:f>IF(G186="","",IF(G186="完全吻合",3,IF(G186="基本吻合",2,IF(G186="部分吻合",1,IF(G186="明显不符",0,"")))))</x:f>
      </x:c>
      <x:c r="I186" s="28"/>
      <x:c r="J186" s="28"/>
      <x:c r="K186" s="28"/>
      <x:c r="L186" s="28"/>
      <x:c r="M186" s="28"/>
      <x:c r="N186" s="28"/>
    </x:row>
    <x:row r="187">
      <x:c r="A187" s="28"/>
      <x:c r="B187" s="28"/>
      <x:c r="C187" s="28"/>
      <x:c r="D187" s="28"/>
      <x:c r="E187" s="28"/>
      <x:c r="F187" s="28"/>
      <x:c r="G187" s="28"/>
      <x:c r="H187" s="28" t="str">
        <x:f>IF(G187="","",IF(G187="完全吻合",3,IF(G187="基本吻合",2,IF(G187="部分吻合",1,IF(G187="明显不符",0,"")))))</x:f>
      </x:c>
      <x:c r="I187" s="28"/>
      <x:c r="J187" s="28"/>
      <x:c r="K187" s="28"/>
      <x:c r="L187" s="28"/>
      <x:c r="M187" s="28"/>
      <x:c r="N187" s="28"/>
    </x:row>
    <x:row r="188">
      <x:c r="A188" s="28"/>
      <x:c r="B188" s="28"/>
      <x:c r="C188" s="28"/>
      <x:c r="D188" s="28"/>
      <x:c r="E188" s="28"/>
      <x:c r="F188" s="28"/>
      <x:c r="G188" s="28"/>
      <x:c r="H188" s="28" t="str">
        <x:f>IF(G188="","",IF(G188="完全吻合",3,IF(G188="基本吻合",2,IF(G188="部分吻合",1,IF(G188="明显不符",0,"")))))</x:f>
      </x:c>
      <x:c r="I188" s="28"/>
      <x:c r="J188" s="28"/>
      <x:c r="K188" s="28"/>
      <x:c r="L188" s="28"/>
      <x:c r="M188" s="28"/>
      <x:c r="N188" s="28"/>
    </x:row>
    <x:row r="189">
      <x:c r="A189" s="28"/>
      <x:c r="B189" s="28"/>
      <x:c r="C189" s="28"/>
      <x:c r="D189" s="28"/>
      <x:c r="E189" s="28"/>
      <x:c r="F189" s="28"/>
      <x:c r="G189" s="28"/>
      <x:c r="H189" s="28" t="str">
        <x:f>IF(G189="","",IF(G189="完全吻合",3,IF(G189="基本吻合",2,IF(G189="部分吻合",1,IF(G189="明显不符",0,"")))))</x:f>
      </x:c>
      <x:c r="I189" s="28"/>
      <x:c r="J189" s="28"/>
      <x:c r="K189" s="28"/>
      <x:c r="L189" s="28"/>
      <x:c r="M189" s="28"/>
      <x:c r="N189" s="28"/>
    </x:row>
    <x:row r="190">
      <x:c r="A190" s="28"/>
      <x:c r="B190" s="28"/>
      <x:c r="C190" s="28"/>
      <x:c r="D190" s="28"/>
      <x:c r="E190" s="28"/>
      <x:c r="F190" s="28"/>
      <x:c r="G190" s="28"/>
      <x:c r="H190" s="28" t="str">
        <x:f>IF(G190="","",IF(G190="完全吻合",3,IF(G190="基本吻合",2,IF(G190="部分吻合",1,IF(G190="明显不符",0,"")))))</x:f>
      </x:c>
      <x:c r="I190" s="28"/>
      <x:c r="J190" s="28"/>
      <x:c r="K190" s="28"/>
      <x:c r="L190" s="28"/>
      <x:c r="M190" s="28"/>
      <x:c r="N190" s="28"/>
    </x:row>
    <x:row r="191">
      <x:c r="A191" s="28"/>
      <x:c r="B191" s="28"/>
      <x:c r="C191" s="28"/>
      <x:c r="D191" s="28"/>
      <x:c r="E191" s="28"/>
      <x:c r="F191" s="28"/>
      <x:c r="G191" s="28"/>
      <x:c r="H191" s="28" t="str">
        <x:f>IF(G191="","",IF(G191="完全吻合",3,IF(G191="基本吻合",2,IF(G191="部分吻合",1,IF(G191="明显不符",0,"")))))</x:f>
      </x:c>
      <x:c r="I191" s="28"/>
      <x:c r="J191" s="28"/>
      <x:c r="K191" s="28"/>
      <x:c r="L191" s="28"/>
      <x:c r="M191" s="28"/>
      <x:c r="N191" s="28"/>
    </x:row>
    <x:row r="192">
      <x:c r="A192" s="28"/>
      <x:c r="B192" s="28"/>
      <x:c r="C192" s="28"/>
      <x:c r="D192" s="28"/>
      <x:c r="E192" s="28"/>
      <x:c r="F192" s="28"/>
      <x:c r="G192" s="28"/>
      <x:c r="H192" s="28" t="str">
        <x:f>IF(G192="","",IF(G192="完全吻合",3,IF(G192="基本吻合",2,IF(G192="部分吻合",1,IF(G192="明显不符",0,"")))))</x:f>
      </x:c>
      <x:c r="I192" s="28"/>
      <x:c r="J192" s="28"/>
      <x:c r="K192" s="28"/>
      <x:c r="L192" s="28"/>
      <x:c r="M192" s="28"/>
      <x:c r="N192" s="28"/>
    </x:row>
    <x:row r="193">
      <x:c r="A193" s="28"/>
      <x:c r="B193" s="28"/>
      <x:c r="C193" s="28"/>
      <x:c r="D193" s="28"/>
      <x:c r="E193" s="28"/>
      <x:c r="F193" s="28"/>
      <x:c r="G193" s="28"/>
      <x:c r="H193" s="28" t="str">
        <x:f>IF(G193="","",IF(G193="完全吻合",3,IF(G193="基本吻合",2,IF(G193="部分吻合",1,IF(G193="明显不符",0,"")))))</x:f>
      </x:c>
      <x:c r="I193" s="28"/>
      <x:c r="J193" s="28"/>
      <x:c r="K193" s="28"/>
      <x:c r="L193" s="28"/>
      <x:c r="M193" s="28"/>
      <x:c r="N193" s="28"/>
    </x:row>
    <x:row r="194">
      <x:c r="A194" s="28"/>
      <x:c r="B194" s="28"/>
      <x:c r="C194" s="28"/>
      <x:c r="D194" s="28"/>
      <x:c r="E194" s="28"/>
      <x:c r="F194" s="28"/>
      <x:c r="G194" s="28"/>
      <x:c r="H194" s="28" t="str">
        <x:f>IF(G194="","",IF(G194="完全吻合",3,IF(G194="基本吻合",2,IF(G194="部分吻合",1,IF(G194="明显不符",0,"")))))</x:f>
      </x:c>
      <x:c r="I194" s="28"/>
      <x:c r="J194" s="28"/>
      <x:c r="K194" s="28"/>
      <x:c r="L194" s="28"/>
      <x:c r="M194" s="28"/>
      <x:c r="N194" s="28"/>
    </x:row>
    <x:row r="195">
      <x:c r="A195" s="28"/>
      <x:c r="B195" s="28"/>
      <x:c r="C195" s="28"/>
      <x:c r="D195" s="28"/>
      <x:c r="E195" s="28"/>
      <x:c r="F195" s="28"/>
      <x:c r="G195" s="28"/>
      <x:c r="H195" s="28" t="str">
        <x:f>IF(G195="","",IF(G195="完全吻合",3,IF(G195="基本吻合",2,IF(G195="部分吻合",1,IF(G195="明显不符",0,"")))))</x:f>
      </x:c>
      <x:c r="I195" s="28"/>
      <x:c r="J195" s="28"/>
      <x:c r="K195" s="28"/>
      <x:c r="L195" s="28"/>
      <x:c r="M195" s="28"/>
      <x:c r="N195" s="28"/>
    </x:row>
    <x:row r="196">
      <x:c r="A196" s="28"/>
      <x:c r="B196" s="28"/>
      <x:c r="C196" s="28"/>
      <x:c r="D196" s="28"/>
      <x:c r="E196" s="28"/>
      <x:c r="F196" s="28"/>
      <x:c r="G196" s="28"/>
      <x:c r="H196" s="28" t="str">
        <x:f>IF(G196="","",IF(G196="完全吻合",3,IF(G196="基本吻合",2,IF(G196="部分吻合",1,IF(G196="明显不符",0,"")))))</x:f>
      </x:c>
      <x:c r="I196" s="28"/>
      <x:c r="J196" s="28"/>
      <x:c r="K196" s="28"/>
      <x:c r="L196" s="28"/>
      <x:c r="M196" s="28"/>
      <x:c r="N196" s="28"/>
    </x:row>
    <x:row r="197">
      <x:c r="A197" s="28"/>
      <x:c r="B197" s="28"/>
      <x:c r="C197" s="28"/>
      <x:c r="D197" s="28"/>
      <x:c r="E197" s="28"/>
      <x:c r="F197" s="28"/>
      <x:c r="G197" s="28"/>
      <x:c r="H197" s="28" t="str">
        <x:f>IF(G197="","",IF(G197="完全吻合",3,IF(G197="基本吻合",2,IF(G197="部分吻合",1,IF(G197="明显不符",0,"")))))</x:f>
      </x:c>
      <x:c r="I197" s="28"/>
      <x:c r="J197" s="28"/>
      <x:c r="K197" s="28"/>
      <x:c r="L197" s="28"/>
      <x:c r="M197" s="28"/>
      <x:c r="N197" s="28"/>
    </x:row>
    <x:row r="198">
      <x:c r="A198" s="28"/>
      <x:c r="B198" s="28"/>
      <x:c r="C198" s="28"/>
      <x:c r="D198" s="28"/>
      <x:c r="E198" s="28"/>
      <x:c r="F198" s="28"/>
      <x:c r="G198" s="28"/>
      <x:c r="H198" s="28" t="str">
        <x:f>IF(G198="","",IF(G198="完全吻合",3,IF(G198="基本吻合",2,IF(G198="部分吻合",1,IF(G198="明显不符",0,"")))))</x:f>
      </x:c>
      <x:c r="I198" s="28"/>
      <x:c r="J198" s="28"/>
      <x:c r="K198" s="28"/>
      <x:c r="L198" s="28"/>
      <x:c r="M198" s="28"/>
      <x:c r="N198" s="28"/>
    </x:row>
    <x:row r="199">
      <x:c r="A199" s="28"/>
      <x:c r="B199" s="28"/>
      <x:c r="C199" s="28"/>
      <x:c r="D199" s="28"/>
      <x:c r="E199" s="28"/>
      <x:c r="F199" s="28"/>
      <x:c r="G199" s="28"/>
      <x:c r="H199" s="28" t="str">
        <x:f>IF(G199="","",IF(G199="完全吻合",3,IF(G199="基本吻合",2,IF(G199="部分吻合",1,IF(G199="明显不符",0,"")))))</x:f>
      </x:c>
      <x:c r="I199" s="28"/>
      <x:c r="J199" s="28"/>
      <x:c r="K199" s="28"/>
      <x:c r="L199" s="28"/>
      <x:c r="M199" s="28"/>
      <x:c r="N199" s="28"/>
    </x:row>
    <x:row r="200">
      <x:c r="A200" s="28"/>
      <x:c r="B200" s="28"/>
      <x:c r="C200" s="28"/>
      <x:c r="D200" s="28"/>
      <x:c r="E200" s="28"/>
      <x:c r="F200" s="28"/>
      <x:c r="G200" s="28"/>
      <x:c r="H200" s="28" t="str">
        <x:f>IF(G200="","",IF(G200="完全吻合",3,IF(G200="基本吻合",2,IF(G200="部分吻合",1,IF(G200="明显不符",0,"")))))</x:f>
      </x:c>
      <x:c r="I200" s="28"/>
      <x:c r="J200" s="28"/>
      <x:c r="K200" s="28"/>
      <x:c r="L200" s="28"/>
      <x:c r="M200" s="28"/>
      <x:c r="N200" s="28"/>
    </x:row>
    <x:row r="201">
      <x:c r="A201" s="28"/>
      <x:c r="B201" s="28"/>
      <x:c r="C201" s="28"/>
      <x:c r="D201" s="28"/>
      <x:c r="E201" s="28"/>
      <x:c r="F201" s="28"/>
      <x:c r="G201" s="28"/>
      <x:c r="H201" s="28" t="str">
        <x:f>IF(G201="","",IF(G201="完全吻合",3,IF(G201="基本吻合",2,IF(G201="部分吻合",1,IF(G201="明显不符",0,"")))))</x:f>
      </x:c>
      <x:c r="I201" s="28"/>
      <x:c r="J201" s="28"/>
      <x:c r="K201" s="28"/>
      <x:c r="L201" s="28"/>
      <x:c r="M201" s="28"/>
      <x:c r="N201" s="28"/>
    </x:row>
    <x:row r="202">
      <x:c r="A202" s="28"/>
      <x:c r="B202" s="28"/>
      <x:c r="C202" s="28"/>
      <x:c r="D202" s="28"/>
      <x:c r="E202" s="28"/>
      <x:c r="F202" s="28"/>
      <x:c r="G202" s="28"/>
      <x:c r="H202" s="28" t="str">
        <x:f>IF(G202="","",IF(G202="完全吻合",3,IF(G202="基本吻合",2,IF(G202="部分吻合",1,IF(G202="明显不符",0,"")))))</x:f>
      </x:c>
      <x:c r="I202" s="28"/>
      <x:c r="J202" s="28"/>
      <x:c r="K202" s="28"/>
      <x:c r="L202" s="28"/>
      <x:c r="M202" s="28"/>
      <x:c r="N202" s="28"/>
    </x:row>
    <x:row r="203">
      <x:c r="A203" s="28"/>
      <x:c r="B203" s="28"/>
      <x:c r="C203" s="28"/>
      <x:c r="D203" s="28"/>
      <x:c r="E203" s="28"/>
      <x:c r="F203" s="28"/>
      <x:c r="G203" s="28"/>
      <x:c r="H203" s="28" t="str">
        <x:f>IF(G203="","",IF(G203="完全吻合",3,IF(G203="基本吻合",2,IF(G203="部分吻合",1,IF(G203="明显不符",0,"")))))</x:f>
      </x:c>
      <x:c r="I203" s="28"/>
      <x:c r="J203" s="28"/>
      <x:c r="K203" s="28"/>
      <x:c r="L203" s="28"/>
      <x:c r="M203" s="28"/>
      <x:c r="N203" s="28"/>
    </x:row>
    <x:row r="204">
      <x:c r="A204" s="28"/>
      <x:c r="B204" s="28"/>
      <x:c r="C204" s="28"/>
      <x:c r="D204" s="28"/>
      <x:c r="E204" s="28"/>
      <x:c r="F204" s="28"/>
      <x:c r="G204" s="28"/>
      <x:c r="H204" s="28" t="str">
        <x:f>IF(G204="","",IF(G204="完全吻合",3,IF(G204="基本吻合",2,IF(G204="部分吻合",1,IF(G204="明显不符",0,"")))))</x:f>
      </x:c>
      <x:c r="I204" s="28"/>
      <x:c r="J204" s="28"/>
      <x:c r="K204" s="28"/>
      <x:c r="L204" s="28"/>
      <x:c r="M204" s="28"/>
      <x:c r="N204" s="28"/>
    </x:row>
    <x:row r="210">
      <x:c r="A210" s="20" t="str">
        <x:v>hit_id</x:v>
      </x:c>
      <x:c r="B210" s="20" t="str">
        <x:v>case_id</x:v>
      </x:c>
      <x:c r="C210" s="20" t="str">
        <x:v>event_id</x:v>
      </x:c>
      <x:c r="D210" s="20" t="str">
        <x:v>rule_id</x:v>
      </x:c>
      <x:c r="E210" s="20" t="str">
        <x:v>模块</x:v>
      </x:c>
      <x:c r="F210" s="20" t="str">
        <x:v>候选/字段</x:v>
      </x:c>
      <x:c r="G210" s="20" t="str">
        <x:v>source_id</x:v>
      </x:c>
      <x:c r="H210" s="20" t="str">
        <x:v>dedup_group</x:v>
      </x:c>
      <x:c r="I210" s="20" t="str">
        <x:v>独立证据</x:v>
      </x:c>
      <x:c r="J210" s="20" t="str">
        <x:v>命中结果</x:v>
      </x:c>
      <x:c r="K210" s="20" t="str">
        <x:v>强度0-3</x:v>
      </x:c>
      <x:c r="L210" s="20" t="str">
        <x:v>预测时命中</x:v>
      </x:c>
      <x:c r="M210" s="20" t="str">
        <x:v>反馈后新增</x:v>
      </x:c>
      <x:c r="N210" s="20" t="str">
        <x:v>替代解释</x:v>
      </x:c>
      <x:c r="O210" s="20" t="str">
        <x:v>分析者</x:v>
      </x:c>
      <x:c r="P210" s="20" t="str">
        <x:v>备注</x:v>
      </x:c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</x:row>
    <x:row r="616">
      <x:c r="A616" s="20" t="str">
        <x:v>record_id</x:v>
      </x:c>
      <x:c r="B616" s="20" t="str">
        <x:v>case_id</x:v>
      </x:c>
      <x:c r="C616" s="20" t="str">
        <x:v>event_id</x:v>
      </x:c>
      <x:c r="D616" s="20" t="str">
        <x:v>规则/候选</x:v>
      </x:c>
      <x:c r="E616" s="20" t="str">
        <x:v>反例事实</x:v>
      </x:c>
      <x:c r="F616" s="20" t="str">
        <x:v>强度</x:v>
      </x:c>
      <x:c r="G616" s="20" t="str">
        <x:v>替代解释</x:v>
      </x:c>
      <x:c r="H616" s="20" t="str">
        <x:v>是否降级</x:v>
      </x:c>
      <x:c r="I616" s="20" t="str">
        <x:v>偏差类型</x:v>
      </x:c>
      <x:c r="J616" s="20" t="str">
        <x:v>建议动作</x:v>
      </x:c>
      <x:c r="K616" s="20" t="str">
        <x:v>状态</x:v>
      </x:c>
      <x:c r="L616" s="20" t="str">
        <x:v>备注</x:v>
      </x:c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</x:row>
  </x:sheetData>
  <x:mergeCells>
    <x:mergeCell ref="A1:P1"/>
    <x:mergeCell ref="A2:P2"/>
  </x:mergeCells>
  <x:dataValidations count="12">
    <x:dataValidation type="list" sqref="G5:G204">
      <x:formula1>"完全吻合,基本吻合,部分吻合,明显不符,不可评估"</x:formula1>
    </x:dataValidation>
    <x:dataValidation type="list" sqref="I5:J204">
      <x:formula1>"是,否,不适用"</x:formula1>
    </x:dataValidation>
    <x:dataValidation type="list" sqref="K5:K204">
      <x:formula1>"E0,E1,E2,E3,E4"</x:formula1>
    </x:dataValidation>
    <x:dataValidation type="list" sqref="E211:E610">
      <x:formula1>"BASE,MISREAD,OVERUSE,TRIGGER,LOOP,REPAIR,BUFFER,SYNTH"</x:formula1>
    </x:dataValidation>
    <x:dataValidation type="list" sqref="I211:I610">
      <x:formula1>"是,否,不适用"</x:formula1>
    </x:dataValidation>
    <x:dataValidation type="list" sqref="J211:J610">
      <x:formula1>"支持,部分支持,反例,不确定,不可评估"</x:formula1>
    </x:dataValidation>
    <x:dataValidation type="list" sqref="K211:K610">
      <x:formula1>"0,1,2,3"</x:formula1>
    </x:dataValidation>
    <x:dataValidation type="list" sqref="L211:M610">
      <x:formula1>"是,否,不适用"</x:formula1>
    </x:dataValidation>
    <x:dataValidation type="list" sqref="F617:F716">
      <x:formula1>"弱,中,强,决定性"</x:formula1>
    </x:dataValidation>
    <x:dataValidation type="list" sqref="H617:H716">
      <x:formula1>"否,部分降级,降一级,删除候选,安全停止"</x:formula1>
    </x:dataValidation>
    <x:dataValidation type="list" sqref="I617:I716">
      <x:formula1>"规则内容,命盘状态,主次排序,同源去重,证据越级,触发路由,循环推断,修复推断,保护高估,用户语言,资料不足,替代解释,安全边界"</x:formula1>
    </x:dataValidation>
    <x:dataValidation type="list" sqref="J617:J716">
      <x:formula1>"保留观察,补充资料,降权,改写,增加排除条件,停用候选,安全停止"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8" hidden="0" customWidth="1"/>
    <x:col min="16" max="16" width="18" hidden="0" customWidth="1"/>
    <x:col min="17" max="17" width="38" hidden="0" customWidth="1"/>
  </x:cols>
  <x:sheetData>
    <x:row r="1">
      <x:c r="A1" s="4" t="str">
        <x:v>活跃规则校准台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11" t="str">
        <x:v>只录入实际命中的rule_id；全量索引仍以M4总规则库V0.9为准。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>
      <x:c r="A4" s="20" t="str">
        <x:v>rule_id</x:v>
      </x:c>
      <x:c r="B4" s="20" t="str">
        <x:v>模块</x:v>
      </x:c>
      <x:c r="C4" s="20" t="str">
        <x:v>规则名称</x:v>
      </x:c>
      <x:c r="D4" s="20" t="str">
        <x:v>支持</x:v>
      </x:c>
      <x:c r="E4" s="20" t="str">
        <x:v>部分支持</x:v>
      </x:c>
      <x:c r="F4" s="20" t="str">
        <x:v>反例</x:v>
      </x:c>
      <x:c r="G4" s="20" t="str">
        <x:v>不确定</x:v>
      </x:c>
      <x:c r="H4" s="20" t="str">
        <x:v>可评</x:v>
      </x:c>
      <x:c r="I4" s="20" t="str">
        <x:v>支持率</x:v>
      </x:c>
      <x:c r="J4" s="20" t="str">
        <x:v>平滑率</x:v>
      </x:c>
      <x:c r="K4" s="20" t="str">
        <x:v>平均强度</x:v>
      </x:c>
      <x:c r="L4" s="20" t="str">
        <x:v>预测前命中</x:v>
      </x:c>
      <x:c r="M4" s="20" t="str">
        <x:v>反馈后新增</x:v>
      </x:c>
      <x:c r="N4" s="20" t="str">
        <x:v>自动建议</x:v>
      </x:c>
      <x:c r="O4" s="20" t="str">
        <x:v>建议状态</x:v>
      </x:c>
      <x:c r="P4" s="20" t="str">
        <x:v>人工结论</x:v>
      </x:c>
      <x:c r="Q4" s="20" t="str">
        <x:v>备注</x:v>
      </x:c>
    </x:row>
    <x:row r="5">
      <x:c r="A5" s="28"/>
      <x:c r="B5" s="28"/>
      <x:c r="C5" s="28"/>
      <x:c r="D5" s="28" t="n">
        <x:f>COUNTIFS('03_核验日志'!$D$211:$D$610,$A5,'03_核验日志'!$J$211:$J$610,"支持")</x:f>
        <x:v>0</x:v>
      </x:c>
      <x:c r="E5" s="28" t="n">
        <x:f>COUNTIFS('03_核验日志'!$D$211:$D$610,$A5,'03_核验日志'!$J$211:$J$610,"部分支持")</x:f>
        <x:v>0</x:v>
      </x:c>
      <x:c r="F5" s="28" t="n">
        <x:f>COUNTIFS('03_核验日志'!$D$211:$D$610,$A5,'03_核验日志'!$J$211:$J$610,"反例")</x:f>
        <x:v>0</x:v>
      </x:c>
      <x:c r="G5" s="28" t="n">
        <x:f>COUNTIFS('03_核验日志'!$D$211:$D$610,$A5,'03_核验日志'!$J$211:$J$610,"不确定")</x:f>
        <x:v>0</x:v>
      </x:c>
      <x:c r="H5" s="28" t="n">
        <x:f>D5+E5+F5</x:f>
        <x:v>0</x:v>
      </x:c>
      <x:c r="I5" s="36" t="str">
        <x:f>IF(H5=0,"",(D5+0.5*E5)/H5)</x:f>
      </x:c>
      <x:c r="J5" s="36" t="str">
        <x:f>IF(H5=0,"",(D5+0.5*E5+1)/(H5+2))</x:f>
      </x:c>
      <x:c r="K5" s="38" t="str">
        <x:f>IF((H5+G5)=0,"",SUMIFS('03_核验日志'!$K$211:$K$610,'03_核验日志'!$D$211:$D$610,$A5,'03_核验日志'!$J$211:$J$610,"&lt;&gt;不可评估")/(H5+G5))</x:f>
      </x:c>
      <x:c r="L5" s="28" t="n">
        <x:f>COUNTIFS('03_核验日志'!$D$211:$D$610,$A5,'03_核验日志'!$L$211:$L$610,"是")</x:f>
        <x:v>0</x:v>
      </x:c>
      <x:c r="M5" s="28" t="n">
        <x:f>COUNTIFS('03_核验日志'!$D$211:$D$610,$A5,'03_核验日志'!$M$211:$M$610,"是")</x:f>
        <x:v>0</x:v>
      </x:c>
      <x:c r="N5" s="28" t="str">
        <x:f>IF(A5="","",IF(H5&lt;5,"样本不足",IF(AND(H5&gt;=20,J5&gt;=0.75,F5&lt;=2),"升级验证候选",IF(AND(H5&gt;=10,J5&lt;0.45,F5&gt;=3),"降权/停用候选",IF(AND(H5&gt;=8,F5&gt;=3),"优先修订","保留观察")))))</x:f>
      </x:c>
      <x:c r="O5" s="28" t="str">
        <x:f>IF(N5="升级验证候选","已验证候选",IF(N5="优先修订","需修改",IF(N5="降权/停用候选","停用候选","待验证")))</x:f>
        <x:v>待验证</x:v>
      </x:c>
      <x:c r="P5" s="28"/>
      <x:c r="Q5" s="28"/>
    </x:row>
    <x:row r="6">
      <x:c r="A6" s="28"/>
      <x:c r="B6" s="28"/>
      <x:c r="C6" s="28"/>
      <x:c r="D6" s="28" t="n">
        <x:f>COUNTIFS('03_核验日志'!$D$211:$D$610,$A6,'03_核验日志'!$J$211:$J$610,"支持")</x:f>
        <x:v>0</x:v>
      </x:c>
      <x:c r="E6" s="28" t="n">
        <x:f>COUNTIFS('03_核验日志'!$D$211:$D$610,$A6,'03_核验日志'!$J$211:$J$610,"部分支持")</x:f>
        <x:v>0</x:v>
      </x:c>
      <x:c r="F6" s="28" t="n">
        <x:f>COUNTIFS('03_核验日志'!$D$211:$D$610,$A6,'03_核验日志'!$J$211:$J$610,"反例")</x:f>
        <x:v>0</x:v>
      </x:c>
      <x:c r="G6" s="28" t="n">
        <x:f>COUNTIFS('03_核验日志'!$D$211:$D$610,$A6,'03_核验日志'!$J$211:$J$610,"不确定")</x:f>
        <x:v>0</x:v>
      </x:c>
      <x:c r="H6" s="28" t="n">
        <x:f>D6+E6+F6</x:f>
        <x:v>0</x:v>
      </x:c>
      <x:c r="I6" s="36" t="str">
        <x:f>IF(H6=0,"",(D6+0.5*E6)/H6)</x:f>
      </x:c>
      <x:c r="J6" s="36" t="str">
        <x:f>IF(H6=0,"",(D6+0.5*E6+1)/(H6+2))</x:f>
      </x:c>
      <x:c r="K6" s="38" t="str">
        <x:f>IF((H6+G6)=0,"",SUMIFS('03_核验日志'!$K$211:$K$610,'03_核验日志'!$D$211:$D$610,$A6,'03_核验日志'!$J$211:$J$610,"&lt;&gt;不可评估")/(H6+G6))</x:f>
      </x:c>
      <x:c r="L6" s="28" t="n">
        <x:f>COUNTIFS('03_核验日志'!$D$211:$D$610,$A6,'03_核验日志'!$L$211:$L$610,"是")</x:f>
        <x:v>0</x:v>
      </x:c>
      <x:c r="M6" s="28" t="n">
        <x:f>COUNTIFS('03_核验日志'!$D$211:$D$610,$A6,'03_核验日志'!$M$211:$M$610,"是")</x:f>
        <x:v>0</x:v>
      </x:c>
      <x:c r="N6" s="28" t="str">
        <x:f>IF(A6="","",IF(H6&lt;5,"样本不足",IF(AND(H6&gt;=20,J6&gt;=0.75,F6&lt;=2),"升级验证候选",IF(AND(H6&gt;=10,J6&lt;0.45,F6&gt;=3),"降权/停用候选",IF(AND(H6&gt;=8,F6&gt;=3),"优先修订","保留观察")))))</x:f>
      </x:c>
      <x:c r="O6" s="28" t="str">
        <x:f>IF(N6="升级验证候选","已验证候选",IF(N6="优先修订","需修改",IF(N6="降权/停用候选","停用候选","待验证")))</x:f>
        <x:v>待验证</x:v>
      </x:c>
      <x:c r="P6" s="28"/>
      <x:c r="Q6" s="28"/>
    </x:row>
    <x:row r="7">
      <x:c r="A7" s="28"/>
      <x:c r="B7" s="28"/>
      <x:c r="C7" s="28"/>
      <x:c r="D7" s="28" t="n">
        <x:f>COUNTIFS('03_核验日志'!$D$211:$D$610,$A7,'03_核验日志'!$J$211:$J$610,"支持")</x:f>
        <x:v>0</x:v>
      </x:c>
      <x:c r="E7" s="28" t="n">
        <x:f>COUNTIFS('03_核验日志'!$D$211:$D$610,$A7,'03_核验日志'!$J$211:$J$610,"部分支持")</x:f>
        <x:v>0</x:v>
      </x:c>
      <x:c r="F7" s="28" t="n">
        <x:f>COUNTIFS('03_核验日志'!$D$211:$D$610,$A7,'03_核验日志'!$J$211:$J$610,"反例")</x:f>
        <x:v>0</x:v>
      </x:c>
      <x:c r="G7" s="28" t="n">
        <x:f>COUNTIFS('03_核验日志'!$D$211:$D$610,$A7,'03_核验日志'!$J$211:$J$610,"不确定")</x:f>
        <x:v>0</x:v>
      </x:c>
      <x:c r="H7" s="28" t="n">
        <x:f>D7+E7+F7</x:f>
        <x:v>0</x:v>
      </x:c>
      <x:c r="I7" s="36" t="str">
        <x:f>IF(H7=0,"",(D7+0.5*E7)/H7)</x:f>
      </x:c>
      <x:c r="J7" s="36" t="str">
        <x:f>IF(H7=0,"",(D7+0.5*E7+1)/(H7+2))</x:f>
      </x:c>
      <x:c r="K7" s="38" t="str">
        <x:f>IF((H7+G7)=0,"",SUMIFS('03_核验日志'!$K$211:$K$610,'03_核验日志'!$D$211:$D$610,$A7,'03_核验日志'!$J$211:$J$610,"&lt;&gt;不可评估")/(H7+G7))</x:f>
      </x:c>
      <x:c r="L7" s="28" t="n">
        <x:f>COUNTIFS('03_核验日志'!$D$211:$D$610,$A7,'03_核验日志'!$L$211:$L$610,"是")</x:f>
        <x:v>0</x:v>
      </x:c>
      <x:c r="M7" s="28" t="n">
        <x:f>COUNTIFS('03_核验日志'!$D$211:$D$610,$A7,'03_核验日志'!$M$211:$M$610,"是")</x:f>
        <x:v>0</x:v>
      </x:c>
      <x:c r="N7" s="28" t="str">
        <x:f>IF(A7="","",IF(H7&lt;5,"样本不足",IF(AND(H7&gt;=20,J7&gt;=0.75,F7&lt;=2),"升级验证候选",IF(AND(H7&gt;=10,J7&lt;0.45,F7&gt;=3),"降权/停用候选",IF(AND(H7&gt;=8,F7&gt;=3),"优先修订","保留观察")))))</x:f>
      </x:c>
      <x:c r="O7" s="28" t="str">
        <x:f>IF(N7="升级验证候选","已验证候选",IF(N7="优先修订","需修改",IF(N7="降权/停用候选","停用候选","待验证")))</x:f>
        <x:v>待验证</x:v>
      </x:c>
      <x:c r="P7" s="28"/>
      <x:c r="Q7" s="28"/>
    </x:row>
    <x:row r="8">
      <x:c r="A8" s="28"/>
      <x:c r="B8" s="28"/>
      <x:c r="C8" s="28"/>
      <x:c r="D8" s="28" t="n">
        <x:f>COUNTIFS('03_核验日志'!$D$211:$D$610,$A8,'03_核验日志'!$J$211:$J$610,"支持")</x:f>
        <x:v>0</x:v>
      </x:c>
      <x:c r="E8" s="28" t="n">
        <x:f>COUNTIFS('03_核验日志'!$D$211:$D$610,$A8,'03_核验日志'!$J$211:$J$610,"部分支持")</x:f>
        <x:v>0</x:v>
      </x:c>
      <x:c r="F8" s="28" t="n">
        <x:f>COUNTIFS('03_核验日志'!$D$211:$D$610,$A8,'03_核验日志'!$J$211:$J$610,"反例")</x:f>
        <x:v>0</x:v>
      </x:c>
      <x:c r="G8" s="28" t="n">
        <x:f>COUNTIFS('03_核验日志'!$D$211:$D$610,$A8,'03_核验日志'!$J$211:$J$610,"不确定")</x:f>
        <x:v>0</x:v>
      </x:c>
      <x:c r="H8" s="28" t="n">
        <x:f>D8+E8+F8</x:f>
        <x:v>0</x:v>
      </x:c>
      <x:c r="I8" s="36" t="str">
        <x:f>IF(H8=0,"",(D8+0.5*E8)/H8)</x:f>
      </x:c>
      <x:c r="J8" s="36" t="str">
        <x:f>IF(H8=0,"",(D8+0.5*E8+1)/(H8+2))</x:f>
      </x:c>
      <x:c r="K8" s="38" t="str">
        <x:f>IF((H8+G8)=0,"",SUMIFS('03_核验日志'!$K$211:$K$610,'03_核验日志'!$D$211:$D$610,$A8,'03_核验日志'!$J$211:$J$610,"&lt;&gt;不可评估")/(H8+G8))</x:f>
      </x:c>
      <x:c r="L8" s="28" t="n">
        <x:f>COUNTIFS('03_核验日志'!$D$211:$D$610,$A8,'03_核验日志'!$L$211:$L$610,"是")</x:f>
        <x:v>0</x:v>
      </x:c>
      <x:c r="M8" s="28" t="n">
        <x:f>COUNTIFS('03_核验日志'!$D$211:$D$610,$A8,'03_核验日志'!$M$211:$M$610,"是")</x:f>
        <x:v>0</x:v>
      </x:c>
      <x:c r="N8" s="28" t="str">
        <x:f>IF(A8="","",IF(H8&lt;5,"样本不足",IF(AND(H8&gt;=20,J8&gt;=0.75,F8&lt;=2),"升级验证候选",IF(AND(H8&gt;=10,J8&lt;0.45,F8&gt;=3),"降权/停用候选",IF(AND(H8&gt;=8,F8&gt;=3),"优先修订","保留观察")))))</x:f>
      </x:c>
      <x:c r="O8" s="28" t="str">
        <x:f>IF(N8="升级验证候选","已验证候选",IF(N8="优先修订","需修改",IF(N8="降权/停用候选","停用候选","待验证")))</x:f>
        <x:v>待验证</x:v>
      </x:c>
      <x:c r="P8" s="28"/>
      <x:c r="Q8" s="28"/>
    </x:row>
    <x:row r="9">
      <x:c r="A9" s="28"/>
      <x:c r="B9" s="28"/>
      <x:c r="C9" s="28"/>
      <x:c r="D9" s="28" t="n">
        <x:f>COUNTIFS('03_核验日志'!$D$211:$D$610,$A9,'03_核验日志'!$J$211:$J$610,"支持")</x:f>
        <x:v>0</x:v>
      </x:c>
      <x:c r="E9" s="28" t="n">
        <x:f>COUNTIFS('03_核验日志'!$D$211:$D$610,$A9,'03_核验日志'!$J$211:$J$610,"部分支持")</x:f>
        <x:v>0</x:v>
      </x:c>
      <x:c r="F9" s="28" t="n">
        <x:f>COUNTIFS('03_核验日志'!$D$211:$D$610,$A9,'03_核验日志'!$J$211:$J$610,"反例")</x:f>
        <x:v>0</x:v>
      </x:c>
      <x:c r="G9" s="28" t="n">
        <x:f>COUNTIFS('03_核验日志'!$D$211:$D$610,$A9,'03_核验日志'!$J$211:$J$610,"不确定")</x:f>
        <x:v>0</x:v>
      </x:c>
      <x:c r="H9" s="28" t="n">
        <x:f>D9+E9+F9</x:f>
        <x:v>0</x:v>
      </x:c>
      <x:c r="I9" s="36" t="str">
        <x:f>IF(H9=0,"",(D9+0.5*E9)/H9)</x:f>
      </x:c>
      <x:c r="J9" s="36" t="str">
        <x:f>IF(H9=0,"",(D9+0.5*E9+1)/(H9+2))</x:f>
      </x:c>
      <x:c r="K9" s="38" t="str">
        <x:f>IF((H9+G9)=0,"",SUMIFS('03_核验日志'!$K$211:$K$610,'03_核验日志'!$D$211:$D$610,$A9,'03_核验日志'!$J$211:$J$610,"&lt;&gt;不可评估")/(H9+G9))</x:f>
      </x:c>
      <x:c r="L9" s="28" t="n">
        <x:f>COUNTIFS('03_核验日志'!$D$211:$D$610,$A9,'03_核验日志'!$L$211:$L$610,"是")</x:f>
        <x:v>0</x:v>
      </x:c>
      <x:c r="M9" s="28" t="n">
        <x:f>COUNTIFS('03_核验日志'!$D$211:$D$610,$A9,'03_核验日志'!$M$211:$M$610,"是")</x:f>
        <x:v>0</x:v>
      </x:c>
      <x:c r="N9" s="28" t="str">
        <x:f>IF(A9="","",IF(H9&lt;5,"样本不足",IF(AND(H9&gt;=20,J9&gt;=0.75,F9&lt;=2),"升级验证候选",IF(AND(H9&gt;=10,J9&lt;0.45,F9&gt;=3),"降权/停用候选",IF(AND(H9&gt;=8,F9&gt;=3),"优先修订","保留观察")))))</x:f>
      </x:c>
      <x:c r="O9" s="28" t="str">
        <x:f>IF(N9="升级验证候选","已验证候选",IF(N9="优先修订","需修改",IF(N9="降权/停用候选","停用候选","待验证")))</x:f>
        <x:v>待验证</x:v>
      </x:c>
      <x:c r="P9" s="28"/>
      <x:c r="Q9" s="28"/>
    </x:row>
    <x:row r="10">
      <x:c r="A10" s="28"/>
      <x:c r="B10" s="28"/>
      <x:c r="C10" s="28"/>
      <x:c r="D10" s="28" t="n">
        <x:f>COUNTIFS('03_核验日志'!$D$211:$D$610,$A10,'03_核验日志'!$J$211:$J$610,"支持")</x:f>
        <x:v>0</x:v>
      </x:c>
      <x:c r="E10" s="28" t="n">
        <x:f>COUNTIFS('03_核验日志'!$D$211:$D$610,$A10,'03_核验日志'!$J$211:$J$610,"部分支持")</x:f>
        <x:v>0</x:v>
      </x:c>
      <x:c r="F10" s="28" t="n">
        <x:f>COUNTIFS('03_核验日志'!$D$211:$D$610,$A10,'03_核验日志'!$J$211:$J$610,"反例")</x:f>
        <x:v>0</x:v>
      </x:c>
      <x:c r="G10" s="28" t="n">
        <x:f>COUNTIFS('03_核验日志'!$D$211:$D$610,$A10,'03_核验日志'!$J$211:$J$610,"不确定")</x:f>
        <x:v>0</x:v>
      </x:c>
      <x:c r="H10" s="28" t="n">
        <x:f>D10+E10+F10</x:f>
        <x:v>0</x:v>
      </x:c>
      <x:c r="I10" s="36" t="str">
        <x:f>IF(H10=0,"",(D10+0.5*E10)/H10)</x:f>
      </x:c>
      <x:c r="J10" s="36" t="str">
        <x:f>IF(H10=0,"",(D10+0.5*E10+1)/(H10+2))</x:f>
      </x:c>
      <x:c r="K10" s="38" t="str">
        <x:f>IF((H10+G10)=0,"",SUMIFS('03_核验日志'!$K$211:$K$610,'03_核验日志'!$D$211:$D$610,$A10,'03_核验日志'!$J$211:$J$610,"&lt;&gt;不可评估")/(H10+G10))</x:f>
      </x:c>
      <x:c r="L10" s="28" t="n">
        <x:f>COUNTIFS('03_核验日志'!$D$211:$D$610,$A10,'03_核验日志'!$L$211:$L$610,"是")</x:f>
        <x:v>0</x:v>
      </x:c>
      <x:c r="M10" s="28" t="n">
        <x:f>COUNTIFS('03_核验日志'!$D$211:$D$610,$A10,'03_核验日志'!$M$211:$M$610,"是")</x:f>
        <x:v>0</x:v>
      </x:c>
      <x:c r="N10" s="28" t="str">
        <x:f>IF(A10="","",IF(H10&lt;5,"样本不足",IF(AND(H10&gt;=20,J10&gt;=0.75,F10&lt;=2),"升级验证候选",IF(AND(H10&gt;=10,J10&lt;0.45,F10&gt;=3),"降权/停用候选",IF(AND(H10&gt;=8,F10&gt;=3),"优先修订","保留观察")))))</x:f>
      </x:c>
      <x:c r="O10" s="28" t="str">
        <x:f>IF(N10="升级验证候选","已验证候选",IF(N10="优先修订","需修改",IF(N10="降权/停用候选","停用候选","待验证")))</x:f>
        <x:v>待验证</x:v>
      </x:c>
      <x:c r="P10" s="28"/>
      <x:c r="Q10" s="28"/>
    </x:row>
    <x:row r="11">
      <x:c r="A11" s="28"/>
      <x:c r="B11" s="28"/>
      <x:c r="C11" s="28"/>
      <x:c r="D11" s="28" t="n">
        <x:f>COUNTIFS('03_核验日志'!$D$211:$D$610,$A11,'03_核验日志'!$J$211:$J$610,"支持")</x:f>
        <x:v>0</x:v>
      </x:c>
      <x:c r="E11" s="28" t="n">
        <x:f>COUNTIFS('03_核验日志'!$D$211:$D$610,$A11,'03_核验日志'!$J$211:$J$610,"部分支持")</x:f>
        <x:v>0</x:v>
      </x:c>
      <x:c r="F11" s="28" t="n">
        <x:f>COUNTIFS('03_核验日志'!$D$211:$D$610,$A11,'03_核验日志'!$J$211:$J$610,"反例")</x:f>
        <x:v>0</x:v>
      </x:c>
      <x:c r="G11" s="28" t="n">
        <x:f>COUNTIFS('03_核验日志'!$D$211:$D$610,$A11,'03_核验日志'!$J$211:$J$610,"不确定")</x:f>
        <x:v>0</x:v>
      </x:c>
      <x:c r="H11" s="28" t="n">
        <x:f>D11+E11+F11</x:f>
        <x:v>0</x:v>
      </x:c>
      <x:c r="I11" s="36" t="str">
        <x:f>IF(H11=0,"",(D11+0.5*E11)/H11)</x:f>
      </x:c>
      <x:c r="J11" s="36" t="str">
        <x:f>IF(H11=0,"",(D11+0.5*E11+1)/(H11+2))</x:f>
      </x:c>
      <x:c r="K11" s="38" t="str">
        <x:f>IF((H11+G11)=0,"",SUMIFS('03_核验日志'!$K$211:$K$610,'03_核验日志'!$D$211:$D$610,$A11,'03_核验日志'!$J$211:$J$610,"&lt;&gt;不可评估")/(H11+G11))</x:f>
      </x:c>
      <x:c r="L11" s="28" t="n">
        <x:f>COUNTIFS('03_核验日志'!$D$211:$D$610,$A11,'03_核验日志'!$L$211:$L$610,"是")</x:f>
        <x:v>0</x:v>
      </x:c>
      <x:c r="M11" s="28" t="n">
        <x:f>COUNTIFS('03_核验日志'!$D$211:$D$610,$A11,'03_核验日志'!$M$211:$M$610,"是")</x:f>
        <x:v>0</x:v>
      </x:c>
      <x:c r="N11" s="28" t="str">
        <x:f>IF(A11="","",IF(H11&lt;5,"样本不足",IF(AND(H11&gt;=20,J11&gt;=0.75,F11&lt;=2),"升级验证候选",IF(AND(H11&gt;=10,J11&lt;0.45,F11&gt;=3),"降权/停用候选",IF(AND(H11&gt;=8,F11&gt;=3),"优先修订","保留观察")))))</x:f>
      </x:c>
      <x:c r="O11" s="28" t="str">
        <x:f>IF(N11="升级验证候选","已验证候选",IF(N11="优先修订","需修改",IF(N11="降权/停用候选","停用候选","待验证")))</x:f>
        <x:v>待验证</x:v>
      </x:c>
      <x:c r="P11" s="28"/>
      <x:c r="Q11" s="28"/>
    </x:row>
    <x:row r="12">
      <x:c r="A12" s="28"/>
      <x:c r="B12" s="28"/>
      <x:c r="C12" s="28"/>
      <x:c r="D12" s="28" t="n">
        <x:f>COUNTIFS('03_核验日志'!$D$211:$D$610,$A12,'03_核验日志'!$J$211:$J$610,"支持")</x:f>
        <x:v>0</x:v>
      </x:c>
      <x:c r="E12" s="28" t="n">
        <x:f>COUNTIFS('03_核验日志'!$D$211:$D$610,$A12,'03_核验日志'!$J$211:$J$610,"部分支持")</x:f>
        <x:v>0</x:v>
      </x:c>
      <x:c r="F12" s="28" t="n">
        <x:f>COUNTIFS('03_核验日志'!$D$211:$D$610,$A12,'03_核验日志'!$J$211:$J$610,"反例")</x:f>
        <x:v>0</x:v>
      </x:c>
      <x:c r="G12" s="28" t="n">
        <x:f>COUNTIFS('03_核验日志'!$D$211:$D$610,$A12,'03_核验日志'!$J$211:$J$610,"不确定")</x:f>
        <x:v>0</x:v>
      </x:c>
      <x:c r="H12" s="28" t="n">
        <x:f>D12+E12+F12</x:f>
        <x:v>0</x:v>
      </x:c>
      <x:c r="I12" s="36" t="str">
        <x:f>IF(H12=0,"",(D12+0.5*E12)/H12)</x:f>
      </x:c>
      <x:c r="J12" s="36" t="str">
        <x:f>IF(H12=0,"",(D12+0.5*E12+1)/(H12+2))</x:f>
      </x:c>
      <x:c r="K12" s="38" t="str">
        <x:f>IF((H12+G12)=0,"",SUMIFS('03_核验日志'!$K$211:$K$610,'03_核验日志'!$D$211:$D$610,$A12,'03_核验日志'!$J$211:$J$610,"&lt;&gt;不可评估")/(H12+G12))</x:f>
      </x:c>
      <x:c r="L12" s="28" t="n">
        <x:f>COUNTIFS('03_核验日志'!$D$211:$D$610,$A12,'03_核验日志'!$L$211:$L$610,"是")</x:f>
        <x:v>0</x:v>
      </x:c>
      <x:c r="M12" s="28" t="n">
        <x:f>COUNTIFS('03_核验日志'!$D$211:$D$610,$A12,'03_核验日志'!$M$211:$M$610,"是")</x:f>
        <x:v>0</x:v>
      </x:c>
      <x:c r="N12" s="28" t="str">
        <x:f>IF(A12="","",IF(H12&lt;5,"样本不足",IF(AND(H12&gt;=20,J12&gt;=0.75,F12&lt;=2),"升级验证候选",IF(AND(H12&gt;=10,J12&lt;0.45,F12&gt;=3),"降权/停用候选",IF(AND(H12&gt;=8,F12&gt;=3),"优先修订","保留观察")))))</x:f>
      </x:c>
      <x:c r="O12" s="28" t="str">
        <x:f>IF(N12="升级验证候选","已验证候选",IF(N12="优先修订","需修改",IF(N12="降权/停用候选","停用候选","待验证")))</x:f>
        <x:v>待验证</x:v>
      </x:c>
      <x:c r="P12" s="28"/>
      <x:c r="Q12" s="28"/>
    </x:row>
    <x:row r="13">
      <x:c r="A13" s="28"/>
      <x:c r="B13" s="28"/>
      <x:c r="C13" s="28"/>
      <x:c r="D13" s="28" t="n">
        <x:f>COUNTIFS('03_核验日志'!$D$211:$D$610,$A13,'03_核验日志'!$J$211:$J$610,"支持")</x:f>
        <x:v>0</x:v>
      </x:c>
      <x:c r="E13" s="28" t="n">
        <x:f>COUNTIFS('03_核验日志'!$D$211:$D$610,$A13,'03_核验日志'!$J$211:$J$610,"部分支持")</x:f>
        <x:v>0</x:v>
      </x:c>
      <x:c r="F13" s="28" t="n">
        <x:f>COUNTIFS('03_核验日志'!$D$211:$D$610,$A13,'03_核验日志'!$J$211:$J$610,"反例")</x:f>
        <x:v>0</x:v>
      </x:c>
      <x:c r="G13" s="28" t="n">
        <x:f>COUNTIFS('03_核验日志'!$D$211:$D$610,$A13,'03_核验日志'!$J$211:$J$610,"不确定")</x:f>
        <x:v>0</x:v>
      </x:c>
      <x:c r="H13" s="28" t="n">
        <x:f>D13+E13+F13</x:f>
        <x:v>0</x:v>
      </x:c>
      <x:c r="I13" s="36" t="str">
        <x:f>IF(H13=0,"",(D13+0.5*E13)/H13)</x:f>
      </x:c>
      <x:c r="J13" s="36" t="str">
        <x:f>IF(H13=0,"",(D13+0.5*E13+1)/(H13+2))</x:f>
      </x:c>
      <x:c r="K13" s="38" t="str">
        <x:f>IF((H13+G13)=0,"",SUMIFS('03_核验日志'!$K$211:$K$610,'03_核验日志'!$D$211:$D$610,$A13,'03_核验日志'!$J$211:$J$610,"&lt;&gt;不可评估")/(H13+G13))</x:f>
      </x:c>
      <x:c r="L13" s="28" t="n">
        <x:f>COUNTIFS('03_核验日志'!$D$211:$D$610,$A13,'03_核验日志'!$L$211:$L$610,"是")</x:f>
        <x:v>0</x:v>
      </x:c>
      <x:c r="M13" s="28" t="n">
        <x:f>COUNTIFS('03_核验日志'!$D$211:$D$610,$A13,'03_核验日志'!$M$211:$M$610,"是")</x:f>
        <x:v>0</x:v>
      </x:c>
      <x:c r="N13" s="28" t="str">
        <x:f>IF(A13="","",IF(H13&lt;5,"样本不足",IF(AND(H13&gt;=20,J13&gt;=0.75,F13&lt;=2),"升级验证候选",IF(AND(H13&gt;=10,J13&lt;0.45,F13&gt;=3),"降权/停用候选",IF(AND(H13&gt;=8,F13&gt;=3),"优先修订","保留观察")))))</x:f>
      </x:c>
      <x:c r="O13" s="28" t="str">
        <x:f>IF(N13="升级验证候选","已验证候选",IF(N13="优先修订","需修改",IF(N13="降权/停用候选","停用候选","待验证")))</x:f>
        <x:v>待验证</x:v>
      </x:c>
      <x:c r="P13" s="28"/>
      <x:c r="Q13" s="28"/>
    </x:row>
    <x:row r="14">
      <x:c r="A14" s="28"/>
      <x:c r="B14" s="28"/>
      <x:c r="C14" s="28"/>
      <x:c r="D14" s="28" t="n">
        <x:f>COUNTIFS('03_核验日志'!$D$211:$D$610,$A14,'03_核验日志'!$J$211:$J$610,"支持")</x:f>
        <x:v>0</x:v>
      </x:c>
      <x:c r="E14" s="28" t="n">
        <x:f>COUNTIFS('03_核验日志'!$D$211:$D$610,$A14,'03_核验日志'!$J$211:$J$610,"部分支持")</x:f>
        <x:v>0</x:v>
      </x:c>
      <x:c r="F14" s="28" t="n">
        <x:f>COUNTIFS('03_核验日志'!$D$211:$D$610,$A14,'03_核验日志'!$J$211:$J$610,"反例")</x:f>
        <x:v>0</x:v>
      </x:c>
      <x:c r="G14" s="28" t="n">
        <x:f>COUNTIFS('03_核验日志'!$D$211:$D$610,$A14,'03_核验日志'!$J$211:$J$610,"不确定")</x:f>
        <x:v>0</x:v>
      </x:c>
      <x:c r="H14" s="28" t="n">
        <x:f>D14+E14+F14</x:f>
        <x:v>0</x:v>
      </x:c>
      <x:c r="I14" s="36" t="str">
        <x:f>IF(H14=0,"",(D14+0.5*E14)/H14)</x:f>
      </x:c>
      <x:c r="J14" s="36" t="str">
        <x:f>IF(H14=0,"",(D14+0.5*E14+1)/(H14+2))</x:f>
      </x:c>
      <x:c r="K14" s="38" t="str">
        <x:f>IF((H14+G14)=0,"",SUMIFS('03_核验日志'!$K$211:$K$610,'03_核验日志'!$D$211:$D$610,$A14,'03_核验日志'!$J$211:$J$610,"&lt;&gt;不可评估")/(H14+G14))</x:f>
      </x:c>
      <x:c r="L14" s="28" t="n">
        <x:f>COUNTIFS('03_核验日志'!$D$211:$D$610,$A14,'03_核验日志'!$L$211:$L$610,"是")</x:f>
        <x:v>0</x:v>
      </x:c>
      <x:c r="M14" s="28" t="n">
        <x:f>COUNTIFS('03_核验日志'!$D$211:$D$610,$A14,'03_核验日志'!$M$211:$M$610,"是")</x:f>
        <x:v>0</x:v>
      </x:c>
      <x:c r="N14" s="28" t="str">
        <x:f>IF(A14="","",IF(H14&lt;5,"样本不足",IF(AND(H14&gt;=20,J14&gt;=0.75,F14&lt;=2),"升级验证候选",IF(AND(H14&gt;=10,J14&lt;0.45,F14&gt;=3),"降权/停用候选",IF(AND(H14&gt;=8,F14&gt;=3),"优先修订","保留观察")))))</x:f>
      </x:c>
      <x:c r="O14" s="28" t="str">
        <x:f>IF(N14="升级验证候选","已验证候选",IF(N14="优先修订","需修改",IF(N14="降权/停用候选","停用候选","待验证")))</x:f>
        <x:v>待验证</x:v>
      </x:c>
      <x:c r="P14" s="28"/>
      <x:c r="Q14" s="28"/>
    </x:row>
    <x:row r="15">
      <x:c r="A15" s="28"/>
      <x:c r="B15" s="28"/>
      <x:c r="C15" s="28"/>
      <x:c r="D15" s="28" t="n">
        <x:f>COUNTIFS('03_核验日志'!$D$211:$D$610,$A15,'03_核验日志'!$J$211:$J$610,"支持")</x:f>
        <x:v>0</x:v>
      </x:c>
      <x:c r="E15" s="28" t="n">
        <x:f>COUNTIFS('03_核验日志'!$D$211:$D$610,$A15,'03_核验日志'!$J$211:$J$610,"部分支持")</x:f>
        <x:v>0</x:v>
      </x:c>
      <x:c r="F15" s="28" t="n">
        <x:f>COUNTIFS('03_核验日志'!$D$211:$D$610,$A15,'03_核验日志'!$J$211:$J$610,"反例")</x:f>
        <x:v>0</x:v>
      </x:c>
      <x:c r="G15" s="28" t="n">
        <x:f>COUNTIFS('03_核验日志'!$D$211:$D$610,$A15,'03_核验日志'!$J$211:$J$610,"不确定")</x:f>
        <x:v>0</x:v>
      </x:c>
      <x:c r="H15" s="28" t="n">
        <x:f>D15+E15+F15</x:f>
        <x:v>0</x:v>
      </x:c>
      <x:c r="I15" s="36" t="str">
        <x:f>IF(H15=0,"",(D15+0.5*E15)/H15)</x:f>
      </x:c>
      <x:c r="J15" s="36" t="str">
        <x:f>IF(H15=0,"",(D15+0.5*E15+1)/(H15+2))</x:f>
      </x:c>
      <x:c r="K15" s="38" t="str">
        <x:f>IF((H15+G15)=0,"",SUMIFS('03_核验日志'!$K$211:$K$610,'03_核验日志'!$D$211:$D$610,$A15,'03_核验日志'!$J$211:$J$610,"&lt;&gt;不可评估")/(H15+G15))</x:f>
      </x:c>
      <x:c r="L15" s="28" t="n">
        <x:f>COUNTIFS('03_核验日志'!$D$211:$D$610,$A15,'03_核验日志'!$L$211:$L$610,"是")</x:f>
        <x:v>0</x:v>
      </x:c>
      <x:c r="M15" s="28" t="n">
        <x:f>COUNTIFS('03_核验日志'!$D$211:$D$610,$A15,'03_核验日志'!$M$211:$M$610,"是")</x:f>
        <x:v>0</x:v>
      </x:c>
      <x:c r="N15" s="28" t="str">
        <x:f>IF(A15="","",IF(H15&lt;5,"样本不足",IF(AND(H15&gt;=20,J15&gt;=0.75,F15&lt;=2),"升级验证候选",IF(AND(H15&gt;=10,J15&lt;0.45,F15&gt;=3),"降权/停用候选",IF(AND(H15&gt;=8,F15&gt;=3),"优先修订","保留观察")))))</x:f>
      </x:c>
      <x:c r="O15" s="28" t="str">
        <x:f>IF(N15="升级验证候选","已验证候选",IF(N15="优先修订","需修改",IF(N15="降权/停用候选","停用候选","待验证")))</x:f>
        <x:v>待验证</x:v>
      </x:c>
      <x:c r="P15" s="28"/>
      <x:c r="Q15" s="28"/>
    </x:row>
    <x:row r="16">
      <x:c r="A16" s="28"/>
      <x:c r="B16" s="28"/>
      <x:c r="C16" s="28"/>
      <x:c r="D16" s="28" t="n">
        <x:f>COUNTIFS('03_核验日志'!$D$211:$D$610,$A16,'03_核验日志'!$J$211:$J$610,"支持")</x:f>
        <x:v>0</x:v>
      </x:c>
      <x:c r="E16" s="28" t="n">
        <x:f>COUNTIFS('03_核验日志'!$D$211:$D$610,$A16,'03_核验日志'!$J$211:$J$610,"部分支持")</x:f>
        <x:v>0</x:v>
      </x:c>
      <x:c r="F16" s="28" t="n">
        <x:f>COUNTIFS('03_核验日志'!$D$211:$D$610,$A16,'03_核验日志'!$J$211:$J$610,"反例")</x:f>
        <x:v>0</x:v>
      </x:c>
      <x:c r="G16" s="28" t="n">
        <x:f>COUNTIFS('03_核验日志'!$D$211:$D$610,$A16,'03_核验日志'!$J$211:$J$610,"不确定")</x:f>
        <x:v>0</x:v>
      </x:c>
      <x:c r="H16" s="28" t="n">
        <x:f>D16+E16+F16</x:f>
        <x:v>0</x:v>
      </x:c>
      <x:c r="I16" s="36" t="str">
        <x:f>IF(H16=0,"",(D16+0.5*E16)/H16)</x:f>
      </x:c>
      <x:c r="J16" s="36" t="str">
        <x:f>IF(H16=0,"",(D16+0.5*E16+1)/(H16+2))</x:f>
      </x:c>
      <x:c r="K16" s="38" t="str">
        <x:f>IF((H16+G16)=0,"",SUMIFS('03_核验日志'!$K$211:$K$610,'03_核验日志'!$D$211:$D$610,$A16,'03_核验日志'!$J$211:$J$610,"&lt;&gt;不可评估")/(H16+G16))</x:f>
      </x:c>
      <x:c r="L16" s="28" t="n">
        <x:f>COUNTIFS('03_核验日志'!$D$211:$D$610,$A16,'03_核验日志'!$L$211:$L$610,"是")</x:f>
        <x:v>0</x:v>
      </x:c>
      <x:c r="M16" s="28" t="n">
        <x:f>COUNTIFS('03_核验日志'!$D$211:$D$610,$A16,'03_核验日志'!$M$211:$M$610,"是")</x:f>
        <x:v>0</x:v>
      </x:c>
      <x:c r="N16" s="28" t="str">
        <x:f>IF(A16="","",IF(H16&lt;5,"样本不足",IF(AND(H16&gt;=20,J16&gt;=0.75,F16&lt;=2),"升级验证候选",IF(AND(H16&gt;=10,J16&lt;0.45,F16&gt;=3),"降权/停用候选",IF(AND(H16&gt;=8,F16&gt;=3),"优先修订","保留观察")))))</x:f>
      </x:c>
      <x:c r="O16" s="28" t="str">
        <x:f>IF(N16="升级验证候选","已验证候选",IF(N16="优先修订","需修改",IF(N16="降权/停用候选","停用候选","待验证")))</x:f>
        <x:v>待验证</x:v>
      </x:c>
      <x:c r="P16" s="28"/>
      <x:c r="Q16" s="28"/>
    </x:row>
    <x:row r="17">
      <x:c r="A17" s="28"/>
      <x:c r="B17" s="28"/>
      <x:c r="C17" s="28"/>
      <x:c r="D17" s="28" t="n">
        <x:f>COUNTIFS('03_核验日志'!$D$211:$D$610,$A17,'03_核验日志'!$J$211:$J$610,"支持")</x:f>
        <x:v>0</x:v>
      </x:c>
      <x:c r="E17" s="28" t="n">
        <x:f>COUNTIFS('03_核验日志'!$D$211:$D$610,$A17,'03_核验日志'!$J$211:$J$610,"部分支持")</x:f>
        <x:v>0</x:v>
      </x:c>
      <x:c r="F17" s="28" t="n">
        <x:f>COUNTIFS('03_核验日志'!$D$211:$D$610,$A17,'03_核验日志'!$J$211:$J$610,"反例")</x:f>
        <x:v>0</x:v>
      </x:c>
      <x:c r="G17" s="28" t="n">
        <x:f>COUNTIFS('03_核验日志'!$D$211:$D$610,$A17,'03_核验日志'!$J$211:$J$610,"不确定")</x:f>
        <x:v>0</x:v>
      </x:c>
      <x:c r="H17" s="28" t="n">
        <x:f>D17+E17+F17</x:f>
        <x:v>0</x:v>
      </x:c>
      <x:c r="I17" s="36" t="str">
        <x:f>IF(H17=0,"",(D17+0.5*E17)/H17)</x:f>
      </x:c>
      <x:c r="J17" s="36" t="str">
        <x:f>IF(H17=0,"",(D17+0.5*E17+1)/(H17+2))</x:f>
      </x:c>
      <x:c r="K17" s="38" t="str">
        <x:f>IF((H17+G17)=0,"",SUMIFS('03_核验日志'!$K$211:$K$610,'03_核验日志'!$D$211:$D$610,$A17,'03_核验日志'!$J$211:$J$610,"&lt;&gt;不可评估")/(H17+G17))</x:f>
      </x:c>
      <x:c r="L17" s="28" t="n">
        <x:f>COUNTIFS('03_核验日志'!$D$211:$D$610,$A17,'03_核验日志'!$L$211:$L$610,"是")</x:f>
        <x:v>0</x:v>
      </x:c>
      <x:c r="M17" s="28" t="n">
        <x:f>COUNTIFS('03_核验日志'!$D$211:$D$610,$A17,'03_核验日志'!$M$211:$M$610,"是")</x:f>
        <x:v>0</x:v>
      </x:c>
      <x:c r="N17" s="28" t="str">
        <x:f>IF(A17="","",IF(H17&lt;5,"样本不足",IF(AND(H17&gt;=20,J17&gt;=0.75,F17&lt;=2),"升级验证候选",IF(AND(H17&gt;=10,J17&lt;0.45,F17&gt;=3),"降权/停用候选",IF(AND(H17&gt;=8,F17&gt;=3),"优先修订","保留观察")))))</x:f>
      </x:c>
      <x:c r="O17" s="28" t="str">
        <x:f>IF(N17="升级验证候选","已验证候选",IF(N17="优先修订","需修改",IF(N17="降权/停用候选","停用候选","待验证")))</x:f>
        <x:v>待验证</x:v>
      </x:c>
      <x:c r="P17" s="28"/>
      <x:c r="Q17" s="28"/>
    </x:row>
    <x:row r="18">
      <x:c r="A18" s="28"/>
      <x:c r="B18" s="28"/>
      <x:c r="C18" s="28"/>
      <x:c r="D18" s="28" t="n">
        <x:f>COUNTIFS('03_核验日志'!$D$211:$D$610,$A18,'03_核验日志'!$J$211:$J$610,"支持")</x:f>
        <x:v>0</x:v>
      </x:c>
      <x:c r="E18" s="28" t="n">
        <x:f>COUNTIFS('03_核验日志'!$D$211:$D$610,$A18,'03_核验日志'!$J$211:$J$610,"部分支持")</x:f>
        <x:v>0</x:v>
      </x:c>
      <x:c r="F18" s="28" t="n">
        <x:f>COUNTIFS('03_核验日志'!$D$211:$D$610,$A18,'03_核验日志'!$J$211:$J$610,"反例")</x:f>
        <x:v>0</x:v>
      </x:c>
      <x:c r="G18" s="28" t="n">
        <x:f>COUNTIFS('03_核验日志'!$D$211:$D$610,$A18,'03_核验日志'!$J$211:$J$610,"不确定")</x:f>
        <x:v>0</x:v>
      </x:c>
      <x:c r="H18" s="28" t="n">
        <x:f>D18+E18+F18</x:f>
        <x:v>0</x:v>
      </x:c>
      <x:c r="I18" s="36" t="str">
        <x:f>IF(H18=0,"",(D18+0.5*E18)/H18)</x:f>
      </x:c>
      <x:c r="J18" s="36" t="str">
        <x:f>IF(H18=0,"",(D18+0.5*E18+1)/(H18+2))</x:f>
      </x:c>
      <x:c r="K18" s="38" t="str">
        <x:f>IF((H18+G18)=0,"",SUMIFS('03_核验日志'!$K$211:$K$610,'03_核验日志'!$D$211:$D$610,$A18,'03_核验日志'!$J$211:$J$610,"&lt;&gt;不可评估")/(H18+G18))</x:f>
      </x:c>
      <x:c r="L18" s="28" t="n">
        <x:f>COUNTIFS('03_核验日志'!$D$211:$D$610,$A18,'03_核验日志'!$L$211:$L$610,"是")</x:f>
        <x:v>0</x:v>
      </x:c>
      <x:c r="M18" s="28" t="n">
        <x:f>COUNTIFS('03_核验日志'!$D$211:$D$610,$A18,'03_核验日志'!$M$211:$M$610,"是")</x:f>
        <x:v>0</x:v>
      </x:c>
      <x:c r="N18" s="28" t="str">
        <x:f>IF(A18="","",IF(H18&lt;5,"样本不足",IF(AND(H18&gt;=20,J18&gt;=0.75,F18&lt;=2),"升级验证候选",IF(AND(H18&gt;=10,J18&lt;0.45,F18&gt;=3),"降权/停用候选",IF(AND(H18&gt;=8,F18&gt;=3),"优先修订","保留观察")))))</x:f>
      </x:c>
      <x:c r="O18" s="28" t="str">
        <x:f>IF(N18="升级验证候选","已验证候选",IF(N18="优先修订","需修改",IF(N18="降权/停用候选","停用候选","待验证")))</x:f>
        <x:v>待验证</x:v>
      </x:c>
      <x:c r="P18" s="28"/>
      <x:c r="Q18" s="28"/>
    </x:row>
    <x:row r="19">
      <x:c r="A19" s="28"/>
      <x:c r="B19" s="28"/>
      <x:c r="C19" s="28"/>
      <x:c r="D19" s="28" t="n">
        <x:f>COUNTIFS('03_核验日志'!$D$211:$D$610,$A19,'03_核验日志'!$J$211:$J$610,"支持")</x:f>
        <x:v>0</x:v>
      </x:c>
      <x:c r="E19" s="28" t="n">
        <x:f>COUNTIFS('03_核验日志'!$D$211:$D$610,$A19,'03_核验日志'!$J$211:$J$610,"部分支持")</x:f>
        <x:v>0</x:v>
      </x:c>
      <x:c r="F19" s="28" t="n">
        <x:f>COUNTIFS('03_核验日志'!$D$211:$D$610,$A19,'03_核验日志'!$J$211:$J$610,"反例")</x:f>
        <x:v>0</x:v>
      </x:c>
      <x:c r="G19" s="28" t="n">
        <x:f>COUNTIFS('03_核验日志'!$D$211:$D$610,$A19,'03_核验日志'!$J$211:$J$610,"不确定")</x:f>
        <x:v>0</x:v>
      </x:c>
      <x:c r="H19" s="28" t="n">
        <x:f>D19+E19+F19</x:f>
        <x:v>0</x:v>
      </x:c>
      <x:c r="I19" s="36" t="str">
        <x:f>IF(H19=0,"",(D19+0.5*E19)/H19)</x:f>
      </x:c>
      <x:c r="J19" s="36" t="str">
        <x:f>IF(H19=0,"",(D19+0.5*E19+1)/(H19+2))</x:f>
      </x:c>
      <x:c r="K19" s="38" t="str">
        <x:f>IF((H19+G19)=0,"",SUMIFS('03_核验日志'!$K$211:$K$610,'03_核验日志'!$D$211:$D$610,$A19,'03_核验日志'!$J$211:$J$610,"&lt;&gt;不可评估")/(H19+G19))</x:f>
      </x:c>
      <x:c r="L19" s="28" t="n">
        <x:f>COUNTIFS('03_核验日志'!$D$211:$D$610,$A19,'03_核验日志'!$L$211:$L$610,"是")</x:f>
        <x:v>0</x:v>
      </x:c>
      <x:c r="M19" s="28" t="n">
        <x:f>COUNTIFS('03_核验日志'!$D$211:$D$610,$A19,'03_核验日志'!$M$211:$M$610,"是")</x:f>
        <x:v>0</x:v>
      </x:c>
      <x:c r="N19" s="28" t="str">
        <x:f>IF(A19="","",IF(H19&lt;5,"样本不足",IF(AND(H19&gt;=20,J19&gt;=0.75,F19&lt;=2),"升级验证候选",IF(AND(H19&gt;=10,J19&lt;0.45,F19&gt;=3),"降权/停用候选",IF(AND(H19&gt;=8,F19&gt;=3),"优先修订","保留观察")))))</x:f>
      </x:c>
      <x:c r="O19" s="28" t="str">
        <x:f>IF(N19="升级验证候选","已验证候选",IF(N19="优先修订","需修改",IF(N19="降权/停用候选","停用候选","待验证")))</x:f>
        <x:v>待验证</x:v>
      </x:c>
      <x:c r="P19" s="28"/>
      <x:c r="Q19" s="28"/>
    </x:row>
    <x:row r="20">
      <x:c r="A20" s="28"/>
      <x:c r="B20" s="28"/>
      <x:c r="C20" s="28"/>
      <x:c r="D20" s="28" t="n">
        <x:f>COUNTIFS('03_核验日志'!$D$211:$D$610,$A20,'03_核验日志'!$J$211:$J$610,"支持")</x:f>
        <x:v>0</x:v>
      </x:c>
      <x:c r="E20" s="28" t="n">
        <x:f>COUNTIFS('03_核验日志'!$D$211:$D$610,$A20,'03_核验日志'!$J$211:$J$610,"部分支持")</x:f>
        <x:v>0</x:v>
      </x:c>
      <x:c r="F20" s="28" t="n">
        <x:f>COUNTIFS('03_核验日志'!$D$211:$D$610,$A20,'03_核验日志'!$J$211:$J$610,"反例")</x:f>
        <x:v>0</x:v>
      </x:c>
      <x:c r="G20" s="28" t="n">
        <x:f>COUNTIFS('03_核验日志'!$D$211:$D$610,$A20,'03_核验日志'!$J$211:$J$610,"不确定")</x:f>
        <x:v>0</x:v>
      </x:c>
      <x:c r="H20" s="28" t="n">
        <x:f>D20+E20+F20</x:f>
        <x:v>0</x:v>
      </x:c>
      <x:c r="I20" s="36" t="str">
        <x:f>IF(H20=0,"",(D20+0.5*E20)/H20)</x:f>
      </x:c>
      <x:c r="J20" s="36" t="str">
        <x:f>IF(H20=0,"",(D20+0.5*E20+1)/(H20+2))</x:f>
      </x:c>
      <x:c r="K20" s="38" t="str">
        <x:f>IF((H20+G20)=0,"",SUMIFS('03_核验日志'!$K$211:$K$610,'03_核验日志'!$D$211:$D$610,$A20,'03_核验日志'!$J$211:$J$610,"&lt;&gt;不可评估")/(H20+G20))</x:f>
      </x:c>
      <x:c r="L20" s="28" t="n">
        <x:f>COUNTIFS('03_核验日志'!$D$211:$D$610,$A20,'03_核验日志'!$L$211:$L$610,"是")</x:f>
        <x:v>0</x:v>
      </x:c>
      <x:c r="M20" s="28" t="n">
        <x:f>COUNTIFS('03_核验日志'!$D$211:$D$610,$A20,'03_核验日志'!$M$211:$M$610,"是")</x:f>
        <x:v>0</x:v>
      </x:c>
      <x:c r="N20" s="28" t="str">
        <x:f>IF(A20="","",IF(H20&lt;5,"样本不足",IF(AND(H20&gt;=20,J20&gt;=0.75,F20&lt;=2),"升级验证候选",IF(AND(H20&gt;=10,J20&lt;0.45,F20&gt;=3),"降权/停用候选",IF(AND(H20&gt;=8,F20&gt;=3),"优先修订","保留观察")))))</x:f>
      </x:c>
      <x:c r="O20" s="28" t="str">
        <x:f>IF(N20="升级验证候选","已验证候选",IF(N20="优先修订","需修改",IF(N20="降权/停用候选","停用候选","待验证")))</x:f>
        <x:v>待验证</x:v>
      </x:c>
      <x:c r="P20" s="28"/>
      <x:c r="Q20" s="28"/>
    </x:row>
    <x:row r="21">
      <x:c r="A21" s="28"/>
      <x:c r="B21" s="28"/>
      <x:c r="C21" s="28"/>
      <x:c r="D21" s="28" t="n">
        <x:f>COUNTIFS('03_核验日志'!$D$211:$D$610,$A21,'03_核验日志'!$J$211:$J$610,"支持")</x:f>
        <x:v>0</x:v>
      </x:c>
      <x:c r="E21" s="28" t="n">
        <x:f>COUNTIFS('03_核验日志'!$D$211:$D$610,$A21,'03_核验日志'!$J$211:$J$610,"部分支持")</x:f>
        <x:v>0</x:v>
      </x:c>
      <x:c r="F21" s="28" t="n">
        <x:f>COUNTIFS('03_核验日志'!$D$211:$D$610,$A21,'03_核验日志'!$J$211:$J$610,"反例")</x:f>
        <x:v>0</x:v>
      </x:c>
      <x:c r="G21" s="28" t="n">
        <x:f>COUNTIFS('03_核验日志'!$D$211:$D$610,$A21,'03_核验日志'!$J$211:$J$610,"不确定")</x:f>
        <x:v>0</x:v>
      </x:c>
      <x:c r="H21" s="28" t="n">
        <x:f>D21+E21+F21</x:f>
        <x:v>0</x:v>
      </x:c>
      <x:c r="I21" s="36" t="str">
        <x:f>IF(H21=0,"",(D21+0.5*E21)/H21)</x:f>
      </x:c>
      <x:c r="J21" s="36" t="str">
        <x:f>IF(H21=0,"",(D21+0.5*E21+1)/(H21+2))</x:f>
      </x:c>
      <x:c r="K21" s="38" t="str">
        <x:f>IF((H21+G21)=0,"",SUMIFS('03_核验日志'!$K$211:$K$610,'03_核验日志'!$D$211:$D$610,$A21,'03_核验日志'!$J$211:$J$610,"&lt;&gt;不可评估")/(H21+G21))</x:f>
      </x:c>
      <x:c r="L21" s="28" t="n">
        <x:f>COUNTIFS('03_核验日志'!$D$211:$D$610,$A21,'03_核验日志'!$L$211:$L$610,"是")</x:f>
        <x:v>0</x:v>
      </x:c>
      <x:c r="M21" s="28" t="n">
        <x:f>COUNTIFS('03_核验日志'!$D$211:$D$610,$A21,'03_核验日志'!$M$211:$M$610,"是")</x:f>
        <x:v>0</x:v>
      </x:c>
      <x:c r="N21" s="28" t="str">
        <x:f>IF(A21="","",IF(H21&lt;5,"样本不足",IF(AND(H21&gt;=20,J21&gt;=0.75,F21&lt;=2),"升级验证候选",IF(AND(H21&gt;=10,J21&lt;0.45,F21&gt;=3),"降权/停用候选",IF(AND(H21&gt;=8,F21&gt;=3),"优先修订","保留观察")))))</x:f>
      </x:c>
      <x:c r="O21" s="28" t="str">
        <x:f>IF(N21="升级验证候选","已验证候选",IF(N21="优先修订","需修改",IF(N21="降权/停用候选","停用候选","待验证")))</x:f>
        <x:v>待验证</x:v>
      </x:c>
      <x:c r="P21" s="28"/>
      <x:c r="Q21" s="28"/>
    </x:row>
    <x:row r="22">
      <x:c r="A22" s="28"/>
      <x:c r="B22" s="28"/>
      <x:c r="C22" s="28"/>
      <x:c r="D22" s="28" t="n">
        <x:f>COUNTIFS('03_核验日志'!$D$211:$D$610,$A22,'03_核验日志'!$J$211:$J$610,"支持")</x:f>
        <x:v>0</x:v>
      </x:c>
      <x:c r="E22" s="28" t="n">
        <x:f>COUNTIFS('03_核验日志'!$D$211:$D$610,$A22,'03_核验日志'!$J$211:$J$610,"部分支持")</x:f>
        <x:v>0</x:v>
      </x:c>
      <x:c r="F22" s="28" t="n">
        <x:f>COUNTIFS('03_核验日志'!$D$211:$D$610,$A22,'03_核验日志'!$J$211:$J$610,"反例")</x:f>
        <x:v>0</x:v>
      </x:c>
      <x:c r="G22" s="28" t="n">
        <x:f>COUNTIFS('03_核验日志'!$D$211:$D$610,$A22,'03_核验日志'!$J$211:$J$610,"不确定")</x:f>
        <x:v>0</x:v>
      </x:c>
      <x:c r="H22" s="28" t="n">
        <x:f>D22+E22+F22</x:f>
        <x:v>0</x:v>
      </x:c>
      <x:c r="I22" s="36" t="str">
        <x:f>IF(H22=0,"",(D22+0.5*E22)/H22)</x:f>
      </x:c>
      <x:c r="J22" s="36" t="str">
        <x:f>IF(H22=0,"",(D22+0.5*E22+1)/(H22+2))</x:f>
      </x:c>
      <x:c r="K22" s="38" t="str">
        <x:f>IF((H22+G22)=0,"",SUMIFS('03_核验日志'!$K$211:$K$610,'03_核验日志'!$D$211:$D$610,$A22,'03_核验日志'!$J$211:$J$610,"&lt;&gt;不可评估")/(H22+G22))</x:f>
      </x:c>
      <x:c r="L22" s="28" t="n">
        <x:f>COUNTIFS('03_核验日志'!$D$211:$D$610,$A22,'03_核验日志'!$L$211:$L$610,"是")</x:f>
        <x:v>0</x:v>
      </x:c>
      <x:c r="M22" s="28" t="n">
        <x:f>COUNTIFS('03_核验日志'!$D$211:$D$610,$A22,'03_核验日志'!$M$211:$M$610,"是")</x:f>
        <x:v>0</x:v>
      </x:c>
      <x:c r="N22" s="28" t="str">
        <x:f>IF(A22="","",IF(H22&lt;5,"样本不足",IF(AND(H22&gt;=20,J22&gt;=0.75,F22&lt;=2),"升级验证候选",IF(AND(H22&gt;=10,J22&lt;0.45,F22&gt;=3),"降权/停用候选",IF(AND(H22&gt;=8,F22&gt;=3),"优先修订","保留观察")))))</x:f>
      </x:c>
      <x:c r="O22" s="28" t="str">
        <x:f>IF(N22="升级验证候选","已验证候选",IF(N22="优先修订","需修改",IF(N22="降权/停用候选","停用候选","待验证")))</x:f>
        <x:v>待验证</x:v>
      </x:c>
      <x:c r="P22" s="28"/>
      <x:c r="Q22" s="28"/>
    </x:row>
    <x:row r="23">
      <x:c r="A23" s="28"/>
      <x:c r="B23" s="28"/>
      <x:c r="C23" s="28"/>
      <x:c r="D23" s="28" t="n">
        <x:f>COUNTIFS('03_核验日志'!$D$211:$D$610,$A23,'03_核验日志'!$J$211:$J$610,"支持")</x:f>
        <x:v>0</x:v>
      </x:c>
      <x:c r="E23" s="28" t="n">
        <x:f>COUNTIFS('03_核验日志'!$D$211:$D$610,$A23,'03_核验日志'!$J$211:$J$610,"部分支持")</x:f>
        <x:v>0</x:v>
      </x:c>
      <x:c r="F23" s="28" t="n">
        <x:f>COUNTIFS('03_核验日志'!$D$211:$D$610,$A23,'03_核验日志'!$J$211:$J$610,"反例")</x:f>
        <x:v>0</x:v>
      </x:c>
      <x:c r="G23" s="28" t="n">
        <x:f>COUNTIFS('03_核验日志'!$D$211:$D$610,$A23,'03_核验日志'!$J$211:$J$610,"不确定")</x:f>
        <x:v>0</x:v>
      </x:c>
      <x:c r="H23" s="28" t="n">
        <x:f>D23+E23+F23</x:f>
        <x:v>0</x:v>
      </x:c>
      <x:c r="I23" s="36" t="str">
        <x:f>IF(H23=0,"",(D23+0.5*E23)/H23)</x:f>
      </x:c>
      <x:c r="J23" s="36" t="str">
        <x:f>IF(H23=0,"",(D23+0.5*E23+1)/(H23+2))</x:f>
      </x:c>
      <x:c r="K23" s="38" t="str">
        <x:f>IF((H23+G23)=0,"",SUMIFS('03_核验日志'!$K$211:$K$610,'03_核验日志'!$D$211:$D$610,$A23,'03_核验日志'!$J$211:$J$610,"&lt;&gt;不可评估")/(H23+G23))</x:f>
      </x:c>
      <x:c r="L23" s="28" t="n">
        <x:f>COUNTIFS('03_核验日志'!$D$211:$D$610,$A23,'03_核验日志'!$L$211:$L$610,"是")</x:f>
        <x:v>0</x:v>
      </x:c>
      <x:c r="M23" s="28" t="n">
        <x:f>COUNTIFS('03_核验日志'!$D$211:$D$610,$A23,'03_核验日志'!$M$211:$M$610,"是")</x:f>
        <x:v>0</x:v>
      </x:c>
      <x:c r="N23" s="28" t="str">
        <x:f>IF(A23="","",IF(H23&lt;5,"样本不足",IF(AND(H23&gt;=20,J23&gt;=0.75,F23&lt;=2),"升级验证候选",IF(AND(H23&gt;=10,J23&lt;0.45,F23&gt;=3),"降权/停用候选",IF(AND(H23&gt;=8,F23&gt;=3),"优先修订","保留观察")))))</x:f>
      </x:c>
      <x:c r="O23" s="28" t="str">
        <x:f>IF(N23="升级验证候选","已验证候选",IF(N23="优先修订","需修改",IF(N23="降权/停用候选","停用候选","待验证")))</x:f>
        <x:v>待验证</x:v>
      </x:c>
      <x:c r="P23" s="28"/>
      <x:c r="Q23" s="28"/>
    </x:row>
    <x:row r="24">
      <x:c r="A24" s="28"/>
      <x:c r="B24" s="28"/>
      <x:c r="C24" s="28"/>
      <x:c r="D24" s="28" t="n">
        <x:f>COUNTIFS('03_核验日志'!$D$211:$D$610,$A24,'03_核验日志'!$J$211:$J$610,"支持")</x:f>
        <x:v>0</x:v>
      </x:c>
      <x:c r="E24" s="28" t="n">
        <x:f>COUNTIFS('03_核验日志'!$D$211:$D$610,$A24,'03_核验日志'!$J$211:$J$610,"部分支持")</x:f>
        <x:v>0</x:v>
      </x:c>
      <x:c r="F24" s="28" t="n">
        <x:f>COUNTIFS('03_核验日志'!$D$211:$D$610,$A24,'03_核验日志'!$J$211:$J$610,"反例")</x:f>
        <x:v>0</x:v>
      </x:c>
      <x:c r="G24" s="28" t="n">
        <x:f>COUNTIFS('03_核验日志'!$D$211:$D$610,$A24,'03_核验日志'!$J$211:$J$610,"不确定")</x:f>
        <x:v>0</x:v>
      </x:c>
      <x:c r="H24" s="28" t="n">
        <x:f>D24+E24+F24</x:f>
        <x:v>0</x:v>
      </x:c>
      <x:c r="I24" s="36" t="str">
        <x:f>IF(H24=0,"",(D24+0.5*E24)/H24)</x:f>
      </x:c>
      <x:c r="J24" s="36" t="str">
        <x:f>IF(H24=0,"",(D24+0.5*E24+1)/(H24+2))</x:f>
      </x:c>
      <x:c r="K24" s="38" t="str">
        <x:f>IF((H24+G24)=0,"",SUMIFS('03_核验日志'!$K$211:$K$610,'03_核验日志'!$D$211:$D$610,$A24,'03_核验日志'!$J$211:$J$610,"&lt;&gt;不可评估")/(H24+G24))</x:f>
      </x:c>
      <x:c r="L24" s="28" t="n">
        <x:f>COUNTIFS('03_核验日志'!$D$211:$D$610,$A24,'03_核验日志'!$L$211:$L$610,"是")</x:f>
        <x:v>0</x:v>
      </x:c>
      <x:c r="M24" s="28" t="n">
        <x:f>COUNTIFS('03_核验日志'!$D$211:$D$610,$A24,'03_核验日志'!$M$211:$M$610,"是")</x:f>
        <x:v>0</x:v>
      </x:c>
      <x:c r="N24" s="28" t="str">
        <x:f>IF(A24="","",IF(H24&lt;5,"样本不足",IF(AND(H24&gt;=20,J24&gt;=0.75,F24&lt;=2),"升级验证候选",IF(AND(H24&gt;=10,J24&lt;0.45,F24&gt;=3),"降权/停用候选",IF(AND(H24&gt;=8,F24&gt;=3),"优先修订","保留观察")))))</x:f>
      </x:c>
      <x:c r="O24" s="28" t="str">
        <x:f>IF(N24="升级验证候选","已验证候选",IF(N24="优先修订","需修改",IF(N24="降权/停用候选","停用候选","待验证")))</x:f>
        <x:v>待验证</x:v>
      </x:c>
      <x:c r="P24" s="28"/>
      <x:c r="Q24" s="28"/>
    </x:row>
    <x:row r="25">
      <x:c r="A25" s="28"/>
      <x:c r="B25" s="28"/>
      <x:c r="C25" s="28"/>
      <x:c r="D25" s="28" t="n">
        <x:f>COUNTIFS('03_核验日志'!$D$211:$D$610,$A25,'03_核验日志'!$J$211:$J$610,"支持")</x:f>
        <x:v>0</x:v>
      </x:c>
      <x:c r="E25" s="28" t="n">
        <x:f>COUNTIFS('03_核验日志'!$D$211:$D$610,$A25,'03_核验日志'!$J$211:$J$610,"部分支持")</x:f>
        <x:v>0</x:v>
      </x:c>
      <x:c r="F25" s="28" t="n">
        <x:f>COUNTIFS('03_核验日志'!$D$211:$D$610,$A25,'03_核验日志'!$J$211:$J$610,"反例")</x:f>
        <x:v>0</x:v>
      </x:c>
      <x:c r="G25" s="28" t="n">
        <x:f>COUNTIFS('03_核验日志'!$D$211:$D$610,$A25,'03_核验日志'!$J$211:$J$610,"不确定")</x:f>
        <x:v>0</x:v>
      </x:c>
      <x:c r="H25" s="28" t="n">
        <x:f>D25+E25+F25</x:f>
        <x:v>0</x:v>
      </x:c>
      <x:c r="I25" s="36" t="str">
        <x:f>IF(H25=0,"",(D25+0.5*E25)/H25)</x:f>
      </x:c>
      <x:c r="J25" s="36" t="str">
        <x:f>IF(H25=0,"",(D25+0.5*E25+1)/(H25+2))</x:f>
      </x:c>
      <x:c r="K25" s="38" t="str">
        <x:f>IF((H25+G25)=0,"",SUMIFS('03_核验日志'!$K$211:$K$610,'03_核验日志'!$D$211:$D$610,$A25,'03_核验日志'!$J$211:$J$610,"&lt;&gt;不可评估")/(H25+G25))</x:f>
      </x:c>
      <x:c r="L25" s="28" t="n">
        <x:f>COUNTIFS('03_核验日志'!$D$211:$D$610,$A25,'03_核验日志'!$L$211:$L$610,"是")</x:f>
        <x:v>0</x:v>
      </x:c>
      <x:c r="M25" s="28" t="n">
        <x:f>COUNTIFS('03_核验日志'!$D$211:$D$610,$A25,'03_核验日志'!$M$211:$M$610,"是")</x:f>
        <x:v>0</x:v>
      </x:c>
      <x:c r="N25" s="28" t="str">
        <x:f>IF(A25="","",IF(H25&lt;5,"样本不足",IF(AND(H25&gt;=20,J25&gt;=0.75,F25&lt;=2),"升级验证候选",IF(AND(H25&gt;=10,J25&lt;0.45,F25&gt;=3),"降权/停用候选",IF(AND(H25&gt;=8,F25&gt;=3),"优先修订","保留观察")))))</x:f>
      </x:c>
      <x:c r="O25" s="28" t="str">
        <x:f>IF(N25="升级验证候选","已验证候选",IF(N25="优先修订","需修改",IF(N25="降权/停用候选","停用候选","待验证")))</x:f>
        <x:v>待验证</x:v>
      </x:c>
      <x:c r="P25" s="28"/>
      <x:c r="Q25" s="28"/>
    </x:row>
    <x:row r="26">
      <x:c r="A26" s="28"/>
      <x:c r="B26" s="28"/>
      <x:c r="C26" s="28"/>
      <x:c r="D26" s="28" t="n">
        <x:f>COUNTIFS('03_核验日志'!$D$211:$D$610,$A26,'03_核验日志'!$J$211:$J$610,"支持")</x:f>
        <x:v>0</x:v>
      </x:c>
      <x:c r="E26" s="28" t="n">
        <x:f>COUNTIFS('03_核验日志'!$D$211:$D$610,$A26,'03_核验日志'!$J$211:$J$610,"部分支持")</x:f>
        <x:v>0</x:v>
      </x:c>
      <x:c r="F26" s="28" t="n">
        <x:f>COUNTIFS('03_核验日志'!$D$211:$D$610,$A26,'03_核验日志'!$J$211:$J$610,"反例")</x:f>
        <x:v>0</x:v>
      </x:c>
      <x:c r="G26" s="28" t="n">
        <x:f>COUNTIFS('03_核验日志'!$D$211:$D$610,$A26,'03_核验日志'!$J$211:$J$610,"不确定")</x:f>
        <x:v>0</x:v>
      </x:c>
      <x:c r="H26" s="28" t="n">
        <x:f>D26+E26+F26</x:f>
        <x:v>0</x:v>
      </x:c>
      <x:c r="I26" s="36" t="str">
        <x:f>IF(H26=0,"",(D26+0.5*E26)/H26)</x:f>
      </x:c>
      <x:c r="J26" s="36" t="str">
        <x:f>IF(H26=0,"",(D26+0.5*E26+1)/(H26+2))</x:f>
      </x:c>
      <x:c r="K26" s="38" t="str">
        <x:f>IF((H26+G26)=0,"",SUMIFS('03_核验日志'!$K$211:$K$610,'03_核验日志'!$D$211:$D$610,$A26,'03_核验日志'!$J$211:$J$610,"&lt;&gt;不可评估")/(H26+G26))</x:f>
      </x:c>
      <x:c r="L26" s="28" t="n">
        <x:f>COUNTIFS('03_核验日志'!$D$211:$D$610,$A26,'03_核验日志'!$L$211:$L$610,"是")</x:f>
        <x:v>0</x:v>
      </x:c>
      <x:c r="M26" s="28" t="n">
        <x:f>COUNTIFS('03_核验日志'!$D$211:$D$610,$A26,'03_核验日志'!$M$211:$M$610,"是")</x:f>
        <x:v>0</x:v>
      </x:c>
      <x:c r="N26" s="28" t="str">
        <x:f>IF(A26="","",IF(H26&lt;5,"样本不足",IF(AND(H26&gt;=20,J26&gt;=0.75,F26&lt;=2),"升级验证候选",IF(AND(H26&gt;=10,J26&lt;0.45,F26&gt;=3),"降权/停用候选",IF(AND(H26&gt;=8,F26&gt;=3),"优先修订","保留观察")))))</x:f>
      </x:c>
      <x:c r="O26" s="28" t="str">
        <x:f>IF(N26="升级验证候选","已验证候选",IF(N26="优先修订","需修改",IF(N26="降权/停用候选","停用候选","待验证")))</x:f>
        <x:v>待验证</x:v>
      </x:c>
      <x:c r="P26" s="28"/>
      <x:c r="Q26" s="28"/>
    </x:row>
    <x:row r="27">
      <x:c r="A27" s="28"/>
      <x:c r="B27" s="28"/>
      <x:c r="C27" s="28"/>
      <x:c r="D27" s="28" t="n">
        <x:f>COUNTIFS('03_核验日志'!$D$211:$D$610,$A27,'03_核验日志'!$J$211:$J$610,"支持")</x:f>
        <x:v>0</x:v>
      </x:c>
      <x:c r="E27" s="28" t="n">
        <x:f>COUNTIFS('03_核验日志'!$D$211:$D$610,$A27,'03_核验日志'!$J$211:$J$610,"部分支持")</x:f>
        <x:v>0</x:v>
      </x:c>
      <x:c r="F27" s="28" t="n">
        <x:f>COUNTIFS('03_核验日志'!$D$211:$D$610,$A27,'03_核验日志'!$J$211:$J$610,"反例")</x:f>
        <x:v>0</x:v>
      </x:c>
      <x:c r="G27" s="28" t="n">
        <x:f>COUNTIFS('03_核验日志'!$D$211:$D$610,$A27,'03_核验日志'!$J$211:$J$610,"不确定")</x:f>
        <x:v>0</x:v>
      </x:c>
      <x:c r="H27" s="28" t="n">
        <x:f>D27+E27+F27</x:f>
        <x:v>0</x:v>
      </x:c>
      <x:c r="I27" s="36" t="str">
        <x:f>IF(H27=0,"",(D27+0.5*E27)/H27)</x:f>
      </x:c>
      <x:c r="J27" s="36" t="str">
        <x:f>IF(H27=0,"",(D27+0.5*E27+1)/(H27+2))</x:f>
      </x:c>
      <x:c r="K27" s="38" t="str">
        <x:f>IF((H27+G27)=0,"",SUMIFS('03_核验日志'!$K$211:$K$610,'03_核验日志'!$D$211:$D$610,$A27,'03_核验日志'!$J$211:$J$610,"&lt;&gt;不可评估")/(H27+G27))</x:f>
      </x:c>
      <x:c r="L27" s="28" t="n">
        <x:f>COUNTIFS('03_核验日志'!$D$211:$D$610,$A27,'03_核验日志'!$L$211:$L$610,"是")</x:f>
        <x:v>0</x:v>
      </x:c>
      <x:c r="M27" s="28" t="n">
        <x:f>COUNTIFS('03_核验日志'!$D$211:$D$610,$A27,'03_核验日志'!$M$211:$M$610,"是")</x:f>
        <x:v>0</x:v>
      </x:c>
      <x:c r="N27" s="28" t="str">
        <x:f>IF(A27="","",IF(H27&lt;5,"样本不足",IF(AND(H27&gt;=20,J27&gt;=0.75,F27&lt;=2),"升级验证候选",IF(AND(H27&gt;=10,J27&lt;0.45,F27&gt;=3),"降权/停用候选",IF(AND(H27&gt;=8,F27&gt;=3),"优先修订","保留观察")))))</x:f>
      </x:c>
      <x:c r="O27" s="28" t="str">
        <x:f>IF(N27="升级验证候选","已验证候选",IF(N27="优先修订","需修改",IF(N27="降权/停用候选","停用候选","待验证")))</x:f>
        <x:v>待验证</x:v>
      </x:c>
      <x:c r="P27" s="28"/>
      <x:c r="Q27" s="28"/>
    </x:row>
    <x:row r="28">
      <x:c r="A28" s="28"/>
      <x:c r="B28" s="28"/>
      <x:c r="C28" s="28"/>
      <x:c r="D28" s="28" t="n">
        <x:f>COUNTIFS('03_核验日志'!$D$211:$D$610,$A28,'03_核验日志'!$J$211:$J$610,"支持")</x:f>
        <x:v>0</x:v>
      </x:c>
      <x:c r="E28" s="28" t="n">
        <x:f>COUNTIFS('03_核验日志'!$D$211:$D$610,$A28,'03_核验日志'!$J$211:$J$610,"部分支持")</x:f>
        <x:v>0</x:v>
      </x:c>
      <x:c r="F28" s="28" t="n">
        <x:f>COUNTIFS('03_核验日志'!$D$211:$D$610,$A28,'03_核验日志'!$J$211:$J$610,"反例")</x:f>
        <x:v>0</x:v>
      </x:c>
      <x:c r="G28" s="28" t="n">
        <x:f>COUNTIFS('03_核验日志'!$D$211:$D$610,$A28,'03_核验日志'!$J$211:$J$610,"不确定")</x:f>
        <x:v>0</x:v>
      </x:c>
      <x:c r="H28" s="28" t="n">
        <x:f>D28+E28+F28</x:f>
        <x:v>0</x:v>
      </x:c>
      <x:c r="I28" s="36" t="str">
        <x:f>IF(H28=0,"",(D28+0.5*E28)/H28)</x:f>
      </x:c>
      <x:c r="J28" s="36" t="str">
        <x:f>IF(H28=0,"",(D28+0.5*E28+1)/(H28+2))</x:f>
      </x:c>
      <x:c r="K28" s="38" t="str">
        <x:f>IF((H28+G28)=0,"",SUMIFS('03_核验日志'!$K$211:$K$610,'03_核验日志'!$D$211:$D$610,$A28,'03_核验日志'!$J$211:$J$610,"&lt;&gt;不可评估")/(H28+G28))</x:f>
      </x:c>
      <x:c r="L28" s="28" t="n">
        <x:f>COUNTIFS('03_核验日志'!$D$211:$D$610,$A28,'03_核验日志'!$L$211:$L$610,"是")</x:f>
        <x:v>0</x:v>
      </x:c>
      <x:c r="M28" s="28" t="n">
        <x:f>COUNTIFS('03_核验日志'!$D$211:$D$610,$A28,'03_核验日志'!$M$211:$M$610,"是")</x:f>
        <x:v>0</x:v>
      </x:c>
      <x:c r="N28" s="28" t="str">
        <x:f>IF(A28="","",IF(H28&lt;5,"样本不足",IF(AND(H28&gt;=20,J28&gt;=0.75,F28&lt;=2),"升级验证候选",IF(AND(H28&gt;=10,J28&lt;0.45,F28&gt;=3),"降权/停用候选",IF(AND(H28&gt;=8,F28&gt;=3),"优先修订","保留观察")))))</x:f>
      </x:c>
      <x:c r="O28" s="28" t="str">
        <x:f>IF(N28="升级验证候选","已验证候选",IF(N28="优先修订","需修改",IF(N28="降权/停用候选","停用候选","待验证")))</x:f>
        <x:v>待验证</x:v>
      </x:c>
      <x:c r="P28" s="28"/>
      <x:c r="Q28" s="28"/>
    </x:row>
    <x:row r="29">
      <x:c r="A29" s="28"/>
      <x:c r="B29" s="28"/>
      <x:c r="C29" s="28"/>
      <x:c r="D29" s="28" t="n">
        <x:f>COUNTIFS('03_核验日志'!$D$211:$D$610,$A29,'03_核验日志'!$J$211:$J$610,"支持")</x:f>
        <x:v>0</x:v>
      </x:c>
      <x:c r="E29" s="28" t="n">
        <x:f>COUNTIFS('03_核验日志'!$D$211:$D$610,$A29,'03_核验日志'!$J$211:$J$610,"部分支持")</x:f>
        <x:v>0</x:v>
      </x:c>
      <x:c r="F29" s="28" t="n">
        <x:f>COUNTIFS('03_核验日志'!$D$211:$D$610,$A29,'03_核验日志'!$J$211:$J$610,"反例")</x:f>
        <x:v>0</x:v>
      </x:c>
      <x:c r="G29" s="28" t="n">
        <x:f>COUNTIFS('03_核验日志'!$D$211:$D$610,$A29,'03_核验日志'!$J$211:$J$610,"不确定")</x:f>
        <x:v>0</x:v>
      </x:c>
      <x:c r="H29" s="28" t="n">
        <x:f>D29+E29+F29</x:f>
        <x:v>0</x:v>
      </x:c>
      <x:c r="I29" s="36" t="str">
        <x:f>IF(H29=0,"",(D29+0.5*E29)/H29)</x:f>
      </x:c>
      <x:c r="J29" s="36" t="str">
        <x:f>IF(H29=0,"",(D29+0.5*E29+1)/(H29+2))</x:f>
      </x:c>
      <x:c r="K29" s="38" t="str">
        <x:f>IF((H29+G29)=0,"",SUMIFS('03_核验日志'!$K$211:$K$610,'03_核验日志'!$D$211:$D$610,$A29,'03_核验日志'!$J$211:$J$610,"&lt;&gt;不可评估")/(H29+G29))</x:f>
      </x:c>
      <x:c r="L29" s="28" t="n">
        <x:f>COUNTIFS('03_核验日志'!$D$211:$D$610,$A29,'03_核验日志'!$L$211:$L$610,"是")</x:f>
        <x:v>0</x:v>
      </x:c>
      <x:c r="M29" s="28" t="n">
        <x:f>COUNTIFS('03_核验日志'!$D$211:$D$610,$A29,'03_核验日志'!$M$211:$M$610,"是")</x:f>
        <x:v>0</x:v>
      </x:c>
      <x:c r="N29" s="28" t="str">
        <x:f>IF(A29="","",IF(H29&lt;5,"样本不足",IF(AND(H29&gt;=20,J29&gt;=0.75,F29&lt;=2),"升级验证候选",IF(AND(H29&gt;=10,J29&lt;0.45,F29&gt;=3),"降权/停用候选",IF(AND(H29&gt;=8,F29&gt;=3),"优先修订","保留观察")))))</x:f>
      </x:c>
      <x:c r="O29" s="28" t="str">
        <x:f>IF(N29="升级验证候选","已验证候选",IF(N29="优先修订","需修改",IF(N29="降权/停用候选","停用候选","待验证")))</x:f>
        <x:v>待验证</x:v>
      </x:c>
      <x:c r="P29" s="28"/>
      <x:c r="Q29" s="28"/>
    </x:row>
    <x:row r="30">
      <x:c r="A30" s="28"/>
      <x:c r="B30" s="28"/>
      <x:c r="C30" s="28"/>
      <x:c r="D30" s="28" t="n">
        <x:f>COUNTIFS('03_核验日志'!$D$211:$D$610,$A30,'03_核验日志'!$J$211:$J$610,"支持")</x:f>
        <x:v>0</x:v>
      </x:c>
      <x:c r="E30" s="28" t="n">
        <x:f>COUNTIFS('03_核验日志'!$D$211:$D$610,$A30,'03_核验日志'!$J$211:$J$610,"部分支持")</x:f>
        <x:v>0</x:v>
      </x:c>
      <x:c r="F30" s="28" t="n">
        <x:f>COUNTIFS('03_核验日志'!$D$211:$D$610,$A30,'03_核验日志'!$J$211:$J$610,"反例")</x:f>
        <x:v>0</x:v>
      </x:c>
      <x:c r="G30" s="28" t="n">
        <x:f>COUNTIFS('03_核验日志'!$D$211:$D$610,$A30,'03_核验日志'!$J$211:$J$610,"不确定")</x:f>
        <x:v>0</x:v>
      </x:c>
      <x:c r="H30" s="28" t="n">
        <x:f>D30+E30+F30</x:f>
        <x:v>0</x:v>
      </x:c>
      <x:c r="I30" s="36" t="str">
        <x:f>IF(H30=0,"",(D30+0.5*E30)/H30)</x:f>
      </x:c>
      <x:c r="J30" s="36" t="str">
        <x:f>IF(H30=0,"",(D30+0.5*E30+1)/(H30+2))</x:f>
      </x:c>
      <x:c r="K30" s="38" t="str">
        <x:f>IF((H30+G30)=0,"",SUMIFS('03_核验日志'!$K$211:$K$610,'03_核验日志'!$D$211:$D$610,$A30,'03_核验日志'!$J$211:$J$610,"&lt;&gt;不可评估")/(H30+G30))</x:f>
      </x:c>
      <x:c r="L30" s="28" t="n">
        <x:f>COUNTIFS('03_核验日志'!$D$211:$D$610,$A30,'03_核验日志'!$L$211:$L$610,"是")</x:f>
        <x:v>0</x:v>
      </x:c>
      <x:c r="M30" s="28" t="n">
        <x:f>COUNTIFS('03_核验日志'!$D$211:$D$610,$A30,'03_核验日志'!$M$211:$M$610,"是")</x:f>
        <x:v>0</x:v>
      </x:c>
      <x:c r="N30" s="28" t="str">
        <x:f>IF(A30="","",IF(H30&lt;5,"样本不足",IF(AND(H30&gt;=20,J30&gt;=0.75,F30&lt;=2),"升级验证候选",IF(AND(H30&gt;=10,J30&lt;0.45,F30&gt;=3),"降权/停用候选",IF(AND(H30&gt;=8,F30&gt;=3),"优先修订","保留观察")))))</x:f>
      </x:c>
      <x:c r="O30" s="28" t="str">
        <x:f>IF(N30="升级验证候选","已验证候选",IF(N30="优先修订","需修改",IF(N30="降权/停用候选","停用候选","待验证")))</x:f>
        <x:v>待验证</x:v>
      </x:c>
      <x:c r="P30" s="28"/>
      <x:c r="Q30" s="28"/>
    </x:row>
    <x:row r="31">
      <x:c r="A31" s="28"/>
      <x:c r="B31" s="28"/>
      <x:c r="C31" s="28"/>
      <x:c r="D31" s="28" t="n">
        <x:f>COUNTIFS('03_核验日志'!$D$211:$D$610,$A31,'03_核验日志'!$J$211:$J$610,"支持")</x:f>
        <x:v>0</x:v>
      </x:c>
      <x:c r="E31" s="28" t="n">
        <x:f>COUNTIFS('03_核验日志'!$D$211:$D$610,$A31,'03_核验日志'!$J$211:$J$610,"部分支持")</x:f>
        <x:v>0</x:v>
      </x:c>
      <x:c r="F31" s="28" t="n">
        <x:f>COUNTIFS('03_核验日志'!$D$211:$D$610,$A31,'03_核验日志'!$J$211:$J$610,"反例")</x:f>
        <x:v>0</x:v>
      </x:c>
      <x:c r="G31" s="28" t="n">
        <x:f>COUNTIFS('03_核验日志'!$D$211:$D$610,$A31,'03_核验日志'!$J$211:$J$610,"不确定")</x:f>
        <x:v>0</x:v>
      </x:c>
      <x:c r="H31" s="28" t="n">
        <x:f>D31+E31+F31</x:f>
        <x:v>0</x:v>
      </x:c>
      <x:c r="I31" s="36" t="str">
        <x:f>IF(H31=0,"",(D31+0.5*E31)/H31)</x:f>
      </x:c>
      <x:c r="J31" s="36" t="str">
        <x:f>IF(H31=0,"",(D31+0.5*E31+1)/(H31+2))</x:f>
      </x:c>
      <x:c r="K31" s="38" t="str">
        <x:f>IF((H31+G31)=0,"",SUMIFS('03_核验日志'!$K$211:$K$610,'03_核验日志'!$D$211:$D$610,$A31,'03_核验日志'!$J$211:$J$610,"&lt;&gt;不可评估")/(H31+G31))</x:f>
      </x:c>
      <x:c r="L31" s="28" t="n">
        <x:f>COUNTIFS('03_核验日志'!$D$211:$D$610,$A31,'03_核验日志'!$L$211:$L$610,"是")</x:f>
        <x:v>0</x:v>
      </x:c>
      <x:c r="M31" s="28" t="n">
        <x:f>COUNTIFS('03_核验日志'!$D$211:$D$610,$A31,'03_核验日志'!$M$211:$M$610,"是")</x:f>
        <x:v>0</x:v>
      </x:c>
      <x:c r="N31" s="28" t="str">
        <x:f>IF(A31="","",IF(H31&lt;5,"样本不足",IF(AND(H31&gt;=20,J31&gt;=0.75,F31&lt;=2),"升级验证候选",IF(AND(H31&gt;=10,J31&lt;0.45,F31&gt;=3),"降权/停用候选",IF(AND(H31&gt;=8,F31&gt;=3),"优先修订","保留观察")))))</x:f>
      </x:c>
      <x:c r="O31" s="28" t="str">
        <x:f>IF(N31="升级验证候选","已验证候选",IF(N31="优先修订","需修改",IF(N31="降权/停用候选","停用候选","待验证")))</x:f>
        <x:v>待验证</x:v>
      </x:c>
      <x:c r="P31" s="28"/>
      <x:c r="Q31" s="28"/>
    </x:row>
    <x:row r="32">
      <x:c r="A32" s="28"/>
      <x:c r="B32" s="28"/>
      <x:c r="C32" s="28"/>
      <x:c r="D32" s="28" t="n">
        <x:f>COUNTIFS('03_核验日志'!$D$211:$D$610,$A32,'03_核验日志'!$J$211:$J$610,"支持")</x:f>
        <x:v>0</x:v>
      </x:c>
      <x:c r="E32" s="28" t="n">
        <x:f>COUNTIFS('03_核验日志'!$D$211:$D$610,$A32,'03_核验日志'!$J$211:$J$610,"部分支持")</x:f>
        <x:v>0</x:v>
      </x:c>
      <x:c r="F32" s="28" t="n">
        <x:f>COUNTIFS('03_核验日志'!$D$211:$D$610,$A32,'03_核验日志'!$J$211:$J$610,"反例")</x:f>
        <x:v>0</x:v>
      </x:c>
      <x:c r="G32" s="28" t="n">
        <x:f>COUNTIFS('03_核验日志'!$D$211:$D$610,$A32,'03_核验日志'!$J$211:$J$610,"不确定")</x:f>
        <x:v>0</x:v>
      </x:c>
      <x:c r="H32" s="28" t="n">
        <x:f>D32+E32+F32</x:f>
        <x:v>0</x:v>
      </x:c>
      <x:c r="I32" s="36" t="str">
        <x:f>IF(H32=0,"",(D32+0.5*E32)/H32)</x:f>
      </x:c>
      <x:c r="J32" s="36" t="str">
        <x:f>IF(H32=0,"",(D32+0.5*E32+1)/(H32+2))</x:f>
      </x:c>
      <x:c r="K32" s="38" t="str">
        <x:f>IF((H32+G32)=0,"",SUMIFS('03_核验日志'!$K$211:$K$610,'03_核验日志'!$D$211:$D$610,$A32,'03_核验日志'!$J$211:$J$610,"&lt;&gt;不可评估")/(H32+G32))</x:f>
      </x:c>
      <x:c r="L32" s="28" t="n">
        <x:f>COUNTIFS('03_核验日志'!$D$211:$D$610,$A32,'03_核验日志'!$L$211:$L$610,"是")</x:f>
        <x:v>0</x:v>
      </x:c>
      <x:c r="M32" s="28" t="n">
        <x:f>COUNTIFS('03_核验日志'!$D$211:$D$610,$A32,'03_核验日志'!$M$211:$M$610,"是")</x:f>
        <x:v>0</x:v>
      </x:c>
      <x:c r="N32" s="28" t="str">
        <x:f>IF(A32="","",IF(H32&lt;5,"样本不足",IF(AND(H32&gt;=20,J32&gt;=0.75,F32&lt;=2),"升级验证候选",IF(AND(H32&gt;=10,J32&lt;0.45,F32&gt;=3),"降权/停用候选",IF(AND(H32&gt;=8,F32&gt;=3),"优先修订","保留观察")))))</x:f>
      </x:c>
      <x:c r="O32" s="28" t="str">
        <x:f>IF(N32="升级验证候选","已验证候选",IF(N32="优先修订","需修改",IF(N32="降权/停用候选","停用候选","待验证")))</x:f>
        <x:v>待验证</x:v>
      </x:c>
      <x:c r="P32" s="28"/>
      <x:c r="Q32" s="28"/>
    </x:row>
    <x:row r="33">
      <x:c r="A33" s="28"/>
      <x:c r="B33" s="28"/>
      <x:c r="C33" s="28"/>
      <x:c r="D33" s="28" t="n">
        <x:f>COUNTIFS('03_核验日志'!$D$211:$D$610,$A33,'03_核验日志'!$J$211:$J$610,"支持")</x:f>
        <x:v>0</x:v>
      </x:c>
      <x:c r="E33" s="28" t="n">
        <x:f>COUNTIFS('03_核验日志'!$D$211:$D$610,$A33,'03_核验日志'!$J$211:$J$610,"部分支持")</x:f>
        <x:v>0</x:v>
      </x:c>
      <x:c r="F33" s="28" t="n">
        <x:f>COUNTIFS('03_核验日志'!$D$211:$D$610,$A33,'03_核验日志'!$J$211:$J$610,"反例")</x:f>
        <x:v>0</x:v>
      </x:c>
      <x:c r="G33" s="28" t="n">
        <x:f>COUNTIFS('03_核验日志'!$D$211:$D$610,$A33,'03_核验日志'!$J$211:$J$610,"不确定")</x:f>
        <x:v>0</x:v>
      </x:c>
      <x:c r="H33" s="28" t="n">
        <x:f>D33+E33+F33</x:f>
        <x:v>0</x:v>
      </x:c>
      <x:c r="I33" s="36" t="str">
        <x:f>IF(H33=0,"",(D33+0.5*E33)/H33)</x:f>
      </x:c>
      <x:c r="J33" s="36" t="str">
        <x:f>IF(H33=0,"",(D33+0.5*E33+1)/(H33+2))</x:f>
      </x:c>
      <x:c r="K33" s="38" t="str">
        <x:f>IF((H33+G33)=0,"",SUMIFS('03_核验日志'!$K$211:$K$610,'03_核验日志'!$D$211:$D$610,$A33,'03_核验日志'!$J$211:$J$610,"&lt;&gt;不可评估")/(H33+G33))</x:f>
      </x:c>
      <x:c r="L33" s="28" t="n">
        <x:f>COUNTIFS('03_核验日志'!$D$211:$D$610,$A33,'03_核验日志'!$L$211:$L$610,"是")</x:f>
        <x:v>0</x:v>
      </x:c>
      <x:c r="M33" s="28" t="n">
        <x:f>COUNTIFS('03_核验日志'!$D$211:$D$610,$A33,'03_核验日志'!$M$211:$M$610,"是")</x:f>
        <x:v>0</x:v>
      </x:c>
      <x:c r="N33" s="28" t="str">
        <x:f>IF(A33="","",IF(H33&lt;5,"样本不足",IF(AND(H33&gt;=20,J33&gt;=0.75,F33&lt;=2),"升级验证候选",IF(AND(H33&gt;=10,J33&lt;0.45,F33&gt;=3),"降权/停用候选",IF(AND(H33&gt;=8,F33&gt;=3),"优先修订","保留观察")))))</x:f>
      </x:c>
      <x:c r="O33" s="28" t="str">
        <x:f>IF(N33="升级验证候选","已验证候选",IF(N33="优先修订","需修改",IF(N33="降权/停用候选","停用候选","待验证")))</x:f>
        <x:v>待验证</x:v>
      </x:c>
      <x:c r="P33" s="28"/>
      <x:c r="Q33" s="28"/>
    </x:row>
    <x:row r="34">
      <x:c r="A34" s="28"/>
      <x:c r="B34" s="28"/>
      <x:c r="C34" s="28"/>
      <x:c r="D34" s="28" t="n">
        <x:f>COUNTIFS('03_核验日志'!$D$211:$D$610,$A34,'03_核验日志'!$J$211:$J$610,"支持")</x:f>
        <x:v>0</x:v>
      </x:c>
      <x:c r="E34" s="28" t="n">
        <x:f>COUNTIFS('03_核验日志'!$D$211:$D$610,$A34,'03_核验日志'!$J$211:$J$610,"部分支持")</x:f>
        <x:v>0</x:v>
      </x:c>
      <x:c r="F34" s="28" t="n">
        <x:f>COUNTIFS('03_核验日志'!$D$211:$D$610,$A34,'03_核验日志'!$J$211:$J$610,"反例")</x:f>
        <x:v>0</x:v>
      </x:c>
      <x:c r="G34" s="28" t="n">
        <x:f>COUNTIFS('03_核验日志'!$D$211:$D$610,$A34,'03_核验日志'!$J$211:$J$610,"不确定")</x:f>
        <x:v>0</x:v>
      </x:c>
      <x:c r="H34" s="28" t="n">
        <x:f>D34+E34+F34</x:f>
        <x:v>0</x:v>
      </x:c>
      <x:c r="I34" s="36" t="str">
        <x:f>IF(H34=0,"",(D34+0.5*E34)/H34)</x:f>
      </x:c>
      <x:c r="J34" s="36" t="str">
        <x:f>IF(H34=0,"",(D34+0.5*E34+1)/(H34+2))</x:f>
      </x:c>
      <x:c r="K34" s="38" t="str">
        <x:f>IF((H34+G34)=0,"",SUMIFS('03_核验日志'!$K$211:$K$610,'03_核验日志'!$D$211:$D$610,$A34,'03_核验日志'!$J$211:$J$610,"&lt;&gt;不可评估")/(H34+G34))</x:f>
      </x:c>
      <x:c r="L34" s="28" t="n">
        <x:f>COUNTIFS('03_核验日志'!$D$211:$D$610,$A34,'03_核验日志'!$L$211:$L$610,"是")</x:f>
        <x:v>0</x:v>
      </x:c>
      <x:c r="M34" s="28" t="n">
        <x:f>COUNTIFS('03_核验日志'!$D$211:$D$610,$A34,'03_核验日志'!$M$211:$M$610,"是")</x:f>
        <x:v>0</x:v>
      </x:c>
      <x:c r="N34" s="28" t="str">
        <x:f>IF(A34="","",IF(H34&lt;5,"样本不足",IF(AND(H34&gt;=20,J34&gt;=0.75,F34&lt;=2),"升级验证候选",IF(AND(H34&gt;=10,J34&lt;0.45,F34&gt;=3),"降权/停用候选",IF(AND(H34&gt;=8,F34&gt;=3),"优先修订","保留观察")))))</x:f>
      </x:c>
      <x:c r="O34" s="28" t="str">
        <x:f>IF(N34="升级验证候选","已验证候选",IF(N34="优先修订","需修改",IF(N34="降权/停用候选","停用候选","待验证")))</x:f>
        <x:v>待验证</x:v>
      </x:c>
      <x:c r="P34" s="28"/>
      <x:c r="Q34" s="28"/>
    </x:row>
    <x:row r="35">
      <x:c r="A35" s="28"/>
      <x:c r="B35" s="28"/>
      <x:c r="C35" s="28"/>
      <x:c r="D35" s="28" t="n">
        <x:f>COUNTIFS('03_核验日志'!$D$211:$D$610,$A35,'03_核验日志'!$J$211:$J$610,"支持")</x:f>
        <x:v>0</x:v>
      </x:c>
      <x:c r="E35" s="28" t="n">
        <x:f>COUNTIFS('03_核验日志'!$D$211:$D$610,$A35,'03_核验日志'!$J$211:$J$610,"部分支持")</x:f>
        <x:v>0</x:v>
      </x:c>
      <x:c r="F35" s="28" t="n">
        <x:f>COUNTIFS('03_核验日志'!$D$211:$D$610,$A35,'03_核验日志'!$J$211:$J$610,"反例")</x:f>
        <x:v>0</x:v>
      </x:c>
      <x:c r="G35" s="28" t="n">
        <x:f>COUNTIFS('03_核验日志'!$D$211:$D$610,$A35,'03_核验日志'!$J$211:$J$610,"不确定")</x:f>
        <x:v>0</x:v>
      </x:c>
      <x:c r="H35" s="28" t="n">
        <x:f>D35+E35+F35</x:f>
        <x:v>0</x:v>
      </x:c>
      <x:c r="I35" s="36" t="str">
        <x:f>IF(H35=0,"",(D35+0.5*E35)/H35)</x:f>
      </x:c>
      <x:c r="J35" s="36" t="str">
        <x:f>IF(H35=0,"",(D35+0.5*E35+1)/(H35+2))</x:f>
      </x:c>
      <x:c r="K35" s="38" t="str">
        <x:f>IF((H35+G35)=0,"",SUMIFS('03_核验日志'!$K$211:$K$610,'03_核验日志'!$D$211:$D$610,$A35,'03_核验日志'!$J$211:$J$610,"&lt;&gt;不可评估")/(H35+G35))</x:f>
      </x:c>
      <x:c r="L35" s="28" t="n">
        <x:f>COUNTIFS('03_核验日志'!$D$211:$D$610,$A35,'03_核验日志'!$L$211:$L$610,"是")</x:f>
        <x:v>0</x:v>
      </x:c>
      <x:c r="M35" s="28" t="n">
        <x:f>COUNTIFS('03_核验日志'!$D$211:$D$610,$A35,'03_核验日志'!$M$211:$M$610,"是")</x:f>
        <x:v>0</x:v>
      </x:c>
      <x:c r="N35" s="28" t="str">
        <x:f>IF(A35="","",IF(H35&lt;5,"样本不足",IF(AND(H35&gt;=20,J35&gt;=0.75,F35&lt;=2),"升级验证候选",IF(AND(H35&gt;=10,J35&lt;0.45,F35&gt;=3),"降权/停用候选",IF(AND(H35&gt;=8,F35&gt;=3),"优先修订","保留观察")))))</x:f>
      </x:c>
      <x:c r="O35" s="28" t="str">
        <x:f>IF(N35="升级验证候选","已验证候选",IF(N35="优先修订","需修改",IF(N35="降权/停用候选","停用候选","待验证")))</x:f>
        <x:v>待验证</x:v>
      </x:c>
      <x:c r="P35" s="28"/>
      <x:c r="Q35" s="28"/>
    </x:row>
    <x:row r="36">
      <x:c r="A36" s="28"/>
      <x:c r="B36" s="28"/>
      <x:c r="C36" s="28"/>
      <x:c r="D36" s="28" t="n">
        <x:f>COUNTIFS('03_核验日志'!$D$211:$D$610,$A36,'03_核验日志'!$J$211:$J$610,"支持")</x:f>
        <x:v>0</x:v>
      </x:c>
      <x:c r="E36" s="28" t="n">
        <x:f>COUNTIFS('03_核验日志'!$D$211:$D$610,$A36,'03_核验日志'!$J$211:$J$610,"部分支持")</x:f>
        <x:v>0</x:v>
      </x:c>
      <x:c r="F36" s="28" t="n">
        <x:f>COUNTIFS('03_核验日志'!$D$211:$D$610,$A36,'03_核验日志'!$J$211:$J$610,"反例")</x:f>
        <x:v>0</x:v>
      </x:c>
      <x:c r="G36" s="28" t="n">
        <x:f>COUNTIFS('03_核验日志'!$D$211:$D$610,$A36,'03_核验日志'!$J$211:$J$610,"不确定")</x:f>
        <x:v>0</x:v>
      </x:c>
      <x:c r="H36" s="28" t="n">
        <x:f>D36+E36+F36</x:f>
        <x:v>0</x:v>
      </x:c>
      <x:c r="I36" s="36" t="str">
        <x:f>IF(H36=0,"",(D36+0.5*E36)/H36)</x:f>
      </x:c>
      <x:c r="J36" s="36" t="str">
        <x:f>IF(H36=0,"",(D36+0.5*E36+1)/(H36+2))</x:f>
      </x:c>
      <x:c r="K36" s="38" t="str">
        <x:f>IF((H36+G36)=0,"",SUMIFS('03_核验日志'!$K$211:$K$610,'03_核验日志'!$D$211:$D$610,$A36,'03_核验日志'!$J$211:$J$610,"&lt;&gt;不可评估")/(H36+G36))</x:f>
      </x:c>
      <x:c r="L36" s="28" t="n">
        <x:f>COUNTIFS('03_核验日志'!$D$211:$D$610,$A36,'03_核验日志'!$L$211:$L$610,"是")</x:f>
        <x:v>0</x:v>
      </x:c>
      <x:c r="M36" s="28" t="n">
        <x:f>COUNTIFS('03_核验日志'!$D$211:$D$610,$A36,'03_核验日志'!$M$211:$M$610,"是")</x:f>
        <x:v>0</x:v>
      </x:c>
      <x:c r="N36" s="28" t="str">
        <x:f>IF(A36="","",IF(H36&lt;5,"样本不足",IF(AND(H36&gt;=20,J36&gt;=0.75,F36&lt;=2),"升级验证候选",IF(AND(H36&gt;=10,J36&lt;0.45,F36&gt;=3),"降权/停用候选",IF(AND(H36&gt;=8,F36&gt;=3),"优先修订","保留观察")))))</x:f>
      </x:c>
      <x:c r="O36" s="28" t="str">
        <x:f>IF(N36="升级验证候选","已验证候选",IF(N36="优先修订","需修改",IF(N36="降权/停用候选","停用候选","待验证")))</x:f>
        <x:v>待验证</x:v>
      </x:c>
      <x:c r="P36" s="28"/>
      <x:c r="Q36" s="28"/>
    </x:row>
    <x:row r="37">
      <x:c r="A37" s="28"/>
      <x:c r="B37" s="28"/>
      <x:c r="C37" s="28"/>
      <x:c r="D37" s="28" t="n">
        <x:f>COUNTIFS('03_核验日志'!$D$211:$D$610,$A37,'03_核验日志'!$J$211:$J$610,"支持")</x:f>
        <x:v>0</x:v>
      </x:c>
      <x:c r="E37" s="28" t="n">
        <x:f>COUNTIFS('03_核验日志'!$D$211:$D$610,$A37,'03_核验日志'!$J$211:$J$610,"部分支持")</x:f>
        <x:v>0</x:v>
      </x:c>
      <x:c r="F37" s="28" t="n">
        <x:f>COUNTIFS('03_核验日志'!$D$211:$D$610,$A37,'03_核验日志'!$J$211:$J$610,"反例")</x:f>
        <x:v>0</x:v>
      </x:c>
      <x:c r="G37" s="28" t="n">
        <x:f>COUNTIFS('03_核验日志'!$D$211:$D$610,$A37,'03_核验日志'!$J$211:$J$610,"不确定")</x:f>
        <x:v>0</x:v>
      </x:c>
      <x:c r="H37" s="28" t="n">
        <x:f>D37+E37+F37</x:f>
        <x:v>0</x:v>
      </x:c>
      <x:c r="I37" s="36" t="str">
        <x:f>IF(H37=0,"",(D37+0.5*E37)/H37)</x:f>
      </x:c>
      <x:c r="J37" s="36" t="str">
        <x:f>IF(H37=0,"",(D37+0.5*E37+1)/(H37+2))</x:f>
      </x:c>
      <x:c r="K37" s="38" t="str">
        <x:f>IF((H37+G37)=0,"",SUMIFS('03_核验日志'!$K$211:$K$610,'03_核验日志'!$D$211:$D$610,$A37,'03_核验日志'!$J$211:$J$610,"&lt;&gt;不可评估")/(H37+G37))</x:f>
      </x:c>
      <x:c r="L37" s="28" t="n">
        <x:f>COUNTIFS('03_核验日志'!$D$211:$D$610,$A37,'03_核验日志'!$L$211:$L$610,"是")</x:f>
        <x:v>0</x:v>
      </x:c>
      <x:c r="M37" s="28" t="n">
        <x:f>COUNTIFS('03_核验日志'!$D$211:$D$610,$A37,'03_核验日志'!$M$211:$M$610,"是")</x:f>
        <x:v>0</x:v>
      </x:c>
      <x:c r="N37" s="28" t="str">
        <x:f>IF(A37="","",IF(H37&lt;5,"样本不足",IF(AND(H37&gt;=20,J37&gt;=0.75,F37&lt;=2),"升级验证候选",IF(AND(H37&gt;=10,J37&lt;0.45,F37&gt;=3),"降权/停用候选",IF(AND(H37&gt;=8,F37&gt;=3),"优先修订","保留观察")))))</x:f>
      </x:c>
      <x:c r="O37" s="28" t="str">
        <x:f>IF(N37="升级验证候选","已验证候选",IF(N37="优先修订","需修改",IF(N37="降权/停用候选","停用候选","待验证")))</x:f>
        <x:v>待验证</x:v>
      </x:c>
      <x:c r="P37" s="28"/>
      <x:c r="Q37" s="28"/>
    </x:row>
    <x:row r="38">
      <x:c r="A38" s="28"/>
      <x:c r="B38" s="28"/>
      <x:c r="C38" s="28"/>
      <x:c r="D38" s="28" t="n">
        <x:f>COUNTIFS('03_核验日志'!$D$211:$D$610,$A38,'03_核验日志'!$J$211:$J$610,"支持")</x:f>
        <x:v>0</x:v>
      </x:c>
      <x:c r="E38" s="28" t="n">
        <x:f>COUNTIFS('03_核验日志'!$D$211:$D$610,$A38,'03_核验日志'!$J$211:$J$610,"部分支持")</x:f>
        <x:v>0</x:v>
      </x:c>
      <x:c r="F38" s="28" t="n">
        <x:f>COUNTIFS('03_核验日志'!$D$211:$D$610,$A38,'03_核验日志'!$J$211:$J$610,"反例")</x:f>
        <x:v>0</x:v>
      </x:c>
      <x:c r="G38" s="28" t="n">
        <x:f>COUNTIFS('03_核验日志'!$D$211:$D$610,$A38,'03_核验日志'!$J$211:$J$610,"不确定")</x:f>
        <x:v>0</x:v>
      </x:c>
      <x:c r="H38" s="28" t="n">
        <x:f>D38+E38+F38</x:f>
        <x:v>0</x:v>
      </x:c>
      <x:c r="I38" s="36" t="str">
        <x:f>IF(H38=0,"",(D38+0.5*E38)/H38)</x:f>
      </x:c>
      <x:c r="J38" s="36" t="str">
        <x:f>IF(H38=0,"",(D38+0.5*E38+1)/(H38+2))</x:f>
      </x:c>
      <x:c r="K38" s="38" t="str">
        <x:f>IF((H38+G38)=0,"",SUMIFS('03_核验日志'!$K$211:$K$610,'03_核验日志'!$D$211:$D$610,$A38,'03_核验日志'!$J$211:$J$610,"&lt;&gt;不可评估")/(H38+G38))</x:f>
      </x:c>
      <x:c r="L38" s="28" t="n">
        <x:f>COUNTIFS('03_核验日志'!$D$211:$D$610,$A38,'03_核验日志'!$L$211:$L$610,"是")</x:f>
        <x:v>0</x:v>
      </x:c>
      <x:c r="M38" s="28" t="n">
        <x:f>COUNTIFS('03_核验日志'!$D$211:$D$610,$A38,'03_核验日志'!$M$211:$M$610,"是")</x:f>
        <x:v>0</x:v>
      </x:c>
      <x:c r="N38" s="28" t="str">
        <x:f>IF(A38="","",IF(H38&lt;5,"样本不足",IF(AND(H38&gt;=20,J38&gt;=0.75,F38&lt;=2),"升级验证候选",IF(AND(H38&gt;=10,J38&lt;0.45,F38&gt;=3),"降权/停用候选",IF(AND(H38&gt;=8,F38&gt;=3),"优先修订","保留观察")))))</x:f>
      </x:c>
      <x:c r="O38" s="28" t="str">
        <x:f>IF(N38="升级验证候选","已验证候选",IF(N38="优先修订","需修改",IF(N38="降权/停用候选","停用候选","待验证")))</x:f>
        <x:v>待验证</x:v>
      </x:c>
      <x:c r="P38" s="28"/>
      <x:c r="Q38" s="28"/>
    </x:row>
    <x:row r="39">
      <x:c r="A39" s="28"/>
      <x:c r="B39" s="28"/>
      <x:c r="C39" s="28"/>
      <x:c r="D39" s="28" t="n">
        <x:f>COUNTIFS('03_核验日志'!$D$211:$D$610,$A39,'03_核验日志'!$J$211:$J$610,"支持")</x:f>
        <x:v>0</x:v>
      </x:c>
      <x:c r="E39" s="28" t="n">
        <x:f>COUNTIFS('03_核验日志'!$D$211:$D$610,$A39,'03_核验日志'!$J$211:$J$610,"部分支持")</x:f>
        <x:v>0</x:v>
      </x:c>
      <x:c r="F39" s="28" t="n">
        <x:f>COUNTIFS('03_核验日志'!$D$211:$D$610,$A39,'03_核验日志'!$J$211:$J$610,"反例")</x:f>
        <x:v>0</x:v>
      </x:c>
      <x:c r="G39" s="28" t="n">
        <x:f>COUNTIFS('03_核验日志'!$D$211:$D$610,$A39,'03_核验日志'!$J$211:$J$610,"不确定")</x:f>
        <x:v>0</x:v>
      </x:c>
      <x:c r="H39" s="28" t="n">
        <x:f>D39+E39+F39</x:f>
        <x:v>0</x:v>
      </x:c>
      <x:c r="I39" s="36" t="str">
        <x:f>IF(H39=0,"",(D39+0.5*E39)/H39)</x:f>
      </x:c>
      <x:c r="J39" s="36" t="str">
        <x:f>IF(H39=0,"",(D39+0.5*E39+1)/(H39+2))</x:f>
      </x:c>
      <x:c r="K39" s="38" t="str">
        <x:f>IF((H39+G39)=0,"",SUMIFS('03_核验日志'!$K$211:$K$610,'03_核验日志'!$D$211:$D$610,$A39,'03_核验日志'!$J$211:$J$610,"&lt;&gt;不可评估")/(H39+G39))</x:f>
      </x:c>
      <x:c r="L39" s="28" t="n">
        <x:f>COUNTIFS('03_核验日志'!$D$211:$D$610,$A39,'03_核验日志'!$L$211:$L$610,"是")</x:f>
        <x:v>0</x:v>
      </x:c>
      <x:c r="M39" s="28" t="n">
        <x:f>COUNTIFS('03_核验日志'!$D$211:$D$610,$A39,'03_核验日志'!$M$211:$M$610,"是")</x:f>
        <x:v>0</x:v>
      </x:c>
      <x:c r="N39" s="28" t="str">
        <x:f>IF(A39="","",IF(H39&lt;5,"样本不足",IF(AND(H39&gt;=20,J39&gt;=0.75,F39&lt;=2),"升级验证候选",IF(AND(H39&gt;=10,J39&lt;0.45,F39&gt;=3),"降权/停用候选",IF(AND(H39&gt;=8,F39&gt;=3),"优先修订","保留观察")))))</x:f>
      </x:c>
      <x:c r="O39" s="28" t="str">
        <x:f>IF(N39="升级验证候选","已验证候选",IF(N39="优先修订","需修改",IF(N39="降权/停用候选","停用候选","待验证")))</x:f>
        <x:v>待验证</x:v>
      </x:c>
      <x:c r="P39" s="28"/>
      <x:c r="Q39" s="28"/>
    </x:row>
    <x:row r="40">
      <x:c r="A40" s="28"/>
      <x:c r="B40" s="28"/>
      <x:c r="C40" s="28"/>
      <x:c r="D40" s="28" t="n">
        <x:f>COUNTIFS('03_核验日志'!$D$211:$D$610,$A40,'03_核验日志'!$J$211:$J$610,"支持")</x:f>
        <x:v>0</x:v>
      </x:c>
      <x:c r="E40" s="28" t="n">
        <x:f>COUNTIFS('03_核验日志'!$D$211:$D$610,$A40,'03_核验日志'!$J$211:$J$610,"部分支持")</x:f>
        <x:v>0</x:v>
      </x:c>
      <x:c r="F40" s="28" t="n">
        <x:f>COUNTIFS('03_核验日志'!$D$211:$D$610,$A40,'03_核验日志'!$J$211:$J$610,"反例")</x:f>
        <x:v>0</x:v>
      </x:c>
      <x:c r="G40" s="28" t="n">
        <x:f>COUNTIFS('03_核验日志'!$D$211:$D$610,$A40,'03_核验日志'!$J$211:$J$610,"不确定")</x:f>
        <x:v>0</x:v>
      </x:c>
      <x:c r="H40" s="28" t="n">
        <x:f>D40+E40+F40</x:f>
        <x:v>0</x:v>
      </x:c>
      <x:c r="I40" s="36" t="str">
        <x:f>IF(H40=0,"",(D40+0.5*E40)/H40)</x:f>
      </x:c>
      <x:c r="J40" s="36" t="str">
        <x:f>IF(H40=0,"",(D40+0.5*E40+1)/(H40+2))</x:f>
      </x:c>
      <x:c r="K40" s="38" t="str">
        <x:f>IF((H40+G40)=0,"",SUMIFS('03_核验日志'!$K$211:$K$610,'03_核验日志'!$D$211:$D$610,$A40,'03_核验日志'!$J$211:$J$610,"&lt;&gt;不可评估")/(H40+G40))</x:f>
      </x:c>
      <x:c r="L40" s="28" t="n">
        <x:f>COUNTIFS('03_核验日志'!$D$211:$D$610,$A40,'03_核验日志'!$L$211:$L$610,"是")</x:f>
        <x:v>0</x:v>
      </x:c>
      <x:c r="M40" s="28" t="n">
        <x:f>COUNTIFS('03_核验日志'!$D$211:$D$610,$A40,'03_核验日志'!$M$211:$M$610,"是")</x:f>
        <x:v>0</x:v>
      </x:c>
      <x:c r="N40" s="28" t="str">
        <x:f>IF(A40="","",IF(H40&lt;5,"样本不足",IF(AND(H40&gt;=20,J40&gt;=0.75,F40&lt;=2),"升级验证候选",IF(AND(H40&gt;=10,J40&lt;0.45,F40&gt;=3),"降权/停用候选",IF(AND(H40&gt;=8,F40&gt;=3),"优先修订","保留观察")))))</x:f>
      </x:c>
      <x:c r="O40" s="28" t="str">
        <x:f>IF(N40="升级验证候选","已验证候选",IF(N40="优先修订","需修改",IF(N40="降权/停用候选","停用候选","待验证")))</x:f>
        <x:v>待验证</x:v>
      </x:c>
      <x:c r="P40" s="28"/>
      <x:c r="Q40" s="28"/>
    </x:row>
    <x:row r="41">
      <x:c r="A41" s="28"/>
      <x:c r="B41" s="28"/>
      <x:c r="C41" s="28"/>
      <x:c r="D41" s="28" t="n">
        <x:f>COUNTIFS('03_核验日志'!$D$211:$D$610,$A41,'03_核验日志'!$J$211:$J$610,"支持")</x:f>
        <x:v>0</x:v>
      </x:c>
      <x:c r="E41" s="28" t="n">
        <x:f>COUNTIFS('03_核验日志'!$D$211:$D$610,$A41,'03_核验日志'!$J$211:$J$610,"部分支持")</x:f>
        <x:v>0</x:v>
      </x:c>
      <x:c r="F41" s="28" t="n">
        <x:f>COUNTIFS('03_核验日志'!$D$211:$D$610,$A41,'03_核验日志'!$J$211:$J$610,"反例")</x:f>
        <x:v>0</x:v>
      </x:c>
      <x:c r="G41" s="28" t="n">
        <x:f>COUNTIFS('03_核验日志'!$D$211:$D$610,$A41,'03_核验日志'!$J$211:$J$610,"不确定")</x:f>
        <x:v>0</x:v>
      </x:c>
      <x:c r="H41" s="28" t="n">
        <x:f>D41+E41+F41</x:f>
        <x:v>0</x:v>
      </x:c>
      <x:c r="I41" s="36" t="str">
        <x:f>IF(H41=0,"",(D41+0.5*E41)/H41)</x:f>
      </x:c>
      <x:c r="J41" s="36" t="str">
        <x:f>IF(H41=0,"",(D41+0.5*E41+1)/(H41+2))</x:f>
      </x:c>
      <x:c r="K41" s="38" t="str">
        <x:f>IF((H41+G41)=0,"",SUMIFS('03_核验日志'!$K$211:$K$610,'03_核验日志'!$D$211:$D$610,$A41,'03_核验日志'!$J$211:$J$610,"&lt;&gt;不可评估")/(H41+G41))</x:f>
      </x:c>
      <x:c r="L41" s="28" t="n">
        <x:f>COUNTIFS('03_核验日志'!$D$211:$D$610,$A41,'03_核验日志'!$L$211:$L$610,"是")</x:f>
        <x:v>0</x:v>
      </x:c>
      <x:c r="M41" s="28" t="n">
        <x:f>COUNTIFS('03_核验日志'!$D$211:$D$610,$A41,'03_核验日志'!$M$211:$M$610,"是")</x:f>
        <x:v>0</x:v>
      </x:c>
      <x:c r="N41" s="28" t="str">
        <x:f>IF(A41="","",IF(H41&lt;5,"样本不足",IF(AND(H41&gt;=20,J41&gt;=0.75,F41&lt;=2),"升级验证候选",IF(AND(H41&gt;=10,J41&lt;0.45,F41&gt;=3),"降权/停用候选",IF(AND(H41&gt;=8,F41&gt;=3),"优先修订","保留观察")))))</x:f>
      </x:c>
      <x:c r="O41" s="28" t="str">
        <x:f>IF(N41="升级验证候选","已验证候选",IF(N41="优先修订","需修改",IF(N41="降权/停用候选","停用候选","待验证")))</x:f>
        <x:v>待验证</x:v>
      </x:c>
      <x:c r="P41" s="28"/>
      <x:c r="Q41" s="28"/>
    </x:row>
    <x:row r="42">
      <x:c r="A42" s="28"/>
      <x:c r="B42" s="28"/>
      <x:c r="C42" s="28"/>
      <x:c r="D42" s="28" t="n">
        <x:f>COUNTIFS('03_核验日志'!$D$211:$D$610,$A42,'03_核验日志'!$J$211:$J$610,"支持")</x:f>
        <x:v>0</x:v>
      </x:c>
      <x:c r="E42" s="28" t="n">
        <x:f>COUNTIFS('03_核验日志'!$D$211:$D$610,$A42,'03_核验日志'!$J$211:$J$610,"部分支持")</x:f>
        <x:v>0</x:v>
      </x:c>
      <x:c r="F42" s="28" t="n">
        <x:f>COUNTIFS('03_核验日志'!$D$211:$D$610,$A42,'03_核验日志'!$J$211:$J$610,"反例")</x:f>
        <x:v>0</x:v>
      </x:c>
      <x:c r="G42" s="28" t="n">
        <x:f>COUNTIFS('03_核验日志'!$D$211:$D$610,$A42,'03_核验日志'!$J$211:$J$610,"不确定")</x:f>
        <x:v>0</x:v>
      </x:c>
      <x:c r="H42" s="28" t="n">
        <x:f>D42+E42+F42</x:f>
        <x:v>0</x:v>
      </x:c>
      <x:c r="I42" s="36" t="str">
        <x:f>IF(H42=0,"",(D42+0.5*E42)/H42)</x:f>
      </x:c>
      <x:c r="J42" s="36" t="str">
        <x:f>IF(H42=0,"",(D42+0.5*E42+1)/(H42+2))</x:f>
      </x:c>
      <x:c r="K42" s="38" t="str">
        <x:f>IF((H42+G42)=0,"",SUMIFS('03_核验日志'!$K$211:$K$610,'03_核验日志'!$D$211:$D$610,$A42,'03_核验日志'!$J$211:$J$610,"&lt;&gt;不可评估")/(H42+G42))</x:f>
      </x:c>
      <x:c r="L42" s="28" t="n">
        <x:f>COUNTIFS('03_核验日志'!$D$211:$D$610,$A42,'03_核验日志'!$L$211:$L$610,"是")</x:f>
        <x:v>0</x:v>
      </x:c>
      <x:c r="M42" s="28" t="n">
        <x:f>COUNTIFS('03_核验日志'!$D$211:$D$610,$A42,'03_核验日志'!$M$211:$M$610,"是")</x:f>
        <x:v>0</x:v>
      </x:c>
      <x:c r="N42" s="28" t="str">
        <x:f>IF(A42="","",IF(H42&lt;5,"样本不足",IF(AND(H42&gt;=20,J42&gt;=0.75,F42&lt;=2),"升级验证候选",IF(AND(H42&gt;=10,J42&lt;0.45,F42&gt;=3),"降权/停用候选",IF(AND(H42&gt;=8,F42&gt;=3),"优先修订","保留观察")))))</x:f>
      </x:c>
      <x:c r="O42" s="28" t="str">
        <x:f>IF(N42="升级验证候选","已验证候选",IF(N42="优先修订","需修改",IF(N42="降权/停用候选","停用候选","待验证")))</x:f>
        <x:v>待验证</x:v>
      </x:c>
      <x:c r="P42" s="28"/>
      <x:c r="Q42" s="28"/>
    </x:row>
    <x:row r="43">
      <x:c r="A43" s="28"/>
      <x:c r="B43" s="28"/>
      <x:c r="C43" s="28"/>
      <x:c r="D43" s="28" t="n">
        <x:f>COUNTIFS('03_核验日志'!$D$211:$D$610,$A43,'03_核验日志'!$J$211:$J$610,"支持")</x:f>
        <x:v>0</x:v>
      </x:c>
      <x:c r="E43" s="28" t="n">
        <x:f>COUNTIFS('03_核验日志'!$D$211:$D$610,$A43,'03_核验日志'!$J$211:$J$610,"部分支持")</x:f>
        <x:v>0</x:v>
      </x:c>
      <x:c r="F43" s="28" t="n">
        <x:f>COUNTIFS('03_核验日志'!$D$211:$D$610,$A43,'03_核验日志'!$J$211:$J$610,"反例")</x:f>
        <x:v>0</x:v>
      </x:c>
      <x:c r="G43" s="28" t="n">
        <x:f>COUNTIFS('03_核验日志'!$D$211:$D$610,$A43,'03_核验日志'!$J$211:$J$610,"不确定")</x:f>
        <x:v>0</x:v>
      </x:c>
      <x:c r="H43" s="28" t="n">
        <x:f>D43+E43+F43</x:f>
        <x:v>0</x:v>
      </x:c>
      <x:c r="I43" s="36" t="str">
        <x:f>IF(H43=0,"",(D43+0.5*E43)/H43)</x:f>
      </x:c>
      <x:c r="J43" s="36" t="str">
        <x:f>IF(H43=0,"",(D43+0.5*E43+1)/(H43+2))</x:f>
      </x:c>
      <x:c r="K43" s="38" t="str">
        <x:f>IF((H43+G43)=0,"",SUMIFS('03_核验日志'!$K$211:$K$610,'03_核验日志'!$D$211:$D$610,$A43,'03_核验日志'!$J$211:$J$610,"&lt;&gt;不可评估")/(H43+G43))</x:f>
      </x:c>
      <x:c r="L43" s="28" t="n">
        <x:f>COUNTIFS('03_核验日志'!$D$211:$D$610,$A43,'03_核验日志'!$L$211:$L$610,"是")</x:f>
        <x:v>0</x:v>
      </x:c>
      <x:c r="M43" s="28" t="n">
        <x:f>COUNTIFS('03_核验日志'!$D$211:$D$610,$A43,'03_核验日志'!$M$211:$M$610,"是")</x:f>
        <x:v>0</x:v>
      </x:c>
      <x:c r="N43" s="28" t="str">
        <x:f>IF(A43="","",IF(H43&lt;5,"样本不足",IF(AND(H43&gt;=20,J43&gt;=0.75,F43&lt;=2),"升级验证候选",IF(AND(H43&gt;=10,J43&lt;0.45,F43&gt;=3),"降权/停用候选",IF(AND(H43&gt;=8,F43&gt;=3),"优先修订","保留观察")))))</x:f>
      </x:c>
      <x:c r="O43" s="28" t="str">
        <x:f>IF(N43="升级验证候选","已验证候选",IF(N43="优先修订","需修改",IF(N43="降权/停用候选","停用候选","待验证")))</x:f>
        <x:v>待验证</x:v>
      </x:c>
      <x:c r="P43" s="28"/>
      <x:c r="Q43" s="28"/>
    </x:row>
    <x:row r="44">
      <x:c r="A44" s="28"/>
      <x:c r="B44" s="28"/>
      <x:c r="C44" s="28"/>
      <x:c r="D44" s="28" t="n">
        <x:f>COUNTIFS('03_核验日志'!$D$211:$D$610,$A44,'03_核验日志'!$J$211:$J$610,"支持")</x:f>
        <x:v>0</x:v>
      </x:c>
      <x:c r="E44" s="28" t="n">
        <x:f>COUNTIFS('03_核验日志'!$D$211:$D$610,$A44,'03_核验日志'!$J$211:$J$610,"部分支持")</x:f>
        <x:v>0</x:v>
      </x:c>
      <x:c r="F44" s="28" t="n">
        <x:f>COUNTIFS('03_核验日志'!$D$211:$D$610,$A44,'03_核验日志'!$J$211:$J$610,"反例")</x:f>
        <x:v>0</x:v>
      </x:c>
      <x:c r="G44" s="28" t="n">
        <x:f>COUNTIFS('03_核验日志'!$D$211:$D$610,$A44,'03_核验日志'!$J$211:$J$610,"不确定")</x:f>
        <x:v>0</x:v>
      </x:c>
      <x:c r="H44" s="28" t="n">
        <x:f>D44+E44+F44</x:f>
        <x:v>0</x:v>
      </x:c>
      <x:c r="I44" s="36" t="str">
        <x:f>IF(H44=0,"",(D44+0.5*E44)/H44)</x:f>
      </x:c>
      <x:c r="J44" s="36" t="str">
        <x:f>IF(H44=0,"",(D44+0.5*E44+1)/(H44+2))</x:f>
      </x:c>
      <x:c r="K44" s="38" t="str">
        <x:f>IF((H44+G44)=0,"",SUMIFS('03_核验日志'!$K$211:$K$610,'03_核验日志'!$D$211:$D$610,$A44,'03_核验日志'!$J$211:$J$610,"&lt;&gt;不可评估")/(H44+G44))</x:f>
      </x:c>
      <x:c r="L44" s="28" t="n">
        <x:f>COUNTIFS('03_核验日志'!$D$211:$D$610,$A44,'03_核验日志'!$L$211:$L$610,"是")</x:f>
        <x:v>0</x:v>
      </x:c>
      <x:c r="M44" s="28" t="n">
        <x:f>COUNTIFS('03_核验日志'!$D$211:$D$610,$A44,'03_核验日志'!$M$211:$M$610,"是")</x:f>
        <x:v>0</x:v>
      </x:c>
      <x:c r="N44" s="28" t="str">
        <x:f>IF(A44="","",IF(H44&lt;5,"样本不足",IF(AND(H44&gt;=20,J44&gt;=0.75,F44&lt;=2),"升级验证候选",IF(AND(H44&gt;=10,J44&lt;0.45,F44&gt;=3),"降权/停用候选",IF(AND(H44&gt;=8,F44&gt;=3),"优先修订","保留观察")))))</x:f>
      </x:c>
      <x:c r="O44" s="28" t="str">
        <x:f>IF(N44="升级验证候选","已验证候选",IF(N44="优先修订","需修改",IF(N44="降权/停用候选","停用候选","待验证")))</x:f>
        <x:v>待验证</x:v>
      </x:c>
      <x:c r="P44" s="28"/>
      <x:c r="Q44" s="28"/>
    </x:row>
    <x:row r="45">
      <x:c r="A45" s="28"/>
      <x:c r="B45" s="28"/>
      <x:c r="C45" s="28"/>
      <x:c r="D45" s="28" t="n">
        <x:f>COUNTIFS('03_核验日志'!$D$211:$D$610,$A45,'03_核验日志'!$J$211:$J$610,"支持")</x:f>
        <x:v>0</x:v>
      </x:c>
      <x:c r="E45" s="28" t="n">
        <x:f>COUNTIFS('03_核验日志'!$D$211:$D$610,$A45,'03_核验日志'!$J$211:$J$610,"部分支持")</x:f>
        <x:v>0</x:v>
      </x:c>
      <x:c r="F45" s="28" t="n">
        <x:f>COUNTIFS('03_核验日志'!$D$211:$D$610,$A45,'03_核验日志'!$J$211:$J$610,"反例")</x:f>
        <x:v>0</x:v>
      </x:c>
      <x:c r="G45" s="28" t="n">
        <x:f>COUNTIFS('03_核验日志'!$D$211:$D$610,$A45,'03_核验日志'!$J$211:$J$610,"不确定")</x:f>
        <x:v>0</x:v>
      </x:c>
      <x:c r="H45" s="28" t="n">
        <x:f>D45+E45+F45</x:f>
        <x:v>0</x:v>
      </x:c>
      <x:c r="I45" s="36" t="str">
        <x:f>IF(H45=0,"",(D45+0.5*E45)/H45)</x:f>
      </x:c>
      <x:c r="J45" s="36" t="str">
        <x:f>IF(H45=0,"",(D45+0.5*E45+1)/(H45+2))</x:f>
      </x:c>
      <x:c r="K45" s="38" t="str">
        <x:f>IF((H45+G45)=0,"",SUMIFS('03_核验日志'!$K$211:$K$610,'03_核验日志'!$D$211:$D$610,$A45,'03_核验日志'!$J$211:$J$610,"&lt;&gt;不可评估")/(H45+G45))</x:f>
      </x:c>
      <x:c r="L45" s="28" t="n">
        <x:f>COUNTIFS('03_核验日志'!$D$211:$D$610,$A45,'03_核验日志'!$L$211:$L$610,"是")</x:f>
        <x:v>0</x:v>
      </x:c>
      <x:c r="M45" s="28" t="n">
        <x:f>COUNTIFS('03_核验日志'!$D$211:$D$610,$A45,'03_核验日志'!$M$211:$M$610,"是")</x:f>
        <x:v>0</x:v>
      </x:c>
      <x:c r="N45" s="28" t="str">
        <x:f>IF(A45="","",IF(H45&lt;5,"样本不足",IF(AND(H45&gt;=20,J45&gt;=0.75,F45&lt;=2),"升级验证候选",IF(AND(H45&gt;=10,J45&lt;0.45,F45&gt;=3),"降权/停用候选",IF(AND(H45&gt;=8,F45&gt;=3),"优先修订","保留观察")))))</x:f>
      </x:c>
      <x:c r="O45" s="28" t="str">
        <x:f>IF(N45="升级验证候选","已验证候选",IF(N45="优先修订","需修改",IF(N45="降权/停用候选","停用候选","待验证")))</x:f>
        <x:v>待验证</x:v>
      </x:c>
      <x:c r="P45" s="28"/>
      <x:c r="Q45" s="28"/>
    </x:row>
    <x:row r="46">
      <x:c r="A46" s="28"/>
      <x:c r="B46" s="28"/>
      <x:c r="C46" s="28"/>
      <x:c r="D46" s="28" t="n">
        <x:f>COUNTIFS('03_核验日志'!$D$211:$D$610,$A46,'03_核验日志'!$J$211:$J$610,"支持")</x:f>
        <x:v>0</x:v>
      </x:c>
      <x:c r="E46" s="28" t="n">
        <x:f>COUNTIFS('03_核验日志'!$D$211:$D$610,$A46,'03_核验日志'!$J$211:$J$610,"部分支持")</x:f>
        <x:v>0</x:v>
      </x:c>
      <x:c r="F46" s="28" t="n">
        <x:f>COUNTIFS('03_核验日志'!$D$211:$D$610,$A46,'03_核验日志'!$J$211:$J$610,"反例")</x:f>
        <x:v>0</x:v>
      </x:c>
      <x:c r="G46" s="28" t="n">
        <x:f>COUNTIFS('03_核验日志'!$D$211:$D$610,$A46,'03_核验日志'!$J$211:$J$610,"不确定")</x:f>
        <x:v>0</x:v>
      </x:c>
      <x:c r="H46" s="28" t="n">
        <x:f>D46+E46+F46</x:f>
        <x:v>0</x:v>
      </x:c>
      <x:c r="I46" s="36" t="str">
        <x:f>IF(H46=0,"",(D46+0.5*E46)/H46)</x:f>
      </x:c>
      <x:c r="J46" s="36" t="str">
        <x:f>IF(H46=0,"",(D46+0.5*E46+1)/(H46+2))</x:f>
      </x:c>
      <x:c r="K46" s="38" t="str">
        <x:f>IF((H46+G46)=0,"",SUMIFS('03_核验日志'!$K$211:$K$610,'03_核验日志'!$D$211:$D$610,$A46,'03_核验日志'!$J$211:$J$610,"&lt;&gt;不可评估")/(H46+G46))</x:f>
      </x:c>
      <x:c r="L46" s="28" t="n">
        <x:f>COUNTIFS('03_核验日志'!$D$211:$D$610,$A46,'03_核验日志'!$L$211:$L$610,"是")</x:f>
        <x:v>0</x:v>
      </x:c>
      <x:c r="M46" s="28" t="n">
        <x:f>COUNTIFS('03_核验日志'!$D$211:$D$610,$A46,'03_核验日志'!$M$211:$M$610,"是")</x:f>
        <x:v>0</x:v>
      </x:c>
      <x:c r="N46" s="28" t="str">
        <x:f>IF(A46="","",IF(H46&lt;5,"样本不足",IF(AND(H46&gt;=20,J46&gt;=0.75,F46&lt;=2),"升级验证候选",IF(AND(H46&gt;=10,J46&lt;0.45,F46&gt;=3),"降权/停用候选",IF(AND(H46&gt;=8,F46&gt;=3),"优先修订","保留观察")))))</x:f>
      </x:c>
      <x:c r="O46" s="28" t="str">
        <x:f>IF(N46="升级验证候选","已验证候选",IF(N46="优先修订","需修改",IF(N46="降权/停用候选","停用候选","待验证")))</x:f>
        <x:v>待验证</x:v>
      </x:c>
      <x:c r="P46" s="28"/>
      <x:c r="Q46" s="28"/>
    </x:row>
    <x:row r="47">
      <x:c r="A47" s="28"/>
      <x:c r="B47" s="28"/>
      <x:c r="C47" s="28"/>
      <x:c r="D47" s="28" t="n">
        <x:f>COUNTIFS('03_核验日志'!$D$211:$D$610,$A47,'03_核验日志'!$J$211:$J$610,"支持")</x:f>
        <x:v>0</x:v>
      </x:c>
      <x:c r="E47" s="28" t="n">
        <x:f>COUNTIFS('03_核验日志'!$D$211:$D$610,$A47,'03_核验日志'!$J$211:$J$610,"部分支持")</x:f>
        <x:v>0</x:v>
      </x:c>
      <x:c r="F47" s="28" t="n">
        <x:f>COUNTIFS('03_核验日志'!$D$211:$D$610,$A47,'03_核验日志'!$J$211:$J$610,"反例")</x:f>
        <x:v>0</x:v>
      </x:c>
      <x:c r="G47" s="28" t="n">
        <x:f>COUNTIFS('03_核验日志'!$D$211:$D$610,$A47,'03_核验日志'!$J$211:$J$610,"不确定")</x:f>
        <x:v>0</x:v>
      </x:c>
      <x:c r="H47" s="28" t="n">
        <x:f>D47+E47+F47</x:f>
        <x:v>0</x:v>
      </x:c>
      <x:c r="I47" s="36" t="str">
        <x:f>IF(H47=0,"",(D47+0.5*E47)/H47)</x:f>
      </x:c>
      <x:c r="J47" s="36" t="str">
        <x:f>IF(H47=0,"",(D47+0.5*E47+1)/(H47+2))</x:f>
      </x:c>
      <x:c r="K47" s="38" t="str">
        <x:f>IF((H47+G47)=0,"",SUMIFS('03_核验日志'!$K$211:$K$610,'03_核验日志'!$D$211:$D$610,$A47,'03_核验日志'!$J$211:$J$610,"&lt;&gt;不可评估")/(H47+G47))</x:f>
      </x:c>
      <x:c r="L47" s="28" t="n">
        <x:f>COUNTIFS('03_核验日志'!$D$211:$D$610,$A47,'03_核验日志'!$L$211:$L$610,"是")</x:f>
        <x:v>0</x:v>
      </x:c>
      <x:c r="M47" s="28" t="n">
        <x:f>COUNTIFS('03_核验日志'!$D$211:$D$610,$A47,'03_核验日志'!$M$211:$M$610,"是")</x:f>
        <x:v>0</x:v>
      </x:c>
      <x:c r="N47" s="28" t="str">
        <x:f>IF(A47="","",IF(H47&lt;5,"样本不足",IF(AND(H47&gt;=20,J47&gt;=0.75,F47&lt;=2),"升级验证候选",IF(AND(H47&gt;=10,J47&lt;0.45,F47&gt;=3),"降权/停用候选",IF(AND(H47&gt;=8,F47&gt;=3),"优先修订","保留观察")))))</x:f>
      </x:c>
      <x:c r="O47" s="28" t="str">
        <x:f>IF(N47="升级验证候选","已验证候选",IF(N47="优先修订","需修改",IF(N47="降权/停用候选","停用候选","待验证")))</x:f>
        <x:v>待验证</x:v>
      </x:c>
      <x:c r="P47" s="28"/>
      <x:c r="Q47" s="28"/>
    </x:row>
    <x:row r="48">
      <x:c r="A48" s="28"/>
      <x:c r="B48" s="28"/>
      <x:c r="C48" s="28"/>
      <x:c r="D48" s="28" t="n">
        <x:f>COUNTIFS('03_核验日志'!$D$211:$D$610,$A48,'03_核验日志'!$J$211:$J$610,"支持")</x:f>
        <x:v>0</x:v>
      </x:c>
      <x:c r="E48" s="28" t="n">
        <x:f>COUNTIFS('03_核验日志'!$D$211:$D$610,$A48,'03_核验日志'!$J$211:$J$610,"部分支持")</x:f>
        <x:v>0</x:v>
      </x:c>
      <x:c r="F48" s="28" t="n">
        <x:f>COUNTIFS('03_核验日志'!$D$211:$D$610,$A48,'03_核验日志'!$J$211:$J$610,"反例")</x:f>
        <x:v>0</x:v>
      </x:c>
      <x:c r="G48" s="28" t="n">
        <x:f>COUNTIFS('03_核验日志'!$D$211:$D$610,$A48,'03_核验日志'!$J$211:$J$610,"不确定")</x:f>
        <x:v>0</x:v>
      </x:c>
      <x:c r="H48" s="28" t="n">
        <x:f>D48+E48+F48</x:f>
        <x:v>0</x:v>
      </x:c>
      <x:c r="I48" s="36" t="str">
        <x:f>IF(H48=0,"",(D48+0.5*E48)/H48)</x:f>
      </x:c>
      <x:c r="J48" s="36" t="str">
        <x:f>IF(H48=0,"",(D48+0.5*E48+1)/(H48+2))</x:f>
      </x:c>
      <x:c r="K48" s="38" t="str">
        <x:f>IF((H48+G48)=0,"",SUMIFS('03_核验日志'!$K$211:$K$610,'03_核验日志'!$D$211:$D$610,$A48,'03_核验日志'!$J$211:$J$610,"&lt;&gt;不可评估")/(H48+G48))</x:f>
      </x:c>
      <x:c r="L48" s="28" t="n">
        <x:f>COUNTIFS('03_核验日志'!$D$211:$D$610,$A48,'03_核验日志'!$L$211:$L$610,"是")</x:f>
        <x:v>0</x:v>
      </x:c>
      <x:c r="M48" s="28" t="n">
        <x:f>COUNTIFS('03_核验日志'!$D$211:$D$610,$A48,'03_核验日志'!$M$211:$M$610,"是")</x:f>
        <x:v>0</x:v>
      </x:c>
      <x:c r="N48" s="28" t="str">
        <x:f>IF(A48="","",IF(H48&lt;5,"样本不足",IF(AND(H48&gt;=20,J48&gt;=0.75,F48&lt;=2),"升级验证候选",IF(AND(H48&gt;=10,J48&lt;0.45,F48&gt;=3),"降权/停用候选",IF(AND(H48&gt;=8,F48&gt;=3),"优先修订","保留观察")))))</x:f>
      </x:c>
      <x:c r="O48" s="28" t="str">
        <x:f>IF(N48="升级验证候选","已验证候选",IF(N48="优先修订","需修改",IF(N48="降权/停用候选","停用候选","待验证")))</x:f>
        <x:v>待验证</x:v>
      </x:c>
      <x:c r="P48" s="28"/>
      <x:c r="Q48" s="28"/>
    </x:row>
    <x:row r="49">
      <x:c r="A49" s="28"/>
      <x:c r="B49" s="28"/>
      <x:c r="C49" s="28"/>
      <x:c r="D49" s="28" t="n">
        <x:f>COUNTIFS('03_核验日志'!$D$211:$D$610,$A49,'03_核验日志'!$J$211:$J$610,"支持")</x:f>
        <x:v>0</x:v>
      </x:c>
      <x:c r="E49" s="28" t="n">
        <x:f>COUNTIFS('03_核验日志'!$D$211:$D$610,$A49,'03_核验日志'!$J$211:$J$610,"部分支持")</x:f>
        <x:v>0</x:v>
      </x:c>
      <x:c r="F49" s="28" t="n">
        <x:f>COUNTIFS('03_核验日志'!$D$211:$D$610,$A49,'03_核验日志'!$J$211:$J$610,"反例")</x:f>
        <x:v>0</x:v>
      </x:c>
      <x:c r="G49" s="28" t="n">
        <x:f>COUNTIFS('03_核验日志'!$D$211:$D$610,$A49,'03_核验日志'!$J$211:$J$610,"不确定")</x:f>
        <x:v>0</x:v>
      </x:c>
      <x:c r="H49" s="28" t="n">
        <x:f>D49+E49+F49</x:f>
        <x:v>0</x:v>
      </x:c>
      <x:c r="I49" s="36" t="str">
        <x:f>IF(H49=0,"",(D49+0.5*E49)/H49)</x:f>
      </x:c>
      <x:c r="J49" s="36" t="str">
        <x:f>IF(H49=0,"",(D49+0.5*E49+1)/(H49+2))</x:f>
      </x:c>
      <x:c r="K49" s="38" t="str">
        <x:f>IF((H49+G49)=0,"",SUMIFS('03_核验日志'!$K$211:$K$610,'03_核验日志'!$D$211:$D$610,$A49,'03_核验日志'!$J$211:$J$610,"&lt;&gt;不可评估")/(H49+G49))</x:f>
      </x:c>
      <x:c r="L49" s="28" t="n">
        <x:f>COUNTIFS('03_核验日志'!$D$211:$D$610,$A49,'03_核验日志'!$L$211:$L$610,"是")</x:f>
        <x:v>0</x:v>
      </x:c>
      <x:c r="M49" s="28" t="n">
        <x:f>COUNTIFS('03_核验日志'!$D$211:$D$610,$A49,'03_核验日志'!$M$211:$M$610,"是")</x:f>
        <x:v>0</x:v>
      </x:c>
      <x:c r="N49" s="28" t="str">
        <x:f>IF(A49="","",IF(H49&lt;5,"样本不足",IF(AND(H49&gt;=20,J49&gt;=0.75,F49&lt;=2),"升级验证候选",IF(AND(H49&gt;=10,J49&lt;0.45,F49&gt;=3),"降权/停用候选",IF(AND(H49&gt;=8,F49&gt;=3),"优先修订","保留观察")))))</x:f>
      </x:c>
      <x:c r="O49" s="28" t="str">
        <x:f>IF(N49="升级验证候选","已验证候选",IF(N49="优先修订","需修改",IF(N49="降权/停用候选","停用候选","待验证")))</x:f>
        <x:v>待验证</x:v>
      </x:c>
      <x:c r="P49" s="28"/>
      <x:c r="Q49" s="28"/>
    </x:row>
    <x:row r="50">
      <x:c r="A50" s="28"/>
      <x:c r="B50" s="28"/>
      <x:c r="C50" s="28"/>
      <x:c r="D50" s="28" t="n">
        <x:f>COUNTIFS('03_核验日志'!$D$211:$D$610,$A50,'03_核验日志'!$J$211:$J$610,"支持")</x:f>
        <x:v>0</x:v>
      </x:c>
      <x:c r="E50" s="28" t="n">
        <x:f>COUNTIFS('03_核验日志'!$D$211:$D$610,$A50,'03_核验日志'!$J$211:$J$610,"部分支持")</x:f>
        <x:v>0</x:v>
      </x:c>
      <x:c r="F50" s="28" t="n">
        <x:f>COUNTIFS('03_核验日志'!$D$211:$D$610,$A50,'03_核验日志'!$J$211:$J$610,"反例")</x:f>
        <x:v>0</x:v>
      </x:c>
      <x:c r="G50" s="28" t="n">
        <x:f>COUNTIFS('03_核验日志'!$D$211:$D$610,$A50,'03_核验日志'!$J$211:$J$610,"不确定")</x:f>
        <x:v>0</x:v>
      </x:c>
      <x:c r="H50" s="28" t="n">
        <x:f>D50+E50+F50</x:f>
        <x:v>0</x:v>
      </x:c>
      <x:c r="I50" s="36" t="str">
        <x:f>IF(H50=0,"",(D50+0.5*E50)/H50)</x:f>
      </x:c>
      <x:c r="J50" s="36" t="str">
        <x:f>IF(H50=0,"",(D50+0.5*E50+1)/(H50+2))</x:f>
      </x:c>
      <x:c r="K50" s="38" t="str">
        <x:f>IF((H50+G50)=0,"",SUMIFS('03_核验日志'!$K$211:$K$610,'03_核验日志'!$D$211:$D$610,$A50,'03_核验日志'!$J$211:$J$610,"&lt;&gt;不可评估")/(H50+G50))</x:f>
      </x:c>
      <x:c r="L50" s="28" t="n">
        <x:f>COUNTIFS('03_核验日志'!$D$211:$D$610,$A50,'03_核验日志'!$L$211:$L$610,"是")</x:f>
        <x:v>0</x:v>
      </x:c>
      <x:c r="M50" s="28" t="n">
        <x:f>COUNTIFS('03_核验日志'!$D$211:$D$610,$A50,'03_核验日志'!$M$211:$M$610,"是")</x:f>
        <x:v>0</x:v>
      </x:c>
      <x:c r="N50" s="28" t="str">
        <x:f>IF(A50="","",IF(H50&lt;5,"样本不足",IF(AND(H50&gt;=20,J50&gt;=0.75,F50&lt;=2),"升级验证候选",IF(AND(H50&gt;=10,J50&lt;0.45,F50&gt;=3),"降权/停用候选",IF(AND(H50&gt;=8,F50&gt;=3),"优先修订","保留观察")))))</x:f>
      </x:c>
      <x:c r="O50" s="28" t="str">
        <x:f>IF(N50="升级验证候选","已验证候选",IF(N50="优先修订","需修改",IF(N50="降权/停用候选","停用候选","待验证")))</x:f>
        <x:v>待验证</x:v>
      </x:c>
      <x:c r="P50" s="28"/>
      <x:c r="Q50" s="28"/>
    </x:row>
    <x:row r="51">
      <x:c r="A51" s="28"/>
      <x:c r="B51" s="28"/>
      <x:c r="C51" s="28"/>
      <x:c r="D51" s="28" t="n">
        <x:f>COUNTIFS('03_核验日志'!$D$211:$D$610,$A51,'03_核验日志'!$J$211:$J$610,"支持")</x:f>
        <x:v>0</x:v>
      </x:c>
      <x:c r="E51" s="28" t="n">
        <x:f>COUNTIFS('03_核验日志'!$D$211:$D$610,$A51,'03_核验日志'!$J$211:$J$610,"部分支持")</x:f>
        <x:v>0</x:v>
      </x:c>
      <x:c r="F51" s="28" t="n">
        <x:f>COUNTIFS('03_核验日志'!$D$211:$D$610,$A51,'03_核验日志'!$J$211:$J$610,"反例")</x:f>
        <x:v>0</x:v>
      </x:c>
      <x:c r="G51" s="28" t="n">
        <x:f>COUNTIFS('03_核验日志'!$D$211:$D$610,$A51,'03_核验日志'!$J$211:$J$610,"不确定")</x:f>
        <x:v>0</x:v>
      </x:c>
      <x:c r="H51" s="28" t="n">
        <x:f>D51+E51+F51</x:f>
        <x:v>0</x:v>
      </x:c>
      <x:c r="I51" s="36" t="str">
        <x:f>IF(H51=0,"",(D51+0.5*E51)/H51)</x:f>
      </x:c>
      <x:c r="J51" s="36" t="str">
        <x:f>IF(H51=0,"",(D51+0.5*E51+1)/(H51+2))</x:f>
      </x:c>
      <x:c r="K51" s="38" t="str">
        <x:f>IF((H51+G51)=0,"",SUMIFS('03_核验日志'!$K$211:$K$610,'03_核验日志'!$D$211:$D$610,$A51,'03_核验日志'!$J$211:$J$610,"&lt;&gt;不可评估")/(H51+G51))</x:f>
      </x:c>
      <x:c r="L51" s="28" t="n">
        <x:f>COUNTIFS('03_核验日志'!$D$211:$D$610,$A51,'03_核验日志'!$L$211:$L$610,"是")</x:f>
        <x:v>0</x:v>
      </x:c>
      <x:c r="M51" s="28" t="n">
        <x:f>COUNTIFS('03_核验日志'!$D$211:$D$610,$A51,'03_核验日志'!$M$211:$M$610,"是")</x:f>
        <x:v>0</x:v>
      </x:c>
      <x:c r="N51" s="28" t="str">
        <x:f>IF(A51="","",IF(H51&lt;5,"样本不足",IF(AND(H51&gt;=20,J51&gt;=0.75,F51&lt;=2),"升级验证候选",IF(AND(H51&gt;=10,J51&lt;0.45,F51&gt;=3),"降权/停用候选",IF(AND(H51&gt;=8,F51&gt;=3),"优先修订","保留观察")))))</x:f>
      </x:c>
      <x:c r="O51" s="28" t="str">
        <x:f>IF(N51="升级验证候选","已验证候选",IF(N51="优先修订","需修改",IF(N51="降权/停用候选","停用候选","待验证")))</x:f>
        <x:v>待验证</x:v>
      </x:c>
      <x:c r="P51" s="28"/>
      <x:c r="Q51" s="28"/>
    </x:row>
    <x:row r="52">
      <x:c r="A52" s="28"/>
      <x:c r="B52" s="28"/>
      <x:c r="C52" s="28"/>
      <x:c r="D52" s="28" t="n">
        <x:f>COUNTIFS('03_核验日志'!$D$211:$D$610,$A52,'03_核验日志'!$J$211:$J$610,"支持")</x:f>
        <x:v>0</x:v>
      </x:c>
      <x:c r="E52" s="28" t="n">
        <x:f>COUNTIFS('03_核验日志'!$D$211:$D$610,$A52,'03_核验日志'!$J$211:$J$610,"部分支持")</x:f>
        <x:v>0</x:v>
      </x:c>
      <x:c r="F52" s="28" t="n">
        <x:f>COUNTIFS('03_核验日志'!$D$211:$D$610,$A52,'03_核验日志'!$J$211:$J$610,"反例")</x:f>
        <x:v>0</x:v>
      </x:c>
      <x:c r="G52" s="28" t="n">
        <x:f>COUNTIFS('03_核验日志'!$D$211:$D$610,$A52,'03_核验日志'!$J$211:$J$610,"不确定")</x:f>
        <x:v>0</x:v>
      </x:c>
      <x:c r="H52" s="28" t="n">
        <x:f>D52+E52+F52</x:f>
        <x:v>0</x:v>
      </x:c>
      <x:c r="I52" s="36" t="str">
        <x:f>IF(H52=0,"",(D52+0.5*E52)/H52)</x:f>
      </x:c>
      <x:c r="J52" s="36" t="str">
        <x:f>IF(H52=0,"",(D52+0.5*E52+1)/(H52+2))</x:f>
      </x:c>
      <x:c r="K52" s="38" t="str">
        <x:f>IF((H52+G52)=0,"",SUMIFS('03_核验日志'!$K$211:$K$610,'03_核验日志'!$D$211:$D$610,$A52,'03_核验日志'!$J$211:$J$610,"&lt;&gt;不可评估")/(H52+G52))</x:f>
      </x:c>
      <x:c r="L52" s="28" t="n">
        <x:f>COUNTIFS('03_核验日志'!$D$211:$D$610,$A52,'03_核验日志'!$L$211:$L$610,"是")</x:f>
        <x:v>0</x:v>
      </x:c>
      <x:c r="M52" s="28" t="n">
        <x:f>COUNTIFS('03_核验日志'!$D$211:$D$610,$A52,'03_核验日志'!$M$211:$M$610,"是")</x:f>
        <x:v>0</x:v>
      </x:c>
      <x:c r="N52" s="28" t="str">
        <x:f>IF(A52="","",IF(H52&lt;5,"样本不足",IF(AND(H52&gt;=20,J52&gt;=0.75,F52&lt;=2),"升级验证候选",IF(AND(H52&gt;=10,J52&lt;0.45,F52&gt;=3),"降权/停用候选",IF(AND(H52&gt;=8,F52&gt;=3),"优先修订","保留观察")))))</x:f>
      </x:c>
      <x:c r="O52" s="28" t="str">
        <x:f>IF(N52="升级验证候选","已验证候选",IF(N52="优先修订","需修改",IF(N52="降权/停用候选","停用候选","待验证")))</x:f>
        <x:v>待验证</x:v>
      </x:c>
      <x:c r="P52" s="28"/>
      <x:c r="Q52" s="28"/>
    </x:row>
    <x:row r="53">
      <x:c r="A53" s="28"/>
      <x:c r="B53" s="28"/>
      <x:c r="C53" s="28"/>
      <x:c r="D53" s="28" t="n">
        <x:f>COUNTIFS('03_核验日志'!$D$211:$D$610,$A53,'03_核验日志'!$J$211:$J$610,"支持")</x:f>
        <x:v>0</x:v>
      </x:c>
      <x:c r="E53" s="28" t="n">
        <x:f>COUNTIFS('03_核验日志'!$D$211:$D$610,$A53,'03_核验日志'!$J$211:$J$610,"部分支持")</x:f>
        <x:v>0</x:v>
      </x:c>
      <x:c r="F53" s="28" t="n">
        <x:f>COUNTIFS('03_核验日志'!$D$211:$D$610,$A53,'03_核验日志'!$J$211:$J$610,"反例")</x:f>
        <x:v>0</x:v>
      </x:c>
      <x:c r="G53" s="28" t="n">
        <x:f>COUNTIFS('03_核验日志'!$D$211:$D$610,$A53,'03_核验日志'!$J$211:$J$610,"不确定")</x:f>
        <x:v>0</x:v>
      </x:c>
      <x:c r="H53" s="28" t="n">
        <x:f>D53+E53+F53</x:f>
        <x:v>0</x:v>
      </x:c>
      <x:c r="I53" s="36" t="str">
        <x:f>IF(H53=0,"",(D53+0.5*E53)/H53)</x:f>
      </x:c>
      <x:c r="J53" s="36" t="str">
        <x:f>IF(H53=0,"",(D53+0.5*E53+1)/(H53+2))</x:f>
      </x:c>
      <x:c r="K53" s="38" t="str">
        <x:f>IF((H53+G53)=0,"",SUMIFS('03_核验日志'!$K$211:$K$610,'03_核验日志'!$D$211:$D$610,$A53,'03_核验日志'!$J$211:$J$610,"&lt;&gt;不可评估")/(H53+G53))</x:f>
      </x:c>
      <x:c r="L53" s="28" t="n">
        <x:f>COUNTIFS('03_核验日志'!$D$211:$D$610,$A53,'03_核验日志'!$L$211:$L$610,"是")</x:f>
        <x:v>0</x:v>
      </x:c>
      <x:c r="M53" s="28" t="n">
        <x:f>COUNTIFS('03_核验日志'!$D$211:$D$610,$A53,'03_核验日志'!$M$211:$M$610,"是")</x:f>
        <x:v>0</x:v>
      </x:c>
      <x:c r="N53" s="28" t="str">
        <x:f>IF(A53="","",IF(H53&lt;5,"样本不足",IF(AND(H53&gt;=20,J53&gt;=0.75,F53&lt;=2),"升级验证候选",IF(AND(H53&gt;=10,J53&lt;0.45,F53&gt;=3),"降权/停用候选",IF(AND(H53&gt;=8,F53&gt;=3),"优先修订","保留观察")))))</x:f>
      </x:c>
      <x:c r="O53" s="28" t="str">
        <x:f>IF(N53="升级验证候选","已验证候选",IF(N53="优先修订","需修改",IF(N53="降权/停用候选","停用候选","待验证")))</x:f>
        <x:v>待验证</x:v>
      </x:c>
      <x:c r="P53" s="28"/>
      <x:c r="Q53" s="28"/>
    </x:row>
    <x:row r="54">
      <x:c r="A54" s="28"/>
      <x:c r="B54" s="28"/>
      <x:c r="C54" s="28"/>
      <x:c r="D54" s="28" t="n">
        <x:f>COUNTIFS('03_核验日志'!$D$211:$D$610,$A54,'03_核验日志'!$J$211:$J$610,"支持")</x:f>
        <x:v>0</x:v>
      </x:c>
      <x:c r="E54" s="28" t="n">
        <x:f>COUNTIFS('03_核验日志'!$D$211:$D$610,$A54,'03_核验日志'!$J$211:$J$610,"部分支持")</x:f>
        <x:v>0</x:v>
      </x:c>
      <x:c r="F54" s="28" t="n">
        <x:f>COUNTIFS('03_核验日志'!$D$211:$D$610,$A54,'03_核验日志'!$J$211:$J$610,"反例")</x:f>
        <x:v>0</x:v>
      </x:c>
      <x:c r="G54" s="28" t="n">
        <x:f>COUNTIFS('03_核验日志'!$D$211:$D$610,$A54,'03_核验日志'!$J$211:$J$610,"不确定")</x:f>
        <x:v>0</x:v>
      </x:c>
      <x:c r="H54" s="28" t="n">
        <x:f>D54+E54+F54</x:f>
        <x:v>0</x:v>
      </x:c>
      <x:c r="I54" s="36" t="str">
        <x:f>IF(H54=0,"",(D54+0.5*E54)/H54)</x:f>
      </x:c>
      <x:c r="J54" s="36" t="str">
        <x:f>IF(H54=0,"",(D54+0.5*E54+1)/(H54+2))</x:f>
      </x:c>
      <x:c r="K54" s="38" t="str">
        <x:f>IF((H54+G54)=0,"",SUMIFS('03_核验日志'!$K$211:$K$610,'03_核验日志'!$D$211:$D$610,$A54,'03_核验日志'!$J$211:$J$610,"&lt;&gt;不可评估")/(H54+G54))</x:f>
      </x:c>
      <x:c r="L54" s="28" t="n">
        <x:f>COUNTIFS('03_核验日志'!$D$211:$D$610,$A54,'03_核验日志'!$L$211:$L$610,"是")</x:f>
        <x:v>0</x:v>
      </x:c>
      <x:c r="M54" s="28" t="n">
        <x:f>COUNTIFS('03_核验日志'!$D$211:$D$610,$A54,'03_核验日志'!$M$211:$M$610,"是")</x:f>
        <x:v>0</x:v>
      </x:c>
      <x:c r="N54" s="28" t="str">
        <x:f>IF(A54="","",IF(H54&lt;5,"样本不足",IF(AND(H54&gt;=20,J54&gt;=0.75,F54&lt;=2),"升级验证候选",IF(AND(H54&gt;=10,J54&lt;0.45,F54&gt;=3),"降权/停用候选",IF(AND(H54&gt;=8,F54&gt;=3),"优先修订","保留观察")))))</x:f>
      </x:c>
      <x:c r="O54" s="28" t="str">
        <x:f>IF(N54="升级验证候选","已验证候选",IF(N54="优先修订","需修改",IF(N54="降权/停用候选","停用候选","待验证")))</x:f>
        <x:v>待验证</x:v>
      </x:c>
      <x:c r="P54" s="28"/>
      <x:c r="Q54" s="28"/>
    </x:row>
    <x:row r="55">
      <x:c r="A55" s="28"/>
      <x:c r="B55" s="28"/>
      <x:c r="C55" s="28"/>
      <x:c r="D55" s="28" t="n">
        <x:f>COUNTIFS('03_核验日志'!$D$211:$D$610,$A55,'03_核验日志'!$J$211:$J$610,"支持")</x:f>
        <x:v>0</x:v>
      </x:c>
      <x:c r="E55" s="28" t="n">
        <x:f>COUNTIFS('03_核验日志'!$D$211:$D$610,$A55,'03_核验日志'!$J$211:$J$610,"部分支持")</x:f>
        <x:v>0</x:v>
      </x:c>
      <x:c r="F55" s="28" t="n">
        <x:f>COUNTIFS('03_核验日志'!$D$211:$D$610,$A55,'03_核验日志'!$J$211:$J$610,"反例")</x:f>
        <x:v>0</x:v>
      </x:c>
      <x:c r="G55" s="28" t="n">
        <x:f>COUNTIFS('03_核验日志'!$D$211:$D$610,$A55,'03_核验日志'!$J$211:$J$610,"不确定")</x:f>
        <x:v>0</x:v>
      </x:c>
      <x:c r="H55" s="28" t="n">
        <x:f>D55+E55+F55</x:f>
        <x:v>0</x:v>
      </x:c>
      <x:c r="I55" s="36" t="str">
        <x:f>IF(H55=0,"",(D55+0.5*E55)/H55)</x:f>
      </x:c>
      <x:c r="J55" s="36" t="str">
        <x:f>IF(H55=0,"",(D55+0.5*E55+1)/(H55+2))</x:f>
      </x:c>
      <x:c r="K55" s="38" t="str">
        <x:f>IF((H55+G55)=0,"",SUMIFS('03_核验日志'!$K$211:$K$610,'03_核验日志'!$D$211:$D$610,$A55,'03_核验日志'!$J$211:$J$610,"&lt;&gt;不可评估")/(H55+G55))</x:f>
      </x:c>
      <x:c r="L55" s="28" t="n">
        <x:f>COUNTIFS('03_核验日志'!$D$211:$D$610,$A55,'03_核验日志'!$L$211:$L$610,"是")</x:f>
        <x:v>0</x:v>
      </x:c>
      <x:c r="M55" s="28" t="n">
        <x:f>COUNTIFS('03_核验日志'!$D$211:$D$610,$A55,'03_核验日志'!$M$211:$M$610,"是")</x:f>
        <x:v>0</x:v>
      </x:c>
      <x:c r="N55" s="28" t="str">
        <x:f>IF(A55="","",IF(H55&lt;5,"样本不足",IF(AND(H55&gt;=20,J55&gt;=0.75,F55&lt;=2),"升级验证候选",IF(AND(H55&gt;=10,J55&lt;0.45,F55&gt;=3),"降权/停用候选",IF(AND(H55&gt;=8,F55&gt;=3),"优先修订","保留观察")))))</x:f>
      </x:c>
      <x:c r="O55" s="28" t="str">
        <x:f>IF(N55="升级验证候选","已验证候选",IF(N55="优先修订","需修改",IF(N55="降权/停用候选","停用候选","待验证")))</x:f>
        <x:v>待验证</x:v>
      </x:c>
      <x:c r="P55" s="28"/>
      <x:c r="Q55" s="28"/>
    </x:row>
    <x:row r="56">
      <x:c r="A56" s="28"/>
      <x:c r="B56" s="28"/>
      <x:c r="C56" s="28"/>
      <x:c r="D56" s="28" t="n">
        <x:f>COUNTIFS('03_核验日志'!$D$211:$D$610,$A56,'03_核验日志'!$J$211:$J$610,"支持")</x:f>
        <x:v>0</x:v>
      </x:c>
      <x:c r="E56" s="28" t="n">
        <x:f>COUNTIFS('03_核验日志'!$D$211:$D$610,$A56,'03_核验日志'!$J$211:$J$610,"部分支持")</x:f>
        <x:v>0</x:v>
      </x:c>
      <x:c r="F56" s="28" t="n">
        <x:f>COUNTIFS('03_核验日志'!$D$211:$D$610,$A56,'03_核验日志'!$J$211:$J$610,"反例")</x:f>
        <x:v>0</x:v>
      </x:c>
      <x:c r="G56" s="28" t="n">
        <x:f>COUNTIFS('03_核验日志'!$D$211:$D$610,$A56,'03_核验日志'!$J$211:$J$610,"不确定")</x:f>
        <x:v>0</x:v>
      </x:c>
      <x:c r="H56" s="28" t="n">
        <x:f>D56+E56+F56</x:f>
        <x:v>0</x:v>
      </x:c>
      <x:c r="I56" s="36" t="str">
        <x:f>IF(H56=0,"",(D56+0.5*E56)/H56)</x:f>
      </x:c>
      <x:c r="J56" s="36" t="str">
        <x:f>IF(H56=0,"",(D56+0.5*E56+1)/(H56+2))</x:f>
      </x:c>
      <x:c r="K56" s="38" t="str">
        <x:f>IF((H56+G56)=0,"",SUMIFS('03_核验日志'!$K$211:$K$610,'03_核验日志'!$D$211:$D$610,$A56,'03_核验日志'!$J$211:$J$610,"&lt;&gt;不可评估")/(H56+G56))</x:f>
      </x:c>
      <x:c r="L56" s="28" t="n">
        <x:f>COUNTIFS('03_核验日志'!$D$211:$D$610,$A56,'03_核验日志'!$L$211:$L$610,"是")</x:f>
        <x:v>0</x:v>
      </x:c>
      <x:c r="M56" s="28" t="n">
        <x:f>COUNTIFS('03_核验日志'!$D$211:$D$610,$A56,'03_核验日志'!$M$211:$M$610,"是")</x:f>
        <x:v>0</x:v>
      </x:c>
      <x:c r="N56" s="28" t="str">
        <x:f>IF(A56="","",IF(H56&lt;5,"样本不足",IF(AND(H56&gt;=20,J56&gt;=0.75,F56&lt;=2),"升级验证候选",IF(AND(H56&gt;=10,J56&lt;0.45,F56&gt;=3),"降权/停用候选",IF(AND(H56&gt;=8,F56&gt;=3),"优先修订","保留观察")))))</x:f>
      </x:c>
      <x:c r="O56" s="28" t="str">
        <x:f>IF(N56="升级验证候选","已验证候选",IF(N56="优先修订","需修改",IF(N56="降权/停用候选","停用候选","待验证")))</x:f>
        <x:v>待验证</x:v>
      </x:c>
      <x:c r="P56" s="28"/>
      <x:c r="Q56" s="28"/>
    </x:row>
    <x:row r="57">
      <x:c r="A57" s="28"/>
      <x:c r="B57" s="28"/>
      <x:c r="C57" s="28"/>
      <x:c r="D57" s="28" t="n">
        <x:f>COUNTIFS('03_核验日志'!$D$211:$D$610,$A57,'03_核验日志'!$J$211:$J$610,"支持")</x:f>
        <x:v>0</x:v>
      </x:c>
      <x:c r="E57" s="28" t="n">
        <x:f>COUNTIFS('03_核验日志'!$D$211:$D$610,$A57,'03_核验日志'!$J$211:$J$610,"部分支持")</x:f>
        <x:v>0</x:v>
      </x:c>
      <x:c r="F57" s="28" t="n">
        <x:f>COUNTIFS('03_核验日志'!$D$211:$D$610,$A57,'03_核验日志'!$J$211:$J$610,"反例")</x:f>
        <x:v>0</x:v>
      </x:c>
      <x:c r="G57" s="28" t="n">
        <x:f>COUNTIFS('03_核验日志'!$D$211:$D$610,$A57,'03_核验日志'!$J$211:$J$610,"不确定")</x:f>
        <x:v>0</x:v>
      </x:c>
      <x:c r="H57" s="28" t="n">
        <x:f>D57+E57+F57</x:f>
        <x:v>0</x:v>
      </x:c>
      <x:c r="I57" s="36" t="str">
        <x:f>IF(H57=0,"",(D57+0.5*E57)/H57)</x:f>
      </x:c>
      <x:c r="J57" s="36" t="str">
        <x:f>IF(H57=0,"",(D57+0.5*E57+1)/(H57+2))</x:f>
      </x:c>
      <x:c r="K57" s="38" t="str">
        <x:f>IF((H57+G57)=0,"",SUMIFS('03_核验日志'!$K$211:$K$610,'03_核验日志'!$D$211:$D$610,$A57,'03_核验日志'!$J$211:$J$610,"&lt;&gt;不可评估")/(H57+G57))</x:f>
      </x:c>
      <x:c r="L57" s="28" t="n">
        <x:f>COUNTIFS('03_核验日志'!$D$211:$D$610,$A57,'03_核验日志'!$L$211:$L$610,"是")</x:f>
        <x:v>0</x:v>
      </x:c>
      <x:c r="M57" s="28" t="n">
        <x:f>COUNTIFS('03_核验日志'!$D$211:$D$610,$A57,'03_核验日志'!$M$211:$M$610,"是")</x:f>
        <x:v>0</x:v>
      </x:c>
      <x:c r="N57" s="28" t="str">
        <x:f>IF(A57="","",IF(H57&lt;5,"样本不足",IF(AND(H57&gt;=20,J57&gt;=0.75,F57&lt;=2),"升级验证候选",IF(AND(H57&gt;=10,J57&lt;0.45,F57&gt;=3),"降权/停用候选",IF(AND(H57&gt;=8,F57&gt;=3),"优先修订","保留观察")))))</x:f>
      </x:c>
      <x:c r="O57" s="28" t="str">
        <x:f>IF(N57="升级验证候选","已验证候选",IF(N57="优先修订","需修改",IF(N57="降权/停用候选","停用候选","待验证")))</x:f>
        <x:v>待验证</x:v>
      </x:c>
      <x:c r="P57" s="28"/>
      <x:c r="Q57" s="28"/>
    </x:row>
    <x:row r="58">
      <x:c r="A58" s="28"/>
      <x:c r="B58" s="28"/>
      <x:c r="C58" s="28"/>
      <x:c r="D58" s="28" t="n">
        <x:f>COUNTIFS('03_核验日志'!$D$211:$D$610,$A58,'03_核验日志'!$J$211:$J$610,"支持")</x:f>
        <x:v>0</x:v>
      </x:c>
      <x:c r="E58" s="28" t="n">
        <x:f>COUNTIFS('03_核验日志'!$D$211:$D$610,$A58,'03_核验日志'!$J$211:$J$610,"部分支持")</x:f>
        <x:v>0</x:v>
      </x:c>
      <x:c r="F58" s="28" t="n">
        <x:f>COUNTIFS('03_核验日志'!$D$211:$D$610,$A58,'03_核验日志'!$J$211:$J$610,"反例")</x:f>
        <x:v>0</x:v>
      </x:c>
      <x:c r="G58" s="28" t="n">
        <x:f>COUNTIFS('03_核验日志'!$D$211:$D$610,$A58,'03_核验日志'!$J$211:$J$610,"不确定")</x:f>
        <x:v>0</x:v>
      </x:c>
      <x:c r="H58" s="28" t="n">
        <x:f>D58+E58+F58</x:f>
        <x:v>0</x:v>
      </x:c>
      <x:c r="I58" s="36" t="str">
        <x:f>IF(H58=0,"",(D58+0.5*E58)/H58)</x:f>
      </x:c>
      <x:c r="J58" s="36" t="str">
        <x:f>IF(H58=0,"",(D58+0.5*E58+1)/(H58+2))</x:f>
      </x:c>
      <x:c r="K58" s="38" t="str">
        <x:f>IF((H58+G58)=0,"",SUMIFS('03_核验日志'!$K$211:$K$610,'03_核验日志'!$D$211:$D$610,$A58,'03_核验日志'!$J$211:$J$610,"&lt;&gt;不可评估")/(H58+G58))</x:f>
      </x:c>
      <x:c r="L58" s="28" t="n">
        <x:f>COUNTIFS('03_核验日志'!$D$211:$D$610,$A58,'03_核验日志'!$L$211:$L$610,"是")</x:f>
        <x:v>0</x:v>
      </x:c>
      <x:c r="M58" s="28" t="n">
        <x:f>COUNTIFS('03_核验日志'!$D$211:$D$610,$A58,'03_核验日志'!$M$211:$M$610,"是")</x:f>
        <x:v>0</x:v>
      </x:c>
      <x:c r="N58" s="28" t="str">
        <x:f>IF(A58="","",IF(H58&lt;5,"样本不足",IF(AND(H58&gt;=20,J58&gt;=0.75,F58&lt;=2),"升级验证候选",IF(AND(H58&gt;=10,J58&lt;0.45,F58&gt;=3),"降权/停用候选",IF(AND(H58&gt;=8,F58&gt;=3),"优先修订","保留观察")))))</x:f>
      </x:c>
      <x:c r="O58" s="28" t="str">
        <x:f>IF(N58="升级验证候选","已验证候选",IF(N58="优先修订","需修改",IF(N58="降权/停用候选","停用候选","待验证")))</x:f>
        <x:v>待验证</x:v>
      </x:c>
      <x:c r="P58" s="28"/>
      <x:c r="Q58" s="28"/>
    </x:row>
    <x:row r="59">
      <x:c r="A59" s="28"/>
      <x:c r="B59" s="28"/>
      <x:c r="C59" s="28"/>
      <x:c r="D59" s="28" t="n">
        <x:f>COUNTIFS('03_核验日志'!$D$211:$D$610,$A59,'03_核验日志'!$J$211:$J$610,"支持")</x:f>
        <x:v>0</x:v>
      </x:c>
      <x:c r="E59" s="28" t="n">
        <x:f>COUNTIFS('03_核验日志'!$D$211:$D$610,$A59,'03_核验日志'!$J$211:$J$610,"部分支持")</x:f>
        <x:v>0</x:v>
      </x:c>
      <x:c r="F59" s="28" t="n">
        <x:f>COUNTIFS('03_核验日志'!$D$211:$D$610,$A59,'03_核验日志'!$J$211:$J$610,"反例")</x:f>
        <x:v>0</x:v>
      </x:c>
      <x:c r="G59" s="28" t="n">
        <x:f>COUNTIFS('03_核验日志'!$D$211:$D$610,$A59,'03_核验日志'!$J$211:$J$610,"不确定")</x:f>
        <x:v>0</x:v>
      </x:c>
      <x:c r="H59" s="28" t="n">
        <x:f>D59+E59+F59</x:f>
        <x:v>0</x:v>
      </x:c>
      <x:c r="I59" s="36" t="str">
        <x:f>IF(H59=0,"",(D59+0.5*E59)/H59)</x:f>
      </x:c>
      <x:c r="J59" s="36" t="str">
        <x:f>IF(H59=0,"",(D59+0.5*E59+1)/(H59+2))</x:f>
      </x:c>
      <x:c r="K59" s="38" t="str">
        <x:f>IF((H59+G59)=0,"",SUMIFS('03_核验日志'!$K$211:$K$610,'03_核验日志'!$D$211:$D$610,$A59,'03_核验日志'!$J$211:$J$610,"&lt;&gt;不可评估")/(H59+G59))</x:f>
      </x:c>
      <x:c r="L59" s="28" t="n">
        <x:f>COUNTIFS('03_核验日志'!$D$211:$D$610,$A59,'03_核验日志'!$L$211:$L$610,"是")</x:f>
        <x:v>0</x:v>
      </x:c>
      <x:c r="M59" s="28" t="n">
        <x:f>COUNTIFS('03_核验日志'!$D$211:$D$610,$A59,'03_核验日志'!$M$211:$M$610,"是")</x:f>
        <x:v>0</x:v>
      </x:c>
      <x:c r="N59" s="28" t="str">
        <x:f>IF(A59="","",IF(H59&lt;5,"样本不足",IF(AND(H59&gt;=20,J59&gt;=0.75,F59&lt;=2),"升级验证候选",IF(AND(H59&gt;=10,J59&lt;0.45,F59&gt;=3),"降权/停用候选",IF(AND(H59&gt;=8,F59&gt;=3),"优先修订","保留观察")))))</x:f>
      </x:c>
      <x:c r="O59" s="28" t="str">
        <x:f>IF(N59="升级验证候选","已验证候选",IF(N59="优先修订","需修改",IF(N59="降权/停用候选","停用候选","待验证")))</x:f>
        <x:v>待验证</x:v>
      </x:c>
      <x:c r="P59" s="28"/>
      <x:c r="Q59" s="28"/>
    </x:row>
    <x:row r="60">
      <x:c r="A60" s="28"/>
      <x:c r="B60" s="28"/>
      <x:c r="C60" s="28"/>
      <x:c r="D60" s="28" t="n">
        <x:f>COUNTIFS('03_核验日志'!$D$211:$D$610,$A60,'03_核验日志'!$J$211:$J$610,"支持")</x:f>
        <x:v>0</x:v>
      </x:c>
      <x:c r="E60" s="28" t="n">
        <x:f>COUNTIFS('03_核验日志'!$D$211:$D$610,$A60,'03_核验日志'!$J$211:$J$610,"部分支持")</x:f>
        <x:v>0</x:v>
      </x:c>
      <x:c r="F60" s="28" t="n">
        <x:f>COUNTIFS('03_核验日志'!$D$211:$D$610,$A60,'03_核验日志'!$J$211:$J$610,"反例")</x:f>
        <x:v>0</x:v>
      </x:c>
      <x:c r="G60" s="28" t="n">
        <x:f>COUNTIFS('03_核验日志'!$D$211:$D$610,$A60,'03_核验日志'!$J$211:$J$610,"不确定")</x:f>
        <x:v>0</x:v>
      </x:c>
      <x:c r="H60" s="28" t="n">
        <x:f>D60+E60+F60</x:f>
        <x:v>0</x:v>
      </x:c>
      <x:c r="I60" s="36" t="str">
        <x:f>IF(H60=0,"",(D60+0.5*E60)/H60)</x:f>
      </x:c>
      <x:c r="J60" s="36" t="str">
        <x:f>IF(H60=0,"",(D60+0.5*E60+1)/(H60+2))</x:f>
      </x:c>
      <x:c r="K60" s="38" t="str">
        <x:f>IF((H60+G60)=0,"",SUMIFS('03_核验日志'!$K$211:$K$610,'03_核验日志'!$D$211:$D$610,$A60,'03_核验日志'!$J$211:$J$610,"&lt;&gt;不可评估")/(H60+G60))</x:f>
      </x:c>
      <x:c r="L60" s="28" t="n">
        <x:f>COUNTIFS('03_核验日志'!$D$211:$D$610,$A60,'03_核验日志'!$L$211:$L$610,"是")</x:f>
        <x:v>0</x:v>
      </x:c>
      <x:c r="M60" s="28" t="n">
        <x:f>COUNTIFS('03_核验日志'!$D$211:$D$610,$A60,'03_核验日志'!$M$211:$M$610,"是")</x:f>
        <x:v>0</x:v>
      </x:c>
      <x:c r="N60" s="28" t="str">
        <x:f>IF(A60="","",IF(H60&lt;5,"样本不足",IF(AND(H60&gt;=20,J60&gt;=0.75,F60&lt;=2),"升级验证候选",IF(AND(H60&gt;=10,J60&lt;0.45,F60&gt;=3),"降权/停用候选",IF(AND(H60&gt;=8,F60&gt;=3),"优先修订","保留观察")))))</x:f>
      </x:c>
      <x:c r="O60" s="28" t="str">
        <x:f>IF(N60="升级验证候选","已验证候选",IF(N60="优先修订","需修改",IF(N60="降权/停用候选","停用候选","待验证")))</x:f>
        <x:v>待验证</x:v>
      </x:c>
      <x:c r="P60" s="28"/>
      <x:c r="Q60" s="28"/>
    </x:row>
    <x:row r="61">
      <x:c r="A61" s="28"/>
      <x:c r="B61" s="28"/>
      <x:c r="C61" s="28"/>
      <x:c r="D61" s="28" t="n">
        <x:f>COUNTIFS('03_核验日志'!$D$211:$D$610,$A61,'03_核验日志'!$J$211:$J$610,"支持")</x:f>
        <x:v>0</x:v>
      </x:c>
      <x:c r="E61" s="28" t="n">
        <x:f>COUNTIFS('03_核验日志'!$D$211:$D$610,$A61,'03_核验日志'!$J$211:$J$610,"部分支持")</x:f>
        <x:v>0</x:v>
      </x:c>
      <x:c r="F61" s="28" t="n">
        <x:f>COUNTIFS('03_核验日志'!$D$211:$D$610,$A61,'03_核验日志'!$J$211:$J$610,"反例")</x:f>
        <x:v>0</x:v>
      </x:c>
      <x:c r="G61" s="28" t="n">
        <x:f>COUNTIFS('03_核验日志'!$D$211:$D$610,$A61,'03_核验日志'!$J$211:$J$610,"不确定")</x:f>
        <x:v>0</x:v>
      </x:c>
      <x:c r="H61" s="28" t="n">
        <x:f>D61+E61+F61</x:f>
        <x:v>0</x:v>
      </x:c>
      <x:c r="I61" s="36" t="str">
        <x:f>IF(H61=0,"",(D61+0.5*E61)/H61)</x:f>
      </x:c>
      <x:c r="J61" s="36" t="str">
        <x:f>IF(H61=0,"",(D61+0.5*E61+1)/(H61+2))</x:f>
      </x:c>
      <x:c r="K61" s="38" t="str">
        <x:f>IF((H61+G61)=0,"",SUMIFS('03_核验日志'!$K$211:$K$610,'03_核验日志'!$D$211:$D$610,$A61,'03_核验日志'!$J$211:$J$610,"&lt;&gt;不可评估")/(H61+G61))</x:f>
      </x:c>
      <x:c r="L61" s="28" t="n">
        <x:f>COUNTIFS('03_核验日志'!$D$211:$D$610,$A61,'03_核验日志'!$L$211:$L$610,"是")</x:f>
        <x:v>0</x:v>
      </x:c>
      <x:c r="M61" s="28" t="n">
        <x:f>COUNTIFS('03_核验日志'!$D$211:$D$610,$A61,'03_核验日志'!$M$211:$M$610,"是")</x:f>
        <x:v>0</x:v>
      </x:c>
      <x:c r="N61" s="28" t="str">
        <x:f>IF(A61="","",IF(H61&lt;5,"样本不足",IF(AND(H61&gt;=20,J61&gt;=0.75,F61&lt;=2),"升级验证候选",IF(AND(H61&gt;=10,J61&lt;0.45,F61&gt;=3),"降权/停用候选",IF(AND(H61&gt;=8,F61&gt;=3),"优先修订","保留观察")))))</x:f>
      </x:c>
      <x:c r="O61" s="28" t="str">
        <x:f>IF(N61="升级验证候选","已验证候选",IF(N61="优先修订","需修改",IF(N61="降权/停用候选","停用候选","待验证")))</x:f>
        <x:v>待验证</x:v>
      </x:c>
      <x:c r="P61" s="28"/>
      <x:c r="Q61" s="28"/>
    </x:row>
    <x:row r="62">
      <x:c r="A62" s="28"/>
      <x:c r="B62" s="28"/>
      <x:c r="C62" s="28"/>
      <x:c r="D62" s="28" t="n">
        <x:f>COUNTIFS('03_核验日志'!$D$211:$D$610,$A62,'03_核验日志'!$J$211:$J$610,"支持")</x:f>
        <x:v>0</x:v>
      </x:c>
      <x:c r="E62" s="28" t="n">
        <x:f>COUNTIFS('03_核验日志'!$D$211:$D$610,$A62,'03_核验日志'!$J$211:$J$610,"部分支持")</x:f>
        <x:v>0</x:v>
      </x:c>
      <x:c r="F62" s="28" t="n">
        <x:f>COUNTIFS('03_核验日志'!$D$211:$D$610,$A62,'03_核验日志'!$J$211:$J$610,"反例")</x:f>
        <x:v>0</x:v>
      </x:c>
      <x:c r="G62" s="28" t="n">
        <x:f>COUNTIFS('03_核验日志'!$D$211:$D$610,$A62,'03_核验日志'!$J$211:$J$610,"不确定")</x:f>
        <x:v>0</x:v>
      </x:c>
      <x:c r="H62" s="28" t="n">
        <x:f>D62+E62+F62</x:f>
        <x:v>0</x:v>
      </x:c>
      <x:c r="I62" s="36" t="str">
        <x:f>IF(H62=0,"",(D62+0.5*E62)/H62)</x:f>
      </x:c>
      <x:c r="J62" s="36" t="str">
        <x:f>IF(H62=0,"",(D62+0.5*E62+1)/(H62+2))</x:f>
      </x:c>
      <x:c r="K62" s="38" t="str">
        <x:f>IF((H62+G62)=0,"",SUMIFS('03_核验日志'!$K$211:$K$610,'03_核验日志'!$D$211:$D$610,$A62,'03_核验日志'!$J$211:$J$610,"&lt;&gt;不可评估")/(H62+G62))</x:f>
      </x:c>
      <x:c r="L62" s="28" t="n">
        <x:f>COUNTIFS('03_核验日志'!$D$211:$D$610,$A62,'03_核验日志'!$L$211:$L$610,"是")</x:f>
        <x:v>0</x:v>
      </x:c>
      <x:c r="M62" s="28" t="n">
        <x:f>COUNTIFS('03_核验日志'!$D$211:$D$610,$A62,'03_核验日志'!$M$211:$M$610,"是")</x:f>
        <x:v>0</x:v>
      </x:c>
      <x:c r="N62" s="28" t="str">
        <x:f>IF(A62="","",IF(H62&lt;5,"样本不足",IF(AND(H62&gt;=20,J62&gt;=0.75,F62&lt;=2),"升级验证候选",IF(AND(H62&gt;=10,J62&lt;0.45,F62&gt;=3),"降权/停用候选",IF(AND(H62&gt;=8,F62&gt;=3),"优先修订","保留观察")))))</x:f>
      </x:c>
      <x:c r="O62" s="28" t="str">
        <x:f>IF(N62="升级验证候选","已验证候选",IF(N62="优先修订","需修改",IF(N62="降权/停用候选","停用候选","待验证")))</x:f>
        <x:v>待验证</x:v>
      </x:c>
      <x:c r="P62" s="28"/>
      <x:c r="Q62" s="28"/>
    </x:row>
    <x:row r="63">
      <x:c r="A63" s="28"/>
      <x:c r="B63" s="28"/>
      <x:c r="C63" s="28"/>
      <x:c r="D63" s="28" t="n">
        <x:f>COUNTIFS('03_核验日志'!$D$211:$D$610,$A63,'03_核验日志'!$J$211:$J$610,"支持")</x:f>
        <x:v>0</x:v>
      </x:c>
      <x:c r="E63" s="28" t="n">
        <x:f>COUNTIFS('03_核验日志'!$D$211:$D$610,$A63,'03_核验日志'!$J$211:$J$610,"部分支持")</x:f>
        <x:v>0</x:v>
      </x:c>
      <x:c r="F63" s="28" t="n">
        <x:f>COUNTIFS('03_核验日志'!$D$211:$D$610,$A63,'03_核验日志'!$J$211:$J$610,"反例")</x:f>
        <x:v>0</x:v>
      </x:c>
      <x:c r="G63" s="28" t="n">
        <x:f>COUNTIFS('03_核验日志'!$D$211:$D$610,$A63,'03_核验日志'!$J$211:$J$610,"不确定")</x:f>
        <x:v>0</x:v>
      </x:c>
      <x:c r="H63" s="28" t="n">
        <x:f>D63+E63+F63</x:f>
        <x:v>0</x:v>
      </x:c>
      <x:c r="I63" s="36" t="str">
        <x:f>IF(H63=0,"",(D63+0.5*E63)/H63)</x:f>
      </x:c>
      <x:c r="J63" s="36" t="str">
        <x:f>IF(H63=0,"",(D63+0.5*E63+1)/(H63+2))</x:f>
      </x:c>
      <x:c r="K63" s="38" t="str">
        <x:f>IF((H63+G63)=0,"",SUMIFS('03_核验日志'!$K$211:$K$610,'03_核验日志'!$D$211:$D$610,$A63,'03_核验日志'!$J$211:$J$610,"&lt;&gt;不可评估")/(H63+G63))</x:f>
      </x:c>
      <x:c r="L63" s="28" t="n">
        <x:f>COUNTIFS('03_核验日志'!$D$211:$D$610,$A63,'03_核验日志'!$L$211:$L$610,"是")</x:f>
        <x:v>0</x:v>
      </x:c>
      <x:c r="M63" s="28" t="n">
        <x:f>COUNTIFS('03_核验日志'!$D$211:$D$610,$A63,'03_核验日志'!$M$211:$M$610,"是")</x:f>
        <x:v>0</x:v>
      </x:c>
      <x:c r="N63" s="28" t="str">
        <x:f>IF(A63="","",IF(H63&lt;5,"样本不足",IF(AND(H63&gt;=20,J63&gt;=0.75,F63&lt;=2),"升级验证候选",IF(AND(H63&gt;=10,J63&lt;0.45,F63&gt;=3),"降权/停用候选",IF(AND(H63&gt;=8,F63&gt;=3),"优先修订","保留观察")))))</x:f>
      </x:c>
      <x:c r="O63" s="28" t="str">
        <x:f>IF(N63="升级验证候选","已验证候选",IF(N63="优先修订","需修改",IF(N63="降权/停用候选","停用候选","待验证")))</x:f>
        <x:v>待验证</x:v>
      </x:c>
      <x:c r="P63" s="28"/>
      <x:c r="Q63" s="28"/>
    </x:row>
    <x:row r="64">
      <x:c r="A64" s="28"/>
      <x:c r="B64" s="28"/>
      <x:c r="C64" s="28"/>
      <x:c r="D64" s="28" t="n">
        <x:f>COUNTIFS('03_核验日志'!$D$211:$D$610,$A64,'03_核验日志'!$J$211:$J$610,"支持")</x:f>
        <x:v>0</x:v>
      </x:c>
      <x:c r="E64" s="28" t="n">
        <x:f>COUNTIFS('03_核验日志'!$D$211:$D$610,$A64,'03_核验日志'!$J$211:$J$610,"部分支持")</x:f>
        <x:v>0</x:v>
      </x:c>
      <x:c r="F64" s="28" t="n">
        <x:f>COUNTIFS('03_核验日志'!$D$211:$D$610,$A64,'03_核验日志'!$J$211:$J$610,"反例")</x:f>
        <x:v>0</x:v>
      </x:c>
      <x:c r="G64" s="28" t="n">
        <x:f>COUNTIFS('03_核验日志'!$D$211:$D$610,$A64,'03_核验日志'!$J$211:$J$610,"不确定")</x:f>
        <x:v>0</x:v>
      </x:c>
      <x:c r="H64" s="28" t="n">
        <x:f>D64+E64+F64</x:f>
        <x:v>0</x:v>
      </x:c>
      <x:c r="I64" s="36" t="str">
        <x:f>IF(H64=0,"",(D64+0.5*E64)/H64)</x:f>
      </x:c>
      <x:c r="J64" s="36" t="str">
        <x:f>IF(H64=0,"",(D64+0.5*E64+1)/(H64+2))</x:f>
      </x:c>
      <x:c r="K64" s="38" t="str">
        <x:f>IF((H64+G64)=0,"",SUMIFS('03_核验日志'!$K$211:$K$610,'03_核验日志'!$D$211:$D$610,$A64,'03_核验日志'!$J$211:$J$610,"&lt;&gt;不可评估")/(H64+G64))</x:f>
      </x:c>
      <x:c r="L64" s="28" t="n">
        <x:f>COUNTIFS('03_核验日志'!$D$211:$D$610,$A64,'03_核验日志'!$L$211:$L$610,"是")</x:f>
        <x:v>0</x:v>
      </x:c>
      <x:c r="M64" s="28" t="n">
        <x:f>COUNTIFS('03_核验日志'!$D$211:$D$610,$A64,'03_核验日志'!$M$211:$M$610,"是")</x:f>
        <x:v>0</x:v>
      </x:c>
      <x:c r="N64" s="28" t="str">
        <x:f>IF(A64="","",IF(H64&lt;5,"样本不足",IF(AND(H64&gt;=20,J64&gt;=0.75,F64&lt;=2),"升级验证候选",IF(AND(H64&gt;=10,J64&lt;0.45,F64&gt;=3),"降权/停用候选",IF(AND(H64&gt;=8,F64&gt;=3),"优先修订","保留观察")))))</x:f>
      </x:c>
      <x:c r="O64" s="28" t="str">
        <x:f>IF(N64="升级验证候选","已验证候选",IF(N64="优先修订","需修改",IF(N64="降权/停用候选","停用候选","待验证")))</x:f>
        <x:v>待验证</x:v>
      </x:c>
      <x:c r="P64" s="28"/>
      <x:c r="Q64" s="28"/>
    </x:row>
    <x:row r="65">
      <x:c r="A65" s="28"/>
      <x:c r="B65" s="28"/>
      <x:c r="C65" s="28"/>
      <x:c r="D65" s="28" t="n">
        <x:f>COUNTIFS('03_核验日志'!$D$211:$D$610,$A65,'03_核验日志'!$J$211:$J$610,"支持")</x:f>
        <x:v>0</x:v>
      </x:c>
      <x:c r="E65" s="28" t="n">
        <x:f>COUNTIFS('03_核验日志'!$D$211:$D$610,$A65,'03_核验日志'!$J$211:$J$610,"部分支持")</x:f>
        <x:v>0</x:v>
      </x:c>
      <x:c r="F65" s="28" t="n">
        <x:f>COUNTIFS('03_核验日志'!$D$211:$D$610,$A65,'03_核验日志'!$J$211:$J$610,"反例")</x:f>
        <x:v>0</x:v>
      </x:c>
      <x:c r="G65" s="28" t="n">
        <x:f>COUNTIFS('03_核验日志'!$D$211:$D$610,$A65,'03_核验日志'!$J$211:$J$610,"不确定")</x:f>
        <x:v>0</x:v>
      </x:c>
      <x:c r="H65" s="28" t="n">
        <x:f>D65+E65+F65</x:f>
        <x:v>0</x:v>
      </x:c>
      <x:c r="I65" s="36" t="str">
        <x:f>IF(H65=0,"",(D65+0.5*E65)/H65)</x:f>
      </x:c>
      <x:c r="J65" s="36" t="str">
        <x:f>IF(H65=0,"",(D65+0.5*E65+1)/(H65+2))</x:f>
      </x:c>
      <x:c r="K65" s="38" t="str">
        <x:f>IF((H65+G65)=0,"",SUMIFS('03_核验日志'!$K$211:$K$610,'03_核验日志'!$D$211:$D$610,$A65,'03_核验日志'!$J$211:$J$610,"&lt;&gt;不可评估")/(H65+G65))</x:f>
      </x:c>
      <x:c r="L65" s="28" t="n">
        <x:f>COUNTIFS('03_核验日志'!$D$211:$D$610,$A65,'03_核验日志'!$L$211:$L$610,"是")</x:f>
        <x:v>0</x:v>
      </x:c>
      <x:c r="M65" s="28" t="n">
        <x:f>COUNTIFS('03_核验日志'!$D$211:$D$610,$A65,'03_核验日志'!$M$211:$M$610,"是")</x:f>
        <x:v>0</x:v>
      </x:c>
      <x:c r="N65" s="28" t="str">
        <x:f>IF(A65="","",IF(H65&lt;5,"样本不足",IF(AND(H65&gt;=20,J65&gt;=0.75,F65&lt;=2),"升级验证候选",IF(AND(H65&gt;=10,J65&lt;0.45,F65&gt;=3),"降权/停用候选",IF(AND(H65&gt;=8,F65&gt;=3),"优先修订","保留观察")))))</x:f>
      </x:c>
      <x:c r="O65" s="28" t="str">
        <x:f>IF(N65="升级验证候选","已验证候选",IF(N65="优先修订","需修改",IF(N65="降权/停用候选","停用候选","待验证")))</x:f>
        <x:v>待验证</x:v>
      </x:c>
      <x:c r="P65" s="28"/>
      <x:c r="Q65" s="28"/>
    </x:row>
    <x:row r="66">
      <x:c r="A66" s="28"/>
      <x:c r="B66" s="28"/>
      <x:c r="C66" s="28"/>
      <x:c r="D66" s="28" t="n">
        <x:f>COUNTIFS('03_核验日志'!$D$211:$D$610,$A66,'03_核验日志'!$J$211:$J$610,"支持")</x:f>
        <x:v>0</x:v>
      </x:c>
      <x:c r="E66" s="28" t="n">
        <x:f>COUNTIFS('03_核验日志'!$D$211:$D$610,$A66,'03_核验日志'!$J$211:$J$610,"部分支持")</x:f>
        <x:v>0</x:v>
      </x:c>
      <x:c r="F66" s="28" t="n">
        <x:f>COUNTIFS('03_核验日志'!$D$211:$D$610,$A66,'03_核验日志'!$J$211:$J$610,"反例")</x:f>
        <x:v>0</x:v>
      </x:c>
      <x:c r="G66" s="28" t="n">
        <x:f>COUNTIFS('03_核验日志'!$D$211:$D$610,$A66,'03_核验日志'!$J$211:$J$610,"不确定")</x:f>
        <x:v>0</x:v>
      </x:c>
      <x:c r="H66" s="28" t="n">
        <x:f>D66+E66+F66</x:f>
        <x:v>0</x:v>
      </x:c>
      <x:c r="I66" s="36" t="str">
        <x:f>IF(H66=0,"",(D66+0.5*E66)/H66)</x:f>
      </x:c>
      <x:c r="J66" s="36" t="str">
        <x:f>IF(H66=0,"",(D66+0.5*E66+1)/(H66+2))</x:f>
      </x:c>
      <x:c r="K66" s="38" t="str">
        <x:f>IF((H66+G66)=0,"",SUMIFS('03_核验日志'!$K$211:$K$610,'03_核验日志'!$D$211:$D$610,$A66,'03_核验日志'!$J$211:$J$610,"&lt;&gt;不可评估")/(H66+G66))</x:f>
      </x:c>
      <x:c r="L66" s="28" t="n">
        <x:f>COUNTIFS('03_核验日志'!$D$211:$D$610,$A66,'03_核验日志'!$L$211:$L$610,"是")</x:f>
        <x:v>0</x:v>
      </x:c>
      <x:c r="M66" s="28" t="n">
        <x:f>COUNTIFS('03_核验日志'!$D$211:$D$610,$A66,'03_核验日志'!$M$211:$M$610,"是")</x:f>
        <x:v>0</x:v>
      </x:c>
      <x:c r="N66" s="28" t="str">
        <x:f>IF(A66="","",IF(H66&lt;5,"样本不足",IF(AND(H66&gt;=20,J66&gt;=0.75,F66&lt;=2),"升级验证候选",IF(AND(H66&gt;=10,J66&lt;0.45,F66&gt;=3),"降权/停用候选",IF(AND(H66&gt;=8,F66&gt;=3),"优先修订","保留观察")))))</x:f>
      </x:c>
      <x:c r="O66" s="28" t="str">
        <x:f>IF(N66="升级验证候选","已验证候选",IF(N66="优先修订","需修改",IF(N66="降权/停用候选","停用候选","待验证")))</x:f>
        <x:v>待验证</x:v>
      </x:c>
      <x:c r="P66" s="28"/>
      <x:c r="Q66" s="28"/>
    </x:row>
    <x:row r="67">
      <x:c r="A67" s="28"/>
      <x:c r="B67" s="28"/>
      <x:c r="C67" s="28"/>
      <x:c r="D67" s="28" t="n">
        <x:f>COUNTIFS('03_核验日志'!$D$211:$D$610,$A67,'03_核验日志'!$J$211:$J$610,"支持")</x:f>
        <x:v>0</x:v>
      </x:c>
      <x:c r="E67" s="28" t="n">
        <x:f>COUNTIFS('03_核验日志'!$D$211:$D$610,$A67,'03_核验日志'!$J$211:$J$610,"部分支持")</x:f>
        <x:v>0</x:v>
      </x:c>
      <x:c r="F67" s="28" t="n">
        <x:f>COUNTIFS('03_核验日志'!$D$211:$D$610,$A67,'03_核验日志'!$J$211:$J$610,"反例")</x:f>
        <x:v>0</x:v>
      </x:c>
      <x:c r="G67" s="28" t="n">
        <x:f>COUNTIFS('03_核验日志'!$D$211:$D$610,$A67,'03_核验日志'!$J$211:$J$610,"不确定")</x:f>
        <x:v>0</x:v>
      </x:c>
      <x:c r="H67" s="28" t="n">
        <x:f>D67+E67+F67</x:f>
        <x:v>0</x:v>
      </x:c>
      <x:c r="I67" s="36" t="str">
        <x:f>IF(H67=0,"",(D67+0.5*E67)/H67)</x:f>
      </x:c>
      <x:c r="J67" s="36" t="str">
        <x:f>IF(H67=0,"",(D67+0.5*E67+1)/(H67+2))</x:f>
      </x:c>
      <x:c r="K67" s="38" t="str">
        <x:f>IF((H67+G67)=0,"",SUMIFS('03_核验日志'!$K$211:$K$610,'03_核验日志'!$D$211:$D$610,$A67,'03_核验日志'!$J$211:$J$610,"&lt;&gt;不可评估")/(H67+G67))</x:f>
      </x:c>
      <x:c r="L67" s="28" t="n">
        <x:f>COUNTIFS('03_核验日志'!$D$211:$D$610,$A67,'03_核验日志'!$L$211:$L$610,"是")</x:f>
        <x:v>0</x:v>
      </x:c>
      <x:c r="M67" s="28" t="n">
        <x:f>COUNTIFS('03_核验日志'!$D$211:$D$610,$A67,'03_核验日志'!$M$211:$M$610,"是")</x:f>
        <x:v>0</x:v>
      </x:c>
      <x:c r="N67" s="28" t="str">
        <x:f>IF(A67="","",IF(H67&lt;5,"样本不足",IF(AND(H67&gt;=20,J67&gt;=0.75,F67&lt;=2),"升级验证候选",IF(AND(H67&gt;=10,J67&lt;0.45,F67&gt;=3),"降权/停用候选",IF(AND(H67&gt;=8,F67&gt;=3),"优先修订","保留观察")))))</x:f>
      </x:c>
      <x:c r="O67" s="28" t="str">
        <x:f>IF(N67="升级验证候选","已验证候选",IF(N67="优先修订","需修改",IF(N67="降权/停用候选","停用候选","待验证")))</x:f>
        <x:v>待验证</x:v>
      </x:c>
      <x:c r="P67" s="28"/>
      <x:c r="Q67" s="28"/>
    </x:row>
    <x:row r="68">
      <x:c r="A68" s="28"/>
      <x:c r="B68" s="28"/>
      <x:c r="C68" s="28"/>
      <x:c r="D68" s="28" t="n">
        <x:f>COUNTIFS('03_核验日志'!$D$211:$D$610,$A68,'03_核验日志'!$J$211:$J$610,"支持")</x:f>
        <x:v>0</x:v>
      </x:c>
      <x:c r="E68" s="28" t="n">
        <x:f>COUNTIFS('03_核验日志'!$D$211:$D$610,$A68,'03_核验日志'!$J$211:$J$610,"部分支持")</x:f>
        <x:v>0</x:v>
      </x:c>
      <x:c r="F68" s="28" t="n">
        <x:f>COUNTIFS('03_核验日志'!$D$211:$D$610,$A68,'03_核验日志'!$J$211:$J$610,"反例")</x:f>
        <x:v>0</x:v>
      </x:c>
      <x:c r="G68" s="28" t="n">
        <x:f>COUNTIFS('03_核验日志'!$D$211:$D$610,$A68,'03_核验日志'!$J$211:$J$610,"不确定")</x:f>
        <x:v>0</x:v>
      </x:c>
      <x:c r="H68" s="28" t="n">
        <x:f>D68+E68+F68</x:f>
        <x:v>0</x:v>
      </x:c>
      <x:c r="I68" s="36" t="str">
        <x:f>IF(H68=0,"",(D68+0.5*E68)/H68)</x:f>
      </x:c>
      <x:c r="J68" s="36" t="str">
        <x:f>IF(H68=0,"",(D68+0.5*E68+1)/(H68+2))</x:f>
      </x:c>
      <x:c r="K68" s="38" t="str">
        <x:f>IF((H68+G68)=0,"",SUMIFS('03_核验日志'!$K$211:$K$610,'03_核验日志'!$D$211:$D$610,$A68,'03_核验日志'!$J$211:$J$610,"&lt;&gt;不可评估")/(H68+G68))</x:f>
      </x:c>
      <x:c r="L68" s="28" t="n">
        <x:f>COUNTIFS('03_核验日志'!$D$211:$D$610,$A68,'03_核验日志'!$L$211:$L$610,"是")</x:f>
        <x:v>0</x:v>
      </x:c>
      <x:c r="M68" s="28" t="n">
        <x:f>COUNTIFS('03_核验日志'!$D$211:$D$610,$A68,'03_核验日志'!$M$211:$M$610,"是")</x:f>
        <x:v>0</x:v>
      </x:c>
      <x:c r="N68" s="28" t="str">
        <x:f>IF(A68="","",IF(H68&lt;5,"样本不足",IF(AND(H68&gt;=20,J68&gt;=0.75,F68&lt;=2),"升级验证候选",IF(AND(H68&gt;=10,J68&lt;0.45,F68&gt;=3),"降权/停用候选",IF(AND(H68&gt;=8,F68&gt;=3),"优先修订","保留观察")))))</x:f>
      </x:c>
      <x:c r="O68" s="28" t="str">
        <x:f>IF(N68="升级验证候选","已验证候选",IF(N68="优先修订","需修改",IF(N68="降权/停用候选","停用候选","待验证")))</x:f>
        <x:v>待验证</x:v>
      </x:c>
      <x:c r="P68" s="28"/>
      <x:c r="Q68" s="28"/>
    </x:row>
    <x:row r="69">
      <x:c r="A69" s="28"/>
      <x:c r="B69" s="28"/>
      <x:c r="C69" s="28"/>
      <x:c r="D69" s="28" t="n">
        <x:f>COUNTIFS('03_核验日志'!$D$211:$D$610,$A69,'03_核验日志'!$J$211:$J$610,"支持")</x:f>
        <x:v>0</x:v>
      </x:c>
      <x:c r="E69" s="28" t="n">
        <x:f>COUNTIFS('03_核验日志'!$D$211:$D$610,$A69,'03_核验日志'!$J$211:$J$610,"部分支持")</x:f>
        <x:v>0</x:v>
      </x:c>
      <x:c r="F69" s="28" t="n">
        <x:f>COUNTIFS('03_核验日志'!$D$211:$D$610,$A69,'03_核验日志'!$J$211:$J$610,"反例")</x:f>
        <x:v>0</x:v>
      </x:c>
      <x:c r="G69" s="28" t="n">
        <x:f>COUNTIFS('03_核验日志'!$D$211:$D$610,$A69,'03_核验日志'!$J$211:$J$610,"不确定")</x:f>
        <x:v>0</x:v>
      </x:c>
      <x:c r="H69" s="28" t="n">
        <x:f>D69+E69+F69</x:f>
        <x:v>0</x:v>
      </x:c>
      <x:c r="I69" s="36" t="str">
        <x:f>IF(H69=0,"",(D69+0.5*E69)/H69)</x:f>
      </x:c>
      <x:c r="J69" s="36" t="str">
        <x:f>IF(H69=0,"",(D69+0.5*E69+1)/(H69+2))</x:f>
      </x:c>
      <x:c r="K69" s="38" t="str">
        <x:f>IF((H69+G69)=0,"",SUMIFS('03_核验日志'!$K$211:$K$610,'03_核验日志'!$D$211:$D$610,$A69,'03_核验日志'!$J$211:$J$610,"&lt;&gt;不可评估")/(H69+G69))</x:f>
      </x:c>
      <x:c r="L69" s="28" t="n">
        <x:f>COUNTIFS('03_核验日志'!$D$211:$D$610,$A69,'03_核验日志'!$L$211:$L$610,"是")</x:f>
        <x:v>0</x:v>
      </x:c>
      <x:c r="M69" s="28" t="n">
        <x:f>COUNTIFS('03_核验日志'!$D$211:$D$610,$A69,'03_核验日志'!$M$211:$M$610,"是")</x:f>
        <x:v>0</x:v>
      </x:c>
      <x:c r="N69" s="28" t="str">
        <x:f>IF(A69="","",IF(H69&lt;5,"样本不足",IF(AND(H69&gt;=20,J69&gt;=0.75,F69&lt;=2),"升级验证候选",IF(AND(H69&gt;=10,J69&lt;0.45,F69&gt;=3),"降权/停用候选",IF(AND(H69&gt;=8,F69&gt;=3),"优先修订","保留观察")))))</x:f>
      </x:c>
      <x:c r="O69" s="28" t="str">
        <x:f>IF(N69="升级验证候选","已验证候选",IF(N69="优先修订","需修改",IF(N69="降权/停用候选","停用候选","待验证")))</x:f>
        <x:v>待验证</x:v>
      </x:c>
      <x:c r="P69" s="28"/>
      <x:c r="Q69" s="28"/>
    </x:row>
    <x:row r="70">
      <x:c r="A70" s="28"/>
      <x:c r="B70" s="28"/>
      <x:c r="C70" s="28"/>
      <x:c r="D70" s="28" t="n">
        <x:f>COUNTIFS('03_核验日志'!$D$211:$D$610,$A70,'03_核验日志'!$J$211:$J$610,"支持")</x:f>
        <x:v>0</x:v>
      </x:c>
      <x:c r="E70" s="28" t="n">
        <x:f>COUNTIFS('03_核验日志'!$D$211:$D$610,$A70,'03_核验日志'!$J$211:$J$610,"部分支持")</x:f>
        <x:v>0</x:v>
      </x:c>
      <x:c r="F70" s="28" t="n">
        <x:f>COUNTIFS('03_核验日志'!$D$211:$D$610,$A70,'03_核验日志'!$J$211:$J$610,"反例")</x:f>
        <x:v>0</x:v>
      </x:c>
      <x:c r="G70" s="28" t="n">
        <x:f>COUNTIFS('03_核验日志'!$D$211:$D$610,$A70,'03_核验日志'!$J$211:$J$610,"不确定")</x:f>
        <x:v>0</x:v>
      </x:c>
      <x:c r="H70" s="28" t="n">
        <x:f>D70+E70+F70</x:f>
        <x:v>0</x:v>
      </x:c>
      <x:c r="I70" s="36" t="str">
        <x:f>IF(H70=0,"",(D70+0.5*E70)/H70)</x:f>
      </x:c>
      <x:c r="J70" s="36" t="str">
        <x:f>IF(H70=0,"",(D70+0.5*E70+1)/(H70+2))</x:f>
      </x:c>
      <x:c r="K70" s="38" t="str">
        <x:f>IF((H70+G70)=0,"",SUMIFS('03_核验日志'!$K$211:$K$610,'03_核验日志'!$D$211:$D$610,$A70,'03_核验日志'!$J$211:$J$610,"&lt;&gt;不可评估")/(H70+G70))</x:f>
      </x:c>
      <x:c r="L70" s="28" t="n">
        <x:f>COUNTIFS('03_核验日志'!$D$211:$D$610,$A70,'03_核验日志'!$L$211:$L$610,"是")</x:f>
        <x:v>0</x:v>
      </x:c>
      <x:c r="M70" s="28" t="n">
        <x:f>COUNTIFS('03_核验日志'!$D$211:$D$610,$A70,'03_核验日志'!$M$211:$M$610,"是")</x:f>
        <x:v>0</x:v>
      </x:c>
      <x:c r="N70" s="28" t="str">
        <x:f>IF(A70="","",IF(H70&lt;5,"样本不足",IF(AND(H70&gt;=20,J70&gt;=0.75,F70&lt;=2),"升级验证候选",IF(AND(H70&gt;=10,J70&lt;0.45,F70&gt;=3),"降权/停用候选",IF(AND(H70&gt;=8,F70&gt;=3),"优先修订","保留观察")))))</x:f>
      </x:c>
      <x:c r="O70" s="28" t="str">
        <x:f>IF(N70="升级验证候选","已验证候选",IF(N70="优先修订","需修改",IF(N70="降权/停用候选","停用候选","待验证")))</x:f>
        <x:v>待验证</x:v>
      </x:c>
      <x:c r="P70" s="28"/>
      <x:c r="Q70" s="28"/>
    </x:row>
    <x:row r="71">
      <x:c r="A71" s="28"/>
      <x:c r="B71" s="28"/>
      <x:c r="C71" s="28"/>
      <x:c r="D71" s="28" t="n">
        <x:f>COUNTIFS('03_核验日志'!$D$211:$D$610,$A71,'03_核验日志'!$J$211:$J$610,"支持")</x:f>
        <x:v>0</x:v>
      </x:c>
      <x:c r="E71" s="28" t="n">
        <x:f>COUNTIFS('03_核验日志'!$D$211:$D$610,$A71,'03_核验日志'!$J$211:$J$610,"部分支持")</x:f>
        <x:v>0</x:v>
      </x:c>
      <x:c r="F71" s="28" t="n">
        <x:f>COUNTIFS('03_核验日志'!$D$211:$D$610,$A71,'03_核验日志'!$J$211:$J$610,"反例")</x:f>
        <x:v>0</x:v>
      </x:c>
      <x:c r="G71" s="28" t="n">
        <x:f>COUNTIFS('03_核验日志'!$D$211:$D$610,$A71,'03_核验日志'!$J$211:$J$610,"不确定")</x:f>
        <x:v>0</x:v>
      </x:c>
      <x:c r="H71" s="28" t="n">
        <x:f>D71+E71+F71</x:f>
        <x:v>0</x:v>
      </x:c>
      <x:c r="I71" s="36" t="str">
        <x:f>IF(H71=0,"",(D71+0.5*E71)/H71)</x:f>
      </x:c>
      <x:c r="J71" s="36" t="str">
        <x:f>IF(H71=0,"",(D71+0.5*E71+1)/(H71+2))</x:f>
      </x:c>
      <x:c r="K71" s="38" t="str">
        <x:f>IF((H71+G71)=0,"",SUMIFS('03_核验日志'!$K$211:$K$610,'03_核验日志'!$D$211:$D$610,$A71,'03_核验日志'!$J$211:$J$610,"&lt;&gt;不可评估")/(H71+G71))</x:f>
      </x:c>
      <x:c r="L71" s="28" t="n">
        <x:f>COUNTIFS('03_核验日志'!$D$211:$D$610,$A71,'03_核验日志'!$L$211:$L$610,"是")</x:f>
        <x:v>0</x:v>
      </x:c>
      <x:c r="M71" s="28" t="n">
        <x:f>COUNTIFS('03_核验日志'!$D$211:$D$610,$A71,'03_核验日志'!$M$211:$M$610,"是")</x:f>
        <x:v>0</x:v>
      </x:c>
      <x:c r="N71" s="28" t="str">
        <x:f>IF(A71="","",IF(H71&lt;5,"样本不足",IF(AND(H71&gt;=20,J71&gt;=0.75,F71&lt;=2),"升级验证候选",IF(AND(H71&gt;=10,J71&lt;0.45,F71&gt;=3),"降权/停用候选",IF(AND(H71&gt;=8,F71&gt;=3),"优先修订","保留观察")))))</x:f>
      </x:c>
      <x:c r="O71" s="28" t="str">
        <x:f>IF(N71="升级验证候选","已验证候选",IF(N71="优先修订","需修改",IF(N71="降权/停用候选","停用候选","待验证")))</x:f>
        <x:v>待验证</x:v>
      </x:c>
      <x:c r="P71" s="28"/>
      <x:c r="Q71" s="28"/>
    </x:row>
    <x:row r="72">
      <x:c r="A72" s="28"/>
      <x:c r="B72" s="28"/>
      <x:c r="C72" s="28"/>
      <x:c r="D72" s="28" t="n">
        <x:f>COUNTIFS('03_核验日志'!$D$211:$D$610,$A72,'03_核验日志'!$J$211:$J$610,"支持")</x:f>
        <x:v>0</x:v>
      </x:c>
      <x:c r="E72" s="28" t="n">
        <x:f>COUNTIFS('03_核验日志'!$D$211:$D$610,$A72,'03_核验日志'!$J$211:$J$610,"部分支持")</x:f>
        <x:v>0</x:v>
      </x:c>
      <x:c r="F72" s="28" t="n">
        <x:f>COUNTIFS('03_核验日志'!$D$211:$D$610,$A72,'03_核验日志'!$J$211:$J$610,"反例")</x:f>
        <x:v>0</x:v>
      </x:c>
      <x:c r="G72" s="28" t="n">
        <x:f>COUNTIFS('03_核验日志'!$D$211:$D$610,$A72,'03_核验日志'!$J$211:$J$610,"不确定")</x:f>
        <x:v>0</x:v>
      </x:c>
      <x:c r="H72" s="28" t="n">
        <x:f>D72+E72+F72</x:f>
        <x:v>0</x:v>
      </x:c>
      <x:c r="I72" s="36" t="str">
        <x:f>IF(H72=0,"",(D72+0.5*E72)/H72)</x:f>
      </x:c>
      <x:c r="J72" s="36" t="str">
        <x:f>IF(H72=0,"",(D72+0.5*E72+1)/(H72+2))</x:f>
      </x:c>
      <x:c r="K72" s="38" t="str">
        <x:f>IF((H72+G72)=0,"",SUMIFS('03_核验日志'!$K$211:$K$610,'03_核验日志'!$D$211:$D$610,$A72,'03_核验日志'!$J$211:$J$610,"&lt;&gt;不可评估")/(H72+G72))</x:f>
      </x:c>
      <x:c r="L72" s="28" t="n">
        <x:f>COUNTIFS('03_核验日志'!$D$211:$D$610,$A72,'03_核验日志'!$L$211:$L$610,"是")</x:f>
        <x:v>0</x:v>
      </x:c>
      <x:c r="M72" s="28" t="n">
        <x:f>COUNTIFS('03_核验日志'!$D$211:$D$610,$A72,'03_核验日志'!$M$211:$M$610,"是")</x:f>
        <x:v>0</x:v>
      </x:c>
      <x:c r="N72" s="28" t="str">
        <x:f>IF(A72="","",IF(H72&lt;5,"样本不足",IF(AND(H72&gt;=20,J72&gt;=0.75,F72&lt;=2),"升级验证候选",IF(AND(H72&gt;=10,J72&lt;0.45,F72&gt;=3),"降权/停用候选",IF(AND(H72&gt;=8,F72&gt;=3),"优先修订","保留观察")))))</x:f>
      </x:c>
      <x:c r="O72" s="28" t="str">
        <x:f>IF(N72="升级验证候选","已验证候选",IF(N72="优先修订","需修改",IF(N72="降权/停用候选","停用候选","待验证")))</x:f>
        <x:v>待验证</x:v>
      </x:c>
      <x:c r="P72" s="28"/>
      <x:c r="Q72" s="28"/>
    </x:row>
    <x:row r="73">
      <x:c r="A73" s="28"/>
      <x:c r="B73" s="28"/>
      <x:c r="C73" s="28"/>
      <x:c r="D73" s="28" t="n">
        <x:f>COUNTIFS('03_核验日志'!$D$211:$D$610,$A73,'03_核验日志'!$J$211:$J$610,"支持")</x:f>
        <x:v>0</x:v>
      </x:c>
      <x:c r="E73" s="28" t="n">
        <x:f>COUNTIFS('03_核验日志'!$D$211:$D$610,$A73,'03_核验日志'!$J$211:$J$610,"部分支持")</x:f>
        <x:v>0</x:v>
      </x:c>
      <x:c r="F73" s="28" t="n">
        <x:f>COUNTIFS('03_核验日志'!$D$211:$D$610,$A73,'03_核验日志'!$J$211:$J$610,"反例")</x:f>
        <x:v>0</x:v>
      </x:c>
      <x:c r="G73" s="28" t="n">
        <x:f>COUNTIFS('03_核验日志'!$D$211:$D$610,$A73,'03_核验日志'!$J$211:$J$610,"不确定")</x:f>
        <x:v>0</x:v>
      </x:c>
      <x:c r="H73" s="28" t="n">
        <x:f>D73+E73+F73</x:f>
        <x:v>0</x:v>
      </x:c>
      <x:c r="I73" s="36" t="str">
        <x:f>IF(H73=0,"",(D73+0.5*E73)/H73)</x:f>
      </x:c>
      <x:c r="J73" s="36" t="str">
        <x:f>IF(H73=0,"",(D73+0.5*E73+1)/(H73+2))</x:f>
      </x:c>
      <x:c r="K73" s="38" t="str">
        <x:f>IF((H73+G73)=0,"",SUMIFS('03_核验日志'!$K$211:$K$610,'03_核验日志'!$D$211:$D$610,$A73,'03_核验日志'!$J$211:$J$610,"&lt;&gt;不可评估")/(H73+G73))</x:f>
      </x:c>
      <x:c r="L73" s="28" t="n">
        <x:f>COUNTIFS('03_核验日志'!$D$211:$D$610,$A73,'03_核验日志'!$L$211:$L$610,"是")</x:f>
        <x:v>0</x:v>
      </x:c>
      <x:c r="M73" s="28" t="n">
        <x:f>COUNTIFS('03_核验日志'!$D$211:$D$610,$A73,'03_核验日志'!$M$211:$M$610,"是")</x:f>
        <x:v>0</x:v>
      </x:c>
      <x:c r="N73" s="28" t="str">
        <x:f>IF(A73="","",IF(H73&lt;5,"样本不足",IF(AND(H73&gt;=20,J73&gt;=0.75,F73&lt;=2),"升级验证候选",IF(AND(H73&gt;=10,J73&lt;0.45,F73&gt;=3),"降权/停用候选",IF(AND(H73&gt;=8,F73&gt;=3),"优先修订","保留观察")))))</x:f>
      </x:c>
      <x:c r="O73" s="28" t="str">
        <x:f>IF(N73="升级验证候选","已验证候选",IF(N73="优先修订","需修改",IF(N73="降权/停用候选","停用候选","待验证")))</x:f>
        <x:v>待验证</x:v>
      </x:c>
      <x:c r="P73" s="28"/>
      <x:c r="Q73" s="28"/>
    </x:row>
    <x:row r="74">
      <x:c r="A74" s="28"/>
      <x:c r="B74" s="28"/>
      <x:c r="C74" s="28"/>
      <x:c r="D74" s="28" t="n">
        <x:f>COUNTIFS('03_核验日志'!$D$211:$D$610,$A74,'03_核验日志'!$J$211:$J$610,"支持")</x:f>
        <x:v>0</x:v>
      </x:c>
      <x:c r="E74" s="28" t="n">
        <x:f>COUNTIFS('03_核验日志'!$D$211:$D$610,$A74,'03_核验日志'!$J$211:$J$610,"部分支持")</x:f>
        <x:v>0</x:v>
      </x:c>
      <x:c r="F74" s="28" t="n">
        <x:f>COUNTIFS('03_核验日志'!$D$211:$D$610,$A74,'03_核验日志'!$J$211:$J$610,"反例")</x:f>
        <x:v>0</x:v>
      </x:c>
      <x:c r="G74" s="28" t="n">
        <x:f>COUNTIFS('03_核验日志'!$D$211:$D$610,$A74,'03_核验日志'!$J$211:$J$610,"不确定")</x:f>
        <x:v>0</x:v>
      </x:c>
      <x:c r="H74" s="28" t="n">
        <x:f>D74+E74+F74</x:f>
        <x:v>0</x:v>
      </x:c>
      <x:c r="I74" s="36" t="str">
        <x:f>IF(H74=0,"",(D74+0.5*E74)/H74)</x:f>
      </x:c>
      <x:c r="J74" s="36" t="str">
        <x:f>IF(H74=0,"",(D74+0.5*E74+1)/(H74+2))</x:f>
      </x:c>
      <x:c r="K74" s="38" t="str">
        <x:f>IF((H74+G74)=0,"",SUMIFS('03_核验日志'!$K$211:$K$610,'03_核验日志'!$D$211:$D$610,$A74,'03_核验日志'!$J$211:$J$610,"&lt;&gt;不可评估")/(H74+G74))</x:f>
      </x:c>
      <x:c r="L74" s="28" t="n">
        <x:f>COUNTIFS('03_核验日志'!$D$211:$D$610,$A74,'03_核验日志'!$L$211:$L$610,"是")</x:f>
        <x:v>0</x:v>
      </x:c>
      <x:c r="M74" s="28" t="n">
        <x:f>COUNTIFS('03_核验日志'!$D$211:$D$610,$A74,'03_核验日志'!$M$211:$M$610,"是")</x:f>
        <x:v>0</x:v>
      </x:c>
      <x:c r="N74" s="28" t="str">
        <x:f>IF(A74="","",IF(H74&lt;5,"样本不足",IF(AND(H74&gt;=20,J74&gt;=0.75,F74&lt;=2),"升级验证候选",IF(AND(H74&gt;=10,J74&lt;0.45,F74&gt;=3),"降权/停用候选",IF(AND(H74&gt;=8,F74&gt;=3),"优先修订","保留观察")))))</x:f>
      </x:c>
      <x:c r="O74" s="28" t="str">
        <x:f>IF(N74="升级验证候选","已验证候选",IF(N74="优先修订","需修改",IF(N74="降权/停用候选","停用候选","待验证")))</x:f>
        <x:v>待验证</x:v>
      </x:c>
      <x:c r="P74" s="28"/>
      <x:c r="Q74" s="28"/>
    </x:row>
    <x:row r="75">
      <x:c r="A75" s="28"/>
      <x:c r="B75" s="28"/>
      <x:c r="C75" s="28"/>
      <x:c r="D75" s="28" t="n">
        <x:f>COUNTIFS('03_核验日志'!$D$211:$D$610,$A75,'03_核验日志'!$J$211:$J$610,"支持")</x:f>
        <x:v>0</x:v>
      </x:c>
      <x:c r="E75" s="28" t="n">
        <x:f>COUNTIFS('03_核验日志'!$D$211:$D$610,$A75,'03_核验日志'!$J$211:$J$610,"部分支持")</x:f>
        <x:v>0</x:v>
      </x:c>
      <x:c r="F75" s="28" t="n">
        <x:f>COUNTIFS('03_核验日志'!$D$211:$D$610,$A75,'03_核验日志'!$J$211:$J$610,"反例")</x:f>
        <x:v>0</x:v>
      </x:c>
      <x:c r="G75" s="28" t="n">
        <x:f>COUNTIFS('03_核验日志'!$D$211:$D$610,$A75,'03_核验日志'!$J$211:$J$610,"不确定")</x:f>
        <x:v>0</x:v>
      </x:c>
      <x:c r="H75" s="28" t="n">
        <x:f>D75+E75+F75</x:f>
        <x:v>0</x:v>
      </x:c>
      <x:c r="I75" s="36" t="str">
        <x:f>IF(H75=0,"",(D75+0.5*E75)/H75)</x:f>
      </x:c>
      <x:c r="J75" s="36" t="str">
        <x:f>IF(H75=0,"",(D75+0.5*E75+1)/(H75+2))</x:f>
      </x:c>
      <x:c r="K75" s="38" t="str">
        <x:f>IF((H75+G75)=0,"",SUMIFS('03_核验日志'!$K$211:$K$610,'03_核验日志'!$D$211:$D$610,$A75,'03_核验日志'!$J$211:$J$610,"&lt;&gt;不可评估")/(H75+G75))</x:f>
      </x:c>
      <x:c r="L75" s="28" t="n">
        <x:f>COUNTIFS('03_核验日志'!$D$211:$D$610,$A75,'03_核验日志'!$L$211:$L$610,"是")</x:f>
        <x:v>0</x:v>
      </x:c>
      <x:c r="M75" s="28" t="n">
        <x:f>COUNTIFS('03_核验日志'!$D$211:$D$610,$A75,'03_核验日志'!$M$211:$M$610,"是")</x:f>
        <x:v>0</x:v>
      </x:c>
      <x:c r="N75" s="28" t="str">
        <x:f>IF(A75="","",IF(H75&lt;5,"样本不足",IF(AND(H75&gt;=20,J75&gt;=0.75,F75&lt;=2),"升级验证候选",IF(AND(H75&gt;=10,J75&lt;0.45,F75&gt;=3),"降权/停用候选",IF(AND(H75&gt;=8,F75&gt;=3),"优先修订","保留观察")))))</x:f>
      </x:c>
      <x:c r="O75" s="28" t="str">
        <x:f>IF(N75="升级验证候选","已验证候选",IF(N75="优先修订","需修改",IF(N75="降权/停用候选","停用候选","待验证")))</x:f>
        <x:v>待验证</x:v>
      </x:c>
      <x:c r="P75" s="28"/>
      <x:c r="Q75" s="28"/>
    </x:row>
    <x:row r="76">
      <x:c r="A76" s="28"/>
      <x:c r="B76" s="28"/>
      <x:c r="C76" s="28"/>
      <x:c r="D76" s="28" t="n">
        <x:f>COUNTIFS('03_核验日志'!$D$211:$D$610,$A76,'03_核验日志'!$J$211:$J$610,"支持")</x:f>
        <x:v>0</x:v>
      </x:c>
      <x:c r="E76" s="28" t="n">
        <x:f>COUNTIFS('03_核验日志'!$D$211:$D$610,$A76,'03_核验日志'!$J$211:$J$610,"部分支持")</x:f>
        <x:v>0</x:v>
      </x:c>
      <x:c r="F76" s="28" t="n">
        <x:f>COUNTIFS('03_核验日志'!$D$211:$D$610,$A76,'03_核验日志'!$J$211:$J$610,"反例")</x:f>
        <x:v>0</x:v>
      </x:c>
      <x:c r="G76" s="28" t="n">
        <x:f>COUNTIFS('03_核验日志'!$D$211:$D$610,$A76,'03_核验日志'!$J$211:$J$610,"不确定")</x:f>
        <x:v>0</x:v>
      </x:c>
      <x:c r="H76" s="28" t="n">
        <x:f>D76+E76+F76</x:f>
        <x:v>0</x:v>
      </x:c>
      <x:c r="I76" s="36" t="str">
        <x:f>IF(H76=0,"",(D76+0.5*E76)/H76)</x:f>
      </x:c>
      <x:c r="J76" s="36" t="str">
        <x:f>IF(H76=0,"",(D76+0.5*E76+1)/(H76+2))</x:f>
      </x:c>
      <x:c r="K76" s="38" t="str">
        <x:f>IF((H76+G76)=0,"",SUMIFS('03_核验日志'!$K$211:$K$610,'03_核验日志'!$D$211:$D$610,$A76,'03_核验日志'!$J$211:$J$610,"&lt;&gt;不可评估")/(H76+G76))</x:f>
      </x:c>
      <x:c r="L76" s="28" t="n">
        <x:f>COUNTIFS('03_核验日志'!$D$211:$D$610,$A76,'03_核验日志'!$L$211:$L$610,"是")</x:f>
        <x:v>0</x:v>
      </x:c>
      <x:c r="M76" s="28" t="n">
        <x:f>COUNTIFS('03_核验日志'!$D$211:$D$610,$A76,'03_核验日志'!$M$211:$M$610,"是")</x:f>
        <x:v>0</x:v>
      </x:c>
      <x:c r="N76" s="28" t="str">
        <x:f>IF(A76="","",IF(H76&lt;5,"样本不足",IF(AND(H76&gt;=20,J76&gt;=0.75,F76&lt;=2),"升级验证候选",IF(AND(H76&gt;=10,J76&lt;0.45,F76&gt;=3),"降权/停用候选",IF(AND(H76&gt;=8,F76&gt;=3),"优先修订","保留观察")))))</x:f>
      </x:c>
      <x:c r="O76" s="28" t="str">
        <x:f>IF(N76="升级验证候选","已验证候选",IF(N76="优先修订","需修改",IF(N76="降权/停用候选","停用候选","待验证")))</x:f>
        <x:v>待验证</x:v>
      </x:c>
      <x:c r="P76" s="28"/>
      <x:c r="Q76" s="28"/>
    </x:row>
    <x:row r="77">
      <x:c r="A77" s="28"/>
      <x:c r="B77" s="28"/>
      <x:c r="C77" s="28"/>
      <x:c r="D77" s="28" t="n">
        <x:f>COUNTIFS('03_核验日志'!$D$211:$D$610,$A77,'03_核验日志'!$J$211:$J$610,"支持")</x:f>
        <x:v>0</x:v>
      </x:c>
      <x:c r="E77" s="28" t="n">
        <x:f>COUNTIFS('03_核验日志'!$D$211:$D$610,$A77,'03_核验日志'!$J$211:$J$610,"部分支持")</x:f>
        <x:v>0</x:v>
      </x:c>
      <x:c r="F77" s="28" t="n">
        <x:f>COUNTIFS('03_核验日志'!$D$211:$D$610,$A77,'03_核验日志'!$J$211:$J$610,"反例")</x:f>
        <x:v>0</x:v>
      </x:c>
      <x:c r="G77" s="28" t="n">
        <x:f>COUNTIFS('03_核验日志'!$D$211:$D$610,$A77,'03_核验日志'!$J$211:$J$610,"不确定")</x:f>
        <x:v>0</x:v>
      </x:c>
      <x:c r="H77" s="28" t="n">
        <x:f>D77+E77+F77</x:f>
        <x:v>0</x:v>
      </x:c>
      <x:c r="I77" s="36" t="str">
        <x:f>IF(H77=0,"",(D77+0.5*E77)/H77)</x:f>
      </x:c>
      <x:c r="J77" s="36" t="str">
        <x:f>IF(H77=0,"",(D77+0.5*E77+1)/(H77+2))</x:f>
      </x:c>
      <x:c r="K77" s="38" t="str">
        <x:f>IF((H77+G77)=0,"",SUMIFS('03_核验日志'!$K$211:$K$610,'03_核验日志'!$D$211:$D$610,$A77,'03_核验日志'!$J$211:$J$610,"&lt;&gt;不可评估")/(H77+G77))</x:f>
      </x:c>
      <x:c r="L77" s="28" t="n">
        <x:f>COUNTIFS('03_核验日志'!$D$211:$D$610,$A77,'03_核验日志'!$L$211:$L$610,"是")</x:f>
        <x:v>0</x:v>
      </x:c>
      <x:c r="M77" s="28" t="n">
        <x:f>COUNTIFS('03_核验日志'!$D$211:$D$610,$A77,'03_核验日志'!$M$211:$M$610,"是")</x:f>
        <x:v>0</x:v>
      </x:c>
      <x:c r="N77" s="28" t="str">
        <x:f>IF(A77="","",IF(H77&lt;5,"样本不足",IF(AND(H77&gt;=20,J77&gt;=0.75,F77&lt;=2),"升级验证候选",IF(AND(H77&gt;=10,J77&lt;0.45,F77&gt;=3),"降权/停用候选",IF(AND(H77&gt;=8,F77&gt;=3),"优先修订","保留观察")))))</x:f>
      </x:c>
      <x:c r="O77" s="28" t="str">
        <x:f>IF(N77="升级验证候选","已验证候选",IF(N77="优先修订","需修改",IF(N77="降权/停用候选","停用候选","待验证")))</x:f>
        <x:v>待验证</x:v>
      </x:c>
      <x:c r="P77" s="28"/>
      <x:c r="Q77" s="28"/>
    </x:row>
    <x:row r="78">
      <x:c r="A78" s="28"/>
      <x:c r="B78" s="28"/>
      <x:c r="C78" s="28"/>
      <x:c r="D78" s="28" t="n">
        <x:f>COUNTIFS('03_核验日志'!$D$211:$D$610,$A78,'03_核验日志'!$J$211:$J$610,"支持")</x:f>
        <x:v>0</x:v>
      </x:c>
      <x:c r="E78" s="28" t="n">
        <x:f>COUNTIFS('03_核验日志'!$D$211:$D$610,$A78,'03_核验日志'!$J$211:$J$610,"部分支持")</x:f>
        <x:v>0</x:v>
      </x:c>
      <x:c r="F78" s="28" t="n">
        <x:f>COUNTIFS('03_核验日志'!$D$211:$D$610,$A78,'03_核验日志'!$J$211:$J$610,"反例")</x:f>
        <x:v>0</x:v>
      </x:c>
      <x:c r="G78" s="28" t="n">
        <x:f>COUNTIFS('03_核验日志'!$D$211:$D$610,$A78,'03_核验日志'!$J$211:$J$610,"不确定")</x:f>
        <x:v>0</x:v>
      </x:c>
      <x:c r="H78" s="28" t="n">
        <x:f>D78+E78+F78</x:f>
        <x:v>0</x:v>
      </x:c>
      <x:c r="I78" s="36" t="str">
        <x:f>IF(H78=0,"",(D78+0.5*E78)/H78)</x:f>
      </x:c>
      <x:c r="J78" s="36" t="str">
        <x:f>IF(H78=0,"",(D78+0.5*E78+1)/(H78+2))</x:f>
      </x:c>
      <x:c r="K78" s="38" t="str">
        <x:f>IF((H78+G78)=0,"",SUMIFS('03_核验日志'!$K$211:$K$610,'03_核验日志'!$D$211:$D$610,$A78,'03_核验日志'!$J$211:$J$610,"&lt;&gt;不可评估")/(H78+G78))</x:f>
      </x:c>
      <x:c r="L78" s="28" t="n">
        <x:f>COUNTIFS('03_核验日志'!$D$211:$D$610,$A78,'03_核验日志'!$L$211:$L$610,"是")</x:f>
        <x:v>0</x:v>
      </x:c>
      <x:c r="M78" s="28" t="n">
        <x:f>COUNTIFS('03_核验日志'!$D$211:$D$610,$A78,'03_核验日志'!$M$211:$M$610,"是")</x:f>
        <x:v>0</x:v>
      </x:c>
      <x:c r="N78" s="28" t="str">
        <x:f>IF(A78="","",IF(H78&lt;5,"样本不足",IF(AND(H78&gt;=20,J78&gt;=0.75,F78&lt;=2),"升级验证候选",IF(AND(H78&gt;=10,J78&lt;0.45,F78&gt;=3),"降权/停用候选",IF(AND(H78&gt;=8,F78&gt;=3),"优先修订","保留观察")))))</x:f>
      </x:c>
      <x:c r="O78" s="28" t="str">
        <x:f>IF(N78="升级验证候选","已验证候选",IF(N78="优先修订","需修改",IF(N78="降权/停用候选","停用候选","待验证")))</x:f>
        <x:v>待验证</x:v>
      </x:c>
      <x:c r="P78" s="28"/>
      <x:c r="Q78" s="28"/>
    </x:row>
    <x:row r="79">
      <x:c r="A79" s="28"/>
      <x:c r="B79" s="28"/>
      <x:c r="C79" s="28"/>
      <x:c r="D79" s="28" t="n">
        <x:f>COUNTIFS('03_核验日志'!$D$211:$D$610,$A79,'03_核验日志'!$J$211:$J$610,"支持")</x:f>
        <x:v>0</x:v>
      </x:c>
      <x:c r="E79" s="28" t="n">
        <x:f>COUNTIFS('03_核验日志'!$D$211:$D$610,$A79,'03_核验日志'!$J$211:$J$610,"部分支持")</x:f>
        <x:v>0</x:v>
      </x:c>
      <x:c r="F79" s="28" t="n">
        <x:f>COUNTIFS('03_核验日志'!$D$211:$D$610,$A79,'03_核验日志'!$J$211:$J$610,"反例")</x:f>
        <x:v>0</x:v>
      </x:c>
      <x:c r="G79" s="28" t="n">
        <x:f>COUNTIFS('03_核验日志'!$D$211:$D$610,$A79,'03_核验日志'!$J$211:$J$610,"不确定")</x:f>
        <x:v>0</x:v>
      </x:c>
      <x:c r="H79" s="28" t="n">
        <x:f>D79+E79+F79</x:f>
        <x:v>0</x:v>
      </x:c>
      <x:c r="I79" s="36" t="str">
        <x:f>IF(H79=0,"",(D79+0.5*E79)/H79)</x:f>
      </x:c>
      <x:c r="J79" s="36" t="str">
        <x:f>IF(H79=0,"",(D79+0.5*E79+1)/(H79+2))</x:f>
      </x:c>
      <x:c r="K79" s="38" t="str">
        <x:f>IF((H79+G79)=0,"",SUMIFS('03_核验日志'!$K$211:$K$610,'03_核验日志'!$D$211:$D$610,$A79,'03_核验日志'!$J$211:$J$610,"&lt;&gt;不可评估")/(H79+G79))</x:f>
      </x:c>
      <x:c r="L79" s="28" t="n">
        <x:f>COUNTIFS('03_核验日志'!$D$211:$D$610,$A79,'03_核验日志'!$L$211:$L$610,"是")</x:f>
        <x:v>0</x:v>
      </x:c>
      <x:c r="M79" s="28" t="n">
        <x:f>COUNTIFS('03_核验日志'!$D$211:$D$610,$A79,'03_核验日志'!$M$211:$M$610,"是")</x:f>
        <x:v>0</x:v>
      </x:c>
      <x:c r="N79" s="28" t="str">
        <x:f>IF(A79="","",IF(H79&lt;5,"样本不足",IF(AND(H79&gt;=20,J79&gt;=0.75,F79&lt;=2),"升级验证候选",IF(AND(H79&gt;=10,J79&lt;0.45,F79&gt;=3),"降权/停用候选",IF(AND(H79&gt;=8,F79&gt;=3),"优先修订","保留观察")))))</x:f>
      </x:c>
      <x:c r="O79" s="28" t="str">
        <x:f>IF(N79="升级验证候选","已验证候选",IF(N79="优先修订","需修改",IF(N79="降权/停用候选","停用候选","待验证")))</x:f>
        <x:v>待验证</x:v>
      </x:c>
      <x:c r="P79" s="28"/>
      <x:c r="Q79" s="28"/>
    </x:row>
    <x:row r="80">
      <x:c r="A80" s="28"/>
      <x:c r="B80" s="28"/>
      <x:c r="C80" s="28"/>
      <x:c r="D80" s="28" t="n">
        <x:f>COUNTIFS('03_核验日志'!$D$211:$D$610,$A80,'03_核验日志'!$J$211:$J$610,"支持")</x:f>
        <x:v>0</x:v>
      </x:c>
      <x:c r="E80" s="28" t="n">
        <x:f>COUNTIFS('03_核验日志'!$D$211:$D$610,$A80,'03_核验日志'!$J$211:$J$610,"部分支持")</x:f>
        <x:v>0</x:v>
      </x:c>
      <x:c r="F80" s="28" t="n">
        <x:f>COUNTIFS('03_核验日志'!$D$211:$D$610,$A80,'03_核验日志'!$J$211:$J$610,"反例")</x:f>
        <x:v>0</x:v>
      </x:c>
      <x:c r="G80" s="28" t="n">
        <x:f>COUNTIFS('03_核验日志'!$D$211:$D$610,$A80,'03_核验日志'!$J$211:$J$610,"不确定")</x:f>
        <x:v>0</x:v>
      </x:c>
      <x:c r="H80" s="28" t="n">
        <x:f>D80+E80+F80</x:f>
        <x:v>0</x:v>
      </x:c>
      <x:c r="I80" s="36" t="str">
        <x:f>IF(H80=0,"",(D80+0.5*E80)/H80)</x:f>
      </x:c>
      <x:c r="J80" s="36" t="str">
        <x:f>IF(H80=0,"",(D80+0.5*E80+1)/(H80+2))</x:f>
      </x:c>
      <x:c r="K80" s="38" t="str">
        <x:f>IF((H80+G80)=0,"",SUMIFS('03_核验日志'!$K$211:$K$610,'03_核验日志'!$D$211:$D$610,$A80,'03_核验日志'!$J$211:$J$610,"&lt;&gt;不可评估")/(H80+G80))</x:f>
      </x:c>
      <x:c r="L80" s="28" t="n">
        <x:f>COUNTIFS('03_核验日志'!$D$211:$D$610,$A80,'03_核验日志'!$L$211:$L$610,"是")</x:f>
        <x:v>0</x:v>
      </x:c>
      <x:c r="M80" s="28" t="n">
        <x:f>COUNTIFS('03_核验日志'!$D$211:$D$610,$A80,'03_核验日志'!$M$211:$M$610,"是")</x:f>
        <x:v>0</x:v>
      </x:c>
      <x:c r="N80" s="28" t="str">
        <x:f>IF(A80="","",IF(H80&lt;5,"样本不足",IF(AND(H80&gt;=20,J80&gt;=0.75,F80&lt;=2),"升级验证候选",IF(AND(H80&gt;=10,J80&lt;0.45,F80&gt;=3),"降权/停用候选",IF(AND(H80&gt;=8,F80&gt;=3),"优先修订","保留观察")))))</x:f>
      </x:c>
      <x:c r="O80" s="28" t="str">
        <x:f>IF(N80="升级验证候选","已验证候选",IF(N80="优先修订","需修改",IF(N80="降权/停用候选","停用候选","待验证")))</x:f>
        <x:v>待验证</x:v>
      </x:c>
      <x:c r="P80" s="28"/>
      <x:c r="Q80" s="28"/>
    </x:row>
    <x:row r="81">
      <x:c r="A81" s="28"/>
      <x:c r="B81" s="28"/>
      <x:c r="C81" s="28"/>
      <x:c r="D81" s="28" t="n">
        <x:f>COUNTIFS('03_核验日志'!$D$211:$D$610,$A81,'03_核验日志'!$J$211:$J$610,"支持")</x:f>
        <x:v>0</x:v>
      </x:c>
      <x:c r="E81" s="28" t="n">
        <x:f>COUNTIFS('03_核验日志'!$D$211:$D$610,$A81,'03_核验日志'!$J$211:$J$610,"部分支持")</x:f>
        <x:v>0</x:v>
      </x:c>
      <x:c r="F81" s="28" t="n">
        <x:f>COUNTIFS('03_核验日志'!$D$211:$D$610,$A81,'03_核验日志'!$J$211:$J$610,"反例")</x:f>
        <x:v>0</x:v>
      </x:c>
      <x:c r="G81" s="28" t="n">
        <x:f>COUNTIFS('03_核验日志'!$D$211:$D$610,$A81,'03_核验日志'!$J$211:$J$610,"不确定")</x:f>
        <x:v>0</x:v>
      </x:c>
      <x:c r="H81" s="28" t="n">
        <x:f>D81+E81+F81</x:f>
        <x:v>0</x:v>
      </x:c>
      <x:c r="I81" s="36" t="str">
        <x:f>IF(H81=0,"",(D81+0.5*E81)/H81)</x:f>
      </x:c>
      <x:c r="J81" s="36" t="str">
        <x:f>IF(H81=0,"",(D81+0.5*E81+1)/(H81+2))</x:f>
      </x:c>
      <x:c r="K81" s="38" t="str">
        <x:f>IF((H81+G81)=0,"",SUMIFS('03_核验日志'!$K$211:$K$610,'03_核验日志'!$D$211:$D$610,$A81,'03_核验日志'!$J$211:$J$610,"&lt;&gt;不可评估")/(H81+G81))</x:f>
      </x:c>
      <x:c r="L81" s="28" t="n">
        <x:f>COUNTIFS('03_核验日志'!$D$211:$D$610,$A81,'03_核验日志'!$L$211:$L$610,"是")</x:f>
        <x:v>0</x:v>
      </x:c>
      <x:c r="M81" s="28" t="n">
        <x:f>COUNTIFS('03_核验日志'!$D$211:$D$610,$A81,'03_核验日志'!$M$211:$M$610,"是")</x:f>
        <x:v>0</x:v>
      </x:c>
      <x:c r="N81" s="28" t="str">
        <x:f>IF(A81="","",IF(H81&lt;5,"样本不足",IF(AND(H81&gt;=20,J81&gt;=0.75,F81&lt;=2),"升级验证候选",IF(AND(H81&gt;=10,J81&lt;0.45,F81&gt;=3),"降权/停用候选",IF(AND(H81&gt;=8,F81&gt;=3),"优先修订","保留观察")))))</x:f>
      </x:c>
      <x:c r="O81" s="28" t="str">
        <x:f>IF(N81="升级验证候选","已验证候选",IF(N81="优先修订","需修改",IF(N81="降权/停用候选","停用候选","待验证")))</x:f>
        <x:v>待验证</x:v>
      </x:c>
      <x:c r="P81" s="28"/>
      <x:c r="Q81" s="28"/>
    </x:row>
    <x:row r="82">
      <x:c r="A82" s="28"/>
      <x:c r="B82" s="28"/>
      <x:c r="C82" s="28"/>
      <x:c r="D82" s="28" t="n">
        <x:f>COUNTIFS('03_核验日志'!$D$211:$D$610,$A82,'03_核验日志'!$J$211:$J$610,"支持")</x:f>
        <x:v>0</x:v>
      </x:c>
      <x:c r="E82" s="28" t="n">
        <x:f>COUNTIFS('03_核验日志'!$D$211:$D$610,$A82,'03_核验日志'!$J$211:$J$610,"部分支持")</x:f>
        <x:v>0</x:v>
      </x:c>
      <x:c r="F82" s="28" t="n">
        <x:f>COUNTIFS('03_核验日志'!$D$211:$D$610,$A82,'03_核验日志'!$J$211:$J$610,"反例")</x:f>
        <x:v>0</x:v>
      </x:c>
      <x:c r="G82" s="28" t="n">
        <x:f>COUNTIFS('03_核验日志'!$D$211:$D$610,$A82,'03_核验日志'!$J$211:$J$610,"不确定")</x:f>
        <x:v>0</x:v>
      </x:c>
      <x:c r="H82" s="28" t="n">
        <x:f>D82+E82+F82</x:f>
        <x:v>0</x:v>
      </x:c>
      <x:c r="I82" s="36" t="str">
        <x:f>IF(H82=0,"",(D82+0.5*E82)/H82)</x:f>
      </x:c>
      <x:c r="J82" s="36" t="str">
        <x:f>IF(H82=0,"",(D82+0.5*E82+1)/(H82+2))</x:f>
      </x:c>
      <x:c r="K82" s="38" t="str">
        <x:f>IF((H82+G82)=0,"",SUMIFS('03_核验日志'!$K$211:$K$610,'03_核验日志'!$D$211:$D$610,$A82,'03_核验日志'!$J$211:$J$610,"&lt;&gt;不可评估")/(H82+G82))</x:f>
      </x:c>
      <x:c r="L82" s="28" t="n">
        <x:f>COUNTIFS('03_核验日志'!$D$211:$D$610,$A82,'03_核验日志'!$L$211:$L$610,"是")</x:f>
        <x:v>0</x:v>
      </x:c>
      <x:c r="M82" s="28" t="n">
        <x:f>COUNTIFS('03_核验日志'!$D$211:$D$610,$A82,'03_核验日志'!$M$211:$M$610,"是")</x:f>
        <x:v>0</x:v>
      </x:c>
      <x:c r="N82" s="28" t="str">
        <x:f>IF(A82="","",IF(H82&lt;5,"样本不足",IF(AND(H82&gt;=20,J82&gt;=0.75,F82&lt;=2),"升级验证候选",IF(AND(H82&gt;=10,J82&lt;0.45,F82&gt;=3),"降权/停用候选",IF(AND(H82&gt;=8,F82&gt;=3),"优先修订","保留观察")))))</x:f>
      </x:c>
      <x:c r="O82" s="28" t="str">
        <x:f>IF(N82="升级验证候选","已验证候选",IF(N82="优先修订","需修改",IF(N82="降权/停用候选","停用候选","待验证")))</x:f>
        <x:v>待验证</x:v>
      </x:c>
      <x:c r="P82" s="28"/>
      <x:c r="Q82" s="28"/>
    </x:row>
    <x:row r="83">
      <x:c r="A83" s="28"/>
      <x:c r="B83" s="28"/>
      <x:c r="C83" s="28"/>
      <x:c r="D83" s="28" t="n">
        <x:f>COUNTIFS('03_核验日志'!$D$211:$D$610,$A83,'03_核验日志'!$J$211:$J$610,"支持")</x:f>
        <x:v>0</x:v>
      </x:c>
      <x:c r="E83" s="28" t="n">
        <x:f>COUNTIFS('03_核验日志'!$D$211:$D$610,$A83,'03_核验日志'!$J$211:$J$610,"部分支持")</x:f>
        <x:v>0</x:v>
      </x:c>
      <x:c r="F83" s="28" t="n">
        <x:f>COUNTIFS('03_核验日志'!$D$211:$D$610,$A83,'03_核验日志'!$J$211:$J$610,"反例")</x:f>
        <x:v>0</x:v>
      </x:c>
      <x:c r="G83" s="28" t="n">
        <x:f>COUNTIFS('03_核验日志'!$D$211:$D$610,$A83,'03_核验日志'!$J$211:$J$610,"不确定")</x:f>
        <x:v>0</x:v>
      </x:c>
      <x:c r="H83" s="28" t="n">
        <x:f>D83+E83+F83</x:f>
        <x:v>0</x:v>
      </x:c>
      <x:c r="I83" s="36" t="str">
        <x:f>IF(H83=0,"",(D83+0.5*E83)/H83)</x:f>
      </x:c>
      <x:c r="J83" s="36" t="str">
        <x:f>IF(H83=0,"",(D83+0.5*E83+1)/(H83+2))</x:f>
      </x:c>
      <x:c r="K83" s="38" t="str">
        <x:f>IF((H83+G83)=0,"",SUMIFS('03_核验日志'!$K$211:$K$610,'03_核验日志'!$D$211:$D$610,$A83,'03_核验日志'!$J$211:$J$610,"&lt;&gt;不可评估")/(H83+G83))</x:f>
      </x:c>
      <x:c r="L83" s="28" t="n">
        <x:f>COUNTIFS('03_核验日志'!$D$211:$D$610,$A83,'03_核验日志'!$L$211:$L$610,"是")</x:f>
        <x:v>0</x:v>
      </x:c>
      <x:c r="M83" s="28" t="n">
        <x:f>COUNTIFS('03_核验日志'!$D$211:$D$610,$A83,'03_核验日志'!$M$211:$M$610,"是")</x:f>
        <x:v>0</x:v>
      </x:c>
      <x:c r="N83" s="28" t="str">
        <x:f>IF(A83="","",IF(H83&lt;5,"样本不足",IF(AND(H83&gt;=20,J83&gt;=0.75,F83&lt;=2),"升级验证候选",IF(AND(H83&gt;=10,J83&lt;0.45,F83&gt;=3),"降权/停用候选",IF(AND(H83&gt;=8,F83&gt;=3),"优先修订","保留观察")))))</x:f>
      </x:c>
      <x:c r="O83" s="28" t="str">
        <x:f>IF(N83="升级验证候选","已验证候选",IF(N83="优先修订","需修改",IF(N83="降权/停用候选","停用候选","待验证")))</x:f>
        <x:v>待验证</x:v>
      </x:c>
      <x:c r="P83" s="28"/>
      <x:c r="Q83" s="28"/>
    </x:row>
    <x:row r="84">
      <x:c r="A84" s="28"/>
      <x:c r="B84" s="28"/>
      <x:c r="C84" s="28"/>
      <x:c r="D84" s="28" t="n">
        <x:f>COUNTIFS('03_核验日志'!$D$211:$D$610,$A84,'03_核验日志'!$J$211:$J$610,"支持")</x:f>
        <x:v>0</x:v>
      </x:c>
      <x:c r="E84" s="28" t="n">
        <x:f>COUNTIFS('03_核验日志'!$D$211:$D$610,$A84,'03_核验日志'!$J$211:$J$610,"部分支持")</x:f>
        <x:v>0</x:v>
      </x:c>
      <x:c r="F84" s="28" t="n">
        <x:f>COUNTIFS('03_核验日志'!$D$211:$D$610,$A84,'03_核验日志'!$J$211:$J$610,"反例")</x:f>
        <x:v>0</x:v>
      </x:c>
      <x:c r="G84" s="28" t="n">
        <x:f>COUNTIFS('03_核验日志'!$D$211:$D$610,$A84,'03_核验日志'!$J$211:$J$610,"不确定")</x:f>
        <x:v>0</x:v>
      </x:c>
      <x:c r="H84" s="28" t="n">
        <x:f>D84+E84+F84</x:f>
        <x:v>0</x:v>
      </x:c>
      <x:c r="I84" s="36" t="str">
        <x:f>IF(H84=0,"",(D84+0.5*E84)/H84)</x:f>
      </x:c>
      <x:c r="J84" s="36" t="str">
        <x:f>IF(H84=0,"",(D84+0.5*E84+1)/(H84+2))</x:f>
      </x:c>
      <x:c r="K84" s="38" t="str">
        <x:f>IF((H84+G84)=0,"",SUMIFS('03_核验日志'!$K$211:$K$610,'03_核验日志'!$D$211:$D$610,$A84,'03_核验日志'!$J$211:$J$610,"&lt;&gt;不可评估")/(H84+G84))</x:f>
      </x:c>
      <x:c r="L84" s="28" t="n">
        <x:f>COUNTIFS('03_核验日志'!$D$211:$D$610,$A84,'03_核验日志'!$L$211:$L$610,"是")</x:f>
        <x:v>0</x:v>
      </x:c>
      <x:c r="M84" s="28" t="n">
        <x:f>COUNTIFS('03_核验日志'!$D$211:$D$610,$A84,'03_核验日志'!$M$211:$M$610,"是")</x:f>
        <x:v>0</x:v>
      </x:c>
      <x:c r="N84" s="28" t="str">
        <x:f>IF(A84="","",IF(H84&lt;5,"样本不足",IF(AND(H84&gt;=20,J84&gt;=0.75,F84&lt;=2),"升级验证候选",IF(AND(H84&gt;=10,J84&lt;0.45,F84&gt;=3),"降权/停用候选",IF(AND(H84&gt;=8,F84&gt;=3),"优先修订","保留观察")))))</x:f>
      </x:c>
      <x:c r="O84" s="28" t="str">
        <x:f>IF(N84="升级验证候选","已验证候选",IF(N84="优先修订","需修改",IF(N84="降权/停用候选","停用候选","待验证")))</x:f>
        <x:v>待验证</x:v>
      </x:c>
      <x:c r="P84" s="28"/>
      <x:c r="Q84" s="28"/>
    </x:row>
    <x:row r="85">
      <x:c r="A85" s="28"/>
      <x:c r="B85" s="28"/>
      <x:c r="C85" s="28"/>
      <x:c r="D85" s="28" t="n">
        <x:f>COUNTIFS('03_核验日志'!$D$211:$D$610,$A85,'03_核验日志'!$J$211:$J$610,"支持")</x:f>
        <x:v>0</x:v>
      </x:c>
      <x:c r="E85" s="28" t="n">
        <x:f>COUNTIFS('03_核验日志'!$D$211:$D$610,$A85,'03_核验日志'!$J$211:$J$610,"部分支持")</x:f>
        <x:v>0</x:v>
      </x:c>
      <x:c r="F85" s="28" t="n">
        <x:f>COUNTIFS('03_核验日志'!$D$211:$D$610,$A85,'03_核验日志'!$J$211:$J$610,"反例")</x:f>
        <x:v>0</x:v>
      </x:c>
      <x:c r="G85" s="28" t="n">
        <x:f>COUNTIFS('03_核验日志'!$D$211:$D$610,$A85,'03_核验日志'!$J$211:$J$610,"不确定")</x:f>
        <x:v>0</x:v>
      </x:c>
      <x:c r="H85" s="28" t="n">
        <x:f>D85+E85+F85</x:f>
        <x:v>0</x:v>
      </x:c>
      <x:c r="I85" s="36" t="str">
        <x:f>IF(H85=0,"",(D85+0.5*E85)/H85)</x:f>
      </x:c>
      <x:c r="J85" s="36" t="str">
        <x:f>IF(H85=0,"",(D85+0.5*E85+1)/(H85+2))</x:f>
      </x:c>
      <x:c r="K85" s="38" t="str">
        <x:f>IF((H85+G85)=0,"",SUMIFS('03_核验日志'!$K$211:$K$610,'03_核验日志'!$D$211:$D$610,$A85,'03_核验日志'!$J$211:$J$610,"&lt;&gt;不可评估")/(H85+G85))</x:f>
      </x:c>
      <x:c r="L85" s="28" t="n">
        <x:f>COUNTIFS('03_核验日志'!$D$211:$D$610,$A85,'03_核验日志'!$L$211:$L$610,"是")</x:f>
        <x:v>0</x:v>
      </x:c>
      <x:c r="M85" s="28" t="n">
        <x:f>COUNTIFS('03_核验日志'!$D$211:$D$610,$A85,'03_核验日志'!$M$211:$M$610,"是")</x:f>
        <x:v>0</x:v>
      </x:c>
      <x:c r="N85" s="28" t="str">
        <x:f>IF(A85="","",IF(H85&lt;5,"样本不足",IF(AND(H85&gt;=20,J85&gt;=0.75,F85&lt;=2),"升级验证候选",IF(AND(H85&gt;=10,J85&lt;0.45,F85&gt;=3),"降权/停用候选",IF(AND(H85&gt;=8,F85&gt;=3),"优先修订","保留观察")))))</x:f>
      </x:c>
      <x:c r="O85" s="28" t="str">
        <x:f>IF(N85="升级验证候选","已验证候选",IF(N85="优先修订","需修改",IF(N85="降权/停用候选","停用候选","待验证")))</x:f>
        <x:v>待验证</x:v>
      </x:c>
      <x:c r="P85" s="28"/>
      <x:c r="Q85" s="28"/>
    </x:row>
    <x:row r="86">
      <x:c r="A86" s="28"/>
      <x:c r="B86" s="28"/>
      <x:c r="C86" s="28"/>
      <x:c r="D86" s="28" t="n">
        <x:f>COUNTIFS('03_核验日志'!$D$211:$D$610,$A86,'03_核验日志'!$J$211:$J$610,"支持")</x:f>
        <x:v>0</x:v>
      </x:c>
      <x:c r="E86" s="28" t="n">
        <x:f>COUNTIFS('03_核验日志'!$D$211:$D$610,$A86,'03_核验日志'!$J$211:$J$610,"部分支持")</x:f>
        <x:v>0</x:v>
      </x:c>
      <x:c r="F86" s="28" t="n">
        <x:f>COUNTIFS('03_核验日志'!$D$211:$D$610,$A86,'03_核验日志'!$J$211:$J$610,"反例")</x:f>
        <x:v>0</x:v>
      </x:c>
      <x:c r="G86" s="28" t="n">
        <x:f>COUNTIFS('03_核验日志'!$D$211:$D$610,$A86,'03_核验日志'!$J$211:$J$610,"不确定")</x:f>
        <x:v>0</x:v>
      </x:c>
      <x:c r="H86" s="28" t="n">
        <x:f>D86+E86+F86</x:f>
        <x:v>0</x:v>
      </x:c>
      <x:c r="I86" s="36" t="str">
        <x:f>IF(H86=0,"",(D86+0.5*E86)/H86)</x:f>
      </x:c>
      <x:c r="J86" s="36" t="str">
        <x:f>IF(H86=0,"",(D86+0.5*E86+1)/(H86+2))</x:f>
      </x:c>
      <x:c r="K86" s="38" t="str">
        <x:f>IF((H86+G86)=0,"",SUMIFS('03_核验日志'!$K$211:$K$610,'03_核验日志'!$D$211:$D$610,$A86,'03_核验日志'!$J$211:$J$610,"&lt;&gt;不可评估")/(H86+G86))</x:f>
      </x:c>
      <x:c r="L86" s="28" t="n">
        <x:f>COUNTIFS('03_核验日志'!$D$211:$D$610,$A86,'03_核验日志'!$L$211:$L$610,"是")</x:f>
        <x:v>0</x:v>
      </x:c>
      <x:c r="M86" s="28" t="n">
        <x:f>COUNTIFS('03_核验日志'!$D$211:$D$610,$A86,'03_核验日志'!$M$211:$M$610,"是")</x:f>
        <x:v>0</x:v>
      </x:c>
      <x:c r="N86" s="28" t="str">
        <x:f>IF(A86="","",IF(H86&lt;5,"样本不足",IF(AND(H86&gt;=20,J86&gt;=0.75,F86&lt;=2),"升级验证候选",IF(AND(H86&gt;=10,J86&lt;0.45,F86&gt;=3),"降权/停用候选",IF(AND(H86&gt;=8,F86&gt;=3),"优先修订","保留观察")))))</x:f>
      </x:c>
      <x:c r="O86" s="28" t="str">
        <x:f>IF(N86="升级验证候选","已验证候选",IF(N86="优先修订","需修改",IF(N86="降权/停用候选","停用候选","待验证")))</x:f>
        <x:v>待验证</x:v>
      </x:c>
      <x:c r="P86" s="28"/>
      <x:c r="Q86" s="28"/>
    </x:row>
    <x:row r="87">
      <x:c r="A87" s="28"/>
      <x:c r="B87" s="28"/>
      <x:c r="C87" s="28"/>
      <x:c r="D87" s="28" t="n">
        <x:f>COUNTIFS('03_核验日志'!$D$211:$D$610,$A87,'03_核验日志'!$J$211:$J$610,"支持")</x:f>
        <x:v>0</x:v>
      </x:c>
      <x:c r="E87" s="28" t="n">
        <x:f>COUNTIFS('03_核验日志'!$D$211:$D$610,$A87,'03_核验日志'!$J$211:$J$610,"部分支持")</x:f>
        <x:v>0</x:v>
      </x:c>
      <x:c r="F87" s="28" t="n">
        <x:f>COUNTIFS('03_核验日志'!$D$211:$D$610,$A87,'03_核验日志'!$J$211:$J$610,"反例")</x:f>
        <x:v>0</x:v>
      </x:c>
      <x:c r="G87" s="28" t="n">
        <x:f>COUNTIFS('03_核验日志'!$D$211:$D$610,$A87,'03_核验日志'!$J$211:$J$610,"不确定")</x:f>
        <x:v>0</x:v>
      </x:c>
      <x:c r="H87" s="28" t="n">
        <x:f>D87+E87+F87</x:f>
        <x:v>0</x:v>
      </x:c>
      <x:c r="I87" s="36" t="str">
        <x:f>IF(H87=0,"",(D87+0.5*E87)/H87)</x:f>
      </x:c>
      <x:c r="J87" s="36" t="str">
        <x:f>IF(H87=0,"",(D87+0.5*E87+1)/(H87+2))</x:f>
      </x:c>
      <x:c r="K87" s="38" t="str">
        <x:f>IF((H87+G87)=0,"",SUMIFS('03_核验日志'!$K$211:$K$610,'03_核验日志'!$D$211:$D$610,$A87,'03_核验日志'!$J$211:$J$610,"&lt;&gt;不可评估")/(H87+G87))</x:f>
      </x:c>
      <x:c r="L87" s="28" t="n">
        <x:f>COUNTIFS('03_核验日志'!$D$211:$D$610,$A87,'03_核验日志'!$L$211:$L$610,"是")</x:f>
        <x:v>0</x:v>
      </x:c>
      <x:c r="M87" s="28" t="n">
        <x:f>COUNTIFS('03_核验日志'!$D$211:$D$610,$A87,'03_核验日志'!$M$211:$M$610,"是")</x:f>
        <x:v>0</x:v>
      </x:c>
      <x:c r="N87" s="28" t="str">
        <x:f>IF(A87="","",IF(H87&lt;5,"样本不足",IF(AND(H87&gt;=20,J87&gt;=0.75,F87&lt;=2),"升级验证候选",IF(AND(H87&gt;=10,J87&lt;0.45,F87&gt;=3),"降权/停用候选",IF(AND(H87&gt;=8,F87&gt;=3),"优先修订","保留观察")))))</x:f>
      </x:c>
      <x:c r="O87" s="28" t="str">
        <x:f>IF(N87="升级验证候选","已验证候选",IF(N87="优先修订","需修改",IF(N87="降权/停用候选","停用候选","待验证")))</x:f>
        <x:v>待验证</x:v>
      </x:c>
      <x:c r="P87" s="28"/>
      <x:c r="Q87" s="28"/>
    </x:row>
    <x:row r="88">
      <x:c r="A88" s="28"/>
      <x:c r="B88" s="28"/>
      <x:c r="C88" s="28"/>
      <x:c r="D88" s="28" t="n">
        <x:f>COUNTIFS('03_核验日志'!$D$211:$D$610,$A88,'03_核验日志'!$J$211:$J$610,"支持")</x:f>
        <x:v>0</x:v>
      </x:c>
      <x:c r="E88" s="28" t="n">
        <x:f>COUNTIFS('03_核验日志'!$D$211:$D$610,$A88,'03_核验日志'!$J$211:$J$610,"部分支持")</x:f>
        <x:v>0</x:v>
      </x:c>
      <x:c r="F88" s="28" t="n">
        <x:f>COUNTIFS('03_核验日志'!$D$211:$D$610,$A88,'03_核验日志'!$J$211:$J$610,"反例")</x:f>
        <x:v>0</x:v>
      </x:c>
      <x:c r="G88" s="28" t="n">
        <x:f>COUNTIFS('03_核验日志'!$D$211:$D$610,$A88,'03_核验日志'!$J$211:$J$610,"不确定")</x:f>
        <x:v>0</x:v>
      </x:c>
      <x:c r="H88" s="28" t="n">
        <x:f>D88+E88+F88</x:f>
        <x:v>0</x:v>
      </x:c>
      <x:c r="I88" s="36" t="str">
        <x:f>IF(H88=0,"",(D88+0.5*E88)/H88)</x:f>
      </x:c>
      <x:c r="J88" s="36" t="str">
        <x:f>IF(H88=0,"",(D88+0.5*E88+1)/(H88+2))</x:f>
      </x:c>
      <x:c r="K88" s="38" t="str">
        <x:f>IF((H88+G88)=0,"",SUMIFS('03_核验日志'!$K$211:$K$610,'03_核验日志'!$D$211:$D$610,$A88,'03_核验日志'!$J$211:$J$610,"&lt;&gt;不可评估")/(H88+G88))</x:f>
      </x:c>
      <x:c r="L88" s="28" t="n">
        <x:f>COUNTIFS('03_核验日志'!$D$211:$D$610,$A88,'03_核验日志'!$L$211:$L$610,"是")</x:f>
        <x:v>0</x:v>
      </x:c>
      <x:c r="M88" s="28" t="n">
        <x:f>COUNTIFS('03_核验日志'!$D$211:$D$610,$A88,'03_核验日志'!$M$211:$M$610,"是")</x:f>
        <x:v>0</x:v>
      </x:c>
      <x:c r="N88" s="28" t="str">
        <x:f>IF(A88="","",IF(H88&lt;5,"样本不足",IF(AND(H88&gt;=20,J88&gt;=0.75,F88&lt;=2),"升级验证候选",IF(AND(H88&gt;=10,J88&lt;0.45,F88&gt;=3),"降权/停用候选",IF(AND(H88&gt;=8,F88&gt;=3),"优先修订","保留观察")))))</x:f>
      </x:c>
      <x:c r="O88" s="28" t="str">
        <x:f>IF(N88="升级验证候选","已验证候选",IF(N88="优先修订","需修改",IF(N88="降权/停用候选","停用候选","待验证")))</x:f>
        <x:v>待验证</x:v>
      </x:c>
      <x:c r="P88" s="28"/>
      <x:c r="Q88" s="28"/>
    </x:row>
    <x:row r="89">
      <x:c r="A89" s="28"/>
      <x:c r="B89" s="28"/>
      <x:c r="C89" s="28"/>
      <x:c r="D89" s="28" t="n">
        <x:f>COUNTIFS('03_核验日志'!$D$211:$D$610,$A89,'03_核验日志'!$J$211:$J$610,"支持")</x:f>
        <x:v>0</x:v>
      </x:c>
      <x:c r="E89" s="28" t="n">
        <x:f>COUNTIFS('03_核验日志'!$D$211:$D$610,$A89,'03_核验日志'!$J$211:$J$610,"部分支持")</x:f>
        <x:v>0</x:v>
      </x:c>
      <x:c r="F89" s="28" t="n">
        <x:f>COUNTIFS('03_核验日志'!$D$211:$D$610,$A89,'03_核验日志'!$J$211:$J$610,"反例")</x:f>
        <x:v>0</x:v>
      </x:c>
      <x:c r="G89" s="28" t="n">
        <x:f>COUNTIFS('03_核验日志'!$D$211:$D$610,$A89,'03_核验日志'!$J$211:$J$610,"不确定")</x:f>
        <x:v>0</x:v>
      </x:c>
      <x:c r="H89" s="28" t="n">
        <x:f>D89+E89+F89</x:f>
        <x:v>0</x:v>
      </x:c>
      <x:c r="I89" s="36" t="str">
        <x:f>IF(H89=0,"",(D89+0.5*E89)/H89)</x:f>
      </x:c>
      <x:c r="J89" s="36" t="str">
        <x:f>IF(H89=0,"",(D89+0.5*E89+1)/(H89+2))</x:f>
      </x:c>
      <x:c r="K89" s="38" t="str">
        <x:f>IF((H89+G89)=0,"",SUMIFS('03_核验日志'!$K$211:$K$610,'03_核验日志'!$D$211:$D$610,$A89,'03_核验日志'!$J$211:$J$610,"&lt;&gt;不可评估")/(H89+G89))</x:f>
      </x:c>
      <x:c r="L89" s="28" t="n">
        <x:f>COUNTIFS('03_核验日志'!$D$211:$D$610,$A89,'03_核验日志'!$L$211:$L$610,"是")</x:f>
        <x:v>0</x:v>
      </x:c>
      <x:c r="M89" s="28" t="n">
        <x:f>COUNTIFS('03_核验日志'!$D$211:$D$610,$A89,'03_核验日志'!$M$211:$M$610,"是")</x:f>
        <x:v>0</x:v>
      </x:c>
      <x:c r="N89" s="28" t="str">
        <x:f>IF(A89="","",IF(H89&lt;5,"样本不足",IF(AND(H89&gt;=20,J89&gt;=0.75,F89&lt;=2),"升级验证候选",IF(AND(H89&gt;=10,J89&lt;0.45,F89&gt;=3),"降权/停用候选",IF(AND(H89&gt;=8,F89&gt;=3),"优先修订","保留观察")))))</x:f>
      </x:c>
      <x:c r="O89" s="28" t="str">
        <x:f>IF(N89="升级验证候选","已验证候选",IF(N89="优先修订","需修改",IF(N89="降权/停用候选","停用候选","待验证")))</x:f>
        <x:v>待验证</x:v>
      </x:c>
      <x:c r="P89" s="28"/>
      <x:c r="Q89" s="28"/>
    </x:row>
    <x:row r="90">
      <x:c r="A90" s="28"/>
      <x:c r="B90" s="28"/>
      <x:c r="C90" s="28"/>
      <x:c r="D90" s="28" t="n">
        <x:f>COUNTIFS('03_核验日志'!$D$211:$D$610,$A90,'03_核验日志'!$J$211:$J$610,"支持")</x:f>
        <x:v>0</x:v>
      </x:c>
      <x:c r="E90" s="28" t="n">
        <x:f>COUNTIFS('03_核验日志'!$D$211:$D$610,$A90,'03_核验日志'!$J$211:$J$610,"部分支持")</x:f>
        <x:v>0</x:v>
      </x:c>
      <x:c r="F90" s="28" t="n">
        <x:f>COUNTIFS('03_核验日志'!$D$211:$D$610,$A90,'03_核验日志'!$J$211:$J$610,"反例")</x:f>
        <x:v>0</x:v>
      </x:c>
      <x:c r="G90" s="28" t="n">
        <x:f>COUNTIFS('03_核验日志'!$D$211:$D$610,$A90,'03_核验日志'!$J$211:$J$610,"不确定")</x:f>
        <x:v>0</x:v>
      </x:c>
      <x:c r="H90" s="28" t="n">
        <x:f>D90+E90+F90</x:f>
        <x:v>0</x:v>
      </x:c>
      <x:c r="I90" s="36" t="str">
        <x:f>IF(H90=0,"",(D90+0.5*E90)/H90)</x:f>
      </x:c>
      <x:c r="J90" s="36" t="str">
        <x:f>IF(H90=0,"",(D90+0.5*E90+1)/(H90+2))</x:f>
      </x:c>
      <x:c r="K90" s="38" t="str">
        <x:f>IF((H90+G90)=0,"",SUMIFS('03_核验日志'!$K$211:$K$610,'03_核验日志'!$D$211:$D$610,$A90,'03_核验日志'!$J$211:$J$610,"&lt;&gt;不可评估")/(H90+G90))</x:f>
      </x:c>
      <x:c r="L90" s="28" t="n">
        <x:f>COUNTIFS('03_核验日志'!$D$211:$D$610,$A90,'03_核验日志'!$L$211:$L$610,"是")</x:f>
        <x:v>0</x:v>
      </x:c>
      <x:c r="M90" s="28" t="n">
        <x:f>COUNTIFS('03_核验日志'!$D$211:$D$610,$A90,'03_核验日志'!$M$211:$M$610,"是")</x:f>
        <x:v>0</x:v>
      </x:c>
      <x:c r="N90" s="28" t="str">
        <x:f>IF(A90="","",IF(H90&lt;5,"样本不足",IF(AND(H90&gt;=20,J90&gt;=0.75,F90&lt;=2),"升级验证候选",IF(AND(H90&gt;=10,J90&lt;0.45,F90&gt;=3),"降权/停用候选",IF(AND(H90&gt;=8,F90&gt;=3),"优先修订","保留观察")))))</x:f>
      </x:c>
      <x:c r="O90" s="28" t="str">
        <x:f>IF(N90="升级验证候选","已验证候选",IF(N90="优先修订","需修改",IF(N90="降权/停用候选","停用候选","待验证")))</x:f>
        <x:v>待验证</x:v>
      </x:c>
      <x:c r="P90" s="28"/>
      <x:c r="Q90" s="28"/>
    </x:row>
    <x:row r="91">
      <x:c r="A91" s="28"/>
      <x:c r="B91" s="28"/>
      <x:c r="C91" s="28"/>
      <x:c r="D91" s="28" t="n">
        <x:f>COUNTIFS('03_核验日志'!$D$211:$D$610,$A91,'03_核验日志'!$J$211:$J$610,"支持")</x:f>
        <x:v>0</x:v>
      </x:c>
      <x:c r="E91" s="28" t="n">
        <x:f>COUNTIFS('03_核验日志'!$D$211:$D$610,$A91,'03_核验日志'!$J$211:$J$610,"部分支持")</x:f>
        <x:v>0</x:v>
      </x:c>
      <x:c r="F91" s="28" t="n">
        <x:f>COUNTIFS('03_核验日志'!$D$211:$D$610,$A91,'03_核验日志'!$J$211:$J$610,"反例")</x:f>
        <x:v>0</x:v>
      </x:c>
      <x:c r="G91" s="28" t="n">
        <x:f>COUNTIFS('03_核验日志'!$D$211:$D$610,$A91,'03_核验日志'!$J$211:$J$610,"不确定")</x:f>
        <x:v>0</x:v>
      </x:c>
      <x:c r="H91" s="28" t="n">
        <x:f>D91+E91+F91</x:f>
        <x:v>0</x:v>
      </x:c>
      <x:c r="I91" s="36" t="str">
        <x:f>IF(H91=0,"",(D91+0.5*E91)/H91)</x:f>
      </x:c>
      <x:c r="J91" s="36" t="str">
        <x:f>IF(H91=0,"",(D91+0.5*E91+1)/(H91+2))</x:f>
      </x:c>
      <x:c r="K91" s="38" t="str">
        <x:f>IF((H91+G91)=0,"",SUMIFS('03_核验日志'!$K$211:$K$610,'03_核验日志'!$D$211:$D$610,$A91,'03_核验日志'!$J$211:$J$610,"&lt;&gt;不可评估")/(H91+G91))</x:f>
      </x:c>
      <x:c r="L91" s="28" t="n">
        <x:f>COUNTIFS('03_核验日志'!$D$211:$D$610,$A91,'03_核验日志'!$L$211:$L$610,"是")</x:f>
        <x:v>0</x:v>
      </x:c>
      <x:c r="M91" s="28" t="n">
        <x:f>COUNTIFS('03_核验日志'!$D$211:$D$610,$A91,'03_核验日志'!$M$211:$M$610,"是")</x:f>
        <x:v>0</x:v>
      </x:c>
      <x:c r="N91" s="28" t="str">
        <x:f>IF(A91="","",IF(H91&lt;5,"样本不足",IF(AND(H91&gt;=20,J91&gt;=0.75,F91&lt;=2),"升级验证候选",IF(AND(H91&gt;=10,J91&lt;0.45,F91&gt;=3),"降权/停用候选",IF(AND(H91&gt;=8,F91&gt;=3),"优先修订","保留观察")))))</x:f>
      </x:c>
      <x:c r="O91" s="28" t="str">
        <x:f>IF(N91="升级验证候选","已验证候选",IF(N91="优先修订","需修改",IF(N91="降权/停用候选","停用候选","待验证")))</x:f>
        <x:v>待验证</x:v>
      </x:c>
      <x:c r="P91" s="28"/>
      <x:c r="Q91" s="28"/>
    </x:row>
    <x:row r="92">
      <x:c r="A92" s="28"/>
      <x:c r="B92" s="28"/>
      <x:c r="C92" s="28"/>
      <x:c r="D92" s="28" t="n">
        <x:f>COUNTIFS('03_核验日志'!$D$211:$D$610,$A92,'03_核验日志'!$J$211:$J$610,"支持")</x:f>
        <x:v>0</x:v>
      </x:c>
      <x:c r="E92" s="28" t="n">
        <x:f>COUNTIFS('03_核验日志'!$D$211:$D$610,$A92,'03_核验日志'!$J$211:$J$610,"部分支持")</x:f>
        <x:v>0</x:v>
      </x:c>
      <x:c r="F92" s="28" t="n">
        <x:f>COUNTIFS('03_核验日志'!$D$211:$D$610,$A92,'03_核验日志'!$J$211:$J$610,"反例")</x:f>
        <x:v>0</x:v>
      </x:c>
      <x:c r="G92" s="28" t="n">
        <x:f>COUNTIFS('03_核验日志'!$D$211:$D$610,$A92,'03_核验日志'!$J$211:$J$610,"不确定")</x:f>
        <x:v>0</x:v>
      </x:c>
      <x:c r="H92" s="28" t="n">
        <x:f>D92+E92+F92</x:f>
        <x:v>0</x:v>
      </x:c>
      <x:c r="I92" s="36" t="str">
        <x:f>IF(H92=0,"",(D92+0.5*E92)/H92)</x:f>
      </x:c>
      <x:c r="J92" s="36" t="str">
        <x:f>IF(H92=0,"",(D92+0.5*E92+1)/(H92+2))</x:f>
      </x:c>
      <x:c r="K92" s="38" t="str">
        <x:f>IF((H92+G92)=0,"",SUMIFS('03_核验日志'!$K$211:$K$610,'03_核验日志'!$D$211:$D$610,$A92,'03_核验日志'!$J$211:$J$610,"&lt;&gt;不可评估")/(H92+G92))</x:f>
      </x:c>
      <x:c r="L92" s="28" t="n">
        <x:f>COUNTIFS('03_核验日志'!$D$211:$D$610,$A92,'03_核验日志'!$L$211:$L$610,"是")</x:f>
        <x:v>0</x:v>
      </x:c>
      <x:c r="M92" s="28" t="n">
        <x:f>COUNTIFS('03_核验日志'!$D$211:$D$610,$A92,'03_核验日志'!$M$211:$M$610,"是")</x:f>
        <x:v>0</x:v>
      </x:c>
      <x:c r="N92" s="28" t="str">
        <x:f>IF(A92="","",IF(H92&lt;5,"样本不足",IF(AND(H92&gt;=20,J92&gt;=0.75,F92&lt;=2),"升级验证候选",IF(AND(H92&gt;=10,J92&lt;0.45,F92&gt;=3),"降权/停用候选",IF(AND(H92&gt;=8,F92&gt;=3),"优先修订","保留观察")))))</x:f>
      </x:c>
      <x:c r="O92" s="28" t="str">
        <x:f>IF(N92="升级验证候选","已验证候选",IF(N92="优先修订","需修改",IF(N92="降权/停用候选","停用候选","待验证")))</x:f>
        <x:v>待验证</x:v>
      </x:c>
      <x:c r="P92" s="28"/>
      <x:c r="Q92" s="28"/>
    </x:row>
    <x:row r="93">
      <x:c r="A93" s="28"/>
      <x:c r="B93" s="28"/>
      <x:c r="C93" s="28"/>
      <x:c r="D93" s="28" t="n">
        <x:f>COUNTIFS('03_核验日志'!$D$211:$D$610,$A93,'03_核验日志'!$J$211:$J$610,"支持")</x:f>
        <x:v>0</x:v>
      </x:c>
      <x:c r="E93" s="28" t="n">
        <x:f>COUNTIFS('03_核验日志'!$D$211:$D$610,$A93,'03_核验日志'!$J$211:$J$610,"部分支持")</x:f>
        <x:v>0</x:v>
      </x:c>
      <x:c r="F93" s="28" t="n">
        <x:f>COUNTIFS('03_核验日志'!$D$211:$D$610,$A93,'03_核验日志'!$J$211:$J$610,"反例")</x:f>
        <x:v>0</x:v>
      </x:c>
      <x:c r="G93" s="28" t="n">
        <x:f>COUNTIFS('03_核验日志'!$D$211:$D$610,$A93,'03_核验日志'!$J$211:$J$610,"不确定")</x:f>
        <x:v>0</x:v>
      </x:c>
      <x:c r="H93" s="28" t="n">
        <x:f>D93+E93+F93</x:f>
        <x:v>0</x:v>
      </x:c>
      <x:c r="I93" s="36" t="str">
        <x:f>IF(H93=0,"",(D93+0.5*E93)/H93)</x:f>
      </x:c>
      <x:c r="J93" s="36" t="str">
        <x:f>IF(H93=0,"",(D93+0.5*E93+1)/(H93+2))</x:f>
      </x:c>
      <x:c r="K93" s="38" t="str">
        <x:f>IF((H93+G93)=0,"",SUMIFS('03_核验日志'!$K$211:$K$610,'03_核验日志'!$D$211:$D$610,$A93,'03_核验日志'!$J$211:$J$610,"&lt;&gt;不可评估")/(H93+G93))</x:f>
      </x:c>
      <x:c r="L93" s="28" t="n">
        <x:f>COUNTIFS('03_核验日志'!$D$211:$D$610,$A93,'03_核验日志'!$L$211:$L$610,"是")</x:f>
        <x:v>0</x:v>
      </x:c>
      <x:c r="M93" s="28" t="n">
        <x:f>COUNTIFS('03_核验日志'!$D$211:$D$610,$A93,'03_核验日志'!$M$211:$M$610,"是")</x:f>
        <x:v>0</x:v>
      </x:c>
      <x:c r="N93" s="28" t="str">
        <x:f>IF(A93="","",IF(H93&lt;5,"样本不足",IF(AND(H93&gt;=20,J93&gt;=0.75,F93&lt;=2),"升级验证候选",IF(AND(H93&gt;=10,J93&lt;0.45,F93&gt;=3),"降权/停用候选",IF(AND(H93&gt;=8,F93&gt;=3),"优先修订","保留观察")))))</x:f>
      </x:c>
      <x:c r="O93" s="28" t="str">
        <x:f>IF(N93="升级验证候选","已验证候选",IF(N93="优先修订","需修改",IF(N93="降权/停用候选","停用候选","待验证")))</x:f>
        <x:v>待验证</x:v>
      </x:c>
      <x:c r="P93" s="28"/>
      <x:c r="Q93" s="28"/>
    </x:row>
    <x:row r="94">
      <x:c r="A94" s="28"/>
      <x:c r="B94" s="28"/>
      <x:c r="C94" s="28"/>
      <x:c r="D94" s="28" t="n">
        <x:f>COUNTIFS('03_核验日志'!$D$211:$D$610,$A94,'03_核验日志'!$J$211:$J$610,"支持")</x:f>
        <x:v>0</x:v>
      </x:c>
      <x:c r="E94" s="28" t="n">
        <x:f>COUNTIFS('03_核验日志'!$D$211:$D$610,$A94,'03_核验日志'!$J$211:$J$610,"部分支持")</x:f>
        <x:v>0</x:v>
      </x:c>
      <x:c r="F94" s="28" t="n">
        <x:f>COUNTIFS('03_核验日志'!$D$211:$D$610,$A94,'03_核验日志'!$J$211:$J$610,"反例")</x:f>
        <x:v>0</x:v>
      </x:c>
      <x:c r="G94" s="28" t="n">
        <x:f>COUNTIFS('03_核验日志'!$D$211:$D$610,$A94,'03_核验日志'!$J$211:$J$610,"不确定")</x:f>
        <x:v>0</x:v>
      </x:c>
      <x:c r="H94" s="28" t="n">
        <x:f>D94+E94+F94</x:f>
        <x:v>0</x:v>
      </x:c>
      <x:c r="I94" s="36" t="str">
        <x:f>IF(H94=0,"",(D94+0.5*E94)/H94)</x:f>
      </x:c>
      <x:c r="J94" s="36" t="str">
        <x:f>IF(H94=0,"",(D94+0.5*E94+1)/(H94+2))</x:f>
      </x:c>
      <x:c r="K94" s="38" t="str">
        <x:f>IF((H94+G94)=0,"",SUMIFS('03_核验日志'!$K$211:$K$610,'03_核验日志'!$D$211:$D$610,$A94,'03_核验日志'!$J$211:$J$610,"&lt;&gt;不可评估")/(H94+G94))</x:f>
      </x:c>
      <x:c r="L94" s="28" t="n">
        <x:f>COUNTIFS('03_核验日志'!$D$211:$D$610,$A94,'03_核验日志'!$L$211:$L$610,"是")</x:f>
        <x:v>0</x:v>
      </x:c>
      <x:c r="M94" s="28" t="n">
        <x:f>COUNTIFS('03_核验日志'!$D$211:$D$610,$A94,'03_核验日志'!$M$211:$M$610,"是")</x:f>
        <x:v>0</x:v>
      </x:c>
      <x:c r="N94" s="28" t="str">
        <x:f>IF(A94="","",IF(H94&lt;5,"样本不足",IF(AND(H94&gt;=20,J94&gt;=0.75,F94&lt;=2),"升级验证候选",IF(AND(H94&gt;=10,J94&lt;0.45,F94&gt;=3),"降权/停用候选",IF(AND(H94&gt;=8,F94&gt;=3),"优先修订","保留观察")))))</x:f>
      </x:c>
      <x:c r="O94" s="28" t="str">
        <x:f>IF(N94="升级验证候选","已验证候选",IF(N94="优先修订","需修改",IF(N94="降权/停用候选","停用候选","待验证")))</x:f>
        <x:v>待验证</x:v>
      </x:c>
      <x:c r="P94" s="28"/>
      <x:c r="Q94" s="28"/>
    </x:row>
    <x:row r="95">
      <x:c r="A95" s="28"/>
      <x:c r="B95" s="28"/>
      <x:c r="C95" s="28"/>
      <x:c r="D95" s="28" t="n">
        <x:f>COUNTIFS('03_核验日志'!$D$211:$D$610,$A95,'03_核验日志'!$J$211:$J$610,"支持")</x:f>
        <x:v>0</x:v>
      </x:c>
      <x:c r="E95" s="28" t="n">
        <x:f>COUNTIFS('03_核验日志'!$D$211:$D$610,$A95,'03_核验日志'!$J$211:$J$610,"部分支持")</x:f>
        <x:v>0</x:v>
      </x:c>
      <x:c r="F95" s="28" t="n">
        <x:f>COUNTIFS('03_核验日志'!$D$211:$D$610,$A95,'03_核验日志'!$J$211:$J$610,"反例")</x:f>
        <x:v>0</x:v>
      </x:c>
      <x:c r="G95" s="28" t="n">
        <x:f>COUNTIFS('03_核验日志'!$D$211:$D$610,$A95,'03_核验日志'!$J$211:$J$610,"不确定")</x:f>
        <x:v>0</x:v>
      </x:c>
      <x:c r="H95" s="28" t="n">
        <x:f>D95+E95+F95</x:f>
        <x:v>0</x:v>
      </x:c>
      <x:c r="I95" s="36" t="str">
        <x:f>IF(H95=0,"",(D95+0.5*E95)/H95)</x:f>
      </x:c>
      <x:c r="J95" s="36" t="str">
        <x:f>IF(H95=0,"",(D95+0.5*E95+1)/(H95+2))</x:f>
      </x:c>
      <x:c r="K95" s="38" t="str">
        <x:f>IF((H95+G95)=0,"",SUMIFS('03_核验日志'!$K$211:$K$610,'03_核验日志'!$D$211:$D$610,$A95,'03_核验日志'!$J$211:$J$610,"&lt;&gt;不可评估")/(H95+G95))</x:f>
      </x:c>
      <x:c r="L95" s="28" t="n">
        <x:f>COUNTIFS('03_核验日志'!$D$211:$D$610,$A95,'03_核验日志'!$L$211:$L$610,"是")</x:f>
        <x:v>0</x:v>
      </x:c>
      <x:c r="M95" s="28" t="n">
        <x:f>COUNTIFS('03_核验日志'!$D$211:$D$610,$A95,'03_核验日志'!$M$211:$M$610,"是")</x:f>
        <x:v>0</x:v>
      </x:c>
      <x:c r="N95" s="28" t="str">
        <x:f>IF(A95="","",IF(H95&lt;5,"样本不足",IF(AND(H95&gt;=20,J95&gt;=0.75,F95&lt;=2),"升级验证候选",IF(AND(H95&gt;=10,J95&lt;0.45,F95&gt;=3),"降权/停用候选",IF(AND(H95&gt;=8,F95&gt;=3),"优先修订","保留观察")))))</x:f>
      </x:c>
      <x:c r="O95" s="28" t="str">
        <x:f>IF(N95="升级验证候选","已验证候选",IF(N95="优先修订","需修改",IF(N95="降权/停用候选","停用候选","待验证")))</x:f>
        <x:v>待验证</x:v>
      </x:c>
      <x:c r="P95" s="28"/>
      <x:c r="Q95" s="28"/>
    </x:row>
    <x:row r="96">
      <x:c r="A96" s="28"/>
      <x:c r="B96" s="28"/>
      <x:c r="C96" s="28"/>
      <x:c r="D96" s="28" t="n">
        <x:f>COUNTIFS('03_核验日志'!$D$211:$D$610,$A96,'03_核验日志'!$J$211:$J$610,"支持")</x:f>
        <x:v>0</x:v>
      </x:c>
      <x:c r="E96" s="28" t="n">
        <x:f>COUNTIFS('03_核验日志'!$D$211:$D$610,$A96,'03_核验日志'!$J$211:$J$610,"部分支持")</x:f>
        <x:v>0</x:v>
      </x:c>
      <x:c r="F96" s="28" t="n">
        <x:f>COUNTIFS('03_核验日志'!$D$211:$D$610,$A96,'03_核验日志'!$J$211:$J$610,"反例")</x:f>
        <x:v>0</x:v>
      </x:c>
      <x:c r="G96" s="28" t="n">
        <x:f>COUNTIFS('03_核验日志'!$D$211:$D$610,$A96,'03_核验日志'!$J$211:$J$610,"不确定")</x:f>
        <x:v>0</x:v>
      </x:c>
      <x:c r="H96" s="28" t="n">
        <x:f>D96+E96+F96</x:f>
        <x:v>0</x:v>
      </x:c>
      <x:c r="I96" s="36" t="str">
        <x:f>IF(H96=0,"",(D96+0.5*E96)/H96)</x:f>
      </x:c>
      <x:c r="J96" s="36" t="str">
        <x:f>IF(H96=0,"",(D96+0.5*E96+1)/(H96+2))</x:f>
      </x:c>
      <x:c r="K96" s="38" t="str">
        <x:f>IF((H96+G96)=0,"",SUMIFS('03_核验日志'!$K$211:$K$610,'03_核验日志'!$D$211:$D$610,$A96,'03_核验日志'!$J$211:$J$610,"&lt;&gt;不可评估")/(H96+G96))</x:f>
      </x:c>
      <x:c r="L96" s="28" t="n">
        <x:f>COUNTIFS('03_核验日志'!$D$211:$D$610,$A96,'03_核验日志'!$L$211:$L$610,"是")</x:f>
        <x:v>0</x:v>
      </x:c>
      <x:c r="M96" s="28" t="n">
        <x:f>COUNTIFS('03_核验日志'!$D$211:$D$610,$A96,'03_核验日志'!$M$211:$M$610,"是")</x:f>
        <x:v>0</x:v>
      </x:c>
      <x:c r="N96" s="28" t="str">
        <x:f>IF(A96="","",IF(H96&lt;5,"样本不足",IF(AND(H96&gt;=20,J96&gt;=0.75,F96&lt;=2),"升级验证候选",IF(AND(H96&gt;=10,J96&lt;0.45,F96&gt;=3),"降权/停用候选",IF(AND(H96&gt;=8,F96&gt;=3),"优先修订","保留观察")))))</x:f>
      </x:c>
      <x:c r="O96" s="28" t="str">
        <x:f>IF(N96="升级验证候选","已验证候选",IF(N96="优先修订","需修改",IF(N96="降权/停用候选","停用候选","待验证")))</x:f>
        <x:v>待验证</x:v>
      </x:c>
      <x:c r="P96" s="28"/>
      <x:c r="Q96" s="28"/>
    </x:row>
    <x:row r="97">
      <x:c r="A97" s="28"/>
      <x:c r="B97" s="28"/>
      <x:c r="C97" s="28"/>
      <x:c r="D97" s="28" t="n">
        <x:f>COUNTIFS('03_核验日志'!$D$211:$D$610,$A97,'03_核验日志'!$J$211:$J$610,"支持")</x:f>
        <x:v>0</x:v>
      </x:c>
      <x:c r="E97" s="28" t="n">
        <x:f>COUNTIFS('03_核验日志'!$D$211:$D$610,$A97,'03_核验日志'!$J$211:$J$610,"部分支持")</x:f>
        <x:v>0</x:v>
      </x:c>
      <x:c r="F97" s="28" t="n">
        <x:f>COUNTIFS('03_核验日志'!$D$211:$D$610,$A97,'03_核验日志'!$J$211:$J$610,"反例")</x:f>
        <x:v>0</x:v>
      </x:c>
      <x:c r="G97" s="28" t="n">
        <x:f>COUNTIFS('03_核验日志'!$D$211:$D$610,$A97,'03_核验日志'!$J$211:$J$610,"不确定")</x:f>
        <x:v>0</x:v>
      </x:c>
      <x:c r="H97" s="28" t="n">
        <x:f>D97+E97+F97</x:f>
        <x:v>0</x:v>
      </x:c>
      <x:c r="I97" s="36" t="str">
        <x:f>IF(H97=0,"",(D97+0.5*E97)/H97)</x:f>
      </x:c>
      <x:c r="J97" s="36" t="str">
        <x:f>IF(H97=0,"",(D97+0.5*E97+1)/(H97+2))</x:f>
      </x:c>
      <x:c r="K97" s="38" t="str">
        <x:f>IF((H97+G97)=0,"",SUMIFS('03_核验日志'!$K$211:$K$610,'03_核验日志'!$D$211:$D$610,$A97,'03_核验日志'!$J$211:$J$610,"&lt;&gt;不可评估")/(H97+G97))</x:f>
      </x:c>
      <x:c r="L97" s="28" t="n">
        <x:f>COUNTIFS('03_核验日志'!$D$211:$D$610,$A97,'03_核验日志'!$L$211:$L$610,"是")</x:f>
        <x:v>0</x:v>
      </x:c>
      <x:c r="M97" s="28" t="n">
        <x:f>COUNTIFS('03_核验日志'!$D$211:$D$610,$A97,'03_核验日志'!$M$211:$M$610,"是")</x:f>
        <x:v>0</x:v>
      </x:c>
      <x:c r="N97" s="28" t="str">
        <x:f>IF(A97="","",IF(H97&lt;5,"样本不足",IF(AND(H97&gt;=20,J97&gt;=0.75,F97&lt;=2),"升级验证候选",IF(AND(H97&gt;=10,J97&lt;0.45,F97&gt;=3),"降权/停用候选",IF(AND(H97&gt;=8,F97&gt;=3),"优先修订","保留观察")))))</x:f>
      </x:c>
      <x:c r="O97" s="28" t="str">
        <x:f>IF(N97="升级验证候选","已验证候选",IF(N97="优先修订","需修改",IF(N97="降权/停用候选","停用候选","待验证")))</x:f>
        <x:v>待验证</x:v>
      </x:c>
      <x:c r="P97" s="28"/>
      <x:c r="Q97" s="28"/>
    </x:row>
    <x:row r="98">
      <x:c r="A98" s="28"/>
      <x:c r="B98" s="28"/>
      <x:c r="C98" s="28"/>
      <x:c r="D98" s="28" t="n">
        <x:f>COUNTIFS('03_核验日志'!$D$211:$D$610,$A98,'03_核验日志'!$J$211:$J$610,"支持")</x:f>
        <x:v>0</x:v>
      </x:c>
      <x:c r="E98" s="28" t="n">
        <x:f>COUNTIFS('03_核验日志'!$D$211:$D$610,$A98,'03_核验日志'!$J$211:$J$610,"部分支持")</x:f>
        <x:v>0</x:v>
      </x:c>
      <x:c r="F98" s="28" t="n">
        <x:f>COUNTIFS('03_核验日志'!$D$211:$D$610,$A98,'03_核验日志'!$J$211:$J$610,"反例")</x:f>
        <x:v>0</x:v>
      </x:c>
      <x:c r="G98" s="28" t="n">
        <x:f>COUNTIFS('03_核验日志'!$D$211:$D$610,$A98,'03_核验日志'!$J$211:$J$610,"不确定")</x:f>
        <x:v>0</x:v>
      </x:c>
      <x:c r="H98" s="28" t="n">
        <x:f>D98+E98+F98</x:f>
        <x:v>0</x:v>
      </x:c>
      <x:c r="I98" s="36" t="str">
        <x:f>IF(H98=0,"",(D98+0.5*E98)/H98)</x:f>
      </x:c>
      <x:c r="J98" s="36" t="str">
        <x:f>IF(H98=0,"",(D98+0.5*E98+1)/(H98+2))</x:f>
      </x:c>
      <x:c r="K98" s="38" t="str">
        <x:f>IF((H98+G98)=0,"",SUMIFS('03_核验日志'!$K$211:$K$610,'03_核验日志'!$D$211:$D$610,$A98,'03_核验日志'!$J$211:$J$610,"&lt;&gt;不可评估")/(H98+G98))</x:f>
      </x:c>
      <x:c r="L98" s="28" t="n">
        <x:f>COUNTIFS('03_核验日志'!$D$211:$D$610,$A98,'03_核验日志'!$L$211:$L$610,"是")</x:f>
        <x:v>0</x:v>
      </x:c>
      <x:c r="M98" s="28" t="n">
        <x:f>COUNTIFS('03_核验日志'!$D$211:$D$610,$A98,'03_核验日志'!$M$211:$M$610,"是")</x:f>
        <x:v>0</x:v>
      </x:c>
      <x:c r="N98" s="28" t="str">
        <x:f>IF(A98="","",IF(H98&lt;5,"样本不足",IF(AND(H98&gt;=20,J98&gt;=0.75,F98&lt;=2),"升级验证候选",IF(AND(H98&gt;=10,J98&lt;0.45,F98&gt;=3),"降权/停用候选",IF(AND(H98&gt;=8,F98&gt;=3),"优先修订","保留观察")))))</x:f>
      </x:c>
      <x:c r="O98" s="28" t="str">
        <x:f>IF(N98="升级验证候选","已验证候选",IF(N98="优先修订","需修改",IF(N98="降权/停用候选","停用候选","待验证")))</x:f>
        <x:v>待验证</x:v>
      </x:c>
      <x:c r="P98" s="28"/>
      <x:c r="Q98" s="28"/>
    </x:row>
    <x:row r="99">
      <x:c r="A99" s="28"/>
      <x:c r="B99" s="28"/>
      <x:c r="C99" s="28"/>
      <x:c r="D99" s="28" t="n">
        <x:f>COUNTIFS('03_核验日志'!$D$211:$D$610,$A99,'03_核验日志'!$J$211:$J$610,"支持")</x:f>
        <x:v>0</x:v>
      </x:c>
      <x:c r="E99" s="28" t="n">
        <x:f>COUNTIFS('03_核验日志'!$D$211:$D$610,$A99,'03_核验日志'!$J$211:$J$610,"部分支持")</x:f>
        <x:v>0</x:v>
      </x:c>
      <x:c r="F99" s="28" t="n">
        <x:f>COUNTIFS('03_核验日志'!$D$211:$D$610,$A99,'03_核验日志'!$J$211:$J$610,"反例")</x:f>
        <x:v>0</x:v>
      </x:c>
      <x:c r="G99" s="28" t="n">
        <x:f>COUNTIFS('03_核验日志'!$D$211:$D$610,$A99,'03_核验日志'!$J$211:$J$610,"不确定")</x:f>
        <x:v>0</x:v>
      </x:c>
      <x:c r="H99" s="28" t="n">
        <x:f>D99+E99+F99</x:f>
        <x:v>0</x:v>
      </x:c>
      <x:c r="I99" s="36" t="str">
        <x:f>IF(H99=0,"",(D99+0.5*E99)/H99)</x:f>
      </x:c>
      <x:c r="J99" s="36" t="str">
        <x:f>IF(H99=0,"",(D99+0.5*E99+1)/(H99+2))</x:f>
      </x:c>
      <x:c r="K99" s="38" t="str">
        <x:f>IF((H99+G99)=0,"",SUMIFS('03_核验日志'!$K$211:$K$610,'03_核验日志'!$D$211:$D$610,$A99,'03_核验日志'!$J$211:$J$610,"&lt;&gt;不可评估")/(H99+G99))</x:f>
      </x:c>
      <x:c r="L99" s="28" t="n">
        <x:f>COUNTIFS('03_核验日志'!$D$211:$D$610,$A99,'03_核验日志'!$L$211:$L$610,"是")</x:f>
        <x:v>0</x:v>
      </x:c>
      <x:c r="M99" s="28" t="n">
        <x:f>COUNTIFS('03_核验日志'!$D$211:$D$610,$A99,'03_核验日志'!$M$211:$M$610,"是")</x:f>
        <x:v>0</x:v>
      </x:c>
      <x:c r="N99" s="28" t="str">
        <x:f>IF(A99="","",IF(H99&lt;5,"样本不足",IF(AND(H99&gt;=20,J99&gt;=0.75,F99&lt;=2),"升级验证候选",IF(AND(H99&gt;=10,J99&lt;0.45,F99&gt;=3),"降权/停用候选",IF(AND(H99&gt;=8,F99&gt;=3),"优先修订","保留观察")))))</x:f>
      </x:c>
      <x:c r="O99" s="28" t="str">
        <x:f>IF(N99="升级验证候选","已验证候选",IF(N99="优先修订","需修改",IF(N99="降权/停用候选","停用候选","待验证")))</x:f>
        <x:v>待验证</x:v>
      </x:c>
      <x:c r="P99" s="28"/>
      <x:c r="Q99" s="28"/>
    </x:row>
    <x:row r="100">
      <x:c r="A100" s="28"/>
      <x:c r="B100" s="28"/>
      <x:c r="C100" s="28"/>
      <x:c r="D100" s="28" t="n">
        <x:f>COUNTIFS('03_核验日志'!$D$211:$D$610,$A100,'03_核验日志'!$J$211:$J$610,"支持")</x:f>
        <x:v>0</x:v>
      </x:c>
      <x:c r="E100" s="28" t="n">
        <x:f>COUNTIFS('03_核验日志'!$D$211:$D$610,$A100,'03_核验日志'!$J$211:$J$610,"部分支持")</x:f>
        <x:v>0</x:v>
      </x:c>
      <x:c r="F100" s="28" t="n">
        <x:f>COUNTIFS('03_核验日志'!$D$211:$D$610,$A100,'03_核验日志'!$J$211:$J$610,"反例")</x:f>
        <x:v>0</x:v>
      </x:c>
      <x:c r="G100" s="28" t="n">
        <x:f>COUNTIFS('03_核验日志'!$D$211:$D$610,$A100,'03_核验日志'!$J$211:$J$610,"不确定")</x:f>
        <x:v>0</x:v>
      </x:c>
      <x:c r="H100" s="28" t="n">
        <x:f>D100+E100+F100</x:f>
        <x:v>0</x:v>
      </x:c>
      <x:c r="I100" s="36" t="str">
        <x:f>IF(H100=0,"",(D100+0.5*E100)/H100)</x:f>
      </x:c>
      <x:c r="J100" s="36" t="str">
        <x:f>IF(H100=0,"",(D100+0.5*E100+1)/(H100+2))</x:f>
      </x:c>
      <x:c r="K100" s="38" t="str">
        <x:f>IF((H100+G100)=0,"",SUMIFS('03_核验日志'!$K$211:$K$610,'03_核验日志'!$D$211:$D$610,$A100,'03_核验日志'!$J$211:$J$610,"&lt;&gt;不可评估")/(H100+G100))</x:f>
      </x:c>
      <x:c r="L100" s="28" t="n">
        <x:f>COUNTIFS('03_核验日志'!$D$211:$D$610,$A100,'03_核验日志'!$L$211:$L$610,"是")</x:f>
        <x:v>0</x:v>
      </x:c>
      <x:c r="M100" s="28" t="n">
        <x:f>COUNTIFS('03_核验日志'!$D$211:$D$610,$A100,'03_核验日志'!$M$211:$M$610,"是")</x:f>
        <x:v>0</x:v>
      </x:c>
      <x:c r="N100" s="28" t="str">
        <x:f>IF(A100="","",IF(H100&lt;5,"样本不足",IF(AND(H100&gt;=20,J100&gt;=0.75,F100&lt;=2),"升级验证候选",IF(AND(H100&gt;=10,J100&lt;0.45,F100&gt;=3),"降权/停用候选",IF(AND(H100&gt;=8,F100&gt;=3),"优先修订","保留观察")))))</x:f>
      </x:c>
      <x:c r="O100" s="28" t="str">
        <x:f>IF(N100="升级验证候选","已验证候选",IF(N100="优先修订","需修改",IF(N100="降权/停用候选","停用候选","待验证")))</x:f>
        <x:v>待验证</x:v>
      </x:c>
      <x:c r="P100" s="28"/>
      <x:c r="Q100" s="28"/>
    </x:row>
    <x:row r="101">
      <x:c r="A101" s="28"/>
      <x:c r="B101" s="28"/>
      <x:c r="C101" s="28"/>
      <x:c r="D101" s="28" t="n">
        <x:f>COUNTIFS('03_核验日志'!$D$211:$D$610,$A101,'03_核验日志'!$J$211:$J$610,"支持")</x:f>
        <x:v>0</x:v>
      </x:c>
      <x:c r="E101" s="28" t="n">
        <x:f>COUNTIFS('03_核验日志'!$D$211:$D$610,$A101,'03_核验日志'!$J$211:$J$610,"部分支持")</x:f>
        <x:v>0</x:v>
      </x:c>
      <x:c r="F101" s="28" t="n">
        <x:f>COUNTIFS('03_核验日志'!$D$211:$D$610,$A101,'03_核验日志'!$J$211:$J$610,"反例")</x:f>
        <x:v>0</x:v>
      </x:c>
      <x:c r="G101" s="28" t="n">
        <x:f>COUNTIFS('03_核验日志'!$D$211:$D$610,$A101,'03_核验日志'!$J$211:$J$610,"不确定")</x:f>
        <x:v>0</x:v>
      </x:c>
      <x:c r="H101" s="28" t="n">
        <x:f>D101+E101+F101</x:f>
        <x:v>0</x:v>
      </x:c>
      <x:c r="I101" s="36" t="str">
        <x:f>IF(H101=0,"",(D101+0.5*E101)/H101)</x:f>
      </x:c>
      <x:c r="J101" s="36" t="str">
        <x:f>IF(H101=0,"",(D101+0.5*E101+1)/(H101+2))</x:f>
      </x:c>
      <x:c r="K101" s="38" t="str">
        <x:f>IF((H101+G101)=0,"",SUMIFS('03_核验日志'!$K$211:$K$610,'03_核验日志'!$D$211:$D$610,$A101,'03_核验日志'!$J$211:$J$610,"&lt;&gt;不可评估")/(H101+G101))</x:f>
      </x:c>
      <x:c r="L101" s="28" t="n">
        <x:f>COUNTIFS('03_核验日志'!$D$211:$D$610,$A101,'03_核验日志'!$L$211:$L$610,"是")</x:f>
        <x:v>0</x:v>
      </x:c>
      <x:c r="M101" s="28" t="n">
        <x:f>COUNTIFS('03_核验日志'!$D$211:$D$610,$A101,'03_核验日志'!$M$211:$M$610,"是")</x:f>
        <x:v>0</x:v>
      </x:c>
      <x:c r="N101" s="28" t="str">
        <x:f>IF(A101="","",IF(H101&lt;5,"样本不足",IF(AND(H101&gt;=20,J101&gt;=0.75,F101&lt;=2),"升级验证候选",IF(AND(H101&gt;=10,J101&lt;0.45,F101&gt;=3),"降权/停用候选",IF(AND(H101&gt;=8,F101&gt;=3),"优先修订","保留观察")))))</x:f>
      </x:c>
      <x:c r="O101" s="28" t="str">
        <x:f>IF(N101="升级验证候选","已验证候选",IF(N101="优先修订","需修改",IF(N101="降权/停用候选","停用候选","待验证")))</x:f>
        <x:v>待验证</x:v>
      </x:c>
      <x:c r="P101" s="28"/>
      <x:c r="Q101" s="28"/>
    </x:row>
    <x:row r="102">
      <x:c r="A102" s="28"/>
      <x:c r="B102" s="28"/>
      <x:c r="C102" s="28"/>
      <x:c r="D102" s="28" t="n">
        <x:f>COUNTIFS('03_核验日志'!$D$211:$D$610,$A102,'03_核验日志'!$J$211:$J$610,"支持")</x:f>
        <x:v>0</x:v>
      </x:c>
      <x:c r="E102" s="28" t="n">
        <x:f>COUNTIFS('03_核验日志'!$D$211:$D$610,$A102,'03_核验日志'!$J$211:$J$610,"部分支持")</x:f>
        <x:v>0</x:v>
      </x:c>
      <x:c r="F102" s="28" t="n">
        <x:f>COUNTIFS('03_核验日志'!$D$211:$D$610,$A102,'03_核验日志'!$J$211:$J$610,"反例")</x:f>
        <x:v>0</x:v>
      </x:c>
      <x:c r="G102" s="28" t="n">
        <x:f>COUNTIFS('03_核验日志'!$D$211:$D$610,$A102,'03_核验日志'!$J$211:$J$610,"不确定")</x:f>
        <x:v>0</x:v>
      </x:c>
      <x:c r="H102" s="28" t="n">
        <x:f>D102+E102+F102</x:f>
        <x:v>0</x:v>
      </x:c>
      <x:c r="I102" s="36" t="str">
        <x:f>IF(H102=0,"",(D102+0.5*E102)/H102)</x:f>
      </x:c>
      <x:c r="J102" s="36" t="str">
        <x:f>IF(H102=0,"",(D102+0.5*E102+1)/(H102+2))</x:f>
      </x:c>
      <x:c r="K102" s="38" t="str">
        <x:f>IF((H102+G102)=0,"",SUMIFS('03_核验日志'!$K$211:$K$610,'03_核验日志'!$D$211:$D$610,$A102,'03_核验日志'!$J$211:$J$610,"&lt;&gt;不可评估")/(H102+G102))</x:f>
      </x:c>
      <x:c r="L102" s="28" t="n">
        <x:f>COUNTIFS('03_核验日志'!$D$211:$D$610,$A102,'03_核验日志'!$L$211:$L$610,"是")</x:f>
        <x:v>0</x:v>
      </x:c>
      <x:c r="M102" s="28" t="n">
        <x:f>COUNTIFS('03_核验日志'!$D$211:$D$610,$A102,'03_核验日志'!$M$211:$M$610,"是")</x:f>
        <x:v>0</x:v>
      </x:c>
      <x:c r="N102" s="28" t="str">
        <x:f>IF(A102="","",IF(H102&lt;5,"样本不足",IF(AND(H102&gt;=20,J102&gt;=0.75,F102&lt;=2),"升级验证候选",IF(AND(H102&gt;=10,J102&lt;0.45,F102&gt;=3),"降权/停用候选",IF(AND(H102&gt;=8,F102&gt;=3),"优先修订","保留观察")))))</x:f>
      </x:c>
      <x:c r="O102" s="28" t="str">
        <x:f>IF(N102="升级验证候选","已验证候选",IF(N102="优先修订","需修改",IF(N102="降权/停用候选","停用候选","待验证")))</x:f>
        <x:v>待验证</x:v>
      </x:c>
      <x:c r="P102" s="28"/>
      <x:c r="Q102" s="28"/>
    </x:row>
    <x:row r="103">
      <x:c r="A103" s="28"/>
      <x:c r="B103" s="28"/>
      <x:c r="C103" s="28"/>
      <x:c r="D103" s="28" t="n">
        <x:f>COUNTIFS('03_核验日志'!$D$211:$D$610,$A103,'03_核验日志'!$J$211:$J$610,"支持")</x:f>
        <x:v>0</x:v>
      </x:c>
      <x:c r="E103" s="28" t="n">
        <x:f>COUNTIFS('03_核验日志'!$D$211:$D$610,$A103,'03_核验日志'!$J$211:$J$610,"部分支持")</x:f>
        <x:v>0</x:v>
      </x:c>
      <x:c r="F103" s="28" t="n">
        <x:f>COUNTIFS('03_核验日志'!$D$211:$D$610,$A103,'03_核验日志'!$J$211:$J$610,"反例")</x:f>
        <x:v>0</x:v>
      </x:c>
      <x:c r="G103" s="28" t="n">
        <x:f>COUNTIFS('03_核验日志'!$D$211:$D$610,$A103,'03_核验日志'!$J$211:$J$610,"不确定")</x:f>
        <x:v>0</x:v>
      </x:c>
      <x:c r="H103" s="28" t="n">
        <x:f>D103+E103+F103</x:f>
        <x:v>0</x:v>
      </x:c>
      <x:c r="I103" s="36" t="str">
        <x:f>IF(H103=0,"",(D103+0.5*E103)/H103)</x:f>
      </x:c>
      <x:c r="J103" s="36" t="str">
        <x:f>IF(H103=0,"",(D103+0.5*E103+1)/(H103+2))</x:f>
      </x:c>
      <x:c r="K103" s="38" t="str">
        <x:f>IF((H103+G103)=0,"",SUMIFS('03_核验日志'!$K$211:$K$610,'03_核验日志'!$D$211:$D$610,$A103,'03_核验日志'!$J$211:$J$610,"&lt;&gt;不可评估")/(H103+G103))</x:f>
      </x:c>
      <x:c r="L103" s="28" t="n">
        <x:f>COUNTIFS('03_核验日志'!$D$211:$D$610,$A103,'03_核验日志'!$L$211:$L$610,"是")</x:f>
        <x:v>0</x:v>
      </x:c>
      <x:c r="M103" s="28" t="n">
        <x:f>COUNTIFS('03_核验日志'!$D$211:$D$610,$A103,'03_核验日志'!$M$211:$M$610,"是")</x:f>
        <x:v>0</x:v>
      </x:c>
      <x:c r="N103" s="28" t="str">
        <x:f>IF(A103="","",IF(H103&lt;5,"样本不足",IF(AND(H103&gt;=20,J103&gt;=0.75,F103&lt;=2),"升级验证候选",IF(AND(H103&gt;=10,J103&lt;0.45,F103&gt;=3),"降权/停用候选",IF(AND(H103&gt;=8,F103&gt;=3),"优先修订","保留观察")))))</x:f>
      </x:c>
      <x:c r="O103" s="28" t="str">
        <x:f>IF(N103="升级验证候选","已验证候选",IF(N103="优先修订","需修改",IF(N103="降权/停用候选","停用候选","待验证")))</x:f>
        <x:v>待验证</x:v>
      </x:c>
      <x:c r="P103" s="28"/>
      <x:c r="Q103" s="28"/>
    </x:row>
    <x:row r="104">
      <x:c r="A104" s="28"/>
      <x:c r="B104" s="28"/>
      <x:c r="C104" s="28"/>
      <x:c r="D104" s="28" t="n">
        <x:f>COUNTIFS('03_核验日志'!$D$211:$D$610,$A104,'03_核验日志'!$J$211:$J$610,"支持")</x:f>
        <x:v>0</x:v>
      </x:c>
      <x:c r="E104" s="28" t="n">
        <x:f>COUNTIFS('03_核验日志'!$D$211:$D$610,$A104,'03_核验日志'!$J$211:$J$610,"部分支持")</x:f>
        <x:v>0</x:v>
      </x:c>
      <x:c r="F104" s="28" t="n">
        <x:f>COUNTIFS('03_核验日志'!$D$211:$D$610,$A104,'03_核验日志'!$J$211:$J$610,"反例")</x:f>
        <x:v>0</x:v>
      </x:c>
      <x:c r="G104" s="28" t="n">
        <x:f>COUNTIFS('03_核验日志'!$D$211:$D$610,$A104,'03_核验日志'!$J$211:$J$610,"不确定")</x:f>
        <x:v>0</x:v>
      </x:c>
      <x:c r="H104" s="28" t="n">
        <x:f>D104+E104+F104</x:f>
        <x:v>0</x:v>
      </x:c>
      <x:c r="I104" s="36" t="str">
        <x:f>IF(H104=0,"",(D104+0.5*E104)/H104)</x:f>
      </x:c>
      <x:c r="J104" s="36" t="str">
        <x:f>IF(H104=0,"",(D104+0.5*E104+1)/(H104+2))</x:f>
      </x:c>
      <x:c r="K104" s="38" t="str">
        <x:f>IF((H104+G104)=0,"",SUMIFS('03_核验日志'!$K$211:$K$610,'03_核验日志'!$D$211:$D$610,$A104,'03_核验日志'!$J$211:$J$610,"&lt;&gt;不可评估")/(H104+G104))</x:f>
      </x:c>
      <x:c r="L104" s="28" t="n">
        <x:f>COUNTIFS('03_核验日志'!$D$211:$D$610,$A104,'03_核验日志'!$L$211:$L$610,"是")</x:f>
        <x:v>0</x:v>
      </x:c>
      <x:c r="M104" s="28" t="n">
        <x:f>COUNTIFS('03_核验日志'!$D$211:$D$610,$A104,'03_核验日志'!$M$211:$M$610,"是")</x:f>
        <x:v>0</x:v>
      </x:c>
      <x:c r="N104" s="28" t="str">
        <x:f>IF(A104="","",IF(H104&lt;5,"样本不足",IF(AND(H104&gt;=20,J104&gt;=0.75,F104&lt;=2),"升级验证候选",IF(AND(H104&gt;=10,J104&lt;0.45,F104&gt;=3),"降权/停用候选",IF(AND(H104&gt;=8,F104&gt;=3),"优先修订","保留观察")))))</x:f>
      </x:c>
      <x:c r="O104" s="28" t="str">
        <x:f>IF(N104="升级验证候选","已验证候选",IF(N104="优先修订","需修改",IF(N104="降权/停用候选","停用候选","待验证")))</x:f>
        <x:v>待验证</x:v>
      </x:c>
      <x:c r="P104" s="28"/>
      <x:c r="Q104" s="28"/>
    </x:row>
    <x:row r="105">
      <x:c r="A105" s="28"/>
      <x:c r="B105" s="28"/>
      <x:c r="C105" s="28"/>
      <x:c r="D105" s="28" t="n">
        <x:f>COUNTIFS('03_核验日志'!$D$211:$D$610,$A105,'03_核验日志'!$J$211:$J$610,"支持")</x:f>
        <x:v>0</x:v>
      </x:c>
      <x:c r="E105" s="28" t="n">
        <x:f>COUNTIFS('03_核验日志'!$D$211:$D$610,$A105,'03_核验日志'!$J$211:$J$610,"部分支持")</x:f>
        <x:v>0</x:v>
      </x:c>
      <x:c r="F105" s="28" t="n">
        <x:f>COUNTIFS('03_核验日志'!$D$211:$D$610,$A105,'03_核验日志'!$J$211:$J$610,"反例")</x:f>
        <x:v>0</x:v>
      </x:c>
      <x:c r="G105" s="28" t="n">
        <x:f>COUNTIFS('03_核验日志'!$D$211:$D$610,$A105,'03_核验日志'!$J$211:$J$610,"不确定")</x:f>
        <x:v>0</x:v>
      </x:c>
      <x:c r="H105" s="28" t="n">
        <x:f>D105+E105+F105</x:f>
        <x:v>0</x:v>
      </x:c>
      <x:c r="I105" s="36" t="str">
        <x:f>IF(H105=0,"",(D105+0.5*E105)/H105)</x:f>
      </x:c>
      <x:c r="J105" s="36" t="str">
        <x:f>IF(H105=0,"",(D105+0.5*E105+1)/(H105+2))</x:f>
      </x:c>
      <x:c r="K105" s="38" t="str">
        <x:f>IF((H105+G105)=0,"",SUMIFS('03_核验日志'!$K$211:$K$610,'03_核验日志'!$D$211:$D$610,$A105,'03_核验日志'!$J$211:$J$610,"&lt;&gt;不可评估")/(H105+G105))</x:f>
      </x:c>
      <x:c r="L105" s="28" t="n">
        <x:f>COUNTIFS('03_核验日志'!$D$211:$D$610,$A105,'03_核验日志'!$L$211:$L$610,"是")</x:f>
        <x:v>0</x:v>
      </x:c>
      <x:c r="M105" s="28" t="n">
        <x:f>COUNTIFS('03_核验日志'!$D$211:$D$610,$A105,'03_核验日志'!$M$211:$M$610,"是")</x:f>
        <x:v>0</x:v>
      </x:c>
      <x:c r="N105" s="28" t="str">
        <x:f>IF(A105="","",IF(H105&lt;5,"样本不足",IF(AND(H105&gt;=20,J105&gt;=0.75,F105&lt;=2),"升级验证候选",IF(AND(H105&gt;=10,J105&lt;0.45,F105&gt;=3),"降权/停用候选",IF(AND(H105&gt;=8,F105&gt;=3),"优先修订","保留观察")))))</x:f>
      </x:c>
      <x:c r="O105" s="28" t="str">
        <x:f>IF(N105="升级验证候选","已验证候选",IF(N105="优先修订","需修改",IF(N105="降权/停用候选","停用候选","待验证")))</x:f>
        <x:v>待验证</x:v>
      </x:c>
      <x:c r="P105" s="28"/>
      <x:c r="Q105" s="28"/>
    </x:row>
    <x:row r="106">
      <x:c r="A106" s="28"/>
      <x:c r="B106" s="28"/>
      <x:c r="C106" s="28"/>
      <x:c r="D106" s="28" t="n">
        <x:f>COUNTIFS('03_核验日志'!$D$211:$D$610,$A106,'03_核验日志'!$J$211:$J$610,"支持")</x:f>
        <x:v>0</x:v>
      </x:c>
      <x:c r="E106" s="28" t="n">
        <x:f>COUNTIFS('03_核验日志'!$D$211:$D$610,$A106,'03_核验日志'!$J$211:$J$610,"部分支持")</x:f>
        <x:v>0</x:v>
      </x:c>
      <x:c r="F106" s="28" t="n">
        <x:f>COUNTIFS('03_核验日志'!$D$211:$D$610,$A106,'03_核验日志'!$J$211:$J$610,"反例")</x:f>
        <x:v>0</x:v>
      </x:c>
      <x:c r="G106" s="28" t="n">
        <x:f>COUNTIFS('03_核验日志'!$D$211:$D$610,$A106,'03_核验日志'!$J$211:$J$610,"不确定")</x:f>
        <x:v>0</x:v>
      </x:c>
      <x:c r="H106" s="28" t="n">
        <x:f>D106+E106+F106</x:f>
        <x:v>0</x:v>
      </x:c>
      <x:c r="I106" s="36" t="str">
        <x:f>IF(H106=0,"",(D106+0.5*E106)/H106)</x:f>
      </x:c>
      <x:c r="J106" s="36" t="str">
        <x:f>IF(H106=0,"",(D106+0.5*E106+1)/(H106+2))</x:f>
      </x:c>
      <x:c r="K106" s="38" t="str">
        <x:f>IF((H106+G106)=0,"",SUMIFS('03_核验日志'!$K$211:$K$610,'03_核验日志'!$D$211:$D$610,$A106,'03_核验日志'!$J$211:$J$610,"&lt;&gt;不可评估")/(H106+G106))</x:f>
      </x:c>
      <x:c r="L106" s="28" t="n">
        <x:f>COUNTIFS('03_核验日志'!$D$211:$D$610,$A106,'03_核验日志'!$L$211:$L$610,"是")</x:f>
        <x:v>0</x:v>
      </x:c>
      <x:c r="M106" s="28" t="n">
        <x:f>COUNTIFS('03_核验日志'!$D$211:$D$610,$A106,'03_核验日志'!$M$211:$M$610,"是")</x:f>
        <x:v>0</x:v>
      </x:c>
      <x:c r="N106" s="28" t="str">
        <x:f>IF(A106="","",IF(H106&lt;5,"样本不足",IF(AND(H106&gt;=20,J106&gt;=0.75,F106&lt;=2),"升级验证候选",IF(AND(H106&gt;=10,J106&lt;0.45,F106&gt;=3),"降权/停用候选",IF(AND(H106&gt;=8,F106&gt;=3),"优先修订","保留观察")))))</x:f>
      </x:c>
      <x:c r="O106" s="28" t="str">
        <x:f>IF(N106="升级验证候选","已验证候选",IF(N106="优先修订","需修改",IF(N106="降权/停用候选","停用候选","待验证")))</x:f>
        <x:v>待验证</x:v>
      </x:c>
      <x:c r="P106" s="28"/>
      <x:c r="Q106" s="28"/>
    </x:row>
    <x:row r="107">
      <x:c r="A107" s="28"/>
      <x:c r="B107" s="28"/>
      <x:c r="C107" s="28"/>
      <x:c r="D107" s="28" t="n">
        <x:f>COUNTIFS('03_核验日志'!$D$211:$D$610,$A107,'03_核验日志'!$J$211:$J$610,"支持")</x:f>
        <x:v>0</x:v>
      </x:c>
      <x:c r="E107" s="28" t="n">
        <x:f>COUNTIFS('03_核验日志'!$D$211:$D$610,$A107,'03_核验日志'!$J$211:$J$610,"部分支持")</x:f>
        <x:v>0</x:v>
      </x:c>
      <x:c r="F107" s="28" t="n">
        <x:f>COUNTIFS('03_核验日志'!$D$211:$D$610,$A107,'03_核验日志'!$J$211:$J$610,"反例")</x:f>
        <x:v>0</x:v>
      </x:c>
      <x:c r="G107" s="28" t="n">
        <x:f>COUNTIFS('03_核验日志'!$D$211:$D$610,$A107,'03_核验日志'!$J$211:$J$610,"不确定")</x:f>
        <x:v>0</x:v>
      </x:c>
      <x:c r="H107" s="28" t="n">
        <x:f>D107+E107+F107</x:f>
        <x:v>0</x:v>
      </x:c>
      <x:c r="I107" s="36" t="str">
        <x:f>IF(H107=0,"",(D107+0.5*E107)/H107)</x:f>
      </x:c>
      <x:c r="J107" s="36" t="str">
        <x:f>IF(H107=0,"",(D107+0.5*E107+1)/(H107+2))</x:f>
      </x:c>
      <x:c r="K107" s="38" t="str">
        <x:f>IF((H107+G107)=0,"",SUMIFS('03_核验日志'!$K$211:$K$610,'03_核验日志'!$D$211:$D$610,$A107,'03_核验日志'!$J$211:$J$610,"&lt;&gt;不可评估")/(H107+G107))</x:f>
      </x:c>
      <x:c r="L107" s="28" t="n">
        <x:f>COUNTIFS('03_核验日志'!$D$211:$D$610,$A107,'03_核验日志'!$L$211:$L$610,"是")</x:f>
        <x:v>0</x:v>
      </x:c>
      <x:c r="M107" s="28" t="n">
        <x:f>COUNTIFS('03_核验日志'!$D$211:$D$610,$A107,'03_核验日志'!$M$211:$M$610,"是")</x:f>
        <x:v>0</x:v>
      </x:c>
      <x:c r="N107" s="28" t="str">
        <x:f>IF(A107="","",IF(H107&lt;5,"样本不足",IF(AND(H107&gt;=20,J107&gt;=0.75,F107&lt;=2),"升级验证候选",IF(AND(H107&gt;=10,J107&lt;0.45,F107&gt;=3),"降权/停用候选",IF(AND(H107&gt;=8,F107&gt;=3),"优先修订","保留观察")))))</x:f>
      </x:c>
      <x:c r="O107" s="28" t="str">
        <x:f>IF(N107="升级验证候选","已验证候选",IF(N107="优先修订","需修改",IF(N107="降权/停用候选","停用候选","待验证")))</x:f>
        <x:v>待验证</x:v>
      </x:c>
      <x:c r="P107" s="28"/>
      <x:c r="Q107" s="28"/>
    </x:row>
    <x:row r="108">
      <x:c r="A108" s="28"/>
      <x:c r="B108" s="28"/>
      <x:c r="C108" s="28"/>
      <x:c r="D108" s="28" t="n">
        <x:f>COUNTIFS('03_核验日志'!$D$211:$D$610,$A108,'03_核验日志'!$J$211:$J$610,"支持")</x:f>
        <x:v>0</x:v>
      </x:c>
      <x:c r="E108" s="28" t="n">
        <x:f>COUNTIFS('03_核验日志'!$D$211:$D$610,$A108,'03_核验日志'!$J$211:$J$610,"部分支持")</x:f>
        <x:v>0</x:v>
      </x:c>
      <x:c r="F108" s="28" t="n">
        <x:f>COUNTIFS('03_核验日志'!$D$211:$D$610,$A108,'03_核验日志'!$J$211:$J$610,"反例")</x:f>
        <x:v>0</x:v>
      </x:c>
      <x:c r="G108" s="28" t="n">
        <x:f>COUNTIFS('03_核验日志'!$D$211:$D$610,$A108,'03_核验日志'!$J$211:$J$610,"不确定")</x:f>
        <x:v>0</x:v>
      </x:c>
      <x:c r="H108" s="28" t="n">
        <x:f>D108+E108+F108</x:f>
        <x:v>0</x:v>
      </x:c>
      <x:c r="I108" s="36" t="str">
        <x:f>IF(H108=0,"",(D108+0.5*E108)/H108)</x:f>
      </x:c>
      <x:c r="J108" s="36" t="str">
        <x:f>IF(H108=0,"",(D108+0.5*E108+1)/(H108+2))</x:f>
      </x:c>
      <x:c r="K108" s="38" t="str">
        <x:f>IF((H108+G108)=0,"",SUMIFS('03_核验日志'!$K$211:$K$610,'03_核验日志'!$D$211:$D$610,$A108,'03_核验日志'!$J$211:$J$610,"&lt;&gt;不可评估")/(H108+G108))</x:f>
      </x:c>
      <x:c r="L108" s="28" t="n">
        <x:f>COUNTIFS('03_核验日志'!$D$211:$D$610,$A108,'03_核验日志'!$L$211:$L$610,"是")</x:f>
        <x:v>0</x:v>
      </x:c>
      <x:c r="M108" s="28" t="n">
        <x:f>COUNTIFS('03_核验日志'!$D$211:$D$610,$A108,'03_核验日志'!$M$211:$M$610,"是")</x:f>
        <x:v>0</x:v>
      </x:c>
      <x:c r="N108" s="28" t="str">
        <x:f>IF(A108="","",IF(H108&lt;5,"样本不足",IF(AND(H108&gt;=20,J108&gt;=0.75,F108&lt;=2),"升级验证候选",IF(AND(H108&gt;=10,J108&lt;0.45,F108&gt;=3),"降权/停用候选",IF(AND(H108&gt;=8,F108&gt;=3),"优先修订","保留观察")))))</x:f>
      </x:c>
      <x:c r="O108" s="28" t="str">
        <x:f>IF(N108="升级验证候选","已验证候选",IF(N108="优先修订","需修改",IF(N108="降权/停用候选","停用候选","待验证")))</x:f>
        <x:v>待验证</x:v>
      </x:c>
      <x:c r="P108" s="28"/>
      <x:c r="Q108" s="28"/>
    </x:row>
    <x:row r="109">
      <x:c r="A109" s="28"/>
      <x:c r="B109" s="28"/>
      <x:c r="C109" s="28"/>
      <x:c r="D109" s="28" t="n">
        <x:f>COUNTIFS('03_核验日志'!$D$211:$D$610,$A109,'03_核验日志'!$J$211:$J$610,"支持")</x:f>
        <x:v>0</x:v>
      </x:c>
      <x:c r="E109" s="28" t="n">
        <x:f>COUNTIFS('03_核验日志'!$D$211:$D$610,$A109,'03_核验日志'!$J$211:$J$610,"部分支持")</x:f>
        <x:v>0</x:v>
      </x:c>
      <x:c r="F109" s="28" t="n">
        <x:f>COUNTIFS('03_核验日志'!$D$211:$D$610,$A109,'03_核验日志'!$J$211:$J$610,"反例")</x:f>
        <x:v>0</x:v>
      </x:c>
      <x:c r="G109" s="28" t="n">
        <x:f>COUNTIFS('03_核验日志'!$D$211:$D$610,$A109,'03_核验日志'!$J$211:$J$610,"不确定")</x:f>
        <x:v>0</x:v>
      </x:c>
      <x:c r="H109" s="28" t="n">
        <x:f>D109+E109+F109</x:f>
        <x:v>0</x:v>
      </x:c>
      <x:c r="I109" s="36" t="str">
        <x:f>IF(H109=0,"",(D109+0.5*E109)/H109)</x:f>
      </x:c>
      <x:c r="J109" s="36" t="str">
        <x:f>IF(H109=0,"",(D109+0.5*E109+1)/(H109+2))</x:f>
      </x:c>
      <x:c r="K109" s="38" t="str">
        <x:f>IF((H109+G109)=0,"",SUMIFS('03_核验日志'!$K$211:$K$610,'03_核验日志'!$D$211:$D$610,$A109,'03_核验日志'!$J$211:$J$610,"&lt;&gt;不可评估")/(H109+G109))</x:f>
      </x:c>
      <x:c r="L109" s="28" t="n">
        <x:f>COUNTIFS('03_核验日志'!$D$211:$D$610,$A109,'03_核验日志'!$L$211:$L$610,"是")</x:f>
        <x:v>0</x:v>
      </x:c>
      <x:c r="M109" s="28" t="n">
        <x:f>COUNTIFS('03_核验日志'!$D$211:$D$610,$A109,'03_核验日志'!$M$211:$M$610,"是")</x:f>
        <x:v>0</x:v>
      </x:c>
      <x:c r="N109" s="28" t="str">
        <x:f>IF(A109="","",IF(H109&lt;5,"样本不足",IF(AND(H109&gt;=20,J109&gt;=0.75,F109&lt;=2),"升级验证候选",IF(AND(H109&gt;=10,J109&lt;0.45,F109&gt;=3),"降权/停用候选",IF(AND(H109&gt;=8,F109&gt;=3),"优先修订","保留观察")))))</x:f>
      </x:c>
      <x:c r="O109" s="28" t="str">
        <x:f>IF(N109="升级验证候选","已验证候选",IF(N109="优先修订","需修改",IF(N109="降权/停用候选","停用候选","待验证")))</x:f>
        <x:v>待验证</x:v>
      </x:c>
      <x:c r="P109" s="28"/>
      <x:c r="Q109" s="28"/>
    </x:row>
    <x:row r="110">
      <x:c r="A110" s="28"/>
      <x:c r="B110" s="28"/>
      <x:c r="C110" s="28"/>
      <x:c r="D110" s="28" t="n">
        <x:f>COUNTIFS('03_核验日志'!$D$211:$D$610,$A110,'03_核验日志'!$J$211:$J$610,"支持")</x:f>
        <x:v>0</x:v>
      </x:c>
      <x:c r="E110" s="28" t="n">
        <x:f>COUNTIFS('03_核验日志'!$D$211:$D$610,$A110,'03_核验日志'!$J$211:$J$610,"部分支持")</x:f>
        <x:v>0</x:v>
      </x:c>
      <x:c r="F110" s="28" t="n">
        <x:f>COUNTIFS('03_核验日志'!$D$211:$D$610,$A110,'03_核验日志'!$J$211:$J$610,"反例")</x:f>
        <x:v>0</x:v>
      </x:c>
      <x:c r="G110" s="28" t="n">
        <x:f>COUNTIFS('03_核验日志'!$D$211:$D$610,$A110,'03_核验日志'!$J$211:$J$610,"不确定")</x:f>
        <x:v>0</x:v>
      </x:c>
      <x:c r="H110" s="28" t="n">
        <x:f>D110+E110+F110</x:f>
        <x:v>0</x:v>
      </x:c>
      <x:c r="I110" s="36" t="str">
        <x:f>IF(H110=0,"",(D110+0.5*E110)/H110)</x:f>
      </x:c>
      <x:c r="J110" s="36" t="str">
        <x:f>IF(H110=0,"",(D110+0.5*E110+1)/(H110+2))</x:f>
      </x:c>
      <x:c r="K110" s="38" t="str">
        <x:f>IF((H110+G110)=0,"",SUMIFS('03_核验日志'!$K$211:$K$610,'03_核验日志'!$D$211:$D$610,$A110,'03_核验日志'!$J$211:$J$610,"&lt;&gt;不可评估")/(H110+G110))</x:f>
      </x:c>
      <x:c r="L110" s="28" t="n">
        <x:f>COUNTIFS('03_核验日志'!$D$211:$D$610,$A110,'03_核验日志'!$L$211:$L$610,"是")</x:f>
        <x:v>0</x:v>
      </x:c>
      <x:c r="M110" s="28" t="n">
        <x:f>COUNTIFS('03_核验日志'!$D$211:$D$610,$A110,'03_核验日志'!$M$211:$M$610,"是")</x:f>
        <x:v>0</x:v>
      </x:c>
      <x:c r="N110" s="28" t="str">
        <x:f>IF(A110="","",IF(H110&lt;5,"样本不足",IF(AND(H110&gt;=20,J110&gt;=0.75,F110&lt;=2),"升级验证候选",IF(AND(H110&gt;=10,J110&lt;0.45,F110&gt;=3),"降权/停用候选",IF(AND(H110&gt;=8,F110&gt;=3),"优先修订","保留观察")))))</x:f>
      </x:c>
      <x:c r="O110" s="28" t="str">
        <x:f>IF(N110="升级验证候选","已验证候选",IF(N110="优先修订","需修改",IF(N110="降权/停用候选","停用候选","待验证")))</x:f>
        <x:v>待验证</x:v>
      </x:c>
      <x:c r="P110" s="28"/>
      <x:c r="Q110" s="28"/>
    </x:row>
    <x:row r="111">
      <x:c r="A111" s="28"/>
      <x:c r="B111" s="28"/>
      <x:c r="C111" s="28"/>
      <x:c r="D111" s="28" t="n">
        <x:f>COUNTIFS('03_核验日志'!$D$211:$D$610,$A111,'03_核验日志'!$J$211:$J$610,"支持")</x:f>
        <x:v>0</x:v>
      </x:c>
      <x:c r="E111" s="28" t="n">
        <x:f>COUNTIFS('03_核验日志'!$D$211:$D$610,$A111,'03_核验日志'!$J$211:$J$610,"部分支持")</x:f>
        <x:v>0</x:v>
      </x:c>
      <x:c r="F111" s="28" t="n">
        <x:f>COUNTIFS('03_核验日志'!$D$211:$D$610,$A111,'03_核验日志'!$J$211:$J$610,"反例")</x:f>
        <x:v>0</x:v>
      </x:c>
      <x:c r="G111" s="28" t="n">
        <x:f>COUNTIFS('03_核验日志'!$D$211:$D$610,$A111,'03_核验日志'!$J$211:$J$610,"不确定")</x:f>
        <x:v>0</x:v>
      </x:c>
      <x:c r="H111" s="28" t="n">
        <x:f>D111+E111+F111</x:f>
        <x:v>0</x:v>
      </x:c>
      <x:c r="I111" s="36" t="str">
        <x:f>IF(H111=0,"",(D111+0.5*E111)/H111)</x:f>
      </x:c>
      <x:c r="J111" s="36" t="str">
        <x:f>IF(H111=0,"",(D111+0.5*E111+1)/(H111+2))</x:f>
      </x:c>
      <x:c r="K111" s="38" t="str">
        <x:f>IF((H111+G111)=0,"",SUMIFS('03_核验日志'!$K$211:$K$610,'03_核验日志'!$D$211:$D$610,$A111,'03_核验日志'!$J$211:$J$610,"&lt;&gt;不可评估")/(H111+G111))</x:f>
      </x:c>
      <x:c r="L111" s="28" t="n">
        <x:f>COUNTIFS('03_核验日志'!$D$211:$D$610,$A111,'03_核验日志'!$L$211:$L$610,"是")</x:f>
        <x:v>0</x:v>
      </x:c>
      <x:c r="M111" s="28" t="n">
        <x:f>COUNTIFS('03_核验日志'!$D$211:$D$610,$A111,'03_核验日志'!$M$211:$M$610,"是")</x:f>
        <x:v>0</x:v>
      </x:c>
      <x:c r="N111" s="28" t="str">
        <x:f>IF(A111="","",IF(H111&lt;5,"样本不足",IF(AND(H111&gt;=20,J111&gt;=0.75,F111&lt;=2),"升级验证候选",IF(AND(H111&gt;=10,J111&lt;0.45,F111&gt;=3),"降权/停用候选",IF(AND(H111&gt;=8,F111&gt;=3),"优先修订","保留观察")))))</x:f>
      </x:c>
      <x:c r="O111" s="28" t="str">
        <x:f>IF(N111="升级验证候选","已验证候选",IF(N111="优先修订","需修改",IF(N111="降权/停用候选","停用候选","待验证")))</x:f>
        <x:v>待验证</x:v>
      </x:c>
      <x:c r="P111" s="28"/>
      <x:c r="Q111" s="28"/>
    </x:row>
    <x:row r="112">
      <x:c r="A112" s="28"/>
      <x:c r="B112" s="28"/>
      <x:c r="C112" s="28"/>
      <x:c r="D112" s="28" t="n">
        <x:f>COUNTIFS('03_核验日志'!$D$211:$D$610,$A112,'03_核验日志'!$J$211:$J$610,"支持")</x:f>
        <x:v>0</x:v>
      </x:c>
      <x:c r="E112" s="28" t="n">
        <x:f>COUNTIFS('03_核验日志'!$D$211:$D$610,$A112,'03_核验日志'!$J$211:$J$610,"部分支持")</x:f>
        <x:v>0</x:v>
      </x:c>
      <x:c r="F112" s="28" t="n">
        <x:f>COUNTIFS('03_核验日志'!$D$211:$D$610,$A112,'03_核验日志'!$J$211:$J$610,"反例")</x:f>
        <x:v>0</x:v>
      </x:c>
      <x:c r="G112" s="28" t="n">
        <x:f>COUNTIFS('03_核验日志'!$D$211:$D$610,$A112,'03_核验日志'!$J$211:$J$610,"不确定")</x:f>
        <x:v>0</x:v>
      </x:c>
      <x:c r="H112" s="28" t="n">
        <x:f>D112+E112+F112</x:f>
        <x:v>0</x:v>
      </x:c>
      <x:c r="I112" s="36" t="str">
        <x:f>IF(H112=0,"",(D112+0.5*E112)/H112)</x:f>
      </x:c>
      <x:c r="J112" s="36" t="str">
        <x:f>IF(H112=0,"",(D112+0.5*E112+1)/(H112+2))</x:f>
      </x:c>
      <x:c r="K112" s="38" t="str">
        <x:f>IF((H112+G112)=0,"",SUMIFS('03_核验日志'!$K$211:$K$610,'03_核验日志'!$D$211:$D$610,$A112,'03_核验日志'!$J$211:$J$610,"&lt;&gt;不可评估")/(H112+G112))</x:f>
      </x:c>
      <x:c r="L112" s="28" t="n">
        <x:f>COUNTIFS('03_核验日志'!$D$211:$D$610,$A112,'03_核验日志'!$L$211:$L$610,"是")</x:f>
        <x:v>0</x:v>
      </x:c>
      <x:c r="M112" s="28" t="n">
        <x:f>COUNTIFS('03_核验日志'!$D$211:$D$610,$A112,'03_核验日志'!$M$211:$M$610,"是")</x:f>
        <x:v>0</x:v>
      </x:c>
      <x:c r="N112" s="28" t="str">
        <x:f>IF(A112="","",IF(H112&lt;5,"样本不足",IF(AND(H112&gt;=20,J112&gt;=0.75,F112&lt;=2),"升级验证候选",IF(AND(H112&gt;=10,J112&lt;0.45,F112&gt;=3),"降权/停用候选",IF(AND(H112&gt;=8,F112&gt;=3),"优先修订","保留观察")))))</x:f>
      </x:c>
      <x:c r="O112" s="28" t="str">
        <x:f>IF(N112="升级验证候选","已验证候选",IF(N112="优先修订","需修改",IF(N112="降权/停用候选","停用候选","待验证")))</x:f>
        <x:v>待验证</x:v>
      </x:c>
      <x:c r="P112" s="28"/>
      <x:c r="Q112" s="28"/>
    </x:row>
    <x:row r="113">
      <x:c r="A113" s="28"/>
      <x:c r="B113" s="28"/>
      <x:c r="C113" s="28"/>
      <x:c r="D113" s="28" t="n">
        <x:f>COUNTIFS('03_核验日志'!$D$211:$D$610,$A113,'03_核验日志'!$J$211:$J$610,"支持")</x:f>
        <x:v>0</x:v>
      </x:c>
      <x:c r="E113" s="28" t="n">
        <x:f>COUNTIFS('03_核验日志'!$D$211:$D$610,$A113,'03_核验日志'!$J$211:$J$610,"部分支持")</x:f>
        <x:v>0</x:v>
      </x:c>
      <x:c r="F113" s="28" t="n">
        <x:f>COUNTIFS('03_核验日志'!$D$211:$D$610,$A113,'03_核验日志'!$J$211:$J$610,"反例")</x:f>
        <x:v>0</x:v>
      </x:c>
      <x:c r="G113" s="28" t="n">
        <x:f>COUNTIFS('03_核验日志'!$D$211:$D$610,$A113,'03_核验日志'!$J$211:$J$610,"不确定")</x:f>
        <x:v>0</x:v>
      </x:c>
      <x:c r="H113" s="28" t="n">
        <x:f>D113+E113+F113</x:f>
        <x:v>0</x:v>
      </x:c>
      <x:c r="I113" s="36" t="str">
        <x:f>IF(H113=0,"",(D113+0.5*E113)/H113)</x:f>
      </x:c>
      <x:c r="J113" s="36" t="str">
        <x:f>IF(H113=0,"",(D113+0.5*E113+1)/(H113+2))</x:f>
      </x:c>
      <x:c r="K113" s="38" t="str">
        <x:f>IF((H113+G113)=0,"",SUMIFS('03_核验日志'!$K$211:$K$610,'03_核验日志'!$D$211:$D$610,$A113,'03_核验日志'!$J$211:$J$610,"&lt;&gt;不可评估")/(H113+G113))</x:f>
      </x:c>
      <x:c r="L113" s="28" t="n">
        <x:f>COUNTIFS('03_核验日志'!$D$211:$D$610,$A113,'03_核验日志'!$L$211:$L$610,"是")</x:f>
        <x:v>0</x:v>
      </x:c>
      <x:c r="M113" s="28" t="n">
        <x:f>COUNTIFS('03_核验日志'!$D$211:$D$610,$A113,'03_核验日志'!$M$211:$M$610,"是")</x:f>
        <x:v>0</x:v>
      </x:c>
      <x:c r="N113" s="28" t="str">
        <x:f>IF(A113="","",IF(H113&lt;5,"样本不足",IF(AND(H113&gt;=20,J113&gt;=0.75,F113&lt;=2),"升级验证候选",IF(AND(H113&gt;=10,J113&lt;0.45,F113&gt;=3),"降权/停用候选",IF(AND(H113&gt;=8,F113&gt;=3),"优先修订","保留观察")))))</x:f>
      </x:c>
      <x:c r="O113" s="28" t="str">
        <x:f>IF(N113="升级验证候选","已验证候选",IF(N113="优先修订","需修改",IF(N113="降权/停用候选","停用候选","待验证")))</x:f>
        <x:v>待验证</x:v>
      </x:c>
      <x:c r="P113" s="28"/>
      <x:c r="Q113" s="28"/>
    </x:row>
    <x:row r="114">
      <x:c r="A114" s="28"/>
      <x:c r="B114" s="28"/>
      <x:c r="C114" s="28"/>
      <x:c r="D114" s="28" t="n">
        <x:f>COUNTIFS('03_核验日志'!$D$211:$D$610,$A114,'03_核验日志'!$J$211:$J$610,"支持")</x:f>
        <x:v>0</x:v>
      </x:c>
      <x:c r="E114" s="28" t="n">
        <x:f>COUNTIFS('03_核验日志'!$D$211:$D$610,$A114,'03_核验日志'!$J$211:$J$610,"部分支持")</x:f>
        <x:v>0</x:v>
      </x:c>
      <x:c r="F114" s="28" t="n">
        <x:f>COUNTIFS('03_核验日志'!$D$211:$D$610,$A114,'03_核验日志'!$J$211:$J$610,"反例")</x:f>
        <x:v>0</x:v>
      </x:c>
      <x:c r="G114" s="28" t="n">
        <x:f>COUNTIFS('03_核验日志'!$D$211:$D$610,$A114,'03_核验日志'!$J$211:$J$610,"不确定")</x:f>
        <x:v>0</x:v>
      </x:c>
      <x:c r="H114" s="28" t="n">
        <x:f>D114+E114+F114</x:f>
        <x:v>0</x:v>
      </x:c>
      <x:c r="I114" s="36" t="str">
        <x:f>IF(H114=0,"",(D114+0.5*E114)/H114)</x:f>
      </x:c>
      <x:c r="J114" s="36" t="str">
        <x:f>IF(H114=0,"",(D114+0.5*E114+1)/(H114+2))</x:f>
      </x:c>
      <x:c r="K114" s="38" t="str">
        <x:f>IF((H114+G114)=0,"",SUMIFS('03_核验日志'!$K$211:$K$610,'03_核验日志'!$D$211:$D$610,$A114,'03_核验日志'!$J$211:$J$610,"&lt;&gt;不可评估")/(H114+G114))</x:f>
      </x:c>
      <x:c r="L114" s="28" t="n">
        <x:f>COUNTIFS('03_核验日志'!$D$211:$D$610,$A114,'03_核验日志'!$L$211:$L$610,"是")</x:f>
        <x:v>0</x:v>
      </x:c>
      <x:c r="M114" s="28" t="n">
        <x:f>COUNTIFS('03_核验日志'!$D$211:$D$610,$A114,'03_核验日志'!$M$211:$M$610,"是")</x:f>
        <x:v>0</x:v>
      </x:c>
      <x:c r="N114" s="28" t="str">
        <x:f>IF(A114="","",IF(H114&lt;5,"样本不足",IF(AND(H114&gt;=20,J114&gt;=0.75,F114&lt;=2),"升级验证候选",IF(AND(H114&gt;=10,J114&lt;0.45,F114&gt;=3),"降权/停用候选",IF(AND(H114&gt;=8,F114&gt;=3),"优先修订","保留观察")))))</x:f>
      </x:c>
      <x:c r="O114" s="28" t="str">
        <x:f>IF(N114="升级验证候选","已验证候选",IF(N114="优先修订","需修改",IF(N114="降权/停用候选","停用候选","待验证")))</x:f>
        <x:v>待验证</x:v>
      </x:c>
      <x:c r="P114" s="28"/>
      <x:c r="Q114" s="28"/>
    </x:row>
    <x:row r="115">
      <x:c r="A115" s="28"/>
      <x:c r="B115" s="28"/>
      <x:c r="C115" s="28"/>
      <x:c r="D115" s="28" t="n">
        <x:f>COUNTIFS('03_核验日志'!$D$211:$D$610,$A115,'03_核验日志'!$J$211:$J$610,"支持")</x:f>
        <x:v>0</x:v>
      </x:c>
      <x:c r="E115" s="28" t="n">
        <x:f>COUNTIFS('03_核验日志'!$D$211:$D$610,$A115,'03_核验日志'!$J$211:$J$610,"部分支持")</x:f>
        <x:v>0</x:v>
      </x:c>
      <x:c r="F115" s="28" t="n">
        <x:f>COUNTIFS('03_核验日志'!$D$211:$D$610,$A115,'03_核验日志'!$J$211:$J$610,"反例")</x:f>
        <x:v>0</x:v>
      </x:c>
      <x:c r="G115" s="28" t="n">
        <x:f>COUNTIFS('03_核验日志'!$D$211:$D$610,$A115,'03_核验日志'!$J$211:$J$610,"不确定")</x:f>
        <x:v>0</x:v>
      </x:c>
      <x:c r="H115" s="28" t="n">
        <x:f>D115+E115+F115</x:f>
        <x:v>0</x:v>
      </x:c>
      <x:c r="I115" s="36" t="str">
        <x:f>IF(H115=0,"",(D115+0.5*E115)/H115)</x:f>
      </x:c>
      <x:c r="J115" s="36" t="str">
        <x:f>IF(H115=0,"",(D115+0.5*E115+1)/(H115+2))</x:f>
      </x:c>
      <x:c r="K115" s="38" t="str">
        <x:f>IF((H115+G115)=0,"",SUMIFS('03_核验日志'!$K$211:$K$610,'03_核验日志'!$D$211:$D$610,$A115,'03_核验日志'!$J$211:$J$610,"&lt;&gt;不可评估")/(H115+G115))</x:f>
      </x:c>
      <x:c r="L115" s="28" t="n">
        <x:f>COUNTIFS('03_核验日志'!$D$211:$D$610,$A115,'03_核验日志'!$L$211:$L$610,"是")</x:f>
        <x:v>0</x:v>
      </x:c>
      <x:c r="M115" s="28" t="n">
        <x:f>COUNTIFS('03_核验日志'!$D$211:$D$610,$A115,'03_核验日志'!$M$211:$M$610,"是")</x:f>
        <x:v>0</x:v>
      </x:c>
      <x:c r="N115" s="28" t="str">
        <x:f>IF(A115="","",IF(H115&lt;5,"样本不足",IF(AND(H115&gt;=20,J115&gt;=0.75,F115&lt;=2),"升级验证候选",IF(AND(H115&gt;=10,J115&lt;0.45,F115&gt;=3),"降权/停用候选",IF(AND(H115&gt;=8,F115&gt;=3),"优先修订","保留观察")))))</x:f>
      </x:c>
      <x:c r="O115" s="28" t="str">
        <x:f>IF(N115="升级验证候选","已验证候选",IF(N115="优先修订","需修改",IF(N115="降权/停用候选","停用候选","待验证")))</x:f>
        <x:v>待验证</x:v>
      </x:c>
      <x:c r="P115" s="28"/>
      <x:c r="Q115" s="28"/>
    </x:row>
    <x:row r="116">
      <x:c r="A116" s="28"/>
      <x:c r="B116" s="28"/>
      <x:c r="C116" s="28"/>
      <x:c r="D116" s="28" t="n">
        <x:f>COUNTIFS('03_核验日志'!$D$211:$D$610,$A116,'03_核验日志'!$J$211:$J$610,"支持")</x:f>
        <x:v>0</x:v>
      </x:c>
      <x:c r="E116" s="28" t="n">
        <x:f>COUNTIFS('03_核验日志'!$D$211:$D$610,$A116,'03_核验日志'!$J$211:$J$610,"部分支持")</x:f>
        <x:v>0</x:v>
      </x:c>
      <x:c r="F116" s="28" t="n">
        <x:f>COUNTIFS('03_核验日志'!$D$211:$D$610,$A116,'03_核验日志'!$J$211:$J$610,"反例")</x:f>
        <x:v>0</x:v>
      </x:c>
      <x:c r="G116" s="28" t="n">
        <x:f>COUNTIFS('03_核验日志'!$D$211:$D$610,$A116,'03_核验日志'!$J$211:$J$610,"不确定")</x:f>
        <x:v>0</x:v>
      </x:c>
      <x:c r="H116" s="28" t="n">
        <x:f>D116+E116+F116</x:f>
        <x:v>0</x:v>
      </x:c>
      <x:c r="I116" s="36" t="str">
        <x:f>IF(H116=0,"",(D116+0.5*E116)/H116)</x:f>
      </x:c>
      <x:c r="J116" s="36" t="str">
        <x:f>IF(H116=0,"",(D116+0.5*E116+1)/(H116+2))</x:f>
      </x:c>
      <x:c r="K116" s="38" t="str">
        <x:f>IF((H116+G116)=0,"",SUMIFS('03_核验日志'!$K$211:$K$610,'03_核验日志'!$D$211:$D$610,$A116,'03_核验日志'!$J$211:$J$610,"&lt;&gt;不可评估")/(H116+G116))</x:f>
      </x:c>
      <x:c r="L116" s="28" t="n">
        <x:f>COUNTIFS('03_核验日志'!$D$211:$D$610,$A116,'03_核验日志'!$L$211:$L$610,"是")</x:f>
        <x:v>0</x:v>
      </x:c>
      <x:c r="M116" s="28" t="n">
        <x:f>COUNTIFS('03_核验日志'!$D$211:$D$610,$A116,'03_核验日志'!$M$211:$M$610,"是")</x:f>
        <x:v>0</x:v>
      </x:c>
      <x:c r="N116" s="28" t="str">
        <x:f>IF(A116="","",IF(H116&lt;5,"样本不足",IF(AND(H116&gt;=20,J116&gt;=0.75,F116&lt;=2),"升级验证候选",IF(AND(H116&gt;=10,J116&lt;0.45,F116&gt;=3),"降权/停用候选",IF(AND(H116&gt;=8,F116&gt;=3),"优先修订","保留观察")))))</x:f>
      </x:c>
      <x:c r="O116" s="28" t="str">
        <x:f>IF(N116="升级验证候选","已验证候选",IF(N116="优先修订","需修改",IF(N116="降权/停用候选","停用候选","待验证")))</x:f>
        <x:v>待验证</x:v>
      </x:c>
      <x:c r="P116" s="28"/>
      <x:c r="Q116" s="28"/>
    </x:row>
    <x:row r="117">
      <x:c r="A117" s="28"/>
      <x:c r="B117" s="28"/>
      <x:c r="C117" s="28"/>
      <x:c r="D117" s="28" t="n">
        <x:f>COUNTIFS('03_核验日志'!$D$211:$D$610,$A117,'03_核验日志'!$J$211:$J$610,"支持")</x:f>
        <x:v>0</x:v>
      </x:c>
      <x:c r="E117" s="28" t="n">
        <x:f>COUNTIFS('03_核验日志'!$D$211:$D$610,$A117,'03_核验日志'!$J$211:$J$610,"部分支持")</x:f>
        <x:v>0</x:v>
      </x:c>
      <x:c r="F117" s="28" t="n">
        <x:f>COUNTIFS('03_核验日志'!$D$211:$D$610,$A117,'03_核验日志'!$J$211:$J$610,"反例")</x:f>
        <x:v>0</x:v>
      </x:c>
      <x:c r="G117" s="28" t="n">
        <x:f>COUNTIFS('03_核验日志'!$D$211:$D$610,$A117,'03_核验日志'!$J$211:$J$610,"不确定")</x:f>
        <x:v>0</x:v>
      </x:c>
      <x:c r="H117" s="28" t="n">
        <x:f>D117+E117+F117</x:f>
        <x:v>0</x:v>
      </x:c>
      <x:c r="I117" s="36" t="str">
        <x:f>IF(H117=0,"",(D117+0.5*E117)/H117)</x:f>
      </x:c>
      <x:c r="J117" s="36" t="str">
        <x:f>IF(H117=0,"",(D117+0.5*E117+1)/(H117+2))</x:f>
      </x:c>
      <x:c r="K117" s="38" t="str">
        <x:f>IF((H117+G117)=0,"",SUMIFS('03_核验日志'!$K$211:$K$610,'03_核验日志'!$D$211:$D$610,$A117,'03_核验日志'!$J$211:$J$610,"&lt;&gt;不可评估")/(H117+G117))</x:f>
      </x:c>
      <x:c r="L117" s="28" t="n">
        <x:f>COUNTIFS('03_核验日志'!$D$211:$D$610,$A117,'03_核验日志'!$L$211:$L$610,"是")</x:f>
        <x:v>0</x:v>
      </x:c>
      <x:c r="M117" s="28" t="n">
        <x:f>COUNTIFS('03_核验日志'!$D$211:$D$610,$A117,'03_核验日志'!$M$211:$M$610,"是")</x:f>
        <x:v>0</x:v>
      </x:c>
      <x:c r="N117" s="28" t="str">
        <x:f>IF(A117="","",IF(H117&lt;5,"样本不足",IF(AND(H117&gt;=20,J117&gt;=0.75,F117&lt;=2),"升级验证候选",IF(AND(H117&gt;=10,J117&lt;0.45,F117&gt;=3),"降权/停用候选",IF(AND(H117&gt;=8,F117&gt;=3),"优先修订","保留观察")))))</x:f>
      </x:c>
      <x:c r="O117" s="28" t="str">
        <x:f>IF(N117="升级验证候选","已验证候选",IF(N117="优先修订","需修改",IF(N117="降权/停用候选","停用候选","待验证")))</x:f>
        <x:v>待验证</x:v>
      </x:c>
      <x:c r="P117" s="28"/>
      <x:c r="Q117" s="28"/>
    </x:row>
    <x:row r="118">
      <x:c r="A118" s="28"/>
      <x:c r="B118" s="28"/>
      <x:c r="C118" s="28"/>
      <x:c r="D118" s="28" t="n">
        <x:f>COUNTIFS('03_核验日志'!$D$211:$D$610,$A118,'03_核验日志'!$J$211:$J$610,"支持")</x:f>
        <x:v>0</x:v>
      </x:c>
      <x:c r="E118" s="28" t="n">
        <x:f>COUNTIFS('03_核验日志'!$D$211:$D$610,$A118,'03_核验日志'!$J$211:$J$610,"部分支持")</x:f>
        <x:v>0</x:v>
      </x:c>
      <x:c r="F118" s="28" t="n">
        <x:f>COUNTIFS('03_核验日志'!$D$211:$D$610,$A118,'03_核验日志'!$J$211:$J$610,"反例")</x:f>
        <x:v>0</x:v>
      </x:c>
      <x:c r="G118" s="28" t="n">
        <x:f>COUNTIFS('03_核验日志'!$D$211:$D$610,$A118,'03_核验日志'!$J$211:$J$610,"不确定")</x:f>
        <x:v>0</x:v>
      </x:c>
      <x:c r="H118" s="28" t="n">
        <x:f>D118+E118+F118</x:f>
        <x:v>0</x:v>
      </x:c>
      <x:c r="I118" s="36" t="str">
        <x:f>IF(H118=0,"",(D118+0.5*E118)/H118)</x:f>
      </x:c>
      <x:c r="J118" s="36" t="str">
        <x:f>IF(H118=0,"",(D118+0.5*E118+1)/(H118+2))</x:f>
      </x:c>
      <x:c r="K118" s="38" t="str">
        <x:f>IF((H118+G118)=0,"",SUMIFS('03_核验日志'!$K$211:$K$610,'03_核验日志'!$D$211:$D$610,$A118,'03_核验日志'!$J$211:$J$610,"&lt;&gt;不可评估")/(H118+G118))</x:f>
      </x:c>
      <x:c r="L118" s="28" t="n">
        <x:f>COUNTIFS('03_核验日志'!$D$211:$D$610,$A118,'03_核验日志'!$L$211:$L$610,"是")</x:f>
        <x:v>0</x:v>
      </x:c>
      <x:c r="M118" s="28" t="n">
        <x:f>COUNTIFS('03_核验日志'!$D$211:$D$610,$A118,'03_核验日志'!$M$211:$M$610,"是")</x:f>
        <x:v>0</x:v>
      </x:c>
      <x:c r="N118" s="28" t="str">
        <x:f>IF(A118="","",IF(H118&lt;5,"样本不足",IF(AND(H118&gt;=20,J118&gt;=0.75,F118&lt;=2),"升级验证候选",IF(AND(H118&gt;=10,J118&lt;0.45,F118&gt;=3),"降权/停用候选",IF(AND(H118&gt;=8,F118&gt;=3),"优先修订","保留观察")))))</x:f>
      </x:c>
      <x:c r="O118" s="28" t="str">
        <x:f>IF(N118="升级验证候选","已验证候选",IF(N118="优先修订","需修改",IF(N118="降权/停用候选","停用候选","待验证")))</x:f>
        <x:v>待验证</x:v>
      </x:c>
      <x:c r="P118" s="28"/>
      <x:c r="Q118" s="28"/>
    </x:row>
    <x:row r="119">
      <x:c r="A119" s="28"/>
      <x:c r="B119" s="28"/>
      <x:c r="C119" s="28"/>
      <x:c r="D119" s="28" t="n">
        <x:f>COUNTIFS('03_核验日志'!$D$211:$D$610,$A119,'03_核验日志'!$J$211:$J$610,"支持")</x:f>
        <x:v>0</x:v>
      </x:c>
      <x:c r="E119" s="28" t="n">
        <x:f>COUNTIFS('03_核验日志'!$D$211:$D$610,$A119,'03_核验日志'!$J$211:$J$610,"部分支持")</x:f>
        <x:v>0</x:v>
      </x:c>
      <x:c r="F119" s="28" t="n">
        <x:f>COUNTIFS('03_核验日志'!$D$211:$D$610,$A119,'03_核验日志'!$J$211:$J$610,"反例")</x:f>
        <x:v>0</x:v>
      </x:c>
      <x:c r="G119" s="28" t="n">
        <x:f>COUNTIFS('03_核验日志'!$D$211:$D$610,$A119,'03_核验日志'!$J$211:$J$610,"不确定")</x:f>
        <x:v>0</x:v>
      </x:c>
      <x:c r="H119" s="28" t="n">
        <x:f>D119+E119+F119</x:f>
        <x:v>0</x:v>
      </x:c>
      <x:c r="I119" s="36" t="str">
        <x:f>IF(H119=0,"",(D119+0.5*E119)/H119)</x:f>
      </x:c>
      <x:c r="J119" s="36" t="str">
        <x:f>IF(H119=0,"",(D119+0.5*E119+1)/(H119+2))</x:f>
      </x:c>
      <x:c r="K119" s="38" t="str">
        <x:f>IF((H119+G119)=0,"",SUMIFS('03_核验日志'!$K$211:$K$610,'03_核验日志'!$D$211:$D$610,$A119,'03_核验日志'!$J$211:$J$610,"&lt;&gt;不可评估")/(H119+G119))</x:f>
      </x:c>
      <x:c r="L119" s="28" t="n">
        <x:f>COUNTIFS('03_核验日志'!$D$211:$D$610,$A119,'03_核验日志'!$L$211:$L$610,"是")</x:f>
        <x:v>0</x:v>
      </x:c>
      <x:c r="M119" s="28" t="n">
        <x:f>COUNTIFS('03_核验日志'!$D$211:$D$610,$A119,'03_核验日志'!$M$211:$M$610,"是")</x:f>
        <x:v>0</x:v>
      </x:c>
      <x:c r="N119" s="28" t="str">
        <x:f>IF(A119="","",IF(H119&lt;5,"样本不足",IF(AND(H119&gt;=20,J119&gt;=0.75,F119&lt;=2),"升级验证候选",IF(AND(H119&gt;=10,J119&lt;0.45,F119&gt;=3),"降权/停用候选",IF(AND(H119&gt;=8,F119&gt;=3),"优先修订","保留观察")))))</x:f>
      </x:c>
      <x:c r="O119" s="28" t="str">
        <x:f>IF(N119="升级验证候选","已验证候选",IF(N119="优先修订","需修改",IF(N119="降权/停用候选","停用候选","待验证")))</x:f>
        <x:v>待验证</x:v>
      </x:c>
      <x:c r="P119" s="28"/>
      <x:c r="Q119" s="28"/>
    </x:row>
    <x:row r="120">
      <x:c r="A120" s="28"/>
      <x:c r="B120" s="28"/>
      <x:c r="C120" s="28"/>
      <x:c r="D120" s="28" t="n">
        <x:f>COUNTIFS('03_核验日志'!$D$211:$D$610,$A120,'03_核验日志'!$J$211:$J$610,"支持")</x:f>
        <x:v>0</x:v>
      </x:c>
      <x:c r="E120" s="28" t="n">
        <x:f>COUNTIFS('03_核验日志'!$D$211:$D$610,$A120,'03_核验日志'!$J$211:$J$610,"部分支持")</x:f>
        <x:v>0</x:v>
      </x:c>
      <x:c r="F120" s="28" t="n">
        <x:f>COUNTIFS('03_核验日志'!$D$211:$D$610,$A120,'03_核验日志'!$J$211:$J$610,"反例")</x:f>
        <x:v>0</x:v>
      </x:c>
      <x:c r="G120" s="28" t="n">
        <x:f>COUNTIFS('03_核验日志'!$D$211:$D$610,$A120,'03_核验日志'!$J$211:$J$610,"不确定")</x:f>
        <x:v>0</x:v>
      </x:c>
      <x:c r="H120" s="28" t="n">
        <x:f>D120+E120+F120</x:f>
        <x:v>0</x:v>
      </x:c>
      <x:c r="I120" s="36" t="str">
        <x:f>IF(H120=0,"",(D120+0.5*E120)/H120)</x:f>
      </x:c>
      <x:c r="J120" s="36" t="str">
        <x:f>IF(H120=0,"",(D120+0.5*E120+1)/(H120+2))</x:f>
      </x:c>
      <x:c r="K120" s="38" t="str">
        <x:f>IF((H120+G120)=0,"",SUMIFS('03_核验日志'!$K$211:$K$610,'03_核验日志'!$D$211:$D$610,$A120,'03_核验日志'!$J$211:$J$610,"&lt;&gt;不可评估")/(H120+G120))</x:f>
      </x:c>
      <x:c r="L120" s="28" t="n">
        <x:f>COUNTIFS('03_核验日志'!$D$211:$D$610,$A120,'03_核验日志'!$L$211:$L$610,"是")</x:f>
        <x:v>0</x:v>
      </x:c>
      <x:c r="M120" s="28" t="n">
        <x:f>COUNTIFS('03_核验日志'!$D$211:$D$610,$A120,'03_核验日志'!$M$211:$M$610,"是")</x:f>
        <x:v>0</x:v>
      </x:c>
      <x:c r="N120" s="28" t="str">
        <x:f>IF(A120="","",IF(H120&lt;5,"样本不足",IF(AND(H120&gt;=20,J120&gt;=0.75,F120&lt;=2),"升级验证候选",IF(AND(H120&gt;=10,J120&lt;0.45,F120&gt;=3),"降权/停用候选",IF(AND(H120&gt;=8,F120&gt;=3),"优先修订","保留观察")))))</x:f>
      </x:c>
      <x:c r="O120" s="28" t="str">
        <x:f>IF(N120="升级验证候选","已验证候选",IF(N120="优先修订","需修改",IF(N120="降权/停用候选","停用候选","待验证")))</x:f>
        <x:v>待验证</x:v>
      </x:c>
      <x:c r="P120" s="28"/>
      <x:c r="Q120" s="28"/>
    </x:row>
    <x:row r="121">
      <x:c r="A121" s="28"/>
      <x:c r="B121" s="28"/>
      <x:c r="C121" s="28"/>
      <x:c r="D121" s="28" t="n">
        <x:f>COUNTIFS('03_核验日志'!$D$211:$D$610,$A121,'03_核验日志'!$J$211:$J$610,"支持")</x:f>
        <x:v>0</x:v>
      </x:c>
      <x:c r="E121" s="28" t="n">
        <x:f>COUNTIFS('03_核验日志'!$D$211:$D$610,$A121,'03_核验日志'!$J$211:$J$610,"部分支持")</x:f>
        <x:v>0</x:v>
      </x:c>
      <x:c r="F121" s="28" t="n">
        <x:f>COUNTIFS('03_核验日志'!$D$211:$D$610,$A121,'03_核验日志'!$J$211:$J$610,"反例")</x:f>
        <x:v>0</x:v>
      </x:c>
      <x:c r="G121" s="28" t="n">
        <x:f>COUNTIFS('03_核验日志'!$D$211:$D$610,$A121,'03_核验日志'!$J$211:$J$610,"不确定")</x:f>
        <x:v>0</x:v>
      </x:c>
      <x:c r="H121" s="28" t="n">
        <x:f>D121+E121+F121</x:f>
        <x:v>0</x:v>
      </x:c>
      <x:c r="I121" s="36" t="str">
        <x:f>IF(H121=0,"",(D121+0.5*E121)/H121)</x:f>
      </x:c>
      <x:c r="J121" s="36" t="str">
        <x:f>IF(H121=0,"",(D121+0.5*E121+1)/(H121+2))</x:f>
      </x:c>
      <x:c r="K121" s="38" t="str">
        <x:f>IF((H121+G121)=0,"",SUMIFS('03_核验日志'!$K$211:$K$610,'03_核验日志'!$D$211:$D$610,$A121,'03_核验日志'!$J$211:$J$610,"&lt;&gt;不可评估")/(H121+G121))</x:f>
      </x:c>
      <x:c r="L121" s="28" t="n">
        <x:f>COUNTIFS('03_核验日志'!$D$211:$D$610,$A121,'03_核验日志'!$L$211:$L$610,"是")</x:f>
        <x:v>0</x:v>
      </x:c>
      <x:c r="M121" s="28" t="n">
        <x:f>COUNTIFS('03_核验日志'!$D$211:$D$610,$A121,'03_核验日志'!$M$211:$M$610,"是")</x:f>
        <x:v>0</x:v>
      </x:c>
      <x:c r="N121" s="28" t="str">
        <x:f>IF(A121="","",IF(H121&lt;5,"样本不足",IF(AND(H121&gt;=20,J121&gt;=0.75,F121&lt;=2),"升级验证候选",IF(AND(H121&gt;=10,J121&lt;0.45,F121&gt;=3),"降权/停用候选",IF(AND(H121&gt;=8,F121&gt;=3),"优先修订","保留观察")))))</x:f>
      </x:c>
      <x:c r="O121" s="28" t="str">
        <x:f>IF(N121="升级验证候选","已验证候选",IF(N121="优先修订","需修改",IF(N121="降权/停用候选","停用候选","待验证")))</x:f>
        <x:v>待验证</x:v>
      </x:c>
      <x:c r="P121" s="28"/>
      <x:c r="Q121" s="28"/>
    </x:row>
    <x:row r="122">
      <x:c r="A122" s="28"/>
      <x:c r="B122" s="28"/>
      <x:c r="C122" s="28"/>
      <x:c r="D122" s="28" t="n">
        <x:f>COUNTIFS('03_核验日志'!$D$211:$D$610,$A122,'03_核验日志'!$J$211:$J$610,"支持")</x:f>
        <x:v>0</x:v>
      </x:c>
      <x:c r="E122" s="28" t="n">
        <x:f>COUNTIFS('03_核验日志'!$D$211:$D$610,$A122,'03_核验日志'!$J$211:$J$610,"部分支持")</x:f>
        <x:v>0</x:v>
      </x:c>
      <x:c r="F122" s="28" t="n">
        <x:f>COUNTIFS('03_核验日志'!$D$211:$D$610,$A122,'03_核验日志'!$J$211:$J$610,"反例")</x:f>
        <x:v>0</x:v>
      </x:c>
      <x:c r="G122" s="28" t="n">
        <x:f>COUNTIFS('03_核验日志'!$D$211:$D$610,$A122,'03_核验日志'!$J$211:$J$610,"不确定")</x:f>
        <x:v>0</x:v>
      </x:c>
      <x:c r="H122" s="28" t="n">
        <x:f>D122+E122+F122</x:f>
        <x:v>0</x:v>
      </x:c>
      <x:c r="I122" s="36" t="str">
        <x:f>IF(H122=0,"",(D122+0.5*E122)/H122)</x:f>
      </x:c>
      <x:c r="J122" s="36" t="str">
        <x:f>IF(H122=0,"",(D122+0.5*E122+1)/(H122+2))</x:f>
      </x:c>
      <x:c r="K122" s="38" t="str">
        <x:f>IF((H122+G122)=0,"",SUMIFS('03_核验日志'!$K$211:$K$610,'03_核验日志'!$D$211:$D$610,$A122,'03_核验日志'!$J$211:$J$610,"&lt;&gt;不可评估")/(H122+G122))</x:f>
      </x:c>
      <x:c r="L122" s="28" t="n">
        <x:f>COUNTIFS('03_核验日志'!$D$211:$D$610,$A122,'03_核验日志'!$L$211:$L$610,"是")</x:f>
        <x:v>0</x:v>
      </x:c>
      <x:c r="M122" s="28" t="n">
        <x:f>COUNTIFS('03_核验日志'!$D$211:$D$610,$A122,'03_核验日志'!$M$211:$M$610,"是")</x:f>
        <x:v>0</x:v>
      </x:c>
      <x:c r="N122" s="28" t="str">
        <x:f>IF(A122="","",IF(H122&lt;5,"样本不足",IF(AND(H122&gt;=20,J122&gt;=0.75,F122&lt;=2),"升级验证候选",IF(AND(H122&gt;=10,J122&lt;0.45,F122&gt;=3),"降权/停用候选",IF(AND(H122&gt;=8,F122&gt;=3),"优先修订","保留观察")))))</x:f>
      </x:c>
      <x:c r="O122" s="28" t="str">
        <x:f>IF(N122="升级验证候选","已验证候选",IF(N122="优先修订","需修改",IF(N122="降权/停用候选","停用候选","待验证")))</x:f>
        <x:v>待验证</x:v>
      </x:c>
      <x:c r="P122" s="28"/>
      <x:c r="Q122" s="28"/>
    </x:row>
    <x:row r="123">
      <x:c r="A123" s="28"/>
      <x:c r="B123" s="28"/>
      <x:c r="C123" s="28"/>
      <x:c r="D123" s="28" t="n">
        <x:f>COUNTIFS('03_核验日志'!$D$211:$D$610,$A123,'03_核验日志'!$J$211:$J$610,"支持")</x:f>
        <x:v>0</x:v>
      </x:c>
      <x:c r="E123" s="28" t="n">
        <x:f>COUNTIFS('03_核验日志'!$D$211:$D$610,$A123,'03_核验日志'!$J$211:$J$610,"部分支持")</x:f>
        <x:v>0</x:v>
      </x:c>
      <x:c r="F123" s="28" t="n">
        <x:f>COUNTIFS('03_核验日志'!$D$211:$D$610,$A123,'03_核验日志'!$J$211:$J$610,"反例")</x:f>
        <x:v>0</x:v>
      </x:c>
      <x:c r="G123" s="28" t="n">
        <x:f>COUNTIFS('03_核验日志'!$D$211:$D$610,$A123,'03_核验日志'!$J$211:$J$610,"不确定")</x:f>
        <x:v>0</x:v>
      </x:c>
      <x:c r="H123" s="28" t="n">
        <x:f>D123+E123+F123</x:f>
        <x:v>0</x:v>
      </x:c>
      <x:c r="I123" s="36" t="str">
        <x:f>IF(H123=0,"",(D123+0.5*E123)/H123)</x:f>
      </x:c>
      <x:c r="J123" s="36" t="str">
        <x:f>IF(H123=0,"",(D123+0.5*E123+1)/(H123+2))</x:f>
      </x:c>
      <x:c r="K123" s="38" t="str">
        <x:f>IF((H123+G123)=0,"",SUMIFS('03_核验日志'!$K$211:$K$610,'03_核验日志'!$D$211:$D$610,$A123,'03_核验日志'!$J$211:$J$610,"&lt;&gt;不可评估")/(H123+G123))</x:f>
      </x:c>
      <x:c r="L123" s="28" t="n">
        <x:f>COUNTIFS('03_核验日志'!$D$211:$D$610,$A123,'03_核验日志'!$L$211:$L$610,"是")</x:f>
        <x:v>0</x:v>
      </x:c>
      <x:c r="M123" s="28" t="n">
        <x:f>COUNTIFS('03_核验日志'!$D$211:$D$610,$A123,'03_核验日志'!$M$211:$M$610,"是")</x:f>
        <x:v>0</x:v>
      </x:c>
      <x:c r="N123" s="28" t="str">
        <x:f>IF(A123="","",IF(H123&lt;5,"样本不足",IF(AND(H123&gt;=20,J123&gt;=0.75,F123&lt;=2),"升级验证候选",IF(AND(H123&gt;=10,J123&lt;0.45,F123&gt;=3),"降权/停用候选",IF(AND(H123&gt;=8,F123&gt;=3),"优先修订","保留观察")))))</x:f>
      </x:c>
      <x:c r="O123" s="28" t="str">
        <x:f>IF(N123="升级验证候选","已验证候选",IF(N123="优先修订","需修改",IF(N123="降权/停用候选","停用候选","待验证")))</x:f>
        <x:v>待验证</x:v>
      </x:c>
      <x:c r="P123" s="28"/>
      <x:c r="Q123" s="28"/>
    </x:row>
    <x:row r="124">
      <x:c r="A124" s="28"/>
      <x:c r="B124" s="28"/>
      <x:c r="C124" s="28"/>
      <x:c r="D124" s="28" t="n">
        <x:f>COUNTIFS('03_核验日志'!$D$211:$D$610,$A124,'03_核验日志'!$J$211:$J$610,"支持")</x:f>
        <x:v>0</x:v>
      </x:c>
      <x:c r="E124" s="28" t="n">
        <x:f>COUNTIFS('03_核验日志'!$D$211:$D$610,$A124,'03_核验日志'!$J$211:$J$610,"部分支持")</x:f>
        <x:v>0</x:v>
      </x:c>
      <x:c r="F124" s="28" t="n">
        <x:f>COUNTIFS('03_核验日志'!$D$211:$D$610,$A124,'03_核验日志'!$J$211:$J$610,"反例")</x:f>
        <x:v>0</x:v>
      </x:c>
      <x:c r="G124" s="28" t="n">
        <x:f>COUNTIFS('03_核验日志'!$D$211:$D$610,$A124,'03_核验日志'!$J$211:$J$610,"不确定")</x:f>
        <x:v>0</x:v>
      </x:c>
      <x:c r="H124" s="28" t="n">
        <x:f>D124+E124+F124</x:f>
        <x:v>0</x:v>
      </x:c>
      <x:c r="I124" s="36" t="str">
        <x:f>IF(H124=0,"",(D124+0.5*E124)/H124)</x:f>
      </x:c>
      <x:c r="J124" s="36" t="str">
        <x:f>IF(H124=0,"",(D124+0.5*E124+1)/(H124+2))</x:f>
      </x:c>
      <x:c r="K124" s="38" t="str">
        <x:f>IF((H124+G124)=0,"",SUMIFS('03_核验日志'!$K$211:$K$610,'03_核验日志'!$D$211:$D$610,$A124,'03_核验日志'!$J$211:$J$610,"&lt;&gt;不可评估")/(H124+G124))</x:f>
      </x:c>
      <x:c r="L124" s="28" t="n">
        <x:f>COUNTIFS('03_核验日志'!$D$211:$D$610,$A124,'03_核验日志'!$L$211:$L$610,"是")</x:f>
        <x:v>0</x:v>
      </x:c>
      <x:c r="M124" s="28" t="n">
        <x:f>COUNTIFS('03_核验日志'!$D$211:$D$610,$A124,'03_核验日志'!$M$211:$M$610,"是")</x:f>
        <x:v>0</x:v>
      </x:c>
      <x:c r="N124" s="28" t="str">
        <x:f>IF(A124="","",IF(H124&lt;5,"样本不足",IF(AND(H124&gt;=20,J124&gt;=0.75,F124&lt;=2),"升级验证候选",IF(AND(H124&gt;=10,J124&lt;0.45,F124&gt;=3),"降权/停用候选",IF(AND(H124&gt;=8,F124&gt;=3),"优先修订","保留观察")))))</x:f>
      </x:c>
      <x:c r="O124" s="28" t="str">
        <x:f>IF(N124="升级验证候选","已验证候选",IF(N124="优先修订","需修改",IF(N124="降权/停用候选","停用候选","待验证")))</x:f>
        <x:v>待验证</x:v>
      </x:c>
      <x:c r="P124" s="28"/>
      <x:c r="Q124" s="28"/>
    </x:row>
    <x:row r="125">
      <x:c r="A125" s="28"/>
      <x:c r="B125" s="28"/>
      <x:c r="C125" s="28"/>
      <x:c r="D125" s="28" t="n">
        <x:f>COUNTIFS('03_核验日志'!$D$211:$D$610,$A125,'03_核验日志'!$J$211:$J$610,"支持")</x:f>
        <x:v>0</x:v>
      </x:c>
      <x:c r="E125" s="28" t="n">
        <x:f>COUNTIFS('03_核验日志'!$D$211:$D$610,$A125,'03_核验日志'!$J$211:$J$610,"部分支持")</x:f>
        <x:v>0</x:v>
      </x:c>
      <x:c r="F125" s="28" t="n">
        <x:f>COUNTIFS('03_核验日志'!$D$211:$D$610,$A125,'03_核验日志'!$J$211:$J$610,"反例")</x:f>
        <x:v>0</x:v>
      </x:c>
      <x:c r="G125" s="28" t="n">
        <x:f>COUNTIFS('03_核验日志'!$D$211:$D$610,$A125,'03_核验日志'!$J$211:$J$610,"不确定")</x:f>
        <x:v>0</x:v>
      </x:c>
      <x:c r="H125" s="28" t="n">
        <x:f>D125+E125+F125</x:f>
        <x:v>0</x:v>
      </x:c>
      <x:c r="I125" s="36" t="str">
        <x:f>IF(H125=0,"",(D125+0.5*E125)/H125)</x:f>
      </x:c>
      <x:c r="J125" s="36" t="str">
        <x:f>IF(H125=0,"",(D125+0.5*E125+1)/(H125+2))</x:f>
      </x:c>
      <x:c r="K125" s="38" t="str">
        <x:f>IF((H125+G125)=0,"",SUMIFS('03_核验日志'!$K$211:$K$610,'03_核验日志'!$D$211:$D$610,$A125,'03_核验日志'!$J$211:$J$610,"&lt;&gt;不可评估")/(H125+G125))</x:f>
      </x:c>
      <x:c r="L125" s="28" t="n">
        <x:f>COUNTIFS('03_核验日志'!$D$211:$D$610,$A125,'03_核验日志'!$L$211:$L$610,"是")</x:f>
        <x:v>0</x:v>
      </x:c>
      <x:c r="M125" s="28" t="n">
        <x:f>COUNTIFS('03_核验日志'!$D$211:$D$610,$A125,'03_核验日志'!$M$211:$M$610,"是")</x:f>
        <x:v>0</x:v>
      </x:c>
      <x:c r="N125" s="28" t="str">
        <x:f>IF(A125="","",IF(H125&lt;5,"样本不足",IF(AND(H125&gt;=20,J125&gt;=0.75,F125&lt;=2),"升级验证候选",IF(AND(H125&gt;=10,J125&lt;0.45,F125&gt;=3),"降权/停用候选",IF(AND(H125&gt;=8,F125&gt;=3),"优先修订","保留观察")))))</x:f>
      </x:c>
      <x:c r="O125" s="28" t="str">
        <x:f>IF(N125="升级验证候选","已验证候选",IF(N125="优先修订","需修改",IF(N125="降权/停用候选","停用候选","待验证")))</x:f>
        <x:v>待验证</x:v>
      </x:c>
      <x:c r="P125" s="28"/>
      <x:c r="Q125" s="28"/>
    </x:row>
    <x:row r="126">
      <x:c r="A126" s="28"/>
      <x:c r="B126" s="28"/>
      <x:c r="C126" s="28"/>
      <x:c r="D126" s="28" t="n">
        <x:f>COUNTIFS('03_核验日志'!$D$211:$D$610,$A126,'03_核验日志'!$J$211:$J$610,"支持")</x:f>
        <x:v>0</x:v>
      </x:c>
      <x:c r="E126" s="28" t="n">
        <x:f>COUNTIFS('03_核验日志'!$D$211:$D$610,$A126,'03_核验日志'!$J$211:$J$610,"部分支持")</x:f>
        <x:v>0</x:v>
      </x:c>
      <x:c r="F126" s="28" t="n">
        <x:f>COUNTIFS('03_核验日志'!$D$211:$D$610,$A126,'03_核验日志'!$J$211:$J$610,"反例")</x:f>
        <x:v>0</x:v>
      </x:c>
      <x:c r="G126" s="28" t="n">
        <x:f>COUNTIFS('03_核验日志'!$D$211:$D$610,$A126,'03_核验日志'!$J$211:$J$610,"不确定")</x:f>
        <x:v>0</x:v>
      </x:c>
      <x:c r="H126" s="28" t="n">
        <x:f>D126+E126+F126</x:f>
        <x:v>0</x:v>
      </x:c>
      <x:c r="I126" s="36" t="str">
        <x:f>IF(H126=0,"",(D126+0.5*E126)/H126)</x:f>
      </x:c>
      <x:c r="J126" s="36" t="str">
        <x:f>IF(H126=0,"",(D126+0.5*E126+1)/(H126+2))</x:f>
      </x:c>
      <x:c r="K126" s="38" t="str">
        <x:f>IF((H126+G126)=0,"",SUMIFS('03_核验日志'!$K$211:$K$610,'03_核验日志'!$D$211:$D$610,$A126,'03_核验日志'!$J$211:$J$610,"&lt;&gt;不可评估")/(H126+G126))</x:f>
      </x:c>
      <x:c r="L126" s="28" t="n">
        <x:f>COUNTIFS('03_核验日志'!$D$211:$D$610,$A126,'03_核验日志'!$L$211:$L$610,"是")</x:f>
        <x:v>0</x:v>
      </x:c>
      <x:c r="M126" s="28" t="n">
        <x:f>COUNTIFS('03_核验日志'!$D$211:$D$610,$A126,'03_核验日志'!$M$211:$M$610,"是")</x:f>
        <x:v>0</x:v>
      </x:c>
      <x:c r="N126" s="28" t="str">
        <x:f>IF(A126="","",IF(H126&lt;5,"样本不足",IF(AND(H126&gt;=20,J126&gt;=0.75,F126&lt;=2),"升级验证候选",IF(AND(H126&gt;=10,J126&lt;0.45,F126&gt;=3),"降权/停用候选",IF(AND(H126&gt;=8,F126&gt;=3),"优先修订","保留观察")))))</x:f>
      </x:c>
      <x:c r="O126" s="28" t="str">
        <x:f>IF(N126="升级验证候选","已验证候选",IF(N126="优先修订","需修改",IF(N126="降权/停用候选","停用候选","待验证")))</x:f>
        <x:v>待验证</x:v>
      </x:c>
      <x:c r="P126" s="28"/>
      <x:c r="Q126" s="28"/>
    </x:row>
    <x:row r="127">
      <x:c r="A127" s="28"/>
      <x:c r="B127" s="28"/>
      <x:c r="C127" s="28"/>
      <x:c r="D127" s="28" t="n">
        <x:f>COUNTIFS('03_核验日志'!$D$211:$D$610,$A127,'03_核验日志'!$J$211:$J$610,"支持")</x:f>
        <x:v>0</x:v>
      </x:c>
      <x:c r="E127" s="28" t="n">
        <x:f>COUNTIFS('03_核验日志'!$D$211:$D$610,$A127,'03_核验日志'!$J$211:$J$610,"部分支持")</x:f>
        <x:v>0</x:v>
      </x:c>
      <x:c r="F127" s="28" t="n">
        <x:f>COUNTIFS('03_核验日志'!$D$211:$D$610,$A127,'03_核验日志'!$J$211:$J$610,"反例")</x:f>
        <x:v>0</x:v>
      </x:c>
      <x:c r="G127" s="28" t="n">
        <x:f>COUNTIFS('03_核验日志'!$D$211:$D$610,$A127,'03_核验日志'!$J$211:$J$610,"不确定")</x:f>
        <x:v>0</x:v>
      </x:c>
      <x:c r="H127" s="28" t="n">
        <x:f>D127+E127+F127</x:f>
        <x:v>0</x:v>
      </x:c>
      <x:c r="I127" s="36" t="str">
        <x:f>IF(H127=0,"",(D127+0.5*E127)/H127)</x:f>
      </x:c>
      <x:c r="J127" s="36" t="str">
        <x:f>IF(H127=0,"",(D127+0.5*E127+1)/(H127+2))</x:f>
      </x:c>
      <x:c r="K127" s="38" t="str">
        <x:f>IF((H127+G127)=0,"",SUMIFS('03_核验日志'!$K$211:$K$610,'03_核验日志'!$D$211:$D$610,$A127,'03_核验日志'!$J$211:$J$610,"&lt;&gt;不可评估")/(H127+G127))</x:f>
      </x:c>
      <x:c r="L127" s="28" t="n">
        <x:f>COUNTIFS('03_核验日志'!$D$211:$D$610,$A127,'03_核验日志'!$L$211:$L$610,"是")</x:f>
        <x:v>0</x:v>
      </x:c>
      <x:c r="M127" s="28" t="n">
        <x:f>COUNTIFS('03_核验日志'!$D$211:$D$610,$A127,'03_核验日志'!$M$211:$M$610,"是")</x:f>
        <x:v>0</x:v>
      </x:c>
      <x:c r="N127" s="28" t="str">
        <x:f>IF(A127="","",IF(H127&lt;5,"样本不足",IF(AND(H127&gt;=20,J127&gt;=0.75,F127&lt;=2),"升级验证候选",IF(AND(H127&gt;=10,J127&lt;0.45,F127&gt;=3),"降权/停用候选",IF(AND(H127&gt;=8,F127&gt;=3),"优先修订","保留观察")))))</x:f>
      </x:c>
      <x:c r="O127" s="28" t="str">
        <x:f>IF(N127="升级验证候选","已验证候选",IF(N127="优先修订","需修改",IF(N127="降权/停用候选","停用候选","待验证")))</x:f>
        <x:v>待验证</x:v>
      </x:c>
      <x:c r="P127" s="28"/>
      <x:c r="Q127" s="28"/>
    </x:row>
    <x:row r="128">
      <x:c r="A128" s="28"/>
      <x:c r="B128" s="28"/>
      <x:c r="C128" s="28"/>
      <x:c r="D128" s="28" t="n">
        <x:f>COUNTIFS('03_核验日志'!$D$211:$D$610,$A128,'03_核验日志'!$J$211:$J$610,"支持")</x:f>
        <x:v>0</x:v>
      </x:c>
      <x:c r="E128" s="28" t="n">
        <x:f>COUNTIFS('03_核验日志'!$D$211:$D$610,$A128,'03_核验日志'!$J$211:$J$610,"部分支持")</x:f>
        <x:v>0</x:v>
      </x:c>
      <x:c r="F128" s="28" t="n">
        <x:f>COUNTIFS('03_核验日志'!$D$211:$D$610,$A128,'03_核验日志'!$J$211:$J$610,"反例")</x:f>
        <x:v>0</x:v>
      </x:c>
      <x:c r="G128" s="28" t="n">
        <x:f>COUNTIFS('03_核验日志'!$D$211:$D$610,$A128,'03_核验日志'!$J$211:$J$610,"不确定")</x:f>
        <x:v>0</x:v>
      </x:c>
      <x:c r="H128" s="28" t="n">
        <x:f>D128+E128+F128</x:f>
        <x:v>0</x:v>
      </x:c>
      <x:c r="I128" s="36" t="str">
        <x:f>IF(H128=0,"",(D128+0.5*E128)/H128)</x:f>
      </x:c>
      <x:c r="J128" s="36" t="str">
        <x:f>IF(H128=0,"",(D128+0.5*E128+1)/(H128+2))</x:f>
      </x:c>
      <x:c r="K128" s="38" t="str">
        <x:f>IF((H128+G128)=0,"",SUMIFS('03_核验日志'!$K$211:$K$610,'03_核验日志'!$D$211:$D$610,$A128,'03_核验日志'!$J$211:$J$610,"&lt;&gt;不可评估")/(H128+G128))</x:f>
      </x:c>
      <x:c r="L128" s="28" t="n">
        <x:f>COUNTIFS('03_核验日志'!$D$211:$D$610,$A128,'03_核验日志'!$L$211:$L$610,"是")</x:f>
        <x:v>0</x:v>
      </x:c>
      <x:c r="M128" s="28" t="n">
        <x:f>COUNTIFS('03_核验日志'!$D$211:$D$610,$A128,'03_核验日志'!$M$211:$M$610,"是")</x:f>
        <x:v>0</x:v>
      </x:c>
      <x:c r="N128" s="28" t="str">
        <x:f>IF(A128="","",IF(H128&lt;5,"样本不足",IF(AND(H128&gt;=20,J128&gt;=0.75,F128&lt;=2),"升级验证候选",IF(AND(H128&gt;=10,J128&lt;0.45,F128&gt;=3),"降权/停用候选",IF(AND(H128&gt;=8,F128&gt;=3),"优先修订","保留观察")))))</x:f>
      </x:c>
      <x:c r="O128" s="28" t="str">
        <x:f>IF(N128="升级验证候选","已验证候选",IF(N128="优先修订","需修改",IF(N128="降权/停用候选","停用候选","待验证")))</x:f>
        <x:v>待验证</x:v>
      </x:c>
      <x:c r="P128" s="28"/>
      <x:c r="Q128" s="28"/>
    </x:row>
    <x:row r="129">
      <x:c r="A129" s="28"/>
      <x:c r="B129" s="28"/>
      <x:c r="C129" s="28"/>
      <x:c r="D129" s="28" t="n">
        <x:f>COUNTIFS('03_核验日志'!$D$211:$D$610,$A129,'03_核验日志'!$J$211:$J$610,"支持")</x:f>
        <x:v>0</x:v>
      </x:c>
      <x:c r="E129" s="28" t="n">
        <x:f>COUNTIFS('03_核验日志'!$D$211:$D$610,$A129,'03_核验日志'!$J$211:$J$610,"部分支持")</x:f>
        <x:v>0</x:v>
      </x:c>
      <x:c r="F129" s="28" t="n">
        <x:f>COUNTIFS('03_核验日志'!$D$211:$D$610,$A129,'03_核验日志'!$J$211:$J$610,"反例")</x:f>
        <x:v>0</x:v>
      </x:c>
      <x:c r="G129" s="28" t="n">
        <x:f>COUNTIFS('03_核验日志'!$D$211:$D$610,$A129,'03_核验日志'!$J$211:$J$610,"不确定")</x:f>
        <x:v>0</x:v>
      </x:c>
      <x:c r="H129" s="28" t="n">
        <x:f>D129+E129+F129</x:f>
        <x:v>0</x:v>
      </x:c>
      <x:c r="I129" s="36" t="str">
        <x:f>IF(H129=0,"",(D129+0.5*E129)/H129)</x:f>
      </x:c>
      <x:c r="J129" s="36" t="str">
        <x:f>IF(H129=0,"",(D129+0.5*E129+1)/(H129+2))</x:f>
      </x:c>
      <x:c r="K129" s="38" t="str">
        <x:f>IF((H129+G129)=0,"",SUMIFS('03_核验日志'!$K$211:$K$610,'03_核验日志'!$D$211:$D$610,$A129,'03_核验日志'!$J$211:$J$610,"&lt;&gt;不可评估")/(H129+G129))</x:f>
      </x:c>
      <x:c r="L129" s="28" t="n">
        <x:f>COUNTIFS('03_核验日志'!$D$211:$D$610,$A129,'03_核验日志'!$L$211:$L$610,"是")</x:f>
        <x:v>0</x:v>
      </x:c>
      <x:c r="M129" s="28" t="n">
        <x:f>COUNTIFS('03_核验日志'!$D$211:$D$610,$A129,'03_核验日志'!$M$211:$M$610,"是")</x:f>
        <x:v>0</x:v>
      </x:c>
      <x:c r="N129" s="28" t="str">
        <x:f>IF(A129="","",IF(H129&lt;5,"样本不足",IF(AND(H129&gt;=20,J129&gt;=0.75,F129&lt;=2),"升级验证候选",IF(AND(H129&gt;=10,J129&lt;0.45,F129&gt;=3),"降权/停用候选",IF(AND(H129&gt;=8,F129&gt;=3),"优先修订","保留观察")))))</x:f>
      </x:c>
      <x:c r="O129" s="28" t="str">
        <x:f>IF(N129="升级验证候选","已验证候选",IF(N129="优先修订","需修改",IF(N129="降权/停用候选","停用候选","待验证")))</x:f>
        <x:v>待验证</x:v>
      </x:c>
      <x:c r="P129" s="28"/>
      <x:c r="Q129" s="28"/>
    </x:row>
    <x:row r="130">
      <x:c r="A130" s="28"/>
      <x:c r="B130" s="28"/>
      <x:c r="C130" s="28"/>
      <x:c r="D130" s="28" t="n">
        <x:f>COUNTIFS('03_核验日志'!$D$211:$D$610,$A130,'03_核验日志'!$J$211:$J$610,"支持")</x:f>
        <x:v>0</x:v>
      </x:c>
      <x:c r="E130" s="28" t="n">
        <x:f>COUNTIFS('03_核验日志'!$D$211:$D$610,$A130,'03_核验日志'!$J$211:$J$610,"部分支持")</x:f>
        <x:v>0</x:v>
      </x:c>
      <x:c r="F130" s="28" t="n">
        <x:f>COUNTIFS('03_核验日志'!$D$211:$D$610,$A130,'03_核验日志'!$J$211:$J$610,"反例")</x:f>
        <x:v>0</x:v>
      </x:c>
      <x:c r="G130" s="28" t="n">
        <x:f>COUNTIFS('03_核验日志'!$D$211:$D$610,$A130,'03_核验日志'!$J$211:$J$610,"不确定")</x:f>
        <x:v>0</x:v>
      </x:c>
      <x:c r="H130" s="28" t="n">
        <x:f>D130+E130+F130</x:f>
        <x:v>0</x:v>
      </x:c>
      <x:c r="I130" s="36" t="str">
        <x:f>IF(H130=0,"",(D130+0.5*E130)/H130)</x:f>
      </x:c>
      <x:c r="J130" s="36" t="str">
        <x:f>IF(H130=0,"",(D130+0.5*E130+1)/(H130+2))</x:f>
      </x:c>
      <x:c r="K130" s="38" t="str">
        <x:f>IF((H130+G130)=0,"",SUMIFS('03_核验日志'!$K$211:$K$610,'03_核验日志'!$D$211:$D$610,$A130,'03_核验日志'!$J$211:$J$610,"&lt;&gt;不可评估")/(H130+G130))</x:f>
      </x:c>
      <x:c r="L130" s="28" t="n">
        <x:f>COUNTIFS('03_核验日志'!$D$211:$D$610,$A130,'03_核验日志'!$L$211:$L$610,"是")</x:f>
        <x:v>0</x:v>
      </x:c>
      <x:c r="M130" s="28" t="n">
        <x:f>COUNTIFS('03_核验日志'!$D$211:$D$610,$A130,'03_核验日志'!$M$211:$M$610,"是")</x:f>
        <x:v>0</x:v>
      </x:c>
      <x:c r="N130" s="28" t="str">
        <x:f>IF(A130="","",IF(H130&lt;5,"样本不足",IF(AND(H130&gt;=20,J130&gt;=0.75,F130&lt;=2),"升级验证候选",IF(AND(H130&gt;=10,J130&lt;0.45,F130&gt;=3),"降权/停用候选",IF(AND(H130&gt;=8,F130&gt;=3),"优先修订","保留观察")))))</x:f>
      </x:c>
      <x:c r="O130" s="28" t="str">
        <x:f>IF(N130="升级验证候选","已验证候选",IF(N130="优先修订","需修改",IF(N130="降权/停用候选","停用候选","待验证")))</x:f>
        <x:v>待验证</x:v>
      </x:c>
      <x:c r="P130" s="28"/>
      <x:c r="Q130" s="28"/>
    </x:row>
    <x:row r="131">
      <x:c r="A131" s="28"/>
      <x:c r="B131" s="28"/>
      <x:c r="C131" s="28"/>
      <x:c r="D131" s="28" t="n">
        <x:f>COUNTIFS('03_核验日志'!$D$211:$D$610,$A131,'03_核验日志'!$J$211:$J$610,"支持")</x:f>
        <x:v>0</x:v>
      </x:c>
      <x:c r="E131" s="28" t="n">
        <x:f>COUNTIFS('03_核验日志'!$D$211:$D$610,$A131,'03_核验日志'!$J$211:$J$610,"部分支持")</x:f>
        <x:v>0</x:v>
      </x:c>
      <x:c r="F131" s="28" t="n">
        <x:f>COUNTIFS('03_核验日志'!$D$211:$D$610,$A131,'03_核验日志'!$J$211:$J$610,"反例")</x:f>
        <x:v>0</x:v>
      </x:c>
      <x:c r="G131" s="28" t="n">
        <x:f>COUNTIFS('03_核验日志'!$D$211:$D$610,$A131,'03_核验日志'!$J$211:$J$610,"不确定")</x:f>
        <x:v>0</x:v>
      </x:c>
      <x:c r="H131" s="28" t="n">
        <x:f>D131+E131+F131</x:f>
        <x:v>0</x:v>
      </x:c>
      <x:c r="I131" s="36" t="str">
        <x:f>IF(H131=0,"",(D131+0.5*E131)/H131)</x:f>
      </x:c>
      <x:c r="J131" s="36" t="str">
        <x:f>IF(H131=0,"",(D131+0.5*E131+1)/(H131+2))</x:f>
      </x:c>
      <x:c r="K131" s="38" t="str">
        <x:f>IF((H131+G131)=0,"",SUMIFS('03_核验日志'!$K$211:$K$610,'03_核验日志'!$D$211:$D$610,$A131,'03_核验日志'!$J$211:$J$610,"&lt;&gt;不可评估")/(H131+G131))</x:f>
      </x:c>
      <x:c r="L131" s="28" t="n">
        <x:f>COUNTIFS('03_核验日志'!$D$211:$D$610,$A131,'03_核验日志'!$L$211:$L$610,"是")</x:f>
        <x:v>0</x:v>
      </x:c>
      <x:c r="M131" s="28" t="n">
        <x:f>COUNTIFS('03_核验日志'!$D$211:$D$610,$A131,'03_核验日志'!$M$211:$M$610,"是")</x:f>
        <x:v>0</x:v>
      </x:c>
      <x:c r="N131" s="28" t="str">
        <x:f>IF(A131="","",IF(H131&lt;5,"样本不足",IF(AND(H131&gt;=20,J131&gt;=0.75,F131&lt;=2),"升级验证候选",IF(AND(H131&gt;=10,J131&lt;0.45,F131&gt;=3),"降权/停用候选",IF(AND(H131&gt;=8,F131&gt;=3),"优先修订","保留观察")))))</x:f>
      </x:c>
      <x:c r="O131" s="28" t="str">
        <x:f>IF(N131="升级验证候选","已验证候选",IF(N131="优先修订","需修改",IF(N131="降权/停用候选","停用候选","待验证")))</x:f>
        <x:v>待验证</x:v>
      </x:c>
      <x:c r="P131" s="28"/>
      <x:c r="Q131" s="28"/>
    </x:row>
    <x:row r="132">
      <x:c r="A132" s="28"/>
      <x:c r="B132" s="28"/>
      <x:c r="C132" s="28"/>
      <x:c r="D132" s="28" t="n">
        <x:f>COUNTIFS('03_核验日志'!$D$211:$D$610,$A132,'03_核验日志'!$J$211:$J$610,"支持")</x:f>
        <x:v>0</x:v>
      </x:c>
      <x:c r="E132" s="28" t="n">
        <x:f>COUNTIFS('03_核验日志'!$D$211:$D$610,$A132,'03_核验日志'!$J$211:$J$610,"部分支持")</x:f>
        <x:v>0</x:v>
      </x:c>
      <x:c r="F132" s="28" t="n">
        <x:f>COUNTIFS('03_核验日志'!$D$211:$D$610,$A132,'03_核验日志'!$J$211:$J$610,"反例")</x:f>
        <x:v>0</x:v>
      </x:c>
      <x:c r="G132" s="28" t="n">
        <x:f>COUNTIFS('03_核验日志'!$D$211:$D$610,$A132,'03_核验日志'!$J$211:$J$610,"不确定")</x:f>
        <x:v>0</x:v>
      </x:c>
      <x:c r="H132" s="28" t="n">
        <x:f>D132+E132+F132</x:f>
        <x:v>0</x:v>
      </x:c>
      <x:c r="I132" s="36" t="str">
        <x:f>IF(H132=0,"",(D132+0.5*E132)/H132)</x:f>
      </x:c>
      <x:c r="J132" s="36" t="str">
        <x:f>IF(H132=0,"",(D132+0.5*E132+1)/(H132+2))</x:f>
      </x:c>
      <x:c r="K132" s="38" t="str">
        <x:f>IF((H132+G132)=0,"",SUMIFS('03_核验日志'!$K$211:$K$610,'03_核验日志'!$D$211:$D$610,$A132,'03_核验日志'!$J$211:$J$610,"&lt;&gt;不可评估")/(H132+G132))</x:f>
      </x:c>
      <x:c r="L132" s="28" t="n">
        <x:f>COUNTIFS('03_核验日志'!$D$211:$D$610,$A132,'03_核验日志'!$L$211:$L$610,"是")</x:f>
        <x:v>0</x:v>
      </x:c>
      <x:c r="M132" s="28" t="n">
        <x:f>COUNTIFS('03_核验日志'!$D$211:$D$610,$A132,'03_核验日志'!$M$211:$M$610,"是")</x:f>
        <x:v>0</x:v>
      </x:c>
      <x:c r="N132" s="28" t="str">
        <x:f>IF(A132="","",IF(H132&lt;5,"样本不足",IF(AND(H132&gt;=20,J132&gt;=0.75,F132&lt;=2),"升级验证候选",IF(AND(H132&gt;=10,J132&lt;0.45,F132&gt;=3),"降权/停用候选",IF(AND(H132&gt;=8,F132&gt;=3),"优先修订","保留观察")))))</x:f>
      </x:c>
      <x:c r="O132" s="28" t="str">
        <x:f>IF(N132="升级验证候选","已验证候选",IF(N132="优先修订","需修改",IF(N132="降权/停用候选","停用候选","待验证")))</x:f>
        <x:v>待验证</x:v>
      </x:c>
      <x:c r="P132" s="28"/>
      <x:c r="Q132" s="28"/>
    </x:row>
    <x:row r="133">
      <x:c r="A133" s="28"/>
      <x:c r="B133" s="28"/>
      <x:c r="C133" s="28"/>
      <x:c r="D133" s="28" t="n">
        <x:f>COUNTIFS('03_核验日志'!$D$211:$D$610,$A133,'03_核验日志'!$J$211:$J$610,"支持")</x:f>
        <x:v>0</x:v>
      </x:c>
      <x:c r="E133" s="28" t="n">
        <x:f>COUNTIFS('03_核验日志'!$D$211:$D$610,$A133,'03_核验日志'!$J$211:$J$610,"部分支持")</x:f>
        <x:v>0</x:v>
      </x:c>
      <x:c r="F133" s="28" t="n">
        <x:f>COUNTIFS('03_核验日志'!$D$211:$D$610,$A133,'03_核验日志'!$J$211:$J$610,"反例")</x:f>
        <x:v>0</x:v>
      </x:c>
      <x:c r="G133" s="28" t="n">
        <x:f>COUNTIFS('03_核验日志'!$D$211:$D$610,$A133,'03_核验日志'!$J$211:$J$610,"不确定")</x:f>
        <x:v>0</x:v>
      </x:c>
      <x:c r="H133" s="28" t="n">
        <x:f>D133+E133+F133</x:f>
        <x:v>0</x:v>
      </x:c>
      <x:c r="I133" s="36" t="str">
        <x:f>IF(H133=0,"",(D133+0.5*E133)/H133)</x:f>
      </x:c>
      <x:c r="J133" s="36" t="str">
        <x:f>IF(H133=0,"",(D133+0.5*E133+1)/(H133+2))</x:f>
      </x:c>
      <x:c r="K133" s="38" t="str">
        <x:f>IF((H133+G133)=0,"",SUMIFS('03_核验日志'!$K$211:$K$610,'03_核验日志'!$D$211:$D$610,$A133,'03_核验日志'!$J$211:$J$610,"&lt;&gt;不可评估")/(H133+G133))</x:f>
      </x:c>
      <x:c r="L133" s="28" t="n">
        <x:f>COUNTIFS('03_核验日志'!$D$211:$D$610,$A133,'03_核验日志'!$L$211:$L$610,"是")</x:f>
        <x:v>0</x:v>
      </x:c>
      <x:c r="M133" s="28" t="n">
        <x:f>COUNTIFS('03_核验日志'!$D$211:$D$610,$A133,'03_核验日志'!$M$211:$M$610,"是")</x:f>
        <x:v>0</x:v>
      </x:c>
      <x:c r="N133" s="28" t="str">
        <x:f>IF(A133="","",IF(H133&lt;5,"样本不足",IF(AND(H133&gt;=20,J133&gt;=0.75,F133&lt;=2),"升级验证候选",IF(AND(H133&gt;=10,J133&lt;0.45,F133&gt;=3),"降权/停用候选",IF(AND(H133&gt;=8,F133&gt;=3),"优先修订","保留观察")))))</x:f>
      </x:c>
      <x:c r="O133" s="28" t="str">
        <x:f>IF(N133="升级验证候选","已验证候选",IF(N133="优先修订","需修改",IF(N133="降权/停用候选","停用候选","待验证")))</x:f>
        <x:v>待验证</x:v>
      </x:c>
      <x:c r="P133" s="28"/>
      <x:c r="Q133" s="28"/>
    </x:row>
    <x:row r="134">
      <x:c r="A134" s="28"/>
      <x:c r="B134" s="28"/>
      <x:c r="C134" s="28"/>
      <x:c r="D134" s="28" t="n">
        <x:f>COUNTIFS('03_核验日志'!$D$211:$D$610,$A134,'03_核验日志'!$J$211:$J$610,"支持")</x:f>
        <x:v>0</x:v>
      </x:c>
      <x:c r="E134" s="28" t="n">
        <x:f>COUNTIFS('03_核验日志'!$D$211:$D$610,$A134,'03_核验日志'!$J$211:$J$610,"部分支持")</x:f>
        <x:v>0</x:v>
      </x:c>
      <x:c r="F134" s="28" t="n">
        <x:f>COUNTIFS('03_核验日志'!$D$211:$D$610,$A134,'03_核验日志'!$J$211:$J$610,"反例")</x:f>
        <x:v>0</x:v>
      </x:c>
      <x:c r="G134" s="28" t="n">
        <x:f>COUNTIFS('03_核验日志'!$D$211:$D$610,$A134,'03_核验日志'!$J$211:$J$610,"不确定")</x:f>
        <x:v>0</x:v>
      </x:c>
      <x:c r="H134" s="28" t="n">
        <x:f>D134+E134+F134</x:f>
        <x:v>0</x:v>
      </x:c>
      <x:c r="I134" s="36" t="str">
        <x:f>IF(H134=0,"",(D134+0.5*E134)/H134)</x:f>
      </x:c>
      <x:c r="J134" s="36" t="str">
        <x:f>IF(H134=0,"",(D134+0.5*E134+1)/(H134+2))</x:f>
      </x:c>
      <x:c r="K134" s="38" t="str">
        <x:f>IF((H134+G134)=0,"",SUMIFS('03_核验日志'!$K$211:$K$610,'03_核验日志'!$D$211:$D$610,$A134,'03_核验日志'!$J$211:$J$610,"&lt;&gt;不可评估")/(H134+G134))</x:f>
      </x:c>
      <x:c r="L134" s="28" t="n">
        <x:f>COUNTIFS('03_核验日志'!$D$211:$D$610,$A134,'03_核验日志'!$L$211:$L$610,"是")</x:f>
        <x:v>0</x:v>
      </x:c>
      <x:c r="M134" s="28" t="n">
        <x:f>COUNTIFS('03_核验日志'!$D$211:$D$610,$A134,'03_核验日志'!$M$211:$M$610,"是")</x:f>
        <x:v>0</x:v>
      </x:c>
      <x:c r="N134" s="28" t="str">
        <x:f>IF(A134="","",IF(H134&lt;5,"样本不足",IF(AND(H134&gt;=20,J134&gt;=0.75,F134&lt;=2),"升级验证候选",IF(AND(H134&gt;=10,J134&lt;0.45,F134&gt;=3),"降权/停用候选",IF(AND(H134&gt;=8,F134&gt;=3),"优先修订","保留观察")))))</x:f>
      </x:c>
      <x:c r="O134" s="28" t="str">
        <x:f>IF(N134="升级验证候选","已验证候选",IF(N134="优先修订","需修改",IF(N134="降权/停用候选","停用候选","待验证")))</x:f>
        <x:v>待验证</x:v>
      </x:c>
      <x:c r="P134" s="28"/>
      <x:c r="Q134" s="28"/>
    </x:row>
    <x:row r="135">
      <x:c r="A135" s="28"/>
      <x:c r="B135" s="28"/>
      <x:c r="C135" s="28"/>
      <x:c r="D135" s="28" t="n">
        <x:f>COUNTIFS('03_核验日志'!$D$211:$D$610,$A135,'03_核验日志'!$J$211:$J$610,"支持")</x:f>
        <x:v>0</x:v>
      </x:c>
      <x:c r="E135" s="28" t="n">
        <x:f>COUNTIFS('03_核验日志'!$D$211:$D$610,$A135,'03_核验日志'!$J$211:$J$610,"部分支持")</x:f>
        <x:v>0</x:v>
      </x:c>
      <x:c r="F135" s="28" t="n">
        <x:f>COUNTIFS('03_核验日志'!$D$211:$D$610,$A135,'03_核验日志'!$J$211:$J$610,"反例")</x:f>
        <x:v>0</x:v>
      </x:c>
      <x:c r="G135" s="28" t="n">
        <x:f>COUNTIFS('03_核验日志'!$D$211:$D$610,$A135,'03_核验日志'!$J$211:$J$610,"不确定")</x:f>
        <x:v>0</x:v>
      </x:c>
      <x:c r="H135" s="28" t="n">
        <x:f>D135+E135+F135</x:f>
        <x:v>0</x:v>
      </x:c>
      <x:c r="I135" s="36" t="str">
        <x:f>IF(H135=0,"",(D135+0.5*E135)/H135)</x:f>
      </x:c>
      <x:c r="J135" s="36" t="str">
        <x:f>IF(H135=0,"",(D135+0.5*E135+1)/(H135+2))</x:f>
      </x:c>
      <x:c r="K135" s="38" t="str">
        <x:f>IF((H135+G135)=0,"",SUMIFS('03_核验日志'!$K$211:$K$610,'03_核验日志'!$D$211:$D$610,$A135,'03_核验日志'!$J$211:$J$610,"&lt;&gt;不可评估")/(H135+G135))</x:f>
      </x:c>
      <x:c r="L135" s="28" t="n">
        <x:f>COUNTIFS('03_核验日志'!$D$211:$D$610,$A135,'03_核验日志'!$L$211:$L$610,"是")</x:f>
        <x:v>0</x:v>
      </x:c>
      <x:c r="M135" s="28" t="n">
        <x:f>COUNTIFS('03_核验日志'!$D$211:$D$610,$A135,'03_核验日志'!$M$211:$M$610,"是")</x:f>
        <x:v>0</x:v>
      </x:c>
      <x:c r="N135" s="28" t="str">
        <x:f>IF(A135="","",IF(H135&lt;5,"样本不足",IF(AND(H135&gt;=20,J135&gt;=0.75,F135&lt;=2),"升级验证候选",IF(AND(H135&gt;=10,J135&lt;0.45,F135&gt;=3),"降权/停用候选",IF(AND(H135&gt;=8,F135&gt;=3),"优先修订","保留观察")))))</x:f>
      </x:c>
      <x:c r="O135" s="28" t="str">
        <x:f>IF(N135="升级验证候选","已验证候选",IF(N135="优先修订","需修改",IF(N135="降权/停用候选","停用候选","待验证")))</x:f>
        <x:v>待验证</x:v>
      </x:c>
      <x:c r="P135" s="28"/>
      <x:c r="Q135" s="28"/>
    </x:row>
    <x:row r="136">
      <x:c r="A136" s="28"/>
      <x:c r="B136" s="28"/>
      <x:c r="C136" s="28"/>
      <x:c r="D136" s="28" t="n">
        <x:f>COUNTIFS('03_核验日志'!$D$211:$D$610,$A136,'03_核验日志'!$J$211:$J$610,"支持")</x:f>
        <x:v>0</x:v>
      </x:c>
      <x:c r="E136" s="28" t="n">
        <x:f>COUNTIFS('03_核验日志'!$D$211:$D$610,$A136,'03_核验日志'!$J$211:$J$610,"部分支持")</x:f>
        <x:v>0</x:v>
      </x:c>
      <x:c r="F136" s="28" t="n">
        <x:f>COUNTIFS('03_核验日志'!$D$211:$D$610,$A136,'03_核验日志'!$J$211:$J$610,"反例")</x:f>
        <x:v>0</x:v>
      </x:c>
      <x:c r="G136" s="28" t="n">
        <x:f>COUNTIFS('03_核验日志'!$D$211:$D$610,$A136,'03_核验日志'!$J$211:$J$610,"不确定")</x:f>
        <x:v>0</x:v>
      </x:c>
      <x:c r="H136" s="28" t="n">
        <x:f>D136+E136+F136</x:f>
        <x:v>0</x:v>
      </x:c>
      <x:c r="I136" s="36" t="str">
        <x:f>IF(H136=0,"",(D136+0.5*E136)/H136)</x:f>
      </x:c>
      <x:c r="J136" s="36" t="str">
        <x:f>IF(H136=0,"",(D136+0.5*E136+1)/(H136+2))</x:f>
      </x:c>
      <x:c r="K136" s="38" t="str">
        <x:f>IF((H136+G136)=0,"",SUMIFS('03_核验日志'!$K$211:$K$610,'03_核验日志'!$D$211:$D$610,$A136,'03_核验日志'!$J$211:$J$610,"&lt;&gt;不可评估")/(H136+G136))</x:f>
      </x:c>
      <x:c r="L136" s="28" t="n">
        <x:f>COUNTIFS('03_核验日志'!$D$211:$D$610,$A136,'03_核验日志'!$L$211:$L$610,"是")</x:f>
        <x:v>0</x:v>
      </x:c>
      <x:c r="M136" s="28" t="n">
        <x:f>COUNTIFS('03_核验日志'!$D$211:$D$610,$A136,'03_核验日志'!$M$211:$M$610,"是")</x:f>
        <x:v>0</x:v>
      </x:c>
      <x:c r="N136" s="28" t="str">
        <x:f>IF(A136="","",IF(H136&lt;5,"样本不足",IF(AND(H136&gt;=20,J136&gt;=0.75,F136&lt;=2),"升级验证候选",IF(AND(H136&gt;=10,J136&lt;0.45,F136&gt;=3),"降权/停用候选",IF(AND(H136&gt;=8,F136&gt;=3),"优先修订","保留观察")))))</x:f>
      </x:c>
      <x:c r="O136" s="28" t="str">
        <x:f>IF(N136="升级验证候选","已验证候选",IF(N136="优先修订","需修改",IF(N136="降权/停用候选","停用候选","待验证")))</x:f>
        <x:v>待验证</x:v>
      </x:c>
      <x:c r="P136" s="28"/>
      <x:c r="Q136" s="28"/>
    </x:row>
    <x:row r="137">
      <x:c r="A137" s="28"/>
      <x:c r="B137" s="28"/>
      <x:c r="C137" s="28"/>
      <x:c r="D137" s="28" t="n">
        <x:f>COUNTIFS('03_核验日志'!$D$211:$D$610,$A137,'03_核验日志'!$J$211:$J$610,"支持")</x:f>
        <x:v>0</x:v>
      </x:c>
      <x:c r="E137" s="28" t="n">
        <x:f>COUNTIFS('03_核验日志'!$D$211:$D$610,$A137,'03_核验日志'!$J$211:$J$610,"部分支持")</x:f>
        <x:v>0</x:v>
      </x:c>
      <x:c r="F137" s="28" t="n">
        <x:f>COUNTIFS('03_核验日志'!$D$211:$D$610,$A137,'03_核验日志'!$J$211:$J$610,"反例")</x:f>
        <x:v>0</x:v>
      </x:c>
      <x:c r="G137" s="28" t="n">
        <x:f>COUNTIFS('03_核验日志'!$D$211:$D$610,$A137,'03_核验日志'!$J$211:$J$610,"不确定")</x:f>
        <x:v>0</x:v>
      </x:c>
      <x:c r="H137" s="28" t="n">
        <x:f>D137+E137+F137</x:f>
        <x:v>0</x:v>
      </x:c>
      <x:c r="I137" s="36" t="str">
        <x:f>IF(H137=0,"",(D137+0.5*E137)/H137)</x:f>
      </x:c>
      <x:c r="J137" s="36" t="str">
        <x:f>IF(H137=0,"",(D137+0.5*E137+1)/(H137+2))</x:f>
      </x:c>
      <x:c r="K137" s="38" t="str">
        <x:f>IF((H137+G137)=0,"",SUMIFS('03_核验日志'!$K$211:$K$610,'03_核验日志'!$D$211:$D$610,$A137,'03_核验日志'!$J$211:$J$610,"&lt;&gt;不可评估")/(H137+G137))</x:f>
      </x:c>
      <x:c r="L137" s="28" t="n">
        <x:f>COUNTIFS('03_核验日志'!$D$211:$D$610,$A137,'03_核验日志'!$L$211:$L$610,"是")</x:f>
        <x:v>0</x:v>
      </x:c>
      <x:c r="M137" s="28" t="n">
        <x:f>COUNTIFS('03_核验日志'!$D$211:$D$610,$A137,'03_核验日志'!$M$211:$M$610,"是")</x:f>
        <x:v>0</x:v>
      </x:c>
      <x:c r="N137" s="28" t="str">
        <x:f>IF(A137="","",IF(H137&lt;5,"样本不足",IF(AND(H137&gt;=20,J137&gt;=0.75,F137&lt;=2),"升级验证候选",IF(AND(H137&gt;=10,J137&lt;0.45,F137&gt;=3),"降权/停用候选",IF(AND(H137&gt;=8,F137&gt;=3),"优先修订","保留观察")))))</x:f>
      </x:c>
      <x:c r="O137" s="28" t="str">
        <x:f>IF(N137="升级验证候选","已验证候选",IF(N137="优先修订","需修改",IF(N137="降权/停用候选","停用候选","待验证")))</x:f>
        <x:v>待验证</x:v>
      </x:c>
      <x:c r="P137" s="28"/>
      <x:c r="Q137" s="28"/>
    </x:row>
    <x:row r="138">
      <x:c r="A138" s="28"/>
      <x:c r="B138" s="28"/>
      <x:c r="C138" s="28"/>
      <x:c r="D138" s="28" t="n">
        <x:f>COUNTIFS('03_核验日志'!$D$211:$D$610,$A138,'03_核验日志'!$J$211:$J$610,"支持")</x:f>
        <x:v>0</x:v>
      </x:c>
      <x:c r="E138" s="28" t="n">
        <x:f>COUNTIFS('03_核验日志'!$D$211:$D$610,$A138,'03_核验日志'!$J$211:$J$610,"部分支持")</x:f>
        <x:v>0</x:v>
      </x:c>
      <x:c r="F138" s="28" t="n">
        <x:f>COUNTIFS('03_核验日志'!$D$211:$D$610,$A138,'03_核验日志'!$J$211:$J$610,"反例")</x:f>
        <x:v>0</x:v>
      </x:c>
      <x:c r="G138" s="28" t="n">
        <x:f>COUNTIFS('03_核验日志'!$D$211:$D$610,$A138,'03_核验日志'!$J$211:$J$610,"不确定")</x:f>
        <x:v>0</x:v>
      </x:c>
      <x:c r="H138" s="28" t="n">
        <x:f>D138+E138+F138</x:f>
        <x:v>0</x:v>
      </x:c>
      <x:c r="I138" s="36" t="str">
        <x:f>IF(H138=0,"",(D138+0.5*E138)/H138)</x:f>
      </x:c>
      <x:c r="J138" s="36" t="str">
        <x:f>IF(H138=0,"",(D138+0.5*E138+1)/(H138+2))</x:f>
      </x:c>
      <x:c r="K138" s="38" t="str">
        <x:f>IF((H138+G138)=0,"",SUMIFS('03_核验日志'!$K$211:$K$610,'03_核验日志'!$D$211:$D$610,$A138,'03_核验日志'!$J$211:$J$610,"&lt;&gt;不可评估")/(H138+G138))</x:f>
      </x:c>
      <x:c r="L138" s="28" t="n">
        <x:f>COUNTIFS('03_核验日志'!$D$211:$D$610,$A138,'03_核验日志'!$L$211:$L$610,"是")</x:f>
        <x:v>0</x:v>
      </x:c>
      <x:c r="M138" s="28" t="n">
        <x:f>COUNTIFS('03_核验日志'!$D$211:$D$610,$A138,'03_核验日志'!$M$211:$M$610,"是")</x:f>
        <x:v>0</x:v>
      </x:c>
      <x:c r="N138" s="28" t="str">
        <x:f>IF(A138="","",IF(H138&lt;5,"样本不足",IF(AND(H138&gt;=20,J138&gt;=0.75,F138&lt;=2),"升级验证候选",IF(AND(H138&gt;=10,J138&lt;0.45,F138&gt;=3),"降权/停用候选",IF(AND(H138&gt;=8,F138&gt;=3),"优先修订","保留观察")))))</x:f>
      </x:c>
      <x:c r="O138" s="28" t="str">
        <x:f>IF(N138="升级验证候选","已验证候选",IF(N138="优先修订","需修改",IF(N138="降权/停用候选","停用候选","待验证")))</x:f>
        <x:v>待验证</x:v>
      </x:c>
      <x:c r="P138" s="28"/>
      <x:c r="Q138" s="28"/>
    </x:row>
    <x:row r="139">
      <x:c r="A139" s="28"/>
      <x:c r="B139" s="28"/>
      <x:c r="C139" s="28"/>
      <x:c r="D139" s="28" t="n">
        <x:f>COUNTIFS('03_核验日志'!$D$211:$D$610,$A139,'03_核验日志'!$J$211:$J$610,"支持")</x:f>
        <x:v>0</x:v>
      </x:c>
      <x:c r="E139" s="28" t="n">
        <x:f>COUNTIFS('03_核验日志'!$D$211:$D$610,$A139,'03_核验日志'!$J$211:$J$610,"部分支持")</x:f>
        <x:v>0</x:v>
      </x:c>
      <x:c r="F139" s="28" t="n">
        <x:f>COUNTIFS('03_核验日志'!$D$211:$D$610,$A139,'03_核验日志'!$J$211:$J$610,"反例")</x:f>
        <x:v>0</x:v>
      </x:c>
      <x:c r="G139" s="28" t="n">
        <x:f>COUNTIFS('03_核验日志'!$D$211:$D$610,$A139,'03_核验日志'!$J$211:$J$610,"不确定")</x:f>
        <x:v>0</x:v>
      </x:c>
      <x:c r="H139" s="28" t="n">
        <x:f>D139+E139+F139</x:f>
        <x:v>0</x:v>
      </x:c>
      <x:c r="I139" s="36" t="str">
        <x:f>IF(H139=0,"",(D139+0.5*E139)/H139)</x:f>
      </x:c>
      <x:c r="J139" s="36" t="str">
        <x:f>IF(H139=0,"",(D139+0.5*E139+1)/(H139+2))</x:f>
      </x:c>
      <x:c r="K139" s="38" t="str">
        <x:f>IF((H139+G139)=0,"",SUMIFS('03_核验日志'!$K$211:$K$610,'03_核验日志'!$D$211:$D$610,$A139,'03_核验日志'!$J$211:$J$610,"&lt;&gt;不可评估")/(H139+G139))</x:f>
      </x:c>
      <x:c r="L139" s="28" t="n">
        <x:f>COUNTIFS('03_核验日志'!$D$211:$D$610,$A139,'03_核验日志'!$L$211:$L$610,"是")</x:f>
        <x:v>0</x:v>
      </x:c>
      <x:c r="M139" s="28" t="n">
        <x:f>COUNTIFS('03_核验日志'!$D$211:$D$610,$A139,'03_核验日志'!$M$211:$M$610,"是")</x:f>
        <x:v>0</x:v>
      </x:c>
      <x:c r="N139" s="28" t="str">
        <x:f>IF(A139="","",IF(H139&lt;5,"样本不足",IF(AND(H139&gt;=20,J139&gt;=0.75,F139&lt;=2),"升级验证候选",IF(AND(H139&gt;=10,J139&lt;0.45,F139&gt;=3),"降权/停用候选",IF(AND(H139&gt;=8,F139&gt;=3),"优先修订","保留观察")))))</x:f>
      </x:c>
      <x:c r="O139" s="28" t="str">
        <x:f>IF(N139="升级验证候选","已验证候选",IF(N139="优先修订","需修改",IF(N139="降权/停用候选","停用候选","待验证")))</x:f>
        <x:v>待验证</x:v>
      </x:c>
      <x:c r="P139" s="28"/>
      <x:c r="Q139" s="28"/>
    </x:row>
    <x:row r="140">
      <x:c r="A140" s="28"/>
      <x:c r="B140" s="28"/>
      <x:c r="C140" s="28"/>
      <x:c r="D140" s="28" t="n">
        <x:f>COUNTIFS('03_核验日志'!$D$211:$D$610,$A140,'03_核验日志'!$J$211:$J$610,"支持")</x:f>
        <x:v>0</x:v>
      </x:c>
      <x:c r="E140" s="28" t="n">
        <x:f>COUNTIFS('03_核验日志'!$D$211:$D$610,$A140,'03_核验日志'!$J$211:$J$610,"部分支持")</x:f>
        <x:v>0</x:v>
      </x:c>
      <x:c r="F140" s="28" t="n">
        <x:f>COUNTIFS('03_核验日志'!$D$211:$D$610,$A140,'03_核验日志'!$J$211:$J$610,"反例")</x:f>
        <x:v>0</x:v>
      </x:c>
      <x:c r="G140" s="28" t="n">
        <x:f>COUNTIFS('03_核验日志'!$D$211:$D$610,$A140,'03_核验日志'!$J$211:$J$610,"不确定")</x:f>
        <x:v>0</x:v>
      </x:c>
      <x:c r="H140" s="28" t="n">
        <x:f>D140+E140+F140</x:f>
        <x:v>0</x:v>
      </x:c>
      <x:c r="I140" s="36" t="str">
        <x:f>IF(H140=0,"",(D140+0.5*E140)/H140)</x:f>
      </x:c>
      <x:c r="J140" s="36" t="str">
        <x:f>IF(H140=0,"",(D140+0.5*E140+1)/(H140+2))</x:f>
      </x:c>
      <x:c r="K140" s="38" t="str">
        <x:f>IF((H140+G140)=0,"",SUMIFS('03_核验日志'!$K$211:$K$610,'03_核验日志'!$D$211:$D$610,$A140,'03_核验日志'!$J$211:$J$610,"&lt;&gt;不可评估")/(H140+G140))</x:f>
      </x:c>
      <x:c r="L140" s="28" t="n">
        <x:f>COUNTIFS('03_核验日志'!$D$211:$D$610,$A140,'03_核验日志'!$L$211:$L$610,"是")</x:f>
        <x:v>0</x:v>
      </x:c>
      <x:c r="M140" s="28" t="n">
        <x:f>COUNTIFS('03_核验日志'!$D$211:$D$610,$A140,'03_核验日志'!$M$211:$M$610,"是")</x:f>
        <x:v>0</x:v>
      </x:c>
      <x:c r="N140" s="28" t="str">
        <x:f>IF(A140="","",IF(H140&lt;5,"样本不足",IF(AND(H140&gt;=20,J140&gt;=0.75,F140&lt;=2),"升级验证候选",IF(AND(H140&gt;=10,J140&lt;0.45,F140&gt;=3),"降权/停用候选",IF(AND(H140&gt;=8,F140&gt;=3),"优先修订","保留观察")))))</x:f>
      </x:c>
      <x:c r="O140" s="28" t="str">
        <x:f>IF(N140="升级验证候选","已验证候选",IF(N140="优先修订","需修改",IF(N140="降权/停用候选","停用候选","待验证")))</x:f>
        <x:v>待验证</x:v>
      </x:c>
      <x:c r="P140" s="28"/>
      <x:c r="Q140" s="28"/>
    </x:row>
    <x:row r="141">
      <x:c r="A141" s="28"/>
      <x:c r="B141" s="28"/>
      <x:c r="C141" s="28"/>
      <x:c r="D141" s="28" t="n">
        <x:f>COUNTIFS('03_核验日志'!$D$211:$D$610,$A141,'03_核验日志'!$J$211:$J$610,"支持")</x:f>
        <x:v>0</x:v>
      </x:c>
      <x:c r="E141" s="28" t="n">
        <x:f>COUNTIFS('03_核验日志'!$D$211:$D$610,$A141,'03_核验日志'!$J$211:$J$610,"部分支持")</x:f>
        <x:v>0</x:v>
      </x:c>
      <x:c r="F141" s="28" t="n">
        <x:f>COUNTIFS('03_核验日志'!$D$211:$D$610,$A141,'03_核验日志'!$J$211:$J$610,"反例")</x:f>
        <x:v>0</x:v>
      </x:c>
      <x:c r="G141" s="28" t="n">
        <x:f>COUNTIFS('03_核验日志'!$D$211:$D$610,$A141,'03_核验日志'!$J$211:$J$610,"不确定")</x:f>
        <x:v>0</x:v>
      </x:c>
      <x:c r="H141" s="28" t="n">
        <x:f>D141+E141+F141</x:f>
        <x:v>0</x:v>
      </x:c>
      <x:c r="I141" s="36" t="str">
        <x:f>IF(H141=0,"",(D141+0.5*E141)/H141)</x:f>
      </x:c>
      <x:c r="J141" s="36" t="str">
        <x:f>IF(H141=0,"",(D141+0.5*E141+1)/(H141+2))</x:f>
      </x:c>
      <x:c r="K141" s="38" t="str">
        <x:f>IF((H141+G141)=0,"",SUMIFS('03_核验日志'!$K$211:$K$610,'03_核验日志'!$D$211:$D$610,$A141,'03_核验日志'!$J$211:$J$610,"&lt;&gt;不可评估")/(H141+G141))</x:f>
      </x:c>
      <x:c r="L141" s="28" t="n">
        <x:f>COUNTIFS('03_核验日志'!$D$211:$D$610,$A141,'03_核验日志'!$L$211:$L$610,"是")</x:f>
        <x:v>0</x:v>
      </x:c>
      <x:c r="M141" s="28" t="n">
        <x:f>COUNTIFS('03_核验日志'!$D$211:$D$610,$A141,'03_核验日志'!$M$211:$M$610,"是")</x:f>
        <x:v>0</x:v>
      </x:c>
      <x:c r="N141" s="28" t="str">
        <x:f>IF(A141="","",IF(H141&lt;5,"样本不足",IF(AND(H141&gt;=20,J141&gt;=0.75,F141&lt;=2),"升级验证候选",IF(AND(H141&gt;=10,J141&lt;0.45,F141&gt;=3),"降权/停用候选",IF(AND(H141&gt;=8,F141&gt;=3),"优先修订","保留观察")))))</x:f>
      </x:c>
      <x:c r="O141" s="28" t="str">
        <x:f>IF(N141="升级验证候选","已验证候选",IF(N141="优先修订","需修改",IF(N141="降权/停用候选","停用候选","待验证")))</x:f>
        <x:v>待验证</x:v>
      </x:c>
      <x:c r="P141" s="28"/>
      <x:c r="Q141" s="28"/>
    </x:row>
    <x:row r="142">
      <x:c r="A142" s="28"/>
      <x:c r="B142" s="28"/>
      <x:c r="C142" s="28"/>
      <x:c r="D142" s="28" t="n">
        <x:f>COUNTIFS('03_核验日志'!$D$211:$D$610,$A142,'03_核验日志'!$J$211:$J$610,"支持")</x:f>
        <x:v>0</x:v>
      </x:c>
      <x:c r="E142" s="28" t="n">
        <x:f>COUNTIFS('03_核验日志'!$D$211:$D$610,$A142,'03_核验日志'!$J$211:$J$610,"部分支持")</x:f>
        <x:v>0</x:v>
      </x:c>
      <x:c r="F142" s="28" t="n">
        <x:f>COUNTIFS('03_核验日志'!$D$211:$D$610,$A142,'03_核验日志'!$J$211:$J$610,"反例")</x:f>
        <x:v>0</x:v>
      </x:c>
      <x:c r="G142" s="28" t="n">
        <x:f>COUNTIFS('03_核验日志'!$D$211:$D$610,$A142,'03_核验日志'!$J$211:$J$610,"不确定")</x:f>
        <x:v>0</x:v>
      </x:c>
      <x:c r="H142" s="28" t="n">
        <x:f>D142+E142+F142</x:f>
        <x:v>0</x:v>
      </x:c>
      <x:c r="I142" s="36" t="str">
        <x:f>IF(H142=0,"",(D142+0.5*E142)/H142)</x:f>
      </x:c>
      <x:c r="J142" s="36" t="str">
        <x:f>IF(H142=0,"",(D142+0.5*E142+1)/(H142+2))</x:f>
      </x:c>
      <x:c r="K142" s="38" t="str">
        <x:f>IF((H142+G142)=0,"",SUMIFS('03_核验日志'!$K$211:$K$610,'03_核验日志'!$D$211:$D$610,$A142,'03_核验日志'!$J$211:$J$610,"&lt;&gt;不可评估")/(H142+G142))</x:f>
      </x:c>
      <x:c r="L142" s="28" t="n">
        <x:f>COUNTIFS('03_核验日志'!$D$211:$D$610,$A142,'03_核验日志'!$L$211:$L$610,"是")</x:f>
        <x:v>0</x:v>
      </x:c>
      <x:c r="M142" s="28" t="n">
        <x:f>COUNTIFS('03_核验日志'!$D$211:$D$610,$A142,'03_核验日志'!$M$211:$M$610,"是")</x:f>
        <x:v>0</x:v>
      </x:c>
      <x:c r="N142" s="28" t="str">
        <x:f>IF(A142="","",IF(H142&lt;5,"样本不足",IF(AND(H142&gt;=20,J142&gt;=0.75,F142&lt;=2),"升级验证候选",IF(AND(H142&gt;=10,J142&lt;0.45,F142&gt;=3),"降权/停用候选",IF(AND(H142&gt;=8,F142&gt;=3),"优先修订","保留观察")))))</x:f>
      </x:c>
      <x:c r="O142" s="28" t="str">
        <x:f>IF(N142="升级验证候选","已验证候选",IF(N142="优先修订","需修改",IF(N142="降权/停用候选","停用候选","待验证")))</x:f>
        <x:v>待验证</x:v>
      </x:c>
      <x:c r="P142" s="28"/>
      <x:c r="Q142" s="28"/>
    </x:row>
    <x:row r="143">
      <x:c r="A143" s="28"/>
      <x:c r="B143" s="28"/>
      <x:c r="C143" s="28"/>
      <x:c r="D143" s="28" t="n">
        <x:f>COUNTIFS('03_核验日志'!$D$211:$D$610,$A143,'03_核验日志'!$J$211:$J$610,"支持")</x:f>
        <x:v>0</x:v>
      </x:c>
      <x:c r="E143" s="28" t="n">
        <x:f>COUNTIFS('03_核验日志'!$D$211:$D$610,$A143,'03_核验日志'!$J$211:$J$610,"部分支持")</x:f>
        <x:v>0</x:v>
      </x:c>
      <x:c r="F143" s="28" t="n">
        <x:f>COUNTIFS('03_核验日志'!$D$211:$D$610,$A143,'03_核验日志'!$J$211:$J$610,"反例")</x:f>
        <x:v>0</x:v>
      </x:c>
      <x:c r="G143" s="28" t="n">
        <x:f>COUNTIFS('03_核验日志'!$D$211:$D$610,$A143,'03_核验日志'!$J$211:$J$610,"不确定")</x:f>
        <x:v>0</x:v>
      </x:c>
      <x:c r="H143" s="28" t="n">
        <x:f>D143+E143+F143</x:f>
        <x:v>0</x:v>
      </x:c>
      <x:c r="I143" s="36" t="str">
        <x:f>IF(H143=0,"",(D143+0.5*E143)/H143)</x:f>
      </x:c>
      <x:c r="J143" s="36" t="str">
        <x:f>IF(H143=0,"",(D143+0.5*E143+1)/(H143+2))</x:f>
      </x:c>
      <x:c r="K143" s="38" t="str">
        <x:f>IF((H143+G143)=0,"",SUMIFS('03_核验日志'!$K$211:$K$610,'03_核验日志'!$D$211:$D$610,$A143,'03_核验日志'!$J$211:$J$610,"&lt;&gt;不可评估")/(H143+G143))</x:f>
      </x:c>
      <x:c r="L143" s="28" t="n">
        <x:f>COUNTIFS('03_核验日志'!$D$211:$D$610,$A143,'03_核验日志'!$L$211:$L$610,"是")</x:f>
        <x:v>0</x:v>
      </x:c>
      <x:c r="M143" s="28" t="n">
        <x:f>COUNTIFS('03_核验日志'!$D$211:$D$610,$A143,'03_核验日志'!$M$211:$M$610,"是")</x:f>
        <x:v>0</x:v>
      </x:c>
      <x:c r="N143" s="28" t="str">
        <x:f>IF(A143="","",IF(H143&lt;5,"样本不足",IF(AND(H143&gt;=20,J143&gt;=0.75,F143&lt;=2),"升级验证候选",IF(AND(H143&gt;=10,J143&lt;0.45,F143&gt;=3),"降权/停用候选",IF(AND(H143&gt;=8,F143&gt;=3),"优先修订","保留观察")))))</x:f>
      </x:c>
      <x:c r="O143" s="28" t="str">
        <x:f>IF(N143="升级验证候选","已验证候选",IF(N143="优先修订","需修改",IF(N143="降权/停用候选","停用候选","待验证")))</x:f>
        <x:v>待验证</x:v>
      </x:c>
      <x:c r="P143" s="28"/>
      <x:c r="Q143" s="28"/>
    </x:row>
    <x:row r="144">
      <x:c r="A144" s="28"/>
      <x:c r="B144" s="28"/>
      <x:c r="C144" s="28"/>
      <x:c r="D144" s="28" t="n">
        <x:f>COUNTIFS('03_核验日志'!$D$211:$D$610,$A144,'03_核验日志'!$J$211:$J$610,"支持")</x:f>
        <x:v>0</x:v>
      </x:c>
      <x:c r="E144" s="28" t="n">
        <x:f>COUNTIFS('03_核验日志'!$D$211:$D$610,$A144,'03_核验日志'!$J$211:$J$610,"部分支持")</x:f>
        <x:v>0</x:v>
      </x:c>
      <x:c r="F144" s="28" t="n">
        <x:f>COUNTIFS('03_核验日志'!$D$211:$D$610,$A144,'03_核验日志'!$J$211:$J$610,"反例")</x:f>
        <x:v>0</x:v>
      </x:c>
      <x:c r="G144" s="28" t="n">
        <x:f>COUNTIFS('03_核验日志'!$D$211:$D$610,$A144,'03_核验日志'!$J$211:$J$610,"不确定")</x:f>
        <x:v>0</x:v>
      </x:c>
      <x:c r="H144" s="28" t="n">
        <x:f>D144+E144+F144</x:f>
        <x:v>0</x:v>
      </x:c>
      <x:c r="I144" s="36" t="str">
        <x:f>IF(H144=0,"",(D144+0.5*E144)/H144)</x:f>
      </x:c>
      <x:c r="J144" s="36" t="str">
        <x:f>IF(H144=0,"",(D144+0.5*E144+1)/(H144+2))</x:f>
      </x:c>
      <x:c r="K144" s="38" t="str">
        <x:f>IF((H144+G144)=0,"",SUMIFS('03_核验日志'!$K$211:$K$610,'03_核验日志'!$D$211:$D$610,$A144,'03_核验日志'!$J$211:$J$610,"&lt;&gt;不可评估")/(H144+G144))</x:f>
      </x:c>
      <x:c r="L144" s="28" t="n">
        <x:f>COUNTIFS('03_核验日志'!$D$211:$D$610,$A144,'03_核验日志'!$L$211:$L$610,"是")</x:f>
        <x:v>0</x:v>
      </x:c>
      <x:c r="M144" s="28" t="n">
        <x:f>COUNTIFS('03_核验日志'!$D$211:$D$610,$A144,'03_核验日志'!$M$211:$M$610,"是")</x:f>
        <x:v>0</x:v>
      </x:c>
      <x:c r="N144" s="28" t="str">
        <x:f>IF(A144="","",IF(H144&lt;5,"样本不足",IF(AND(H144&gt;=20,J144&gt;=0.75,F144&lt;=2),"升级验证候选",IF(AND(H144&gt;=10,J144&lt;0.45,F144&gt;=3),"降权/停用候选",IF(AND(H144&gt;=8,F144&gt;=3),"优先修订","保留观察")))))</x:f>
      </x:c>
      <x:c r="O144" s="28" t="str">
        <x:f>IF(N144="升级验证候选","已验证候选",IF(N144="优先修订","需修改",IF(N144="降权/停用候选","停用候选","待验证")))</x:f>
        <x:v>待验证</x:v>
      </x:c>
      <x:c r="P144" s="28"/>
      <x:c r="Q144" s="28"/>
    </x:row>
    <x:row r="145">
      <x:c r="A145" s="28"/>
      <x:c r="B145" s="28"/>
      <x:c r="C145" s="28"/>
      <x:c r="D145" s="28" t="n">
        <x:f>COUNTIFS('03_核验日志'!$D$211:$D$610,$A145,'03_核验日志'!$J$211:$J$610,"支持")</x:f>
        <x:v>0</x:v>
      </x:c>
      <x:c r="E145" s="28" t="n">
        <x:f>COUNTIFS('03_核验日志'!$D$211:$D$610,$A145,'03_核验日志'!$J$211:$J$610,"部分支持")</x:f>
        <x:v>0</x:v>
      </x:c>
      <x:c r="F145" s="28" t="n">
        <x:f>COUNTIFS('03_核验日志'!$D$211:$D$610,$A145,'03_核验日志'!$J$211:$J$610,"反例")</x:f>
        <x:v>0</x:v>
      </x:c>
      <x:c r="G145" s="28" t="n">
        <x:f>COUNTIFS('03_核验日志'!$D$211:$D$610,$A145,'03_核验日志'!$J$211:$J$610,"不确定")</x:f>
        <x:v>0</x:v>
      </x:c>
      <x:c r="H145" s="28" t="n">
        <x:f>D145+E145+F145</x:f>
        <x:v>0</x:v>
      </x:c>
      <x:c r="I145" s="36" t="str">
        <x:f>IF(H145=0,"",(D145+0.5*E145)/H145)</x:f>
      </x:c>
      <x:c r="J145" s="36" t="str">
        <x:f>IF(H145=0,"",(D145+0.5*E145+1)/(H145+2))</x:f>
      </x:c>
      <x:c r="K145" s="38" t="str">
        <x:f>IF((H145+G145)=0,"",SUMIFS('03_核验日志'!$K$211:$K$610,'03_核验日志'!$D$211:$D$610,$A145,'03_核验日志'!$J$211:$J$610,"&lt;&gt;不可评估")/(H145+G145))</x:f>
      </x:c>
      <x:c r="L145" s="28" t="n">
        <x:f>COUNTIFS('03_核验日志'!$D$211:$D$610,$A145,'03_核验日志'!$L$211:$L$610,"是")</x:f>
        <x:v>0</x:v>
      </x:c>
      <x:c r="M145" s="28" t="n">
        <x:f>COUNTIFS('03_核验日志'!$D$211:$D$610,$A145,'03_核验日志'!$M$211:$M$610,"是")</x:f>
        <x:v>0</x:v>
      </x:c>
      <x:c r="N145" s="28" t="str">
        <x:f>IF(A145="","",IF(H145&lt;5,"样本不足",IF(AND(H145&gt;=20,J145&gt;=0.75,F145&lt;=2),"升级验证候选",IF(AND(H145&gt;=10,J145&lt;0.45,F145&gt;=3),"降权/停用候选",IF(AND(H145&gt;=8,F145&gt;=3),"优先修订","保留观察")))))</x:f>
      </x:c>
      <x:c r="O145" s="28" t="str">
        <x:f>IF(N145="升级验证候选","已验证候选",IF(N145="优先修订","需修改",IF(N145="降权/停用候选","停用候选","待验证")))</x:f>
        <x:v>待验证</x:v>
      </x:c>
      <x:c r="P145" s="28"/>
      <x:c r="Q145" s="28"/>
    </x:row>
    <x:row r="146">
      <x:c r="A146" s="28"/>
      <x:c r="B146" s="28"/>
      <x:c r="C146" s="28"/>
      <x:c r="D146" s="28" t="n">
        <x:f>COUNTIFS('03_核验日志'!$D$211:$D$610,$A146,'03_核验日志'!$J$211:$J$610,"支持")</x:f>
        <x:v>0</x:v>
      </x:c>
      <x:c r="E146" s="28" t="n">
        <x:f>COUNTIFS('03_核验日志'!$D$211:$D$610,$A146,'03_核验日志'!$J$211:$J$610,"部分支持")</x:f>
        <x:v>0</x:v>
      </x:c>
      <x:c r="F146" s="28" t="n">
        <x:f>COUNTIFS('03_核验日志'!$D$211:$D$610,$A146,'03_核验日志'!$J$211:$J$610,"反例")</x:f>
        <x:v>0</x:v>
      </x:c>
      <x:c r="G146" s="28" t="n">
        <x:f>COUNTIFS('03_核验日志'!$D$211:$D$610,$A146,'03_核验日志'!$J$211:$J$610,"不确定")</x:f>
        <x:v>0</x:v>
      </x:c>
      <x:c r="H146" s="28" t="n">
        <x:f>D146+E146+F146</x:f>
        <x:v>0</x:v>
      </x:c>
      <x:c r="I146" s="36" t="str">
        <x:f>IF(H146=0,"",(D146+0.5*E146)/H146)</x:f>
      </x:c>
      <x:c r="J146" s="36" t="str">
        <x:f>IF(H146=0,"",(D146+0.5*E146+1)/(H146+2))</x:f>
      </x:c>
      <x:c r="K146" s="38" t="str">
        <x:f>IF((H146+G146)=0,"",SUMIFS('03_核验日志'!$K$211:$K$610,'03_核验日志'!$D$211:$D$610,$A146,'03_核验日志'!$J$211:$J$610,"&lt;&gt;不可评估")/(H146+G146))</x:f>
      </x:c>
      <x:c r="L146" s="28" t="n">
        <x:f>COUNTIFS('03_核验日志'!$D$211:$D$610,$A146,'03_核验日志'!$L$211:$L$610,"是")</x:f>
        <x:v>0</x:v>
      </x:c>
      <x:c r="M146" s="28" t="n">
        <x:f>COUNTIFS('03_核验日志'!$D$211:$D$610,$A146,'03_核验日志'!$M$211:$M$610,"是")</x:f>
        <x:v>0</x:v>
      </x:c>
      <x:c r="N146" s="28" t="str">
        <x:f>IF(A146="","",IF(H146&lt;5,"样本不足",IF(AND(H146&gt;=20,J146&gt;=0.75,F146&lt;=2),"升级验证候选",IF(AND(H146&gt;=10,J146&lt;0.45,F146&gt;=3),"降权/停用候选",IF(AND(H146&gt;=8,F146&gt;=3),"优先修订","保留观察")))))</x:f>
      </x:c>
      <x:c r="O146" s="28" t="str">
        <x:f>IF(N146="升级验证候选","已验证候选",IF(N146="优先修订","需修改",IF(N146="降权/停用候选","停用候选","待验证")))</x:f>
        <x:v>待验证</x:v>
      </x:c>
      <x:c r="P146" s="28"/>
      <x:c r="Q146" s="28"/>
    </x:row>
    <x:row r="147">
      <x:c r="A147" s="28"/>
      <x:c r="B147" s="28"/>
      <x:c r="C147" s="28"/>
      <x:c r="D147" s="28" t="n">
        <x:f>COUNTIFS('03_核验日志'!$D$211:$D$610,$A147,'03_核验日志'!$J$211:$J$610,"支持")</x:f>
        <x:v>0</x:v>
      </x:c>
      <x:c r="E147" s="28" t="n">
        <x:f>COUNTIFS('03_核验日志'!$D$211:$D$610,$A147,'03_核验日志'!$J$211:$J$610,"部分支持")</x:f>
        <x:v>0</x:v>
      </x:c>
      <x:c r="F147" s="28" t="n">
        <x:f>COUNTIFS('03_核验日志'!$D$211:$D$610,$A147,'03_核验日志'!$J$211:$J$610,"反例")</x:f>
        <x:v>0</x:v>
      </x:c>
      <x:c r="G147" s="28" t="n">
        <x:f>COUNTIFS('03_核验日志'!$D$211:$D$610,$A147,'03_核验日志'!$J$211:$J$610,"不确定")</x:f>
        <x:v>0</x:v>
      </x:c>
      <x:c r="H147" s="28" t="n">
        <x:f>D147+E147+F147</x:f>
        <x:v>0</x:v>
      </x:c>
      <x:c r="I147" s="36" t="str">
        <x:f>IF(H147=0,"",(D147+0.5*E147)/H147)</x:f>
      </x:c>
      <x:c r="J147" s="36" t="str">
        <x:f>IF(H147=0,"",(D147+0.5*E147+1)/(H147+2))</x:f>
      </x:c>
      <x:c r="K147" s="38" t="str">
        <x:f>IF((H147+G147)=0,"",SUMIFS('03_核验日志'!$K$211:$K$610,'03_核验日志'!$D$211:$D$610,$A147,'03_核验日志'!$J$211:$J$610,"&lt;&gt;不可评估")/(H147+G147))</x:f>
      </x:c>
      <x:c r="L147" s="28" t="n">
        <x:f>COUNTIFS('03_核验日志'!$D$211:$D$610,$A147,'03_核验日志'!$L$211:$L$610,"是")</x:f>
        <x:v>0</x:v>
      </x:c>
      <x:c r="M147" s="28" t="n">
        <x:f>COUNTIFS('03_核验日志'!$D$211:$D$610,$A147,'03_核验日志'!$M$211:$M$610,"是")</x:f>
        <x:v>0</x:v>
      </x:c>
      <x:c r="N147" s="28" t="str">
        <x:f>IF(A147="","",IF(H147&lt;5,"样本不足",IF(AND(H147&gt;=20,J147&gt;=0.75,F147&lt;=2),"升级验证候选",IF(AND(H147&gt;=10,J147&lt;0.45,F147&gt;=3),"降权/停用候选",IF(AND(H147&gt;=8,F147&gt;=3),"优先修订","保留观察")))))</x:f>
      </x:c>
      <x:c r="O147" s="28" t="str">
        <x:f>IF(N147="升级验证候选","已验证候选",IF(N147="优先修订","需修改",IF(N147="降权/停用候选","停用候选","待验证")))</x:f>
        <x:v>待验证</x:v>
      </x:c>
      <x:c r="P147" s="28"/>
      <x:c r="Q147" s="28"/>
    </x:row>
    <x:row r="148">
      <x:c r="A148" s="28"/>
      <x:c r="B148" s="28"/>
      <x:c r="C148" s="28"/>
      <x:c r="D148" s="28" t="n">
        <x:f>COUNTIFS('03_核验日志'!$D$211:$D$610,$A148,'03_核验日志'!$J$211:$J$610,"支持")</x:f>
        <x:v>0</x:v>
      </x:c>
      <x:c r="E148" s="28" t="n">
        <x:f>COUNTIFS('03_核验日志'!$D$211:$D$610,$A148,'03_核验日志'!$J$211:$J$610,"部分支持")</x:f>
        <x:v>0</x:v>
      </x:c>
      <x:c r="F148" s="28" t="n">
        <x:f>COUNTIFS('03_核验日志'!$D$211:$D$610,$A148,'03_核验日志'!$J$211:$J$610,"反例")</x:f>
        <x:v>0</x:v>
      </x:c>
      <x:c r="G148" s="28" t="n">
        <x:f>COUNTIFS('03_核验日志'!$D$211:$D$610,$A148,'03_核验日志'!$J$211:$J$610,"不确定")</x:f>
        <x:v>0</x:v>
      </x:c>
      <x:c r="H148" s="28" t="n">
        <x:f>D148+E148+F148</x:f>
        <x:v>0</x:v>
      </x:c>
      <x:c r="I148" s="36" t="str">
        <x:f>IF(H148=0,"",(D148+0.5*E148)/H148)</x:f>
      </x:c>
      <x:c r="J148" s="36" t="str">
        <x:f>IF(H148=0,"",(D148+0.5*E148+1)/(H148+2))</x:f>
      </x:c>
      <x:c r="K148" s="38" t="str">
        <x:f>IF((H148+G148)=0,"",SUMIFS('03_核验日志'!$K$211:$K$610,'03_核验日志'!$D$211:$D$610,$A148,'03_核验日志'!$J$211:$J$610,"&lt;&gt;不可评估")/(H148+G148))</x:f>
      </x:c>
      <x:c r="L148" s="28" t="n">
        <x:f>COUNTIFS('03_核验日志'!$D$211:$D$610,$A148,'03_核验日志'!$L$211:$L$610,"是")</x:f>
        <x:v>0</x:v>
      </x:c>
      <x:c r="M148" s="28" t="n">
        <x:f>COUNTIFS('03_核验日志'!$D$211:$D$610,$A148,'03_核验日志'!$M$211:$M$610,"是")</x:f>
        <x:v>0</x:v>
      </x:c>
      <x:c r="N148" s="28" t="str">
        <x:f>IF(A148="","",IF(H148&lt;5,"样本不足",IF(AND(H148&gt;=20,J148&gt;=0.75,F148&lt;=2),"升级验证候选",IF(AND(H148&gt;=10,J148&lt;0.45,F148&gt;=3),"降权/停用候选",IF(AND(H148&gt;=8,F148&gt;=3),"优先修订","保留观察")))))</x:f>
      </x:c>
      <x:c r="O148" s="28" t="str">
        <x:f>IF(N148="升级验证候选","已验证候选",IF(N148="优先修订","需修改",IF(N148="降权/停用候选","停用候选","待验证")))</x:f>
        <x:v>待验证</x:v>
      </x:c>
      <x:c r="P148" s="28"/>
      <x:c r="Q148" s="28"/>
    </x:row>
    <x:row r="149">
      <x:c r="A149" s="28"/>
      <x:c r="B149" s="28"/>
      <x:c r="C149" s="28"/>
      <x:c r="D149" s="28" t="n">
        <x:f>COUNTIFS('03_核验日志'!$D$211:$D$610,$A149,'03_核验日志'!$J$211:$J$610,"支持")</x:f>
        <x:v>0</x:v>
      </x:c>
      <x:c r="E149" s="28" t="n">
        <x:f>COUNTIFS('03_核验日志'!$D$211:$D$610,$A149,'03_核验日志'!$J$211:$J$610,"部分支持")</x:f>
        <x:v>0</x:v>
      </x:c>
      <x:c r="F149" s="28" t="n">
        <x:f>COUNTIFS('03_核验日志'!$D$211:$D$610,$A149,'03_核验日志'!$J$211:$J$610,"反例")</x:f>
        <x:v>0</x:v>
      </x:c>
      <x:c r="G149" s="28" t="n">
        <x:f>COUNTIFS('03_核验日志'!$D$211:$D$610,$A149,'03_核验日志'!$J$211:$J$610,"不确定")</x:f>
        <x:v>0</x:v>
      </x:c>
      <x:c r="H149" s="28" t="n">
        <x:f>D149+E149+F149</x:f>
        <x:v>0</x:v>
      </x:c>
      <x:c r="I149" s="36" t="str">
        <x:f>IF(H149=0,"",(D149+0.5*E149)/H149)</x:f>
      </x:c>
      <x:c r="J149" s="36" t="str">
        <x:f>IF(H149=0,"",(D149+0.5*E149+1)/(H149+2))</x:f>
      </x:c>
      <x:c r="K149" s="38" t="str">
        <x:f>IF((H149+G149)=0,"",SUMIFS('03_核验日志'!$K$211:$K$610,'03_核验日志'!$D$211:$D$610,$A149,'03_核验日志'!$J$211:$J$610,"&lt;&gt;不可评估")/(H149+G149))</x:f>
      </x:c>
      <x:c r="L149" s="28" t="n">
        <x:f>COUNTIFS('03_核验日志'!$D$211:$D$610,$A149,'03_核验日志'!$L$211:$L$610,"是")</x:f>
        <x:v>0</x:v>
      </x:c>
      <x:c r="M149" s="28" t="n">
        <x:f>COUNTIFS('03_核验日志'!$D$211:$D$610,$A149,'03_核验日志'!$M$211:$M$610,"是")</x:f>
        <x:v>0</x:v>
      </x:c>
      <x:c r="N149" s="28" t="str">
        <x:f>IF(A149="","",IF(H149&lt;5,"样本不足",IF(AND(H149&gt;=20,J149&gt;=0.75,F149&lt;=2),"升级验证候选",IF(AND(H149&gt;=10,J149&lt;0.45,F149&gt;=3),"降权/停用候选",IF(AND(H149&gt;=8,F149&gt;=3),"优先修订","保留观察")))))</x:f>
      </x:c>
      <x:c r="O149" s="28" t="str">
        <x:f>IF(N149="升级验证候选","已验证候选",IF(N149="优先修订","需修改",IF(N149="降权/停用候选","停用候选","待验证")))</x:f>
        <x:v>待验证</x:v>
      </x:c>
      <x:c r="P149" s="28"/>
      <x:c r="Q149" s="28"/>
    </x:row>
    <x:row r="150">
      <x:c r="A150" s="28"/>
      <x:c r="B150" s="28"/>
      <x:c r="C150" s="28"/>
      <x:c r="D150" s="28" t="n">
        <x:f>COUNTIFS('03_核验日志'!$D$211:$D$610,$A150,'03_核验日志'!$J$211:$J$610,"支持")</x:f>
        <x:v>0</x:v>
      </x:c>
      <x:c r="E150" s="28" t="n">
        <x:f>COUNTIFS('03_核验日志'!$D$211:$D$610,$A150,'03_核验日志'!$J$211:$J$610,"部分支持")</x:f>
        <x:v>0</x:v>
      </x:c>
      <x:c r="F150" s="28" t="n">
        <x:f>COUNTIFS('03_核验日志'!$D$211:$D$610,$A150,'03_核验日志'!$J$211:$J$610,"反例")</x:f>
        <x:v>0</x:v>
      </x:c>
      <x:c r="G150" s="28" t="n">
        <x:f>COUNTIFS('03_核验日志'!$D$211:$D$610,$A150,'03_核验日志'!$J$211:$J$610,"不确定")</x:f>
        <x:v>0</x:v>
      </x:c>
      <x:c r="H150" s="28" t="n">
        <x:f>D150+E150+F150</x:f>
        <x:v>0</x:v>
      </x:c>
      <x:c r="I150" s="36" t="str">
        <x:f>IF(H150=0,"",(D150+0.5*E150)/H150)</x:f>
      </x:c>
      <x:c r="J150" s="36" t="str">
        <x:f>IF(H150=0,"",(D150+0.5*E150+1)/(H150+2))</x:f>
      </x:c>
      <x:c r="K150" s="38" t="str">
        <x:f>IF((H150+G150)=0,"",SUMIFS('03_核验日志'!$K$211:$K$610,'03_核验日志'!$D$211:$D$610,$A150,'03_核验日志'!$J$211:$J$610,"&lt;&gt;不可评估")/(H150+G150))</x:f>
      </x:c>
      <x:c r="L150" s="28" t="n">
        <x:f>COUNTIFS('03_核验日志'!$D$211:$D$610,$A150,'03_核验日志'!$L$211:$L$610,"是")</x:f>
        <x:v>0</x:v>
      </x:c>
      <x:c r="M150" s="28" t="n">
        <x:f>COUNTIFS('03_核验日志'!$D$211:$D$610,$A150,'03_核验日志'!$M$211:$M$610,"是")</x:f>
        <x:v>0</x:v>
      </x:c>
      <x:c r="N150" s="28" t="str">
        <x:f>IF(A150="","",IF(H150&lt;5,"样本不足",IF(AND(H150&gt;=20,J150&gt;=0.75,F150&lt;=2),"升级验证候选",IF(AND(H150&gt;=10,J150&lt;0.45,F150&gt;=3),"降权/停用候选",IF(AND(H150&gt;=8,F150&gt;=3),"优先修订","保留观察")))))</x:f>
      </x:c>
      <x:c r="O150" s="28" t="str">
        <x:f>IF(N150="升级验证候选","已验证候选",IF(N150="优先修订","需修改",IF(N150="降权/停用候选","停用候选","待验证")))</x:f>
        <x:v>待验证</x:v>
      </x:c>
      <x:c r="P150" s="28"/>
      <x:c r="Q150" s="28"/>
    </x:row>
    <x:row r="151">
      <x:c r="A151" s="28"/>
      <x:c r="B151" s="28"/>
      <x:c r="C151" s="28"/>
      <x:c r="D151" s="28" t="n">
        <x:f>COUNTIFS('03_核验日志'!$D$211:$D$610,$A151,'03_核验日志'!$J$211:$J$610,"支持")</x:f>
        <x:v>0</x:v>
      </x:c>
      <x:c r="E151" s="28" t="n">
        <x:f>COUNTIFS('03_核验日志'!$D$211:$D$610,$A151,'03_核验日志'!$J$211:$J$610,"部分支持")</x:f>
        <x:v>0</x:v>
      </x:c>
      <x:c r="F151" s="28" t="n">
        <x:f>COUNTIFS('03_核验日志'!$D$211:$D$610,$A151,'03_核验日志'!$J$211:$J$610,"反例")</x:f>
        <x:v>0</x:v>
      </x:c>
      <x:c r="G151" s="28" t="n">
        <x:f>COUNTIFS('03_核验日志'!$D$211:$D$610,$A151,'03_核验日志'!$J$211:$J$610,"不确定")</x:f>
        <x:v>0</x:v>
      </x:c>
      <x:c r="H151" s="28" t="n">
        <x:f>D151+E151+F151</x:f>
        <x:v>0</x:v>
      </x:c>
      <x:c r="I151" s="36" t="str">
        <x:f>IF(H151=0,"",(D151+0.5*E151)/H151)</x:f>
      </x:c>
      <x:c r="J151" s="36" t="str">
        <x:f>IF(H151=0,"",(D151+0.5*E151+1)/(H151+2))</x:f>
      </x:c>
      <x:c r="K151" s="38" t="str">
        <x:f>IF((H151+G151)=0,"",SUMIFS('03_核验日志'!$K$211:$K$610,'03_核验日志'!$D$211:$D$610,$A151,'03_核验日志'!$J$211:$J$610,"&lt;&gt;不可评估")/(H151+G151))</x:f>
      </x:c>
      <x:c r="L151" s="28" t="n">
        <x:f>COUNTIFS('03_核验日志'!$D$211:$D$610,$A151,'03_核验日志'!$L$211:$L$610,"是")</x:f>
        <x:v>0</x:v>
      </x:c>
      <x:c r="M151" s="28" t="n">
        <x:f>COUNTIFS('03_核验日志'!$D$211:$D$610,$A151,'03_核验日志'!$M$211:$M$610,"是")</x:f>
        <x:v>0</x:v>
      </x:c>
      <x:c r="N151" s="28" t="str">
        <x:f>IF(A151="","",IF(H151&lt;5,"样本不足",IF(AND(H151&gt;=20,J151&gt;=0.75,F151&lt;=2),"升级验证候选",IF(AND(H151&gt;=10,J151&lt;0.45,F151&gt;=3),"降权/停用候选",IF(AND(H151&gt;=8,F151&gt;=3),"优先修订","保留观察")))))</x:f>
      </x:c>
      <x:c r="O151" s="28" t="str">
        <x:f>IF(N151="升级验证候选","已验证候选",IF(N151="优先修订","需修改",IF(N151="降权/停用候选","停用候选","待验证")))</x:f>
        <x:v>待验证</x:v>
      </x:c>
      <x:c r="P151" s="28"/>
      <x:c r="Q151" s="28"/>
    </x:row>
    <x:row r="152">
      <x:c r="A152" s="28"/>
      <x:c r="B152" s="28"/>
      <x:c r="C152" s="28"/>
      <x:c r="D152" s="28" t="n">
        <x:f>COUNTIFS('03_核验日志'!$D$211:$D$610,$A152,'03_核验日志'!$J$211:$J$610,"支持")</x:f>
        <x:v>0</x:v>
      </x:c>
      <x:c r="E152" s="28" t="n">
        <x:f>COUNTIFS('03_核验日志'!$D$211:$D$610,$A152,'03_核验日志'!$J$211:$J$610,"部分支持")</x:f>
        <x:v>0</x:v>
      </x:c>
      <x:c r="F152" s="28" t="n">
        <x:f>COUNTIFS('03_核验日志'!$D$211:$D$610,$A152,'03_核验日志'!$J$211:$J$610,"反例")</x:f>
        <x:v>0</x:v>
      </x:c>
      <x:c r="G152" s="28" t="n">
        <x:f>COUNTIFS('03_核验日志'!$D$211:$D$610,$A152,'03_核验日志'!$J$211:$J$610,"不确定")</x:f>
        <x:v>0</x:v>
      </x:c>
      <x:c r="H152" s="28" t="n">
        <x:f>D152+E152+F152</x:f>
        <x:v>0</x:v>
      </x:c>
      <x:c r="I152" s="36" t="str">
        <x:f>IF(H152=0,"",(D152+0.5*E152)/H152)</x:f>
      </x:c>
      <x:c r="J152" s="36" t="str">
        <x:f>IF(H152=0,"",(D152+0.5*E152+1)/(H152+2))</x:f>
      </x:c>
      <x:c r="K152" s="38" t="str">
        <x:f>IF((H152+G152)=0,"",SUMIFS('03_核验日志'!$K$211:$K$610,'03_核验日志'!$D$211:$D$610,$A152,'03_核验日志'!$J$211:$J$610,"&lt;&gt;不可评估")/(H152+G152))</x:f>
      </x:c>
      <x:c r="L152" s="28" t="n">
        <x:f>COUNTIFS('03_核验日志'!$D$211:$D$610,$A152,'03_核验日志'!$L$211:$L$610,"是")</x:f>
        <x:v>0</x:v>
      </x:c>
      <x:c r="M152" s="28" t="n">
        <x:f>COUNTIFS('03_核验日志'!$D$211:$D$610,$A152,'03_核验日志'!$M$211:$M$610,"是")</x:f>
        <x:v>0</x:v>
      </x:c>
      <x:c r="N152" s="28" t="str">
        <x:f>IF(A152="","",IF(H152&lt;5,"样本不足",IF(AND(H152&gt;=20,J152&gt;=0.75,F152&lt;=2),"升级验证候选",IF(AND(H152&gt;=10,J152&lt;0.45,F152&gt;=3),"降权/停用候选",IF(AND(H152&gt;=8,F152&gt;=3),"优先修订","保留观察")))))</x:f>
      </x:c>
      <x:c r="O152" s="28" t="str">
        <x:f>IF(N152="升级验证候选","已验证候选",IF(N152="优先修订","需修改",IF(N152="降权/停用候选","停用候选","待验证")))</x:f>
        <x:v>待验证</x:v>
      </x:c>
      <x:c r="P152" s="28"/>
      <x:c r="Q152" s="28"/>
    </x:row>
    <x:row r="153">
      <x:c r="A153" s="28"/>
      <x:c r="B153" s="28"/>
      <x:c r="C153" s="28"/>
      <x:c r="D153" s="28" t="n">
        <x:f>COUNTIFS('03_核验日志'!$D$211:$D$610,$A153,'03_核验日志'!$J$211:$J$610,"支持")</x:f>
        <x:v>0</x:v>
      </x:c>
      <x:c r="E153" s="28" t="n">
        <x:f>COUNTIFS('03_核验日志'!$D$211:$D$610,$A153,'03_核验日志'!$J$211:$J$610,"部分支持")</x:f>
        <x:v>0</x:v>
      </x:c>
      <x:c r="F153" s="28" t="n">
        <x:f>COUNTIFS('03_核验日志'!$D$211:$D$610,$A153,'03_核验日志'!$J$211:$J$610,"反例")</x:f>
        <x:v>0</x:v>
      </x:c>
      <x:c r="G153" s="28" t="n">
        <x:f>COUNTIFS('03_核验日志'!$D$211:$D$610,$A153,'03_核验日志'!$J$211:$J$610,"不确定")</x:f>
        <x:v>0</x:v>
      </x:c>
      <x:c r="H153" s="28" t="n">
        <x:f>D153+E153+F153</x:f>
        <x:v>0</x:v>
      </x:c>
      <x:c r="I153" s="36" t="str">
        <x:f>IF(H153=0,"",(D153+0.5*E153)/H153)</x:f>
      </x:c>
      <x:c r="J153" s="36" t="str">
        <x:f>IF(H153=0,"",(D153+0.5*E153+1)/(H153+2))</x:f>
      </x:c>
      <x:c r="K153" s="38" t="str">
        <x:f>IF((H153+G153)=0,"",SUMIFS('03_核验日志'!$K$211:$K$610,'03_核验日志'!$D$211:$D$610,$A153,'03_核验日志'!$J$211:$J$610,"&lt;&gt;不可评估")/(H153+G153))</x:f>
      </x:c>
      <x:c r="L153" s="28" t="n">
        <x:f>COUNTIFS('03_核验日志'!$D$211:$D$610,$A153,'03_核验日志'!$L$211:$L$610,"是")</x:f>
        <x:v>0</x:v>
      </x:c>
      <x:c r="M153" s="28" t="n">
        <x:f>COUNTIFS('03_核验日志'!$D$211:$D$610,$A153,'03_核验日志'!$M$211:$M$610,"是")</x:f>
        <x:v>0</x:v>
      </x:c>
      <x:c r="N153" s="28" t="str">
        <x:f>IF(A153="","",IF(H153&lt;5,"样本不足",IF(AND(H153&gt;=20,J153&gt;=0.75,F153&lt;=2),"升级验证候选",IF(AND(H153&gt;=10,J153&lt;0.45,F153&gt;=3),"降权/停用候选",IF(AND(H153&gt;=8,F153&gt;=3),"优先修订","保留观察")))))</x:f>
      </x:c>
      <x:c r="O153" s="28" t="str">
        <x:f>IF(N153="升级验证候选","已验证候选",IF(N153="优先修订","需修改",IF(N153="降权/停用候选","停用候选","待验证")))</x:f>
        <x:v>待验证</x:v>
      </x:c>
      <x:c r="P153" s="28"/>
      <x:c r="Q153" s="28"/>
    </x:row>
    <x:row r="154">
      <x:c r="A154" s="28"/>
      <x:c r="B154" s="28"/>
      <x:c r="C154" s="28"/>
      <x:c r="D154" s="28" t="n">
        <x:f>COUNTIFS('03_核验日志'!$D$211:$D$610,$A154,'03_核验日志'!$J$211:$J$610,"支持")</x:f>
        <x:v>0</x:v>
      </x:c>
      <x:c r="E154" s="28" t="n">
        <x:f>COUNTIFS('03_核验日志'!$D$211:$D$610,$A154,'03_核验日志'!$J$211:$J$610,"部分支持")</x:f>
        <x:v>0</x:v>
      </x:c>
      <x:c r="F154" s="28" t="n">
        <x:f>COUNTIFS('03_核验日志'!$D$211:$D$610,$A154,'03_核验日志'!$J$211:$J$610,"反例")</x:f>
        <x:v>0</x:v>
      </x:c>
      <x:c r="G154" s="28" t="n">
        <x:f>COUNTIFS('03_核验日志'!$D$211:$D$610,$A154,'03_核验日志'!$J$211:$J$610,"不确定")</x:f>
        <x:v>0</x:v>
      </x:c>
      <x:c r="H154" s="28" t="n">
        <x:f>D154+E154+F154</x:f>
        <x:v>0</x:v>
      </x:c>
      <x:c r="I154" s="36" t="str">
        <x:f>IF(H154=0,"",(D154+0.5*E154)/H154)</x:f>
      </x:c>
      <x:c r="J154" s="36" t="str">
        <x:f>IF(H154=0,"",(D154+0.5*E154+1)/(H154+2))</x:f>
      </x:c>
      <x:c r="K154" s="38" t="str">
        <x:f>IF((H154+G154)=0,"",SUMIFS('03_核验日志'!$K$211:$K$610,'03_核验日志'!$D$211:$D$610,$A154,'03_核验日志'!$J$211:$J$610,"&lt;&gt;不可评估")/(H154+G154))</x:f>
      </x:c>
      <x:c r="L154" s="28" t="n">
        <x:f>COUNTIFS('03_核验日志'!$D$211:$D$610,$A154,'03_核验日志'!$L$211:$L$610,"是")</x:f>
        <x:v>0</x:v>
      </x:c>
      <x:c r="M154" s="28" t="n">
        <x:f>COUNTIFS('03_核验日志'!$D$211:$D$610,$A154,'03_核验日志'!$M$211:$M$610,"是")</x:f>
        <x:v>0</x:v>
      </x:c>
      <x:c r="N154" s="28" t="str">
        <x:f>IF(A154="","",IF(H154&lt;5,"样本不足",IF(AND(H154&gt;=20,J154&gt;=0.75,F154&lt;=2),"升级验证候选",IF(AND(H154&gt;=10,J154&lt;0.45,F154&gt;=3),"降权/停用候选",IF(AND(H154&gt;=8,F154&gt;=3),"优先修订","保留观察")))))</x:f>
      </x:c>
      <x:c r="O154" s="28" t="str">
        <x:f>IF(N154="升级验证候选","已验证候选",IF(N154="优先修订","需修改",IF(N154="降权/停用候选","停用候选","待验证")))</x:f>
        <x:v>待验证</x:v>
      </x:c>
      <x:c r="P154" s="28"/>
      <x:c r="Q154" s="28"/>
    </x:row>
  </x:sheetData>
  <x:mergeCells>
    <x:mergeCell ref="A1:Q1"/>
    <x:mergeCell ref="A2:Q2"/>
  </x:mergeCells>
  <x:dataValidations count="3">
    <x:dataValidation type="list" sqref="B5:B154">
      <x:formula1>"BASE,MISREAD,OVERUSE,TRIGGER,LOOP,REPAIR,BUFFER,SYNTH"</x:formula1>
    </x:dataValidation>
    <x:dataValidation type="list" sqref="O5:O154">
      <x:formula1>"待验证,需修改,停用候选,已验证候选"</x:formula1>
    </x:dataValidation>
    <x:dataValidation type="list" sqref="P5:P154">
      <x:formula1>"保留,修改,降权,停用,升级,待定"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</x:cols>
  <x:sheetData>
    <x:row r="1">
      <x:c r="A1" s="4" t="str">
        <x:v>结构测试、阈值与覆盖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分值可以校准，但E3/E4现实硬节点不能通过降分绕过。</x:v>
      </x:c>
      <x:c r="B2" s="11"/>
      <x:c r="C2" s="11"/>
      <x:c r="D2" s="11"/>
      <x:c r="E2" s="11"/>
      <x:c r="F2" s="11"/>
      <x:c r="G2" s="11"/>
      <x:c r="H2" s="11"/>
    </x:row>
    <x:row r="4">
      <x:c r="A4" s="20" t="str">
        <x:v>对象</x:v>
      </x:c>
      <x:c r="B4" s="20" t="str">
        <x:v>当前分值</x:v>
      </x:c>
      <x:c r="C4" s="20" t="str">
        <x:v>硬条件</x:v>
      </x:c>
      <x:c r="D4" s="20" t="str">
        <x:v>状态</x:v>
      </x:c>
      <x:c r="G4" s="20" t="str">
        <x:v>代码</x:v>
      </x:c>
      <x:c r="H4" s="20" t="str">
        <x:v>覆盖记录</x:v>
      </x:c>
    </x:row>
    <x:row r="5">
      <x:c r="A5" s="28" t="str">
        <x:v>E1</x:v>
      </x:c>
      <x:c r="B5" s="28" t="n">
        <x:v>24</x:v>
      </x:c>
      <x:c r="C5" s="28" t="str">
        <x:v>正常功能＋明确机制＋两类独立结构证据</x:v>
      </x:c>
      <x:c r="D5" s="28" t="str">
        <x:v>待校准</x:v>
      </x:c>
      <x:c r="G5" s="28" t="str">
        <x:v>BASE</x:v>
      </x:c>
      <x:c r="H5" s="28" t="n">
        <x:f>COUNTIF('03_核验日志'!$F$211:$F$610,"*"&amp;G5&amp;"*")+COUNTIF('03_核验日志'!$E$211:$E$610,G5)</x:f>
        <x:v>0</x:v>
      </x:c>
    </x:row>
    <x:row r="6">
      <x:c r="A6" s="28" t="str">
        <x:v>E2</x:v>
      </x:c>
      <x:c r="B6" s="28" t="n">
        <x:v>36</x:v>
      </x:c>
      <x:c r="C6" s="28" t="str">
        <x:v>E1＋明确TR＋形式/状态＋保护检查</x:v>
      </x:c>
      <x:c r="D6" s="28" t="str">
        <x:v>待校准</x:v>
      </x:c>
      <x:c r="G6" s="28" t="str">
        <x:v>MISREAD</x:v>
      </x:c>
      <x:c r="H6" s="28" t="n">
        <x:f>COUNTIF('03_核验日志'!$F$211:$F$610,"*"&amp;G6&amp;"*")+COUNTIF('03_核验日志'!$E$211:$E$610,G6)</x:f>
        <x:v>0</x:v>
      </x:c>
    </x:row>
    <x:row r="7">
      <x:c r="A7" s="28" t="str">
        <x:v>E3</x:v>
      </x:c>
      <x:c r="B7" s="28" t="n">
        <x:v>52</x:v>
      </x:c>
      <x:c r="C7" s="28" t="str">
        <x:v>触发＋第一反应＋对方反馈＋强化＋复发</x:v>
      </x:c>
      <x:c r="D7" s="28" t="str">
        <x:v>待校准</x:v>
      </x:c>
      <x:c r="G7" s="28" t="str">
        <x:v>OVERUSE</x:v>
      </x:c>
      <x:c r="H7" s="28" t="n">
        <x:f>COUNTIF('03_核验日志'!$F$211:$F$610,"*"&amp;G7&amp;"*")+COUNTIF('03_核验日志'!$E$211:$E$610,G7)</x:f>
        <x:v>0</x:v>
      </x:c>
    </x:row>
    <x:row r="8">
      <x:c r="A8" s="28" t="str">
        <x:v>E4</x:v>
      </x:c>
      <x:c r="B8" s="28" t="n">
        <x:v>68</x:v>
      </x:c>
      <x:c r="C8" s="28" t="str">
        <x:v>至少两个事件＋跨情境/佐证＋反例审查</x:v>
      </x:c>
      <x:c r="D8" s="28" t="str">
        <x:v>待校准</x:v>
      </x:c>
      <x:c r="G8" s="28" t="str">
        <x:v>TRIGGER</x:v>
      </x:c>
      <x:c r="H8" s="28" t="n">
        <x:f>COUNTIF('03_核验日志'!$F$211:$F$610,"*"&amp;G8&amp;"*")+COUNTIF('03_核验日志'!$E$211:$E$610,G8)</x:f>
        <x:v>0</x:v>
      </x:c>
    </x:row>
    <x:row r="9">
      <x:c r="A9" s="28" t="str">
        <x:v>主TR</x:v>
      </x:c>
      <x:c r="B9" s="28" t="n">
        <x:v>32</x:v>
      </x:c>
      <x:c r="C9" s="28" t="str">
        <x:v>领先第二候选≥8且来源独立</x:v>
      </x:c>
      <x:c r="D9" s="28" t="str">
        <x:v>待校准</x:v>
      </x:c>
      <x:c r="G9" s="28" t="str">
        <x:v>LOOP</x:v>
      </x:c>
      <x:c r="H9" s="28" t="n">
        <x:f>COUNTIF('03_核验日志'!$F$211:$F$610,"*"&amp;G9&amp;"*")+COUNTIF('03_核验日志'!$E$211:$E$610,G9)</x:f>
        <x:v>0</x:v>
      </x:c>
    </x:row>
    <x:row r="10">
      <x:c r="A10" s="28" t="str">
        <x:v>主修复</x:v>
      </x:c>
      <x:c r="B10" s="28" t="n">
        <x:v>38</x:v>
      </x:c>
      <x:c r="C10" s="28" t="str">
        <x:v>领先≥8且两类独立证据</x:v>
      </x:c>
      <x:c r="D10" s="28" t="str">
        <x:v>待校准</x:v>
      </x:c>
      <x:c r="G10" s="28" t="str">
        <x:v>REPAIR</x:v>
      </x:c>
      <x:c r="H10" s="28" t="n">
        <x:f>COUNTIF('03_核验日志'!$F$211:$F$610,"*"&amp;G10&amp;"*")+COUNTIF('03_核验日志'!$E$211:$E$610,G10)</x:f>
        <x:v>0</x:v>
      </x:c>
    </x:row>
    <x:row r="11">
      <x:c r="A11" s="28" t="str">
        <x:v>主保护</x:v>
      </x:c>
      <x:c r="B11" s="28" t="n">
        <x:v>34</x:v>
      </x:c>
      <x:c r="C11" s="28" t="str">
        <x:v>靶点匹配、来源独立、领先≥8</x:v>
      </x:c>
      <x:c r="D11" s="28" t="str">
        <x:v>待校准</x:v>
      </x:c>
      <x:c r="G11" s="28" t="str">
        <x:v>BUFFER</x:v>
      </x:c>
      <x:c r="H11" s="28" t="n">
        <x:f>COUNTIF('03_核验日志'!$F$211:$F$610,"*"&amp;G11&amp;"*")+COUNTIF('03_核验日志'!$E$211:$E$610,G11)</x:f>
        <x:v>0</x:v>
      </x:c>
    </x:row>
    <x:row r="12">
      <x:c r="G12" s="28" t="str">
        <x:v>SYNTH</x:v>
      </x:c>
      <x:c r="H12" s="28" t="n">
        <x:f>COUNTIF('03_核验日志'!$F$211:$F$610,"*"&amp;G12&amp;"*")+COUNTIF('03_核验日志'!$E$211:$E$610,G12)</x:f>
        <x:v>0</x:v>
      </x:c>
    </x:row>
    <x:row r="13">
      <x:c r="G13" s="28" t="str">
        <x:v>K01</x:v>
      </x:c>
      <x:c r="H13" s="28" t="n">
        <x:f>COUNTIF('03_核验日志'!$F$211:$F$610,"*"&amp;G13&amp;"*")+COUNTIF('03_核验日志'!$E$211:$E$610,G13)</x:f>
        <x:v>0</x:v>
      </x:c>
    </x:row>
    <x:row r="14">
      <x:c r="G14" s="28" t="str">
        <x:v>K02</x:v>
      </x:c>
      <x:c r="H14" s="28" t="n">
        <x:f>COUNTIF('03_核验日志'!$F$211:$F$610,"*"&amp;G14&amp;"*")+COUNTIF('03_核验日志'!$E$211:$E$610,G14)</x:f>
        <x:v>0</x:v>
      </x:c>
    </x:row>
    <x:row r="15">
      <x:c r="A15" s="20" t="str">
        <x:v>案例ID</x:v>
      </x:c>
      <x:c r="B15" s="20" t="str">
        <x:v>主题</x:v>
      </x:c>
      <x:c r="C15" s="20" t="str">
        <x:v>输入摘要</x:v>
      </x:c>
      <x:c r="D15" s="20" t="str">
        <x:v>预期结果</x:v>
      </x:c>
      <x:c r="E15" s="20" t="str">
        <x:v>状态</x:v>
      </x:c>
      <x:c r="G15" s="28" t="str">
        <x:v>K03</x:v>
      </x:c>
      <x:c r="H15" s="28" t="n">
        <x:f>COUNTIF('03_核验日志'!$F$211:$F$610,"*"&amp;G15&amp;"*")+COUNTIF('03_核验日志'!$E$211:$E$610,G15)</x:f>
        <x:v>0</x:v>
      </x:c>
    </x:row>
    <x:row r="16">
      <x:c r="A16" s="28" t="str">
        <x:v>M4-TC-001</x:v>
      </x:c>
      <x:c r="B16" s="28" t="str">
        <x:v>同源去重</x:v>
      </x:c>
      <x:c r="C16" s="28" t="str">
        <x:v>同一事实命中多模块</x:v>
      </x:c>
      <x:c r="D16" s="28" t="str">
        <x:v>只计一次基础权重</x:v>
      </x:c>
      <x:c r="E16" s="28" t="str">
        <x:v>待运行</x:v>
      </x:c>
      <x:c r="G16" s="28" t="str">
        <x:v>K04</x:v>
      </x:c>
      <x:c r="H16" s="28" t="n">
        <x:f>COUNTIF('03_核验日志'!$F$211:$F$610,"*"&amp;G16&amp;"*")+COUNTIF('03_核验日志'!$E$211:$E$610,G16)</x:f>
        <x:v>0</x:v>
      </x:c>
    </x:row>
    <x:row r="17">
      <x:c r="A17" s="28" t="str">
        <x:v>M4-TC-002</x:v>
      </x:c>
      <x:c r="B17" s="28" t="str">
        <x:v>E1不得跳E3</x:v>
      </x:c>
      <x:c r="C17" s="28" t="str">
        <x:v>结构分高，无反馈/复发</x:v>
      </x:c>
      <x:c r="D17" s="28" t="str">
        <x:v>最高E1</x:v>
      </x:c>
      <x:c r="E17" s="28" t="str">
        <x:v>待运行</x:v>
      </x:c>
      <x:c r="G17" s="28" t="str">
        <x:v>K05</x:v>
      </x:c>
      <x:c r="H17" s="28" t="n">
        <x:f>COUNTIF('03_核验日志'!$F$211:$F$610,"*"&amp;G17&amp;"*")+COUNTIF('03_核验日志'!$E$211:$E$610,G17)</x:f>
        <x:v>0</x:v>
      </x:c>
    </x:row>
    <x:row r="18">
      <x:c r="A18" s="28" t="str">
        <x:v>M4-TC-003</x:v>
      </x:c>
      <x:c r="B18" s="28" t="str">
        <x:v>E2触发</x:v>
      </x:c>
      <x:c r="C18" s="28" t="str">
        <x:v>E1＋明确触发</x:v>
      </x:c>
      <x:c r="D18" s="28" t="str">
        <x:v>E2，不写循环</x:v>
      </x:c>
      <x:c r="E18" s="28" t="str">
        <x:v>待运行</x:v>
      </x:c>
      <x:c r="G18" s="28" t="str">
        <x:v>K06</x:v>
      </x:c>
      <x:c r="H18" s="28" t="n">
        <x:f>COUNTIF('03_核验日志'!$F$211:$F$610,"*"&amp;G18&amp;"*")+COUNTIF('03_核验日志'!$E$211:$E$610,G18)</x:f>
        <x:v>0</x:v>
      </x:c>
    </x:row>
    <x:row r="19">
      <x:c r="A19" s="28" t="str">
        <x:v>M4-TC-004</x:v>
      </x:c>
      <x:c r="B19" s="28" t="str">
        <x:v>阶段覆盖不足</x:v>
      </x:c>
      <x:c r="C19" s="28" t="str">
        <x:v>只有流年引动</x:v>
      </x:c>
      <x:c r="D19" s="28" t="str">
        <x:v>停止或背景</x:v>
      </x:c>
      <x:c r="E19" s="28" t="str">
        <x:v>待运行</x:v>
      </x:c>
      <x:c r="G19" s="28" t="str">
        <x:v>K07</x:v>
      </x:c>
      <x:c r="H19" s="28" t="n">
        <x:f>COUNTIF('03_核验日志'!$F$211:$F$610,"*"&amp;G19&amp;"*")+COUNTIF('03_核验日志'!$E$211:$E$610,G19)</x:f>
        <x:v>0</x:v>
      </x:c>
    </x:row>
    <x:row r="20">
      <x:c r="A20" s="28" t="str">
        <x:v>M4-TC-005</x:v>
      </x:c>
      <x:c r="B20" s="28" t="str">
        <x:v>单方序列</x:v>
      </x:c>
      <x:c r="C20" s="28" t="str">
        <x:v>无对方反馈</x:v>
      </x:c>
      <x:c r="D20" s="28" t="str">
        <x:v>最高E2</x:v>
      </x:c>
      <x:c r="E20" s="28" t="str">
        <x:v>待运行</x:v>
      </x:c>
      <x:c r="G20" s="28" t="str">
        <x:v>K08</x:v>
      </x:c>
      <x:c r="H20" s="28" t="n">
        <x:f>COUNTIF('03_核验日志'!$F$211:$F$610,"*"&amp;G20&amp;"*")+COUNTIF('03_核验日志'!$E$211:$E$610,G20)</x:f>
        <x:v>0</x:v>
      </x:c>
    </x:row>
    <x:row r="21">
      <x:c r="A21" s="28" t="str">
        <x:v>M4-TC-006</x:v>
      </x:c>
      <x:c r="B21" s="28" t="str">
        <x:v>E3循环</x:v>
      </x:c>
      <x:c r="C21" s="28" t="str">
        <x:v>反馈与复发齐全</x:v>
      </x:c>
      <x:c r="D21" s="28" t="str">
        <x:v>E3</x:v>
      </x:c>
      <x:c r="E21" s="28" t="str">
        <x:v>待运行</x:v>
      </x:c>
      <x:c r="G21" s="28" t="str">
        <x:v>TR01</x:v>
      </x:c>
      <x:c r="H21" s="28" t="n">
        <x:f>COUNTIF('03_核验日志'!$F$211:$F$610,"*"&amp;G21&amp;"*")+COUNTIF('03_核验日志'!$E$211:$E$610,G21)</x:f>
        <x:v>0</x:v>
      </x:c>
    </x:row>
    <x:row r="22">
      <x:c r="A22" s="28" t="str">
        <x:v>M4-TC-007</x:v>
      </x:c>
      <x:c r="B22" s="28" t="str">
        <x:v>E4验证</x:v>
      </x:c>
      <x:c r="C22" s="28" t="str">
        <x:v>跨事件＋反例审查</x:v>
      </x:c>
      <x:c r="D22" s="28" t="str">
        <x:v>E4</x:v>
      </x:c>
      <x:c r="E22" s="28" t="str">
        <x:v>待运行</x:v>
      </x:c>
      <x:c r="G22" s="28" t="str">
        <x:v>TR02</x:v>
      </x:c>
      <x:c r="H22" s="28" t="n">
        <x:f>COUNTIF('03_核验日志'!$F$211:$F$610,"*"&amp;G22&amp;"*")+COUNTIF('03_核验日志'!$E$211:$E$610,G22)</x:f>
        <x:v>0</x:v>
      </x:c>
    </x:row>
    <x:row r="23">
      <x:c r="A23" s="28" t="str">
        <x:v>M4-TC-008</x:v>
      </x:c>
      <x:c r="B23" s="28" t="str">
        <x:v>修复未闭环</x:v>
      </x:c>
      <x:c r="C23" s="28" t="str">
        <x:v>无RN07/RN08</x:v>
      </x:c>
      <x:c r="D23" s="28" t="str">
        <x:v>部分修复</x:v>
      </x:c>
      <x:c r="E23" s="28" t="str">
        <x:v>待运行</x:v>
      </x:c>
      <x:c r="G23" s="28" t="str">
        <x:v>TR03</x:v>
      </x:c>
      <x:c r="H23" s="28" t="n">
        <x:f>COUNTIF('03_核验日志'!$F$211:$F$610,"*"&amp;G23&amp;"*")+COUNTIF('03_核验日志'!$E$211:$E$610,G23)</x:f>
        <x:v>0</x:v>
      </x:c>
    </x:row>
    <x:row r="24">
      <x:c r="A24" s="28" t="str">
        <x:v>M4-TC-009</x:v>
      </x:c>
      <x:c r="B24" s="28" t="str">
        <x:v>保护仅潜在</x:v>
      </x:c>
      <x:c r="C24" s="28" t="str">
        <x:v>BL2</x:v>
      </x:c>
      <x:c r="D24" s="28" t="str">
        <x:v>不降低残余</x:v>
      </x:c>
      <x:c r="E24" s="28" t="str">
        <x:v>待运行</x:v>
      </x:c>
      <x:c r="G24" s="28" t="str">
        <x:v>TR04</x:v>
      </x:c>
      <x:c r="H24" s="28" t="n">
        <x:f>COUNTIF('03_核验日志'!$F$211:$F$610,"*"&amp;G24&amp;"*")+COUNTIF('03_核验日志'!$E$211:$E$610,G24)</x:f>
        <x:v>0</x:v>
      </x:c>
    </x:row>
    <x:row r="25">
      <x:c r="A25" s="28" t="str">
        <x:v>M4-TC-010</x:v>
      </x:c>
      <x:c r="B25" s="28" t="str">
        <x:v>保护已启动</x:v>
      </x:c>
      <x:c r="C25" s="28" t="str">
        <x:v>BL4</x:v>
      </x:c>
      <x:c r="D25" s="28" t="str">
        <x:v>效果待观察</x:v>
      </x:c>
      <x:c r="E25" s="28" t="str">
        <x:v>待运行</x:v>
      </x:c>
      <x:c r="G25" s="28" t="str">
        <x:v>TR05</x:v>
      </x:c>
      <x:c r="H25" s="28" t="n">
        <x:f>COUNTIF('03_核验日志'!$F$211:$F$610,"*"&amp;G25&amp;"*")+COUNTIF('03_核验日志'!$E$211:$E$610,G25)</x:f>
        <x:v>0</x:v>
      </x:c>
    </x:row>
    <x:row r="26">
      <x:c r="A26" s="28" t="str">
        <x:v>M4-TC-011</x:v>
      </x:c>
      <x:c r="B26" s="28" t="str">
        <x:v>保护单次有效</x:v>
      </x:c>
      <x:c r="C26" s="28" t="str">
        <x:v>BL5</x:v>
      </x:c>
      <x:c r="D26" s="28" t="str">
        <x:v>不得写稳定</x:v>
      </x:c>
      <x:c r="E26" s="28" t="str">
        <x:v>待运行</x:v>
      </x:c>
      <x:c r="G26" s="28" t="str">
        <x:v>TR06</x:v>
      </x:c>
      <x:c r="H26" s="28" t="n">
        <x:f>COUNTIF('03_核验日志'!$F$211:$F$610,"*"&amp;G26&amp;"*")+COUNTIF('03_核验日志'!$E$211:$E$610,G26)</x:f>
        <x:v>0</x:v>
      </x:c>
    </x:row>
    <x:row r="27">
      <x:c r="A27" s="28" t="str">
        <x:v>M4-TC-012</x:v>
      </x:c>
      <x:c r="B27" s="28" t="str">
        <x:v>伪保护</x:v>
      </x:c>
      <x:c r="C27" s="28" t="str">
        <x:v>解释替代反馈</x:v>
      </x:c>
      <x:c r="D27" s="28" t="str">
        <x:v>不计保护</x:v>
      </x:c>
      <x:c r="E27" s="28" t="str">
        <x:v>待运行</x:v>
      </x:c>
      <x:c r="G27" s="28" t="str">
        <x:v>TR07</x:v>
      </x:c>
      <x:c r="H27" s="28" t="n">
        <x:f>COUNTIF('03_核验日志'!$F$211:$F$610,"*"&amp;G27&amp;"*")+COUNTIF('03_核验日志'!$E$211:$E$610,G27)</x:f>
        <x:v>0</x:v>
      </x:c>
    </x:row>
    <x:row r="28">
      <x:c r="A28" s="28" t="str">
        <x:v>M4-TC-013</x:v>
      </x:c>
      <x:c r="B28" s="28" t="str">
        <x:v>安全停止</x:v>
      </x:c>
      <x:c r="C28" s="28" t="str">
        <x:v>威胁/强迫</x:v>
      </x:c>
      <x:c r="D28" s="28" t="str">
        <x:v>停止普通框架</x:v>
      </x:c>
      <x:c r="E28" s="28" t="str">
        <x:v>待运行</x:v>
      </x:c>
      <x:c r="G28" s="28" t="str">
        <x:v>TR08</x:v>
      </x:c>
      <x:c r="H28" s="28" t="n">
        <x:f>COUNTIF('03_核验日志'!$F$211:$F$610,"*"&amp;G28&amp;"*")+COUNTIF('03_核验日志'!$E$211:$E$610,G28)</x:f>
        <x:v>0</x:v>
      </x:c>
    </x:row>
    <x:row r="29">
      <x:c r="A29" s="28" t="str">
        <x:v>M4-TC-014</x:v>
      </x:c>
      <x:c r="B29" s="28" t="str">
        <x:v>合化争议</x:v>
      </x:c>
      <x:c r="C29" s="28" t="str">
        <x:v>关键功能未定</x:v>
      </x:c>
      <x:c r="D29" s="28" t="str">
        <x:v>受影响链E0</x:v>
      </x:c>
      <x:c r="E29" s="28" t="str">
        <x:v>待运行</x:v>
      </x:c>
      <x:c r="G29" s="28" t="str">
        <x:v>LP01</x:v>
      </x:c>
      <x:c r="H29" s="28" t="n">
        <x:f>COUNTIF('03_核验日志'!$F$211:$F$610,"*"&amp;G29&amp;"*")+COUNTIF('03_核验日志'!$E$211:$E$610,G29)</x:f>
        <x:v>0</x:v>
      </x:c>
    </x:row>
    <x:row r="30">
      <x:c r="A30" s="28" t="str">
        <x:v>M4-TC-015</x:v>
      </x:c>
      <x:c r="B30" s="28" t="str">
        <x:v>现实反例</x:v>
      </x:c>
      <x:c r="C30" s="28" t="str">
        <x:v>跨情境行为相反</x:v>
      </x:c>
      <x:c r="D30" s="28" t="str">
        <x:v>降级或删除</x:v>
      </x:c>
      <x:c r="E30" s="28" t="str">
        <x:v>待运行</x:v>
      </x:c>
      <x:c r="G30" s="28" t="str">
        <x:v>LP02</x:v>
      </x:c>
      <x:c r="H30" s="28" t="n">
        <x:f>COUNTIF('03_核验日志'!$F$211:$F$610,"*"&amp;G30&amp;"*")+COUNTIF('03_核验日志'!$E$211:$E$610,G30)</x:f>
        <x:v>0</x:v>
      </x:c>
    </x:row>
    <x:row r="31">
      <x:c r="A31" s="28" t="str">
        <x:v>M4-TC-016</x:v>
      </x:c>
      <x:c r="B31" s="28" t="str">
        <x:v>误读到过用</x:v>
      </x:c>
      <x:c r="C31" s="28" t="str">
        <x:v>J入口＋K机制</x:v>
      </x:c>
      <x:c r="D31" s="28" t="str">
        <x:v>K为主</x:v>
      </x:c>
      <x:c r="E31" s="28" t="str">
        <x:v>待运行</x:v>
      </x:c>
      <x:c r="G31" s="28" t="str">
        <x:v>LP03</x:v>
      </x:c>
      <x:c r="H31" s="28" t="n">
        <x:f>COUNTIF('03_核验日志'!$F$211:$F$610,"*"&amp;G31&amp;"*")+COUNTIF('03_核验日志'!$E$211:$E$610,G31)</x:f>
        <x:v>0</x:v>
      </x:c>
    </x:row>
    <x:row r="32">
      <x:c r="A32" s="28" t="str">
        <x:v>M4-TC-017</x:v>
      </x:c>
      <x:c r="B32" s="28" t="str">
        <x:v>触发到循环</x:v>
      </x:c>
      <x:c r="C32" s="28" t="str">
        <x:v>同链E2/E3</x:v>
      </x:c>
      <x:c r="D32" s="28" t="str">
        <x:v>循环为主</x:v>
      </x:c>
      <x:c r="E32" s="28" t="str">
        <x:v>待运行</x:v>
      </x:c>
      <x:c r="G32" s="28" t="str">
        <x:v>LP04</x:v>
      </x:c>
      <x:c r="H32" s="28" t="n">
        <x:f>COUNTIF('03_核验日志'!$F$211:$F$610,"*"&amp;G32&amp;"*")+COUNTIF('03_核验日志'!$E$211:$E$610,G32)</x:f>
        <x:v>0</x:v>
      </x:c>
    </x:row>
    <x:row r="33">
      <x:c r="A33" s="28" t="str">
        <x:v>M4-TC-018</x:v>
      </x:c>
      <x:c r="B33" s="28" t="str">
        <x:v>循环到修复</x:v>
      </x:c>
      <x:c r="C33" s="28" t="str">
        <x:v>同一断点重复</x:v>
      </x:c>
      <x:c r="D33" s="28" t="str">
        <x:v>附着主循环</x:v>
      </x:c>
      <x:c r="E33" s="28" t="str">
        <x:v>待运行</x:v>
      </x:c>
      <x:c r="G33" s="28" t="str">
        <x:v>LP05</x:v>
      </x:c>
      <x:c r="H33" s="28" t="n">
        <x:f>COUNTIF('03_核验日志'!$F$211:$F$610,"*"&amp;G33&amp;"*")+COUNTIF('03_核验日志'!$E$211:$E$610,G33)</x:f>
        <x:v>0</x:v>
      </x:c>
    </x:row>
    <x:row r="34">
      <x:c r="A34" s="28" t="str">
        <x:v>M4-TC-019</x:v>
      </x:c>
      <x:c r="B34" s="28" t="str">
        <x:v>两个独立E2</x:v>
      </x:c>
      <x:c r="C34" s="28" t="str">
        <x:v>不同链</x:v>
      </x:c>
      <x:c r="D34" s="28" t="str">
        <x:v>一主一次</x:v>
      </x:c>
      <x:c r="E34" s="28" t="str">
        <x:v>待运行</x:v>
      </x:c>
      <x:c r="G34" s="28" t="str">
        <x:v>LP06</x:v>
      </x:c>
      <x:c r="H34" s="28" t="n">
        <x:f>COUNTIF('03_核验日志'!$F$211:$F$610,"*"&amp;G34&amp;"*")+COUNTIF('03_核验日志'!$E$211:$E$610,G34)</x:f>
        <x:v>0</x:v>
      </x:c>
    </x:row>
    <x:row r="35">
      <x:c r="A35" s="28" t="str">
        <x:v>M4-TC-020</x:v>
      </x:c>
      <x:c r="B35" s="28" t="str">
        <x:v>字段权威冲突</x:v>
      </x:c>
      <x:c r="C35" s="28" t="str">
        <x:v>结论冲突</x:v>
      </x:c>
      <x:c r="D35" s="28" t="str">
        <x:v>权威模块优先</x:v>
      </x:c>
      <x:c r="E35" s="28" t="str">
        <x:v>待运行</x:v>
      </x:c>
      <x:c r="G35" s="28" t="str">
        <x:v>LP07</x:v>
      </x:c>
      <x:c r="H35" s="28" t="n">
        <x:f>COUNTIF('03_核验日志'!$F$211:$F$610,"*"&amp;G35&amp;"*")+COUNTIF('03_核验日志'!$E$211:$E$610,G35)</x:f>
        <x:v>0</x:v>
      </x:c>
    </x:row>
    <x:row r="36">
      <x:c r="A36" s="28" t="str">
        <x:v>M4-TC-021</x:v>
      </x:c>
      <x:c r="B36" s="28" t="str">
        <x:v>历史循环＋保护</x:v>
      </x:c>
      <x:c r="C36" s="28" t="str">
        <x:v>E3＋BL5</x:v>
      </x:c>
      <x:c r="D36" s="28" t="str">
        <x:v>E3保留、RP05</x:v>
      </x:c>
      <x:c r="E36" s="28" t="str">
        <x:v>待运行</x:v>
      </x:c>
      <x:c r="G36" s="28" t="str">
        <x:v>LP08</x:v>
      </x:c>
      <x:c r="H36" s="28" t="n">
        <x:f>COUNTIF('03_核验日志'!$F$211:$F$610,"*"&amp;G36&amp;"*")+COUNTIF('03_核验日志'!$E$211:$E$610,G36)</x:f>
        <x:v>0</x:v>
      </x:c>
    </x:row>
    <x:row r="37">
      <x:c r="A37" s="28" t="str">
        <x:v>M4-TC-022</x:v>
      </x:c>
      <x:c r="B37" s="28" t="str">
        <x:v>循环中断修复开放</x:v>
      </x:c>
      <x:c r="C37" s="28" t="str">
        <x:v>退出有效无RN07/8</x:v>
      </x:c>
      <x:c r="D37" s="28" t="str">
        <x:v>修复仍开放</x:v>
      </x:c>
      <x:c r="E37" s="28" t="str">
        <x:v>待运行</x:v>
      </x:c>
      <x:c r="G37" s="28" t="str">
        <x:v>LP09</x:v>
      </x:c>
      <x:c r="H37" s="28" t="n">
        <x:f>COUNTIF('03_核验日志'!$F$211:$F$610,"*"&amp;G37&amp;"*")+COUNTIF('03_核验日志'!$E$211:$E$610,G37)</x:f>
        <x:v>0</x:v>
      </x:c>
    </x:row>
    <x:row r="38">
      <x:c r="A38" s="28" t="str">
        <x:v>M4-TC-023</x:v>
      </x:c>
      <x:c r="B38" s="28" t="str">
        <x:v>M1/M2/M3接口</x:v>
      </x:c>
      <x:c r="C38" s="28" t="str">
        <x:v>同维度</x:v>
      </x:c>
      <x:c r="D38" s="28" t="str">
        <x:v>只作入口/背景</x:v>
      </x:c>
      <x:c r="E38" s="28" t="str">
        <x:v>待运行</x:v>
      </x:c>
      <x:c r="G38" s="28" t="str">
        <x:v>LP10</x:v>
      </x:c>
      <x:c r="H38" s="28" t="n">
        <x:f>COUNTIF('03_核验日志'!$F$211:$F$610,"*"&amp;G38&amp;"*")+COUNTIF('03_核验日志'!$E$211:$E$610,G38)</x:f>
        <x:v>0</x:v>
      </x:c>
    </x:row>
    <x:row r="39">
      <x:c r="A39" s="28" t="str">
        <x:v>M4-TC-024</x:v>
      </x:c>
      <x:c r="B39" s="28" t="str">
        <x:v>正文密度</x:v>
      </x:c>
      <x:c r="C39" s="28" t="str">
        <x:v>四候选均达门槛</x:v>
      </x:c>
      <x:c r="D39" s="28" t="str">
        <x:v>一主一次</x:v>
      </x:c>
      <x:c r="E39" s="28" t="str">
        <x:v>待运行</x:v>
      </x:c>
      <x:c r="G39" s="28" t="str">
        <x:v>LP11</x:v>
      </x:c>
      <x:c r="H39" s="28" t="n">
        <x:f>COUNTIF('03_核验日志'!$F$211:$F$610,"*"&amp;G39&amp;"*")+COUNTIF('03_核验日志'!$E$211:$E$610,G39)</x:f>
        <x:v>0</x:v>
      </x:c>
    </x:row>
    <x:row r="40">
      <x:c r="G40" s="28" t="str">
        <x:v>LP12</x:v>
      </x:c>
      <x:c r="H40" s="28" t="n">
        <x:f>COUNTIF('03_核验日志'!$F$211:$F$610,"*"&amp;G40&amp;"*")+COUNTIF('03_核验日志'!$E$211:$E$610,G40)</x:f>
        <x:v>0</x:v>
      </x:c>
    </x:row>
    <x:row r="41">
      <x:c r="G41" s="28" t="str">
        <x:v>RB01</x:v>
      </x:c>
      <x:c r="H41" s="28" t="n">
        <x:f>COUNTIF('03_核验日志'!$F$211:$F$610,"*"&amp;G41&amp;"*")+COUNTIF('03_核验日志'!$E$211:$E$610,G41)</x:f>
        <x:v>0</x:v>
      </x:c>
    </x:row>
    <x:row r="42">
      <x:c r="G42" s="28" t="str">
        <x:v>RB02</x:v>
      </x:c>
      <x:c r="H42" s="28" t="n">
        <x:f>COUNTIF('03_核验日志'!$F$211:$F$610,"*"&amp;G42&amp;"*")+COUNTIF('03_核验日志'!$E$211:$E$610,G42)</x:f>
        <x:v>0</x:v>
      </x:c>
    </x:row>
    <x:row r="43">
      <x:c r="G43" s="28" t="str">
        <x:v>RB03</x:v>
      </x:c>
      <x:c r="H43" s="28" t="n">
        <x:f>COUNTIF('03_核验日志'!$F$211:$F$610,"*"&amp;G43&amp;"*")+COUNTIF('03_核验日志'!$E$211:$E$610,G43)</x:f>
        <x:v>0</x:v>
      </x:c>
    </x:row>
    <x:row r="44">
      <x:c r="G44" s="28" t="str">
        <x:v>RB04</x:v>
      </x:c>
      <x:c r="H44" s="28" t="n">
        <x:f>COUNTIF('03_核验日志'!$F$211:$F$610,"*"&amp;G44&amp;"*")+COUNTIF('03_核验日志'!$E$211:$E$610,G44)</x:f>
        <x:v>0</x:v>
      </x:c>
    </x:row>
    <x:row r="45">
      <x:c r="G45" s="28" t="str">
        <x:v>RB05</x:v>
      </x:c>
      <x:c r="H45" s="28" t="n">
        <x:f>COUNTIF('03_核验日志'!$F$211:$F$610,"*"&amp;G45&amp;"*")+COUNTIF('03_核验日志'!$E$211:$E$610,G45)</x:f>
        <x:v>0</x:v>
      </x:c>
    </x:row>
    <x:row r="46">
      <x:c r="G46" s="28" t="str">
        <x:v>RB06</x:v>
      </x:c>
      <x:c r="H46" s="28" t="n">
        <x:f>COUNTIF('03_核验日志'!$F$211:$F$610,"*"&amp;G46&amp;"*")+COUNTIF('03_核验日志'!$E$211:$E$610,G46)</x:f>
        <x:v>0</x:v>
      </x:c>
    </x:row>
    <x:row r="47">
      <x:c r="G47" s="28" t="str">
        <x:v>RB07</x:v>
      </x:c>
      <x:c r="H47" s="28" t="n">
        <x:f>COUNTIF('03_核验日志'!$F$211:$F$610,"*"&amp;G47&amp;"*")+COUNTIF('03_核验日志'!$E$211:$E$610,G47)</x:f>
        <x:v>0</x:v>
      </x:c>
    </x:row>
    <x:row r="48">
      <x:c r="G48" s="28" t="str">
        <x:v>RB08</x:v>
      </x:c>
      <x:c r="H48" s="28" t="n">
        <x:f>COUNTIF('03_核验日志'!$F$211:$F$610,"*"&amp;G48&amp;"*")+COUNTIF('03_核验日志'!$E$211:$E$610,G48)</x:f>
        <x:v>0</x:v>
      </x:c>
    </x:row>
    <x:row r="49">
      <x:c r="G49" s="28" t="str">
        <x:v>RB09</x:v>
      </x:c>
      <x:c r="H49" s="28" t="n">
        <x:f>COUNTIF('03_核验日志'!$F$211:$F$610,"*"&amp;G49&amp;"*")+COUNTIF('03_核验日志'!$E$211:$E$610,G49)</x:f>
        <x:v>0</x:v>
      </x:c>
    </x:row>
    <x:row r="50">
      <x:c r="G50" s="28" t="str">
        <x:v>RB10</x:v>
      </x:c>
      <x:c r="H50" s="28" t="n">
        <x:f>COUNTIF('03_核验日志'!$F$211:$F$610,"*"&amp;G50&amp;"*")+COUNTIF('03_核验日志'!$E$211:$E$610,G50)</x:f>
        <x:v>0</x:v>
      </x:c>
    </x:row>
    <x:row r="51">
      <x:c r="G51" s="28" t="str">
        <x:v>RB11</x:v>
      </x:c>
      <x:c r="H51" s="28" t="n">
        <x:f>COUNTIF('03_核验日志'!$F$211:$F$610,"*"&amp;G51&amp;"*")+COUNTIF('03_核验日志'!$E$211:$E$610,G51)</x:f>
        <x:v>0</x:v>
      </x:c>
    </x:row>
    <x:row r="52">
      <x:c r="G52" s="28" t="str">
        <x:v>RB12</x:v>
      </x:c>
      <x:c r="H52" s="28" t="n">
        <x:f>COUNTIF('03_核验日志'!$F$211:$F$610,"*"&amp;G52&amp;"*")+COUNTIF('03_核验日志'!$E$211:$E$610,G52)</x:f>
        <x:v>0</x:v>
      </x:c>
    </x:row>
    <x:row r="53">
      <x:c r="G53" s="28" t="str">
        <x:v>BF01</x:v>
      </x:c>
      <x:c r="H53" s="28" t="n">
        <x:f>COUNTIF('03_核验日志'!$F$211:$F$610,"*"&amp;G53&amp;"*")+COUNTIF('03_核验日志'!$E$211:$E$610,G53)</x:f>
        <x:v>0</x:v>
      </x:c>
    </x:row>
    <x:row r="54">
      <x:c r="G54" s="28" t="str">
        <x:v>BF02</x:v>
      </x:c>
      <x:c r="H54" s="28" t="n">
        <x:f>COUNTIF('03_核验日志'!$F$211:$F$610,"*"&amp;G54&amp;"*")+COUNTIF('03_核验日志'!$E$211:$E$610,G54)</x:f>
        <x:v>0</x:v>
      </x:c>
    </x:row>
    <x:row r="55">
      <x:c r="G55" s="28" t="str">
        <x:v>BF03</x:v>
      </x:c>
      <x:c r="H55" s="28" t="n">
        <x:f>COUNTIF('03_核验日志'!$F$211:$F$610,"*"&amp;G55&amp;"*")+COUNTIF('03_核验日志'!$E$211:$E$610,G55)</x:f>
        <x:v>0</x:v>
      </x:c>
    </x:row>
    <x:row r="56">
      <x:c r="G56" s="28" t="str">
        <x:v>BF04</x:v>
      </x:c>
      <x:c r="H56" s="28" t="n">
        <x:f>COUNTIF('03_核验日志'!$F$211:$F$610,"*"&amp;G56&amp;"*")+COUNTIF('03_核验日志'!$E$211:$E$610,G56)</x:f>
        <x:v>0</x:v>
      </x:c>
    </x:row>
    <x:row r="57">
      <x:c r="G57" s="28" t="str">
        <x:v>BF05</x:v>
      </x:c>
      <x:c r="H57" s="28" t="n">
        <x:f>COUNTIF('03_核验日志'!$F$211:$F$610,"*"&amp;G57&amp;"*")+COUNTIF('03_核验日志'!$E$211:$E$610,G57)</x:f>
        <x:v>0</x:v>
      </x:c>
    </x:row>
    <x:row r="58">
      <x:c r="G58" s="28" t="str">
        <x:v>BF06</x:v>
      </x:c>
      <x:c r="H58" s="28" t="n">
        <x:f>COUNTIF('03_核验日志'!$F$211:$F$610,"*"&amp;G58&amp;"*")+COUNTIF('03_核验日志'!$E$211:$E$610,G58)</x:f>
        <x:v>0</x:v>
      </x:c>
    </x:row>
    <x:row r="59">
      <x:c r="G59" s="28" t="str">
        <x:v>BF07</x:v>
      </x:c>
      <x:c r="H59" s="28" t="n">
        <x:f>COUNTIF('03_核验日志'!$F$211:$F$610,"*"&amp;G59&amp;"*")+COUNTIF('03_核验日志'!$E$211:$E$610,G59)</x:f>
        <x:v>0</x:v>
      </x:c>
    </x:row>
    <x:row r="60">
      <x:c r="G60" s="28" t="str">
        <x:v>BF08</x:v>
      </x:c>
      <x:c r="H60" s="28" t="n">
        <x:f>COUNTIF('03_核验日志'!$F$211:$F$610,"*"&amp;G60&amp;"*")+COUNTIF('03_核验日志'!$E$211:$E$610,G60)</x:f>
        <x:v>0</x:v>
      </x:c>
    </x:row>
  </x:sheetData>
  <x:mergeCells>
    <x:mergeCell ref="A1:H1"/>
    <x:mergeCell ref="A2:H2"/>
  </x:mergeCells>
  <x:dataValidations count="1">
    <x:dataValidation type="list" sqref="E16:E39">
      <x:formula1>"待运行,通过,需检查,未通过"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20" hidden="0" customWidth="1"/>
    <x:col min="5" max="5" width="48" hidden="0" customWidth="1"/>
    <x:col min="6" max="6" width="42" hidden="0" customWidth="1"/>
    <x:col min="7" max="7" width="50" hidden="0" customWidth="1"/>
    <x:col min="8" max="8" width="30" hidden="0" customWidth="1"/>
    <x:col min="9" max="9" width="30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36" hidden="0" customWidth="1"/>
  </x:cols>
  <x:sheetData>
    <x:row r="1">
      <x:c r="A1" s="4" t="str">
        <x:v>M4-CALIBRATION 看板与版本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自动汇总案例、结构测试、字段匹配、规则反例和修订状态。</x:v>
      </x:c>
      <x:c r="B2" s="11"/>
      <x:c r="C2" s="11"/>
      <x:c r="D2" s="11"/>
      <x:c r="E2" s="11"/>
      <x:c r="F2" s="11"/>
      <x:c r="G2" s="11"/>
      <x:c r="H2" s="11"/>
      <x:c r="I2" s="11"/>
    </x:row>
    <x:row r="4">
      <x:c r="A4" s="42" t="str">
        <x:v>案例总数</x:v>
      </x:c>
      <x:c r="B4" s="42"/>
      <x:c r="D4" s="42" t="str">
        <x:v>预测冻结</x:v>
      </x:c>
      <x:c r="E4" s="42"/>
      <x:c r="G4" s="42" t="str">
        <x:v>纳入统计</x:v>
      </x:c>
      <x:c r="H4" s="42"/>
    </x:row>
    <x:row r="5">
      <x:c r="A5" s="48" t="n">
        <x:f>COUNTIF('01_案例与预测'!$A$5:$A$104,"&lt;&gt;")</x:f>
        <x:v>0</x:v>
      </x:c>
      <x:c r="B5" s="48"/>
      <x:c r="D5" s="48" t="n">
        <x:f>COUNTIF('01_案例与预测'!$D$111:$D$210,"已冻结")</x:f>
        <x:v>0</x:v>
      </x:c>
      <x:c r="E5" s="48"/>
      <x:c r="G5" s="48" t="n">
        <x:f>COUNTIF('01_案例与预测'!$P$5:$P$104,"是")</x:f>
        <x:v>0</x:v>
      </x:c>
      <x:c r="H5" s="48"/>
    </x:row>
    <x:row r="7">
      <x:c r="A7" s="42" t="str">
        <x:v>结构测试通过</x:v>
      </x:c>
      <x:c r="B7" s="42"/>
      <x:c r="D7" s="42" t="str">
        <x:v>字段平均分</x:v>
      </x:c>
      <x:c r="E7" s="42"/>
      <x:c r="G7" s="42" t="str">
        <x:v>规则反例</x:v>
      </x:c>
      <x:c r="H7" s="42"/>
    </x:row>
    <x:row r="8">
      <x:c r="A8" s="48" t="n">
        <x:f>COUNTIF('05_结构测试阈值'!$E$16:$E$39,"通过")</x:f>
        <x:v>0</x:v>
      </x:c>
      <x:c r="B8" s="48"/>
      <x:c r="D8" s="48" t="str">
        <x:f>IFERROR(AVERAGE('03_核验日志'!$H$5:$H$204),"")</x:f>
      </x:c>
      <x:c r="E8" s="48"/>
      <x:c r="G8" s="48" t="n">
        <x:f>COUNTIF('03_核验日志'!$J$211:$J$610,"反例")</x:f>
        <x:v>0</x:v>
      </x:c>
      <x:c r="H8" s="48"/>
    </x:row>
    <x:row r="10">
      <x:c r="A10" s="42" t="str">
        <x:v>强反例</x:v>
      </x:c>
      <x:c r="B10" s="42"/>
      <x:c r="D10" s="42" t="str">
        <x:v>需修改规则</x:v>
      </x:c>
      <x:c r="E10" s="42"/>
      <x:c r="G10" s="42" t="str">
        <x:v>升级候选</x:v>
      </x:c>
      <x:c r="H10" s="42"/>
    </x:row>
    <x:row r="11">
      <x:c r="A11" s="48" t="n">
        <x:f>COUNTIF('03_核验日志'!$F$617:$F$716,"强")+COUNTIF('03_核验日志'!$F$617:$F$716,"决定性")</x:f>
        <x:v>0</x:v>
      </x:c>
      <x:c r="B11" s="48"/>
      <x:c r="D11" s="48" t="n">
        <x:f>COUNTIF('04_规则校准'!$O$5:$O$154,"需修改")</x:f>
        <x:v>0</x:v>
      </x:c>
      <x:c r="E11" s="48"/>
      <x:c r="G11" s="48" t="n">
        <x:f>COUNTIF('04_规则校准'!$O$5:$O$154,"已验证候选")</x:f>
        <x:v>0</x:v>
      </x:c>
      <x:c r="H11" s="48"/>
    </x:row>
    <x:row r="15">
      <x:c r="A15" s="20" t="str">
        <x:v>发布检查</x:v>
      </x:c>
      <x:c r="B15" s="20" t="str">
        <x:v>当前值</x:v>
      </x:c>
      <x:c r="C15" s="20" t="str">
        <x:v>门槛</x:v>
      </x:c>
      <x:c r="D15" s="20" t="str">
        <x:v>状态</x:v>
      </x:c>
      <x:c r="E15" s="20" t="str">
        <x:v>说明</x:v>
      </x:c>
    </x:row>
    <x:row r="16">
      <x:c r="A16" s="28" t="str">
        <x:v>结构测试</x:v>
      </x:c>
      <x:c r="B16" s="28" t="n">
        <x:f>COUNTIF('05_结构测试阈值'!$E$16:$E$39,"通过")</x:f>
        <x:v>0</x:v>
      </x:c>
      <x:c r="C16" s="28" t="n">
        <x:v>24</x:v>
      </x:c>
      <x:c r="D16" s="28" t="str">
        <x:f>IF(B16&gt;=C16,"通过","未通过")</x:f>
        <x:v>未通过</x:v>
      </x:c>
      <x:c r="E16" s="28" t="str">
        <x:v>24项全部通过</x:v>
      </x:c>
    </x:row>
    <x:row r="17">
      <x:c r="A17" s="28" t="str">
        <x:v>试点案例</x:v>
      </x:c>
      <x:c r="B17" s="28" t="n">
        <x:f>COUNTIF('01_案例与预测'!$P$5:$P$104,"是")</x:f>
        <x:v>0</x:v>
      </x:c>
      <x:c r="C17" s="28" t="n">
        <x:v>20</x:v>
      </x:c>
      <x:c r="D17" s="28" t="str">
        <x:f>IF(B17&gt;=C17,"达标","不足")</x:f>
        <x:v>不足</x:v>
      </x:c>
      <x:c r="E17" s="28" t="str">
        <x:v>先完成20—30例</x:v>
      </x:c>
    </x:row>
    <x:row r="18">
      <x:c r="A18" s="28" t="str">
        <x:v>严重反例</x:v>
      </x:c>
      <x:c r="B18" s="28" t="n">
        <x:f>COUNTIF('04_规则校准'!$N$5:$N$154,"降权/停用候选")</x:f>
        <x:v>0</x:v>
      </x:c>
      <x:c r="C18" s="28" t="n">
        <x:v>0</x:v>
      </x:c>
      <x:c r="D18" s="28" t="str">
        <x:f>IF(B18=C18,"通过","需处理")</x:f>
        <x:v>通过</x:v>
      </x:c>
      <x:c r="E18" s="28" t="str">
        <x:v>不能带病发布</x:v>
      </x:c>
    </x:row>
    <x:row r="22">
      <x:c r="A22" s="20" t="str">
        <x:v>change_id</x:v>
      </x:c>
      <x:c r="B22" s="20" t="str">
        <x:v>rule_id</x:v>
      </x:c>
      <x:c r="C22" s="20" t="str">
        <x:v>模块</x:v>
      </x:c>
      <x:c r="D22" s="20" t="str">
        <x:v>变更类型</x:v>
      </x:c>
      <x:c r="E22" s="20" t="str">
        <x:v>旧内容</x:v>
      </x:c>
      <x:c r="F22" s="20" t="str">
        <x:v>新内容</x:v>
      </x:c>
      <x:c r="G22" s="20" t="str">
        <x:v>原因</x:v>
      </x:c>
      <x:c r="H22" s="20" t="str">
        <x:v>支持案例</x:v>
      </x:c>
      <x:c r="I22" s="20" t="str">
        <x:v>反例案例</x:v>
      </x:c>
      <x:c r="J22" s="20" t="str">
        <x:v>风险</x:v>
      </x:c>
      <x:c r="K22" s="20" t="str">
        <x:v>决定人</x:v>
      </x:c>
      <x:c r="L22" s="20" t="str">
        <x:v>日期</x:v>
      </x:c>
      <x:c r="M22" s="20" t="str">
        <x:v>状态</x:v>
      </x:c>
      <x:c r="N22" s="20" t="str">
        <x:v>备注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32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32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32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32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32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32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32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32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32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32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32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32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32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32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32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32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32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32"/>
      <x:c r="M40" s="28"/>
      <x:c r="N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32"/>
      <x:c r="M41" s="28"/>
      <x:c r="N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32"/>
      <x:c r="M42" s="28"/>
      <x:c r="N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32"/>
      <x:c r="M43" s="28"/>
      <x:c r="N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32"/>
      <x:c r="M44" s="28"/>
      <x:c r="N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32"/>
      <x:c r="M45" s="28"/>
      <x:c r="N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32"/>
      <x:c r="M46" s="28"/>
      <x:c r="N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32"/>
      <x:c r="M47" s="28"/>
      <x:c r="N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32"/>
      <x:c r="M48" s="28"/>
      <x:c r="N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32"/>
      <x:c r="M49" s="28"/>
      <x:c r="N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32"/>
      <x:c r="M50" s="28"/>
      <x:c r="N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32"/>
      <x:c r="M51" s="28"/>
      <x:c r="N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32"/>
      <x:c r="M52" s="28"/>
      <x:c r="N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32"/>
      <x:c r="M53" s="28"/>
      <x:c r="N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32"/>
      <x:c r="M54" s="28"/>
      <x:c r="N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32"/>
      <x:c r="M55" s="28"/>
      <x:c r="N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32"/>
      <x:c r="M56" s="28"/>
      <x:c r="N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32"/>
      <x:c r="M57" s="28"/>
      <x:c r="N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32"/>
      <x:c r="M58" s="28"/>
      <x:c r="N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32"/>
      <x:c r="M59" s="28"/>
      <x:c r="N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32"/>
      <x:c r="M60" s="28"/>
      <x:c r="N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32"/>
      <x:c r="M61" s="28"/>
      <x:c r="N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32"/>
      <x:c r="M62" s="28"/>
      <x:c r="N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32"/>
      <x:c r="M63" s="28"/>
      <x:c r="N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32"/>
      <x:c r="M64" s="28"/>
      <x:c r="N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32"/>
      <x:c r="M65" s="28"/>
      <x:c r="N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32"/>
      <x:c r="M66" s="28"/>
      <x:c r="N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32"/>
      <x:c r="M67" s="28"/>
      <x:c r="N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32"/>
      <x:c r="M68" s="28"/>
      <x:c r="N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32"/>
      <x:c r="M69" s="28"/>
      <x:c r="N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32"/>
      <x:c r="M70" s="28"/>
      <x:c r="N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32"/>
      <x:c r="M71" s="28"/>
      <x:c r="N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32"/>
      <x:c r="M72" s="28"/>
      <x:c r="N72" s="28"/>
    </x:row>
    <x:row r="76">
      <x:c r="A76" s="20" t="str">
        <x:v>类型</x:v>
      </x:c>
      <x:c r="B76" s="20" t="str">
        <x:v>版本</x:v>
      </x:c>
      <x:c r="C76" s="20" t="str">
        <x:v>日期</x:v>
      </x:c>
      <x:c r="D76" s="20" t="str">
        <x:v>说明</x:v>
      </x:c>
      <x:c r="E76" s="20" t="str">
        <x:v>状态</x:v>
      </x:c>
    </x:row>
    <x:row r="77">
      <x:c r="A77" s="28" t="str">
        <x:v>工作台</x:v>
      </x:c>
      <x:c r="B77" s="28" t="str">
        <x:v>V0.10</x:v>
      </x:c>
      <x:c r="C77" s="28" t="str">
        <x:v>2026-08-28</x:v>
      </x:c>
      <x:c r="D77" s="28" t="str">
        <x:v>建立真实案例校准框架</x:v>
      </x:c>
      <x:c r="E77" s="28" t="str">
        <x:v>当前</x:v>
      </x:c>
    </x:row>
    <x:row r="78">
      <x:c r="A78" s="28" t="str">
        <x:v>规则库基线</x:v>
      </x:c>
      <x:c r="B78" s="28" t="str">
        <x:v>M4 V0.9</x:v>
      </x:c>
      <x:c r="C78" s="28" t="str">
        <x:v>2026-08-28</x:v>
      </x:c>
      <x:c r="D78" s="28" t="str">
        <x:v>3040条规则全部待验证</x:v>
      </x:c>
      <x:c r="E78" s="28" t="str">
        <x:v>基线</x:v>
      </x:c>
    </x:row>
    <x:row r="79">
      <x:c r="A79" s="28" t="str">
        <x:v>目标候选</x:v>
      </x:c>
      <x:c r="B79" s="28" t="str">
        <x:v>M4 V1.0候选</x:v>
      </x:c>
      <x:c r="C79" s="28" t="str">
        <x:v>待定</x:v>
      </x:c>
      <x:c r="D79" s="28" t="str">
        <x:v>完成试点、扩展、双评和反例审查后冻结</x:v>
      </x:c>
      <x:c r="E79" s="28" t="str">
        <x:v>未开始</x:v>
      </x:c>
    </x:row>
  </x:sheetData>
  <x:mergeCells>
    <x:mergeCell ref="A1:I1"/>
    <x:mergeCell ref="A2:I2"/>
    <x:mergeCell ref="A4:B4"/>
    <x:mergeCell ref="A5:B5"/>
    <x:mergeCell ref="D4:E4"/>
    <x:mergeCell ref="D5:E5"/>
    <x:mergeCell ref="G4:H4"/>
    <x:mergeCell ref="G5:H5"/>
    <x:mergeCell ref="A7:B7"/>
    <x:mergeCell ref="A8:B8"/>
    <x:mergeCell ref="D7:E7"/>
    <x:mergeCell ref="D8:E8"/>
    <x:mergeCell ref="G7:H7"/>
    <x:mergeCell ref="G8:H8"/>
    <x:mergeCell ref="A10:B10"/>
    <x:mergeCell ref="A11:B11"/>
    <x:mergeCell ref="D10:E10"/>
    <x:mergeCell ref="D11:E11"/>
    <x:mergeCell ref="G10:H10"/>
    <x:mergeCell ref="G11:H11"/>
  </x:mergeCells>
  <x:dataValidations count="4">
    <x:dataValidation type="list" sqref="C23:C72">
      <x:formula1>"BASE,MISREAD,OVERUSE,TRIGGER,LOOP,REPAIR,BUFFER,SYNTH"</x:formula1>
    </x:dataValidation>
    <x:dataValidation type="list" sqref="D23:D72">
      <x:formula1>"保留,改写语言,调整条件,调权重,改优先级,加停止,加反例门控,合并,拆分,停用,升级"</x:formula1>
    </x:dataValidation>
    <x:dataValidation type="list" sqref="J23:J72">
      <x:formula1>"低,中,高,安全级"</x:formula1>
    </x:dataValidation>
    <x:dataValidation type="list" sqref="M23:M72">
      <x:formula1>"提议,待复核,已批准,已实施,已撤回"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M4-CALIBRATION 下拉词典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供数据验证引用。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20" t="str">
        <x:v>case_status</x:v>
      </x:c>
      <x:c r="B4" s="20" t="str">
        <x:v>grade</x:v>
      </x:c>
      <x:c r="C4" s="20" t="str">
        <x:v>confidence</x:v>
      </x:c>
      <x:c r="D4" s="20" t="str">
        <x:v>match</x:v>
      </x:c>
      <x:c r="E4" s="20" t="str">
        <x:v>hit</x:v>
      </x:c>
      <x:c r="F4" s="20" t="str">
        <x:v>module</x:v>
      </x:c>
      <x:c r="G4" s="20" t="str">
        <x:v>safety</x:v>
      </x:c>
      <x:c r="H4" s="20" t="str">
        <x:v>buffer</x:v>
      </x:c>
      <x:c r="I4" s="20" t="str">
        <x:v>residual</x:v>
      </x:c>
      <x:c r="J4" s="20" t="str">
        <x:v>node</x:v>
      </x:c>
    </x:row>
    <x:row r="5">
      <x:c r="A5" t="str">
        <x:v>待录入</x:v>
      </x:c>
      <x:c r="B5" t="str">
        <x:v>E0</x:v>
      </x:c>
      <x:c r="C5" t="str">
        <x:v>高</x:v>
      </x:c>
      <x:c r="D5" t="str">
        <x:v>完全吻合</x:v>
      </x:c>
      <x:c r="E5" t="str">
        <x:v>支持</x:v>
      </x:c>
      <x:c r="F5" t="str">
        <x:v>BASE</x:v>
      </x:c>
      <x:c r="G5" t="str">
        <x:v>无明显安全问题</x:v>
      </x:c>
      <x:c r="H5" t="str">
        <x:v>BL0</x:v>
      </x:c>
      <x:c r="I5" t="str">
        <x:v>RP01</x:v>
      </x:c>
      <x:c r="J5" t="str">
        <x:v>未观察</x:v>
      </x:c>
    </x:row>
    <x:row r="6">
      <x:c r="A6" t="str">
        <x:v>预测待冻结</x:v>
      </x:c>
      <x:c r="B6" t="str">
        <x:v>E1</x:v>
      </x:c>
      <x:c r="C6" t="str">
        <x:v>中高</x:v>
      </x:c>
      <x:c r="D6" t="str">
        <x:v>基本吻合</x:v>
      </x:c>
      <x:c r="E6" t="str">
        <x:v>部分支持</x:v>
      </x:c>
      <x:c r="F6" t="str">
        <x:v>MISREAD</x:v>
      </x:c>
      <x:c r="G6" t="str">
        <x:v>需进一步筛查</x:v>
      </x:c>
      <x:c r="H6" t="str">
        <x:v>BL1</x:v>
      </x:c>
      <x:c r="I6" t="str">
        <x:v>RP02</x:v>
      </x:c>
      <x:c r="J6" t="str">
        <x:v>未完成</x:v>
      </x:c>
    </x:row>
    <x:row r="7">
      <x:c r="A7" t="str">
        <x:v>反馈待收集</x:v>
      </x:c>
      <x:c r="B7" t="str">
        <x:v>E2</x:v>
      </x:c>
      <x:c r="C7" t="str">
        <x:v>中</x:v>
      </x:c>
      <x:c r="D7" t="str">
        <x:v>部分吻合</x:v>
      </x:c>
      <x:c r="E7" t="str">
        <x:v>反例</x:v>
      </x:c>
      <x:c r="F7" t="str">
        <x:v>OVERUSE</x:v>
      </x:c>
      <x:c r="G7" t="str">
        <x:v>存在威胁/强迫</x:v>
      </x:c>
      <x:c r="H7" t="str">
        <x:v>BL2</x:v>
      </x:c>
      <x:c r="I7" t="str">
        <x:v>RP03</x:v>
      </x:c>
      <x:c r="J7" t="str">
        <x:v>部分完成</x:v>
      </x:c>
    </x:row>
    <x:row r="8">
      <x:c r="A8" t="str">
        <x:v>待复核</x:v>
      </x:c>
      <x:c r="B8" t="str">
        <x:v>E3</x:v>
      </x:c>
      <x:c r="C8" t="str">
        <x:v>中低</x:v>
      </x:c>
      <x:c r="D8" t="str">
        <x:v>明显不符</x:v>
      </x:c>
      <x:c r="E8" t="str">
        <x:v>不确定</x:v>
      </x:c>
      <x:c r="F8" t="str">
        <x:v>TRIGGER</x:v>
      </x:c>
      <x:c r="G8" t="str">
        <x:v>存在暴力风险</x:v>
      </x:c>
      <x:c r="H8" t="str">
        <x:v>BL3</x:v>
      </x:c>
      <x:c r="I8" t="str">
        <x:v>RP04</x:v>
      </x:c>
      <x:c r="J8" t="str">
        <x:v>已完成</x:v>
      </x:c>
    </x:row>
    <x:row r="9">
      <x:c r="A9" t="str">
        <x:v>已评估</x:v>
      </x:c>
      <x:c r="B9" t="str">
        <x:v>E4</x:v>
      </x:c>
      <x:c r="C9" t="str">
        <x:v>低</x:v>
      </x:c>
      <x:c r="D9" t="str">
        <x:v>不可评估</x:v>
      </x:c>
      <x:c r="E9" t="str">
        <x:v>不可评估</x:v>
      </x:c>
      <x:c r="F9" t="str">
        <x:v>LOOP</x:v>
      </x:c>
      <x:c r="G9" t="str">
        <x:v>存在经济控制</x:v>
      </x:c>
      <x:c r="H9" t="str">
        <x:v>BL4</x:v>
      </x:c>
      <x:c r="I9" t="str">
        <x:v>RP05</x:v>
      </x:c>
      <x:c r="J9" t="str">
        <x:v>不适用</x:v>
      </x:c>
    </x:row>
    <x:row r="10">
      <x:c r="A10" t="str">
        <x:v>暂不纳入</x:v>
      </x:c>
      <x:c r="C10" t="str">
        <x:v>停止</x:v>
      </x:c>
      <x:c r="F10" t="str">
        <x:v>REPAIR</x:v>
      </x:c>
      <x:c r="G10" t="str">
        <x:v>存在跟踪监视</x:v>
      </x:c>
      <x:c r="H10" t="str">
        <x:v>BL5</x:v>
      </x:c>
      <x:c r="I10" t="str">
        <x:v>RP06</x:v>
      </x:c>
    </x:row>
    <x:row r="11">
      <x:c r="A11" t="str">
        <x:v>安全停止</x:v>
      </x:c>
      <x:c r="F11" t="str">
        <x:v>BUFFER</x:v>
      </x:c>
      <x:c r="G11" t="str">
        <x:v>其他安全停止</x:v>
      </x:c>
      <x:c r="H11" t="str">
        <x:v>BL6</x:v>
      </x:c>
      <x:c r="I11" t="str">
        <x:v>RP07</x:v>
      </x:c>
    </x:row>
    <x:row r="12">
      <x:c r="F12" t="str">
        <x:v>SYNTH</x:v>
      </x:c>
      <x:c r="H12" t="str">
        <x:v>BL7</x:v>
      </x:c>
      <x:c r="I12" t="str">
        <x:v>RP08</x:v>
      </x:c>
    </x:row>
  </x:sheetData>
  <x:mergeCells>
    <x:mergeCell ref="A1:J1"/>
    <x:mergeCell ref="A2:J2"/>
  </x:mergeCells>
  <x:pageMargins left="0.7" right="0.7" top="0.75" bottom="0.75" header="0.3" footer="0.3"/>
</x:worksheet>
</file>