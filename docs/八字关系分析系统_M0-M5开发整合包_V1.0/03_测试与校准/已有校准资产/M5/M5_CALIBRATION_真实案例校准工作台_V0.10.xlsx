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0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1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2.xml" ContentType="application/vnd.openxmlformats-officedocument.spreadsheetml.worksheet+xml"/>
  <Override PartName="/xl/tables/table21.xml" ContentType="application/vnd.openxmlformats-officedocument.spreadsheetml.table+xml"/>
  <Override PartName="/xl/worksheets/sheet13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4.xml" ContentType="application/vnd.openxmlformats-officedocument.spreadsheetml.worksheet+xml"/>
  <Override PartName="/xl/tables/table25.xml" ContentType="application/vnd.openxmlformats-officedocument.spreadsheetml.table+xml"/>
  <Override PartName="/xl/worksheets/sheet15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6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ca9d3b7ad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指南" sheetId="1" r:id="Rfb82f526c1ef47d0"/>
    <x:sheet xmlns:r="http://schemas.openxmlformats.org/officeDocument/2006/relationships" name="01_基线与样本" sheetId="2" r:id="R57e012c357c14bad"/>
    <x:sheet xmlns:r="http://schemas.openxmlformats.org/officeDocument/2006/relationships" name="02_案例与预测" sheetId="3" r:id="R2a82bddef0f3402f"/>
    <x:sheet xmlns:r="http://schemas.openxmlformats.org/officeDocument/2006/relationships" name="03_关系事件" sheetId="4" r:id="R86a81035ab4549df"/>
    <x:sheet xmlns:r="http://schemas.openxmlformats.org/officeDocument/2006/relationships" name="04_RG门槛" sheetId="5" r:id="Red1c961cddea45a6"/>
    <x:sheet xmlns:r="http://schemas.openxmlformats.org/officeDocument/2006/relationships" name="05_字段核验" sheetId="6" r:id="R4eae62a2980b455d"/>
    <x:sheet xmlns:r="http://schemas.openxmlformats.org/officeDocument/2006/relationships" name="06_规则命中" sheetId="7" r:id="R25761daf2c4a425d"/>
    <x:sheet xmlns:r="http://schemas.openxmlformats.org/officeDocument/2006/relationships" name="07_规则校准" sheetId="8" r:id="Rc0efbb26102145ee"/>
    <x:sheet xmlns:r="http://schemas.openxmlformats.org/officeDocument/2006/relationships" name="08_反例与错误" sheetId="9" r:id="Rf1c7384597b34536"/>
    <x:sheet xmlns:r="http://schemas.openxmlformats.org/officeDocument/2006/relationships" name="09_阈值与结构测试" sheetId="10" r:id="R5fe1801e6e7a4cc8"/>
    <x:sheet xmlns:r="http://schemas.openxmlformats.org/officeDocument/2006/relationships" name="10_模块表现看板" sheetId="11" r:id="R9d2d1d7c234c4b2d"/>
    <x:sheet xmlns:r="http://schemas.openxmlformats.org/officeDocument/2006/relationships" name="11_语言校准" sheetId="12" r:id="R1c731a7b8cb14df4"/>
    <x:sheet xmlns:r="http://schemas.openxmlformats.org/officeDocument/2006/relationships" name="12_变更与版本" sheetId="13" r:id="R2d12f0e4f2754621"/>
    <x:sheet xmlns:r="http://schemas.openxmlformats.org/officeDocument/2006/relationships" name="13_异步问卷" sheetId="14" r:id="R8e40ed32aecb46b4"/>
    <x:sheet xmlns:r="http://schemas.openxmlformats.org/officeDocument/2006/relationships" name="14_词典" sheetId="15" r:id="R70283c17485e4d84"/>
    <x:sheet xmlns:r="http://schemas.openxmlformats.org/officeDocument/2006/relationships" name="15_金标准协议" sheetId="16" r:id="R866dde59966c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F2937"/>
      <x:name val="Microsoft YaHei"/>
    </x:font>
    <x:font>
      <x:b/>
      <x:sz val="11"/>
      <x:color rgb="FFFFFFFF"/>
      <x:name val="Microsoft YaHei"/>
    </x:font>
    <x:font>
      <x:sz val="11"/>
      <x:color rgb="FF1F2937"/>
      <x:name val="Microsoft YaHei"/>
    </x:font>
  </x:fonts>
  <x:fills count="30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CE8B2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12"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/>
    <x:xf numFmtId="0" fontId="4" fillId="0" borderId="4" xfId="0" applyNumberFormat="1" applyFont="1" applyFill="1" applyBorder="1"/>
    <x:xf numFmtId="0" fontId="4" fillId="0" xfId="0" applyNumberFormat="1" applyFont="1" applyFill="1" applyBorder="0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xfId="0" applyNumberFormat="1" applyFont="1" applyFill="1" applyBorder="0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horizontal="center" wrapText="1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200" fontId="4" fillId="0" xfId="0" applyNumberFormat="1" applyFont="1" applyFill="1" applyBorder="0" applyAlignment="1">
      <x:alignment wrapText="1"/>
    </x:xf>
    <x:xf numFmtId="200" fontId="4" fillId="0" borderId="8" xfId="0" applyNumberFormat="1" applyFont="1" applyFill="1" applyBorder="1" applyAlignment="1">
      <x:alignment wrapText="1"/>
    </x:xf>
    <x:xf numFmtId="0" fontId="6" fillId="20" borderId="0" xfId="0" applyNumberFormat="1" applyFont="1" applyFill="1" applyBorder="1"/>
    <x:xf numFmtId="0" fontId="6" fillId="20" borderId="0" xfId="0" applyNumberFormat="1" applyFont="1" applyFill="1" applyBorder="1" applyAlignment="1">
      <x:alignment horizontal="center"/>
    </x:xf>
    <x:xf numFmtId="0" fontId="6" fillId="2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xfId="0" applyNumberFormat="1" applyFont="1" applyFill="1" applyBorder="0"/>
    <x:xf numFmtId="0" fontId="7" fillId="0" borderId="8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horizontal="center" wrapText="1"/>
    </x:xf>
    <x:xf numFmtId="0" fontId="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horizontal="center" wrapText="1"/>
    </x:xf>
    <x:xf numFmtId="0" fontId="3" fillId="23" borderId="0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/>
    <x:xf numFmtId="0" fontId="4" fillId="0" borderId="9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horizontal="center" wrapText="1"/>
    </x:xf>
    <x:xf numFmtId="0" fontId="1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0" xfId="0" applyNumberFormat="1" applyFont="1" applyFill="1" applyBorder="1" applyAlignment="1">
      <x:alignment wrapText="1"/>
    </x:xf>
    <x:xf numFmtId="0" fontId="2" fillId="25" borderId="0" xfId="0" applyNumberFormat="1" applyFont="1" applyFill="1" applyBorder="1" applyAlignment="1">
      <x:alignment horizontal="center" wrapText="1"/>
    </x:xf>
    <x:xf numFmtId="0" fontId="2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wrapText="1"/>
    </x:xf>
    <x:xf numFmtId="0" fontId="3" fillId="26" borderId="0" xfId="0" applyNumberFormat="1" applyFont="1" applyFill="1" applyBorder="1" applyAlignment="1">
      <x:alignment horizontal="center" wrapText="1"/>
    </x:xf>
    <x:xf numFmtId="0" fontId="3" fillId="26" borderId="0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 applyAlignment="1">
      <x:alignment horizontal="center" wrapText="1"/>
    </x:xf>
    <x:xf numFmtId="0" fontId="1" fillId="27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0" xfId="0" applyNumberFormat="1" applyFont="1" applyFill="1" applyBorder="1" applyAlignment="1">
      <x:alignment wrapText="1"/>
    </x:xf>
    <x:xf numFmtId="0" fontId="2" fillId="28" borderId="0" xfId="0" applyNumberFormat="1" applyFont="1" applyFill="1" applyBorder="1" applyAlignment="1">
      <x:alignment horizontal="center" wrapText="1"/>
    </x:xf>
    <x:xf numFmtId="0" fontId="2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horizontal="center" wrapText="1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7F1D1D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f370413504697" /><Relationship Type="http://schemas.openxmlformats.org/officeDocument/2006/relationships/theme" Target="/xl/theme/theme1.xml" Id="R9c3b9e15c7fa4806" /><Relationship Type="http://schemas.openxmlformats.org/officeDocument/2006/relationships/sharedStrings" Target="/xl/sharedStrings.xml" Id="R6e2ed6e1050144ac" /><Relationship Type="http://schemas.openxmlformats.org/officeDocument/2006/relationships/worksheet" Target="/xl/worksheets/sheet1.xml" Id="Rfb82f526c1ef47d0" /><Relationship Type="http://schemas.openxmlformats.org/officeDocument/2006/relationships/worksheet" Target="/xl/worksheets/sheet2.xml" Id="R57e012c357c14bad" /><Relationship Type="http://schemas.openxmlformats.org/officeDocument/2006/relationships/worksheet" Target="/xl/worksheets/sheet3.xml" Id="R2a82bddef0f3402f" /><Relationship Type="http://schemas.openxmlformats.org/officeDocument/2006/relationships/worksheet" Target="/xl/worksheets/sheet4.xml" Id="R86a81035ab4549df" /><Relationship Type="http://schemas.openxmlformats.org/officeDocument/2006/relationships/worksheet" Target="/xl/worksheets/sheet5.xml" Id="Red1c961cddea45a6" /><Relationship Type="http://schemas.openxmlformats.org/officeDocument/2006/relationships/worksheet" Target="/xl/worksheets/sheet6.xml" Id="R4eae62a2980b455d" /><Relationship Type="http://schemas.openxmlformats.org/officeDocument/2006/relationships/worksheet" Target="/xl/worksheets/sheet7.xml" Id="R25761daf2c4a425d" /><Relationship Type="http://schemas.openxmlformats.org/officeDocument/2006/relationships/worksheet" Target="/xl/worksheets/sheet8.xml" Id="Rc0efbb26102145ee" /><Relationship Type="http://schemas.openxmlformats.org/officeDocument/2006/relationships/worksheet" Target="/xl/worksheets/sheet9.xml" Id="Rf1c7384597b34536" /><Relationship Type="http://schemas.openxmlformats.org/officeDocument/2006/relationships/worksheet" Target="/xl/worksheets/sheet10.xml" Id="R5fe1801e6e7a4cc8" /><Relationship Type="http://schemas.openxmlformats.org/officeDocument/2006/relationships/worksheet" Target="/xl/worksheets/sheet11.xml" Id="R9d2d1d7c234c4b2d" /><Relationship Type="http://schemas.openxmlformats.org/officeDocument/2006/relationships/worksheet" Target="/xl/worksheets/sheet12.xml" Id="R1c731a7b8cb14df4" /><Relationship Type="http://schemas.openxmlformats.org/officeDocument/2006/relationships/worksheet" Target="/xl/worksheets/sheet13.xml" Id="R2d12f0e4f2754621" /><Relationship Type="http://schemas.openxmlformats.org/officeDocument/2006/relationships/worksheet" Target="/xl/worksheets/sheet14.xml" Id="R8e40ed32aecb46b4" /><Relationship Type="http://schemas.openxmlformats.org/officeDocument/2006/relationships/worksheet" Target="/xl/worksheets/sheet15.xml" Id="R70283c17485e4d84" /><Relationship Type="http://schemas.openxmlformats.org/officeDocument/2006/relationships/worksheet" Target="/xl/worksheets/sheet16.xml" Id="R866dde59966c4446" /></Relationships>
</file>

<file path=xl/tables/table1.xml><?xml version="1.0" encoding="utf-8"?>
<x:table xmlns:x="http://schemas.openxmlformats.org/spreadsheetml/2006/main" id="1" name="GuideTable" displayName="GuideTable" ref="A5:C15" headerRowCount="1" totalsRowCount="0" totalsRowShown="0">
  <x:tableColumns count="3">
    <x:tableColumn id="1" name="步骤"/>
    <x:tableColumn id="2" name="任务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deStatus" displayName="GuideStatus" ref="A19:B24" headerRowCount="1" totalsRowCount="0" totalsRowShown="0">
  <x:tableColumns count="2">
    <x:tableColumn id="1" name="项目"/>
    <x:tableColumn id="2" name="当前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selineManifest" displayName="BaselineManifest" ref="A5:E9" headerRowCount="1" totalsRowCount="0" totalsRowShown="0">
  <x:tableColumns count="5">
    <x:tableColumn id="1" name="基线对象"/>
    <x:tableColumn id="2" name="文件名"/>
    <x:tableColumn id="3" name="字节数"/>
    <x:tableColumn id="4" name="SHA-256"/>
    <x:tableColumn id="5" name="冻结日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uleCounts" displayName="ModuleCounts" ref="A12:D20" headerRowCount="1" totalsRowCount="0" totalsRowShown="0">
  <x:tableColumns count="4">
    <x:tableColumn id="1" name="模块"/>
    <x:tableColumn id="2" name="版本"/>
    <x:tableColumn id="3" name="规则数"/>
    <x:tableColumn id="4" name="校准原则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librationCycles" displayName="CalibrationCycles" ref="A23:E29" headerRowCount="1" totalsRowCount="0" totalsRowShown="0">
  <x:tableColumns count="5">
    <x:tableColumn id="1" name="周期"/>
    <x:tableColumn id="2" name="阶段"/>
    <x:tableColumn id="3" name="建议规模"/>
    <x:tableColumn id="4" name="目标"/>
    <x:tableColumn id="5" name="进入下一步条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verageRules" displayName="CoverageRules" ref="A32:C38" headerRowCount="1" totalsRowCount="0" totalsRowShown="0">
  <x:tableColumns count="3">
    <x:tableColumn id="1" name="覆盖维度"/>
    <x:tableColumn id="2" name="建议"/>
    <x:tableColumn id="3" name="硬提醒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seMaster" displayName="CaseMaster" ref="A5:AA65" headerRowCount="1" totalsRowCount="0" totalsRowShown="0">
  <x:tableColumns count="27">
    <x:tableColumn id="1" name="case_id"/>
    <x:tableColumn id="2" name="匿名代号"/>
    <x:tableColumn id="3" name="分析者"/>
    <x:tableColumn id="4" name="复核者"/>
    <x:tableColumn id="5" name="set_split"/>
    <x:tableColumn id="6" name="关系阶段"/>
    <x:tableColumn id="7" name="案例类型"/>
    <x:tableColumn id="8" name="资料来源"/>
    <x:tableColumn id="9" name="数据同意"/>
    <x:tableColumn id="10" name="安全状态"/>
    <x:tableColumn id="11" name="命盘状态"/>
    <x:tableColumn id="12" name="预测冻结"/>
    <x:tableColumn id="13" name="冻结时间"/>
    <x:tableColumn id="14" name="反馈完整"/>
    <x:tableColumn id="15" name="RG完整"/>
    <x:tableColumn id="16" name="事件数"/>
    <x:tableColumn id="17" name="可评字段数"/>
    <x:tableColumn id="18" name="一般统计"/>
    <x:tableColumn id="19" name="安全审查"/>
    <x:tableColumn id="20" name="案例状态"/>
    <x:tableColumn id="21" name="预测AF"/>
    <x:tableColumn id="22" name="预测FG"/>
    <x:tableColumn id="23" name="现实AF"/>
    <x:tableColumn id="24" name="现实FG"/>
    <x:tableColumn id="25" name="主需要"/>
    <x:tableColumn id="26" name="主差异"/>
    <x:tableColumn id="27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entLog" displayName="EventLog" ref="A5:T305" headerRowCount="1" totalsRowCount="0" totalsRowShown="0">
  <x:tableColumns count="20">
    <x:tableColumn id="1" name="event_id"/>
    <x:tableColumn id="2" name="case_id"/>
    <x:tableColumn id="3" name="序号"/>
    <x:tableColumn id="4" name="日期／阶段"/>
    <x:tableColumn id="5" name="事件类型"/>
    <x:tableColumn id="6" name="主要模块"/>
    <x:tableColumn id="7" name="情境"/>
    <x:tableColumn id="8" name="客观事实"/>
    <x:tableColumn id="9" name="用户行为"/>
    <x:tableColumn id="10" name="对象行为"/>
    <x:tableColumn id="11" name="即时结果"/>
    <x:tableColumn id="12" name="后续结果"/>
    <x:tableColumn id="13" name="压力等级"/>
    <x:tableColumn id="14" name="现实代价"/>
    <x:tableColumn id="15" name="复发组"/>
    <x:tableColumn id="16" name="反馈来源"/>
    <x:tableColumn id="17" name="证据质量"/>
    <x:tableColumn id="18" name="安全标记"/>
    <x:tableColumn id="19" name="纳入"/>
    <x:tableColumn id="20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GLabels" displayName="RGLabels" ref="A5:P485" headerRowCount="1" totalsRowCount="0" totalsRowShown="0">
  <x:tableColumns count="16">
    <x:tableColumn id="1" name="rg_eval_id"/>
    <x:tableColumn id="2" name="case_id"/>
    <x:tableColumn id="3" name="set_split"/>
    <x:tableColumn id="4" name="RG代码"/>
    <x:tableColumn id="5" name="门槛名称"/>
    <x:tableColumn id="6" name="预测状态"/>
    <x:tableColumn id="7" name="第一轮金标准"/>
    <x:tableColumn id="8" name="第二轮金标准"/>
    <x:tableColumn id="9" name="最终金标准"/>
    <x:tableColumn id="10" name="匹配等级"/>
    <x:tableColumn id="11" name="事实摘要"/>
    <x:tableColumn id="12" name="证据来源"/>
    <x:tableColumn id="13" name="event_ids"/>
    <x:tableColumn id="14" name="标签置信"/>
    <x:tableColumn id="15" name="复核者"/>
    <x:tableColumn id="16" name="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eldEval" displayName="FieldEval" ref="A5:W305" headerRowCount="1" totalsRowCount="0" totalsRowShown="0">
  <x:tableColumns count="23">
    <x:tableColumn id="1" name="eval_id"/>
    <x:tableColumn id="2" name="case_id"/>
    <x:tableColumn id="3" name="set_split"/>
    <x:tableColumn id="4" name="模块"/>
    <x:tableColumn id="5" name="output_slot"/>
    <x:tableColumn id="6" name="字段名称"/>
    <x:tableColumn id="7" name="预测值"/>
    <x:tableColumn id="8" name="预测证据层0-7"/>
    <x:tableColumn id="9" name="预测置信"/>
    <x:tableColumn id="10" name="现实值"/>
    <x:tableColumn id="11" name="现实证据层0-7"/>
    <x:tableColumn id="12" name="匹配等级"/>
    <x:tableColumn id="13" name="匹配分"/>
    <x:tableColumn id="14" name="偏差方向"/>
    <x:tableColumn id="15" name="错误类型"/>
    <x:tableColumn id="16" name="严重度"/>
    <x:tableColumn id="17" name="证据越级"/>
    <x:tableColumn id="18" name="安全漏判"/>
    <x:tableColumn id="19" name="event_ids"/>
    <x:tableColumn id="20" name="第一复核者"/>
    <x:tableColumn id="21" name="第二复核者"/>
    <x:tableColumn id="22" name="纳入"/>
    <x:tableColumn id="23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uleHits" displayName="RuleHits" ref="A5:O405" headerRowCount="1" totalsRowCount="0" totalsRowShown="0">
  <x:tableColumns count="15">
    <x:tableColumn id="1" name="hit_id"/>
    <x:tableColumn id="2" name="case_id"/>
    <x:tableColumn id="3" name="set_split"/>
    <x:tableColumn id="4" name="rule_id"/>
    <x:tableColumn id="5" name="模块"/>
    <x:tableColumn id="6" name="规则名称"/>
    <x:tableColumn id="7" name="命中时点"/>
    <x:tableColumn id="8" name="预测角色"/>
    <x:tableColumn id="9" name="核验结果"/>
    <x:tableColumn id="10" name="匹配分"/>
    <x:tableColumn id="11" name="反例强度"/>
    <x:tableColumn id="12" name="安全关键"/>
    <x:tableColumn id="13" name="event_ids"/>
    <x:tableColumn id="14" name="纳入"/>
    <x:tableColumn id="15" name="备注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5" name="RuleCalibration" displayName="RuleCalibration" ref="A5:W155" headerRowCount="1" totalsRowCount="0" totalsRowShown="0">
  <x:tableColumns count="23">
    <x:tableColumn id="1" name="rule_id"/>
    <x:tableColumn id="2" name="模块"/>
    <x:tableColumn id="3" name="规则名称"/>
    <x:tableColumn id="4" name="基线状态"/>
    <x:tableColumn id="5" name="支持"/>
    <x:tableColumn id="6" name="基本支持"/>
    <x:tableColumn id="7" name="部分支持"/>
    <x:tableColumn id="8" name="相邻不同"/>
    <x:tableColumn id="9" name="反例"/>
    <x:tableColumn id="10" name="不可评估"/>
    <x:tableColumn id="11" name="可评总数"/>
    <x:tableColumn id="12" name="加权一致度"/>
    <x:tableColumn id="13" name="反例率"/>
    <x:tableColumn id="14" name="强反例"/>
    <x:tableColumn id="15" name="安全漏判"/>
    <x:tableColumn id="16" name="开发一致度"/>
    <x:tableColumn id="17" name="留出一致度"/>
    <x:tableColumn id="18" name="样本阶段"/>
    <x:tableColumn id="19" name="自动建议"/>
    <x:tableColumn id="20" name="人工决定"/>
    <x:tableColumn id="21" name="新状态"/>
    <x:tableColumn id="22" name="change_id"/>
    <x:tableColumn id="23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Counterexamples" displayName="Counterexamples" ref="A5:P155" headerRowCount="1" totalsRowCount="0" totalsRowShown="0">
  <x:tableColumns count="16">
    <x:tableColumn id="1" name="counter_id"/>
    <x:tableColumn id="2" name="case_id"/>
    <x:tableColumn id="3" name="set_split"/>
    <x:tableColumn id="4" name="event_id"/>
    <x:tableColumn id="5" name="rule_id"/>
    <x:tableColumn id="6" name="模块"/>
    <x:tableColumn id="7" name="反例类型"/>
    <x:tableColumn id="8" name="强度"/>
    <x:tableColumn id="9" name="情境"/>
    <x:tableColumn id="10" name="原预测"/>
    <x:tableColumn id="11" name="现实事实"/>
    <x:tableColumn id="12" name="失败原因"/>
    <x:tableColumn id="13" name="建议修改"/>
    <x:tableColumn id="14" name="状态"/>
    <x:tableColumn id="15" name="复核者"/>
    <x:tableColumn id="16" name="备注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ErrorTypes" displayName="ErrorTypes" ref="A160:D178" headerRowCount="1" totalsRowCount="0" totalsRowShown="0">
  <x:tableColumns count="4">
    <x:tableColumn id="1" name="代码"/>
    <x:tableColumn id="2" name="错误类型"/>
    <x:tableColumn id="3" name="定义"/>
    <x:tableColumn id="4" name="处理方向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CounterTypes" displayName="CounterTypes" ref="A182:B194" headerRowCount="1" totalsRowCount="0" totalsRowShown="0">
  <x:tableColumns count="2">
    <x:tableColumn id="1" name="代码"/>
    <x:tableColumn id="2" name="反例类型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hresholdCalibration" displayName="ThresholdCalibration" ref="A5:N30" headerRowCount="1" totalsRowCount="0" totalsRowShown="0">
  <x:tableColumns count="14">
    <x:tableColumn id="1" name="threshold_id"/>
    <x:tableColumn id="2" name="模块"/>
    <x:tableColumn id="3" name="对象"/>
    <x:tableColumn id="4" name="当前阈值／条件"/>
    <x:tableColumn id="5" name="不可降低硬条件"/>
    <x:tableColumn id="6" name="hard_lock"/>
    <x:tableColumn id="7" name="开发可评"/>
    <x:tableColumn id="8" name="开发越级／反例"/>
    <x:tableColumn id="9" name="留出可评"/>
    <x:tableColumn id="10" name="留出越级／反例"/>
    <x:tableColumn id="11" name="候选新值"/>
    <x:tableColumn id="12" name="人工决定"/>
    <x:tableColumn id="13" name="状态"/>
    <x:tableColumn id="14" name="备注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egressionTests" displayName="RegressionTests" ref="A34:N66" headerRowCount="1" totalsRowCount="0" totalsRowShown="0">
  <x:tableColumns count="14">
    <x:tableColumn id="1" name="测试ID"/>
    <x:tableColumn id="2" name="类别"/>
    <x:tableColumn id="3" name="输入情境"/>
    <x:tableColumn id="4" name="期望status"/>
    <x:tableColumn id="5" name="期望AF"/>
    <x:tableColumn id="6" name="期望FG"/>
    <x:tableColumn id="7" name="期望关键输出"/>
    <x:tableColumn id="8" name="实际status"/>
    <x:tableColumn id="9" name="实际AF"/>
    <x:tableColumn id="10" name="实际FG"/>
    <x:tableColumn id="11" name="实际关键输出"/>
    <x:tableColumn id="12" name="结果"/>
    <x:tableColumn id="13" name="备注"/>
    <x:tableColumn id="14" name="变更版本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KPIBlock" displayName="KPIBlock" ref="A5:B15" headerRowCount="1" totalsRowCount="0" totalsRowShown="0">
  <x:tableColumns count="2">
    <x:tableColumn id="1" name="核心指标"/>
    <x:tableColumn id="2" name="当前值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tageCoverage" displayName="StageCoverage" ref="A19:C25" headerRowCount="1" totalsRowCount="0" totalsRowShown="0">
  <x:tableColumns count="3">
    <x:tableColumn id="1" name="关系阶段"/>
    <x:tableColumn id="2" name="当前数"/>
    <x:tableColumn id="3" name="C2建议最低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ReleaseReadiness" displayName="ReleaseReadiness" ref="A28:D34" headerRowCount="1" totalsRowCount="0" totalsRowShown="0">
  <x:tableColumns count="4">
    <x:tableColumn id="1" name="发布检查"/>
    <x:tableColumn id="2" name="当前值"/>
    <x:tableColumn id="3" name="C2门槛"/>
    <x:tableColumn id="4" name="状态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LanguageCalibration" displayName="LanguageCalibration" ref="A5:M105" headerRowCount="1" totalsRowCount="0" totalsRowShown="0">
  <x:tableColumns count="13">
    <x:tableColumn id="1" name="language_id"/>
    <x:tableColumn id="2" name="case_id"/>
    <x:tableColumn id="3" name="模块"/>
    <x:tableColumn id="4" name="原句"/>
    <x:tableColumn id="5" name="问题类型"/>
    <x:tableColumn id="6" name="绝对化风险"/>
    <x:tableColumn id="7" name="易懂度1-5"/>
    <x:tableColumn id="8" name="证据匹配1-5"/>
    <x:tableColumn id="9" name="情绪可接受1-5"/>
    <x:tableColumn id="10" name="建议改写"/>
    <x:tableColumn id="11" name="复核者"/>
    <x:tableColumn id="12" name="状态"/>
    <x:tableColumn id="13" name="备注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VersionStatus" displayName="VersionStatus" ref="A5:D9" headerRowCount="1" totalsRowCount="0" totalsRowShown="0">
  <x:tableColumns count="4">
    <x:tableColumn id="1" name="版本对象"/>
    <x:tableColumn id="2" name="版本"/>
    <x:tableColumn id="3" name="状态"/>
    <x:tableColumn id="4" name="说明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hangeLog" displayName="ChangeLog" ref="A13:R113" headerRowCount="1" totalsRowCount="0" totalsRowShown="0">
  <x:tableColumns count="18">
    <x:tableColumn id="1" name="change_id"/>
    <x:tableColumn id="2" name="rule_id／对象"/>
    <x:tableColumn id="3" name="模块"/>
    <x:tableColumn id="4" name="变更类型"/>
    <x:tableColumn id="5" name="字段／阈值"/>
    <x:tableColumn id="6" name="旧内容"/>
    <x:tableColumn id="7" name="候选新内容"/>
    <x:tableColumn id="8" name="变更原因"/>
    <x:tableColumn id="9" name="支持案例"/>
    <x:tableColumn id="10" name="反例案例"/>
    <x:tableColumn id="11" name="开发集结果"/>
    <x:tableColumn id="12" name="留出集结果"/>
    <x:tableColumn id="13" name="安全风险"/>
    <x:tableColumn id="14" name="人工决定"/>
    <x:tableColumn id="15" name="生效版本"/>
    <x:tableColumn id="16" name="日期"/>
    <x:tableColumn id="17" name="复核者"/>
    <x:tableColumn id="18" name="状态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VersionReleaseChecks" displayName="VersionReleaseChecks" ref="A117:D124" headerRowCount="1" totalsRowCount="0" totalsRowShown="0">
  <x:tableColumns count="4">
    <x:tableColumn id="1" name="发布检查"/>
    <x:tableColumn id="2" name="当前值"/>
    <x:tableColumn id="3" name="门槛／要求"/>
    <x:tableColumn id="4" name="状态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AsyncQuestionnaire" displayName="AsyncQuestionnaire" ref="A5:E33" headerRowCount="1" totalsRowCount="0" totalsRowShown="0">
  <x:tableColumns count="5">
    <x:tableColumn id="1" name="题号"/>
    <x:tableColumn id="2" name="分区"/>
    <x:tableColumn id="3" name="题目"/>
    <x:tableColumn id="4" name="映射字段／模块"/>
    <x:tableColumn id="5" name="填写边界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DropdownDictionary" displayName="DropdownDictionary" ref="A5:P15" headerRowCount="1" totalsRowCount="0" totalsRowShown="0">
  <x:tableColumns count="16">
    <x:tableColumn id="1" name="set_split"/>
    <x:tableColumn id="2" name="relationship_stage"/>
    <x:tableColumn id="3" name="case_type"/>
    <x:tableColumn id="4" name="case_status"/>
    <x:tableColumn id="5" name="safety_state"/>
    <x:tableColumn id="6" name="match_level"/>
    <x:tableColumn id="7" name="rule_outcome"/>
    <x:tableColumn id="8" name="severity"/>
    <x:tableColumn id="9" name="counter_strength"/>
    <x:tableColumn id="10" name="RG_status"/>
    <x:tableColumn id="11" name="confidence"/>
    <x:tableColumn id="12" name="change_status"/>
    <x:tableColumn id="13" name="rule_status"/>
    <x:tableColumn id="14" name="module"/>
    <x:tableColumn id="15" name="AF"/>
    <x:tableColumn id="16" name="FG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CalibrationFieldDictionary" displayName="CalibrationFieldDictionary" ref="A20:B36" headerRowCount="1" totalsRowCount="0" totalsRowShown="0">
  <x:tableColumns count="2">
    <x:tableColumn id="1" name="字段"/>
    <x:tableColumn id="2" name="定义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MatchProtocol" displayName="MatchProtocol" ref="A5:D11" headerRowCount="1" totalsRowCount="0" totalsRowShown="0">
  <x:tableColumns count="4">
    <x:tableColumn id="1" name="匹配等级"/>
    <x:tableColumn id="2" name="匹配分"/>
    <x:tableColumn id="3" name="定义"/>
    <x:tableColumn id="4" name="统计处理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GoldLevels" displayName="GoldLevels" ref="A14:D22" headerRowCount="1" totalsRowCount="0" totalsRowShown="0">
  <x:tableColumns count="4">
    <x:tableColumn id="1" name="层级"/>
    <x:tableColumn id="2" name="名称"/>
    <x:tableColumn id="3" name="最低资料"/>
    <x:tableColumn id="4" name="用途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BlindReviewProtocol" displayName="BlindReviewProtocol" ref="A26:B34" headerRowCount="1" totalsRowCount="0" totalsRowShown="0">
  <x:tableColumns count="2">
    <x:tableColumn id="1" name="环节"/>
    <x:tableColumn id="2" name="执行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417abe86b14620" /><Relationship Type="http://schemas.openxmlformats.org/officeDocument/2006/relationships/table" Target="/xl/tables/table2.xml" Id="Re508eda12b0d44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e8b55f4762d4c11" /><Relationship Type="http://schemas.openxmlformats.org/officeDocument/2006/relationships/table" Target="/xl/tables/table4.xml" Id="Rd625ee3a15514051" /><Relationship Type="http://schemas.openxmlformats.org/officeDocument/2006/relationships/table" Target="/xl/tables/table5.xml" Id="R127750f75dd24267" /><Relationship Type="http://schemas.openxmlformats.org/officeDocument/2006/relationships/table" Target="/xl/tables/table6.xml" Id="Rfa0757cb96844a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a325eefd557041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7bdad6319d1644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c30a55a8887149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d9cf0a3a83594a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4716340dd1fe4b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5d15557af2b840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c39e4b7d357c447b" /><Relationship Type="http://schemas.openxmlformats.org/officeDocument/2006/relationships/table" Target="/xl/tables/table14.xml" Id="R2d1cae90094e4691" /><Relationship Type="http://schemas.openxmlformats.org/officeDocument/2006/relationships/table" Target="/xl/tables/table15.xml" Id="R5d1e889fb2ea475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6.xml" Id="R8bc88ca7c3214a68" /><Relationship Type="http://schemas.openxmlformats.org/officeDocument/2006/relationships/table" Target="/xl/tables/table17.xml" Id="R47c41a9d9d764c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8.xml" Id="R4898f482159347ba" /><Relationship Type="http://schemas.openxmlformats.org/officeDocument/2006/relationships/table" Target="/xl/tables/table19.xml" Id="R3f291f638afc4cd5" /><Relationship Type="http://schemas.openxmlformats.org/officeDocument/2006/relationships/table" Target="/xl/tables/table20.xml" Id="Raa50c4032d354d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1.xml" Id="R2629b035bd064c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2.xml" Id="R05f54a4604254c39" /><Relationship Type="http://schemas.openxmlformats.org/officeDocument/2006/relationships/table" Target="/xl/tables/table23.xml" Id="R2694107a044248cf" /><Relationship Type="http://schemas.openxmlformats.org/officeDocument/2006/relationships/table" Target="/xl/tables/table24.xml" Id="Ra86c103dc86e450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5.xml" Id="R74725128cb3e42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6.xml" Id="R5ffc317bd6a942d5" /><Relationship Type="http://schemas.openxmlformats.org/officeDocument/2006/relationships/table" Target="/xl/tables/table27.xml" Id="Rb2198bb40dd74ac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8.xml" Id="R2cdbaad525074fa5" /><Relationship Type="http://schemas.openxmlformats.org/officeDocument/2006/relationships/table" Target="/xl/tables/table29.xml" Id="Rc7d0b3cf9d6b469d" /><Relationship Type="http://schemas.openxmlformats.org/officeDocument/2006/relationships/table" Target="/xl/tables/table30.xml" Id="R8bad36a9f3d84b5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6" hidden="0" customWidth="1"/>
    <x:col min="3" max="3" width="92" hidden="0" customWidth="1"/>
  </x:cols>
  <x:sheetData>
    <x:row r="1">
      <x:c r="A1" s="6" t="str">
        <x:v>M5-CALIBRATION 真实案例校准工作台 V0.10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16" t="str">
        <x:v>冻结V0.9基线；预测先冻结；现实金标准独立标注；开发集与留出集分开。</x:v>
      </x:c>
      <x:c r="B3" s="16"/>
      <x:c r="C3" s="16"/>
      <x:c r="D3" s="16"/>
      <x:c r="E3" s="16"/>
      <x:c r="F3" s="16"/>
      <x:c r="G3" s="16"/>
      <x:c r="H3" s="16"/>
    </x:row>
    <x:row r="5">
      <x:c r="A5" s="26" t="str">
        <x:v>步骤</x:v>
      </x:c>
      <x:c r="B5" s="26" t="str">
        <x:v>任务</x:v>
      </x:c>
      <x:c r="C5" s="26" t="str">
        <x:v>说明</x:v>
      </x:c>
    </x:row>
    <x:row r="6">
      <x:c r="A6" s="36" t="str">
        <x:v>1</x:v>
      </x:c>
      <x:c r="B6" s="36" t="str">
        <x:v>冻结基线</x:v>
      </x:c>
      <x:c r="C6" s="36" t="str">
        <x:v>校准期间不覆盖V0.9源规则；所有修改先进入候选变更。</x:v>
      </x:c>
    </x:row>
    <x:row r="7">
      <x:c r="A7" s="36" t="str">
        <x:v>2</x:v>
      </x:c>
      <x:c r="B7" s="36" t="str">
        <x:v>冻结预测</x:v>
      </x:c>
      <x:c r="C7" s="36" t="str">
        <x:v>查看完整反馈前保存AF、FG、主需要、主差异、规则ID和观察计划。</x:v>
      </x:c>
    </x:row>
    <x:row r="8">
      <x:c r="A8" s="36" t="str">
        <x:v>3</x:v>
      </x:c>
      <x:c r="B8" s="36" t="str">
        <x:v>拆成事件</x:v>
      </x:c>
      <x:c r="C8" s="36" t="str">
        <x:v>按日常、压力、边界、修复、节奏和转折记录具体事实。</x:v>
      </x:c>
    </x:row>
    <x:row r="9">
      <x:c r="A9" s="36" t="str">
        <x:v>4</x:v>
      </x:c>
      <x:c r="B9" s="36" t="str">
        <x:v>独立标注</x:v>
      </x:c>
      <x:c r="C9" s="36" t="str">
        <x:v>先依据现实事实标注金标准，再与预测比较。</x:v>
      </x:c>
    </x:row>
    <x:row r="10">
      <x:c r="A10" s="36" t="str">
        <x:v>5</x:v>
      </x:c>
      <x:c r="B10" s="36" t="str">
        <x:v>未知不算错</x:v>
      </x:c>
      <x:c r="C10" s="36" t="str">
        <x:v>资料不足、场景未发生或字段不适用，标记不可评估。</x:v>
      </x:c>
    </x:row>
    <x:row r="11">
      <x:c r="A11" s="36" t="str">
        <x:v>6</x:v>
      </x:c>
      <x:c r="B11" s="36" t="str">
        <x:v>同源去重</x:v>
      </x:c>
      <x:c r="C11" s="36" t="str">
        <x:v>同一source_id／event_id只算一次基础证据。</x:v>
      </x:c>
    </x:row>
    <x:row r="12">
      <x:c r="A12" s="36" t="str">
        <x:v>7</x:v>
      </x:c>
      <x:c r="B12" s="36" t="str">
        <x:v>留出集隔离</x:v>
      </x:c>
      <x:c r="C12" s="36" t="str">
        <x:v>开发集提出修改；候选冻结后才打开留出集。</x:v>
      </x:c>
    </x:row>
    <x:row r="13">
      <x:c r="A13" s="36" t="str">
        <x:v>8</x:v>
      </x:c>
      <x:c r="B13" s="36" t="str">
        <x:v>安全优先</x:v>
      </x:c>
      <x:c r="C13" s="36" t="str">
        <x:v>安全漏判单独统计，不能被一般支持案例抵消。</x:v>
      </x:c>
    </x:row>
    <x:row r="14">
      <x:c r="A14" s="36" t="str">
        <x:v>9</x:v>
      </x:c>
      <x:c r="B14" s="36" t="str">
        <x:v>反例优先</x:v>
      </x:c>
      <x:c r="C14" s="36" t="str">
        <x:v>强反例、越级发布和现实门槛漏判优先审查。</x:v>
      </x:c>
    </x:row>
    <x:row r="15">
      <x:c r="A15" s="37" t="str">
        <x:v>10</x:v>
      </x:c>
      <x:c r="B15" s="37" t="str">
        <x:v>发布审查</x:v>
      </x:c>
      <x:c r="C15" s="37" t="str">
        <x:v>变更必须有case_id、开发结果、留出结果和回归测试。</x:v>
      </x:c>
    </x:row>
    <x:row r="17">
      <x:c r="A17" s="46" t="str">
        <x:v>本阶段不新增关系理论；只检验V0.9是否越级、误判、漏判、重复计分或语言过度。</x:v>
      </x:c>
      <x:c r="B17" s="46"/>
      <x:c r="C17" s="46"/>
      <x:c r="D17" s="46"/>
      <x:c r="E17" s="46"/>
      <x:c r="F17" s="46"/>
      <x:c r="G17" s="46"/>
      <x:c r="H17" s="46"/>
    </x:row>
    <x:row r="19">
      <x:c r="A19" s="26" t="str">
        <x:v>项目</x:v>
      </x:c>
      <x:c r="B19" s="26" t="str">
        <x:v>当前状态</x:v>
      </x:c>
    </x:row>
    <x:row r="20">
      <x:c r="A20" s="36" t="str">
        <x:v>基线</x:v>
      </x:c>
      <x:c r="B20" s="36" t="str">
        <x:v>M5总规则库V0.9；3928条规则</x:v>
      </x:c>
    </x:row>
    <x:row r="21">
      <x:c r="A21" s="36" t="str">
        <x:v>校准版本</x:v>
      </x:c>
      <x:c r="B21" s="36" t="str">
        <x:v>V0.10</x:v>
      </x:c>
    </x:row>
    <x:row r="22">
      <x:c r="A22" s="36" t="str">
        <x:v>真实案例</x:v>
      </x:c>
      <x:c r="B22" s="36" t="str">
        <x:v>尚未录入</x:v>
      </x:c>
    </x:row>
    <x:row r="23">
      <x:c r="A23" s="36" t="str">
        <x:v>结构测试</x:v>
      </x:c>
      <x:c r="B23" s="36" t="str">
        <x:v>32项待运行</x:v>
      </x:c>
    </x:row>
    <x:row r="24">
      <x:c r="A24" s="37" t="str">
        <x:v>不可宣称</x:v>
      </x:c>
      <x:c r="B24" s="37" t="str">
        <x:v>准确率、规则已验证或阈值稳定</x:v>
      </x:c>
    </x:row>
  </x:sheetData>
  <x:mergeCells>
    <x:mergeCell ref="A1:H2"/>
    <x:mergeCell ref="A3:H3"/>
    <x:mergeCell ref="A17:H17"/>
  </x:mergeCells>
  <x:pageMargins left="0.7" right="0.7" top="0.75" bottom="0.75" header="0.3" footer="0.3"/>
  <x:tableParts count="2">
    <x:tablePart xmlns:r="http://schemas.openxmlformats.org/officeDocument/2006/relationships" r:id="R16417abe86b14620"/>
    <x:tablePart xmlns:r="http://schemas.openxmlformats.org/officeDocument/2006/relationships" r:id="Re508eda12b0d44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66" hidden="0" customWidth="1"/>
    <x:col min="4" max="4" width="72" hidden="0" customWidth="1"/>
    <x:col min="5" max="5" width="48" hidden="0" customWidth="1"/>
  </x:cols>
  <x:sheetData>
    <x:row r="1">
      <x:c r="A1" s="6" t="str">
        <x:v>基线冻结、校准周期与样本覆盖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3">
      <x:c r="A3" s="16" t="str">
        <x:v>小样本可用于发现问题，不用于宣称模型准确率。</x:v>
      </x:c>
      <x:c r="B3" s="16"/>
      <x:c r="C3" s="16"/>
      <x:c r="D3" s="16"/>
      <x:c r="E3" s="16"/>
      <x:c r="F3" s="16"/>
    </x:row>
    <x:row r="5">
      <x:c r="A5" s="26" t="str">
        <x:v>基线对象</x:v>
      </x:c>
      <x:c r="B5" s="26" t="str">
        <x:v>文件名</x:v>
      </x:c>
      <x:c r="C5" s="26" t="str">
        <x:v>字节数</x:v>
      </x:c>
      <x:c r="D5" s="26" t="str">
        <x:v>SHA-256</x:v>
      </x:c>
      <x:c r="E5" s="26" t="str">
        <x:v>冻结日期</x:v>
      </x:c>
    </x:row>
    <x:row r="6">
      <x:c r="A6" s="36" t="str">
        <x:v>总规则库</x:v>
      </x:c>
      <x:c r="B6" s="36" t="str">
        <x:v>M5_关系适配总规则库_V0.9.xlsx</x:v>
      </x:c>
      <x:c r="C6" s="36" t="n">
        <x:v>966423</x:v>
      </x:c>
      <x:c r="D6" s="36" t="str">
        <x:v>5472a720ea41a240c90a23dfc67c7991f0c8c5365e93170b33cab948b925b482</x:v>
      </x:c>
      <x:c r="E6" s="36" t="str">
        <x:v>2026-08-29</x:v>
      </x:c>
    </x:row>
    <x:row r="7">
      <x:c r="A7" s="36" t="str">
        <x:v>SYNTH原子表</x:v>
      </x:c>
      <x:c r="B7" s="36" t="str">
        <x:v>M5_SYNTH_总合成规则原子表_V0.9.csv</x:v>
      </x:c>
      <x:c r="C7" s="36" t="n">
        <x:v>587989</x:v>
      </x:c>
      <x:c r="D7" s="36" t="str">
        <x:v>562af56a3056a898446a76796abbc71b6de587fc367be73f0a2e225ce2816e42</x:v>
      </x:c>
      <x:c r="E7" s="36" t="str">
        <x:v>2026-08-29</x:v>
      </x:c>
    </x:row>
    <x:row r="8">
      <x:c r="A8" s="36" t="str">
        <x:v>统一JSON</x:v>
      </x:c>
      <x:c r="B8" s="36" t="str">
        <x:v>M5_关系适配统一输出JSON_Schema_V0.9.json</x:v>
      </x:c>
      <x:c r="C8" s="36" t="n">
        <x:v>23740</x:v>
      </x:c>
      <x:c r="D8" s="36" t="str">
        <x:v>f04bd2963c94195ba96c43bff7148fe86fecdab1f5a91f1eb84ecd0d4e0175b9</x:v>
      </x:c>
      <x:c r="E8" s="36" t="str">
        <x:v>2026-08-29</x:v>
      </x:c>
    </x:row>
    <x:row r="9">
      <x:c r="A9" s="37" t="str">
        <x:v>设计文档</x:v>
      </x:c>
      <x:c r="B9" s="37" t="str">
        <x:v>M5_关系适配知识库设计文档_V0.9.md</x:v>
      </x:c>
      <x:c r="C9" s="37" t="n">
        <x:v>785707</x:v>
      </x:c>
      <x:c r="D9" s="37" t="str">
        <x:v>1fb0bd07f7d98e9bee4ba6af3898f101059873c057311e0e1f3d8df4172ba6d3</x:v>
      </x:c>
      <x:c r="E9" s="37" t="str">
        <x:v>2026-08-29</x:v>
      </x:c>
    </x:row>
    <x:row r="12">
      <x:c r="A12" s="26" t="str">
        <x:v>模块</x:v>
      </x:c>
      <x:c r="B12" s="26" t="str">
        <x:v>版本</x:v>
      </x:c>
      <x:c r="C12" s="26" t="str">
        <x:v>规则数</x:v>
      </x:c>
      <x:c r="D12" s="26" t="str">
        <x:v>校准原则</x:v>
      </x:c>
    </x:row>
    <x:row r="13">
      <x:c r="A13" s="36" t="str">
        <x:v>BASE</x:v>
      </x:c>
      <x:c r="B13" s="36" t="str">
        <x:v>0.2</x:v>
      </x:c>
      <x:c r="C13" s="36" t="n">
        <x:v>368</x:v>
      </x:c>
      <x:c r="D13" s="36" t="str">
        <x:v>源规则不原地修改；变更进入候选版本</x:v>
      </x:c>
    </x:row>
    <x:row r="14">
      <x:c r="A14" s="36" t="str">
        <x:v>PARTNER</x:v>
      </x:c>
      <x:c r="B14" s="36" t="str">
        <x:v>0.3</x:v>
      </x:c>
      <x:c r="C14" s="36" t="n">
        <x:v>440</x:v>
      </x:c>
      <x:c r="D14" s="36" t="str">
        <x:v>源规则不原地修改；变更进入候选版本</x:v>
      </x:c>
    </x:row>
    <x:row r="15">
      <x:c r="A15" s="36" t="str">
        <x:v>EXCHANGE</x:v>
      </x:c>
      <x:c r="B15" s="36" t="str">
        <x:v>0.4</x:v>
      </x:c>
      <x:c r="C15" s="36" t="n">
        <x:v>480</x:v>
      </x:c>
      <x:c r="D15" s="36" t="str">
        <x:v>源规则不原地修改；变更进入候选版本</x:v>
      </x:c>
    </x:row>
    <x:row r="16">
      <x:c r="A16" s="36" t="str">
        <x:v>BOUND</x:v>
      </x:c>
      <x:c r="B16" s="36" t="str">
        <x:v>0.5</x:v>
      </x:c>
      <x:c r="C16" s="36" t="n">
        <x:v>520</x:v>
      </x:c>
      <x:c r="D16" s="36" t="str">
        <x:v>源规则不原地修改；变更进入候选版本</x:v>
      </x:c>
    </x:row>
    <x:row r="17">
      <x:c r="A17" s="36" t="str">
        <x:v>REPAIR</x:v>
      </x:c>
      <x:c r="B17" s="36" t="str">
        <x:v>0.6</x:v>
      </x:c>
      <x:c r="C17" s="36" t="n">
        <x:v>560</x:v>
      </x:c>
      <x:c r="D17" s="36" t="str">
        <x:v>源规则不原地修改；变更进入候选版本</x:v>
      </x:c>
    </x:row>
    <x:row r="18">
      <x:c r="A18" s="36" t="str">
        <x:v>RHYTHM</x:v>
      </x:c>
      <x:c r="B18" s="36" t="str">
        <x:v>0.7</x:v>
      </x:c>
      <x:c r="C18" s="36" t="n">
        <x:v>600</x:v>
      </x:c>
      <x:c r="D18" s="36" t="str">
        <x:v>源规则不原地修改；变更进入候选版本</x:v>
      </x:c>
    </x:row>
    <x:row r="19">
      <x:c r="A19" s="36" t="str">
        <x:v>GAP</x:v>
      </x:c>
      <x:c r="B19" s="36" t="str">
        <x:v>0.8</x:v>
      </x:c>
      <x:c r="C19" s="36" t="n">
        <x:v>640</x:v>
      </x:c>
      <x:c r="D19" s="36" t="str">
        <x:v>源规则不原地修改；变更进入候选版本</x:v>
      </x:c>
    </x:row>
    <x:row r="20">
      <x:c r="A20" s="37" t="str">
        <x:v>SYNTH</x:v>
      </x:c>
      <x:c r="B20" s="37" t="str">
        <x:v>0.9</x:v>
      </x:c>
      <x:c r="C20" s="37" t="n">
        <x:v>320</x:v>
      </x:c>
      <x:c r="D20" s="37" t="str">
        <x:v>源规则不原地修改；变更进入候选版本</x:v>
      </x:c>
    </x:row>
    <x:row r="23">
      <x:c r="A23" s="26" t="str">
        <x:v>周期</x:v>
      </x:c>
      <x:c r="B23" s="26" t="str">
        <x:v>阶段</x:v>
      </x:c>
      <x:c r="C23" s="26" t="str">
        <x:v>建议规模</x:v>
      </x:c>
      <x:c r="D23" s="26" t="str">
        <x:v>目标</x:v>
      </x:c>
      <x:c r="E23" s="26" t="str">
        <x:v>进入下一步条件</x:v>
      </x:c>
    </x:row>
    <x:row r="24">
      <x:c r="A24" s="36" t="str">
        <x:v>C0</x:v>
      </x:c>
      <x:c r="B24" s="36" t="str">
        <x:v>结构回归</x:v>
      </x:c>
      <x:c r="C24" s="36" t="str">
        <x:v>32项</x:v>
      </x:c>
      <x:c r="D24" s="36" t="str">
        <x:v>安全、去重、RG、FG、AF与报告边界</x:v>
      </x:c>
      <x:c r="E24" s="36" t="str">
        <x:v>全部通过</x:v>
      </x:c>
    </x:row>
    <x:row r="25">
      <x:c r="A25" s="36" t="str">
        <x:v>C1</x:v>
      </x:c>
      <x:c r="B25" s="36" t="str">
        <x:v>干跑</x:v>
      </x:c>
      <x:c r="C25" s="36" t="str">
        <x:v>5例</x:v>
      </x:c>
      <x:c r="D25" s="36" t="str">
        <x:v>熟悉冻结、采集、标注与日志</x:v>
      </x:c>
      <x:c r="E25" s="36" t="str">
        <x:v>流程无明显缺口</x:v>
      </x:c>
    </x:row>
    <x:row r="26">
      <x:c r="A26" s="36" t="str">
        <x:v>C2</x:v>
      </x:c>
      <x:c r="B26" s="36" t="str">
        <x:v>首轮试点</x:v>
      </x:c>
      <x:c r="C26" s="36" t="str">
        <x:v>20例</x:v>
      </x:c>
      <x:c r="D26" s="36" t="str">
        <x:v>14开发＋6留出；发现越级与假阳性</x:v>
      </x:c>
      <x:c r="E26" s="36" t="str">
        <x:v>形成首轮候选变更</x:v>
      </x:c>
    </x:row>
    <x:row r="27">
      <x:c r="A27" s="36" t="str">
        <x:v>C3</x:v>
      </x:c>
      <x:c r="B27" s="36" t="str">
        <x:v>扩展校准</x:v>
      </x:c>
      <x:c r="C27" s="36" t="str">
        <x:v>40例</x:v>
      </x:c>
      <x:c r="D27" s="36" t="str">
        <x:v>28开发＋12留出；补足模块和反例</x:v>
      </x:c>
      <x:c r="E27" s="36" t="str">
        <x:v>规则表现开始分层</x:v>
      </x:c>
    </x:row>
    <x:row r="28">
      <x:c r="A28" s="36" t="str">
        <x:v>C4</x:v>
      </x:c>
      <x:c r="B28" s="36" t="str">
        <x:v>稳定校准</x:v>
      </x:c>
      <x:c r="C28" s="36" t="str">
        <x:v>80例</x:v>
      </x:c>
      <x:c r="D28" s="36" t="str">
        <x:v>加入压力、修复、转折和核心RG</x:v>
      </x:c>
      <x:c r="E28" s="36" t="str">
        <x:v>阈值与语言趋稳</x:v>
      </x:c>
    </x:row>
    <x:row r="29">
      <x:c r="A29" s="37" t="str">
        <x:v>C5</x:v>
      </x:c>
      <x:c r="B29" s="37" t="str">
        <x:v>发布候选</x:v>
      </x:c>
      <x:c r="C29" s="37" t="str">
        <x:v>120例以上</x:v>
      </x:c>
      <x:c r="D29" s="37" t="str">
        <x:v>完整留出检验与回归测试</x:v>
      </x:c>
      <x:c r="E29" s="37" t="str">
        <x:v>生成下一版候选</x:v>
      </x:c>
    </x:row>
    <x:row r="32">
      <x:c r="A32" s="26" t="str">
        <x:v>覆盖维度</x:v>
      </x:c>
      <x:c r="B32" s="26" t="str">
        <x:v>建议</x:v>
      </x:c>
      <x:c r="C32" s="26" t="str">
        <x:v>硬提醒</x:v>
      </x:c>
    </x:row>
    <x:row r="33">
      <x:c r="A33" s="36" t="str">
        <x:v>开发／留出</x:v>
      </x:c>
      <x:c r="B33" s="36" t="str">
        <x:v>约70%／30%</x:v>
      </x:c>
      <x:c r="C33" s="36" t="str">
        <x:v>反馈前固定</x:v>
      </x:c>
    </x:row>
    <x:row r="34">
      <x:c r="A34" s="36" t="str">
        <x:v>反例与混合</x:v>
      </x:c>
      <x:c r="B34" s="36" t="str">
        <x:v>合计不低于30%</x:v>
      </x:c>
      <x:c r="C34" s="36" t="str">
        <x:v>避免只采集顺利案例</x:v>
      </x:c>
    </x:row>
    <x:row r="35">
      <x:c r="A35" s="36" t="str">
        <x:v>压力资料</x:v>
      </x:c>
      <x:c r="B35" s="36" t="str">
        <x:v>至少25%</x:v>
      </x:c>
      <x:c r="C35" s="36" t="str">
        <x:v>FG4不能只靠平稳期</x:v>
      </x:c>
    </x:row>
    <x:row r="36">
      <x:c r="A36" s="36" t="str">
        <x:v>修复／恢复</x:v>
      </x:c>
      <x:c r="B36" s="36" t="str">
        <x:v>至少20%</x:v>
      </x:c>
      <x:c r="C36" s="36" t="str">
        <x:v>用于FV、HV与持续兑现</x:v>
      </x:c>
    </x:row>
    <x:row r="37">
      <x:c r="A37" s="36" t="str">
        <x:v>重大转折</x:v>
      </x:c>
      <x:c r="B37" s="36" t="str">
        <x:v>至少15%</x:v>
      </x:c>
      <x:c r="C37" s="36" t="str">
        <x:v>用于跨阶段验证</x:v>
      </x:c>
    </x:row>
    <x:row r="38">
      <x:c r="A38" s="37" t="str">
        <x:v>核心RG</x:v>
      </x:c>
      <x:c r="B38" s="37" t="str">
        <x:v>RG01、02、03、06、07、08优先完整</x:v>
      </x:c>
      <x:c r="C38" s="37" t="str">
        <x:v>未知核心门槛限制FG2</x:v>
      </x:c>
    </x:row>
  </x:sheetData>
  <x:mergeCells>
    <x:mergeCell ref="A1:F2"/>
    <x:mergeCell ref="A3:F3"/>
  </x:mergeCells>
  <x:pageMargins left="0.7" right="0.7" top="0.75" bottom="0.75" header="0.3" footer="0.3"/>
  <x:tableParts count="4">
    <x:tablePart xmlns:r="http://schemas.openxmlformats.org/officeDocument/2006/relationships" r:id="R4e8b55f4762d4c11"/>
    <x:tablePart xmlns:r="http://schemas.openxmlformats.org/officeDocument/2006/relationships" r:id="Rd625ee3a15514051"/>
    <x:tablePart xmlns:r="http://schemas.openxmlformats.org/officeDocument/2006/relationships" r:id="R127750f75dd24267"/>
    <x:tablePart xmlns:r="http://schemas.openxmlformats.org/officeDocument/2006/relationships" r:id="Rfa0757cb96844a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22" hidden="0" customWidth="1"/>
    <x:col min="9" max="9" width="12" hidden="0" customWidth="1"/>
    <x:col min="10" max="10" width="18" hidden="0" customWidth="1"/>
    <x:col min="11" max="11" width="16" hidden="0" customWidth="1"/>
    <x:col min="12" max="12" width="14" hidden="0" customWidth="1"/>
    <x:col min="13" max="13" width="20" hidden="0" customWidth="1"/>
    <x:col min="14" max="14" width="14" hidden="0" customWidth="1"/>
    <x:col min="15" max="15" width="14" hidden="0" customWidth="1"/>
    <x:col min="16" max="16" width="12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14" hidden="0" customWidth="1"/>
    <x:col min="22" max="22" width="12" hidden="0" customWidth="1"/>
    <x:col min="23" max="23" width="14" hidden="0" customWidth="1"/>
    <x:col min="24" max="24" width="12" hidden="0" customWidth="1"/>
    <x:col min="25" max="25" width="24" hidden="0" customWidth="1"/>
    <x:col min="26" max="26" width="24" hidden="0" customWidth="1"/>
    <x:col min="27" max="27" width="48" hidden="0" customWidth="1"/>
  </x:cols>
  <x:sheetData>
    <x:row r="1">
      <x:c r="A1" s="55" t="str">
        <x:v>案例主档、开发／留出分组与预测冻结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</x:row>
    <x:row r="3">
      <x:c r="A3" s="60" t="str">
        <x:v>set_split在反馈前固定；预测冻结且反馈完整后，才进入一般一致度统计。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</x:row>
    <x:row r="5">
      <x:c r="A5" s="65" t="str">
        <x:v>case_id</x:v>
      </x:c>
      <x:c r="B5" s="65" t="str">
        <x:v>匿名代号</x:v>
      </x:c>
      <x:c r="C5" s="65" t="str">
        <x:v>分析者</x:v>
      </x:c>
      <x:c r="D5" s="65" t="str">
        <x:v>复核者</x:v>
      </x:c>
      <x:c r="E5" s="65" t="str">
        <x:v>set_split</x:v>
      </x:c>
      <x:c r="F5" s="65" t="str">
        <x:v>关系阶段</x:v>
      </x:c>
      <x:c r="G5" s="65" t="str">
        <x:v>案例类型</x:v>
      </x:c>
      <x:c r="H5" s="65" t="str">
        <x:v>资料来源</x:v>
      </x:c>
      <x:c r="I5" s="65" t="str">
        <x:v>数据同意</x:v>
      </x:c>
      <x:c r="J5" s="65" t="str">
        <x:v>安全状态</x:v>
      </x:c>
      <x:c r="K5" s="65" t="str">
        <x:v>命盘状态</x:v>
      </x:c>
      <x:c r="L5" s="65" t="str">
        <x:v>预测冻结</x:v>
      </x:c>
      <x:c r="M5" s="65" t="str">
        <x:v>冻结时间</x:v>
      </x:c>
      <x:c r="N5" s="65" t="str">
        <x:v>反馈完整</x:v>
      </x:c>
      <x:c r="O5" s="65" t="str">
        <x:v>RG完整</x:v>
      </x:c>
      <x:c r="P5" s="65" t="str">
        <x:v>事件数</x:v>
      </x:c>
      <x:c r="Q5" s="65" t="str">
        <x:v>可评字段数</x:v>
      </x:c>
      <x:c r="R5" s="65" t="str">
        <x:v>一般统计</x:v>
      </x:c>
      <x:c r="S5" s="65" t="str">
        <x:v>安全审查</x:v>
      </x:c>
      <x:c r="T5" s="65" t="str">
        <x:v>案例状态</x:v>
      </x:c>
      <x:c r="U5" s="65" t="str">
        <x:v>预测AF</x:v>
      </x:c>
      <x:c r="V5" s="65" t="str">
        <x:v>预测FG</x:v>
      </x:c>
      <x:c r="W5" s="65" t="str">
        <x:v>现实AF</x:v>
      </x:c>
      <x:c r="X5" s="65" t="str">
        <x:v>现实FG</x:v>
      </x:c>
      <x:c r="Y5" s="65" t="str">
        <x:v>主需要</x:v>
      </x:c>
      <x:c r="Z5" s="65" t="str">
        <x:v>主差异</x:v>
      </x:c>
      <x:c r="AA5" s="65" t="str">
        <x:v>备注</x:v>
      </x:c>
    </x:row>
    <x:row r="6">
      <x:c r="A6" s="70" t="str">
        <x:v>M5C-001</x:v>
      </x:c>
      <x:c r="B6" s="70" t="str"/>
      <x:c r="C6" s="70" t="str"/>
      <x:c r="D6" s="70" t="str"/>
      <x:c r="E6" s="70" t="str">
        <x:v>开发集</x:v>
      </x:c>
      <x:c r="F6" s="70" t="str"/>
      <x:c r="G6" s="70" t="str"/>
      <x:c r="H6" s="70" t="str"/>
      <x:c r="I6" s="70" t="str">
        <x:v>否</x:v>
      </x:c>
      <x:c r="J6" s="70" t="str">
        <x:v>需核验</x:v>
      </x:c>
      <x:c r="K6" s="70" t="str">
        <x:v>待确认</x:v>
      </x:c>
      <x:c r="L6" s="70" t="str">
        <x:v>否</x:v>
      </x:c>
      <x:c r="M6" s="70" t="str"/>
      <x:c r="N6" s="70" t="str">
        <x:v>否</x:v>
      </x:c>
      <x:c r="O6" s="70" t="str">
        <x:v>否</x:v>
      </x:c>
      <x:c r="P6" s="70" t="n">
        <x:f>COUNTIF('03_关系事件'!$B$6:$B$305,A6)</x:f>
        <x:v>0</x:v>
      </x:c>
      <x:c r="Q6" s="70" t="n">
        <x:f>COUNTIFS('05_字段核验'!$B$6:$B$605,A6,'05_字段核验'!$V$6:$V$605,"是")</x:f>
        <x:v>0</x:v>
      </x:c>
      <x:c r="R6" s="70" t="str">
        <x:f>IF(AND(I6="是",L6="是",N6="是",J6&lt;&gt;"安全停止"),"是","否")</x:f>
        <x:v>否</x:v>
      </x:c>
      <x:c r="S6" s="70" t="str">
        <x:f>IF(AND(I6="是",L6="是",J6="安全停止"),"是","否")</x:f>
        <x:v>否</x:v>
      </x:c>
      <x:c r="T6" s="70" t="str">
        <x:v>待录入</x:v>
      </x:c>
      <x:c r="U6" s="70" t="str"/>
      <x:c r="V6" s="70" t="str"/>
      <x:c r="W6" s="70" t="str"/>
      <x:c r="X6" s="70" t="str"/>
      <x:c r="Y6" s="70" t="str"/>
      <x:c r="Z6" s="70" t="str"/>
      <x:c r="AA6" s="70" t="str"/>
    </x:row>
    <x:row r="7">
      <x:c r="A7" s="70" t="str">
        <x:v>M5C-002</x:v>
      </x:c>
      <x:c r="B7" s="70" t="str"/>
      <x:c r="C7" s="70" t="str"/>
      <x:c r="D7" s="70" t="str"/>
      <x:c r="E7" s="70" t="str">
        <x:v>开发集</x:v>
      </x:c>
      <x:c r="F7" s="70" t="str"/>
      <x:c r="G7" s="70" t="str"/>
      <x:c r="H7" s="70" t="str"/>
      <x:c r="I7" s="70" t="str">
        <x:v>否</x:v>
      </x:c>
      <x:c r="J7" s="70" t="str">
        <x:v>需核验</x:v>
      </x:c>
      <x:c r="K7" s="70" t="str">
        <x:v>待确认</x:v>
      </x:c>
      <x:c r="L7" s="70" t="str">
        <x:v>否</x:v>
      </x:c>
      <x:c r="M7" s="70" t="str"/>
      <x:c r="N7" s="70" t="str">
        <x:v>否</x:v>
      </x:c>
      <x:c r="O7" s="70" t="str">
        <x:v>否</x:v>
      </x:c>
      <x:c r="P7" s="70" t="n">
        <x:f>COUNTIF('03_关系事件'!$B$6:$B$305,A7)</x:f>
        <x:v>0</x:v>
      </x:c>
      <x:c r="Q7" s="70" t="n">
        <x:f>COUNTIFS('05_字段核验'!$B$6:$B$605,A7,'05_字段核验'!$V$6:$V$605,"是")</x:f>
        <x:v>0</x:v>
      </x:c>
      <x:c r="R7" s="70" t="str">
        <x:f>IF(AND(I7="是",L7="是",N7="是",J7&lt;&gt;"安全停止"),"是","否")</x:f>
        <x:v>否</x:v>
      </x:c>
      <x:c r="S7" s="70" t="str">
        <x:f>IF(AND(I7="是",L7="是",J7="安全停止"),"是","否")</x:f>
        <x:v>否</x:v>
      </x:c>
      <x:c r="T7" s="70" t="str">
        <x:v>待录入</x:v>
      </x:c>
      <x:c r="U7" s="70" t="str"/>
      <x:c r="V7" s="70" t="str"/>
      <x:c r="W7" s="70" t="str"/>
      <x:c r="X7" s="70" t="str"/>
      <x:c r="Y7" s="70" t="str"/>
      <x:c r="Z7" s="70" t="str"/>
      <x:c r="AA7" s="70" t="str"/>
    </x:row>
    <x:row r="8">
      <x:c r="A8" s="70" t="str">
        <x:v>M5C-003</x:v>
      </x:c>
      <x:c r="B8" s="70" t="str"/>
      <x:c r="C8" s="70" t="str"/>
      <x:c r="D8" s="70" t="str"/>
      <x:c r="E8" s="70" t="str">
        <x:v>开发集</x:v>
      </x:c>
      <x:c r="F8" s="70" t="str"/>
      <x:c r="G8" s="70" t="str"/>
      <x:c r="H8" s="70" t="str"/>
      <x:c r="I8" s="70" t="str">
        <x:v>否</x:v>
      </x:c>
      <x:c r="J8" s="70" t="str">
        <x:v>需核验</x:v>
      </x:c>
      <x:c r="K8" s="70" t="str">
        <x:v>待确认</x:v>
      </x:c>
      <x:c r="L8" s="70" t="str">
        <x:v>否</x:v>
      </x:c>
      <x:c r="M8" s="70" t="str"/>
      <x:c r="N8" s="70" t="str">
        <x:v>否</x:v>
      </x:c>
      <x:c r="O8" s="70" t="str">
        <x:v>否</x:v>
      </x:c>
      <x:c r="P8" s="70" t="n">
        <x:f>COUNTIF('03_关系事件'!$B$6:$B$305,A8)</x:f>
        <x:v>0</x:v>
      </x:c>
      <x:c r="Q8" s="70" t="n">
        <x:f>COUNTIFS('05_字段核验'!$B$6:$B$605,A8,'05_字段核验'!$V$6:$V$605,"是")</x:f>
        <x:v>0</x:v>
      </x:c>
      <x:c r="R8" s="70" t="str">
        <x:f>IF(AND(I8="是",L8="是",N8="是",J8&lt;&gt;"安全停止"),"是","否")</x:f>
        <x:v>否</x:v>
      </x:c>
      <x:c r="S8" s="70" t="str">
        <x:f>IF(AND(I8="是",L8="是",J8="安全停止"),"是","否")</x:f>
        <x:v>否</x:v>
      </x:c>
      <x:c r="T8" s="70" t="str">
        <x:v>待录入</x:v>
      </x:c>
      <x:c r="U8" s="70" t="str"/>
      <x:c r="V8" s="70" t="str"/>
      <x:c r="W8" s="70" t="str"/>
      <x:c r="X8" s="70" t="str"/>
      <x:c r="Y8" s="70" t="str"/>
      <x:c r="Z8" s="70" t="str"/>
      <x:c r="AA8" s="70" t="str"/>
    </x:row>
    <x:row r="9">
      <x:c r="A9" s="70" t="str">
        <x:v>M5C-004</x:v>
      </x:c>
      <x:c r="B9" s="70" t="str"/>
      <x:c r="C9" s="70" t="str"/>
      <x:c r="D9" s="70" t="str"/>
      <x:c r="E9" s="70" t="str">
        <x:v>开发集</x:v>
      </x:c>
      <x:c r="F9" s="70" t="str"/>
      <x:c r="G9" s="70" t="str"/>
      <x:c r="H9" s="70" t="str"/>
      <x:c r="I9" s="70" t="str">
        <x:v>否</x:v>
      </x:c>
      <x:c r="J9" s="70" t="str">
        <x:v>需核验</x:v>
      </x:c>
      <x:c r="K9" s="70" t="str">
        <x:v>待确认</x:v>
      </x:c>
      <x:c r="L9" s="70" t="str">
        <x:v>否</x:v>
      </x:c>
      <x:c r="M9" s="70" t="str"/>
      <x:c r="N9" s="70" t="str">
        <x:v>否</x:v>
      </x:c>
      <x:c r="O9" s="70" t="str">
        <x:v>否</x:v>
      </x:c>
      <x:c r="P9" s="70" t="n">
        <x:f>COUNTIF('03_关系事件'!$B$6:$B$305,A9)</x:f>
        <x:v>0</x:v>
      </x:c>
      <x:c r="Q9" s="70" t="n">
        <x:f>COUNTIFS('05_字段核验'!$B$6:$B$605,A9,'05_字段核验'!$V$6:$V$605,"是")</x:f>
        <x:v>0</x:v>
      </x:c>
      <x:c r="R9" s="70" t="str">
        <x:f>IF(AND(I9="是",L9="是",N9="是",J9&lt;&gt;"安全停止"),"是","否")</x:f>
        <x:v>否</x:v>
      </x:c>
      <x:c r="S9" s="70" t="str">
        <x:f>IF(AND(I9="是",L9="是",J9="安全停止"),"是","否")</x:f>
        <x:v>否</x:v>
      </x:c>
      <x:c r="T9" s="70" t="str">
        <x:v>待录入</x:v>
      </x:c>
      <x:c r="U9" s="70" t="str"/>
      <x:c r="V9" s="70" t="str"/>
      <x:c r="W9" s="70" t="str"/>
      <x:c r="X9" s="70" t="str"/>
      <x:c r="Y9" s="70" t="str"/>
      <x:c r="Z9" s="70" t="str"/>
      <x:c r="AA9" s="70" t="str"/>
    </x:row>
    <x:row r="10">
      <x:c r="A10" s="70" t="str">
        <x:v>M5C-005</x:v>
      </x:c>
      <x:c r="B10" s="70" t="str"/>
      <x:c r="C10" s="70" t="str"/>
      <x:c r="D10" s="70" t="str"/>
      <x:c r="E10" s="70" t="str">
        <x:v>开发集</x:v>
      </x:c>
      <x:c r="F10" s="70" t="str"/>
      <x:c r="G10" s="70" t="str"/>
      <x:c r="H10" s="70" t="str"/>
      <x:c r="I10" s="70" t="str">
        <x:v>否</x:v>
      </x:c>
      <x:c r="J10" s="70" t="str">
        <x:v>需核验</x:v>
      </x:c>
      <x:c r="K10" s="70" t="str">
        <x:v>待确认</x:v>
      </x:c>
      <x:c r="L10" s="70" t="str">
        <x:v>否</x:v>
      </x:c>
      <x:c r="M10" s="70" t="str"/>
      <x:c r="N10" s="70" t="str">
        <x:v>否</x:v>
      </x:c>
      <x:c r="O10" s="70" t="str">
        <x:v>否</x:v>
      </x:c>
      <x:c r="P10" s="70" t="n">
        <x:f>COUNTIF('03_关系事件'!$B$6:$B$305,A10)</x:f>
        <x:v>0</x:v>
      </x:c>
      <x:c r="Q10" s="70" t="n">
        <x:f>COUNTIFS('05_字段核验'!$B$6:$B$605,A10,'05_字段核验'!$V$6:$V$605,"是")</x:f>
        <x:v>0</x:v>
      </x:c>
      <x:c r="R10" s="70" t="str">
        <x:f>IF(AND(I10="是",L10="是",N10="是",J10&lt;&gt;"安全停止"),"是","否")</x:f>
        <x:v>否</x:v>
      </x:c>
      <x:c r="S10" s="70" t="str">
        <x:f>IF(AND(I10="是",L10="是",J10="安全停止"),"是","否")</x:f>
        <x:v>否</x:v>
      </x:c>
      <x:c r="T10" s="70" t="str">
        <x:v>待录入</x:v>
      </x:c>
      <x:c r="U10" s="70" t="str"/>
      <x:c r="V10" s="70" t="str"/>
      <x:c r="W10" s="70" t="str"/>
      <x:c r="X10" s="70" t="str"/>
      <x:c r="Y10" s="70" t="str"/>
      <x:c r="Z10" s="70" t="str"/>
      <x:c r="AA10" s="70" t="str"/>
    </x:row>
    <x:row r="11">
      <x:c r="A11" s="70" t="str">
        <x:v>M5C-006</x:v>
      </x:c>
      <x:c r="B11" s="70" t="str"/>
      <x:c r="C11" s="70" t="str"/>
      <x:c r="D11" s="70" t="str"/>
      <x:c r="E11" s="70" t="str">
        <x:v>开发集</x:v>
      </x:c>
      <x:c r="F11" s="70" t="str"/>
      <x:c r="G11" s="70" t="str"/>
      <x:c r="H11" s="70" t="str"/>
      <x:c r="I11" s="70" t="str">
        <x:v>否</x:v>
      </x:c>
      <x:c r="J11" s="70" t="str">
        <x:v>需核验</x:v>
      </x:c>
      <x:c r="K11" s="70" t="str">
        <x:v>待确认</x:v>
      </x:c>
      <x:c r="L11" s="70" t="str">
        <x:v>否</x:v>
      </x:c>
      <x:c r="M11" s="70" t="str"/>
      <x:c r="N11" s="70" t="str">
        <x:v>否</x:v>
      </x:c>
      <x:c r="O11" s="70" t="str">
        <x:v>否</x:v>
      </x:c>
      <x:c r="P11" s="70" t="n">
        <x:f>COUNTIF('03_关系事件'!$B$6:$B$305,A11)</x:f>
        <x:v>0</x:v>
      </x:c>
      <x:c r="Q11" s="70" t="n">
        <x:f>COUNTIFS('05_字段核验'!$B$6:$B$605,A11,'05_字段核验'!$V$6:$V$605,"是")</x:f>
        <x:v>0</x:v>
      </x:c>
      <x:c r="R11" s="70" t="str">
        <x:f>IF(AND(I11="是",L11="是",N11="是",J11&lt;&gt;"安全停止"),"是","否")</x:f>
        <x:v>否</x:v>
      </x:c>
      <x:c r="S11" s="70" t="str">
        <x:f>IF(AND(I11="是",L11="是",J11="安全停止"),"是","否")</x:f>
        <x:v>否</x:v>
      </x:c>
      <x:c r="T11" s="70" t="str">
        <x:v>待录入</x:v>
      </x:c>
      <x:c r="U11" s="70" t="str"/>
      <x:c r="V11" s="70" t="str"/>
      <x:c r="W11" s="70" t="str"/>
      <x:c r="X11" s="70" t="str"/>
      <x:c r="Y11" s="70" t="str"/>
      <x:c r="Z11" s="70" t="str"/>
      <x:c r="AA11" s="70" t="str"/>
    </x:row>
    <x:row r="12">
      <x:c r="A12" s="70" t="str">
        <x:v>M5C-007</x:v>
      </x:c>
      <x:c r="B12" s="70" t="str"/>
      <x:c r="C12" s="70" t="str"/>
      <x:c r="D12" s="70" t="str"/>
      <x:c r="E12" s="70" t="str">
        <x:v>开发集</x:v>
      </x:c>
      <x:c r="F12" s="70" t="str"/>
      <x:c r="G12" s="70" t="str"/>
      <x:c r="H12" s="70" t="str"/>
      <x:c r="I12" s="70" t="str">
        <x:v>否</x:v>
      </x:c>
      <x:c r="J12" s="70" t="str">
        <x:v>需核验</x:v>
      </x:c>
      <x:c r="K12" s="70" t="str">
        <x:v>待确认</x:v>
      </x:c>
      <x:c r="L12" s="70" t="str">
        <x:v>否</x:v>
      </x:c>
      <x:c r="M12" s="70" t="str"/>
      <x:c r="N12" s="70" t="str">
        <x:v>否</x:v>
      </x:c>
      <x:c r="O12" s="70" t="str">
        <x:v>否</x:v>
      </x:c>
      <x:c r="P12" s="70" t="n">
        <x:f>COUNTIF('03_关系事件'!$B$6:$B$305,A12)</x:f>
        <x:v>0</x:v>
      </x:c>
      <x:c r="Q12" s="70" t="n">
        <x:f>COUNTIFS('05_字段核验'!$B$6:$B$605,A12,'05_字段核验'!$V$6:$V$605,"是")</x:f>
        <x:v>0</x:v>
      </x:c>
      <x:c r="R12" s="70" t="str">
        <x:f>IF(AND(I12="是",L12="是",N12="是",J12&lt;&gt;"安全停止"),"是","否")</x:f>
        <x:v>否</x:v>
      </x:c>
      <x:c r="S12" s="70" t="str">
        <x:f>IF(AND(I12="是",L12="是",J12="安全停止"),"是","否")</x:f>
        <x:v>否</x:v>
      </x:c>
      <x:c r="T12" s="70" t="str">
        <x:v>待录入</x:v>
      </x:c>
      <x:c r="U12" s="70" t="str"/>
      <x:c r="V12" s="70" t="str"/>
      <x:c r="W12" s="70" t="str"/>
      <x:c r="X12" s="70" t="str"/>
      <x:c r="Y12" s="70" t="str"/>
      <x:c r="Z12" s="70" t="str"/>
      <x:c r="AA12" s="70" t="str"/>
    </x:row>
    <x:row r="13">
      <x:c r="A13" s="70" t="str">
        <x:v>M5C-008</x:v>
      </x:c>
      <x:c r="B13" s="70" t="str"/>
      <x:c r="C13" s="70" t="str"/>
      <x:c r="D13" s="70" t="str"/>
      <x:c r="E13" s="70" t="str">
        <x:v>留出集</x:v>
      </x:c>
      <x:c r="F13" s="70" t="str"/>
      <x:c r="G13" s="70" t="str"/>
      <x:c r="H13" s="70" t="str"/>
      <x:c r="I13" s="70" t="str">
        <x:v>否</x:v>
      </x:c>
      <x:c r="J13" s="70" t="str">
        <x:v>需核验</x:v>
      </x:c>
      <x:c r="K13" s="70" t="str">
        <x:v>待确认</x:v>
      </x:c>
      <x:c r="L13" s="70" t="str">
        <x:v>否</x:v>
      </x:c>
      <x:c r="M13" s="70" t="str"/>
      <x:c r="N13" s="70" t="str">
        <x:v>否</x:v>
      </x:c>
      <x:c r="O13" s="70" t="str">
        <x:v>否</x:v>
      </x:c>
      <x:c r="P13" s="70" t="n">
        <x:f>COUNTIF('03_关系事件'!$B$6:$B$305,A13)</x:f>
        <x:v>0</x:v>
      </x:c>
      <x:c r="Q13" s="70" t="n">
        <x:f>COUNTIFS('05_字段核验'!$B$6:$B$605,A13,'05_字段核验'!$V$6:$V$605,"是")</x:f>
        <x:v>0</x:v>
      </x:c>
      <x:c r="R13" s="70" t="str">
        <x:f>IF(AND(I13="是",L13="是",N13="是",J13&lt;&gt;"安全停止"),"是","否")</x:f>
        <x:v>否</x:v>
      </x:c>
      <x:c r="S13" s="70" t="str">
        <x:f>IF(AND(I13="是",L13="是",J13="安全停止"),"是","否")</x:f>
        <x:v>否</x:v>
      </x:c>
      <x:c r="T13" s="70" t="str">
        <x:v>待录入</x:v>
      </x:c>
      <x:c r="U13" s="70" t="str"/>
      <x:c r="V13" s="70" t="str"/>
      <x:c r="W13" s="70" t="str"/>
      <x:c r="X13" s="70" t="str"/>
      <x:c r="Y13" s="70" t="str"/>
      <x:c r="Z13" s="70" t="str"/>
      <x:c r="AA13" s="70" t="str"/>
    </x:row>
    <x:row r="14">
      <x:c r="A14" s="70" t="str">
        <x:v>M5C-009</x:v>
      </x:c>
      <x:c r="B14" s="70" t="str"/>
      <x:c r="C14" s="70" t="str"/>
      <x:c r="D14" s="70" t="str"/>
      <x:c r="E14" s="70" t="str">
        <x:v>留出集</x:v>
      </x:c>
      <x:c r="F14" s="70" t="str"/>
      <x:c r="G14" s="70" t="str"/>
      <x:c r="H14" s="70" t="str"/>
      <x:c r="I14" s="70" t="str">
        <x:v>否</x:v>
      </x:c>
      <x:c r="J14" s="70" t="str">
        <x:v>需核验</x:v>
      </x:c>
      <x:c r="K14" s="70" t="str">
        <x:v>待确认</x:v>
      </x:c>
      <x:c r="L14" s="70" t="str">
        <x:v>否</x:v>
      </x:c>
      <x:c r="M14" s="70" t="str"/>
      <x:c r="N14" s="70" t="str">
        <x:v>否</x:v>
      </x:c>
      <x:c r="O14" s="70" t="str">
        <x:v>否</x:v>
      </x:c>
      <x:c r="P14" s="70" t="n">
        <x:f>COUNTIF('03_关系事件'!$B$6:$B$305,A14)</x:f>
        <x:v>0</x:v>
      </x:c>
      <x:c r="Q14" s="70" t="n">
        <x:f>COUNTIFS('05_字段核验'!$B$6:$B$605,A14,'05_字段核验'!$V$6:$V$605,"是")</x:f>
        <x:v>0</x:v>
      </x:c>
      <x:c r="R14" s="70" t="str">
        <x:f>IF(AND(I14="是",L14="是",N14="是",J14&lt;&gt;"安全停止"),"是","否")</x:f>
        <x:v>否</x:v>
      </x:c>
      <x:c r="S14" s="70" t="str">
        <x:f>IF(AND(I14="是",L14="是",J14="安全停止"),"是","否")</x:f>
        <x:v>否</x:v>
      </x:c>
      <x:c r="T14" s="70" t="str">
        <x:v>待录入</x:v>
      </x:c>
      <x:c r="U14" s="70" t="str"/>
      <x:c r="V14" s="70" t="str"/>
      <x:c r="W14" s="70" t="str"/>
      <x:c r="X14" s="70" t="str"/>
      <x:c r="Y14" s="70" t="str"/>
      <x:c r="Z14" s="70" t="str"/>
      <x:c r="AA14" s="70" t="str"/>
    </x:row>
    <x:row r="15">
      <x:c r="A15" s="70" t="str">
        <x:v>M5C-010</x:v>
      </x:c>
      <x:c r="B15" s="70" t="str"/>
      <x:c r="C15" s="70" t="str"/>
      <x:c r="D15" s="70" t="str"/>
      <x:c r="E15" s="70" t="str">
        <x:v>留出集</x:v>
      </x:c>
      <x:c r="F15" s="70" t="str"/>
      <x:c r="G15" s="70" t="str"/>
      <x:c r="H15" s="70" t="str"/>
      <x:c r="I15" s="70" t="str">
        <x:v>否</x:v>
      </x:c>
      <x:c r="J15" s="70" t="str">
        <x:v>需核验</x:v>
      </x:c>
      <x:c r="K15" s="70" t="str">
        <x:v>待确认</x:v>
      </x:c>
      <x:c r="L15" s="70" t="str">
        <x:v>否</x:v>
      </x:c>
      <x:c r="M15" s="70" t="str"/>
      <x:c r="N15" s="70" t="str">
        <x:v>否</x:v>
      </x:c>
      <x:c r="O15" s="70" t="str">
        <x:v>否</x:v>
      </x:c>
      <x:c r="P15" s="70" t="n">
        <x:f>COUNTIF('03_关系事件'!$B$6:$B$305,A15)</x:f>
        <x:v>0</x:v>
      </x:c>
      <x:c r="Q15" s="70" t="n">
        <x:f>COUNTIFS('05_字段核验'!$B$6:$B$605,A15,'05_字段核验'!$V$6:$V$605,"是")</x:f>
        <x:v>0</x:v>
      </x:c>
      <x:c r="R15" s="70" t="str">
        <x:f>IF(AND(I15="是",L15="是",N15="是",J15&lt;&gt;"安全停止"),"是","否")</x:f>
        <x:v>否</x:v>
      </x:c>
      <x:c r="S15" s="70" t="str">
        <x:f>IF(AND(I15="是",L15="是",J15="安全停止"),"是","否")</x:f>
        <x:v>否</x:v>
      </x:c>
      <x:c r="T15" s="70" t="str">
        <x:v>待录入</x:v>
      </x:c>
      <x:c r="U15" s="70" t="str"/>
      <x:c r="V15" s="70" t="str"/>
      <x:c r="W15" s="70" t="str"/>
      <x:c r="X15" s="70" t="str"/>
      <x:c r="Y15" s="70" t="str"/>
      <x:c r="Z15" s="70" t="str"/>
      <x:c r="AA15" s="70" t="str"/>
    </x:row>
    <x:row r="16">
      <x:c r="A16" s="70" t="str">
        <x:v>M5C-011</x:v>
      </x:c>
      <x:c r="B16" s="70" t="str"/>
      <x:c r="C16" s="70" t="str"/>
      <x:c r="D16" s="70" t="str"/>
      <x:c r="E16" s="70" t="str">
        <x:v>开发集</x:v>
      </x:c>
      <x:c r="F16" s="70" t="str"/>
      <x:c r="G16" s="70" t="str"/>
      <x:c r="H16" s="70" t="str"/>
      <x:c r="I16" s="70" t="str">
        <x:v>否</x:v>
      </x:c>
      <x:c r="J16" s="70" t="str">
        <x:v>需核验</x:v>
      </x:c>
      <x:c r="K16" s="70" t="str">
        <x:v>待确认</x:v>
      </x:c>
      <x:c r="L16" s="70" t="str">
        <x:v>否</x:v>
      </x:c>
      <x:c r="M16" s="70" t="str"/>
      <x:c r="N16" s="70" t="str">
        <x:v>否</x:v>
      </x:c>
      <x:c r="O16" s="70" t="str">
        <x:v>否</x:v>
      </x:c>
      <x:c r="P16" s="70" t="n">
        <x:f>COUNTIF('03_关系事件'!$B$6:$B$305,A16)</x:f>
        <x:v>0</x:v>
      </x:c>
      <x:c r="Q16" s="70" t="n">
        <x:f>COUNTIFS('05_字段核验'!$B$6:$B$605,A16,'05_字段核验'!$V$6:$V$605,"是")</x:f>
        <x:v>0</x:v>
      </x:c>
      <x:c r="R16" s="70" t="str">
        <x:f>IF(AND(I16="是",L16="是",N16="是",J16&lt;&gt;"安全停止"),"是","否")</x:f>
        <x:v>否</x:v>
      </x:c>
      <x:c r="S16" s="70" t="str">
        <x:f>IF(AND(I16="是",L16="是",J16="安全停止"),"是","否")</x:f>
        <x:v>否</x:v>
      </x:c>
      <x:c r="T16" s="70" t="str">
        <x:v>待录入</x:v>
      </x:c>
      <x:c r="U16" s="70" t="str"/>
      <x:c r="V16" s="70" t="str"/>
      <x:c r="W16" s="70" t="str"/>
      <x:c r="X16" s="70" t="str"/>
      <x:c r="Y16" s="70" t="str"/>
      <x:c r="Z16" s="70" t="str"/>
      <x:c r="AA16" s="70" t="str"/>
    </x:row>
    <x:row r="17">
      <x:c r="A17" s="70" t="str">
        <x:v>M5C-012</x:v>
      </x:c>
      <x:c r="B17" s="70" t="str"/>
      <x:c r="C17" s="70" t="str"/>
      <x:c r="D17" s="70" t="str"/>
      <x:c r="E17" s="70" t="str">
        <x:v>开发集</x:v>
      </x:c>
      <x:c r="F17" s="70" t="str"/>
      <x:c r="G17" s="70" t="str"/>
      <x:c r="H17" s="70" t="str"/>
      <x:c r="I17" s="70" t="str">
        <x:v>否</x:v>
      </x:c>
      <x:c r="J17" s="70" t="str">
        <x:v>需核验</x:v>
      </x:c>
      <x:c r="K17" s="70" t="str">
        <x:v>待确认</x:v>
      </x:c>
      <x:c r="L17" s="70" t="str">
        <x:v>否</x:v>
      </x:c>
      <x:c r="M17" s="70" t="str"/>
      <x:c r="N17" s="70" t="str">
        <x:v>否</x:v>
      </x:c>
      <x:c r="O17" s="70" t="str">
        <x:v>否</x:v>
      </x:c>
      <x:c r="P17" s="70" t="n">
        <x:f>COUNTIF('03_关系事件'!$B$6:$B$305,A17)</x:f>
        <x:v>0</x:v>
      </x:c>
      <x:c r="Q17" s="70" t="n">
        <x:f>COUNTIFS('05_字段核验'!$B$6:$B$605,A17,'05_字段核验'!$V$6:$V$605,"是")</x:f>
        <x:v>0</x:v>
      </x:c>
      <x:c r="R17" s="70" t="str">
        <x:f>IF(AND(I17="是",L17="是",N17="是",J17&lt;&gt;"安全停止"),"是","否")</x:f>
        <x:v>否</x:v>
      </x:c>
      <x:c r="S17" s="70" t="str">
        <x:f>IF(AND(I17="是",L17="是",J17="安全停止"),"是","否")</x:f>
        <x:v>否</x:v>
      </x:c>
      <x:c r="T17" s="70" t="str">
        <x:v>待录入</x:v>
      </x:c>
      <x:c r="U17" s="70" t="str"/>
      <x:c r="V17" s="70" t="str"/>
      <x:c r="W17" s="70" t="str"/>
      <x:c r="X17" s="70" t="str"/>
      <x:c r="Y17" s="70" t="str"/>
      <x:c r="Z17" s="70" t="str"/>
      <x:c r="AA17" s="70" t="str"/>
    </x:row>
    <x:row r="18">
      <x:c r="A18" s="70" t="str">
        <x:v>M5C-013</x:v>
      </x:c>
      <x:c r="B18" s="70" t="str"/>
      <x:c r="C18" s="70" t="str"/>
      <x:c r="D18" s="70" t="str"/>
      <x:c r="E18" s="70" t="str">
        <x:v>开发集</x:v>
      </x:c>
      <x:c r="F18" s="70" t="str"/>
      <x:c r="G18" s="70" t="str"/>
      <x:c r="H18" s="70" t="str"/>
      <x:c r="I18" s="70" t="str">
        <x:v>否</x:v>
      </x:c>
      <x:c r="J18" s="70" t="str">
        <x:v>需核验</x:v>
      </x:c>
      <x:c r="K18" s="70" t="str">
        <x:v>待确认</x:v>
      </x:c>
      <x:c r="L18" s="70" t="str">
        <x:v>否</x:v>
      </x:c>
      <x:c r="M18" s="70" t="str"/>
      <x:c r="N18" s="70" t="str">
        <x:v>否</x:v>
      </x:c>
      <x:c r="O18" s="70" t="str">
        <x:v>否</x:v>
      </x:c>
      <x:c r="P18" s="70" t="n">
        <x:f>COUNTIF('03_关系事件'!$B$6:$B$305,A18)</x:f>
        <x:v>0</x:v>
      </x:c>
      <x:c r="Q18" s="70" t="n">
        <x:f>COUNTIFS('05_字段核验'!$B$6:$B$605,A18,'05_字段核验'!$V$6:$V$605,"是")</x:f>
        <x:v>0</x:v>
      </x:c>
      <x:c r="R18" s="70" t="str">
        <x:f>IF(AND(I18="是",L18="是",N18="是",J18&lt;&gt;"安全停止"),"是","否")</x:f>
        <x:v>否</x:v>
      </x:c>
      <x:c r="S18" s="70" t="str">
        <x:f>IF(AND(I18="是",L18="是",J18="安全停止"),"是","否")</x:f>
        <x:v>否</x:v>
      </x:c>
      <x:c r="T18" s="70" t="str">
        <x:v>待录入</x:v>
      </x:c>
      <x:c r="U18" s="70" t="str"/>
      <x:c r="V18" s="70" t="str"/>
      <x:c r="W18" s="70" t="str"/>
      <x:c r="X18" s="70" t="str"/>
      <x:c r="Y18" s="70" t="str"/>
      <x:c r="Z18" s="70" t="str"/>
      <x:c r="AA18" s="70" t="str"/>
    </x:row>
    <x:row r="19">
      <x:c r="A19" s="70" t="str">
        <x:v>M5C-014</x:v>
      </x:c>
      <x:c r="B19" s="70" t="str"/>
      <x:c r="C19" s="70" t="str"/>
      <x:c r="D19" s="70" t="str"/>
      <x:c r="E19" s="70" t="str">
        <x:v>开发集</x:v>
      </x:c>
      <x:c r="F19" s="70" t="str"/>
      <x:c r="G19" s="70" t="str"/>
      <x:c r="H19" s="70" t="str"/>
      <x:c r="I19" s="70" t="str">
        <x:v>否</x:v>
      </x:c>
      <x:c r="J19" s="70" t="str">
        <x:v>需核验</x:v>
      </x:c>
      <x:c r="K19" s="70" t="str">
        <x:v>待确认</x:v>
      </x:c>
      <x:c r="L19" s="70" t="str">
        <x:v>否</x:v>
      </x:c>
      <x:c r="M19" s="70" t="str"/>
      <x:c r="N19" s="70" t="str">
        <x:v>否</x:v>
      </x:c>
      <x:c r="O19" s="70" t="str">
        <x:v>否</x:v>
      </x:c>
      <x:c r="P19" s="70" t="n">
        <x:f>COUNTIF('03_关系事件'!$B$6:$B$305,A19)</x:f>
        <x:v>0</x:v>
      </x:c>
      <x:c r="Q19" s="70" t="n">
        <x:f>COUNTIFS('05_字段核验'!$B$6:$B$605,A19,'05_字段核验'!$V$6:$V$605,"是")</x:f>
        <x:v>0</x:v>
      </x:c>
      <x:c r="R19" s="70" t="str">
        <x:f>IF(AND(I19="是",L19="是",N19="是",J19&lt;&gt;"安全停止"),"是","否")</x:f>
        <x:v>否</x:v>
      </x:c>
      <x:c r="S19" s="70" t="str">
        <x:f>IF(AND(I19="是",L19="是",J19="安全停止"),"是","否")</x:f>
        <x:v>否</x:v>
      </x:c>
      <x:c r="T19" s="70" t="str">
        <x:v>待录入</x:v>
      </x:c>
      <x:c r="U19" s="70" t="str"/>
      <x:c r="V19" s="70" t="str"/>
      <x:c r="W19" s="70" t="str"/>
      <x:c r="X19" s="70" t="str"/>
      <x:c r="Y19" s="70" t="str"/>
      <x:c r="Z19" s="70" t="str"/>
      <x:c r="AA19" s="70" t="str"/>
    </x:row>
    <x:row r="20">
      <x:c r="A20" s="70" t="str">
        <x:v>M5C-015</x:v>
      </x:c>
      <x:c r="B20" s="70" t="str"/>
      <x:c r="C20" s="70" t="str"/>
      <x:c r="D20" s="70" t="str"/>
      <x:c r="E20" s="70" t="str">
        <x:v>开发集</x:v>
      </x:c>
      <x:c r="F20" s="70" t="str"/>
      <x:c r="G20" s="70" t="str"/>
      <x:c r="H20" s="70" t="str"/>
      <x:c r="I20" s="70" t="str">
        <x:v>否</x:v>
      </x:c>
      <x:c r="J20" s="70" t="str">
        <x:v>需核验</x:v>
      </x:c>
      <x:c r="K20" s="70" t="str">
        <x:v>待确认</x:v>
      </x:c>
      <x:c r="L20" s="70" t="str">
        <x:v>否</x:v>
      </x:c>
      <x:c r="M20" s="70" t="str"/>
      <x:c r="N20" s="70" t="str">
        <x:v>否</x:v>
      </x:c>
      <x:c r="O20" s="70" t="str">
        <x:v>否</x:v>
      </x:c>
      <x:c r="P20" s="70" t="n">
        <x:f>COUNTIF('03_关系事件'!$B$6:$B$305,A20)</x:f>
        <x:v>0</x:v>
      </x:c>
      <x:c r="Q20" s="70" t="n">
        <x:f>COUNTIFS('05_字段核验'!$B$6:$B$605,A20,'05_字段核验'!$V$6:$V$605,"是")</x:f>
        <x:v>0</x:v>
      </x:c>
      <x:c r="R20" s="70" t="str">
        <x:f>IF(AND(I20="是",L20="是",N20="是",J20&lt;&gt;"安全停止"),"是","否")</x:f>
        <x:v>否</x:v>
      </x:c>
      <x:c r="S20" s="70" t="str">
        <x:f>IF(AND(I20="是",L20="是",J20="安全停止"),"是","否")</x:f>
        <x:v>否</x:v>
      </x:c>
      <x:c r="T20" s="70" t="str">
        <x:v>待录入</x:v>
      </x:c>
      <x:c r="U20" s="70" t="str"/>
      <x:c r="V20" s="70" t="str"/>
      <x:c r="W20" s="70" t="str"/>
      <x:c r="X20" s="70" t="str"/>
      <x:c r="Y20" s="70" t="str"/>
      <x:c r="Z20" s="70" t="str"/>
      <x:c r="AA20" s="70" t="str"/>
    </x:row>
    <x:row r="21">
      <x:c r="A21" s="70" t="str">
        <x:v>M5C-016</x:v>
      </x:c>
      <x:c r="B21" s="70" t="str"/>
      <x:c r="C21" s="70" t="str"/>
      <x:c r="D21" s="70" t="str"/>
      <x:c r="E21" s="70" t="str">
        <x:v>开发集</x:v>
      </x:c>
      <x:c r="F21" s="70" t="str"/>
      <x:c r="G21" s="70" t="str"/>
      <x:c r="H21" s="70" t="str"/>
      <x:c r="I21" s="70" t="str">
        <x:v>否</x:v>
      </x:c>
      <x:c r="J21" s="70" t="str">
        <x:v>需核验</x:v>
      </x:c>
      <x:c r="K21" s="70" t="str">
        <x:v>待确认</x:v>
      </x:c>
      <x:c r="L21" s="70" t="str">
        <x:v>否</x:v>
      </x:c>
      <x:c r="M21" s="70" t="str"/>
      <x:c r="N21" s="70" t="str">
        <x:v>否</x:v>
      </x:c>
      <x:c r="O21" s="70" t="str">
        <x:v>否</x:v>
      </x:c>
      <x:c r="P21" s="70" t="n">
        <x:f>COUNTIF('03_关系事件'!$B$6:$B$305,A21)</x:f>
        <x:v>0</x:v>
      </x:c>
      <x:c r="Q21" s="70" t="n">
        <x:f>COUNTIFS('05_字段核验'!$B$6:$B$605,A21,'05_字段核验'!$V$6:$V$605,"是")</x:f>
        <x:v>0</x:v>
      </x:c>
      <x:c r="R21" s="70" t="str">
        <x:f>IF(AND(I21="是",L21="是",N21="是",J21&lt;&gt;"安全停止"),"是","否")</x:f>
        <x:v>否</x:v>
      </x:c>
      <x:c r="S21" s="70" t="str">
        <x:f>IF(AND(I21="是",L21="是",J21="安全停止"),"是","否")</x:f>
        <x:v>否</x:v>
      </x:c>
      <x:c r="T21" s="70" t="str">
        <x:v>待录入</x:v>
      </x:c>
      <x:c r="U21" s="70" t="str"/>
      <x:c r="V21" s="70" t="str"/>
      <x:c r="W21" s="70" t="str"/>
      <x:c r="X21" s="70" t="str"/>
      <x:c r="Y21" s="70" t="str"/>
      <x:c r="Z21" s="70" t="str"/>
      <x:c r="AA21" s="70" t="str"/>
    </x:row>
    <x:row r="22">
      <x:c r="A22" s="70" t="str">
        <x:v>M5C-017</x:v>
      </x:c>
      <x:c r="B22" s="70" t="str"/>
      <x:c r="C22" s="70" t="str"/>
      <x:c r="D22" s="70" t="str"/>
      <x:c r="E22" s="70" t="str">
        <x:v>开发集</x:v>
      </x:c>
      <x:c r="F22" s="70" t="str"/>
      <x:c r="G22" s="70" t="str"/>
      <x:c r="H22" s="70" t="str"/>
      <x:c r="I22" s="70" t="str">
        <x:v>否</x:v>
      </x:c>
      <x:c r="J22" s="70" t="str">
        <x:v>需核验</x:v>
      </x:c>
      <x:c r="K22" s="70" t="str">
        <x:v>待确认</x:v>
      </x:c>
      <x:c r="L22" s="70" t="str">
        <x:v>否</x:v>
      </x:c>
      <x:c r="M22" s="70" t="str"/>
      <x:c r="N22" s="70" t="str">
        <x:v>否</x:v>
      </x:c>
      <x:c r="O22" s="70" t="str">
        <x:v>否</x:v>
      </x:c>
      <x:c r="P22" s="70" t="n">
        <x:f>COUNTIF('03_关系事件'!$B$6:$B$305,A22)</x:f>
        <x:v>0</x:v>
      </x:c>
      <x:c r="Q22" s="70" t="n">
        <x:f>COUNTIFS('05_字段核验'!$B$6:$B$605,A22,'05_字段核验'!$V$6:$V$605,"是")</x:f>
        <x:v>0</x:v>
      </x:c>
      <x:c r="R22" s="70" t="str">
        <x:f>IF(AND(I22="是",L22="是",N22="是",J22&lt;&gt;"安全停止"),"是","否")</x:f>
        <x:v>否</x:v>
      </x:c>
      <x:c r="S22" s="70" t="str">
        <x:f>IF(AND(I22="是",L22="是",J22="安全停止"),"是","否")</x:f>
        <x:v>否</x:v>
      </x:c>
      <x:c r="T22" s="70" t="str">
        <x:v>待录入</x:v>
      </x:c>
      <x:c r="U22" s="70" t="str"/>
      <x:c r="V22" s="70" t="str"/>
      <x:c r="W22" s="70" t="str"/>
      <x:c r="X22" s="70" t="str"/>
      <x:c r="Y22" s="70" t="str"/>
      <x:c r="Z22" s="70" t="str"/>
      <x:c r="AA22" s="70" t="str"/>
    </x:row>
    <x:row r="23">
      <x:c r="A23" s="70" t="str">
        <x:v>M5C-018</x:v>
      </x:c>
      <x:c r="B23" s="70" t="str"/>
      <x:c r="C23" s="70" t="str"/>
      <x:c r="D23" s="70" t="str"/>
      <x:c r="E23" s="70" t="str">
        <x:v>留出集</x:v>
      </x:c>
      <x:c r="F23" s="70" t="str"/>
      <x:c r="G23" s="70" t="str"/>
      <x:c r="H23" s="70" t="str"/>
      <x:c r="I23" s="70" t="str">
        <x:v>否</x:v>
      </x:c>
      <x:c r="J23" s="70" t="str">
        <x:v>需核验</x:v>
      </x:c>
      <x:c r="K23" s="70" t="str">
        <x:v>待确认</x:v>
      </x:c>
      <x:c r="L23" s="70" t="str">
        <x:v>否</x:v>
      </x:c>
      <x:c r="M23" s="70" t="str"/>
      <x:c r="N23" s="70" t="str">
        <x:v>否</x:v>
      </x:c>
      <x:c r="O23" s="70" t="str">
        <x:v>否</x:v>
      </x:c>
      <x:c r="P23" s="70" t="n">
        <x:f>COUNTIF('03_关系事件'!$B$6:$B$305,A23)</x:f>
        <x:v>0</x:v>
      </x:c>
      <x:c r="Q23" s="70" t="n">
        <x:f>COUNTIFS('05_字段核验'!$B$6:$B$605,A23,'05_字段核验'!$V$6:$V$605,"是")</x:f>
        <x:v>0</x:v>
      </x:c>
      <x:c r="R23" s="70" t="str">
        <x:f>IF(AND(I23="是",L23="是",N23="是",J23&lt;&gt;"安全停止"),"是","否")</x:f>
        <x:v>否</x:v>
      </x:c>
      <x:c r="S23" s="70" t="str">
        <x:f>IF(AND(I23="是",L23="是",J23="安全停止"),"是","否")</x:f>
        <x:v>否</x:v>
      </x:c>
      <x:c r="T23" s="70" t="str">
        <x:v>待录入</x:v>
      </x:c>
      <x:c r="U23" s="70" t="str"/>
      <x:c r="V23" s="70" t="str"/>
      <x:c r="W23" s="70" t="str"/>
      <x:c r="X23" s="70" t="str"/>
      <x:c r="Y23" s="70" t="str"/>
      <x:c r="Z23" s="70" t="str"/>
      <x:c r="AA23" s="70" t="str"/>
    </x:row>
    <x:row r="24">
      <x:c r="A24" s="70" t="str">
        <x:v>M5C-019</x:v>
      </x:c>
      <x:c r="B24" s="70" t="str"/>
      <x:c r="C24" s="70" t="str"/>
      <x:c r="D24" s="70" t="str"/>
      <x:c r="E24" s="70" t="str">
        <x:v>留出集</x:v>
      </x:c>
      <x:c r="F24" s="70" t="str"/>
      <x:c r="G24" s="70" t="str"/>
      <x:c r="H24" s="70" t="str"/>
      <x:c r="I24" s="70" t="str">
        <x:v>否</x:v>
      </x:c>
      <x:c r="J24" s="70" t="str">
        <x:v>需核验</x:v>
      </x:c>
      <x:c r="K24" s="70" t="str">
        <x:v>待确认</x:v>
      </x:c>
      <x:c r="L24" s="70" t="str">
        <x:v>否</x:v>
      </x:c>
      <x:c r="M24" s="70" t="str"/>
      <x:c r="N24" s="70" t="str">
        <x:v>否</x:v>
      </x:c>
      <x:c r="O24" s="70" t="str">
        <x:v>否</x:v>
      </x:c>
      <x:c r="P24" s="70" t="n">
        <x:f>COUNTIF('03_关系事件'!$B$6:$B$305,A24)</x:f>
        <x:v>0</x:v>
      </x:c>
      <x:c r="Q24" s="70" t="n">
        <x:f>COUNTIFS('05_字段核验'!$B$6:$B$605,A24,'05_字段核验'!$V$6:$V$605,"是")</x:f>
        <x:v>0</x:v>
      </x:c>
      <x:c r="R24" s="70" t="str">
        <x:f>IF(AND(I24="是",L24="是",N24="是",J24&lt;&gt;"安全停止"),"是","否")</x:f>
        <x:v>否</x:v>
      </x:c>
      <x:c r="S24" s="70" t="str">
        <x:f>IF(AND(I24="是",L24="是",J24="安全停止"),"是","否")</x:f>
        <x:v>否</x:v>
      </x:c>
      <x:c r="T24" s="70" t="str">
        <x:v>待录入</x:v>
      </x:c>
      <x:c r="U24" s="70" t="str"/>
      <x:c r="V24" s="70" t="str"/>
      <x:c r="W24" s="70" t="str"/>
      <x:c r="X24" s="70" t="str"/>
      <x:c r="Y24" s="70" t="str"/>
      <x:c r="Z24" s="70" t="str"/>
      <x:c r="AA24" s="70" t="str"/>
    </x:row>
    <x:row r="25">
      <x:c r="A25" s="70" t="str">
        <x:v>M5C-020</x:v>
      </x:c>
      <x:c r="B25" s="70" t="str"/>
      <x:c r="C25" s="70" t="str"/>
      <x:c r="D25" s="70" t="str"/>
      <x:c r="E25" s="70" t="str">
        <x:v>留出集</x:v>
      </x:c>
      <x:c r="F25" s="70" t="str"/>
      <x:c r="G25" s="70" t="str"/>
      <x:c r="H25" s="70" t="str"/>
      <x:c r="I25" s="70" t="str">
        <x:v>否</x:v>
      </x:c>
      <x:c r="J25" s="70" t="str">
        <x:v>需核验</x:v>
      </x:c>
      <x:c r="K25" s="70" t="str">
        <x:v>待确认</x:v>
      </x:c>
      <x:c r="L25" s="70" t="str">
        <x:v>否</x:v>
      </x:c>
      <x:c r="M25" s="70" t="str"/>
      <x:c r="N25" s="70" t="str">
        <x:v>否</x:v>
      </x:c>
      <x:c r="O25" s="70" t="str">
        <x:v>否</x:v>
      </x:c>
      <x:c r="P25" s="70" t="n">
        <x:f>COUNTIF('03_关系事件'!$B$6:$B$305,A25)</x:f>
        <x:v>0</x:v>
      </x:c>
      <x:c r="Q25" s="70" t="n">
        <x:f>COUNTIFS('05_字段核验'!$B$6:$B$605,A25,'05_字段核验'!$V$6:$V$605,"是")</x:f>
        <x:v>0</x:v>
      </x:c>
      <x:c r="R25" s="70" t="str">
        <x:f>IF(AND(I25="是",L25="是",N25="是",J25&lt;&gt;"安全停止"),"是","否")</x:f>
        <x:v>否</x:v>
      </x:c>
      <x:c r="S25" s="70" t="str">
        <x:f>IF(AND(I25="是",L25="是",J25="安全停止"),"是","否")</x:f>
        <x:v>否</x:v>
      </x:c>
      <x:c r="T25" s="70" t="str">
        <x:v>待录入</x:v>
      </x:c>
      <x:c r="U25" s="70" t="str"/>
      <x:c r="V25" s="70" t="str"/>
      <x:c r="W25" s="70" t="str"/>
      <x:c r="X25" s="70" t="str"/>
      <x:c r="Y25" s="70" t="str"/>
      <x:c r="Z25" s="70" t="str"/>
      <x:c r="AA25" s="70" t="str"/>
    </x:row>
    <x:row r="26">
      <x:c r="A26" s="70" t="str">
        <x:v>M5C-021</x:v>
      </x:c>
      <x:c r="B26" s="70" t="str"/>
      <x:c r="C26" s="70" t="str"/>
      <x:c r="D26" s="70" t="str"/>
      <x:c r="E26" s="70" t="str">
        <x:v>开发集</x:v>
      </x:c>
      <x:c r="F26" s="70" t="str"/>
      <x:c r="G26" s="70" t="str"/>
      <x:c r="H26" s="70" t="str"/>
      <x:c r="I26" s="70" t="str">
        <x:v>否</x:v>
      </x:c>
      <x:c r="J26" s="70" t="str">
        <x:v>需核验</x:v>
      </x:c>
      <x:c r="K26" s="70" t="str">
        <x:v>待确认</x:v>
      </x:c>
      <x:c r="L26" s="70" t="str">
        <x:v>否</x:v>
      </x:c>
      <x:c r="M26" s="70" t="str"/>
      <x:c r="N26" s="70" t="str">
        <x:v>否</x:v>
      </x:c>
      <x:c r="O26" s="70" t="str">
        <x:v>否</x:v>
      </x:c>
      <x:c r="P26" s="70" t="n">
        <x:f>COUNTIF('03_关系事件'!$B$6:$B$305,A26)</x:f>
        <x:v>0</x:v>
      </x:c>
      <x:c r="Q26" s="70" t="n">
        <x:f>COUNTIFS('05_字段核验'!$B$6:$B$605,A26,'05_字段核验'!$V$6:$V$605,"是")</x:f>
        <x:v>0</x:v>
      </x:c>
      <x:c r="R26" s="70" t="str">
        <x:f>IF(AND(I26="是",L26="是",N26="是",J26&lt;&gt;"安全停止"),"是","否")</x:f>
        <x:v>否</x:v>
      </x:c>
      <x:c r="S26" s="70" t="str">
        <x:f>IF(AND(I26="是",L26="是",J26="安全停止"),"是","否")</x:f>
        <x:v>否</x:v>
      </x:c>
      <x:c r="T26" s="70" t="str">
        <x:v>待录入</x:v>
      </x:c>
      <x:c r="U26" s="70" t="str"/>
      <x:c r="V26" s="70" t="str"/>
      <x:c r="W26" s="70" t="str"/>
      <x:c r="X26" s="70" t="str"/>
      <x:c r="Y26" s="70" t="str"/>
      <x:c r="Z26" s="70" t="str"/>
      <x:c r="AA26" s="70" t="str"/>
    </x:row>
    <x:row r="27">
      <x:c r="A27" s="70" t="str">
        <x:v>M5C-022</x:v>
      </x:c>
      <x:c r="B27" s="70" t="str"/>
      <x:c r="C27" s="70" t="str"/>
      <x:c r="D27" s="70" t="str"/>
      <x:c r="E27" s="70" t="str">
        <x:v>开发集</x:v>
      </x:c>
      <x:c r="F27" s="70" t="str"/>
      <x:c r="G27" s="70" t="str"/>
      <x:c r="H27" s="70" t="str"/>
      <x:c r="I27" s="70" t="str">
        <x:v>否</x:v>
      </x:c>
      <x:c r="J27" s="70" t="str">
        <x:v>需核验</x:v>
      </x:c>
      <x:c r="K27" s="70" t="str">
        <x:v>待确认</x:v>
      </x:c>
      <x:c r="L27" s="70" t="str">
        <x:v>否</x:v>
      </x:c>
      <x:c r="M27" s="70" t="str"/>
      <x:c r="N27" s="70" t="str">
        <x:v>否</x:v>
      </x:c>
      <x:c r="O27" s="70" t="str">
        <x:v>否</x:v>
      </x:c>
      <x:c r="P27" s="70" t="n">
        <x:f>COUNTIF('03_关系事件'!$B$6:$B$305,A27)</x:f>
        <x:v>0</x:v>
      </x:c>
      <x:c r="Q27" s="70" t="n">
        <x:f>COUNTIFS('05_字段核验'!$B$6:$B$605,A27,'05_字段核验'!$V$6:$V$605,"是")</x:f>
        <x:v>0</x:v>
      </x:c>
      <x:c r="R27" s="70" t="str">
        <x:f>IF(AND(I27="是",L27="是",N27="是",J27&lt;&gt;"安全停止"),"是","否")</x:f>
        <x:v>否</x:v>
      </x:c>
      <x:c r="S27" s="70" t="str">
        <x:f>IF(AND(I27="是",L27="是",J27="安全停止"),"是","否")</x:f>
        <x:v>否</x:v>
      </x:c>
      <x:c r="T27" s="70" t="str">
        <x:v>待录入</x:v>
      </x:c>
      <x:c r="U27" s="70" t="str"/>
      <x:c r="V27" s="70" t="str"/>
      <x:c r="W27" s="70" t="str"/>
      <x:c r="X27" s="70" t="str"/>
      <x:c r="Y27" s="70" t="str"/>
      <x:c r="Z27" s="70" t="str"/>
      <x:c r="AA27" s="70" t="str"/>
    </x:row>
    <x:row r="28">
      <x:c r="A28" s="70" t="str">
        <x:v>M5C-023</x:v>
      </x:c>
      <x:c r="B28" s="70" t="str"/>
      <x:c r="C28" s="70" t="str"/>
      <x:c r="D28" s="70" t="str"/>
      <x:c r="E28" s="70" t="str">
        <x:v>开发集</x:v>
      </x:c>
      <x:c r="F28" s="70" t="str"/>
      <x:c r="G28" s="70" t="str"/>
      <x:c r="H28" s="70" t="str"/>
      <x:c r="I28" s="70" t="str">
        <x:v>否</x:v>
      </x:c>
      <x:c r="J28" s="70" t="str">
        <x:v>需核验</x:v>
      </x:c>
      <x:c r="K28" s="70" t="str">
        <x:v>待确认</x:v>
      </x:c>
      <x:c r="L28" s="70" t="str">
        <x:v>否</x:v>
      </x:c>
      <x:c r="M28" s="70" t="str"/>
      <x:c r="N28" s="70" t="str">
        <x:v>否</x:v>
      </x:c>
      <x:c r="O28" s="70" t="str">
        <x:v>否</x:v>
      </x:c>
      <x:c r="P28" s="70" t="n">
        <x:f>COUNTIF('03_关系事件'!$B$6:$B$305,A28)</x:f>
        <x:v>0</x:v>
      </x:c>
      <x:c r="Q28" s="70" t="n">
        <x:f>COUNTIFS('05_字段核验'!$B$6:$B$605,A28,'05_字段核验'!$V$6:$V$605,"是")</x:f>
        <x:v>0</x:v>
      </x:c>
      <x:c r="R28" s="70" t="str">
        <x:f>IF(AND(I28="是",L28="是",N28="是",J28&lt;&gt;"安全停止"),"是","否")</x:f>
        <x:v>否</x:v>
      </x:c>
      <x:c r="S28" s="70" t="str">
        <x:f>IF(AND(I28="是",L28="是",J28="安全停止"),"是","否")</x:f>
        <x:v>否</x:v>
      </x:c>
      <x:c r="T28" s="70" t="str">
        <x:v>待录入</x:v>
      </x:c>
      <x:c r="U28" s="70" t="str"/>
      <x:c r="V28" s="70" t="str"/>
      <x:c r="W28" s="70" t="str"/>
      <x:c r="X28" s="70" t="str"/>
      <x:c r="Y28" s="70" t="str"/>
      <x:c r="Z28" s="70" t="str"/>
      <x:c r="AA28" s="70" t="str"/>
    </x:row>
    <x:row r="29">
      <x:c r="A29" s="70" t="str">
        <x:v>M5C-024</x:v>
      </x:c>
      <x:c r="B29" s="70" t="str"/>
      <x:c r="C29" s="70" t="str"/>
      <x:c r="D29" s="70" t="str"/>
      <x:c r="E29" s="70" t="str">
        <x:v>开发集</x:v>
      </x:c>
      <x:c r="F29" s="70" t="str"/>
      <x:c r="G29" s="70" t="str"/>
      <x:c r="H29" s="70" t="str"/>
      <x:c r="I29" s="70" t="str">
        <x:v>否</x:v>
      </x:c>
      <x:c r="J29" s="70" t="str">
        <x:v>需核验</x:v>
      </x:c>
      <x:c r="K29" s="70" t="str">
        <x:v>待确认</x:v>
      </x:c>
      <x:c r="L29" s="70" t="str">
        <x:v>否</x:v>
      </x:c>
      <x:c r="M29" s="70" t="str"/>
      <x:c r="N29" s="70" t="str">
        <x:v>否</x:v>
      </x:c>
      <x:c r="O29" s="70" t="str">
        <x:v>否</x:v>
      </x:c>
      <x:c r="P29" s="70" t="n">
        <x:f>COUNTIF('03_关系事件'!$B$6:$B$305,A29)</x:f>
        <x:v>0</x:v>
      </x:c>
      <x:c r="Q29" s="70" t="n">
        <x:f>COUNTIFS('05_字段核验'!$B$6:$B$605,A29,'05_字段核验'!$V$6:$V$605,"是")</x:f>
        <x:v>0</x:v>
      </x:c>
      <x:c r="R29" s="70" t="str">
        <x:f>IF(AND(I29="是",L29="是",N29="是",J29&lt;&gt;"安全停止"),"是","否")</x:f>
        <x:v>否</x:v>
      </x:c>
      <x:c r="S29" s="70" t="str">
        <x:f>IF(AND(I29="是",L29="是",J29="安全停止"),"是","否")</x:f>
        <x:v>否</x:v>
      </x:c>
      <x:c r="T29" s="70" t="str">
        <x:v>待录入</x:v>
      </x:c>
      <x:c r="U29" s="70" t="str"/>
      <x:c r="V29" s="70" t="str"/>
      <x:c r="W29" s="70" t="str"/>
      <x:c r="X29" s="70" t="str"/>
      <x:c r="Y29" s="70" t="str"/>
      <x:c r="Z29" s="70" t="str"/>
      <x:c r="AA29" s="70" t="str"/>
    </x:row>
    <x:row r="30">
      <x:c r="A30" s="70" t="str">
        <x:v>M5C-025</x:v>
      </x:c>
      <x:c r="B30" s="70" t="str"/>
      <x:c r="C30" s="70" t="str"/>
      <x:c r="D30" s="70" t="str"/>
      <x:c r="E30" s="70" t="str">
        <x:v>开发集</x:v>
      </x:c>
      <x:c r="F30" s="70" t="str"/>
      <x:c r="G30" s="70" t="str"/>
      <x:c r="H30" s="70" t="str"/>
      <x:c r="I30" s="70" t="str">
        <x:v>否</x:v>
      </x:c>
      <x:c r="J30" s="70" t="str">
        <x:v>需核验</x:v>
      </x:c>
      <x:c r="K30" s="70" t="str">
        <x:v>待确认</x:v>
      </x:c>
      <x:c r="L30" s="70" t="str">
        <x:v>否</x:v>
      </x:c>
      <x:c r="M30" s="70" t="str"/>
      <x:c r="N30" s="70" t="str">
        <x:v>否</x:v>
      </x:c>
      <x:c r="O30" s="70" t="str">
        <x:v>否</x:v>
      </x:c>
      <x:c r="P30" s="70" t="n">
        <x:f>COUNTIF('03_关系事件'!$B$6:$B$305,A30)</x:f>
        <x:v>0</x:v>
      </x:c>
      <x:c r="Q30" s="70" t="n">
        <x:f>COUNTIFS('05_字段核验'!$B$6:$B$605,A30,'05_字段核验'!$V$6:$V$605,"是")</x:f>
        <x:v>0</x:v>
      </x:c>
      <x:c r="R30" s="70" t="str">
        <x:f>IF(AND(I30="是",L30="是",N30="是",J30&lt;&gt;"安全停止"),"是","否")</x:f>
        <x:v>否</x:v>
      </x:c>
      <x:c r="S30" s="70" t="str">
        <x:f>IF(AND(I30="是",L30="是",J30="安全停止"),"是","否")</x:f>
        <x:v>否</x:v>
      </x:c>
      <x:c r="T30" s="70" t="str">
        <x:v>待录入</x:v>
      </x:c>
      <x:c r="U30" s="70" t="str"/>
      <x:c r="V30" s="70" t="str"/>
      <x:c r="W30" s="70" t="str"/>
      <x:c r="X30" s="70" t="str"/>
      <x:c r="Y30" s="70" t="str"/>
      <x:c r="Z30" s="70" t="str"/>
      <x:c r="AA30" s="70" t="str"/>
    </x:row>
    <x:row r="31">
      <x:c r="A31" s="70" t="str">
        <x:v>M5C-026</x:v>
      </x:c>
      <x:c r="B31" s="70" t="str"/>
      <x:c r="C31" s="70" t="str"/>
      <x:c r="D31" s="70" t="str"/>
      <x:c r="E31" s="70" t="str">
        <x:v>开发集</x:v>
      </x:c>
      <x:c r="F31" s="70" t="str"/>
      <x:c r="G31" s="70" t="str"/>
      <x:c r="H31" s="70" t="str"/>
      <x:c r="I31" s="70" t="str">
        <x:v>否</x:v>
      </x:c>
      <x:c r="J31" s="70" t="str">
        <x:v>需核验</x:v>
      </x:c>
      <x:c r="K31" s="70" t="str">
        <x:v>待确认</x:v>
      </x:c>
      <x:c r="L31" s="70" t="str">
        <x:v>否</x:v>
      </x:c>
      <x:c r="M31" s="70" t="str"/>
      <x:c r="N31" s="70" t="str">
        <x:v>否</x:v>
      </x:c>
      <x:c r="O31" s="70" t="str">
        <x:v>否</x:v>
      </x:c>
      <x:c r="P31" s="70" t="n">
        <x:f>COUNTIF('03_关系事件'!$B$6:$B$305,A31)</x:f>
        <x:v>0</x:v>
      </x:c>
      <x:c r="Q31" s="70" t="n">
        <x:f>COUNTIFS('05_字段核验'!$B$6:$B$605,A31,'05_字段核验'!$V$6:$V$605,"是")</x:f>
        <x:v>0</x:v>
      </x:c>
      <x:c r="R31" s="70" t="str">
        <x:f>IF(AND(I31="是",L31="是",N31="是",J31&lt;&gt;"安全停止"),"是","否")</x:f>
        <x:v>否</x:v>
      </x:c>
      <x:c r="S31" s="70" t="str">
        <x:f>IF(AND(I31="是",L31="是",J31="安全停止"),"是","否")</x:f>
        <x:v>否</x:v>
      </x:c>
      <x:c r="T31" s="70" t="str">
        <x:v>待录入</x:v>
      </x:c>
      <x:c r="U31" s="70" t="str"/>
      <x:c r="V31" s="70" t="str"/>
      <x:c r="W31" s="70" t="str"/>
      <x:c r="X31" s="70" t="str"/>
      <x:c r="Y31" s="70" t="str"/>
      <x:c r="Z31" s="70" t="str"/>
      <x:c r="AA31" s="70" t="str"/>
    </x:row>
    <x:row r="32">
      <x:c r="A32" s="70" t="str">
        <x:v>M5C-027</x:v>
      </x:c>
      <x:c r="B32" s="70" t="str"/>
      <x:c r="C32" s="70" t="str"/>
      <x:c r="D32" s="70" t="str"/>
      <x:c r="E32" s="70" t="str">
        <x:v>开发集</x:v>
      </x:c>
      <x:c r="F32" s="70" t="str"/>
      <x:c r="G32" s="70" t="str"/>
      <x:c r="H32" s="70" t="str"/>
      <x:c r="I32" s="70" t="str">
        <x:v>否</x:v>
      </x:c>
      <x:c r="J32" s="70" t="str">
        <x:v>需核验</x:v>
      </x:c>
      <x:c r="K32" s="70" t="str">
        <x:v>待确认</x:v>
      </x:c>
      <x:c r="L32" s="70" t="str">
        <x:v>否</x:v>
      </x:c>
      <x:c r="M32" s="70" t="str"/>
      <x:c r="N32" s="70" t="str">
        <x:v>否</x:v>
      </x:c>
      <x:c r="O32" s="70" t="str">
        <x:v>否</x:v>
      </x:c>
      <x:c r="P32" s="70" t="n">
        <x:f>COUNTIF('03_关系事件'!$B$6:$B$305,A32)</x:f>
        <x:v>0</x:v>
      </x:c>
      <x:c r="Q32" s="70" t="n">
        <x:f>COUNTIFS('05_字段核验'!$B$6:$B$605,A32,'05_字段核验'!$V$6:$V$605,"是")</x:f>
        <x:v>0</x:v>
      </x:c>
      <x:c r="R32" s="70" t="str">
        <x:f>IF(AND(I32="是",L32="是",N32="是",J32&lt;&gt;"安全停止"),"是","否")</x:f>
        <x:v>否</x:v>
      </x:c>
      <x:c r="S32" s="70" t="str">
        <x:f>IF(AND(I32="是",L32="是",J32="安全停止"),"是","否")</x:f>
        <x:v>否</x:v>
      </x:c>
      <x:c r="T32" s="70" t="str">
        <x:v>待录入</x:v>
      </x:c>
      <x:c r="U32" s="70" t="str"/>
      <x:c r="V32" s="70" t="str"/>
      <x:c r="W32" s="70" t="str"/>
      <x:c r="X32" s="70" t="str"/>
      <x:c r="Y32" s="70" t="str"/>
      <x:c r="Z32" s="70" t="str"/>
      <x:c r="AA32" s="70" t="str"/>
    </x:row>
    <x:row r="33">
      <x:c r="A33" s="70" t="str">
        <x:v>M5C-028</x:v>
      </x:c>
      <x:c r="B33" s="70" t="str"/>
      <x:c r="C33" s="70" t="str"/>
      <x:c r="D33" s="70" t="str"/>
      <x:c r="E33" s="70" t="str">
        <x:v>留出集</x:v>
      </x:c>
      <x:c r="F33" s="70" t="str"/>
      <x:c r="G33" s="70" t="str"/>
      <x:c r="H33" s="70" t="str"/>
      <x:c r="I33" s="70" t="str">
        <x:v>否</x:v>
      </x:c>
      <x:c r="J33" s="70" t="str">
        <x:v>需核验</x:v>
      </x:c>
      <x:c r="K33" s="70" t="str">
        <x:v>待确认</x:v>
      </x:c>
      <x:c r="L33" s="70" t="str">
        <x:v>否</x:v>
      </x:c>
      <x:c r="M33" s="70" t="str"/>
      <x:c r="N33" s="70" t="str">
        <x:v>否</x:v>
      </x:c>
      <x:c r="O33" s="70" t="str">
        <x:v>否</x:v>
      </x:c>
      <x:c r="P33" s="70" t="n">
        <x:f>COUNTIF('03_关系事件'!$B$6:$B$305,A33)</x:f>
        <x:v>0</x:v>
      </x:c>
      <x:c r="Q33" s="70" t="n">
        <x:f>COUNTIFS('05_字段核验'!$B$6:$B$605,A33,'05_字段核验'!$V$6:$V$605,"是")</x:f>
        <x:v>0</x:v>
      </x:c>
      <x:c r="R33" s="70" t="str">
        <x:f>IF(AND(I33="是",L33="是",N33="是",J33&lt;&gt;"安全停止"),"是","否")</x:f>
        <x:v>否</x:v>
      </x:c>
      <x:c r="S33" s="70" t="str">
        <x:f>IF(AND(I33="是",L33="是",J33="安全停止"),"是","否")</x:f>
        <x:v>否</x:v>
      </x:c>
      <x:c r="T33" s="70" t="str">
        <x:v>待录入</x:v>
      </x:c>
      <x:c r="U33" s="70" t="str"/>
      <x:c r="V33" s="70" t="str"/>
      <x:c r="W33" s="70" t="str"/>
      <x:c r="X33" s="70" t="str"/>
      <x:c r="Y33" s="70" t="str"/>
      <x:c r="Z33" s="70" t="str"/>
      <x:c r="AA33" s="70" t="str"/>
    </x:row>
    <x:row r="34">
      <x:c r="A34" s="70" t="str">
        <x:v>M5C-029</x:v>
      </x:c>
      <x:c r="B34" s="70" t="str"/>
      <x:c r="C34" s="70" t="str"/>
      <x:c r="D34" s="70" t="str"/>
      <x:c r="E34" s="70" t="str">
        <x:v>留出集</x:v>
      </x:c>
      <x:c r="F34" s="70" t="str"/>
      <x:c r="G34" s="70" t="str"/>
      <x:c r="H34" s="70" t="str"/>
      <x:c r="I34" s="70" t="str">
        <x:v>否</x:v>
      </x:c>
      <x:c r="J34" s="70" t="str">
        <x:v>需核验</x:v>
      </x:c>
      <x:c r="K34" s="70" t="str">
        <x:v>待确认</x:v>
      </x:c>
      <x:c r="L34" s="70" t="str">
        <x:v>否</x:v>
      </x:c>
      <x:c r="M34" s="70" t="str"/>
      <x:c r="N34" s="70" t="str">
        <x:v>否</x:v>
      </x:c>
      <x:c r="O34" s="70" t="str">
        <x:v>否</x:v>
      </x:c>
      <x:c r="P34" s="70" t="n">
        <x:f>COUNTIF('03_关系事件'!$B$6:$B$305,A34)</x:f>
        <x:v>0</x:v>
      </x:c>
      <x:c r="Q34" s="70" t="n">
        <x:f>COUNTIFS('05_字段核验'!$B$6:$B$605,A34,'05_字段核验'!$V$6:$V$605,"是")</x:f>
        <x:v>0</x:v>
      </x:c>
      <x:c r="R34" s="70" t="str">
        <x:f>IF(AND(I34="是",L34="是",N34="是",J34&lt;&gt;"安全停止"),"是","否")</x:f>
        <x:v>否</x:v>
      </x:c>
      <x:c r="S34" s="70" t="str">
        <x:f>IF(AND(I34="是",L34="是",J34="安全停止"),"是","否")</x:f>
        <x:v>否</x:v>
      </x:c>
      <x:c r="T34" s="70" t="str">
        <x:v>待录入</x:v>
      </x:c>
      <x:c r="U34" s="70" t="str"/>
      <x:c r="V34" s="70" t="str"/>
      <x:c r="W34" s="70" t="str"/>
      <x:c r="X34" s="70" t="str"/>
      <x:c r="Y34" s="70" t="str"/>
      <x:c r="Z34" s="70" t="str"/>
      <x:c r="AA34" s="70" t="str"/>
    </x:row>
    <x:row r="35">
      <x:c r="A35" s="70" t="str">
        <x:v>M5C-030</x:v>
      </x:c>
      <x:c r="B35" s="70" t="str"/>
      <x:c r="C35" s="70" t="str"/>
      <x:c r="D35" s="70" t="str"/>
      <x:c r="E35" s="70" t="str">
        <x:v>留出集</x:v>
      </x:c>
      <x:c r="F35" s="70" t="str"/>
      <x:c r="G35" s="70" t="str"/>
      <x:c r="H35" s="70" t="str"/>
      <x:c r="I35" s="70" t="str">
        <x:v>否</x:v>
      </x:c>
      <x:c r="J35" s="70" t="str">
        <x:v>需核验</x:v>
      </x:c>
      <x:c r="K35" s="70" t="str">
        <x:v>待确认</x:v>
      </x:c>
      <x:c r="L35" s="70" t="str">
        <x:v>否</x:v>
      </x:c>
      <x:c r="M35" s="70" t="str"/>
      <x:c r="N35" s="70" t="str">
        <x:v>否</x:v>
      </x:c>
      <x:c r="O35" s="70" t="str">
        <x:v>否</x:v>
      </x:c>
      <x:c r="P35" s="70" t="n">
        <x:f>COUNTIF('03_关系事件'!$B$6:$B$305,A35)</x:f>
        <x:v>0</x:v>
      </x:c>
      <x:c r="Q35" s="70" t="n">
        <x:f>COUNTIFS('05_字段核验'!$B$6:$B$605,A35,'05_字段核验'!$V$6:$V$605,"是")</x:f>
        <x:v>0</x:v>
      </x:c>
      <x:c r="R35" s="70" t="str">
        <x:f>IF(AND(I35="是",L35="是",N35="是",J35&lt;&gt;"安全停止"),"是","否")</x:f>
        <x:v>否</x:v>
      </x:c>
      <x:c r="S35" s="70" t="str">
        <x:f>IF(AND(I35="是",L35="是",J35="安全停止"),"是","否")</x:f>
        <x:v>否</x:v>
      </x:c>
      <x:c r="T35" s="70" t="str">
        <x:v>待录入</x:v>
      </x:c>
      <x:c r="U35" s="70" t="str"/>
      <x:c r="V35" s="70" t="str"/>
      <x:c r="W35" s="70" t="str"/>
      <x:c r="X35" s="70" t="str"/>
      <x:c r="Y35" s="70" t="str"/>
      <x:c r="Z35" s="70" t="str"/>
      <x:c r="AA35" s="70" t="str"/>
    </x:row>
    <x:row r="36">
      <x:c r="A36" s="70" t="str">
        <x:v>M5C-031</x:v>
      </x:c>
      <x:c r="B36" s="70" t="str"/>
      <x:c r="C36" s="70" t="str"/>
      <x:c r="D36" s="70" t="str"/>
      <x:c r="E36" s="70" t="str">
        <x:v>开发集</x:v>
      </x:c>
      <x:c r="F36" s="70" t="str"/>
      <x:c r="G36" s="70" t="str"/>
      <x:c r="H36" s="70" t="str"/>
      <x:c r="I36" s="70" t="str">
        <x:v>否</x:v>
      </x:c>
      <x:c r="J36" s="70" t="str">
        <x:v>需核验</x:v>
      </x:c>
      <x:c r="K36" s="70" t="str">
        <x:v>待确认</x:v>
      </x:c>
      <x:c r="L36" s="70" t="str">
        <x:v>否</x:v>
      </x:c>
      <x:c r="M36" s="70" t="str"/>
      <x:c r="N36" s="70" t="str">
        <x:v>否</x:v>
      </x:c>
      <x:c r="O36" s="70" t="str">
        <x:v>否</x:v>
      </x:c>
      <x:c r="P36" s="70" t="n">
        <x:f>COUNTIF('03_关系事件'!$B$6:$B$305,A36)</x:f>
        <x:v>0</x:v>
      </x:c>
      <x:c r="Q36" s="70" t="n">
        <x:f>COUNTIFS('05_字段核验'!$B$6:$B$605,A36,'05_字段核验'!$V$6:$V$605,"是")</x:f>
        <x:v>0</x:v>
      </x:c>
      <x:c r="R36" s="70" t="str">
        <x:f>IF(AND(I36="是",L36="是",N36="是",J36&lt;&gt;"安全停止"),"是","否")</x:f>
        <x:v>否</x:v>
      </x:c>
      <x:c r="S36" s="70" t="str">
        <x:f>IF(AND(I36="是",L36="是",J36="安全停止"),"是","否")</x:f>
        <x:v>否</x:v>
      </x:c>
      <x:c r="T36" s="70" t="str">
        <x:v>待录入</x:v>
      </x:c>
      <x:c r="U36" s="70" t="str"/>
      <x:c r="V36" s="70" t="str"/>
      <x:c r="W36" s="70" t="str"/>
      <x:c r="X36" s="70" t="str"/>
      <x:c r="Y36" s="70" t="str"/>
      <x:c r="Z36" s="70" t="str"/>
      <x:c r="AA36" s="70" t="str"/>
    </x:row>
    <x:row r="37">
      <x:c r="A37" s="70" t="str">
        <x:v>M5C-032</x:v>
      </x:c>
      <x:c r="B37" s="70" t="str"/>
      <x:c r="C37" s="70" t="str"/>
      <x:c r="D37" s="70" t="str"/>
      <x:c r="E37" s="70" t="str">
        <x:v>开发集</x:v>
      </x:c>
      <x:c r="F37" s="70" t="str"/>
      <x:c r="G37" s="70" t="str"/>
      <x:c r="H37" s="70" t="str"/>
      <x:c r="I37" s="70" t="str">
        <x:v>否</x:v>
      </x:c>
      <x:c r="J37" s="70" t="str">
        <x:v>需核验</x:v>
      </x:c>
      <x:c r="K37" s="70" t="str">
        <x:v>待确认</x:v>
      </x:c>
      <x:c r="L37" s="70" t="str">
        <x:v>否</x:v>
      </x:c>
      <x:c r="M37" s="70" t="str"/>
      <x:c r="N37" s="70" t="str">
        <x:v>否</x:v>
      </x:c>
      <x:c r="O37" s="70" t="str">
        <x:v>否</x:v>
      </x:c>
      <x:c r="P37" s="70" t="n">
        <x:f>COUNTIF('03_关系事件'!$B$6:$B$305,A37)</x:f>
        <x:v>0</x:v>
      </x:c>
      <x:c r="Q37" s="70" t="n">
        <x:f>COUNTIFS('05_字段核验'!$B$6:$B$605,A37,'05_字段核验'!$V$6:$V$605,"是")</x:f>
        <x:v>0</x:v>
      </x:c>
      <x:c r="R37" s="70" t="str">
        <x:f>IF(AND(I37="是",L37="是",N37="是",J37&lt;&gt;"安全停止"),"是","否")</x:f>
        <x:v>否</x:v>
      </x:c>
      <x:c r="S37" s="70" t="str">
        <x:f>IF(AND(I37="是",L37="是",J37="安全停止"),"是","否")</x:f>
        <x:v>否</x:v>
      </x:c>
      <x:c r="T37" s="70" t="str">
        <x:v>待录入</x:v>
      </x:c>
      <x:c r="U37" s="70" t="str"/>
      <x:c r="V37" s="70" t="str"/>
      <x:c r="W37" s="70" t="str"/>
      <x:c r="X37" s="70" t="str"/>
      <x:c r="Y37" s="70" t="str"/>
      <x:c r="Z37" s="70" t="str"/>
      <x:c r="AA37" s="70" t="str"/>
    </x:row>
    <x:row r="38">
      <x:c r="A38" s="70" t="str">
        <x:v>M5C-033</x:v>
      </x:c>
      <x:c r="B38" s="70" t="str"/>
      <x:c r="C38" s="70" t="str"/>
      <x:c r="D38" s="70" t="str"/>
      <x:c r="E38" s="70" t="str">
        <x:v>开发集</x:v>
      </x:c>
      <x:c r="F38" s="70" t="str"/>
      <x:c r="G38" s="70" t="str"/>
      <x:c r="H38" s="70" t="str"/>
      <x:c r="I38" s="70" t="str">
        <x:v>否</x:v>
      </x:c>
      <x:c r="J38" s="70" t="str">
        <x:v>需核验</x:v>
      </x:c>
      <x:c r="K38" s="70" t="str">
        <x:v>待确认</x:v>
      </x:c>
      <x:c r="L38" s="70" t="str">
        <x:v>否</x:v>
      </x:c>
      <x:c r="M38" s="70" t="str"/>
      <x:c r="N38" s="70" t="str">
        <x:v>否</x:v>
      </x:c>
      <x:c r="O38" s="70" t="str">
        <x:v>否</x:v>
      </x:c>
      <x:c r="P38" s="70" t="n">
        <x:f>COUNTIF('03_关系事件'!$B$6:$B$305,A38)</x:f>
        <x:v>0</x:v>
      </x:c>
      <x:c r="Q38" s="70" t="n">
        <x:f>COUNTIFS('05_字段核验'!$B$6:$B$605,A38,'05_字段核验'!$V$6:$V$605,"是")</x:f>
        <x:v>0</x:v>
      </x:c>
      <x:c r="R38" s="70" t="str">
        <x:f>IF(AND(I38="是",L38="是",N38="是",J38&lt;&gt;"安全停止"),"是","否")</x:f>
        <x:v>否</x:v>
      </x:c>
      <x:c r="S38" s="70" t="str">
        <x:f>IF(AND(I38="是",L38="是",J38="安全停止"),"是","否")</x:f>
        <x:v>否</x:v>
      </x:c>
      <x:c r="T38" s="70" t="str">
        <x:v>待录入</x:v>
      </x:c>
      <x:c r="U38" s="70" t="str"/>
      <x:c r="V38" s="70" t="str"/>
      <x:c r="W38" s="70" t="str"/>
      <x:c r="X38" s="70" t="str"/>
      <x:c r="Y38" s="70" t="str"/>
      <x:c r="Z38" s="70" t="str"/>
      <x:c r="AA38" s="70" t="str"/>
    </x:row>
    <x:row r="39">
      <x:c r="A39" s="70" t="str">
        <x:v>M5C-034</x:v>
      </x:c>
      <x:c r="B39" s="70" t="str"/>
      <x:c r="C39" s="70" t="str"/>
      <x:c r="D39" s="70" t="str"/>
      <x:c r="E39" s="70" t="str">
        <x:v>开发集</x:v>
      </x:c>
      <x:c r="F39" s="70" t="str"/>
      <x:c r="G39" s="70" t="str"/>
      <x:c r="H39" s="70" t="str"/>
      <x:c r="I39" s="70" t="str">
        <x:v>否</x:v>
      </x:c>
      <x:c r="J39" s="70" t="str">
        <x:v>需核验</x:v>
      </x:c>
      <x:c r="K39" s="70" t="str">
        <x:v>待确认</x:v>
      </x:c>
      <x:c r="L39" s="70" t="str">
        <x:v>否</x:v>
      </x:c>
      <x:c r="M39" s="70" t="str"/>
      <x:c r="N39" s="70" t="str">
        <x:v>否</x:v>
      </x:c>
      <x:c r="O39" s="70" t="str">
        <x:v>否</x:v>
      </x:c>
      <x:c r="P39" s="70" t="n">
        <x:f>COUNTIF('03_关系事件'!$B$6:$B$305,A39)</x:f>
        <x:v>0</x:v>
      </x:c>
      <x:c r="Q39" s="70" t="n">
        <x:f>COUNTIFS('05_字段核验'!$B$6:$B$605,A39,'05_字段核验'!$V$6:$V$605,"是")</x:f>
        <x:v>0</x:v>
      </x:c>
      <x:c r="R39" s="70" t="str">
        <x:f>IF(AND(I39="是",L39="是",N39="是",J39&lt;&gt;"安全停止"),"是","否")</x:f>
        <x:v>否</x:v>
      </x:c>
      <x:c r="S39" s="70" t="str">
        <x:f>IF(AND(I39="是",L39="是",J39="安全停止"),"是","否")</x:f>
        <x:v>否</x:v>
      </x:c>
      <x:c r="T39" s="70" t="str">
        <x:v>待录入</x:v>
      </x:c>
      <x:c r="U39" s="70" t="str"/>
      <x:c r="V39" s="70" t="str"/>
      <x:c r="W39" s="70" t="str"/>
      <x:c r="X39" s="70" t="str"/>
      <x:c r="Y39" s="70" t="str"/>
      <x:c r="Z39" s="70" t="str"/>
      <x:c r="AA39" s="70" t="str"/>
    </x:row>
    <x:row r="40">
      <x:c r="A40" s="70" t="str">
        <x:v>M5C-035</x:v>
      </x:c>
      <x:c r="B40" s="70" t="str"/>
      <x:c r="C40" s="70" t="str"/>
      <x:c r="D40" s="70" t="str"/>
      <x:c r="E40" s="70" t="str">
        <x:v>开发集</x:v>
      </x:c>
      <x:c r="F40" s="70" t="str"/>
      <x:c r="G40" s="70" t="str"/>
      <x:c r="H40" s="70" t="str"/>
      <x:c r="I40" s="70" t="str">
        <x:v>否</x:v>
      </x:c>
      <x:c r="J40" s="70" t="str">
        <x:v>需核验</x:v>
      </x:c>
      <x:c r="K40" s="70" t="str">
        <x:v>待确认</x:v>
      </x:c>
      <x:c r="L40" s="70" t="str">
        <x:v>否</x:v>
      </x:c>
      <x:c r="M40" s="70" t="str"/>
      <x:c r="N40" s="70" t="str">
        <x:v>否</x:v>
      </x:c>
      <x:c r="O40" s="70" t="str">
        <x:v>否</x:v>
      </x:c>
      <x:c r="P40" s="70" t="n">
        <x:f>COUNTIF('03_关系事件'!$B$6:$B$305,A40)</x:f>
        <x:v>0</x:v>
      </x:c>
      <x:c r="Q40" s="70" t="n">
        <x:f>COUNTIFS('05_字段核验'!$B$6:$B$605,A40,'05_字段核验'!$V$6:$V$605,"是")</x:f>
        <x:v>0</x:v>
      </x:c>
      <x:c r="R40" s="70" t="str">
        <x:f>IF(AND(I40="是",L40="是",N40="是",J40&lt;&gt;"安全停止"),"是","否")</x:f>
        <x:v>否</x:v>
      </x:c>
      <x:c r="S40" s="70" t="str">
        <x:f>IF(AND(I40="是",L40="是",J40="安全停止"),"是","否")</x:f>
        <x:v>否</x:v>
      </x:c>
      <x:c r="T40" s="70" t="str">
        <x:v>待录入</x:v>
      </x:c>
      <x:c r="U40" s="70" t="str"/>
      <x:c r="V40" s="70" t="str"/>
      <x:c r="W40" s="70" t="str"/>
      <x:c r="X40" s="70" t="str"/>
      <x:c r="Y40" s="70" t="str"/>
      <x:c r="Z40" s="70" t="str"/>
      <x:c r="AA40" s="70" t="str"/>
    </x:row>
    <x:row r="41">
      <x:c r="A41" s="70" t="str">
        <x:v>M5C-036</x:v>
      </x:c>
      <x:c r="B41" s="70" t="str"/>
      <x:c r="C41" s="70" t="str"/>
      <x:c r="D41" s="70" t="str"/>
      <x:c r="E41" s="70" t="str">
        <x:v>开发集</x:v>
      </x:c>
      <x:c r="F41" s="70" t="str"/>
      <x:c r="G41" s="70" t="str"/>
      <x:c r="H41" s="70" t="str"/>
      <x:c r="I41" s="70" t="str">
        <x:v>否</x:v>
      </x:c>
      <x:c r="J41" s="70" t="str">
        <x:v>需核验</x:v>
      </x:c>
      <x:c r="K41" s="70" t="str">
        <x:v>待确认</x:v>
      </x:c>
      <x:c r="L41" s="70" t="str">
        <x:v>否</x:v>
      </x:c>
      <x:c r="M41" s="70" t="str"/>
      <x:c r="N41" s="70" t="str">
        <x:v>否</x:v>
      </x:c>
      <x:c r="O41" s="70" t="str">
        <x:v>否</x:v>
      </x:c>
      <x:c r="P41" s="70" t="n">
        <x:f>COUNTIF('03_关系事件'!$B$6:$B$305,A41)</x:f>
        <x:v>0</x:v>
      </x:c>
      <x:c r="Q41" s="70" t="n">
        <x:f>COUNTIFS('05_字段核验'!$B$6:$B$605,A41,'05_字段核验'!$V$6:$V$605,"是")</x:f>
        <x:v>0</x:v>
      </x:c>
      <x:c r="R41" s="70" t="str">
        <x:f>IF(AND(I41="是",L41="是",N41="是",J41&lt;&gt;"安全停止"),"是","否")</x:f>
        <x:v>否</x:v>
      </x:c>
      <x:c r="S41" s="70" t="str">
        <x:f>IF(AND(I41="是",L41="是",J41="安全停止"),"是","否")</x:f>
        <x:v>否</x:v>
      </x:c>
      <x:c r="T41" s="70" t="str">
        <x:v>待录入</x:v>
      </x:c>
      <x:c r="U41" s="70" t="str"/>
      <x:c r="V41" s="70" t="str"/>
      <x:c r="W41" s="70" t="str"/>
      <x:c r="X41" s="70" t="str"/>
      <x:c r="Y41" s="70" t="str"/>
      <x:c r="Z41" s="70" t="str"/>
      <x:c r="AA41" s="70" t="str"/>
    </x:row>
    <x:row r="42">
      <x:c r="A42" s="70" t="str">
        <x:v>M5C-037</x:v>
      </x:c>
      <x:c r="B42" s="70" t="str"/>
      <x:c r="C42" s="70" t="str"/>
      <x:c r="D42" s="70" t="str"/>
      <x:c r="E42" s="70" t="str">
        <x:v>开发集</x:v>
      </x:c>
      <x:c r="F42" s="70" t="str"/>
      <x:c r="G42" s="70" t="str"/>
      <x:c r="H42" s="70" t="str"/>
      <x:c r="I42" s="70" t="str">
        <x:v>否</x:v>
      </x:c>
      <x:c r="J42" s="70" t="str">
        <x:v>需核验</x:v>
      </x:c>
      <x:c r="K42" s="70" t="str">
        <x:v>待确认</x:v>
      </x:c>
      <x:c r="L42" s="70" t="str">
        <x:v>否</x:v>
      </x:c>
      <x:c r="M42" s="70" t="str"/>
      <x:c r="N42" s="70" t="str">
        <x:v>否</x:v>
      </x:c>
      <x:c r="O42" s="70" t="str">
        <x:v>否</x:v>
      </x:c>
      <x:c r="P42" s="70" t="n">
        <x:f>COUNTIF('03_关系事件'!$B$6:$B$305,A42)</x:f>
        <x:v>0</x:v>
      </x:c>
      <x:c r="Q42" s="70" t="n">
        <x:f>COUNTIFS('05_字段核验'!$B$6:$B$605,A42,'05_字段核验'!$V$6:$V$605,"是")</x:f>
        <x:v>0</x:v>
      </x:c>
      <x:c r="R42" s="70" t="str">
        <x:f>IF(AND(I42="是",L42="是",N42="是",J42&lt;&gt;"安全停止"),"是","否")</x:f>
        <x:v>否</x:v>
      </x:c>
      <x:c r="S42" s="70" t="str">
        <x:f>IF(AND(I42="是",L42="是",J42="安全停止"),"是","否")</x:f>
        <x:v>否</x:v>
      </x:c>
      <x:c r="T42" s="70" t="str">
        <x:v>待录入</x:v>
      </x:c>
      <x:c r="U42" s="70" t="str"/>
      <x:c r="V42" s="70" t="str"/>
      <x:c r="W42" s="70" t="str"/>
      <x:c r="X42" s="70" t="str"/>
      <x:c r="Y42" s="70" t="str"/>
      <x:c r="Z42" s="70" t="str"/>
      <x:c r="AA42" s="70" t="str"/>
    </x:row>
    <x:row r="43">
      <x:c r="A43" s="70" t="str">
        <x:v>M5C-038</x:v>
      </x:c>
      <x:c r="B43" s="70" t="str"/>
      <x:c r="C43" s="70" t="str"/>
      <x:c r="D43" s="70" t="str"/>
      <x:c r="E43" s="70" t="str">
        <x:v>留出集</x:v>
      </x:c>
      <x:c r="F43" s="70" t="str"/>
      <x:c r="G43" s="70" t="str"/>
      <x:c r="H43" s="70" t="str"/>
      <x:c r="I43" s="70" t="str">
        <x:v>否</x:v>
      </x:c>
      <x:c r="J43" s="70" t="str">
        <x:v>需核验</x:v>
      </x:c>
      <x:c r="K43" s="70" t="str">
        <x:v>待确认</x:v>
      </x:c>
      <x:c r="L43" s="70" t="str">
        <x:v>否</x:v>
      </x:c>
      <x:c r="M43" s="70" t="str"/>
      <x:c r="N43" s="70" t="str">
        <x:v>否</x:v>
      </x:c>
      <x:c r="O43" s="70" t="str">
        <x:v>否</x:v>
      </x:c>
      <x:c r="P43" s="70" t="n">
        <x:f>COUNTIF('03_关系事件'!$B$6:$B$305,A43)</x:f>
        <x:v>0</x:v>
      </x:c>
      <x:c r="Q43" s="70" t="n">
        <x:f>COUNTIFS('05_字段核验'!$B$6:$B$605,A43,'05_字段核验'!$V$6:$V$605,"是")</x:f>
        <x:v>0</x:v>
      </x:c>
      <x:c r="R43" s="70" t="str">
        <x:f>IF(AND(I43="是",L43="是",N43="是",J43&lt;&gt;"安全停止"),"是","否")</x:f>
        <x:v>否</x:v>
      </x:c>
      <x:c r="S43" s="70" t="str">
        <x:f>IF(AND(I43="是",L43="是",J43="安全停止"),"是","否")</x:f>
        <x:v>否</x:v>
      </x:c>
      <x:c r="T43" s="70" t="str">
        <x:v>待录入</x:v>
      </x:c>
      <x:c r="U43" s="70" t="str"/>
      <x:c r="V43" s="70" t="str"/>
      <x:c r="W43" s="70" t="str"/>
      <x:c r="X43" s="70" t="str"/>
      <x:c r="Y43" s="70" t="str"/>
      <x:c r="Z43" s="70" t="str"/>
      <x:c r="AA43" s="70" t="str"/>
    </x:row>
    <x:row r="44">
      <x:c r="A44" s="70" t="str">
        <x:v>M5C-039</x:v>
      </x:c>
      <x:c r="B44" s="70" t="str"/>
      <x:c r="C44" s="70" t="str"/>
      <x:c r="D44" s="70" t="str"/>
      <x:c r="E44" s="70" t="str">
        <x:v>留出集</x:v>
      </x:c>
      <x:c r="F44" s="70" t="str"/>
      <x:c r="G44" s="70" t="str"/>
      <x:c r="H44" s="70" t="str"/>
      <x:c r="I44" s="70" t="str">
        <x:v>否</x:v>
      </x:c>
      <x:c r="J44" s="70" t="str">
        <x:v>需核验</x:v>
      </x:c>
      <x:c r="K44" s="70" t="str">
        <x:v>待确认</x:v>
      </x:c>
      <x:c r="L44" s="70" t="str">
        <x:v>否</x:v>
      </x:c>
      <x:c r="M44" s="70" t="str"/>
      <x:c r="N44" s="70" t="str">
        <x:v>否</x:v>
      </x:c>
      <x:c r="O44" s="70" t="str">
        <x:v>否</x:v>
      </x:c>
      <x:c r="P44" s="70" t="n">
        <x:f>COUNTIF('03_关系事件'!$B$6:$B$305,A44)</x:f>
        <x:v>0</x:v>
      </x:c>
      <x:c r="Q44" s="70" t="n">
        <x:f>COUNTIFS('05_字段核验'!$B$6:$B$605,A44,'05_字段核验'!$V$6:$V$605,"是")</x:f>
        <x:v>0</x:v>
      </x:c>
      <x:c r="R44" s="70" t="str">
        <x:f>IF(AND(I44="是",L44="是",N44="是",J44&lt;&gt;"安全停止"),"是","否")</x:f>
        <x:v>否</x:v>
      </x:c>
      <x:c r="S44" s="70" t="str">
        <x:f>IF(AND(I44="是",L44="是",J44="安全停止"),"是","否")</x:f>
        <x:v>否</x:v>
      </x:c>
      <x:c r="T44" s="70" t="str">
        <x:v>待录入</x:v>
      </x:c>
      <x:c r="U44" s="70" t="str"/>
      <x:c r="V44" s="70" t="str"/>
      <x:c r="W44" s="70" t="str"/>
      <x:c r="X44" s="70" t="str"/>
      <x:c r="Y44" s="70" t="str"/>
      <x:c r="Z44" s="70" t="str"/>
      <x:c r="AA44" s="70" t="str"/>
    </x:row>
    <x:row r="45">
      <x:c r="A45" s="70" t="str">
        <x:v>M5C-040</x:v>
      </x:c>
      <x:c r="B45" s="70" t="str"/>
      <x:c r="C45" s="70" t="str"/>
      <x:c r="D45" s="70" t="str"/>
      <x:c r="E45" s="70" t="str">
        <x:v>留出集</x:v>
      </x:c>
      <x:c r="F45" s="70" t="str"/>
      <x:c r="G45" s="70" t="str"/>
      <x:c r="H45" s="70" t="str"/>
      <x:c r="I45" s="70" t="str">
        <x:v>否</x:v>
      </x:c>
      <x:c r="J45" s="70" t="str">
        <x:v>需核验</x:v>
      </x:c>
      <x:c r="K45" s="70" t="str">
        <x:v>待确认</x:v>
      </x:c>
      <x:c r="L45" s="70" t="str">
        <x:v>否</x:v>
      </x:c>
      <x:c r="M45" s="70" t="str"/>
      <x:c r="N45" s="70" t="str">
        <x:v>否</x:v>
      </x:c>
      <x:c r="O45" s="70" t="str">
        <x:v>否</x:v>
      </x:c>
      <x:c r="P45" s="70" t="n">
        <x:f>COUNTIF('03_关系事件'!$B$6:$B$305,A45)</x:f>
        <x:v>0</x:v>
      </x:c>
      <x:c r="Q45" s="70" t="n">
        <x:f>COUNTIFS('05_字段核验'!$B$6:$B$605,A45,'05_字段核验'!$V$6:$V$605,"是")</x:f>
        <x:v>0</x:v>
      </x:c>
      <x:c r="R45" s="70" t="str">
        <x:f>IF(AND(I45="是",L45="是",N45="是",J45&lt;&gt;"安全停止"),"是","否")</x:f>
        <x:v>否</x:v>
      </x:c>
      <x:c r="S45" s="70" t="str">
        <x:f>IF(AND(I45="是",L45="是",J45="安全停止"),"是","否")</x:f>
        <x:v>否</x:v>
      </x:c>
      <x:c r="T45" s="70" t="str">
        <x:v>待录入</x:v>
      </x:c>
      <x:c r="U45" s="70" t="str"/>
      <x:c r="V45" s="70" t="str"/>
      <x:c r="W45" s="70" t="str"/>
      <x:c r="X45" s="70" t="str"/>
      <x:c r="Y45" s="70" t="str"/>
      <x:c r="Z45" s="70" t="str"/>
      <x:c r="AA45" s="70" t="str"/>
    </x:row>
    <x:row r="46">
      <x:c r="A46" s="70" t="str">
        <x:v>M5C-041</x:v>
      </x:c>
      <x:c r="B46" s="70" t="str"/>
      <x:c r="C46" s="70" t="str"/>
      <x:c r="D46" s="70" t="str"/>
      <x:c r="E46" s="70" t="str">
        <x:v>开发集</x:v>
      </x:c>
      <x:c r="F46" s="70" t="str"/>
      <x:c r="G46" s="70" t="str"/>
      <x:c r="H46" s="70" t="str"/>
      <x:c r="I46" s="70" t="str">
        <x:v>否</x:v>
      </x:c>
      <x:c r="J46" s="70" t="str">
        <x:v>需核验</x:v>
      </x:c>
      <x:c r="K46" s="70" t="str">
        <x:v>待确认</x:v>
      </x:c>
      <x:c r="L46" s="70" t="str">
        <x:v>否</x:v>
      </x:c>
      <x:c r="M46" s="70" t="str"/>
      <x:c r="N46" s="70" t="str">
        <x:v>否</x:v>
      </x:c>
      <x:c r="O46" s="70" t="str">
        <x:v>否</x:v>
      </x:c>
      <x:c r="P46" s="70" t="n">
        <x:f>COUNTIF('03_关系事件'!$B$6:$B$305,A46)</x:f>
        <x:v>0</x:v>
      </x:c>
      <x:c r="Q46" s="70" t="n">
        <x:f>COUNTIFS('05_字段核验'!$B$6:$B$605,A46,'05_字段核验'!$V$6:$V$605,"是")</x:f>
        <x:v>0</x:v>
      </x:c>
      <x:c r="R46" s="70" t="str">
        <x:f>IF(AND(I46="是",L46="是",N46="是",J46&lt;&gt;"安全停止"),"是","否")</x:f>
        <x:v>否</x:v>
      </x:c>
      <x:c r="S46" s="70" t="str">
        <x:f>IF(AND(I46="是",L46="是",J46="安全停止"),"是","否")</x:f>
        <x:v>否</x:v>
      </x:c>
      <x:c r="T46" s="70" t="str">
        <x:v>待录入</x:v>
      </x:c>
      <x:c r="U46" s="70" t="str"/>
      <x:c r="V46" s="70" t="str"/>
      <x:c r="W46" s="70" t="str"/>
      <x:c r="X46" s="70" t="str"/>
      <x:c r="Y46" s="70" t="str"/>
      <x:c r="Z46" s="70" t="str"/>
      <x:c r="AA46" s="70" t="str"/>
    </x:row>
    <x:row r="47">
      <x:c r="A47" s="70" t="str">
        <x:v>M5C-042</x:v>
      </x:c>
      <x:c r="B47" s="70" t="str"/>
      <x:c r="C47" s="70" t="str"/>
      <x:c r="D47" s="70" t="str"/>
      <x:c r="E47" s="70" t="str">
        <x:v>开发集</x:v>
      </x:c>
      <x:c r="F47" s="70" t="str"/>
      <x:c r="G47" s="70" t="str"/>
      <x:c r="H47" s="70" t="str"/>
      <x:c r="I47" s="70" t="str">
        <x:v>否</x:v>
      </x:c>
      <x:c r="J47" s="70" t="str">
        <x:v>需核验</x:v>
      </x:c>
      <x:c r="K47" s="70" t="str">
        <x:v>待确认</x:v>
      </x:c>
      <x:c r="L47" s="70" t="str">
        <x:v>否</x:v>
      </x:c>
      <x:c r="M47" s="70" t="str"/>
      <x:c r="N47" s="70" t="str">
        <x:v>否</x:v>
      </x:c>
      <x:c r="O47" s="70" t="str">
        <x:v>否</x:v>
      </x:c>
      <x:c r="P47" s="70" t="n">
        <x:f>COUNTIF('03_关系事件'!$B$6:$B$305,A47)</x:f>
        <x:v>0</x:v>
      </x:c>
      <x:c r="Q47" s="70" t="n">
        <x:f>COUNTIFS('05_字段核验'!$B$6:$B$605,A47,'05_字段核验'!$V$6:$V$605,"是")</x:f>
        <x:v>0</x:v>
      </x:c>
      <x:c r="R47" s="70" t="str">
        <x:f>IF(AND(I47="是",L47="是",N47="是",J47&lt;&gt;"安全停止"),"是","否")</x:f>
        <x:v>否</x:v>
      </x:c>
      <x:c r="S47" s="70" t="str">
        <x:f>IF(AND(I47="是",L47="是",J47="安全停止"),"是","否")</x:f>
        <x:v>否</x:v>
      </x:c>
      <x:c r="T47" s="70" t="str">
        <x:v>待录入</x:v>
      </x:c>
      <x:c r="U47" s="70" t="str"/>
      <x:c r="V47" s="70" t="str"/>
      <x:c r="W47" s="70" t="str"/>
      <x:c r="X47" s="70" t="str"/>
      <x:c r="Y47" s="70" t="str"/>
      <x:c r="Z47" s="70" t="str"/>
      <x:c r="AA47" s="70" t="str"/>
    </x:row>
    <x:row r="48">
      <x:c r="A48" s="70" t="str">
        <x:v>M5C-043</x:v>
      </x:c>
      <x:c r="B48" s="70" t="str"/>
      <x:c r="C48" s="70" t="str"/>
      <x:c r="D48" s="70" t="str"/>
      <x:c r="E48" s="70" t="str">
        <x:v>开发集</x:v>
      </x:c>
      <x:c r="F48" s="70" t="str"/>
      <x:c r="G48" s="70" t="str"/>
      <x:c r="H48" s="70" t="str"/>
      <x:c r="I48" s="70" t="str">
        <x:v>否</x:v>
      </x:c>
      <x:c r="J48" s="70" t="str">
        <x:v>需核验</x:v>
      </x:c>
      <x:c r="K48" s="70" t="str">
        <x:v>待确认</x:v>
      </x:c>
      <x:c r="L48" s="70" t="str">
        <x:v>否</x:v>
      </x:c>
      <x:c r="M48" s="70" t="str"/>
      <x:c r="N48" s="70" t="str">
        <x:v>否</x:v>
      </x:c>
      <x:c r="O48" s="70" t="str">
        <x:v>否</x:v>
      </x:c>
      <x:c r="P48" s="70" t="n">
        <x:f>COUNTIF('03_关系事件'!$B$6:$B$305,A48)</x:f>
        <x:v>0</x:v>
      </x:c>
      <x:c r="Q48" s="70" t="n">
        <x:f>COUNTIFS('05_字段核验'!$B$6:$B$605,A48,'05_字段核验'!$V$6:$V$605,"是")</x:f>
        <x:v>0</x:v>
      </x:c>
      <x:c r="R48" s="70" t="str">
        <x:f>IF(AND(I48="是",L48="是",N48="是",J48&lt;&gt;"安全停止"),"是","否")</x:f>
        <x:v>否</x:v>
      </x:c>
      <x:c r="S48" s="70" t="str">
        <x:f>IF(AND(I48="是",L48="是",J48="安全停止"),"是","否")</x:f>
        <x:v>否</x:v>
      </x:c>
      <x:c r="T48" s="70" t="str">
        <x:v>待录入</x:v>
      </x:c>
      <x:c r="U48" s="70" t="str"/>
      <x:c r="V48" s="70" t="str"/>
      <x:c r="W48" s="70" t="str"/>
      <x:c r="X48" s="70" t="str"/>
      <x:c r="Y48" s="70" t="str"/>
      <x:c r="Z48" s="70" t="str"/>
      <x:c r="AA48" s="70" t="str"/>
    </x:row>
    <x:row r="49">
      <x:c r="A49" s="70" t="str">
        <x:v>M5C-044</x:v>
      </x:c>
      <x:c r="B49" s="70" t="str"/>
      <x:c r="C49" s="70" t="str"/>
      <x:c r="D49" s="70" t="str"/>
      <x:c r="E49" s="70" t="str">
        <x:v>开发集</x:v>
      </x:c>
      <x:c r="F49" s="70" t="str"/>
      <x:c r="G49" s="70" t="str"/>
      <x:c r="H49" s="70" t="str"/>
      <x:c r="I49" s="70" t="str">
        <x:v>否</x:v>
      </x:c>
      <x:c r="J49" s="70" t="str">
        <x:v>需核验</x:v>
      </x:c>
      <x:c r="K49" s="70" t="str">
        <x:v>待确认</x:v>
      </x:c>
      <x:c r="L49" s="70" t="str">
        <x:v>否</x:v>
      </x:c>
      <x:c r="M49" s="70" t="str"/>
      <x:c r="N49" s="70" t="str">
        <x:v>否</x:v>
      </x:c>
      <x:c r="O49" s="70" t="str">
        <x:v>否</x:v>
      </x:c>
      <x:c r="P49" s="70" t="n">
        <x:f>COUNTIF('03_关系事件'!$B$6:$B$305,A49)</x:f>
        <x:v>0</x:v>
      </x:c>
      <x:c r="Q49" s="70" t="n">
        <x:f>COUNTIFS('05_字段核验'!$B$6:$B$605,A49,'05_字段核验'!$V$6:$V$605,"是")</x:f>
        <x:v>0</x:v>
      </x:c>
      <x:c r="R49" s="70" t="str">
        <x:f>IF(AND(I49="是",L49="是",N49="是",J49&lt;&gt;"安全停止"),"是","否")</x:f>
        <x:v>否</x:v>
      </x:c>
      <x:c r="S49" s="70" t="str">
        <x:f>IF(AND(I49="是",L49="是",J49="安全停止"),"是","否")</x:f>
        <x:v>否</x:v>
      </x:c>
      <x:c r="T49" s="70" t="str">
        <x:v>待录入</x:v>
      </x:c>
      <x:c r="U49" s="70" t="str"/>
      <x:c r="V49" s="70" t="str"/>
      <x:c r="W49" s="70" t="str"/>
      <x:c r="X49" s="70" t="str"/>
      <x:c r="Y49" s="70" t="str"/>
      <x:c r="Z49" s="70" t="str"/>
      <x:c r="AA49" s="70" t="str"/>
    </x:row>
    <x:row r="50">
      <x:c r="A50" s="70" t="str">
        <x:v>M5C-045</x:v>
      </x:c>
      <x:c r="B50" s="70" t="str"/>
      <x:c r="C50" s="70" t="str"/>
      <x:c r="D50" s="70" t="str"/>
      <x:c r="E50" s="70" t="str">
        <x:v>开发集</x:v>
      </x:c>
      <x:c r="F50" s="70" t="str"/>
      <x:c r="G50" s="70" t="str"/>
      <x:c r="H50" s="70" t="str"/>
      <x:c r="I50" s="70" t="str">
        <x:v>否</x:v>
      </x:c>
      <x:c r="J50" s="70" t="str">
        <x:v>需核验</x:v>
      </x:c>
      <x:c r="K50" s="70" t="str">
        <x:v>待确认</x:v>
      </x:c>
      <x:c r="L50" s="70" t="str">
        <x:v>否</x:v>
      </x:c>
      <x:c r="M50" s="70" t="str"/>
      <x:c r="N50" s="70" t="str">
        <x:v>否</x:v>
      </x:c>
      <x:c r="O50" s="70" t="str">
        <x:v>否</x:v>
      </x:c>
      <x:c r="P50" s="70" t="n">
        <x:f>COUNTIF('03_关系事件'!$B$6:$B$305,A50)</x:f>
        <x:v>0</x:v>
      </x:c>
      <x:c r="Q50" s="70" t="n">
        <x:f>COUNTIFS('05_字段核验'!$B$6:$B$605,A50,'05_字段核验'!$V$6:$V$605,"是")</x:f>
        <x:v>0</x:v>
      </x:c>
      <x:c r="R50" s="70" t="str">
        <x:f>IF(AND(I50="是",L50="是",N50="是",J50&lt;&gt;"安全停止"),"是","否")</x:f>
        <x:v>否</x:v>
      </x:c>
      <x:c r="S50" s="70" t="str">
        <x:f>IF(AND(I50="是",L50="是",J50="安全停止"),"是","否")</x:f>
        <x:v>否</x:v>
      </x:c>
      <x:c r="T50" s="70" t="str">
        <x:v>待录入</x:v>
      </x:c>
      <x:c r="U50" s="70" t="str"/>
      <x:c r="V50" s="70" t="str"/>
      <x:c r="W50" s="70" t="str"/>
      <x:c r="X50" s="70" t="str"/>
      <x:c r="Y50" s="70" t="str"/>
      <x:c r="Z50" s="70" t="str"/>
      <x:c r="AA50" s="70" t="str"/>
    </x:row>
    <x:row r="51">
      <x:c r="A51" s="70" t="str">
        <x:v>M5C-046</x:v>
      </x:c>
      <x:c r="B51" s="70" t="str"/>
      <x:c r="C51" s="70" t="str"/>
      <x:c r="D51" s="70" t="str"/>
      <x:c r="E51" s="70" t="str">
        <x:v>开发集</x:v>
      </x:c>
      <x:c r="F51" s="70" t="str"/>
      <x:c r="G51" s="70" t="str"/>
      <x:c r="H51" s="70" t="str"/>
      <x:c r="I51" s="70" t="str">
        <x:v>否</x:v>
      </x:c>
      <x:c r="J51" s="70" t="str">
        <x:v>需核验</x:v>
      </x:c>
      <x:c r="K51" s="70" t="str">
        <x:v>待确认</x:v>
      </x:c>
      <x:c r="L51" s="70" t="str">
        <x:v>否</x:v>
      </x:c>
      <x:c r="M51" s="70" t="str"/>
      <x:c r="N51" s="70" t="str">
        <x:v>否</x:v>
      </x:c>
      <x:c r="O51" s="70" t="str">
        <x:v>否</x:v>
      </x:c>
      <x:c r="P51" s="70" t="n">
        <x:f>COUNTIF('03_关系事件'!$B$6:$B$305,A51)</x:f>
        <x:v>0</x:v>
      </x:c>
      <x:c r="Q51" s="70" t="n">
        <x:f>COUNTIFS('05_字段核验'!$B$6:$B$605,A51,'05_字段核验'!$V$6:$V$605,"是")</x:f>
        <x:v>0</x:v>
      </x:c>
      <x:c r="R51" s="70" t="str">
        <x:f>IF(AND(I51="是",L51="是",N51="是",J51&lt;&gt;"安全停止"),"是","否")</x:f>
        <x:v>否</x:v>
      </x:c>
      <x:c r="S51" s="70" t="str">
        <x:f>IF(AND(I51="是",L51="是",J51="安全停止"),"是","否")</x:f>
        <x:v>否</x:v>
      </x:c>
      <x:c r="T51" s="70" t="str">
        <x:v>待录入</x:v>
      </x:c>
      <x:c r="U51" s="70" t="str"/>
      <x:c r="V51" s="70" t="str"/>
      <x:c r="W51" s="70" t="str"/>
      <x:c r="X51" s="70" t="str"/>
      <x:c r="Y51" s="70" t="str"/>
      <x:c r="Z51" s="70" t="str"/>
      <x:c r="AA51" s="70" t="str"/>
    </x:row>
    <x:row r="52">
      <x:c r="A52" s="70" t="str">
        <x:v>M5C-047</x:v>
      </x:c>
      <x:c r="B52" s="70" t="str"/>
      <x:c r="C52" s="70" t="str"/>
      <x:c r="D52" s="70" t="str"/>
      <x:c r="E52" s="70" t="str">
        <x:v>开发集</x:v>
      </x:c>
      <x:c r="F52" s="70" t="str"/>
      <x:c r="G52" s="70" t="str"/>
      <x:c r="H52" s="70" t="str"/>
      <x:c r="I52" s="70" t="str">
        <x:v>否</x:v>
      </x:c>
      <x:c r="J52" s="70" t="str">
        <x:v>需核验</x:v>
      </x:c>
      <x:c r="K52" s="70" t="str">
        <x:v>待确认</x:v>
      </x:c>
      <x:c r="L52" s="70" t="str">
        <x:v>否</x:v>
      </x:c>
      <x:c r="M52" s="70" t="str"/>
      <x:c r="N52" s="70" t="str">
        <x:v>否</x:v>
      </x:c>
      <x:c r="O52" s="70" t="str">
        <x:v>否</x:v>
      </x:c>
      <x:c r="P52" s="70" t="n">
        <x:f>COUNTIF('03_关系事件'!$B$6:$B$305,A52)</x:f>
        <x:v>0</x:v>
      </x:c>
      <x:c r="Q52" s="70" t="n">
        <x:f>COUNTIFS('05_字段核验'!$B$6:$B$605,A52,'05_字段核验'!$V$6:$V$605,"是")</x:f>
        <x:v>0</x:v>
      </x:c>
      <x:c r="R52" s="70" t="str">
        <x:f>IF(AND(I52="是",L52="是",N52="是",J52&lt;&gt;"安全停止"),"是","否")</x:f>
        <x:v>否</x:v>
      </x:c>
      <x:c r="S52" s="70" t="str">
        <x:f>IF(AND(I52="是",L52="是",J52="安全停止"),"是","否")</x:f>
        <x:v>否</x:v>
      </x:c>
      <x:c r="T52" s="70" t="str">
        <x:v>待录入</x:v>
      </x:c>
      <x:c r="U52" s="70" t="str"/>
      <x:c r="V52" s="70" t="str"/>
      <x:c r="W52" s="70" t="str"/>
      <x:c r="X52" s="70" t="str"/>
      <x:c r="Y52" s="70" t="str"/>
      <x:c r="Z52" s="70" t="str"/>
      <x:c r="AA52" s="70" t="str"/>
    </x:row>
    <x:row r="53">
      <x:c r="A53" s="70" t="str">
        <x:v>M5C-048</x:v>
      </x:c>
      <x:c r="B53" s="70" t="str"/>
      <x:c r="C53" s="70" t="str"/>
      <x:c r="D53" s="70" t="str"/>
      <x:c r="E53" s="70" t="str">
        <x:v>留出集</x:v>
      </x:c>
      <x:c r="F53" s="70" t="str"/>
      <x:c r="G53" s="70" t="str"/>
      <x:c r="H53" s="70" t="str"/>
      <x:c r="I53" s="70" t="str">
        <x:v>否</x:v>
      </x:c>
      <x:c r="J53" s="70" t="str">
        <x:v>需核验</x:v>
      </x:c>
      <x:c r="K53" s="70" t="str">
        <x:v>待确认</x:v>
      </x:c>
      <x:c r="L53" s="70" t="str">
        <x:v>否</x:v>
      </x:c>
      <x:c r="M53" s="70" t="str"/>
      <x:c r="N53" s="70" t="str">
        <x:v>否</x:v>
      </x:c>
      <x:c r="O53" s="70" t="str">
        <x:v>否</x:v>
      </x:c>
      <x:c r="P53" s="70" t="n">
        <x:f>COUNTIF('03_关系事件'!$B$6:$B$305,A53)</x:f>
        <x:v>0</x:v>
      </x:c>
      <x:c r="Q53" s="70" t="n">
        <x:f>COUNTIFS('05_字段核验'!$B$6:$B$605,A53,'05_字段核验'!$V$6:$V$605,"是")</x:f>
        <x:v>0</x:v>
      </x:c>
      <x:c r="R53" s="70" t="str">
        <x:f>IF(AND(I53="是",L53="是",N53="是",J53&lt;&gt;"安全停止"),"是","否")</x:f>
        <x:v>否</x:v>
      </x:c>
      <x:c r="S53" s="70" t="str">
        <x:f>IF(AND(I53="是",L53="是",J53="安全停止"),"是","否")</x:f>
        <x:v>否</x:v>
      </x:c>
      <x:c r="T53" s="70" t="str">
        <x:v>待录入</x:v>
      </x:c>
      <x:c r="U53" s="70" t="str"/>
      <x:c r="V53" s="70" t="str"/>
      <x:c r="W53" s="70" t="str"/>
      <x:c r="X53" s="70" t="str"/>
      <x:c r="Y53" s="70" t="str"/>
      <x:c r="Z53" s="70" t="str"/>
      <x:c r="AA53" s="70" t="str"/>
    </x:row>
    <x:row r="54">
      <x:c r="A54" s="70" t="str">
        <x:v>M5C-049</x:v>
      </x:c>
      <x:c r="B54" s="70" t="str"/>
      <x:c r="C54" s="70" t="str"/>
      <x:c r="D54" s="70" t="str"/>
      <x:c r="E54" s="70" t="str">
        <x:v>留出集</x:v>
      </x:c>
      <x:c r="F54" s="70" t="str"/>
      <x:c r="G54" s="70" t="str"/>
      <x:c r="H54" s="70" t="str"/>
      <x:c r="I54" s="70" t="str">
        <x:v>否</x:v>
      </x:c>
      <x:c r="J54" s="70" t="str">
        <x:v>需核验</x:v>
      </x:c>
      <x:c r="K54" s="70" t="str">
        <x:v>待确认</x:v>
      </x:c>
      <x:c r="L54" s="70" t="str">
        <x:v>否</x:v>
      </x:c>
      <x:c r="M54" s="70" t="str"/>
      <x:c r="N54" s="70" t="str">
        <x:v>否</x:v>
      </x:c>
      <x:c r="O54" s="70" t="str">
        <x:v>否</x:v>
      </x:c>
      <x:c r="P54" s="70" t="n">
        <x:f>COUNTIF('03_关系事件'!$B$6:$B$305,A54)</x:f>
        <x:v>0</x:v>
      </x:c>
      <x:c r="Q54" s="70" t="n">
        <x:f>COUNTIFS('05_字段核验'!$B$6:$B$605,A54,'05_字段核验'!$V$6:$V$605,"是")</x:f>
        <x:v>0</x:v>
      </x:c>
      <x:c r="R54" s="70" t="str">
        <x:f>IF(AND(I54="是",L54="是",N54="是",J54&lt;&gt;"安全停止"),"是","否")</x:f>
        <x:v>否</x:v>
      </x:c>
      <x:c r="S54" s="70" t="str">
        <x:f>IF(AND(I54="是",L54="是",J54="安全停止"),"是","否")</x:f>
        <x:v>否</x:v>
      </x:c>
      <x:c r="T54" s="70" t="str">
        <x:v>待录入</x:v>
      </x:c>
      <x:c r="U54" s="70" t="str"/>
      <x:c r="V54" s="70" t="str"/>
      <x:c r="W54" s="70" t="str"/>
      <x:c r="X54" s="70" t="str"/>
      <x:c r="Y54" s="70" t="str"/>
      <x:c r="Z54" s="70" t="str"/>
      <x:c r="AA54" s="70" t="str"/>
    </x:row>
    <x:row r="55">
      <x:c r="A55" s="70" t="str">
        <x:v>M5C-050</x:v>
      </x:c>
      <x:c r="B55" s="70" t="str"/>
      <x:c r="C55" s="70" t="str"/>
      <x:c r="D55" s="70" t="str"/>
      <x:c r="E55" s="70" t="str">
        <x:v>留出集</x:v>
      </x:c>
      <x:c r="F55" s="70" t="str"/>
      <x:c r="G55" s="70" t="str"/>
      <x:c r="H55" s="70" t="str"/>
      <x:c r="I55" s="70" t="str">
        <x:v>否</x:v>
      </x:c>
      <x:c r="J55" s="70" t="str">
        <x:v>需核验</x:v>
      </x:c>
      <x:c r="K55" s="70" t="str">
        <x:v>待确认</x:v>
      </x:c>
      <x:c r="L55" s="70" t="str">
        <x:v>否</x:v>
      </x:c>
      <x:c r="M55" s="70" t="str"/>
      <x:c r="N55" s="70" t="str">
        <x:v>否</x:v>
      </x:c>
      <x:c r="O55" s="70" t="str">
        <x:v>否</x:v>
      </x:c>
      <x:c r="P55" s="70" t="n">
        <x:f>COUNTIF('03_关系事件'!$B$6:$B$305,A55)</x:f>
        <x:v>0</x:v>
      </x:c>
      <x:c r="Q55" s="70" t="n">
        <x:f>COUNTIFS('05_字段核验'!$B$6:$B$605,A55,'05_字段核验'!$V$6:$V$605,"是")</x:f>
        <x:v>0</x:v>
      </x:c>
      <x:c r="R55" s="70" t="str">
        <x:f>IF(AND(I55="是",L55="是",N55="是",J55&lt;&gt;"安全停止"),"是","否")</x:f>
        <x:v>否</x:v>
      </x:c>
      <x:c r="S55" s="70" t="str">
        <x:f>IF(AND(I55="是",L55="是",J55="安全停止"),"是","否")</x:f>
        <x:v>否</x:v>
      </x:c>
      <x:c r="T55" s="70" t="str">
        <x:v>待录入</x:v>
      </x:c>
      <x:c r="U55" s="70" t="str"/>
      <x:c r="V55" s="70" t="str"/>
      <x:c r="W55" s="70" t="str"/>
      <x:c r="X55" s="70" t="str"/>
      <x:c r="Y55" s="70" t="str"/>
      <x:c r="Z55" s="70" t="str"/>
      <x:c r="AA55" s="70" t="str"/>
    </x:row>
    <x:row r="56">
      <x:c r="A56" s="70" t="str">
        <x:v>M5C-051</x:v>
      </x:c>
      <x:c r="B56" s="70" t="str"/>
      <x:c r="C56" s="70" t="str"/>
      <x:c r="D56" s="70" t="str"/>
      <x:c r="E56" s="70" t="str">
        <x:v>开发集</x:v>
      </x:c>
      <x:c r="F56" s="70" t="str"/>
      <x:c r="G56" s="70" t="str"/>
      <x:c r="H56" s="70" t="str"/>
      <x:c r="I56" s="70" t="str">
        <x:v>否</x:v>
      </x:c>
      <x:c r="J56" s="70" t="str">
        <x:v>需核验</x:v>
      </x:c>
      <x:c r="K56" s="70" t="str">
        <x:v>待确认</x:v>
      </x:c>
      <x:c r="L56" s="70" t="str">
        <x:v>否</x:v>
      </x:c>
      <x:c r="M56" s="70" t="str"/>
      <x:c r="N56" s="70" t="str">
        <x:v>否</x:v>
      </x:c>
      <x:c r="O56" s="70" t="str">
        <x:v>否</x:v>
      </x:c>
      <x:c r="P56" s="70" t="n">
        <x:f>COUNTIF('03_关系事件'!$B$6:$B$305,A56)</x:f>
        <x:v>0</x:v>
      </x:c>
      <x:c r="Q56" s="70" t="n">
        <x:f>COUNTIFS('05_字段核验'!$B$6:$B$605,A56,'05_字段核验'!$V$6:$V$605,"是")</x:f>
        <x:v>0</x:v>
      </x:c>
      <x:c r="R56" s="70" t="str">
        <x:f>IF(AND(I56="是",L56="是",N56="是",J56&lt;&gt;"安全停止"),"是","否")</x:f>
        <x:v>否</x:v>
      </x:c>
      <x:c r="S56" s="70" t="str">
        <x:f>IF(AND(I56="是",L56="是",J56="安全停止"),"是","否")</x:f>
        <x:v>否</x:v>
      </x:c>
      <x:c r="T56" s="70" t="str">
        <x:v>待录入</x:v>
      </x:c>
      <x:c r="U56" s="70" t="str"/>
      <x:c r="V56" s="70" t="str"/>
      <x:c r="W56" s="70" t="str"/>
      <x:c r="X56" s="70" t="str"/>
      <x:c r="Y56" s="70" t="str"/>
      <x:c r="Z56" s="70" t="str"/>
      <x:c r="AA56" s="70" t="str"/>
    </x:row>
    <x:row r="57">
      <x:c r="A57" s="70" t="str">
        <x:v>M5C-052</x:v>
      </x:c>
      <x:c r="B57" s="70" t="str"/>
      <x:c r="C57" s="70" t="str"/>
      <x:c r="D57" s="70" t="str"/>
      <x:c r="E57" s="70" t="str">
        <x:v>开发集</x:v>
      </x:c>
      <x:c r="F57" s="70" t="str"/>
      <x:c r="G57" s="70" t="str"/>
      <x:c r="H57" s="70" t="str"/>
      <x:c r="I57" s="70" t="str">
        <x:v>否</x:v>
      </x:c>
      <x:c r="J57" s="70" t="str">
        <x:v>需核验</x:v>
      </x:c>
      <x:c r="K57" s="70" t="str">
        <x:v>待确认</x:v>
      </x:c>
      <x:c r="L57" s="70" t="str">
        <x:v>否</x:v>
      </x:c>
      <x:c r="M57" s="70" t="str"/>
      <x:c r="N57" s="70" t="str">
        <x:v>否</x:v>
      </x:c>
      <x:c r="O57" s="70" t="str">
        <x:v>否</x:v>
      </x:c>
      <x:c r="P57" s="70" t="n">
        <x:f>COUNTIF('03_关系事件'!$B$6:$B$305,A57)</x:f>
        <x:v>0</x:v>
      </x:c>
      <x:c r="Q57" s="70" t="n">
        <x:f>COUNTIFS('05_字段核验'!$B$6:$B$605,A57,'05_字段核验'!$V$6:$V$605,"是")</x:f>
        <x:v>0</x:v>
      </x:c>
      <x:c r="R57" s="70" t="str">
        <x:f>IF(AND(I57="是",L57="是",N57="是",J57&lt;&gt;"安全停止"),"是","否")</x:f>
        <x:v>否</x:v>
      </x:c>
      <x:c r="S57" s="70" t="str">
        <x:f>IF(AND(I57="是",L57="是",J57="安全停止"),"是","否")</x:f>
        <x:v>否</x:v>
      </x:c>
      <x:c r="T57" s="70" t="str">
        <x:v>待录入</x:v>
      </x:c>
      <x:c r="U57" s="70" t="str"/>
      <x:c r="V57" s="70" t="str"/>
      <x:c r="W57" s="70" t="str"/>
      <x:c r="X57" s="70" t="str"/>
      <x:c r="Y57" s="70" t="str"/>
      <x:c r="Z57" s="70" t="str"/>
      <x:c r="AA57" s="70" t="str"/>
    </x:row>
    <x:row r="58">
      <x:c r="A58" s="70" t="str">
        <x:v>M5C-053</x:v>
      </x:c>
      <x:c r="B58" s="70" t="str"/>
      <x:c r="C58" s="70" t="str"/>
      <x:c r="D58" s="70" t="str"/>
      <x:c r="E58" s="70" t="str">
        <x:v>开发集</x:v>
      </x:c>
      <x:c r="F58" s="70" t="str"/>
      <x:c r="G58" s="70" t="str"/>
      <x:c r="H58" s="70" t="str"/>
      <x:c r="I58" s="70" t="str">
        <x:v>否</x:v>
      </x:c>
      <x:c r="J58" s="70" t="str">
        <x:v>需核验</x:v>
      </x:c>
      <x:c r="K58" s="70" t="str">
        <x:v>待确认</x:v>
      </x:c>
      <x:c r="L58" s="70" t="str">
        <x:v>否</x:v>
      </x:c>
      <x:c r="M58" s="70" t="str"/>
      <x:c r="N58" s="70" t="str">
        <x:v>否</x:v>
      </x:c>
      <x:c r="O58" s="70" t="str">
        <x:v>否</x:v>
      </x:c>
      <x:c r="P58" s="70" t="n">
        <x:f>COUNTIF('03_关系事件'!$B$6:$B$305,A58)</x:f>
        <x:v>0</x:v>
      </x:c>
      <x:c r="Q58" s="70" t="n">
        <x:f>COUNTIFS('05_字段核验'!$B$6:$B$605,A58,'05_字段核验'!$V$6:$V$605,"是")</x:f>
        <x:v>0</x:v>
      </x:c>
      <x:c r="R58" s="70" t="str">
        <x:f>IF(AND(I58="是",L58="是",N58="是",J58&lt;&gt;"安全停止"),"是","否")</x:f>
        <x:v>否</x:v>
      </x:c>
      <x:c r="S58" s="70" t="str">
        <x:f>IF(AND(I58="是",L58="是",J58="安全停止"),"是","否")</x:f>
        <x:v>否</x:v>
      </x:c>
      <x:c r="T58" s="70" t="str">
        <x:v>待录入</x:v>
      </x:c>
      <x:c r="U58" s="70" t="str"/>
      <x:c r="V58" s="70" t="str"/>
      <x:c r="W58" s="70" t="str"/>
      <x:c r="X58" s="70" t="str"/>
      <x:c r="Y58" s="70" t="str"/>
      <x:c r="Z58" s="70" t="str"/>
      <x:c r="AA58" s="70" t="str"/>
    </x:row>
    <x:row r="59">
      <x:c r="A59" s="70" t="str">
        <x:v>M5C-054</x:v>
      </x:c>
      <x:c r="B59" s="70" t="str"/>
      <x:c r="C59" s="70" t="str"/>
      <x:c r="D59" s="70" t="str"/>
      <x:c r="E59" s="70" t="str">
        <x:v>开发集</x:v>
      </x:c>
      <x:c r="F59" s="70" t="str"/>
      <x:c r="G59" s="70" t="str"/>
      <x:c r="H59" s="70" t="str"/>
      <x:c r="I59" s="70" t="str">
        <x:v>否</x:v>
      </x:c>
      <x:c r="J59" s="70" t="str">
        <x:v>需核验</x:v>
      </x:c>
      <x:c r="K59" s="70" t="str">
        <x:v>待确认</x:v>
      </x:c>
      <x:c r="L59" s="70" t="str">
        <x:v>否</x:v>
      </x:c>
      <x:c r="M59" s="70" t="str"/>
      <x:c r="N59" s="70" t="str">
        <x:v>否</x:v>
      </x:c>
      <x:c r="O59" s="70" t="str">
        <x:v>否</x:v>
      </x:c>
      <x:c r="P59" s="70" t="n">
        <x:f>COUNTIF('03_关系事件'!$B$6:$B$305,A59)</x:f>
        <x:v>0</x:v>
      </x:c>
      <x:c r="Q59" s="70" t="n">
        <x:f>COUNTIFS('05_字段核验'!$B$6:$B$605,A59,'05_字段核验'!$V$6:$V$605,"是")</x:f>
        <x:v>0</x:v>
      </x:c>
      <x:c r="R59" s="70" t="str">
        <x:f>IF(AND(I59="是",L59="是",N59="是",J59&lt;&gt;"安全停止"),"是","否")</x:f>
        <x:v>否</x:v>
      </x:c>
      <x:c r="S59" s="70" t="str">
        <x:f>IF(AND(I59="是",L59="是",J59="安全停止"),"是","否")</x:f>
        <x:v>否</x:v>
      </x:c>
      <x:c r="T59" s="70" t="str">
        <x:v>待录入</x:v>
      </x:c>
      <x:c r="U59" s="70" t="str"/>
      <x:c r="V59" s="70" t="str"/>
      <x:c r="W59" s="70" t="str"/>
      <x:c r="X59" s="70" t="str"/>
      <x:c r="Y59" s="70" t="str"/>
      <x:c r="Z59" s="70" t="str"/>
      <x:c r="AA59" s="70" t="str"/>
    </x:row>
    <x:row r="60">
      <x:c r="A60" s="70" t="str">
        <x:v>M5C-055</x:v>
      </x:c>
      <x:c r="B60" s="70" t="str"/>
      <x:c r="C60" s="70" t="str"/>
      <x:c r="D60" s="70" t="str"/>
      <x:c r="E60" s="70" t="str">
        <x:v>开发集</x:v>
      </x:c>
      <x:c r="F60" s="70" t="str"/>
      <x:c r="G60" s="70" t="str"/>
      <x:c r="H60" s="70" t="str"/>
      <x:c r="I60" s="70" t="str">
        <x:v>否</x:v>
      </x:c>
      <x:c r="J60" s="70" t="str">
        <x:v>需核验</x:v>
      </x:c>
      <x:c r="K60" s="70" t="str">
        <x:v>待确认</x:v>
      </x:c>
      <x:c r="L60" s="70" t="str">
        <x:v>否</x:v>
      </x:c>
      <x:c r="M60" s="70" t="str"/>
      <x:c r="N60" s="70" t="str">
        <x:v>否</x:v>
      </x:c>
      <x:c r="O60" s="70" t="str">
        <x:v>否</x:v>
      </x:c>
      <x:c r="P60" s="70" t="n">
        <x:f>COUNTIF('03_关系事件'!$B$6:$B$305,A60)</x:f>
        <x:v>0</x:v>
      </x:c>
      <x:c r="Q60" s="70" t="n">
        <x:f>COUNTIFS('05_字段核验'!$B$6:$B$605,A60,'05_字段核验'!$V$6:$V$605,"是")</x:f>
        <x:v>0</x:v>
      </x:c>
      <x:c r="R60" s="70" t="str">
        <x:f>IF(AND(I60="是",L60="是",N60="是",J60&lt;&gt;"安全停止"),"是","否")</x:f>
        <x:v>否</x:v>
      </x:c>
      <x:c r="S60" s="70" t="str">
        <x:f>IF(AND(I60="是",L60="是",J60="安全停止"),"是","否")</x:f>
        <x:v>否</x:v>
      </x:c>
      <x:c r="T60" s="70" t="str">
        <x:v>待录入</x:v>
      </x:c>
      <x:c r="U60" s="70" t="str"/>
      <x:c r="V60" s="70" t="str"/>
      <x:c r="W60" s="70" t="str"/>
      <x:c r="X60" s="70" t="str"/>
      <x:c r="Y60" s="70" t="str"/>
      <x:c r="Z60" s="70" t="str"/>
      <x:c r="AA60" s="70" t="str"/>
    </x:row>
    <x:row r="61">
      <x:c r="A61" s="70" t="str">
        <x:v>M5C-056</x:v>
      </x:c>
      <x:c r="B61" s="70" t="str"/>
      <x:c r="C61" s="70" t="str"/>
      <x:c r="D61" s="70" t="str"/>
      <x:c r="E61" s="70" t="str">
        <x:v>开发集</x:v>
      </x:c>
      <x:c r="F61" s="70" t="str"/>
      <x:c r="G61" s="70" t="str"/>
      <x:c r="H61" s="70" t="str"/>
      <x:c r="I61" s="70" t="str">
        <x:v>否</x:v>
      </x:c>
      <x:c r="J61" s="70" t="str">
        <x:v>需核验</x:v>
      </x:c>
      <x:c r="K61" s="70" t="str">
        <x:v>待确认</x:v>
      </x:c>
      <x:c r="L61" s="70" t="str">
        <x:v>否</x:v>
      </x:c>
      <x:c r="M61" s="70" t="str"/>
      <x:c r="N61" s="70" t="str">
        <x:v>否</x:v>
      </x:c>
      <x:c r="O61" s="70" t="str">
        <x:v>否</x:v>
      </x:c>
      <x:c r="P61" s="70" t="n">
        <x:f>COUNTIF('03_关系事件'!$B$6:$B$305,A61)</x:f>
        <x:v>0</x:v>
      </x:c>
      <x:c r="Q61" s="70" t="n">
        <x:f>COUNTIFS('05_字段核验'!$B$6:$B$605,A61,'05_字段核验'!$V$6:$V$605,"是")</x:f>
        <x:v>0</x:v>
      </x:c>
      <x:c r="R61" s="70" t="str">
        <x:f>IF(AND(I61="是",L61="是",N61="是",J61&lt;&gt;"安全停止"),"是","否")</x:f>
        <x:v>否</x:v>
      </x:c>
      <x:c r="S61" s="70" t="str">
        <x:f>IF(AND(I61="是",L61="是",J61="安全停止"),"是","否")</x:f>
        <x:v>否</x:v>
      </x:c>
      <x:c r="T61" s="70" t="str">
        <x:v>待录入</x:v>
      </x:c>
      <x:c r="U61" s="70" t="str"/>
      <x:c r="V61" s="70" t="str"/>
      <x:c r="W61" s="70" t="str"/>
      <x:c r="X61" s="70" t="str"/>
      <x:c r="Y61" s="70" t="str"/>
      <x:c r="Z61" s="70" t="str"/>
      <x:c r="AA61" s="70" t="str"/>
    </x:row>
    <x:row r="62">
      <x:c r="A62" s="70" t="str">
        <x:v>M5C-057</x:v>
      </x:c>
      <x:c r="B62" s="70" t="str"/>
      <x:c r="C62" s="70" t="str"/>
      <x:c r="D62" s="70" t="str"/>
      <x:c r="E62" s="70" t="str">
        <x:v>开发集</x:v>
      </x:c>
      <x:c r="F62" s="70" t="str"/>
      <x:c r="G62" s="70" t="str"/>
      <x:c r="H62" s="70" t="str"/>
      <x:c r="I62" s="70" t="str">
        <x:v>否</x:v>
      </x:c>
      <x:c r="J62" s="70" t="str">
        <x:v>需核验</x:v>
      </x:c>
      <x:c r="K62" s="70" t="str">
        <x:v>待确认</x:v>
      </x:c>
      <x:c r="L62" s="70" t="str">
        <x:v>否</x:v>
      </x:c>
      <x:c r="M62" s="70" t="str"/>
      <x:c r="N62" s="70" t="str">
        <x:v>否</x:v>
      </x:c>
      <x:c r="O62" s="70" t="str">
        <x:v>否</x:v>
      </x:c>
      <x:c r="P62" s="70" t="n">
        <x:f>COUNTIF('03_关系事件'!$B$6:$B$305,A62)</x:f>
        <x:v>0</x:v>
      </x:c>
      <x:c r="Q62" s="70" t="n">
        <x:f>COUNTIFS('05_字段核验'!$B$6:$B$605,A62,'05_字段核验'!$V$6:$V$605,"是")</x:f>
        <x:v>0</x:v>
      </x:c>
      <x:c r="R62" s="70" t="str">
        <x:f>IF(AND(I62="是",L62="是",N62="是",J62&lt;&gt;"安全停止"),"是","否")</x:f>
        <x:v>否</x:v>
      </x:c>
      <x:c r="S62" s="70" t="str">
        <x:f>IF(AND(I62="是",L62="是",J62="安全停止"),"是","否")</x:f>
        <x:v>否</x:v>
      </x:c>
      <x:c r="T62" s="70" t="str">
        <x:v>待录入</x:v>
      </x:c>
      <x:c r="U62" s="70" t="str"/>
      <x:c r="V62" s="70" t="str"/>
      <x:c r="W62" s="70" t="str"/>
      <x:c r="X62" s="70" t="str"/>
      <x:c r="Y62" s="70" t="str"/>
      <x:c r="Z62" s="70" t="str"/>
      <x:c r="AA62" s="70" t="str"/>
    </x:row>
    <x:row r="63">
      <x:c r="A63" s="70" t="str">
        <x:v>M5C-058</x:v>
      </x:c>
      <x:c r="B63" s="70" t="str"/>
      <x:c r="C63" s="70" t="str"/>
      <x:c r="D63" s="70" t="str"/>
      <x:c r="E63" s="70" t="str">
        <x:v>留出集</x:v>
      </x:c>
      <x:c r="F63" s="70" t="str"/>
      <x:c r="G63" s="70" t="str"/>
      <x:c r="H63" s="70" t="str"/>
      <x:c r="I63" s="70" t="str">
        <x:v>否</x:v>
      </x:c>
      <x:c r="J63" s="70" t="str">
        <x:v>需核验</x:v>
      </x:c>
      <x:c r="K63" s="70" t="str">
        <x:v>待确认</x:v>
      </x:c>
      <x:c r="L63" s="70" t="str">
        <x:v>否</x:v>
      </x:c>
      <x:c r="M63" s="70" t="str"/>
      <x:c r="N63" s="70" t="str">
        <x:v>否</x:v>
      </x:c>
      <x:c r="O63" s="70" t="str">
        <x:v>否</x:v>
      </x:c>
      <x:c r="P63" s="70" t="n">
        <x:f>COUNTIF('03_关系事件'!$B$6:$B$305,A63)</x:f>
        <x:v>0</x:v>
      </x:c>
      <x:c r="Q63" s="70" t="n">
        <x:f>COUNTIFS('05_字段核验'!$B$6:$B$605,A63,'05_字段核验'!$V$6:$V$605,"是")</x:f>
        <x:v>0</x:v>
      </x:c>
      <x:c r="R63" s="70" t="str">
        <x:f>IF(AND(I63="是",L63="是",N63="是",J63&lt;&gt;"安全停止"),"是","否")</x:f>
        <x:v>否</x:v>
      </x:c>
      <x:c r="S63" s="70" t="str">
        <x:f>IF(AND(I63="是",L63="是",J63="安全停止"),"是","否")</x:f>
        <x:v>否</x:v>
      </x:c>
      <x:c r="T63" s="70" t="str">
        <x:v>待录入</x:v>
      </x:c>
      <x:c r="U63" s="70" t="str"/>
      <x:c r="V63" s="70" t="str"/>
      <x:c r="W63" s="70" t="str"/>
      <x:c r="X63" s="70" t="str"/>
      <x:c r="Y63" s="70" t="str"/>
      <x:c r="Z63" s="70" t="str"/>
      <x:c r="AA63" s="70" t="str"/>
    </x:row>
    <x:row r="64">
      <x:c r="A64" s="70" t="str">
        <x:v>M5C-059</x:v>
      </x:c>
      <x:c r="B64" s="70" t="str"/>
      <x:c r="C64" s="70" t="str"/>
      <x:c r="D64" s="70" t="str"/>
      <x:c r="E64" s="70" t="str">
        <x:v>留出集</x:v>
      </x:c>
      <x:c r="F64" s="70" t="str"/>
      <x:c r="G64" s="70" t="str"/>
      <x:c r="H64" s="70" t="str"/>
      <x:c r="I64" s="70" t="str">
        <x:v>否</x:v>
      </x:c>
      <x:c r="J64" s="70" t="str">
        <x:v>需核验</x:v>
      </x:c>
      <x:c r="K64" s="70" t="str">
        <x:v>待确认</x:v>
      </x:c>
      <x:c r="L64" s="70" t="str">
        <x:v>否</x:v>
      </x:c>
      <x:c r="M64" s="70" t="str"/>
      <x:c r="N64" s="70" t="str">
        <x:v>否</x:v>
      </x:c>
      <x:c r="O64" s="70" t="str">
        <x:v>否</x:v>
      </x:c>
      <x:c r="P64" s="70" t="n">
        <x:f>COUNTIF('03_关系事件'!$B$6:$B$305,A64)</x:f>
        <x:v>0</x:v>
      </x:c>
      <x:c r="Q64" s="70" t="n">
        <x:f>COUNTIFS('05_字段核验'!$B$6:$B$605,A64,'05_字段核验'!$V$6:$V$605,"是")</x:f>
        <x:v>0</x:v>
      </x:c>
      <x:c r="R64" s="70" t="str">
        <x:f>IF(AND(I64="是",L64="是",N64="是",J64&lt;&gt;"安全停止"),"是","否")</x:f>
        <x:v>否</x:v>
      </x:c>
      <x:c r="S64" s="70" t="str">
        <x:f>IF(AND(I64="是",L64="是",J64="安全停止"),"是","否")</x:f>
        <x:v>否</x:v>
      </x:c>
      <x:c r="T64" s="70" t="str">
        <x:v>待录入</x:v>
      </x:c>
      <x:c r="U64" s="70" t="str"/>
      <x:c r="V64" s="70" t="str"/>
      <x:c r="W64" s="70" t="str"/>
      <x:c r="X64" s="70" t="str"/>
      <x:c r="Y64" s="70" t="str"/>
      <x:c r="Z64" s="70" t="str"/>
      <x:c r="AA64" s="70" t="str"/>
    </x:row>
    <x:row r="65">
      <x:c r="A65" s="71" t="str">
        <x:v>M5C-060</x:v>
      </x:c>
      <x:c r="B65" s="71" t="str"/>
      <x:c r="C65" s="71" t="str"/>
      <x:c r="D65" s="71" t="str"/>
      <x:c r="E65" s="71" t="str">
        <x:v>留出集</x:v>
      </x:c>
      <x:c r="F65" s="71" t="str"/>
      <x:c r="G65" s="71" t="str"/>
      <x:c r="H65" s="71" t="str"/>
      <x:c r="I65" s="71" t="str">
        <x:v>否</x:v>
      </x:c>
      <x:c r="J65" s="71" t="str">
        <x:v>需核验</x:v>
      </x:c>
      <x:c r="K65" s="71" t="str">
        <x:v>待确认</x:v>
      </x:c>
      <x:c r="L65" s="71" t="str">
        <x:v>否</x:v>
      </x:c>
      <x:c r="M65" s="71" t="str"/>
      <x:c r="N65" s="71" t="str">
        <x:v>否</x:v>
      </x:c>
      <x:c r="O65" s="71" t="str">
        <x:v>否</x:v>
      </x:c>
      <x:c r="P65" s="71" t="n">
        <x:f>COUNTIF('03_关系事件'!$B$6:$B$305,A65)</x:f>
        <x:v>0</x:v>
      </x:c>
      <x:c r="Q65" s="71" t="n">
        <x:f>COUNTIFS('05_字段核验'!$B$6:$B$605,A65,'05_字段核验'!$V$6:$V$605,"是")</x:f>
        <x:v>0</x:v>
      </x:c>
      <x:c r="R65" s="71" t="str">
        <x:f>IF(AND(I65="是",L65="是",N65="是",J65&lt;&gt;"安全停止"),"是","否")</x:f>
        <x:v>否</x:v>
      </x:c>
      <x:c r="S65" s="71" t="str">
        <x:f>IF(AND(I65="是",L65="是",J65="安全停止"),"是","否")</x:f>
        <x:v>否</x:v>
      </x:c>
      <x:c r="T65" s="71" t="str">
        <x:v>待录入</x:v>
      </x:c>
      <x:c r="U65" s="71" t="str"/>
      <x:c r="V65" s="71" t="str"/>
      <x:c r="W65" s="71" t="str"/>
      <x:c r="X65" s="71" t="str"/>
      <x:c r="Y65" s="71" t="str"/>
      <x:c r="Z65" s="71" t="str"/>
      <x:c r="AA65" s="71" t="str"/>
    </x:row>
  </x:sheetData>
  <x:mergeCells>
    <x:mergeCell ref="A1:Y2"/>
    <x:mergeCell ref="A3:Y3"/>
  </x:mergeCells>
  <x:conditionalFormatting sqref="R6:R65">
    <x:cfRule type="expression" dxfId="0" priority="1">
      <x:formula>$R6="是"</x:formula>
    </x:cfRule>
  </x:conditionalFormatting>
  <x:conditionalFormatting sqref="S6:S65">
    <x:cfRule type="expression" dxfId="1" priority="2">
      <x:formula>$S6="是"</x:formula>
    </x:cfRule>
  </x:conditionalFormatting>
  <x:dataValidations count="15">
    <x:dataValidation type="list" sqref="E6:E65">
      <x:formula1>"开发集,留出集,不纳入"</x:formula1>
    </x:dataValidation>
    <x:dataValidation type="list" sqref="F6:F65">
      <x:formula1>"初识／约会,稳定交往,异地／高负荷,同居／婚姻,修复期,关系已结束,其他"</x:formula1>
    </x:dataValidation>
    <x:dataValidation type="list" sqref="G6:G65">
      <x:formula1>"正向,混合,反例,安全停止,资料练习"</x:formula1>
    </x:dataValidation>
    <x:dataValidation type="list" sqref="H6:H65">
      <x:formula1>"单方详细事件,双方反馈,时间线／记录,客观安排,多来源,单方抽象印象"</x:formula1>
    </x:dataValidation>
    <x:dataValidation type="list" sqref="I6:I65">
      <x:formula1>"是,否"</x:formula1>
    </x:dataValidation>
    <x:dataValidation type="list" sqref="L6:L65">
      <x:formula1>"是,否"</x:formula1>
    </x:dataValidation>
    <x:dataValidation type="list" sqref="N6:N65">
      <x:formula1>"是,否"</x:formula1>
    </x:dataValidation>
    <x:dataValidation type="list" sqref="O6:O65">
      <x:formula1>"是,否"</x:formula1>
    </x:dataValidation>
    <x:dataValidation type="list" sqref="J6:J65">
      <x:formula1>"通过,需核验,安全停止"</x:formula1>
    </x:dataValidation>
    <x:dataValidation type="list" sqref="K6:K65">
      <x:formula1>"已确认,有争议,待确认"</x:formula1>
    </x:dataValidation>
    <x:dataValidation type="list" sqref="T6:T65">
      <x:formula1>"待录入,预测待冻结,反馈待收集,待标注,待复核,已评估,暂不纳入,安全停止"</x:formula1>
    </x:dataValidation>
    <x:dataValidation type="list" sqref="U6:U65">
      <x:formula1>"AF01,AF02,AF03,AF04,AF05,AF06,AF07,AF08,AF09"</x:formula1>
    </x:dataValidation>
    <x:dataValidation type="list" sqref="W6:W65">
      <x:formula1>"AF01,AF02,AF03,AF04,AF05,AF06,AF07,AF08,AF09"</x:formula1>
    </x:dataValidation>
    <x:dataValidation type="list" sqref="V6:V65">
      <x:formula1>"FG0,FG1,FG2,FG3,FG4"</x:formula1>
    </x:dataValidation>
    <x:dataValidation type="list" sqref="X6:X65">
      <x:formula1>"FG0,FG1,FG2,FG3,FG4"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25eefd557041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8" hidden="0" customWidth="1"/>
    <x:col min="5" max="5" width="24" hidden="0" customWidth="1"/>
    <x:col min="6" max="6" width="18" hidden="0" customWidth="1"/>
    <x:col min="7" max="7" width="34" hidden="0" customWidth="1"/>
    <x:col min="8" max="8" width="58" hidden="0" customWidth="1"/>
    <x:col min="9" max="9" width="46" hidden="0" customWidth="1"/>
    <x:col min="10" max="10" width="46" hidden="0" customWidth="1"/>
    <x:col min="11" max="11" width="38" hidden="0" customWidth="1"/>
    <x:col min="12" max="12" width="42" hidden="0" customWidth="1"/>
    <x:col min="13" max="13" width="16" hidden="0" customWidth="1"/>
    <x:col min="14" max="14" width="18" hidden="0" customWidth="1"/>
    <x:col min="15" max="15" width="18" hidden="0" customWidth="1"/>
    <x:col min="16" max="16" width="22" hidden="0" customWidth="1"/>
    <x:col min="17" max="17" width="18" hidden="0" customWidth="1"/>
    <x:col min="18" max="18" width="18" hidden="0" customWidth="1"/>
    <x:col min="19" max="19" width="12" hidden="0" customWidth="1"/>
    <x:col min="20" max="20" width="48" hidden="0" customWidth="1"/>
  </x:cols>
  <x:sheetData>
    <x:row r="1">
      <x:c r="A1" s="55" t="str">
        <x:v>关系事件、压力、修复与转折记录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</x:row>
    <x:row r="3">
      <x:c r="A3" s="60" t="str">
        <x:v>只记录具体事实与可观察反馈；同一事件跨模块使用时保持相同event_id。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</x:row>
    <x:row r="5">
      <x:c r="A5" s="65" t="str">
        <x:v>event_id</x:v>
      </x:c>
      <x:c r="B5" s="65" t="str">
        <x:v>case_id</x:v>
      </x:c>
      <x:c r="C5" s="65" t="str">
        <x:v>序号</x:v>
      </x:c>
      <x:c r="D5" s="65" t="str">
        <x:v>日期／阶段</x:v>
      </x:c>
      <x:c r="E5" s="65" t="str">
        <x:v>事件类型</x:v>
      </x:c>
      <x:c r="F5" s="65" t="str">
        <x:v>主要模块</x:v>
      </x:c>
      <x:c r="G5" s="65" t="str">
        <x:v>情境</x:v>
      </x:c>
      <x:c r="H5" s="65" t="str">
        <x:v>客观事实</x:v>
      </x:c>
      <x:c r="I5" s="65" t="str">
        <x:v>用户行为</x:v>
      </x:c>
      <x:c r="J5" s="65" t="str">
        <x:v>对象行为</x:v>
      </x:c>
      <x:c r="K5" s="65" t="str">
        <x:v>即时结果</x:v>
      </x:c>
      <x:c r="L5" s="65" t="str">
        <x:v>后续结果</x:v>
      </x:c>
      <x:c r="M5" s="65" t="str">
        <x:v>压力等级</x:v>
      </x:c>
      <x:c r="N5" s="65" t="str">
        <x:v>现实代价</x:v>
      </x:c>
      <x:c r="O5" s="65" t="str">
        <x:v>复发组</x:v>
      </x:c>
      <x:c r="P5" s="65" t="str">
        <x:v>反馈来源</x:v>
      </x:c>
      <x:c r="Q5" s="65" t="str">
        <x:v>证据质量</x:v>
      </x:c>
      <x:c r="R5" s="65" t="str">
        <x:v>安全标记</x:v>
      </x:c>
      <x:c r="S5" s="65" t="str">
        <x:v>纳入</x:v>
      </x:c>
      <x:c r="T5" s="65" t="str">
        <x:v>备注</x:v>
      </x:c>
    </x:row>
    <x:row r="6">
      <x:c r="A6" s="70" t="str">
        <x:v>M5E-0001</x:v>
      </x:c>
      <x:c r="B6" s="70" t="str"/>
      <x:c r="C6" s="70" t="str"/>
      <x:c r="D6" s="70" t="str"/>
      <x:c r="E6" s="70" t="str"/>
      <x:c r="F6" s="70" t="str"/>
      <x:c r="G6" s="70" t="str"/>
      <x:c r="H6" s="70" t="str"/>
      <x:c r="I6" s="70" t="str"/>
      <x:c r="J6" s="70" t="str"/>
      <x:c r="K6" s="70" t="str"/>
      <x:c r="L6" s="70" t="str"/>
      <x:c r="M6" s="70" t="str"/>
      <x:c r="N6" s="70" t="str"/>
      <x:c r="O6" s="70" t="str"/>
      <x:c r="P6" s="70" t="str"/>
      <x:c r="Q6" s="70" t="str"/>
      <x:c r="R6" s="70" t="str">
        <x:v>无</x:v>
      </x:c>
      <x:c r="S6" s="70" t="str">
        <x:v>否</x:v>
      </x:c>
      <x:c r="T6" s="70" t="str"/>
    </x:row>
    <x:row r="7">
      <x:c r="A7" s="70" t="str">
        <x:v>M5E-0002</x:v>
      </x:c>
      <x:c r="B7" s="70" t="str"/>
      <x:c r="C7" s="70" t="str"/>
      <x:c r="D7" s="70" t="str"/>
      <x:c r="E7" s="70" t="str"/>
      <x:c r="F7" s="70" t="str"/>
      <x:c r="G7" s="70" t="str"/>
      <x:c r="H7" s="70" t="str"/>
      <x:c r="I7" s="70" t="str"/>
      <x:c r="J7" s="70" t="str"/>
      <x:c r="K7" s="70" t="str"/>
      <x:c r="L7" s="70" t="str"/>
      <x:c r="M7" s="70" t="str"/>
      <x:c r="N7" s="70" t="str"/>
      <x:c r="O7" s="70" t="str"/>
      <x:c r="P7" s="70" t="str"/>
      <x:c r="Q7" s="70" t="str"/>
      <x:c r="R7" s="70" t="str">
        <x:v>无</x:v>
      </x:c>
      <x:c r="S7" s="70" t="str">
        <x:v>否</x:v>
      </x:c>
      <x:c r="T7" s="70" t="str"/>
    </x:row>
    <x:row r="8">
      <x:c r="A8" s="70" t="str">
        <x:v>M5E-0003</x:v>
      </x:c>
      <x:c r="B8" s="70" t="str"/>
      <x:c r="C8" s="70" t="str"/>
      <x:c r="D8" s="70" t="str"/>
      <x:c r="E8" s="70" t="str"/>
      <x:c r="F8" s="70" t="str"/>
      <x:c r="G8" s="70" t="str"/>
      <x:c r="H8" s="70" t="str"/>
      <x:c r="I8" s="70" t="str"/>
      <x:c r="J8" s="70" t="str"/>
      <x:c r="K8" s="70" t="str"/>
      <x:c r="L8" s="70" t="str"/>
      <x:c r="M8" s="70" t="str"/>
      <x:c r="N8" s="70" t="str"/>
      <x:c r="O8" s="70" t="str"/>
      <x:c r="P8" s="70" t="str"/>
      <x:c r="Q8" s="70" t="str"/>
      <x:c r="R8" s="70" t="str">
        <x:v>无</x:v>
      </x:c>
      <x:c r="S8" s="70" t="str">
        <x:v>否</x:v>
      </x:c>
      <x:c r="T8" s="70" t="str"/>
    </x:row>
    <x:row r="9">
      <x:c r="A9" s="70" t="str">
        <x:v>M5E-0004</x:v>
      </x:c>
      <x:c r="B9" s="70" t="str"/>
      <x:c r="C9" s="70" t="str"/>
      <x:c r="D9" s="70" t="str"/>
      <x:c r="E9" s="70" t="str"/>
      <x:c r="F9" s="70" t="str"/>
      <x:c r="G9" s="70" t="str"/>
      <x:c r="H9" s="70" t="str"/>
      <x:c r="I9" s="70" t="str"/>
      <x:c r="J9" s="70" t="str"/>
      <x:c r="K9" s="70" t="str"/>
      <x:c r="L9" s="70" t="str"/>
      <x:c r="M9" s="70" t="str"/>
      <x:c r="N9" s="70" t="str"/>
      <x:c r="O9" s="70" t="str"/>
      <x:c r="P9" s="70" t="str"/>
      <x:c r="Q9" s="70" t="str"/>
      <x:c r="R9" s="70" t="str">
        <x:v>无</x:v>
      </x:c>
      <x:c r="S9" s="70" t="str">
        <x:v>否</x:v>
      </x:c>
      <x:c r="T9" s="70" t="str"/>
    </x:row>
    <x:row r="10">
      <x:c r="A10" s="70" t="str">
        <x:v>M5E-0005</x:v>
      </x:c>
      <x:c r="B10" s="70" t="str"/>
      <x:c r="C10" s="70" t="str"/>
      <x:c r="D10" s="70" t="str"/>
      <x:c r="E10" s="70" t="str"/>
      <x:c r="F10" s="70" t="str"/>
      <x:c r="G10" s="70" t="str"/>
      <x:c r="H10" s="70" t="str"/>
      <x:c r="I10" s="70" t="str"/>
      <x:c r="J10" s="70" t="str"/>
      <x:c r="K10" s="70" t="str"/>
      <x:c r="L10" s="70" t="str"/>
      <x:c r="M10" s="70" t="str"/>
      <x:c r="N10" s="70" t="str"/>
      <x:c r="O10" s="70" t="str"/>
      <x:c r="P10" s="70" t="str"/>
      <x:c r="Q10" s="70" t="str"/>
      <x:c r="R10" s="70" t="str">
        <x:v>无</x:v>
      </x:c>
      <x:c r="S10" s="70" t="str">
        <x:v>否</x:v>
      </x:c>
      <x:c r="T10" s="70" t="str"/>
    </x:row>
    <x:row r="11">
      <x:c r="A11" s="70" t="str">
        <x:v>M5E-0006</x:v>
      </x:c>
      <x:c r="B11" s="70" t="str"/>
      <x:c r="C11" s="70" t="str"/>
      <x:c r="D11" s="70" t="str"/>
      <x:c r="E11" s="70" t="str"/>
      <x:c r="F11" s="70" t="str"/>
      <x:c r="G11" s="70" t="str"/>
      <x:c r="H11" s="70" t="str"/>
      <x:c r="I11" s="70" t="str"/>
      <x:c r="J11" s="70" t="str"/>
      <x:c r="K11" s="70" t="str"/>
      <x:c r="L11" s="70" t="str"/>
      <x:c r="M11" s="70" t="str"/>
      <x:c r="N11" s="70" t="str"/>
      <x:c r="O11" s="70" t="str"/>
      <x:c r="P11" s="70" t="str"/>
      <x:c r="Q11" s="70" t="str"/>
      <x:c r="R11" s="70" t="str">
        <x:v>无</x:v>
      </x:c>
      <x:c r="S11" s="70" t="str">
        <x:v>否</x:v>
      </x:c>
      <x:c r="T11" s="70" t="str"/>
    </x:row>
    <x:row r="12">
      <x:c r="A12" s="70" t="str">
        <x:v>M5E-0007</x:v>
      </x:c>
      <x:c r="B12" s="70" t="str"/>
      <x:c r="C12" s="70" t="str"/>
      <x:c r="D12" s="70" t="str"/>
      <x:c r="E12" s="70" t="str"/>
      <x:c r="F12" s="70" t="str"/>
      <x:c r="G12" s="70" t="str"/>
      <x:c r="H12" s="70" t="str"/>
      <x:c r="I12" s="70" t="str"/>
      <x:c r="J12" s="70" t="str"/>
      <x:c r="K12" s="70" t="str"/>
      <x:c r="L12" s="70" t="str"/>
      <x:c r="M12" s="70" t="str"/>
      <x:c r="N12" s="70" t="str"/>
      <x:c r="O12" s="70" t="str"/>
      <x:c r="P12" s="70" t="str"/>
      <x:c r="Q12" s="70" t="str"/>
      <x:c r="R12" s="70" t="str">
        <x:v>无</x:v>
      </x:c>
      <x:c r="S12" s="70" t="str">
        <x:v>否</x:v>
      </x:c>
      <x:c r="T12" s="70" t="str"/>
    </x:row>
    <x:row r="13">
      <x:c r="A13" s="70" t="str">
        <x:v>M5E-0008</x:v>
      </x:c>
      <x:c r="B13" s="70" t="str"/>
      <x:c r="C13" s="70" t="str"/>
      <x:c r="D13" s="70" t="str"/>
      <x:c r="E13" s="70" t="str"/>
      <x:c r="F13" s="70" t="str"/>
      <x:c r="G13" s="70" t="str"/>
      <x:c r="H13" s="70" t="str"/>
      <x:c r="I13" s="70" t="str"/>
      <x:c r="J13" s="70" t="str"/>
      <x:c r="K13" s="70" t="str"/>
      <x:c r="L13" s="70" t="str"/>
      <x:c r="M13" s="70" t="str"/>
      <x:c r="N13" s="70" t="str"/>
      <x:c r="O13" s="70" t="str"/>
      <x:c r="P13" s="70" t="str"/>
      <x:c r="Q13" s="70" t="str"/>
      <x:c r="R13" s="70" t="str">
        <x:v>无</x:v>
      </x:c>
      <x:c r="S13" s="70" t="str">
        <x:v>否</x:v>
      </x:c>
      <x:c r="T13" s="70" t="str"/>
    </x:row>
    <x:row r="14">
      <x:c r="A14" s="70" t="str">
        <x:v>M5E-0009</x:v>
      </x:c>
      <x:c r="B14" s="70" t="str"/>
      <x:c r="C14" s="70" t="str"/>
      <x:c r="D14" s="70" t="str"/>
      <x:c r="E14" s="70" t="str"/>
      <x:c r="F14" s="70" t="str"/>
      <x:c r="G14" s="70" t="str"/>
      <x:c r="H14" s="70" t="str"/>
      <x:c r="I14" s="70" t="str"/>
      <x:c r="J14" s="70" t="str"/>
      <x:c r="K14" s="70" t="str"/>
      <x:c r="L14" s="70" t="str"/>
      <x:c r="M14" s="70" t="str"/>
      <x:c r="N14" s="70" t="str"/>
      <x:c r="O14" s="70" t="str"/>
      <x:c r="P14" s="70" t="str"/>
      <x:c r="Q14" s="70" t="str"/>
      <x:c r="R14" s="70" t="str">
        <x:v>无</x:v>
      </x:c>
      <x:c r="S14" s="70" t="str">
        <x:v>否</x:v>
      </x:c>
      <x:c r="T14" s="70" t="str"/>
    </x:row>
    <x:row r="15">
      <x:c r="A15" s="70" t="str">
        <x:v>M5E-0010</x:v>
      </x:c>
      <x:c r="B15" s="70" t="str"/>
      <x:c r="C15" s="70" t="str"/>
      <x:c r="D15" s="70" t="str"/>
      <x:c r="E15" s="70" t="str"/>
      <x:c r="F15" s="70" t="str"/>
      <x:c r="G15" s="70" t="str"/>
      <x:c r="H15" s="70" t="str"/>
      <x:c r="I15" s="70" t="str"/>
      <x:c r="J15" s="70" t="str"/>
      <x:c r="K15" s="70" t="str"/>
      <x:c r="L15" s="70" t="str"/>
      <x:c r="M15" s="70" t="str"/>
      <x:c r="N15" s="70" t="str"/>
      <x:c r="O15" s="70" t="str"/>
      <x:c r="P15" s="70" t="str"/>
      <x:c r="Q15" s="70" t="str"/>
      <x:c r="R15" s="70" t="str">
        <x:v>无</x:v>
      </x:c>
      <x:c r="S15" s="70" t="str">
        <x:v>否</x:v>
      </x:c>
      <x:c r="T15" s="70" t="str"/>
    </x:row>
    <x:row r="16">
      <x:c r="A16" s="70" t="str">
        <x:v>M5E-0011</x:v>
      </x:c>
      <x:c r="B16" s="70" t="str"/>
      <x:c r="C16" s="70" t="str"/>
      <x:c r="D16" s="70" t="str"/>
      <x:c r="E16" s="70" t="str"/>
      <x:c r="F16" s="70" t="str"/>
      <x:c r="G16" s="70" t="str"/>
      <x:c r="H16" s="70" t="str"/>
      <x:c r="I16" s="70" t="str"/>
      <x:c r="J16" s="70" t="str"/>
      <x:c r="K16" s="70" t="str"/>
      <x:c r="L16" s="70" t="str"/>
      <x:c r="M16" s="70" t="str"/>
      <x:c r="N16" s="70" t="str"/>
      <x:c r="O16" s="70" t="str"/>
      <x:c r="P16" s="70" t="str"/>
      <x:c r="Q16" s="70" t="str"/>
      <x:c r="R16" s="70" t="str">
        <x:v>无</x:v>
      </x:c>
      <x:c r="S16" s="70" t="str">
        <x:v>否</x:v>
      </x:c>
      <x:c r="T16" s="70" t="str"/>
    </x:row>
    <x:row r="17">
      <x:c r="A17" s="70" t="str">
        <x:v>M5E-0012</x:v>
      </x:c>
      <x:c r="B17" s="70" t="str"/>
      <x:c r="C17" s="70" t="str"/>
      <x:c r="D17" s="70" t="str"/>
      <x:c r="E17" s="70" t="str"/>
      <x:c r="F17" s="70" t="str"/>
      <x:c r="G17" s="70" t="str"/>
      <x:c r="H17" s="70" t="str"/>
      <x:c r="I17" s="70" t="str"/>
      <x:c r="J17" s="70" t="str"/>
      <x:c r="K17" s="70" t="str"/>
      <x:c r="L17" s="70" t="str"/>
      <x:c r="M17" s="70" t="str"/>
      <x:c r="N17" s="70" t="str"/>
      <x:c r="O17" s="70" t="str"/>
      <x:c r="P17" s="70" t="str"/>
      <x:c r="Q17" s="70" t="str"/>
      <x:c r="R17" s="70" t="str">
        <x:v>无</x:v>
      </x:c>
      <x:c r="S17" s="70" t="str">
        <x:v>否</x:v>
      </x:c>
      <x:c r="T17" s="70" t="str"/>
    </x:row>
    <x:row r="18">
      <x:c r="A18" s="70" t="str">
        <x:v>M5E-0013</x:v>
      </x:c>
      <x:c r="B18" s="70" t="str"/>
      <x:c r="C18" s="70" t="str"/>
      <x:c r="D18" s="70" t="str"/>
      <x:c r="E18" s="70" t="str"/>
      <x:c r="F18" s="70" t="str"/>
      <x:c r="G18" s="70" t="str"/>
      <x:c r="H18" s="70" t="str"/>
      <x:c r="I18" s="70" t="str"/>
      <x:c r="J18" s="70" t="str"/>
      <x:c r="K18" s="70" t="str"/>
      <x:c r="L18" s="70" t="str"/>
      <x:c r="M18" s="70" t="str"/>
      <x:c r="N18" s="70" t="str"/>
      <x:c r="O18" s="70" t="str"/>
      <x:c r="P18" s="70" t="str"/>
      <x:c r="Q18" s="70" t="str"/>
      <x:c r="R18" s="70" t="str">
        <x:v>无</x:v>
      </x:c>
      <x:c r="S18" s="70" t="str">
        <x:v>否</x:v>
      </x:c>
      <x:c r="T18" s="70" t="str"/>
    </x:row>
    <x:row r="19">
      <x:c r="A19" s="70" t="str">
        <x:v>M5E-0014</x:v>
      </x:c>
      <x:c r="B19" s="70" t="str"/>
      <x:c r="C19" s="70" t="str"/>
      <x:c r="D19" s="70" t="str"/>
      <x:c r="E19" s="70" t="str"/>
      <x:c r="F19" s="70" t="str"/>
      <x:c r="G19" s="70" t="str"/>
      <x:c r="H19" s="70" t="str"/>
      <x:c r="I19" s="70" t="str"/>
      <x:c r="J19" s="70" t="str"/>
      <x:c r="K19" s="70" t="str"/>
      <x:c r="L19" s="70" t="str"/>
      <x:c r="M19" s="70" t="str"/>
      <x:c r="N19" s="70" t="str"/>
      <x:c r="O19" s="70" t="str"/>
      <x:c r="P19" s="70" t="str"/>
      <x:c r="Q19" s="70" t="str"/>
      <x:c r="R19" s="70" t="str">
        <x:v>无</x:v>
      </x:c>
      <x:c r="S19" s="70" t="str">
        <x:v>否</x:v>
      </x:c>
      <x:c r="T19" s="70" t="str"/>
    </x:row>
    <x:row r="20">
      <x:c r="A20" s="70" t="str">
        <x:v>M5E-0015</x:v>
      </x:c>
      <x:c r="B20" s="70" t="str"/>
      <x:c r="C20" s="70" t="str"/>
      <x:c r="D20" s="70" t="str"/>
      <x:c r="E20" s="70" t="str"/>
      <x:c r="F20" s="70" t="str"/>
      <x:c r="G20" s="70" t="str"/>
      <x:c r="H20" s="70" t="str"/>
      <x:c r="I20" s="70" t="str"/>
      <x:c r="J20" s="70" t="str"/>
      <x:c r="K20" s="70" t="str"/>
      <x:c r="L20" s="70" t="str"/>
      <x:c r="M20" s="70" t="str"/>
      <x:c r="N20" s="70" t="str"/>
      <x:c r="O20" s="70" t="str"/>
      <x:c r="P20" s="70" t="str"/>
      <x:c r="Q20" s="70" t="str"/>
      <x:c r="R20" s="70" t="str">
        <x:v>无</x:v>
      </x:c>
      <x:c r="S20" s="70" t="str">
        <x:v>否</x:v>
      </x:c>
      <x:c r="T20" s="70" t="str"/>
    </x:row>
    <x:row r="21">
      <x:c r="A21" s="70" t="str">
        <x:v>M5E-0016</x:v>
      </x:c>
      <x:c r="B21" s="70" t="str"/>
      <x:c r="C21" s="70" t="str"/>
      <x:c r="D21" s="70" t="str"/>
      <x:c r="E21" s="70" t="str"/>
      <x:c r="F21" s="70" t="str"/>
      <x:c r="G21" s="70" t="str"/>
      <x:c r="H21" s="70" t="str"/>
      <x:c r="I21" s="70" t="str"/>
      <x:c r="J21" s="70" t="str"/>
      <x:c r="K21" s="70" t="str"/>
      <x:c r="L21" s="70" t="str"/>
      <x:c r="M21" s="70" t="str"/>
      <x:c r="N21" s="70" t="str"/>
      <x:c r="O21" s="70" t="str"/>
      <x:c r="P21" s="70" t="str"/>
      <x:c r="Q21" s="70" t="str"/>
      <x:c r="R21" s="70" t="str">
        <x:v>无</x:v>
      </x:c>
      <x:c r="S21" s="70" t="str">
        <x:v>否</x:v>
      </x:c>
      <x:c r="T21" s="70" t="str"/>
    </x:row>
    <x:row r="22">
      <x:c r="A22" s="70" t="str">
        <x:v>M5E-0017</x:v>
      </x:c>
      <x:c r="B22" s="70" t="str"/>
      <x:c r="C22" s="70" t="str"/>
      <x:c r="D22" s="70" t="str"/>
      <x:c r="E22" s="70" t="str"/>
      <x:c r="F22" s="70" t="str"/>
      <x:c r="G22" s="70" t="str"/>
      <x:c r="H22" s="70" t="str"/>
      <x:c r="I22" s="70" t="str"/>
      <x:c r="J22" s="70" t="str"/>
      <x:c r="K22" s="70" t="str"/>
      <x:c r="L22" s="70" t="str"/>
      <x:c r="M22" s="70" t="str"/>
      <x:c r="N22" s="70" t="str"/>
      <x:c r="O22" s="70" t="str"/>
      <x:c r="P22" s="70" t="str"/>
      <x:c r="Q22" s="70" t="str"/>
      <x:c r="R22" s="70" t="str">
        <x:v>无</x:v>
      </x:c>
      <x:c r="S22" s="70" t="str">
        <x:v>否</x:v>
      </x:c>
      <x:c r="T22" s="70" t="str"/>
    </x:row>
    <x:row r="23">
      <x:c r="A23" s="70" t="str">
        <x:v>M5E-0018</x:v>
      </x:c>
      <x:c r="B23" s="70" t="str"/>
      <x:c r="C23" s="70" t="str"/>
      <x:c r="D23" s="70" t="str"/>
      <x:c r="E23" s="70" t="str"/>
      <x:c r="F23" s="70" t="str"/>
      <x:c r="G23" s="70" t="str"/>
      <x:c r="H23" s="70" t="str"/>
      <x:c r="I23" s="70" t="str"/>
      <x:c r="J23" s="70" t="str"/>
      <x:c r="K23" s="70" t="str"/>
      <x:c r="L23" s="70" t="str"/>
      <x:c r="M23" s="70" t="str"/>
      <x:c r="N23" s="70" t="str"/>
      <x:c r="O23" s="70" t="str"/>
      <x:c r="P23" s="70" t="str"/>
      <x:c r="Q23" s="70" t="str"/>
      <x:c r="R23" s="70" t="str">
        <x:v>无</x:v>
      </x:c>
      <x:c r="S23" s="70" t="str">
        <x:v>否</x:v>
      </x:c>
      <x:c r="T23" s="70" t="str"/>
    </x:row>
    <x:row r="24">
      <x:c r="A24" s="70" t="str">
        <x:v>M5E-0019</x:v>
      </x:c>
      <x:c r="B24" s="70" t="str"/>
      <x:c r="C24" s="70" t="str"/>
      <x:c r="D24" s="70" t="str"/>
      <x:c r="E24" s="70" t="str"/>
      <x:c r="F24" s="70" t="str"/>
      <x:c r="G24" s="70" t="str"/>
      <x:c r="H24" s="70" t="str"/>
      <x:c r="I24" s="70" t="str"/>
      <x:c r="J24" s="70" t="str"/>
      <x:c r="K24" s="70" t="str"/>
      <x:c r="L24" s="70" t="str"/>
      <x:c r="M24" s="70" t="str"/>
      <x:c r="N24" s="70" t="str"/>
      <x:c r="O24" s="70" t="str"/>
      <x:c r="P24" s="70" t="str"/>
      <x:c r="Q24" s="70" t="str"/>
      <x:c r="R24" s="70" t="str">
        <x:v>无</x:v>
      </x:c>
      <x:c r="S24" s="70" t="str">
        <x:v>否</x:v>
      </x:c>
      <x:c r="T24" s="70" t="str"/>
    </x:row>
    <x:row r="25">
      <x:c r="A25" s="70" t="str">
        <x:v>M5E-0020</x:v>
      </x:c>
      <x:c r="B25" s="70" t="str"/>
      <x:c r="C25" s="70" t="str"/>
      <x:c r="D25" s="70" t="str"/>
      <x:c r="E25" s="70" t="str"/>
      <x:c r="F25" s="70" t="str"/>
      <x:c r="G25" s="70" t="str"/>
      <x:c r="H25" s="70" t="str"/>
      <x:c r="I25" s="70" t="str"/>
      <x:c r="J25" s="70" t="str"/>
      <x:c r="K25" s="70" t="str"/>
      <x:c r="L25" s="70" t="str"/>
      <x:c r="M25" s="70" t="str"/>
      <x:c r="N25" s="70" t="str"/>
      <x:c r="O25" s="70" t="str"/>
      <x:c r="P25" s="70" t="str"/>
      <x:c r="Q25" s="70" t="str"/>
      <x:c r="R25" s="70" t="str">
        <x:v>无</x:v>
      </x:c>
      <x:c r="S25" s="70" t="str">
        <x:v>否</x:v>
      </x:c>
      <x:c r="T25" s="70" t="str"/>
    </x:row>
    <x:row r="26">
      <x:c r="A26" s="70" t="str">
        <x:v>M5E-0021</x:v>
      </x:c>
      <x:c r="B26" s="70" t="str"/>
      <x:c r="C26" s="70" t="str"/>
      <x:c r="D26" s="70" t="str"/>
      <x:c r="E26" s="70" t="str"/>
      <x:c r="F26" s="70" t="str"/>
      <x:c r="G26" s="70" t="str"/>
      <x:c r="H26" s="70" t="str"/>
      <x:c r="I26" s="70" t="str"/>
      <x:c r="J26" s="70" t="str"/>
      <x:c r="K26" s="70" t="str"/>
      <x:c r="L26" s="70" t="str"/>
      <x:c r="M26" s="70" t="str"/>
      <x:c r="N26" s="70" t="str"/>
      <x:c r="O26" s="70" t="str"/>
      <x:c r="P26" s="70" t="str"/>
      <x:c r="Q26" s="70" t="str"/>
      <x:c r="R26" s="70" t="str">
        <x:v>无</x:v>
      </x:c>
      <x:c r="S26" s="70" t="str">
        <x:v>否</x:v>
      </x:c>
      <x:c r="T26" s="70" t="str"/>
    </x:row>
    <x:row r="27">
      <x:c r="A27" s="70" t="str">
        <x:v>M5E-0022</x:v>
      </x:c>
      <x:c r="B27" s="70" t="str"/>
      <x:c r="C27" s="70" t="str"/>
      <x:c r="D27" s="70" t="str"/>
      <x:c r="E27" s="70" t="str"/>
      <x:c r="F27" s="70" t="str"/>
      <x:c r="G27" s="70" t="str"/>
      <x:c r="H27" s="70" t="str"/>
      <x:c r="I27" s="70" t="str"/>
      <x:c r="J27" s="70" t="str"/>
      <x:c r="K27" s="70" t="str"/>
      <x:c r="L27" s="70" t="str"/>
      <x:c r="M27" s="70" t="str"/>
      <x:c r="N27" s="70" t="str"/>
      <x:c r="O27" s="70" t="str"/>
      <x:c r="P27" s="70" t="str"/>
      <x:c r="Q27" s="70" t="str"/>
      <x:c r="R27" s="70" t="str">
        <x:v>无</x:v>
      </x:c>
      <x:c r="S27" s="70" t="str">
        <x:v>否</x:v>
      </x:c>
      <x:c r="T27" s="70" t="str"/>
    </x:row>
    <x:row r="28">
      <x:c r="A28" s="70" t="str">
        <x:v>M5E-0023</x:v>
      </x:c>
      <x:c r="B28" s="70" t="str"/>
      <x:c r="C28" s="70" t="str"/>
      <x:c r="D28" s="70" t="str"/>
      <x:c r="E28" s="70" t="str"/>
      <x:c r="F28" s="70" t="str"/>
      <x:c r="G28" s="70" t="str"/>
      <x:c r="H28" s="70" t="str"/>
      <x:c r="I28" s="70" t="str"/>
      <x:c r="J28" s="70" t="str"/>
      <x:c r="K28" s="70" t="str"/>
      <x:c r="L28" s="70" t="str"/>
      <x:c r="M28" s="70" t="str"/>
      <x:c r="N28" s="70" t="str"/>
      <x:c r="O28" s="70" t="str"/>
      <x:c r="P28" s="70" t="str"/>
      <x:c r="Q28" s="70" t="str"/>
      <x:c r="R28" s="70" t="str">
        <x:v>无</x:v>
      </x:c>
      <x:c r="S28" s="70" t="str">
        <x:v>否</x:v>
      </x:c>
      <x:c r="T28" s="70" t="str"/>
    </x:row>
    <x:row r="29">
      <x:c r="A29" s="70" t="str">
        <x:v>M5E-0024</x:v>
      </x:c>
      <x:c r="B29" s="70" t="str"/>
      <x:c r="C29" s="70" t="str"/>
      <x:c r="D29" s="70" t="str"/>
      <x:c r="E29" s="70" t="str"/>
      <x:c r="F29" s="70" t="str"/>
      <x:c r="G29" s="70" t="str"/>
      <x:c r="H29" s="70" t="str"/>
      <x:c r="I29" s="70" t="str"/>
      <x:c r="J29" s="70" t="str"/>
      <x:c r="K29" s="70" t="str"/>
      <x:c r="L29" s="70" t="str"/>
      <x:c r="M29" s="70" t="str"/>
      <x:c r="N29" s="70" t="str"/>
      <x:c r="O29" s="70" t="str"/>
      <x:c r="P29" s="70" t="str"/>
      <x:c r="Q29" s="70" t="str"/>
      <x:c r="R29" s="70" t="str">
        <x:v>无</x:v>
      </x:c>
      <x:c r="S29" s="70" t="str">
        <x:v>否</x:v>
      </x:c>
      <x:c r="T29" s="70" t="str"/>
    </x:row>
    <x:row r="30">
      <x:c r="A30" s="70" t="str">
        <x:v>M5E-0025</x:v>
      </x:c>
      <x:c r="B30" s="70" t="str"/>
      <x:c r="C30" s="70" t="str"/>
      <x:c r="D30" s="70" t="str"/>
      <x:c r="E30" s="70" t="str"/>
      <x:c r="F30" s="70" t="str"/>
      <x:c r="G30" s="70" t="str"/>
      <x:c r="H30" s="70" t="str"/>
      <x:c r="I30" s="70" t="str"/>
      <x:c r="J30" s="70" t="str"/>
      <x:c r="K30" s="70" t="str"/>
      <x:c r="L30" s="70" t="str"/>
      <x:c r="M30" s="70" t="str"/>
      <x:c r="N30" s="70" t="str"/>
      <x:c r="O30" s="70" t="str"/>
      <x:c r="P30" s="70" t="str"/>
      <x:c r="Q30" s="70" t="str"/>
      <x:c r="R30" s="70" t="str">
        <x:v>无</x:v>
      </x:c>
      <x:c r="S30" s="70" t="str">
        <x:v>否</x:v>
      </x:c>
      <x:c r="T30" s="70" t="str"/>
    </x:row>
    <x:row r="31">
      <x:c r="A31" s="70" t="str">
        <x:v>M5E-0026</x:v>
      </x:c>
      <x:c r="B31" s="70" t="str"/>
      <x:c r="C31" s="70" t="str"/>
      <x:c r="D31" s="70" t="str"/>
      <x:c r="E31" s="70" t="str"/>
      <x:c r="F31" s="70" t="str"/>
      <x:c r="G31" s="70" t="str"/>
      <x:c r="H31" s="70" t="str"/>
      <x:c r="I31" s="70" t="str"/>
      <x:c r="J31" s="70" t="str"/>
      <x:c r="K31" s="70" t="str"/>
      <x:c r="L31" s="70" t="str"/>
      <x:c r="M31" s="70" t="str"/>
      <x:c r="N31" s="70" t="str"/>
      <x:c r="O31" s="70" t="str"/>
      <x:c r="P31" s="70" t="str"/>
      <x:c r="Q31" s="70" t="str"/>
      <x:c r="R31" s="70" t="str">
        <x:v>无</x:v>
      </x:c>
      <x:c r="S31" s="70" t="str">
        <x:v>否</x:v>
      </x:c>
      <x:c r="T31" s="70" t="str"/>
    </x:row>
    <x:row r="32">
      <x:c r="A32" s="70" t="str">
        <x:v>M5E-0027</x:v>
      </x:c>
      <x:c r="B32" s="70" t="str"/>
      <x:c r="C32" s="70" t="str"/>
      <x:c r="D32" s="70" t="str"/>
      <x:c r="E32" s="70" t="str"/>
      <x:c r="F32" s="70" t="str"/>
      <x:c r="G32" s="70" t="str"/>
      <x:c r="H32" s="70" t="str"/>
      <x:c r="I32" s="70" t="str"/>
      <x:c r="J32" s="70" t="str"/>
      <x:c r="K32" s="70" t="str"/>
      <x:c r="L32" s="70" t="str"/>
      <x:c r="M32" s="70" t="str"/>
      <x:c r="N32" s="70" t="str"/>
      <x:c r="O32" s="70" t="str"/>
      <x:c r="P32" s="70" t="str"/>
      <x:c r="Q32" s="70" t="str"/>
      <x:c r="R32" s="70" t="str">
        <x:v>无</x:v>
      </x:c>
      <x:c r="S32" s="70" t="str">
        <x:v>否</x:v>
      </x:c>
      <x:c r="T32" s="70" t="str"/>
    </x:row>
    <x:row r="33">
      <x:c r="A33" s="70" t="str">
        <x:v>M5E-0028</x:v>
      </x:c>
      <x:c r="B33" s="70" t="str"/>
      <x:c r="C33" s="70" t="str"/>
      <x:c r="D33" s="70" t="str"/>
      <x:c r="E33" s="70" t="str"/>
      <x:c r="F33" s="70" t="str"/>
      <x:c r="G33" s="70" t="str"/>
      <x:c r="H33" s="70" t="str"/>
      <x:c r="I33" s="70" t="str"/>
      <x:c r="J33" s="70" t="str"/>
      <x:c r="K33" s="70" t="str"/>
      <x:c r="L33" s="70" t="str"/>
      <x:c r="M33" s="70" t="str"/>
      <x:c r="N33" s="70" t="str"/>
      <x:c r="O33" s="70" t="str"/>
      <x:c r="P33" s="70" t="str"/>
      <x:c r="Q33" s="70" t="str"/>
      <x:c r="R33" s="70" t="str">
        <x:v>无</x:v>
      </x:c>
      <x:c r="S33" s="70" t="str">
        <x:v>否</x:v>
      </x:c>
      <x:c r="T33" s="70" t="str"/>
    </x:row>
    <x:row r="34">
      <x:c r="A34" s="70" t="str">
        <x:v>M5E-0029</x:v>
      </x:c>
      <x:c r="B34" s="70" t="str"/>
      <x:c r="C34" s="70" t="str"/>
      <x:c r="D34" s="70" t="str"/>
      <x:c r="E34" s="70" t="str"/>
      <x:c r="F34" s="70" t="str"/>
      <x:c r="G34" s="70" t="str"/>
      <x:c r="H34" s="70" t="str"/>
      <x:c r="I34" s="70" t="str"/>
      <x:c r="J34" s="70" t="str"/>
      <x:c r="K34" s="70" t="str"/>
      <x:c r="L34" s="70" t="str"/>
      <x:c r="M34" s="70" t="str"/>
      <x:c r="N34" s="70" t="str"/>
      <x:c r="O34" s="70" t="str"/>
      <x:c r="P34" s="70" t="str"/>
      <x:c r="Q34" s="70" t="str"/>
      <x:c r="R34" s="70" t="str">
        <x:v>无</x:v>
      </x:c>
      <x:c r="S34" s="70" t="str">
        <x:v>否</x:v>
      </x:c>
      <x:c r="T34" s="70" t="str"/>
    </x:row>
    <x:row r="35">
      <x:c r="A35" s="70" t="str">
        <x:v>M5E-0030</x:v>
      </x:c>
      <x:c r="B35" s="70" t="str"/>
      <x:c r="C35" s="70" t="str"/>
      <x:c r="D35" s="70" t="str"/>
      <x:c r="E35" s="70" t="str"/>
      <x:c r="F35" s="70" t="str"/>
      <x:c r="G35" s="70" t="str"/>
      <x:c r="H35" s="70" t="str"/>
      <x:c r="I35" s="70" t="str"/>
      <x:c r="J35" s="70" t="str"/>
      <x:c r="K35" s="70" t="str"/>
      <x:c r="L35" s="70" t="str"/>
      <x:c r="M35" s="70" t="str"/>
      <x:c r="N35" s="70" t="str"/>
      <x:c r="O35" s="70" t="str"/>
      <x:c r="P35" s="70" t="str"/>
      <x:c r="Q35" s="70" t="str"/>
      <x:c r="R35" s="70" t="str">
        <x:v>无</x:v>
      </x:c>
      <x:c r="S35" s="70" t="str">
        <x:v>否</x:v>
      </x:c>
      <x:c r="T35" s="70" t="str"/>
    </x:row>
    <x:row r="36">
      <x:c r="A36" s="70" t="str">
        <x:v>M5E-0031</x:v>
      </x:c>
      <x:c r="B36" s="70" t="str"/>
      <x:c r="C36" s="70" t="str"/>
      <x:c r="D36" s="70" t="str"/>
      <x:c r="E36" s="70" t="str"/>
      <x:c r="F36" s="70" t="str"/>
      <x:c r="G36" s="70" t="str"/>
      <x:c r="H36" s="70" t="str"/>
      <x:c r="I36" s="70" t="str"/>
      <x:c r="J36" s="70" t="str"/>
      <x:c r="K36" s="70" t="str"/>
      <x:c r="L36" s="70" t="str"/>
      <x:c r="M36" s="70" t="str"/>
      <x:c r="N36" s="70" t="str"/>
      <x:c r="O36" s="70" t="str"/>
      <x:c r="P36" s="70" t="str"/>
      <x:c r="Q36" s="70" t="str"/>
      <x:c r="R36" s="70" t="str">
        <x:v>无</x:v>
      </x:c>
      <x:c r="S36" s="70" t="str">
        <x:v>否</x:v>
      </x:c>
      <x:c r="T36" s="70" t="str"/>
    </x:row>
    <x:row r="37">
      <x:c r="A37" s="70" t="str">
        <x:v>M5E-0032</x:v>
      </x:c>
      <x:c r="B37" s="70" t="str"/>
      <x:c r="C37" s="70" t="str"/>
      <x:c r="D37" s="70" t="str"/>
      <x:c r="E37" s="70" t="str"/>
      <x:c r="F37" s="70" t="str"/>
      <x:c r="G37" s="70" t="str"/>
      <x:c r="H37" s="70" t="str"/>
      <x:c r="I37" s="70" t="str"/>
      <x:c r="J37" s="70" t="str"/>
      <x:c r="K37" s="70" t="str"/>
      <x:c r="L37" s="70" t="str"/>
      <x:c r="M37" s="70" t="str"/>
      <x:c r="N37" s="70" t="str"/>
      <x:c r="O37" s="70" t="str"/>
      <x:c r="P37" s="70" t="str"/>
      <x:c r="Q37" s="70" t="str"/>
      <x:c r="R37" s="70" t="str">
        <x:v>无</x:v>
      </x:c>
      <x:c r="S37" s="70" t="str">
        <x:v>否</x:v>
      </x:c>
      <x:c r="T37" s="70" t="str"/>
    </x:row>
    <x:row r="38">
      <x:c r="A38" s="70" t="str">
        <x:v>M5E-0033</x:v>
      </x:c>
      <x:c r="B38" s="70" t="str"/>
      <x:c r="C38" s="70" t="str"/>
      <x:c r="D38" s="70" t="str"/>
      <x:c r="E38" s="70" t="str"/>
      <x:c r="F38" s="70" t="str"/>
      <x:c r="G38" s="70" t="str"/>
      <x:c r="H38" s="70" t="str"/>
      <x:c r="I38" s="70" t="str"/>
      <x:c r="J38" s="70" t="str"/>
      <x:c r="K38" s="70" t="str"/>
      <x:c r="L38" s="70" t="str"/>
      <x:c r="M38" s="70" t="str"/>
      <x:c r="N38" s="70" t="str"/>
      <x:c r="O38" s="70" t="str"/>
      <x:c r="P38" s="70" t="str"/>
      <x:c r="Q38" s="70" t="str"/>
      <x:c r="R38" s="70" t="str">
        <x:v>无</x:v>
      </x:c>
      <x:c r="S38" s="70" t="str">
        <x:v>否</x:v>
      </x:c>
      <x:c r="T38" s="70" t="str"/>
    </x:row>
    <x:row r="39">
      <x:c r="A39" s="70" t="str">
        <x:v>M5E-0034</x:v>
      </x:c>
      <x:c r="B39" s="70" t="str"/>
      <x:c r="C39" s="70" t="str"/>
      <x:c r="D39" s="70" t="str"/>
      <x:c r="E39" s="70" t="str"/>
      <x:c r="F39" s="70" t="str"/>
      <x:c r="G39" s="70" t="str"/>
      <x:c r="H39" s="70" t="str"/>
      <x:c r="I39" s="70" t="str"/>
      <x:c r="J39" s="70" t="str"/>
      <x:c r="K39" s="70" t="str"/>
      <x:c r="L39" s="70" t="str"/>
      <x:c r="M39" s="70" t="str"/>
      <x:c r="N39" s="70" t="str"/>
      <x:c r="O39" s="70" t="str"/>
      <x:c r="P39" s="70" t="str"/>
      <x:c r="Q39" s="70" t="str"/>
      <x:c r="R39" s="70" t="str">
        <x:v>无</x:v>
      </x:c>
      <x:c r="S39" s="70" t="str">
        <x:v>否</x:v>
      </x:c>
      <x:c r="T39" s="70" t="str"/>
    </x:row>
    <x:row r="40">
      <x:c r="A40" s="70" t="str">
        <x:v>M5E-0035</x:v>
      </x:c>
      <x:c r="B40" s="70" t="str"/>
      <x:c r="C40" s="70" t="str"/>
      <x:c r="D40" s="70" t="str"/>
      <x:c r="E40" s="70" t="str"/>
      <x:c r="F40" s="70" t="str"/>
      <x:c r="G40" s="70" t="str"/>
      <x:c r="H40" s="70" t="str"/>
      <x:c r="I40" s="70" t="str"/>
      <x:c r="J40" s="70" t="str"/>
      <x:c r="K40" s="70" t="str"/>
      <x:c r="L40" s="70" t="str"/>
      <x:c r="M40" s="70" t="str"/>
      <x:c r="N40" s="70" t="str"/>
      <x:c r="O40" s="70" t="str"/>
      <x:c r="P40" s="70" t="str"/>
      <x:c r="Q40" s="70" t="str"/>
      <x:c r="R40" s="70" t="str">
        <x:v>无</x:v>
      </x:c>
      <x:c r="S40" s="70" t="str">
        <x:v>否</x:v>
      </x:c>
      <x:c r="T40" s="70" t="str"/>
    </x:row>
    <x:row r="41">
      <x:c r="A41" s="70" t="str">
        <x:v>M5E-0036</x:v>
      </x:c>
      <x:c r="B41" s="70" t="str"/>
      <x:c r="C41" s="70" t="str"/>
      <x:c r="D41" s="70" t="str"/>
      <x:c r="E41" s="70" t="str"/>
      <x:c r="F41" s="70" t="str"/>
      <x:c r="G41" s="70" t="str"/>
      <x:c r="H41" s="70" t="str"/>
      <x:c r="I41" s="70" t="str"/>
      <x:c r="J41" s="70" t="str"/>
      <x:c r="K41" s="70" t="str"/>
      <x:c r="L41" s="70" t="str"/>
      <x:c r="M41" s="70" t="str"/>
      <x:c r="N41" s="70" t="str"/>
      <x:c r="O41" s="70" t="str"/>
      <x:c r="P41" s="70" t="str"/>
      <x:c r="Q41" s="70" t="str"/>
      <x:c r="R41" s="70" t="str">
        <x:v>无</x:v>
      </x:c>
      <x:c r="S41" s="70" t="str">
        <x:v>否</x:v>
      </x:c>
      <x:c r="T41" s="70" t="str"/>
    </x:row>
    <x:row r="42">
      <x:c r="A42" s="70" t="str">
        <x:v>M5E-0037</x:v>
      </x:c>
      <x:c r="B42" s="70" t="str"/>
      <x:c r="C42" s="70" t="str"/>
      <x:c r="D42" s="70" t="str"/>
      <x:c r="E42" s="70" t="str"/>
      <x:c r="F42" s="70" t="str"/>
      <x:c r="G42" s="70" t="str"/>
      <x:c r="H42" s="70" t="str"/>
      <x:c r="I42" s="70" t="str"/>
      <x:c r="J42" s="70" t="str"/>
      <x:c r="K42" s="70" t="str"/>
      <x:c r="L42" s="70" t="str"/>
      <x:c r="M42" s="70" t="str"/>
      <x:c r="N42" s="70" t="str"/>
      <x:c r="O42" s="70" t="str"/>
      <x:c r="P42" s="70" t="str"/>
      <x:c r="Q42" s="70" t="str"/>
      <x:c r="R42" s="70" t="str">
        <x:v>无</x:v>
      </x:c>
      <x:c r="S42" s="70" t="str">
        <x:v>否</x:v>
      </x:c>
      <x:c r="T42" s="70" t="str"/>
    </x:row>
    <x:row r="43">
      <x:c r="A43" s="70" t="str">
        <x:v>M5E-0038</x:v>
      </x:c>
      <x:c r="B43" s="70" t="str"/>
      <x:c r="C43" s="70" t="str"/>
      <x:c r="D43" s="70" t="str"/>
      <x:c r="E43" s="70" t="str"/>
      <x:c r="F43" s="70" t="str"/>
      <x:c r="G43" s="70" t="str"/>
      <x:c r="H43" s="70" t="str"/>
      <x:c r="I43" s="70" t="str"/>
      <x:c r="J43" s="70" t="str"/>
      <x:c r="K43" s="70" t="str"/>
      <x:c r="L43" s="70" t="str"/>
      <x:c r="M43" s="70" t="str"/>
      <x:c r="N43" s="70" t="str"/>
      <x:c r="O43" s="70" t="str"/>
      <x:c r="P43" s="70" t="str"/>
      <x:c r="Q43" s="70" t="str"/>
      <x:c r="R43" s="70" t="str">
        <x:v>无</x:v>
      </x:c>
      <x:c r="S43" s="70" t="str">
        <x:v>否</x:v>
      </x:c>
      <x:c r="T43" s="70" t="str"/>
    </x:row>
    <x:row r="44">
      <x:c r="A44" s="70" t="str">
        <x:v>M5E-0039</x:v>
      </x:c>
      <x:c r="B44" s="70" t="str"/>
      <x:c r="C44" s="70" t="str"/>
      <x:c r="D44" s="70" t="str"/>
      <x:c r="E44" s="70" t="str"/>
      <x:c r="F44" s="70" t="str"/>
      <x:c r="G44" s="70" t="str"/>
      <x:c r="H44" s="70" t="str"/>
      <x:c r="I44" s="70" t="str"/>
      <x:c r="J44" s="70" t="str"/>
      <x:c r="K44" s="70" t="str"/>
      <x:c r="L44" s="70" t="str"/>
      <x:c r="M44" s="70" t="str"/>
      <x:c r="N44" s="70" t="str"/>
      <x:c r="O44" s="70" t="str"/>
      <x:c r="P44" s="70" t="str"/>
      <x:c r="Q44" s="70" t="str"/>
      <x:c r="R44" s="70" t="str">
        <x:v>无</x:v>
      </x:c>
      <x:c r="S44" s="70" t="str">
        <x:v>否</x:v>
      </x:c>
      <x:c r="T44" s="70" t="str"/>
    </x:row>
    <x:row r="45">
      <x:c r="A45" s="70" t="str">
        <x:v>M5E-0040</x:v>
      </x:c>
      <x:c r="B45" s="70" t="str"/>
      <x:c r="C45" s="70" t="str"/>
      <x:c r="D45" s="70" t="str"/>
      <x:c r="E45" s="70" t="str"/>
      <x:c r="F45" s="70" t="str"/>
      <x:c r="G45" s="70" t="str"/>
      <x:c r="H45" s="70" t="str"/>
      <x:c r="I45" s="70" t="str"/>
      <x:c r="J45" s="70" t="str"/>
      <x:c r="K45" s="70" t="str"/>
      <x:c r="L45" s="70" t="str"/>
      <x:c r="M45" s="70" t="str"/>
      <x:c r="N45" s="70" t="str"/>
      <x:c r="O45" s="70" t="str"/>
      <x:c r="P45" s="70" t="str"/>
      <x:c r="Q45" s="70" t="str"/>
      <x:c r="R45" s="70" t="str">
        <x:v>无</x:v>
      </x:c>
      <x:c r="S45" s="70" t="str">
        <x:v>否</x:v>
      </x:c>
      <x:c r="T45" s="70" t="str"/>
    </x:row>
    <x:row r="46">
      <x:c r="A46" s="70" t="str">
        <x:v>M5E-0041</x:v>
      </x:c>
      <x:c r="B46" s="70" t="str"/>
      <x:c r="C46" s="70" t="str"/>
      <x:c r="D46" s="70" t="str"/>
      <x:c r="E46" s="70" t="str"/>
      <x:c r="F46" s="70" t="str"/>
      <x:c r="G46" s="70" t="str"/>
      <x:c r="H46" s="70" t="str"/>
      <x:c r="I46" s="70" t="str"/>
      <x:c r="J46" s="70" t="str"/>
      <x:c r="K46" s="70" t="str"/>
      <x:c r="L46" s="70" t="str"/>
      <x:c r="M46" s="70" t="str"/>
      <x:c r="N46" s="70" t="str"/>
      <x:c r="O46" s="70" t="str"/>
      <x:c r="P46" s="70" t="str"/>
      <x:c r="Q46" s="70" t="str"/>
      <x:c r="R46" s="70" t="str">
        <x:v>无</x:v>
      </x:c>
      <x:c r="S46" s="70" t="str">
        <x:v>否</x:v>
      </x:c>
      <x:c r="T46" s="70" t="str"/>
    </x:row>
    <x:row r="47">
      <x:c r="A47" s="70" t="str">
        <x:v>M5E-0042</x:v>
      </x:c>
      <x:c r="B47" s="70" t="str"/>
      <x:c r="C47" s="70" t="str"/>
      <x:c r="D47" s="70" t="str"/>
      <x:c r="E47" s="70" t="str"/>
      <x:c r="F47" s="70" t="str"/>
      <x:c r="G47" s="70" t="str"/>
      <x:c r="H47" s="70" t="str"/>
      <x:c r="I47" s="70" t="str"/>
      <x:c r="J47" s="70" t="str"/>
      <x:c r="K47" s="70" t="str"/>
      <x:c r="L47" s="70" t="str"/>
      <x:c r="M47" s="70" t="str"/>
      <x:c r="N47" s="70" t="str"/>
      <x:c r="O47" s="70" t="str"/>
      <x:c r="P47" s="70" t="str"/>
      <x:c r="Q47" s="70" t="str"/>
      <x:c r="R47" s="70" t="str">
        <x:v>无</x:v>
      </x:c>
      <x:c r="S47" s="70" t="str">
        <x:v>否</x:v>
      </x:c>
      <x:c r="T47" s="70" t="str"/>
    </x:row>
    <x:row r="48">
      <x:c r="A48" s="70" t="str">
        <x:v>M5E-0043</x:v>
      </x:c>
      <x:c r="B48" s="70" t="str"/>
      <x:c r="C48" s="70" t="str"/>
      <x:c r="D48" s="70" t="str"/>
      <x:c r="E48" s="70" t="str"/>
      <x:c r="F48" s="70" t="str"/>
      <x:c r="G48" s="70" t="str"/>
      <x:c r="H48" s="70" t="str"/>
      <x:c r="I48" s="70" t="str"/>
      <x:c r="J48" s="70" t="str"/>
      <x:c r="K48" s="70" t="str"/>
      <x:c r="L48" s="70" t="str"/>
      <x:c r="M48" s="70" t="str"/>
      <x:c r="N48" s="70" t="str"/>
      <x:c r="O48" s="70" t="str"/>
      <x:c r="P48" s="70" t="str"/>
      <x:c r="Q48" s="70" t="str"/>
      <x:c r="R48" s="70" t="str">
        <x:v>无</x:v>
      </x:c>
      <x:c r="S48" s="70" t="str">
        <x:v>否</x:v>
      </x:c>
      <x:c r="T48" s="70" t="str"/>
    </x:row>
    <x:row r="49">
      <x:c r="A49" s="70" t="str">
        <x:v>M5E-0044</x:v>
      </x:c>
      <x:c r="B49" s="70" t="str"/>
      <x:c r="C49" s="70" t="str"/>
      <x:c r="D49" s="70" t="str"/>
      <x:c r="E49" s="70" t="str"/>
      <x:c r="F49" s="70" t="str"/>
      <x:c r="G49" s="70" t="str"/>
      <x:c r="H49" s="70" t="str"/>
      <x:c r="I49" s="70" t="str"/>
      <x:c r="J49" s="70" t="str"/>
      <x:c r="K49" s="70" t="str"/>
      <x:c r="L49" s="70" t="str"/>
      <x:c r="M49" s="70" t="str"/>
      <x:c r="N49" s="70" t="str"/>
      <x:c r="O49" s="70" t="str"/>
      <x:c r="P49" s="70" t="str"/>
      <x:c r="Q49" s="70" t="str"/>
      <x:c r="R49" s="70" t="str">
        <x:v>无</x:v>
      </x:c>
      <x:c r="S49" s="70" t="str">
        <x:v>否</x:v>
      </x:c>
      <x:c r="T49" s="70" t="str"/>
    </x:row>
    <x:row r="50">
      <x:c r="A50" s="70" t="str">
        <x:v>M5E-0045</x:v>
      </x:c>
      <x:c r="B50" s="70" t="str"/>
      <x:c r="C50" s="70" t="str"/>
      <x:c r="D50" s="70" t="str"/>
      <x:c r="E50" s="70" t="str"/>
      <x:c r="F50" s="70" t="str"/>
      <x:c r="G50" s="70" t="str"/>
      <x:c r="H50" s="70" t="str"/>
      <x:c r="I50" s="70" t="str"/>
      <x:c r="J50" s="70" t="str"/>
      <x:c r="K50" s="70" t="str"/>
      <x:c r="L50" s="70" t="str"/>
      <x:c r="M50" s="70" t="str"/>
      <x:c r="N50" s="70" t="str"/>
      <x:c r="O50" s="70" t="str"/>
      <x:c r="P50" s="70" t="str"/>
      <x:c r="Q50" s="70" t="str"/>
      <x:c r="R50" s="70" t="str">
        <x:v>无</x:v>
      </x:c>
      <x:c r="S50" s="70" t="str">
        <x:v>否</x:v>
      </x:c>
      <x:c r="T50" s="70" t="str"/>
    </x:row>
    <x:row r="51">
      <x:c r="A51" s="70" t="str">
        <x:v>M5E-0046</x:v>
      </x:c>
      <x:c r="B51" s="70" t="str"/>
      <x:c r="C51" s="70" t="str"/>
      <x:c r="D51" s="70" t="str"/>
      <x:c r="E51" s="70" t="str"/>
      <x:c r="F51" s="70" t="str"/>
      <x:c r="G51" s="70" t="str"/>
      <x:c r="H51" s="70" t="str"/>
      <x:c r="I51" s="70" t="str"/>
      <x:c r="J51" s="70" t="str"/>
      <x:c r="K51" s="70" t="str"/>
      <x:c r="L51" s="70" t="str"/>
      <x:c r="M51" s="70" t="str"/>
      <x:c r="N51" s="70" t="str"/>
      <x:c r="O51" s="70" t="str"/>
      <x:c r="P51" s="70" t="str"/>
      <x:c r="Q51" s="70" t="str"/>
      <x:c r="R51" s="70" t="str">
        <x:v>无</x:v>
      </x:c>
      <x:c r="S51" s="70" t="str">
        <x:v>否</x:v>
      </x:c>
      <x:c r="T51" s="70" t="str"/>
    </x:row>
    <x:row r="52">
      <x:c r="A52" s="70" t="str">
        <x:v>M5E-0047</x:v>
      </x:c>
      <x:c r="B52" s="70" t="str"/>
      <x:c r="C52" s="70" t="str"/>
      <x:c r="D52" s="70" t="str"/>
      <x:c r="E52" s="70" t="str"/>
      <x:c r="F52" s="70" t="str"/>
      <x:c r="G52" s="70" t="str"/>
      <x:c r="H52" s="70" t="str"/>
      <x:c r="I52" s="70" t="str"/>
      <x:c r="J52" s="70" t="str"/>
      <x:c r="K52" s="70" t="str"/>
      <x:c r="L52" s="70" t="str"/>
      <x:c r="M52" s="70" t="str"/>
      <x:c r="N52" s="70" t="str"/>
      <x:c r="O52" s="70" t="str"/>
      <x:c r="P52" s="70" t="str"/>
      <x:c r="Q52" s="70" t="str"/>
      <x:c r="R52" s="70" t="str">
        <x:v>无</x:v>
      </x:c>
      <x:c r="S52" s="70" t="str">
        <x:v>否</x:v>
      </x:c>
      <x:c r="T52" s="70" t="str"/>
    </x:row>
    <x:row r="53">
      <x:c r="A53" s="70" t="str">
        <x:v>M5E-0048</x:v>
      </x:c>
      <x:c r="B53" s="70" t="str"/>
      <x:c r="C53" s="70" t="str"/>
      <x:c r="D53" s="70" t="str"/>
      <x:c r="E53" s="70" t="str"/>
      <x:c r="F53" s="70" t="str"/>
      <x:c r="G53" s="70" t="str"/>
      <x:c r="H53" s="70" t="str"/>
      <x:c r="I53" s="70" t="str"/>
      <x:c r="J53" s="70" t="str"/>
      <x:c r="K53" s="70" t="str"/>
      <x:c r="L53" s="70" t="str"/>
      <x:c r="M53" s="70" t="str"/>
      <x:c r="N53" s="70" t="str"/>
      <x:c r="O53" s="70" t="str"/>
      <x:c r="P53" s="70" t="str"/>
      <x:c r="Q53" s="70" t="str"/>
      <x:c r="R53" s="70" t="str">
        <x:v>无</x:v>
      </x:c>
      <x:c r="S53" s="70" t="str">
        <x:v>否</x:v>
      </x:c>
      <x:c r="T53" s="70" t="str"/>
    </x:row>
    <x:row r="54">
      <x:c r="A54" s="70" t="str">
        <x:v>M5E-0049</x:v>
      </x:c>
      <x:c r="B54" s="70" t="str"/>
      <x:c r="C54" s="70" t="str"/>
      <x:c r="D54" s="70" t="str"/>
      <x:c r="E54" s="70" t="str"/>
      <x:c r="F54" s="70" t="str"/>
      <x:c r="G54" s="70" t="str"/>
      <x:c r="H54" s="70" t="str"/>
      <x:c r="I54" s="70" t="str"/>
      <x:c r="J54" s="70" t="str"/>
      <x:c r="K54" s="70" t="str"/>
      <x:c r="L54" s="70" t="str"/>
      <x:c r="M54" s="70" t="str"/>
      <x:c r="N54" s="70" t="str"/>
      <x:c r="O54" s="70" t="str"/>
      <x:c r="P54" s="70" t="str"/>
      <x:c r="Q54" s="70" t="str"/>
      <x:c r="R54" s="70" t="str">
        <x:v>无</x:v>
      </x:c>
      <x:c r="S54" s="70" t="str">
        <x:v>否</x:v>
      </x:c>
      <x:c r="T54" s="70" t="str"/>
    </x:row>
    <x:row r="55">
      <x:c r="A55" s="70" t="str">
        <x:v>M5E-0050</x:v>
      </x:c>
      <x:c r="B55" s="70" t="str"/>
      <x:c r="C55" s="70" t="str"/>
      <x:c r="D55" s="70" t="str"/>
      <x:c r="E55" s="70" t="str"/>
      <x:c r="F55" s="70" t="str"/>
      <x:c r="G55" s="70" t="str"/>
      <x:c r="H55" s="70" t="str"/>
      <x:c r="I55" s="70" t="str"/>
      <x:c r="J55" s="70" t="str"/>
      <x:c r="K55" s="70" t="str"/>
      <x:c r="L55" s="70" t="str"/>
      <x:c r="M55" s="70" t="str"/>
      <x:c r="N55" s="70" t="str"/>
      <x:c r="O55" s="70" t="str"/>
      <x:c r="P55" s="70" t="str"/>
      <x:c r="Q55" s="70" t="str"/>
      <x:c r="R55" s="70" t="str">
        <x:v>无</x:v>
      </x:c>
      <x:c r="S55" s="70" t="str">
        <x:v>否</x:v>
      </x:c>
      <x:c r="T55" s="70" t="str"/>
    </x:row>
    <x:row r="56">
      <x:c r="A56" s="70" t="str">
        <x:v>M5E-0051</x:v>
      </x:c>
      <x:c r="B56" s="70" t="str"/>
      <x:c r="C56" s="70" t="str"/>
      <x:c r="D56" s="70" t="str"/>
      <x:c r="E56" s="70" t="str"/>
      <x:c r="F56" s="70" t="str"/>
      <x:c r="G56" s="70" t="str"/>
      <x:c r="H56" s="70" t="str"/>
      <x:c r="I56" s="70" t="str"/>
      <x:c r="J56" s="70" t="str"/>
      <x:c r="K56" s="70" t="str"/>
      <x:c r="L56" s="70" t="str"/>
      <x:c r="M56" s="70" t="str"/>
      <x:c r="N56" s="70" t="str"/>
      <x:c r="O56" s="70" t="str"/>
      <x:c r="P56" s="70" t="str"/>
      <x:c r="Q56" s="70" t="str"/>
      <x:c r="R56" s="70" t="str">
        <x:v>无</x:v>
      </x:c>
      <x:c r="S56" s="70" t="str">
        <x:v>否</x:v>
      </x:c>
      <x:c r="T56" s="70" t="str"/>
    </x:row>
    <x:row r="57">
      <x:c r="A57" s="70" t="str">
        <x:v>M5E-0052</x:v>
      </x:c>
      <x:c r="B57" s="70" t="str"/>
      <x:c r="C57" s="70" t="str"/>
      <x:c r="D57" s="70" t="str"/>
      <x:c r="E57" s="70" t="str"/>
      <x:c r="F57" s="70" t="str"/>
      <x:c r="G57" s="70" t="str"/>
      <x:c r="H57" s="70" t="str"/>
      <x:c r="I57" s="70" t="str"/>
      <x:c r="J57" s="70" t="str"/>
      <x:c r="K57" s="70" t="str"/>
      <x:c r="L57" s="70" t="str"/>
      <x:c r="M57" s="70" t="str"/>
      <x:c r="N57" s="70" t="str"/>
      <x:c r="O57" s="70" t="str"/>
      <x:c r="P57" s="70" t="str"/>
      <x:c r="Q57" s="70" t="str"/>
      <x:c r="R57" s="70" t="str">
        <x:v>无</x:v>
      </x:c>
      <x:c r="S57" s="70" t="str">
        <x:v>否</x:v>
      </x:c>
      <x:c r="T57" s="70" t="str"/>
    </x:row>
    <x:row r="58">
      <x:c r="A58" s="70" t="str">
        <x:v>M5E-0053</x:v>
      </x:c>
      <x:c r="B58" s="70" t="str"/>
      <x:c r="C58" s="70" t="str"/>
      <x:c r="D58" s="70" t="str"/>
      <x:c r="E58" s="70" t="str"/>
      <x:c r="F58" s="70" t="str"/>
      <x:c r="G58" s="70" t="str"/>
      <x:c r="H58" s="70" t="str"/>
      <x:c r="I58" s="70" t="str"/>
      <x:c r="J58" s="70" t="str"/>
      <x:c r="K58" s="70" t="str"/>
      <x:c r="L58" s="70" t="str"/>
      <x:c r="M58" s="70" t="str"/>
      <x:c r="N58" s="70" t="str"/>
      <x:c r="O58" s="70" t="str"/>
      <x:c r="P58" s="70" t="str"/>
      <x:c r="Q58" s="70" t="str"/>
      <x:c r="R58" s="70" t="str">
        <x:v>无</x:v>
      </x:c>
      <x:c r="S58" s="70" t="str">
        <x:v>否</x:v>
      </x:c>
      <x:c r="T58" s="70" t="str"/>
    </x:row>
    <x:row r="59">
      <x:c r="A59" s="70" t="str">
        <x:v>M5E-0054</x:v>
      </x:c>
      <x:c r="B59" s="70" t="str"/>
      <x:c r="C59" s="70" t="str"/>
      <x:c r="D59" s="70" t="str"/>
      <x:c r="E59" s="70" t="str"/>
      <x:c r="F59" s="70" t="str"/>
      <x:c r="G59" s="70" t="str"/>
      <x:c r="H59" s="70" t="str"/>
      <x:c r="I59" s="70" t="str"/>
      <x:c r="J59" s="70" t="str"/>
      <x:c r="K59" s="70" t="str"/>
      <x:c r="L59" s="70" t="str"/>
      <x:c r="M59" s="70" t="str"/>
      <x:c r="N59" s="70" t="str"/>
      <x:c r="O59" s="70" t="str"/>
      <x:c r="P59" s="70" t="str"/>
      <x:c r="Q59" s="70" t="str"/>
      <x:c r="R59" s="70" t="str">
        <x:v>无</x:v>
      </x:c>
      <x:c r="S59" s="70" t="str">
        <x:v>否</x:v>
      </x:c>
      <x:c r="T59" s="70" t="str"/>
    </x:row>
    <x:row r="60">
      <x:c r="A60" s="70" t="str">
        <x:v>M5E-0055</x:v>
      </x:c>
      <x:c r="B60" s="70" t="str"/>
      <x:c r="C60" s="70" t="str"/>
      <x:c r="D60" s="70" t="str"/>
      <x:c r="E60" s="70" t="str"/>
      <x:c r="F60" s="70" t="str"/>
      <x:c r="G60" s="70" t="str"/>
      <x:c r="H60" s="70" t="str"/>
      <x:c r="I60" s="70" t="str"/>
      <x:c r="J60" s="70" t="str"/>
      <x:c r="K60" s="70" t="str"/>
      <x:c r="L60" s="70" t="str"/>
      <x:c r="M60" s="70" t="str"/>
      <x:c r="N60" s="70" t="str"/>
      <x:c r="O60" s="70" t="str"/>
      <x:c r="P60" s="70" t="str"/>
      <x:c r="Q60" s="70" t="str"/>
      <x:c r="R60" s="70" t="str">
        <x:v>无</x:v>
      </x:c>
      <x:c r="S60" s="70" t="str">
        <x:v>否</x:v>
      </x:c>
      <x:c r="T60" s="70" t="str"/>
    </x:row>
    <x:row r="61">
      <x:c r="A61" s="70" t="str">
        <x:v>M5E-0056</x:v>
      </x:c>
      <x:c r="B61" s="70" t="str"/>
      <x:c r="C61" s="70" t="str"/>
      <x:c r="D61" s="70" t="str"/>
      <x:c r="E61" s="70" t="str"/>
      <x:c r="F61" s="70" t="str"/>
      <x:c r="G61" s="70" t="str"/>
      <x:c r="H61" s="70" t="str"/>
      <x:c r="I61" s="70" t="str"/>
      <x:c r="J61" s="70" t="str"/>
      <x:c r="K61" s="70" t="str"/>
      <x:c r="L61" s="70" t="str"/>
      <x:c r="M61" s="70" t="str"/>
      <x:c r="N61" s="70" t="str"/>
      <x:c r="O61" s="70" t="str"/>
      <x:c r="P61" s="70" t="str"/>
      <x:c r="Q61" s="70" t="str"/>
      <x:c r="R61" s="70" t="str">
        <x:v>无</x:v>
      </x:c>
      <x:c r="S61" s="70" t="str">
        <x:v>否</x:v>
      </x:c>
      <x:c r="T61" s="70" t="str"/>
    </x:row>
    <x:row r="62">
      <x:c r="A62" s="70" t="str">
        <x:v>M5E-0057</x:v>
      </x:c>
      <x:c r="B62" s="70" t="str"/>
      <x:c r="C62" s="70" t="str"/>
      <x:c r="D62" s="70" t="str"/>
      <x:c r="E62" s="70" t="str"/>
      <x:c r="F62" s="70" t="str"/>
      <x:c r="G62" s="70" t="str"/>
      <x:c r="H62" s="70" t="str"/>
      <x:c r="I62" s="70" t="str"/>
      <x:c r="J62" s="70" t="str"/>
      <x:c r="K62" s="70" t="str"/>
      <x:c r="L62" s="70" t="str"/>
      <x:c r="M62" s="70" t="str"/>
      <x:c r="N62" s="70" t="str"/>
      <x:c r="O62" s="70" t="str"/>
      <x:c r="P62" s="70" t="str"/>
      <x:c r="Q62" s="70" t="str"/>
      <x:c r="R62" s="70" t="str">
        <x:v>无</x:v>
      </x:c>
      <x:c r="S62" s="70" t="str">
        <x:v>否</x:v>
      </x:c>
      <x:c r="T62" s="70" t="str"/>
    </x:row>
    <x:row r="63">
      <x:c r="A63" s="70" t="str">
        <x:v>M5E-0058</x:v>
      </x:c>
      <x:c r="B63" s="70" t="str"/>
      <x:c r="C63" s="70" t="str"/>
      <x:c r="D63" s="70" t="str"/>
      <x:c r="E63" s="70" t="str"/>
      <x:c r="F63" s="70" t="str"/>
      <x:c r="G63" s="70" t="str"/>
      <x:c r="H63" s="70" t="str"/>
      <x:c r="I63" s="70" t="str"/>
      <x:c r="J63" s="70" t="str"/>
      <x:c r="K63" s="70" t="str"/>
      <x:c r="L63" s="70" t="str"/>
      <x:c r="M63" s="70" t="str"/>
      <x:c r="N63" s="70" t="str"/>
      <x:c r="O63" s="70" t="str"/>
      <x:c r="P63" s="70" t="str"/>
      <x:c r="Q63" s="70" t="str"/>
      <x:c r="R63" s="70" t="str">
        <x:v>无</x:v>
      </x:c>
      <x:c r="S63" s="70" t="str">
        <x:v>否</x:v>
      </x:c>
      <x:c r="T63" s="70" t="str"/>
    </x:row>
    <x:row r="64">
      <x:c r="A64" s="70" t="str">
        <x:v>M5E-0059</x:v>
      </x:c>
      <x:c r="B64" s="70" t="str"/>
      <x:c r="C64" s="70" t="str"/>
      <x:c r="D64" s="70" t="str"/>
      <x:c r="E64" s="70" t="str"/>
      <x:c r="F64" s="70" t="str"/>
      <x:c r="G64" s="70" t="str"/>
      <x:c r="H64" s="70" t="str"/>
      <x:c r="I64" s="70" t="str"/>
      <x:c r="J64" s="70" t="str"/>
      <x:c r="K64" s="70" t="str"/>
      <x:c r="L64" s="70" t="str"/>
      <x:c r="M64" s="70" t="str"/>
      <x:c r="N64" s="70" t="str"/>
      <x:c r="O64" s="70" t="str"/>
      <x:c r="P64" s="70" t="str"/>
      <x:c r="Q64" s="70" t="str"/>
      <x:c r="R64" s="70" t="str">
        <x:v>无</x:v>
      </x:c>
      <x:c r="S64" s="70" t="str">
        <x:v>否</x:v>
      </x:c>
      <x:c r="T64" s="70" t="str"/>
    </x:row>
    <x:row r="65">
      <x:c r="A65" s="70" t="str">
        <x:v>M5E-0060</x:v>
      </x:c>
      <x:c r="B65" s="70" t="str"/>
      <x:c r="C65" s="70" t="str"/>
      <x:c r="D65" s="70" t="str"/>
      <x:c r="E65" s="70" t="str"/>
      <x:c r="F65" s="70" t="str"/>
      <x:c r="G65" s="70" t="str"/>
      <x:c r="H65" s="70" t="str"/>
      <x:c r="I65" s="70" t="str"/>
      <x:c r="J65" s="70" t="str"/>
      <x:c r="K65" s="70" t="str"/>
      <x:c r="L65" s="70" t="str"/>
      <x:c r="M65" s="70" t="str"/>
      <x:c r="N65" s="70" t="str"/>
      <x:c r="O65" s="70" t="str"/>
      <x:c r="P65" s="70" t="str"/>
      <x:c r="Q65" s="70" t="str"/>
      <x:c r="R65" s="70" t="str">
        <x:v>无</x:v>
      </x:c>
      <x:c r="S65" s="70" t="str">
        <x:v>否</x:v>
      </x:c>
      <x:c r="T65" s="70" t="str"/>
    </x:row>
    <x:row r="66">
      <x:c r="A66" s="70" t="str">
        <x:v>M5E-0061</x:v>
      </x:c>
      <x:c r="B66" s="70" t="str"/>
      <x:c r="C66" s="70" t="str"/>
      <x:c r="D66" s="70" t="str"/>
      <x:c r="E66" s="70" t="str"/>
      <x:c r="F66" s="70" t="str"/>
      <x:c r="G66" s="70" t="str"/>
      <x:c r="H66" s="70" t="str"/>
      <x:c r="I66" s="70" t="str"/>
      <x:c r="J66" s="70" t="str"/>
      <x:c r="K66" s="70" t="str"/>
      <x:c r="L66" s="70" t="str"/>
      <x:c r="M66" s="70" t="str"/>
      <x:c r="N66" s="70" t="str"/>
      <x:c r="O66" s="70" t="str"/>
      <x:c r="P66" s="70" t="str"/>
      <x:c r="Q66" s="70" t="str"/>
      <x:c r="R66" s="70" t="str">
        <x:v>无</x:v>
      </x:c>
      <x:c r="S66" s="70" t="str">
        <x:v>否</x:v>
      </x:c>
      <x:c r="T66" s="70" t="str"/>
    </x:row>
    <x:row r="67">
      <x:c r="A67" s="70" t="str">
        <x:v>M5E-0062</x:v>
      </x:c>
      <x:c r="B67" s="70" t="str"/>
      <x:c r="C67" s="70" t="str"/>
      <x:c r="D67" s="70" t="str"/>
      <x:c r="E67" s="70" t="str"/>
      <x:c r="F67" s="70" t="str"/>
      <x:c r="G67" s="70" t="str"/>
      <x:c r="H67" s="70" t="str"/>
      <x:c r="I67" s="70" t="str"/>
      <x:c r="J67" s="70" t="str"/>
      <x:c r="K67" s="70" t="str"/>
      <x:c r="L67" s="70" t="str"/>
      <x:c r="M67" s="70" t="str"/>
      <x:c r="N67" s="70" t="str"/>
      <x:c r="O67" s="70" t="str"/>
      <x:c r="P67" s="70" t="str"/>
      <x:c r="Q67" s="70" t="str"/>
      <x:c r="R67" s="70" t="str">
        <x:v>无</x:v>
      </x:c>
      <x:c r="S67" s="70" t="str">
        <x:v>否</x:v>
      </x:c>
      <x:c r="T67" s="70" t="str"/>
    </x:row>
    <x:row r="68">
      <x:c r="A68" s="70" t="str">
        <x:v>M5E-0063</x:v>
      </x:c>
      <x:c r="B68" s="70" t="str"/>
      <x:c r="C68" s="70" t="str"/>
      <x:c r="D68" s="70" t="str"/>
      <x:c r="E68" s="70" t="str"/>
      <x:c r="F68" s="70" t="str"/>
      <x:c r="G68" s="70" t="str"/>
      <x:c r="H68" s="70" t="str"/>
      <x:c r="I68" s="70" t="str"/>
      <x:c r="J68" s="70" t="str"/>
      <x:c r="K68" s="70" t="str"/>
      <x:c r="L68" s="70" t="str"/>
      <x:c r="M68" s="70" t="str"/>
      <x:c r="N68" s="70" t="str"/>
      <x:c r="O68" s="70" t="str"/>
      <x:c r="P68" s="70" t="str"/>
      <x:c r="Q68" s="70" t="str"/>
      <x:c r="R68" s="70" t="str">
        <x:v>无</x:v>
      </x:c>
      <x:c r="S68" s="70" t="str">
        <x:v>否</x:v>
      </x:c>
      <x:c r="T68" s="70" t="str"/>
    </x:row>
    <x:row r="69">
      <x:c r="A69" s="70" t="str">
        <x:v>M5E-0064</x:v>
      </x:c>
      <x:c r="B69" s="70" t="str"/>
      <x:c r="C69" s="70" t="str"/>
      <x:c r="D69" s="70" t="str"/>
      <x:c r="E69" s="70" t="str"/>
      <x:c r="F69" s="70" t="str"/>
      <x:c r="G69" s="70" t="str"/>
      <x:c r="H69" s="70" t="str"/>
      <x:c r="I69" s="70" t="str"/>
      <x:c r="J69" s="70" t="str"/>
      <x:c r="K69" s="70" t="str"/>
      <x:c r="L69" s="70" t="str"/>
      <x:c r="M69" s="70" t="str"/>
      <x:c r="N69" s="70" t="str"/>
      <x:c r="O69" s="70" t="str"/>
      <x:c r="P69" s="70" t="str"/>
      <x:c r="Q69" s="70" t="str"/>
      <x:c r="R69" s="70" t="str">
        <x:v>无</x:v>
      </x:c>
      <x:c r="S69" s="70" t="str">
        <x:v>否</x:v>
      </x:c>
      <x:c r="T69" s="70" t="str"/>
    </x:row>
    <x:row r="70">
      <x:c r="A70" s="70" t="str">
        <x:v>M5E-0065</x:v>
      </x:c>
      <x:c r="B70" s="70" t="str"/>
      <x:c r="C70" s="70" t="str"/>
      <x:c r="D70" s="70" t="str"/>
      <x:c r="E70" s="70" t="str"/>
      <x:c r="F70" s="70" t="str"/>
      <x:c r="G70" s="70" t="str"/>
      <x:c r="H70" s="70" t="str"/>
      <x:c r="I70" s="70" t="str"/>
      <x:c r="J70" s="70" t="str"/>
      <x:c r="K70" s="70" t="str"/>
      <x:c r="L70" s="70" t="str"/>
      <x:c r="M70" s="70" t="str"/>
      <x:c r="N70" s="70" t="str"/>
      <x:c r="O70" s="70" t="str"/>
      <x:c r="P70" s="70" t="str"/>
      <x:c r="Q70" s="70" t="str"/>
      <x:c r="R70" s="70" t="str">
        <x:v>无</x:v>
      </x:c>
      <x:c r="S70" s="70" t="str">
        <x:v>否</x:v>
      </x:c>
      <x:c r="T70" s="70" t="str"/>
    </x:row>
    <x:row r="71">
      <x:c r="A71" s="70" t="str">
        <x:v>M5E-0066</x:v>
      </x:c>
      <x:c r="B71" s="70" t="str"/>
      <x:c r="C71" s="70" t="str"/>
      <x:c r="D71" s="70" t="str"/>
      <x:c r="E71" s="70" t="str"/>
      <x:c r="F71" s="70" t="str"/>
      <x:c r="G71" s="70" t="str"/>
      <x:c r="H71" s="70" t="str"/>
      <x:c r="I71" s="70" t="str"/>
      <x:c r="J71" s="70" t="str"/>
      <x:c r="K71" s="70" t="str"/>
      <x:c r="L71" s="70" t="str"/>
      <x:c r="M71" s="70" t="str"/>
      <x:c r="N71" s="70" t="str"/>
      <x:c r="O71" s="70" t="str"/>
      <x:c r="P71" s="70" t="str"/>
      <x:c r="Q71" s="70" t="str"/>
      <x:c r="R71" s="70" t="str">
        <x:v>无</x:v>
      </x:c>
      <x:c r="S71" s="70" t="str">
        <x:v>否</x:v>
      </x:c>
      <x:c r="T71" s="70" t="str"/>
    </x:row>
    <x:row r="72">
      <x:c r="A72" s="70" t="str">
        <x:v>M5E-0067</x:v>
      </x:c>
      <x:c r="B72" s="70" t="str"/>
      <x:c r="C72" s="70" t="str"/>
      <x:c r="D72" s="70" t="str"/>
      <x:c r="E72" s="70" t="str"/>
      <x:c r="F72" s="70" t="str"/>
      <x:c r="G72" s="70" t="str"/>
      <x:c r="H72" s="70" t="str"/>
      <x:c r="I72" s="70" t="str"/>
      <x:c r="J72" s="70" t="str"/>
      <x:c r="K72" s="70" t="str"/>
      <x:c r="L72" s="70" t="str"/>
      <x:c r="M72" s="70" t="str"/>
      <x:c r="N72" s="70" t="str"/>
      <x:c r="O72" s="70" t="str"/>
      <x:c r="P72" s="70" t="str"/>
      <x:c r="Q72" s="70" t="str"/>
      <x:c r="R72" s="70" t="str">
        <x:v>无</x:v>
      </x:c>
      <x:c r="S72" s="70" t="str">
        <x:v>否</x:v>
      </x:c>
      <x:c r="T72" s="70" t="str"/>
    </x:row>
    <x:row r="73">
      <x:c r="A73" s="70" t="str">
        <x:v>M5E-0068</x:v>
      </x:c>
      <x:c r="B73" s="70" t="str"/>
      <x:c r="C73" s="70" t="str"/>
      <x:c r="D73" s="70" t="str"/>
      <x:c r="E73" s="70" t="str"/>
      <x:c r="F73" s="70" t="str"/>
      <x:c r="G73" s="70" t="str"/>
      <x:c r="H73" s="70" t="str"/>
      <x:c r="I73" s="70" t="str"/>
      <x:c r="J73" s="70" t="str"/>
      <x:c r="K73" s="70" t="str"/>
      <x:c r="L73" s="70" t="str"/>
      <x:c r="M73" s="70" t="str"/>
      <x:c r="N73" s="70" t="str"/>
      <x:c r="O73" s="70" t="str"/>
      <x:c r="P73" s="70" t="str"/>
      <x:c r="Q73" s="70" t="str"/>
      <x:c r="R73" s="70" t="str">
        <x:v>无</x:v>
      </x:c>
      <x:c r="S73" s="70" t="str">
        <x:v>否</x:v>
      </x:c>
      <x:c r="T73" s="70" t="str"/>
    </x:row>
    <x:row r="74">
      <x:c r="A74" s="70" t="str">
        <x:v>M5E-0069</x:v>
      </x:c>
      <x:c r="B74" s="70" t="str"/>
      <x:c r="C74" s="70" t="str"/>
      <x:c r="D74" s="70" t="str"/>
      <x:c r="E74" s="70" t="str"/>
      <x:c r="F74" s="70" t="str"/>
      <x:c r="G74" s="70" t="str"/>
      <x:c r="H74" s="70" t="str"/>
      <x:c r="I74" s="70" t="str"/>
      <x:c r="J74" s="70" t="str"/>
      <x:c r="K74" s="70" t="str"/>
      <x:c r="L74" s="70" t="str"/>
      <x:c r="M74" s="70" t="str"/>
      <x:c r="N74" s="70" t="str"/>
      <x:c r="O74" s="70" t="str"/>
      <x:c r="P74" s="70" t="str"/>
      <x:c r="Q74" s="70" t="str"/>
      <x:c r="R74" s="70" t="str">
        <x:v>无</x:v>
      </x:c>
      <x:c r="S74" s="70" t="str">
        <x:v>否</x:v>
      </x:c>
      <x:c r="T74" s="70" t="str"/>
    </x:row>
    <x:row r="75">
      <x:c r="A75" s="70" t="str">
        <x:v>M5E-0070</x:v>
      </x:c>
      <x:c r="B75" s="70" t="str"/>
      <x:c r="C75" s="70" t="str"/>
      <x:c r="D75" s="70" t="str"/>
      <x:c r="E75" s="70" t="str"/>
      <x:c r="F75" s="70" t="str"/>
      <x:c r="G75" s="70" t="str"/>
      <x:c r="H75" s="70" t="str"/>
      <x:c r="I75" s="70" t="str"/>
      <x:c r="J75" s="70" t="str"/>
      <x:c r="K75" s="70" t="str"/>
      <x:c r="L75" s="70" t="str"/>
      <x:c r="M75" s="70" t="str"/>
      <x:c r="N75" s="70" t="str"/>
      <x:c r="O75" s="70" t="str"/>
      <x:c r="P75" s="70" t="str"/>
      <x:c r="Q75" s="70" t="str"/>
      <x:c r="R75" s="70" t="str">
        <x:v>无</x:v>
      </x:c>
      <x:c r="S75" s="70" t="str">
        <x:v>否</x:v>
      </x:c>
      <x:c r="T75" s="70" t="str"/>
    </x:row>
    <x:row r="76">
      <x:c r="A76" s="70" t="str">
        <x:v>M5E-0071</x:v>
      </x:c>
      <x:c r="B76" s="70" t="str"/>
      <x:c r="C76" s="70" t="str"/>
      <x:c r="D76" s="70" t="str"/>
      <x:c r="E76" s="70" t="str"/>
      <x:c r="F76" s="70" t="str"/>
      <x:c r="G76" s="70" t="str"/>
      <x:c r="H76" s="70" t="str"/>
      <x:c r="I76" s="70" t="str"/>
      <x:c r="J76" s="70" t="str"/>
      <x:c r="K76" s="70" t="str"/>
      <x:c r="L76" s="70" t="str"/>
      <x:c r="M76" s="70" t="str"/>
      <x:c r="N76" s="70" t="str"/>
      <x:c r="O76" s="70" t="str"/>
      <x:c r="P76" s="70" t="str"/>
      <x:c r="Q76" s="70" t="str"/>
      <x:c r="R76" s="70" t="str">
        <x:v>无</x:v>
      </x:c>
      <x:c r="S76" s="70" t="str">
        <x:v>否</x:v>
      </x:c>
      <x:c r="T76" s="70" t="str"/>
    </x:row>
    <x:row r="77">
      <x:c r="A77" s="70" t="str">
        <x:v>M5E-0072</x:v>
      </x:c>
      <x:c r="B77" s="70" t="str"/>
      <x:c r="C77" s="70" t="str"/>
      <x:c r="D77" s="70" t="str"/>
      <x:c r="E77" s="70" t="str"/>
      <x:c r="F77" s="70" t="str"/>
      <x:c r="G77" s="70" t="str"/>
      <x:c r="H77" s="70" t="str"/>
      <x:c r="I77" s="70" t="str"/>
      <x:c r="J77" s="70" t="str"/>
      <x:c r="K77" s="70" t="str"/>
      <x:c r="L77" s="70" t="str"/>
      <x:c r="M77" s="70" t="str"/>
      <x:c r="N77" s="70" t="str"/>
      <x:c r="O77" s="70" t="str"/>
      <x:c r="P77" s="70" t="str"/>
      <x:c r="Q77" s="70" t="str"/>
      <x:c r="R77" s="70" t="str">
        <x:v>无</x:v>
      </x:c>
      <x:c r="S77" s="70" t="str">
        <x:v>否</x:v>
      </x:c>
      <x:c r="T77" s="70" t="str"/>
    </x:row>
    <x:row r="78">
      <x:c r="A78" s="70" t="str">
        <x:v>M5E-0073</x:v>
      </x:c>
      <x:c r="B78" s="70" t="str"/>
      <x:c r="C78" s="70" t="str"/>
      <x:c r="D78" s="70" t="str"/>
      <x:c r="E78" s="70" t="str"/>
      <x:c r="F78" s="70" t="str"/>
      <x:c r="G78" s="70" t="str"/>
      <x:c r="H78" s="70" t="str"/>
      <x:c r="I78" s="70" t="str"/>
      <x:c r="J78" s="70" t="str"/>
      <x:c r="K78" s="70" t="str"/>
      <x:c r="L78" s="70" t="str"/>
      <x:c r="M78" s="70" t="str"/>
      <x:c r="N78" s="70" t="str"/>
      <x:c r="O78" s="70" t="str"/>
      <x:c r="P78" s="70" t="str"/>
      <x:c r="Q78" s="70" t="str"/>
      <x:c r="R78" s="70" t="str">
        <x:v>无</x:v>
      </x:c>
      <x:c r="S78" s="70" t="str">
        <x:v>否</x:v>
      </x:c>
      <x:c r="T78" s="70" t="str"/>
    </x:row>
    <x:row r="79">
      <x:c r="A79" s="70" t="str">
        <x:v>M5E-0074</x:v>
      </x:c>
      <x:c r="B79" s="70" t="str"/>
      <x:c r="C79" s="70" t="str"/>
      <x:c r="D79" s="70" t="str"/>
      <x:c r="E79" s="70" t="str"/>
      <x:c r="F79" s="70" t="str"/>
      <x:c r="G79" s="70" t="str"/>
      <x:c r="H79" s="70" t="str"/>
      <x:c r="I79" s="70" t="str"/>
      <x:c r="J79" s="70" t="str"/>
      <x:c r="K79" s="70" t="str"/>
      <x:c r="L79" s="70" t="str"/>
      <x:c r="M79" s="70" t="str"/>
      <x:c r="N79" s="70" t="str"/>
      <x:c r="O79" s="70" t="str"/>
      <x:c r="P79" s="70" t="str"/>
      <x:c r="Q79" s="70" t="str"/>
      <x:c r="R79" s="70" t="str">
        <x:v>无</x:v>
      </x:c>
      <x:c r="S79" s="70" t="str">
        <x:v>否</x:v>
      </x:c>
      <x:c r="T79" s="70" t="str"/>
    </x:row>
    <x:row r="80">
      <x:c r="A80" s="70" t="str">
        <x:v>M5E-0075</x:v>
      </x:c>
      <x:c r="B80" s="70" t="str"/>
      <x:c r="C80" s="70" t="str"/>
      <x:c r="D80" s="70" t="str"/>
      <x:c r="E80" s="70" t="str"/>
      <x:c r="F80" s="70" t="str"/>
      <x:c r="G80" s="70" t="str"/>
      <x:c r="H80" s="70" t="str"/>
      <x:c r="I80" s="70" t="str"/>
      <x:c r="J80" s="70" t="str"/>
      <x:c r="K80" s="70" t="str"/>
      <x:c r="L80" s="70" t="str"/>
      <x:c r="M80" s="70" t="str"/>
      <x:c r="N80" s="70" t="str"/>
      <x:c r="O80" s="70" t="str"/>
      <x:c r="P80" s="70" t="str"/>
      <x:c r="Q80" s="70" t="str"/>
      <x:c r="R80" s="70" t="str">
        <x:v>无</x:v>
      </x:c>
      <x:c r="S80" s="70" t="str">
        <x:v>否</x:v>
      </x:c>
      <x:c r="T80" s="70" t="str"/>
    </x:row>
    <x:row r="81">
      <x:c r="A81" s="70" t="str">
        <x:v>M5E-0076</x:v>
      </x:c>
      <x:c r="B81" s="70" t="str"/>
      <x:c r="C81" s="70" t="str"/>
      <x:c r="D81" s="70" t="str"/>
      <x:c r="E81" s="70" t="str"/>
      <x:c r="F81" s="70" t="str"/>
      <x:c r="G81" s="70" t="str"/>
      <x:c r="H81" s="70" t="str"/>
      <x:c r="I81" s="70" t="str"/>
      <x:c r="J81" s="70" t="str"/>
      <x:c r="K81" s="70" t="str"/>
      <x:c r="L81" s="70" t="str"/>
      <x:c r="M81" s="70" t="str"/>
      <x:c r="N81" s="70" t="str"/>
      <x:c r="O81" s="70" t="str"/>
      <x:c r="P81" s="70" t="str"/>
      <x:c r="Q81" s="70" t="str"/>
      <x:c r="R81" s="70" t="str">
        <x:v>无</x:v>
      </x:c>
      <x:c r="S81" s="70" t="str">
        <x:v>否</x:v>
      </x:c>
      <x:c r="T81" s="70" t="str"/>
    </x:row>
    <x:row r="82">
      <x:c r="A82" s="70" t="str">
        <x:v>M5E-0077</x:v>
      </x:c>
      <x:c r="B82" s="70" t="str"/>
      <x:c r="C82" s="70" t="str"/>
      <x:c r="D82" s="70" t="str"/>
      <x:c r="E82" s="70" t="str"/>
      <x:c r="F82" s="70" t="str"/>
      <x:c r="G82" s="70" t="str"/>
      <x:c r="H82" s="70" t="str"/>
      <x:c r="I82" s="70" t="str"/>
      <x:c r="J82" s="70" t="str"/>
      <x:c r="K82" s="70" t="str"/>
      <x:c r="L82" s="70" t="str"/>
      <x:c r="M82" s="70" t="str"/>
      <x:c r="N82" s="70" t="str"/>
      <x:c r="O82" s="70" t="str"/>
      <x:c r="P82" s="70" t="str"/>
      <x:c r="Q82" s="70" t="str"/>
      <x:c r="R82" s="70" t="str">
        <x:v>无</x:v>
      </x:c>
      <x:c r="S82" s="70" t="str">
        <x:v>否</x:v>
      </x:c>
      <x:c r="T82" s="70" t="str"/>
    </x:row>
    <x:row r="83">
      <x:c r="A83" s="70" t="str">
        <x:v>M5E-0078</x:v>
      </x:c>
      <x:c r="B83" s="70" t="str"/>
      <x:c r="C83" s="70" t="str"/>
      <x:c r="D83" s="70" t="str"/>
      <x:c r="E83" s="70" t="str"/>
      <x:c r="F83" s="70" t="str"/>
      <x:c r="G83" s="70" t="str"/>
      <x:c r="H83" s="70" t="str"/>
      <x:c r="I83" s="70" t="str"/>
      <x:c r="J83" s="70" t="str"/>
      <x:c r="K83" s="70" t="str"/>
      <x:c r="L83" s="70" t="str"/>
      <x:c r="M83" s="70" t="str"/>
      <x:c r="N83" s="70" t="str"/>
      <x:c r="O83" s="70" t="str"/>
      <x:c r="P83" s="70" t="str"/>
      <x:c r="Q83" s="70" t="str"/>
      <x:c r="R83" s="70" t="str">
        <x:v>无</x:v>
      </x:c>
      <x:c r="S83" s="70" t="str">
        <x:v>否</x:v>
      </x:c>
      <x:c r="T83" s="70" t="str"/>
    </x:row>
    <x:row r="84">
      <x:c r="A84" s="70" t="str">
        <x:v>M5E-0079</x:v>
      </x:c>
      <x:c r="B84" s="70" t="str"/>
      <x:c r="C84" s="70" t="str"/>
      <x:c r="D84" s="70" t="str"/>
      <x:c r="E84" s="70" t="str"/>
      <x:c r="F84" s="70" t="str"/>
      <x:c r="G84" s="70" t="str"/>
      <x:c r="H84" s="70" t="str"/>
      <x:c r="I84" s="70" t="str"/>
      <x:c r="J84" s="70" t="str"/>
      <x:c r="K84" s="70" t="str"/>
      <x:c r="L84" s="70" t="str"/>
      <x:c r="M84" s="70" t="str"/>
      <x:c r="N84" s="70" t="str"/>
      <x:c r="O84" s="70" t="str"/>
      <x:c r="P84" s="70" t="str"/>
      <x:c r="Q84" s="70" t="str"/>
      <x:c r="R84" s="70" t="str">
        <x:v>无</x:v>
      </x:c>
      <x:c r="S84" s="70" t="str">
        <x:v>否</x:v>
      </x:c>
      <x:c r="T84" s="70" t="str"/>
    </x:row>
    <x:row r="85">
      <x:c r="A85" s="70" t="str">
        <x:v>M5E-0080</x:v>
      </x:c>
      <x:c r="B85" s="70" t="str"/>
      <x:c r="C85" s="70" t="str"/>
      <x:c r="D85" s="70" t="str"/>
      <x:c r="E85" s="70" t="str"/>
      <x:c r="F85" s="70" t="str"/>
      <x:c r="G85" s="70" t="str"/>
      <x:c r="H85" s="70" t="str"/>
      <x:c r="I85" s="70" t="str"/>
      <x:c r="J85" s="70" t="str"/>
      <x:c r="K85" s="70" t="str"/>
      <x:c r="L85" s="70" t="str"/>
      <x:c r="M85" s="70" t="str"/>
      <x:c r="N85" s="70" t="str"/>
      <x:c r="O85" s="70" t="str"/>
      <x:c r="P85" s="70" t="str"/>
      <x:c r="Q85" s="70" t="str"/>
      <x:c r="R85" s="70" t="str">
        <x:v>无</x:v>
      </x:c>
      <x:c r="S85" s="70" t="str">
        <x:v>否</x:v>
      </x:c>
      <x:c r="T85" s="70" t="str"/>
    </x:row>
    <x:row r="86">
      <x:c r="A86" s="70" t="str">
        <x:v>M5E-0081</x:v>
      </x:c>
      <x:c r="B86" s="70" t="str"/>
      <x:c r="C86" s="70" t="str"/>
      <x:c r="D86" s="70" t="str"/>
      <x:c r="E86" s="70" t="str"/>
      <x:c r="F86" s="70" t="str"/>
      <x:c r="G86" s="70" t="str"/>
      <x:c r="H86" s="70" t="str"/>
      <x:c r="I86" s="70" t="str"/>
      <x:c r="J86" s="70" t="str"/>
      <x:c r="K86" s="70" t="str"/>
      <x:c r="L86" s="70" t="str"/>
      <x:c r="M86" s="70" t="str"/>
      <x:c r="N86" s="70" t="str"/>
      <x:c r="O86" s="70" t="str"/>
      <x:c r="P86" s="70" t="str"/>
      <x:c r="Q86" s="70" t="str"/>
      <x:c r="R86" s="70" t="str">
        <x:v>无</x:v>
      </x:c>
      <x:c r="S86" s="70" t="str">
        <x:v>否</x:v>
      </x:c>
      <x:c r="T86" s="70" t="str"/>
    </x:row>
    <x:row r="87">
      <x:c r="A87" s="70" t="str">
        <x:v>M5E-0082</x:v>
      </x:c>
      <x:c r="B87" s="70" t="str"/>
      <x:c r="C87" s="70" t="str"/>
      <x:c r="D87" s="70" t="str"/>
      <x:c r="E87" s="70" t="str"/>
      <x:c r="F87" s="70" t="str"/>
      <x:c r="G87" s="70" t="str"/>
      <x:c r="H87" s="70" t="str"/>
      <x:c r="I87" s="70" t="str"/>
      <x:c r="J87" s="70" t="str"/>
      <x:c r="K87" s="70" t="str"/>
      <x:c r="L87" s="70" t="str"/>
      <x:c r="M87" s="70" t="str"/>
      <x:c r="N87" s="70" t="str"/>
      <x:c r="O87" s="70" t="str"/>
      <x:c r="P87" s="70" t="str"/>
      <x:c r="Q87" s="70" t="str"/>
      <x:c r="R87" s="70" t="str">
        <x:v>无</x:v>
      </x:c>
      <x:c r="S87" s="70" t="str">
        <x:v>否</x:v>
      </x:c>
      <x:c r="T87" s="70" t="str"/>
    </x:row>
    <x:row r="88">
      <x:c r="A88" s="70" t="str">
        <x:v>M5E-0083</x:v>
      </x:c>
      <x:c r="B88" s="70" t="str"/>
      <x:c r="C88" s="70" t="str"/>
      <x:c r="D88" s="70" t="str"/>
      <x:c r="E88" s="70" t="str"/>
      <x:c r="F88" s="70" t="str"/>
      <x:c r="G88" s="70" t="str"/>
      <x:c r="H88" s="70" t="str"/>
      <x:c r="I88" s="70" t="str"/>
      <x:c r="J88" s="70" t="str"/>
      <x:c r="K88" s="70" t="str"/>
      <x:c r="L88" s="70" t="str"/>
      <x:c r="M88" s="70" t="str"/>
      <x:c r="N88" s="70" t="str"/>
      <x:c r="O88" s="70" t="str"/>
      <x:c r="P88" s="70" t="str"/>
      <x:c r="Q88" s="70" t="str"/>
      <x:c r="R88" s="70" t="str">
        <x:v>无</x:v>
      </x:c>
      <x:c r="S88" s="70" t="str">
        <x:v>否</x:v>
      </x:c>
      <x:c r="T88" s="70" t="str"/>
    </x:row>
    <x:row r="89">
      <x:c r="A89" s="70" t="str">
        <x:v>M5E-0084</x:v>
      </x:c>
      <x:c r="B89" s="70" t="str"/>
      <x:c r="C89" s="70" t="str"/>
      <x:c r="D89" s="70" t="str"/>
      <x:c r="E89" s="70" t="str"/>
      <x:c r="F89" s="70" t="str"/>
      <x:c r="G89" s="70" t="str"/>
      <x:c r="H89" s="70" t="str"/>
      <x:c r="I89" s="70" t="str"/>
      <x:c r="J89" s="70" t="str"/>
      <x:c r="K89" s="70" t="str"/>
      <x:c r="L89" s="70" t="str"/>
      <x:c r="M89" s="70" t="str"/>
      <x:c r="N89" s="70" t="str"/>
      <x:c r="O89" s="70" t="str"/>
      <x:c r="P89" s="70" t="str"/>
      <x:c r="Q89" s="70" t="str"/>
      <x:c r="R89" s="70" t="str">
        <x:v>无</x:v>
      </x:c>
      <x:c r="S89" s="70" t="str">
        <x:v>否</x:v>
      </x:c>
      <x:c r="T89" s="70" t="str"/>
    </x:row>
    <x:row r="90">
      <x:c r="A90" s="70" t="str">
        <x:v>M5E-0085</x:v>
      </x:c>
      <x:c r="B90" s="70" t="str"/>
      <x:c r="C90" s="70" t="str"/>
      <x:c r="D90" s="70" t="str"/>
      <x:c r="E90" s="70" t="str"/>
      <x:c r="F90" s="70" t="str"/>
      <x:c r="G90" s="70" t="str"/>
      <x:c r="H90" s="70" t="str"/>
      <x:c r="I90" s="70" t="str"/>
      <x:c r="J90" s="70" t="str"/>
      <x:c r="K90" s="70" t="str"/>
      <x:c r="L90" s="70" t="str"/>
      <x:c r="M90" s="70" t="str"/>
      <x:c r="N90" s="70" t="str"/>
      <x:c r="O90" s="70" t="str"/>
      <x:c r="P90" s="70" t="str"/>
      <x:c r="Q90" s="70" t="str"/>
      <x:c r="R90" s="70" t="str">
        <x:v>无</x:v>
      </x:c>
      <x:c r="S90" s="70" t="str">
        <x:v>否</x:v>
      </x:c>
      <x:c r="T90" s="70" t="str"/>
    </x:row>
    <x:row r="91">
      <x:c r="A91" s="70" t="str">
        <x:v>M5E-0086</x:v>
      </x:c>
      <x:c r="B91" s="70" t="str"/>
      <x:c r="C91" s="70" t="str"/>
      <x:c r="D91" s="70" t="str"/>
      <x:c r="E91" s="70" t="str"/>
      <x:c r="F91" s="70" t="str"/>
      <x:c r="G91" s="70" t="str"/>
      <x:c r="H91" s="70" t="str"/>
      <x:c r="I91" s="70" t="str"/>
      <x:c r="J91" s="70" t="str"/>
      <x:c r="K91" s="70" t="str"/>
      <x:c r="L91" s="70" t="str"/>
      <x:c r="M91" s="70" t="str"/>
      <x:c r="N91" s="70" t="str"/>
      <x:c r="O91" s="70" t="str"/>
      <x:c r="P91" s="70" t="str"/>
      <x:c r="Q91" s="70" t="str"/>
      <x:c r="R91" s="70" t="str">
        <x:v>无</x:v>
      </x:c>
      <x:c r="S91" s="70" t="str">
        <x:v>否</x:v>
      </x:c>
      <x:c r="T91" s="70" t="str"/>
    </x:row>
    <x:row r="92">
      <x:c r="A92" s="70" t="str">
        <x:v>M5E-0087</x:v>
      </x:c>
      <x:c r="B92" s="70" t="str"/>
      <x:c r="C92" s="70" t="str"/>
      <x:c r="D92" s="70" t="str"/>
      <x:c r="E92" s="70" t="str"/>
      <x:c r="F92" s="70" t="str"/>
      <x:c r="G92" s="70" t="str"/>
      <x:c r="H92" s="70" t="str"/>
      <x:c r="I92" s="70" t="str"/>
      <x:c r="J92" s="70" t="str"/>
      <x:c r="K92" s="70" t="str"/>
      <x:c r="L92" s="70" t="str"/>
      <x:c r="M92" s="70" t="str"/>
      <x:c r="N92" s="70" t="str"/>
      <x:c r="O92" s="70" t="str"/>
      <x:c r="P92" s="70" t="str"/>
      <x:c r="Q92" s="70" t="str"/>
      <x:c r="R92" s="70" t="str">
        <x:v>无</x:v>
      </x:c>
      <x:c r="S92" s="70" t="str">
        <x:v>否</x:v>
      </x:c>
      <x:c r="T92" s="70" t="str"/>
    </x:row>
    <x:row r="93">
      <x:c r="A93" s="70" t="str">
        <x:v>M5E-0088</x:v>
      </x:c>
      <x:c r="B93" s="70" t="str"/>
      <x:c r="C93" s="70" t="str"/>
      <x:c r="D93" s="70" t="str"/>
      <x:c r="E93" s="70" t="str"/>
      <x:c r="F93" s="70" t="str"/>
      <x:c r="G93" s="70" t="str"/>
      <x:c r="H93" s="70" t="str"/>
      <x:c r="I93" s="70" t="str"/>
      <x:c r="J93" s="70" t="str"/>
      <x:c r="K93" s="70" t="str"/>
      <x:c r="L93" s="70" t="str"/>
      <x:c r="M93" s="70" t="str"/>
      <x:c r="N93" s="70" t="str"/>
      <x:c r="O93" s="70" t="str"/>
      <x:c r="P93" s="70" t="str"/>
      <x:c r="Q93" s="70" t="str"/>
      <x:c r="R93" s="70" t="str">
        <x:v>无</x:v>
      </x:c>
      <x:c r="S93" s="70" t="str">
        <x:v>否</x:v>
      </x:c>
      <x:c r="T93" s="70" t="str"/>
    </x:row>
    <x:row r="94">
      <x:c r="A94" s="70" t="str">
        <x:v>M5E-0089</x:v>
      </x:c>
      <x:c r="B94" s="70" t="str"/>
      <x:c r="C94" s="70" t="str"/>
      <x:c r="D94" s="70" t="str"/>
      <x:c r="E94" s="70" t="str"/>
      <x:c r="F94" s="70" t="str"/>
      <x:c r="G94" s="70" t="str"/>
      <x:c r="H94" s="70" t="str"/>
      <x:c r="I94" s="70" t="str"/>
      <x:c r="J94" s="70" t="str"/>
      <x:c r="K94" s="70" t="str"/>
      <x:c r="L94" s="70" t="str"/>
      <x:c r="M94" s="70" t="str"/>
      <x:c r="N94" s="70" t="str"/>
      <x:c r="O94" s="70" t="str"/>
      <x:c r="P94" s="70" t="str"/>
      <x:c r="Q94" s="70" t="str"/>
      <x:c r="R94" s="70" t="str">
        <x:v>无</x:v>
      </x:c>
      <x:c r="S94" s="70" t="str">
        <x:v>否</x:v>
      </x:c>
      <x:c r="T94" s="70" t="str"/>
    </x:row>
    <x:row r="95">
      <x:c r="A95" s="70" t="str">
        <x:v>M5E-0090</x:v>
      </x:c>
      <x:c r="B95" s="70" t="str"/>
      <x:c r="C95" s="70" t="str"/>
      <x:c r="D95" s="70" t="str"/>
      <x:c r="E95" s="70" t="str"/>
      <x:c r="F95" s="70" t="str"/>
      <x:c r="G95" s="70" t="str"/>
      <x:c r="H95" s="70" t="str"/>
      <x:c r="I95" s="70" t="str"/>
      <x:c r="J95" s="70" t="str"/>
      <x:c r="K95" s="70" t="str"/>
      <x:c r="L95" s="70" t="str"/>
      <x:c r="M95" s="70" t="str"/>
      <x:c r="N95" s="70" t="str"/>
      <x:c r="O95" s="70" t="str"/>
      <x:c r="P95" s="70" t="str"/>
      <x:c r="Q95" s="70" t="str"/>
      <x:c r="R95" s="70" t="str">
        <x:v>无</x:v>
      </x:c>
      <x:c r="S95" s="70" t="str">
        <x:v>否</x:v>
      </x:c>
      <x:c r="T95" s="70" t="str"/>
    </x:row>
    <x:row r="96">
      <x:c r="A96" s="70" t="str">
        <x:v>M5E-0091</x:v>
      </x:c>
      <x:c r="B96" s="70" t="str"/>
      <x:c r="C96" s="70" t="str"/>
      <x:c r="D96" s="70" t="str"/>
      <x:c r="E96" s="70" t="str"/>
      <x:c r="F96" s="70" t="str"/>
      <x:c r="G96" s="70" t="str"/>
      <x:c r="H96" s="70" t="str"/>
      <x:c r="I96" s="70" t="str"/>
      <x:c r="J96" s="70" t="str"/>
      <x:c r="K96" s="70" t="str"/>
      <x:c r="L96" s="70" t="str"/>
      <x:c r="M96" s="70" t="str"/>
      <x:c r="N96" s="70" t="str"/>
      <x:c r="O96" s="70" t="str"/>
      <x:c r="P96" s="70" t="str"/>
      <x:c r="Q96" s="70" t="str"/>
      <x:c r="R96" s="70" t="str">
        <x:v>无</x:v>
      </x:c>
      <x:c r="S96" s="70" t="str">
        <x:v>否</x:v>
      </x:c>
      <x:c r="T96" s="70" t="str"/>
    </x:row>
    <x:row r="97">
      <x:c r="A97" s="70" t="str">
        <x:v>M5E-0092</x:v>
      </x:c>
      <x:c r="B97" s="70" t="str"/>
      <x:c r="C97" s="70" t="str"/>
      <x:c r="D97" s="70" t="str"/>
      <x:c r="E97" s="70" t="str"/>
      <x:c r="F97" s="70" t="str"/>
      <x:c r="G97" s="70" t="str"/>
      <x:c r="H97" s="70" t="str"/>
      <x:c r="I97" s="70" t="str"/>
      <x:c r="J97" s="70" t="str"/>
      <x:c r="K97" s="70" t="str"/>
      <x:c r="L97" s="70" t="str"/>
      <x:c r="M97" s="70" t="str"/>
      <x:c r="N97" s="70" t="str"/>
      <x:c r="O97" s="70" t="str"/>
      <x:c r="P97" s="70" t="str"/>
      <x:c r="Q97" s="70" t="str"/>
      <x:c r="R97" s="70" t="str">
        <x:v>无</x:v>
      </x:c>
      <x:c r="S97" s="70" t="str">
        <x:v>否</x:v>
      </x:c>
      <x:c r="T97" s="70" t="str"/>
    </x:row>
    <x:row r="98">
      <x:c r="A98" s="70" t="str">
        <x:v>M5E-0093</x:v>
      </x:c>
      <x:c r="B98" s="70" t="str"/>
      <x:c r="C98" s="70" t="str"/>
      <x:c r="D98" s="70" t="str"/>
      <x:c r="E98" s="70" t="str"/>
      <x:c r="F98" s="70" t="str"/>
      <x:c r="G98" s="70" t="str"/>
      <x:c r="H98" s="70" t="str"/>
      <x:c r="I98" s="70" t="str"/>
      <x:c r="J98" s="70" t="str"/>
      <x:c r="K98" s="70" t="str"/>
      <x:c r="L98" s="70" t="str"/>
      <x:c r="M98" s="70" t="str"/>
      <x:c r="N98" s="70" t="str"/>
      <x:c r="O98" s="70" t="str"/>
      <x:c r="P98" s="70" t="str"/>
      <x:c r="Q98" s="70" t="str"/>
      <x:c r="R98" s="70" t="str">
        <x:v>无</x:v>
      </x:c>
      <x:c r="S98" s="70" t="str">
        <x:v>否</x:v>
      </x:c>
      <x:c r="T98" s="70" t="str"/>
    </x:row>
    <x:row r="99">
      <x:c r="A99" s="70" t="str">
        <x:v>M5E-0094</x:v>
      </x:c>
      <x:c r="B99" s="70" t="str"/>
      <x:c r="C99" s="70" t="str"/>
      <x:c r="D99" s="70" t="str"/>
      <x:c r="E99" s="70" t="str"/>
      <x:c r="F99" s="70" t="str"/>
      <x:c r="G99" s="70" t="str"/>
      <x:c r="H99" s="70" t="str"/>
      <x:c r="I99" s="70" t="str"/>
      <x:c r="J99" s="70" t="str"/>
      <x:c r="K99" s="70" t="str"/>
      <x:c r="L99" s="70" t="str"/>
      <x:c r="M99" s="70" t="str"/>
      <x:c r="N99" s="70" t="str"/>
      <x:c r="O99" s="70" t="str"/>
      <x:c r="P99" s="70" t="str"/>
      <x:c r="Q99" s="70" t="str"/>
      <x:c r="R99" s="70" t="str">
        <x:v>无</x:v>
      </x:c>
      <x:c r="S99" s="70" t="str">
        <x:v>否</x:v>
      </x:c>
      <x:c r="T99" s="70" t="str"/>
    </x:row>
    <x:row r="100">
      <x:c r="A100" s="70" t="str">
        <x:v>M5E-0095</x:v>
      </x:c>
      <x:c r="B100" s="70" t="str"/>
      <x:c r="C100" s="70" t="str"/>
      <x:c r="D100" s="70" t="str"/>
      <x:c r="E100" s="70" t="str"/>
      <x:c r="F100" s="70" t="str"/>
      <x:c r="G100" s="70" t="str"/>
      <x:c r="H100" s="70" t="str"/>
      <x:c r="I100" s="70" t="str"/>
      <x:c r="J100" s="70" t="str"/>
      <x:c r="K100" s="70" t="str"/>
      <x:c r="L100" s="70" t="str"/>
      <x:c r="M100" s="70" t="str"/>
      <x:c r="N100" s="70" t="str"/>
      <x:c r="O100" s="70" t="str"/>
      <x:c r="P100" s="70" t="str"/>
      <x:c r="Q100" s="70" t="str"/>
      <x:c r="R100" s="70" t="str">
        <x:v>无</x:v>
      </x:c>
      <x:c r="S100" s="70" t="str">
        <x:v>否</x:v>
      </x:c>
      <x:c r="T100" s="70" t="str"/>
    </x:row>
    <x:row r="101">
      <x:c r="A101" s="70" t="str">
        <x:v>M5E-0096</x:v>
      </x:c>
      <x:c r="B101" s="70" t="str"/>
      <x:c r="C101" s="70" t="str"/>
      <x:c r="D101" s="70" t="str"/>
      <x:c r="E101" s="70" t="str"/>
      <x:c r="F101" s="70" t="str"/>
      <x:c r="G101" s="70" t="str"/>
      <x:c r="H101" s="70" t="str"/>
      <x:c r="I101" s="70" t="str"/>
      <x:c r="J101" s="70" t="str"/>
      <x:c r="K101" s="70" t="str"/>
      <x:c r="L101" s="70" t="str"/>
      <x:c r="M101" s="70" t="str"/>
      <x:c r="N101" s="70" t="str"/>
      <x:c r="O101" s="70" t="str"/>
      <x:c r="P101" s="70" t="str"/>
      <x:c r="Q101" s="70" t="str"/>
      <x:c r="R101" s="70" t="str">
        <x:v>无</x:v>
      </x:c>
      <x:c r="S101" s="70" t="str">
        <x:v>否</x:v>
      </x:c>
      <x:c r="T101" s="70" t="str"/>
    </x:row>
    <x:row r="102">
      <x:c r="A102" s="70" t="str">
        <x:v>M5E-0097</x:v>
      </x:c>
      <x:c r="B102" s="70" t="str"/>
      <x:c r="C102" s="70" t="str"/>
      <x:c r="D102" s="70" t="str"/>
      <x:c r="E102" s="70" t="str"/>
      <x:c r="F102" s="70" t="str"/>
      <x:c r="G102" s="70" t="str"/>
      <x:c r="H102" s="70" t="str"/>
      <x:c r="I102" s="70" t="str"/>
      <x:c r="J102" s="70" t="str"/>
      <x:c r="K102" s="70" t="str"/>
      <x:c r="L102" s="70" t="str"/>
      <x:c r="M102" s="70" t="str"/>
      <x:c r="N102" s="70" t="str"/>
      <x:c r="O102" s="70" t="str"/>
      <x:c r="P102" s="70" t="str"/>
      <x:c r="Q102" s="70" t="str"/>
      <x:c r="R102" s="70" t="str">
        <x:v>无</x:v>
      </x:c>
      <x:c r="S102" s="70" t="str">
        <x:v>否</x:v>
      </x:c>
      <x:c r="T102" s="70" t="str"/>
    </x:row>
    <x:row r="103">
      <x:c r="A103" s="70" t="str">
        <x:v>M5E-0098</x:v>
      </x:c>
      <x:c r="B103" s="70" t="str"/>
      <x:c r="C103" s="70" t="str"/>
      <x:c r="D103" s="70" t="str"/>
      <x:c r="E103" s="70" t="str"/>
      <x:c r="F103" s="70" t="str"/>
      <x:c r="G103" s="70" t="str"/>
      <x:c r="H103" s="70" t="str"/>
      <x:c r="I103" s="70" t="str"/>
      <x:c r="J103" s="70" t="str"/>
      <x:c r="K103" s="70" t="str"/>
      <x:c r="L103" s="70" t="str"/>
      <x:c r="M103" s="70" t="str"/>
      <x:c r="N103" s="70" t="str"/>
      <x:c r="O103" s="70" t="str"/>
      <x:c r="P103" s="70" t="str"/>
      <x:c r="Q103" s="70" t="str"/>
      <x:c r="R103" s="70" t="str">
        <x:v>无</x:v>
      </x:c>
      <x:c r="S103" s="70" t="str">
        <x:v>否</x:v>
      </x:c>
      <x:c r="T103" s="70" t="str"/>
    </x:row>
    <x:row r="104">
      <x:c r="A104" s="70" t="str">
        <x:v>M5E-0099</x:v>
      </x:c>
      <x:c r="B104" s="70" t="str"/>
      <x:c r="C104" s="70" t="str"/>
      <x:c r="D104" s="70" t="str"/>
      <x:c r="E104" s="70" t="str"/>
      <x:c r="F104" s="70" t="str"/>
      <x:c r="G104" s="70" t="str"/>
      <x:c r="H104" s="70" t="str"/>
      <x:c r="I104" s="70" t="str"/>
      <x:c r="J104" s="70" t="str"/>
      <x:c r="K104" s="70" t="str"/>
      <x:c r="L104" s="70" t="str"/>
      <x:c r="M104" s="70" t="str"/>
      <x:c r="N104" s="70" t="str"/>
      <x:c r="O104" s="70" t="str"/>
      <x:c r="P104" s="70" t="str"/>
      <x:c r="Q104" s="70" t="str"/>
      <x:c r="R104" s="70" t="str">
        <x:v>无</x:v>
      </x:c>
      <x:c r="S104" s="70" t="str">
        <x:v>否</x:v>
      </x:c>
      <x:c r="T104" s="70" t="str"/>
    </x:row>
    <x:row r="105">
      <x:c r="A105" s="70" t="str">
        <x:v>M5E-0100</x:v>
      </x:c>
      <x:c r="B105" s="70" t="str"/>
      <x:c r="C105" s="70" t="str"/>
      <x:c r="D105" s="70" t="str"/>
      <x:c r="E105" s="70" t="str"/>
      <x:c r="F105" s="70" t="str"/>
      <x:c r="G105" s="70" t="str"/>
      <x:c r="H105" s="70" t="str"/>
      <x:c r="I105" s="70" t="str"/>
      <x:c r="J105" s="70" t="str"/>
      <x:c r="K105" s="70" t="str"/>
      <x:c r="L105" s="70" t="str"/>
      <x:c r="M105" s="70" t="str"/>
      <x:c r="N105" s="70" t="str"/>
      <x:c r="O105" s="70" t="str"/>
      <x:c r="P105" s="70" t="str"/>
      <x:c r="Q105" s="70" t="str"/>
      <x:c r="R105" s="70" t="str">
        <x:v>无</x:v>
      </x:c>
      <x:c r="S105" s="70" t="str">
        <x:v>否</x:v>
      </x:c>
      <x:c r="T105" s="70" t="str"/>
    </x:row>
    <x:row r="106">
      <x:c r="A106" s="70" t="str">
        <x:v>M5E-0101</x:v>
      </x:c>
      <x:c r="B106" s="70" t="str"/>
      <x:c r="C106" s="70" t="str"/>
      <x:c r="D106" s="70" t="str"/>
      <x:c r="E106" s="70" t="str"/>
      <x:c r="F106" s="70" t="str"/>
      <x:c r="G106" s="70" t="str"/>
      <x:c r="H106" s="70" t="str"/>
      <x:c r="I106" s="70" t="str"/>
      <x:c r="J106" s="70" t="str"/>
      <x:c r="K106" s="70" t="str"/>
      <x:c r="L106" s="70" t="str"/>
      <x:c r="M106" s="70" t="str"/>
      <x:c r="N106" s="70" t="str"/>
      <x:c r="O106" s="70" t="str"/>
      <x:c r="P106" s="70" t="str"/>
      <x:c r="Q106" s="70" t="str"/>
      <x:c r="R106" s="70" t="str">
        <x:v>无</x:v>
      </x:c>
      <x:c r="S106" s="70" t="str">
        <x:v>否</x:v>
      </x:c>
      <x:c r="T106" s="70" t="str"/>
    </x:row>
    <x:row r="107">
      <x:c r="A107" s="70" t="str">
        <x:v>M5E-0102</x:v>
      </x:c>
      <x:c r="B107" s="70" t="str"/>
      <x:c r="C107" s="70" t="str"/>
      <x:c r="D107" s="70" t="str"/>
      <x:c r="E107" s="70" t="str"/>
      <x:c r="F107" s="70" t="str"/>
      <x:c r="G107" s="70" t="str"/>
      <x:c r="H107" s="70" t="str"/>
      <x:c r="I107" s="70" t="str"/>
      <x:c r="J107" s="70" t="str"/>
      <x:c r="K107" s="70" t="str"/>
      <x:c r="L107" s="70" t="str"/>
      <x:c r="M107" s="70" t="str"/>
      <x:c r="N107" s="70" t="str"/>
      <x:c r="O107" s="70" t="str"/>
      <x:c r="P107" s="70" t="str"/>
      <x:c r="Q107" s="70" t="str"/>
      <x:c r="R107" s="70" t="str">
        <x:v>无</x:v>
      </x:c>
      <x:c r="S107" s="70" t="str">
        <x:v>否</x:v>
      </x:c>
      <x:c r="T107" s="70" t="str"/>
    </x:row>
    <x:row r="108">
      <x:c r="A108" s="70" t="str">
        <x:v>M5E-0103</x:v>
      </x:c>
      <x:c r="B108" s="70" t="str"/>
      <x:c r="C108" s="70" t="str"/>
      <x:c r="D108" s="70" t="str"/>
      <x:c r="E108" s="70" t="str"/>
      <x:c r="F108" s="70" t="str"/>
      <x:c r="G108" s="70" t="str"/>
      <x:c r="H108" s="70" t="str"/>
      <x:c r="I108" s="70" t="str"/>
      <x:c r="J108" s="70" t="str"/>
      <x:c r="K108" s="70" t="str"/>
      <x:c r="L108" s="70" t="str"/>
      <x:c r="M108" s="70" t="str"/>
      <x:c r="N108" s="70" t="str"/>
      <x:c r="O108" s="70" t="str"/>
      <x:c r="P108" s="70" t="str"/>
      <x:c r="Q108" s="70" t="str"/>
      <x:c r="R108" s="70" t="str">
        <x:v>无</x:v>
      </x:c>
      <x:c r="S108" s="70" t="str">
        <x:v>否</x:v>
      </x:c>
      <x:c r="T108" s="70" t="str"/>
    </x:row>
    <x:row r="109">
      <x:c r="A109" s="70" t="str">
        <x:v>M5E-0104</x:v>
      </x:c>
      <x:c r="B109" s="70" t="str"/>
      <x:c r="C109" s="70" t="str"/>
      <x:c r="D109" s="70" t="str"/>
      <x:c r="E109" s="70" t="str"/>
      <x:c r="F109" s="70" t="str"/>
      <x:c r="G109" s="70" t="str"/>
      <x:c r="H109" s="70" t="str"/>
      <x:c r="I109" s="70" t="str"/>
      <x:c r="J109" s="70" t="str"/>
      <x:c r="K109" s="70" t="str"/>
      <x:c r="L109" s="70" t="str"/>
      <x:c r="M109" s="70" t="str"/>
      <x:c r="N109" s="70" t="str"/>
      <x:c r="O109" s="70" t="str"/>
      <x:c r="P109" s="70" t="str"/>
      <x:c r="Q109" s="70" t="str"/>
      <x:c r="R109" s="70" t="str">
        <x:v>无</x:v>
      </x:c>
      <x:c r="S109" s="70" t="str">
        <x:v>否</x:v>
      </x:c>
      <x:c r="T109" s="70" t="str"/>
    </x:row>
    <x:row r="110">
      <x:c r="A110" s="70" t="str">
        <x:v>M5E-0105</x:v>
      </x:c>
      <x:c r="B110" s="70" t="str"/>
      <x:c r="C110" s="70" t="str"/>
      <x:c r="D110" s="70" t="str"/>
      <x:c r="E110" s="70" t="str"/>
      <x:c r="F110" s="70" t="str"/>
      <x:c r="G110" s="70" t="str"/>
      <x:c r="H110" s="70" t="str"/>
      <x:c r="I110" s="70" t="str"/>
      <x:c r="J110" s="70" t="str"/>
      <x:c r="K110" s="70" t="str"/>
      <x:c r="L110" s="70" t="str"/>
      <x:c r="M110" s="70" t="str"/>
      <x:c r="N110" s="70" t="str"/>
      <x:c r="O110" s="70" t="str"/>
      <x:c r="P110" s="70" t="str"/>
      <x:c r="Q110" s="70" t="str"/>
      <x:c r="R110" s="70" t="str">
        <x:v>无</x:v>
      </x:c>
      <x:c r="S110" s="70" t="str">
        <x:v>否</x:v>
      </x:c>
      <x:c r="T110" s="70" t="str"/>
    </x:row>
    <x:row r="111">
      <x:c r="A111" s="70" t="str">
        <x:v>M5E-0106</x:v>
      </x:c>
      <x:c r="B111" s="70" t="str"/>
      <x:c r="C111" s="70" t="str"/>
      <x:c r="D111" s="70" t="str"/>
      <x:c r="E111" s="70" t="str"/>
      <x:c r="F111" s="70" t="str"/>
      <x:c r="G111" s="70" t="str"/>
      <x:c r="H111" s="70" t="str"/>
      <x:c r="I111" s="70" t="str"/>
      <x:c r="J111" s="70" t="str"/>
      <x:c r="K111" s="70" t="str"/>
      <x:c r="L111" s="70" t="str"/>
      <x:c r="M111" s="70" t="str"/>
      <x:c r="N111" s="70" t="str"/>
      <x:c r="O111" s="70" t="str"/>
      <x:c r="P111" s="70" t="str"/>
      <x:c r="Q111" s="70" t="str"/>
      <x:c r="R111" s="70" t="str">
        <x:v>无</x:v>
      </x:c>
      <x:c r="S111" s="70" t="str">
        <x:v>否</x:v>
      </x:c>
      <x:c r="T111" s="70" t="str"/>
    </x:row>
    <x:row r="112">
      <x:c r="A112" s="70" t="str">
        <x:v>M5E-0107</x:v>
      </x:c>
      <x:c r="B112" s="70" t="str"/>
      <x:c r="C112" s="70" t="str"/>
      <x:c r="D112" s="70" t="str"/>
      <x:c r="E112" s="70" t="str"/>
      <x:c r="F112" s="70" t="str"/>
      <x:c r="G112" s="70" t="str"/>
      <x:c r="H112" s="70" t="str"/>
      <x:c r="I112" s="70" t="str"/>
      <x:c r="J112" s="70" t="str"/>
      <x:c r="K112" s="70" t="str"/>
      <x:c r="L112" s="70" t="str"/>
      <x:c r="M112" s="70" t="str"/>
      <x:c r="N112" s="70" t="str"/>
      <x:c r="O112" s="70" t="str"/>
      <x:c r="P112" s="70" t="str"/>
      <x:c r="Q112" s="70" t="str"/>
      <x:c r="R112" s="70" t="str">
        <x:v>无</x:v>
      </x:c>
      <x:c r="S112" s="70" t="str">
        <x:v>否</x:v>
      </x:c>
      <x:c r="T112" s="70" t="str"/>
    </x:row>
    <x:row r="113">
      <x:c r="A113" s="70" t="str">
        <x:v>M5E-0108</x:v>
      </x:c>
      <x:c r="B113" s="70" t="str"/>
      <x:c r="C113" s="70" t="str"/>
      <x:c r="D113" s="70" t="str"/>
      <x:c r="E113" s="70" t="str"/>
      <x:c r="F113" s="70" t="str"/>
      <x:c r="G113" s="70" t="str"/>
      <x:c r="H113" s="70" t="str"/>
      <x:c r="I113" s="70" t="str"/>
      <x:c r="J113" s="70" t="str"/>
      <x:c r="K113" s="70" t="str"/>
      <x:c r="L113" s="70" t="str"/>
      <x:c r="M113" s="70" t="str"/>
      <x:c r="N113" s="70" t="str"/>
      <x:c r="O113" s="70" t="str"/>
      <x:c r="P113" s="70" t="str"/>
      <x:c r="Q113" s="70" t="str"/>
      <x:c r="R113" s="70" t="str">
        <x:v>无</x:v>
      </x:c>
      <x:c r="S113" s="70" t="str">
        <x:v>否</x:v>
      </x:c>
      <x:c r="T113" s="70" t="str"/>
    </x:row>
    <x:row r="114">
      <x:c r="A114" s="70" t="str">
        <x:v>M5E-0109</x:v>
      </x:c>
      <x:c r="B114" s="70" t="str"/>
      <x:c r="C114" s="70" t="str"/>
      <x:c r="D114" s="70" t="str"/>
      <x:c r="E114" s="70" t="str"/>
      <x:c r="F114" s="70" t="str"/>
      <x:c r="G114" s="70" t="str"/>
      <x:c r="H114" s="70" t="str"/>
      <x:c r="I114" s="70" t="str"/>
      <x:c r="J114" s="70" t="str"/>
      <x:c r="K114" s="70" t="str"/>
      <x:c r="L114" s="70" t="str"/>
      <x:c r="M114" s="70" t="str"/>
      <x:c r="N114" s="70" t="str"/>
      <x:c r="O114" s="70" t="str"/>
      <x:c r="P114" s="70" t="str"/>
      <x:c r="Q114" s="70" t="str"/>
      <x:c r="R114" s="70" t="str">
        <x:v>无</x:v>
      </x:c>
      <x:c r="S114" s="70" t="str">
        <x:v>否</x:v>
      </x:c>
      <x:c r="T114" s="70" t="str"/>
    </x:row>
    <x:row r="115">
      <x:c r="A115" s="70" t="str">
        <x:v>M5E-0110</x:v>
      </x:c>
      <x:c r="B115" s="70" t="str"/>
      <x:c r="C115" s="70" t="str"/>
      <x:c r="D115" s="70" t="str"/>
      <x:c r="E115" s="70" t="str"/>
      <x:c r="F115" s="70" t="str"/>
      <x:c r="G115" s="70" t="str"/>
      <x:c r="H115" s="70" t="str"/>
      <x:c r="I115" s="70" t="str"/>
      <x:c r="J115" s="70" t="str"/>
      <x:c r="K115" s="70" t="str"/>
      <x:c r="L115" s="70" t="str"/>
      <x:c r="M115" s="70" t="str"/>
      <x:c r="N115" s="70" t="str"/>
      <x:c r="O115" s="70" t="str"/>
      <x:c r="P115" s="70" t="str"/>
      <x:c r="Q115" s="70" t="str"/>
      <x:c r="R115" s="70" t="str">
        <x:v>无</x:v>
      </x:c>
      <x:c r="S115" s="70" t="str">
        <x:v>否</x:v>
      </x:c>
      <x:c r="T115" s="70" t="str"/>
    </x:row>
    <x:row r="116">
      <x:c r="A116" s="70" t="str">
        <x:v>M5E-0111</x:v>
      </x:c>
      <x:c r="B116" s="70" t="str"/>
      <x:c r="C116" s="70" t="str"/>
      <x:c r="D116" s="70" t="str"/>
      <x:c r="E116" s="70" t="str"/>
      <x:c r="F116" s="70" t="str"/>
      <x:c r="G116" s="70" t="str"/>
      <x:c r="H116" s="70" t="str"/>
      <x:c r="I116" s="70" t="str"/>
      <x:c r="J116" s="70" t="str"/>
      <x:c r="K116" s="70" t="str"/>
      <x:c r="L116" s="70" t="str"/>
      <x:c r="M116" s="70" t="str"/>
      <x:c r="N116" s="70" t="str"/>
      <x:c r="O116" s="70" t="str"/>
      <x:c r="P116" s="70" t="str"/>
      <x:c r="Q116" s="70" t="str"/>
      <x:c r="R116" s="70" t="str">
        <x:v>无</x:v>
      </x:c>
      <x:c r="S116" s="70" t="str">
        <x:v>否</x:v>
      </x:c>
      <x:c r="T116" s="70" t="str"/>
    </x:row>
    <x:row r="117">
      <x:c r="A117" s="70" t="str">
        <x:v>M5E-0112</x:v>
      </x:c>
      <x:c r="B117" s="70" t="str"/>
      <x:c r="C117" s="70" t="str"/>
      <x:c r="D117" s="70" t="str"/>
      <x:c r="E117" s="70" t="str"/>
      <x:c r="F117" s="70" t="str"/>
      <x:c r="G117" s="70" t="str"/>
      <x:c r="H117" s="70" t="str"/>
      <x:c r="I117" s="70" t="str"/>
      <x:c r="J117" s="70" t="str"/>
      <x:c r="K117" s="70" t="str"/>
      <x:c r="L117" s="70" t="str"/>
      <x:c r="M117" s="70" t="str"/>
      <x:c r="N117" s="70" t="str"/>
      <x:c r="O117" s="70" t="str"/>
      <x:c r="P117" s="70" t="str"/>
      <x:c r="Q117" s="70" t="str"/>
      <x:c r="R117" s="70" t="str">
        <x:v>无</x:v>
      </x:c>
      <x:c r="S117" s="70" t="str">
        <x:v>否</x:v>
      </x:c>
      <x:c r="T117" s="70" t="str"/>
    </x:row>
    <x:row r="118">
      <x:c r="A118" s="70" t="str">
        <x:v>M5E-0113</x:v>
      </x:c>
      <x:c r="B118" s="70" t="str"/>
      <x:c r="C118" s="70" t="str"/>
      <x:c r="D118" s="70" t="str"/>
      <x:c r="E118" s="70" t="str"/>
      <x:c r="F118" s="70" t="str"/>
      <x:c r="G118" s="70" t="str"/>
      <x:c r="H118" s="70" t="str"/>
      <x:c r="I118" s="70" t="str"/>
      <x:c r="J118" s="70" t="str"/>
      <x:c r="K118" s="70" t="str"/>
      <x:c r="L118" s="70" t="str"/>
      <x:c r="M118" s="70" t="str"/>
      <x:c r="N118" s="70" t="str"/>
      <x:c r="O118" s="70" t="str"/>
      <x:c r="P118" s="70" t="str"/>
      <x:c r="Q118" s="70" t="str"/>
      <x:c r="R118" s="70" t="str">
        <x:v>无</x:v>
      </x:c>
      <x:c r="S118" s="70" t="str">
        <x:v>否</x:v>
      </x:c>
      <x:c r="T118" s="70" t="str"/>
    </x:row>
    <x:row r="119">
      <x:c r="A119" s="70" t="str">
        <x:v>M5E-0114</x:v>
      </x:c>
      <x:c r="B119" s="70" t="str"/>
      <x:c r="C119" s="70" t="str"/>
      <x:c r="D119" s="70" t="str"/>
      <x:c r="E119" s="70" t="str"/>
      <x:c r="F119" s="70" t="str"/>
      <x:c r="G119" s="70" t="str"/>
      <x:c r="H119" s="70" t="str"/>
      <x:c r="I119" s="70" t="str"/>
      <x:c r="J119" s="70" t="str"/>
      <x:c r="K119" s="70" t="str"/>
      <x:c r="L119" s="70" t="str"/>
      <x:c r="M119" s="70" t="str"/>
      <x:c r="N119" s="70" t="str"/>
      <x:c r="O119" s="70" t="str"/>
      <x:c r="P119" s="70" t="str"/>
      <x:c r="Q119" s="70" t="str"/>
      <x:c r="R119" s="70" t="str">
        <x:v>无</x:v>
      </x:c>
      <x:c r="S119" s="70" t="str">
        <x:v>否</x:v>
      </x:c>
      <x:c r="T119" s="70" t="str"/>
    </x:row>
    <x:row r="120">
      <x:c r="A120" s="70" t="str">
        <x:v>M5E-0115</x:v>
      </x:c>
      <x:c r="B120" s="70" t="str"/>
      <x:c r="C120" s="70" t="str"/>
      <x:c r="D120" s="70" t="str"/>
      <x:c r="E120" s="70" t="str"/>
      <x:c r="F120" s="70" t="str"/>
      <x:c r="G120" s="70" t="str"/>
      <x:c r="H120" s="70" t="str"/>
      <x:c r="I120" s="70" t="str"/>
      <x:c r="J120" s="70" t="str"/>
      <x:c r="K120" s="70" t="str"/>
      <x:c r="L120" s="70" t="str"/>
      <x:c r="M120" s="70" t="str"/>
      <x:c r="N120" s="70" t="str"/>
      <x:c r="O120" s="70" t="str"/>
      <x:c r="P120" s="70" t="str"/>
      <x:c r="Q120" s="70" t="str"/>
      <x:c r="R120" s="70" t="str">
        <x:v>无</x:v>
      </x:c>
      <x:c r="S120" s="70" t="str">
        <x:v>否</x:v>
      </x:c>
      <x:c r="T120" s="70" t="str"/>
    </x:row>
    <x:row r="121">
      <x:c r="A121" s="70" t="str">
        <x:v>M5E-0116</x:v>
      </x:c>
      <x:c r="B121" s="70" t="str"/>
      <x:c r="C121" s="70" t="str"/>
      <x:c r="D121" s="70" t="str"/>
      <x:c r="E121" s="70" t="str"/>
      <x:c r="F121" s="70" t="str"/>
      <x:c r="G121" s="70" t="str"/>
      <x:c r="H121" s="70" t="str"/>
      <x:c r="I121" s="70" t="str"/>
      <x:c r="J121" s="70" t="str"/>
      <x:c r="K121" s="70" t="str"/>
      <x:c r="L121" s="70" t="str"/>
      <x:c r="M121" s="70" t="str"/>
      <x:c r="N121" s="70" t="str"/>
      <x:c r="O121" s="70" t="str"/>
      <x:c r="P121" s="70" t="str"/>
      <x:c r="Q121" s="70" t="str"/>
      <x:c r="R121" s="70" t="str">
        <x:v>无</x:v>
      </x:c>
      <x:c r="S121" s="70" t="str">
        <x:v>否</x:v>
      </x:c>
      <x:c r="T121" s="70" t="str"/>
    </x:row>
    <x:row r="122">
      <x:c r="A122" s="70" t="str">
        <x:v>M5E-0117</x:v>
      </x:c>
      <x:c r="B122" s="70" t="str"/>
      <x:c r="C122" s="70" t="str"/>
      <x:c r="D122" s="70" t="str"/>
      <x:c r="E122" s="70" t="str"/>
      <x:c r="F122" s="70" t="str"/>
      <x:c r="G122" s="70" t="str"/>
      <x:c r="H122" s="70" t="str"/>
      <x:c r="I122" s="70" t="str"/>
      <x:c r="J122" s="70" t="str"/>
      <x:c r="K122" s="70" t="str"/>
      <x:c r="L122" s="70" t="str"/>
      <x:c r="M122" s="70" t="str"/>
      <x:c r="N122" s="70" t="str"/>
      <x:c r="O122" s="70" t="str"/>
      <x:c r="P122" s="70" t="str"/>
      <x:c r="Q122" s="70" t="str"/>
      <x:c r="R122" s="70" t="str">
        <x:v>无</x:v>
      </x:c>
      <x:c r="S122" s="70" t="str">
        <x:v>否</x:v>
      </x:c>
      <x:c r="T122" s="70" t="str"/>
    </x:row>
    <x:row r="123">
      <x:c r="A123" s="70" t="str">
        <x:v>M5E-0118</x:v>
      </x:c>
      <x:c r="B123" s="70" t="str"/>
      <x:c r="C123" s="70" t="str"/>
      <x:c r="D123" s="70" t="str"/>
      <x:c r="E123" s="70" t="str"/>
      <x:c r="F123" s="70" t="str"/>
      <x:c r="G123" s="70" t="str"/>
      <x:c r="H123" s="70" t="str"/>
      <x:c r="I123" s="70" t="str"/>
      <x:c r="J123" s="70" t="str"/>
      <x:c r="K123" s="70" t="str"/>
      <x:c r="L123" s="70" t="str"/>
      <x:c r="M123" s="70" t="str"/>
      <x:c r="N123" s="70" t="str"/>
      <x:c r="O123" s="70" t="str"/>
      <x:c r="P123" s="70" t="str"/>
      <x:c r="Q123" s="70" t="str"/>
      <x:c r="R123" s="70" t="str">
        <x:v>无</x:v>
      </x:c>
      <x:c r="S123" s="70" t="str">
        <x:v>否</x:v>
      </x:c>
      <x:c r="T123" s="70" t="str"/>
    </x:row>
    <x:row r="124">
      <x:c r="A124" s="70" t="str">
        <x:v>M5E-0119</x:v>
      </x:c>
      <x:c r="B124" s="70" t="str"/>
      <x:c r="C124" s="70" t="str"/>
      <x:c r="D124" s="70" t="str"/>
      <x:c r="E124" s="70" t="str"/>
      <x:c r="F124" s="70" t="str"/>
      <x:c r="G124" s="70" t="str"/>
      <x:c r="H124" s="70" t="str"/>
      <x:c r="I124" s="70" t="str"/>
      <x:c r="J124" s="70" t="str"/>
      <x:c r="K124" s="70" t="str"/>
      <x:c r="L124" s="70" t="str"/>
      <x:c r="M124" s="70" t="str"/>
      <x:c r="N124" s="70" t="str"/>
      <x:c r="O124" s="70" t="str"/>
      <x:c r="P124" s="70" t="str"/>
      <x:c r="Q124" s="70" t="str"/>
      <x:c r="R124" s="70" t="str">
        <x:v>无</x:v>
      </x:c>
      <x:c r="S124" s="70" t="str">
        <x:v>否</x:v>
      </x:c>
      <x:c r="T124" s="70" t="str"/>
    </x:row>
    <x:row r="125">
      <x:c r="A125" s="70" t="str">
        <x:v>M5E-0120</x:v>
      </x:c>
      <x:c r="B125" s="70" t="str"/>
      <x:c r="C125" s="70" t="str"/>
      <x:c r="D125" s="70" t="str"/>
      <x:c r="E125" s="70" t="str"/>
      <x:c r="F125" s="70" t="str"/>
      <x:c r="G125" s="70" t="str"/>
      <x:c r="H125" s="70" t="str"/>
      <x:c r="I125" s="70" t="str"/>
      <x:c r="J125" s="70" t="str"/>
      <x:c r="K125" s="70" t="str"/>
      <x:c r="L125" s="70" t="str"/>
      <x:c r="M125" s="70" t="str"/>
      <x:c r="N125" s="70" t="str"/>
      <x:c r="O125" s="70" t="str"/>
      <x:c r="P125" s="70" t="str"/>
      <x:c r="Q125" s="70" t="str"/>
      <x:c r="R125" s="70" t="str">
        <x:v>无</x:v>
      </x:c>
      <x:c r="S125" s="70" t="str">
        <x:v>否</x:v>
      </x:c>
      <x:c r="T125" s="70" t="str"/>
    </x:row>
    <x:row r="126">
      <x:c r="A126" s="70" t="str">
        <x:v>M5E-0121</x:v>
      </x:c>
      <x:c r="B126" s="70" t="str"/>
      <x:c r="C126" s="70" t="str"/>
      <x:c r="D126" s="70" t="str"/>
      <x:c r="E126" s="70" t="str"/>
      <x:c r="F126" s="70" t="str"/>
      <x:c r="G126" s="70" t="str"/>
      <x:c r="H126" s="70" t="str"/>
      <x:c r="I126" s="70" t="str"/>
      <x:c r="J126" s="70" t="str"/>
      <x:c r="K126" s="70" t="str"/>
      <x:c r="L126" s="70" t="str"/>
      <x:c r="M126" s="70" t="str"/>
      <x:c r="N126" s="70" t="str"/>
      <x:c r="O126" s="70" t="str"/>
      <x:c r="P126" s="70" t="str"/>
      <x:c r="Q126" s="70" t="str"/>
      <x:c r="R126" s="70" t="str">
        <x:v>无</x:v>
      </x:c>
      <x:c r="S126" s="70" t="str">
        <x:v>否</x:v>
      </x:c>
      <x:c r="T126" s="70" t="str"/>
    </x:row>
    <x:row r="127">
      <x:c r="A127" s="70" t="str">
        <x:v>M5E-0122</x:v>
      </x:c>
      <x:c r="B127" s="70" t="str"/>
      <x:c r="C127" s="70" t="str"/>
      <x:c r="D127" s="70" t="str"/>
      <x:c r="E127" s="70" t="str"/>
      <x:c r="F127" s="70" t="str"/>
      <x:c r="G127" s="70" t="str"/>
      <x:c r="H127" s="70" t="str"/>
      <x:c r="I127" s="70" t="str"/>
      <x:c r="J127" s="70" t="str"/>
      <x:c r="K127" s="70" t="str"/>
      <x:c r="L127" s="70" t="str"/>
      <x:c r="M127" s="70" t="str"/>
      <x:c r="N127" s="70" t="str"/>
      <x:c r="O127" s="70" t="str"/>
      <x:c r="P127" s="70" t="str"/>
      <x:c r="Q127" s="70" t="str"/>
      <x:c r="R127" s="70" t="str">
        <x:v>无</x:v>
      </x:c>
      <x:c r="S127" s="70" t="str">
        <x:v>否</x:v>
      </x:c>
      <x:c r="T127" s="70" t="str"/>
    </x:row>
    <x:row r="128">
      <x:c r="A128" s="70" t="str">
        <x:v>M5E-0123</x:v>
      </x:c>
      <x:c r="B128" s="70" t="str"/>
      <x:c r="C128" s="70" t="str"/>
      <x:c r="D128" s="70" t="str"/>
      <x:c r="E128" s="70" t="str"/>
      <x:c r="F128" s="70" t="str"/>
      <x:c r="G128" s="70" t="str"/>
      <x:c r="H128" s="70" t="str"/>
      <x:c r="I128" s="70" t="str"/>
      <x:c r="J128" s="70" t="str"/>
      <x:c r="K128" s="70" t="str"/>
      <x:c r="L128" s="70" t="str"/>
      <x:c r="M128" s="70" t="str"/>
      <x:c r="N128" s="70" t="str"/>
      <x:c r="O128" s="70" t="str"/>
      <x:c r="P128" s="70" t="str"/>
      <x:c r="Q128" s="70" t="str"/>
      <x:c r="R128" s="70" t="str">
        <x:v>无</x:v>
      </x:c>
      <x:c r="S128" s="70" t="str">
        <x:v>否</x:v>
      </x:c>
      <x:c r="T128" s="70" t="str"/>
    </x:row>
    <x:row r="129">
      <x:c r="A129" s="70" t="str">
        <x:v>M5E-0124</x:v>
      </x:c>
      <x:c r="B129" s="70" t="str"/>
      <x:c r="C129" s="70" t="str"/>
      <x:c r="D129" s="70" t="str"/>
      <x:c r="E129" s="70" t="str"/>
      <x:c r="F129" s="70" t="str"/>
      <x:c r="G129" s="70" t="str"/>
      <x:c r="H129" s="70" t="str"/>
      <x:c r="I129" s="70" t="str"/>
      <x:c r="J129" s="70" t="str"/>
      <x:c r="K129" s="70" t="str"/>
      <x:c r="L129" s="70" t="str"/>
      <x:c r="M129" s="70" t="str"/>
      <x:c r="N129" s="70" t="str"/>
      <x:c r="O129" s="70" t="str"/>
      <x:c r="P129" s="70" t="str"/>
      <x:c r="Q129" s="70" t="str"/>
      <x:c r="R129" s="70" t="str">
        <x:v>无</x:v>
      </x:c>
      <x:c r="S129" s="70" t="str">
        <x:v>否</x:v>
      </x:c>
      <x:c r="T129" s="70" t="str"/>
    </x:row>
    <x:row r="130">
      <x:c r="A130" s="70" t="str">
        <x:v>M5E-0125</x:v>
      </x:c>
      <x:c r="B130" s="70" t="str"/>
      <x:c r="C130" s="70" t="str"/>
      <x:c r="D130" s="70" t="str"/>
      <x:c r="E130" s="70" t="str"/>
      <x:c r="F130" s="70" t="str"/>
      <x:c r="G130" s="70" t="str"/>
      <x:c r="H130" s="70" t="str"/>
      <x:c r="I130" s="70" t="str"/>
      <x:c r="J130" s="70" t="str"/>
      <x:c r="K130" s="70" t="str"/>
      <x:c r="L130" s="70" t="str"/>
      <x:c r="M130" s="70" t="str"/>
      <x:c r="N130" s="70" t="str"/>
      <x:c r="O130" s="70" t="str"/>
      <x:c r="P130" s="70" t="str"/>
      <x:c r="Q130" s="70" t="str"/>
      <x:c r="R130" s="70" t="str">
        <x:v>无</x:v>
      </x:c>
      <x:c r="S130" s="70" t="str">
        <x:v>否</x:v>
      </x:c>
      <x:c r="T130" s="70" t="str"/>
    </x:row>
    <x:row r="131">
      <x:c r="A131" s="70" t="str">
        <x:v>M5E-0126</x:v>
      </x:c>
      <x:c r="B131" s="70" t="str"/>
      <x:c r="C131" s="70" t="str"/>
      <x:c r="D131" s="70" t="str"/>
      <x:c r="E131" s="70" t="str"/>
      <x:c r="F131" s="70" t="str"/>
      <x:c r="G131" s="70" t="str"/>
      <x:c r="H131" s="70" t="str"/>
      <x:c r="I131" s="70" t="str"/>
      <x:c r="J131" s="70" t="str"/>
      <x:c r="K131" s="70" t="str"/>
      <x:c r="L131" s="70" t="str"/>
      <x:c r="M131" s="70" t="str"/>
      <x:c r="N131" s="70" t="str"/>
      <x:c r="O131" s="70" t="str"/>
      <x:c r="P131" s="70" t="str"/>
      <x:c r="Q131" s="70" t="str"/>
      <x:c r="R131" s="70" t="str">
        <x:v>无</x:v>
      </x:c>
      <x:c r="S131" s="70" t="str">
        <x:v>否</x:v>
      </x:c>
      <x:c r="T131" s="70" t="str"/>
    </x:row>
    <x:row r="132">
      <x:c r="A132" s="70" t="str">
        <x:v>M5E-0127</x:v>
      </x:c>
      <x:c r="B132" s="70" t="str"/>
      <x:c r="C132" s="70" t="str"/>
      <x:c r="D132" s="70" t="str"/>
      <x:c r="E132" s="70" t="str"/>
      <x:c r="F132" s="70" t="str"/>
      <x:c r="G132" s="70" t="str"/>
      <x:c r="H132" s="70" t="str"/>
      <x:c r="I132" s="70" t="str"/>
      <x:c r="J132" s="70" t="str"/>
      <x:c r="K132" s="70" t="str"/>
      <x:c r="L132" s="70" t="str"/>
      <x:c r="M132" s="70" t="str"/>
      <x:c r="N132" s="70" t="str"/>
      <x:c r="O132" s="70" t="str"/>
      <x:c r="P132" s="70" t="str"/>
      <x:c r="Q132" s="70" t="str"/>
      <x:c r="R132" s="70" t="str">
        <x:v>无</x:v>
      </x:c>
      <x:c r="S132" s="70" t="str">
        <x:v>否</x:v>
      </x:c>
      <x:c r="T132" s="70" t="str"/>
    </x:row>
    <x:row r="133">
      <x:c r="A133" s="70" t="str">
        <x:v>M5E-0128</x:v>
      </x:c>
      <x:c r="B133" s="70" t="str"/>
      <x:c r="C133" s="70" t="str"/>
      <x:c r="D133" s="70" t="str"/>
      <x:c r="E133" s="70" t="str"/>
      <x:c r="F133" s="70" t="str"/>
      <x:c r="G133" s="70" t="str"/>
      <x:c r="H133" s="70" t="str"/>
      <x:c r="I133" s="70" t="str"/>
      <x:c r="J133" s="70" t="str"/>
      <x:c r="K133" s="70" t="str"/>
      <x:c r="L133" s="70" t="str"/>
      <x:c r="M133" s="70" t="str"/>
      <x:c r="N133" s="70" t="str"/>
      <x:c r="O133" s="70" t="str"/>
      <x:c r="P133" s="70" t="str"/>
      <x:c r="Q133" s="70" t="str"/>
      <x:c r="R133" s="70" t="str">
        <x:v>无</x:v>
      </x:c>
      <x:c r="S133" s="70" t="str">
        <x:v>否</x:v>
      </x:c>
      <x:c r="T133" s="70" t="str"/>
    </x:row>
    <x:row r="134">
      <x:c r="A134" s="70" t="str">
        <x:v>M5E-0129</x:v>
      </x:c>
      <x:c r="B134" s="70" t="str"/>
      <x:c r="C134" s="70" t="str"/>
      <x:c r="D134" s="70" t="str"/>
      <x:c r="E134" s="70" t="str"/>
      <x:c r="F134" s="70" t="str"/>
      <x:c r="G134" s="70" t="str"/>
      <x:c r="H134" s="70" t="str"/>
      <x:c r="I134" s="70" t="str"/>
      <x:c r="J134" s="70" t="str"/>
      <x:c r="K134" s="70" t="str"/>
      <x:c r="L134" s="70" t="str"/>
      <x:c r="M134" s="70" t="str"/>
      <x:c r="N134" s="70" t="str"/>
      <x:c r="O134" s="70" t="str"/>
      <x:c r="P134" s="70" t="str"/>
      <x:c r="Q134" s="70" t="str"/>
      <x:c r="R134" s="70" t="str">
        <x:v>无</x:v>
      </x:c>
      <x:c r="S134" s="70" t="str">
        <x:v>否</x:v>
      </x:c>
      <x:c r="T134" s="70" t="str"/>
    </x:row>
    <x:row r="135">
      <x:c r="A135" s="70" t="str">
        <x:v>M5E-0130</x:v>
      </x:c>
      <x:c r="B135" s="70" t="str"/>
      <x:c r="C135" s="70" t="str"/>
      <x:c r="D135" s="70" t="str"/>
      <x:c r="E135" s="70" t="str"/>
      <x:c r="F135" s="70" t="str"/>
      <x:c r="G135" s="70" t="str"/>
      <x:c r="H135" s="70" t="str"/>
      <x:c r="I135" s="70" t="str"/>
      <x:c r="J135" s="70" t="str"/>
      <x:c r="K135" s="70" t="str"/>
      <x:c r="L135" s="70" t="str"/>
      <x:c r="M135" s="70" t="str"/>
      <x:c r="N135" s="70" t="str"/>
      <x:c r="O135" s="70" t="str"/>
      <x:c r="P135" s="70" t="str"/>
      <x:c r="Q135" s="70" t="str"/>
      <x:c r="R135" s="70" t="str">
        <x:v>无</x:v>
      </x:c>
      <x:c r="S135" s="70" t="str">
        <x:v>否</x:v>
      </x:c>
      <x:c r="T135" s="70" t="str"/>
    </x:row>
    <x:row r="136">
      <x:c r="A136" s="70" t="str">
        <x:v>M5E-0131</x:v>
      </x:c>
      <x:c r="B136" s="70" t="str"/>
      <x:c r="C136" s="70" t="str"/>
      <x:c r="D136" s="70" t="str"/>
      <x:c r="E136" s="70" t="str"/>
      <x:c r="F136" s="70" t="str"/>
      <x:c r="G136" s="70" t="str"/>
      <x:c r="H136" s="70" t="str"/>
      <x:c r="I136" s="70" t="str"/>
      <x:c r="J136" s="70" t="str"/>
      <x:c r="K136" s="70" t="str"/>
      <x:c r="L136" s="70" t="str"/>
      <x:c r="M136" s="70" t="str"/>
      <x:c r="N136" s="70" t="str"/>
      <x:c r="O136" s="70" t="str"/>
      <x:c r="P136" s="70" t="str"/>
      <x:c r="Q136" s="70" t="str"/>
      <x:c r="R136" s="70" t="str">
        <x:v>无</x:v>
      </x:c>
      <x:c r="S136" s="70" t="str">
        <x:v>否</x:v>
      </x:c>
      <x:c r="T136" s="70" t="str"/>
    </x:row>
    <x:row r="137">
      <x:c r="A137" s="70" t="str">
        <x:v>M5E-0132</x:v>
      </x:c>
      <x:c r="B137" s="70" t="str"/>
      <x:c r="C137" s="70" t="str"/>
      <x:c r="D137" s="70" t="str"/>
      <x:c r="E137" s="70" t="str"/>
      <x:c r="F137" s="70" t="str"/>
      <x:c r="G137" s="70" t="str"/>
      <x:c r="H137" s="70" t="str"/>
      <x:c r="I137" s="70" t="str"/>
      <x:c r="J137" s="70" t="str"/>
      <x:c r="K137" s="70" t="str"/>
      <x:c r="L137" s="70" t="str"/>
      <x:c r="M137" s="70" t="str"/>
      <x:c r="N137" s="70" t="str"/>
      <x:c r="O137" s="70" t="str"/>
      <x:c r="P137" s="70" t="str"/>
      <x:c r="Q137" s="70" t="str"/>
      <x:c r="R137" s="70" t="str">
        <x:v>无</x:v>
      </x:c>
      <x:c r="S137" s="70" t="str">
        <x:v>否</x:v>
      </x:c>
      <x:c r="T137" s="70" t="str"/>
    </x:row>
    <x:row r="138">
      <x:c r="A138" s="70" t="str">
        <x:v>M5E-0133</x:v>
      </x:c>
      <x:c r="B138" s="70" t="str"/>
      <x:c r="C138" s="70" t="str"/>
      <x:c r="D138" s="70" t="str"/>
      <x:c r="E138" s="70" t="str"/>
      <x:c r="F138" s="70" t="str"/>
      <x:c r="G138" s="70" t="str"/>
      <x:c r="H138" s="70" t="str"/>
      <x:c r="I138" s="70" t="str"/>
      <x:c r="J138" s="70" t="str"/>
      <x:c r="K138" s="70" t="str"/>
      <x:c r="L138" s="70" t="str"/>
      <x:c r="M138" s="70" t="str"/>
      <x:c r="N138" s="70" t="str"/>
      <x:c r="O138" s="70" t="str"/>
      <x:c r="P138" s="70" t="str"/>
      <x:c r="Q138" s="70" t="str"/>
      <x:c r="R138" s="70" t="str">
        <x:v>无</x:v>
      </x:c>
      <x:c r="S138" s="70" t="str">
        <x:v>否</x:v>
      </x:c>
      <x:c r="T138" s="70" t="str"/>
    </x:row>
    <x:row r="139">
      <x:c r="A139" s="70" t="str">
        <x:v>M5E-0134</x:v>
      </x:c>
      <x:c r="B139" s="70" t="str"/>
      <x:c r="C139" s="70" t="str"/>
      <x:c r="D139" s="70" t="str"/>
      <x:c r="E139" s="70" t="str"/>
      <x:c r="F139" s="70" t="str"/>
      <x:c r="G139" s="70" t="str"/>
      <x:c r="H139" s="70" t="str"/>
      <x:c r="I139" s="70" t="str"/>
      <x:c r="J139" s="70" t="str"/>
      <x:c r="K139" s="70" t="str"/>
      <x:c r="L139" s="70" t="str"/>
      <x:c r="M139" s="70" t="str"/>
      <x:c r="N139" s="70" t="str"/>
      <x:c r="O139" s="70" t="str"/>
      <x:c r="P139" s="70" t="str"/>
      <x:c r="Q139" s="70" t="str"/>
      <x:c r="R139" s="70" t="str">
        <x:v>无</x:v>
      </x:c>
      <x:c r="S139" s="70" t="str">
        <x:v>否</x:v>
      </x:c>
      <x:c r="T139" s="70" t="str"/>
    </x:row>
    <x:row r="140">
      <x:c r="A140" s="70" t="str">
        <x:v>M5E-0135</x:v>
      </x:c>
      <x:c r="B140" s="70" t="str"/>
      <x:c r="C140" s="70" t="str"/>
      <x:c r="D140" s="70" t="str"/>
      <x:c r="E140" s="70" t="str"/>
      <x:c r="F140" s="70" t="str"/>
      <x:c r="G140" s="70" t="str"/>
      <x:c r="H140" s="70" t="str"/>
      <x:c r="I140" s="70" t="str"/>
      <x:c r="J140" s="70" t="str"/>
      <x:c r="K140" s="70" t="str"/>
      <x:c r="L140" s="70" t="str"/>
      <x:c r="M140" s="70" t="str"/>
      <x:c r="N140" s="70" t="str"/>
      <x:c r="O140" s="70" t="str"/>
      <x:c r="P140" s="70" t="str"/>
      <x:c r="Q140" s="70" t="str"/>
      <x:c r="R140" s="70" t="str">
        <x:v>无</x:v>
      </x:c>
      <x:c r="S140" s="70" t="str">
        <x:v>否</x:v>
      </x:c>
      <x:c r="T140" s="70" t="str"/>
    </x:row>
    <x:row r="141">
      <x:c r="A141" s="70" t="str">
        <x:v>M5E-0136</x:v>
      </x:c>
      <x:c r="B141" s="70" t="str"/>
      <x:c r="C141" s="70" t="str"/>
      <x:c r="D141" s="70" t="str"/>
      <x:c r="E141" s="70" t="str"/>
      <x:c r="F141" s="70" t="str"/>
      <x:c r="G141" s="70" t="str"/>
      <x:c r="H141" s="70" t="str"/>
      <x:c r="I141" s="70" t="str"/>
      <x:c r="J141" s="70" t="str"/>
      <x:c r="K141" s="70" t="str"/>
      <x:c r="L141" s="70" t="str"/>
      <x:c r="M141" s="70" t="str"/>
      <x:c r="N141" s="70" t="str"/>
      <x:c r="O141" s="70" t="str"/>
      <x:c r="P141" s="70" t="str"/>
      <x:c r="Q141" s="70" t="str"/>
      <x:c r="R141" s="70" t="str">
        <x:v>无</x:v>
      </x:c>
      <x:c r="S141" s="70" t="str">
        <x:v>否</x:v>
      </x:c>
      <x:c r="T141" s="70" t="str"/>
    </x:row>
    <x:row r="142">
      <x:c r="A142" s="70" t="str">
        <x:v>M5E-0137</x:v>
      </x:c>
      <x:c r="B142" s="70" t="str"/>
      <x:c r="C142" s="70" t="str"/>
      <x:c r="D142" s="70" t="str"/>
      <x:c r="E142" s="70" t="str"/>
      <x:c r="F142" s="70" t="str"/>
      <x:c r="G142" s="70" t="str"/>
      <x:c r="H142" s="70" t="str"/>
      <x:c r="I142" s="70" t="str"/>
      <x:c r="J142" s="70" t="str"/>
      <x:c r="K142" s="70" t="str"/>
      <x:c r="L142" s="70" t="str"/>
      <x:c r="M142" s="70" t="str"/>
      <x:c r="N142" s="70" t="str"/>
      <x:c r="O142" s="70" t="str"/>
      <x:c r="P142" s="70" t="str"/>
      <x:c r="Q142" s="70" t="str"/>
      <x:c r="R142" s="70" t="str">
        <x:v>无</x:v>
      </x:c>
      <x:c r="S142" s="70" t="str">
        <x:v>否</x:v>
      </x:c>
      <x:c r="T142" s="70" t="str"/>
    </x:row>
    <x:row r="143">
      <x:c r="A143" s="70" t="str">
        <x:v>M5E-0138</x:v>
      </x:c>
      <x:c r="B143" s="70" t="str"/>
      <x:c r="C143" s="70" t="str"/>
      <x:c r="D143" s="70" t="str"/>
      <x:c r="E143" s="70" t="str"/>
      <x:c r="F143" s="70" t="str"/>
      <x:c r="G143" s="70" t="str"/>
      <x:c r="H143" s="70" t="str"/>
      <x:c r="I143" s="70" t="str"/>
      <x:c r="J143" s="70" t="str"/>
      <x:c r="K143" s="70" t="str"/>
      <x:c r="L143" s="70" t="str"/>
      <x:c r="M143" s="70" t="str"/>
      <x:c r="N143" s="70" t="str"/>
      <x:c r="O143" s="70" t="str"/>
      <x:c r="P143" s="70" t="str"/>
      <x:c r="Q143" s="70" t="str"/>
      <x:c r="R143" s="70" t="str">
        <x:v>无</x:v>
      </x:c>
      <x:c r="S143" s="70" t="str">
        <x:v>否</x:v>
      </x:c>
      <x:c r="T143" s="70" t="str"/>
    </x:row>
    <x:row r="144">
      <x:c r="A144" s="70" t="str">
        <x:v>M5E-0139</x:v>
      </x:c>
      <x:c r="B144" s="70" t="str"/>
      <x:c r="C144" s="70" t="str"/>
      <x:c r="D144" s="70" t="str"/>
      <x:c r="E144" s="70" t="str"/>
      <x:c r="F144" s="70" t="str"/>
      <x:c r="G144" s="70" t="str"/>
      <x:c r="H144" s="70" t="str"/>
      <x:c r="I144" s="70" t="str"/>
      <x:c r="J144" s="70" t="str"/>
      <x:c r="K144" s="70" t="str"/>
      <x:c r="L144" s="70" t="str"/>
      <x:c r="M144" s="70" t="str"/>
      <x:c r="N144" s="70" t="str"/>
      <x:c r="O144" s="70" t="str"/>
      <x:c r="P144" s="70" t="str"/>
      <x:c r="Q144" s="70" t="str"/>
      <x:c r="R144" s="70" t="str">
        <x:v>无</x:v>
      </x:c>
      <x:c r="S144" s="70" t="str">
        <x:v>否</x:v>
      </x:c>
      <x:c r="T144" s="70" t="str"/>
    </x:row>
    <x:row r="145">
      <x:c r="A145" s="70" t="str">
        <x:v>M5E-0140</x:v>
      </x:c>
      <x:c r="B145" s="70" t="str"/>
      <x:c r="C145" s="70" t="str"/>
      <x:c r="D145" s="70" t="str"/>
      <x:c r="E145" s="70" t="str"/>
      <x:c r="F145" s="70" t="str"/>
      <x:c r="G145" s="70" t="str"/>
      <x:c r="H145" s="70" t="str"/>
      <x:c r="I145" s="70" t="str"/>
      <x:c r="J145" s="70" t="str"/>
      <x:c r="K145" s="70" t="str"/>
      <x:c r="L145" s="70" t="str"/>
      <x:c r="M145" s="70" t="str"/>
      <x:c r="N145" s="70" t="str"/>
      <x:c r="O145" s="70" t="str"/>
      <x:c r="P145" s="70" t="str"/>
      <x:c r="Q145" s="70" t="str"/>
      <x:c r="R145" s="70" t="str">
        <x:v>无</x:v>
      </x:c>
      <x:c r="S145" s="70" t="str">
        <x:v>否</x:v>
      </x:c>
      <x:c r="T145" s="70" t="str"/>
    </x:row>
    <x:row r="146">
      <x:c r="A146" s="70" t="str">
        <x:v>M5E-0141</x:v>
      </x:c>
      <x:c r="B146" s="70" t="str"/>
      <x:c r="C146" s="70" t="str"/>
      <x:c r="D146" s="70" t="str"/>
      <x:c r="E146" s="70" t="str"/>
      <x:c r="F146" s="70" t="str"/>
      <x:c r="G146" s="70" t="str"/>
      <x:c r="H146" s="70" t="str"/>
      <x:c r="I146" s="70" t="str"/>
      <x:c r="J146" s="70" t="str"/>
      <x:c r="K146" s="70" t="str"/>
      <x:c r="L146" s="70" t="str"/>
      <x:c r="M146" s="70" t="str"/>
      <x:c r="N146" s="70" t="str"/>
      <x:c r="O146" s="70" t="str"/>
      <x:c r="P146" s="70" t="str"/>
      <x:c r="Q146" s="70" t="str"/>
      <x:c r="R146" s="70" t="str">
        <x:v>无</x:v>
      </x:c>
      <x:c r="S146" s="70" t="str">
        <x:v>否</x:v>
      </x:c>
      <x:c r="T146" s="70" t="str"/>
    </x:row>
    <x:row r="147">
      <x:c r="A147" s="70" t="str">
        <x:v>M5E-0142</x:v>
      </x:c>
      <x:c r="B147" s="70" t="str"/>
      <x:c r="C147" s="70" t="str"/>
      <x:c r="D147" s="70" t="str"/>
      <x:c r="E147" s="70" t="str"/>
      <x:c r="F147" s="70" t="str"/>
      <x:c r="G147" s="70" t="str"/>
      <x:c r="H147" s="70" t="str"/>
      <x:c r="I147" s="70" t="str"/>
      <x:c r="J147" s="70" t="str"/>
      <x:c r="K147" s="70" t="str"/>
      <x:c r="L147" s="70" t="str"/>
      <x:c r="M147" s="70" t="str"/>
      <x:c r="N147" s="70" t="str"/>
      <x:c r="O147" s="70" t="str"/>
      <x:c r="P147" s="70" t="str"/>
      <x:c r="Q147" s="70" t="str"/>
      <x:c r="R147" s="70" t="str">
        <x:v>无</x:v>
      </x:c>
      <x:c r="S147" s="70" t="str">
        <x:v>否</x:v>
      </x:c>
      <x:c r="T147" s="70" t="str"/>
    </x:row>
    <x:row r="148">
      <x:c r="A148" s="70" t="str">
        <x:v>M5E-0143</x:v>
      </x:c>
      <x:c r="B148" s="70" t="str"/>
      <x:c r="C148" s="70" t="str"/>
      <x:c r="D148" s="70" t="str"/>
      <x:c r="E148" s="70" t="str"/>
      <x:c r="F148" s="70" t="str"/>
      <x:c r="G148" s="70" t="str"/>
      <x:c r="H148" s="70" t="str"/>
      <x:c r="I148" s="70" t="str"/>
      <x:c r="J148" s="70" t="str"/>
      <x:c r="K148" s="70" t="str"/>
      <x:c r="L148" s="70" t="str"/>
      <x:c r="M148" s="70" t="str"/>
      <x:c r="N148" s="70" t="str"/>
      <x:c r="O148" s="70" t="str"/>
      <x:c r="P148" s="70" t="str"/>
      <x:c r="Q148" s="70" t="str"/>
      <x:c r="R148" s="70" t="str">
        <x:v>无</x:v>
      </x:c>
      <x:c r="S148" s="70" t="str">
        <x:v>否</x:v>
      </x:c>
      <x:c r="T148" s="70" t="str"/>
    </x:row>
    <x:row r="149">
      <x:c r="A149" s="70" t="str">
        <x:v>M5E-0144</x:v>
      </x:c>
      <x:c r="B149" s="70" t="str"/>
      <x:c r="C149" s="70" t="str"/>
      <x:c r="D149" s="70" t="str"/>
      <x:c r="E149" s="70" t="str"/>
      <x:c r="F149" s="70" t="str"/>
      <x:c r="G149" s="70" t="str"/>
      <x:c r="H149" s="70" t="str"/>
      <x:c r="I149" s="70" t="str"/>
      <x:c r="J149" s="70" t="str"/>
      <x:c r="K149" s="70" t="str"/>
      <x:c r="L149" s="70" t="str"/>
      <x:c r="M149" s="70" t="str"/>
      <x:c r="N149" s="70" t="str"/>
      <x:c r="O149" s="70" t="str"/>
      <x:c r="P149" s="70" t="str"/>
      <x:c r="Q149" s="70" t="str"/>
      <x:c r="R149" s="70" t="str">
        <x:v>无</x:v>
      </x:c>
      <x:c r="S149" s="70" t="str">
        <x:v>否</x:v>
      </x:c>
      <x:c r="T149" s="70" t="str"/>
    </x:row>
    <x:row r="150">
      <x:c r="A150" s="70" t="str">
        <x:v>M5E-0145</x:v>
      </x:c>
      <x:c r="B150" s="70" t="str"/>
      <x:c r="C150" s="70" t="str"/>
      <x:c r="D150" s="70" t="str"/>
      <x:c r="E150" s="70" t="str"/>
      <x:c r="F150" s="70" t="str"/>
      <x:c r="G150" s="70" t="str"/>
      <x:c r="H150" s="70" t="str"/>
      <x:c r="I150" s="70" t="str"/>
      <x:c r="J150" s="70" t="str"/>
      <x:c r="K150" s="70" t="str"/>
      <x:c r="L150" s="70" t="str"/>
      <x:c r="M150" s="70" t="str"/>
      <x:c r="N150" s="70" t="str"/>
      <x:c r="O150" s="70" t="str"/>
      <x:c r="P150" s="70" t="str"/>
      <x:c r="Q150" s="70" t="str"/>
      <x:c r="R150" s="70" t="str">
        <x:v>无</x:v>
      </x:c>
      <x:c r="S150" s="70" t="str">
        <x:v>否</x:v>
      </x:c>
      <x:c r="T150" s="70" t="str"/>
    </x:row>
    <x:row r="151">
      <x:c r="A151" s="70" t="str">
        <x:v>M5E-0146</x:v>
      </x:c>
      <x:c r="B151" s="70" t="str"/>
      <x:c r="C151" s="70" t="str"/>
      <x:c r="D151" s="70" t="str"/>
      <x:c r="E151" s="70" t="str"/>
      <x:c r="F151" s="70" t="str"/>
      <x:c r="G151" s="70" t="str"/>
      <x:c r="H151" s="70" t="str"/>
      <x:c r="I151" s="70" t="str"/>
      <x:c r="J151" s="70" t="str"/>
      <x:c r="K151" s="70" t="str"/>
      <x:c r="L151" s="70" t="str"/>
      <x:c r="M151" s="70" t="str"/>
      <x:c r="N151" s="70" t="str"/>
      <x:c r="O151" s="70" t="str"/>
      <x:c r="P151" s="70" t="str"/>
      <x:c r="Q151" s="70" t="str"/>
      <x:c r="R151" s="70" t="str">
        <x:v>无</x:v>
      </x:c>
      <x:c r="S151" s="70" t="str">
        <x:v>否</x:v>
      </x:c>
      <x:c r="T151" s="70" t="str"/>
    </x:row>
    <x:row r="152">
      <x:c r="A152" s="70" t="str">
        <x:v>M5E-0147</x:v>
      </x:c>
      <x:c r="B152" s="70" t="str"/>
      <x:c r="C152" s="70" t="str"/>
      <x:c r="D152" s="70" t="str"/>
      <x:c r="E152" s="70" t="str"/>
      <x:c r="F152" s="70" t="str"/>
      <x:c r="G152" s="70" t="str"/>
      <x:c r="H152" s="70" t="str"/>
      <x:c r="I152" s="70" t="str"/>
      <x:c r="J152" s="70" t="str"/>
      <x:c r="K152" s="70" t="str"/>
      <x:c r="L152" s="70" t="str"/>
      <x:c r="M152" s="70" t="str"/>
      <x:c r="N152" s="70" t="str"/>
      <x:c r="O152" s="70" t="str"/>
      <x:c r="P152" s="70" t="str"/>
      <x:c r="Q152" s="70" t="str"/>
      <x:c r="R152" s="70" t="str">
        <x:v>无</x:v>
      </x:c>
      <x:c r="S152" s="70" t="str">
        <x:v>否</x:v>
      </x:c>
      <x:c r="T152" s="70" t="str"/>
    </x:row>
    <x:row r="153">
      <x:c r="A153" s="70" t="str">
        <x:v>M5E-0148</x:v>
      </x:c>
      <x:c r="B153" s="70" t="str"/>
      <x:c r="C153" s="70" t="str"/>
      <x:c r="D153" s="70" t="str"/>
      <x:c r="E153" s="70" t="str"/>
      <x:c r="F153" s="70" t="str"/>
      <x:c r="G153" s="70" t="str"/>
      <x:c r="H153" s="70" t="str"/>
      <x:c r="I153" s="70" t="str"/>
      <x:c r="J153" s="70" t="str"/>
      <x:c r="K153" s="70" t="str"/>
      <x:c r="L153" s="70" t="str"/>
      <x:c r="M153" s="70" t="str"/>
      <x:c r="N153" s="70" t="str"/>
      <x:c r="O153" s="70" t="str"/>
      <x:c r="P153" s="70" t="str"/>
      <x:c r="Q153" s="70" t="str"/>
      <x:c r="R153" s="70" t="str">
        <x:v>无</x:v>
      </x:c>
      <x:c r="S153" s="70" t="str">
        <x:v>否</x:v>
      </x:c>
      <x:c r="T153" s="70" t="str"/>
    </x:row>
    <x:row r="154">
      <x:c r="A154" s="70" t="str">
        <x:v>M5E-0149</x:v>
      </x:c>
      <x:c r="B154" s="70" t="str"/>
      <x:c r="C154" s="70" t="str"/>
      <x:c r="D154" s="70" t="str"/>
      <x:c r="E154" s="70" t="str"/>
      <x:c r="F154" s="70" t="str"/>
      <x:c r="G154" s="70" t="str"/>
      <x:c r="H154" s="70" t="str"/>
      <x:c r="I154" s="70" t="str"/>
      <x:c r="J154" s="70" t="str"/>
      <x:c r="K154" s="70" t="str"/>
      <x:c r="L154" s="70" t="str"/>
      <x:c r="M154" s="70" t="str"/>
      <x:c r="N154" s="70" t="str"/>
      <x:c r="O154" s="70" t="str"/>
      <x:c r="P154" s="70" t="str"/>
      <x:c r="Q154" s="70" t="str"/>
      <x:c r="R154" s="70" t="str">
        <x:v>无</x:v>
      </x:c>
      <x:c r="S154" s="70" t="str">
        <x:v>否</x:v>
      </x:c>
      <x:c r="T154" s="70" t="str"/>
    </x:row>
    <x:row r="155">
      <x:c r="A155" s="70" t="str">
        <x:v>M5E-0150</x:v>
      </x:c>
      <x:c r="B155" s="70" t="str"/>
      <x:c r="C155" s="70" t="str"/>
      <x:c r="D155" s="70" t="str"/>
      <x:c r="E155" s="70" t="str"/>
      <x:c r="F155" s="70" t="str"/>
      <x:c r="G155" s="70" t="str"/>
      <x:c r="H155" s="70" t="str"/>
      <x:c r="I155" s="70" t="str"/>
      <x:c r="J155" s="70" t="str"/>
      <x:c r="K155" s="70" t="str"/>
      <x:c r="L155" s="70" t="str"/>
      <x:c r="M155" s="70" t="str"/>
      <x:c r="N155" s="70" t="str"/>
      <x:c r="O155" s="70" t="str"/>
      <x:c r="P155" s="70" t="str"/>
      <x:c r="Q155" s="70" t="str"/>
      <x:c r="R155" s="70" t="str">
        <x:v>无</x:v>
      </x:c>
      <x:c r="S155" s="70" t="str">
        <x:v>否</x:v>
      </x:c>
      <x:c r="T155" s="70" t="str"/>
    </x:row>
    <x:row r="156">
      <x:c r="A156" s="70" t="str">
        <x:v>M5E-0151</x:v>
      </x:c>
      <x:c r="B156" s="70" t="str"/>
      <x:c r="C156" s="70" t="str"/>
      <x:c r="D156" s="70" t="str"/>
      <x:c r="E156" s="70" t="str"/>
      <x:c r="F156" s="70" t="str"/>
      <x:c r="G156" s="70" t="str"/>
      <x:c r="H156" s="70" t="str"/>
      <x:c r="I156" s="70" t="str"/>
      <x:c r="J156" s="70" t="str"/>
      <x:c r="K156" s="70" t="str"/>
      <x:c r="L156" s="70" t="str"/>
      <x:c r="M156" s="70" t="str"/>
      <x:c r="N156" s="70" t="str"/>
      <x:c r="O156" s="70" t="str"/>
      <x:c r="P156" s="70" t="str"/>
      <x:c r="Q156" s="70" t="str"/>
      <x:c r="R156" s="70" t="str">
        <x:v>无</x:v>
      </x:c>
      <x:c r="S156" s="70" t="str">
        <x:v>否</x:v>
      </x:c>
      <x:c r="T156" s="70" t="str"/>
    </x:row>
    <x:row r="157">
      <x:c r="A157" s="70" t="str">
        <x:v>M5E-0152</x:v>
      </x:c>
      <x:c r="B157" s="70" t="str"/>
      <x:c r="C157" s="70" t="str"/>
      <x:c r="D157" s="70" t="str"/>
      <x:c r="E157" s="70" t="str"/>
      <x:c r="F157" s="70" t="str"/>
      <x:c r="G157" s="70" t="str"/>
      <x:c r="H157" s="70" t="str"/>
      <x:c r="I157" s="70" t="str"/>
      <x:c r="J157" s="70" t="str"/>
      <x:c r="K157" s="70" t="str"/>
      <x:c r="L157" s="70" t="str"/>
      <x:c r="M157" s="70" t="str"/>
      <x:c r="N157" s="70" t="str"/>
      <x:c r="O157" s="70" t="str"/>
      <x:c r="P157" s="70" t="str"/>
      <x:c r="Q157" s="70" t="str"/>
      <x:c r="R157" s="70" t="str">
        <x:v>无</x:v>
      </x:c>
      <x:c r="S157" s="70" t="str">
        <x:v>否</x:v>
      </x:c>
      <x:c r="T157" s="70" t="str"/>
    </x:row>
    <x:row r="158">
      <x:c r="A158" s="70" t="str">
        <x:v>M5E-0153</x:v>
      </x:c>
      <x:c r="B158" s="70" t="str"/>
      <x:c r="C158" s="70" t="str"/>
      <x:c r="D158" s="70" t="str"/>
      <x:c r="E158" s="70" t="str"/>
      <x:c r="F158" s="70" t="str"/>
      <x:c r="G158" s="70" t="str"/>
      <x:c r="H158" s="70" t="str"/>
      <x:c r="I158" s="70" t="str"/>
      <x:c r="J158" s="70" t="str"/>
      <x:c r="K158" s="70" t="str"/>
      <x:c r="L158" s="70" t="str"/>
      <x:c r="M158" s="70" t="str"/>
      <x:c r="N158" s="70" t="str"/>
      <x:c r="O158" s="70" t="str"/>
      <x:c r="P158" s="70" t="str"/>
      <x:c r="Q158" s="70" t="str"/>
      <x:c r="R158" s="70" t="str">
        <x:v>无</x:v>
      </x:c>
      <x:c r="S158" s="70" t="str">
        <x:v>否</x:v>
      </x:c>
      <x:c r="T158" s="70" t="str"/>
    </x:row>
    <x:row r="159">
      <x:c r="A159" s="70" t="str">
        <x:v>M5E-0154</x:v>
      </x:c>
      <x:c r="B159" s="70" t="str"/>
      <x:c r="C159" s="70" t="str"/>
      <x:c r="D159" s="70" t="str"/>
      <x:c r="E159" s="70" t="str"/>
      <x:c r="F159" s="70" t="str"/>
      <x:c r="G159" s="70" t="str"/>
      <x:c r="H159" s="70" t="str"/>
      <x:c r="I159" s="70" t="str"/>
      <x:c r="J159" s="70" t="str"/>
      <x:c r="K159" s="70" t="str"/>
      <x:c r="L159" s="70" t="str"/>
      <x:c r="M159" s="70" t="str"/>
      <x:c r="N159" s="70" t="str"/>
      <x:c r="O159" s="70" t="str"/>
      <x:c r="P159" s="70" t="str"/>
      <x:c r="Q159" s="70" t="str"/>
      <x:c r="R159" s="70" t="str">
        <x:v>无</x:v>
      </x:c>
      <x:c r="S159" s="70" t="str">
        <x:v>否</x:v>
      </x:c>
      <x:c r="T159" s="70" t="str"/>
    </x:row>
    <x:row r="160">
      <x:c r="A160" s="70" t="str">
        <x:v>M5E-0155</x:v>
      </x:c>
      <x:c r="B160" s="70" t="str"/>
      <x:c r="C160" s="70" t="str"/>
      <x:c r="D160" s="70" t="str"/>
      <x:c r="E160" s="70" t="str"/>
      <x:c r="F160" s="70" t="str"/>
      <x:c r="G160" s="70" t="str"/>
      <x:c r="H160" s="70" t="str"/>
      <x:c r="I160" s="70" t="str"/>
      <x:c r="J160" s="70" t="str"/>
      <x:c r="K160" s="70" t="str"/>
      <x:c r="L160" s="70" t="str"/>
      <x:c r="M160" s="70" t="str"/>
      <x:c r="N160" s="70" t="str"/>
      <x:c r="O160" s="70" t="str"/>
      <x:c r="P160" s="70" t="str"/>
      <x:c r="Q160" s="70" t="str"/>
      <x:c r="R160" s="70" t="str">
        <x:v>无</x:v>
      </x:c>
      <x:c r="S160" s="70" t="str">
        <x:v>否</x:v>
      </x:c>
      <x:c r="T160" s="70" t="str"/>
    </x:row>
    <x:row r="161">
      <x:c r="A161" s="70" t="str">
        <x:v>M5E-0156</x:v>
      </x:c>
      <x:c r="B161" s="70" t="str"/>
      <x:c r="C161" s="70" t="str"/>
      <x:c r="D161" s="70" t="str"/>
      <x:c r="E161" s="70" t="str"/>
      <x:c r="F161" s="70" t="str"/>
      <x:c r="G161" s="70" t="str"/>
      <x:c r="H161" s="70" t="str"/>
      <x:c r="I161" s="70" t="str"/>
      <x:c r="J161" s="70" t="str"/>
      <x:c r="K161" s="70" t="str"/>
      <x:c r="L161" s="70" t="str"/>
      <x:c r="M161" s="70" t="str"/>
      <x:c r="N161" s="70" t="str"/>
      <x:c r="O161" s="70" t="str"/>
      <x:c r="P161" s="70" t="str"/>
      <x:c r="Q161" s="70" t="str"/>
      <x:c r="R161" s="70" t="str">
        <x:v>无</x:v>
      </x:c>
      <x:c r="S161" s="70" t="str">
        <x:v>否</x:v>
      </x:c>
      <x:c r="T161" s="70" t="str"/>
    </x:row>
    <x:row r="162">
      <x:c r="A162" s="70" t="str">
        <x:v>M5E-0157</x:v>
      </x:c>
      <x:c r="B162" s="70" t="str"/>
      <x:c r="C162" s="70" t="str"/>
      <x:c r="D162" s="70" t="str"/>
      <x:c r="E162" s="70" t="str"/>
      <x:c r="F162" s="70" t="str"/>
      <x:c r="G162" s="70" t="str"/>
      <x:c r="H162" s="70" t="str"/>
      <x:c r="I162" s="70" t="str"/>
      <x:c r="J162" s="70" t="str"/>
      <x:c r="K162" s="70" t="str"/>
      <x:c r="L162" s="70" t="str"/>
      <x:c r="M162" s="70" t="str"/>
      <x:c r="N162" s="70" t="str"/>
      <x:c r="O162" s="70" t="str"/>
      <x:c r="P162" s="70" t="str"/>
      <x:c r="Q162" s="70" t="str"/>
      <x:c r="R162" s="70" t="str">
        <x:v>无</x:v>
      </x:c>
      <x:c r="S162" s="70" t="str">
        <x:v>否</x:v>
      </x:c>
      <x:c r="T162" s="70" t="str"/>
    </x:row>
    <x:row r="163">
      <x:c r="A163" s="70" t="str">
        <x:v>M5E-0158</x:v>
      </x:c>
      <x:c r="B163" s="70" t="str"/>
      <x:c r="C163" s="70" t="str"/>
      <x:c r="D163" s="70" t="str"/>
      <x:c r="E163" s="70" t="str"/>
      <x:c r="F163" s="70" t="str"/>
      <x:c r="G163" s="70" t="str"/>
      <x:c r="H163" s="70" t="str"/>
      <x:c r="I163" s="70" t="str"/>
      <x:c r="J163" s="70" t="str"/>
      <x:c r="K163" s="70" t="str"/>
      <x:c r="L163" s="70" t="str"/>
      <x:c r="M163" s="70" t="str"/>
      <x:c r="N163" s="70" t="str"/>
      <x:c r="O163" s="70" t="str"/>
      <x:c r="P163" s="70" t="str"/>
      <x:c r="Q163" s="70" t="str"/>
      <x:c r="R163" s="70" t="str">
        <x:v>无</x:v>
      </x:c>
      <x:c r="S163" s="70" t="str">
        <x:v>否</x:v>
      </x:c>
      <x:c r="T163" s="70" t="str"/>
    </x:row>
    <x:row r="164">
      <x:c r="A164" s="70" t="str">
        <x:v>M5E-0159</x:v>
      </x:c>
      <x:c r="B164" s="70" t="str"/>
      <x:c r="C164" s="70" t="str"/>
      <x:c r="D164" s="70" t="str"/>
      <x:c r="E164" s="70" t="str"/>
      <x:c r="F164" s="70" t="str"/>
      <x:c r="G164" s="70" t="str"/>
      <x:c r="H164" s="70" t="str"/>
      <x:c r="I164" s="70" t="str"/>
      <x:c r="J164" s="70" t="str"/>
      <x:c r="K164" s="70" t="str"/>
      <x:c r="L164" s="70" t="str"/>
      <x:c r="M164" s="70" t="str"/>
      <x:c r="N164" s="70" t="str"/>
      <x:c r="O164" s="70" t="str"/>
      <x:c r="P164" s="70" t="str"/>
      <x:c r="Q164" s="70" t="str"/>
      <x:c r="R164" s="70" t="str">
        <x:v>无</x:v>
      </x:c>
      <x:c r="S164" s="70" t="str">
        <x:v>否</x:v>
      </x:c>
      <x:c r="T164" s="70" t="str"/>
    </x:row>
    <x:row r="165">
      <x:c r="A165" s="70" t="str">
        <x:v>M5E-0160</x:v>
      </x:c>
      <x:c r="B165" s="70" t="str"/>
      <x:c r="C165" s="70" t="str"/>
      <x:c r="D165" s="70" t="str"/>
      <x:c r="E165" s="70" t="str"/>
      <x:c r="F165" s="70" t="str"/>
      <x:c r="G165" s="70" t="str"/>
      <x:c r="H165" s="70" t="str"/>
      <x:c r="I165" s="70" t="str"/>
      <x:c r="J165" s="70" t="str"/>
      <x:c r="K165" s="70" t="str"/>
      <x:c r="L165" s="70" t="str"/>
      <x:c r="M165" s="70" t="str"/>
      <x:c r="N165" s="70" t="str"/>
      <x:c r="O165" s="70" t="str"/>
      <x:c r="P165" s="70" t="str"/>
      <x:c r="Q165" s="70" t="str"/>
      <x:c r="R165" s="70" t="str">
        <x:v>无</x:v>
      </x:c>
      <x:c r="S165" s="70" t="str">
        <x:v>否</x:v>
      </x:c>
      <x:c r="T165" s="70" t="str"/>
    </x:row>
    <x:row r="166">
      <x:c r="A166" s="70" t="str">
        <x:v>M5E-0161</x:v>
      </x:c>
      <x:c r="B166" s="70" t="str"/>
      <x:c r="C166" s="70" t="str"/>
      <x:c r="D166" s="70" t="str"/>
      <x:c r="E166" s="70" t="str"/>
      <x:c r="F166" s="70" t="str"/>
      <x:c r="G166" s="70" t="str"/>
      <x:c r="H166" s="70" t="str"/>
      <x:c r="I166" s="70" t="str"/>
      <x:c r="J166" s="70" t="str"/>
      <x:c r="K166" s="70" t="str"/>
      <x:c r="L166" s="70" t="str"/>
      <x:c r="M166" s="70" t="str"/>
      <x:c r="N166" s="70" t="str"/>
      <x:c r="O166" s="70" t="str"/>
      <x:c r="P166" s="70" t="str"/>
      <x:c r="Q166" s="70" t="str"/>
      <x:c r="R166" s="70" t="str">
        <x:v>无</x:v>
      </x:c>
      <x:c r="S166" s="70" t="str">
        <x:v>否</x:v>
      </x:c>
      <x:c r="T166" s="70" t="str"/>
    </x:row>
    <x:row r="167">
      <x:c r="A167" s="70" t="str">
        <x:v>M5E-0162</x:v>
      </x:c>
      <x:c r="B167" s="70" t="str"/>
      <x:c r="C167" s="70" t="str"/>
      <x:c r="D167" s="70" t="str"/>
      <x:c r="E167" s="70" t="str"/>
      <x:c r="F167" s="70" t="str"/>
      <x:c r="G167" s="70" t="str"/>
      <x:c r="H167" s="70" t="str"/>
      <x:c r="I167" s="70" t="str"/>
      <x:c r="J167" s="70" t="str"/>
      <x:c r="K167" s="70" t="str"/>
      <x:c r="L167" s="70" t="str"/>
      <x:c r="M167" s="70" t="str"/>
      <x:c r="N167" s="70" t="str"/>
      <x:c r="O167" s="70" t="str"/>
      <x:c r="P167" s="70" t="str"/>
      <x:c r="Q167" s="70" t="str"/>
      <x:c r="R167" s="70" t="str">
        <x:v>无</x:v>
      </x:c>
      <x:c r="S167" s="70" t="str">
        <x:v>否</x:v>
      </x:c>
      <x:c r="T167" s="70" t="str"/>
    </x:row>
    <x:row r="168">
      <x:c r="A168" s="70" t="str">
        <x:v>M5E-0163</x:v>
      </x:c>
      <x:c r="B168" s="70" t="str"/>
      <x:c r="C168" s="70" t="str"/>
      <x:c r="D168" s="70" t="str"/>
      <x:c r="E168" s="70" t="str"/>
      <x:c r="F168" s="70" t="str"/>
      <x:c r="G168" s="70" t="str"/>
      <x:c r="H168" s="70" t="str"/>
      <x:c r="I168" s="70" t="str"/>
      <x:c r="J168" s="70" t="str"/>
      <x:c r="K168" s="70" t="str"/>
      <x:c r="L168" s="70" t="str"/>
      <x:c r="M168" s="70" t="str"/>
      <x:c r="N168" s="70" t="str"/>
      <x:c r="O168" s="70" t="str"/>
      <x:c r="P168" s="70" t="str"/>
      <x:c r="Q168" s="70" t="str"/>
      <x:c r="R168" s="70" t="str">
        <x:v>无</x:v>
      </x:c>
      <x:c r="S168" s="70" t="str">
        <x:v>否</x:v>
      </x:c>
      <x:c r="T168" s="70" t="str"/>
    </x:row>
    <x:row r="169">
      <x:c r="A169" s="70" t="str">
        <x:v>M5E-0164</x:v>
      </x:c>
      <x:c r="B169" s="70" t="str"/>
      <x:c r="C169" s="70" t="str"/>
      <x:c r="D169" s="70" t="str"/>
      <x:c r="E169" s="70" t="str"/>
      <x:c r="F169" s="70" t="str"/>
      <x:c r="G169" s="70" t="str"/>
      <x:c r="H169" s="70" t="str"/>
      <x:c r="I169" s="70" t="str"/>
      <x:c r="J169" s="70" t="str"/>
      <x:c r="K169" s="70" t="str"/>
      <x:c r="L169" s="70" t="str"/>
      <x:c r="M169" s="70" t="str"/>
      <x:c r="N169" s="70" t="str"/>
      <x:c r="O169" s="70" t="str"/>
      <x:c r="P169" s="70" t="str"/>
      <x:c r="Q169" s="70" t="str"/>
      <x:c r="R169" s="70" t="str">
        <x:v>无</x:v>
      </x:c>
      <x:c r="S169" s="70" t="str">
        <x:v>否</x:v>
      </x:c>
      <x:c r="T169" s="70" t="str"/>
    </x:row>
    <x:row r="170">
      <x:c r="A170" s="70" t="str">
        <x:v>M5E-0165</x:v>
      </x:c>
      <x:c r="B170" s="70" t="str"/>
      <x:c r="C170" s="70" t="str"/>
      <x:c r="D170" s="70" t="str"/>
      <x:c r="E170" s="70" t="str"/>
      <x:c r="F170" s="70" t="str"/>
      <x:c r="G170" s="70" t="str"/>
      <x:c r="H170" s="70" t="str"/>
      <x:c r="I170" s="70" t="str"/>
      <x:c r="J170" s="70" t="str"/>
      <x:c r="K170" s="70" t="str"/>
      <x:c r="L170" s="70" t="str"/>
      <x:c r="M170" s="70" t="str"/>
      <x:c r="N170" s="70" t="str"/>
      <x:c r="O170" s="70" t="str"/>
      <x:c r="P170" s="70" t="str"/>
      <x:c r="Q170" s="70" t="str"/>
      <x:c r="R170" s="70" t="str">
        <x:v>无</x:v>
      </x:c>
      <x:c r="S170" s="70" t="str">
        <x:v>否</x:v>
      </x:c>
      <x:c r="T170" s="70" t="str"/>
    </x:row>
    <x:row r="171">
      <x:c r="A171" s="70" t="str">
        <x:v>M5E-0166</x:v>
      </x:c>
      <x:c r="B171" s="70" t="str"/>
      <x:c r="C171" s="70" t="str"/>
      <x:c r="D171" s="70" t="str"/>
      <x:c r="E171" s="70" t="str"/>
      <x:c r="F171" s="70" t="str"/>
      <x:c r="G171" s="70" t="str"/>
      <x:c r="H171" s="70" t="str"/>
      <x:c r="I171" s="70" t="str"/>
      <x:c r="J171" s="70" t="str"/>
      <x:c r="K171" s="70" t="str"/>
      <x:c r="L171" s="70" t="str"/>
      <x:c r="M171" s="70" t="str"/>
      <x:c r="N171" s="70" t="str"/>
      <x:c r="O171" s="70" t="str"/>
      <x:c r="P171" s="70" t="str"/>
      <x:c r="Q171" s="70" t="str"/>
      <x:c r="R171" s="70" t="str">
        <x:v>无</x:v>
      </x:c>
      <x:c r="S171" s="70" t="str">
        <x:v>否</x:v>
      </x:c>
      <x:c r="T171" s="70" t="str"/>
    </x:row>
    <x:row r="172">
      <x:c r="A172" s="70" t="str">
        <x:v>M5E-0167</x:v>
      </x:c>
      <x:c r="B172" s="70" t="str"/>
      <x:c r="C172" s="70" t="str"/>
      <x:c r="D172" s="70" t="str"/>
      <x:c r="E172" s="70" t="str"/>
      <x:c r="F172" s="70" t="str"/>
      <x:c r="G172" s="70" t="str"/>
      <x:c r="H172" s="70" t="str"/>
      <x:c r="I172" s="70" t="str"/>
      <x:c r="J172" s="70" t="str"/>
      <x:c r="K172" s="70" t="str"/>
      <x:c r="L172" s="70" t="str"/>
      <x:c r="M172" s="70" t="str"/>
      <x:c r="N172" s="70" t="str"/>
      <x:c r="O172" s="70" t="str"/>
      <x:c r="P172" s="70" t="str"/>
      <x:c r="Q172" s="70" t="str"/>
      <x:c r="R172" s="70" t="str">
        <x:v>无</x:v>
      </x:c>
      <x:c r="S172" s="70" t="str">
        <x:v>否</x:v>
      </x:c>
      <x:c r="T172" s="70" t="str"/>
    </x:row>
    <x:row r="173">
      <x:c r="A173" s="70" t="str">
        <x:v>M5E-0168</x:v>
      </x:c>
      <x:c r="B173" s="70" t="str"/>
      <x:c r="C173" s="70" t="str"/>
      <x:c r="D173" s="70" t="str"/>
      <x:c r="E173" s="70" t="str"/>
      <x:c r="F173" s="70" t="str"/>
      <x:c r="G173" s="70" t="str"/>
      <x:c r="H173" s="70" t="str"/>
      <x:c r="I173" s="70" t="str"/>
      <x:c r="J173" s="70" t="str"/>
      <x:c r="K173" s="70" t="str"/>
      <x:c r="L173" s="70" t="str"/>
      <x:c r="M173" s="70" t="str"/>
      <x:c r="N173" s="70" t="str"/>
      <x:c r="O173" s="70" t="str"/>
      <x:c r="P173" s="70" t="str"/>
      <x:c r="Q173" s="70" t="str"/>
      <x:c r="R173" s="70" t="str">
        <x:v>无</x:v>
      </x:c>
      <x:c r="S173" s="70" t="str">
        <x:v>否</x:v>
      </x:c>
      <x:c r="T173" s="70" t="str"/>
    </x:row>
    <x:row r="174">
      <x:c r="A174" s="70" t="str">
        <x:v>M5E-0169</x:v>
      </x:c>
      <x:c r="B174" s="70" t="str"/>
      <x:c r="C174" s="70" t="str"/>
      <x:c r="D174" s="70" t="str"/>
      <x:c r="E174" s="70" t="str"/>
      <x:c r="F174" s="70" t="str"/>
      <x:c r="G174" s="70" t="str"/>
      <x:c r="H174" s="70" t="str"/>
      <x:c r="I174" s="70" t="str"/>
      <x:c r="J174" s="70" t="str"/>
      <x:c r="K174" s="70" t="str"/>
      <x:c r="L174" s="70" t="str"/>
      <x:c r="M174" s="70" t="str"/>
      <x:c r="N174" s="70" t="str"/>
      <x:c r="O174" s="70" t="str"/>
      <x:c r="P174" s="70" t="str"/>
      <x:c r="Q174" s="70" t="str"/>
      <x:c r="R174" s="70" t="str">
        <x:v>无</x:v>
      </x:c>
      <x:c r="S174" s="70" t="str">
        <x:v>否</x:v>
      </x:c>
      <x:c r="T174" s="70" t="str"/>
    </x:row>
    <x:row r="175">
      <x:c r="A175" s="70" t="str">
        <x:v>M5E-0170</x:v>
      </x:c>
      <x:c r="B175" s="70" t="str"/>
      <x:c r="C175" s="70" t="str"/>
      <x:c r="D175" s="70" t="str"/>
      <x:c r="E175" s="70" t="str"/>
      <x:c r="F175" s="70" t="str"/>
      <x:c r="G175" s="70" t="str"/>
      <x:c r="H175" s="70" t="str"/>
      <x:c r="I175" s="70" t="str"/>
      <x:c r="J175" s="70" t="str"/>
      <x:c r="K175" s="70" t="str"/>
      <x:c r="L175" s="70" t="str"/>
      <x:c r="M175" s="70" t="str"/>
      <x:c r="N175" s="70" t="str"/>
      <x:c r="O175" s="70" t="str"/>
      <x:c r="P175" s="70" t="str"/>
      <x:c r="Q175" s="70" t="str"/>
      <x:c r="R175" s="70" t="str">
        <x:v>无</x:v>
      </x:c>
      <x:c r="S175" s="70" t="str">
        <x:v>否</x:v>
      </x:c>
      <x:c r="T175" s="70" t="str"/>
    </x:row>
    <x:row r="176">
      <x:c r="A176" s="70" t="str">
        <x:v>M5E-0171</x:v>
      </x:c>
      <x:c r="B176" s="70" t="str"/>
      <x:c r="C176" s="70" t="str"/>
      <x:c r="D176" s="70" t="str"/>
      <x:c r="E176" s="70" t="str"/>
      <x:c r="F176" s="70" t="str"/>
      <x:c r="G176" s="70" t="str"/>
      <x:c r="H176" s="70" t="str"/>
      <x:c r="I176" s="70" t="str"/>
      <x:c r="J176" s="70" t="str"/>
      <x:c r="K176" s="70" t="str"/>
      <x:c r="L176" s="70" t="str"/>
      <x:c r="M176" s="70" t="str"/>
      <x:c r="N176" s="70" t="str"/>
      <x:c r="O176" s="70" t="str"/>
      <x:c r="P176" s="70" t="str"/>
      <x:c r="Q176" s="70" t="str"/>
      <x:c r="R176" s="70" t="str">
        <x:v>无</x:v>
      </x:c>
      <x:c r="S176" s="70" t="str">
        <x:v>否</x:v>
      </x:c>
      <x:c r="T176" s="70" t="str"/>
    </x:row>
    <x:row r="177">
      <x:c r="A177" s="70" t="str">
        <x:v>M5E-0172</x:v>
      </x:c>
      <x:c r="B177" s="70" t="str"/>
      <x:c r="C177" s="70" t="str"/>
      <x:c r="D177" s="70" t="str"/>
      <x:c r="E177" s="70" t="str"/>
      <x:c r="F177" s="70" t="str"/>
      <x:c r="G177" s="70" t="str"/>
      <x:c r="H177" s="70" t="str"/>
      <x:c r="I177" s="70" t="str"/>
      <x:c r="J177" s="70" t="str"/>
      <x:c r="K177" s="70" t="str"/>
      <x:c r="L177" s="70" t="str"/>
      <x:c r="M177" s="70" t="str"/>
      <x:c r="N177" s="70" t="str"/>
      <x:c r="O177" s="70" t="str"/>
      <x:c r="P177" s="70" t="str"/>
      <x:c r="Q177" s="70" t="str"/>
      <x:c r="R177" s="70" t="str">
        <x:v>无</x:v>
      </x:c>
      <x:c r="S177" s="70" t="str">
        <x:v>否</x:v>
      </x:c>
      <x:c r="T177" s="70" t="str"/>
    </x:row>
    <x:row r="178">
      <x:c r="A178" s="70" t="str">
        <x:v>M5E-0173</x:v>
      </x:c>
      <x:c r="B178" s="70" t="str"/>
      <x:c r="C178" s="70" t="str"/>
      <x:c r="D178" s="70" t="str"/>
      <x:c r="E178" s="70" t="str"/>
      <x:c r="F178" s="70" t="str"/>
      <x:c r="G178" s="70" t="str"/>
      <x:c r="H178" s="70" t="str"/>
      <x:c r="I178" s="70" t="str"/>
      <x:c r="J178" s="70" t="str"/>
      <x:c r="K178" s="70" t="str"/>
      <x:c r="L178" s="70" t="str"/>
      <x:c r="M178" s="70" t="str"/>
      <x:c r="N178" s="70" t="str"/>
      <x:c r="O178" s="70" t="str"/>
      <x:c r="P178" s="70" t="str"/>
      <x:c r="Q178" s="70" t="str"/>
      <x:c r="R178" s="70" t="str">
        <x:v>无</x:v>
      </x:c>
      <x:c r="S178" s="70" t="str">
        <x:v>否</x:v>
      </x:c>
      <x:c r="T178" s="70" t="str"/>
    </x:row>
    <x:row r="179">
      <x:c r="A179" s="70" t="str">
        <x:v>M5E-0174</x:v>
      </x:c>
      <x:c r="B179" s="70" t="str"/>
      <x:c r="C179" s="70" t="str"/>
      <x:c r="D179" s="70" t="str"/>
      <x:c r="E179" s="70" t="str"/>
      <x:c r="F179" s="70" t="str"/>
      <x:c r="G179" s="70" t="str"/>
      <x:c r="H179" s="70" t="str"/>
      <x:c r="I179" s="70" t="str"/>
      <x:c r="J179" s="70" t="str"/>
      <x:c r="K179" s="70" t="str"/>
      <x:c r="L179" s="70" t="str"/>
      <x:c r="M179" s="70" t="str"/>
      <x:c r="N179" s="70" t="str"/>
      <x:c r="O179" s="70" t="str"/>
      <x:c r="P179" s="70" t="str"/>
      <x:c r="Q179" s="70" t="str"/>
      <x:c r="R179" s="70" t="str">
        <x:v>无</x:v>
      </x:c>
      <x:c r="S179" s="70" t="str">
        <x:v>否</x:v>
      </x:c>
      <x:c r="T179" s="70" t="str"/>
    </x:row>
    <x:row r="180">
      <x:c r="A180" s="70" t="str">
        <x:v>M5E-0175</x:v>
      </x:c>
      <x:c r="B180" s="70" t="str"/>
      <x:c r="C180" s="70" t="str"/>
      <x:c r="D180" s="70" t="str"/>
      <x:c r="E180" s="70" t="str"/>
      <x:c r="F180" s="70" t="str"/>
      <x:c r="G180" s="70" t="str"/>
      <x:c r="H180" s="70" t="str"/>
      <x:c r="I180" s="70" t="str"/>
      <x:c r="J180" s="70" t="str"/>
      <x:c r="K180" s="70" t="str"/>
      <x:c r="L180" s="70" t="str"/>
      <x:c r="M180" s="70" t="str"/>
      <x:c r="N180" s="70" t="str"/>
      <x:c r="O180" s="70" t="str"/>
      <x:c r="P180" s="70" t="str"/>
      <x:c r="Q180" s="70" t="str"/>
      <x:c r="R180" s="70" t="str">
        <x:v>无</x:v>
      </x:c>
      <x:c r="S180" s="70" t="str">
        <x:v>否</x:v>
      </x:c>
      <x:c r="T180" s="70" t="str"/>
    </x:row>
    <x:row r="181">
      <x:c r="A181" s="70" t="str">
        <x:v>M5E-0176</x:v>
      </x:c>
      <x:c r="B181" s="70" t="str"/>
      <x:c r="C181" s="70" t="str"/>
      <x:c r="D181" s="70" t="str"/>
      <x:c r="E181" s="70" t="str"/>
      <x:c r="F181" s="70" t="str"/>
      <x:c r="G181" s="70" t="str"/>
      <x:c r="H181" s="70" t="str"/>
      <x:c r="I181" s="70" t="str"/>
      <x:c r="J181" s="70" t="str"/>
      <x:c r="K181" s="70" t="str"/>
      <x:c r="L181" s="70" t="str"/>
      <x:c r="M181" s="70" t="str"/>
      <x:c r="N181" s="70" t="str"/>
      <x:c r="O181" s="70" t="str"/>
      <x:c r="P181" s="70" t="str"/>
      <x:c r="Q181" s="70" t="str"/>
      <x:c r="R181" s="70" t="str">
        <x:v>无</x:v>
      </x:c>
      <x:c r="S181" s="70" t="str">
        <x:v>否</x:v>
      </x:c>
      <x:c r="T181" s="70" t="str"/>
    </x:row>
    <x:row r="182">
      <x:c r="A182" s="70" t="str">
        <x:v>M5E-0177</x:v>
      </x:c>
      <x:c r="B182" s="70" t="str"/>
      <x:c r="C182" s="70" t="str"/>
      <x:c r="D182" s="70" t="str"/>
      <x:c r="E182" s="70" t="str"/>
      <x:c r="F182" s="70" t="str"/>
      <x:c r="G182" s="70" t="str"/>
      <x:c r="H182" s="70" t="str"/>
      <x:c r="I182" s="70" t="str"/>
      <x:c r="J182" s="70" t="str"/>
      <x:c r="K182" s="70" t="str"/>
      <x:c r="L182" s="70" t="str"/>
      <x:c r="M182" s="70" t="str"/>
      <x:c r="N182" s="70" t="str"/>
      <x:c r="O182" s="70" t="str"/>
      <x:c r="P182" s="70" t="str"/>
      <x:c r="Q182" s="70" t="str"/>
      <x:c r="R182" s="70" t="str">
        <x:v>无</x:v>
      </x:c>
      <x:c r="S182" s="70" t="str">
        <x:v>否</x:v>
      </x:c>
      <x:c r="T182" s="70" t="str"/>
    </x:row>
    <x:row r="183">
      <x:c r="A183" s="70" t="str">
        <x:v>M5E-0178</x:v>
      </x:c>
      <x:c r="B183" s="70" t="str"/>
      <x:c r="C183" s="70" t="str"/>
      <x:c r="D183" s="70" t="str"/>
      <x:c r="E183" s="70" t="str"/>
      <x:c r="F183" s="70" t="str"/>
      <x:c r="G183" s="70" t="str"/>
      <x:c r="H183" s="70" t="str"/>
      <x:c r="I183" s="70" t="str"/>
      <x:c r="J183" s="70" t="str"/>
      <x:c r="K183" s="70" t="str"/>
      <x:c r="L183" s="70" t="str"/>
      <x:c r="M183" s="70" t="str"/>
      <x:c r="N183" s="70" t="str"/>
      <x:c r="O183" s="70" t="str"/>
      <x:c r="P183" s="70" t="str"/>
      <x:c r="Q183" s="70" t="str"/>
      <x:c r="R183" s="70" t="str">
        <x:v>无</x:v>
      </x:c>
      <x:c r="S183" s="70" t="str">
        <x:v>否</x:v>
      </x:c>
      <x:c r="T183" s="70" t="str"/>
    </x:row>
    <x:row r="184">
      <x:c r="A184" s="70" t="str">
        <x:v>M5E-0179</x:v>
      </x:c>
      <x:c r="B184" s="70" t="str"/>
      <x:c r="C184" s="70" t="str"/>
      <x:c r="D184" s="70" t="str"/>
      <x:c r="E184" s="70" t="str"/>
      <x:c r="F184" s="70" t="str"/>
      <x:c r="G184" s="70" t="str"/>
      <x:c r="H184" s="70" t="str"/>
      <x:c r="I184" s="70" t="str"/>
      <x:c r="J184" s="70" t="str"/>
      <x:c r="K184" s="70" t="str"/>
      <x:c r="L184" s="70" t="str"/>
      <x:c r="M184" s="70" t="str"/>
      <x:c r="N184" s="70" t="str"/>
      <x:c r="O184" s="70" t="str"/>
      <x:c r="P184" s="70" t="str"/>
      <x:c r="Q184" s="70" t="str"/>
      <x:c r="R184" s="70" t="str">
        <x:v>无</x:v>
      </x:c>
      <x:c r="S184" s="70" t="str">
        <x:v>否</x:v>
      </x:c>
      <x:c r="T184" s="70" t="str"/>
    </x:row>
    <x:row r="185">
      <x:c r="A185" s="70" t="str">
        <x:v>M5E-0180</x:v>
      </x:c>
      <x:c r="B185" s="70" t="str"/>
      <x:c r="C185" s="70" t="str"/>
      <x:c r="D185" s="70" t="str"/>
      <x:c r="E185" s="70" t="str"/>
      <x:c r="F185" s="70" t="str"/>
      <x:c r="G185" s="70" t="str"/>
      <x:c r="H185" s="70" t="str"/>
      <x:c r="I185" s="70" t="str"/>
      <x:c r="J185" s="70" t="str"/>
      <x:c r="K185" s="70" t="str"/>
      <x:c r="L185" s="70" t="str"/>
      <x:c r="M185" s="70" t="str"/>
      <x:c r="N185" s="70" t="str"/>
      <x:c r="O185" s="70" t="str"/>
      <x:c r="P185" s="70" t="str"/>
      <x:c r="Q185" s="70" t="str"/>
      <x:c r="R185" s="70" t="str">
        <x:v>无</x:v>
      </x:c>
      <x:c r="S185" s="70" t="str">
        <x:v>否</x:v>
      </x:c>
      <x:c r="T185" s="70" t="str"/>
    </x:row>
    <x:row r="186">
      <x:c r="A186" s="70" t="str">
        <x:v>M5E-0181</x:v>
      </x:c>
      <x:c r="B186" s="70" t="str"/>
      <x:c r="C186" s="70" t="str"/>
      <x:c r="D186" s="70" t="str"/>
      <x:c r="E186" s="70" t="str"/>
      <x:c r="F186" s="70" t="str"/>
      <x:c r="G186" s="70" t="str"/>
      <x:c r="H186" s="70" t="str"/>
      <x:c r="I186" s="70" t="str"/>
      <x:c r="J186" s="70" t="str"/>
      <x:c r="K186" s="70" t="str"/>
      <x:c r="L186" s="70" t="str"/>
      <x:c r="M186" s="70" t="str"/>
      <x:c r="N186" s="70" t="str"/>
      <x:c r="O186" s="70" t="str"/>
      <x:c r="P186" s="70" t="str"/>
      <x:c r="Q186" s="70" t="str"/>
      <x:c r="R186" s="70" t="str">
        <x:v>无</x:v>
      </x:c>
      <x:c r="S186" s="70" t="str">
        <x:v>否</x:v>
      </x:c>
      <x:c r="T186" s="70" t="str"/>
    </x:row>
    <x:row r="187">
      <x:c r="A187" s="70" t="str">
        <x:v>M5E-0182</x:v>
      </x:c>
      <x:c r="B187" s="70" t="str"/>
      <x:c r="C187" s="70" t="str"/>
      <x:c r="D187" s="70" t="str"/>
      <x:c r="E187" s="70" t="str"/>
      <x:c r="F187" s="70" t="str"/>
      <x:c r="G187" s="70" t="str"/>
      <x:c r="H187" s="70" t="str"/>
      <x:c r="I187" s="70" t="str"/>
      <x:c r="J187" s="70" t="str"/>
      <x:c r="K187" s="70" t="str"/>
      <x:c r="L187" s="70" t="str"/>
      <x:c r="M187" s="70" t="str"/>
      <x:c r="N187" s="70" t="str"/>
      <x:c r="O187" s="70" t="str"/>
      <x:c r="P187" s="70" t="str"/>
      <x:c r="Q187" s="70" t="str"/>
      <x:c r="R187" s="70" t="str">
        <x:v>无</x:v>
      </x:c>
      <x:c r="S187" s="70" t="str">
        <x:v>否</x:v>
      </x:c>
      <x:c r="T187" s="70" t="str"/>
    </x:row>
    <x:row r="188">
      <x:c r="A188" s="70" t="str">
        <x:v>M5E-0183</x:v>
      </x:c>
      <x:c r="B188" s="70" t="str"/>
      <x:c r="C188" s="70" t="str"/>
      <x:c r="D188" s="70" t="str"/>
      <x:c r="E188" s="70" t="str"/>
      <x:c r="F188" s="70" t="str"/>
      <x:c r="G188" s="70" t="str"/>
      <x:c r="H188" s="70" t="str"/>
      <x:c r="I188" s="70" t="str"/>
      <x:c r="J188" s="70" t="str"/>
      <x:c r="K188" s="70" t="str"/>
      <x:c r="L188" s="70" t="str"/>
      <x:c r="M188" s="70" t="str"/>
      <x:c r="N188" s="70" t="str"/>
      <x:c r="O188" s="70" t="str"/>
      <x:c r="P188" s="70" t="str"/>
      <x:c r="Q188" s="70" t="str"/>
      <x:c r="R188" s="70" t="str">
        <x:v>无</x:v>
      </x:c>
      <x:c r="S188" s="70" t="str">
        <x:v>否</x:v>
      </x:c>
      <x:c r="T188" s="70" t="str"/>
    </x:row>
    <x:row r="189">
      <x:c r="A189" s="70" t="str">
        <x:v>M5E-0184</x:v>
      </x:c>
      <x:c r="B189" s="70" t="str"/>
      <x:c r="C189" s="70" t="str"/>
      <x:c r="D189" s="70" t="str"/>
      <x:c r="E189" s="70" t="str"/>
      <x:c r="F189" s="70" t="str"/>
      <x:c r="G189" s="70" t="str"/>
      <x:c r="H189" s="70" t="str"/>
      <x:c r="I189" s="70" t="str"/>
      <x:c r="J189" s="70" t="str"/>
      <x:c r="K189" s="70" t="str"/>
      <x:c r="L189" s="70" t="str"/>
      <x:c r="M189" s="70" t="str"/>
      <x:c r="N189" s="70" t="str"/>
      <x:c r="O189" s="70" t="str"/>
      <x:c r="P189" s="70" t="str"/>
      <x:c r="Q189" s="70" t="str"/>
      <x:c r="R189" s="70" t="str">
        <x:v>无</x:v>
      </x:c>
      <x:c r="S189" s="70" t="str">
        <x:v>否</x:v>
      </x:c>
      <x:c r="T189" s="70" t="str"/>
    </x:row>
    <x:row r="190">
      <x:c r="A190" s="70" t="str">
        <x:v>M5E-0185</x:v>
      </x:c>
      <x:c r="B190" s="70" t="str"/>
      <x:c r="C190" s="70" t="str"/>
      <x:c r="D190" s="70" t="str"/>
      <x:c r="E190" s="70" t="str"/>
      <x:c r="F190" s="70" t="str"/>
      <x:c r="G190" s="70" t="str"/>
      <x:c r="H190" s="70" t="str"/>
      <x:c r="I190" s="70" t="str"/>
      <x:c r="J190" s="70" t="str"/>
      <x:c r="K190" s="70" t="str"/>
      <x:c r="L190" s="70" t="str"/>
      <x:c r="M190" s="70" t="str"/>
      <x:c r="N190" s="70" t="str"/>
      <x:c r="O190" s="70" t="str"/>
      <x:c r="P190" s="70" t="str"/>
      <x:c r="Q190" s="70" t="str"/>
      <x:c r="R190" s="70" t="str">
        <x:v>无</x:v>
      </x:c>
      <x:c r="S190" s="70" t="str">
        <x:v>否</x:v>
      </x:c>
      <x:c r="T190" s="70" t="str"/>
    </x:row>
    <x:row r="191">
      <x:c r="A191" s="70" t="str">
        <x:v>M5E-0186</x:v>
      </x:c>
      <x:c r="B191" s="70" t="str"/>
      <x:c r="C191" s="70" t="str"/>
      <x:c r="D191" s="70" t="str"/>
      <x:c r="E191" s="70" t="str"/>
      <x:c r="F191" s="70" t="str"/>
      <x:c r="G191" s="70" t="str"/>
      <x:c r="H191" s="70" t="str"/>
      <x:c r="I191" s="70" t="str"/>
      <x:c r="J191" s="70" t="str"/>
      <x:c r="K191" s="70" t="str"/>
      <x:c r="L191" s="70" t="str"/>
      <x:c r="M191" s="70" t="str"/>
      <x:c r="N191" s="70" t="str"/>
      <x:c r="O191" s="70" t="str"/>
      <x:c r="P191" s="70" t="str"/>
      <x:c r="Q191" s="70" t="str"/>
      <x:c r="R191" s="70" t="str">
        <x:v>无</x:v>
      </x:c>
      <x:c r="S191" s="70" t="str">
        <x:v>否</x:v>
      </x:c>
      <x:c r="T191" s="70" t="str"/>
    </x:row>
    <x:row r="192">
      <x:c r="A192" s="70" t="str">
        <x:v>M5E-0187</x:v>
      </x:c>
      <x:c r="B192" s="70" t="str"/>
      <x:c r="C192" s="70" t="str"/>
      <x:c r="D192" s="70" t="str"/>
      <x:c r="E192" s="70" t="str"/>
      <x:c r="F192" s="70" t="str"/>
      <x:c r="G192" s="70" t="str"/>
      <x:c r="H192" s="70" t="str"/>
      <x:c r="I192" s="70" t="str"/>
      <x:c r="J192" s="70" t="str"/>
      <x:c r="K192" s="70" t="str"/>
      <x:c r="L192" s="70" t="str"/>
      <x:c r="M192" s="70" t="str"/>
      <x:c r="N192" s="70" t="str"/>
      <x:c r="O192" s="70" t="str"/>
      <x:c r="P192" s="70" t="str"/>
      <x:c r="Q192" s="70" t="str"/>
      <x:c r="R192" s="70" t="str">
        <x:v>无</x:v>
      </x:c>
      <x:c r="S192" s="70" t="str">
        <x:v>否</x:v>
      </x:c>
      <x:c r="T192" s="70" t="str"/>
    </x:row>
    <x:row r="193">
      <x:c r="A193" s="70" t="str">
        <x:v>M5E-0188</x:v>
      </x:c>
      <x:c r="B193" s="70" t="str"/>
      <x:c r="C193" s="70" t="str"/>
      <x:c r="D193" s="70" t="str"/>
      <x:c r="E193" s="70" t="str"/>
      <x:c r="F193" s="70" t="str"/>
      <x:c r="G193" s="70" t="str"/>
      <x:c r="H193" s="70" t="str"/>
      <x:c r="I193" s="70" t="str"/>
      <x:c r="J193" s="70" t="str"/>
      <x:c r="K193" s="70" t="str"/>
      <x:c r="L193" s="70" t="str"/>
      <x:c r="M193" s="70" t="str"/>
      <x:c r="N193" s="70" t="str"/>
      <x:c r="O193" s="70" t="str"/>
      <x:c r="P193" s="70" t="str"/>
      <x:c r="Q193" s="70" t="str"/>
      <x:c r="R193" s="70" t="str">
        <x:v>无</x:v>
      </x:c>
      <x:c r="S193" s="70" t="str">
        <x:v>否</x:v>
      </x:c>
      <x:c r="T193" s="70" t="str"/>
    </x:row>
    <x:row r="194">
      <x:c r="A194" s="70" t="str">
        <x:v>M5E-0189</x:v>
      </x:c>
      <x:c r="B194" s="70" t="str"/>
      <x:c r="C194" s="70" t="str"/>
      <x:c r="D194" s="70" t="str"/>
      <x:c r="E194" s="70" t="str"/>
      <x:c r="F194" s="70" t="str"/>
      <x:c r="G194" s="70" t="str"/>
      <x:c r="H194" s="70" t="str"/>
      <x:c r="I194" s="70" t="str"/>
      <x:c r="J194" s="70" t="str"/>
      <x:c r="K194" s="70" t="str"/>
      <x:c r="L194" s="70" t="str"/>
      <x:c r="M194" s="70" t="str"/>
      <x:c r="N194" s="70" t="str"/>
      <x:c r="O194" s="70" t="str"/>
      <x:c r="P194" s="70" t="str"/>
      <x:c r="Q194" s="70" t="str"/>
      <x:c r="R194" s="70" t="str">
        <x:v>无</x:v>
      </x:c>
      <x:c r="S194" s="70" t="str">
        <x:v>否</x:v>
      </x:c>
      <x:c r="T194" s="70" t="str"/>
    </x:row>
    <x:row r="195">
      <x:c r="A195" s="70" t="str">
        <x:v>M5E-0190</x:v>
      </x:c>
      <x:c r="B195" s="70" t="str"/>
      <x:c r="C195" s="70" t="str"/>
      <x:c r="D195" s="70" t="str"/>
      <x:c r="E195" s="70" t="str"/>
      <x:c r="F195" s="70" t="str"/>
      <x:c r="G195" s="70" t="str"/>
      <x:c r="H195" s="70" t="str"/>
      <x:c r="I195" s="70" t="str"/>
      <x:c r="J195" s="70" t="str"/>
      <x:c r="K195" s="70" t="str"/>
      <x:c r="L195" s="70" t="str"/>
      <x:c r="M195" s="70" t="str"/>
      <x:c r="N195" s="70" t="str"/>
      <x:c r="O195" s="70" t="str"/>
      <x:c r="P195" s="70" t="str"/>
      <x:c r="Q195" s="70" t="str"/>
      <x:c r="R195" s="70" t="str">
        <x:v>无</x:v>
      </x:c>
      <x:c r="S195" s="70" t="str">
        <x:v>否</x:v>
      </x:c>
      <x:c r="T195" s="70" t="str"/>
    </x:row>
    <x:row r="196">
      <x:c r="A196" s="70" t="str">
        <x:v>M5E-0191</x:v>
      </x:c>
      <x:c r="B196" s="70" t="str"/>
      <x:c r="C196" s="70" t="str"/>
      <x:c r="D196" s="70" t="str"/>
      <x:c r="E196" s="70" t="str"/>
      <x:c r="F196" s="70" t="str"/>
      <x:c r="G196" s="70" t="str"/>
      <x:c r="H196" s="70" t="str"/>
      <x:c r="I196" s="70" t="str"/>
      <x:c r="J196" s="70" t="str"/>
      <x:c r="K196" s="70" t="str"/>
      <x:c r="L196" s="70" t="str"/>
      <x:c r="M196" s="70" t="str"/>
      <x:c r="N196" s="70" t="str"/>
      <x:c r="O196" s="70" t="str"/>
      <x:c r="P196" s="70" t="str"/>
      <x:c r="Q196" s="70" t="str"/>
      <x:c r="R196" s="70" t="str">
        <x:v>无</x:v>
      </x:c>
      <x:c r="S196" s="70" t="str">
        <x:v>否</x:v>
      </x:c>
      <x:c r="T196" s="70" t="str"/>
    </x:row>
    <x:row r="197">
      <x:c r="A197" s="70" t="str">
        <x:v>M5E-0192</x:v>
      </x:c>
      <x:c r="B197" s="70" t="str"/>
      <x:c r="C197" s="70" t="str"/>
      <x:c r="D197" s="70" t="str"/>
      <x:c r="E197" s="70" t="str"/>
      <x:c r="F197" s="70" t="str"/>
      <x:c r="G197" s="70" t="str"/>
      <x:c r="H197" s="70" t="str"/>
      <x:c r="I197" s="70" t="str"/>
      <x:c r="J197" s="70" t="str"/>
      <x:c r="K197" s="70" t="str"/>
      <x:c r="L197" s="70" t="str"/>
      <x:c r="M197" s="70" t="str"/>
      <x:c r="N197" s="70" t="str"/>
      <x:c r="O197" s="70" t="str"/>
      <x:c r="P197" s="70" t="str"/>
      <x:c r="Q197" s="70" t="str"/>
      <x:c r="R197" s="70" t="str">
        <x:v>无</x:v>
      </x:c>
      <x:c r="S197" s="70" t="str">
        <x:v>否</x:v>
      </x:c>
      <x:c r="T197" s="70" t="str"/>
    </x:row>
    <x:row r="198">
      <x:c r="A198" s="70" t="str">
        <x:v>M5E-0193</x:v>
      </x:c>
      <x:c r="B198" s="70" t="str"/>
      <x:c r="C198" s="70" t="str"/>
      <x:c r="D198" s="70" t="str"/>
      <x:c r="E198" s="70" t="str"/>
      <x:c r="F198" s="70" t="str"/>
      <x:c r="G198" s="70" t="str"/>
      <x:c r="H198" s="70" t="str"/>
      <x:c r="I198" s="70" t="str"/>
      <x:c r="J198" s="70" t="str"/>
      <x:c r="K198" s="70" t="str"/>
      <x:c r="L198" s="70" t="str"/>
      <x:c r="M198" s="70" t="str"/>
      <x:c r="N198" s="70" t="str"/>
      <x:c r="O198" s="70" t="str"/>
      <x:c r="P198" s="70" t="str"/>
      <x:c r="Q198" s="70" t="str"/>
      <x:c r="R198" s="70" t="str">
        <x:v>无</x:v>
      </x:c>
      <x:c r="S198" s="70" t="str">
        <x:v>否</x:v>
      </x:c>
      <x:c r="T198" s="70" t="str"/>
    </x:row>
    <x:row r="199">
      <x:c r="A199" s="70" t="str">
        <x:v>M5E-0194</x:v>
      </x:c>
      <x:c r="B199" s="70" t="str"/>
      <x:c r="C199" s="70" t="str"/>
      <x:c r="D199" s="70" t="str"/>
      <x:c r="E199" s="70" t="str"/>
      <x:c r="F199" s="70" t="str"/>
      <x:c r="G199" s="70" t="str"/>
      <x:c r="H199" s="70" t="str"/>
      <x:c r="I199" s="70" t="str"/>
      <x:c r="J199" s="70" t="str"/>
      <x:c r="K199" s="70" t="str"/>
      <x:c r="L199" s="70" t="str"/>
      <x:c r="M199" s="70" t="str"/>
      <x:c r="N199" s="70" t="str"/>
      <x:c r="O199" s="70" t="str"/>
      <x:c r="P199" s="70" t="str"/>
      <x:c r="Q199" s="70" t="str"/>
      <x:c r="R199" s="70" t="str">
        <x:v>无</x:v>
      </x:c>
      <x:c r="S199" s="70" t="str">
        <x:v>否</x:v>
      </x:c>
      <x:c r="T199" s="70" t="str"/>
    </x:row>
    <x:row r="200">
      <x:c r="A200" s="70" t="str">
        <x:v>M5E-0195</x:v>
      </x:c>
      <x:c r="B200" s="70" t="str"/>
      <x:c r="C200" s="70" t="str"/>
      <x:c r="D200" s="70" t="str"/>
      <x:c r="E200" s="70" t="str"/>
      <x:c r="F200" s="70" t="str"/>
      <x:c r="G200" s="70" t="str"/>
      <x:c r="H200" s="70" t="str"/>
      <x:c r="I200" s="70" t="str"/>
      <x:c r="J200" s="70" t="str"/>
      <x:c r="K200" s="70" t="str"/>
      <x:c r="L200" s="70" t="str"/>
      <x:c r="M200" s="70" t="str"/>
      <x:c r="N200" s="70" t="str"/>
      <x:c r="O200" s="70" t="str"/>
      <x:c r="P200" s="70" t="str"/>
      <x:c r="Q200" s="70" t="str"/>
      <x:c r="R200" s="70" t="str">
        <x:v>无</x:v>
      </x:c>
      <x:c r="S200" s="70" t="str">
        <x:v>否</x:v>
      </x:c>
      <x:c r="T200" s="70" t="str"/>
    </x:row>
    <x:row r="201">
      <x:c r="A201" s="70" t="str">
        <x:v>M5E-0196</x:v>
      </x:c>
      <x:c r="B201" s="70" t="str"/>
      <x:c r="C201" s="70" t="str"/>
      <x:c r="D201" s="70" t="str"/>
      <x:c r="E201" s="70" t="str"/>
      <x:c r="F201" s="70" t="str"/>
      <x:c r="G201" s="70" t="str"/>
      <x:c r="H201" s="70" t="str"/>
      <x:c r="I201" s="70" t="str"/>
      <x:c r="J201" s="70" t="str"/>
      <x:c r="K201" s="70" t="str"/>
      <x:c r="L201" s="70" t="str"/>
      <x:c r="M201" s="70" t="str"/>
      <x:c r="N201" s="70" t="str"/>
      <x:c r="O201" s="70" t="str"/>
      <x:c r="P201" s="70" t="str"/>
      <x:c r="Q201" s="70" t="str"/>
      <x:c r="R201" s="70" t="str">
        <x:v>无</x:v>
      </x:c>
      <x:c r="S201" s="70" t="str">
        <x:v>否</x:v>
      </x:c>
      <x:c r="T201" s="70" t="str"/>
    </x:row>
    <x:row r="202">
      <x:c r="A202" s="70" t="str">
        <x:v>M5E-0197</x:v>
      </x:c>
      <x:c r="B202" s="70" t="str"/>
      <x:c r="C202" s="70" t="str"/>
      <x:c r="D202" s="70" t="str"/>
      <x:c r="E202" s="70" t="str"/>
      <x:c r="F202" s="70" t="str"/>
      <x:c r="G202" s="70" t="str"/>
      <x:c r="H202" s="70" t="str"/>
      <x:c r="I202" s="70" t="str"/>
      <x:c r="J202" s="70" t="str"/>
      <x:c r="K202" s="70" t="str"/>
      <x:c r="L202" s="70" t="str"/>
      <x:c r="M202" s="70" t="str"/>
      <x:c r="N202" s="70" t="str"/>
      <x:c r="O202" s="70" t="str"/>
      <x:c r="P202" s="70" t="str"/>
      <x:c r="Q202" s="70" t="str"/>
      <x:c r="R202" s="70" t="str">
        <x:v>无</x:v>
      </x:c>
      <x:c r="S202" s="70" t="str">
        <x:v>否</x:v>
      </x:c>
      <x:c r="T202" s="70" t="str"/>
    </x:row>
    <x:row r="203">
      <x:c r="A203" s="70" t="str">
        <x:v>M5E-0198</x:v>
      </x:c>
      <x:c r="B203" s="70" t="str"/>
      <x:c r="C203" s="70" t="str"/>
      <x:c r="D203" s="70" t="str"/>
      <x:c r="E203" s="70" t="str"/>
      <x:c r="F203" s="70" t="str"/>
      <x:c r="G203" s="70" t="str"/>
      <x:c r="H203" s="70" t="str"/>
      <x:c r="I203" s="70" t="str"/>
      <x:c r="J203" s="70" t="str"/>
      <x:c r="K203" s="70" t="str"/>
      <x:c r="L203" s="70" t="str"/>
      <x:c r="M203" s="70" t="str"/>
      <x:c r="N203" s="70" t="str"/>
      <x:c r="O203" s="70" t="str"/>
      <x:c r="P203" s="70" t="str"/>
      <x:c r="Q203" s="70" t="str"/>
      <x:c r="R203" s="70" t="str">
        <x:v>无</x:v>
      </x:c>
      <x:c r="S203" s="70" t="str">
        <x:v>否</x:v>
      </x:c>
      <x:c r="T203" s="70" t="str"/>
    </x:row>
    <x:row r="204">
      <x:c r="A204" s="70" t="str">
        <x:v>M5E-0199</x:v>
      </x:c>
      <x:c r="B204" s="70" t="str"/>
      <x:c r="C204" s="70" t="str"/>
      <x:c r="D204" s="70" t="str"/>
      <x:c r="E204" s="70" t="str"/>
      <x:c r="F204" s="70" t="str"/>
      <x:c r="G204" s="70" t="str"/>
      <x:c r="H204" s="70" t="str"/>
      <x:c r="I204" s="70" t="str"/>
      <x:c r="J204" s="70" t="str"/>
      <x:c r="K204" s="70" t="str"/>
      <x:c r="L204" s="70" t="str"/>
      <x:c r="M204" s="70" t="str"/>
      <x:c r="N204" s="70" t="str"/>
      <x:c r="O204" s="70" t="str"/>
      <x:c r="P204" s="70" t="str"/>
      <x:c r="Q204" s="70" t="str"/>
      <x:c r="R204" s="70" t="str">
        <x:v>无</x:v>
      </x:c>
      <x:c r="S204" s="70" t="str">
        <x:v>否</x:v>
      </x:c>
      <x:c r="T204" s="70" t="str"/>
    </x:row>
    <x:row r="205">
      <x:c r="A205" s="70" t="str">
        <x:v>M5E-0200</x:v>
      </x:c>
      <x:c r="B205" s="70" t="str"/>
      <x:c r="C205" s="70" t="str"/>
      <x:c r="D205" s="70" t="str"/>
      <x:c r="E205" s="70" t="str"/>
      <x:c r="F205" s="70" t="str"/>
      <x:c r="G205" s="70" t="str"/>
      <x:c r="H205" s="70" t="str"/>
      <x:c r="I205" s="70" t="str"/>
      <x:c r="J205" s="70" t="str"/>
      <x:c r="K205" s="70" t="str"/>
      <x:c r="L205" s="70" t="str"/>
      <x:c r="M205" s="70" t="str"/>
      <x:c r="N205" s="70" t="str"/>
      <x:c r="O205" s="70" t="str"/>
      <x:c r="P205" s="70" t="str"/>
      <x:c r="Q205" s="70" t="str"/>
      <x:c r="R205" s="70" t="str">
        <x:v>无</x:v>
      </x:c>
      <x:c r="S205" s="70" t="str">
        <x:v>否</x:v>
      </x:c>
      <x:c r="T205" s="70" t="str"/>
    </x:row>
    <x:row r="206">
      <x:c r="A206" s="70" t="str">
        <x:v>M5E-0201</x:v>
      </x:c>
      <x:c r="B206" s="70" t="str"/>
      <x:c r="C206" s="70" t="str"/>
      <x:c r="D206" s="70" t="str"/>
      <x:c r="E206" s="70" t="str"/>
      <x:c r="F206" s="70" t="str"/>
      <x:c r="G206" s="70" t="str"/>
      <x:c r="H206" s="70" t="str"/>
      <x:c r="I206" s="70" t="str"/>
      <x:c r="J206" s="70" t="str"/>
      <x:c r="K206" s="70" t="str"/>
      <x:c r="L206" s="70" t="str"/>
      <x:c r="M206" s="70" t="str"/>
      <x:c r="N206" s="70" t="str"/>
      <x:c r="O206" s="70" t="str"/>
      <x:c r="P206" s="70" t="str"/>
      <x:c r="Q206" s="70" t="str"/>
      <x:c r="R206" s="70" t="str">
        <x:v>无</x:v>
      </x:c>
      <x:c r="S206" s="70" t="str">
        <x:v>否</x:v>
      </x:c>
      <x:c r="T206" s="70" t="str"/>
    </x:row>
    <x:row r="207">
      <x:c r="A207" s="70" t="str">
        <x:v>M5E-0202</x:v>
      </x:c>
      <x:c r="B207" s="70" t="str"/>
      <x:c r="C207" s="70" t="str"/>
      <x:c r="D207" s="70" t="str"/>
      <x:c r="E207" s="70" t="str"/>
      <x:c r="F207" s="70" t="str"/>
      <x:c r="G207" s="70" t="str"/>
      <x:c r="H207" s="70" t="str"/>
      <x:c r="I207" s="70" t="str"/>
      <x:c r="J207" s="70" t="str"/>
      <x:c r="K207" s="70" t="str"/>
      <x:c r="L207" s="70" t="str"/>
      <x:c r="M207" s="70" t="str"/>
      <x:c r="N207" s="70" t="str"/>
      <x:c r="O207" s="70" t="str"/>
      <x:c r="P207" s="70" t="str"/>
      <x:c r="Q207" s="70" t="str"/>
      <x:c r="R207" s="70" t="str">
        <x:v>无</x:v>
      </x:c>
      <x:c r="S207" s="70" t="str">
        <x:v>否</x:v>
      </x:c>
      <x:c r="T207" s="70" t="str"/>
    </x:row>
    <x:row r="208">
      <x:c r="A208" s="70" t="str">
        <x:v>M5E-0203</x:v>
      </x:c>
      <x:c r="B208" s="70" t="str"/>
      <x:c r="C208" s="70" t="str"/>
      <x:c r="D208" s="70" t="str"/>
      <x:c r="E208" s="70" t="str"/>
      <x:c r="F208" s="70" t="str"/>
      <x:c r="G208" s="70" t="str"/>
      <x:c r="H208" s="70" t="str"/>
      <x:c r="I208" s="70" t="str"/>
      <x:c r="J208" s="70" t="str"/>
      <x:c r="K208" s="70" t="str"/>
      <x:c r="L208" s="70" t="str"/>
      <x:c r="M208" s="70" t="str"/>
      <x:c r="N208" s="70" t="str"/>
      <x:c r="O208" s="70" t="str"/>
      <x:c r="P208" s="70" t="str"/>
      <x:c r="Q208" s="70" t="str"/>
      <x:c r="R208" s="70" t="str">
        <x:v>无</x:v>
      </x:c>
      <x:c r="S208" s="70" t="str">
        <x:v>否</x:v>
      </x:c>
      <x:c r="T208" s="70" t="str"/>
    </x:row>
    <x:row r="209">
      <x:c r="A209" s="70" t="str">
        <x:v>M5E-0204</x:v>
      </x:c>
      <x:c r="B209" s="70" t="str"/>
      <x:c r="C209" s="70" t="str"/>
      <x:c r="D209" s="70" t="str"/>
      <x:c r="E209" s="70" t="str"/>
      <x:c r="F209" s="70" t="str"/>
      <x:c r="G209" s="70" t="str"/>
      <x:c r="H209" s="70" t="str"/>
      <x:c r="I209" s="70" t="str"/>
      <x:c r="J209" s="70" t="str"/>
      <x:c r="K209" s="70" t="str"/>
      <x:c r="L209" s="70" t="str"/>
      <x:c r="M209" s="70" t="str"/>
      <x:c r="N209" s="70" t="str"/>
      <x:c r="O209" s="70" t="str"/>
      <x:c r="P209" s="70" t="str"/>
      <x:c r="Q209" s="70" t="str"/>
      <x:c r="R209" s="70" t="str">
        <x:v>无</x:v>
      </x:c>
      <x:c r="S209" s="70" t="str">
        <x:v>否</x:v>
      </x:c>
      <x:c r="T209" s="70" t="str"/>
    </x:row>
    <x:row r="210">
      <x:c r="A210" s="70" t="str">
        <x:v>M5E-0205</x:v>
      </x:c>
      <x:c r="B210" s="70" t="str"/>
      <x:c r="C210" s="70" t="str"/>
      <x:c r="D210" s="70" t="str"/>
      <x:c r="E210" s="70" t="str"/>
      <x:c r="F210" s="70" t="str"/>
      <x:c r="G210" s="70" t="str"/>
      <x:c r="H210" s="70" t="str"/>
      <x:c r="I210" s="70" t="str"/>
      <x:c r="J210" s="70" t="str"/>
      <x:c r="K210" s="70" t="str"/>
      <x:c r="L210" s="70" t="str"/>
      <x:c r="M210" s="70" t="str"/>
      <x:c r="N210" s="70" t="str"/>
      <x:c r="O210" s="70" t="str"/>
      <x:c r="P210" s="70" t="str"/>
      <x:c r="Q210" s="70" t="str"/>
      <x:c r="R210" s="70" t="str">
        <x:v>无</x:v>
      </x:c>
      <x:c r="S210" s="70" t="str">
        <x:v>否</x:v>
      </x:c>
      <x:c r="T210" s="70" t="str"/>
    </x:row>
    <x:row r="211">
      <x:c r="A211" s="70" t="str">
        <x:v>M5E-0206</x:v>
      </x:c>
      <x:c r="B211" s="70" t="str"/>
      <x:c r="C211" s="70" t="str"/>
      <x:c r="D211" s="70" t="str"/>
      <x:c r="E211" s="70" t="str"/>
      <x:c r="F211" s="70" t="str"/>
      <x:c r="G211" s="70" t="str"/>
      <x:c r="H211" s="70" t="str"/>
      <x:c r="I211" s="70" t="str"/>
      <x:c r="J211" s="70" t="str"/>
      <x:c r="K211" s="70" t="str"/>
      <x:c r="L211" s="70" t="str"/>
      <x:c r="M211" s="70" t="str"/>
      <x:c r="N211" s="70" t="str"/>
      <x:c r="O211" s="70" t="str"/>
      <x:c r="P211" s="70" t="str"/>
      <x:c r="Q211" s="70" t="str"/>
      <x:c r="R211" s="70" t="str">
        <x:v>无</x:v>
      </x:c>
      <x:c r="S211" s="70" t="str">
        <x:v>否</x:v>
      </x:c>
      <x:c r="T211" s="70" t="str"/>
    </x:row>
    <x:row r="212">
      <x:c r="A212" s="70" t="str">
        <x:v>M5E-0207</x:v>
      </x:c>
      <x:c r="B212" s="70" t="str"/>
      <x:c r="C212" s="70" t="str"/>
      <x:c r="D212" s="70" t="str"/>
      <x:c r="E212" s="70" t="str"/>
      <x:c r="F212" s="70" t="str"/>
      <x:c r="G212" s="70" t="str"/>
      <x:c r="H212" s="70" t="str"/>
      <x:c r="I212" s="70" t="str"/>
      <x:c r="J212" s="70" t="str"/>
      <x:c r="K212" s="70" t="str"/>
      <x:c r="L212" s="70" t="str"/>
      <x:c r="M212" s="70" t="str"/>
      <x:c r="N212" s="70" t="str"/>
      <x:c r="O212" s="70" t="str"/>
      <x:c r="P212" s="70" t="str"/>
      <x:c r="Q212" s="70" t="str"/>
      <x:c r="R212" s="70" t="str">
        <x:v>无</x:v>
      </x:c>
      <x:c r="S212" s="70" t="str">
        <x:v>否</x:v>
      </x:c>
      <x:c r="T212" s="70" t="str"/>
    </x:row>
    <x:row r="213">
      <x:c r="A213" s="70" t="str">
        <x:v>M5E-0208</x:v>
      </x:c>
      <x:c r="B213" s="70" t="str"/>
      <x:c r="C213" s="70" t="str"/>
      <x:c r="D213" s="70" t="str"/>
      <x:c r="E213" s="70" t="str"/>
      <x:c r="F213" s="70" t="str"/>
      <x:c r="G213" s="70" t="str"/>
      <x:c r="H213" s="70" t="str"/>
      <x:c r="I213" s="70" t="str"/>
      <x:c r="J213" s="70" t="str"/>
      <x:c r="K213" s="70" t="str"/>
      <x:c r="L213" s="70" t="str"/>
      <x:c r="M213" s="70" t="str"/>
      <x:c r="N213" s="70" t="str"/>
      <x:c r="O213" s="70" t="str"/>
      <x:c r="P213" s="70" t="str"/>
      <x:c r="Q213" s="70" t="str"/>
      <x:c r="R213" s="70" t="str">
        <x:v>无</x:v>
      </x:c>
      <x:c r="S213" s="70" t="str">
        <x:v>否</x:v>
      </x:c>
      <x:c r="T213" s="70" t="str"/>
    </x:row>
    <x:row r="214">
      <x:c r="A214" s="70" t="str">
        <x:v>M5E-0209</x:v>
      </x:c>
      <x:c r="B214" s="70" t="str"/>
      <x:c r="C214" s="70" t="str"/>
      <x:c r="D214" s="70" t="str"/>
      <x:c r="E214" s="70" t="str"/>
      <x:c r="F214" s="70" t="str"/>
      <x:c r="G214" s="70" t="str"/>
      <x:c r="H214" s="70" t="str"/>
      <x:c r="I214" s="70" t="str"/>
      <x:c r="J214" s="70" t="str"/>
      <x:c r="K214" s="70" t="str"/>
      <x:c r="L214" s="70" t="str"/>
      <x:c r="M214" s="70" t="str"/>
      <x:c r="N214" s="70" t="str"/>
      <x:c r="O214" s="70" t="str"/>
      <x:c r="P214" s="70" t="str"/>
      <x:c r="Q214" s="70" t="str"/>
      <x:c r="R214" s="70" t="str">
        <x:v>无</x:v>
      </x:c>
      <x:c r="S214" s="70" t="str">
        <x:v>否</x:v>
      </x:c>
      <x:c r="T214" s="70" t="str"/>
    </x:row>
    <x:row r="215">
      <x:c r="A215" s="70" t="str">
        <x:v>M5E-0210</x:v>
      </x:c>
      <x:c r="B215" s="70" t="str"/>
      <x:c r="C215" s="70" t="str"/>
      <x:c r="D215" s="70" t="str"/>
      <x:c r="E215" s="70" t="str"/>
      <x:c r="F215" s="70" t="str"/>
      <x:c r="G215" s="70" t="str"/>
      <x:c r="H215" s="70" t="str"/>
      <x:c r="I215" s="70" t="str"/>
      <x:c r="J215" s="70" t="str"/>
      <x:c r="K215" s="70" t="str"/>
      <x:c r="L215" s="70" t="str"/>
      <x:c r="M215" s="70" t="str"/>
      <x:c r="N215" s="70" t="str"/>
      <x:c r="O215" s="70" t="str"/>
      <x:c r="P215" s="70" t="str"/>
      <x:c r="Q215" s="70" t="str"/>
      <x:c r="R215" s="70" t="str">
        <x:v>无</x:v>
      </x:c>
      <x:c r="S215" s="70" t="str">
        <x:v>否</x:v>
      </x:c>
      <x:c r="T215" s="70" t="str"/>
    </x:row>
    <x:row r="216">
      <x:c r="A216" s="70" t="str">
        <x:v>M5E-0211</x:v>
      </x:c>
      <x:c r="B216" s="70" t="str"/>
      <x:c r="C216" s="70" t="str"/>
      <x:c r="D216" s="70" t="str"/>
      <x:c r="E216" s="70" t="str"/>
      <x:c r="F216" s="70" t="str"/>
      <x:c r="G216" s="70" t="str"/>
      <x:c r="H216" s="70" t="str"/>
      <x:c r="I216" s="70" t="str"/>
      <x:c r="J216" s="70" t="str"/>
      <x:c r="K216" s="70" t="str"/>
      <x:c r="L216" s="70" t="str"/>
      <x:c r="M216" s="70" t="str"/>
      <x:c r="N216" s="70" t="str"/>
      <x:c r="O216" s="70" t="str"/>
      <x:c r="P216" s="70" t="str"/>
      <x:c r="Q216" s="70" t="str"/>
      <x:c r="R216" s="70" t="str">
        <x:v>无</x:v>
      </x:c>
      <x:c r="S216" s="70" t="str">
        <x:v>否</x:v>
      </x:c>
      <x:c r="T216" s="70" t="str"/>
    </x:row>
    <x:row r="217">
      <x:c r="A217" s="70" t="str">
        <x:v>M5E-0212</x:v>
      </x:c>
      <x:c r="B217" s="70" t="str"/>
      <x:c r="C217" s="70" t="str"/>
      <x:c r="D217" s="70" t="str"/>
      <x:c r="E217" s="70" t="str"/>
      <x:c r="F217" s="70" t="str"/>
      <x:c r="G217" s="70" t="str"/>
      <x:c r="H217" s="70" t="str"/>
      <x:c r="I217" s="70" t="str"/>
      <x:c r="J217" s="70" t="str"/>
      <x:c r="K217" s="70" t="str"/>
      <x:c r="L217" s="70" t="str"/>
      <x:c r="M217" s="70" t="str"/>
      <x:c r="N217" s="70" t="str"/>
      <x:c r="O217" s="70" t="str"/>
      <x:c r="P217" s="70" t="str"/>
      <x:c r="Q217" s="70" t="str"/>
      <x:c r="R217" s="70" t="str">
        <x:v>无</x:v>
      </x:c>
      <x:c r="S217" s="70" t="str">
        <x:v>否</x:v>
      </x:c>
      <x:c r="T217" s="70" t="str"/>
    </x:row>
    <x:row r="218">
      <x:c r="A218" s="70" t="str">
        <x:v>M5E-0213</x:v>
      </x:c>
      <x:c r="B218" s="70" t="str"/>
      <x:c r="C218" s="70" t="str"/>
      <x:c r="D218" s="70" t="str"/>
      <x:c r="E218" s="70" t="str"/>
      <x:c r="F218" s="70" t="str"/>
      <x:c r="G218" s="70" t="str"/>
      <x:c r="H218" s="70" t="str"/>
      <x:c r="I218" s="70" t="str"/>
      <x:c r="J218" s="70" t="str"/>
      <x:c r="K218" s="70" t="str"/>
      <x:c r="L218" s="70" t="str"/>
      <x:c r="M218" s="70" t="str"/>
      <x:c r="N218" s="70" t="str"/>
      <x:c r="O218" s="70" t="str"/>
      <x:c r="P218" s="70" t="str"/>
      <x:c r="Q218" s="70" t="str"/>
      <x:c r="R218" s="70" t="str">
        <x:v>无</x:v>
      </x:c>
      <x:c r="S218" s="70" t="str">
        <x:v>否</x:v>
      </x:c>
      <x:c r="T218" s="70" t="str"/>
    </x:row>
    <x:row r="219">
      <x:c r="A219" s="70" t="str">
        <x:v>M5E-0214</x:v>
      </x:c>
      <x:c r="B219" s="70" t="str"/>
      <x:c r="C219" s="70" t="str"/>
      <x:c r="D219" s="70" t="str"/>
      <x:c r="E219" s="70" t="str"/>
      <x:c r="F219" s="70" t="str"/>
      <x:c r="G219" s="70" t="str"/>
      <x:c r="H219" s="70" t="str"/>
      <x:c r="I219" s="70" t="str"/>
      <x:c r="J219" s="70" t="str"/>
      <x:c r="K219" s="70" t="str"/>
      <x:c r="L219" s="70" t="str"/>
      <x:c r="M219" s="70" t="str"/>
      <x:c r="N219" s="70" t="str"/>
      <x:c r="O219" s="70" t="str"/>
      <x:c r="P219" s="70" t="str"/>
      <x:c r="Q219" s="70" t="str"/>
      <x:c r="R219" s="70" t="str">
        <x:v>无</x:v>
      </x:c>
      <x:c r="S219" s="70" t="str">
        <x:v>否</x:v>
      </x:c>
      <x:c r="T219" s="70" t="str"/>
    </x:row>
    <x:row r="220">
      <x:c r="A220" s="70" t="str">
        <x:v>M5E-0215</x:v>
      </x:c>
      <x:c r="B220" s="70" t="str"/>
      <x:c r="C220" s="70" t="str"/>
      <x:c r="D220" s="70" t="str"/>
      <x:c r="E220" s="70" t="str"/>
      <x:c r="F220" s="70" t="str"/>
      <x:c r="G220" s="70" t="str"/>
      <x:c r="H220" s="70" t="str"/>
      <x:c r="I220" s="70" t="str"/>
      <x:c r="J220" s="70" t="str"/>
      <x:c r="K220" s="70" t="str"/>
      <x:c r="L220" s="70" t="str"/>
      <x:c r="M220" s="70" t="str"/>
      <x:c r="N220" s="70" t="str"/>
      <x:c r="O220" s="70" t="str"/>
      <x:c r="P220" s="70" t="str"/>
      <x:c r="Q220" s="70" t="str"/>
      <x:c r="R220" s="70" t="str">
        <x:v>无</x:v>
      </x:c>
      <x:c r="S220" s="70" t="str">
        <x:v>否</x:v>
      </x:c>
      <x:c r="T220" s="70" t="str"/>
    </x:row>
    <x:row r="221">
      <x:c r="A221" s="70" t="str">
        <x:v>M5E-0216</x:v>
      </x:c>
      <x:c r="B221" s="70" t="str"/>
      <x:c r="C221" s="70" t="str"/>
      <x:c r="D221" s="70" t="str"/>
      <x:c r="E221" s="70" t="str"/>
      <x:c r="F221" s="70" t="str"/>
      <x:c r="G221" s="70" t="str"/>
      <x:c r="H221" s="70" t="str"/>
      <x:c r="I221" s="70" t="str"/>
      <x:c r="J221" s="70" t="str"/>
      <x:c r="K221" s="70" t="str"/>
      <x:c r="L221" s="70" t="str"/>
      <x:c r="M221" s="70" t="str"/>
      <x:c r="N221" s="70" t="str"/>
      <x:c r="O221" s="70" t="str"/>
      <x:c r="P221" s="70" t="str"/>
      <x:c r="Q221" s="70" t="str"/>
      <x:c r="R221" s="70" t="str">
        <x:v>无</x:v>
      </x:c>
      <x:c r="S221" s="70" t="str">
        <x:v>否</x:v>
      </x:c>
      <x:c r="T221" s="70" t="str"/>
    </x:row>
    <x:row r="222">
      <x:c r="A222" s="70" t="str">
        <x:v>M5E-0217</x:v>
      </x:c>
      <x:c r="B222" s="70" t="str"/>
      <x:c r="C222" s="70" t="str"/>
      <x:c r="D222" s="70" t="str"/>
      <x:c r="E222" s="70" t="str"/>
      <x:c r="F222" s="70" t="str"/>
      <x:c r="G222" s="70" t="str"/>
      <x:c r="H222" s="70" t="str"/>
      <x:c r="I222" s="70" t="str"/>
      <x:c r="J222" s="70" t="str"/>
      <x:c r="K222" s="70" t="str"/>
      <x:c r="L222" s="70" t="str"/>
      <x:c r="M222" s="70" t="str"/>
      <x:c r="N222" s="70" t="str"/>
      <x:c r="O222" s="70" t="str"/>
      <x:c r="P222" s="70" t="str"/>
      <x:c r="Q222" s="70" t="str"/>
      <x:c r="R222" s="70" t="str">
        <x:v>无</x:v>
      </x:c>
      <x:c r="S222" s="70" t="str">
        <x:v>否</x:v>
      </x:c>
      <x:c r="T222" s="70" t="str"/>
    </x:row>
    <x:row r="223">
      <x:c r="A223" s="70" t="str">
        <x:v>M5E-0218</x:v>
      </x:c>
      <x:c r="B223" s="70" t="str"/>
      <x:c r="C223" s="70" t="str"/>
      <x:c r="D223" s="70" t="str"/>
      <x:c r="E223" s="70" t="str"/>
      <x:c r="F223" s="70" t="str"/>
      <x:c r="G223" s="70" t="str"/>
      <x:c r="H223" s="70" t="str"/>
      <x:c r="I223" s="70" t="str"/>
      <x:c r="J223" s="70" t="str"/>
      <x:c r="K223" s="70" t="str"/>
      <x:c r="L223" s="70" t="str"/>
      <x:c r="M223" s="70" t="str"/>
      <x:c r="N223" s="70" t="str"/>
      <x:c r="O223" s="70" t="str"/>
      <x:c r="P223" s="70" t="str"/>
      <x:c r="Q223" s="70" t="str"/>
      <x:c r="R223" s="70" t="str">
        <x:v>无</x:v>
      </x:c>
      <x:c r="S223" s="70" t="str">
        <x:v>否</x:v>
      </x:c>
      <x:c r="T223" s="70" t="str"/>
    </x:row>
    <x:row r="224">
      <x:c r="A224" s="70" t="str">
        <x:v>M5E-0219</x:v>
      </x:c>
      <x:c r="B224" s="70" t="str"/>
      <x:c r="C224" s="70" t="str"/>
      <x:c r="D224" s="70" t="str"/>
      <x:c r="E224" s="70" t="str"/>
      <x:c r="F224" s="70" t="str"/>
      <x:c r="G224" s="70" t="str"/>
      <x:c r="H224" s="70" t="str"/>
      <x:c r="I224" s="70" t="str"/>
      <x:c r="J224" s="70" t="str"/>
      <x:c r="K224" s="70" t="str"/>
      <x:c r="L224" s="70" t="str"/>
      <x:c r="M224" s="70" t="str"/>
      <x:c r="N224" s="70" t="str"/>
      <x:c r="O224" s="70" t="str"/>
      <x:c r="P224" s="70" t="str"/>
      <x:c r="Q224" s="70" t="str"/>
      <x:c r="R224" s="70" t="str">
        <x:v>无</x:v>
      </x:c>
      <x:c r="S224" s="70" t="str">
        <x:v>否</x:v>
      </x:c>
      <x:c r="T224" s="70" t="str"/>
    </x:row>
    <x:row r="225">
      <x:c r="A225" s="70" t="str">
        <x:v>M5E-0220</x:v>
      </x:c>
      <x:c r="B225" s="70" t="str"/>
      <x:c r="C225" s="70" t="str"/>
      <x:c r="D225" s="70" t="str"/>
      <x:c r="E225" s="70" t="str"/>
      <x:c r="F225" s="70" t="str"/>
      <x:c r="G225" s="70" t="str"/>
      <x:c r="H225" s="70" t="str"/>
      <x:c r="I225" s="70" t="str"/>
      <x:c r="J225" s="70" t="str"/>
      <x:c r="K225" s="70" t="str"/>
      <x:c r="L225" s="70" t="str"/>
      <x:c r="M225" s="70" t="str"/>
      <x:c r="N225" s="70" t="str"/>
      <x:c r="O225" s="70" t="str"/>
      <x:c r="P225" s="70" t="str"/>
      <x:c r="Q225" s="70" t="str"/>
      <x:c r="R225" s="70" t="str">
        <x:v>无</x:v>
      </x:c>
      <x:c r="S225" s="70" t="str">
        <x:v>否</x:v>
      </x:c>
      <x:c r="T225" s="70" t="str"/>
    </x:row>
    <x:row r="226">
      <x:c r="A226" s="70" t="str">
        <x:v>M5E-0221</x:v>
      </x:c>
      <x:c r="B226" s="70" t="str"/>
      <x:c r="C226" s="70" t="str"/>
      <x:c r="D226" s="70" t="str"/>
      <x:c r="E226" s="70" t="str"/>
      <x:c r="F226" s="70" t="str"/>
      <x:c r="G226" s="70" t="str"/>
      <x:c r="H226" s="70" t="str"/>
      <x:c r="I226" s="70" t="str"/>
      <x:c r="J226" s="70" t="str"/>
      <x:c r="K226" s="70" t="str"/>
      <x:c r="L226" s="70" t="str"/>
      <x:c r="M226" s="70" t="str"/>
      <x:c r="N226" s="70" t="str"/>
      <x:c r="O226" s="70" t="str"/>
      <x:c r="P226" s="70" t="str"/>
      <x:c r="Q226" s="70" t="str"/>
      <x:c r="R226" s="70" t="str">
        <x:v>无</x:v>
      </x:c>
      <x:c r="S226" s="70" t="str">
        <x:v>否</x:v>
      </x:c>
      <x:c r="T226" s="70" t="str"/>
    </x:row>
    <x:row r="227">
      <x:c r="A227" s="70" t="str">
        <x:v>M5E-0222</x:v>
      </x:c>
      <x:c r="B227" s="70" t="str"/>
      <x:c r="C227" s="70" t="str"/>
      <x:c r="D227" s="70" t="str"/>
      <x:c r="E227" s="70" t="str"/>
      <x:c r="F227" s="70" t="str"/>
      <x:c r="G227" s="70" t="str"/>
      <x:c r="H227" s="70" t="str"/>
      <x:c r="I227" s="70" t="str"/>
      <x:c r="J227" s="70" t="str"/>
      <x:c r="K227" s="70" t="str"/>
      <x:c r="L227" s="70" t="str"/>
      <x:c r="M227" s="70" t="str"/>
      <x:c r="N227" s="70" t="str"/>
      <x:c r="O227" s="70" t="str"/>
      <x:c r="P227" s="70" t="str"/>
      <x:c r="Q227" s="70" t="str"/>
      <x:c r="R227" s="70" t="str">
        <x:v>无</x:v>
      </x:c>
      <x:c r="S227" s="70" t="str">
        <x:v>否</x:v>
      </x:c>
      <x:c r="T227" s="70" t="str"/>
    </x:row>
    <x:row r="228">
      <x:c r="A228" s="70" t="str">
        <x:v>M5E-0223</x:v>
      </x:c>
      <x:c r="B228" s="70" t="str"/>
      <x:c r="C228" s="70" t="str"/>
      <x:c r="D228" s="70" t="str"/>
      <x:c r="E228" s="70" t="str"/>
      <x:c r="F228" s="70" t="str"/>
      <x:c r="G228" s="70" t="str"/>
      <x:c r="H228" s="70" t="str"/>
      <x:c r="I228" s="70" t="str"/>
      <x:c r="J228" s="70" t="str"/>
      <x:c r="K228" s="70" t="str"/>
      <x:c r="L228" s="70" t="str"/>
      <x:c r="M228" s="70" t="str"/>
      <x:c r="N228" s="70" t="str"/>
      <x:c r="O228" s="70" t="str"/>
      <x:c r="P228" s="70" t="str"/>
      <x:c r="Q228" s="70" t="str"/>
      <x:c r="R228" s="70" t="str">
        <x:v>无</x:v>
      </x:c>
      <x:c r="S228" s="70" t="str">
        <x:v>否</x:v>
      </x:c>
      <x:c r="T228" s="70" t="str"/>
    </x:row>
    <x:row r="229">
      <x:c r="A229" s="70" t="str">
        <x:v>M5E-0224</x:v>
      </x:c>
      <x:c r="B229" s="70" t="str"/>
      <x:c r="C229" s="70" t="str"/>
      <x:c r="D229" s="70" t="str"/>
      <x:c r="E229" s="70" t="str"/>
      <x:c r="F229" s="70" t="str"/>
      <x:c r="G229" s="70" t="str"/>
      <x:c r="H229" s="70" t="str"/>
      <x:c r="I229" s="70" t="str"/>
      <x:c r="J229" s="70" t="str"/>
      <x:c r="K229" s="70" t="str"/>
      <x:c r="L229" s="70" t="str"/>
      <x:c r="M229" s="70" t="str"/>
      <x:c r="N229" s="70" t="str"/>
      <x:c r="O229" s="70" t="str"/>
      <x:c r="P229" s="70" t="str"/>
      <x:c r="Q229" s="70" t="str"/>
      <x:c r="R229" s="70" t="str">
        <x:v>无</x:v>
      </x:c>
      <x:c r="S229" s="70" t="str">
        <x:v>否</x:v>
      </x:c>
      <x:c r="T229" s="70" t="str"/>
    </x:row>
    <x:row r="230">
      <x:c r="A230" s="70" t="str">
        <x:v>M5E-0225</x:v>
      </x:c>
      <x:c r="B230" s="70" t="str"/>
      <x:c r="C230" s="70" t="str"/>
      <x:c r="D230" s="70" t="str"/>
      <x:c r="E230" s="70" t="str"/>
      <x:c r="F230" s="70" t="str"/>
      <x:c r="G230" s="70" t="str"/>
      <x:c r="H230" s="70" t="str"/>
      <x:c r="I230" s="70" t="str"/>
      <x:c r="J230" s="70" t="str"/>
      <x:c r="K230" s="70" t="str"/>
      <x:c r="L230" s="70" t="str"/>
      <x:c r="M230" s="70" t="str"/>
      <x:c r="N230" s="70" t="str"/>
      <x:c r="O230" s="70" t="str"/>
      <x:c r="P230" s="70" t="str"/>
      <x:c r="Q230" s="70" t="str"/>
      <x:c r="R230" s="70" t="str">
        <x:v>无</x:v>
      </x:c>
      <x:c r="S230" s="70" t="str">
        <x:v>否</x:v>
      </x:c>
      <x:c r="T230" s="70" t="str"/>
    </x:row>
    <x:row r="231">
      <x:c r="A231" s="70" t="str">
        <x:v>M5E-0226</x:v>
      </x:c>
      <x:c r="B231" s="70" t="str"/>
      <x:c r="C231" s="70" t="str"/>
      <x:c r="D231" s="70" t="str"/>
      <x:c r="E231" s="70" t="str"/>
      <x:c r="F231" s="70" t="str"/>
      <x:c r="G231" s="70" t="str"/>
      <x:c r="H231" s="70" t="str"/>
      <x:c r="I231" s="70" t="str"/>
      <x:c r="J231" s="70" t="str"/>
      <x:c r="K231" s="70" t="str"/>
      <x:c r="L231" s="70" t="str"/>
      <x:c r="M231" s="70" t="str"/>
      <x:c r="N231" s="70" t="str"/>
      <x:c r="O231" s="70" t="str"/>
      <x:c r="P231" s="70" t="str"/>
      <x:c r="Q231" s="70" t="str"/>
      <x:c r="R231" s="70" t="str">
        <x:v>无</x:v>
      </x:c>
      <x:c r="S231" s="70" t="str">
        <x:v>否</x:v>
      </x:c>
      <x:c r="T231" s="70" t="str"/>
    </x:row>
    <x:row r="232">
      <x:c r="A232" s="70" t="str">
        <x:v>M5E-0227</x:v>
      </x:c>
      <x:c r="B232" s="70" t="str"/>
      <x:c r="C232" s="70" t="str"/>
      <x:c r="D232" s="70" t="str"/>
      <x:c r="E232" s="70" t="str"/>
      <x:c r="F232" s="70" t="str"/>
      <x:c r="G232" s="70" t="str"/>
      <x:c r="H232" s="70" t="str"/>
      <x:c r="I232" s="70" t="str"/>
      <x:c r="J232" s="70" t="str"/>
      <x:c r="K232" s="70" t="str"/>
      <x:c r="L232" s="70" t="str"/>
      <x:c r="M232" s="70" t="str"/>
      <x:c r="N232" s="70" t="str"/>
      <x:c r="O232" s="70" t="str"/>
      <x:c r="P232" s="70" t="str"/>
      <x:c r="Q232" s="70" t="str"/>
      <x:c r="R232" s="70" t="str">
        <x:v>无</x:v>
      </x:c>
      <x:c r="S232" s="70" t="str">
        <x:v>否</x:v>
      </x:c>
      <x:c r="T232" s="70" t="str"/>
    </x:row>
    <x:row r="233">
      <x:c r="A233" s="70" t="str">
        <x:v>M5E-0228</x:v>
      </x:c>
      <x:c r="B233" s="70" t="str"/>
      <x:c r="C233" s="70" t="str"/>
      <x:c r="D233" s="70" t="str"/>
      <x:c r="E233" s="70" t="str"/>
      <x:c r="F233" s="70" t="str"/>
      <x:c r="G233" s="70" t="str"/>
      <x:c r="H233" s="70" t="str"/>
      <x:c r="I233" s="70" t="str"/>
      <x:c r="J233" s="70" t="str"/>
      <x:c r="K233" s="70" t="str"/>
      <x:c r="L233" s="70" t="str"/>
      <x:c r="M233" s="70" t="str"/>
      <x:c r="N233" s="70" t="str"/>
      <x:c r="O233" s="70" t="str"/>
      <x:c r="P233" s="70" t="str"/>
      <x:c r="Q233" s="70" t="str"/>
      <x:c r="R233" s="70" t="str">
        <x:v>无</x:v>
      </x:c>
      <x:c r="S233" s="70" t="str">
        <x:v>否</x:v>
      </x:c>
      <x:c r="T233" s="70" t="str"/>
    </x:row>
    <x:row r="234">
      <x:c r="A234" s="70" t="str">
        <x:v>M5E-0229</x:v>
      </x:c>
      <x:c r="B234" s="70" t="str"/>
      <x:c r="C234" s="70" t="str"/>
      <x:c r="D234" s="70" t="str"/>
      <x:c r="E234" s="70" t="str"/>
      <x:c r="F234" s="70" t="str"/>
      <x:c r="G234" s="70" t="str"/>
      <x:c r="H234" s="70" t="str"/>
      <x:c r="I234" s="70" t="str"/>
      <x:c r="J234" s="70" t="str"/>
      <x:c r="K234" s="70" t="str"/>
      <x:c r="L234" s="70" t="str"/>
      <x:c r="M234" s="70" t="str"/>
      <x:c r="N234" s="70" t="str"/>
      <x:c r="O234" s="70" t="str"/>
      <x:c r="P234" s="70" t="str"/>
      <x:c r="Q234" s="70" t="str"/>
      <x:c r="R234" s="70" t="str">
        <x:v>无</x:v>
      </x:c>
      <x:c r="S234" s="70" t="str">
        <x:v>否</x:v>
      </x:c>
      <x:c r="T234" s="70" t="str"/>
    </x:row>
    <x:row r="235">
      <x:c r="A235" s="70" t="str">
        <x:v>M5E-0230</x:v>
      </x:c>
      <x:c r="B235" s="70" t="str"/>
      <x:c r="C235" s="70" t="str"/>
      <x:c r="D235" s="70" t="str"/>
      <x:c r="E235" s="70" t="str"/>
      <x:c r="F235" s="70" t="str"/>
      <x:c r="G235" s="70" t="str"/>
      <x:c r="H235" s="70" t="str"/>
      <x:c r="I235" s="70" t="str"/>
      <x:c r="J235" s="70" t="str"/>
      <x:c r="K235" s="70" t="str"/>
      <x:c r="L235" s="70" t="str"/>
      <x:c r="M235" s="70" t="str"/>
      <x:c r="N235" s="70" t="str"/>
      <x:c r="O235" s="70" t="str"/>
      <x:c r="P235" s="70" t="str"/>
      <x:c r="Q235" s="70" t="str"/>
      <x:c r="R235" s="70" t="str">
        <x:v>无</x:v>
      </x:c>
      <x:c r="S235" s="70" t="str">
        <x:v>否</x:v>
      </x:c>
      <x:c r="T235" s="70" t="str"/>
    </x:row>
    <x:row r="236">
      <x:c r="A236" s="70" t="str">
        <x:v>M5E-0231</x:v>
      </x:c>
      <x:c r="B236" s="70" t="str"/>
      <x:c r="C236" s="70" t="str"/>
      <x:c r="D236" s="70" t="str"/>
      <x:c r="E236" s="70" t="str"/>
      <x:c r="F236" s="70" t="str"/>
      <x:c r="G236" s="70" t="str"/>
      <x:c r="H236" s="70" t="str"/>
      <x:c r="I236" s="70" t="str"/>
      <x:c r="J236" s="70" t="str"/>
      <x:c r="K236" s="70" t="str"/>
      <x:c r="L236" s="70" t="str"/>
      <x:c r="M236" s="70" t="str"/>
      <x:c r="N236" s="70" t="str"/>
      <x:c r="O236" s="70" t="str"/>
      <x:c r="P236" s="70" t="str"/>
      <x:c r="Q236" s="70" t="str"/>
      <x:c r="R236" s="70" t="str">
        <x:v>无</x:v>
      </x:c>
      <x:c r="S236" s="70" t="str">
        <x:v>否</x:v>
      </x:c>
      <x:c r="T236" s="70" t="str"/>
    </x:row>
    <x:row r="237">
      <x:c r="A237" s="70" t="str">
        <x:v>M5E-0232</x:v>
      </x:c>
      <x:c r="B237" s="70" t="str"/>
      <x:c r="C237" s="70" t="str"/>
      <x:c r="D237" s="70" t="str"/>
      <x:c r="E237" s="70" t="str"/>
      <x:c r="F237" s="70" t="str"/>
      <x:c r="G237" s="70" t="str"/>
      <x:c r="H237" s="70" t="str"/>
      <x:c r="I237" s="70" t="str"/>
      <x:c r="J237" s="70" t="str"/>
      <x:c r="K237" s="70" t="str"/>
      <x:c r="L237" s="70" t="str"/>
      <x:c r="M237" s="70" t="str"/>
      <x:c r="N237" s="70" t="str"/>
      <x:c r="O237" s="70" t="str"/>
      <x:c r="P237" s="70" t="str"/>
      <x:c r="Q237" s="70" t="str"/>
      <x:c r="R237" s="70" t="str">
        <x:v>无</x:v>
      </x:c>
      <x:c r="S237" s="70" t="str">
        <x:v>否</x:v>
      </x:c>
      <x:c r="T237" s="70" t="str"/>
    </x:row>
    <x:row r="238">
      <x:c r="A238" s="70" t="str">
        <x:v>M5E-0233</x:v>
      </x:c>
      <x:c r="B238" s="70" t="str"/>
      <x:c r="C238" s="70" t="str"/>
      <x:c r="D238" s="70" t="str"/>
      <x:c r="E238" s="70" t="str"/>
      <x:c r="F238" s="70" t="str"/>
      <x:c r="G238" s="70" t="str"/>
      <x:c r="H238" s="70" t="str"/>
      <x:c r="I238" s="70" t="str"/>
      <x:c r="J238" s="70" t="str"/>
      <x:c r="K238" s="70" t="str"/>
      <x:c r="L238" s="70" t="str"/>
      <x:c r="M238" s="70" t="str"/>
      <x:c r="N238" s="70" t="str"/>
      <x:c r="O238" s="70" t="str"/>
      <x:c r="P238" s="70" t="str"/>
      <x:c r="Q238" s="70" t="str"/>
      <x:c r="R238" s="70" t="str">
        <x:v>无</x:v>
      </x:c>
      <x:c r="S238" s="70" t="str">
        <x:v>否</x:v>
      </x:c>
      <x:c r="T238" s="70" t="str"/>
    </x:row>
    <x:row r="239">
      <x:c r="A239" s="70" t="str">
        <x:v>M5E-0234</x:v>
      </x:c>
      <x:c r="B239" s="70" t="str"/>
      <x:c r="C239" s="70" t="str"/>
      <x:c r="D239" s="70" t="str"/>
      <x:c r="E239" s="70" t="str"/>
      <x:c r="F239" s="70" t="str"/>
      <x:c r="G239" s="70" t="str"/>
      <x:c r="H239" s="70" t="str"/>
      <x:c r="I239" s="70" t="str"/>
      <x:c r="J239" s="70" t="str"/>
      <x:c r="K239" s="70" t="str"/>
      <x:c r="L239" s="70" t="str"/>
      <x:c r="M239" s="70" t="str"/>
      <x:c r="N239" s="70" t="str"/>
      <x:c r="O239" s="70" t="str"/>
      <x:c r="P239" s="70" t="str"/>
      <x:c r="Q239" s="70" t="str"/>
      <x:c r="R239" s="70" t="str">
        <x:v>无</x:v>
      </x:c>
      <x:c r="S239" s="70" t="str">
        <x:v>否</x:v>
      </x:c>
      <x:c r="T239" s="70" t="str"/>
    </x:row>
    <x:row r="240">
      <x:c r="A240" s="70" t="str">
        <x:v>M5E-0235</x:v>
      </x:c>
      <x:c r="B240" s="70" t="str"/>
      <x:c r="C240" s="70" t="str"/>
      <x:c r="D240" s="70" t="str"/>
      <x:c r="E240" s="70" t="str"/>
      <x:c r="F240" s="70" t="str"/>
      <x:c r="G240" s="70" t="str"/>
      <x:c r="H240" s="70" t="str"/>
      <x:c r="I240" s="70" t="str"/>
      <x:c r="J240" s="70" t="str"/>
      <x:c r="K240" s="70" t="str"/>
      <x:c r="L240" s="70" t="str"/>
      <x:c r="M240" s="70" t="str"/>
      <x:c r="N240" s="70" t="str"/>
      <x:c r="O240" s="70" t="str"/>
      <x:c r="P240" s="70" t="str"/>
      <x:c r="Q240" s="70" t="str"/>
      <x:c r="R240" s="70" t="str">
        <x:v>无</x:v>
      </x:c>
      <x:c r="S240" s="70" t="str">
        <x:v>否</x:v>
      </x:c>
      <x:c r="T240" s="70" t="str"/>
    </x:row>
    <x:row r="241">
      <x:c r="A241" s="70" t="str">
        <x:v>M5E-0236</x:v>
      </x:c>
      <x:c r="B241" s="70" t="str"/>
      <x:c r="C241" s="70" t="str"/>
      <x:c r="D241" s="70" t="str"/>
      <x:c r="E241" s="70" t="str"/>
      <x:c r="F241" s="70" t="str"/>
      <x:c r="G241" s="70" t="str"/>
      <x:c r="H241" s="70" t="str"/>
      <x:c r="I241" s="70" t="str"/>
      <x:c r="J241" s="70" t="str"/>
      <x:c r="K241" s="70" t="str"/>
      <x:c r="L241" s="70" t="str"/>
      <x:c r="M241" s="70" t="str"/>
      <x:c r="N241" s="70" t="str"/>
      <x:c r="O241" s="70" t="str"/>
      <x:c r="P241" s="70" t="str"/>
      <x:c r="Q241" s="70" t="str"/>
      <x:c r="R241" s="70" t="str">
        <x:v>无</x:v>
      </x:c>
      <x:c r="S241" s="70" t="str">
        <x:v>否</x:v>
      </x:c>
      <x:c r="T241" s="70" t="str"/>
    </x:row>
    <x:row r="242">
      <x:c r="A242" s="70" t="str">
        <x:v>M5E-0237</x:v>
      </x:c>
      <x:c r="B242" s="70" t="str"/>
      <x:c r="C242" s="70" t="str"/>
      <x:c r="D242" s="70" t="str"/>
      <x:c r="E242" s="70" t="str"/>
      <x:c r="F242" s="70" t="str"/>
      <x:c r="G242" s="70" t="str"/>
      <x:c r="H242" s="70" t="str"/>
      <x:c r="I242" s="70" t="str"/>
      <x:c r="J242" s="70" t="str"/>
      <x:c r="K242" s="70" t="str"/>
      <x:c r="L242" s="70" t="str"/>
      <x:c r="M242" s="70" t="str"/>
      <x:c r="N242" s="70" t="str"/>
      <x:c r="O242" s="70" t="str"/>
      <x:c r="P242" s="70" t="str"/>
      <x:c r="Q242" s="70" t="str"/>
      <x:c r="R242" s="70" t="str">
        <x:v>无</x:v>
      </x:c>
      <x:c r="S242" s="70" t="str">
        <x:v>否</x:v>
      </x:c>
      <x:c r="T242" s="70" t="str"/>
    </x:row>
    <x:row r="243">
      <x:c r="A243" s="70" t="str">
        <x:v>M5E-0238</x:v>
      </x:c>
      <x:c r="B243" s="70" t="str"/>
      <x:c r="C243" s="70" t="str"/>
      <x:c r="D243" s="70" t="str"/>
      <x:c r="E243" s="70" t="str"/>
      <x:c r="F243" s="70" t="str"/>
      <x:c r="G243" s="70" t="str"/>
      <x:c r="H243" s="70" t="str"/>
      <x:c r="I243" s="70" t="str"/>
      <x:c r="J243" s="70" t="str"/>
      <x:c r="K243" s="70" t="str"/>
      <x:c r="L243" s="70" t="str"/>
      <x:c r="M243" s="70" t="str"/>
      <x:c r="N243" s="70" t="str"/>
      <x:c r="O243" s="70" t="str"/>
      <x:c r="P243" s="70" t="str"/>
      <x:c r="Q243" s="70" t="str"/>
      <x:c r="R243" s="70" t="str">
        <x:v>无</x:v>
      </x:c>
      <x:c r="S243" s="70" t="str">
        <x:v>否</x:v>
      </x:c>
      <x:c r="T243" s="70" t="str"/>
    </x:row>
    <x:row r="244">
      <x:c r="A244" s="70" t="str">
        <x:v>M5E-0239</x:v>
      </x:c>
      <x:c r="B244" s="70" t="str"/>
      <x:c r="C244" s="70" t="str"/>
      <x:c r="D244" s="70" t="str"/>
      <x:c r="E244" s="70" t="str"/>
      <x:c r="F244" s="70" t="str"/>
      <x:c r="G244" s="70" t="str"/>
      <x:c r="H244" s="70" t="str"/>
      <x:c r="I244" s="70" t="str"/>
      <x:c r="J244" s="70" t="str"/>
      <x:c r="K244" s="70" t="str"/>
      <x:c r="L244" s="70" t="str"/>
      <x:c r="M244" s="70" t="str"/>
      <x:c r="N244" s="70" t="str"/>
      <x:c r="O244" s="70" t="str"/>
      <x:c r="P244" s="70" t="str"/>
      <x:c r="Q244" s="70" t="str"/>
      <x:c r="R244" s="70" t="str">
        <x:v>无</x:v>
      </x:c>
      <x:c r="S244" s="70" t="str">
        <x:v>否</x:v>
      </x:c>
      <x:c r="T244" s="70" t="str"/>
    </x:row>
    <x:row r="245">
      <x:c r="A245" s="70" t="str">
        <x:v>M5E-0240</x:v>
      </x:c>
      <x:c r="B245" s="70" t="str"/>
      <x:c r="C245" s="70" t="str"/>
      <x:c r="D245" s="70" t="str"/>
      <x:c r="E245" s="70" t="str"/>
      <x:c r="F245" s="70" t="str"/>
      <x:c r="G245" s="70" t="str"/>
      <x:c r="H245" s="70" t="str"/>
      <x:c r="I245" s="70" t="str"/>
      <x:c r="J245" s="70" t="str"/>
      <x:c r="K245" s="70" t="str"/>
      <x:c r="L245" s="70" t="str"/>
      <x:c r="M245" s="70" t="str"/>
      <x:c r="N245" s="70" t="str"/>
      <x:c r="O245" s="70" t="str"/>
      <x:c r="P245" s="70" t="str"/>
      <x:c r="Q245" s="70" t="str"/>
      <x:c r="R245" s="70" t="str">
        <x:v>无</x:v>
      </x:c>
      <x:c r="S245" s="70" t="str">
        <x:v>否</x:v>
      </x:c>
      <x:c r="T245" s="70" t="str"/>
    </x:row>
    <x:row r="246">
      <x:c r="A246" s="70" t="str">
        <x:v>M5E-0241</x:v>
      </x:c>
      <x:c r="B246" s="70" t="str"/>
      <x:c r="C246" s="70" t="str"/>
      <x:c r="D246" s="70" t="str"/>
      <x:c r="E246" s="70" t="str"/>
      <x:c r="F246" s="70" t="str"/>
      <x:c r="G246" s="70" t="str"/>
      <x:c r="H246" s="70" t="str"/>
      <x:c r="I246" s="70" t="str"/>
      <x:c r="J246" s="70" t="str"/>
      <x:c r="K246" s="70" t="str"/>
      <x:c r="L246" s="70" t="str"/>
      <x:c r="M246" s="70" t="str"/>
      <x:c r="N246" s="70" t="str"/>
      <x:c r="O246" s="70" t="str"/>
      <x:c r="P246" s="70" t="str"/>
      <x:c r="Q246" s="70" t="str"/>
      <x:c r="R246" s="70" t="str">
        <x:v>无</x:v>
      </x:c>
      <x:c r="S246" s="70" t="str">
        <x:v>否</x:v>
      </x:c>
      <x:c r="T246" s="70" t="str"/>
    </x:row>
    <x:row r="247">
      <x:c r="A247" s="70" t="str">
        <x:v>M5E-0242</x:v>
      </x:c>
      <x:c r="B247" s="70" t="str"/>
      <x:c r="C247" s="70" t="str"/>
      <x:c r="D247" s="70" t="str"/>
      <x:c r="E247" s="70" t="str"/>
      <x:c r="F247" s="70" t="str"/>
      <x:c r="G247" s="70" t="str"/>
      <x:c r="H247" s="70" t="str"/>
      <x:c r="I247" s="70" t="str"/>
      <x:c r="J247" s="70" t="str"/>
      <x:c r="K247" s="70" t="str"/>
      <x:c r="L247" s="70" t="str"/>
      <x:c r="M247" s="70" t="str"/>
      <x:c r="N247" s="70" t="str"/>
      <x:c r="O247" s="70" t="str"/>
      <x:c r="P247" s="70" t="str"/>
      <x:c r="Q247" s="70" t="str"/>
      <x:c r="R247" s="70" t="str">
        <x:v>无</x:v>
      </x:c>
      <x:c r="S247" s="70" t="str">
        <x:v>否</x:v>
      </x:c>
      <x:c r="T247" s="70" t="str"/>
    </x:row>
    <x:row r="248">
      <x:c r="A248" s="70" t="str">
        <x:v>M5E-0243</x:v>
      </x:c>
      <x:c r="B248" s="70" t="str"/>
      <x:c r="C248" s="70" t="str"/>
      <x:c r="D248" s="70" t="str"/>
      <x:c r="E248" s="70" t="str"/>
      <x:c r="F248" s="70" t="str"/>
      <x:c r="G248" s="70" t="str"/>
      <x:c r="H248" s="70" t="str"/>
      <x:c r="I248" s="70" t="str"/>
      <x:c r="J248" s="70" t="str"/>
      <x:c r="K248" s="70" t="str"/>
      <x:c r="L248" s="70" t="str"/>
      <x:c r="M248" s="70" t="str"/>
      <x:c r="N248" s="70" t="str"/>
      <x:c r="O248" s="70" t="str"/>
      <x:c r="P248" s="70" t="str"/>
      <x:c r="Q248" s="70" t="str"/>
      <x:c r="R248" s="70" t="str">
        <x:v>无</x:v>
      </x:c>
      <x:c r="S248" s="70" t="str">
        <x:v>否</x:v>
      </x:c>
      <x:c r="T248" s="70" t="str"/>
    </x:row>
    <x:row r="249">
      <x:c r="A249" s="70" t="str">
        <x:v>M5E-0244</x:v>
      </x:c>
      <x:c r="B249" s="70" t="str"/>
      <x:c r="C249" s="70" t="str"/>
      <x:c r="D249" s="70" t="str"/>
      <x:c r="E249" s="70" t="str"/>
      <x:c r="F249" s="70" t="str"/>
      <x:c r="G249" s="70" t="str"/>
      <x:c r="H249" s="70" t="str"/>
      <x:c r="I249" s="70" t="str"/>
      <x:c r="J249" s="70" t="str"/>
      <x:c r="K249" s="70" t="str"/>
      <x:c r="L249" s="70" t="str"/>
      <x:c r="M249" s="70" t="str"/>
      <x:c r="N249" s="70" t="str"/>
      <x:c r="O249" s="70" t="str"/>
      <x:c r="P249" s="70" t="str"/>
      <x:c r="Q249" s="70" t="str"/>
      <x:c r="R249" s="70" t="str">
        <x:v>无</x:v>
      </x:c>
      <x:c r="S249" s="70" t="str">
        <x:v>否</x:v>
      </x:c>
      <x:c r="T249" s="70" t="str"/>
    </x:row>
    <x:row r="250">
      <x:c r="A250" s="70" t="str">
        <x:v>M5E-0245</x:v>
      </x:c>
      <x:c r="B250" s="70" t="str"/>
      <x:c r="C250" s="70" t="str"/>
      <x:c r="D250" s="70" t="str"/>
      <x:c r="E250" s="70" t="str"/>
      <x:c r="F250" s="70" t="str"/>
      <x:c r="G250" s="70" t="str"/>
      <x:c r="H250" s="70" t="str"/>
      <x:c r="I250" s="70" t="str"/>
      <x:c r="J250" s="70" t="str"/>
      <x:c r="K250" s="70" t="str"/>
      <x:c r="L250" s="70" t="str"/>
      <x:c r="M250" s="70" t="str"/>
      <x:c r="N250" s="70" t="str"/>
      <x:c r="O250" s="70" t="str"/>
      <x:c r="P250" s="70" t="str"/>
      <x:c r="Q250" s="70" t="str"/>
      <x:c r="R250" s="70" t="str">
        <x:v>无</x:v>
      </x:c>
      <x:c r="S250" s="70" t="str">
        <x:v>否</x:v>
      </x:c>
      <x:c r="T250" s="70" t="str"/>
    </x:row>
    <x:row r="251">
      <x:c r="A251" s="70" t="str">
        <x:v>M5E-0246</x:v>
      </x:c>
      <x:c r="B251" s="70" t="str"/>
      <x:c r="C251" s="70" t="str"/>
      <x:c r="D251" s="70" t="str"/>
      <x:c r="E251" s="70" t="str"/>
      <x:c r="F251" s="70" t="str"/>
      <x:c r="G251" s="70" t="str"/>
      <x:c r="H251" s="70" t="str"/>
      <x:c r="I251" s="70" t="str"/>
      <x:c r="J251" s="70" t="str"/>
      <x:c r="K251" s="70" t="str"/>
      <x:c r="L251" s="70" t="str"/>
      <x:c r="M251" s="70" t="str"/>
      <x:c r="N251" s="70" t="str"/>
      <x:c r="O251" s="70" t="str"/>
      <x:c r="P251" s="70" t="str"/>
      <x:c r="Q251" s="70" t="str"/>
      <x:c r="R251" s="70" t="str">
        <x:v>无</x:v>
      </x:c>
      <x:c r="S251" s="70" t="str">
        <x:v>否</x:v>
      </x:c>
      <x:c r="T251" s="70" t="str"/>
    </x:row>
    <x:row r="252">
      <x:c r="A252" s="70" t="str">
        <x:v>M5E-0247</x:v>
      </x:c>
      <x:c r="B252" s="70" t="str"/>
      <x:c r="C252" s="70" t="str"/>
      <x:c r="D252" s="70" t="str"/>
      <x:c r="E252" s="70" t="str"/>
      <x:c r="F252" s="70" t="str"/>
      <x:c r="G252" s="70" t="str"/>
      <x:c r="H252" s="70" t="str"/>
      <x:c r="I252" s="70" t="str"/>
      <x:c r="J252" s="70" t="str"/>
      <x:c r="K252" s="70" t="str"/>
      <x:c r="L252" s="70" t="str"/>
      <x:c r="M252" s="70" t="str"/>
      <x:c r="N252" s="70" t="str"/>
      <x:c r="O252" s="70" t="str"/>
      <x:c r="P252" s="70" t="str"/>
      <x:c r="Q252" s="70" t="str"/>
      <x:c r="R252" s="70" t="str">
        <x:v>无</x:v>
      </x:c>
      <x:c r="S252" s="70" t="str">
        <x:v>否</x:v>
      </x:c>
      <x:c r="T252" s="70" t="str"/>
    </x:row>
    <x:row r="253">
      <x:c r="A253" s="70" t="str">
        <x:v>M5E-0248</x:v>
      </x:c>
      <x:c r="B253" s="70" t="str"/>
      <x:c r="C253" s="70" t="str"/>
      <x:c r="D253" s="70" t="str"/>
      <x:c r="E253" s="70" t="str"/>
      <x:c r="F253" s="70" t="str"/>
      <x:c r="G253" s="70" t="str"/>
      <x:c r="H253" s="70" t="str"/>
      <x:c r="I253" s="70" t="str"/>
      <x:c r="J253" s="70" t="str"/>
      <x:c r="K253" s="70" t="str"/>
      <x:c r="L253" s="70" t="str"/>
      <x:c r="M253" s="70" t="str"/>
      <x:c r="N253" s="70" t="str"/>
      <x:c r="O253" s="70" t="str"/>
      <x:c r="P253" s="70" t="str"/>
      <x:c r="Q253" s="70" t="str"/>
      <x:c r="R253" s="70" t="str">
        <x:v>无</x:v>
      </x:c>
      <x:c r="S253" s="70" t="str">
        <x:v>否</x:v>
      </x:c>
      <x:c r="T253" s="70" t="str"/>
    </x:row>
    <x:row r="254">
      <x:c r="A254" s="70" t="str">
        <x:v>M5E-0249</x:v>
      </x:c>
      <x:c r="B254" s="70" t="str"/>
      <x:c r="C254" s="70" t="str"/>
      <x:c r="D254" s="70" t="str"/>
      <x:c r="E254" s="70" t="str"/>
      <x:c r="F254" s="70" t="str"/>
      <x:c r="G254" s="70" t="str"/>
      <x:c r="H254" s="70" t="str"/>
      <x:c r="I254" s="70" t="str"/>
      <x:c r="J254" s="70" t="str"/>
      <x:c r="K254" s="70" t="str"/>
      <x:c r="L254" s="70" t="str"/>
      <x:c r="M254" s="70" t="str"/>
      <x:c r="N254" s="70" t="str"/>
      <x:c r="O254" s="70" t="str"/>
      <x:c r="P254" s="70" t="str"/>
      <x:c r="Q254" s="70" t="str"/>
      <x:c r="R254" s="70" t="str">
        <x:v>无</x:v>
      </x:c>
      <x:c r="S254" s="70" t="str">
        <x:v>否</x:v>
      </x:c>
      <x:c r="T254" s="70" t="str"/>
    </x:row>
    <x:row r="255">
      <x:c r="A255" s="70" t="str">
        <x:v>M5E-0250</x:v>
      </x:c>
      <x:c r="B255" s="70" t="str"/>
      <x:c r="C255" s="70" t="str"/>
      <x:c r="D255" s="70" t="str"/>
      <x:c r="E255" s="70" t="str"/>
      <x:c r="F255" s="70" t="str"/>
      <x:c r="G255" s="70" t="str"/>
      <x:c r="H255" s="70" t="str"/>
      <x:c r="I255" s="70" t="str"/>
      <x:c r="J255" s="70" t="str"/>
      <x:c r="K255" s="70" t="str"/>
      <x:c r="L255" s="70" t="str"/>
      <x:c r="M255" s="70" t="str"/>
      <x:c r="N255" s="70" t="str"/>
      <x:c r="O255" s="70" t="str"/>
      <x:c r="P255" s="70" t="str"/>
      <x:c r="Q255" s="70" t="str"/>
      <x:c r="R255" s="70" t="str">
        <x:v>无</x:v>
      </x:c>
      <x:c r="S255" s="70" t="str">
        <x:v>否</x:v>
      </x:c>
      <x:c r="T255" s="70" t="str"/>
    </x:row>
    <x:row r="256">
      <x:c r="A256" s="70" t="str">
        <x:v>M5E-0251</x:v>
      </x:c>
      <x:c r="B256" s="70" t="str"/>
      <x:c r="C256" s="70" t="str"/>
      <x:c r="D256" s="70" t="str"/>
      <x:c r="E256" s="70" t="str"/>
      <x:c r="F256" s="70" t="str"/>
      <x:c r="G256" s="70" t="str"/>
      <x:c r="H256" s="70" t="str"/>
      <x:c r="I256" s="70" t="str"/>
      <x:c r="J256" s="70" t="str"/>
      <x:c r="K256" s="70" t="str"/>
      <x:c r="L256" s="70" t="str"/>
      <x:c r="M256" s="70" t="str"/>
      <x:c r="N256" s="70" t="str"/>
      <x:c r="O256" s="70" t="str"/>
      <x:c r="P256" s="70" t="str"/>
      <x:c r="Q256" s="70" t="str"/>
      <x:c r="R256" s="70" t="str">
        <x:v>无</x:v>
      </x:c>
      <x:c r="S256" s="70" t="str">
        <x:v>否</x:v>
      </x:c>
      <x:c r="T256" s="70" t="str"/>
    </x:row>
    <x:row r="257">
      <x:c r="A257" s="70" t="str">
        <x:v>M5E-0252</x:v>
      </x:c>
      <x:c r="B257" s="70" t="str"/>
      <x:c r="C257" s="70" t="str"/>
      <x:c r="D257" s="70" t="str"/>
      <x:c r="E257" s="70" t="str"/>
      <x:c r="F257" s="70" t="str"/>
      <x:c r="G257" s="70" t="str"/>
      <x:c r="H257" s="70" t="str"/>
      <x:c r="I257" s="70" t="str"/>
      <x:c r="J257" s="70" t="str"/>
      <x:c r="K257" s="70" t="str"/>
      <x:c r="L257" s="70" t="str"/>
      <x:c r="M257" s="70" t="str"/>
      <x:c r="N257" s="70" t="str"/>
      <x:c r="O257" s="70" t="str"/>
      <x:c r="P257" s="70" t="str"/>
      <x:c r="Q257" s="70" t="str"/>
      <x:c r="R257" s="70" t="str">
        <x:v>无</x:v>
      </x:c>
      <x:c r="S257" s="70" t="str">
        <x:v>否</x:v>
      </x:c>
      <x:c r="T257" s="70" t="str"/>
    </x:row>
    <x:row r="258">
      <x:c r="A258" s="70" t="str">
        <x:v>M5E-0253</x:v>
      </x:c>
      <x:c r="B258" s="70" t="str"/>
      <x:c r="C258" s="70" t="str"/>
      <x:c r="D258" s="70" t="str"/>
      <x:c r="E258" s="70" t="str"/>
      <x:c r="F258" s="70" t="str"/>
      <x:c r="G258" s="70" t="str"/>
      <x:c r="H258" s="70" t="str"/>
      <x:c r="I258" s="70" t="str"/>
      <x:c r="J258" s="70" t="str"/>
      <x:c r="K258" s="70" t="str"/>
      <x:c r="L258" s="70" t="str"/>
      <x:c r="M258" s="70" t="str"/>
      <x:c r="N258" s="70" t="str"/>
      <x:c r="O258" s="70" t="str"/>
      <x:c r="P258" s="70" t="str"/>
      <x:c r="Q258" s="70" t="str"/>
      <x:c r="R258" s="70" t="str">
        <x:v>无</x:v>
      </x:c>
      <x:c r="S258" s="70" t="str">
        <x:v>否</x:v>
      </x:c>
      <x:c r="T258" s="70" t="str"/>
    </x:row>
    <x:row r="259">
      <x:c r="A259" s="70" t="str">
        <x:v>M5E-0254</x:v>
      </x:c>
      <x:c r="B259" s="70" t="str"/>
      <x:c r="C259" s="70" t="str"/>
      <x:c r="D259" s="70" t="str"/>
      <x:c r="E259" s="70" t="str"/>
      <x:c r="F259" s="70" t="str"/>
      <x:c r="G259" s="70" t="str"/>
      <x:c r="H259" s="70" t="str"/>
      <x:c r="I259" s="70" t="str"/>
      <x:c r="J259" s="70" t="str"/>
      <x:c r="K259" s="70" t="str"/>
      <x:c r="L259" s="70" t="str"/>
      <x:c r="M259" s="70" t="str"/>
      <x:c r="N259" s="70" t="str"/>
      <x:c r="O259" s="70" t="str"/>
      <x:c r="P259" s="70" t="str"/>
      <x:c r="Q259" s="70" t="str"/>
      <x:c r="R259" s="70" t="str">
        <x:v>无</x:v>
      </x:c>
      <x:c r="S259" s="70" t="str">
        <x:v>否</x:v>
      </x:c>
      <x:c r="T259" s="70" t="str"/>
    </x:row>
    <x:row r="260">
      <x:c r="A260" s="70" t="str">
        <x:v>M5E-0255</x:v>
      </x:c>
      <x:c r="B260" s="70" t="str"/>
      <x:c r="C260" s="70" t="str"/>
      <x:c r="D260" s="70" t="str"/>
      <x:c r="E260" s="70" t="str"/>
      <x:c r="F260" s="70" t="str"/>
      <x:c r="G260" s="70" t="str"/>
      <x:c r="H260" s="70" t="str"/>
      <x:c r="I260" s="70" t="str"/>
      <x:c r="J260" s="70" t="str"/>
      <x:c r="K260" s="70" t="str"/>
      <x:c r="L260" s="70" t="str"/>
      <x:c r="M260" s="70" t="str"/>
      <x:c r="N260" s="70" t="str"/>
      <x:c r="O260" s="70" t="str"/>
      <x:c r="P260" s="70" t="str"/>
      <x:c r="Q260" s="70" t="str"/>
      <x:c r="R260" s="70" t="str">
        <x:v>无</x:v>
      </x:c>
      <x:c r="S260" s="70" t="str">
        <x:v>否</x:v>
      </x:c>
      <x:c r="T260" s="70" t="str"/>
    </x:row>
    <x:row r="261">
      <x:c r="A261" s="70" t="str">
        <x:v>M5E-0256</x:v>
      </x:c>
      <x:c r="B261" s="70" t="str"/>
      <x:c r="C261" s="70" t="str"/>
      <x:c r="D261" s="70" t="str"/>
      <x:c r="E261" s="70" t="str"/>
      <x:c r="F261" s="70" t="str"/>
      <x:c r="G261" s="70" t="str"/>
      <x:c r="H261" s="70" t="str"/>
      <x:c r="I261" s="70" t="str"/>
      <x:c r="J261" s="70" t="str"/>
      <x:c r="K261" s="70" t="str"/>
      <x:c r="L261" s="70" t="str"/>
      <x:c r="M261" s="70" t="str"/>
      <x:c r="N261" s="70" t="str"/>
      <x:c r="O261" s="70" t="str"/>
      <x:c r="P261" s="70" t="str"/>
      <x:c r="Q261" s="70" t="str"/>
      <x:c r="R261" s="70" t="str">
        <x:v>无</x:v>
      </x:c>
      <x:c r="S261" s="70" t="str">
        <x:v>否</x:v>
      </x:c>
      <x:c r="T261" s="70" t="str"/>
    </x:row>
    <x:row r="262">
      <x:c r="A262" s="70" t="str">
        <x:v>M5E-0257</x:v>
      </x:c>
      <x:c r="B262" s="70" t="str"/>
      <x:c r="C262" s="70" t="str"/>
      <x:c r="D262" s="70" t="str"/>
      <x:c r="E262" s="70" t="str"/>
      <x:c r="F262" s="70" t="str"/>
      <x:c r="G262" s="70" t="str"/>
      <x:c r="H262" s="70" t="str"/>
      <x:c r="I262" s="70" t="str"/>
      <x:c r="J262" s="70" t="str"/>
      <x:c r="K262" s="70" t="str"/>
      <x:c r="L262" s="70" t="str"/>
      <x:c r="M262" s="70" t="str"/>
      <x:c r="N262" s="70" t="str"/>
      <x:c r="O262" s="70" t="str"/>
      <x:c r="P262" s="70" t="str"/>
      <x:c r="Q262" s="70" t="str"/>
      <x:c r="R262" s="70" t="str">
        <x:v>无</x:v>
      </x:c>
      <x:c r="S262" s="70" t="str">
        <x:v>否</x:v>
      </x:c>
      <x:c r="T262" s="70" t="str"/>
    </x:row>
    <x:row r="263">
      <x:c r="A263" s="70" t="str">
        <x:v>M5E-0258</x:v>
      </x:c>
      <x:c r="B263" s="70" t="str"/>
      <x:c r="C263" s="70" t="str"/>
      <x:c r="D263" s="70" t="str"/>
      <x:c r="E263" s="70" t="str"/>
      <x:c r="F263" s="70" t="str"/>
      <x:c r="G263" s="70" t="str"/>
      <x:c r="H263" s="70" t="str"/>
      <x:c r="I263" s="70" t="str"/>
      <x:c r="J263" s="70" t="str"/>
      <x:c r="K263" s="70" t="str"/>
      <x:c r="L263" s="70" t="str"/>
      <x:c r="M263" s="70" t="str"/>
      <x:c r="N263" s="70" t="str"/>
      <x:c r="O263" s="70" t="str"/>
      <x:c r="P263" s="70" t="str"/>
      <x:c r="Q263" s="70" t="str"/>
      <x:c r="R263" s="70" t="str">
        <x:v>无</x:v>
      </x:c>
      <x:c r="S263" s="70" t="str">
        <x:v>否</x:v>
      </x:c>
      <x:c r="T263" s="70" t="str"/>
    </x:row>
    <x:row r="264">
      <x:c r="A264" s="70" t="str">
        <x:v>M5E-0259</x:v>
      </x:c>
      <x:c r="B264" s="70" t="str"/>
      <x:c r="C264" s="70" t="str"/>
      <x:c r="D264" s="70" t="str"/>
      <x:c r="E264" s="70" t="str"/>
      <x:c r="F264" s="70" t="str"/>
      <x:c r="G264" s="70" t="str"/>
      <x:c r="H264" s="70" t="str"/>
      <x:c r="I264" s="70" t="str"/>
      <x:c r="J264" s="70" t="str"/>
      <x:c r="K264" s="70" t="str"/>
      <x:c r="L264" s="70" t="str"/>
      <x:c r="M264" s="70" t="str"/>
      <x:c r="N264" s="70" t="str"/>
      <x:c r="O264" s="70" t="str"/>
      <x:c r="P264" s="70" t="str"/>
      <x:c r="Q264" s="70" t="str"/>
      <x:c r="R264" s="70" t="str">
        <x:v>无</x:v>
      </x:c>
      <x:c r="S264" s="70" t="str">
        <x:v>否</x:v>
      </x:c>
      <x:c r="T264" s="70" t="str"/>
    </x:row>
    <x:row r="265">
      <x:c r="A265" s="70" t="str">
        <x:v>M5E-0260</x:v>
      </x:c>
      <x:c r="B265" s="70" t="str"/>
      <x:c r="C265" s="70" t="str"/>
      <x:c r="D265" s="70" t="str"/>
      <x:c r="E265" s="70" t="str"/>
      <x:c r="F265" s="70" t="str"/>
      <x:c r="G265" s="70" t="str"/>
      <x:c r="H265" s="70" t="str"/>
      <x:c r="I265" s="70" t="str"/>
      <x:c r="J265" s="70" t="str"/>
      <x:c r="K265" s="70" t="str"/>
      <x:c r="L265" s="70" t="str"/>
      <x:c r="M265" s="70" t="str"/>
      <x:c r="N265" s="70" t="str"/>
      <x:c r="O265" s="70" t="str"/>
      <x:c r="P265" s="70" t="str"/>
      <x:c r="Q265" s="70" t="str"/>
      <x:c r="R265" s="70" t="str">
        <x:v>无</x:v>
      </x:c>
      <x:c r="S265" s="70" t="str">
        <x:v>否</x:v>
      </x:c>
      <x:c r="T265" s="70" t="str"/>
    </x:row>
    <x:row r="266">
      <x:c r="A266" s="70" t="str">
        <x:v>M5E-0261</x:v>
      </x:c>
      <x:c r="B266" s="70" t="str"/>
      <x:c r="C266" s="70" t="str"/>
      <x:c r="D266" s="70" t="str"/>
      <x:c r="E266" s="70" t="str"/>
      <x:c r="F266" s="70" t="str"/>
      <x:c r="G266" s="70" t="str"/>
      <x:c r="H266" s="70" t="str"/>
      <x:c r="I266" s="70" t="str"/>
      <x:c r="J266" s="70" t="str"/>
      <x:c r="K266" s="70" t="str"/>
      <x:c r="L266" s="70" t="str"/>
      <x:c r="M266" s="70" t="str"/>
      <x:c r="N266" s="70" t="str"/>
      <x:c r="O266" s="70" t="str"/>
      <x:c r="P266" s="70" t="str"/>
      <x:c r="Q266" s="70" t="str"/>
      <x:c r="R266" s="70" t="str">
        <x:v>无</x:v>
      </x:c>
      <x:c r="S266" s="70" t="str">
        <x:v>否</x:v>
      </x:c>
      <x:c r="T266" s="70" t="str"/>
    </x:row>
    <x:row r="267">
      <x:c r="A267" s="70" t="str">
        <x:v>M5E-0262</x:v>
      </x:c>
      <x:c r="B267" s="70" t="str"/>
      <x:c r="C267" s="70" t="str"/>
      <x:c r="D267" s="70" t="str"/>
      <x:c r="E267" s="70" t="str"/>
      <x:c r="F267" s="70" t="str"/>
      <x:c r="G267" s="70" t="str"/>
      <x:c r="H267" s="70" t="str"/>
      <x:c r="I267" s="70" t="str"/>
      <x:c r="J267" s="70" t="str"/>
      <x:c r="K267" s="70" t="str"/>
      <x:c r="L267" s="70" t="str"/>
      <x:c r="M267" s="70" t="str"/>
      <x:c r="N267" s="70" t="str"/>
      <x:c r="O267" s="70" t="str"/>
      <x:c r="P267" s="70" t="str"/>
      <x:c r="Q267" s="70" t="str"/>
      <x:c r="R267" s="70" t="str">
        <x:v>无</x:v>
      </x:c>
      <x:c r="S267" s="70" t="str">
        <x:v>否</x:v>
      </x:c>
      <x:c r="T267" s="70" t="str"/>
    </x:row>
    <x:row r="268">
      <x:c r="A268" s="70" t="str">
        <x:v>M5E-0263</x:v>
      </x:c>
      <x:c r="B268" s="70" t="str"/>
      <x:c r="C268" s="70" t="str"/>
      <x:c r="D268" s="70" t="str"/>
      <x:c r="E268" s="70" t="str"/>
      <x:c r="F268" s="70" t="str"/>
      <x:c r="G268" s="70" t="str"/>
      <x:c r="H268" s="70" t="str"/>
      <x:c r="I268" s="70" t="str"/>
      <x:c r="J268" s="70" t="str"/>
      <x:c r="K268" s="70" t="str"/>
      <x:c r="L268" s="70" t="str"/>
      <x:c r="M268" s="70" t="str"/>
      <x:c r="N268" s="70" t="str"/>
      <x:c r="O268" s="70" t="str"/>
      <x:c r="P268" s="70" t="str"/>
      <x:c r="Q268" s="70" t="str"/>
      <x:c r="R268" s="70" t="str">
        <x:v>无</x:v>
      </x:c>
      <x:c r="S268" s="70" t="str">
        <x:v>否</x:v>
      </x:c>
      <x:c r="T268" s="70" t="str"/>
    </x:row>
    <x:row r="269">
      <x:c r="A269" s="70" t="str">
        <x:v>M5E-0264</x:v>
      </x:c>
      <x:c r="B269" s="70" t="str"/>
      <x:c r="C269" s="70" t="str"/>
      <x:c r="D269" s="70" t="str"/>
      <x:c r="E269" s="70" t="str"/>
      <x:c r="F269" s="70" t="str"/>
      <x:c r="G269" s="70" t="str"/>
      <x:c r="H269" s="70" t="str"/>
      <x:c r="I269" s="70" t="str"/>
      <x:c r="J269" s="70" t="str"/>
      <x:c r="K269" s="70" t="str"/>
      <x:c r="L269" s="70" t="str"/>
      <x:c r="M269" s="70" t="str"/>
      <x:c r="N269" s="70" t="str"/>
      <x:c r="O269" s="70" t="str"/>
      <x:c r="P269" s="70" t="str"/>
      <x:c r="Q269" s="70" t="str"/>
      <x:c r="R269" s="70" t="str">
        <x:v>无</x:v>
      </x:c>
      <x:c r="S269" s="70" t="str">
        <x:v>否</x:v>
      </x:c>
      <x:c r="T269" s="70" t="str"/>
    </x:row>
    <x:row r="270">
      <x:c r="A270" s="70" t="str">
        <x:v>M5E-0265</x:v>
      </x:c>
      <x:c r="B270" s="70" t="str"/>
      <x:c r="C270" s="70" t="str"/>
      <x:c r="D270" s="70" t="str"/>
      <x:c r="E270" s="70" t="str"/>
      <x:c r="F270" s="70" t="str"/>
      <x:c r="G270" s="70" t="str"/>
      <x:c r="H270" s="70" t="str"/>
      <x:c r="I270" s="70" t="str"/>
      <x:c r="J270" s="70" t="str"/>
      <x:c r="K270" s="70" t="str"/>
      <x:c r="L270" s="70" t="str"/>
      <x:c r="M270" s="70" t="str"/>
      <x:c r="N270" s="70" t="str"/>
      <x:c r="O270" s="70" t="str"/>
      <x:c r="P270" s="70" t="str"/>
      <x:c r="Q270" s="70" t="str"/>
      <x:c r="R270" s="70" t="str">
        <x:v>无</x:v>
      </x:c>
      <x:c r="S270" s="70" t="str">
        <x:v>否</x:v>
      </x:c>
      <x:c r="T270" s="70" t="str"/>
    </x:row>
    <x:row r="271">
      <x:c r="A271" s="70" t="str">
        <x:v>M5E-0266</x:v>
      </x:c>
      <x:c r="B271" s="70" t="str"/>
      <x:c r="C271" s="70" t="str"/>
      <x:c r="D271" s="70" t="str"/>
      <x:c r="E271" s="70" t="str"/>
      <x:c r="F271" s="70" t="str"/>
      <x:c r="G271" s="70" t="str"/>
      <x:c r="H271" s="70" t="str"/>
      <x:c r="I271" s="70" t="str"/>
      <x:c r="J271" s="70" t="str"/>
      <x:c r="K271" s="70" t="str"/>
      <x:c r="L271" s="70" t="str"/>
      <x:c r="M271" s="70" t="str"/>
      <x:c r="N271" s="70" t="str"/>
      <x:c r="O271" s="70" t="str"/>
      <x:c r="P271" s="70" t="str"/>
      <x:c r="Q271" s="70" t="str"/>
      <x:c r="R271" s="70" t="str">
        <x:v>无</x:v>
      </x:c>
      <x:c r="S271" s="70" t="str">
        <x:v>否</x:v>
      </x:c>
      <x:c r="T271" s="70" t="str"/>
    </x:row>
    <x:row r="272">
      <x:c r="A272" s="70" t="str">
        <x:v>M5E-0267</x:v>
      </x:c>
      <x:c r="B272" s="70" t="str"/>
      <x:c r="C272" s="70" t="str"/>
      <x:c r="D272" s="70" t="str"/>
      <x:c r="E272" s="70" t="str"/>
      <x:c r="F272" s="70" t="str"/>
      <x:c r="G272" s="70" t="str"/>
      <x:c r="H272" s="70" t="str"/>
      <x:c r="I272" s="70" t="str"/>
      <x:c r="J272" s="70" t="str"/>
      <x:c r="K272" s="70" t="str"/>
      <x:c r="L272" s="70" t="str"/>
      <x:c r="M272" s="70" t="str"/>
      <x:c r="N272" s="70" t="str"/>
      <x:c r="O272" s="70" t="str"/>
      <x:c r="P272" s="70" t="str"/>
      <x:c r="Q272" s="70" t="str"/>
      <x:c r="R272" s="70" t="str">
        <x:v>无</x:v>
      </x:c>
      <x:c r="S272" s="70" t="str">
        <x:v>否</x:v>
      </x:c>
      <x:c r="T272" s="70" t="str"/>
    </x:row>
    <x:row r="273">
      <x:c r="A273" s="70" t="str">
        <x:v>M5E-0268</x:v>
      </x:c>
      <x:c r="B273" s="70" t="str"/>
      <x:c r="C273" s="70" t="str"/>
      <x:c r="D273" s="70" t="str"/>
      <x:c r="E273" s="70" t="str"/>
      <x:c r="F273" s="70" t="str"/>
      <x:c r="G273" s="70" t="str"/>
      <x:c r="H273" s="70" t="str"/>
      <x:c r="I273" s="70" t="str"/>
      <x:c r="J273" s="70" t="str"/>
      <x:c r="K273" s="70" t="str"/>
      <x:c r="L273" s="70" t="str"/>
      <x:c r="M273" s="70" t="str"/>
      <x:c r="N273" s="70" t="str"/>
      <x:c r="O273" s="70" t="str"/>
      <x:c r="P273" s="70" t="str"/>
      <x:c r="Q273" s="70" t="str"/>
      <x:c r="R273" s="70" t="str">
        <x:v>无</x:v>
      </x:c>
      <x:c r="S273" s="70" t="str">
        <x:v>否</x:v>
      </x:c>
      <x:c r="T273" s="70" t="str"/>
    </x:row>
    <x:row r="274">
      <x:c r="A274" s="70" t="str">
        <x:v>M5E-0269</x:v>
      </x:c>
      <x:c r="B274" s="70" t="str"/>
      <x:c r="C274" s="70" t="str"/>
      <x:c r="D274" s="70" t="str"/>
      <x:c r="E274" s="70" t="str"/>
      <x:c r="F274" s="70" t="str"/>
      <x:c r="G274" s="70" t="str"/>
      <x:c r="H274" s="70" t="str"/>
      <x:c r="I274" s="70" t="str"/>
      <x:c r="J274" s="70" t="str"/>
      <x:c r="K274" s="70" t="str"/>
      <x:c r="L274" s="70" t="str"/>
      <x:c r="M274" s="70" t="str"/>
      <x:c r="N274" s="70" t="str"/>
      <x:c r="O274" s="70" t="str"/>
      <x:c r="P274" s="70" t="str"/>
      <x:c r="Q274" s="70" t="str"/>
      <x:c r="R274" s="70" t="str">
        <x:v>无</x:v>
      </x:c>
      <x:c r="S274" s="70" t="str">
        <x:v>否</x:v>
      </x:c>
      <x:c r="T274" s="70" t="str"/>
    </x:row>
    <x:row r="275">
      <x:c r="A275" s="70" t="str">
        <x:v>M5E-0270</x:v>
      </x:c>
      <x:c r="B275" s="70" t="str"/>
      <x:c r="C275" s="70" t="str"/>
      <x:c r="D275" s="70" t="str"/>
      <x:c r="E275" s="70" t="str"/>
      <x:c r="F275" s="70" t="str"/>
      <x:c r="G275" s="70" t="str"/>
      <x:c r="H275" s="70" t="str"/>
      <x:c r="I275" s="70" t="str"/>
      <x:c r="J275" s="70" t="str"/>
      <x:c r="K275" s="70" t="str"/>
      <x:c r="L275" s="70" t="str"/>
      <x:c r="M275" s="70" t="str"/>
      <x:c r="N275" s="70" t="str"/>
      <x:c r="O275" s="70" t="str"/>
      <x:c r="P275" s="70" t="str"/>
      <x:c r="Q275" s="70" t="str"/>
      <x:c r="R275" s="70" t="str">
        <x:v>无</x:v>
      </x:c>
      <x:c r="S275" s="70" t="str">
        <x:v>否</x:v>
      </x:c>
      <x:c r="T275" s="70" t="str"/>
    </x:row>
    <x:row r="276">
      <x:c r="A276" s="70" t="str">
        <x:v>M5E-0271</x:v>
      </x:c>
      <x:c r="B276" s="70" t="str"/>
      <x:c r="C276" s="70" t="str"/>
      <x:c r="D276" s="70" t="str"/>
      <x:c r="E276" s="70" t="str"/>
      <x:c r="F276" s="70" t="str"/>
      <x:c r="G276" s="70" t="str"/>
      <x:c r="H276" s="70" t="str"/>
      <x:c r="I276" s="70" t="str"/>
      <x:c r="J276" s="70" t="str"/>
      <x:c r="K276" s="70" t="str"/>
      <x:c r="L276" s="70" t="str"/>
      <x:c r="M276" s="70" t="str"/>
      <x:c r="N276" s="70" t="str"/>
      <x:c r="O276" s="70" t="str"/>
      <x:c r="P276" s="70" t="str"/>
      <x:c r="Q276" s="70" t="str"/>
      <x:c r="R276" s="70" t="str">
        <x:v>无</x:v>
      </x:c>
      <x:c r="S276" s="70" t="str">
        <x:v>否</x:v>
      </x:c>
      <x:c r="T276" s="70" t="str"/>
    </x:row>
    <x:row r="277">
      <x:c r="A277" s="70" t="str">
        <x:v>M5E-0272</x:v>
      </x:c>
      <x:c r="B277" s="70" t="str"/>
      <x:c r="C277" s="70" t="str"/>
      <x:c r="D277" s="70" t="str"/>
      <x:c r="E277" s="70" t="str"/>
      <x:c r="F277" s="70" t="str"/>
      <x:c r="G277" s="70" t="str"/>
      <x:c r="H277" s="70" t="str"/>
      <x:c r="I277" s="70" t="str"/>
      <x:c r="J277" s="70" t="str"/>
      <x:c r="K277" s="70" t="str"/>
      <x:c r="L277" s="70" t="str"/>
      <x:c r="M277" s="70" t="str"/>
      <x:c r="N277" s="70" t="str"/>
      <x:c r="O277" s="70" t="str"/>
      <x:c r="P277" s="70" t="str"/>
      <x:c r="Q277" s="70" t="str"/>
      <x:c r="R277" s="70" t="str">
        <x:v>无</x:v>
      </x:c>
      <x:c r="S277" s="70" t="str">
        <x:v>否</x:v>
      </x:c>
      <x:c r="T277" s="70" t="str"/>
    </x:row>
    <x:row r="278">
      <x:c r="A278" s="70" t="str">
        <x:v>M5E-0273</x:v>
      </x:c>
      <x:c r="B278" s="70" t="str"/>
      <x:c r="C278" s="70" t="str"/>
      <x:c r="D278" s="70" t="str"/>
      <x:c r="E278" s="70" t="str"/>
      <x:c r="F278" s="70" t="str"/>
      <x:c r="G278" s="70" t="str"/>
      <x:c r="H278" s="70" t="str"/>
      <x:c r="I278" s="70" t="str"/>
      <x:c r="J278" s="70" t="str"/>
      <x:c r="K278" s="70" t="str"/>
      <x:c r="L278" s="70" t="str"/>
      <x:c r="M278" s="70" t="str"/>
      <x:c r="N278" s="70" t="str"/>
      <x:c r="O278" s="70" t="str"/>
      <x:c r="P278" s="70" t="str"/>
      <x:c r="Q278" s="70" t="str"/>
      <x:c r="R278" s="70" t="str">
        <x:v>无</x:v>
      </x:c>
      <x:c r="S278" s="70" t="str">
        <x:v>否</x:v>
      </x:c>
      <x:c r="T278" s="70" t="str"/>
    </x:row>
    <x:row r="279">
      <x:c r="A279" s="70" t="str">
        <x:v>M5E-0274</x:v>
      </x:c>
      <x:c r="B279" s="70" t="str"/>
      <x:c r="C279" s="70" t="str"/>
      <x:c r="D279" s="70" t="str"/>
      <x:c r="E279" s="70" t="str"/>
      <x:c r="F279" s="70" t="str"/>
      <x:c r="G279" s="70" t="str"/>
      <x:c r="H279" s="70" t="str"/>
      <x:c r="I279" s="70" t="str"/>
      <x:c r="J279" s="70" t="str"/>
      <x:c r="K279" s="70" t="str"/>
      <x:c r="L279" s="70" t="str"/>
      <x:c r="M279" s="70" t="str"/>
      <x:c r="N279" s="70" t="str"/>
      <x:c r="O279" s="70" t="str"/>
      <x:c r="P279" s="70" t="str"/>
      <x:c r="Q279" s="70" t="str"/>
      <x:c r="R279" s="70" t="str">
        <x:v>无</x:v>
      </x:c>
      <x:c r="S279" s="70" t="str">
        <x:v>否</x:v>
      </x:c>
      <x:c r="T279" s="70" t="str"/>
    </x:row>
    <x:row r="280">
      <x:c r="A280" s="70" t="str">
        <x:v>M5E-0275</x:v>
      </x:c>
      <x:c r="B280" s="70" t="str"/>
      <x:c r="C280" s="70" t="str"/>
      <x:c r="D280" s="70" t="str"/>
      <x:c r="E280" s="70" t="str"/>
      <x:c r="F280" s="70" t="str"/>
      <x:c r="G280" s="70" t="str"/>
      <x:c r="H280" s="70" t="str"/>
      <x:c r="I280" s="70" t="str"/>
      <x:c r="J280" s="70" t="str"/>
      <x:c r="K280" s="70" t="str"/>
      <x:c r="L280" s="70" t="str"/>
      <x:c r="M280" s="70" t="str"/>
      <x:c r="N280" s="70" t="str"/>
      <x:c r="O280" s="70" t="str"/>
      <x:c r="P280" s="70" t="str"/>
      <x:c r="Q280" s="70" t="str"/>
      <x:c r="R280" s="70" t="str">
        <x:v>无</x:v>
      </x:c>
      <x:c r="S280" s="70" t="str">
        <x:v>否</x:v>
      </x:c>
      <x:c r="T280" s="70" t="str"/>
    </x:row>
    <x:row r="281">
      <x:c r="A281" s="70" t="str">
        <x:v>M5E-0276</x:v>
      </x:c>
      <x:c r="B281" s="70" t="str"/>
      <x:c r="C281" s="70" t="str"/>
      <x:c r="D281" s="70" t="str"/>
      <x:c r="E281" s="70" t="str"/>
      <x:c r="F281" s="70" t="str"/>
      <x:c r="G281" s="70" t="str"/>
      <x:c r="H281" s="70" t="str"/>
      <x:c r="I281" s="70" t="str"/>
      <x:c r="J281" s="70" t="str"/>
      <x:c r="K281" s="70" t="str"/>
      <x:c r="L281" s="70" t="str"/>
      <x:c r="M281" s="70" t="str"/>
      <x:c r="N281" s="70" t="str"/>
      <x:c r="O281" s="70" t="str"/>
      <x:c r="P281" s="70" t="str"/>
      <x:c r="Q281" s="70" t="str"/>
      <x:c r="R281" s="70" t="str">
        <x:v>无</x:v>
      </x:c>
      <x:c r="S281" s="70" t="str">
        <x:v>否</x:v>
      </x:c>
      <x:c r="T281" s="70" t="str"/>
    </x:row>
    <x:row r="282">
      <x:c r="A282" s="70" t="str">
        <x:v>M5E-0277</x:v>
      </x:c>
      <x:c r="B282" s="70" t="str"/>
      <x:c r="C282" s="70" t="str"/>
      <x:c r="D282" s="70" t="str"/>
      <x:c r="E282" s="70" t="str"/>
      <x:c r="F282" s="70" t="str"/>
      <x:c r="G282" s="70" t="str"/>
      <x:c r="H282" s="70" t="str"/>
      <x:c r="I282" s="70" t="str"/>
      <x:c r="J282" s="70" t="str"/>
      <x:c r="K282" s="70" t="str"/>
      <x:c r="L282" s="70" t="str"/>
      <x:c r="M282" s="70" t="str"/>
      <x:c r="N282" s="70" t="str"/>
      <x:c r="O282" s="70" t="str"/>
      <x:c r="P282" s="70" t="str"/>
      <x:c r="Q282" s="70" t="str"/>
      <x:c r="R282" s="70" t="str">
        <x:v>无</x:v>
      </x:c>
      <x:c r="S282" s="70" t="str">
        <x:v>否</x:v>
      </x:c>
      <x:c r="T282" s="70" t="str"/>
    </x:row>
    <x:row r="283">
      <x:c r="A283" s="70" t="str">
        <x:v>M5E-0278</x:v>
      </x:c>
      <x:c r="B283" s="70" t="str"/>
      <x:c r="C283" s="70" t="str"/>
      <x:c r="D283" s="70" t="str"/>
      <x:c r="E283" s="70" t="str"/>
      <x:c r="F283" s="70" t="str"/>
      <x:c r="G283" s="70" t="str"/>
      <x:c r="H283" s="70" t="str"/>
      <x:c r="I283" s="70" t="str"/>
      <x:c r="J283" s="70" t="str"/>
      <x:c r="K283" s="70" t="str"/>
      <x:c r="L283" s="70" t="str"/>
      <x:c r="M283" s="70" t="str"/>
      <x:c r="N283" s="70" t="str"/>
      <x:c r="O283" s="70" t="str"/>
      <x:c r="P283" s="70" t="str"/>
      <x:c r="Q283" s="70" t="str"/>
      <x:c r="R283" s="70" t="str">
        <x:v>无</x:v>
      </x:c>
      <x:c r="S283" s="70" t="str">
        <x:v>否</x:v>
      </x:c>
      <x:c r="T283" s="70" t="str"/>
    </x:row>
    <x:row r="284">
      <x:c r="A284" s="70" t="str">
        <x:v>M5E-0279</x:v>
      </x:c>
      <x:c r="B284" s="70" t="str"/>
      <x:c r="C284" s="70" t="str"/>
      <x:c r="D284" s="70" t="str"/>
      <x:c r="E284" s="70" t="str"/>
      <x:c r="F284" s="70" t="str"/>
      <x:c r="G284" s="70" t="str"/>
      <x:c r="H284" s="70" t="str"/>
      <x:c r="I284" s="70" t="str"/>
      <x:c r="J284" s="70" t="str"/>
      <x:c r="K284" s="70" t="str"/>
      <x:c r="L284" s="70" t="str"/>
      <x:c r="M284" s="70" t="str"/>
      <x:c r="N284" s="70" t="str"/>
      <x:c r="O284" s="70" t="str"/>
      <x:c r="P284" s="70" t="str"/>
      <x:c r="Q284" s="70" t="str"/>
      <x:c r="R284" s="70" t="str">
        <x:v>无</x:v>
      </x:c>
      <x:c r="S284" s="70" t="str">
        <x:v>否</x:v>
      </x:c>
      <x:c r="T284" s="70" t="str"/>
    </x:row>
    <x:row r="285">
      <x:c r="A285" s="70" t="str">
        <x:v>M5E-0280</x:v>
      </x:c>
      <x:c r="B285" s="70" t="str"/>
      <x:c r="C285" s="70" t="str"/>
      <x:c r="D285" s="70" t="str"/>
      <x:c r="E285" s="70" t="str"/>
      <x:c r="F285" s="70" t="str"/>
      <x:c r="G285" s="70" t="str"/>
      <x:c r="H285" s="70" t="str"/>
      <x:c r="I285" s="70" t="str"/>
      <x:c r="J285" s="70" t="str"/>
      <x:c r="K285" s="70" t="str"/>
      <x:c r="L285" s="70" t="str"/>
      <x:c r="M285" s="70" t="str"/>
      <x:c r="N285" s="70" t="str"/>
      <x:c r="O285" s="70" t="str"/>
      <x:c r="P285" s="70" t="str"/>
      <x:c r="Q285" s="70" t="str"/>
      <x:c r="R285" s="70" t="str">
        <x:v>无</x:v>
      </x:c>
      <x:c r="S285" s="70" t="str">
        <x:v>否</x:v>
      </x:c>
      <x:c r="T285" s="70" t="str"/>
    </x:row>
    <x:row r="286">
      <x:c r="A286" s="70" t="str">
        <x:v>M5E-0281</x:v>
      </x:c>
      <x:c r="B286" s="70" t="str"/>
      <x:c r="C286" s="70" t="str"/>
      <x:c r="D286" s="70" t="str"/>
      <x:c r="E286" s="70" t="str"/>
      <x:c r="F286" s="70" t="str"/>
      <x:c r="G286" s="70" t="str"/>
      <x:c r="H286" s="70" t="str"/>
      <x:c r="I286" s="70" t="str"/>
      <x:c r="J286" s="70" t="str"/>
      <x:c r="K286" s="70" t="str"/>
      <x:c r="L286" s="70" t="str"/>
      <x:c r="M286" s="70" t="str"/>
      <x:c r="N286" s="70" t="str"/>
      <x:c r="O286" s="70" t="str"/>
      <x:c r="P286" s="70" t="str"/>
      <x:c r="Q286" s="70" t="str"/>
      <x:c r="R286" s="70" t="str">
        <x:v>无</x:v>
      </x:c>
      <x:c r="S286" s="70" t="str">
        <x:v>否</x:v>
      </x:c>
      <x:c r="T286" s="70" t="str"/>
    </x:row>
    <x:row r="287">
      <x:c r="A287" s="70" t="str">
        <x:v>M5E-0282</x:v>
      </x:c>
      <x:c r="B287" s="70" t="str"/>
      <x:c r="C287" s="70" t="str"/>
      <x:c r="D287" s="70" t="str"/>
      <x:c r="E287" s="70" t="str"/>
      <x:c r="F287" s="70" t="str"/>
      <x:c r="G287" s="70" t="str"/>
      <x:c r="H287" s="70" t="str"/>
      <x:c r="I287" s="70" t="str"/>
      <x:c r="J287" s="70" t="str"/>
      <x:c r="K287" s="70" t="str"/>
      <x:c r="L287" s="70" t="str"/>
      <x:c r="M287" s="70" t="str"/>
      <x:c r="N287" s="70" t="str"/>
      <x:c r="O287" s="70" t="str"/>
      <x:c r="P287" s="70" t="str"/>
      <x:c r="Q287" s="70" t="str"/>
      <x:c r="R287" s="70" t="str">
        <x:v>无</x:v>
      </x:c>
      <x:c r="S287" s="70" t="str">
        <x:v>否</x:v>
      </x:c>
      <x:c r="T287" s="70" t="str"/>
    </x:row>
    <x:row r="288">
      <x:c r="A288" s="70" t="str">
        <x:v>M5E-0283</x:v>
      </x:c>
      <x:c r="B288" s="70" t="str"/>
      <x:c r="C288" s="70" t="str"/>
      <x:c r="D288" s="70" t="str"/>
      <x:c r="E288" s="70" t="str"/>
      <x:c r="F288" s="70" t="str"/>
      <x:c r="G288" s="70" t="str"/>
      <x:c r="H288" s="70" t="str"/>
      <x:c r="I288" s="70" t="str"/>
      <x:c r="J288" s="70" t="str"/>
      <x:c r="K288" s="70" t="str"/>
      <x:c r="L288" s="70" t="str"/>
      <x:c r="M288" s="70" t="str"/>
      <x:c r="N288" s="70" t="str"/>
      <x:c r="O288" s="70" t="str"/>
      <x:c r="P288" s="70" t="str"/>
      <x:c r="Q288" s="70" t="str"/>
      <x:c r="R288" s="70" t="str">
        <x:v>无</x:v>
      </x:c>
      <x:c r="S288" s="70" t="str">
        <x:v>否</x:v>
      </x:c>
      <x:c r="T288" s="70" t="str"/>
    </x:row>
    <x:row r="289">
      <x:c r="A289" s="70" t="str">
        <x:v>M5E-0284</x:v>
      </x:c>
      <x:c r="B289" s="70" t="str"/>
      <x:c r="C289" s="70" t="str"/>
      <x:c r="D289" s="70" t="str"/>
      <x:c r="E289" s="70" t="str"/>
      <x:c r="F289" s="70" t="str"/>
      <x:c r="G289" s="70" t="str"/>
      <x:c r="H289" s="70" t="str"/>
      <x:c r="I289" s="70" t="str"/>
      <x:c r="J289" s="70" t="str"/>
      <x:c r="K289" s="70" t="str"/>
      <x:c r="L289" s="70" t="str"/>
      <x:c r="M289" s="70" t="str"/>
      <x:c r="N289" s="70" t="str"/>
      <x:c r="O289" s="70" t="str"/>
      <x:c r="P289" s="70" t="str"/>
      <x:c r="Q289" s="70" t="str"/>
      <x:c r="R289" s="70" t="str">
        <x:v>无</x:v>
      </x:c>
      <x:c r="S289" s="70" t="str">
        <x:v>否</x:v>
      </x:c>
      <x:c r="T289" s="70" t="str"/>
    </x:row>
    <x:row r="290">
      <x:c r="A290" s="70" t="str">
        <x:v>M5E-0285</x:v>
      </x:c>
      <x:c r="B290" s="70" t="str"/>
      <x:c r="C290" s="70" t="str"/>
      <x:c r="D290" s="70" t="str"/>
      <x:c r="E290" s="70" t="str"/>
      <x:c r="F290" s="70" t="str"/>
      <x:c r="G290" s="70" t="str"/>
      <x:c r="H290" s="70" t="str"/>
      <x:c r="I290" s="70" t="str"/>
      <x:c r="J290" s="70" t="str"/>
      <x:c r="K290" s="70" t="str"/>
      <x:c r="L290" s="70" t="str"/>
      <x:c r="M290" s="70" t="str"/>
      <x:c r="N290" s="70" t="str"/>
      <x:c r="O290" s="70" t="str"/>
      <x:c r="P290" s="70" t="str"/>
      <x:c r="Q290" s="70" t="str"/>
      <x:c r="R290" s="70" t="str">
        <x:v>无</x:v>
      </x:c>
      <x:c r="S290" s="70" t="str">
        <x:v>否</x:v>
      </x:c>
      <x:c r="T290" s="70" t="str"/>
    </x:row>
    <x:row r="291">
      <x:c r="A291" s="70" t="str">
        <x:v>M5E-0286</x:v>
      </x:c>
      <x:c r="B291" s="70" t="str"/>
      <x:c r="C291" s="70" t="str"/>
      <x:c r="D291" s="70" t="str"/>
      <x:c r="E291" s="70" t="str"/>
      <x:c r="F291" s="70" t="str"/>
      <x:c r="G291" s="70" t="str"/>
      <x:c r="H291" s="70" t="str"/>
      <x:c r="I291" s="70" t="str"/>
      <x:c r="J291" s="70" t="str"/>
      <x:c r="K291" s="70" t="str"/>
      <x:c r="L291" s="70" t="str"/>
      <x:c r="M291" s="70" t="str"/>
      <x:c r="N291" s="70" t="str"/>
      <x:c r="O291" s="70" t="str"/>
      <x:c r="P291" s="70" t="str"/>
      <x:c r="Q291" s="70" t="str"/>
      <x:c r="R291" s="70" t="str">
        <x:v>无</x:v>
      </x:c>
      <x:c r="S291" s="70" t="str">
        <x:v>否</x:v>
      </x:c>
      <x:c r="T291" s="70" t="str"/>
    </x:row>
    <x:row r="292">
      <x:c r="A292" s="70" t="str">
        <x:v>M5E-0287</x:v>
      </x:c>
      <x:c r="B292" s="70" t="str"/>
      <x:c r="C292" s="70" t="str"/>
      <x:c r="D292" s="70" t="str"/>
      <x:c r="E292" s="70" t="str"/>
      <x:c r="F292" s="70" t="str"/>
      <x:c r="G292" s="70" t="str"/>
      <x:c r="H292" s="70" t="str"/>
      <x:c r="I292" s="70" t="str"/>
      <x:c r="J292" s="70" t="str"/>
      <x:c r="K292" s="70" t="str"/>
      <x:c r="L292" s="70" t="str"/>
      <x:c r="M292" s="70" t="str"/>
      <x:c r="N292" s="70" t="str"/>
      <x:c r="O292" s="70" t="str"/>
      <x:c r="P292" s="70" t="str"/>
      <x:c r="Q292" s="70" t="str"/>
      <x:c r="R292" s="70" t="str">
        <x:v>无</x:v>
      </x:c>
      <x:c r="S292" s="70" t="str">
        <x:v>否</x:v>
      </x:c>
      <x:c r="T292" s="70" t="str"/>
    </x:row>
    <x:row r="293">
      <x:c r="A293" s="70" t="str">
        <x:v>M5E-0288</x:v>
      </x:c>
      <x:c r="B293" s="70" t="str"/>
      <x:c r="C293" s="70" t="str"/>
      <x:c r="D293" s="70" t="str"/>
      <x:c r="E293" s="70" t="str"/>
      <x:c r="F293" s="70" t="str"/>
      <x:c r="G293" s="70" t="str"/>
      <x:c r="H293" s="70" t="str"/>
      <x:c r="I293" s="70" t="str"/>
      <x:c r="J293" s="70" t="str"/>
      <x:c r="K293" s="70" t="str"/>
      <x:c r="L293" s="70" t="str"/>
      <x:c r="M293" s="70" t="str"/>
      <x:c r="N293" s="70" t="str"/>
      <x:c r="O293" s="70" t="str"/>
      <x:c r="P293" s="70" t="str"/>
      <x:c r="Q293" s="70" t="str"/>
      <x:c r="R293" s="70" t="str">
        <x:v>无</x:v>
      </x:c>
      <x:c r="S293" s="70" t="str">
        <x:v>否</x:v>
      </x:c>
      <x:c r="T293" s="70" t="str"/>
    </x:row>
    <x:row r="294">
      <x:c r="A294" s="70" t="str">
        <x:v>M5E-0289</x:v>
      </x:c>
      <x:c r="B294" s="70" t="str"/>
      <x:c r="C294" s="70" t="str"/>
      <x:c r="D294" s="70" t="str"/>
      <x:c r="E294" s="70" t="str"/>
      <x:c r="F294" s="70" t="str"/>
      <x:c r="G294" s="70" t="str"/>
      <x:c r="H294" s="70" t="str"/>
      <x:c r="I294" s="70" t="str"/>
      <x:c r="J294" s="70" t="str"/>
      <x:c r="K294" s="70" t="str"/>
      <x:c r="L294" s="70" t="str"/>
      <x:c r="M294" s="70" t="str"/>
      <x:c r="N294" s="70" t="str"/>
      <x:c r="O294" s="70" t="str"/>
      <x:c r="P294" s="70" t="str"/>
      <x:c r="Q294" s="70" t="str"/>
      <x:c r="R294" s="70" t="str">
        <x:v>无</x:v>
      </x:c>
      <x:c r="S294" s="70" t="str">
        <x:v>否</x:v>
      </x:c>
      <x:c r="T294" s="70" t="str"/>
    </x:row>
    <x:row r="295">
      <x:c r="A295" s="70" t="str">
        <x:v>M5E-0290</x:v>
      </x:c>
      <x:c r="B295" s="70" t="str"/>
      <x:c r="C295" s="70" t="str"/>
      <x:c r="D295" s="70" t="str"/>
      <x:c r="E295" s="70" t="str"/>
      <x:c r="F295" s="70" t="str"/>
      <x:c r="G295" s="70" t="str"/>
      <x:c r="H295" s="70" t="str"/>
      <x:c r="I295" s="70" t="str"/>
      <x:c r="J295" s="70" t="str"/>
      <x:c r="K295" s="70" t="str"/>
      <x:c r="L295" s="70" t="str"/>
      <x:c r="M295" s="70" t="str"/>
      <x:c r="N295" s="70" t="str"/>
      <x:c r="O295" s="70" t="str"/>
      <x:c r="P295" s="70" t="str"/>
      <x:c r="Q295" s="70" t="str"/>
      <x:c r="R295" s="70" t="str">
        <x:v>无</x:v>
      </x:c>
      <x:c r="S295" s="70" t="str">
        <x:v>否</x:v>
      </x:c>
      <x:c r="T295" s="70" t="str"/>
    </x:row>
    <x:row r="296">
      <x:c r="A296" s="70" t="str">
        <x:v>M5E-0291</x:v>
      </x:c>
      <x:c r="B296" s="70" t="str"/>
      <x:c r="C296" s="70" t="str"/>
      <x:c r="D296" s="70" t="str"/>
      <x:c r="E296" s="70" t="str"/>
      <x:c r="F296" s="70" t="str"/>
      <x:c r="G296" s="70" t="str"/>
      <x:c r="H296" s="70" t="str"/>
      <x:c r="I296" s="70" t="str"/>
      <x:c r="J296" s="70" t="str"/>
      <x:c r="K296" s="70" t="str"/>
      <x:c r="L296" s="70" t="str"/>
      <x:c r="M296" s="70" t="str"/>
      <x:c r="N296" s="70" t="str"/>
      <x:c r="O296" s="70" t="str"/>
      <x:c r="P296" s="70" t="str"/>
      <x:c r="Q296" s="70" t="str"/>
      <x:c r="R296" s="70" t="str">
        <x:v>无</x:v>
      </x:c>
      <x:c r="S296" s="70" t="str">
        <x:v>否</x:v>
      </x:c>
      <x:c r="T296" s="70" t="str"/>
    </x:row>
    <x:row r="297">
      <x:c r="A297" s="70" t="str">
        <x:v>M5E-0292</x:v>
      </x:c>
      <x:c r="B297" s="70" t="str"/>
      <x:c r="C297" s="70" t="str"/>
      <x:c r="D297" s="70" t="str"/>
      <x:c r="E297" s="70" t="str"/>
      <x:c r="F297" s="70" t="str"/>
      <x:c r="G297" s="70" t="str"/>
      <x:c r="H297" s="70" t="str"/>
      <x:c r="I297" s="70" t="str"/>
      <x:c r="J297" s="70" t="str"/>
      <x:c r="K297" s="70" t="str"/>
      <x:c r="L297" s="70" t="str"/>
      <x:c r="M297" s="70" t="str"/>
      <x:c r="N297" s="70" t="str"/>
      <x:c r="O297" s="70" t="str"/>
      <x:c r="P297" s="70" t="str"/>
      <x:c r="Q297" s="70" t="str"/>
      <x:c r="R297" s="70" t="str">
        <x:v>无</x:v>
      </x:c>
      <x:c r="S297" s="70" t="str">
        <x:v>否</x:v>
      </x:c>
      <x:c r="T297" s="70" t="str"/>
    </x:row>
    <x:row r="298">
      <x:c r="A298" s="70" t="str">
        <x:v>M5E-0293</x:v>
      </x:c>
      <x:c r="B298" s="70" t="str"/>
      <x:c r="C298" s="70" t="str"/>
      <x:c r="D298" s="70" t="str"/>
      <x:c r="E298" s="70" t="str"/>
      <x:c r="F298" s="70" t="str"/>
      <x:c r="G298" s="70" t="str"/>
      <x:c r="H298" s="70" t="str"/>
      <x:c r="I298" s="70" t="str"/>
      <x:c r="J298" s="70" t="str"/>
      <x:c r="K298" s="70" t="str"/>
      <x:c r="L298" s="70" t="str"/>
      <x:c r="M298" s="70" t="str"/>
      <x:c r="N298" s="70" t="str"/>
      <x:c r="O298" s="70" t="str"/>
      <x:c r="P298" s="70" t="str"/>
      <x:c r="Q298" s="70" t="str"/>
      <x:c r="R298" s="70" t="str">
        <x:v>无</x:v>
      </x:c>
      <x:c r="S298" s="70" t="str">
        <x:v>否</x:v>
      </x:c>
      <x:c r="T298" s="70" t="str"/>
    </x:row>
    <x:row r="299">
      <x:c r="A299" s="70" t="str">
        <x:v>M5E-0294</x:v>
      </x:c>
      <x:c r="B299" s="70" t="str"/>
      <x:c r="C299" s="70" t="str"/>
      <x:c r="D299" s="70" t="str"/>
      <x:c r="E299" s="70" t="str"/>
      <x:c r="F299" s="70" t="str"/>
      <x:c r="G299" s="70" t="str"/>
      <x:c r="H299" s="70" t="str"/>
      <x:c r="I299" s="70" t="str"/>
      <x:c r="J299" s="70" t="str"/>
      <x:c r="K299" s="70" t="str"/>
      <x:c r="L299" s="70" t="str"/>
      <x:c r="M299" s="70" t="str"/>
      <x:c r="N299" s="70" t="str"/>
      <x:c r="O299" s="70" t="str"/>
      <x:c r="P299" s="70" t="str"/>
      <x:c r="Q299" s="70" t="str"/>
      <x:c r="R299" s="70" t="str">
        <x:v>无</x:v>
      </x:c>
      <x:c r="S299" s="70" t="str">
        <x:v>否</x:v>
      </x:c>
      <x:c r="T299" s="70" t="str"/>
    </x:row>
    <x:row r="300">
      <x:c r="A300" s="70" t="str">
        <x:v>M5E-0295</x:v>
      </x:c>
      <x:c r="B300" s="70" t="str"/>
      <x:c r="C300" s="70" t="str"/>
      <x:c r="D300" s="70" t="str"/>
      <x:c r="E300" s="70" t="str"/>
      <x:c r="F300" s="70" t="str"/>
      <x:c r="G300" s="70" t="str"/>
      <x:c r="H300" s="70" t="str"/>
      <x:c r="I300" s="70" t="str"/>
      <x:c r="J300" s="70" t="str"/>
      <x:c r="K300" s="70" t="str"/>
      <x:c r="L300" s="70" t="str"/>
      <x:c r="M300" s="70" t="str"/>
      <x:c r="N300" s="70" t="str"/>
      <x:c r="O300" s="70" t="str"/>
      <x:c r="P300" s="70" t="str"/>
      <x:c r="Q300" s="70" t="str"/>
      <x:c r="R300" s="70" t="str">
        <x:v>无</x:v>
      </x:c>
      <x:c r="S300" s="70" t="str">
        <x:v>否</x:v>
      </x:c>
      <x:c r="T300" s="70" t="str"/>
    </x:row>
    <x:row r="301">
      <x:c r="A301" s="70" t="str">
        <x:v>M5E-0296</x:v>
      </x:c>
      <x:c r="B301" s="70" t="str"/>
      <x:c r="C301" s="70" t="str"/>
      <x:c r="D301" s="70" t="str"/>
      <x:c r="E301" s="70" t="str"/>
      <x:c r="F301" s="70" t="str"/>
      <x:c r="G301" s="70" t="str"/>
      <x:c r="H301" s="70" t="str"/>
      <x:c r="I301" s="70" t="str"/>
      <x:c r="J301" s="70" t="str"/>
      <x:c r="K301" s="70" t="str"/>
      <x:c r="L301" s="70" t="str"/>
      <x:c r="M301" s="70" t="str"/>
      <x:c r="N301" s="70" t="str"/>
      <x:c r="O301" s="70" t="str"/>
      <x:c r="P301" s="70" t="str"/>
      <x:c r="Q301" s="70" t="str"/>
      <x:c r="R301" s="70" t="str">
        <x:v>无</x:v>
      </x:c>
      <x:c r="S301" s="70" t="str">
        <x:v>否</x:v>
      </x:c>
      <x:c r="T301" s="70" t="str"/>
    </x:row>
    <x:row r="302">
      <x:c r="A302" s="70" t="str">
        <x:v>M5E-0297</x:v>
      </x:c>
      <x:c r="B302" s="70" t="str"/>
      <x:c r="C302" s="70" t="str"/>
      <x:c r="D302" s="70" t="str"/>
      <x:c r="E302" s="70" t="str"/>
      <x:c r="F302" s="70" t="str"/>
      <x:c r="G302" s="70" t="str"/>
      <x:c r="H302" s="70" t="str"/>
      <x:c r="I302" s="70" t="str"/>
      <x:c r="J302" s="70" t="str"/>
      <x:c r="K302" s="70" t="str"/>
      <x:c r="L302" s="70" t="str"/>
      <x:c r="M302" s="70" t="str"/>
      <x:c r="N302" s="70" t="str"/>
      <x:c r="O302" s="70" t="str"/>
      <x:c r="P302" s="70" t="str"/>
      <x:c r="Q302" s="70" t="str"/>
      <x:c r="R302" s="70" t="str">
        <x:v>无</x:v>
      </x:c>
      <x:c r="S302" s="70" t="str">
        <x:v>否</x:v>
      </x:c>
      <x:c r="T302" s="70" t="str"/>
    </x:row>
    <x:row r="303">
      <x:c r="A303" s="70" t="str">
        <x:v>M5E-0298</x:v>
      </x:c>
      <x:c r="B303" s="70" t="str"/>
      <x:c r="C303" s="70" t="str"/>
      <x:c r="D303" s="70" t="str"/>
      <x:c r="E303" s="70" t="str"/>
      <x:c r="F303" s="70" t="str"/>
      <x:c r="G303" s="70" t="str"/>
      <x:c r="H303" s="70" t="str"/>
      <x:c r="I303" s="70" t="str"/>
      <x:c r="J303" s="70" t="str"/>
      <x:c r="K303" s="70" t="str"/>
      <x:c r="L303" s="70" t="str"/>
      <x:c r="M303" s="70" t="str"/>
      <x:c r="N303" s="70" t="str"/>
      <x:c r="O303" s="70" t="str"/>
      <x:c r="P303" s="70" t="str"/>
      <x:c r="Q303" s="70" t="str"/>
      <x:c r="R303" s="70" t="str">
        <x:v>无</x:v>
      </x:c>
      <x:c r="S303" s="70" t="str">
        <x:v>否</x:v>
      </x:c>
      <x:c r="T303" s="70" t="str"/>
    </x:row>
    <x:row r="304">
      <x:c r="A304" s="70" t="str">
        <x:v>M5E-0299</x:v>
      </x:c>
      <x:c r="B304" s="70" t="str"/>
      <x:c r="C304" s="70" t="str"/>
      <x:c r="D304" s="70" t="str"/>
      <x:c r="E304" s="70" t="str"/>
      <x:c r="F304" s="70" t="str"/>
      <x:c r="G304" s="70" t="str"/>
      <x:c r="H304" s="70" t="str"/>
      <x:c r="I304" s="70" t="str"/>
      <x:c r="J304" s="70" t="str"/>
      <x:c r="K304" s="70" t="str"/>
      <x:c r="L304" s="70" t="str"/>
      <x:c r="M304" s="70" t="str"/>
      <x:c r="N304" s="70" t="str"/>
      <x:c r="O304" s="70" t="str"/>
      <x:c r="P304" s="70" t="str"/>
      <x:c r="Q304" s="70" t="str"/>
      <x:c r="R304" s="70" t="str">
        <x:v>无</x:v>
      </x:c>
      <x:c r="S304" s="70" t="str">
        <x:v>否</x:v>
      </x:c>
      <x:c r="T304" s="70" t="str"/>
    </x:row>
    <x:row r="305">
      <x:c r="A305" s="71" t="str">
        <x:v>M5E-0300</x:v>
      </x:c>
      <x:c r="B305" s="71" t="str"/>
      <x:c r="C305" s="71" t="str"/>
      <x:c r="D305" s="71" t="str"/>
      <x:c r="E305" s="71" t="str"/>
      <x:c r="F305" s="71" t="str"/>
      <x:c r="G305" s="71" t="str"/>
      <x:c r="H305" s="71" t="str"/>
      <x:c r="I305" s="71" t="str"/>
      <x:c r="J305" s="71" t="str"/>
      <x:c r="K305" s="71" t="str"/>
      <x:c r="L305" s="71" t="str"/>
      <x:c r="M305" s="71" t="str"/>
      <x:c r="N305" s="71" t="str"/>
      <x:c r="O305" s="71" t="str"/>
      <x:c r="P305" s="71" t="str"/>
      <x:c r="Q305" s="71" t="str"/>
      <x:c r="R305" s="71" t="str">
        <x:v>无</x:v>
      </x:c>
      <x:c r="S305" s="71" t="str">
        <x:v>否</x:v>
      </x:c>
      <x:c r="T305" s="71" t="str"/>
    </x:row>
  </x:sheetData>
  <x:mergeCells>
    <x:mergeCell ref="A1:T2"/>
    <x:mergeCell ref="A3:T3"/>
  </x:mergeCells>
  <x:conditionalFormatting sqref="R6:R305">
    <x:cfRule type="expression" dxfId="2" priority="1">
      <x:formula>$R6="安全停止"</x:formula>
    </x:cfRule>
  </x:conditionalFormatting>
  <x:dataValidations count="8">
    <x:dataValidation type="list" sqref="E6:E305">
      <x:formula1>"日常支持,关系推进,交换／分工,边界／决定,分歧／修复,联系／节奏,现实门槛,重大转折,反例,安全事件,其他"</x:formula1>
    </x:dataValidation>
    <x:dataValidation type="list" sqref="F6:F305">
      <x:formula1>"BASE,PARTNER,EXCHANGE,BOUND,REPAIR,RHYTHM,GAP,SYNTH,RG,跨模块"</x:formula1>
    </x:dataValidation>
    <x:dataValidation type="list" sqref="M6:M305">
      <x:formula1>"平稳,轻压,中压,高压,危机"</x:formula1>
    </x:dataValidation>
    <x:dataValidation type="list" sqref="N6:N305">
      <x:formula1>"无明显代价,时间代价,情绪代价,金钱／资源代价,关系降级风险,安全代价"</x:formula1>
    </x:dataValidation>
    <x:dataValidation type="list" sqref="P6:P305">
      <x:formula1>"单方回忆,双方讨论,时间线／记录,客观安排,第三方资料,多来源"</x:formula1>
    </x:dataValidation>
    <x:dataValidation type="list" sqref="Q6:Q305">
      <x:formula1>"高,中高,中,中低,低"</x:formula1>
    </x:dataValidation>
    <x:dataValidation type="list" sqref="R6:R305">
      <x:formula1>"无,需核验,安全停止"</x:formula1>
    </x:dataValidation>
    <x:dataValidation type="list" sqref="S6:S30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dad6319d1644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2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58" hidden="0" customWidth="1"/>
    <x:col min="12" max="12" width="22" hidden="0" customWidth="1"/>
    <x:col min="13" max="13" width="28" hidden="0" customWidth="1"/>
    <x:col min="14" max="14" width="16" hidden="0" customWidth="1"/>
    <x:col min="15" max="15" width="16" hidden="0" customWidth="1"/>
    <x:col min="16" max="16" width="42" hidden="0" customWidth="1"/>
  </x:cols>
  <x:sheetData>
    <x:row r="1">
      <x:c r="A1" s="55" t="str">
        <x:v>RG01—RG08现实门槛双轮标注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</x:row>
    <x:row r="3">
      <x:c r="A3" s="60" t="str">
        <x:v>先独立标注现实状态，再与预测比较；安全门槛失败不进入普通适配统计。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</x:row>
    <x:row r="5">
      <x:c r="A5" s="65" t="str">
        <x:v>rg_eval_id</x:v>
      </x:c>
      <x:c r="B5" s="65" t="str">
        <x:v>case_id</x:v>
      </x:c>
      <x:c r="C5" s="65" t="str">
        <x:v>set_split</x:v>
      </x:c>
      <x:c r="D5" s="65" t="str">
        <x:v>RG代码</x:v>
      </x:c>
      <x:c r="E5" s="65" t="str">
        <x:v>门槛名称</x:v>
      </x:c>
      <x:c r="F5" s="65" t="str">
        <x:v>预测状态</x:v>
      </x:c>
      <x:c r="G5" s="65" t="str">
        <x:v>第一轮金标准</x:v>
      </x:c>
      <x:c r="H5" s="65" t="str">
        <x:v>第二轮金标准</x:v>
      </x:c>
      <x:c r="I5" s="65" t="str">
        <x:v>最终金标准</x:v>
      </x:c>
      <x:c r="J5" s="65" t="str">
        <x:v>匹配等级</x:v>
      </x:c>
      <x:c r="K5" s="65" t="str">
        <x:v>事实摘要</x:v>
      </x:c>
      <x:c r="L5" s="65" t="str">
        <x:v>证据来源</x:v>
      </x:c>
      <x:c r="M5" s="65" t="str">
        <x:v>event_ids</x:v>
      </x:c>
      <x:c r="N5" s="65" t="str">
        <x:v>标签置信</x:v>
      </x:c>
      <x:c r="O5" s="65" t="str">
        <x:v>复核者</x:v>
      </x:c>
      <x:c r="P5" s="65" t="str">
        <x:v>备注</x:v>
      </x:c>
    </x:row>
    <x:row r="6">
      <x:c r="A6" s="70" t="str">
        <x:v>M5RG-0001</x:v>
      </x:c>
      <x:c r="B6" s="70" t="str">
        <x:v>M5C-001</x:v>
      </x:c>
      <x:c r="C6" s="70" t="str">
        <x:f>IFERROR(VLOOKUP(B6,'02_案例与预测'!$A$6:$E$65,5,FALSE),"")</x:f>
        <x:v>开发集</x:v>
      </x:c>
      <x:c r="D6" s="70" t="str">
        <x:v>RG01</x:v>
      </x:c>
      <x:c r="E6" s="70" t="str">
        <x:v>安全、同意与尊重</x:v>
      </x:c>
      <x:c r="F6" s="70" t="str"/>
      <x:c r="G6" s="70" t="str"/>
      <x:c r="H6" s="70" t="str"/>
      <x:c r="I6" s="70" t="str"/>
      <x:c r="J6" s="70" t="str">
        <x:f>IF(OR(F6="",I6=""),"",IF(OR(I6="unknown",I6="not_assessed"),"不可评估",IF(F6=I6,"完全支持",IF(OR(AND(F6="pass",I6="conditional"),AND(F6="conditional",I6="pass")),"部分支持","反例"))))</x:f>
      </x:c>
      <x:c r="K6" s="70" t="str"/>
      <x:c r="L6" s="70" t="str"/>
      <x:c r="M6" s="70" t="str"/>
      <x:c r="N6" s="70" t="str"/>
      <x:c r="O6" s="70" t="str"/>
      <x:c r="P6" s="70" t="str"/>
    </x:row>
    <x:row r="7">
      <x:c r="A7" s="70" t="str">
        <x:v>M5RG-0002</x:v>
      </x:c>
      <x:c r="B7" s="70" t="str">
        <x:v>M5C-001</x:v>
      </x:c>
      <x:c r="C7" s="70" t="str">
        <x:f>IFERROR(VLOOKUP(B7,'02_案例与预测'!$A$6:$E$65,5,FALSE),"")</x:f>
        <x:v>开发集</x:v>
      </x:c>
      <x:c r="D7" s="70" t="str">
        <x:v>RG02</x:v>
      </x:c>
      <x:c r="E7" s="70" t="str">
        <x:v>关系意图与承诺</x:v>
      </x:c>
      <x:c r="F7" s="70" t="str"/>
      <x:c r="G7" s="70" t="str"/>
      <x:c r="H7" s="70" t="str"/>
      <x:c r="I7" s="70" t="str"/>
      <x:c r="J7" s="70" t="str">
        <x:f>IF(OR(F7="",I7=""),"",IF(OR(I7="unknown",I7="not_assessed"),"不可评估",IF(F7=I7,"完全支持",IF(OR(AND(F7="pass",I7="conditional"),AND(F7="conditional",I7="pass")),"部分支持","反例"))))</x:f>
      </x:c>
      <x:c r="K7" s="70" t="str"/>
      <x:c r="L7" s="70" t="str"/>
      <x:c r="M7" s="70" t="str"/>
      <x:c r="N7" s="70" t="str"/>
      <x:c r="O7" s="70" t="str"/>
      <x:c r="P7" s="70" t="str"/>
    </x:row>
    <x:row r="8">
      <x:c r="A8" s="70" t="str">
        <x:v>M5RG-0003</x:v>
      </x:c>
      <x:c r="B8" s="70" t="str">
        <x:v>M5C-001</x:v>
      </x:c>
      <x:c r="C8" s="70" t="str">
        <x:f>IFERROR(VLOOKUP(B8,'02_案例与预测'!$A$6:$E$65,5,FALSE),"")</x:f>
        <x:v>开发集</x:v>
      </x:c>
      <x:c r="D8" s="70" t="str">
        <x:v>RG03</x:v>
      </x:c>
      <x:c r="E8" s="70" t="str">
        <x:v>价值观与人生目标</x:v>
      </x:c>
      <x:c r="F8" s="70" t="str"/>
      <x:c r="G8" s="70" t="str"/>
      <x:c r="H8" s="70" t="str"/>
      <x:c r="I8" s="70" t="str"/>
      <x:c r="J8" s="70" t="str">
        <x:f>IF(OR(F8="",I8=""),"",IF(OR(I8="unknown",I8="not_assessed"),"不可评估",IF(F8=I8,"完全支持",IF(OR(AND(F8="pass",I8="conditional"),AND(F8="conditional",I8="pass")),"部分支持","反例"))))</x:f>
      </x:c>
      <x:c r="K8" s="70" t="str"/>
      <x:c r="L8" s="70" t="str"/>
      <x:c r="M8" s="70" t="str"/>
      <x:c r="N8" s="70" t="str"/>
      <x:c r="O8" s="70" t="str"/>
      <x:c r="P8" s="70" t="str"/>
    </x:row>
    <x:row r="9">
      <x:c r="A9" s="70" t="str">
        <x:v>M5RG-0004</x:v>
      </x:c>
      <x:c r="B9" s="70" t="str">
        <x:v>M5C-001</x:v>
      </x:c>
      <x:c r="C9" s="70" t="str">
        <x:f>IFERROR(VLOOKUP(B9,'02_案例与预测'!$A$6:$E$65,5,FALSE),"")</x:f>
        <x:v>开发集</x:v>
      </x:c>
      <x:c r="D9" s="70" t="str">
        <x:v>RG04</x:v>
      </x:c>
      <x:c r="E9" s="70" t="str">
        <x:v>时间、地域与生活节奏</x:v>
      </x:c>
      <x:c r="F9" s="70" t="str"/>
      <x:c r="G9" s="70" t="str"/>
      <x:c r="H9" s="70" t="str"/>
      <x:c r="I9" s="70" t="str"/>
      <x:c r="J9" s="70" t="str">
        <x:f>IF(OR(F9="",I9=""),"",IF(OR(I9="unknown",I9="not_assessed"),"不可评估",IF(F9=I9,"完全支持",IF(OR(AND(F9="pass",I9="conditional"),AND(F9="conditional",I9="pass")),"部分支持","反例"))))</x:f>
      </x:c>
      <x:c r="K9" s="70" t="str"/>
      <x:c r="L9" s="70" t="str"/>
      <x:c r="M9" s="70" t="str"/>
      <x:c r="N9" s="70" t="str"/>
      <x:c r="O9" s="70" t="str"/>
      <x:c r="P9" s="70" t="str"/>
    </x:row>
    <x:row r="10">
      <x:c r="A10" s="70" t="str">
        <x:v>M5RG-0005</x:v>
      </x:c>
      <x:c r="B10" s="70" t="str">
        <x:v>M5C-001</x:v>
      </x:c>
      <x:c r="C10" s="70" t="str">
        <x:f>IFERROR(VLOOKUP(B10,'02_案例与预测'!$A$6:$E$65,5,FALSE),"")</x:f>
        <x:v>开发集</x:v>
      </x:c>
      <x:c r="D10" s="70" t="str">
        <x:v>RG05</x:v>
      </x:c>
      <x:c r="E10" s="70" t="str">
        <x:v>金钱、资源与劳动分配</x:v>
      </x:c>
      <x:c r="F10" s="70" t="str"/>
      <x:c r="G10" s="70" t="str"/>
      <x:c r="H10" s="70" t="str"/>
      <x:c r="I10" s="70" t="str"/>
      <x:c r="J10" s="70" t="str">
        <x:f>IF(OR(F10="",I10=""),"",IF(OR(I10="unknown",I10="not_assessed"),"不可评估",IF(F10=I10,"完全支持",IF(OR(AND(F10="pass",I10="conditional"),AND(F10="conditional",I10="pass")),"部分支持","反例"))))</x:f>
      </x:c>
      <x:c r="K10" s="70" t="str"/>
      <x:c r="L10" s="70" t="str"/>
      <x:c r="M10" s="70" t="str"/>
      <x:c r="N10" s="70" t="str"/>
      <x:c r="O10" s="70" t="str"/>
      <x:c r="P10" s="70" t="str"/>
    </x:row>
    <x:row r="11">
      <x:c r="A11" s="70" t="str">
        <x:v>M5RG-0006</x:v>
      </x:c>
      <x:c r="B11" s="70" t="str">
        <x:v>M5C-001</x:v>
      </x:c>
      <x:c r="C11" s="70" t="str">
        <x:f>IFERROR(VLOOKUP(B11,'02_案例与预测'!$A$6:$E$65,5,FALSE),"")</x:f>
        <x:v>开发集</x:v>
      </x:c>
      <x:c r="D11" s="70" t="str">
        <x:v>RG06</x:v>
      </x:c>
      <x:c r="E11" s="70" t="str">
        <x:v>家庭、婚育与照护责任</x:v>
      </x:c>
      <x:c r="F11" s="70" t="str"/>
      <x:c r="G11" s="70" t="str"/>
      <x:c r="H11" s="70" t="str"/>
      <x:c r="I11" s="70" t="str"/>
      <x:c r="J11" s="70" t="str">
        <x:f>IF(OR(F11="",I11=""),"",IF(OR(I11="unknown",I11="not_assessed"),"不可评估",IF(F11=I11,"完全支持",IF(OR(AND(F11="pass",I11="conditional"),AND(F11="conditional",I11="pass")),"部分支持","反例"))))</x:f>
      </x:c>
      <x:c r="K11" s="70" t="str"/>
      <x:c r="L11" s="70" t="str"/>
      <x:c r="M11" s="70" t="str"/>
      <x:c r="N11" s="70" t="str"/>
      <x:c r="O11" s="70" t="str"/>
      <x:c r="P11" s="70" t="str"/>
    </x:row>
    <x:row r="12">
      <x:c r="A12" s="70" t="str">
        <x:v>M5RG-0007</x:v>
      </x:c>
      <x:c r="B12" s="70" t="str">
        <x:v>M5C-001</x:v>
      </x:c>
      <x:c r="C12" s="70" t="str">
        <x:f>IFERROR(VLOOKUP(B12,'02_案例与预测'!$A$6:$E$65,5,FALSE),"")</x:f>
        <x:v>开发集</x:v>
      </x:c>
      <x:c r="D12" s="70" t="str">
        <x:v>RG07</x:v>
      </x:c>
      <x:c r="E12" s="70" t="str">
        <x:v>身体、亲密、隐私与健康</x:v>
      </x:c>
      <x:c r="F12" s="70" t="str"/>
      <x:c r="G12" s="70" t="str"/>
      <x:c r="H12" s="70" t="str"/>
      <x:c r="I12" s="70" t="str"/>
      <x:c r="J12" s="70" t="str">
        <x:f>IF(OR(F12="",I12=""),"",IF(OR(I12="unknown",I12="not_assessed"),"不可评估",IF(F12=I12,"完全支持",IF(OR(AND(F12="pass",I12="conditional"),AND(F12="conditional",I12="pass")),"部分支持","反例"))))</x:f>
      </x:c>
      <x:c r="K12" s="70" t="str"/>
      <x:c r="L12" s="70" t="str"/>
      <x:c r="M12" s="70" t="str"/>
      <x:c r="N12" s="70" t="str"/>
      <x:c r="O12" s="70" t="str"/>
      <x:c r="P12" s="70" t="str"/>
    </x:row>
    <x:row r="13">
      <x:c r="A13" s="70" t="str">
        <x:v>M5RG-0008</x:v>
      </x:c>
      <x:c r="B13" s="70" t="str">
        <x:v>M5C-001</x:v>
      </x:c>
      <x:c r="C13" s="70" t="str">
        <x:f>IFERROR(VLOOKUP(B13,'02_案例与预测'!$A$6:$E$65,5,FALSE),"")</x:f>
        <x:v>开发集</x:v>
      </x:c>
      <x:c r="D13" s="70" t="str">
        <x:v>RG08</x:v>
      </x:c>
      <x:c r="E13" s="70" t="str">
        <x:v>冲突、修复与学习意愿</x:v>
      </x:c>
      <x:c r="F13" s="70" t="str"/>
      <x:c r="G13" s="70" t="str"/>
      <x:c r="H13" s="70" t="str"/>
      <x:c r="I13" s="70" t="str"/>
      <x:c r="J13" s="70" t="str">
        <x:f>IF(OR(F13="",I13=""),"",IF(OR(I13="unknown",I13="not_assessed"),"不可评估",IF(F13=I13,"完全支持",IF(OR(AND(F13="pass",I13="conditional"),AND(F13="conditional",I13="pass")),"部分支持","反例"))))</x:f>
      </x:c>
      <x:c r="K13" s="70" t="str"/>
      <x:c r="L13" s="70" t="str"/>
      <x:c r="M13" s="70" t="str"/>
      <x:c r="N13" s="70" t="str"/>
      <x:c r="O13" s="70" t="str"/>
      <x:c r="P13" s="70" t="str"/>
    </x:row>
    <x:row r="14">
      <x:c r="A14" s="70" t="str">
        <x:v>M5RG-0009</x:v>
      </x:c>
      <x:c r="B14" s="70" t="str">
        <x:v>M5C-002</x:v>
      </x:c>
      <x:c r="C14" s="70" t="str">
        <x:f>IFERROR(VLOOKUP(B14,'02_案例与预测'!$A$6:$E$65,5,FALSE),"")</x:f>
        <x:v>开发集</x:v>
      </x:c>
      <x:c r="D14" s="70" t="str">
        <x:v>RG01</x:v>
      </x:c>
      <x:c r="E14" s="70" t="str">
        <x:v>安全、同意与尊重</x:v>
      </x:c>
      <x:c r="F14" s="70" t="str"/>
      <x:c r="G14" s="70" t="str"/>
      <x:c r="H14" s="70" t="str"/>
      <x:c r="I14" s="70" t="str"/>
      <x:c r="J14" s="70" t="str">
        <x:f>IF(OR(F14="",I14=""),"",IF(OR(I14="unknown",I14="not_assessed"),"不可评估",IF(F14=I14,"完全支持",IF(OR(AND(F14="pass",I14="conditional"),AND(F14="conditional",I14="pass")),"部分支持","反例"))))</x:f>
      </x:c>
      <x:c r="K14" s="70" t="str"/>
      <x:c r="L14" s="70" t="str"/>
      <x:c r="M14" s="70" t="str"/>
      <x:c r="N14" s="70" t="str"/>
      <x:c r="O14" s="70" t="str"/>
      <x:c r="P14" s="70" t="str"/>
    </x:row>
    <x:row r="15">
      <x:c r="A15" s="70" t="str">
        <x:v>M5RG-0010</x:v>
      </x:c>
      <x:c r="B15" s="70" t="str">
        <x:v>M5C-002</x:v>
      </x:c>
      <x:c r="C15" s="70" t="str">
        <x:f>IFERROR(VLOOKUP(B15,'02_案例与预测'!$A$6:$E$65,5,FALSE),"")</x:f>
        <x:v>开发集</x:v>
      </x:c>
      <x:c r="D15" s="70" t="str">
        <x:v>RG02</x:v>
      </x:c>
      <x:c r="E15" s="70" t="str">
        <x:v>关系意图与承诺</x:v>
      </x:c>
      <x:c r="F15" s="70" t="str"/>
      <x:c r="G15" s="70" t="str"/>
      <x:c r="H15" s="70" t="str"/>
      <x:c r="I15" s="70" t="str"/>
      <x:c r="J15" s="70" t="str">
        <x:f>IF(OR(F15="",I15=""),"",IF(OR(I15="unknown",I15="not_assessed"),"不可评估",IF(F15=I15,"完全支持",IF(OR(AND(F15="pass",I15="conditional"),AND(F15="conditional",I15="pass")),"部分支持","反例"))))</x:f>
      </x:c>
      <x:c r="K15" s="70" t="str"/>
      <x:c r="L15" s="70" t="str"/>
      <x:c r="M15" s="70" t="str"/>
      <x:c r="N15" s="70" t="str"/>
      <x:c r="O15" s="70" t="str"/>
      <x:c r="P15" s="70" t="str"/>
    </x:row>
    <x:row r="16">
      <x:c r="A16" s="70" t="str">
        <x:v>M5RG-0011</x:v>
      </x:c>
      <x:c r="B16" s="70" t="str">
        <x:v>M5C-002</x:v>
      </x:c>
      <x:c r="C16" s="70" t="str">
        <x:f>IFERROR(VLOOKUP(B16,'02_案例与预测'!$A$6:$E$65,5,FALSE),"")</x:f>
        <x:v>开发集</x:v>
      </x:c>
      <x:c r="D16" s="70" t="str">
        <x:v>RG03</x:v>
      </x:c>
      <x:c r="E16" s="70" t="str">
        <x:v>价值观与人生目标</x:v>
      </x:c>
      <x:c r="F16" s="70" t="str"/>
      <x:c r="G16" s="70" t="str"/>
      <x:c r="H16" s="70" t="str"/>
      <x:c r="I16" s="70" t="str"/>
      <x:c r="J16" s="70" t="str">
        <x:f>IF(OR(F16="",I16=""),"",IF(OR(I16="unknown",I16="not_assessed"),"不可评估",IF(F16=I16,"完全支持",IF(OR(AND(F16="pass",I16="conditional"),AND(F16="conditional",I16="pass")),"部分支持","反例"))))</x:f>
      </x:c>
      <x:c r="K16" s="70" t="str"/>
      <x:c r="L16" s="70" t="str"/>
      <x:c r="M16" s="70" t="str"/>
      <x:c r="N16" s="70" t="str"/>
      <x:c r="O16" s="70" t="str"/>
      <x:c r="P16" s="70" t="str"/>
    </x:row>
    <x:row r="17">
      <x:c r="A17" s="70" t="str">
        <x:v>M5RG-0012</x:v>
      </x:c>
      <x:c r="B17" s="70" t="str">
        <x:v>M5C-002</x:v>
      </x:c>
      <x:c r="C17" s="70" t="str">
        <x:f>IFERROR(VLOOKUP(B17,'02_案例与预测'!$A$6:$E$65,5,FALSE),"")</x:f>
        <x:v>开发集</x:v>
      </x:c>
      <x:c r="D17" s="70" t="str">
        <x:v>RG04</x:v>
      </x:c>
      <x:c r="E17" s="70" t="str">
        <x:v>时间、地域与生活节奏</x:v>
      </x:c>
      <x:c r="F17" s="70" t="str"/>
      <x:c r="G17" s="70" t="str"/>
      <x:c r="H17" s="70" t="str"/>
      <x:c r="I17" s="70" t="str"/>
      <x:c r="J17" s="70" t="str">
        <x:f>IF(OR(F17="",I17=""),"",IF(OR(I17="unknown",I17="not_assessed"),"不可评估",IF(F17=I17,"完全支持",IF(OR(AND(F17="pass",I17="conditional"),AND(F17="conditional",I17="pass")),"部分支持","反例"))))</x:f>
      </x:c>
      <x:c r="K17" s="70" t="str"/>
      <x:c r="L17" s="70" t="str"/>
      <x:c r="M17" s="70" t="str"/>
      <x:c r="N17" s="70" t="str"/>
      <x:c r="O17" s="70" t="str"/>
      <x:c r="P17" s="70" t="str"/>
    </x:row>
    <x:row r="18">
      <x:c r="A18" s="70" t="str">
        <x:v>M5RG-0013</x:v>
      </x:c>
      <x:c r="B18" s="70" t="str">
        <x:v>M5C-002</x:v>
      </x:c>
      <x:c r="C18" s="70" t="str">
        <x:f>IFERROR(VLOOKUP(B18,'02_案例与预测'!$A$6:$E$65,5,FALSE),"")</x:f>
        <x:v>开发集</x:v>
      </x:c>
      <x:c r="D18" s="70" t="str">
        <x:v>RG05</x:v>
      </x:c>
      <x:c r="E18" s="70" t="str">
        <x:v>金钱、资源与劳动分配</x:v>
      </x:c>
      <x:c r="F18" s="70" t="str"/>
      <x:c r="G18" s="70" t="str"/>
      <x:c r="H18" s="70" t="str"/>
      <x:c r="I18" s="70" t="str"/>
      <x:c r="J18" s="70" t="str">
        <x:f>IF(OR(F18="",I18=""),"",IF(OR(I18="unknown",I18="not_assessed"),"不可评估",IF(F18=I18,"完全支持",IF(OR(AND(F18="pass",I18="conditional"),AND(F18="conditional",I18="pass")),"部分支持","反例"))))</x:f>
      </x:c>
      <x:c r="K18" s="70" t="str"/>
      <x:c r="L18" s="70" t="str"/>
      <x:c r="M18" s="70" t="str"/>
      <x:c r="N18" s="70" t="str"/>
      <x:c r="O18" s="70" t="str"/>
      <x:c r="P18" s="70" t="str"/>
    </x:row>
    <x:row r="19">
      <x:c r="A19" s="70" t="str">
        <x:v>M5RG-0014</x:v>
      </x:c>
      <x:c r="B19" s="70" t="str">
        <x:v>M5C-002</x:v>
      </x:c>
      <x:c r="C19" s="70" t="str">
        <x:f>IFERROR(VLOOKUP(B19,'02_案例与预测'!$A$6:$E$65,5,FALSE),"")</x:f>
        <x:v>开发集</x:v>
      </x:c>
      <x:c r="D19" s="70" t="str">
        <x:v>RG06</x:v>
      </x:c>
      <x:c r="E19" s="70" t="str">
        <x:v>家庭、婚育与照护责任</x:v>
      </x:c>
      <x:c r="F19" s="70" t="str"/>
      <x:c r="G19" s="70" t="str"/>
      <x:c r="H19" s="70" t="str"/>
      <x:c r="I19" s="70" t="str"/>
      <x:c r="J19" s="70" t="str">
        <x:f>IF(OR(F19="",I19=""),"",IF(OR(I19="unknown",I19="not_assessed"),"不可评估",IF(F19=I19,"完全支持",IF(OR(AND(F19="pass",I19="conditional"),AND(F19="conditional",I19="pass")),"部分支持","反例"))))</x:f>
      </x:c>
      <x:c r="K19" s="70" t="str"/>
      <x:c r="L19" s="70" t="str"/>
      <x:c r="M19" s="70" t="str"/>
      <x:c r="N19" s="70" t="str"/>
      <x:c r="O19" s="70" t="str"/>
      <x:c r="P19" s="70" t="str"/>
    </x:row>
    <x:row r="20">
      <x:c r="A20" s="70" t="str">
        <x:v>M5RG-0015</x:v>
      </x:c>
      <x:c r="B20" s="70" t="str">
        <x:v>M5C-002</x:v>
      </x:c>
      <x:c r="C20" s="70" t="str">
        <x:f>IFERROR(VLOOKUP(B20,'02_案例与预测'!$A$6:$E$65,5,FALSE),"")</x:f>
        <x:v>开发集</x:v>
      </x:c>
      <x:c r="D20" s="70" t="str">
        <x:v>RG07</x:v>
      </x:c>
      <x:c r="E20" s="70" t="str">
        <x:v>身体、亲密、隐私与健康</x:v>
      </x:c>
      <x:c r="F20" s="70" t="str"/>
      <x:c r="G20" s="70" t="str"/>
      <x:c r="H20" s="70" t="str"/>
      <x:c r="I20" s="70" t="str"/>
      <x:c r="J20" s="70" t="str">
        <x:f>IF(OR(F20="",I20=""),"",IF(OR(I20="unknown",I20="not_assessed"),"不可评估",IF(F20=I20,"完全支持",IF(OR(AND(F20="pass",I20="conditional"),AND(F20="conditional",I20="pass")),"部分支持","反例"))))</x:f>
      </x:c>
      <x:c r="K20" s="70" t="str"/>
      <x:c r="L20" s="70" t="str"/>
      <x:c r="M20" s="70" t="str"/>
      <x:c r="N20" s="70" t="str"/>
      <x:c r="O20" s="70" t="str"/>
      <x:c r="P20" s="70" t="str"/>
    </x:row>
    <x:row r="21">
      <x:c r="A21" s="70" t="str">
        <x:v>M5RG-0016</x:v>
      </x:c>
      <x:c r="B21" s="70" t="str">
        <x:v>M5C-002</x:v>
      </x:c>
      <x:c r="C21" s="70" t="str">
        <x:f>IFERROR(VLOOKUP(B21,'02_案例与预测'!$A$6:$E$65,5,FALSE),"")</x:f>
        <x:v>开发集</x:v>
      </x:c>
      <x:c r="D21" s="70" t="str">
        <x:v>RG08</x:v>
      </x:c>
      <x:c r="E21" s="70" t="str">
        <x:v>冲突、修复与学习意愿</x:v>
      </x:c>
      <x:c r="F21" s="70" t="str"/>
      <x:c r="G21" s="70" t="str"/>
      <x:c r="H21" s="70" t="str"/>
      <x:c r="I21" s="70" t="str"/>
      <x:c r="J21" s="70" t="str">
        <x:f>IF(OR(F21="",I21=""),"",IF(OR(I21="unknown",I21="not_assessed"),"不可评估",IF(F21=I21,"完全支持",IF(OR(AND(F21="pass",I21="conditional"),AND(F21="conditional",I21="pass")),"部分支持","反例"))))</x:f>
      </x:c>
      <x:c r="K21" s="70" t="str"/>
      <x:c r="L21" s="70" t="str"/>
      <x:c r="M21" s="70" t="str"/>
      <x:c r="N21" s="70" t="str"/>
      <x:c r="O21" s="70" t="str"/>
      <x:c r="P21" s="70" t="str"/>
    </x:row>
    <x:row r="22">
      <x:c r="A22" s="70" t="str">
        <x:v>M5RG-0017</x:v>
      </x:c>
      <x:c r="B22" s="70" t="str">
        <x:v>M5C-003</x:v>
      </x:c>
      <x:c r="C22" s="70" t="str">
        <x:f>IFERROR(VLOOKUP(B22,'02_案例与预测'!$A$6:$E$65,5,FALSE),"")</x:f>
        <x:v>开发集</x:v>
      </x:c>
      <x:c r="D22" s="70" t="str">
        <x:v>RG01</x:v>
      </x:c>
      <x:c r="E22" s="70" t="str">
        <x:v>安全、同意与尊重</x:v>
      </x:c>
      <x:c r="F22" s="70" t="str"/>
      <x:c r="G22" s="70" t="str"/>
      <x:c r="H22" s="70" t="str"/>
      <x:c r="I22" s="70" t="str"/>
      <x:c r="J22" s="70" t="str">
        <x:f>IF(OR(F22="",I22=""),"",IF(OR(I22="unknown",I22="not_assessed"),"不可评估",IF(F22=I22,"完全支持",IF(OR(AND(F22="pass",I22="conditional"),AND(F22="conditional",I22="pass")),"部分支持","反例"))))</x:f>
      </x:c>
      <x:c r="K22" s="70" t="str"/>
      <x:c r="L22" s="70" t="str"/>
      <x:c r="M22" s="70" t="str"/>
      <x:c r="N22" s="70" t="str"/>
      <x:c r="O22" s="70" t="str"/>
      <x:c r="P22" s="70" t="str"/>
    </x:row>
    <x:row r="23">
      <x:c r="A23" s="70" t="str">
        <x:v>M5RG-0018</x:v>
      </x:c>
      <x:c r="B23" s="70" t="str">
        <x:v>M5C-003</x:v>
      </x:c>
      <x:c r="C23" s="70" t="str">
        <x:f>IFERROR(VLOOKUP(B23,'02_案例与预测'!$A$6:$E$65,5,FALSE),"")</x:f>
        <x:v>开发集</x:v>
      </x:c>
      <x:c r="D23" s="70" t="str">
        <x:v>RG02</x:v>
      </x:c>
      <x:c r="E23" s="70" t="str">
        <x:v>关系意图与承诺</x:v>
      </x:c>
      <x:c r="F23" s="70" t="str"/>
      <x:c r="G23" s="70" t="str"/>
      <x:c r="H23" s="70" t="str"/>
      <x:c r="I23" s="70" t="str"/>
      <x:c r="J23" s="70" t="str">
        <x:f>IF(OR(F23="",I23=""),"",IF(OR(I23="unknown",I23="not_assessed"),"不可评估",IF(F23=I23,"完全支持",IF(OR(AND(F23="pass",I23="conditional"),AND(F23="conditional",I23="pass")),"部分支持","反例"))))</x:f>
      </x:c>
      <x:c r="K23" s="70" t="str"/>
      <x:c r="L23" s="70" t="str"/>
      <x:c r="M23" s="70" t="str"/>
      <x:c r="N23" s="70" t="str"/>
      <x:c r="O23" s="70" t="str"/>
      <x:c r="P23" s="70" t="str"/>
    </x:row>
    <x:row r="24">
      <x:c r="A24" s="70" t="str">
        <x:v>M5RG-0019</x:v>
      </x:c>
      <x:c r="B24" s="70" t="str">
        <x:v>M5C-003</x:v>
      </x:c>
      <x:c r="C24" s="70" t="str">
        <x:f>IFERROR(VLOOKUP(B24,'02_案例与预测'!$A$6:$E$65,5,FALSE),"")</x:f>
        <x:v>开发集</x:v>
      </x:c>
      <x:c r="D24" s="70" t="str">
        <x:v>RG03</x:v>
      </x:c>
      <x:c r="E24" s="70" t="str">
        <x:v>价值观与人生目标</x:v>
      </x:c>
      <x:c r="F24" s="70" t="str"/>
      <x:c r="G24" s="70" t="str"/>
      <x:c r="H24" s="70" t="str"/>
      <x:c r="I24" s="70" t="str"/>
      <x:c r="J24" s="70" t="str">
        <x:f>IF(OR(F24="",I24=""),"",IF(OR(I24="unknown",I24="not_assessed"),"不可评估",IF(F24=I24,"完全支持",IF(OR(AND(F24="pass",I24="conditional"),AND(F24="conditional",I24="pass")),"部分支持","反例"))))</x:f>
      </x:c>
      <x:c r="K24" s="70" t="str"/>
      <x:c r="L24" s="70" t="str"/>
      <x:c r="M24" s="70" t="str"/>
      <x:c r="N24" s="70" t="str"/>
      <x:c r="O24" s="70" t="str"/>
      <x:c r="P24" s="70" t="str"/>
    </x:row>
    <x:row r="25">
      <x:c r="A25" s="70" t="str">
        <x:v>M5RG-0020</x:v>
      </x:c>
      <x:c r="B25" s="70" t="str">
        <x:v>M5C-003</x:v>
      </x:c>
      <x:c r="C25" s="70" t="str">
        <x:f>IFERROR(VLOOKUP(B25,'02_案例与预测'!$A$6:$E$65,5,FALSE),"")</x:f>
        <x:v>开发集</x:v>
      </x:c>
      <x:c r="D25" s="70" t="str">
        <x:v>RG04</x:v>
      </x:c>
      <x:c r="E25" s="70" t="str">
        <x:v>时间、地域与生活节奏</x:v>
      </x:c>
      <x:c r="F25" s="70" t="str"/>
      <x:c r="G25" s="70" t="str"/>
      <x:c r="H25" s="70" t="str"/>
      <x:c r="I25" s="70" t="str"/>
      <x:c r="J25" s="70" t="str">
        <x:f>IF(OR(F25="",I25=""),"",IF(OR(I25="unknown",I25="not_assessed"),"不可评估",IF(F25=I25,"完全支持",IF(OR(AND(F25="pass",I25="conditional"),AND(F25="conditional",I25="pass")),"部分支持","反例"))))</x:f>
      </x:c>
      <x:c r="K25" s="70" t="str"/>
      <x:c r="L25" s="70" t="str"/>
      <x:c r="M25" s="70" t="str"/>
      <x:c r="N25" s="70" t="str"/>
      <x:c r="O25" s="70" t="str"/>
      <x:c r="P25" s="70" t="str"/>
    </x:row>
    <x:row r="26">
      <x:c r="A26" s="70" t="str">
        <x:v>M5RG-0021</x:v>
      </x:c>
      <x:c r="B26" s="70" t="str">
        <x:v>M5C-003</x:v>
      </x:c>
      <x:c r="C26" s="70" t="str">
        <x:f>IFERROR(VLOOKUP(B26,'02_案例与预测'!$A$6:$E$65,5,FALSE),"")</x:f>
        <x:v>开发集</x:v>
      </x:c>
      <x:c r="D26" s="70" t="str">
        <x:v>RG05</x:v>
      </x:c>
      <x:c r="E26" s="70" t="str">
        <x:v>金钱、资源与劳动分配</x:v>
      </x:c>
      <x:c r="F26" s="70" t="str"/>
      <x:c r="G26" s="70" t="str"/>
      <x:c r="H26" s="70" t="str"/>
      <x:c r="I26" s="70" t="str"/>
      <x:c r="J26" s="70" t="str">
        <x:f>IF(OR(F26="",I26=""),"",IF(OR(I26="unknown",I26="not_assessed"),"不可评估",IF(F26=I26,"完全支持",IF(OR(AND(F26="pass",I26="conditional"),AND(F26="conditional",I26="pass")),"部分支持","反例"))))</x:f>
      </x:c>
      <x:c r="K26" s="70" t="str"/>
      <x:c r="L26" s="70" t="str"/>
      <x:c r="M26" s="70" t="str"/>
      <x:c r="N26" s="70" t="str"/>
      <x:c r="O26" s="70" t="str"/>
      <x:c r="P26" s="70" t="str"/>
    </x:row>
    <x:row r="27">
      <x:c r="A27" s="70" t="str">
        <x:v>M5RG-0022</x:v>
      </x:c>
      <x:c r="B27" s="70" t="str">
        <x:v>M5C-003</x:v>
      </x:c>
      <x:c r="C27" s="70" t="str">
        <x:f>IFERROR(VLOOKUP(B27,'02_案例与预测'!$A$6:$E$65,5,FALSE),"")</x:f>
        <x:v>开发集</x:v>
      </x:c>
      <x:c r="D27" s="70" t="str">
        <x:v>RG06</x:v>
      </x:c>
      <x:c r="E27" s="70" t="str">
        <x:v>家庭、婚育与照护责任</x:v>
      </x:c>
      <x:c r="F27" s="70" t="str"/>
      <x:c r="G27" s="70" t="str"/>
      <x:c r="H27" s="70" t="str"/>
      <x:c r="I27" s="70" t="str"/>
      <x:c r="J27" s="70" t="str">
        <x:f>IF(OR(F27="",I27=""),"",IF(OR(I27="unknown",I27="not_assessed"),"不可评估",IF(F27=I27,"完全支持",IF(OR(AND(F27="pass",I27="conditional"),AND(F27="conditional",I27="pass")),"部分支持","反例"))))</x:f>
      </x:c>
      <x:c r="K27" s="70" t="str"/>
      <x:c r="L27" s="70" t="str"/>
      <x:c r="M27" s="70" t="str"/>
      <x:c r="N27" s="70" t="str"/>
      <x:c r="O27" s="70" t="str"/>
      <x:c r="P27" s="70" t="str"/>
    </x:row>
    <x:row r="28">
      <x:c r="A28" s="70" t="str">
        <x:v>M5RG-0023</x:v>
      </x:c>
      <x:c r="B28" s="70" t="str">
        <x:v>M5C-003</x:v>
      </x:c>
      <x:c r="C28" s="70" t="str">
        <x:f>IFERROR(VLOOKUP(B28,'02_案例与预测'!$A$6:$E$65,5,FALSE),"")</x:f>
        <x:v>开发集</x:v>
      </x:c>
      <x:c r="D28" s="70" t="str">
        <x:v>RG07</x:v>
      </x:c>
      <x:c r="E28" s="70" t="str">
        <x:v>身体、亲密、隐私与健康</x:v>
      </x:c>
      <x:c r="F28" s="70" t="str"/>
      <x:c r="G28" s="70" t="str"/>
      <x:c r="H28" s="70" t="str"/>
      <x:c r="I28" s="70" t="str"/>
      <x:c r="J28" s="70" t="str">
        <x:f>IF(OR(F28="",I28=""),"",IF(OR(I28="unknown",I28="not_assessed"),"不可评估",IF(F28=I28,"完全支持",IF(OR(AND(F28="pass",I28="conditional"),AND(F28="conditional",I28="pass")),"部分支持","反例"))))</x:f>
      </x:c>
      <x:c r="K28" s="70" t="str"/>
      <x:c r="L28" s="70" t="str"/>
      <x:c r="M28" s="70" t="str"/>
      <x:c r="N28" s="70" t="str"/>
      <x:c r="O28" s="70" t="str"/>
      <x:c r="P28" s="70" t="str"/>
    </x:row>
    <x:row r="29">
      <x:c r="A29" s="70" t="str">
        <x:v>M5RG-0024</x:v>
      </x:c>
      <x:c r="B29" s="70" t="str">
        <x:v>M5C-003</x:v>
      </x:c>
      <x:c r="C29" s="70" t="str">
        <x:f>IFERROR(VLOOKUP(B29,'02_案例与预测'!$A$6:$E$65,5,FALSE),"")</x:f>
        <x:v>开发集</x:v>
      </x:c>
      <x:c r="D29" s="70" t="str">
        <x:v>RG08</x:v>
      </x:c>
      <x:c r="E29" s="70" t="str">
        <x:v>冲突、修复与学习意愿</x:v>
      </x:c>
      <x:c r="F29" s="70" t="str"/>
      <x:c r="G29" s="70" t="str"/>
      <x:c r="H29" s="70" t="str"/>
      <x:c r="I29" s="70" t="str"/>
      <x:c r="J29" s="70" t="str">
        <x:f>IF(OR(F29="",I29=""),"",IF(OR(I29="unknown",I29="not_assessed"),"不可评估",IF(F29=I29,"完全支持",IF(OR(AND(F29="pass",I29="conditional"),AND(F29="conditional",I29="pass")),"部分支持","反例"))))</x:f>
      </x:c>
      <x:c r="K29" s="70" t="str"/>
      <x:c r="L29" s="70" t="str"/>
      <x:c r="M29" s="70" t="str"/>
      <x:c r="N29" s="70" t="str"/>
      <x:c r="O29" s="70" t="str"/>
      <x:c r="P29" s="70" t="str"/>
    </x:row>
    <x:row r="30">
      <x:c r="A30" s="70" t="str">
        <x:v>M5RG-0025</x:v>
      </x:c>
      <x:c r="B30" s="70" t="str">
        <x:v>M5C-004</x:v>
      </x:c>
      <x:c r="C30" s="70" t="str">
        <x:f>IFERROR(VLOOKUP(B30,'02_案例与预测'!$A$6:$E$65,5,FALSE),"")</x:f>
        <x:v>开发集</x:v>
      </x:c>
      <x:c r="D30" s="70" t="str">
        <x:v>RG01</x:v>
      </x:c>
      <x:c r="E30" s="70" t="str">
        <x:v>安全、同意与尊重</x:v>
      </x:c>
      <x:c r="F30" s="70" t="str"/>
      <x:c r="G30" s="70" t="str"/>
      <x:c r="H30" s="70" t="str"/>
      <x:c r="I30" s="70" t="str"/>
      <x:c r="J30" s="70" t="str">
        <x:f>IF(OR(F30="",I30=""),"",IF(OR(I30="unknown",I30="not_assessed"),"不可评估",IF(F30=I30,"完全支持",IF(OR(AND(F30="pass",I30="conditional"),AND(F30="conditional",I30="pass")),"部分支持","反例"))))</x:f>
      </x:c>
      <x:c r="K30" s="70" t="str"/>
      <x:c r="L30" s="70" t="str"/>
      <x:c r="M30" s="70" t="str"/>
      <x:c r="N30" s="70" t="str"/>
      <x:c r="O30" s="70" t="str"/>
      <x:c r="P30" s="70" t="str"/>
    </x:row>
    <x:row r="31">
      <x:c r="A31" s="70" t="str">
        <x:v>M5RG-0026</x:v>
      </x:c>
      <x:c r="B31" s="70" t="str">
        <x:v>M5C-004</x:v>
      </x:c>
      <x:c r="C31" s="70" t="str">
        <x:f>IFERROR(VLOOKUP(B31,'02_案例与预测'!$A$6:$E$65,5,FALSE),"")</x:f>
        <x:v>开发集</x:v>
      </x:c>
      <x:c r="D31" s="70" t="str">
        <x:v>RG02</x:v>
      </x:c>
      <x:c r="E31" s="70" t="str">
        <x:v>关系意图与承诺</x:v>
      </x:c>
      <x:c r="F31" s="70" t="str"/>
      <x:c r="G31" s="70" t="str"/>
      <x:c r="H31" s="70" t="str"/>
      <x:c r="I31" s="70" t="str"/>
      <x:c r="J31" s="70" t="str">
        <x:f>IF(OR(F31="",I31=""),"",IF(OR(I31="unknown",I31="not_assessed"),"不可评估",IF(F31=I31,"完全支持",IF(OR(AND(F31="pass",I31="conditional"),AND(F31="conditional",I31="pass")),"部分支持","反例"))))</x:f>
      </x:c>
      <x:c r="K31" s="70" t="str"/>
      <x:c r="L31" s="70" t="str"/>
      <x:c r="M31" s="70" t="str"/>
      <x:c r="N31" s="70" t="str"/>
      <x:c r="O31" s="70" t="str"/>
      <x:c r="P31" s="70" t="str"/>
    </x:row>
    <x:row r="32">
      <x:c r="A32" s="70" t="str">
        <x:v>M5RG-0027</x:v>
      </x:c>
      <x:c r="B32" s="70" t="str">
        <x:v>M5C-004</x:v>
      </x:c>
      <x:c r="C32" s="70" t="str">
        <x:f>IFERROR(VLOOKUP(B32,'02_案例与预测'!$A$6:$E$65,5,FALSE),"")</x:f>
        <x:v>开发集</x:v>
      </x:c>
      <x:c r="D32" s="70" t="str">
        <x:v>RG03</x:v>
      </x:c>
      <x:c r="E32" s="70" t="str">
        <x:v>价值观与人生目标</x:v>
      </x:c>
      <x:c r="F32" s="70" t="str"/>
      <x:c r="G32" s="70" t="str"/>
      <x:c r="H32" s="70" t="str"/>
      <x:c r="I32" s="70" t="str"/>
      <x:c r="J32" s="70" t="str">
        <x:f>IF(OR(F32="",I32=""),"",IF(OR(I32="unknown",I32="not_assessed"),"不可评估",IF(F32=I32,"完全支持",IF(OR(AND(F32="pass",I32="conditional"),AND(F32="conditional",I32="pass")),"部分支持","反例"))))</x:f>
      </x:c>
      <x:c r="K32" s="70" t="str"/>
      <x:c r="L32" s="70" t="str"/>
      <x:c r="M32" s="70" t="str"/>
      <x:c r="N32" s="70" t="str"/>
      <x:c r="O32" s="70" t="str"/>
      <x:c r="P32" s="70" t="str"/>
    </x:row>
    <x:row r="33">
      <x:c r="A33" s="70" t="str">
        <x:v>M5RG-0028</x:v>
      </x:c>
      <x:c r="B33" s="70" t="str">
        <x:v>M5C-004</x:v>
      </x:c>
      <x:c r="C33" s="70" t="str">
        <x:f>IFERROR(VLOOKUP(B33,'02_案例与预测'!$A$6:$E$65,5,FALSE),"")</x:f>
        <x:v>开发集</x:v>
      </x:c>
      <x:c r="D33" s="70" t="str">
        <x:v>RG04</x:v>
      </x:c>
      <x:c r="E33" s="70" t="str">
        <x:v>时间、地域与生活节奏</x:v>
      </x:c>
      <x:c r="F33" s="70" t="str"/>
      <x:c r="G33" s="70" t="str"/>
      <x:c r="H33" s="70" t="str"/>
      <x:c r="I33" s="70" t="str"/>
      <x:c r="J33" s="70" t="str">
        <x:f>IF(OR(F33="",I33=""),"",IF(OR(I33="unknown",I33="not_assessed"),"不可评估",IF(F33=I33,"完全支持",IF(OR(AND(F33="pass",I33="conditional"),AND(F33="conditional",I33="pass")),"部分支持","反例"))))</x:f>
      </x:c>
      <x:c r="K33" s="70" t="str"/>
      <x:c r="L33" s="70" t="str"/>
      <x:c r="M33" s="70" t="str"/>
      <x:c r="N33" s="70" t="str"/>
      <x:c r="O33" s="70" t="str"/>
      <x:c r="P33" s="70" t="str"/>
    </x:row>
    <x:row r="34">
      <x:c r="A34" s="70" t="str">
        <x:v>M5RG-0029</x:v>
      </x:c>
      <x:c r="B34" s="70" t="str">
        <x:v>M5C-004</x:v>
      </x:c>
      <x:c r="C34" s="70" t="str">
        <x:f>IFERROR(VLOOKUP(B34,'02_案例与预测'!$A$6:$E$65,5,FALSE),"")</x:f>
        <x:v>开发集</x:v>
      </x:c>
      <x:c r="D34" s="70" t="str">
        <x:v>RG05</x:v>
      </x:c>
      <x:c r="E34" s="70" t="str">
        <x:v>金钱、资源与劳动分配</x:v>
      </x:c>
      <x:c r="F34" s="70" t="str"/>
      <x:c r="G34" s="70" t="str"/>
      <x:c r="H34" s="70" t="str"/>
      <x:c r="I34" s="70" t="str"/>
      <x:c r="J34" s="70" t="str">
        <x:f>IF(OR(F34="",I34=""),"",IF(OR(I34="unknown",I34="not_assessed"),"不可评估",IF(F34=I34,"完全支持",IF(OR(AND(F34="pass",I34="conditional"),AND(F34="conditional",I34="pass")),"部分支持","反例"))))</x:f>
      </x:c>
      <x:c r="K34" s="70" t="str"/>
      <x:c r="L34" s="70" t="str"/>
      <x:c r="M34" s="70" t="str"/>
      <x:c r="N34" s="70" t="str"/>
      <x:c r="O34" s="70" t="str"/>
      <x:c r="P34" s="70" t="str"/>
    </x:row>
    <x:row r="35">
      <x:c r="A35" s="70" t="str">
        <x:v>M5RG-0030</x:v>
      </x:c>
      <x:c r="B35" s="70" t="str">
        <x:v>M5C-004</x:v>
      </x:c>
      <x:c r="C35" s="70" t="str">
        <x:f>IFERROR(VLOOKUP(B35,'02_案例与预测'!$A$6:$E$65,5,FALSE),"")</x:f>
        <x:v>开发集</x:v>
      </x:c>
      <x:c r="D35" s="70" t="str">
        <x:v>RG06</x:v>
      </x:c>
      <x:c r="E35" s="70" t="str">
        <x:v>家庭、婚育与照护责任</x:v>
      </x:c>
      <x:c r="F35" s="70" t="str"/>
      <x:c r="G35" s="70" t="str"/>
      <x:c r="H35" s="70" t="str"/>
      <x:c r="I35" s="70" t="str"/>
      <x:c r="J35" s="70" t="str">
        <x:f>IF(OR(F35="",I35=""),"",IF(OR(I35="unknown",I35="not_assessed"),"不可评估",IF(F35=I35,"完全支持",IF(OR(AND(F35="pass",I35="conditional"),AND(F35="conditional",I35="pass")),"部分支持","反例"))))</x:f>
      </x:c>
      <x:c r="K35" s="70" t="str"/>
      <x:c r="L35" s="70" t="str"/>
      <x:c r="M35" s="70" t="str"/>
      <x:c r="N35" s="70" t="str"/>
      <x:c r="O35" s="70" t="str"/>
      <x:c r="P35" s="70" t="str"/>
    </x:row>
    <x:row r="36">
      <x:c r="A36" s="70" t="str">
        <x:v>M5RG-0031</x:v>
      </x:c>
      <x:c r="B36" s="70" t="str">
        <x:v>M5C-004</x:v>
      </x:c>
      <x:c r="C36" s="70" t="str">
        <x:f>IFERROR(VLOOKUP(B36,'02_案例与预测'!$A$6:$E$65,5,FALSE),"")</x:f>
        <x:v>开发集</x:v>
      </x:c>
      <x:c r="D36" s="70" t="str">
        <x:v>RG07</x:v>
      </x:c>
      <x:c r="E36" s="70" t="str">
        <x:v>身体、亲密、隐私与健康</x:v>
      </x:c>
      <x:c r="F36" s="70" t="str"/>
      <x:c r="G36" s="70" t="str"/>
      <x:c r="H36" s="70" t="str"/>
      <x:c r="I36" s="70" t="str"/>
      <x:c r="J36" s="70" t="str">
        <x:f>IF(OR(F36="",I36=""),"",IF(OR(I36="unknown",I36="not_assessed"),"不可评估",IF(F36=I36,"完全支持",IF(OR(AND(F36="pass",I36="conditional"),AND(F36="conditional",I36="pass")),"部分支持","反例"))))</x:f>
      </x:c>
      <x:c r="K36" s="70" t="str"/>
      <x:c r="L36" s="70" t="str"/>
      <x:c r="M36" s="70" t="str"/>
      <x:c r="N36" s="70" t="str"/>
      <x:c r="O36" s="70" t="str"/>
      <x:c r="P36" s="70" t="str"/>
    </x:row>
    <x:row r="37">
      <x:c r="A37" s="70" t="str">
        <x:v>M5RG-0032</x:v>
      </x:c>
      <x:c r="B37" s="70" t="str">
        <x:v>M5C-004</x:v>
      </x:c>
      <x:c r="C37" s="70" t="str">
        <x:f>IFERROR(VLOOKUP(B37,'02_案例与预测'!$A$6:$E$65,5,FALSE),"")</x:f>
        <x:v>开发集</x:v>
      </x:c>
      <x:c r="D37" s="70" t="str">
        <x:v>RG08</x:v>
      </x:c>
      <x:c r="E37" s="70" t="str">
        <x:v>冲突、修复与学习意愿</x:v>
      </x:c>
      <x:c r="F37" s="70" t="str"/>
      <x:c r="G37" s="70" t="str"/>
      <x:c r="H37" s="70" t="str"/>
      <x:c r="I37" s="70" t="str"/>
      <x:c r="J37" s="70" t="str">
        <x:f>IF(OR(F37="",I37=""),"",IF(OR(I37="unknown",I37="not_assessed"),"不可评估",IF(F37=I37,"完全支持",IF(OR(AND(F37="pass",I37="conditional"),AND(F37="conditional",I37="pass")),"部分支持","反例"))))</x:f>
      </x:c>
      <x:c r="K37" s="70" t="str"/>
      <x:c r="L37" s="70" t="str"/>
      <x:c r="M37" s="70" t="str"/>
      <x:c r="N37" s="70" t="str"/>
      <x:c r="O37" s="70" t="str"/>
      <x:c r="P37" s="70" t="str"/>
    </x:row>
    <x:row r="38">
      <x:c r="A38" s="70" t="str">
        <x:v>M5RG-0033</x:v>
      </x:c>
      <x:c r="B38" s="70" t="str">
        <x:v>M5C-005</x:v>
      </x:c>
      <x:c r="C38" s="70" t="str">
        <x:f>IFERROR(VLOOKUP(B38,'02_案例与预测'!$A$6:$E$65,5,FALSE),"")</x:f>
        <x:v>开发集</x:v>
      </x:c>
      <x:c r="D38" s="70" t="str">
        <x:v>RG01</x:v>
      </x:c>
      <x:c r="E38" s="70" t="str">
        <x:v>安全、同意与尊重</x:v>
      </x:c>
      <x:c r="F38" s="70" t="str"/>
      <x:c r="G38" s="70" t="str"/>
      <x:c r="H38" s="70" t="str"/>
      <x:c r="I38" s="70" t="str"/>
      <x:c r="J38" s="70" t="str">
        <x:f>IF(OR(F38="",I38=""),"",IF(OR(I38="unknown",I38="not_assessed"),"不可评估",IF(F38=I38,"完全支持",IF(OR(AND(F38="pass",I38="conditional"),AND(F38="conditional",I38="pass")),"部分支持","反例"))))</x:f>
      </x:c>
      <x:c r="K38" s="70" t="str"/>
      <x:c r="L38" s="70" t="str"/>
      <x:c r="M38" s="70" t="str"/>
      <x:c r="N38" s="70" t="str"/>
      <x:c r="O38" s="70" t="str"/>
      <x:c r="P38" s="70" t="str"/>
    </x:row>
    <x:row r="39">
      <x:c r="A39" s="70" t="str">
        <x:v>M5RG-0034</x:v>
      </x:c>
      <x:c r="B39" s="70" t="str">
        <x:v>M5C-005</x:v>
      </x:c>
      <x:c r="C39" s="70" t="str">
        <x:f>IFERROR(VLOOKUP(B39,'02_案例与预测'!$A$6:$E$65,5,FALSE),"")</x:f>
        <x:v>开发集</x:v>
      </x:c>
      <x:c r="D39" s="70" t="str">
        <x:v>RG02</x:v>
      </x:c>
      <x:c r="E39" s="70" t="str">
        <x:v>关系意图与承诺</x:v>
      </x:c>
      <x:c r="F39" s="70" t="str"/>
      <x:c r="G39" s="70" t="str"/>
      <x:c r="H39" s="70" t="str"/>
      <x:c r="I39" s="70" t="str"/>
      <x:c r="J39" s="70" t="str">
        <x:f>IF(OR(F39="",I39=""),"",IF(OR(I39="unknown",I39="not_assessed"),"不可评估",IF(F39=I39,"完全支持",IF(OR(AND(F39="pass",I39="conditional"),AND(F39="conditional",I39="pass")),"部分支持","反例"))))</x:f>
      </x:c>
      <x:c r="K39" s="70" t="str"/>
      <x:c r="L39" s="70" t="str"/>
      <x:c r="M39" s="70" t="str"/>
      <x:c r="N39" s="70" t="str"/>
      <x:c r="O39" s="70" t="str"/>
      <x:c r="P39" s="70" t="str"/>
    </x:row>
    <x:row r="40">
      <x:c r="A40" s="70" t="str">
        <x:v>M5RG-0035</x:v>
      </x:c>
      <x:c r="B40" s="70" t="str">
        <x:v>M5C-005</x:v>
      </x:c>
      <x:c r="C40" s="70" t="str">
        <x:f>IFERROR(VLOOKUP(B40,'02_案例与预测'!$A$6:$E$65,5,FALSE),"")</x:f>
        <x:v>开发集</x:v>
      </x:c>
      <x:c r="D40" s="70" t="str">
        <x:v>RG03</x:v>
      </x:c>
      <x:c r="E40" s="70" t="str">
        <x:v>价值观与人生目标</x:v>
      </x:c>
      <x:c r="F40" s="70" t="str"/>
      <x:c r="G40" s="70" t="str"/>
      <x:c r="H40" s="70" t="str"/>
      <x:c r="I40" s="70" t="str"/>
      <x:c r="J40" s="70" t="str">
        <x:f>IF(OR(F40="",I40=""),"",IF(OR(I40="unknown",I40="not_assessed"),"不可评估",IF(F40=I40,"完全支持",IF(OR(AND(F40="pass",I40="conditional"),AND(F40="conditional",I40="pass")),"部分支持","反例"))))</x:f>
      </x:c>
      <x:c r="K40" s="70" t="str"/>
      <x:c r="L40" s="70" t="str"/>
      <x:c r="M40" s="70" t="str"/>
      <x:c r="N40" s="70" t="str"/>
      <x:c r="O40" s="70" t="str"/>
      <x:c r="P40" s="70" t="str"/>
    </x:row>
    <x:row r="41">
      <x:c r="A41" s="70" t="str">
        <x:v>M5RG-0036</x:v>
      </x:c>
      <x:c r="B41" s="70" t="str">
        <x:v>M5C-005</x:v>
      </x:c>
      <x:c r="C41" s="70" t="str">
        <x:f>IFERROR(VLOOKUP(B41,'02_案例与预测'!$A$6:$E$65,5,FALSE),"")</x:f>
        <x:v>开发集</x:v>
      </x:c>
      <x:c r="D41" s="70" t="str">
        <x:v>RG04</x:v>
      </x:c>
      <x:c r="E41" s="70" t="str">
        <x:v>时间、地域与生活节奏</x:v>
      </x:c>
      <x:c r="F41" s="70" t="str"/>
      <x:c r="G41" s="70" t="str"/>
      <x:c r="H41" s="70" t="str"/>
      <x:c r="I41" s="70" t="str"/>
      <x:c r="J41" s="70" t="str">
        <x:f>IF(OR(F41="",I41=""),"",IF(OR(I41="unknown",I41="not_assessed"),"不可评估",IF(F41=I41,"完全支持",IF(OR(AND(F41="pass",I41="conditional"),AND(F41="conditional",I41="pass")),"部分支持","反例"))))</x:f>
      </x:c>
      <x:c r="K41" s="70" t="str"/>
      <x:c r="L41" s="70" t="str"/>
      <x:c r="M41" s="70" t="str"/>
      <x:c r="N41" s="70" t="str"/>
      <x:c r="O41" s="70" t="str"/>
      <x:c r="P41" s="70" t="str"/>
    </x:row>
    <x:row r="42">
      <x:c r="A42" s="70" t="str">
        <x:v>M5RG-0037</x:v>
      </x:c>
      <x:c r="B42" s="70" t="str">
        <x:v>M5C-005</x:v>
      </x:c>
      <x:c r="C42" s="70" t="str">
        <x:f>IFERROR(VLOOKUP(B42,'02_案例与预测'!$A$6:$E$65,5,FALSE),"")</x:f>
        <x:v>开发集</x:v>
      </x:c>
      <x:c r="D42" s="70" t="str">
        <x:v>RG05</x:v>
      </x:c>
      <x:c r="E42" s="70" t="str">
        <x:v>金钱、资源与劳动分配</x:v>
      </x:c>
      <x:c r="F42" s="70" t="str"/>
      <x:c r="G42" s="70" t="str"/>
      <x:c r="H42" s="70" t="str"/>
      <x:c r="I42" s="70" t="str"/>
      <x:c r="J42" s="70" t="str">
        <x:f>IF(OR(F42="",I42=""),"",IF(OR(I42="unknown",I42="not_assessed"),"不可评估",IF(F42=I42,"完全支持",IF(OR(AND(F42="pass",I42="conditional"),AND(F42="conditional",I42="pass")),"部分支持","反例"))))</x:f>
      </x:c>
      <x:c r="K42" s="70" t="str"/>
      <x:c r="L42" s="70" t="str"/>
      <x:c r="M42" s="70" t="str"/>
      <x:c r="N42" s="70" t="str"/>
      <x:c r="O42" s="70" t="str"/>
      <x:c r="P42" s="70" t="str"/>
    </x:row>
    <x:row r="43">
      <x:c r="A43" s="70" t="str">
        <x:v>M5RG-0038</x:v>
      </x:c>
      <x:c r="B43" s="70" t="str">
        <x:v>M5C-005</x:v>
      </x:c>
      <x:c r="C43" s="70" t="str">
        <x:f>IFERROR(VLOOKUP(B43,'02_案例与预测'!$A$6:$E$65,5,FALSE),"")</x:f>
        <x:v>开发集</x:v>
      </x:c>
      <x:c r="D43" s="70" t="str">
        <x:v>RG06</x:v>
      </x:c>
      <x:c r="E43" s="70" t="str">
        <x:v>家庭、婚育与照护责任</x:v>
      </x:c>
      <x:c r="F43" s="70" t="str"/>
      <x:c r="G43" s="70" t="str"/>
      <x:c r="H43" s="70" t="str"/>
      <x:c r="I43" s="70" t="str"/>
      <x:c r="J43" s="70" t="str">
        <x:f>IF(OR(F43="",I43=""),"",IF(OR(I43="unknown",I43="not_assessed"),"不可评估",IF(F43=I43,"完全支持",IF(OR(AND(F43="pass",I43="conditional"),AND(F43="conditional",I43="pass")),"部分支持","反例"))))</x:f>
      </x:c>
      <x:c r="K43" s="70" t="str"/>
      <x:c r="L43" s="70" t="str"/>
      <x:c r="M43" s="70" t="str"/>
      <x:c r="N43" s="70" t="str"/>
      <x:c r="O43" s="70" t="str"/>
      <x:c r="P43" s="70" t="str"/>
    </x:row>
    <x:row r="44">
      <x:c r="A44" s="70" t="str">
        <x:v>M5RG-0039</x:v>
      </x:c>
      <x:c r="B44" s="70" t="str">
        <x:v>M5C-005</x:v>
      </x:c>
      <x:c r="C44" s="70" t="str">
        <x:f>IFERROR(VLOOKUP(B44,'02_案例与预测'!$A$6:$E$65,5,FALSE),"")</x:f>
        <x:v>开发集</x:v>
      </x:c>
      <x:c r="D44" s="70" t="str">
        <x:v>RG07</x:v>
      </x:c>
      <x:c r="E44" s="70" t="str">
        <x:v>身体、亲密、隐私与健康</x:v>
      </x:c>
      <x:c r="F44" s="70" t="str"/>
      <x:c r="G44" s="70" t="str"/>
      <x:c r="H44" s="70" t="str"/>
      <x:c r="I44" s="70" t="str"/>
      <x:c r="J44" s="70" t="str">
        <x:f>IF(OR(F44="",I44=""),"",IF(OR(I44="unknown",I44="not_assessed"),"不可评估",IF(F44=I44,"完全支持",IF(OR(AND(F44="pass",I44="conditional"),AND(F44="conditional",I44="pass")),"部分支持","反例"))))</x:f>
      </x:c>
      <x:c r="K44" s="70" t="str"/>
      <x:c r="L44" s="70" t="str"/>
      <x:c r="M44" s="70" t="str"/>
      <x:c r="N44" s="70" t="str"/>
      <x:c r="O44" s="70" t="str"/>
      <x:c r="P44" s="70" t="str"/>
    </x:row>
    <x:row r="45">
      <x:c r="A45" s="70" t="str">
        <x:v>M5RG-0040</x:v>
      </x:c>
      <x:c r="B45" s="70" t="str">
        <x:v>M5C-005</x:v>
      </x:c>
      <x:c r="C45" s="70" t="str">
        <x:f>IFERROR(VLOOKUP(B45,'02_案例与预测'!$A$6:$E$65,5,FALSE),"")</x:f>
        <x:v>开发集</x:v>
      </x:c>
      <x:c r="D45" s="70" t="str">
        <x:v>RG08</x:v>
      </x:c>
      <x:c r="E45" s="70" t="str">
        <x:v>冲突、修复与学习意愿</x:v>
      </x:c>
      <x:c r="F45" s="70" t="str"/>
      <x:c r="G45" s="70" t="str"/>
      <x:c r="H45" s="70" t="str"/>
      <x:c r="I45" s="70" t="str"/>
      <x:c r="J45" s="70" t="str">
        <x:f>IF(OR(F45="",I45=""),"",IF(OR(I45="unknown",I45="not_assessed"),"不可评估",IF(F45=I45,"完全支持",IF(OR(AND(F45="pass",I45="conditional"),AND(F45="conditional",I45="pass")),"部分支持","反例"))))</x:f>
      </x:c>
      <x:c r="K45" s="70" t="str"/>
      <x:c r="L45" s="70" t="str"/>
      <x:c r="M45" s="70" t="str"/>
      <x:c r="N45" s="70" t="str"/>
      <x:c r="O45" s="70" t="str"/>
      <x:c r="P45" s="70" t="str"/>
    </x:row>
    <x:row r="46">
      <x:c r="A46" s="70" t="str">
        <x:v>M5RG-0041</x:v>
      </x:c>
      <x:c r="B46" s="70" t="str">
        <x:v>M5C-006</x:v>
      </x:c>
      <x:c r="C46" s="70" t="str">
        <x:f>IFERROR(VLOOKUP(B46,'02_案例与预测'!$A$6:$E$65,5,FALSE),"")</x:f>
        <x:v>开发集</x:v>
      </x:c>
      <x:c r="D46" s="70" t="str">
        <x:v>RG01</x:v>
      </x:c>
      <x:c r="E46" s="70" t="str">
        <x:v>安全、同意与尊重</x:v>
      </x:c>
      <x:c r="F46" s="70" t="str"/>
      <x:c r="G46" s="70" t="str"/>
      <x:c r="H46" s="70" t="str"/>
      <x:c r="I46" s="70" t="str"/>
      <x:c r="J46" s="70" t="str">
        <x:f>IF(OR(F46="",I46=""),"",IF(OR(I46="unknown",I46="not_assessed"),"不可评估",IF(F46=I46,"完全支持",IF(OR(AND(F46="pass",I46="conditional"),AND(F46="conditional",I46="pass")),"部分支持","反例"))))</x:f>
      </x:c>
      <x:c r="K46" s="70" t="str"/>
      <x:c r="L46" s="70" t="str"/>
      <x:c r="M46" s="70" t="str"/>
      <x:c r="N46" s="70" t="str"/>
      <x:c r="O46" s="70" t="str"/>
      <x:c r="P46" s="70" t="str"/>
    </x:row>
    <x:row r="47">
      <x:c r="A47" s="70" t="str">
        <x:v>M5RG-0042</x:v>
      </x:c>
      <x:c r="B47" s="70" t="str">
        <x:v>M5C-006</x:v>
      </x:c>
      <x:c r="C47" s="70" t="str">
        <x:f>IFERROR(VLOOKUP(B47,'02_案例与预测'!$A$6:$E$65,5,FALSE),"")</x:f>
        <x:v>开发集</x:v>
      </x:c>
      <x:c r="D47" s="70" t="str">
        <x:v>RG02</x:v>
      </x:c>
      <x:c r="E47" s="70" t="str">
        <x:v>关系意图与承诺</x:v>
      </x:c>
      <x:c r="F47" s="70" t="str"/>
      <x:c r="G47" s="70" t="str"/>
      <x:c r="H47" s="70" t="str"/>
      <x:c r="I47" s="70" t="str"/>
      <x:c r="J47" s="70" t="str">
        <x:f>IF(OR(F47="",I47=""),"",IF(OR(I47="unknown",I47="not_assessed"),"不可评估",IF(F47=I47,"完全支持",IF(OR(AND(F47="pass",I47="conditional"),AND(F47="conditional",I47="pass")),"部分支持","反例"))))</x:f>
      </x:c>
      <x:c r="K47" s="70" t="str"/>
      <x:c r="L47" s="70" t="str"/>
      <x:c r="M47" s="70" t="str"/>
      <x:c r="N47" s="70" t="str"/>
      <x:c r="O47" s="70" t="str"/>
      <x:c r="P47" s="70" t="str"/>
    </x:row>
    <x:row r="48">
      <x:c r="A48" s="70" t="str">
        <x:v>M5RG-0043</x:v>
      </x:c>
      <x:c r="B48" s="70" t="str">
        <x:v>M5C-006</x:v>
      </x:c>
      <x:c r="C48" s="70" t="str">
        <x:f>IFERROR(VLOOKUP(B48,'02_案例与预测'!$A$6:$E$65,5,FALSE),"")</x:f>
        <x:v>开发集</x:v>
      </x:c>
      <x:c r="D48" s="70" t="str">
        <x:v>RG03</x:v>
      </x:c>
      <x:c r="E48" s="70" t="str">
        <x:v>价值观与人生目标</x:v>
      </x:c>
      <x:c r="F48" s="70" t="str"/>
      <x:c r="G48" s="70" t="str"/>
      <x:c r="H48" s="70" t="str"/>
      <x:c r="I48" s="70" t="str"/>
      <x:c r="J48" s="70" t="str">
        <x:f>IF(OR(F48="",I48=""),"",IF(OR(I48="unknown",I48="not_assessed"),"不可评估",IF(F48=I48,"完全支持",IF(OR(AND(F48="pass",I48="conditional"),AND(F48="conditional",I48="pass")),"部分支持","反例"))))</x:f>
      </x:c>
      <x:c r="K48" s="70" t="str"/>
      <x:c r="L48" s="70" t="str"/>
      <x:c r="M48" s="70" t="str"/>
      <x:c r="N48" s="70" t="str"/>
      <x:c r="O48" s="70" t="str"/>
      <x:c r="P48" s="70" t="str"/>
    </x:row>
    <x:row r="49">
      <x:c r="A49" s="70" t="str">
        <x:v>M5RG-0044</x:v>
      </x:c>
      <x:c r="B49" s="70" t="str">
        <x:v>M5C-006</x:v>
      </x:c>
      <x:c r="C49" s="70" t="str">
        <x:f>IFERROR(VLOOKUP(B49,'02_案例与预测'!$A$6:$E$65,5,FALSE),"")</x:f>
        <x:v>开发集</x:v>
      </x:c>
      <x:c r="D49" s="70" t="str">
        <x:v>RG04</x:v>
      </x:c>
      <x:c r="E49" s="70" t="str">
        <x:v>时间、地域与生活节奏</x:v>
      </x:c>
      <x:c r="F49" s="70" t="str"/>
      <x:c r="G49" s="70" t="str"/>
      <x:c r="H49" s="70" t="str"/>
      <x:c r="I49" s="70" t="str"/>
      <x:c r="J49" s="70" t="str">
        <x:f>IF(OR(F49="",I49=""),"",IF(OR(I49="unknown",I49="not_assessed"),"不可评估",IF(F49=I49,"完全支持",IF(OR(AND(F49="pass",I49="conditional"),AND(F49="conditional",I49="pass")),"部分支持","反例"))))</x:f>
      </x:c>
      <x:c r="K49" s="70" t="str"/>
      <x:c r="L49" s="70" t="str"/>
      <x:c r="M49" s="70" t="str"/>
      <x:c r="N49" s="70" t="str"/>
      <x:c r="O49" s="70" t="str"/>
      <x:c r="P49" s="70" t="str"/>
    </x:row>
    <x:row r="50">
      <x:c r="A50" s="70" t="str">
        <x:v>M5RG-0045</x:v>
      </x:c>
      <x:c r="B50" s="70" t="str">
        <x:v>M5C-006</x:v>
      </x:c>
      <x:c r="C50" s="70" t="str">
        <x:f>IFERROR(VLOOKUP(B50,'02_案例与预测'!$A$6:$E$65,5,FALSE),"")</x:f>
        <x:v>开发集</x:v>
      </x:c>
      <x:c r="D50" s="70" t="str">
        <x:v>RG05</x:v>
      </x:c>
      <x:c r="E50" s="70" t="str">
        <x:v>金钱、资源与劳动分配</x:v>
      </x:c>
      <x:c r="F50" s="70" t="str"/>
      <x:c r="G50" s="70" t="str"/>
      <x:c r="H50" s="70" t="str"/>
      <x:c r="I50" s="70" t="str"/>
      <x:c r="J50" s="70" t="str">
        <x:f>IF(OR(F50="",I50=""),"",IF(OR(I50="unknown",I50="not_assessed"),"不可评估",IF(F50=I50,"完全支持",IF(OR(AND(F50="pass",I50="conditional"),AND(F50="conditional",I50="pass")),"部分支持","反例"))))</x:f>
      </x:c>
      <x:c r="K50" s="70" t="str"/>
      <x:c r="L50" s="70" t="str"/>
      <x:c r="M50" s="70" t="str"/>
      <x:c r="N50" s="70" t="str"/>
      <x:c r="O50" s="70" t="str"/>
      <x:c r="P50" s="70" t="str"/>
    </x:row>
    <x:row r="51">
      <x:c r="A51" s="70" t="str">
        <x:v>M5RG-0046</x:v>
      </x:c>
      <x:c r="B51" s="70" t="str">
        <x:v>M5C-006</x:v>
      </x:c>
      <x:c r="C51" s="70" t="str">
        <x:f>IFERROR(VLOOKUP(B51,'02_案例与预测'!$A$6:$E$65,5,FALSE),"")</x:f>
        <x:v>开发集</x:v>
      </x:c>
      <x:c r="D51" s="70" t="str">
        <x:v>RG06</x:v>
      </x:c>
      <x:c r="E51" s="70" t="str">
        <x:v>家庭、婚育与照护责任</x:v>
      </x:c>
      <x:c r="F51" s="70" t="str"/>
      <x:c r="G51" s="70" t="str"/>
      <x:c r="H51" s="70" t="str"/>
      <x:c r="I51" s="70" t="str"/>
      <x:c r="J51" s="70" t="str">
        <x:f>IF(OR(F51="",I51=""),"",IF(OR(I51="unknown",I51="not_assessed"),"不可评估",IF(F51=I51,"完全支持",IF(OR(AND(F51="pass",I51="conditional"),AND(F51="conditional",I51="pass")),"部分支持","反例"))))</x:f>
      </x:c>
      <x:c r="K51" s="70" t="str"/>
      <x:c r="L51" s="70" t="str"/>
      <x:c r="M51" s="70" t="str"/>
      <x:c r="N51" s="70" t="str"/>
      <x:c r="O51" s="70" t="str"/>
      <x:c r="P51" s="70" t="str"/>
    </x:row>
    <x:row r="52">
      <x:c r="A52" s="70" t="str">
        <x:v>M5RG-0047</x:v>
      </x:c>
      <x:c r="B52" s="70" t="str">
        <x:v>M5C-006</x:v>
      </x:c>
      <x:c r="C52" s="70" t="str">
        <x:f>IFERROR(VLOOKUP(B52,'02_案例与预测'!$A$6:$E$65,5,FALSE),"")</x:f>
        <x:v>开发集</x:v>
      </x:c>
      <x:c r="D52" s="70" t="str">
        <x:v>RG07</x:v>
      </x:c>
      <x:c r="E52" s="70" t="str">
        <x:v>身体、亲密、隐私与健康</x:v>
      </x:c>
      <x:c r="F52" s="70" t="str"/>
      <x:c r="G52" s="70" t="str"/>
      <x:c r="H52" s="70" t="str"/>
      <x:c r="I52" s="70" t="str"/>
      <x:c r="J52" s="70" t="str">
        <x:f>IF(OR(F52="",I52=""),"",IF(OR(I52="unknown",I52="not_assessed"),"不可评估",IF(F52=I52,"完全支持",IF(OR(AND(F52="pass",I52="conditional"),AND(F52="conditional",I52="pass")),"部分支持","反例"))))</x:f>
      </x:c>
      <x:c r="K52" s="70" t="str"/>
      <x:c r="L52" s="70" t="str"/>
      <x:c r="M52" s="70" t="str"/>
      <x:c r="N52" s="70" t="str"/>
      <x:c r="O52" s="70" t="str"/>
      <x:c r="P52" s="70" t="str"/>
    </x:row>
    <x:row r="53">
      <x:c r="A53" s="70" t="str">
        <x:v>M5RG-0048</x:v>
      </x:c>
      <x:c r="B53" s="70" t="str">
        <x:v>M5C-006</x:v>
      </x:c>
      <x:c r="C53" s="70" t="str">
        <x:f>IFERROR(VLOOKUP(B53,'02_案例与预测'!$A$6:$E$65,5,FALSE),"")</x:f>
        <x:v>开发集</x:v>
      </x:c>
      <x:c r="D53" s="70" t="str">
        <x:v>RG08</x:v>
      </x:c>
      <x:c r="E53" s="70" t="str">
        <x:v>冲突、修复与学习意愿</x:v>
      </x:c>
      <x:c r="F53" s="70" t="str"/>
      <x:c r="G53" s="70" t="str"/>
      <x:c r="H53" s="70" t="str"/>
      <x:c r="I53" s="70" t="str"/>
      <x:c r="J53" s="70" t="str">
        <x:f>IF(OR(F53="",I53=""),"",IF(OR(I53="unknown",I53="not_assessed"),"不可评估",IF(F53=I53,"完全支持",IF(OR(AND(F53="pass",I53="conditional"),AND(F53="conditional",I53="pass")),"部分支持","反例"))))</x:f>
      </x:c>
      <x:c r="K53" s="70" t="str"/>
      <x:c r="L53" s="70" t="str"/>
      <x:c r="M53" s="70" t="str"/>
      <x:c r="N53" s="70" t="str"/>
      <x:c r="O53" s="70" t="str"/>
      <x:c r="P53" s="70" t="str"/>
    </x:row>
    <x:row r="54">
      <x:c r="A54" s="70" t="str">
        <x:v>M5RG-0049</x:v>
      </x:c>
      <x:c r="B54" s="70" t="str">
        <x:v>M5C-007</x:v>
      </x:c>
      <x:c r="C54" s="70" t="str">
        <x:f>IFERROR(VLOOKUP(B54,'02_案例与预测'!$A$6:$E$65,5,FALSE),"")</x:f>
        <x:v>开发集</x:v>
      </x:c>
      <x:c r="D54" s="70" t="str">
        <x:v>RG01</x:v>
      </x:c>
      <x:c r="E54" s="70" t="str">
        <x:v>安全、同意与尊重</x:v>
      </x:c>
      <x:c r="F54" s="70" t="str"/>
      <x:c r="G54" s="70" t="str"/>
      <x:c r="H54" s="70" t="str"/>
      <x:c r="I54" s="70" t="str"/>
      <x:c r="J54" s="70" t="str">
        <x:f>IF(OR(F54="",I54=""),"",IF(OR(I54="unknown",I54="not_assessed"),"不可评估",IF(F54=I54,"完全支持",IF(OR(AND(F54="pass",I54="conditional"),AND(F54="conditional",I54="pass")),"部分支持","反例"))))</x:f>
      </x:c>
      <x:c r="K54" s="70" t="str"/>
      <x:c r="L54" s="70" t="str"/>
      <x:c r="M54" s="70" t="str"/>
      <x:c r="N54" s="70" t="str"/>
      <x:c r="O54" s="70" t="str"/>
      <x:c r="P54" s="70" t="str"/>
    </x:row>
    <x:row r="55">
      <x:c r="A55" s="70" t="str">
        <x:v>M5RG-0050</x:v>
      </x:c>
      <x:c r="B55" s="70" t="str">
        <x:v>M5C-007</x:v>
      </x:c>
      <x:c r="C55" s="70" t="str">
        <x:f>IFERROR(VLOOKUP(B55,'02_案例与预测'!$A$6:$E$65,5,FALSE),"")</x:f>
        <x:v>开发集</x:v>
      </x:c>
      <x:c r="D55" s="70" t="str">
        <x:v>RG02</x:v>
      </x:c>
      <x:c r="E55" s="70" t="str">
        <x:v>关系意图与承诺</x:v>
      </x:c>
      <x:c r="F55" s="70" t="str"/>
      <x:c r="G55" s="70" t="str"/>
      <x:c r="H55" s="70" t="str"/>
      <x:c r="I55" s="70" t="str"/>
      <x:c r="J55" s="70" t="str">
        <x:f>IF(OR(F55="",I55=""),"",IF(OR(I55="unknown",I55="not_assessed"),"不可评估",IF(F55=I55,"完全支持",IF(OR(AND(F55="pass",I55="conditional"),AND(F55="conditional",I55="pass")),"部分支持","反例"))))</x:f>
      </x:c>
      <x:c r="K55" s="70" t="str"/>
      <x:c r="L55" s="70" t="str"/>
      <x:c r="M55" s="70" t="str"/>
      <x:c r="N55" s="70" t="str"/>
      <x:c r="O55" s="70" t="str"/>
      <x:c r="P55" s="70" t="str"/>
    </x:row>
    <x:row r="56">
      <x:c r="A56" s="70" t="str">
        <x:v>M5RG-0051</x:v>
      </x:c>
      <x:c r="B56" s="70" t="str">
        <x:v>M5C-007</x:v>
      </x:c>
      <x:c r="C56" s="70" t="str">
        <x:f>IFERROR(VLOOKUP(B56,'02_案例与预测'!$A$6:$E$65,5,FALSE),"")</x:f>
        <x:v>开发集</x:v>
      </x:c>
      <x:c r="D56" s="70" t="str">
        <x:v>RG03</x:v>
      </x:c>
      <x:c r="E56" s="70" t="str">
        <x:v>价值观与人生目标</x:v>
      </x:c>
      <x:c r="F56" s="70" t="str"/>
      <x:c r="G56" s="70" t="str"/>
      <x:c r="H56" s="70" t="str"/>
      <x:c r="I56" s="70" t="str"/>
      <x:c r="J56" s="70" t="str">
        <x:f>IF(OR(F56="",I56=""),"",IF(OR(I56="unknown",I56="not_assessed"),"不可评估",IF(F56=I56,"完全支持",IF(OR(AND(F56="pass",I56="conditional"),AND(F56="conditional",I56="pass")),"部分支持","反例"))))</x:f>
      </x:c>
      <x:c r="K56" s="70" t="str"/>
      <x:c r="L56" s="70" t="str"/>
      <x:c r="M56" s="70" t="str"/>
      <x:c r="N56" s="70" t="str"/>
      <x:c r="O56" s="70" t="str"/>
      <x:c r="P56" s="70" t="str"/>
    </x:row>
    <x:row r="57">
      <x:c r="A57" s="70" t="str">
        <x:v>M5RG-0052</x:v>
      </x:c>
      <x:c r="B57" s="70" t="str">
        <x:v>M5C-007</x:v>
      </x:c>
      <x:c r="C57" s="70" t="str">
        <x:f>IFERROR(VLOOKUP(B57,'02_案例与预测'!$A$6:$E$65,5,FALSE),"")</x:f>
        <x:v>开发集</x:v>
      </x:c>
      <x:c r="D57" s="70" t="str">
        <x:v>RG04</x:v>
      </x:c>
      <x:c r="E57" s="70" t="str">
        <x:v>时间、地域与生活节奏</x:v>
      </x:c>
      <x:c r="F57" s="70" t="str"/>
      <x:c r="G57" s="70" t="str"/>
      <x:c r="H57" s="70" t="str"/>
      <x:c r="I57" s="70" t="str"/>
      <x:c r="J57" s="70" t="str">
        <x:f>IF(OR(F57="",I57=""),"",IF(OR(I57="unknown",I57="not_assessed"),"不可评估",IF(F57=I57,"完全支持",IF(OR(AND(F57="pass",I57="conditional"),AND(F57="conditional",I57="pass")),"部分支持","反例"))))</x:f>
      </x:c>
      <x:c r="K57" s="70" t="str"/>
      <x:c r="L57" s="70" t="str"/>
      <x:c r="M57" s="70" t="str"/>
      <x:c r="N57" s="70" t="str"/>
      <x:c r="O57" s="70" t="str"/>
      <x:c r="P57" s="70" t="str"/>
    </x:row>
    <x:row r="58">
      <x:c r="A58" s="70" t="str">
        <x:v>M5RG-0053</x:v>
      </x:c>
      <x:c r="B58" s="70" t="str">
        <x:v>M5C-007</x:v>
      </x:c>
      <x:c r="C58" s="70" t="str">
        <x:f>IFERROR(VLOOKUP(B58,'02_案例与预测'!$A$6:$E$65,5,FALSE),"")</x:f>
        <x:v>开发集</x:v>
      </x:c>
      <x:c r="D58" s="70" t="str">
        <x:v>RG05</x:v>
      </x:c>
      <x:c r="E58" s="70" t="str">
        <x:v>金钱、资源与劳动分配</x:v>
      </x:c>
      <x:c r="F58" s="70" t="str"/>
      <x:c r="G58" s="70" t="str"/>
      <x:c r="H58" s="70" t="str"/>
      <x:c r="I58" s="70" t="str"/>
      <x:c r="J58" s="70" t="str">
        <x:f>IF(OR(F58="",I58=""),"",IF(OR(I58="unknown",I58="not_assessed"),"不可评估",IF(F58=I58,"完全支持",IF(OR(AND(F58="pass",I58="conditional"),AND(F58="conditional",I58="pass")),"部分支持","反例"))))</x:f>
      </x:c>
      <x:c r="K58" s="70" t="str"/>
      <x:c r="L58" s="70" t="str"/>
      <x:c r="M58" s="70" t="str"/>
      <x:c r="N58" s="70" t="str"/>
      <x:c r="O58" s="70" t="str"/>
      <x:c r="P58" s="70" t="str"/>
    </x:row>
    <x:row r="59">
      <x:c r="A59" s="70" t="str">
        <x:v>M5RG-0054</x:v>
      </x:c>
      <x:c r="B59" s="70" t="str">
        <x:v>M5C-007</x:v>
      </x:c>
      <x:c r="C59" s="70" t="str">
        <x:f>IFERROR(VLOOKUP(B59,'02_案例与预测'!$A$6:$E$65,5,FALSE),"")</x:f>
        <x:v>开发集</x:v>
      </x:c>
      <x:c r="D59" s="70" t="str">
        <x:v>RG06</x:v>
      </x:c>
      <x:c r="E59" s="70" t="str">
        <x:v>家庭、婚育与照护责任</x:v>
      </x:c>
      <x:c r="F59" s="70" t="str"/>
      <x:c r="G59" s="70" t="str"/>
      <x:c r="H59" s="70" t="str"/>
      <x:c r="I59" s="70" t="str"/>
      <x:c r="J59" s="70" t="str">
        <x:f>IF(OR(F59="",I59=""),"",IF(OR(I59="unknown",I59="not_assessed"),"不可评估",IF(F59=I59,"完全支持",IF(OR(AND(F59="pass",I59="conditional"),AND(F59="conditional",I59="pass")),"部分支持","反例"))))</x:f>
      </x:c>
      <x:c r="K59" s="70" t="str"/>
      <x:c r="L59" s="70" t="str"/>
      <x:c r="M59" s="70" t="str"/>
      <x:c r="N59" s="70" t="str"/>
      <x:c r="O59" s="70" t="str"/>
      <x:c r="P59" s="70" t="str"/>
    </x:row>
    <x:row r="60">
      <x:c r="A60" s="70" t="str">
        <x:v>M5RG-0055</x:v>
      </x:c>
      <x:c r="B60" s="70" t="str">
        <x:v>M5C-007</x:v>
      </x:c>
      <x:c r="C60" s="70" t="str">
        <x:f>IFERROR(VLOOKUP(B60,'02_案例与预测'!$A$6:$E$65,5,FALSE),"")</x:f>
        <x:v>开发集</x:v>
      </x:c>
      <x:c r="D60" s="70" t="str">
        <x:v>RG07</x:v>
      </x:c>
      <x:c r="E60" s="70" t="str">
        <x:v>身体、亲密、隐私与健康</x:v>
      </x:c>
      <x:c r="F60" s="70" t="str"/>
      <x:c r="G60" s="70" t="str"/>
      <x:c r="H60" s="70" t="str"/>
      <x:c r="I60" s="70" t="str"/>
      <x:c r="J60" s="70" t="str">
        <x:f>IF(OR(F60="",I60=""),"",IF(OR(I60="unknown",I60="not_assessed"),"不可评估",IF(F60=I60,"完全支持",IF(OR(AND(F60="pass",I60="conditional"),AND(F60="conditional",I60="pass")),"部分支持","反例"))))</x:f>
      </x:c>
      <x:c r="K60" s="70" t="str"/>
      <x:c r="L60" s="70" t="str"/>
      <x:c r="M60" s="70" t="str"/>
      <x:c r="N60" s="70" t="str"/>
      <x:c r="O60" s="70" t="str"/>
      <x:c r="P60" s="70" t="str"/>
    </x:row>
    <x:row r="61">
      <x:c r="A61" s="70" t="str">
        <x:v>M5RG-0056</x:v>
      </x:c>
      <x:c r="B61" s="70" t="str">
        <x:v>M5C-007</x:v>
      </x:c>
      <x:c r="C61" s="70" t="str">
        <x:f>IFERROR(VLOOKUP(B61,'02_案例与预测'!$A$6:$E$65,5,FALSE),"")</x:f>
        <x:v>开发集</x:v>
      </x:c>
      <x:c r="D61" s="70" t="str">
        <x:v>RG08</x:v>
      </x:c>
      <x:c r="E61" s="70" t="str">
        <x:v>冲突、修复与学习意愿</x:v>
      </x:c>
      <x:c r="F61" s="70" t="str"/>
      <x:c r="G61" s="70" t="str"/>
      <x:c r="H61" s="70" t="str"/>
      <x:c r="I61" s="70" t="str"/>
      <x:c r="J61" s="70" t="str">
        <x:f>IF(OR(F61="",I61=""),"",IF(OR(I61="unknown",I61="not_assessed"),"不可评估",IF(F61=I61,"完全支持",IF(OR(AND(F61="pass",I61="conditional"),AND(F61="conditional",I61="pass")),"部分支持","反例"))))</x:f>
      </x:c>
      <x:c r="K61" s="70" t="str"/>
      <x:c r="L61" s="70" t="str"/>
      <x:c r="M61" s="70" t="str"/>
      <x:c r="N61" s="70" t="str"/>
      <x:c r="O61" s="70" t="str"/>
      <x:c r="P61" s="70" t="str"/>
    </x:row>
    <x:row r="62">
      <x:c r="A62" s="70" t="str">
        <x:v>M5RG-0057</x:v>
      </x:c>
      <x:c r="B62" s="70" t="str">
        <x:v>M5C-008</x:v>
      </x:c>
      <x:c r="C62" s="70" t="str">
        <x:f>IFERROR(VLOOKUP(B62,'02_案例与预测'!$A$6:$E$65,5,FALSE),"")</x:f>
        <x:v>留出集</x:v>
      </x:c>
      <x:c r="D62" s="70" t="str">
        <x:v>RG01</x:v>
      </x:c>
      <x:c r="E62" s="70" t="str">
        <x:v>安全、同意与尊重</x:v>
      </x:c>
      <x:c r="F62" s="70" t="str"/>
      <x:c r="G62" s="70" t="str"/>
      <x:c r="H62" s="70" t="str"/>
      <x:c r="I62" s="70" t="str"/>
      <x:c r="J62" s="70" t="str">
        <x:f>IF(OR(F62="",I62=""),"",IF(OR(I62="unknown",I62="not_assessed"),"不可评估",IF(F62=I62,"完全支持",IF(OR(AND(F62="pass",I62="conditional"),AND(F62="conditional",I62="pass")),"部分支持","反例"))))</x:f>
      </x:c>
      <x:c r="K62" s="70" t="str"/>
      <x:c r="L62" s="70" t="str"/>
      <x:c r="M62" s="70" t="str"/>
      <x:c r="N62" s="70" t="str"/>
      <x:c r="O62" s="70" t="str"/>
      <x:c r="P62" s="70" t="str"/>
    </x:row>
    <x:row r="63">
      <x:c r="A63" s="70" t="str">
        <x:v>M5RG-0058</x:v>
      </x:c>
      <x:c r="B63" s="70" t="str">
        <x:v>M5C-008</x:v>
      </x:c>
      <x:c r="C63" s="70" t="str">
        <x:f>IFERROR(VLOOKUP(B63,'02_案例与预测'!$A$6:$E$65,5,FALSE),"")</x:f>
        <x:v>留出集</x:v>
      </x:c>
      <x:c r="D63" s="70" t="str">
        <x:v>RG02</x:v>
      </x:c>
      <x:c r="E63" s="70" t="str">
        <x:v>关系意图与承诺</x:v>
      </x:c>
      <x:c r="F63" s="70" t="str"/>
      <x:c r="G63" s="70" t="str"/>
      <x:c r="H63" s="70" t="str"/>
      <x:c r="I63" s="70" t="str"/>
      <x:c r="J63" s="70" t="str">
        <x:f>IF(OR(F63="",I63=""),"",IF(OR(I63="unknown",I63="not_assessed"),"不可评估",IF(F63=I63,"完全支持",IF(OR(AND(F63="pass",I63="conditional"),AND(F63="conditional",I63="pass")),"部分支持","反例"))))</x:f>
      </x:c>
      <x:c r="K63" s="70" t="str"/>
      <x:c r="L63" s="70" t="str"/>
      <x:c r="M63" s="70" t="str"/>
      <x:c r="N63" s="70" t="str"/>
      <x:c r="O63" s="70" t="str"/>
      <x:c r="P63" s="70" t="str"/>
    </x:row>
    <x:row r="64">
      <x:c r="A64" s="70" t="str">
        <x:v>M5RG-0059</x:v>
      </x:c>
      <x:c r="B64" s="70" t="str">
        <x:v>M5C-008</x:v>
      </x:c>
      <x:c r="C64" s="70" t="str">
        <x:f>IFERROR(VLOOKUP(B64,'02_案例与预测'!$A$6:$E$65,5,FALSE),"")</x:f>
        <x:v>留出集</x:v>
      </x:c>
      <x:c r="D64" s="70" t="str">
        <x:v>RG03</x:v>
      </x:c>
      <x:c r="E64" s="70" t="str">
        <x:v>价值观与人生目标</x:v>
      </x:c>
      <x:c r="F64" s="70" t="str"/>
      <x:c r="G64" s="70" t="str"/>
      <x:c r="H64" s="70" t="str"/>
      <x:c r="I64" s="70" t="str"/>
      <x:c r="J64" s="70" t="str">
        <x:f>IF(OR(F64="",I64=""),"",IF(OR(I64="unknown",I64="not_assessed"),"不可评估",IF(F64=I64,"完全支持",IF(OR(AND(F64="pass",I64="conditional"),AND(F64="conditional",I64="pass")),"部分支持","反例"))))</x:f>
      </x:c>
      <x:c r="K64" s="70" t="str"/>
      <x:c r="L64" s="70" t="str"/>
      <x:c r="M64" s="70" t="str"/>
      <x:c r="N64" s="70" t="str"/>
      <x:c r="O64" s="70" t="str"/>
      <x:c r="P64" s="70" t="str"/>
    </x:row>
    <x:row r="65">
      <x:c r="A65" s="70" t="str">
        <x:v>M5RG-0060</x:v>
      </x:c>
      <x:c r="B65" s="70" t="str">
        <x:v>M5C-008</x:v>
      </x:c>
      <x:c r="C65" s="70" t="str">
        <x:f>IFERROR(VLOOKUP(B65,'02_案例与预测'!$A$6:$E$65,5,FALSE),"")</x:f>
        <x:v>留出集</x:v>
      </x:c>
      <x:c r="D65" s="70" t="str">
        <x:v>RG04</x:v>
      </x:c>
      <x:c r="E65" s="70" t="str">
        <x:v>时间、地域与生活节奏</x:v>
      </x:c>
      <x:c r="F65" s="70" t="str"/>
      <x:c r="G65" s="70" t="str"/>
      <x:c r="H65" s="70" t="str"/>
      <x:c r="I65" s="70" t="str"/>
      <x:c r="J65" s="70" t="str">
        <x:f>IF(OR(F65="",I65=""),"",IF(OR(I65="unknown",I65="not_assessed"),"不可评估",IF(F65=I65,"完全支持",IF(OR(AND(F65="pass",I65="conditional"),AND(F65="conditional",I65="pass")),"部分支持","反例"))))</x:f>
      </x:c>
      <x:c r="K65" s="70" t="str"/>
      <x:c r="L65" s="70" t="str"/>
      <x:c r="M65" s="70" t="str"/>
      <x:c r="N65" s="70" t="str"/>
      <x:c r="O65" s="70" t="str"/>
      <x:c r="P65" s="70" t="str"/>
    </x:row>
    <x:row r="66">
      <x:c r="A66" s="70" t="str">
        <x:v>M5RG-0061</x:v>
      </x:c>
      <x:c r="B66" s="70" t="str">
        <x:v>M5C-008</x:v>
      </x:c>
      <x:c r="C66" s="70" t="str">
        <x:f>IFERROR(VLOOKUP(B66,'02_案例与预测'!$A$6:$E$65,5,FALSE),"")</x:f>
        <x:v>留出集</x:v>
      </x:c>
      <x:c r="D66" s="70" t="str">
        <x:v>RG05</x:v>
      </x:c>
      <x:c r="E66" s="70" t="str">
        <x:v>金钱、资源与劳动分配</x:v>
      </x:c>
      <x:c r="F66" s="70" t="str"/>
      <x:c r="G66" s="70" t="str"/>
      <x:c r="H66" s="70" t="str"/>
      <x:c r="I66" s="70" t="str"/>
      <x:c r="J66" s="70" t="str">
        <x:f>IF(OR(F66="",I66=""),"",IF(OR(I66="unknown",I66="not_assessed"),"不可评估",IF(F66=I66,"完全支持",IF(OR(AND(F66="pass",I66="conditional"),AND(F66="conditional",I66="pass")),"部分支持","反例"))))</x:f>
      </x:c>
      <x:c r="K66" s="70" t="str"/>
      <x:c r="L66" s="70" t="str"/>
      <x:c r="M66" s="70" t="str"/>
      <x:c r="N66" s="70" t="str"/>
      <x:c r="O66" s="70" t="str"/>
      <x:c r="P66" s="70" t="str"/>
    </x:row>
    <x:row r="67">
      <x:c r="A67" s="70" t="str">
        <x:v>M5RG-0062</x:v>
      </x:c>
      <x:c r="B67" s="70" t="str">
        <x:v>M5C-008</x:v>
      </x:c>
      <x:c r="C67" s="70" t="str">
        <x:f>IFERROR(VLOOKUP(B67,'02_案例与预测'!$A$6:$E$65,5,FALSE),"")</x:f>
        <x:v>留出集</x:v>
      </x:c>
      <x:c r="D67" s="70" t="str">
        <x:v>RG06</x:v>
      </x:c>
      <x:c r="E67" s="70" t="str">
        <x:v>家庭、婚育与照护责任</x:v>
      </x:c>
      <x:c r="F67" s="70" t="str"/>
      <x:c r="G67" s="70" t="str"/>
      <x:c r="H67" s="70" t="str"/>
      <x:c r="I67" s="70" t="str"/>
      <x:c r="J67" s="70" t="str">
        <x:f>IF(OR(F67="",I67=""),"",IF(OR(I67="unknown",I67="not_assessed"),"不可评估",IF(F67=I67,"完全支持",IF(OR(AND(F67="pass",I67="conditional"),AND(F67="conditional",I67="pass")),"部分支持","反例"))))</x:f>
      </x:c>
      <x:c r="K67" s="70" t="str"/>
      <x:c r="L67" s="70" t="str"/>
      <x:c r="M67" s="70" t="str"/>
      <x:c r="N67" s="70" t="str"/>
      <x:c r="O67" s="70" t="str"/>
      <x:c r="P67" s="70" t="str"/>
    </x:row>
    <x:row r="68">
      <x:c r="A68" s="70" t="str">
        <x:v>M5RG-0063</x:v>
      </x:c>
      <x:c r="B68" s="70" t="str">
        <x:v>M5C-008</x:v>
      </x:c>
      <x:c r="C68" s="70" t="str">
        <x:f>IFERROR(VLOOKUP(B68,'02_案例与预测'!$A$6:$E$65,5,FALSE),"")</x:f>
        <x:v>留出集</x:v>
      </x:c>
      <x:c r="D68" s="70" t="str">
        <x:v>RG07</x:v>
      </x:c>
      <x:c r="E68" s="70" t="str">
        <x:v>身体、亲密、隐私与健康</x:v>
      </x:c>
      <x:c r="F68" s="70" t="str"/>
      <x:c r="G68" s="70" t="str"/>
      <x:c r="H68" s="70" t="str"/>
      <x:c r="I68" s="70" t="str"/>
      <x:c r="J68" s="70" t="str">
        <x:f>IF(OR(F68="",I68=""),"",IF(OR(I68="unknown",I68="not_assessed"),"不可评估",IF(F68=I68,"完全支持",IF(OR(AND(F68="pass",I68="conditional"),AND(F68="conditional",I68="pass")),"部分支持","反例"))))</x:f>
      </x:c>
      <x:c r="K68" s="70" t="str"/>
      <x:c r="L68" s="70" t="str"/>
      <x:c r="M68" s="70" t="str"/>
      <x:c r="N68" s="70" t="str"/>
      <x:c r="O68" s="70" t="str"/>
      <x:c r="P68" s="70" t="str"/>
    </x:row>
    <x:row r="69">
      <x:c r="A69" s="70" t="str">
        <x:v>M5RG-0064</x:v>
      </x:c>
      <x:c r="B69" s="70" t="str">
        <x:v>M5C-008</x:v>
      </x:c>
      <x:c r="C69" s="70" t="str">
        <x:f>IFERROR(VLOOKUP(B69,'02_案例与预测'!$A$6:$E$65,5,FALSE),"")</x:f>
        <x:v>留出集</x:v>
      </x:c>
      <x:c r="D69" s="70" t="str">
        <x:v>RG08</x:v>
      </x:c>
      <x:c r="E69" s="70" t="str">
        <x:v>冲突、修复与学习意愿</x:v>
      </x:c>
      <x:c r="F69" s="70" t="str"/>
      <x:c r="G69" s="70" t="str"/>
      <x:c r="H69" s="70" t="str"/>
      <x:c r="I69" s="70" t="str"/>
      <x:c r="J69" s="70" t="str">
        <x:f>IF(OR(F69="",I69=""),"",IF(OR(I69="unknown",I69="not_assessed"),"不可评估",IF(F69=I69,"完全支持",IF(OR(AND(F69="pass",I69="conditional"),AND(F69="conditional",I69="pass")),"部分支持","反例"))))</x:f>
      </x:c>
      <x:c r="K69" s="70" t="str"/>
      <x:c r="L69" s="70" t="str"/>
      <x:c r="M69" s="70" t="str"/>
      <x:c r="N69" s="70" t="str"/>
      <x:c r="O69" s="70" t="str"/>
      <x:c r="P69" s="70" t="str"/>
    </x:row>
    <x:row r="70">
      <x:c r="A70" s="70" t="str">
        <x:v>M5RG-0065</x:v>
      </x:c>
      <x:c r="B70" s="70" t="str">
        <x:v>M5C-009</x:v>
      </x:c>
      <x:c r="C70" s="70" t="str">
        <x:f>IFERROR(VLOOKUP(B70,'02_案例与预测'!$A$6:$E$65,5,FALSE),"")</x:f>
        <x:v>留出集</x:v>
      </x:c>
      <x:c r="D70" s="70" t="str">
        <x:v>RG01</x:v>
      </x:c>
      <x:c r="E70" s="70" t="str">
        <x:v>安全、同意与尊重</x:v>
      </x:c>
      <x:c r="F70" s="70" t="str"/>
      <x:c r="G70" s="70" t="str"/>
      <x:c r="H70" s="70" t="str"/>
      <x:c r="I70" s="70" t="str"/>
      <x:c r="J70" s="70" t="str">
        <x:f>IF(OR(F70="",I70=""),"",IF(OR(I70="unknown",I70="not_assessed"),"不可评估",IF(F70=I70,"完全支持",IF(OR(AND(F70="pass",I70="conditional"),AND(F70="conditional",I70="pass")),"部分支持","反例"))))</x:f>
      </x:c>
      <x:c r="K70" s="70" t="str"/>
      <x:c r="L70" s="70" t="str"/>
      <x:c r="M70" s="70" t="str"/>
      <x:c r="N70" s="70" t="str"/>
      <x:c r="O70" s="70" t="str"/>
      <x:c r="P70" s="70" t="str"/>
    </x:row>
    <x:row r="71">
      <x:c r="A71" s="70" t="str">
        <x:v>M5RG-0066</x:v>
      </x:c>
      <x:c r="B71" s="70" t="str">
        <x:v>M5C-009</x:v>
      </x:c>
      <x:c r="C71" s="70" t="str">
        <x:f>IFERROR(VLOOKUP(B71,'02_案例与预测'!$A$6:$E$65,5,FALSE),"")</x:f>
        <x:v>留出集</x:v>
      </x:c>
      <x:c r="D71" s="70" t="str">
        <x:v>RG02</x:v>
      </x:c>
      <x:c r="E71" s="70" t="str">
        <x:v>关系意图与承诺</x:v>
      </x:c>
      <x:c r="F71" s="70" t="str"/>
      <x:c r="G71" s="70" t="str"/>
      <x:c r="H71" s="70" t="str"/>
      <x:c r="I71" s="70" t="str"/>
      <x:c r="J71" s="70" t="str">
        <x:f>IF(OR(F71="",I71=""),"",IF(OR(I71="unknown",I71="not_assessed"),"不可评估",IF(F71=I71,"完全支持",IF(OR(AND(F71="pass",I71="conditional"),AND(F71="conditional",I71="pass")),"部分支持","反例"))))</x:f>
      </x:c>
      <x:c r="K71" s="70" t="str"/>
      <x:c r="L71" s="70" t="str"/>
      <x:c r="M71" s="70" t="str"/>
      <x:c r="N71" s="70" t="str"/>
      <x:c r="O71" s="70" t="str"/>
      <x:c r="P71" s="70" t="str"/>
    </x:row>
    <x:row r="72">
      <x:c r="A72" s="70" t="str">
        <x:v>M5RG-0067</x:v>
      </x:c>
      <x:c r="B72" s="70" t="str">
        <x:v>M5C-009</x:v>
      </x:c>
      <x:c r="C72" s="70" t="str">
        <x:f>IFERROR(VLOOKUP(B72,'02_案例与预测'!$A$6:$E$65,5,FALSE),"")</x:f>
        <x:v>留出集</x:v>
      </x:c>
      <x:c r="D72" s="70" t="str">
        <x:v>RG03</x:v>
      </x:c>
      <x:c r="E72" s="70" t="str">
        <x:v>价值观与人生目标</x:v>
      </x:c>
      <x:c r="F72" s="70" t="str"/>
      <x:c r="G72" s="70" t="str"/>
      <x:c r="H72" s="70" t="str"/>
      <x:c r="I72" s="70" t="str"/>
      <x:c r="J72" s="70" t="str">
        <x:f>IF(OR(F72="",I72=""),"",IF(OR(I72="unknown",I72="not_assessed"),"不可评估",IF(F72=I72,"完全支持",IF(OR(AND(F72="pass",I72="conditional"),AND(F72="conditional",I72="pass")),"部分支持","反例"))))</x:f>
      </x:c>
      <x:c r="K72" s="70" t="str"/>
      <x:c r="L72" s="70" t="str"/>
      <x:c r="M72" s="70" t="str"/>
      <x:c r="N72" s="70" t="str"/>
      <x:c r="O72" s="70" t="str"/>
      <x:c r="P72" s="70" t="str"/>
    </x:row>
    <x:row r="73">
      <x:c r="A73" s="70" t="str">
        <x:v>M5RG-0068</x:v>
      </x:c>
      <x:c r="B73" s="70" t="str">
        <x:v>M5C-009</x:v>
      </x:c>
      <x:c r="C73" s="70" t="str">
        <x:f>IFERROR(VLOOKUP(B73,'02_案例与预测'!$A$6:$E$65,5,FALSE),"")</x:f>
        <x:v>留出集</x:v>
      </x:c>
      <x:c r="D73" s="70" t="str">
        <x:v>RG04</x:v>
      </x:c>
      <x:c r="E73" s="70" t="str">
        <x:v>时间、地域与生活节奏</x:v>
      </x:c>
      <x:c r="F73" s="70" t="str"/>
      <x:c r="G73" s="70" t="str"/>
      <x:c r="H73" s="70" t="str"/>
      <x:c r="I73" s="70" t="str"/>
      <x:c r="J73" s="70" t="str">
        <x:f>IF(OR(F73="",I73=""),"",IF(OR(I73="unknown",I73="not_assessed"),"不可评估",IF(F73=I73,"完全支持",IF(OR(AND(F73="pass",I73="conditional"),AND(F73="conditional",I73="pass")),"部分支持","反例"))))</x:f>
      </x:c>
      <x:c r="K73" s="70" t="str"/>
      <x:c r="L73" s="70" t="str"/>
      <x:c r="M73" s="70" t="str"/>
      <x:c r="N73" s="70" t="str"/>
      <x:c r="O73" s="70" t="str"/>
      <x:c r="P73" s="70" t="str"/>
    </x:row>
    <x:row r="74">
      <x:c r="A74" s="70" t="str">
        <x:v>M5RG-0069</x:v>
      </x:c>
      <x:c r="B74" s="70" t="str">
        <x:v>M5C-009</x:v>
      </x:c>
      <x:c r="C74" s="70" t="str">
        <x:f>IFERROR(VLOOKUP(B74,'02_案例与预测'!$A$6:$E$65,5,FALSE),"")</x:f>
        <x:v>留出集</x:v>
      </x:c>
      <x:c r="D74" s="70" t="str">
        <x:v>RG05</x:v>
      </x:c>
      <x:c r="E74" s="70" t="str">
        <x:v>金钱、资源与劳动分配</x:v>
      </x:c>
      <x:c r="F74" s="70" t="str"/>
      <x:c r="G74" s="70" t="str"/>
      <x:c r="H74" s="70" t="str"/>
      <x:c r="I74" s="70" t="str"/>
      <x:c r="J74" s="70" t="str">
        <x:f>IF(OR(F74="",I74=""),"",IF(OR(I74="unknown",I74="not_assessed"),"不可评估",IF(F74=I74,"完全支持",IF(OR(AND(F74="pass",I74="conditional"),AND(F74="conditional",I74="pass")),"部分支持","反例"))))</x:f>
      </x:c>
      <x:c r="K74" s="70" t="str"/>
      <x:c r="L74" s="70" t="str"/>
      <x:c r="M74" s="70" t="str"/>
      <x:c r="N74" s="70" t="str"/>
      <x:c r="O74" s="70" t="str"/>
      <x:c r="P74" s="70" t="str"/>
    </x:row>
    <x:row r="75">
      <x:c r="A75" s="70" t="str">
        <x:v>M5RG-0070</x:v>
      </x:c>
      <x:c r="B75" s="70" t="str">
        <x:v>M5C-009</x:v>
      </x:c>
      <x:c r="C75" s="70" t="str">
        <x:f>IFERROR(VLOOKUP(B75,'02_案例与预测'!$A$6:$E$65,5,FALSE),"")</x:f>
        <x:v>留出集</x:v>
      </x:c>
      <x:c r="D75" s="70" t="str">
        <x:v>RG06</x:v>
      </x:c>
      <x:c r="E75" s="70" t="str">
        <x:v>家庭、婚育与照护责任</x:v>
      </x:c>
      <x:c r="F75" s="70" t="str"/>
      <x:c r="G75" s="70" t="str"/>
      <x:c r="H75" s="70" t="str"/>
      <x:c r="I75" s="70" t="str"/>
      <x:c r="J75" s="70" t="str">
        <x:f>IF(OR(F75="",I75=""),"",IF(OR(I75="unknown",I75="not_assessed"),"不可评估",IF(F75=I75,"完全支持",IF(OR(AND(F75="pass",I75="conditional"),AND(F75="conditional",I75="pass")),"部分支持","反例"))))</x:f>
      </x:c>
      <x:c r="K75" s="70" t="str"/>
      <x:c r="L75" s="70" t="str"/>
      <x:c r="M75" s="70" t="str"/>
      <x:c r="N75" s="70" t="str"/>
      <x:c r="O75" s="70" t="str"/>
      <x:c r="P75" s="70" t="str"/>
    </x:row>
    <x:row r="76">
      <x:c r="A76" s="70" t="str">
        <x:v>M5RG-0071</x:v>
      </x:c>
      <x:c r="B76" s="70" t="str">
        <x:v>M5C-009</x:v>
      </x:c>
      <x:c r="C76" s="70" t="str">
        <x:f>IFERROR(VLOOKUP(B76,'02_案例与预测'!$A$6:$E$65,5,FALSE),"")</x:f>
        <x:v>留出集</x:v>
      </x:c>
      <x:c r="D76" s="70" t="str">
        <x:v>RG07</x:v>
      </x:c>
      <x:c r="E76" s="70" t="str">
        <x:v>身体、亲密、隐私与健康</x:v>
      </x:c>
      <x:c r="F76" s="70" t="str"/>
      <x:c r="G76" s="70" t="str"/>
      <x:c r="H76" s="70" t="str"/>
      <x:c r="I76" s="70" t="str"/>
      <x:c r="J76" s="70" t="str">
        <x:f>IF(OR(F76="",I76=""),"",IF(OR(I76="unknown",I76="not_assessed"),"不可评估",IF(F76=I76,"完全支持",IF(OR(AND(F76="pass",I76="conditional"),AND(F76="conditional",I76="pass")),"部分支持","反例"))))</x:f>
      </x:c>
      <x:c r="K76" s="70" t="str"/>
      <x:c r="L76" s="70" t="str"/>
      <x:c r="M76" s="70" t="str"/>
      <x:c r="N76" s="70" t="str"/>
      <x:c r="O76" s="70" t="str"/>
      <x:c r="P76" s="70" t="str"/>
    </x:row>
    <x:row r="77">
      <x:c r="A77" s="70" t="str">
        <x:v>M5RG-0072</x:v>
      </x:c>
      <x:c r="B77" s="70" t="str">
        <x:v>M5C-009</x:v>
      </x:c>
      <x:c r="C77" s="70" t="str">
        <x:f>IFERROR(VLOOKUP(B77,'02_案例与预测'!$A$6:$E$65,5,FALSE),"")</x:f>
        <x:v>留出集</x:v>
      </x:c>
      <x:c r="D77" s="70" t="str">
        <x:v>RG08</x:v>
      </x:c>
      <x:c r="E77" s="70" t="str">
        <x:v>冲突、修复与学习意愿</x:v>
      </x:c>
      <x:c r="F77" s="70" t="str"/>
      <x:c r="G77" s="70" t="str"/>
      <x:c r="H77" s="70" t="str"/>
      <x:c r="I77" s="70" t="str"/>
      <x:c r="J77" s="70" t="str">
        <x:f>IF(OR(F77="",I77=""),"",IF(OR(I77="unknown",I77="not_assessed"),"不可评估",IF(F77=I77,"完全支持",IF(OR(AND(F77="pass",I77="conditional"),AND(F77="conditional",I77="pass")),"部分支持","反例"))))</x:f>
      </x:c>
      <x:c r="K77" s="70" t="str"/>
      <x:c r="L77" s="70" t="str"/>
      <x:c r="M77" s="70" t="str"/>
      <x:c r="N77" s="70" t="str"/>
      <x:c r="O77" s="70" t="str"/>
      <x:c r="P77" s="70" t="str"/>
    </x:row>
    <x:row r="78">
      <x:c r="A78" s="70" t="str">
        <x:v>M5RG-0073</x:v>
      </x:c>
      <x:c r="B78" s="70" t="str">
        <x:v>M5C-010</x:v>
      </x:c>
      <x:c r="C78" s="70" t="str">
        <x:f>IFERROR(VLOOKUP(B78,'02_案例与预测'!$A$6:$E$65,5,FALSE),"")</x:f>
        <x:v>留出集</x:v>
      </x:c>
      <x:c r="D78" s="70" t="str">
        <x:v>RG01</x:v>
      </x:c>
      <x:c r="E78" s="70" t="str">
        <x:v>安全、同意与尊重</x:v>
      </x:c>
      <x:c r="F78" s="70" t="str"/>
      <x:c r="G78" s="70" t="str"/>
      <x:c r="H78" s="70" t="str"/>
      <x:c r="I78" s="70" t="str"/>
      <x:c r="J78" s="70" t="str">
        <x:f>IF(OR(F78="",I78=""),"",IF(OR(I78="unknown",I78="not_assessed"),"不可评估",IF(F78=I78,"完全支持",IF(OR(AND(F78="pass",I78="conditional"),AND(F78="conditional",I78="pass")),"部分支持","反例"))))</x:f>
      </x:c>
      <x:c r="K78" s="70" t="str"/>
      <x:c r="L78" s="70" t="str"/>
      <x:c r="M78" s="70" t="str"/>
      <x:c r="N78" s="70" t="str"/>
      <x:c r="O78" s="70" t="str"/>
      <x:c r="P78" s="70" t="str"/>
    </x:row>
    <x:row r="79">
      <x:c r="A79" s="70" t="str">
        <x:v>M5RG-0074</x:v>
      </x:c>
      <x:c r="B79" s="70" t="str">
        <x:v>M5C-010</x:v>
      </x:c>
      <x:c r="C79" s="70" t="str">
        <x:f>IFERROR(VLOOKUP(B79,'02_案例与预测'!$A$6:$E$65,5,FALSE),"")</x:f>
        <x:v>留出集</x:v>
      </x:c>
      <x:c r="D79" s="70" t="str">
        <x:v>RG02</x:v>
      </x:c>
      <x:c r="E79" s="70" t="str">
        <x:v>关系意图与承诺</x:v>
      </x:c>
      <x:c r="F79" s="70" t="str"/>
      <x:c r="G79" s="70" t="str"/>
      <x:c r="H79" s="70" t="str"/>
      <x:c r="I79" s="70" t="str"/>
      <x:c r="J79" s="70" t="str">
        <x:f>IF(OR(F79="",I79=""),"",IF(OR(I79="unknown",I79="not_assessed"),"不可评估",IF(F79=I79,"完全支持",IF(OR(AND(F79="pass",I79="conditional"),AND(F79="conditional",I79="pass")),"部分支持","反例"))))</x:f>
      </x:c>
      <x:c r="K79" s="70" t="str"/>
      <x:c r="L79" s="70" t="str"/>
      <x:c r="M79" s="70" t="str"/>
      <x:c r="N79" s="70" t="str"/>
      <x:c r="O79" s="70" t="str"/>
      <x:c r="P79" s="70" t="str"/>
    </x:row>
    <x:row r="80">
      <x:c r="A80" s="70" t="str">
        <x:v>M5RG-0075</x:v>
      </x:c>
      <x:c r="B80" s="70" t="str">
        <x:v>M5C-010</x:v>
      </x:c>
      <x:c r="C80" s="70" t="str">
        <x:f>IFERROR(VLOOKUP(B80,'02_案例与预测'!$A$6:$E$65,5,FALSE),"")</x:f>
        <x:v>留出集</x:v>
      </x:c>
      <x:c r="D80" s="70" t="str">
        <x:v>RG03</x:v>
      </x:c>
      <x:c r="E80" s="70" t="str">
        <x:v>价值观与人生目标</x:v>
      </x:c>
      <x:c r="F80" s="70" t="str"/>
      <x:c r="G80" s="70" t="str"/>
      <x:c r="H80" s="70" t="str"/>
      <x:c r="I80" s="70" t="str"/>
      <x:c r="J80" s="70" t="str">
        <x:f>IF(OR(F80="",I80=""),"",IF(OR(I80="unknown",I80="not_assessed"),"不可评估",IF(F80=I80,"完全支持",IF(OR(AND(F80="pass",I80="conditional"),AND(F80="conditional",I80="pass")),"部分支持","反例"))))</x:f>
      </x:c>
      <x:c r="K80" s="70" t="str"/>
      <x:c r="L80" s="70" t="str"/>
      <x:c r="M80" s="70" t="str"/>
      <x:c r="N80" s="70" t="str"/>
      <x:c r="O80" s="70" t="str"/>
      <x:c r="P80" s="70" t="str"/>
    </x:row>
    <x:row r="81">
      <x:c r="A81" s="70" t="str">
        <x:v>M5RG-0076</x:v>
      </x:c>
      <x:c r="B81" s="70" t="str">
        <x:v>M5C-010</x:v>
      </x:c>
      <x:c r="C81" s="70" t="str">
        <x:f>IFERROR(VLOOKUP(B81,'02_案例与预测'!$A$6:$E$65,5,FALSE),"")</x:f>
        <x:v>留出集</x:v>
      </x:c>
      <x:c r="D81" s="70" t="str">
        <x:v>RG04</x:v>
      </x:c>
      <x:c r="E81" s="70" t="str">
        <x:v>时间、地域与生活节奏</x:v>
      </x:c>
      <x:c r="F81" s="70" t="str"/>
      <x:c r="G81" s="70" t="str"/>
      <x:c r="H81" s="70" t="str"/>
      <x:c r="I81" s="70" t="str"/>
      <x:c r="J81" s="70" t="str">
        <x:f>IF(OR(F81="",I81=""),"",IF(OR(I81="unknown",I81="not_assessed"),"不可评估",IF(F81=I81,"完全支持",IF(OR(AND(F81="pass",I81="conditional"),AND(F81="conditional",I81="pass")),"部分支持","反例"))))</x:f>
      </x:c>
      <x:c r="K81" s="70" t="str"/>
      <x:c r="L81" s="70" t="str"/>
      <x:c r="M81" s="70" t="str"/>
      <x:c r="N81" s="70" t="str"/>
      <x:c r="O81" s="70" t="str"/>
      <x:c r="P81" s="70" t="str"/>
    </x:row>
    <x:row r="82">
      <x:c r="A82" s="70" t="str">
        <x:v>M5RG-0077</x:v>
      </x:c>
      <x:c r="B82" s="70" t="str">
        <x:v>M5C-010</x:v>
      </x:c>
      <x:c r="C82" s="70" t="str">
        <x:f>IFERROR(VLOOKUP(B82,'02_案例与预测'!$A$6:$E$65,5,FALSE),"")</x:f>
        <x:v>留出集</x:v>
      </x:c>
      <x:c r="D82" s="70" t="str">
        <x:v>RG05</x:v>
      </x:c>
      <x:c r="E82" s="70" t="str">
        <x:v>金钱、资源与劳动分配</x:v>
      </x:c>
      <x:c r="F82" s="70" t="str"/>
      <x:c r="G82" s="70" t="str"/>
      <x:c r="H82" s="70" t="str"/>
      <x:c r="I82" s="70" t="str"/>
      <x:c r="J82" s="70" t="str">
        <x:f>IF(OR(F82="",I82=""),"",IF(OR(I82="unknown",I82="not_assessed"),"不可评估",IF(F82=I82,"完全支持",IF(OR(AND(F82="pass",I82="conditional"),AND(F82="conditional",I82="pass")),"部分支持","反例"))))</x:f>
      </x:c>
      <x:c r="K82" s="70" t="str"/>
      <x:c r="L82" s="70" t="str"/>
      <x:c r="M82" s="70" t="str"/>
      <x:c r="N82" s="70" t="str"/>
      <x:c r="O82" s="70" t="str"/>
      <x:c r="P82" s="70" t="str"/>
    </x:row>
    <x:row r="83">
      <x:c r="A83" s="70" t="str">
        <x:v>M5RG-0078</x:v>
      </x:c>
      <x:c r="B83" s="70" t="str">
        <x:v>M5C-010</x:v>
      </x:c>
      <x:c r="C83" s="70" t="str">
        <x:f>IFERROR(VLOOKUP(B83,'02_案例与预测'!$A$6:$E$65,5,FALSE),"")</x:f>
        <x:v>留出集</x:v>
      </x:c>
      <x:c r="D83" s="70" t="str">
        <x:v>RG06</x:v>
      </x:c>
      <x:c r="E83" s="70" t="str">
        <x:v>家庭、婚育与照护责任</x:v>
      </x:c>
      <x:c r="F83" s="70" t="str"/>
      <x:c r="G83" s="70" t="str"/>
      <x:c r="H83" s="70" t="str"/>
      <x:c r="I83" s="70" t="str"/>
      <x:c r="J83" s="70" t="str">
        <x:f>IF(OR(F83="",I83=""),"",IF(OR(I83="unknown",I83="not_assessed"),"不可评估",IF(F83=I83,"完全支持",IF(OR(AND(F83="pass",I83="conditional"),AND(F83="conditional",I83="pass")),"部分支持","反例"))))</x:f>
      </x:c>
      <x:c r="K83" s="70" t="str"/>
      <x:c r="L83" s="70" t="str"/>
      <x:c r="M83" s="70" t="str"/>
      <x:c r="N83" s="70" t="str"/>
      <x:c r="O83" s="70" t="str"/>
      <x:c r="P83" s="70" t="str"/>
    </x:row>
    <x:row r="84">
      <x:c r="A84" s="70" t="str">
        <x:v>M5RG-0079</x:v>
      </x:c>
      <x:c r="B84" s="70" t="str">
        <x:v>M5C-010</x:v>
      </x:c>
      <x:c r="C84" s="70" t="str">
        <x:f>IFERROR(VLOOKUP(B84,'02_案例与预测'!$A$6:$E$65,5,FALSE),"")</x:f>
        <x:v>留出集</x:v>
      </x:c>
      <x:c r="D84" s="70" t="str">
        <x:v>RG07</x:v>
      </x:c>
      <x:c r="E84" s="70" t="str">
        <x:v>身体、亲密、隐私与健康</x:v>
      </x:c>
      <x:c r="F84" s="70" t="str"/>
      <x:c r="G84" s="70" t="str"/>
      <x:c r="H84" s="70" t="str"/>
      <x:c r="I84" s="70" t="str"/>
      <x:c r="J84" s="70" t="str">
        <x:f>IF(OR(F84="",I84=""),"",IF(OR(I84="unknown",I84="not_assessed"),"不可评估",IF(F84=I84,"完全支持",IF(OR(AND(F84="pass",I84="conditional"),AND(F84="conditional",I84="pass")),"部分支持","反例"))))</x:f>
      </x:c>
      <x:c r="K84" s="70" t="str"/>
      <x:c r="L84" s="70" t="str"/>
      <x:c r="M84" s="70" t="str"/>
      <x:c r="N84" s="70" t="str"/>
      <x:c r="O84" s="70" t="str"/>
      <x:c r="P84" s="70" t="str"/>
    </x:row>
    <x:row r="85">
      <x:c r="A85" s="70" t="str">
        <x:v>M5RG-0080</x:v>
      </x:c>
      <x:c r="B85" s="70" t="str">
        <x:v>M5C-010</x:v>
      </x:c>
      <x:c r="C85" s="70" t="str">
        <x:f>IFERROR(VLOOKUP(B85,'02_案例与预测'!$A$6:$E$65,5,FALSE),"")</x:f>
        <x:v>留出集</x:v>
      </x:c>
      <x:c r="D85" s="70" t="str">
        <x:v>RG08</x:v>
      </x:c>
      <x:c r="E85" s="70" t="str">
        <x:v>冲突、修复与学习意愿</x:v>
      </x:c>
      <x:c r="F85" s="70" t="str"/>
      <x:c r="G85" s="70" t="str"/>
      <x:c r="H85" s="70" t="str"/>
      <x:c r="I85" s="70" t="str"/>
      <x:c r="J85" s="70" t="str">
        <x:f>IF(OR(F85="",I85=""),"",IF(OR(I85="unknown",I85="not_assessed"),"不可评估",IF(F85=I85,"完全支持",IF(OR(AND(F85="pass",I85="conditional"),AND(F85="conditional",I85="pass")),"部分支持","反例"))))</x:f>
      </x:c>
      <x:c r="K85" s="70" t="str"/>
      <x:c r="L85" s="70" t="str"/>
      <x:c r="M85" s="70" t="str"/>
      <x:c r="N85" s="70" t="str"/>
      <x:c r="O85" s="70" t="str"/>
      <x:c r="P85" s="70" t="str"/>
    </x:row>
    <x:row r="86">
      <x:c r="A86" s="70" t="str">
        <x:v>M5RG-0081</x:v>
      </x:c>
      <x:c r="B86" s="70" t="str">
        <x:v>M5C-011</x:v>
      </x:c>
      <x:c r="C86" s="70" t="str">
        <x:f>IFERROR(VLOOKUP(B86,'02_案例与预测'!$A$6:$E$65,5,FALSE),"")</x:f>
        <x:v>开发集</x:v>
      </x:c>
      <x:c r="D86" s="70" t="str">
        <x:v>RG01</x:v>
      </x:c>
      <x:c r="E86" s="70" t="str">
        <x:v>安全、同意与尊重</x:v>
      </x:c>
      <x:c r="F86" s="70" t="str"/>
      <x:c r="G86" s="70" t="str"/>
      <x:c r="H86" s="70" t="str"/>
      <x:c r="I86" s="70" t="str"/>
      <x:c r="J86" s="70" t="str">
        <x:f>IF(OR(F86="",I86=""),"",IF(OR(I86="unknown",I86="not_assessed"),"不可评估",IF(F86=I86,"完全支持",IF(OR(AND(F86="pass",I86="conditional"),AND(F86="conditional",I86="pass")),"部分支持","反例"))))</x:f>
      </x:c>
      <x:c r="K86" s="70" t="str"/>
      <x:c r="L86" s="70" t="str"/>
      <x:c r="M86" s="70" t="str"/>
      <x:c r="N86" s="70" t="str"/>
      <x:c r="O86" s="70" t="str"/>
      <x:c r="P86" s="70" t="str"/>
    </x:row>
    <x:row r="87">
      <x:c r="A87" s="70" t="str">
        <x:v>M5RG-0082</x:v>
      </x:c>
      <x:c r="B87" s="70" t="str">
        <x:v>M5C-011</x:v>
      </x:c>
      <x:c r="C87" s="70" t="str">
        <x:f>IFERROR(VLOOKUP(B87,'02_案例与预测'!$A$6:$E$65,5,FALSE),"")</x:f>
        <x:v>开发集</x:v>
      </x:c>
      <x:c r="D87" s="70" t="str">
        <x:v>RG02</x:v>
      </x:c>
      <x:c r="E87" s="70" t="str">
        <x:v>关系意图与承诺</x:v>
      </x:c>
      <x:c r="F87" s="70" t="str"/>
      <x:c r="G87" s="70" t="str"/>
      <x:c r="H87" s="70" t="str"/>
      <x:c r="I87" s="70" t="str"/>
      <x:c r="J87" s="70" t="str">
        <x:f>IF(OR(F87="",I87=""),"",IF(OR(I87="unknown",I87="not_assessed"),"不可评估",IF(F87=I87,"完全支持",IF(OR(AND(F87="pass",I87="conditional"),AND(F87="conditional",I87="pass")),"部分支持","反例"))))</x:f>
      </x:c>
      <x:c r="K87" s="70" t="str"/>
      <x:c r="L87" s="70" t="str"/>
      <x:c r="M87" s="70" t="str"/>
      <x:c r="N87" s="70" t="str"/>
      <x:c r="O87" s="70" t="str"/>
      <x:c r="P87" s="70" t="str"/>
    </x:row>
    <x:row r="88">
      <x:c r="A88" s="70" t="str">
        <x:v>M5RG-0083</x:v>
      </x:c>
      <x:c r="B88" s="70" t="str">
        <x:v>M5C-011</x:v>
      </x:c>
      <x:c r="C88" s="70" t="str">
        <x:f>IFERROR(VLOOKUP(B88,'02_案例与预测'!$A$6:$E$65,5,FALSE),"")</x:f>
        <x:v>开发集</x:v>
      </x:c>
      <x:c r="D88" s="70" t="str">
        <x:v>RG03</x:v>
      </x:c>
      <x:c r="E88" s="70" t="str">
        <x:v>价值观与人生目标</x:v>
      </x:c>
      <x:c r="F88" s="70" t="str"/>
      <x:c r="G88" s="70" t="str"/>
      <x:c r="H88" s="70" t="str"/>
      <x:c r="I88" s="70" t="str"/>
      <x:c r="J88" s="70" t="str">
        <x:f>IF(OR(F88="",I88=""),"",IF(OR(I88="unknown",I88="not_assessed"),"不可评估",IF(F88=I88,"完全支持",IF(OR(AND(F88="pass",I88="conditional"),AND(F88="conditional",I88="pass")),"部分支持","反例"))))</x:f>
      </x:c>
      <x:c r="K88" s="70" t="str"/>
      <x:c r="L88" s="70" t="str"/>
      <x:c r="M88" s="70" t="str"/>
      <x:c r="N88" s="70" t="str"/>
      <x:c r="O88" s="70" t="str"/>
      <x:c r="P88" s="70" t="str"/>
    </x:row>
    <x:row r="89">
      <x:c r="A89" s="70" t="str">
        <x:v>M5RG-0084</x:v>
      </x:c>
      <x:c r="B89" s="70" t="str">
        <x:v>M5C-011</x:v>
      </x:c>
      <x:c r="C89" s="70" t="str">
        <x:f>IFERROR(VLOOKUP(B89,'02_案例与预测'!$A$6:$E$65,5,FALSE),"")</x:f>
        <x:v>开发集</x:v>
      </x:c>
      <x:c r="D89" s="70" t="str">
        <x:v>RG04</x:v>
      </x:c>
      <x:c r="E89" s="70" t="str">
        <x:v>时间、地域与生活节奏</x:v>
      </x:c>
      <x:c r="F89" s="70" t="str"/>
      <x:c r="G89" s="70" t="str"/>
      <x:c r="H89" s="70" t="str"/>
      <x:c r="I89" s="70" t="str"/>
      <x:c r="J89" s="70" t="str">
        <x:f>IF(OR(F89="",I89=""),"",IF(OR(I89="unknown",I89="not_assessed"),"不可评估",IF(F89=I89,"完全支持",IF(OR(AND(F89="pass",I89="conditional"),AND(F89="conditional",I89="pass")),"部分支持","反例"))))</x:f>
      </x:c>
      <x:c r="K89" s="70" t="str"/>
      <x:c r="L89" s="70" t="str"/>
      <x:c r="M89" s="70" t="str"/>
      <x:c r="N89" s="70" t="str"/>
      <x:c r="O89" s="70" t="str"/>
      <x:c r="P89" s="70" t="str"/>
    </x:row>
    <x:row r="90">
      <x:c r="A90" s="70" t="str">
        <x:v>M5RG-0085</x:v>
      </x:c>
      <x:c r="B90" s="70" t="str">
        <x:v>M5C-011</x:v>
      </x:c>
      <x:c r="C90" s="70" t="str">
        <x:f>IFERROR(VLOOKUP(B90,'02_案例与预测'!$A$6:$E$65,5,FALSE),"")</x:f>
        <x:v>开发集</x:v>
      </x:c>
      <x:c r="D90" s="70" t="str">
        <x:v>RG05</x:v>
      </x:c>
      <x:c r="E90" s="70" t="str">
        <x:v>金钱、资源与劳动分配</x:v>
      </x:c>
      <x:c r="F90" s="70" t="str"/>
      <x:c r="G90" s="70" t="str"/>
      <x:c r="H90" s="70" t="str"/>
      <x:c r="I90" s="70" t="str"/>
      <x:c r="J90" s="70" t="str">
        <x:f>IF(OR(F90="",I90=""),"",IF(OR(I90="unknown",I90="not_assessed"),"不可评估",IF(F90=I90,"完全支持",IF(OR(AND(F90="pass",I90="conditional"),AND(F90="conditional",I90="pass")),"部分支持","反例"))))</x:f>
      </x:c>
      <x:c r="K90" s="70" t="str"/>
      <x:c r="L90" s="70" t="str"/>
      <x:c r="M90" s="70" t="str"/>
      <x:c r="N90" s="70" t="str"/>
      <x:c r="O90" s="70" t="str"/>
      <x:c r="P90" s="70" t="str"/>
    </x:row>
    <x:row r="91">
      <x:c r="A91" s="70" t="str">
        <x:v>M5RG-0086</x:v>
      </x:c>
      <x:c r="B91" s="70" t="str">
        <x:v>M5C-011</x:v>
      </x:c>
      <x:c r="C91" s="70" t="str">
        <x:f>IFERROR(VLOOKUP(B91,'02_案例与预测'!$A$6:$E$65,5,FALSE),"")</x:f>
        <x:v>开发集</x:v>
      </x:c>
      <x:c r="D91" s="70" t="str">
        <x:v>RG06</x:v>
      </x:c>
      <x:c r="E91" s="70" t="str">
        <x:v>家庭、婚育与照护责任</x:v>
      </x:c>
      <x:c r="F91" s="70" t="str"/>
      <x:c r="G91" s="70" t="str"/>
      <x:c r="H91" s="70" t="str"/>
      <x:c r="I91" s="70" t="str"/>
      <x:c r="J91" s="70" t="str">
        <x:f>IF(OR(F91="",I91=""),"",IF(OR(I91="unknown",I91="not_assessed"),"不可评估",IF(F91=I91,"完全支持",IF(OR(AND(F91="pass",I91="conditional"),AND(F91="conditional",I91="pass")),"部分支持","反例"))))</x:f>
      </x:c>
      <x:c r="K91" s="70" t="str"/>
      <x:c r="L91" s="70" t="str"/>
      <x:c r="M91" s="70" t="str"/>
      <x:c r="N91" s="70" t="str"/>
      <x:c r="O91" s="70" t="str"/>
      <x:c r="P91" s="70" t="str"/>
    </x:row>
    <x:row r="92">
      <x:c r="A92" s="70" t="str">
        <x:v>M5RG-0087</x:v>
      </x:c>
      <x:c r="B92" s="70" t="str">
        <x:v>M5C-011</x:v>
      </x:c>
      <x:c r="C92" s="70" t="str">
        <x:f>IFERROR(VLOOKUP(B92,'02_案例与预测'!$A$6:$E$65,5,FALSE),"")</x:f>
        <x:v>开发集</x:v>
      </x:c>
      <x:c r="D92" s="70" t="str">
        <x:v>RG07</x:v>
      </x:c>
      <x:c r="E92" s="70" t="str">
        <x:v>身体、亲密、隐私与健康</x:v>
      </x:c>
      <x:c r="F92" s="70" t="str"/>
      <x:c r="G92" s="70" t="str"/>
      <x:c r="H92" s="70" t="str"/>
      <x:c r="I92" s="70" t="str"/>
      <x:c r="J92" s="70" t="str">
        <x:f>IF(OR(F92="",I92=""),"",IF(OR(I92="unknown",I92="not_assessed"),"不可评估",IF(F92=I92,"完全支持",IF(OR(AND(F92="pass",I92="conditional"),AND(F92="conditional",I92="pass")),"部分支持","反例"))))</x:f>
      </x:c>
      <x:c r="K92" s="70" t="str"/>
      <x:c r="L92" s="70" t="str"/>
      <x:c r="M92" s="70" t="str"/>
      <x:c r="N92" s="70" t="str"/>
      <x:c r="O92" s="70" t="str"/>
      <x:c r="P92" s="70" t="str"/>
    </x:row>
    <x:row r="93">
      <x:c r="A93" s="70" t="str">
        <x:v>M5RG-0088</x:v>
      </x:c>
      <x:c r="B93" s="70" t="str">
        <x:v>M5C-011</x:v>
      </x:c>
      <x:c r="C93" s="70" t="str">
        <x:f>IFERROR(VLOOKUP(B93,'02_案例与预测'!$A$6:$E$65,5,FALSE),"")</x:f>
        <x:v>开发集</x:v>
      </x:c>
      <x:c r="D93" s="70" t="str">
        <x:v>RG08</x:v>
      </x:c>
      <x:c r="E93" s="70" t="str">
        <x:v>冲突、修复与学习意愿</x:v>
      </x:c>
      <x:c r="F93" s="70" t="str"/>
      <x:c r="G93" s="70" t="str"/>
      <x:c r="H93" s="70" t="str"/>
      <x:c r="I93" s="70" t="str"/>
      <x:c r="J93" s="70" t="str">
        <x:f>IF(OR(F93="",I93=""),"",IF(OR(I93="unknown",I93="not_assessed"),"不可评估",IF(F93=I93,"完全支持",IF(OR(AND(F93="pass",I93="conditional"),AND(F93="conditional",I93="pass")),"部分支持","反例"))))</x:f>
      </x:c>
      <x:c r="K93" s="70" t="str"/>
      <x:c r="L93" s="70" t="str"/>
      <x:c r="M93" s="70" t="str"/>
      <x:c r="N93" s="70" t="str"/>
      <x:c r="O93" s="70" t="str"/>
      <x:c r="P93" s="70" t="str"/>
    </x:row>
    <x:row r="94">
      <x:c r="A94" s="70" t="str">
        <x:v>M5RG-0089</x:v>
      </x:c>
      <x:c r="B94" s="70" t="str">
        <x:v>M5C-012</x:v>
      </x:c>
      <x:c r="C94" s="70" t="str">
        <x:f>IFERROR(VLOOKUP(B94,'02_案例与预测'!$A$6:$E$65,5,FALSE),"")</x:f>
        <x:v>开发集</x:v>
      </x:c>
      <x:c r="D94" s="70" t="str">
        <x:v>RG01</x:v>
      </x:c>
      <x:c r="E94" s="70" t="str">
        <x:v>安全、同意与尊重</x:v>
      </x:c>
      <x:c r="F94" s="70" t="str"/>
      <x:c r="G94" s="70" t="str"/>
      <x:c r="H94" s="70" t="str"/>
      <x:c r="I94" s="70" t="str"/>
      <x:c r="J94" s="70" t="str">
        <x:f>IF(OR(F94="",I94=""),"",IF(OR(I94="unknown",I94="not_assessed"),"不可评估",IF(F94=I94,"完全支持",IF(OR(AND(F94="pass",I94="conditional"),AND(F94="conditional",I94="pass")),"部分支持","反例"))))</x:f>
      </x:c>
      <x:c r="K94" s="70" t="str"/>
      <x:c r="L94" s="70" t="str"/>
      <x:c r="M94" s="70" t="str"/>
      <x:c r="N94" s="70" t="str"/>
      <x:c r="O94" s="70" t="str"/>
      <x:c r="P94" s="70" t="str"/>
    </x:row>
    <x:row r="95">
      <x:c r="A95" s="70" t="str">
        <x:v>M5RG-0090</x:v>
      </x:c>
      <x:c r="B95" s="70" t="str">
        <x:v>M5C-012</x:v>
      </x:c>
      <x:c r="C95" s="70" t="str">
        <x:f>IFERROR(VLOOKUP(B95,'02_案例与预测'!$A$6:$E$65,5,FALSE),"")</x:f>
        <x:v>开发集</x:v>
      </x:c>
      <x:c r="D95" s="70" t="str">
        <x:v>RG02</x:v>
      </x:c>
      <x:c r="E95" s="70" t="str">
        <x:v>关系意图与承诺</x:v>
      </x:c>
      <x:c r="F95" s="70" t="str"/>
      <x:c r="G95" s="70" t="str"/>
      <x:c r="H95" s="70" t="str"/>
      <x:c r="I95" s="70" t="str"/>
      <x:c r="J95" s="70" t="str">
        <x:f>IF(OR(F95="",I95=""),"",IF(OR(I95="unknown",I95="not_assessed"),"不可评估",IF(F95=I95,"完全支持",IF(OR(AND(F95="pass",I95="conditional"),AND(F95="conditional",I95="pass")),"部分支持","反例"))))</x:f>
      </x:c>
      <x:c r="K95" s="70" t="str"/>
      <x:c r="L95" s="70" t="str"/>
      <x:c r="M95" s="70" t="str"/>
      <x:c r="N95" s="70" t="str"/>
      <x:c r="O95" s="70" t="str"/>
      <x:c r="P95" s="70" t="str"/>
    </x:row>
    <x:row r="96">
      <x:c r="A96" s="70" t="str">
        <x:v>M5RG-0091</x:v>
      </x:c>
      <x:c r="B96" s="70" t="str">
        <x:v>M5C-012</x:v>
      </x:c>
      <x:c r="C96" s="70" t="str">
        <x:f>IFERROR(VLOOKUP(B96,'02_案例与预测'!$A$6:$E$65,5,FALSE),"")</x:f>
        <x:v>开发集</x:v>
      </x:c>
      <x:c r="D96" s="70" t="str">
        <x:v>RG03</x:v>
      </x:c>
      <x:c r="E96" s="70" t="str">
        <x:v>价值观与人生目标</x:v>
      </x:c>
      <x:c r="F96" s="70" t="str"/>
      <x:c r="G96" s="70" t="str"/>
      <x:c r="H96" s="70" t="str"/>
      <x:c r="I96" s="70" t="str"/>
      <x:c r="J96" s="70" t="str">
        <x:f>IF(OR(F96="",I96=""),"",IF(OR(I96="unknown",I96="not_assessed"),"不可评估",IF(F96=I96,"完全支持",IF(OR(AND(F96="pass",I96="conditional"),AND(F96="conditional",I96="pass")),"部分支持","反例"))))</x:f>
      </x:c>
      <x:c r="K96" s="70" t="str"/>
      <x:c r="L96" s="70" t="str"/>
      <x:c r="M96" s="70" t="str"/>
      <x:c r="N96" s="70" t="str"/>
      <x:c r="O96" s="70" t="str"/>
      <x:c r="P96" s="70" t="str"/>
    </x:row>
    <x:row r="97">
      <x:c r="A97" s="70" t="str">
        <x:v>M5RG-0092</x:v>
      </x:c>
      <x:c r="B97" s="70" t="str">
        <x:v>M5C-012</x:v>
      </x:c>
      <x:c r="C97" s="70" t="str">
        <x:f>IFERROR(VLOOKUP(B97,'02_案例与预测'!$A$6:$E$65,5,FALSE),"")</x:f>
        <x:v>开发集</x:v>
      </x:c>
      <x:c r="D97" s="70" t="str">
        <x:v>RG04</x:v>
      </x:c>
      <x:c r="E97" s="70" t="str">
        <x:v>时间、地域与生活节奏</x:v>
      </x:c>
      <x:c r="F97" s="70" t="str"/>
      <x:c r="G97" s="70" t="str"/>
      <x:c r="H97" s="70" t="str"/>
      <x:c r="I97" s="70" t="str"/>
      <x:c r="J97" s="70" t="str">
        <x:f>IF(OR(F97="",I97=""),"",IF(OR(I97="unknown",I97="not_assessed"),"不可评估",IF(F97=I97,"完全支持",IF(OR(AND(F97="pass",I97="conditional"),AND(F97="conditional",I97="pass")),"部分支持","反例"))))</x:f>
      </x:c>
      <x:c r="K97" s="70" t="str"/>
      <x:c r="L97" s="70" t="str"/>
      <x:c r="M97" s="70" t="str"/>
      <x:c r="N97" s="70" t="str"/>
      <x:c r="O97" s="70" t="str"/>
      <x:c r="P97" s="70" t="str"/>
    </x:row>
    <x:row r="98">
      <x:c r="A98" s="70" t="str">
        <x:v>M5RG-0093</x:v>
      </x:c>
      <x:c r="B98" s="70" t="str">
        <x:v>M5C-012</x:v>
      </x:c>
      <x:c r="C98" s="70" t="str">
        <x:f>IFERROR(VLOOKUP(B98,'02_案例与预测'!$A$6:$E$65,5,FALSE),"")</x:f>
        <x:v>开发集</x:v>
      </x:c>
      <x:c r="D98" s="70" t="str">
        <x:v>RG05</x:v>
      </x:c>
      <x:c r="E98" s="70" t="str">
        <x:v>金钱、资源与劳动分配</x:v>
      </x:c>
      <x:c r="F98" s="70" t="str"/>
      <x:c r="G98" s="70" t="str"/>
      <x:c r="H98" s="70" t="str"/>
      <x:c r="I98" s="70" t="str"/>
      <x:c r="J98" s="70" t="str">
        <x:f>IF(OR(F98="",I98=""),"",IF(OR(I98="unknown",I98="not_assessed"),"不可评估",IF(F98=I98,"完全支持",IF(OR(AND(F98="pass",I98="conditional"),AND(F98="conditional",I98="pass")),"部分支持","反例"))))</x:f>
      </x:c>
      <x:c r="K98" s="70" t="str"/>
      <x:c r="L98" s="70" t="str"/>
      <x:c r="M98" s="70" t="str"/>
      <x:c r="N98" s="70" t="str"/>
      <x:c r="O98" s="70" t="str"/>
      <x:c r="P98" s="70" t="str"/>
    </x:row>
    <x:row r="99">
      <x:c r="A99" s="70" t="str">
        <x:v>M5RG-0094</x:v>
      </x:c>
      <x:c r="B99" s="70" t="str">
        <x:v>M5C-012</x:v>
      </x:c>
      <x:c r="C99" s="70" t="str">
        <x:f>IFERROR(VLOOKUP(B99,'02_案例与预测'!$A$6:$E$65,5,FALSE),"")</x:f>
        <x:v>开发集</x:v>
      </x:c>
      <x:c r="D99" s="70" t="str">
        <x:v>RG06</x:v>
      </x:c>
      <x:c r="E99" s="70" t="str">
        <x:v>家庭、婚育与照护责任</x:v>
      </x:c>
      <x:c r="F99" s="70" t="str"/>
      <x:c r="G99" s="70" t="str"/>
      <x:c r="H99" s="70" t="str"/>
      <x:c r="I99" s="70" t="str"/>
      <x:c r="J99" s="70" t="str">
        <x:f>IF(OR(F99="",I99=""),"",IF(OR(I99="unknown",I99="not_assessed"),"不可评估",IF(F99=I99,"完全支持",IF(OR(AND(F99="pass",I99="conditional"),AND(F99="conditional",I99="pass")),"部分支持","反例"))))</x:f>
      </x:c>
      <x:c r="K99" s="70" t="str"/>
      <x:c r="L99" s="70" t="str"/>
      <x:c r="M99" s="70" t="str"/>
      <x:c r="N99" s="70" t="str"/>
      <x:c r="O99" s="70" t="str"/>
      <x:c r="P99" s="70" t="str"/>
    </x:row>
    <x:row r="100">
      <x:c r="A100" s="70" t="str">
        <x:v>M5RG-0095</x:v>
      </x:c>
      <x:c r="B100" s="70" t="str">
        <x:v>M5C-012</x:v>
      </x:c>
      <x:c r="C100" s="70" t="str">
        <x:f>IFERROR(VLOOKUP(B100,'02_案例与预测'!$A$6:$E$65,5,FALSE),"")</x:f>
        <x:v>开发集</x:v>
      </x:c>
      <x:c r="D100" s="70" t="str">
        <x:v>RG07</x:v>
      </x:c>
      <x:c r="E100" s="70" t="str">
        <x:v>身体、亲密、隐私与健康</x:v>
      </x:c>
      <x:c r="F100" s="70" t="str"/>
      <x:c r="G100" s="70" t="str"/>
      <x:c r="H100" s="70" t="str"/>
      <x:c r="I100" s="70" t="str"/>
      <x:c r="J100" s="70" t="str">
        <x:f>IF(OR(F100="",I100=""),"",IF(OR(I100="unknown",I100="not_assessed"),"不可评估",IF(F100=I100,"完全支持",IF(OR(AND(F100="pass",I100="conditional"),AND(F100="conditional",I100="pass")),"部分支持","反例"))))</x:f>
      </x:c>
      <x:c r="K100" s="70" t="str"/>
      <x:c r="L100" s="70" t="str"/>
      <x:c r="M100" s="70" t="str"/>
      <x:c r="N100" s="70" t="str"/>
      <x:c r="O100" s="70" t="str"/>
      <x:c r="P100" s="70" t="str"/>
    </x:row>
    <x:row r="101">
      <x:c r="A101" s="70" t="str">
        <x:v>M5RG-0096</x:v>
      </x:c>
      <x:c r="B101" s="70" t="str">
        <x:v>M5C-012</x:v>
      </x:c>
      <x:c r="C101" s="70" t="str">
        <x:f>IFERROR(VLOOKUP(B101,'02_案例与预测'!$A$6:$E$65,5,FALSE),"")</x:f>
        <x:v>开发集</x:v>
      </x:c>
      <x:c r="D101" s="70" t="str">
        <x:v>RG08</x:v>
      </x:c>
      <x:c r="E101" s="70" t="str">
        <x:v>冲突、修复与学习意愿</x:v>
      </x:c>
      <x:c r="F101" s="70" t="str"/>
      <x:c r="G101" s="70" t="str"/>
      <x:c r="H101" s="70" t="str"/>
      <x:c r="I101" s="70" t="str"/>
      <x:c r="J101" s="70" t="str">
        <x:f>IF(OR(F101="",I101=""),"",IF(OR(I101="unknown",I101="not_assessed"),"不可评估",IF(F101=I101,"完全支持",IF(OR(AND(F101="pass",I101="conditional"),AND(F101="conditional",I101="pass")),"部分支持","反例"))))</x:f>
      </x:c>
      <x:c r="K101" s="70" t="str"/>
      <x:c r="L101" s="70" t="str"/>
      <x:c r="M101" s="70" t="str"/>
      <x:c r="N101" s="70" t="str"/>
      <x:c r="O101" s="70" t="str"/>
      <x:c r="P101" s="70" t="str"/>
    </x:row>
    <x:row r="102">
      <x:c r="A102" s="70" t="str">
        <x:v>M5RG-0097</x:v>
      </x:c>
      <x:c r="B102" s="70" t="str">
        <x:v>M5C-013</x:v>
      </x:c>
      <x:c r="C102" s="70" t="str">
        <x:f>IFERROR(VLOOKUP(B102,'02_案例与预测'!$A$6:$E$65,5,FALSE),"")</x:f>
        <x:v>开发集</x:v>
      </x:c>
      <x:c r="D102" s="70" t="str">
        <x:v>RG01</x:v>
      </x:c>
      <x:c r="E102" s="70" t="str">
        <x:v>安全、同意与尊重</x:v>
      </x:c>
      <x:c r="F102" s="70" t="str"/>
      <x:c r="G102" s="70" t="str"/>
      <x:c r="H102" s="70" t="str"/>
      <x:c r="I102" s="70" t="str"/>
      <x:c r="J102" s="70" t="str">
        <x:f>IF(OR(F102="",I102=""),"",IF(OR(I102="unknown",I102="not_assessed"),"不可评估",IF(F102=I102,"完全支持",IF(OR(AND(F102="pass",I102="conditional"),AND(F102="conditional",I102="pass")),"部分支持","反例"))))</x:f>
      </x:c>
      <x:c r="K102" s="70" t="str"/>
      <x:c r="L102" s="70" t="str"/>
      <x:c r="M102" s="70" t="str"/>
      <x:c r="N102" s="70" t="str"/>
      <x:c r="O102" s="70" t="str"/>
      <x:c r="P102" s="70" t="str"/>
    </x:row>
    <x:row r="103">
      <x:c r="A103" s="70" t="str">
        <x:v>M5RG-0098</x:v>
      </x:c>
      <x:c r="B103" s="70" t="str">
        <x:v>M5C-013</x:v>
      </x:c>
      <x:c r="C103" s="70" t="str">
        <x:f>IFERROR(VLOOKUP(B103,'02_案例与预测'!$A$6:$E$65,5,FALSE),"")</x:f>
        <x:v>开发集</x:v>
      </x:c>
      <x:c r="D103" s="70" t="str">
        <x:v>RG02</x:v>
      </x:c>
      <x:c r="E103" s="70" t="str">
        <x:v>关系意图与承诺</x:v>
      </x:c>
      <x:c r="F103" s="70" t="str"/>
      <x:c r="G103" s="70" t="str"/>
      <x:c r="H103" s="70" t="str"/>
      <x:c r="I103" s="70" t="str"/>
      <x:c r="J103" s="70" t="str">
        <x:f>IF(OR(F103="",I103=""),"",IF(OR(I103="unknown",I103="not_assessed"),"不可评估",IF(F103=I103,"完全支持",IF(OR(AND(F103="pass",I103="conditional"),AND(F103="conditional",I103="pass")),"部分支持","反例"))))</x:f>
      </x:c>
      <x:c r="K103" s="70" t="str"/>
      <x:c r="L103" s="70" t="str"/>
      <x:c r="M103" s="70" t="str"/>
      <x:c r="N103" s="70" t="str"/>
      <x:c r="O103" s="70" t="str"/>
      <x:c r="P103" s="70" t="str"/>
    </x:row>
    <x:row r="104">
      <x:c r="A104" s="70" t="str">
        <x:v>M5RG-0099</x:v>
      </x:c>
      <x:c r="B104" s="70" t="str">
        <x:v>M5C-013</x:v>
      </x:c>
      <x:c r="C104" s="70" t="str">
        <x:f>IFERROR(VLOOKUP(B104,'02_案例与预测'!$A$6:$E$65,5,FALSE),"")</x:f>
        <x:v>开发集</x:v>
      </x:c>
      <x:c r="D104" s="70" t="str">
        <x:v>RG03</x:v>
      </x:c>
      <x:c r="E104" s="70" t="str">
        <x:v>价值观与人生目标</x:v>
      </x:c>
      <x:c r="F104" s="70" t="str"/>
      <x:c r="G104" s="70" t="str"/>
      <x:c r="H104" s="70" t="str"/>
      <x:c r="I104" s="70" t="str"/>
      <x:c r="J104" s="70" t="str">
        <x:f>IF(OR(F104="",I104=""),"",IF(OR(I104="unknown",I104="not_assessed"),"不可评估",IF(F104=I104,"完全支持",IF(OR(AND(F104="pass",I104="conditional"),AND(F104="conditional",I104="pass")),"部分支持","反例"))))</x:f>
      </x:c>
      <x:c r="K104" s="70" t="str"/>
      <x:c r="L104" s="70" t="str"/>
      <x:c r="M104" s="70" t="str"/>
      <x:c r="N104" s="70" t="str"/>
      <x:c r="O104" s="70" t="str"/>
      <x:c r="P104" s="70" t="str"/>
    </x:row>
    <x:row r="105">
      <x:c r="A105" s="70" t="str">
        <x:v>M5RG-0100</x:v>
      </x:c>
      <x:c r="B105" s="70" t="str">
        <x:v>M5C-013</x:v>
      </x:c>
      <x:c r="C105" s="70" t="str">
        <x:f>IFERROR(VLOOKUP(B105,'02_案例与预测'!$A$6:$E$65,5,FALSE),"")</x:f>
        <x:v>开发集</x:v>
      </x:c>
      <x:c r="D105" s="70" t="str">
        <x:v>RG04</x:v>
      </x:c>
      <x:c r="E105" s="70" t="str">
        <x:v>时间、地域与生活节奏</x:v>
      </x:c>
      <x:c r="F105" s="70" t="str"/>
      <x:c r="G105" s="70" t="str"/>
      <x:c r="H105" s="70" t="str"/>
      <x:c r="I105" s="70" t="str"/>
      <x:c r="J105" s="70" t="str">
        <x:f>IF(OR(F105="",I105=""),"",IF(OR(I105="unknown",I105="not_assessed"),"不可评估",IF(F105=I105,"完全支持",IF(OR(AND(F105="pass",I105="conditional"),AND(F105="conditional",I105="pass")),"部分支持","反例"))))</x:f>
      </x:c>
      <x:c r="K105" s="70" t="str"/>
      <x:c r="L105" s="70" t="str"/>
      <x:c r="M105" s="70" t="str"/>
      <x:c r="N105" s="70" t="str"/>
      <x:c r="O105" s="70" t="str"/>
      <x:c r="P105" s="70" t="str"/>
    </x:row>
    <x:row r="106">
      <x:c r="A106" s="70" t="str">
        <x:v>M5RG-0101</x:v>
      </x:c>
      <x:c r="B106" s="70" t="str">
        <x:v>M5C-013</x:v>
      </x:c>
      <x:c r="C106" s="70" t="str">
        <x:f>IFERROR(VLOOKUP(B106,'02_案例与预测'!$A$6:$E$65,5,FALSE),"")</x:f>
        <x:v>开发集</x:v>
      </x:c>
      <x:c r="D106" s="70" t="str">
        <x:v>RG05</x:v>
      </x:c>
      <x:c r="E106" s="70" t="str">
        <x:v>金钱、资源与劳动分配</x:v>
      </x:c>
      <x:c r="F106" s="70" t="str"/>
      <x:c r="G106" s="70" t="str"/>
      <x:c r="H106" s="70" t="str"/>
      <x:c r="I106" s="70" t="str"/>
      <x:c r="J106" s="70" t="str">
        <x:f>IF(OR(F106="",I106=""),"",IF(OR(I106="unknown",I106="not_assessed"),"不可评估",IF(F106=I106,"完全支持",IF(OR(AND(F106="pass",I106="conditional"),AND(F106="conditional",I106="pass")),"部分支持","反例"))))</x:f>
      </x:c>
      <x:c r="K106" s="70" t="str"/>
      <x:c r="L106" s="70" t="str"/>
      <x:c r="M106" s="70" t="str"/>
      <x:c r="N106" s="70" t="str"/>
      <x:c r="O106" s="70" t="str"/>
      <x:c r="P106" s="70" t="str"/>
    </x:row>
    <x:row r="107">
      <x:c r="A107" s="70" t="str">
        <x:v>M5RG-0102</x:v>
      </x:c>
      <x:c r="B107" s="70" t="str">
        <x:v>M5C-013</x:v>
      </x:c>
      <x:c r="C107" s="70" t="str">
        <x:f>IFERROR(VLOOKUP(B107,'02_案例与预测'!$A$6:$E$65,5,FALSE),"")</x:f>
        <x:v>开发集</x:v>
      </x:c>
      <x:c r="D107" s="70" t="str">
        <x:v>RG06</x:v>
      </x:c>
      <x:c r="E107" s="70" t="str">
        <x:v>家庭、婚育与照护责任</x:v>
      </x:c>
      <x:c r="F107" s="70" t="str"/>
      <x:c r="G107" s="70" t="str"/>
      <x:c r="H107" s="70" t="str"/>
      <x:c r="I107" s="70" t="str"/>
      <x:c r="J107" s="70" t="str">
        <x:f>IF(OR(F107="",I107=""),"",IF(OR(I107="unknown",I107="not_assessed"),"不可评估",IF(F107=I107,"完全支持",IF(OR(AND(F107="pass",I107="conditional"),AND(F107="conditional",I107="pass")),"部分支持","反例"))))</x:f>
      </x:c>
      <x:c r="K107" s="70" t="str"/>
      <x:c r="L107" s="70" t="str"/>
      <x:c r="M107" s="70" t="str"/>
      <x:c r="N107" s="70" t="str"/>
      <x:c r="O107" s="70" t="str"/>
      <x:c r="P107" s="70" t="str"/>
    </x:row>
    <x:row r="108">
      <x:c r="A108" s="70" t="str">
        <x:v>M5RG-0103</x:v>
      </x:c>
      <x:c r="B108" s="70" t="str">
        <x:v>M5C-013</x:v>
      </x:c>
      <x:c r="C108" s="70" t="str">
        <x:f>IFERROR(VLOOKUP(B108,'02_案例与预测'!$A$6:$E$65,5,FALSE),"")</x:f>
        <x:v>开发集</x:v>
      </x:c>
      <x:c r="D108" s="70" t="str">
        <x:v>RG07</x:v>
      </x:c>
      <x:c r="E108" s="70" t="str">
        <x:v>身体、亲密、隐私与健康</x:v>
      </x:c>
      <x:c r="F108" s="70" t="str"/>
      <x:c r="G108" s="70" t="str"/>
      <x:c r="H108" s="70" t="str"/>
      <x:c r="I108" s="70" t="str"/>
      <x:c r="J108" s="70" t="str">
        <x:f>IF(OR(F108="",I108=""),"",IF(OR(I108="unknown",I108="not_assessed"),"不可评估",IF(F108=I108,"完全支持",IF(OR(AND(F108="pass",I108="conditional"),AND(F108="conditional",I108="pass")),"部分支持","反例"))))</x:f>
      </x:c>
      <x:c r="K108" s="70" t="str"/>
      <x:c r="L108" s="70" t="str"/>
      <x:c r="M108" s="70" t="str"/>
      <x:c r="N108" s="70" t="str"/>
      <x:c r="O108" s="70" t="str"/>
      <x:c r="P108" s="70" t="str"/>
    </x:row>
    <x:row r="109">
      <x:c r="A109" s="70" t="str">
        <x:v>M5RG-0104</x:v>
      </x:c>
      <x:c r="B109" s="70" t="str">
        <x:v>M5C-013</x:v>
      </x:c>
      <x:c r="C109" s="70" t="str">
        <x:f>IFERROR(VLOOKUP(B109,'02_案例与预测'!$A$6:$E$65,5,FALSE),"")</x:f>
        <x:v>开发集</x:v>
      </x:c>
      <x:c r="D109" s="70" t="str">
        <x:v>RG08</x:v>
      </x:c>
      <x:c r="E109" s="70" t="str">
        <x:v>冲突、修复与学习意愿</x:v>
      </x:c>
      <x:c r="F109" s="70" t="str"/>
      <x:c r="G109" s="70" t="str"/>
      <x:c r="H109" s="70" t="str"/>
      <x:c r="I109" s="70" t="str"/>
      <x:c r="J109" s="70" t="str">
        <x:f>IF(OR(F109="",I109=""),"",IF(OR(I109="unknown",I109="not_assessed"),"不可评估",IF(F109=I109,"完全支持",IF(OR(AND(F109="pass",I109="conditional"),AND(F109="conditional",I109="pass")),"部分支持","反例"))))</x:f>
      </x:c>
      <x:c r="K109" s="70" t="str"/>
      <x:c r="L109" s="70" t="str"/>
      <x:c r="M109" s="70" t="str"/>
      <x:c r="N109" s="70" t="str"/>
      <x:c r="O109" s="70" t="str"/>
      <x:c r="P109" s="70" t="str"/>
    </x:row>
    <x:row r="110">
      <x:c r="A110" s="70" t="str">
        <x:v>M5RG-0105</x:v>
      </x:c>
      <x:c r="B110" s="70" t="str">
        <x:v>M5C-014</x:v>
      </x:c>
      <x:c r="C110" s="70" t="str">
        <x:f>IFERROR(VLOOKUP(B110,'02_案例与预测'!$A$6:$E$65,5,FALSE),"")</x:f>
        <x:v>开发集</x:v>
      </x:c>
      <x:c r="D110" s="70" t="str">
        <x:v>RG01</x:v>
      </x:c>
      <x:c r="E110" s="70" t="str">
        <x:v>安全、同意与尊重</x:v>
      </x:c>
      <x:c r="F110" s="70" t="str"/>
      <x:c r="G110" s="70" t="str"/>
      <x:c r="H110" s="70" t="str"/>
      <x:c r="I110" s="70" t="str"/>
      <x:c r="J110" s="70" t="str">
        <x:f>IF(OR(F110="",I110=""),"",IF(OR(I110="unknown",I110="not_assessed"),"不可评估",IF(F110=I110,"完全支持",IF(OR(AND(F110="pass",I110="conditional"),AND(F110="conditional",I110="pass")),"部分支持","反例"))))</x:f>
      </x:c>
      <x:c r="K110" s="70" t="str"/>
      <x:c r="L110" s="70" t="str"/>
      <x:c r="M110" s="70" t="str"/>
      <x:c r="N110" s="70" t="str"/>
      <x:c r="O110" s="70" t="str"/>
      <x:c r="P110" s="70" t="str"/>
    </x:row>
    <x:row r="111">
      <x:c r="A111" s="70" t="str">
        <x:v>M5RG-0106</x:v>
      </x:c>
      <x:c r="B111" s="70" t="str">
        <x:v>M5C-014</x:v>
      </x:c>
      <x:c r="C111" s="70" t="str">
        <x:f>IFERROR(VLOOKUP(B111,'02_案例与预测'!$A$6:$E$65,5,FALSE),"")</x:f>
        <x:v>开发集</x:v>
      </x:c>
      <x:c r="D111" s="70" t="str">
        <x:v>RG02</x:v>
      </x:c>
      <x:c r="E111" s="70" t="str">
        <x:v>关系意图与承诺</x:v>
      </x:c>
      <x:c r="F111" s="70" t="str"/>
      <x:c r="G111" s="70" t="str"/>
      <x:c r="H111" s="70" t="str"/>
      <x:c r="I111" s="70" t="str"/>
      <x:c r="J111" s="70" t="str">
        <x:f>IF(OR(F111="",I111=""),"",IF(OR(I111="unknown",I111="not_assessed"),"不可评估",IF(F111=I111,"完全支持",IF(OR(AND(F111="pass",I111="conditional"),AND(F111="conditional",I111="pass")),"部分支持","反例"))))</x:f>
      </x:c>
      <x:c r="K111" s="70" t="str"/>
      <x:c r="L111" s="70" t="str"/>
      <x:c r="M111" s="70" t="str"/>
      <x:c r="N111" s="70" t="str"/>
      <x:c r="O111" s="70" t="str"/>
      <x:c r="P111" s="70" t="str"/>
    </x:row>
    <x:row r="112">
      <x:c r="A112" s="70" t="str">
        <x:v>M5RG-0107</x:v>
      </x:c>
      <x:c r="B112" s="70" t="str">
        <x:v>M5C-014</x:v>
      </x:c>
      <x:c r="C112" s="70" t="str">
        <x:f>IFERROR(VLOOKUP(B112,'02_案例与预测'!$A$6:$E$65,5,FALSE),"")</x:f>
        <x:v>开发集</x:v>
      </x:c>
      <x:c r="D112" s="70" t="str">
        <x:v>RG03</x:v>
      </x:c>
      <x:c r="E112" s="70" t="str">
        <x:v>价值观与人生目标</x:v>
      </x:c>
      <x:c r="F112" s="70" t="str"/>
      <x:c r="G112" s="70" t="str"/>
      <x:c r="H112" s="70" t="str"/>
      <x:c r="I112" s="70" t="str"/>
      <x:c r="J112" s="70" t="str">
        <x:f>IF(OR(F112="",I112=""),"",IF(OR(I112="unknown",I112="not_assessed"),"不可评估",IF(F112=I112,"完全支持",IF(OR(AND(F112="pass",I112="conditional"),AND(F112="conditional",I112="pass")),"部分支持","反例"))))</x:f>
      </x:c>
      <x:c r="K112" s="70" t="str"/>
      <x:c r="L112" s="70" t="str"/>
      <x:c r="M112" s="70" t="str"/>
      <x:c r="N112" s="70" t="str"/>
      <x:c r="O112" s="70" t="str"/>
      <x:c r="P112" s="70" t="str"/>
    </x:row>
    <x:row r="113">
      <x:c r="A113" s="70" t="str">
        <x:v>M5RG-0108</x:v>
      </x:c>
      <x:c r="B113" s="70" t="str">
        <x:v>M5C-014</x:v>
      </x:c>
      <x:c r="C113" s="70" t="str">
        <x:f>IFERROR(VLOOKUP(B113,'02_案例与预测'!$A$6:$E$65,5,FALSE),"")</x:f>
        <x:v>开发集</x:v>
      </x:c>
      <x:c r="D113" s="70" t="str">
        <x:v>RG04</x:v>
      </x:c>
      <x:c r="E113" s="70" t="str">
        <x:v>时间、地域与生活节奏</x:v>
      </x:c>
      <x:c r="F113" s="70" t="str"/>
      <x:c r="G113" s="70" t="str"/>
      <x:c r="H113" s="70" t="str"/>
      <x:c r="I113" s="70" t="str"/>
      <x:c r="J113" s="70" t="str">
        <x:f>IF(OR(F113="",I113=""),"",IF(OR(I113="unknown",I113="not_assessed"),"不可评估",IF(F113=I113,"完全支持",IF(OR(AND(F113="pass",I113="conditional"),AND(F113="conditional",I113="pass")),"部分支持","反例"))))</x:f>
      </x:c>
      <x:c r="K113" s="70" t="str"/>
      <x:c r="L113" s="70" t="str"/>
      <x:c r="M113" s="70" t="str"/>
      <x:c r="N113" s="70" t="str"/>
      <x:c r="O113" s="70" t="str"/>
      <x:c r="P113" s="70" t="str"/>
    </x:row>
    <x:row r="114">
      <x:c r="A114" s="70" t="str">
        <x:v>M5RG-0109</x:v>
      </x:c>
      <x:c r="B114" s="70" t="str">
        <x:v>M5C-014</x:v>
      </x:c>
      <x:c r="C114" s="70" t="str">
        <x:f>IFERROR(VLOOKUP(B114,'02_案例与预测'!$A$6:$E$65,5,FALSE),"")</x:f>
        <x:v>开发集</x:v>
      </x:c>
      <x:c r="D114" s="70" t="str">
        <x:v>RG05</x:v>
      </x:c>
      <x:c r="E114" s="70" t="str">
        <x:v>金钱、资源与劳动分配</x:v>
      </x:c>
      <x:c r="F114" s="70" t="str"/>
      <x:c r="G114" s="70" t="str"/>
      <x:c r="H114" s="70" t="str"/>
      <x:c r="I114" s="70" t="str"/>
      <x:c r="J114" s="70" t="str">
        <x:f>IF(OR(F114="",I114=""),"",IF(OR(I114="unknown",I114="not_assessed"),"不可评估",IF(F114=I114,"完全支持",IF(OR(AND(F114="pass",I114="conditional"),AND(F114="conditional",I114="pass")),"部分支持","反例"))))</x:f>
      </x:c>
      <x:c r="K114" s="70" t="str"/>
      <x:c r="L114" s="70" t="str"/>
      <x:c r="M114" s="70" t="str"/>
      <x:c r="N114" s="70" t="str"/>
      <x:c r="O114" s="70" t="str"/>
      <x:c r="P114" s="70" t="str"/>
    </x:row>
    <x:row r="115">
      <x:c r="A115" s="70" t="str">
        <x:v>M5RG-0110</x:v>
      </x:c>
      <x:c r="B115" s="70" t="str">
        <x:v>M5C-014</x:v>
      </x:c>
      <x:c r="C115" s="70" t="str">
        <x:f>IFERROR(VLOOKUP(B115,'02_案例与预测'!$A$6:$E$65,5,FALSE),"")</x:f>
        <x:v>开发集</x:v>
      </x:c>
      <x:c r="D115" s="70" t="str">
        <x:v>RG06</x:v>
      </x:c>
      <x:c r="E115" s="70" t="str">
        <x:v>家庭、婚育与照护责任</x:v>
      </x:c>
      <x:c r="F115" s="70" t="str"/>
      <x:c r="G115" s="70" t="str"/>
      <x:c r="H115" s="70" t="str"/>
      <x:c r="I115" s="70" t="str"/>
      <x:c r="J115" s="70" t="str">
        <x:f>IF(OR(F115="",I115=""),"",IF(OR(I115="unknown",I115="not_assessed"),"不可评估",IF(F115=I115,"完全支持",IF(OR(AND(F115="pass",I115="conditional"),AND(F115="conditional",I115="pass")),"部分支持","反例"))))</x:f>
      </x:c>
      <x:c r="K115" s="70" t="str"/>
      <x:c r="L115" s="70" t="str"/>
      <x:c r="M115" s="70" t="str"/>
      <x:c r="N115" s="70" t="str"/>
      <x:c r="O115" s="70" t="str"/>
      <x:c r="P115" s="70" t="str"/>
    </x:row>
    <x:row r="116">
      <x:c r="A116" s="70" t="str">
        <x:v>M5RG-0111</x:v>
      </x:c>
      <x:c r="B116" s="70" t="str">
        <x:v>M5C-014</x:v>
      </x:c>
      <x:c r="C116" s="70" t="str">
        <x:f>IFERROR(VLOOKUP(B116,'02_案例与预测'!$A$6:$E$65,5,FALSE),"")</x:f>
        <x:v>开发集</x:v>
      </x:c>
      <x:c r="D116" s="70" t="str">
        <x:v>RG07</x:v>
      </x:c>
      <x:c r="E116" s="70" t="str">
        <x:v>身体、亲密、隐私与健康</x:v>
      </x:c>
      <x:c r="F116" s="70" t="str"/>
      <x:c r="G116" s="70" t="str"/>
      <x:c r="H116" s="70" t="str"/>
      <x:c r="I116" s="70" t="str"/>
      <x:c r="J116" s="70" t="str">
        <x:f>IF(OR(F116="",I116=""),"",IF(OR(I116="unknown",I116="not_assessed"),"不可评估",IF(F116=I116,"完全支持",IF(OR(AND(F116="pass",I116="conditional"),AND(F116="conditional",I116="pass")),"部分支持","反例"))))</x:f>
      </x:c>
      <x:c r="K116" s="70" t="str"/>
      <x:c r="L116" s="70" t="str"/>
      <x:c r="M116" s="70" t="str"/>
      <x:c r="N116" s="70" t="str"/>
      <x:c r="O116" s="70" t="str"/>
      <x:c r="P116" s="70" t="str"/>
    </x:row>
    <x:row r="117">
      <x:c r="A117" s="70" t="str">
        <x:v>M5RG-0112</x:v>
      </x:c>
      <x:c r="B117" s="70" t="str">
        <x:v>M5C-014</x:v>
      </x:c>
      <x:c r="C117" s="70" t="str">
        <x:f>IFERROR(VLOOKUP(B117,'02_案例与预测'!$A$6:$E$65,5,FALSE),"")</x:f>
        <x:v>开发集</x:v>
      </x:c>
      <x:c r="D117" s="70" t="str">
        <x:v>RG08</x:v>
      </x:c>
      <x:c r="E117" s="70" t="str">
        <x:v>冲突、修复与学习意愿</x:v>
      </x:c>
      <x:c r="F117" s="70" t="str"/>
      <x:c r="G117" s="70" t="str"/>
      <x:c r="H117" s="70" t="str"/>
      <x:c r="I117" s="70" t="str"/>
      <x:c r="J117" s="70" t="str">
        <x:f>IF(OR(F117="",I117=""),"",IF(OR(I117="unknown",I117="not_assessed"),"不可评估",IF(F117=I117,"完全支持",IF(OR(AND(F117="pass",I117="conditional"),AND(F117="conditional",I117="pass")),"部分支持","反例"))))</x:f>
      </x:c>
      <x:c r="K117" s="70" t="str"/>
      <x:c r="L117" s="70" t="str"/>
      <x:c r="M117" s="70" t="str"/>
      <x:c r="N117" s="70" t="str"/>
      <x:c r="O117" s="70" t="str"/>
      <x:c r="P117" s="70" t="str"/>
    </x:row>
    <x:row r="118">
      <x:c r="A118" s="70" t="str">
        <x:v>M5RG-0113</x:v>
      </x:c>
      <x:c r="B118" s="70" t="str">
        <x:v>M5C-015</x:v>
      </x:c>
      <x:c r="C118" s="70" t="str">
        <x:f>IFERROR(VLOOKUP(B118,'02_案例与预测'!$A$6:$E$65,5,FALSE),"")</x:f>
        <x:v>开发集</x:v>
      </x:c>
      <x:c r="D118" s="70" t="str">
        <x:v>RG01</x:v>
      </x:c>
      <x:c r="E118" s="70" t="str">
        <x:v>安全、同意与尊重</x:v>
      </x:c>
      <x:c r="F118" s="70" t="str"/>
      <x:c r="G118" s="70" t="str"/>
      <x:c r="H118" s="70" t="str"/>
      <x:c r="I118" s="70" t="str"/>
      <x:c r="J118" s="70" t="str">
        <x:f>IF(OR(F118="",I118=""),"",IF(OR(I118="unknown",I118="not_assessed"),"不可评估",IF(F118=I118,"完全支持",IF(OR(AND(F118="pass",I118="conditional"),AND(F118="conditional",I118="pass")),"部分支持","反例"))))</x:f>
      </x:c>
      <x:c r="K118" s="70" t="str"/>
      <x:c r="L118" s="70" t="str"/>
      <x:c r="M118" s="70" t="str"/>
      <x:c r="N118" s="70" t="str"/>
      <x:c r="O118" s="70" t="str"/>
      <x:c r="P118" s="70" t="str"/>
    </x:row>
    <x:row r="119">
      <x:c r="A119" s="70" t="str">
        <x:v>M5RG-0114</x:v>
      </x:c>
      <x:c r="B119" s="70" t="str">
        <x:v>M5C-015</x:v>
      </x:c>
      <x:c r="C119" s="70" t="str">
        <x:f>IFERROR(VLOOKUP(B119,'02_案例与预测'!$A$6:$E$65,5,FALSE),"")</x:f>
        <x:v>开发集</x:v>
      </x:c>
      <x:c r="D119" s="70" t="str">
        <x:v>RG02</x:v>
      </x:c>
      <x:c r="E119" s="70" t="str">
        <x:v>关系意图与承诺</x:v>
      </x:c>
      <x:c r="F119" s="70" t="str"/>
      <x:c r="G119" s="70" t="str"/>
      <x:c r="H119" s="70" t="str"/>
      <x:c r="I119" s="70" t="str"/>
      <x:c r="J119" s="70" t="str">
        <x:f>IF(OR(F119="",I119=""),"",IF(OR(I119="unknown",I119="not_assessed"),"不可评估",IF(F119=I119,"完全支持",IF(OR(AND(F119="pass",I119="conditional"),AND(F119="conditional",I119="pass")),"部分支持","反例"))))</x:f>
      </x:c>
      <x:c r="K119" s="70" t="str"/>
      <x:c r="L119" s="70" t="str"/>
      <x:c r="M119" s="70" t="str"/>
      <x:c r="N119" s="70" t="str"/>
      <x:c r="O119" s="70" t="str"/>
      <x:c r="P119" s="70" t="str"/>
    </x:row>
    <x:row r="120">
      <x:c r="A120" s="70" t="str">
        <x:v>M5RG-0115</x:v>
      </x:c>
      <x:c r="B120" s="70" t="str">
        <x:v>M5C-015</x:v>
      </x:c>
      <x:c r="C120" s="70" t="str">
        <x:f>IFERROR(VLOOKUP(B120,'02_案例与预测'!$A$6:$E$65,5,FALSE),"")</x:f>
        <x:v>开发集</x:v>
      </x:c>
      <x:c r="D120" s="70" t="str">
        <x:v>RG03</x:v>
      </x:c>
      <x:c r="E120" s="70" t="str">
        <x:v>价值观与人生目标</x:v>
      </x:c>
      <x:c r="F120" s="70" t="str"/>
      <x:c r="G120" s="70" t="str"/>
      <x:c r="H120" s="70" t="str"/>
      <x:c r="I120" s="70" t="str"/>
      <x:c r="J120" s="70" t="str">
        <x:f>IF(OR(F120="",I120=""),"",IF(OR(I120="unknown",I120="not_assessed"),"不可评估",IF(F120=I120,"完全支持",IF(OR(AND(F120="pass",I120="conditional"),AND(F120="conditional",I120="pass")),"部分支持","反例"))))</x:f>
      </x:c>
      <x:c r="K120" s="70" t="str"/>
      <x:c r="L120" s="70" t="str"/>
      <x:c r="M120" s="70" t="str"/>
      <x:c r="N120" s="70" t="str"/>
      <x:c r="O120" s="70" t="str"/>
      <x:c r="P120" s="70" t="str"/>
    </x:row>
    <x:row r="121">
      <x:c r="A121" s="70" t="str">
        <x:v>M5RG-0116</x:v>
      </x:c>
      <x:c r="B121" s="70" t="str">
        <x:v>M5C-015</x:v>
      </x:c>
      <x:c r="C121" s="70" t="str">
        <x:f>IFERROR(VLOOKUP(B121,'02_案例与预测'!$A$6:$E$65,5,FALSE),"")</x:f>
        <x:v>开发集</x:v>
      </x:c>
      <x:c r="D121" s="70" t="str">
        <x:v>RG04</x:v>
      </x:c>
      <x:c r="E121" s="70" t="str">
        <x:v>时间、地域与生活节奏</x:v>
      </x:c>
      <x:c r="F121" s="70" t="str"/>
      <x:c r="G121" s="70" t="str"/>
      <x:c r="H121" s="70" t="str"/>
      <x:c r="I121" s="70" t="str"/>
      <x:c r="J121" s="70" t="str">
        <x:f>IF(OR(F121="",I121=""),"",IF(OR(I121="unknown",I121="not_assessed"),"不可评估",IF(F121=I121,"完全支持",IF(OR(AND(F121="pass",I121="conditional"),AND(F121="conditional",I121="pass")),"部分支持","反例"))))</x:f>
      </x:c>
      <x:c r="K121" s="70" t="str"/>
      <x:c r="L121" s="70" t="str"/>
      <x:c r="M121" s="70" t="str"/>
      <x:c r="N121" s="70" t="str"/>
      <x:c r="O121" s="70" t="str"/>
      <x:c r="P121" s="70" t="str"/>
    </x:row>
    <x:row r="122">
      <x:c r="A122" s="70" t="str">
        <x:v>M5RG-0117</x:v>
      </x:c>
      <x:c r="B122" s="70" t="str">
        <x:v>M5C-015</x:v>
      </x:c>
      <x:c r="C122" s="70" t="str">
        <x:f>IFERROR(VLOOKUP(B122,'02_案例与预测'!$A$6:$E$65,5,FALSE),"")</x:f>
        <x:v>开发集</x:v>
      </x:c>
      <x:c r="D122" s="70" t="str">
        <x:v>RG05</x:v>
      </x:c>
      <x:c r="E122" s="70" t="str">
        <x:v>金钱、资源与劳动分配</x:v>
      </x:c>
      <x:c r="F122" s="70" t="str"/>
      <x:c r="G122" s="70" t="str"/>
      <x:c r="H122" s="70" t="str"/>
      <x:c r="I122" s="70" t="str"/>
      <x:c r="J122" s="70" t="str">
        <x:f>IF(OR(F122="",I122=""),"",IF(OR(I122="unknown",I122="not_assessed"),"不可评估",IF(F122=I122,"完全支持",IF(OR(AND(F122="pass",I122="conditional"),AND(F122="conditional",I122="pass")),"部分支持","反例"))))</x:f>
      </x:c>
      <x:c r="K122" s="70" t="str"/>
      <x:c r="L122" s="70" t="str"/>
      <x:c r="M122" s="70" t="str"/>
      <x:c r="N122" s="70" t="str"/>
      <x:c r="O122" s="70" t="str"/>
      <x:c r="P122" s="70" t="str"/>
    </x:row>
    <x:row r="123">
      <x:c r="A123" s="70" t="str">
        <x:v>M5RG-0118</x:v>
      </x:c>
      <x:c r="B123" s="70" t="str">
        <x:v>M5C-015</x:v>
      </x:c>
      <x:c r="C123" s="70" t="str">
        <x:f>IFERROR(VLOOKUP(B123,'02_案例与预测'!$A$6:$E$65,5,FALSE),"")</x:f>
        <x:v>开发集</x:v>
      </x:c>
      <x:c r="D123" s="70" t="str">
        <x:v>RG06</x:v>
      </x:c>
      <x:c r="E123" s="70" t="str">
        <x:v>家庭、婚育与照护责任</x:v>
      </x:c>
      <x:c r="F123" s="70" t="str"/>
      <x:c r="G123" s="70" t="str"/>
      <x:c r="H123" s="70" t="str"/>
      <x:c r="I123" s="70" t="str"/>
      <x:c r="J123" s="70" t="str">
        <x:f>IF(OR(F123="",I123=""),"",IF(OR(I123="unknown",I123="not_assessed"),"不可评估",IF(F123=I123,"完全支持",IF(OR(AND(F123="pass",I123="conditional"),AND(F123="conditional",I123="pass")),"部分支持","反例"))))</x:f>
      </x:c>
      <x:c r="K123" s="70" t="str"/>
      <x:c r="L123" s="70" t="str"/>
      <x:c r="M123" s="70" t="str"/>
      <x:c r="N123" s="70" t="str"/>
      <x:c r="O123" s="70" t="str"/>
      <x:c r="P123" s="70" t="str"/>
    </x:row>
    <x:row r="124">
      <x:c r="A124" s="70" t="str">
        <x:v>M5RG-0119</x:v>
      </x:c>
      <x:c r="B124" s="70" t="str">
        <x:v>M5C-015</x:v>
      </x:c>
      <x:c r="C124" s="70" t="str">
        <x:f>IFERROR(VLOOKUP(B124,'02_案例与预测'!$A$6:$E$65,5,FALSE),"")</x:f>
        <x:v>开发集</x:v>
      </x:c>
      <x:c r="D124" s="70" t="str">
        <x:v>RG07</x:v>
      </x:c>
      <x:c r="E124" s="70" t="str">
        <x:v>身体、亲密、隐私与健康</x:v>
      </x:c>
      <x:c r="F124" s="70" t="str"/>
      <x:c r="G124" s="70" t="str"/>
      <x:c r="H124" s="70" t="str"/>
      <x:c r="I124" s="70" t="str"/>
      <x:c r="J124" s="70" t="str">
        <x:f>IF(OR(F124="",I124=""),"",IF(OR(I124="unknown",I124="not_assessed"),"不可评估",IF(F124=I124,"完全支持",IF(OR(AND(F124="pass",I124="conditional"),AND(F124="conditional",I124="pass")),"部分支持","反例"))))</x:f>
      </x:c>
      <x:c r="K124" s="70" t="str"/>
      <x:c r="L124" s="70" t="str"/>
      <x:c r="M124" s="70" t="str"/>
      <x:c r="N124" s="70" t="str"/>
      <x:c r="O124" s="70" t="str"/>
      <x:c r="P124" s="70" t="str"/>
    </x:row>
    <x:row r="125">
      <x:c r="A125" s="70" t="str">
        <x:v>M5RG-0120</x:v>
      </x:c>
      <x:c r="B125" s="70" t="str">
        <x:v>M5C-015</x:v>
      </x:c>
      <x:c r="C125" s="70" t="str">
        <x:f>IFERROR(VLOOKUP(B125,'02_案例与预测'!$A$6:$E$65,5,FALSE),"")</x:f>
        <x:v>开发集</x:v>
      </x:c>
      <x:c r="D125" s="70" t="str">
        <x:v>RG08</x:v>
      </x:c>
      <x:c r="E125" s="70" t="str">
        <x:v>冲突、修复与学习意愿</x:v>
      </x:c>
      <x:c r="F125" s="70" t="str"/>
      <x:c r="G125" s="70" t="str"/>
      <x:c r="H125" s="70" t="str"/>
      <x:c r="I125" s="70" t="str"/>
      <x:c r="J125" s="70" t="str">
        <x:f>IF(OR(F125="",I125=""),"",IF(OR(I125="unknown",I125="not_assessed"),"不可评估",IF(F125=I125,"完全支持",IF(OR(AND(F125="pass",I125="conditional"),AND(F125="conditional",I125="pass")),"部分支持","反例"))))</x:f>
      </x:c>
      <x:c r="K125" s="70" t="str"/>
      <x:c r="L125" s="70" t="str"/>
      <x:c r="M125" s="70" t="str"/>
      <x:c r="N125" s="70" t="str"/>
      <x:c r="O125" s="70" t="str"/>
      <x:c r="P125" s="70" t="str"/>
    </x:row>
    <x:row r="126">
      <x:c r="A126" s="70" t="str">
        <x:v>M5RG-0121</x:v>
      </x:c>
      <x:c r="B126" s="70" t="str">
        <x:v>M5C-016</x:v>
      </x:c>
      <x:c r="C126" s="70" t="str">
        <x:f>IFERROR(VLOOKUP(B126,'02_案例与预测'!$A$6:$E$65,5,FALSE),"")</x:f>
        <x:v>开发集</x:v>
      </x:c>
      <x:c r="D126" s="70" t="str">
        <x:v>RG01</x:v>
      </x:c>
      <x:c r="E126" s="70" t="str">
        <x:v>安全、同意与尊重</x:v>
      </x:c>
      <x:c r="F126" s="70" t="str"/>
      <x:c r="G126" s="70" t="str"/>
      <x:c r="H126" s="70" t="str"/>
      <x:c r="I126" s="70" t="str"/>
      <x:c r="J126" s="70" t="str">
        <x:f>IF(OR(F126="",I126=""),"",IF(OR(I126="unknown",I126="not_assessed"),"不可评估",IF(F126=I126,"完全支持",IF(OR(AND(F126="pass",I126="conditional"),AND(F126="conditional",I126="pass")),"部分支持","反例"))))</x:f>
      </x:c>
      <x:c r="K126" s="70" t="str"/>
      <x:c r="L126" s="70" t="str"/>
      <x:c r="M126" s="70" t="str"/>
      <x:c r="N126" s="70" t="str"/>
      <x:c r="O126" s="70" t="str"/>
      <x:c r="P126" s="70" t="str"/>
    </x:row>
    <x:row r="127">
      <x:c r="A127" s="70" t="str">
        <x:v>M5RG-0122</x:v>
      </x:c>
      <x:c r="B127" s="70" t="str">
        <x:v>M5C-016</x:v>
      </x:c>
      <x:c r="C127" s="70" t="str">
        <x:f>IFERROR(VLOOKUP(B127,'02_案例与预测'!$A$6:$E$65,5,FALSE),"")</x:f>
        <x:v>开发集</x:v>
      </x:c>
      <x:c r="D127" s="70" t="str">
        <x:v>RG02</x:v>
      </x:c>
      <x:c r="E127" s="70" t="str">
        <x:v>关系意图与承诺</x:v>
      </x:c>
      <x:c r="F127" s="70" t="str"/>
      <x:c r="G127" s="70" t="str"/>
      <x:c r="H127" s="70" t="str"/>
      <x:c r="I127" s="70" t="str"/>
      <x:c r="J127" s="70" t="str">
        <x:f>IF(OR(F127="",I127=""),"",IF(OR(I127="unknown",I127="not_assessed"),"不可评估",IF(F127=I127,"完全支持",IF(OR(AND(F127="pass",I127="conditional"),AND(F127="conditional",I127="pass")),"部分支持","反例"))))</x:f>
      </x:c>
      <x:c r="K127" s="70" t="str"/>
      <x:c r="L127" s="70" t="str"/>
      <x:c r="M127" s="70" t="str"/>
      <x:c r="N127" s="70" t="str"/>
      <x:c r="O127" s="70" t="str"/>
      <x:c r="P127" s="70" t="str"/>
    </x:row>
    <x:row r="128">
      <x:c r="A128" s="70" t="str">
        <x:v>M5RG-0123</x:v>
      </x:c>
      <x:c r="B128" s="70" t="str">
        <x:v>M5C-016</x:v>
      </x:c>
      <x:c r="C128" s="70" t="str">
        <x:f>IFERROR(VLOOKUP(B128,'02_案例与预测'!$A$6:$E$65,5,FALSE),"")</x:f>
        <x:v>开发集</x:v>
      </x:c>
      <x:c r="D128" s="70" t="str">
        <x:v>RG03</x:v>
      </x:c>
      <x:c r="E128" s="70" t="str">
        <x:v>价值观与人生目标</x:v>
      </x:c>
      <x:c r="F128" s="70" t="str"/>
      <x:c r="G128" s="70" t="str"/>
      <x:c r="H128" s="70" t="str"/>
      <x:c r="I128" s="70" t="str"/>
      <x:c r="J128" s="70" t="str">
        <x:f>IF(OR(F128="",I128=""),"",IF(OR(I128="unknown",I128="not_assessed"),"不可评估",IF(F128=I128,"完全支持",IF(OR(AND(F128="pass",I128="conditional"),AND(F128="conditional",I128="pass")),"部分支持","反例"))))</x:f>
      </x:c>
      <x:c r="K128" s="70" t="str"/>
      <x:c r="L128" s="70" t="str"/>
      <x:c r="M128" s="70" t="str"/>
      <x:c r="N128" s="70" t="str"/>
      <x:c r="O128" s="70" t="str"/>
      <x:c r="P128" s="70" t="str"/>
    </x:row>
    <x:row r="129">
      <x:c r="A129" s="70" t="str">
        <x:v>M5RG-0124</x:v>
      </x:c>
      <x:c r="B129" s="70" t="str">
        <x:v>M5C-016</x:v>
      </x:c>
      <x:c r="C129" s="70" t="str">
        <x:f>IFERROR(VLOOKUP(B129,'02_案例与预测'!$A$6:$E$65,5,FALSE),"")</x:f>
        <x:v>开发集</x:v>
      </x:c>
      <x:c r="D129" s="70" t="str">
        <x:v>RG04</x:v>
      </x:c>
      <x:c r="E129" s="70" t="str">
        <x:v>时间、地域与生活节奏</x:v>
      </x:c>
      <x:c r="F129" s="70" t="str"/>
      <x:c r="G129" s="70" t="str"/>
      <x:c r="H129" s="70" t="str"/>
      <x:c r="I129" s="70" t="str"/>
      <x:c r="J129" s="70" t="str">
        <x:f>IF(OR(F129="",I129=""),"",IF(OR(I129="unknown",I129="not_assessed"),"不可评估",IF(F129=I129,"完全支持",IF(OR(AND(F129="pass",I129="conditional"),AND(F129="conditional",I129="pass")),"部分支持","反例"))))</x:f>
      </x:c>
      <x:c r="K129" s="70" t="str"/>
      <x:c r="L129" s="70" t="str"/>
      <x:c r="M129" s="70" t="str"/>
      <x:c r="N129" s="70" t="str"/>
      <x:c r="O129" s="70" t="str"/>
      <x:c r="P129" s="70" t="str"/>
    </x:row>
    <x:row r="130">
      <x:c r="A130" s="70" t="str">
        <x:v>M5RG-0125</x:v>
      </x:c>
      <x:c r="B130" s="70" t="str">
        <x:v>M5C-016</x:v>
      </x:c>
      <x:c r="C130" s="70" t="str">
        <x:f>IFERROR(VLOOKUP(B130,'02_案例与预测'!$A$6:$E$65,5,FALSE),"")</x:f>
        <x:v>开发集</x:v>
      </x:c>
      <x:c r="D130" s="70" t="str">
        <x:v>RG05</x:v>
      </x:c>
      <x:c r="E130" s="70" t="str">
        <x:v>金钱、资源与劳动分配</x:v>
      </x:c>
      <x:c r="F130" s="70" t="str"/>
      <x:c r="G130" s="70" t="str"/>
      <x:c r="H130" s="70" t="str"/>
      <x:c r="I130" s="70" t="str"/>
      <x:c r="J130" s="70" t="str">
        <x:f>IF(OR(F130="",I130=""),"",IF(OR(I130="unknown",I130="not_assessed"),"不可评估",IF(F130=I130,"完全支持",IF(OR(AND(F130="pass",I130="conditional"),AND(F130="conditional",I130="pass")),"部分支持","反例"))))</x:f>
      </x:c>
      <x:c r="K130" s="70" t="str"/>
      <x:c r="L130" s="70" t="str"/>
      <x:c r="M130" s="70" t="str"/>
      <x:c r="N130" s="70" t="str"/>
      <x:c r="O130" s="70" t="str"/>
      <x:c r="P130" s="70" t="str"/>
    </x:row>
    <x:row r="131">
      <x:c r="A131" s="70" t="str">
        <x:v>M5RG-0126</x:v>
      </x:c>
      <x:c r="B131" s="70" t="str">
        <x:v>M5C-016</x:v>
      </x:c>
      <x:c r="C131" s="70" t="str">
        <x:f>IFERROR(VLOOKUP(B131,'02_案例与预测'!$A$6:$E$65,5,FALSE),"")</x:f>
        <x:v>开发集</x:v>
      </x:c>
      <x:c r="D131" s="70" t="str">
        <x:v>RG06</x:v>
      </x:c>
      <x:c r="E131" s="70" t="str">
        <x:v>家庭、婚育与照护责任</x:v>
      </x:c>
      <x:c r="F131" s="70" t="str"/>
      <x:c r="G131" s="70" t="str"/>
      <x:c r="H131" s="70" t="str"/>
      <x:c r="I131" s="70" t="str"/>
      <x:c r="J131" s="70" t="str">
        <x:f>IF(OR(F131="",I131=""),"",IF(OR(I131="unknown",I131="not_assessed"),"不可评估",IF(F131=I131,"完全支持",IF(OR(AND(F131="pass",I131="conditional"),AND(F131="conditional",I131="pass")),"部分支持","反例"))))</x:f>
      </x:c>
      <x:c r="K131" s="70" t="str"/>
      <x:c r="L131" s="70" t="str"/>
      <x:c r="M131" s="70" t="str"/>
      <x:c r="N131" s="70" t="str"/>
      <x:c r="O131" s="70" t="str"/>
      <x:c r="P131" s="70" t="str"/>
    </x:row>
    <x:row r="132">
      <x:c r="A132" s="70" t="str">
        <x:v>M5RG-0127</x:v>
      </x:c>
      <x:c r="B132" s="70" t="str">
        <x:v>M5C-016</x:v>
      </x:c>
      <x:c r="C132" s="70" t="str">
        <x:f>IFERROR(VLOOKUP(B132,'02_案例与预测'!$A$6:$E$65,5,FALSE),"")</x:f>
        <x:v>开发集</x:v>
      </x:c>
      <x:c r="D132" s="70" t="str">
        <x:v>RG07</x:v>
      </x:c>
      <x:c r="E132" s="70" t="str">
        <x:v>身体、亲密、隐私与健康</x:v>
      </x:c>
      <x:c r="F132" s="70" t="str"/>
      <x:c r="G132" s="70" t="str"/>
      <x:c r="H132" s="70" t="str"/>
      <x:c r="I132" s="70" t="str"/>
      <x:c r="J132" s="70" t="str">
        <x:f>IF(OR(F132="",I132=""),"",IF(OR(I132="unknown",I132="not_assessed"),"不可评估",IF(F132=I132,"完全支持",IF(OR(AND(F132="pass",I132="conditional"),AND(F132="conditional",I132="pass")),"部分支持","反例"))))</x:f>
      </x:c>
      <x:c r="K132" s="70" t="str"/>
      <x:c r="L132" s="70" t="str"/>
      <x:c r="M132" s="70" t="str"/>
      <x:c r="N132" s="70" t="str"/>
      <x:c r="O132" s="70" t="str"/>
      <x:c r="P132" s="70" t="str"/>
    </x:row>
    <x:row r="133">
      <x:c r="A133" s="70" t="str">
        <x:v>M5RG-0128</x:v>
      </x:c>
      <x:c r="B133" s="70" t="str">
        <x:v>M5C-016</x:v>
      </x:c>
      <x:c r="C133" s="70" t="str">
        <x:f>IFERROR(VLOOKUP(B133,'02_案例与预测'!$A$6:$E$65,5,FALSE),"")</x:f>
        <x:v>开发集</x:v>
      </x:c>
      <x:c r="D133" s="70" t="str">
        <x:v>RG08</x:v>
      </x:c>
      <x:c r="E133" s="70" t="str">
        <x:v>冲突、修复与学习意愿</x:v>
      </x:c>
      <x:c r="F133" s="70" t="str"/>
      <x:c r="G133" s="70" t="str"/>
      <x:c r="H133" s="70" t="str"/>
      <x:c r="I133" s="70" t="str"/>
      <x:c r="J133" s="70" t="str">
        <x:f>IF(OR(F133="",I133=""),"",IF(OR(I133="unknown",I133="not_assessed"),"不可评估",IF(F133=I133,"完全支持",IF(OR(AND(F133="pass",I133="conditional"),AND(F133="conditional",I133="pass")),"部分支持","反例"))))</x:f>
      </x:c>
      <x:c r="K133" s="70" t="str"/>
      <x:c r="L133" s="70" t="str"/>
      <x:c r="M133" s="70" t="str"/>
      <x:c r="N133" s="70" t="str"/>
      <x:c r="O133" s="70" t="str"/>
      <x:c r="P133" s="70" t="str"/>
    </x:row>
    <x:row r="134">
      <x:c r="A134" s="70" t="str">
        <x:v>M5RG-0129</x:v>
      </x:c>
      <x:c r="B134" s="70" t="str">
        <x:v>M5C-017</x:v>
      </x:c>
      <x:c r="C134" s="70" t="str">
        <x:f>IFERROR(VLOOKUP(B134,'02_案例与预测'!$A$6:$E$65,5,FALSE),"")</x:f>
        <x:v>开发集</x:v>
      </x:c>
      <x:c r="D134" s="70" t="str">
        <x:v>RG01</x:v>
      </x:c>
      <x:c r="E134" s="70" t="str">
        <x:v>安全、同意与尊重</x:v>
      </x:c>
      <x:c r="F134" s="70" t="str"/>
      <x:c r="G134" s="70" t="str"/>
      <x:c r="H134" s="70" t="str"/>
      <x:c r="I134" s="70" t="str"/>
      <x:c r="J134" s="70" t="str">
        <x:f>IF(OR(F134="",I134=""),"",IF(OR(I134="unknown",I134="not_assessed"),"不可评估",IF(F134=I134,"完全支持",IF(OR(AND(F134="pass",I134="conditional"),AND(F134="conditional",I134="pass")),"部分支持","反例"))))</x:f>
      </x:c>
      <x:c r="K134" s="70" t="str"/>
      <x:c r="L134" s="70" t="str"/>
      <x:c r="M134" s="70" t="str"/>
      <x:c r="N134" s="70" t="str"/>
      <x:c r="O134" s="70" t="str"/>
      <x:c r="P134" s="70" t="str"/>
    </x:row>
    <x:row r="135">
      <x:c r="A135" s="70" t="str">
        <x:v>M5RG-0130</x:v>
      </x:c>
      <x:c r="B135" s="70" t="str">
        <x:v>M5C-017</x:v>
      </x:c>
      <x:c r="C135" s="70" t="str">
        <x:f>IFERROR(VLOOKUP(B135,'02_案例与预测'!$A$6:$E$65,5,FALSE),"")</x:f>
        <x:v>开发集</x:v>
      </x:c>
      <x:c r="D135" s="70" t="str">
        <x:v>RG02</x:v>
      </x:c>
      <x:c r="E135" s="70" t="str">
        <x:v>关系意图与承诺</x:v>
      </x:c>
      <x:c r="F135" s="70" t="str"/>
      <x:c r="G135" s="70" t="str"/>
      <x:c r="H135" s="70" t="str"/>
      <x:c r="I135" s="70" t="str"/>
      <x:c r="J135" s="70" t="str">
        <x:f>IF(OR(F135="",I135=""),"",IF(OR(I135="unknown",I135="not_assessed"),"不可评估",IF(F135=I135,"完全支持",IF(OR(AND(F135="pass",I135="conditional"),AND(F135="conditional",I135="pass")),"部分支持","反例"))))</x:f>
      </x:c>
      <x:c r="K135" s="70" t="str"/>
      <x:c r="L135" s="70" t="str"/>
      <x:c r="M135" s="70" t="str"/>
      <x:c r="N135" s="70" t="str"/>
      <x:c r="O135" s="70" t="str"/>
      <x:c r="P135" s="70" t="str"/>
    </x:row>
    <x:row r="136">
      <x:c r="A136" s="70" t="str">
        <x:v>M5RG-0131</x:v>
      </x:c>
      <x:c r="B136" s="70" t="str">
        <x:v>M5C-017</x:v>
      </x:c>
      <x:c r="C136" s="70" t="str">
        <x:f>IFERROR(VLOOKUP(B136,'02_案例与预测'!$A$6:$E$65,5,FALSE),"")</x:f>
        <x:v>开发集</x:v>
      </x:c>
      <x:c r="D136" s="70" t="str">
        <x:v>RG03</x:v>
      </x:c>
      <x:c r="E136" s="70" t="str">
        <x:v>价值观与人生目标</x:v>
      </x:c>
      <x:c r="F136" s="70" t="str"/>
      <x:c r="G136" s="70" t="str"/>
      <x:c r="H136" s="70" t="str"/>
      <x:c r="I136" s="70" t="str"/>
      <x:c r="J136" s="70" t="str">
        <x:f>IF(OR(F136="",I136=""),"",IF(OR(I136="unknown",I136="not_assessed"),"不可评估",IF(F136=I136,"完全支持",IF(OR(AND(F136="pass",I136="conditional"),AND(F136="conditional",I136="pass")),"部分支持","反例"))))</x:f>
      </x:c>
      <x:c r="K136" s="70" t="str"/>
      <x:c r="L136" s="70" t="str"/>
      <x:c r="M136" s="70" t="str"/>
      <x:c r="N136" s="70" t="str"/>
      <x:c r="O136" s="70" t="str"/>
      <x:c r="P136" s="70" t="str"/>
    </x:row>
    <x:row r="137">
      <x:c r="A137" s="70" t="str">
        <x:v>M5RG-0132</x:v>
      </x:c>
      <x:c r="B137" s="70" t="str">
        <x:v>M5C-017</x:v>
      </x:c>
      <x:c r="C137" s="70" t="str">
        <x:f>IFERROR(VLOOKUP(B137,'02_案例与预测'!$A$6:$E$65,5,FALSE),"")</x:f>
        <x:v>开发集</x:v>
      </x:c>
      <x:c r="D137" s="70" t="str">
        <x:v>RG04</x:v>
      </x:c>
      <x:c r="E137" s="70" t="str">
        <x:v>时间、地域与生活节奏</x:v>
      </x:c>
      <x:c r="F137" s="70" t="str"/>
      <x:c r="G137" s="70" t="str"/>
      <x:c r="H137" s="70" t="str"/>
      <x:c r="I137" s="70" t="str"/>
      <x:c r="J137" s="70" t="str">
        <x:f>IF(OR(F137="",I137=""),"",IF(OR(I137="unknown",I137="not_assessed"),"不可评估",IF(F137=I137,"完全支持",IF(OR(AND(F137="pass",I137="conditional"),AND(F137="conditional",I137="pass")),"部分支持","反例"))))</x:f>
      </x:c>
      <x:c r="K137" s="70" t="str"/>
      <x:c r="L137" s="70" t="str"/>
      <x:c r="M137" s="70" t="str"/>
      <x:c r="N137" s="70" t="str"/>
      <x:c r="O137" s="70" t="str"/>
      <x:c r="P137" s="70" t="str"/>
    </x:row>
    <x:row r="138">
      <x:c r="A138" s="70" t="str">
        <x:v>M5RG-0133</x:v>
      </x:c>
      <x:c r="B138" s="70" t="str">
        <x:v>M5C-017</x:v>
      </x:c>
      <x:c r="C138" s="70" t="str">
        <x:f>IFERROR(VLOOKUP(B138,'02_案例与预测'!$A$6:$E$65,5,FALSE),"")</x:f>
        <x:v>开发集</x:v>
      </x:c>
      <x:c r="D138" s="70" t="str">
        <x:v>RG05</x:v>
      </x:c>
      <x:c r="E138" s="70" t="str">
        <x:v>金钱、资源与劳动分配</x:v>
      </x:c>
      <x:c r="F138" s="70" t="str"/>
      <x:c r="G138" s="70" t="str"/>
      <x:c r="H138" s="70" t="str"/>
      <x:c r="I138" s="70" t="str"/>
      <x:c r="J138" s="70" t="str">
        <x:f>IF(OR(F138="",I138=""),"",IF(OR(I138="unknown",I138="not_assessed"),"不可评估",IF(F138=I138,"完全支持",IF(OR(AND(F138="pass",I138="conditional"),AND(F138="conditional",I138="pass")),"部分支持","反例"))))</x:f>
      </x:c>
      <x:c r="K138" s="70" t="str"/>
      <x:c r="L138" s="70" t="str"/>
      <x:c r="M138" s="70" t="str"/>
      <x:c r="N138" s="70" t="str"/>
      <x:c r="O138" s="70" t="str"/>
      <x:c r="P138" s="70" t="str"/>
    </x:row>
    <x:row r="139">
      <x:c r="A139" s="70" t="str">
        <x:v>M5RG-0134</x:v>
      </x:c>
      <x:c r="B139" s="70" t="str">
        <x:v>M5C-017</x:v>
      </x:c>
      <x:c r="C139" s="70" t="str">
        <x:f>IFERROR(VLOOKUP(B139,'02_案例与预测'!$A$6:$E$65,5,FALSE),"")</x:f>
        <x:v>开发集</x:v>
      </x:c>
      <x:c r="D139" s="70" t="str">
        <x:v>RG06</x:v>
      </x:c>
      <x:c r="E139" s="70" t="str">
        <x:v>家庭、婚育与照护责任</x:v>
      </x:c>
      <x:c r="F139" s="70" t="str"/>
      <x:c r="G139" s="70" t="str"/>
      <x:c r="H139" s="70" t="str"/>
      <x:c r="I139" s="70" t="str"/>
      <x:c r="J139" s="70" t="str">
        <x:f>IF(OR(F139="",I139=""),"",IF(OR(I139="unknown",I139="not_assessed"),"不可评估",IF(F139=I139,"完全支持",IF(OR(AND(F139="pass",I139="conditional"),AND(F139="conditional",I139="pass")),"部分支持","反例"))))</x:f>
      </x:c>
      <x:c r="K139" s="70" t="str"/>
      <x:c r="L139" s="70" t="str"/>
      <x:c r="M139" s="70" t="str"/>
      <x:c r="N139" s="70" t="str"/>
      <x:c r="O139" s="70" t="str"/>
      <x:c r="P139" s="70" t="str"/>
    </x:row>
    <x:row r="140">
      <x:c r="A140" s="70" t="str">
        <x:v>M5RG-0135</x:v>
      </x:c>
      <x:c r="B140" s="70" t="str">
        <x:v>M5C-017</x:v>
      </x:c>
      <x:c r="C140" s="70" t="str">
        <x:f>IFERROR(VLOOKUP(B140,'02_案例与预测'!$A$6:$E$65,5,FALSE),"")</x:f>
        <x:v>开发集</x:v>
      </x:c>
      <x:c r="D140" s="70" t="str">
        <x:v>RG07</x:v>
      </x:c>
      <x:c r="E140" s="70" t="str">
        <x:v>身体、亲密、隐私与健康</x:v>
      </x:c>
      <x:c r="F140" s="70" t="str"/>
      <x:c r="G140" s="70" t="str"/>
      <x:c r="H140" s="70" t="str"/>
      <x:c r="I140" s="70" t="str"/>
      <x:c r="J140" s="70" t="str">
        <x:f>IF(OR(F140="",I140=""),"",IF(OR(I140="unknown",I140="not_assessed"),"不可评估",IF(F140=I140,"完全支持",IF(OR(AND(F140="pass",I140="conditional"),AND(F140="conditional",I140="pass")),"部分支持","反例"))))</x:f>
      </x:c>
      <x:c r="K140" s="70" t="str"/>
      <x:c r="L140" s="70" t="str"/>
      <x:c r="M140" s="70" t="str"/>
      <x:c r="N140" s="70" t="str"/>
      <x:c r="O140" s="70" t="str"/>
      <x:c r="P140" s="70" t="str"/>
    </x:row>
    <x:row r="141">
      <x:c r="A141" s="70" t="str">
        <x:v>M5RG-0136</x:v>
      </x:c>
      <x:c r="B141" s="70" t="str">
        <x:v>M5C-017</x:v>
      </x:c>
      <x:c r="C141" s="70" t="str">
        <x:f>IFERROR(VLOOKUP(B141,'02_案例与预测'!$A$6:$E$65,5,FALSE),"")</x:f>
        <x:v>开发集</x:v>
      </x:c>
      <x:c r="D141" s="70" t="str">
        <x:v>RG08</x:v>
      </x:c>
      <x:c r="E141" s="70" t="str">
        <x:v>冲突、修复与学习意愿</x:v>
      </x:c>
      <x:c r="F141" s="70" t="str"/>
      <x:c r="G141" s="70" t="str"/>
      <x:c r="H141" s="70" t="str"/>
      <x:c r="I141" s="70" t="str"/>
      <x:c r="J141" s="70" t="str">
        <x:f>IF(OR(F141="",I141=""),"",IF(OR(I141="unknown",I141="not_assessed"),"不可评估",IF(F141=I141,"完全支持",IF(OR(AND(F141="pass",I141="conditional"),AND(F141="conditional",I141="pass")),"部分支持","反例"))))</x:f>
      </x:c>
      <x:c r="K141" s="70" t="str"/>
      <x:c r="L141" s="70" t="str"/>
      <x:c r="M141" s="70" t="str"/>
      <x:c r="N141" s="70" t="str"/>
      <x:c r="O141" s="70" t="str"/>
      <x:c r="P141" s="70" t="str"/>
    </x:row>
    <x:row r="142">
      <x:c r="A142" s="70" t="str">
        <x:v>M5RG-0137</x:v>
      </x:c>
      <x:c r="B142" s="70" t="str">
        <x:v>M5C-018</x:v>
      </x:c>
      <x:c r="C142" s="70" t="str">
        <x:f>IFERROR(VLOOKUP(B142,'02_案例与预测'!$A$6:$E$65,5,FALSE),"")</x:f>
        <x:v>留出集</x:v>
      </x:c>
      <x:c r="D142" s="70" t="str">
        <x:v>RG01</x:v>
      </x:c>
      <x:c r="E142" s="70" t="str">
        <x:v>安全、同意与尊重</x:v>
      </x:c>
      <x:c r="F142" s="70" t="str"/>
      <x:c r="G142" s="70" t="str"/>
      <x:c r="H142" s="70" t="str"/>
      <x:c r="I142" s="70" t="str"/>
      <x:c r="J142" s="70" t="str">
        <x:f>IF(OR(F142="",I142=""),"",IF(OR(I142="unknown",I142="not_assessed"),"不可评估",IF(F142=I142,"完全支持",IF(OR(AND(F142="pass",I142="conditional"),AND(F142="conditional",I142="pass")),"部分支持","反例"))))</x:f>
      </x:c>
      <x:c r="K142" s="70" t="str"/>
      <x:c r="L142" s="70" t="str"/>
      <x:c r="M142" s="70" t="str"/>
      <x:c r="N142" s="70" t="str"/>
      <x:c r="O142" s="70" t="str"/>
      <x:c r="P142" s="70" t="str"/>
    </x:row>
    <x:row r="143">
      <x:c r="A143" s="70" t="str">
        <x:v>M5RG-0138</x:v>
      </x:c>
      <x:c r="B143" s="70" t="str">
        <x:v>M5C-018</x:v>
      </x:c>
      <x:c r="C143" s="70" t="str">
        <x:f>IFERROR(VLOOKUP(B143,'02_案例与预测'!$A$6:$E$65,5,FALSE),"")</x:f>
        <x:v>留出集</x:v>
      </x:c>
      <x:c r="D143" s="70" t="str">
        <x:v>RG02</x:v>
      </x:c>
      <x:c r="E143" s="70" t="str">
        <x:v>关系意图与承诺</x:v>
      </x:c>
      <x:c r="F143" s="70" t="str"/>
      <x:c r="G143" s="70" t="str"/>
      <x:c r="H143" s="70" t="str"/>
      <x:c r="I143" s="70" t="str"/>
      <x:c r="J143" s="70" t="str">
        <x:f>IF(OR(F143="",I143=""),"",IF(OR(I143="unknown",I143="not_assessed"),"不可评估",IF(F143=I143,"完全支持",IF(OR(AND(F143="pass",I143="conditional"),AND(F143="conditional",I143="pass")),"部分支持","反例"))))</x:f>
      </x:c>
      <x:c r="K143" s="70" t="str"/>
      <x:c r="L143" s="70" t="str"/>
      <x:c r="M143" s="70" t="str"/>
      <x:c r="N143" s="70" t="str"/>
      <x:c r="O143" s="70" t="str"/>
      <x:c r="P143" s="70" t="str"/>
    </x:row>
    <x:row r="144">
      <x:c r="A144" s="70" t="str">
        <x:v>M5RG-0139</x:v>
      </x:c>
      <x:c r="B144" s="70" t="str">
        <x:v>M5C-018</x:v>
      </x:c>
      <x:c r="C144" s="70" t="str">
        <x:f>IFERROR(VLOOKUP(B144,'02_案例与预测'!$A$6:$E$65,5,FALSE),"")</x:f>
        <x:v>留出集</x:v>
      </x:c>
      <x:c r="D144" s="70" t="str">
        <x:v>RG03</x:v>
      </x:c>
      <x:c r="E144" s="70" t="str">
        <x:v>价值观与人生目标</x:v>
      </x:c>
      <x:c r="F144" s="70" t="str"/>
      <x:c r="G144" s="70" t="str"/>
      <x:c r="H144" s="70" t="str"/>
      <x:c r="I144" s="70" t="str"/>
      <x:c r="J144" s="70" t="str">
        <x:f>IF(OR(F144="",I144=""),"",IF(OR(I144="unknown",I144="not_assessed"),"不可评估",IF(F144=I144,"完全支持",IF(OR(AND(F144="pass",I144="conditional"),AND(F144="conditional",I144="pass")),"部分支持","反例"))))</x:f>
      </x:c>
      <x:c r="K144" s="70" t="str"/>
      <x:c r="L144" s="70" t="str"/>
      <x:c r="M144" s="70" t="str"/>
      <x:c r="N144" s="70" t="str"/>
      <x:c r="O144" s="70" t="str"/>
      <x:c r="P144" s="70" t="str"/>
    </x:row>
    <x:row r="145">
      <x:c r="A145" s="70" t="str">
        <x:v>M5RG-0140</x:v>
      </x:c>
      <x:c r="B145" s="70" t="str">
        <x:v>M5C-018</x:v>
      </x:c>
      <x:c r="C145" s="70" t="str">
        <x:f>IFERROR(VLOOKUP(B145,'02_案例与预测'!$A$6:$E$65,5,FALSE),"")</x:f>
        <x:v>留出集</x:v>
      </x:c>
      <x:c r="D145" s="70" t="str">
        <x:v>RG04</x:v>
      </x:c>
      <x:c r="E145" s="70" t="str">
        <x:v>时间、地域与生活节奏</x:v>
      </x:c>
      <x:c r="F145" s="70" t="str"/>
      <x:c r="G145" s="70" t="str"/>
      <x:c r="H145" s="70" t="str"/>
      <x:c r="I145" s="70" t="str"/>
      <x:c r="J145" s="70" t="str">
        <x:f>IF(OR(F145="",I145=""),"",IF(OR(I145="unknown",I145="not_assessed"),"不可评估",IF(F145=I145,"完全支持",IF(OR(AND(F145="pass",I145="conditional"),AND(F145="conditional",I145="pass")),"部分支持","反例"))))</x:f>
      </x:c>
      <x:c r="K145" s="70" t="str"/>
      <x:c r="L145" s="70" t="str"/>
      <x:c r="M145" s="70" t="str"/>
      <x:c r="N145" s="70" t="str"/>
      <x:c r="O145" s="70" t="str"/>
      <x:c r="P145" s="70" t="str"/>
    </x:row>
    <x:row r="146">
      <x:c r="A146" s="70" t="str">
        <x:v>M5RG-0141</x:v>
      </x:c>
      <x:c r="B146" s="70" t="str">
        <x:v>M5C-018</x:v>
      </x:c>
      <x:c r="C146" s="70" t="str">
        <x:f>IFERROR(VLOOKUP(B146,'02_案例与预测'!$A$6:$E$65,5,FALSE),"")</x:f>
        <x:v>留出集</x:v>
      </x:c>
      <x:c r="D146" s="70" t="str">
        <x:v>RG05</x:v>
      </x:c>
      <x:c r="E146" s="70" t="str">
        <x:v>金钱、资源与劳动分配</x:v>
      </x:c>
      <x:c r="F146" s="70" t="str"/>
      <x:c r="G146" s="70" t="str"/>
      <x:c r="H146" s="70" t="str"/>
      <x:c r="I146" s="70" t="str"/>
      <x:c r="J146" s="70" t="str">
        <x:f>IF(OR(F146="",I146=""),"",IF(OR(I146="unknown",I146="not_assessed"),"不可评估",IF(F146=I146,"完全支持",IF(OR(AND(F146="pass",I146="conditional"),AND(F146="conditional",I146="pass")),"部分支持","反例"))))</x:f>
      </x:c>
      <x:c r="K146" s="70" t="str"/>
      <x:c r="L146" s="70" t="str"/>
      <x:c r="M146" s="70" t="str"/>
      <x:c r="N146" s="70" t="str"/>
      <x:c r="O146" s="70" t="str"/>
      <x:c r="P146" s="70" t="str"/>
    </x:row>
    <x:row r="147">
      <x:c r="A147" s="70" t="str">
        <x:v>M5RG-0142</x:v>
      </x:c>
      <x:c r="B147" s="70" t="str">
        <x:v>M5C-018</x:v>
      </x:c>
      <x:c r="C147" s="70" t="str">
        <x:f>IFERROR(VLOOKUP(B147,'02_案例与预测'!$A$6:$E$65,5,FALSE),"")</x:f>
        <x:v>留出集</x:v>
      </x:c>
      <x:c r="D147" s="70" t="str">
        <x:v>RG06</x:v>
      </x:c>
      <x:c r="E147" s="70" t="str">
        <x:v>家庭、婚育与照护责任</x:v>
      </x:c>
      <x:c r="F147" s="70" t="str"/>
      <x:c r="G147" s="70" t="str"/>
      <x:c r="H147" s="70" t="str"/>
      <x:c r="I147" s="70" t="str"/>
      <x:c r="J147" s="70" t="str">
        <x:f>IF(OR(F147="",I147=""),"",IF(OR(I147="unknown",I147="not_assessed"),"不可评估",IF(F147=I147,"完全支持",IF(OR(AND(F147="pass",I147="conditional"),AND(F147="conditional",I147="pass")),"部分支持","反例"))))</x:f>
      </x:c>
      <x:c r="K147" s="70" t="str"/>
      <x:c r="L147" s="70" t="str"/>
      <x:c r="M147" s="70" t="str"/>
      <x:c r="N147" s="70" t="str"/>
      <x:c r="O147" s="70" t="str"/>
      <x:c r="P147" s="70" t="str"/>
    </x:row>
    <x:row r="148">
      <x:c r="A148" s="70" t="str">
        <x:v>M5RG-0143</x:v>
      </x:c>
      <x:c r="B148" s="70" t="str">
        <x:v>M5C-018</x:v>
      </x:c>
      <x:c r="C148" s="70" t="str">
        <x:f>IFERROR(VLOOKUP(B148,'02_案例与预测'!$A$6:$E$65,5,FALSE),"")</x:f>
        <x:v>留出集</x:v>
      </x:c>
      <x:c r="D148" s="70" t="str">
        <x:v>RG07</x:v>
      </x:c>
      <x:c r="E148" s="70" t="str">
        <x:v>身体、亲密、隐私与健康</x:v>
      </x:c>
      <x:c r="F148" s="70" t="str"/>
      <x:c r="G148" s="70" t="str"/>
      <x:c r="H148" s="70" t="str"/>
      <x:c r="I148" s="70" t="str"/>
      <x:c r="J148" s="70" t="str">
        <x:f>IF(OR(F148="",I148=""),"",IF(OR(I148="unknown",I148="not_assessed"),"不可评估",IF(F148=I148,"完全支持",IF(OR(AND(F148="pass",I148="conditional"),AND(F148="conditional",I148="pass")),"部分支持","反例"))))</x:f>
      </x:c>
      <x:c r="K148" s="70" t="str"/>
      <x:c r="L148" s="70" t="str"/>
      <x:c r="M148" s="70" t="str"/>
      <x:c r="N148" s="70" t="str"/>
      <x:c r="O148" s="70" t="str"/>
      <x:c r="P148" s="70" t="str"/>
    </x:row>
    <x:row r="149">
      <x:c r="A149" s="70" t="str">
        <x:v>M5RG-0144</x:v>
      </x:c>
      <x:c r="B149" s="70" t="str">
        <x:v>M5C-018</x:v>
      </x:c>
      <x:c r="C149" s="70" t="str">
        <x:f>IFERROR(VLOOKUP(B149,'02_案例与预测'!$A$6:$E$65,5,FALSE),"")</x:f>
        <x:v>留出集</x:v>
      </x:c>
      <x:c r="D149" s="70" t="str">
        <x:v>RG08</x:v>
      </x:c>
      <x:c r="E149" s="70" t="str">
        <x:v>冲突、修复与学习意愿</x:v>
      </x:c>
      <x:c r="F149" s="70" t="str"/>
      <x:c r="G149" s="70" t="str"/>
      <x:c r="H149" s="70" t="str"/>
      <x:c r="I149" s="70" t="str"/>
      <x:c r="J149" s="70" t="str">
        <x:f>IF(OR(F149="",I149=""),"",IF(OR(I149="unknown",I149="not_assessed"),"不可评估",IF(F149=I149,"完全支持",IF(OR(AND(F149="pass",I149="conditional"),AND(F149="conditional",I149="pass")),"部分支持","反例"))))</x:f>
      </x:c>
      <x:c r="K149" s="70" t="str"/>
      <x:c r="L149" s="70" t="str"/>
      <x:c r="M149" s="70" t="str"/>
      <x:c r="N149" s="70" t="str"/>
      <x:c r="O149" s="70" t="str"/>
      <x:c r="P149" s="70" t="str"/>
    </x:row>
    <x:row r="150">
      <x:c r="A150" s="70" t="str">
        <x:v>M5RG-0145</x:v>
      </x:c>
      <x:c r="B150" s="70" t="str">
        <x:v>M5C-019</x:v>
      </x:c>
      <x:c r="C150" s="70" t="str">
        <x:f>IFERROR(VLOOKUP(B150,'02_案例与预测'!$A$6:$E$65,5,FALSE),"")</x:f>
        <x:v>留出集</x:v>
      </x:c>
      <x:c r="D150" s="70" t="str">
        <x:v>RG01</x:v>
      </x:c>
      <x:c r="E150" s="70" t="str">
        <x:v>安全、同意与尊重</x:v>
      </x:c>
      <x:c r="F150" s="70" t="str"/>
      <x:c r="G150" s="70" t="str"/>
      <x:c r="H150" s="70" t="str"/>
      <x:c r="I150" s="70" t="str"/>
      <x:c r="J150" s="70" t="str">
        <x:f>IF(OR(F150="",I150=""),"",IF(OR(I150="unknown",I150="not_assessed"),"不可评估",IF(F150=I150,"完全支持",IF(OR(AND(F150="pass",I150="conditional"),AND(F150="conditional",I150="pass")),"部分支持","反例"))))</x:f>
      </x:c>
      <x:c r="K150" s="70" t="str"/>
      <x:c r="L150" s="70" t="str"/>
      <x:c r="M150" s="70" t="str"/>
      <x:c r="N150" s="70" t="str"/>
      <x:c r="O150" s="70" t="str"/>
      <x:c r="P150" s="70" t="str"/>
    </x:row>
    <x:row r="151">
      <x:c r="A151" s="70" t="str">
        <x:v>M5RG-0146</x:v>
      </x:c>
      <x:c r="B151" s="70" t="str">
        <x:v>M5C-019</x:v>
      </x:c>
      <x:c r="C151" s="70" t="str">
        <x:f>IFERROR(VLOOKUP(B151,'02_案例与预测'!$A$6:$E$65,5,FALSE),"")</x:f>
        <x:v>留出集</x:v>
      </x:c>
      <x:c r="D151" s="70" t="str">
        <x:v>RG02</x:v>
      </x:c>
      <x:c r="E151" s="70" t="str">
        <x:v>关系意图与承诺</x:v>
      </x:c>
      <x:c r="F151" s="70" t="str"/>
      <x:c r="G151" s="70" t="str"/>
      <x:c r="H151" s="70" t="str"/>
      <x:c r="I151" s="70" t="str"/>
      <x:c r="J151" s="70" t="str">
        <x:f>IF(OR(F151="",I151=""),"",IF(OR(I151="unknown",I151="not_assessed"),"不可评估",IF(F151=I151,"完全支持",IF(OR(AND(F151="pass",I151="conditional"),AND(F151="conditional",I151="pass")),"部分支持","反例"))))</x:f>
      </x:c>
      <x:c r="K151" s="70" t="str"/>
      <x:c r="L151" s="70" t="str"/>
      <x:c r="M151" s="70" t="str"/>
      <x:c r="N151" s="70" t="str"/>
      <x:c r="O151" s="70" t="str"/>
      <x:c r="P151" s="70" t="str"/>
    </x:row>
    <x:row r="152">
      <x:c r="A152" s="70" t="str">
        <x:v>M5RG-0147</x:v>
      </x:c>
      <x:c r="B152" s="70" t="str">
        <x:v>M5C-019</x:v>
      </x:c>
      <x:c r="C152" s="70" t="str">
        <x:f>IFERROR(VLOOKUP(B152,'02_案例与预测'!$A$6:$E$65,5,FALSE),"")</x:f>
        <x:v>留出集</x:v>
      </x:c>
      <x:c r="D152" s="70" t="str">
        <x:v>RG03</x:v>
      </x:c>
      <x:c r="E152" s="70" t="str">
        <x:v>价值观与人生目标</x:v>
      </x:c>
      <x:c r="F152" s="70" t="str"/>
      <x:c r="G152" s="70" t="str"/>
      <x:c r="H152" s="70" t="str"/>
      <x:c r="I152" s="70" t="str"/>
      <x:c r="J152" s="70" t="str">
        <x:f>IF(OR(F152="",I152=""),"",IF(OR(I152="unknown",I152="not_assessed"),"不可评估",IF(F152=I152,"完全支持",IF(OR(AND(F152="pass",I152="conditional"),AND(F152="conditional",I152="pass")),"部分支持","反例"))))</x:f>
      </x:c>
      <x:c r="K152" s="70" t="str"/>
      <x:c r="L152" s="70" t="str"/>
      <x:c r="M152" s="70" t="str"/>
      <x:c r="N152" s="70" t="str"/>
      <x:c r="O152" s="70" t="str"/>
      <x:c r="P152" s="70" t="str"/>
    </x:row>
    <x:row r="153">
      <x:c r="A153" s="70" t="str">
        <x:v>M5RG-0148</x:v>
      </x:c>
      <x:c r="B153" s="70" t="str">
        <x:v>M5C-019</x:v>
      </x:c>
      <x:c r="C153" s="70" t="str">
        <x:f>IFERROR(VLOOKUP(B153,'02_案例与预测'!$A$6:$E$65,5,FALSE),"")</x:f>
        <x:v>留出集</x:v>
      </x:c>
      <x:c r="D153" s="70" t="str">
        <x:v>RG04</x:v>
      </x:c>
      <x:c r="E153" s="70" t="str">
        <x:v>时间、地域与生活节奏</x:v>
      </x:c>
      <x:c r="F153" s="70" t="str"/>
      <x:c r="G153" s="70" t="str"/>
      <x:c r="H153" s="70" t="str"/>
      <x:c r="I153" s="70" t="str"/>
      <x:c r="J153" s="70" t="str">
        <x:f>IF(OR(F153="",I153=""),"",IF(OR(I153="unknown",I153="not_assessed"),"不可评估",IF(F153=I153,"完全支持",IF(OR(AND(F153="pass",I153="conditional"),AND(F153="conditional",I153="pass")),"部分支持","反例"))))</x:f>
      </x:c>
      <x:c r="K153" s="70" t="str"/>
      <x:c r="L153" s="70" t="str"/>
      <x:c r="M153" s="70" t="str"/>
      <x:c r="N153" s="70" t="str"/>
      <x:c r="O153" s="70" t="str"/>
      <x:c r="P153" s="70" t="str"/>
    </x:row>
    <x:row r="154">
      <x:c r="A154" s="70" t="str">
        <x:v>M5RG-0149</x:v>
      </x:c>
      <x:c r="B154" s="70" t="str">
        <x:v>M5C-019</x:v>
      </x:c>
      <x:c r="C154" s="70" t="str">
        <x:f>IFERROR(VLOOKUP(B154,'02_案例与预测'!$A$6:$E$65,5,FALSE),"")</x:f>
        <x:v>留出集</x:v>
      </x:c>
      <x:c r="D154" s="70" t="str">
        <x:v>RG05</x:v>
      </x:c>
      <x:c r="E154" s="70" t="str">
        <x:v>金钱、资源与劳动分配</x:v>
      </x:c>
      <x:c r="F154" s="70" t="str"/>
      <x:c r="G154" s="70" t="str"/>
      <x:c r="H154" s="70" t="str"/>
      <x:c r="I154" s="70" t="str"/>
      <x:c r="J154" s="70" t="str">
        <x:f>IF(OR(F154="",I154=""),"",IF(OR(I154="unknown",I154="not_assessed"),"不可评估",IF(F154=I154,"完全支持",IF(OR(AND(F154="pass",I154="conditional"),AND(F154="conditional",I154="pass")),"部分支持","反例"))))</x:f>
      </x:c>
      <x:c r="K154" s="70" t="str"/>
      <x:c r="L154" s="70" t="str"/>
      <x:c r="M154" s="70" t="str"/>
      <x:c r="N154" s="70" t="str"/>
      <x:c r="O154" s="70" t="str"/>
      <x:c r="P154" s="70" t="str"/>
    </x:row>
    <x:row r="155">
      <x:c r="A155" s="70" t="str">
        <x:v>M5RG-0150</x:v>
      </x:c>
      <x:c r="B155" s="70" t="str">
        <x:v>M5C-019</x:v>
      </x:c>
      <x:c r="C155" s="70" t="str">
        <x:f>IFERROR(VLOOKUP(B155,'02_案例与预测'!$A$6:$E$65,5,FALSE),"")</x:f>
        <x:v>留出集</x:v>
      </x:c>
      <x:c r="D155" s="70" t="str">
        <x:v>RG06</x:v>
      </x:c>
      <x:c r="E155" s="70" t="str">
        <x:v>家庭、婚育与照护责任</x:v>
      </x:c>
      <x:c r="F155" s="70" t="str"/>
      <x:c r="G155" s="70" t="str"/>
      <x:c r="H155" s="70" t="str"/>
      <x:c r="I155" s="70" t="str"/>
      <x:c r="J155" s="70" t="str">
        <x:f>IF(OR(F155="",I155=""),"",IF(OR(I155="unknown",I155="not_assessed"),"不可评估",IF(F155=I155,"完全支持",IF(OR(AND(F155="pass",I155="conditional"),AND(F155="conditional",I155="pass")),"部分支持","反例"))))</x:f>
      </x:c>
      <x:c r="K155" s="70" t="str"/>
      <x:c r="L155" s="70" t="str"/>
      <x:c r="M155" s="70" t="str"/>
      <x:c r="N155" s="70" t="str"/>
      <x:c r="O155" s="70" t="str"/>
      <x:c r="P155" s="70" t="str"/>
    </x:row>
    <x:row r="156">
      <x:c r="A156" s="70" t="str">
        <x:v>M5RG-0151</x:v>
      </x:c>
      <x:c r="B156" s="70" t="str">
        <x:v>M5C-019</x:v>
      </x:c>
      <x:c r="C156" s="70" t="str">
        <x:f>IFERROR(VLOOKUP(B156,'02_案例与预测'!$A$6:$E$65,5,FALSE),"")</x:f>
        <x:v>留出集</x:v>
      </x:c>
      <x:c r="D156" s="70" t="str">
        <x:v>RG07</x:v>
      </x:c>
      <x:c r="E156" s="70" t="str">
        <x:v>身体、亲密、隐私与健康</x:v>
      </x:c>
      <x:c r="F156" s="70" t="str"/>
      <x:c r="G156" s="70" t="str"/>
      <x:c r="H156" s="70" t="str"/>
      <x:c r="I156" s="70" t="str"/>
      <x:c r="J156" s="70" t="str">
        <x:f>IF(OR(F156="",I156=""),"",IF(OR(I156="unknown",I156="not_assessed"),"不可评估",IF(F156=I156,"完全支持",IF(OR(AND(F156="pass",I156="conditional"),AND(F156="conditional",I156="pass")),"部分支持","反例"))))</x:f>
      </x:c>
      <x:c r="K156" s="70" t="str"/>
      <x:c r="L156" s="70" t="str"/>
      <x:c r="M156" s="70" t="str"/>
      <x:c r="N156" s="70" t="str"/>
      <x:c r="O156" s="70" t="str"/>
      <x:c r="P156" s="70" t="str"/>
    </x:row>
    <x:row r="157">
      <x:c r="A157" s="70" t="str">
        <x:v>M5RG-0152</x:v>
      </x:c>
      <x:c r="B157" s="70" t="str">
        <x:v>M5C-019</x:v>
      </x:c>
      <x:c r="C157" s="70" t="str">
        <x:f>IFERROR(VLOOKUP(B157,'02_案例与预测'!$A$6:$E$65,5,FALSE),"")</x:f>
        <x:v>留出集</x:v>
      </x:c>
      <x:c r="D157" s="70" t="str">
        <x:v>RG08</x:v>
      </x:c>
      <x:c r="E157" s="70" t="str">
        <x:v>冲突、修复与学习意愿</x:v>
      </x:c>
      <x:c r="F157" s="70" t="str"/>
      <x:c r="G157" s="70" t="str"/>
      <x:c r="H157" s="70" t="str"/>
      <x:c r="I157" s="70" t="str"/>
      <x:c r="J157" s="70" t="str">
        <x:f>IF(OR(F157="",I157=""),"",IF(OR(I157="unknown",I157="not_assessed"),"不可评估",IF(F157=I157,"完全支持",IF(OR(AND(F157="pass",I157="conditional"),AND(F157="conditional",I157="pass")),"部分支持","反例"))))</x:f>
      </x:c>
      <x:c r="K157" s="70" t="str"/>
      <x:c r="L157" s="70" t="str"/>
      <x:c r="M157" s="70" t="str"/>
      <x:c r="N157" s="70" t="str"/>
      <x:c r="O157" s="70" t="str"/>
      <x:c r="P157" s="70" t="str"/>
    </x:row>
    <x:row r="158">
      <x:c r="A158" s="70" t="str">
        <x:v>M5RG-0153</x:v>
      </x:c>
      <x:c r="B158" s="70" t="str">
        <x:v>M5C-020</x:v>
      </x:c>
      <x:c r="C158" s="70" t="str">
        <x:f>IFERROR(VLOOKUP(B158,'02_案例与预测'!$A$6:$E$65,5,FALSE),"")</x:f>
        <x:v>留出集</x:v>
      </x:c>
      <x:c r="D158" s="70" t="str">
        <x:v>RG01</x:v>
      </x:c>
      <x:c r="E158" s="70" t="str">
        <x:v>安全、同意与尊重</x:v>
      </x:c>
      <x:c r="F158" s="70" t="str"/>
      <x:c r="G158" s="70" t="str"/>
      <x:c r="H158" s="70" t="str"/>
      <x:c r="I158" s="70" t="str"/>
      <x:c r="J158" s="70" t="str">
        <x:f>IF(OR(F158="",I158=""),"",IF(OR(I158="unknown",I158="not_assessed"),"不可评估",IF(F158=I158,"完全支持",IF(OR(AND(F158="pass",I158="conditional"),AND(F158="conditional",I158="pass")),"部分支持","反例"))))</x:f>
      </x:c>
      <x:c r="K158" s="70" t="str"/>
      <x:c r="L158" s="70" t="str"/>
      <x:c r="M158" s="70" t="str"/>
      <x:c r="N158" s="70" t="str"/>
      <x:c r="O158" s="70" t="str"/>
      <x:c r="P158" s="70" t="str"/>
    </x:row>
    <x:row r="159">
      <x:c r="A159" s="70" t="str">
        <x:v>M5RG-0154</x:v>
      </x:c>
      <x:c r="B159" s="70" t="str">
        <x:v>M5C-020</x:v>
      </x:c>
      <x:c r="C159" s="70" t="str">
        <x:f>IFERROR(VLOOKUP(B159,'02_案例与预测'!$A$6:$E$65,5,FALSE),"")</x:f>
        <x:v>留出集</x:v>
      </x:c>
      <x:c r="D159" s="70" t="str">
        <x:v>RG02</x:v>
      </x:c>
      <x:c r="E159" s="70" t="str">
        <x:v>关系意图与承诺</x:v>
      </x:c>
      <x:c r="F159" s="70" t="str"/>
      <x:c r="G159" s="70" t="str"/>
      <x:c r="H159" s="70" t="str"/>
      <x:c r="I159" s="70" t="str"/>
      <x:c r="J159" s="70" t="str">
        <x:f>IF(OR(F159="",I159=""),"",IF(OR(I159="unknown",I159="not_assessed"),"不可评估",IF(F159=I159,"完全支持",IF(OR(AND(F159="pass",I159="conditional"),AND(F159="conditional",I159="pass")),"部分支持","反例"))))</x:f>
      </x:c>
      <x:c r="K159" s="70" t="str"/>
      <x:c r="L159" s="70" t="str"/>
      <x:c r="M159" s="70" t="str"/>
      <x:c r="N159" s="70" t="str"/>
      <x:c r="O159" s="70" t="str"/>
      <x:c r="P159" s="70" t="str"/>
    </x:row>
    <x:row r="160">
      <x:c r="A160" s="70" t="str">
        <x:v>M5RG-0155</x:v>
      </x:c>
      <x:c r="B160" s="70" t="str">
        <x:v>M5C-020</x:v>
      </x:c>
      <x:c r="C160" s="70" t="str">
        <x:f>IFERROR(VLOOKUP(B160,'02_案例与预测'!$A$6:$E$65,5,FALSE),"")</x:f>
        <x:v>留出集</x:v>
      </x:c>
      <x:c r="D160" s="70" t="str">
        <x:v>RG03</x:v>
      </x:c>
      <x:c r="E160" s="70" t="str">
        <x:v>价值观与人生目标</x:v>
      </x:c>
      <x:c r="F160" s="70" t="str"/>
      <x:c r="G160" s="70" t="str"/>
      <x:c r="H160" s="70" t="str"/>
      <x:c r="I160" s="70" t="str"/>
      <x:c r="J160" s="70" t="str">
        <x:f>IF(OR(F160="",I160=""),"",IF(OR(I160="unknown",I160="not_assessed"),"不可评估",IF(F160=I160,"完全支持",IF(OR(AND(F160="pass",I160="conditional"),AND(F160="conditional",I160="pass")),"部分支持","反例"))))</x:f>
      </x:c>
      <x:c r="K160" s="70" t="str"/>
      <x:c r="L160" s="70" t="str"/>
      <x:c r="M160" s="70" t="str"/>
      <x:c r="N160" s="70" t="str"/>
      <x:c r="O160" s="70" t="str"/>
      <x:c r="P160" s="70" t="str"/>
    </x:row>
    <x:row r="161">
      <x:c r="A161" s="70" t="str">
        <x:v>M5RG-0156</x:v>
      </x:c>
      <x:c r="B161" s="70" t="str">
        <x:v>M5C-020</x:v>
      </x:c>
      <x:c r="C161" s="70" t="str">
        <x:f>IFERROR(VLOOKUP(B161,'02_案例与预测'!$A$6:$E$65,5,FALSE),"")</x:f>
        <x:v>留出集</x:v>
      </x:c>
      <x:c r="D161" s="70" t="str">
        <x:v>RG04</x:v>
      </x:c>
      <x:c r="E161" s="70" t="str">
        <x:v>时间、地域与生活节奏</x:v>
      </x:c>
      <x:c r="F161" s="70" t="str"/>
      <x:c r="G161" s="70" t="str"/>
      <x:c r="H161" s="70" t="str"/>
      <x:c r="I161" s="70" t="str"/>
      <x:c r="J161" s="70" t="str">
        <x:f>IF(OR(F161="",I161=""),"",IF(OR(I161="unknown",I161="not_assessed"),"不可评估",IF(F161=I161,"完全支持",IF(OR(AND(F161="pass",I161="conditional"),AND(F161="conditional",I161="pass")),"部分支持","反例"))))</x:f>
      </x:c>
      <x:c r="K161" s="70" t="str"/>
      <x:c r="L161" s="70" t="str"/>
      <x:c r="M161" s="70" t="str"/>
      <x:c r="N161" s="70" t="str"/>
      <x:c r="O161" s="70" t="str"/>
      <x:c r="P161" s="70" t="str"/>
    </x:row>
    <x:row r="162">
      <x:c r="A162" s="70" t="str">
        <x:v>M5RG-0157</x:v>
      </x:c>
      <x:c r="B162" s="70" t="str">
        <x:v>M5C-020</x:v>
      </x:c>
      <x:c r="C162" s="70" t="str">
        <x:f>IFERROR(VLOOKUP(B162,'02_案例与预测'!$A$6:$E$65,5,FALSE),"")</x:f>
        <x:v>留出集</x:v>
      </x:c>
      <x:c r="D162" s="70" t="str">
        <x:v>RG05</x:v>
      </x:c>
      <x:c r="E162" s="70" t="str">
        <x:v>金钱、资源与劳动分配</x:v>
      </x:c>
      <x:c r="F162" s="70" t="str"/>
      <x:c r="G162" s="70" t="str"/>
      <x:c r="H162" s="70" t="str"/>
      <x:c r="I162" s="70" t="str"/>
      <x:c r="J162" s="70" t="str">
        <x:f>IF(OR(F162="",I162=""),"",IF(OR(I162="unknown",I162="not_assessed"),"不可评估",IF(F162=I162,"完全支持",IF(OR(AND(F162="pass",I162="conditional"),AND(F162="conditional",I162="pass")),"部分支持","反例"))))</x:f>
      </x:c>
      <x:c r="K162" s="70" t="str"/>
      <x:c r="L162" s="70" t="str"/>
      <x:c r="M162" s="70" t="str"/>
      <x:c r="N162" s="70" t="str"/>
      <x:c r="O162" s="70" t="str"/>
      <x:c r="P162" s="70" t="str"/>
    </x:row>
    <x:row r="163">
      <x:c r="A163" s="70" t="str">
        <x:v>M5RG-0158</x:v>
      </x:c>
      <x:c r="B163" s="70" t="str">
        <x:v>M5C-020</x:v>
      </x:c>
      <x:c r="C163" s="70" t="str">
        <x:f>IFERROR(VLOOKUP(B163,'02_案例与预测'!$A$6:$E$65,5,FALSE),"")</x:f>
        <x:v>留出集</x:v>
      </x:c>
      <x:c r="D163" s="70" t="str">
        <x:v>RG06</x:v>
      </x:c>
      <x:c r="E163" s="70" t="str">
        <x:v>家庭、婚育与照护责任</x:v>
      </x:c>
      <x:c r="F163" s="70" t="str"/>
      <x:c r="G163" s="70" t="str"/>
      <x:c r="H163" s="70" t="str"/>
      <x:c r="I163" s="70" t="str"/>
      <x:c r="J163" s="70" t="str">
        <x:f>IF(OR(F163="",I163=""),"",IF(OR(I163="unknown",I163="not_assessed"),"不可评估",IF(F163=I163,"完全支持",IF(OR(AND(F163="pass",I163="conditional"),AND(F163="conditional",I163="pass")),"部分支持","反例"))))</x:f>
      </x:c>
      <x:c r="K163" s="70" t="str"/>
      <x:c r="L163" s="70" t="str"/>
      <x:c r="M163" s="70" t="str"/>
      <x:c r="N163" s="70" t="str"/>
      <x:c r="O163" s="70" t="str"/>
      <x:c r="P163" s="70" t="str"/>
    </x:row>
    <x:row r="164">
      <x:c r="A164" s="70" t="str">
        <x:v>M5RG-0159</x:v>
      </x:c>
      <x:c r="B164" s="70" t="str">
        <x:v>M5C-020</x:v>
      </x:c>
      <x:c r="C164" s="70" t="str">
        <x:f>IFERROR(VLOOKUP(B164,'02_案例与预测'!$A$6:$E$65,5,FALSE),"")</x:f>
        <x:v>留出集</x:v>
      </x:c>
      <x:c r="D164" s="70" t="str">
        <x:v>RG07</x:v>
      </x:c>
      <x:c r="E164" s="70" t="str">
        <x:v>身体、亲密、隐私与健康</x:v>
      </x:c>
      <x:c r="F164" s="70" t="str"/>
      <x:c r="G164" s="70" t="str"/>
      <x:c r="H164" s="70" t="str"/>
      <x:c r="I164" s="70" t="str"/>
      <x:c r="J164" s="70" t="str">
        <x:f>IF(OR(F164="",I164=""),"",IF(OR(I164="unknown",I164="not_assessed"),"不可评估",IF(F164=I164,"完全支持",IF(OR(AND(F164="pass",I164="conditional"),AND(F164="conditional",I164="pass")),"部分支持","反例"))))</x:f>
      </x:c>
      <x:c r="K164" s="70" t="str"/>
      <x:c r="L164" s="70" t="str"/>
      <x:c r="M164" s="70" t="str"/>
      <x:c r="N164" s="70" t="str"/>
      <x:c r="O164" s="70" t="str"/>
      <x:c r="P164" s="70" t="str"/>
    </x:row>
    <x:row r="165">
      <x:c r="A165" s="70" t="str">
        <x:v>M5RG-0160</x:v>
      </x:c>
      <x:c r="B165" s="70" t="str">
        <x:v>M5C-020</x:v>
      </x:c>
      <x:c r="C165" s="70" t="str">
        <x:f>IFERROR(VLOOKUP(B165,'02_案例与预测'!$A$6:$E$65,5,FALSE),"")</x:f>
        <x:v>留出集</x:v>
      </x:c>
      <x:c r="D165" s="70" t="str">
        <x:v>RG08</x:v>
      </x:c>
      <x:c r="E165" s="70" t="str">
        <x:v>冲突、修复与学习意愿</x:v>
      </x:c>
      <x:c r="F165" s="70" t="str"/>
      <x:c r="G165" s="70" t="str"/>
      <x:c r="H165" s="70" t="str"/>
      <x:c r="I165" s="70" t="str"/>
      <x:c r="J165" s="70" t="str">
        <x:f>IF(OR(F165="",I165=""),"",IF(OR(I165="unknown",I165="not_assessed"),"不可评估",IF(F165=I165,"完全支持",IF(OR(AND(F165="pass",I165="conditional"),AND(F165="conditional",I165="pass")),"部分支持","反例"))))</x:f>
      </x:c>
      <x:c r="K165" s="70" t="str"/>
      <x:c r="L165" s="70" t="str"/>
      <x:c r="M165" s="70" t="str"/>
      <x:c r="N165" s="70" t="str"/>
      <x:c r="O165" s="70" t="str"/>
      <x:c r="P165" s="70" t="str"/>
    </x:row>
    <x:row r="166">
      <x:c r="A166" s="70" t="str">
        <x:v>M5RG-0161</x:v>
      </x:c>
      <x:c r="B166" s="70" t="str">
        <x:v>M5C-021</x:v>
      </x:c>
      <x:c r="C166" s="70" t="str">
        <x:f>IFERROR(VLOOKUP(B166,'02_案例与预测'!$A$6:$E$65,5,FALSE),"")</x:f>
        <x:v>开发集</x:v>
      </x:c>
      <x:c r="D166" s="70" t="str">
        <x:v>RG01</x:v>
      </x:c>
      <x:c r="E166" s="70" t="str">
        <x:v>安全、同意与尊重</x:v>
      </x:c>
      <x:c r="F166" s="70" t="str"/>
      <x:c r="G166" s="70" t="str"/>
      <x:c r="H166" s="70" t="str"/>
      <x:c r="I166" s="70" t="str"/>
      <x:c r="J166" s="70" t="str">
        <x:f>IF(OR(F166="",I166=""),"",IF(OR(I166="unknown",I166="not_assessed"),"不可评估",IF(F166=I166,"完全支持",IF(OR(AND(F166="pass",I166="conditional"),AND(F166="conditional",I166="pass")),"部分支持","反例"))))</x:f>
      </x:c>
      <x:c r="K166" s="70" t="str"/>
      <x:c r="L166" s="70" t="str"/>
      <x:c r="M166" s="70" t="str"/>
      <x:c r="N166" s="70" t="str"/>
      <x:c r="O166" s="70" t="str"/>
      <x:c r="P166" s="70" t="str"/>
    </x:row>
    <x:row r="167">
      <x:c r="A167" s="70" t="str">
        <x:v>M5RG-0162</x:v>
      </x:c>
      <x:c r="B167" s="70" t="str">
        <x:v>M5C-021</x:v>
      </x:c>
      <x:c r="C167" s="70" t="str">
        <x:f>IFERROR(VLOOKUP(B167,'02_案例与预测'!$A$6:$E$65,5,FALSE),"")</x:f>
        <x:v>开发集</x:v>
      </x:c>
      <x:c r="D167" s="70" t="str">
        <x:v>RG02</x:v>
      </x:c>
      <x:c r="E167" s="70" t="str">
        <x:v>关系意图与承诺</x:v>
      </x:c>
      <x:c r="F167" s="70" t="str"/>
      <x:c r="G167" s="70" t="str"/>
      <x:c r="H167" s="70" t="str"/>
      <x:c r="I167" s="70" t="str"/>
      <x:c r="J167" s="70" t="str">
        <x:f>IF(OR(F167="",I167=""),"",IF(OR(I167="unknown",I167="not_assessed"),"不可评估",IF(F167=I167,"完全支持",IF(OR(AND(F167="pass",I167="conditional"),AND(F167="conditional",I167="pass")),"部分支持","反例"))))</x:f>
      </x:c>
      <x:c r="K167" s="70" t="str"/>
      <x:c r="L167" s="70" t="str"/>
      <x:c r="M167" s="70" t="str"/>
      <x:c r="N167" s="70" t="str"/>
      <x:c r="O167" s="70" t="str"/>
      <x:c r="P167" s="70" t="str"/>
    </x:row>
    <x:row r="168">
      <x:c r="A168" s="70" t="str">
        <x:v>M5RG-0163</x:v>
      </x:c>
      <x:c r="B168" s="70" t="str">
        <x:v>M5C-021</x:v>
      </x:c>
      <x:c r="C168" s="70" t="str">
        <x:f>IFERROR(VLOOKUP(B168,'02_案例与预测'!$A$6:$E$65,5,FALSE),"")</x:f>
        <x:v>开发集</x:v>
      </x:c>
      <x:c r="D168" s="70" t="str">
        <x:v>RG03</x:v>
      </x:c>
      <x:c r="E168" s="70" t="str">
        <x:v>价值观与人生目标</x:v>
      </x:c>
      <x:c r="F168" s="70" t="str"/>
      <x:c r="G168" s="70" t="str"/>
      <x:c r="H168" s="70" t="str"/>
      <x:c r="I168" s="70" t="str"/>
      <x:c r="J168" s="70" t="str">
        <x:f>IF(OR(F168="",I168=""),"",IF(OR(I168="unknown",I168="not_assessed"),"不可评估",IF(F168=I168,"完全支持",IF(OR(AND(F168="pass",I168="conditional"),AND(F168="conditional",I168="pass")),"部分支持","反例"))))</x:f>
      </x:c>
      <x:c r="K168" s="70" t="str"/>
      <x:c r="L168" s="70" t="str"/>
      <x:c r="M168" s="70" t="str"/>
      <x:c r="N168" s="70" t="str"/>
      <x:c r="O168" s="70" t="str"/>
      <x:c r="P168" s="70" t="str"/>
    </x:row>
    <x:row r="169">
      <x:c r="A169" s="70" t="str">
        <x:v>M5RG-0164</x:v>
      </x:c>
      <x:c r="B169" s="70" t="str">
        <x:v>M5C-021</x:v>
      </x:c>
      <x:c r="C169" s="70" t="str">
        <x:f>IFERROR(VLOOKUP(B169,'02_案例与预测'!$A$6:$E$65,5,FALSE),"")</x:f>
        <x:v>开发集</x:v>
      </x:c>
      <x:c r="D169" s="70" t="str">
        <x:v>RG04</x:v>
      </x:c>
      <x:c r="E169" s="70" t="str">
        <x:v>时间、地域与生活节奏</x:v>
      </x:c>
      <x:c r="F169" s="70" t="str"/>
      <x:c r="G169" s="70" t="str"/>
      <x:c r="H169" s="70" t="str"/>
      <x:c r="I169" s="70" t="str"/>
      <x:c r="J169" s="70" t="str">
        <x:f>IF(OR(F169="",I169=""),"",IF(OR(I169="unknown",I169="not_assessed"),"不可评估",IF(F169=I169,"完全支持",IF(OR(AND(F169="pass",I169="conditional"),AND(F169="conditional",I169="pass")),"部分支持","反例"))))</x:f>
      </x:c>
      <x:c r="K169" s="70" t="str"/>
      <x:c r="L169" s="70" t="str"/>
      <x:c r="M169" s="70" t="str"/>
      <x:c r="N169" s="70" t="str"/>
      <x:c r="O169" s="70" t="str"/>
      <x:c r="P169" s="70" t="str"/>
    </x:row>
    <x:row r="170">
      <x:c r="A170" s="70" t="str">
        <x:v>M5RG-0165</x:v>
      </x:c>
      <x:c r="B170" s="70" t="str">
        <x:v>M5C-021</x:v>
      </x:c>
      <x:c r="C170" s="70" t="str">
        <x:f>IFERROR(VLOOKUP(B170,'02_案例与预测'!$A$6:$E$65,5,FALSE),"")</x:f>
        <x:v>开发集</x:v>
      </x:c>
      <x:c r="D170" s="70" t="str">
        <x:v>RG05</x:v>
      </x:c>
      <x:c r="E170" s="70" t="str">
        <x:v>金钱、资源与劳动分配</x:v>
      </x:c>
      <x:c r="F170" s="70" t="str"/>
      <x:c r="G170" s="70" t="str"/>
      <x:c r="H170" s="70" t="str"/>
      <x:c r="I170" s="70" t="str"/>
      <x:c r="J170" s="70" t="str">
        <x:f>IF(OR(F170="",I170=""),"",IF(OR(I170="unknown",I170="not_assessed"),"不可评估",IF(F170=I170,"完全支持",IF(OR(AND(F170="pass",I170="conditional"),AND(F170="conditional",I170="pass")),"部分支持","反例"))))</x:f>
      </x:c>
      <x:c r="K170" s="70" t="str"/>
      <x:c r="L170" s="70" t="str"/>
      <x:c r="M170" s="70" t="str"/>
      <x:c r="N170" s="70" t="str"/>
      <x:c r="O170" s="70" t="str"/>
      <x:c r="P170" s="70" t="str"/>
    </x:row>
    <x:row r="171">
      <x:c r="A171" s="70" t="str">
        <x:v>M5RG-0166</x:v>
      </x:c>
      <x:c r="B171" s="70" t="str">
        <x:v>M5C-021</x:v>
      </x:c>
      <x:c r="C171" s="70" t="str">
        <x:f>IFERROR(VLOOKUP(B171,'02_案例与预测'!$A$6:$E$65,5,FALSE),"")</x:f>
        <x:v>开发集</x:v>
      </x:c>
      <x:c r="D171" s="70" t="str">
        <x:v>RG06</x:v>
      </x:c>
      <x:c r="E171" s="70" t="str">
        <x:v>家庭、婚育与照护责任</x:v>
      </x:c>
      <x:c r="F171" s="70" t="str"/>
      <x:c r="G171" s="70" t="str"/>
      <x:c r="H171" s="70" t="str"/>
      <x:c r="I171" s="70" t="str"/>
      <x:c r="J171" s="70" t="str">
        <x:f>IF(OR(F171="",I171=""),"",IF(OR(I171="unknown",I171="not_assessed"),"不可评估",IF(F171=I171,"完全支持",IF(OR(AND(F171="pass",I171="conditional"),AND(F171="conditional",I171="pass")),"部分支持","反例"))))</x:f>
      </x:c>
      <x:c r="K171" s="70" t="str"/>
      <x:c r="L171" s="70" t="str"/>
      <x:c r="M171" s="70" t="str"/>
      <x:c r="N171" s="70" t="str"/>
      <x:c r="O171" s="70" t="str"/>
      <x:c r="P171" s="70" t="str"/>
    </x:row>
    <x:row r="172">
      <x:c r="A172" s="70" t="str">
        <x:v>M5RG-0167</x:v>
      </x:c>
      <x:c r="B172" s="70" t="str">
        <x:v>M5C-021</x:v>
      </x:c>
      <x:c r="C172" s="70" t="str">
        <x:f>IFERROR(VLOOKUP(B172,'02_案例与预测'!$A$6:$E$65,5,FALSE),"")</x:f>
        <x:v>开发集</x:v>
      </x:c>
      <x:c r="D172" s="70" t="str">
        <x:v>RG07</x:v>
      </x:c>
      <x:c r="E172" s="70" t="str">
        <x:v>身体、亲密、隐私与健康</x:v>
      </x:c>
      <x:c r="F172" s="70" t="str"/>
      <x:c r="G172" s="70" t="str"/>
      <x:c r="H172" s="70" t="str"/>
      <x:c r="I172" s="70" t="str"/>
      <x:c r="J172" s="70" t="str">
        <x:f>IF(OR(F172="",I172=""),"",IF(OR(I172="unknown",I172="not_assessed"),"不可评估",IF(F172=I172,"完全支持",IF(OR(AND(F172="pass",I172="conditional"),AND(F172="conditional",I172="pass")),"部分支持","反例"))))</x:f>
      </x:c>
      <x:c r="K172" s="70" t="str"/>
      <x:c r="L172" s="70" t="str"/>
      <x:c r="M172" s="70" t="str"/>
      <x:c r="N172" s="70" t="str"/>
      <x:c r="O172" s="70" t="str"/>
      <x:c r="P172" s="70" t="str"/>
    </x:row>
    <x:row r="173">
      <x:c r="A173" s="70" t="str">
        <x:v>M5RG-0168</x:v>
      </x:c>
      <x:c r="B173" s="70" t="str">
        <x:v>M5C-021</x:v>
      </x:c>
      <x:c r="C173" s="70" t="str">
        <x:f>IFERROR(VLOOKUP(B173,'02_案例与预测'!$A$6:$E$65,5,FALSE),"")</x:f>
        <x:v>开发集</x:v>
      </x:c>
      <x:c r="D173" s="70" t="str">
        <x:v>RG08</x:v>
      </x:c>
      <x:c r="E173" s="70" t="str">
        <x:v>冲突、修复与学习意愿</x:v>
      </x:c>
      <x:c r="F173" s="70" t="str"/>
      <x:c r="G173" s="70" t="str"/>
      <x:c r="H173" s="70" t="str"/>
      <x:c r="I173" s="70" t="str"/>
      <x:c r="J173" s="70" t="str">
        <x:f>IF(OR(F173="",I173=""),"",IF(OR(I173="unknown",I173="not_assessed"),"不可评估",IF(F173=I173,"完全支持",IF(OR(AND(F173="pass",I173="conditional"),AND(F173="conditional",I173="pass")),"部分支持","反例"))))</x:f>
      </x:c>
      <x:c r="K173" s="70" t="str"/>
      <x:c r="L173" s="70" t="str"/>
      <x:c r="M173" s="70" t="str"/>
      <x:c r="N173" s="70" t="str"/>
      <x:c r="O173" s="70" t="str"/>
      <x:c r="P173" s="70" t="str"/>
    </x:row>
    <x:row r="174">
      <x:c r="A174" s="70" t="str">
        <x:v>M5RG-0169</x:v>
      </x:c>
      <x:c r="B174" s="70" t="str">
        <x:v>M5C-022</x:v>
      </x:c>
      <x:c r="C174" s="70" t="str">
        <x:f>IFERROR(VLOOKUP(B174,'02_案例与预测'!$A$6:$E$65,5,FALSE),"")</x:f>
        <x:v>开发集</x:v>
      </x:c>
      <x:c r="D174" s="70" t="str">
        <x:v>RG01</x:v>
      </x:c>
      <x:c r="E174" s="70" t="str">
        <x:v>安全、同意与尊重</x:v>
      </x:c>
      <x:c r="F174" s="70" t="str"/>
      <x:c r="G174" s="70" t="str"/>
      <x:c r="H174" s="70" t="str"/>
      <x:c r="I174" s="70" t="str"/>
      <x:c r="J174" s="70" t="str">
        <x:f>IF(OR(F174="",I174=""),"",IF(OR(I174="unknown",I174="not_assessed"),"不可评估",IF(F174=I174,"完全支持",IF(OR(AND(F174="pass",I174="conditional"),AND(F174="conditional",I174="pass")),"部分支持","反例"))))</x:f>
      </x:c>
      <x:c r="K174" s="70" t="str"/>
      <x:c r="L174" s="70" t="str"/>
      <x:c r="M174" s="70" t="str"/>
      <x:c r="N174" s="70" t="str"/>
      <x:c r="O174" s="70" t="str"/>
      <x:c r="P174" s="70" t="str"/>
    </x:row>
    <x:row r="175">
      <x:c r="A175" s="70" t="str">
        <x:v>M5RG-0170</x:v>
      </x:c>
      <x:c r="B175" s="70" t="str">
        <x:v>M5C-022</x:v>
      </x:c>
      <x:c r="C175" s="70" t="str">
        <x:f>IFERROR(VLOOKUP(B175,'02_案例与预测'!$A$6:$E$65,5,FALSE),"")</x:f>
        <x:v>开发集</x:v>
      </x:c>
      <x:c r="D175" s="70" t="str">
        <x:v>RG02</x:v>
      </x:c>
      <x:c r="E175" s="70" t="str">
        <x:v>关系意图与承诺</x:v>
      </x:c>
      <x:c r="F175" s="70" t="str"/>
      <x:c r="G175" s="70" t="str"/>
      <x:c r="H175" s="70" t="str"/>
      <x:c r="I175" s="70" t="str"/>
      <x:c r="J175" s="70" t="str">
        <x:f>IF(OR(F175="",I175=""),"",IF(OR(I175="unknown",I175="not_assessed"),"不可评估",IF(F175=I175,"完全支持",IF(OR(AND(F175="pass",I175="conditional"),AND(F175="conditional",I175="pass")),"部分支持","反例"))))</x:f>
      </x:c>
      <x:c r="K175" s="70" t="str"/>
      <x:c r="L175" s="70" t="str"/>
      <x:c r="M175" s="70" t="str"/>
      <x:c r="N175" s="70" t="str"/>
      <x:c r="O175" s="70" t="str"/>
      <x:c r="P175" s="70" t="str"/>
    </x:row>
    <x:row r="176">
      <x:c r="A176" s="70" t="str">
        <x:v>M5RG-0171</x:v>
      </x:c>
      <x:c r="B176" s="70" t="str">
        <x:v>M5C-022</x:v>
      </x:c>
      <x:c r="C176" s="70" t="str">
        <x:f>IFERROR(VLOOKUP(B176,'02_案例与预测'!$A$6:$E$65,5,FALSE),"")</x:f>
        <x:v>开发集</x:v>
      </x:c>
      <x:c r="D176" s="70" t="str">
        <x:v>RG03</x:v>
      </x:c>
      <x:c r="E176" s="70" t="str">
        <x:v>价值观与人生目标</x:v>
      </x:c>
      <x:c r="F176" s="70" t="str"/>
      <x:c r="G176" s="70" t="str"/>
      <x:c r="H176" s="70" t="str"/>
      <x:c r="I176" s="70" t="str"/>
      <x:c r="J176" s="70" t="str">
        <x:f>IF(OR(F176="",I176=""),"",IF(OR(I176="unknown",I176="not_assessed"),"不可评估",IF(F176=I176,"完全支持",IF(OR(AND(F176="pass",I176="conditional"),AND(F176="conditional",I176="pass")),"部分支持","反例"))))</x:f>
      </x:c>
      <x:c r="K176" s="70" t="str"/>
      <x:c r="L176" s="70" t="str"/>
      <x:c r="M176" s="70" t="str"/>
      <x:c r="N176" s="70" t="str"/>
      <x:c r="O176" s="70" t="str"/>
      <x:c r="P176" s="70" t="str"/>
    </x:row>
    <x:row r="177">
      <x:c r="A177" s="70" t="str">
        <x:v>M5RG-0172</x:v>
      </x:c>
      <x:c r="B177" s="70" t="str">
        <x:v>M5C-022</x:v>
      </x:c>
      <x:c r="C177" s="70" t="str">
        <x:f>IFERROR(VLOOKUP(B177,'02_案例与预测'!$A$6:$E$65,5,FALSE),"")</x:f>
        <x:v>开发集</x:v>
      </x:c>
      <x:c r="D177" s="70" t="str">
        <x:v>RG04</x:v>
      </x:c>
      <x:c r="E177" s="70" t="str">
        <x:v>时间、地域与生活节奏</x:v>
      </x:c>
      <x:c r="F177" s="70" t="str"/>
      <x:c r="G177" s="70" t="str"/>
      <x:c r="H177" s="70" t="str"/>
      <x:c r="I177" s="70" t="str"/>
      <x:c r="J177" s="70" t="str">
        <x:f>IF(OR(F177="",I177=""),"",IF(OR(I177="unknown",I177="not_assessed"),"不可评估",IF(F177=I177,"完全支持",IF(OR(AND(F177="pass",I177="conditional"),AND(F177="conditional",I177="pass")),"部分支持","反例"))))</x:f>
      </x:c>
      <x:c r="K177" s="70" t="str"/>
      <x:c r="L177" s="70" t="str"/>
      <x:c r="M177" s="70" t="str"/>
      <x:c r="N177" s="70" t="str"/>
      <x:c r="O177" s="70" t="str"/>
      <x:c r="P177" s="70" t="str"/>
    </x:row>
    <x:row r="178">
      <x:c r="A178" s="70" t="str">
        <x:v>M5RG-0173</x:v>
      </x:c>
      <x:c r="B178" s="70" t="str">
        <x:v>M5C-022</x:v>
      </x:c>
      <x:c r="C178" s="70" t="str">
        <x:f>IFERROR(VLOOKUP(B178,'02_案例与预测'!$A$6:$E$65,5,FALSE),"")</x:f>
        <x:v>开发集</x:v>
      </x:c>
      <x:c r="D178" s="70" t="str">
        <x:v>RG05</x:v>
      </x:c>
      <x:c r="E178" s="70" t="str">
        <x:v>金钱、资源与劳动分配</x:v>
      </x:c>
      <x:c r="F178" s="70" t="str"/>
      <x:c r="G178" s="70" t="str"/>
      <x:c r="H178" s="70" t="str"/>
      <x:c r="I178" s="70" t="str"/>
      <x:c r="J178" s="70" t="str">
        <x:f>IF(OR(F178="",I178=""),"",IF(OR(I178="unknown",I178="not_assessed"),"不可评估",IF(F178=I178,"完全支持",IF(OR(AND(F178="pass",I178="conditional"),AND(F178="conditional",I178="pass")),"部分支持","反例"))))</x:f>
      </x:c>
      <x:c r="K178" s="70" t="str"/>
      <x:c r="L178" s="70" t="str"/>
      <x:c r="M178" s="70" t="str"/>
      <x:c r="N178" s="70" t="str"/>
      <x:c r="O178" s="70" t="str"/>
      <x:c r="P178" s="70" t="str"/>
    </x:row>
    <x:row r="179">
      <x:c r="A179" s="70" t="str">
        <x:v>M5RG-0174</x:v>
      </x:c>
      <x:c r="B179" s="70" t="str">
        <x:v>M5C-022</x:v>
      </x:c>
      <x:c r="C179" s="70" t="str">
        <x:f>IFERROR(VLOOKUP(B179,'02_案例与预测'!$A$6:$E$65,5,FALSE),"")</x:f>
        <x:v>开发集</x:v>
      </x:c>
      <x:c r="D179" s="70" t="str">
        <x:v>RG06</x:v>
      </x:c>
      <x:c r="E179" s="70" t="str">
        <x:v>家庭、婚育与照护责任</x:v>
      </x:c>
      <x:c r="F179" s="70" t="str"/>
      <x:c r="G179" s="70" t="str"/>
      <x:c r="H179" s="70" t="str"/>
      <x:c r="I179" s="70" t="str"/>
      <x:c r="J179" s="70" t="str">
        <x:f>IF(OR(F179="",I179=""),"",IF(OR(I179="unknown",I179="not_assessed"),"不可评估",IF(F179=I179,"完全支持",IF(OR(AND(F179="pass",I179="conditional"),AND(F179="conditional",I179="pass")),"部分支持","反例"))))</x:f>
      </x:c>
      <x:c r="K179" s="70" t="str"/>
      <x:c r="L179" s="70" t="str"/>
      <x:c r="M179" s="70" t="str"/>
      <x:c r="N179" s="70" t="str"/>
      <x:c r="O179" s="70" t="str"/>
      <x:c r="P179" s="70" t="str"/>
    </x:row>
    <x:row r="180">
      <x:c r="A180" s="70" t="str">
        <x:v>M5RG-0175</x:v>
      </x:c>
      <x:c r="B180" s="70" t="str">
        <x:v>M5C-022</x:v>
      </x:c>
      <x:c r="C180" s="70" t="str">
        <x:f>IFERROR(VLOOKUP(B180,'02_案例与预测'!$A$6:$E$65,5,FALSE),"")</x:f>
        <x:v>开发集</x:v>
      </x:c>
      <x:c r="D180" s="70" t="str">
        <x:v>RG07</x:v>
      </x:c>
      <x:c r="E180" s="70" t="str">
        <x:v>身体、亲密、隐私与健康</x:v>
      </x:c>
      <x:c r="F180" s="70" t="str"/>
      <x:c r="G180" s="70" t="str"/>
      <x:c r="H180" s="70" t="str"/>
      <x:c r="I180" s="70" t="str"/>
      <x:c r="J180" s="70" t="str">
        <x:f>IF(OR(F180="",I180=""),"",IF(OR(I180="unknown",I180="not_assessed"),"不可评估",IF(F180=I180,"完全支持",IF(OR(AND(F180="pass",I180="conditional"),AND(F180="conditional",I180="pass")),"部分支持","反例"))))</x:f>
      </x:c>
      <x:c r="K180" s="70" t="str"/>
      <x:c r="L180" s="70" t="str"/>
      <x:c r="M180" s="70" t="str"/>
      <x:c r="N180" s="70" t="str"/>
      <x:c r="O180" s="70" t="str"/>
      <x:c r="P180" s="70" t="str"/>
    </x:row>
    <x:row r="181">
      <x:c r="A181" s="70" t="str">
        <x:v>M5RG-0176</x:v>
      </x:c>
      <x:c r="B181" s="70" t="str">
        <x:v>M5C-022</x:v>
      </x:c>
      <x:c r="C181" s="70" t="str">
        <x:f>IFERROR(VLOOKUP(B181,'02_案例与预测'!$A$6:$E$65,5,FALSE),"")</x:f>
        <x:v>开发集</x:v>
      </x:c>
      <x:c r="D181" s="70" t="str">
        <x:v>RG08</x:v>
      </x:c>
      <x:c r="E181" s="70" t="str">
        <x:v>冲突、修复与学习意愿</x:v>
      </x:c>
      <x:c r="F181" s="70" t="str"/>
      <x:c r="G181" s="70" t="str"/>
      <x:c r="H181" s="70" t="str"/>
      <x:c r="I181" s="70" t="str"/>
      <x:c r="J181" s="70" t="str">
        <x:f>IF(OR(F181="",I181=""),"",IF(OR(I181="unknown",I181="not_assessed"),"不可评估",IF(F181=I181,"完全支持",IF(OR(AND(F181="pass",I181="conditional"),AND(F181="conditional",I181="pass")),"部分支持","反例"))))</x:f>
      </x:c>
      <x:c r="K181" s="70" t="str"/>
      <x:c r="L181" s="70" t="str"/>
      <x:c r="M181" s="70" t="str"/>
      <x:c r="N181" s="70" t="str"/>
      <x:c r="O181" s="70" t="str"/>
      <x:c r="P181" s="70" t="str"/>
    </x:row>
    <x:row r="182">
      <x:c r="A182" s="70" t="str">
        <x:v>M5RG-0177</x:v>
      </x:c>
      <x:c r="B182" s="70" t="str">
        <x:v>M5C-023</x:v>
      </x:c>
      <x:c r="C182" s="70" t="str">
        <x:f>IFERROR(VLOOKUP(B182,'02_案例与预测'!$A$6:$E$65,5,FALSE),"")</x:f>
        <x:v>开发集</x:v>
      </x:c>
      <x:c r="D182" s="70" t="str">
        <x:v>RG01</x:v>
      </x:c>
      <x:c r="E182" s="70" t="str">
        <x:v>安全、同意与尊重</x:v>
      </x:c>
      <x:c r="F182" s="70" t="str"/>
      <x:c r="G182" s="70" t="str"/>
      <x:c r="H182" s="70" t="str"/>
      <x:c r="I182" s="70" t="str"/>
      <x:c r="J182" s="70" t="str">
        <x:f>IF(OR(F182="",I182=""),"",IF(OR(I182="unknown",I182="not_assessed"),"不可评估",IF(F182=I182,"完全支持",IF(OR(AND(F182="pass",I182="conditional"),AND(F182="conditional",I182="pass")),"部分支持","反例"))))</x:f>
      </x:c>
      <x:c r="K182" s="70" t="str"/>
      <x:c r="L182" s="70" t="str"/>
      <x:c r="M182" s="70" t="str"/>
      <x:c r="N182" s="70" t="str"/>
      <x:c r="O182" s="70" t="str"/>
      <x:c r="P182" s="70" t="str"/>
    </x:row>
    <x:row r="183">
      <x:c r="A183" s="70" t="str">
        <x:v>M5RG-0178</x:v>
      </x:c>
      <x:c r="B183" s="70" t="str">
        <x:v>M5C-023</x:v>
      </x:c>
      <x:c r="C183" s="70" t="str">
        <x:f>IFERROR(VLOOKUP(B183,'02_案例与预测'!$A$6:$E$65,5,FALSE),"")</x:f>
        <x:v>开发集</x:v>
      </x:c>
      <x:c r="D183" s="70" t="str">
        <x:v>RG02</x:v>
      </x:c>
      <x:c r="E183" s="70" t="str">
        <x:v>关系意图与承诺</x:v>
      </x:c>
      <x:c r="F183" s="70" t="str"/>
      <x:c r="G183" s="70" t="str"/>
      <x:c r="H183" s="70" t="str"/>
      <x:c r="I183" s="70" t="str"/>
      <x:c r="J183" s="70" t="str">
        <x:f>IF(OR(F183="",I183=""),"",IF(OR(I183="unknown",I183="not_assessed"),"不可评估",IF(F183=I183,"完全支持",IF(OR(AND(F183="pass",I183="conditional"),AND(F183="conditional",I183="pass")),"部分支持","反例"))))</x:f>
      </x:c>
      <x:c r="K183" s="70" t="str"/>
      <x:c r="L183" s="70" t="str"/>
      <x:c r="M183" s="70" t="str"/>
      <x:c r="N183" s="70" t="str"/>
      <x:c r="O183" s="70" t="str"/>
      <x:c r="P183" s="70" t="str"/>
    </x:row>
    <x:row r="184">
      <x:c r="A184" s="70" t="str">
        <x:v>M5RG-0179</x:v>
      </x:c>
      <x:c r="B184" s="70" t="str">
        <x:v>M5C-023</x:v>
      </x:c>
      <x:c r="C184" s="70" t="str">
        <x:f>IFERROR(VLOOKUP(B184,'02_案例与预测'!$A$6:$E$65,5,FALSE),"")</x:f>
        <x:v>开发集</x:v>
      </x:c>
      <x:c r="D184" s="70" t="str">
        <x:v>RG03</x:v>
      </x:c>
      <x:c r="E184" s="70" t="str">
        <x:v>价值观与人生目标</x:v>
      </x:c>
      <x:c r="F184" s="70" t="str"/>
      <x:c r="G184" s="70" t="str"/>
      <x:c r="H184" s="70" t="str"/>
      <x:c r="I184" s="70" t="str"/>
      <x:c r="J184" s="70" t="str">
        <x:f>IF(OR(F184="",I184=""),"",IF(OR(I184="unknown",I184="not_assessed"),"不可评估",IF(F184=I184,"完全支持",IF(OR(AND(F184="pass",I184="conditional"),AND(F184="conditional",I184="pass")),"部分支持","反例"))))</x:f>
      </x:c>
      <x:c r="K184" s="70" t="str"/>
      <x:c r="L184" s="70" t="str"/>
      <x:c r="M184" s="70" t="str"/>
      <x:c r="N184" s="70" t="str"/>
      <x:c r="O184" s="70" t="str"/>
      <x:c r="P184" s="70" t="str"/>
    </x:row>
    <x:row r="185">
      <x:c r="A185" s="70" t="str">
        <x:v>M5RG-0180</x:v>
      </x:c>
      <x:c r="B185" s="70" t="str">
        <x:v>M5C-023</x:v>
      </x:c>
      <x:c r="C185" s="70" t="str">
        <x:f>IFERROR(VLOOKUP(B185,'02_案例与预测'!$A$6:$E$65,5,FALSE),"")</x:f>
        <x:v>开发集</x:v>
      </x:c>
      <x:c r="D185" s="70" t="str">
        <x:v>RG04</x:v>
      </x:c>
      <x:c r="E185" s="70" t="str">
        <x:v>时间、地域与生活节奏</x:v>
      </x:c>
      <x:c r="F185" s="70" t="str"/>
      <x:c r="G185" s="70" t="str"/>
      <x:c r="H185" s="70" t="str"/>
      <x:c r="I185" s="70" t="str"/>
      <x:c r="J185" s="70" t="str">
        <x:f>IF(OR(F185="",I185=""),"",IF(OR(I185="unknown",I185="not_assessed"),"不可评估",IF(F185=I185,"完全支持",IF(OR(AND(F185="pass",I185="conditional"),AND(F185="conditional",I185="pass")),"部分支持","反例"))))</x:f>
      </x:c>
      <x:c r="K185" s="70" t="str"/>
      <x:c r="L185" s="70" t="str"/>
      <x:c r="M185" s="70" t="str"/>
      <x:c r="N185" s="70" t="str"/>
      <x:c r="O185" s="70" t="str"/>
      <x:c r="P185" s="70" t="str"/>
    </x:row>
    <x:row r="186">
      <x:c r="A186" s="70" t="str">
        <x:v>M5RG-0181</x:v>
      </x:c>
      <x:c r="B186" s="70" t="str">
        <x:v>M5C-023</x:v>
      </x:c>
      <x:c r="C186" s="70" t="str">
        <x:f>IFERROR(VLOOKUP(B186,'02_案例与预测'!$A$6:$E$65,5,FALSE),"")</x:f>
        <x:v>开发集</x:v>
      </x:c>
      <x:c r="D186" s="70" t="str">
        <x:v>RG05</x:v>
      </x:c>
      <x:c r="E186" s="70" t="str">
        <x:v>金钱、资源与劳动分配</x:v>
      </x:c>
      <x:c r="F186" s="70" t="str"/>
      <x:c r="G186" s="70" t="str"/>
      <x:c r="H186" s="70" t="str"/>
      <x:c r="I186" s="70" t="str"/>
      <x:c r="J186" s="70" t="str">
        <x:f>IF(OR(F186="",I186=""),"",IF(OR(I186="unknown",I186="not_assessed"),"不可评估",IF(F186=I186,"完全支持",IF(OR(AND(F186="pass",I186="conditional"),AND(F186="conditional",I186="pass")),"部分支持","反例"))))</x:f>
      </x:c>
      <x:c r="K186" s="70" t="str"/>
      <x:c r="L186" s="70" t="str"/>
      <x:c r="M186" s="70" t="str"/>
      <x:c r="N186" s="70" t="str"/>
      <x:c r="O186" s="70" t="str"/>
      <x:c r="P186" s="70" t="str"/>
    </x:row>
    <x:row r="187">
      <x:c r="A187" s="70" t="str">
        <x:v>M5RG-0182</x:v>
      </x:c>
      <x:c r="B187" s="70" t="str">
        <x:v>M5C-023</x:v>
      </x:c>
      <x:c r="C187" s="70" t="str">
        <x:f>IFERROR(VLOOKUP(B187,'02_案例与预测'!$A$6:$E$65,5,FALSE),"")</x:f>
        <x:v>开发集</x:v>
      </x:c>
      <x:c r="D187" s="70" t="str">
        <x:v>RG06</x:v>
      </x:c>
      <x:c r="E187" s="70" t="str">
        <x:v>家庭、婚育与照护责任</x:v>
      </x:c>
      <x:c r="F187" s="70" t="str"/>
      <x:c r="G187" s="70" t="str"/>
      <x:c r="H187" s="70" t="str"/>
      <x:c r="I187" s="70" t="str"/>
      <x:c r="J187" s="70" t="str">
        <x:f>IF(OR(F187="",I187=""),"",IF(OR(I187="unknown",I187="not_assessed"),"不可评估",IF(F187=I187,"完全支持",IF(OR(AND(F187="pass",I187="conditional"),AND(F187="conditional",I187="pass")),"部分支持","反例"))))</x:f>
      </x:c>
      <x:c r="K187" s="70" t="str"/>
      <x:c r="L187" s="70" t="str"/>
      <x:c r="M187" s="70" t="str"/>
      <x:c r="N187" s="70" t="str"/>
      <x:c r="O187" s="70" t="str"/>
      <x:c r="P187" s="70" t="str"/>
    </x:row>
    <x:row r="188">
      <x:c r="A188" s="70" t="str">
        <x:v>M5RG-0183</x:v>
      </x:c>
      <x:c r="B188" s="70" t="str">
        <x:v>M5C-023</x:v>
      </x:c>
      <x:c r="C188" s="70" t="str">
        <x:f>IFERROR(VLOOKUP(B188,'02_案例与预测'!$A$6:$E$65,5,FALSE),"")</x:f>
        <x:v>开发集</x:v>
      </x:c>
      <x:c r="D188" s="70" t="str">
        <x:v>RG07</x:v>
      </x:c>
      <x:c r="E188" s="70" t="str">
        <x:v>身体、亲密、隐私与健康</x:v>
      </x:c>
      <x:c r="F188" s="70" t="str"/>
      <x:c r="G188" s="70" t="str"/>
      <x:c r="H188" s="70" t="str"/>
      <x:c r="I188" s="70" t="str"/>
      <x:c r="J188" s="70" t="str">
        <x:f>IF(OR(F188="",I188=""),"",IF(OR(I188="unknown",I188="not_assessed"),"不可评估",IF(F188=I188,"完全支持",IF(OR(AND(F188="pass",I188="conditional"),AND(F188="conditional",I188="pass")),"部分支持","反例"))))</x:f>
      </x:c>
      <x:c r="K188" s="70" t="str"/>
      <x:c r="L188" s="70" t="str"/>
      <x:c r="M188" s="70" t="str"/>
      <x:c r="N188" s="70" t="str"/>
      <x:c r="O188" s="70" t="str"/>
      <x:c r="P188" s="70" t="str"/>
    </x:row>
    <x:row r="189">
      <x:c r="A189" s="70" t="str">
        <x:v>M5RG-0184</x:v>
      </x:c>
      <x:c r="B189" s="70" t="str">
        <x:v>M5C-023</x:v>
      </x:c>
      <x:c r="C189" s="70" t="str">
        <x:f>IFERROR(VLOOKUP(B189,'02_案例与预测'!$A$6:$E$65,5,FALSE),"")</x:f>
        <x:v>开发集</x:v>
      </x:c>
      <x:c r="D189" s="70" t="str">
        <x:v>RG08</x:v>
      </x:c>
      <x:c r="E189" s="70" t="str">
        <x:v>冲突、修复与学习意愿</x:v>
      </x:c>
      <x:c r="F189" s="70" t="str"/>
      <x:c r="G189" s="70" t="str"/>
      <x:c r="H189" s="70" t="str"/>
      <x:c r="I189" s="70" t="str"/>
      <x:c r="J189" s="70" t="str">
        <x:f>IF(OR(F189="",I189=""),"",IF(OR(I189="unknown",I189="not_assessed"),"不可评估",IF(F189=I189,"完全支持",IF(OR(AND(F189="pass",I189="conditional"),AND(F189="conditional",I189="pass")),"部分支持","反例"))))</x:f>
      </x:c>
      <x:c r="K189" s="70" t="str"/>
      <x:c r="L189" s="70" t="str"/>
      <x:c r="M189" s="70" t="str"/>
      <x:c r="N189" s="70" t="str"/>
      <x:c r="O189" s="70" t="str"/>
      <x:c r="P189" s="70" t="str"/>
    </x:row>
    <x:row r="190">
      <x:c r="A190" s="70" t="str">
        <x:v>M5RG-0185</x:v>
      </x:c>
      <x:c r="B190" s="70" t="str">
        <x:v>M5C-024</x:v>
      </x:c>
      <x:c r="C190" s="70" t="str">
        <x:f>IFERROR(VLOOKUP(B190,'02_案例与预测'!$A$6:$E$65,5,FALSE),"")</x:f>
        <x:v>开发集</x:v>
      </x:c>
      <x:c r="D190" s="70" t="str">
        <x:v>RG01</x:v>
      </x:c>
      <x:c r="E190" s="70" t="str">
        <x:v>安全、同意与尊重</x:v>
      </x:c>
      <x:c r="F190" s="70" t="str"/>
      <x:c r="G190" s="70" t="str"/>
      <x:c r="H190" s="70" t="str"/>
      <x:c r="I190" s="70" t="str"/>
      <x:c r="J190" s="70" t="str">
        <x:f>IF(OR(F190="",I190=""),"",IF(OR(I190="unknown",I190="not_assessed"),"不可评估",IF(F190=I190,"完全支持",IF(OR(AND(F190="pass",I190="conditional"),AND(F190="conditional",I190="pass")),"部分支持","反例"))))</x:f>
      </x:c>
      <x:c r="K190" s="70" t="str"/>
      <x:c r="L190" s="70" t="str"/>
      <x:c r="M190" s="70" t="str"/>
      <x:c r="N190" s="70" t="str"/>
      <x:c r="O190" s="70" t="str"/>
      <x:c r="P190" s="70" t="str"/>
    </x:row>
    <x:row r="191">
      <x:c r="A191" s="70" t="str">
        <x:v>M5RG-0186</x:v>
      </x:c>
      <x:c r="B191" s="70" t="str">
        <x:v>M5C-024</x:v>
      </x:c>
      <x:c r="C191" s="70" t="str">
        <x:f>IFERROR(VLOOKUP(B191,'02_案例与预测'!$A$6:$E$65,5,FALSE),"")</x:f>
        <x:v>开发集</x:v>
      </x:c>
      <x:c r="D191" s="70" t="str">
        <x:v>RG02</x:v>
      </x:c>
      <x:c r="E191" s="70" t="str">
        <x:v>关系意图与承诺</x:v>
      </x:c>
      <x:c r="F191" s="70" t="str"/>
      <x:c r="G191" s="70" t="str"/>
      <x:c r="H191" s="70" t="str"/>
      <x:c r="I191" s="70" t="str"/>
      <x:c r="J191" s="70" t="str">
        <x:f>IF(OR(F191="",I191=""),"",IF(OR(I191="unknown",I191="not_assessed"),"不可评估",IF(F191=I191,"完全支持",IF(OR(AND(F191="pass",I191="conditional"),AND(F191="conditional",I191="pass")),"部分支持","反例"))))</x:f>
      </x:c>
      <x:c r="K191" s="70" t="str"/>
      <x:c r="L191" s="70" t="str"/>
      <x:c r="M191" s="70" t="str"/>
      <x:c r="N191" s="70" t="str"/>
      <x:c r="O191" s="70" t="str"/>
      <x:c r="P191" s="70" t="str"/>
    </x:row>
    <x:row r="192">
      <x:c r="A192" s="70" t="str">
        <x:v>M5RG-0187</x:v>
      </x:c>
      <x:c r="B192" s="70" t="str">
        <x:v>M5C-024</x:v>
      </x:c>
      <x:c r="C192" s="70" t="str">
        <x:f>IFERROR(VLOOKUP(B192,'02_案例与预测'!$A$6:$E$65,5,FALSE),"")</x:f>
        <x:v>开发集</x:v>
      </x:c>
      <x:c r="D192" s="70" t="str">
        <x:v>RG03</x:v>
      </x:c>
      <x:c r="E192" s="70" t="str">
        <x:v>价值观与人生目标</x:v>
      </x:c>
      <x:c r="F192" s="70" t="str"/>
      <x:c r="G192" s="70" t="str"/>
      <x:c r="H192" s="70" t="str"/>
      <x:c r="I192" s="70" t="str"/>
      <x:c r="J192" s="70" t="str">
        <x:f>IF(OR(F192="",I192=""),"",IF(OR(I192="unknown",I192="not_assessed"),"不可评估",IF(F192=I192,"完全支持",IF(OR(AND(F192="pass",I192="conditional"),AND(F192="conditional",I192="pass")),"部分支持","反例"))))</x:f>
      </x:c>
      <x:c r="K192" s="70" t="str"/>
      <x:c r="L192" s="70" t="str"/>
      <x:c r="M192" s="70" t="str"/>
      <x:c r="N192" s="70" t="str"/>
      <x:c r="O192" s="70" t="str"/>
      <x:c r="P192" s="70" t="str"/>
    </x:row>
    <x:row r="193">
      <x:c r="A193" s="70" t="str">
        <x:v>M5RG-0188</x:v>
      </x:c>
      <x:c r="B193" s="70" t="str">
        <x:v>M5C-024</x:v>
      </x:c>
      <x:c r="C193" s="70" t="str">
        <x:f>IFERROR(VLOOKUP(B193,'02_案例与预测'!$A$6:$E$65,5,FALSE),"")</x:f>
        <x:v>开发集</x:v>
      </x:c>
      <x:c r="D193" s="70" t="str">
        <x:v>RG04</x:v>
      </x:c>
      <x:c r="E193" s="70" t="str">
        <x:v>时间、地域与生活节奏</x:v>
      </x:c>
      <x:c r="F193" s="70" t="str"/>
      <x:c r="G193" s="70" t="str"/>
      <x:c r="H193" s="70" t="str"/>
      <x:c r="I193" s="70" t="str"/>
      <x:c r="J193" s="70" t="str">
        <x:f>IF(OR(F193="",I193=""),"",IF(OR(I193="unknown",I193="not_assessed"),"不可评估",IF(F193=I193,"完全支持",IF(OR(AND(F193="pass",I193="conditional"),AND(F193="conditional",I193="pass")),"部分支持","反例"))))</x:f>
      </x:c>
      <x:c r="K193" s="70" t="str"/>
      <x:c r="L193" s="70" t="str"/>
      <x:c r="M193" s="70" t="str"/>
      <x:c r="N193" s="70" t="str"/>
      <x:c r="O193" s="70" t="str"/>
      <x:c r="P193" s="70" t="str"/>
    </x:row>
    <x:row r="194">
      <x:c r="A194" s="70" t="str">
        <x:v>M5RG-0189</x:v>
      </x:c>
      <x:c r="B194" s="70" t="str">
        <x:v>M5C-024</x:v>
      </x:c>
      <x:c r="C194" s="70" t="str">
        <x:f>IFERROR(VLOOKUP(B194,'02_案例与预测'!$A$6:$E$65,5,FALSE),"")</x:f>
        <x:v>开发集</x:v>
      </x:c>
      <x:c r="D194" s="70" t="str">
        <x:v>RG05</x:v>
      </x:c>
      <x:c r="E194" s="70" t="str">
        <x:v>金钱、资源与劳动分配</x:v>
      </x:c>
      <x:c r="F194" s="70" t="str"/>
      <x:c r="G194" s="70" t="str"/>
      <x:c r="H194" s="70" t="str"/>
      <x:c r="I194" s="70" t="str"/>
      <x:c r="J194" s="70" t="str">
        <x:f>IF(OR(F194="",I194=""),"",IF(OR(I194="unknown",I194="not_assessed"),"不可评估",IF(F194=I194,"完全支持",IF(OR(AND(F194="pass",I194="conditional"),AND(F194="conditional",I194="pass")),"部分支持","反例"))))</x:f>
      </x:c>
      <x:c r="K194" s="70" t="str"/>
      <x:c r="L194" s="70" t="str"/>
      <x:c r="M194" s="70" t="str"/>
      <x:c r="N194" s="70" t="str"/>
      <x:c r="O194" s="70" t="str"/>
      <x:c r="P194" s="70" t="str"/>
    </x:row>
    <x:row r="195">
      <x:c r="A195" s="70" t="str">
        <x:v>M5RG-0190</x:v>
      </x:c>
      <x:c r="B195" s="70" t="str">
        <x:v>M5C-024</x:v>
      </x:c>
      <x:c r="C195" s="70" t="str">
        <x:f>IFERROR(VLOOKUP(B195,'02_案例与预测'!$A$6:$E$65,5,FALSE),"")</x:f>
        <x:v>开发集</x:v>
      </x:c>
      <x:c r="D195" s="70" t="str">
        <x:v>RG06</x:v>
      </x:c>
      <x:c r="E195" s="70" t="str">
        <x:v>家庭、婚育与照护责任</x:v>
      </x:c>
      <x:c r="F195" s="70" t="str"/>
      <x:c r="G195" s="70" t="str"/>
      <x:c r="H195" s="70" t="str"/>
      <x:c r="I195" s="70" t="str"/>
      <x:c r="J195" s="70" t="str">
        <x:f>IF(OR(F195="",I195=""),"",IF(OR(I195="unknown",I195="not_assessed"),"不可评估",IF(F195=I195,"完全支持",IF(OR(AND(F195="pass",I195="conditional"),AND(F195="conditional",I195="pass")),"部分支持","反例"))))</x:f>
      </x:c>
      <x:c r="K195" s="70" t="str"/>
      <x:c r="L195" s="70" t="str"/>
      <x:c r="M195" s="70" t="str"/>
      <x:c r="N195" s="70" t="str"/>
      <x:c r="O195" s="70" t="str"/>
      <x:c r="P195" s="70" t="str"/>
    </x:row>
    <x:row r="196">
      <x:c r="A196" s="70" t="str">
        <x:v>M5RG-0191</x:v>
      </x:c>
      <x:c r="B196" s="70" t="str">
        <x:v>M5C-024</x:v>
      </x:c>
      <x:c r="C196" s="70" t="str">
        <x:f>IFERROR(VLOOKUP(B196,'02_案例与预测'!$A$6:$E$65,5,FALSE),"")</x:f>
        <x:v>开发集</x:v>
      </x:c>
      <x:c r="D196" s="70" t="str">
        <x:v>RG07</x:v>
      </x:c>
      <x:c r="E196" s="70" t="str">
        <x:v>身体、亲密、隐私与健康</x:v>
      </x:c>
      <x:c r="F196" s="70" t="str"/>
      <x:c r="G196" s="70" t="str"/>
      <x:c r="H196" s="70" t="str"/>
      <x:c r="I196" s="70" t="str"/>
      <x:c r="J196" s="70" t="str">
        <x:f>IF(OR(F196="",I196=""),"",IF(OR(I196="unknown",I196="not_assessed"),"不可评估",IF(F196=I196,"完全支持",IF(OR(AND(F196="pass",I196="conditional"),AND(F196="conditional",I196="pass")),"部分支持","反例"))))</x:f>
      </x:c>
      <x:c r="K196" s="70" t="str"/>
      <x:c r="L196" s="70" t="str"/>
      <x:c r="M196" s="70" t="str"/>
      <x:c r="N196" s="70" t="str"/>
      <x:c r="O196" s="70" t="str"/>
      <x:c r="P196" s="70" t="str"/>
    </x:row>
    <x:row r="197">
      <x:c r="A197" s="70" t="str">
        <x:v>M5RG-0192</x:v>
      </x:c>
      <x:c r="B197" s="70" t="str">
        <x:v>M5C-024</x:v>
      </x:c>
      <x:c r="C197" s="70" t="str">
        <x:f>IFERROR(VLOOKUP(B197,'02_案例与预测'!$A$6:$E$65,5,FALSE),"")</x:f>
        <x:v>开发集</x:v>
      </x:c>
      <x:c r="D197" s="70" t="str">
        <x:v>RG08</x:v>
      </x:c>
      <x:c r="E197" s="70" t="str">
        <x:v>冲突、修复与学习意愿</x:v>
      </x:c>
      <x:c r="F197" s="70" t="str"/>
      <x:c r="G197" s="70" t="str"/>
      <x:c r="H197" s="70" t="str"/>
      <x:c r="I197" s="70" t="str"/>
      <x:c r="J197" s="70" t="str">
        <x:f>IF(OR(F197="",I197=""),"",IF(OR(I197="unknown",I197="not_assessed"),"不可评估",IF(F197=I197,"完全支持",IF(OR(AND(F197="pass",I197="conditional"),AND(F197="conditional",I197="pass")),"部分支持","反例"))))</x:f>
      </x:c>
      <x:c r="K197" s="70" t="str"/>
      <x:c r="L197" s="70" t="str"/>
      <x:c r="M197" s="70" t="str"/>
      <x:c r="N197" s="70" t="str"/>
      <x:c r="O197" s="70" t="str"/>
      <x:c r="P197" s="70" t="str"/>
    </x:row>
    <x:row r="198">
      <x:c r="A198" s="70" t="str">
        <x:v>M5RG-0193</x:v>
      </x:c>
      <x:c r="B198" s="70" t="str">
        <x:v>M5C-025</x:v>
      </x:c>
      <x:c r="C198" s="70" t="str">
        <x:f>IFERROR(VLOOKUP(B198,'02_案例与预测'!$A$6:$E$65,5,FALSE),"")</x:f>
        <x:v>开发集</x:v>
      </x:c>
      <x:c r="D198" s="70" t="str">
        <x:v>RG01</x:v>
      </x:c>
      <x:c r="E198" s="70" t="str">
        <x:v>安全、同意与尊重</x:v>
      </x:c>
      <x:c r="F198" s="70" t="str"/>
      <x:c r="G198" s="70" t="str"/>
      <x:c r="H198" s="70" t="str"/>
      <x:c r="I198" s="70" t="str"/>
      <x:c r="J198" s="70" t="str">
        <x:f>IF(OR(F198="",I198=""),"",IF(OR(I198="unknown",I198="not_assessed"),"不可评估",IF(F198=I198,"完全支持",IF(OR(AND(F198="pass",I198="conditional"),AND(F198="conditional",I198="pass")),"部分支持","反例"))))</x:f>
      </x:c>
      <x:c r="K198" s="70" t="str"/>
      <x:c r="L198" s="70" t="str"/>
      <x:c r="M198" s="70" t="str"/>
      <x:c r="N198" s="70" t="str"/>
      <x:c r="O198" s="70" t="str"/>
      <x:c r="P198" s="70" t="str"/>
    </x:row>
    <x:row r="199">
      <x:c r="A199" s="70" t="str">
        <x:v>M5RG-0194</x:v>
      </x:c>
      <x:c r="B199" s="70" t="str">
        <x:v>M5C-025</x:v>
      </x:c>
      <x:c r="C199" s="70" t="str">
        <x:f>IFERROR(VLOOKUP(B199,'02_案例与预测'!$A$6:$E$65,5,FALSE),"")</x:f>
        <x:v>开发集</x:v>
      </x:c>
      <x:c r="D199" s="70" t="str">
        <x:v>RG02</x:v>
      </x:c>
      <x:c r="E199" s="70" t="str">
        <x:v>关系意图与承诺</x:v>
      </x:c>
      <x:c r="F199" s="70" t="str"/>
      <x:c r="G199" s="70" t="str"/>
      <x:c r="H199" s="70" t="str"/>
      <x:c r="I199" s="70" t="str"/>
      <x:c r="J199" s="70" t="str">
        <x:f>IF(OR(F199="",I199=""),"",IF(OR(I199="unknown",I199="not_assessed"),"不可评估",IF(F199=I199,"完全支持",IF(OR(AND(F199="pass",I199="conditional"),AND(F199="conditional",I199="pass")),"部分支持","反例"))))</x:f>
      </x:c>
      <x:c r="K199" s="70" t="str"/>
      <x:c r="L199" s="70" t="str"/>
      <x:c r="M199" s="70" t="str"/>
      <x:c r="N199" s="70" t="str"/>
      <x:c r="O199" s="70" t="str"/>
      <x:c r="P199" s="70" t="str"/>
    </x:row>
    <x:row r="200">
      <x:c r="A200" s="70" t="str">
        <x:v>M5RG-0195</x:v>
      </x:c>
      <x:c r="B200" s="70" t="str">
        <x:v>M5C-025</x:v>
      </x:c>
      <x:c r="C200" s="70" t="str">
        <x:f>IFERROR(VLOOKUP(B200,'02_案例与预测'!$A$6:$E$65,5,FALSE),"")</x:f>
        <x:v>开发集</x:v>
      </x:c>
      <x:c r="D200" s="70" t="str">
        <x:v>RG03</x:v>
      </x:c>
      <x:c r="E200" s="70" t="str">
        <x:v>价值观与人生目标</x:v>
      </x:c>
      <x:c r="F200" s="70" t="str"/>
      <x:c r="G200" s="70" t="str"/>
      <x:c r="H200" s="70" t="str"/>
      <x:c r="I200" s="70" t="str"/>
      <x:c r="J200" s="70" t="str">
        <x:f>IF(OR(F200="",I200=""),"",IF(OR(I200="unknown",I200="not_assessed"),"不可评估",IF(F200=I200,"完全支持",IF(OR(AND(F200="pass",I200="conditional"),AND(F200="conditional",I200="pass")),"部分支持","反例"))))</x:f>
      </x:c>
      <x:c r="K200" s="70" t="str"/>
      <x:c r="L200" s="70" t="str"/>
      <x:c r="M200" s="70" t="str"/>
      <x:c r="N200" s="70" t="str"/>
      <x:c r="O200" s="70" t="str"/>
      <x:c r="P200" s="70" t="str"/>
    </x:row>
    <x:row r="201">
      <x:c r="A201" s="70" t="str">
        <x:v>M5RG-0196</x:v>
      </x:c>
      <x:c r="B201" s="70" t="str">
        <x:v>M5C-025</x:v>
      </x:c>
      <x:c r="C201" s="70" t="str">
        <x:f>IFERROR(VLOOKUP(B201,'02_案例与预测'!$A$6:$E$65,5,FALSE),"")</x:f>
        <x:v>开发集</x:v>
      </x:c>
      <x:c r="D201" s="70" t="str">
        <x:v>RG04</x:v>
      </x:c>
      <x:c r="E201" s="70" t="str">
        <x:v>时间、地域与生活节奏</x:v>
      </x:c>
      <x:c r="F201" s="70" t="str"/>
      <x:c r="G201" s="70" t="str"/>
      <x:c r="H201" s="70" t="str"/>
      <x:c r="I201" s="70" t="str"/>
      <x:c r="J201" s="70" t="str">
        <x:f>IF(OR(F201="",I201=""),"",IF(OR(I201="unknown",I201="not_assessed"),"不可评估",IF(F201=I201,"完全支持",IF(OR(AND(F201="pass",I201="conditional"),AND(F201="conditional",I201="pass")),"部分支持","反例"))))</x:f>
      </x:c>
      <x:c r="K201" s="70" t="str"/>
      <x:c r="L201" s="70" t="str"/>
      <x:c r="M201" s="70" t="str"/>
      <x:c r="N201" s="70" t="str"/>
      <x:c r="O201" s="70" t="str"/>
      <x:c r="P201" s="70" t="str"/>
    </x:row>
    <x:row r="202">
      <x:c r="A202" s="70" t="str">
        <x:v>M5RG-0197</x:v>
      </x:c>
      <x:c r="B202" s="70" t="str">
        <x:v>M5C-025</x:v>
      </x:c>
      <x:c r="C202" s="70" t="str">
        <x:f>IFERROR(VLOOKUP(B202,'02_案例与预测'!$A$6:$E$65,5,FALSE),"")</x:f>
        <x:v>开发集</x:v>
      </x:c>
      <x:c r="D202" s="70" t="str">
        <x:v>RG05</x:v>
      </x:c>
      <x:c r="E202" s="70" t="str">
        <x:v>金钱、资源与劳动分配</x:v>
      </x:c>
      <x:c r="F202" s="70" t="str"/>
      <x:c r="G202" s="70" t="str"/>
      <x:c r="H202" s="70" t="str"/>
      <x:c r="I202" s="70" t="str"/>
      <x:c r="J202" s="70" t="str">
        <x:f>IF(OR(F202="",I202=""),"",IF(OR(I202="unknown",I202="not_assessed"),"不可评估",IF(F202=I202,"完全支持",IF(OR(AND(F202="pass",I202="conditional"),AND(F202="conditional",I202="pass")),"部分支持","反例"))))</x:f>
      </x:c>
      <x:c r="K202" s="70" t="str"/>
      <x:c r="L202" s="70" t="str"/>
      <x:c r="M202" s="70" t="str"/>
      <x:c r="N202" s="70" t="str"/>
      <x:c r="O202" s="70" t="str"/>
      <x:c r="P202" s="70" t="str"/>
    </x:row>
    <x:row r="203">
      <x:c r="A203" s="70" t="str">
        <x:v>M5RG-0198</x:v>
      </x:c>
      <x:c r="B203" s="70" t="str">
        <x:v>M5C-025</x:v>
      </x:c>
      <x:c r="C203" s="70" t="str">
        <x:f>IFERROR(VLOOKUP(B203,'02_案例与预测'!$A$6:$E$65,5,FALSE),"")</x:f>
        <x:v>开发集</x:v>
      </x:c>
      <x:c r="D203" s="70" t="str">
        <x:v>RG06</x:v>
      </x:c>
      <x:c r="E203" s="70" t="str">
        <x:v>家庭、婚育与照护责任</x:v>
      </x:c>
      <x:c r="F203" s="70" t="str"/>
      <x:c r="G203" s="70" t="str"/>
      <x:c r="H203" s="70" t="str"/>
      <x:c r="I203" s="70" t="str"/>
      <x:c r="J203" s="70" t="str">
        <x:f>IF(OR(F203="",I203=""),"",IF(OR(I203="unknown",I203="not_assessed"),"不可评估",IF(F203=I203,"完全支持",IF(OR(AND(F203="pass",I203="conditional"),AND(F203="conditional",I203="pass")),"部分支持","反例"))))</x:f>
      </x:c>
      <x:c r="K203" s="70" t="str"/>
      <x:c r="L203" s="70" t="str"/>
      <x:c r="M203" s="70" t="str"/>
      <x:c r="N203" s="70" t="str"/>
      <x:c r="O203" s="70" t="str"/>
      <x:c r="P203" s="70" t="str"/>
    </x:row>
    <x:row r="204">
      <x:c r="A204" s="70" t="str">
        <x:v>M5RG-0199</x:v>
      </x:c>
      <x:c r="B204" s="70" t="str">
        <x:v>M5C-025</x:v>
      </x:c>
      <x:c r="C204" s="70" t="str">
        <x:f>IFERROR(VLOOKUP(B204,'02_案例与预测'!$A$6:$E$65,5,FALSE),"")</x:f>
        <x:v>开发集</x:v>
      </x:c>
      <x:c r="D204" s="70" t="str">
        <x:v>RG07</x:v>
      </x:c>
      <x:c r="E204" s="70" t="str">
        <x:v>身体、亲密、隐私与健康</x:v>
      </x:c>
      <x:c r="F204" s="70" t="str"/>
      <x:c r="G204" s="70" t="str"/>
      <x:c r="H204" s="70" t="str"/>
      <x:c r="I204" s="70" t="str"/>
      <x:c r="J204" s="70" t="str">
        <x:f>IF(OR(F204="",I204=""),"",IF(OR(I204="unknown",I204="not_assessed"),"不可评估",IF(F204=I204,"完全支持",IF(OR(AND(F204="pass",I204="conditional"),AND(F204="conditional",I204="pass")),"部分支持","反例"))))</x:f>
      </x:c>
      <x:c r="K204" s="70" t="str"/>
      <x:c r="L204" s="70" t="str"/>
      <x:c r="M204" s="70" t="str"/>
      <x:c r="N204" s="70" t="str"/>
      <x:c r="O204" s="70" t="str"/>
      <x:c r="P204" s="70" t="str"/>
    </x:row>
    <x:row r="205">
      <x:c r="A205" s="70" t="str">
        <x:v>M5RG-0200</x:v>
      </x:c>
      <x:c r="B205" s="70" t="str">
        <x:v>M5C-025</x:v>
      </x:c>
      <x:c r="C205" s="70" t="str">
        <x:f>IFERROR(VLOOKUP(B205,'02_案例与预测'!$A$6:$E$65,5,FALSE),"")</x:f>
        <x:v>开发集</x:v>
      </x:c>
      <x:c r="D205" s="70" t="str">
        <x:v>RG08</x:v>
      </x:c>
      <x:c r="E205" s="70" t="str">
        <x:v>冲突、修复与学习意愿</x:v>
      </x:c>
      <x:c r="F205" s="70" t="str"/>
      <x:c r="G205" s="70" t="str"/>
      <x:c r="H205" s="70" t="str"/>
      <x:c r="I205" s="70" t="str"/>
      <x:c r="J205" s="70" t="str">
        <x:f>IF(OR(F205="",I205=""),"",IF(OR(I205="unknown",I205="not_assessed"),"不可评估",IF(F205=I205,"完全支持",IF(OR(AND(F205="pass",I205="conditional"),AND(F205="conditional",I205="pass")),"部分支持","反例"))))</x:f>
      </x:c>
      <x:c r="K205" s="70" t="str"/>
      <x:c r="L205" s="70" t="str"/>
      <x:c r="M205" s="70" t="str"/>
      <x:c r="N205" s="70" t="str"/>
      <x:c r="O205" s="70" t="str"/>
      <x:c r="P205" s="70" t="str"/>
    </x:row>
    <x:row r="206">
      <x:c r="A206" s="70" t="str">
        <x:v>M5RG-0201</x:v>
      </x:c>
      <x:c r="B206" s="70" t="str">
        <x:v>M5C-026</x:v>
      </x:c>
      <x:c r="C206" s="70" t="str">
        <x:f>IFERROR(VLOOKUP(B206,'02_案例与预测'!$A$6:$E$65,5,FALSE),"")</x:f>
        <x:v>开发集</x:v>
      </x:c>
      <x:c r="D206" s="70" t="str">
        <x:v>RG01</x:v>
      </x:c>
      <x:c r="E206" s="70" t="str">
        <x:v>安全、同意与尊重</x:v>
      </x:c>
      <x:c r="F206" s="70" t="str"/>
      <x:c r="G206" s="70" t="str"/>
      <x:c r="H206" s="70" t="str"/>
      <x:c r="I206" s="70" t="str"/>
      <x:c r="J206" s="70" t="str">
        <x:f>IF(OR(F206="",I206=""),"",IF(OR(I206="unknown",I206="not_assessed"),"不可评估",IF(F206=I206,"完全支持",IF(OR(AND(F206="pass",I206="conditional"),AND(F206="conditional",I206="pass")),"部分支持","反例"))))</x:f>
      </x:c>
      <x:c r="K206" s="70" t="str"/>
      <x:c r="L206" s="70" t="str"/>
      <x:c r="M206" s="70" t="str"/>
      <x:c r="N206" s="70" t="str"/>
      <x:c r="O206" s="70" t="str"/>
      <x:c r="P206" s="70" t="str"/>
    </x:row>
    <x:row r="207">
      <x:c r="A207" s="70" t="str">
        <x:v>M5RG-0202</x:v>
      </x:c>
      <x:c r="B207" s="70" t="str">
        <x:v>M5C-026</x:v>
      </x:c>
      <x:c r="C207" s="70" t="str">
        <x:f>IFERROR(VLOOKUP(B207,'02_案例与预测'!$A$6:$E$65,5,FALSE),"")</x:f>
        <x:v>开发集</x:v>
      </x:c>
      <x:c r="D207" s="70" t="str">
        <x:v>RG02</x:v>
      </x:c>
      <x:c r="E207" s="70" t="str">
        <x:v>关系意图与承诺</x:v>
      </x:c>
      <x:c r="F207" s="70" t="str"/>
      <x:c r="G207" s="70" t="str"/>
      <x:c r="H207" s="70" t="str"/>
      <x:c r="I207" s="70" t="str"/>
      <x:c r="J207" s="70" t="str">
        <x:f>IF(OR(F207="",I207=""),"",IF(OR(I207="unknown",I207="not_assessed"),"不可评估",IF(F207=I207,"完全支持",IF(OR(AND(F207="pass",I207="conditional"),AND(F207="conditional",I207="pass")),"部分支持","反例"))))</x:f>
      </x:c>
      <x:c r="K207" s="70" t="str"/>
      <x:c r="L207" s="70" t="str"/>
      <x:c r="M207" s="70" t="str"/>
      <x:c r="N207" s="70" t="str"/>
      <x:c r="O207" s="70" t="str"/>
      <x:c r="P207" s="70" t="str"/>
    </x:row>
    <x:row r="208">
      <x:c r="A208" s="70" t="str">
        <x:v>M5RG-0203</x:v>
      </x:c>
      <x:c r="B208" s="70" t="str">
        <x:v>M5C-026</x:v>
      </x:c>
      <x:c r="C208" s="70" t="str">
        <x:f>IFERROR(VLOOKUP(B208,'02_案例与预测'!$A$6:$E$65,5,FALSE),"")</x:f>
        <x:v>开发集</x:v>
      </x:c>
      <x:c r="D208" s="70" t="str">
        <x:v>RG03</x:v>
      </x:c>
      <x:c r="E208" s="70" t="str">
        <x:v>价值观与人生目标</x:v>
      </x:c>
      <x:c r="F208" s="70" t="str"/>
      <x:c r="G208" s="70" t="str"/>
      <x:c r="H208" s="70" t="str"/>
      <x:c r="I208" s="70" t="str"/>
      <x:c r="J208" s="70" t="str">
        <x:f>IF(OR(F208="",I208=""),"",IF(OR(I208="unknown",I208="not_assessed"),"不可评估",IF(F208=I208,"完全支持",IF(OR(AND(F208="pass",I208="conditional"),AND(F208="conditional",I208="pass")),"部分支持","反例"))))</x:f>
      </x:c>
      <x:c r="K208" s="70" t="str"/>
      <x:c r="L208" s="70" t="str"/>
      <x:c r="M208" s="70" t="str"/>
      <x:c r="N208" s="70" t="str"/>
      <x:c r="O208" s="70" t="str"/>
      <x:c r="P208" s="70" t="str"/>
    </x:row>
    <x:row r="209">
      <x:c r="A209" s="70" t="str">
        <x:v>M5RG-0204</x:v>
      </x:c>
      <x:c r="B209" s="70" t="str">
        <x:v>M5C-026</x:v>
      </x:c>
      <x:c r="C209" s="70" t="str">
        <x:f>IFERROR(VLOOKUP(B209,'02_案例与预测'!$A$6:$E$65,5,FALSE),"")</x:f>
        <x:v>开发集</x:v>
      </x:c>
      <x:c r="D209" s="70" t="str">
        <x:v>RG04</x:v>
      </x:c>
      <x:c r="E209" s="70" t="str">
        <x:v>时间、地域与生活节奏</x:v>
      </x:c>
      <x:c r="F209" s="70" t="str"/>
      <x:c r="G209" s="70" t="str"/>
      <x:c r="H209" s="70" t="str"/>
      <x:c r="I209" s="70" t="str"/>
      <x:c r="J209" s="70" t="str">
        <x:f>IF(OR(F209="",I209=""),"",IF(OR(I209="unknown",I209="not_assessed"),"不可评估",IF(F209=I209,"完全支持",IF(OR(AND(F209="pass",I209="conditional"),AND(F209="conditional",I209="pass")),"部分支持","反例"))))</x:f>
      </x:c>
      <x:c r="K209" s="70" t="str"/>
      <x:c r="L209" s="70" t="str"/>
      <x:c r="M209" s="70" t="str"/>
      <x:c r="N209" s="70" t="str"/>
      <x:c r="O209" s="70" t="str"/>
      <x:c r="P209" s="70" t="str"/>
    </x:row>
    <x:row r="210">
      <x:c r="A210" s="70" t="str">
        <x:v>M5RG-0205</x:v>
      </x:c>
      <x:c r="B210" s="70" t="str">
        <x:v>M5C-026</x:v>
      </x:c>
      <x:c r="C210" s="70" t="str">
        <x:f>IFERROR(VLOOKUP(B210,'02_案例与预测'!$A$6:$E$65,5,FALSE),"")</x:f>
        <x:v>开发集</x:v>
      </x:c>
      <x:c r="D210" s="70" t="str">
        <x:v>RG05</x:v>
      </x:c>
      <x:c r="E210" s="70" t="str">
        <x:v>金钱、资源与劳动分配</x:v>
      </x:c>
      <x:c r="F210" s="70" t="str"/>
      <x:c r="G210" s="70" t="str"/>
      <x:c r="H210" s="70" t="str"/>
      <x:c r="I210" s="70" t="str"/>
      <x:c r="J210" s="70" t="str">
        <x:f>IF(OR(F210="",I210=""),"",IF(OR(I210="unknown",I210="not_assessed"),"不可评估",IF(F210=I210,"完全支持",IF(OR(AND(F210="pass",I210="conditional"),AND(F210="conditional",I210="pass")),"部分支持","反例"))))</x:f>
      </x:c>
      <x:c r="K210" s="70" t="str"/>
      <x:c r="L210" s="70" t="str"/>
      <x:c r="M210" s="70" t="str"/>
      <x:c r="N210" s="70" t="str"/>
      <x:c r="O210" s="70" t="str"/>
      <x:c r="P210" s="70" t="str"/>
    </x:row>
    <x:row r="211">
      <x:c r="A211" s="70" t="str">
        <x:v>M5RG-0206</x:v>
      </x:c>
      <x:c r="B211" s="70" t="str">
        <x:v>M5C-026</x:v>
      </x:c>
      <x:c r="C211" s="70" t="str">
        <x:f>IFERROR(VLOOKUP(B211,'02_案例与预测'!$A$6:$E$65,5,FALSE),"")</x:f>
        <x:v>开发集</x:v>
      </x:c>
      <x:c r="D211" s="70" t="str">
        <x:v>RG06</x:v>
      </x:c>
      <x:c r="E211" s="70" t="str">
        <x:v>家庭、婚育与照护责任</x:v>
      </x:c>
      <x:c r="F211" s="70" t="str"/>
      <x:c r="G211" s="70" t="str"/>
      <x:c r="H211" s="70" t="str"/>
      <x:c r="I211" s="70" t="str"/>
      <x:c r="J211" s="70" t="str">
        <x:f>IF(OR(F211="",I211=""),"",IF(OR(I211="unknown",I211="not_assessed"),"不可评估",IF(F211=I211,"完全支持",IF(OR(AND(F211="pass",I211="conditional"),AND(F211="conditional",I211="pass")),"部分支持","反例"))))</x:f>
      </x:c>
      <x:c r="K211" s="70" t="str"/>
      <x:c r="L211" s="70" t="str"/>
      <x:c r="M211" s="70" t="str"/>
      <x:c r="N211" s="70" t="str"/>
      <x:c r="O211" s="70" t="str"/>
      <x:c r="P211" s="70" t="str"/>
    </x:row>
    <x:row r="212">
      <x:c r="A212" s="70" t="str">
        <x:v>M5RG-0207</x:v>
      </x:c>
      <x:c r="B212" s="70" t="str">
        <x:v>M5C-026</x:v>
      </x:c>
      <x:c r="C212" s="70" t="str">
        <x:f>IFERROR(VLOOKUP(B212,'02_案例与预测'!$A$6:$E$65,5,FALSE),"")</x:f>
        <x:v>开发集</x:v>
      </x:c>
      <x:c r="D212" s="70" t="str">
        <x:v>RG07</x:v>
      </x:c>
      <x:c r="E212" s="70" t="str">
        <x:v>身体、亲密、隐私与健康</x:v>
      </x:c>
      <x:c r="F212" s="70" t="str"/>
      <x:c r="G212" s="70" t="str"/>
      <x:c r="H212" s="70" t="str"/>
      <x:c r="I212" s="70" t="str"/>
      <x:c r="J212" s="70" t="str">
        <x:f>IF(OR(F212="",I212=""),"",IF(OR(I212="unknown",I212="not_assessed"),"不可评估",IF(F212=I212,"完全支持",IF(OR(AND(F212="pass",I212="conditional"),AND(F212="conditional",I212="pass")),"部分支持","反例"))))</x:f>
      </x:c>
      <x:c r="K212" s="70" t="str"/>
      <x:c r="L212" s="70" t="str"/>
      <x:c r="M212" s="70" t="str"/>
      <x:c r="N212" s="70" t="str"/>
      <x:c r="O212" s="70" t="str"/>
      <x:c r="P212" s="70" t="str"/>
    </x:row>
    <x:row r="213">
      <x:c r="A213" s="70" t="str">
        <x:v>M5RG-0208</x:v>
      </x:c>
      <x:c r="B213" s="70" t="str">
        <x:v>M5C-026</x:v>
      </x:c>
      <x:c r="C213" s="70" t="str">
        <x:f>IFERROR(VLOOKUP(B213,'02_案例与预测'!$A$6:$E$65,5,FALSE),"")</x:f>
        <x:v>开发集</x:v>
      </x:c>
      <x:c r="D213" s="70" t="str">
        <x:v>RG08</x:v>
      </x:c>
      <x:c r="E213" s="70" t="str">
        <x:v>冲突、修复与学习意愿</x:v>
      </x:c>
      <x:c r="F213" s="70" t="str"/>
      <x:c r="G213" s="70" t="str"/>
      <x:c r="H213" s="70" t="str"/>
      <x:c r="I213" s="70" t="str"/>
      <x:c r="J213" s="70" t="str">
        <x:f>IF(OR(F213="",I213=""),"",IF(OR(I213="unknown",I213="not_assessed"),"不可评估",IF(F213=I213,"完全支持",IF(OR(AND(F213="pass",I213="conditional"),AND(F213="conditional",I213="pass")),"部分支持","反例"))))</x:f>
      </x:c>
      <x:c r="K213" s="70" t="str"/>
      <x:c r="L213" s="70" t="str"/>
      <x:c r="M213" s="70" t="str"/>
      <x:c r="N213" s="70" t="str"/>
      <x:c r="O213" s="70" t="str"/>
      <x:c r="P213" s="70" t="str"/>
    </x:row>
    <x:row r="214">
      <x:c r="A214" s="70" t="str">
        <x:v>M5RG-0209</x:v>
      </x:c>
      <x:c r="B214" s="70" t="str">
        <x:v>M5C-027</x:v>
      </x:c>
      <x:c r="C214" s="70" t="str">
        <x:f>IFERROR(VLOOKUP(B214,'02_案例与预测'!$A$6:$E$65,5,FALSE),"")</x:f>
        <x:v>开发集</x:v>
      </x:c>
      <x:c r="D214" s="70" t="str">
        <x:v>RG01</x:v>
      </x:c>
      <x:c r="E214" s="70" t="str">
        <x:v>安全、同意与尊重</x:v>
      </x:c>
      <x:c r="F214" s="70" t="str"/>
      <x:c r="G214" s="70" t="str"/>
      <x:c r="H214" s="70" t="str"/>
      <x:c r="I214" s="70" t="str"/>
      <x:c r="J214" s="70" t="str">
        <x:f>IF(OR(F214="",I214=""),"",IF(OR(I214="unknown",I214="not_assessed"),"不可评估",IF(F214=I214,"完全支持",IF(OR(AND(F214="pass",I214="conditional"),AND(F214="conditional",I214="pass")),"部分支持","反例"))))</x:f>
      </x:c>
      <x:c r="K214" s="70" t="str"/>
      <x:c r="L214" s="70" t="str"/>
      <x:c r="M214" s="70" t="str"/>
      <x:c r="N214" s="70" t="str"/>
      <x:c r="O214" s="70" t="str"/>
      <x:c r="P214" s="70" t="str"/>
    </x:row>
    <x:row r="215">
      <x:c r="A215" s="70" t="str">
        <x:v>M5RG-0210</x:v>
      </x:c>
      <x:c r="B215" s="70" t="str">
        <x:v>M5C-027</x:v>
      </x:c>
      <x:c r="C215" s="70" t="str">
        <x:f>IFERROR(VLOOKUP(B215,'02_案例与预测'!$A$6:$E$65,5,FALSE),"")</x:f>
        <x:v>开发集</x:v>
      </x:c>
      <x:c r="D215" s="70" t="str">
        <x:v>RG02</x:v>
      </x:c>
      <x:c r="E215" s="70" t="str">
        <x:v>关系意图与承诺</x:v>
      </x:c>
      <x:c r="F215" s="70" t="str"/>
      <x:c r="G215" s="70" t="str"/>
      <x:c r="H215" s="70" t="str"/>
      <x:c r="I215" s="70" t="str"/>
      <x:c r="J215" s="70" t="str">
        <x:f>IF(OR(F215="",I215=""),"",IF(OR(I215="unknown",I215="not_assessed"),"不可评估",IF(F215=I215,"完全支持",IF(OR(AND(F215="pass",I215="conditional"),AND(F215="conditional",I215="pass")),"部分支持","反例"))))</x:f>
      </x:c>
      <x:c r="K215" s="70" t="str"/>
      <x:c r="L215" s="70" t="str"/>
      <x:c r="M215" s="70" t="str"/>
      <x:c r="N215" s="70" t="str"/>
      <x:c r="O215" s="70" t="str"/>
      <x:c r="P215" s="70" t="str"/>
    </x:row>
    <x:row r="216">
      <x:c r="A216" s="70" t="str">
        <x:v>M5RG-0211</x:v>
      </x:c>
      <x:c r="B216" s="70" t="str">
        <x:v>M5C-027</x:v>
      </x:c>
      <x:c r="C216" s="70" t="str">
        <x:f>IFERROR(VLOOKUP(B216,'02_案例与预测'!$A$6:$E$65,5,FALSE),"")</x:f>
        <x:v>开发集</x:v>
      </x:c>
      <x:c r="D216" s="70" t="str">
        <x:v>RG03</x:v>
      </x:c>
      <x:c r="E216" s="70" t="str">
        <x:v>价值观与人生目标</x:v>
      </x:c>
      <x:c r="F216" s="70" t="str"/>
      <x:c r="G216" s="70" t="str"/>
      <x:c r="H216" s="70" t="str"/>
      <x:c r="I216" s="70" t="str"/>
      <x:c r="J216" s="70" t="str">
        <x:f>IF(OR(F216="",I216=""),"",IF(OR(I216="unknown",I216="not_assessed"),"不可评估",IF(F216=I216,"完全支持",IF(OR(AND(F216="pass",I216="conditional"),AND(F216="conditional",I216="pass")),"部分支持","反例"))))</x:f>
      </x:c>
      <x:c r="K216" s="70" t="str"/>
      <x:c r="L216" s="70" t="str"/>
      <x:c r="M216" s="70" t="str"/>
      <x:c r="N216" s="70" t="str"/>
      <x:c r="O216" s="70" t="str"/>
      <x:c r="P216" s="70" t="str"/>
    </x:row>
    <x:row r="217">
      <x:c r="A217" s="70" t="str">
        <x:v>M5RG-0212</x:v>
      </x:c>
      <x:c r="B217" s="70" t="str">
        <x:v>M5C-027</x:v>
      </x:c>
      <x:c r="C217" s="70" t="str">
        <x:f>IFERROR(VLOOKUP(B217,'02_案例与预测'!$A$6:$E$65,5,FALSE),"")</x:f>
        <x:v>开发集</x:v>
      </x:c>
      <x:c r="D217" s="70" t="str">
        <x:v>RG04</x:v>
      </x:c>
      <x:c r="E217" s="70" t="str">
        <x:v>时间、地域与生活节奏</x:v>
      </x:c>
      <x:c r="F217" s="70" t="str"/>
      <x:c r="G217" s="70" t="str"/>
      <x:c r="H217" s="70" t="str"/>
      <x:c r="I217" s="70" t="str"/>
      <x:c r="J217" s="70" t="str">
        <x:f>IF(OR(F217="",I217=""),"",IF(OR(I217="unknown",I217="not_assessed"),"不可评估",IF(F217=I217,"完全支持",IF(OR(AND(F217="pass",I217="conditional"),AND(F217="conditional",I217="pass")),"部分支持","反例"))))</x:f>
      </x:c>
      <x:c r="K217" s="70" t="str"/>
      <x:c r="L217" s="70" t="str"/>
      <x:c r="M217" s="70" t="str"/>
      <x:c r="N217" s="70" t="str"/>
      <x:c r="O217" s="70" t="str"/>
      <x:c r="P217" s="70" t="str"/>
    </x:row>
    <x:row r="218">
      <x:c r="A218" s="70" t="str">
        <x:v>M5RG-0213</x:v>
      </x:c>
      <x:c r="B218" s="70" t="str">
        <x:v>M5C-027</x:v>
      </x:c>
      <x:c r="C218" s="70" t="str">
        <x:f>IFERROR(VLOOKUP(B218,'02_案例与预测'!$A$6:$E$65,5,FALSE),"")</x:f>
        <x:v>开发集</x:v>
      </x:c>
      <x:c r="D218" s="70" t="str">
        <x:v>RG05</x:v>
      </x:c>
      <x:c r="E218" s="70" t="str">
        <x:v>金钱、资源与劳动分配</x:v>
      </x:c>
      <x:c r="F218" s="70" t="str"/>
      <x:c r="G218" s="70" t="str"/>
      <x:c r="H218" s="70" t="str"/>
      <x:c r="I218" s="70" t="str"/>
      <x:c r="J218" s="70" t="str">
        <x:f>IF(OR(F218="",I218=""),"",IF(OR(I218="unknown",I218="not_assessed"),"不可评估",IF(F218=I218,"完全支持",IF(OR(AND(F218="pass",I218="conditional"),AND(F218="conditional",I218="pass")),"部分支持","反例"))))</x:f>
      </x:c>
      <x:c r="K218" s="70" t="str"/>
      <x:c r="L218" s="70" t="str"/>
      <x:c r="M218" s="70" t="str"/>
      <x:c r="N218" s="70" t="str"/>
      <x:c r="O218" s="70" t="str"/>
      <x:c r="P218" s="70" t="str"/>
    </x:row>
    <x:row r="219">
      <x:c r="A219" s="70" t="str">
        <x:v>M5RG-0214</x:v>
      </x:c>
      <x:c r="B219" s="70" t="str">
        <x:v>M5C-027</x:v>
      </x:c>
      <x:c r="C219" s="70" t="str">
        <x:f>IFERROR(VLOOKUP(B219,'02_案例与预测'!$A$6:$E$65,5,FALSE),"")</x:f>
        <x:v>开发集</x:v>
      </x:c>
      <x:c r="D219" s="70" t="str">
        <x:v>RG06</x:v>
      </x:c>
      <x:c r="E219" s="70" t="str">
        <x:v>家庭、婚育与照护责任</x:v>
      </x:c>
      <x:c r="F219" s="70" t="str"/>
      <x:c r="G219" s="70" t="str"/>
      <x:c r="H219" s="70" t="str"/>
      <x:c r="I219" s="70" t="str"/>
      <x:c r="J219" s="70" t="str">
        <x:f>IF(OR(F219="",I219=""),"",IF(OR(I219="unknown",I219="not_assessed"),"不可评估",IF(F219=I219,"完全支持",IF(OR(AND(F219="pass",I219="conditional"),AND(F219="conditional",I219="pass")),"部分支持","反例"))))</x:f>
      </x:c>
      <x:c r="K219" s="70" t="str"/>
      <x:c r="L219" s="70" t="str"/>
      <x:c r="M219" s="70" t="str"/>
      <x:c r="N219" s="70" t="str"/>
      <x:c r="O219" s="70" t="str"/>
      <x:c r="P219" s="70" t="str"/>
    </x:row>
    <x:row r="220">
      <x:c r="A220" s="70" t="str">
        <x:v>M5RG-0215</x:v>
      </x:c>
      <x:c r="B220" s="70" t="str">
        <x:v>M5C-027</x:v>
      </x:c>
      <x:c r="C220" s="70" t="str">
        <x:f>IFERROR(VLOOKUP(B220,'02_案例与预测'!$A$6:$E$65,5,FALSE),"")</x:f>
        <x:v>开发集</x:v>
      </x:c>
      <x:c r="D220" s="70" t="str">
        <x:v>RG07</x:v>
      </x:c>
      <x:c r="E220" s="70" t="str">
        <x:v>身体、亲密、隐私与健康</x:v>
      </x:c>
      <x:c r="F220" s="70" t="str"/>
      <x:c r="G220" s="70" t="str"/>
      <x:c r="H220" s="70" t="str"/>
      <x:c r="I220" s="70" t="str"/>
      <x:c r="J220" s="70" t="str">
        <x:f>IF(OR(F220="",I220=""),"",IF(OR(I220="unknown",I220="not_assessed"),"不可评估",IF(F220=I220,"完全支持",IF(OR(AND(F220="pass",I220="conditional"),AND(F220="conditional",I220="pass")),"部分支持","反例"))))</x:f>
      </x:c>
      <x:c r="K220" s="70" t="str"/>
      <x:c r="L220" s="70" t="str"/>
      <x:c r="M220" s="70" t="str"/>
      <x:c r="N220" s="70" t="str"/>
      <x:c r="O220" s="70" t="str"/>
      <x:c r="P220" s="70" t="str"/>
    </x:row>
    <x:row r="221">
      <x:c r="A221" s="70" t="str">
        <x:v>M5RG-0216</x:v>
      </x:c>
      <x:c r="B221" s="70" t="str">
        <x:v>M5C-027</x:v>
      </x:c>
      <x:c r="C221" s="70" t="str">
        <x:f>IFERROR(VLOOKUP(B221,'02_案例与预测'!$A$6:$E$65,5,FALSE),"")</x:f>
        <x:v>开发集</x:v>
      </x:c>
      <x:c r="D221" s="70" t="str">
        <x:v>RG08</x:v>
      </x:c>
      <x:c r="E221" s="70" t="str">
        <x:v>冲突、修复与学习意愿</x:v>
      </x:c>
      <x:c r="F221" s="70" t="str"/>
      <x:c r="G221" s="70" t="str"/>
      <x:c r="H221" s="70" t="str"/>
      <x:c r="I221" s="70" t="str"/>
      <x:c r="J221" s="70" t="str">
        <x:f>IF(OR(F221="",I221=""),"",IF(OR(I221="unknown",I221="not_assessed"),"不可评估",IF(F221=I221,"完全支持",IF(OR(AND(F221="pass",I221="conditional"),AND(F221="conditional",I221="pass")),"部分支持","反例"))))</x:f>
      </x:c>
      <x:c r="K221" s="70" t="str"/>
      <x:c r="L221" s="70" t="str"/>
      <x:c r="M221" s="70" t="str"/>
      <x:c r="N221" s="70" t="str"/>
      <x:c r="O221" s="70" t="str"/>
      <x:c r="P221" s="70" t="str"/>
    </x:row>
    <x:row r="222">
      <x:c r="A222" s="70" t="str">
        <x:v>M5RG-0217</x:v>
      </x:c>
      <x:c r="B222" s="70" t="str">
        <x:v>M5C-028</x:v>
      </x:c>
      <x:c r="C222" s="70" t="str">
        <x:f>IFERROR(VLOOKUP(B222,'02_案例与预测'!$A$6:$E$65,5,FALSE),"")</x:f>
        <x:v>留出集</x:v>
      </x:c>
      <x:c r="D222" s="70" t="str">
        <x:v>RG01</x:v>
      </x:c>
      <x:c r="E222" s="70" t="str">
        <x:v>安全、同意与尊重</x:v>
      </x:c>
      <x:c r="F222" s="70" t="str"/>
      <x:c r="G222" s="70" t="str"/>
      <x:c r="H222" s="70" t="str"/>
      <x:c r="I222" s="70" t="str"/>
      <x:c r="J222" s="70" t="str">
        <x:f>IF(OR(F222="",I222=""),"",IF(OR(I222="unknown",I222="not_assessed"),"不可评估",IF(F222=I222,"完全支持",IF(OR(AND(F222="pass",I222="conditional"),AND(F222="conditional",I222="pass")),"部分支持","反例"))))</x:f>
      </x:c>
      <x:c r="K222" s="70" t="str"/>
      <x:c r="L222" s="70" t="str"/>
      <x:c r="M222" s="70" t="str"/>
      <x:c r="N222" s="70" t="str"/>
      <x:c r="O222" s="70" t="str"/>
      <x:c r="P222" s="70" t="str"/>
    </x:row>
    <x:row r="223">
      <x:c r="A223" s="70" t="str">
        <x:v>M5RG-0218</x:v>
      </x:c>
      <x:c r="B223" s="70" t="str">
        <x:v>M5C-028</x:v>
      </x:c>
      <x:c r="C223" s="70" t="str">
        <x:f>IFERROR(VLOOKUP(B223,'02_案例与预测'!$A$6:$E$65,5,FALSE),"")</x:f>
        <x:v>留出集</x:v>
      </x:c>
      <x:c r="D223" s="70" t="str">
        <x:v>RG02</x:v>
      </x:c>
      <x:c r="E223" s="70" t="str">
        <x:v>关系意图与承诺</x:v>
      </x:c>
      <x:c r="F223" s="70" t="str"/>
      <x:c r="G223" s="70" t="str"/>
      <x:c r="H223" s="70" t="str"/>
      <x:c r="I223" s="70" t="str"/>
      <x:c r="J223" s="70" t="str">
        <x:f>IF(OR(F223="",I223=""),"",IF(OR(I223="unknown",I223="not_assessed"),"不可评估",IF(F223=I223,"完全支持",IF(OR(AND(F223="pass",I223="conditional"),AND(F223="conditional",I223="pass")),"部分支持","反例"))))</x:f>
      </x:c>
      <x:c r="K223" s="70" t="str"/>
      <x:c r="L223" s="70" t="str"/>
      <x:c r="M223" s="70" t="str"/>
      <x:c r="N223" s="70" t="str"/>
      <x:c r="O223" s="70" t="str"/>
      <x:c r="P223" s="70" t="str"/>
    </x:row>
    <x:row r="224">
      <x:c r="A224" s="70" t="str">
        <x:v>M5RG-0219</x:v>
      </x:c>
      <x:c r="B224" s="70" t="str">
        <x:v>M5C-028</x:v>
      </x:c>
      <x:c r="C224" s="70" t="str">
        <x:f>IFERROR(VLOOKUP(B224,'02_案例与预测'!$A$6:$E$65,5,FALSE),"")</x:f>
        <x:v>留出集</x:v>
      </x:c>
      <x:c r="D224" s="70" t="str">
        <x:v>RG03</x:v>
      </x:c>
      <x:c r="E224" s="70" t="str">
        <x:v>价值观与人生目标</x:v>
      </x:c>
      <x:c r="F224" s="70" t="str"/>
      <x:c r="G224" s="70" t="str"/>
      <x:c r="H224" s="70" t="str"/>
      <x:c r="I224" s="70" t="str"/>
      <x:c r="J224" s="70" t="str">
        <x:f>IF(OR(F224="",I224=""),"",IF(OR(I224="unknown",I224="not_assessed"),"不可评估",IF(F224=I224,"完全支持",IF(OR(AND(F224="pass",I224="conditional"),AND(F224="conditional",I224="pass")),"部分支持","反例"))))</x:f>
      </x:c>
      <x:c r="K224" s="70" t="str"/>
      <x:c r="L224" s="70" t="str"/>
      <x:c r="M224" s="70" t="str"/>
      <x:c r="N224" s="70" t="str"/>
      <x:c r="O224" s="70" t="str"/>
      <x:c r="P224" s="70" t="str"/>
    </x:row>
    <x:row r="225">
      <x:c r="A225" s="70" t="str">
        <x:v>M5RG-0220</x:v>
      </x:c>
      <x:c r="B225" s="70" t="str">
        <x:v>M5C-028</x:v>
      </x:c>
      <x:c r="C225" s="70" t="str">
        <x:f>IFERROR(VLOOKUP(B225,'02_案例与预测'!$A$6:$E$65,5,FALSE),"")</x:f>
        <x:v>留出集</x:v>
      </x:c>
      <x:c r="D225" s="70" t="str">
        <x:v>RG04</x:v>
      </x:c>
      <x:c r="E225" s="70" t="str">
        <x:v>时间、地域与生活节奏</x:v>
      </x:c>
      <x:c r="F225" s="70" t="str"/>
      <x:c r="G225" s="70" t="str"/>
      <x:c r="H225" s="70" t="str"/>
      <x:c r="I225" s="70" t="str"/>
      <x:c r="J225" s="70" t="str">
        <x:f>IF(OR(F225="",I225=""),"",IF(OR(I225="unknown",I225="not_assessed"),"不可评估",IF(F225=I225,"完全支持",IF(OR(AND(F225="pass",I225="conditional"),AND(F225="conditional",I225="pass")),"部分支持","反例"))))</x:f>
      </x:c>
      <x:c r="K225" s="70" t="str"/>
      <x:c r="L225" s="70" t="str"/>
      <x:c r="M225" s="70" t="str"/>
      <x:c r="N225" s="70" t="str"/>
      <x:c r="O225" s="70" t="str"/>
      <x:c r="P225" s="70" t="str"/>
    </x:row>
    <x:row r="226">
      <x:c r="A226" s="70" t="str">
        <x:v>M5RG-0221</x:v>
      </x:c>
      <x:c r="B226" s="70" t="str">
        <x:v>M5C-028</x:v>
      </x:c>
      <x:c r="C226" s="70" t="str">
        <x:f>IFERROR(VLOOKUP(B226,'02_案例与预测'!$A$6:$E$65,5,FALSE),"")</x:f>
        <x:v>留出集</x:v>
      </x:c>
      <x:c r="D226" s="70" t="str">
        <x:v>RG05</x:v>
      </x:c>
      <x:c r="E226" s="70" t="str">
        <x:v>金钱、资源与劳动分配</x:v>
      </x:c>
      <x:c r="F226" s="70" t="str"/>
      <x:c r="G226" s="70" t="str"/>
      <x:c r="H226" s="70" t="str"/>
      <x:c r="I226" s="70" t="str"/>
      <x:c r="J226" s="70" t="str">
        <x:f>IF(OR(F226="",I226=""),"",IF(OR(I226="unknown",I226="not_assessed"),"不可评估",IF(F226=I226,"完全支持",IF(OR(AND(F226="pass",I226="conditional"),AND(F226="conditional",I226="pass")),"部分支持","反例"))))</x:f>
      </x:c>
      <x:c r="K226" s="70" t="str"/>
      <x:c r="L226" s="70" t="str"/>
      <x:c r="M226" s="70" t="str"/>
      <x:c r="N226" s="70" t="str"/>
      <x:c r="O226" s="70" t="str"/>
      <x:c r="P226" s="70" t="str"/>
    </x:row>
    <x:row r="227">
      <x:c r="A227" s="70" t="str">
        <x:v>M5RG-0222</x:v>
      </x:c>
      <x:c r="B227" s="70" t="str">
        <x:v>M5C-028</x:v>
      </x:c>
      <x:c r="C227" s="70" t="str">
        <x:f>IFERROR(VLOOKUP(B227,'02_案例与预测'!$A$6:$E$65,5,FALSE),"")</x:f>
        <x:v>留出集</x:v>
      </x:c>
      <x:c r="D227" s="70" t="str">
        <x:v>RG06</x:v>
      </x:c>
      <x:c r="E227" s="70" t="str">
        <x:v>家庭、婚育与照护责任</x:v>
      </x:c>
      <x:c r="F227" s="70" t="str"/>
      <x:c r="G227" s="70" t="str"/>
      <x:c r="H227" s="70" t="str"/>
      <x:c r="I227" s="70" t="str"/>
      <x:c r="J227" s="70" t="str">
        <x:f>IF(OR(F227="",I227=""),"",IF(OR(I227="unknown",I227="not_assessed"),"不可评估",IF(F227=I227,"完全支持",IF(OR(AND(F227="pass",I227="conditional"),AND(F227="conditional",I227="pass")),"部分支持","反例"))))</x:f>
      </x:c>
      <x:c r="K227" s="70" t="str"/>
      <x:c r="L227" s="70" t="str"/>
      <x:c r="M227" s="70" t="str"/>
      <x:c r="N227" s="70" t="str"/>
      <x:c r="O227" s="70" t="str"/>
      <x:c r="P227" s="70" t="str"/>
    </x:row>
    <x:row r="228">
      <x:c r="A228" s="70" t="str">
        <x:v>M5RG-0223</x:v>
      </x:c>
      <x:c r="B228" s="70" t="str">
        <x:v>M5C-028</x:v>
      </x:c>
      <x:c r="C228" s="70" t="str">
        <x:f>IFERROR(VLOOKUP(B228,'02_案例与预测'!$A$6:$E$65,5,FALSE),"")</x:f>
        <x:v>留出集</x:v>
      </x:c>
      <x:c r="D228" s="70" t="str">
        <x:v>RG07</x:v>
      </x:c>
      <x:c r="E228" s="70" t="str">
        <x:v>身体、亲密、隐私与健康</x:v>
      </x:c>
      <x:c r="F228" s="70" t="str"/>
      <x:c r="G228" s="70" t="str"/>
      <x:c r="H228" s="70" t="str"/>
      <x:c r="I228" s="70" t="str"/>
      <x:c r="J228" s="70" t="str">
        <x:f>IF(OR(F228="",I228=""),"",IF(OR(I228="unknown",I228="not_assessed"),"不可评估",IF(F228=I228,"完全支持",IF(OR(AND(F228="pass",I228="conditional"),AND(F228="conditional",I228="pass")),"部分支持","反例"))))</x:f>
      </x:c>
      <x:c r="K228" s="70" t="str"/>
      <x:c r="L228" s="70" t="str"/>
      <x:c r="M228" s="70" t="str"/>
      <x:c r="N228" s="70" t="str"/>
      <x:c r="O228" s="70" t="str"/>
      <x:c r="P228" s="70" t="str"/>
    </x:row>
    <x:row r="229">
      <x:c r="A229" s="70" t="str">
        <x:v>M5RG-0224</x:v>
      </x:c>
      <x:c r="B229" s="70" t="str">
        <x:v>M5C-028</x:v>
      </x:c>
      <x:c r="C229" s="70" t="str">
        <x:f>IFERROR(VLOOKUP(B229,'02_案例与预测'!$A$6:$E$65,5,FALSE),"")</x:f>
        <x:v>留出集</x:v>
      </x:c>
      <x:c r="D229" s="70" t="str">
        <x:v>RG08</x:v>
      </x:c>
      <x:c r="E229" s="70" t="str">
        <x:v>冲突、修复与学习意愿</x:v>
      </x:c>
      <x:c r="F229" s="70" t="str"/>
      <x:c r="G229" s="70" t="str"/>
      <x:c r="H229" s="70" t="str"/>
      <x:c r="I229" s="70" t="str"/>
      <x:c r="J229" s="70" t="str">
        <x:f>IF(OR(F229="",I229=""),"",IF(OR(I229="unknown",I229="not_assessed"),"不可评估",IF(F229=I229,"完全支持",IF(OR(AND(F229="pass",I229="conditional"),AND(F229="conditional",I229="pass")),"部分支持","反例"))))</x:f>
      </x:c>
      <x:c r="K229" s="70" t="str"/>
      <x:c r="L229" s="70" t="str"/>
      <x:c r="M229" s="70" t="str"/>
      <x:c r="N229" s="70" t="str"/>
      <x:c r="O229" s="70" t="str"/>
      <x:c r="P229" s="70" t="str"/>
    </x:row>
    <x:row r="230">
      <x:c r="A230" s="70" t="str">
        <x:v>M5RG-0225</x:v>
      </x:c>
      <x:c r="B230" s="70" t="str">
        <x:v>M5C-029</x:v>
      </x:c>
      <x:c r="C230" s="70" t="str">
        <x:f>IFERROR(VLOOKUP(B230,'02_案例与预测'!$A$6:$E$65,5,FALSE),"")</x:f>
        <x:v>留出集</x:v>
      </x:c>
      <x:c r="D230" s="70" t="str">
        <x:v>RG01</x:v>
      </x:c>
      <x:c r="E230" s="70" t="str">
        <x:v>安全、同意与尊重</x:v>
      </x:c>
      <x:c r="F230" s="70" t="str"/>
      <x:c r="G230" s="70" t="str"/>
      <x:c r="H230" s="70" t="str"/>
      <x:c r="I230" s="70" t="str"/>
      <x:c r="J230" s="70" t="str">
        <x:f>IF(OR(F230="",I230=""),"",IF(OR(I230="unknown",I230="not_assessed"),"不可评估",IF(F230=I230,"完全支持",IF(OR(AND(F230="pass",I230="conditional"),AND(F230="conditional",I230="pass")),"部分支持","反例"))))</x:f>
      </x:c>
      <x:c r="K230" s="70" t="str"/>
      <x:c r="L230" s="70" t="str"/>
      <x:c r="M230" s="70" t="str"/>
      <x:c r="N230" s="70" t="str"/>
      <x:c r="O230" s="70" t="str"/>
      <x:c r="P230" s="70" t="str"/>
    </x:row>
    <x:row r="231">
      <x:c r="A231" s="70" t="str">
        <x:v>M5RG-0226</x:v>
      </x:c>
      <x:c r="B231" s="70" t="str">
        <x:v>M5C-029</x:v>
      </x:c>
      <x:c r="C231" s="70" t="str">
        <x:f>IFERROR(VLOOKUP(B231,'02_案例与预测'!$A$6:$E$65,5,FALSE),"")</x:f>
        <x:v>留出集</x:v>
      </x:c>
      <x:c r="D231" s="70" t="str">
        <x:v>RG02</x:v>
      </x:c>
      <x:c r="E231" s="70" t="str">
        <x:v>关系意图与承诺</x:v>
      </x:c>
      <x:c r="F231" s="70" t="str"/>
      <x:c r="G231" s="70" t="str"/>
      <x:c r="H231" s="70" t="str"/>
      <x:c r="I231" s="70" t="str"/>
      <x:c r="J231" s="70" t="str">
        <x:f>IF(OR(F231="",I231=""),"",IF(OR(I231="unknown",I231="not_assessed"),"不可评估",IF(F231=I231,"完全支持",IF(OR(AND(F231="pass",I231="conditional"),AND(F231="conditional",I231="pass")),"部分支持","反例"))))</x:f>
      </x:c>
      <x:c r="K231" s="70" t="str"/>
      <x:c r="L231" s="70" t="str"/>
      <x:c r="M231" s="70" t="str"/>
      <x:c r="N231" s="70" t="str"/>
      <x:c r="O231" s="70" t="str"/>
      <x:c r="P231" s="70" t="str"/>
    </x:row>
    <x:row r="232">
      <x:c r="A232" s="70" t="str">
        <x:v>M5RG-0227</x:v>
      </x:c>
      <x:c r="B232" s="70" t="str">
        <x:v>M5C-029</x:v>
      </x:c>
      <x:c r="C232" s="70" t="str">
        <x:f>IFERROR(VLOOKUP(B232,'02_案例与预测'!$A$6:$E$65,5,FALSE),"")</x:f>
        <x:v>留出集</x:v>
      </x:c>
      <x:c r="D232" s="70" t="str">
        <x:v>RG03</x:v>
      </x:c>
      <x:c r="E232" s="70" t="str">
        <x:v>价值观与人生目标</x:v>
      </x:c>
      <x:c r="F232" s="70" t="str"/>
      <x:c r="G232" s="70" t="str"/>
      <x:c r="H232" s="70" t="str"/>
      <x:c r="I232" s="70" t="str"/>
      <x:c r="J232" s="70" t="str">
        <x:f>IF(OR(F232="",I232=""),"",IF(OR(I232="unknown",I232="not_assessed"),"不可评估",IF(F232=I232,"完全支持",IF(OR(AND(F232="pass",I232="conditional"),AND(F232="conditional",I232="pass")),"部分支持","反例"))))</x:f>
      </x:c>
      <x:c r="K232" s="70" t="str"/>
      <x:c r="L232" s="70" t="str"/>
      <x:c r="M232" s="70" t="str"/>
      <x:c r="N232" s="70" t="str"/>
      <x:c r="O232" s="70" t="str"/>
      <x:c r="P232" s="70" t="str"/>
    </x:row>
    <x:row r="233">
      <x:c r="A233" s="70" t="str">
        <x:v>M5RG-0228</x:v>
      </x:c>
      <x:c r="B233" s="70" t="str">
        <x:v>M5C-029</x:v>
      </x:c>
      <x:c r="C233" s="70" t="str">
        <x:f>IFERROR(VLOOKUP(B233,'02_案例与预测'!$A$6:$E$65,5,FALSE),"")</x:f>
        <x:v>留出集</x:v>
      </x:c>
      <x:c r="D233" s="70" t="str">
        <x:v>RG04</x:v>
      </x:c>
      <x:c r="E233" s="70" t="str">
        <x:v>时间、地域与生活节奏</x:v>
      </x:c>
      <x:c r="F233" s="70" t="str"/>
      <x:c r="G233" s="70" t="str"/>
      <x:c r="H233" s="70" t="str"/>
      <x:c r="I233" s="70" t="str"/>
      <x:c r="J233" s="70" t="str">
        <x:f>IF(OR(F233="",I233=""),"",IF(OR(I233="unknown",I233="not_assessed"),"不可评估",IF(F233=I233,"完全支持",IF(OR(AND(F233="pass",I233="conditional"),AND(F233="conditional",I233="pass")),"部分支持","反例"))))</x:f>
      </x:c>
      <x:c r="K233" s="70" t="str"/>
      <x:c r="L233" s="70" t="str"/>
      <x:c r="M233" s="70" t="str"/>
      <x:c r="N233" s="70" t="str"/>
      <x:c r="O233" s="70" t="str"/>
      <x:c r="P233" s="70" t="str"/>
    </x:row>
    <x:row r="234">
      <x:c r="A234" s="70" t="str">
        <x:v>M5RG-0229</x:v>
      </x:c>
      <x:c r="B234" s="70" t="str">
        <x:v>M5C-029</x:v>
      </x:c>
      <x:c r="C234" s="70" t="str">
        <x:f>IFERROR(VLOOKUP(B234,'02_案例与预测'!$A$6:$E$65,5,FALSE),"")</x:f>
        <x:v>留出集</x:v>
      </x:c>
      <x:c r="D234" s="70" t="str">
        <x:v>RG05</x:v>
      </x:c>
      <x:c r="E234" s="70" t="str">
        <x:v>金钱、资源与劳动分配</x:v>
      </x:c>
      <x:c r="F234" s="70" t="str"/>
      <x:c r="G234" s="70" t="str"/>
      <x:c r="H234" s="70" t="str"/>
      <x:c r="I234" s="70" t="str"/>
      <x:c r="J234" s="70" t="str">
        <x:f>IF(OR(F234="",I234=""),"",IF(OR(I234="unknown",I234="not_assessed"),"不可评估",IF(F234=I234,"完全支持",IF(OR(AND(F234="pass",I234="conditional"),AND(F234="conditional",I234="pass")),"部分支持","反例"))))</x:f>
      </x:c>
      <x:c r="K234" s="70" t="str"/>
      <x:c r="L234" s="70" t="str"/>
      <x:c r="M234" s="70" t="str"/>
      <x:c r="N234" s="70" t="str"/>
      <x:c r="O234" s="70" t="str"/>
      <x:c r="P234" s="70" t="str"/>
    </x:row>
    <x:row r="235">
      <x:c r="A235" s="70" t="str">
        <x:v>M5RG-0230</x:v>
      </x:c>
      <x:c r="B235" s="70" t="str">
        <x:v>M5C-029</x:v>
      </x:c>
      <x:c r="C235" s="70" t="str">
        <x:f>IFERROR(VLOOKUP(B235,'02_案例与预测'!$A$6:$E$65,5,FALSE),"")</x:f>
        <x:v>留出集</x:v>
      </x:c>
      <x:c r="D235" s="70" t="str">
        <x:v>RG06</x:v>
      </x:c>
      <x:c r="E235" s="70" t="str">
        <x:v>家庭、婚育与照护责任</x:v>
      </x:c>
      <x:c r="F235" s="70" t="str"/>
      <x:c r="G235" s="70" t="str"/>
      <x:c r="H235" s="70" t="str"/>
      <x:c r="I235" s="70" t="str"/>
      <x:c r="J235" s="70" t="str">
        <x:f>IF(OR(F235="",I235=""),"",IF(OR(I235="unknown",I235="not_assessed"),"不可评估",IF(F235=I235,"完全支持",IF(OR(AND(F235="pass",I235="conditional"),AND(F235="conditional",I235="pass")),"部分支持","反例"))))</x:f>
      </x:c>
      <x:c r="K235" s="70" t="str"/>
      <x:c r="L235" s="70" t="str"/>
      <x:c r="M235" s="70" t="str"/>
      <x:c r="N235" s="70" t="str"/>
      <x:c r="O235" s="70" t="str"/>
      <x:c r="P235" s="70" t="str"/>
    </x:row>
    <x:row r="236">
      <x:c r="A236" s="70" t="str">
        <x:v>M5RG-0231</x:v>
      </x:c>
      <x:c r="B236" s="70" t="str">
        <x:v>M5C-029</x:v>
      </x:c>
      <x:c r="C236" s="70" t="str">
        <x:f>IFERROR(VLOOKUP(B236,'02_案例与预测'!$A$6:$E$65,5,FALSE),"")</x:f>
        <x:v>留出集</x:v>
      </x:c>
      <x:c r="D236" s="70" t="str">
        <x:v>RG07</x:v>
      </x:c>
      <x:c r="E236" s="70" t="str">
        <x:v>身体、亲密、隐私与健康</x:v>
      </x:c>
      <x:c r="F236" s="70" t="str"/>
      <x:c r="G236" s="70" t="str"/>
      <x:c r="H236" s="70" t="str"/>
      <x:c r="I236" s="70" t="str"/>
      <x:c r="J236" s="70" t="str">
        <x:f>IF(OR(F236="",I236=""),"",IF(OR(I236="unknown",I236="not_assessed"),"不可评估",IF(F236=I236,"完全支持",IF(OR(AND(F236="pass",I236="conditional"),AND(F236="conditional",I236="pass")),"部分支持","反例"))))</x:f>
      </x:c>
      <x:c r="K236" s="70" t="str"/>
      <x:c r="L236" s="70" t="str"/>
      <x:c r="M236" s="70" t="str"/>
      <x:c r="N236" s="70" t="str"/>
      <x:c r="O236" s="70" t="str"/>
      <x:c r="P236" s="70" t="str"/>
    </x:row>
    <x:row r="237">
      <x:c r="A237" s="70" t="str">
        <x:v>M5RG-0232</x:v>
      </x:c>
      <x:c r="B237" s="70" t="str">
        <x:v>M5C-029</x:v>
      </x:c>
      <x:c r="C237" s="70" t="str">
        <x:f>IFERROR(VLOOKUP(B237,'02_案例与预测'!$A$6:$E$65,5,FALSE),"")</x:f>
        <x:v>留出集</x:v>
      </x:c>
      <x:c r="D237" s="70" t="str">
        <x:v>RG08</x:v>
      </x:c>
      <x:c r="E237" s="70" t="str">
        <x:v>冲突、修复与学习意愿</x:v>
      </x:c>
      <x:c r="F237" s="70" t="str"/>
      <x:c r="G237" s="70" t="str"/>
      <x:c r="H237" s="70" t="str"/>
      <x:c r="I237" s="70" t="str"/>
      <x:c r="J237" s="70" t="str">
        <x:f>IF(OR(F237="",I237=""),"",IF(OR(I237="unknown",I237="not_assessed"),"不可评估",IF(F237=I237,"完全支持",IF(OR(AND(F237="pass",I237="conditional"),AND(F237="conditional",I237="pass")),"部分支持","反例"))))</x:f>
      </x:c>
      <x:c r="K237" s="70" t="str"/>
      <x:c r="L237" s="70" t="str"/>
      <x:c r="M237" s="70" t="str"/>
      <x:c r="N237" s="70" t="str"/>
      <x:c r="O237" s="70" t="str"/>
      <x:c r="P237" s="70" t="str"/>
    </x:row>
    <x:row r="238">
      <x:c r="A238" s="70" t="str">
        <x:v>M5RG-0233</x:v>
      </x:c>
      <x:c r="B238" s="70" t="str">
        <x:v>M5C-030</x:v>
      </x:c>
      <x:c r="C238" s="70" t="str">
        <x:f>IFERROR(VLOOKUP(B238,'02_案例与预测'!$A$6:$E$65,5,FALSE),"")</x:f>
        <x:v>留出集</x:v>
      </x:c>
      <x:c r="D238" s="70" t="str">
        <x:v>RG01</x:v>
      </x:c>
      <x:c r="E238" s="70" t="str">
        <x:v>安全、同意与尊重</x:v>
      </x:c>
      <x:c r="F238" s="70" t="str"/>
      <x:c r="G238" s="70" t="str"/>
      <x:c r="H238" s="70" t="str"/>
      <x:c r="I238" s="70" t="str"/>
      <x:c r="J238" s="70" t="str">
        <x:f>IF(OR(F238="",I238=""),"",IF(OR(I238="unknown",I238="not_assessed"),"不可评估",IF(F238=I238,"完全支持",IF(OR(AND(F238="pass",I238="conditional"),AND(F238="conditional",I238="pass")),"部分支持","反例"))))</x:f>
      </x:c>
      <x:c r="K238" s="70" t="str"/>
      <x:c r="L238" s="70" t="str"/>
      <x:c r="M238" s="70" t="str"/>
      <x:c r="N238" s="70" t="str"/>
      <x:c r="O238" s="70" t="str"/>
      <x:c r="P238" s="70" t="str"/>
    </x:row>
    <x:row r="239">
      <x:c r="A239" s="70" t="str">
        <x:v>M5RG-0234</x:v>
      </x:c>
      <x:c r="B239" s="70" t="str">
        <x:v>M5C-030</x:v>
      </x:c>
      <x:c r="C239" s="70" t="str">
        <x:f>IFERROR(VLOOKUP(B239,'02_案例与预测'!$A$6:$E$65,5,FALSE),"")</x:f>
        <x:v>留出集</x:v>
      </x:c>
      <x:c r="D239" s="70" t="str">
        <x:v>RG02</x:v>
      </x:c>
      <x:c r="E239" s="70" t="str">
        <x:v>关系意图与承诺</x:v>
      </x:c>
      <x:c r="F239" s="70" t="str"/>
      <x:c r="G239" s="70" t="str"/>
      <x:c r="H239" s="70" t="str"/>
      <x:c r="I239" s="70" t="str"/>
      <x:c r="J239" s="70" t="str">
        <x:f>IF(OR(F239="",I239=""),"",IF(OR(I239="unknown",I239="not_assessed"),"不可评估",IF(F239=I239,"完全支持",IF(OR(AND(F239="pass",I239="conditional"),AND(F239="conditional",I239="pass")),"部分支持","反例"))))</x:f>
      </x:c>
      <x:c r="K239" s="70" t="str"/>
      <x:c r="L239" s="70" t="str"/>
      <x:c r="M239" s="70" t="str"/>
      <x:c r="N239" s="70" t="str"/>
      <x:c r="O239" s="70" t="str"/>
      <x:c r="P239" s="70" t="str"/>
    </x:row>
    <x:row r="240">
      <x:c r="A240" s="70" t="str">
        <x:v>M5RG-0235</x:v>
      </x:c>
      <x:c r="B240" s="70" t="str">
        <x:v>M5C-030</x:v>
      </x:c>
      <x:c r="C240" s="70" t="str">
        <x:f>IFERROR(VLOOKUP(B240,'02_案例与预测'!$A$6:$E$65,5,FALSE),"")</x:f>
        <x:v>留出集</x:v>
      </x:c>
      <x:c r="D240" s="70" t="str">
        <x:v>RG03</x:v>
      </x:c>
      <x:c r="E240" s="70" t="str">
        <x:v>价值观与人生目标</x:v>
      </x:c>
      <x:c r="F240" s="70" t="str"/>
      <x:c r="G240" s="70" t="str"/>
      <x:c r="H240" s="70" t="str"/>
      <x:c r="I240" s="70" t="str"/>
      <x:c r="J240" s="70" t="str">
        <x:f>IF(OR(F240="",I240=""),"",IF(OR(I240="unknown",I240="not_assessed"),"不可评估",IF(F240=I240,"完全支持",IF(OR(AND(F240="pass",I240="conditional"),AND(F240="conditional",I240="pass")),"部分支持","反例"))))</x:f>
      </x:c>
      <x:c r="K240" s="70" t="str"/>
      <x:c r="L240" s="70" t="str"/>
      <x:c r="M240" s="70" t="str"/>
      <x:c r="N240" s="70" t="str"/>
      <x:c r="O240" s="70" t="str"/>
      <x:c r="P240" s="70" t="str"/>
    </x:row>
    <x:row r="241">
      <x:c r="A241" s="70" t="str">
        <x:v>M5RG-0236</x:v>
      </x:c>
      <x:c r="B241" s="70" t="str">
        <x:v>M5C-030</x:v>
      </x:c>
      <x:c r="C241" s="70" t="str">
        <x:f>IFERROR(VLOOKUP(B241,'02_案例与预测'!$A$6:$E$65,5,FALSE),"")</x:f>
        <x:v>留出集</x:v>
      </x:c>
      <x:c r="D241" s="70" t="str">
        <x:v>RG04</x:v>
      </x:c>
      <x:c r="E241" s="70" t="str">
        <x:v>时间、地域与生活节奏</x:v>
      </x:c>
      <x:c r="F241" s="70" t="str"/>
      <x:c r="G241" s="70" t="str"/>
      <x:c r="H241" s="70" t="str"/>
      <x:c r="I241" s="70" t="str"/>
      <x:c r="J241" s="70" t="str">
        <x:f>IF(OR(F241="",I241=""),"",IF(OR(I241="unknown",I241="not_assessed"),"不可评估",IF(F241=I241,"完全支持",IF(OR(AND(F241="pass",I241="conditional"),AND(F241="conditional",I241="pass")),"部分支持","反例"))))</x:f>
      </x:c>
      <x:c r="K241" s="70" t="str"/>
      <x:c r="L241" s="70" t="str"/>
      <x:c r="M241" s="70" t="str"/>
      <x:c r="N241" s="70" t="str"/>
      <x:c r="O241" s="70" t="str"/>
      <x:c r="P241" s="70" t="str"/>
    </x:row>
    <x:row r="242">
      <x:c r="A242" s="70" t="str">
        <x:v>M5RG-0237</x:v>
      </x:c>
      <x:c r="B242" s="70" t="str">
        <x:v>M5C-030</x:v>
      </x:c>
      <x:c r="C242" s="70" t="str">
        <x:f>IFERROR(VLOOKUP(B242,'02_案例与预测'!$A$6:$E$65,5,FALSE),"")</x:f>
        <x:v>留出集</x:v>
      </x:c>
      <x:c r="D242" s="70" t="str">
        <x:v>RG05</x:v>
      </x:c>
      <x:c r="E242" s="70" t="str">
        <x:v>金钱、资源与劳动分配</x:v>
      </x:c>
      <x:c r="F242" s="70" t="str"/>
      <x:c r="G242" s="70" t="str"/>
      <x:c r="H242" s="70" t="str"/>
      <x:c r="I242" s="70" t="str"/>
      <x:c r="J242" s="70" t="str">
        <x:f>IF(OR(F242="",I242=""),"",IF(OR(I242="unknown",I242="not_assessed"),"不可评估",IF(F242=I242,"完全支持",IF(OR(AND(F242="pass",I242="conditional"),AND(F242="conditional",I242="pass")),"部分支持","反例"))))</x:f>
      </x:c>
      <x:c r="K242" s="70" t="str"/>
      <x:c r="L242" s="70" t="str"/>
      <x:c r="M242" s="70" t="str"/>
      <x:c r="N242" s="70" t="str"/>
      <x:c r="O242" s="70" t="str"/>
      <x:c r="P242" s="70" t="str"/>
    </x:row>
    <x:row r="243">
      <x:c r="A243" s="70" t="str">
        <x:v>M5RG-0238</x:v>
      </x:c>
      <x:c r="B243" s="70" t="str">
        <x:v>M5C-030</x:v>
      </x:c>
      <x:c r="C243" s="70" t="str">
        <x:f>IFERROR(VLOOKUP(B243,'02_案例与预测'!$A$6:$E$65,5,FALSE),"")</x:f>
        <x:v>留出集</x:v>
      </x:c>
      <x:c r="D243" s="70" t="str">
        <x:v>RG06</x:v>
      </x:c>
      <x:c r="E243" s="70" t="str">
        <x:v>家庭、婚育与照护责任</x:v>
      </x:c>
      <x:c r="F243" s="70" t="str"/>
      <x:c r="G243" s="70" t="str"/>
      <x:c r="H243" s="70" t="str"/>
      <x:c r="I243" s="70" t="str"/>
      <x:c r="J243" s="70" t="str">
        <x:f>IF(OR(F243="",I243=""),"",IF(OR(I243="unknown",I243="not_assessed"),"不可评估",IF(F243=I243,"完全支持",IF(OR(AND(F243="pass",I243="conditional"),AND(F243="conditional",I243="pass")),"部分支持","反例"))))</x:f>
      </x:c>
      <x:c r="K243" s="70" t="str"/>
      <x:c r="L243" s="70" t="str"/>
      <x:c r="M243" s="70" t="str"/>
      <x:c r="N243" s="70" t="str"/>
      <x:c r="O243" s="70" t="str"/>
      <x:c r="P243" s="70" t="str"/>
    </x:row>
    <x:row r="244">
      <x:c r="A244" s="70" t="str">
        <x:v>M5RG-0239</x:v>
      </x:c>
      <x:c r="B244" s="70" t="str">
        <x:v>M5C-030</x:v>
      </x:c>
      <x:c r="C244" s="70" t="str">
        <x:f>IFERROR(VLOOKUP(B244,'02_案例与预测'!$A$6:$E$65,5,FALSE),"")</x:f>
        <x:v>留出集</x:v>
      </x:c>
      <x:c r="D244" s="70" t="str">
        <x:v>RG07</x:v>
      </x:c>
      <x:c r="E244" s="70" t="str">
        <x:v>身体、亲密、隐私与健康</x:v>
      </x:c>
      <x:c r="F244" s="70" t="str"/>
      <x:c r="G244" s="70" t="str"/>
      <x:c r="H244" s="70" t="str"/>
      <x:c r="I244" s="70" t="str"/>
      <x:c r="J244" s="70" t="str">
        <x:f>IF(OR(F244="",I244=""),"",IF(OR(I244="unknown",I244="not_assessed"),"不可评估",IF(F244=I244,"完全支持",IF(OR(AND(F244="pass",I244="conditional"),AND(F244="conditional",I244="pass")),"部分支持","反例"))))</x:f>
      </x:c>
      <x:c r="K244" s="70" t="str"/>
      <x:c r="L244" s="70" t="str"/>
      <x:c r="M244" s="70" t="str"/>
      <x:c r="N244" s="70" t="str"/>
      <x:c r="O244" s="70" t="str"/>
      <x:c r="P244" s="70" t="str"/>
    </x:row>
    <x:row r="245">
      <x:c r="A245" s="70" t="str">
        <x:v>M5RG-0240</x:v>
      </x:c>
      <x:c r="B245" s="70" t="str">
        <x:v>M5C-030</x:v>
      </x:c>
      <x:c r="C245" s="70" t="str">
        <x:f>IFERROR(VLOOKUP(B245,'02_案例与预测'!$A$6:$E$65,5,FALSE),"")</x:f>
        <x:v>留出集</x:v>
      </x:c>
      <x:c r="D245" s="70" t="str">
        <x:v>RG08</x:v>
      </x:c>
      <x:c r="E245" s="70" t="str">
        <x:v>冲突、修复与学习意愿</x:v>
      </x:c>
      <x:c r="F245" s="70" t="str"/>
      <x:c r="G245" s="70" t="str"/>
      <x:c r="H245" s="70" t="str"/>
      <x:c r="I245" s="70" t="str"/>
      <x:c r="J245" s="70" t="str">
        <x:f>IF(OR(F245="",I245=""),"",IF(OR(I245="unknown",I245="not_assessed"),"不可评估",IF(F245=I245,"完全支持",IF(OR(AND(F245="pass",I245="conditional"),AND(F245="conditional",I245="pass")),"部分支持","反例"))))</x:f>
      </x:c>
      <x:c r="K245" s="70" t="str"/>
      <x:c r="L245" s="70" t="str"/>
      <x:c r="M245" s="70" t="str"/>
      <x:c r="N245" s="70" t="str"/>
      <x:c r="O245" s="70" t="str"/>
      <x:c r="P245" s="70" t="str"/>
    </x:row>
    <x:row r="246">
      <x:c r="A246" s="70" t="str">
        <x:v>M5RG-0241</x:v>
      </x:c>
      <x:c r="B246" s="70" t="str">
        <x:v>M5C-031</x:v>
      </x:c>
      <x:c r="C246" s="70" t="str">
        <x:f>IFERROR(VLOOKUP(B246,'02_案例与预测'!$A$6:$E$65,5,FALSE),"")</x:f>
        <x:v>开发集</x:v>
      </x:c>
      <x:c r="D246" s="70" t="str">
        <x:v>RG01</x:v>
      </x:c>
      <x:c r="E246" s="70" t="str">
        <x:v>安全、同意与尊重</x:v>
      </x:c>
      <x:c r="F246" s="70" t="str"/>
      <x:c r="G246" s="70" t="str"/>
      <x:c r="H246" s="70" t="str"/>
      <x:c r="I246" s="70" t="str"/>
      <x:c r="J246" s="70" t="str">
        <x:f>IF(OR(F246="",I246=""),"",IF(OR(I246="unknown",I246="not_assessed"),"不可评估",IF(F246=I246,"完全支持",IF(OR(AND(F246="pass",I246="conditional"),AND(F246="conditional",I246="pass")),"部分支持","反例"))))</x:f>
      </x:c>
      <x:c r="K246" s="70" t="str"/>
      <x:c r="L246" s="70" t="str"/>
      <x:c r="M246" s="70" t="str"/>
      <x:c r="N246" s="70" t="str"/>
      <x:c r="O246" s="70" t="str"/>
      <x:c r="P246" s="70" t="str"/>
    </x:row>
    <x:row r="247">
      <x:c r="A247" s="70" t="str">
        <x:v>M5RG-0242</x:v>
      </x:c>
      <x:c r="B247" s="70" t="str">
        <x:v>M5C-031</x:v>
      </x:c>
      <x:c r="C247" s="70" t="str">
        <x:f>IFERROR(VLOOKUP(B247,'02_案例与预测'!$A$6:$E$65,5,FALSE),"")</x:f>
        <x:v>开发集</x:v>
      </x:c>
      <x:c r="D247" s="70" t="str">
        <x:v>RG02</x:v>
      </x:c>
      <x:c r="E247" s="70" t="str">
        <x:v>关系意图与承诺</x:v>
      </x:c>
      <x:c r="F247" s="70" t="str"/>
      <x:c r="G247" s="70" t="str"/>
      <x:c r="H247" s="70" t="str"/>
      <x:c r="I247" s="70" t="str"/>
      <x:c r="J247" s="70" t="str">
        <x:f>IF(OR(F247="",I247=""),"",IF(OR(I247="unknown",I247="not_assessed"),"不可评估",IF(F247=I247,"完全支持",IF(OR(AND(F247="pass",I247="conditional"),AND(F247="conditional",I247="pass")),"部分支持","反例"))))</x:f>
      </x:c>
      <x:c r="K247" s="70" t="str"/>
      <x:c r="L247" s="70" t="str"/>
      <x:c r="M247" s="70" t="str"/>
      <x:c r="N247" s="70" t="str"/>
      <x:c r="O247" s="70" t="str"/>
      <x:c r="P247" s="70" t="str"/>
    </x:row>
    <x:row r="248">
      <x:c r="A248" s="70" t="str">
        <x:v>M5RG-0243</x:v>
      </x:c>
      <x:c r="B248" s="70" t="str">
        <x:v>M5C-031</x:v>
      </x:c>
      <x:c r="C248" s="70" t="str">
        <x:f>IFERROR(VLOOKUP(B248,'02_案例与预测'!$A$6:$E$65,5,FALSE),"")</x:f>
        <x:v>开发集</x:v>
      </x:c>
      <x:c r="D248" s="70" t="str">
        <x:v>RG03</x:v>
      </x:c>
      <x:c r="E248" s="70" t="str">
        <x:v>价值观与人生目标</x:v>
      </x:c>
      <x:c r="F248" s="70" t="str"/>
      <x:c r="G248" s="70" t="str"/>
      <x:c r="H248" s="70" t="str"/>
      <x:c r="I248" s="70" t="str"/>
      <x:c r="J248" s="70" t="str">
        <x:f>IF(OR(F248="",I248=""),"",IF(OR(I248="unknown",I248="not_assessed"),"不可评估",IF(F248=I248,"完全支持",IF(OR(AND(F248="pass",I248="conditional"),AND(F248="conditional",I248="pass")),"部分支持","反例"))))</x:f>
      </x:c>
      <x:c r="K248" s="70" t="str"/>
      <x:c r="L248" s="70" t="str"/>
      <x:c r="M248" s="70" t="str"/>
      <x:c r="N248" s="70" t="str"/>
      <x:c r="O248" s="70" t="str"/>
      <x:c r="P248" s="70" t="str"/>
    </x:row>
    <x:row r="249">
      <x:c r="A249" s="70" t="str">
        <x:v>M5RG-0244</x:v>
      </x:c>
      <x:c r="B249" s="70" t="str">
        <x:v>M5C-031</x:v>
      </x:c>
      <x:c r="C249" s="70" t="str">
        <x:f>IFERROR(VLOOKUP(B249,'02_案例与预测'!$A$6:$E$65,5,FALSE),"")</x:f>
        <x:v>开发集</x:v>
      </x:c>
      <x:c r="D249" s="70" t="str">
        <x:v>RG04</x:v>
      </x:c>
      <x:c r="E249" s="70" t="str">
        <x:v>时间、地域与生活节奏</x:v>
      </x:c>
      <x:c r="F249" s="70" t="str"/>
      <x:c r="G249" s="70" t="str"/>
      <x:c r="H249" s="70" t="str"/>
      <x:c r="I249" s="70" t="str"/>
      <x:c r="J249" s="70" t="str">
        <x:f>IF(OR(F249="",I249=""),"",IF(OR(I249="unknown",I249="not_assessed"),"不可评估",IF(F249=I249,"完全支持",IF(OR(AND(F249="pass",I249="conditional"),AND(F249="conditional",I249="pass")),"部分支持","反例"))))</x:f>
      </x:c>
      <x:c r="K249" s="70" t="str"/>
      <x:c r="L249" s="70" t="str"/>
      <x:c r="M249" s="70" t="str"/>
      <x:c r="N249" s="70" t="str"/>
      <x:c r="O249" s="70" t="str"/>
      <x:c r="P249" s="70" t="str"/>
    </x:row>
    <x:row r="250">
      <x:c r="A250" s="70" t="str">
        <x:v>M5RG-0245</x:v>
      </x:c>
      <x:c r="B250" s="70" t="str">
        <x:v>M5C-031</x:v>
      </x:c>
      <x:c r="C250" s="70" t="str">
        <x:f>IFERROR(VLOOKUP(B250,'02_案例与预测'!$A$6:$E$65,5,FALSE),"")</x:f>
        <x:v>开发集</x:v>
      </x:c>
      <x:c r="D250" s="70" t="str">
        <x:v>RG05</x:v>
      </x:c>
      <x:c r="E250" s="70" t="str">
        <x:v>金钱、资源与劳动分配</x:v>
      </x:c>
      <x:c r="F250" s="70" t="str"/>
      <x:c r="G250" s="70" t="str"/>
      <x:c r="H250" s="70" t="str"/>
      <x:c r="I250" s="70" t="str"/>
      <x:c r="J250" s="70" t="str">
        <x:f>IF(OR(F250="",I250=""),"",IF(OR(I250="unknown",I250="not_assessed"),"不可评估",IF(F250=I250,"完全支持",IF(OR(AND(F250="pass",I250="conditional"),AND(F250="conditional",I250="pass")),"部分支持","反例"))))</x:f>
      </x:c>
      <x:c r="K250" s="70" t="str"/>
      <x:c r="L250" s="70" t="str"/>
      <x:c r="M250" s="70" t="str"/>
      <x:c r="N250" s="70" t="str"/>
      <x:c r="O250" s="70" t="str"/>
      <x:c r="P250" s="70" t="str"/>
    </x:row>
    <x:row r="251">
      <x:c r="A251" s="70" t="str">
        <x:v>M5RG-0246</x:v>
      </x:c>
      <x:c r="B251" s="70" t="str">
        <x:v>M5C-031</x:v>
      </x:c>
      <x:c r="C251" s="70" t="str">
        <x:f>IFERROR(VLOOKUP(B251,'02_案例与预测'!$A$6:$E$65,5,FALSE),"")</x:f>
        <x:v>开发集</x:v>
      </x:c>
      <x:c r="D251" s="70" t="str">
        <x:v>RG06</x:v>
      </x:c>
      <x:c r="E251" s="70" t="str">
        <x:v>家庭、婚育与照护责任</x:v>
      </x:c>
      <x:c r="F251" s="70" t="str"/>
      <x:c r="G251" s="70" t="str"/>
      <x:c r="H251" s="70" t="str"/>
      <x:c r="I251" s="70" t="str"/>
      <x:c r="J251" s="70" t="str">
        <x:f>IF(OR(F251="",I251=""),"",IF(OR(I251="unknown",I251="not_assessed"),"不可评估",IF(F251=I251,"完全支持",IF(OR(AND(F251="pass",I251="conditional"),AND(F251="conditional",I251="pass")),"部分支持","反例"))))</x:f>
      </x:c>
      <x:c r="K251" s="70" t="str"/>
      <x:c r="L251" s="70" t="str"/>
      <x:c r="M251" s="70" t="str"/>
      <x:c r="N251" s="70" t="str"/>
      <x:c r="O251" s="70" t="str"/>
      <x:c r="P251" s="70" t="str"/>
    </x:row>
    <x:row r="252">
      <x:c r="A252" s="70" t="str">
        <x:v>M5RG-0247</x:v>
      </x:c>
      <x:c r="B252" s="70" t="str">
        <x:v>M5C-031</x:v>
      </x:c>
      <x:c r="C252" s="70" t="str">
        <x:f>IFERROR(VLOOKUP(B252,'02_案例与预测'!$A$6:$E$65,5,FALSE),"")</x:f>
        <x:v>开发集</x:v>
      </x:c>
      <x:c r="D252" s="70" t="str">
        <x:v>RG07</x:v>
      </x:c>
      <x:c r="E252" s="70" t="str">
        <x:v>身体、亲密、隐私与健康</x:v>
      </x:c>
      <x:c r="F252" s="70" t="str"/>
      <x:c r="G252" s="70" t="str"/>
      <x:c r="H252" s="70" t="str"/>
      <x:c r="I252" s="70" t="str"/>
      <x:c r="J252" s="70" t="str">
        <x:f>IF(OR(F252="",I252=""),"",IF(OR(I252="unknown",I252="not_assessed"),"不可评估",IF(F252=I252,"完全支持",IF(OR(AND(F252="pass",I252="conditional"),AND(F252="conditional",I252="pass")),"部分支持","反例"))))</x:f>
      </x:c>
      <x:c r="K252" s="70" t="str"/>
      <x:c r="L252" s="70" t="str"/>
      <x:c r="M252" s="70" t="str"/>
      <x:c r="N252" s="70" t="str"/>
      <x:c r="O252" s="70" t="str"/>
      <x:c r="P252" s="70" t="str"/>
    </x:row>
    <x:row r="253">
      <x:c r="A253" s="70" t="str">
        <x:v>M5RG-0248</x:v>
      </x:c>
      <x:c r="B253" s="70" t="str">
        <x:v>M5C-031</x:v>
      </x:c>
      <x:c r="C253" s="70" t="str">
        <x:f>IFERROR(VLOOKUP(B253,'02_案例与预测'!$A$6:$E$65,5,FALSE),"")</x:f>
        <x:v>开发集</x:v>
      </x:c>
      <x:c r="D253" s="70" t="str">
        <x:v>RG08</x:v>
      </x:c>
      <x:c r="E253" s="70" t="str">
        <x:v>冲突、修复与学习意愿</x:v>
      </x:c>
      <x:c r="F253" s="70" t="str"/>
      <x:c r="G253" s="70" t="str"/>
      <x:c r="H253" s="70" t="str"/>
      <x:c r="I253" s="70" t="str"/>
      <x:c r="J253" s="70" t="str">
        <x:f>IF(OR(F253="",I253=""),"",IF(OR(I253="unknown",I253="not_assessed"),"不可评估",IF(F253=I253,"完全支持",IF(OR(AND(F253="pass",I253="conditional"),AND(F253="conditional",I253="pass")),"部分支持","反例"))))</x:f>
      </x:c>
      <x:c r="K253" s="70" t="str"/>
      <x:c r="L253" s="70" t="str"/>
      <x:c r="M253" s="70" t="str"/>
      <x:c r="N253" s="70" t="str"/>
      <x:c r="O253" s="70" t="str"/>
      <x:c r="P253" s="70" t="str"/>
    </x:row>
    <x:row r="254">
      <x:c r="A254" s="70" t="str">
        <x:v>M5RG-0249</x:v>
      </x:c>
      <x:c r="B254" s="70" t="str">
        <x:v>M5C-032</x:v>
      </x:c>
      <x:c r="C254" s="70" t="str">
        <x:f>IFERROR(VLOOKUP(B254,'02_案例与预测'!$A$6:$E$65,5,FALSE),"")</x:f>
        <x:v>开发集</x:v>
      </x:c>
      <x:c r="D254" s="70" t="str">
        <x:v>RG01</x:v>
      </x:c>
      <x:c r="E254" s="70" t="str">
        <x:v>安全、同意与尊重</x:v>
      </x:c>
      <x:c r="F254" s="70" t="str"/>
      <x:c r="G254" s="70" t="str"/>
      <x:c r="H254" s="70" t="str"/>
      <x:c r="I254" s="70" t="str"/>
      <x:c r="J254" s="70" t="str">
        <x:f>IF(OR(F254="",I254=""),"",IF(OR(I254="unknown",I254="not_assessed"),"不可评估",IF(F254=I254,"完全支持",IF(OR(AND(F254="pass",I254="conditional"),AND(F254="conditional",I254="pass")),"部分支持","反例"))))</x:f>
      </x:c>
      <x:c r="K254" s="70" t="str"/>
      <x:c r="L254" s="70" t="str"/>
      <x:c r="M254" s="70" t="str"/>
      <x:c r="N254" s="70" t="str"/>
      <x:c r="O254" s="70" t="str"/>
      <x:c r="P254" s="70" t="str"/>
    </x:row>
    <x:row r="255">
      <x:c r="A255" s="70" t="str">
        <x:v>M5RG-0250</x:v>
      </x:c>
      <x:c r="B255" s="70" t="str">
        <x:v>M5C-032</x:v>
      </x:c>
      <x:c r="C255" s="70" t="str">
        <x:f>IFERROR(VLOOKUP(B255,'02_案例与预测'!$A$6:$E$65,5,FALSE),"")</x:f>
        <x:v>开发集</x:v>
      </x:c>
      <x:c r="D255" s="70" t="str">
        <x:v>RG02</x:v>
      </x:c>
      <x:c r="E255" s="70" t="str">
        <x:v>关系意图与承诺</x:v>
      </x:c>
      <x:c r="F255" s="70" t="str"/>
      <x:c r="G255" s="70" t="str"/>
      <x:c r="H255" s="70" t="str"/>
      <x:c r="I255" s="70" t="str"/>
      <x:c r="J255" s="70" t="str">
        <x:f>IF(OR(F255="",I255=""),"",IF(OR(I255="unknown",I255="not_assessed"),"不可评估",IF(F255=I255,"完全支持",IF(OR(AND(F255="pass",I255="conditional"),AND(F255="conditional",I255="pass")),"部分支持","反例"))))</x:f>
      </x:c>
      <x:c r="K255" s="70" t="str"/>
      <x:c r="L255" s="70" t="str"/>
      <x:c r="M255" s="70" t="str"/>
      <x:c r="N255" s="70" t="str"/>
      <x:c r="O255" s="70" t="str"/>
      <x:c r="P255" s="70" t="str"/>
    </x:row>
    <x:row r="256">
      <x:c r="A256" s="70" t="str">
        <x:v>M5RG-0251</x:v>
      </x:c>
      <x:c r="B256" s="70" t="str">
        <x:v>M5C-032</x:v>
      </x:c>
      <x:c r="C256" s="70" t="str">
        <x:f>IFERROR(VLOOKUP(B256,'02_案例与预测'!$A$6:$E$65,5,FALSE),"")</x:f>
        <x:v>开发集</x:v>
      </x:c>
      <x:c r="D256" s="70" t="str">
        <x:v>RG03</x:v>
      </x:c>
      <x:c r="E256" s="70" t="str">
        <x:v>价值观与人生目标</x:v>
      </x:c>
      <x:c r="F256" s="70" t="str"/>
      <x:c r="G256" s="70" t="str"/>
      <x:c r="H256" s="70" t="str"/>
      <x:c r="I256" s="70" t="str"/>
      <x:c r="J256" s="70" t="str">
        <x:f>IF(OR(F256="",I256=""),"",IF(OR(I256="unknown",I256="not_assessed"),"不可评估",IF(F256=I256,"完全支持",IF(OR(AND(F256="pass",I256="conditional"),AND(F256="conditional",I256="pass")),"部分支持","反例"))))</x:f>
      </x:c>
      <x:c r="K256" s="70" t="str"/>
      <x:c r="L256" s="70" t="str"/>
      <x:c r="M256" s="70" t="str"/>
      <x:c r="N256" s="70" t="str"/>
      <x:c r="O256" s="70" t="str"/>
      <x:c r="P256" s="70" t="str"/>
    </x:row>
    <x:row r="257">
      <x:c r="A257" s="70" t="str">
        <x:v>M5RG-0252</x:v>
      </x:c>
      <x:c r="B257" s="70" t="str">
        <x:v>M5C-032</x:v>
      </x:c>
      <x:c r="C257" s="70" t="str">
        <x:f>IFERROR(VLOOKUP(B257,'02_案例与预测'!$A$6:$E$65,5,FALSE),"")</x:f>
        <x:v>开发集</x:v>
      </x:c>
      <x:c r="D257" s="70" t="str">
        <x:v>RG04</x:v>
      </x:c>
      <x:c r="E257" s="70" t="str">
        <x:v>时间、地域与生活节奏</x:v>
      </x:c>
      <x:c r="F257" s="70" t="str"/>
      <x:c r="G257" s="70" t="str"/>
      <x:c r="H257" s="70" t="str"/>
      <x:c r="I257" s="70" t="str"/>
      <x:c r="J257" s="70" t="str">
        <x:f>IF(OR(F257="",I257=""),"",IF(OR(I257="unknown",I257="not_assessed"),"不可评估",IF(F257=I257,"完全支持",IF(OR(AND(F257="pass",I257="conditional"),AND(F257="conditional",I257="pass")),"部分支持","反例"))))</x:f>
      </x:c>
      <x:c r="K257" s="70" t="str"/>
      <x:c r="L257" s="70" t="str"/>
      <x:c r="M257" s="70" t="str"/>
      <x:c r="N257" s="70" t="str"/>
      <x:c r="O257" s="70" t="str"/>
      <x:c r="P257" s="70" t="str"/>
    </x:row>
    <x:row r="258">
      <x:c r="A258" s="70" t="str">
        <x:v>M5RG-0253</x:v>
      </x:c>
      <x:c r="B258" s="70" t="str">
        <x:v>M5C-032</x:v>
      </x:c>
      <x:c r="C258" s="70" t="str">
        <x:f>IFERROR(VLOOKUP(B258,'02_案例与预测'!$A$6:$E$65,5,FALSE),"")</x:f>
        <x:v>开发集</x:v>
      </x:c>
      <x:c r="D258" s="70" t="str">
        <x:v>RG05</x:v>
      </x:c>
      <x:c r="E258" s="70" t="str">
        <x:v>金钱、资源与劳动分配</x:v>
      </x:c>
      <x:c r="F258" s="70" t="str"/>
      <x:c r="G258" s="70" t="str"/>
      <x:c r="H258" s="70" t="str"/>
      <x:c r="I258" s="70" t="str"/>
      <x:c r="J258" s="70" t="str">
        <x:f>IF(OR(F258="",I258=""),"",IF(OR(I258="unknown",I258="not_assessed"),"不可评估",IF(F258=I258,"完全支持",IF(OR(AND(F258="pass",I258="conditional"),AND(F258="conditional",I258="pass")),"部分支持","反例"))))</x:f>
      </x:c>
      <x:c r="K258" s="70" t="str"/>
      <x:c r="L258" s="70" t="str"/>
      <x:c r="M258" s="70" t="str"/>
      <x:c r="N258" s="70" t="str"/>
      <x:c r="O258" s="70" t="str"/>
      <x:c r="P258" s="70" t="str"/>
    </x:row>
    <x:row r="259">
      <x:c r="A259" s="70" t="str">
        <x:v>M5RG-0254</x:v>
      </x:c>
      <x:c r="B259" s="70" t="str">
        <x:v>M5C-032</x:v>
      </x:c>
      <x:c r="C259" s="70" t="str">
        <x:f>IFERROR(VLOOKUP(B259,'02_案例与预测'!$A$6:$E$65,5,FALSE),"")</x:f>
        <x:v>开发集</x:v>
      </x:c>
      <x:c r="D259" s="70" t="str">
        <x:v>RG06</x:v>
      </x:c>
      <x:c r="E259" s="70" t="str">
        <x:v>家庭、婚育与照护责任</x:v>
      </x:c>
      <x:c r="F259" s="70" t="str"/>
      <x:c r="G259" s="70" t="str"/>
      <x:c r="H259" s="70" t="str"/>
      <x:c r="I259" s="70" t="str"/>
      <x:c r="J259" s="70" t="str">
        <x:f>IF(OR(F259="",I259=""),"",IF(OR(I259="unknown",I259="not_assessed"),"不可评估",IF(F259=I259,"完全支持",IF(OR(AND(F259="pass",I259="conditional"),AND(F259="conditional",I259="pass")),"部分支持","反例"))))</x:f>
      </x:c>
      <x:c r="K259" s="70" t="str"/>
      <x:c r="L259" s="70" t="str"/>
      <x:c r="M259" s="70" t="str"/>
      <x:c r="N259" s="70" t="str"/>
      <x:c r="O259" s="70" t="str"/>
      <x:c r="P259" s="70" t="str"/>
    </x:row>
    <x:row r="260">
      <x:c r="A260" s="70" t="str">
        <x:v>M5RG-0255</x:v>
      </x:c>
      <x:c r="B260" s="70" t="str">
        <x:v>M5C-032</x:v>
      </x:c>
      <x:c r="C260" s="70" t="str">
        <x:f>IFERROR(VLOOKUP(B260,'02_案例与预测'!$A$6:$E$65,5,FALSE),"")</x:f>
        <x:v>开发集</x:v>
      </x:c>
      <x:c r="D260" s="70" t="str">
        <x:v>RG07</x:v>
      </x:c>
      <x:c r="E260" s="70" t="str">
        <x:v>身体、亲密、隐私与健康</x:v>
      </x:c>
      <x:c r="F260" s="70" t="str"/>
      <x:c r="G260" s="70" t="str"/>
      <x:c r="H260" s="70" t="str"/>
      <x:c r="I260" s="70" t="str"/>
      <x:c r="J260" s="70" t="str">
        <x:f>IF(OR(F260="",I260=""),"",IF(OR(I260="unknown",I260="not_assessed"),"不可评估",IF(F260=I260,"完全支持",IF(OR(AND(F260="pass",I260="conditional"),AND(F260="conditional",I260="pass")),"部分支持","反例"))))</x:f>
      </x:c>
      <x:c r="K260" s="70" t="str"/>
      <x:c r="L260" s="70" t="str"/>
      <x:c r="M260" s="70" t="str"/>
      <x:c r="N260" s="70" t="str"/>
      <x:c r="O260" s="70" t="str"/>
      <x:c r="P260" s="70" t="str"/>
    </x:row>
    <x:row r="261">
      <x:c r="A261" s="70" t="str">
        <x:v>M5RG-0256</x:v>
      </x:c>
      <x:c r="B261" s="70" t="str">
        <x:v>M5C-032</x:v>
      </x:c>
      <x:c r="C261" s="70" t="str">
        <x:f>IFERROR(VLOOKUP(B261,'02_案例与预测'!$A$6:$E$65,5,FALSE),"")</x:f>
        <x:v>开发集</x:v>
      </x:c>
      <x:c r="D261" s="70" t="str">
        <x:v>RG08</x:v>
      </x:c>
      <x:c r="E261" s="70" t="str">
        <x:v>冲突、修复与学习意愿</x:v>
      </x:c>
      <x:c r="F261" s="70" t="str"/>
      <x:c r="G261" s="70" t="str"/>
      <x:c r="H261" s="70" t="str"/>
      <x:c r="I261" s="70" t="str"/>
      <x:c r="J261" s="70" t="str">
        <x:f>IF(OR(F261="",I261=""),"",IF(OR(I261="unknown",I261="not_assessed"),"不可评估",IF(F261=I261,"完全支持",IF(OR(AND(F261="pass",I261="conditional"),AND(F261="conditional",I261="pass")),"部分支持","反例"))))</x:f>
      </x:c>
      <x:c r="K261" s="70" t="str"/>
      <x:c r="L261" s="70" t="str"/>
      <x:c r="M261" s="70" t="str"/>
      <x:c r="N261" s="70" t="str"/>
      <x:c r="O261" s="70" t="str"/>
      <x:c r="P261" s="70" t="str"/>
    </x:row>
    <x:row r="262">
      <x:c r="A262" s="70" t="str">
        <x:v>M5RG-0257</x:v>
      </x:c>
      <x:c r="B262" s="70" t="str">
        <x:v>M5C-033</x:v>
      </x:c>
      <x:c r="C262" s="70" t="str">
        <x:f>IFERROR(VLOOKUP(B262,'02_案例与预测'!$A$6:$E$65,5,FALSE),"")</x:f>
        <x:v>开发集</x:v>
      </x:c>
      <x:c r="D262" s="70" t="str">
        <x:v>RG01</x:v>
      </x:c>
      <x:c r="E262" s="70" t="str">
        <x:v>安全、同意与尊重</x:v>
      </x:c>
      <x:c r="F262" s="70" t="str"/>
      <x:c r="G262" s="70" t="str"/>
      <x:c r="H262" s="70" t="str"/>
      <x:c r="I262" s="70" t="str"/>
      <x:c r="J262" s="70" t="str">
        <x:f>IF(OR(F262="",I262=""),"",IF(OR(I262="unknown",I262="not_assessed"),"不可评估",IF(F262=I262,"完全支持",IF(OR(AND(F262="pass",I262="conditional"),AND(F262="conditional",I262="pass")),"部分支持","反例"))))</x:f>
      </x:c>
      <x:c r="K262" s="70" t="str"/>
      <x:c r="L262" s="70" t="str"/>
      <x:c r="M262" s="70" t="str"/>
      <x:c r="N262" s="70" t="str"/>
      <x:c r="O262" s="70" t="str"/>
      <x:c r="P262" s="70" t="str"/>
    </x:row>
    <x:row r="263">
      <x:c r="A263" s="70" t="str">
        <x:v>M5RG-0258</x:v>
      </x:c>
      <x:c r="B263" s="70" t="str">
        <x:v>M5C-033</x:v>
      </x:c>
      <x:c r="C263" s="70" t="str">
        <x:f>IFERROR(VLOOKUP(B263,'02_案例与预测'!$A$6:$E$65,5,FALSE),"")</x:f>
        <x:v>开发集</x:v>
      </x:c>
      <x:c r="D263" s="70" t="str">
        <x:v>RG02</x:v>
      </x:c>
      <x:c r="E263" s="70" t="str">
        <x:v>关系意图与承诺</x:v>
      </x:c>
      <x:c r="F263" s="70" t="str"/>
      <x:c r="G263" s="70" t="str"/>
      <x:c r="H263" s="70" t="str"/>
      <x:c r="I263" s="70" t="str"/>
      <x:c r="J263" s="70" t="str">
        <x:f>IF(OR(F263="",I263=""),"",IF(OR(I263="unknown",I263="not_assessed"),"不可评估",IF(F263=I263,"完全支持",IF(OR(AND(F263="pass",I263="conditional"),AND(F263="conditional",I263="pass")),"部分支持","反例"))))</x:f>
      </x:c>
      <x:c r="K263" s="70" t="str"/>
      <x:c r="L263" s="70" t="str"/>
      <x:c r="M263" s="70" t="str"/>
      <x:c r="N263" s="70" t="str"/>
      <x:c r="O263" s="70" t="str"/>
      <x:c r="P263" s="70" t="str"/>
    </x:row>
    <x:row r="264">
      <x:c r="A264" s="70" t="str">
        <x:v>M5RG-0259</x:v>
      </x:c>
      <x:c r="B264" s="70" t="str">
        <x:v>M5C-033</x:v>
      </x:c>
      <x:c r="C264" s="70" t="str">
        <x:f>IFERROR(VLOOKUP(B264,'02_案例与预测'!$A$6:$E$65,5,FALSE),"")</x:f>
        <x:v>开发集</x:v>
      </x:c>
      <x:c r="D264" s="70" t="str">
        <x:v>RG03</x:v>
      </x:c>
      <x:c r="E264" s="70" t="str">
        <x:v>价值观与人生目标</x:v>
      </x:c>
      <x:c r="F264" s="70" t="str"/>
      <x:c r="G264" s="70" t="str"/>
      <x:c r="H264" s="70" t="str"/>
      <x:c r="I264" s="70" t="str"/>
      <x:c r="J264" s="70" t="str">
        <x:f>IF(OR(F264="",I264=""),"",IF(OR(I264="unknown",I264="not_assessed"),"不可评估",IF(F264=I264,"完全支持",IF(OR(AND(F264="pass",I264="conditional"),AND(F264="conditional",I264="pass")),"部分支持","反例"))))</x:f>
      </x:c>
      <x:c r="K264" s="70" t="str"/>
      <x:c r="L264" s="70" t="str"/>
      <x:c r="M264" s="70" t="str"/>
      <x:c r="N264" s="70" t="str"/>
      <x:c r="O264" s="70" t="str"/>
      <x:c r="P264" s="70" t="str"/>
    </x:row>
    <x:row r="265">
      <x:c r="A265" s="70" t="str">
        <x:v>M5RG-0260</x:v>
      </x:c>
      <x:c r="B265" s="70" t="str">
        <x:v>M5C-033</x:v>
      </x:c>
      <x:c r="C265" s="70" t="str">
        <x:f>IFERROR(VLOOKUP(B265,'02_案例与预测'!$A$6:$E$65,5,FALSE),"")</x:f>
        <x:v>开发集</x:v>
      </x:c>
      <x:c r="D265" s="70" t="str">
        <x:v>RG04</x:v>
      </x:c>
      <x:c r="E265" s="70" t="str">
        <x:v>时间、地域与生活节奏</x:v>
      </x:c>
      <x:c r="F265" s="70" t="str"/>
      <x:c r="G265" s="70" t="str"/>
      <x:c r="H265" s="70" t="str"/>
      <x:c r="I265" s="70" t="str"/>
      <x:c r="J265" s="70" t="str">
        <x:f>IF(OR(F265="",I265=""),"",IF(OR(I265="unknown",I265="not_assessed"),"不可评估",IF(F265=I265,"完全支持",IF(OR(AND(F265="pass",I265="conditional"),AND(F265="conditional",I265="pass")),"部分支持","反例"))))</x:f>
      </x:c>
      <x:c r="K265" s="70" t="str"/>
      <x:c r="L265" s="70" t="str"/>
      <x:c r="M265" s="70" t="str"/>
      <x:c r="N265" s="70" t="str"/>
      <x:c r="O265" s="70" t="str"/>
      <x:c r="P265" s="70" t="str"/>
    </x:row>
    <x:row r="266">
      <x:c r="A266" s="70" t="str">
        <x:v>M5RG-0261</x:v>
      </x:c>
      <x:c r="B266" s="70" t="str">
        <x:v>M5C-033</x:v>
      </x:c>
      <x:c r="C266" s="70" t="str">
        <x:f>IFERROR(VLOOKUP(B266,'02_案例与预测'!$A$6:$E$65,5,FALSE),"")</x:f>
        <x:v>开发集</x:v>
      </x:c>
      <x:c r="D266" s="70" t="str">
        <x:v>RG05</x:v>
      </x:c>
      <x:c r="E266" s="70" t="str">
        <x:v>金钱、资源与劳动分配</x:v>
      </x:c>
      <x:c r="F266" s="70" t="str"/>
      <x:c r="G266" s="70" t="str"/>
      <x:c r="H266" s="70" t="str"/>
      <x:c r="I266" s="70" t="str"/>
      <x:c r="J266" s="70" t="str">
        <x:f>IF(OR(F266="",I266=""),"",IF(OR(I266="unknown",I266="not_assessed"),"不可评估",IF(F266=I266,"完全支持",IF(OR(AND(F266="pass",I266="conditional"),AND(F266="conditional",I266="pass")),"部分支持","反例"))))</x:f>
      </x:c>
      <x:c r="K266" s="70" t="str"/>
      <x:c r="L266" s="70" t="str"/>
      <x:c r="M266" s="70" t="str"/>
      <x:c r="N266" s="70" t="str"/>
      <x:c r="O266" s="70" t="str"/>
      <x:c r="P266" s="70" t="str"/>
    </x:row>
    <x:row r="267">
      <x:c r="A267" s="70" t="str">
        <x:v>M5RG-0262</x:v>
      </x:c>
      <x:c r="B267" s="70" t="str">
        <x:v>M5C-033</x:v>
      </x:c>
      <x:c r="C267" s="70" t="str">
        <x:f>IFERROR(VLOOKUP(B267,'02_案例与预测'!$A$6:$E$65,5,FALSE),"")</x:f>
        <x:v>开发集</x:v>
      </x:c>
      <x:c r="D267" s="70" t="str">
        <x:v>RG06</x:v>
      </x:c>
      <x:c r="E267" s="70" t="str">
        <x:v>家庭、婚育与照护责任</x:v>
      </x:c>
      <x:c r="F267" s="70" t="str"/>
      <x:c r="G267" s="70" t="str"/>
      <x:c r="H267" s="70" t="str"/>
      <x:c r="I267" s="70" t="str"/>
      <x:c r="J267" s="70" t="str">
        <x:f>IF(OR(F267="",I267=""),"",IF(OR(I267="unknown",I267="not_assessed"),"不可评估",IF(F267=I267,"完全支持",IF(OR(AND(F267="pass",I267="conditional"),AND(F267="conditional",I267="pass")),"部分支持","反例"))))</x:f>
      </x:c>
      <x:c r="K267" s="70" t="str"/>
      <x:c r="L267" s="70" t="str"/>
      <x:c r="M267" s="70" t="str"/>
      <x:c r="N267" s="70" t="str"/>
      <x:c r="O267" s="70" t="str"/>
      <x:c r="P267" s="70" t="str"/>
    </x:row>
    <x:row r="268">
      <x:c r="A268" s="70" t="str">
        <x:v>M5RG-0263</x:v>
      </x:c>
      <x:c r="B268" s="70" t="str">
        <x:v>M5C-033</x:v>
      </x:c>
      <x:c r="C268" s="70" t="str">
        <x:f>IFERROR(VLOOKUP(B268,'02_案例与预测'!$A$6:$E$65,5,FALSE),"")</x:f>
        <x:v>开发集</x:v>
      </x:c>
      <x:c r="D268" s="70" t="str">
        <x:v>RG07</x:v>
      </x:c>
      <x:c r="E268" s="70" t="str">
        <x:v>身体、亲密、隐私与健康</x:v>
      </x:c>
      <x:c r="F268" s="70" t="str"/>
      <x:c r="G268" s="70" t="str"/>
      <x:c r="H268" s="70" t="str"/>
      <x:c r="I268" s="70" t="str"/>
      <x:c r="J268" s="70" t="str">
        <x:f>IF(OR(F268="",I268=""),"",IF(OR(I268="unknown",I268="not_assessed"),"不可评估",IF(F268=I268,"完全支持",IF(OR(AND(F268="pass",I268="conditional"),AND(F268="conditional",I268="pass")),"部分支持","反例"))))</x:f>
      </x:c>
      <x:c r="K268" s="70" t="str"/>
      <x:c r="L268" s="70" t="str"/>
      <x:c r="M268" s="70" t="str"/>
      <x:c r="N268" s="70" t="str"/>
      <x:c r="O268" s="70" t="str"/>
      <x:c r="P268" s="70" t="str"/>
    </x:row>
    <x:row r="269">
      <x:c r="A269" s="70" t="str">
        <x:v>M5RG-0264</x:v>
      </x:c>
      <x:c r="B269" s="70" t="str">
        <x:v>M5C-033</x:v>
      </x:c>
      <x:c r="C269" s="70" t="str">
        <x:f>IFERROR(VLOOKUP(B269,'02_案例与预测'!$A$6:$E$65,5,FALSE),"")</x:f>
        <x:v>开发集</x:v>
      </x:c>
      <x:c r="D269" s="70" t="str">
        <x:v>RG08</x:v>
      </x:c>
      <x:c r="E269" s="70" t="str">
        <x:v>冲突、修复与学习意愿</x:v>
      </x:c>
      <x:c r="F269" s="70" t="str"/>
      <x:c r="G269" s="70" t="str"/>
      <x:c r="H269" s="70" t="str"/>
      <x:c r="I269" s="70" t="str"/>
      <x:c r="J269" s="70" t="str">
        <x:f>IF(OR(F269="",I269=""),"",IF(OR(I269="unknown",I269="not_assessed"),"不可评估",IF(F269=I269,"完全支持",IF(OR(AND(F269="pass",I269="conditional"),AND(F269="conditional",I269="pass")),"部分支持","反例"))))</x:f>
      </x:c>
      <x:c r="K269" s="70" t="str"/>
      <x:c r="L269" s="70" t="str"/>
      <x:c r="M269" s="70" t="str"/>
      <x:c r="N269" s="70" t="str"/>
      <x:c r="O269" s="70" t="str"/>
      <x:c r="P269" s="70" t="str"/>
    </x:row>
    <x:row r="270">
      <x:c r="A270" s="70" t="str">
        <x:v>M5RG-0265</x:v>
      </x:c>
      <x:c r="B270" s="70" t="str">
        <x:v>M5C-034</x:v>
      </x:c>
      <x:c r="C270" s="70" t="str">
        <x:f>IFERROR(VLOOKUP(B270,'02_案例与预测'!$A$6:$E$65,5,FALSE),"")</x:f>
        <x:v>开发集</x:v>
      </x:c>
      <x:c r="D270" s="70" t="str">
        <x:v>RG01</x:v>
      </x:c>
      <x:c r="E270" s="70" t="str">
        <x:v>安全、同意与尊重</x:v>
      </x:c>
      <x:c r="F270" s="70" t="str"/>
      <x:c r="G270" s="70" t="str"/>
      <x:c r="H270" s="70" t="str"/>
      <x:c r="I270" s="70" t="str"/>
      <x:c r="J270" s="70" t="str">
        <x:f>IF(OR(F270="",I270=""),"",IF(OR(I270="unknown",I270="not_assessed"),"不可评估",IF(F270=I270,"完全支持",IF(OR(AND(F270="pass",I270="conditional"),AND(F270="conditional",I270="pass")),"部分支持","反例"))))</x:f>
      </x:c>
      <x:c r="K270" s="70" t="str"/>
      <x:c r="L270" s="70" t="str"/>
      <x:c r="M270" s="70" t="str"/>
      <x:c r="N270" s="70" t="str"/>
      <x:c r="O270" s="70" t="str"/>
      <x:c r="P270" s="70" t="str"/>
    </x:row>
    <x:row r="271">
      <x:c r="A271" s="70" t="str">
        <x:v>M5RG-0266</x:v>
      </x:c>
      <x:c r="B271" s="70" t="str">
        <x:v>M5C-034</x:v>
      </x:c>
      <x:c r="C271" s="70" t="str">
        <x:f>IFERROR(VLOOKUP(B271,'02_案例与预测'!$A$6:$E$65,5,FALSE),"")</x:f>
        <x:v>开发集</x:v>
      </x:c>
      <x:c r="D271" s="70" t="str">
        <x:v>RG02</x:v>
      </x:c>
      <x:c r="E271" s="70" t="str">
        <x:v>关系意图与承诺</x:v>
      </x:c>
      <x:c r="F271" s="70" t="str"/>
      <x:c r="G271" s="70" t="str"/>
      <x:c r="H271" s="70" t="str"/>
      <x:c r="I271" s="70" t="str"/>
      <x:c r="J271" s="70" t="str">
        <x:f>IF(OR(F271="",I271=""),"",IF(OR(I271="unknown",I271="not_assessed"),"不可评估",IF(F271=I271,"完全支持",IF(OR(AND(F271="pass",I271="conditional"),AND(F271="conditional",I271="pass")),"部分支持","反例"))))</x:f>
      </x:c>
      <x:c r="K271" s="70" t="str"/>
      <x:c r="L271" s="70" t="str"/>
      <x:c r="M271" s="70" t="str"/>
      <x:c r="N271" s="70" t="str"/>
      <x:c r="O271" s="70" t="str"/>
      <x:c r="P271" s="70" t="str"/>
    </x:row>
    <x:row r="272">
      <x:c r="A272" s="70" t="str">
        <x:v>M5RG-0267</x:v>
      </x:c>
      <x:c r="B272" s="70" t="str">
        <x:v>M5C-034</x:v>
      </x:c>
      <x:c r="C272" s="70" t="str">
        <x:f>IFERROR(VLOOKUP(B272,'02_案例与预测'!$A$6:$E$65,5,FALSE),"")</x:f>
        <x:v>开发集</x:v>
      </x:c>
      <x:c r="D272" s="70" t="str">
        <x:v>RG03</x:v>
      </x:c>
      <x:c r="E272" s="70" t="str">
        <x:v>价值观与人生目标</x:v>
      </x:c>
      <x:c r="F272" s="70" t="str"/>
      <x:c r="G272" s="70" t="str"/>
      <x:c r="H272" s="70" t="str"/>
      <x:c r="I272" s="70" t="str"/>
      <x:c r="J272" s="70" t="str">
        <x:f>IF(OR(F272="",I272=""),"",IF(OR(I272="unknown",I272="not_assessed"),"不可评估",IF(F272=I272,"完全支持",IF(OR(AND(F272="pass",I272="conditional"),AND(F272="conditional",I272="pass")),"部分支持","反例"))))</x:f>
      </x:c>
      <x:c r="K272" s="70" t="str"/>
      <x:c r="L272" s="70" t="str"/>
      <x:c r="M272" s="70" t="str"/>
      <x:c r="N272" s="70" t="str"/>
      <x:c r="O272" s="70" t="str"/>
      <x:c r="P272" s="70" t="str"/>
    </x:row>
    <x:row r="273">
      <x:c r="A273" s="70" t="str">
        <x:v>M5RG-0268</x:v>
      </x:c>
      <x:c r="B273" s="70" t="str">
        <x:v>M5C-034</x:v>
      </x:c>
      <x:c r="C273" s="70" t="str">
        <x:f>IFERROR(VLOOKUP(B273,'02_案例与预测'!$A$6:$E$65,5,FALSE),"")</x:f>
        <x:v>开发集</x:v>
      </x:c>
      <x:c r="D273" s="70" t="str">
        <x:v>RG04</x:v>
      </x:c>
      <x:c r="E273" s="70" t="str">
        <x:v>时间、地域与生活节奏</x:v>
      </x:c>
      <x:c r="F273" s="70" t="str"/>
      <x:c r="G273" s="70" t="str"/>
      <x:c r="H273" s="70" t="str"/>
      <x:c r="I273" s="70" t="str"/>
      <x:c r="J273" s="70" t="str">
        <x:f>IF(OR(F273="",I273=""),"",IF(OR(I273="unknown",I273="not_assessed"),"不可评估",IF(F273=I273,"完全支持",IF(OR(AND(F273="pass",I273="conditional"),AND(F273="conditional",I273="pass")),"部分支持","反例"))))</x:f>
      </x:c>
      <x:c r="K273" s="70" t="str"/>
      <x:c r="L273" s="70" t="str"/>
      <x:c r="M273" s="70" t="str"/>
      <x:c r="N273" s="70" t="str"/>
      <x:c r="O273" s="70" t="str"/>
      <x:c r="P273" s="70" t="str"/>
    </x:row>
    <x:row r="274">
      <x:c r="A274" s="70" t="str">
        <x:v>M5RG-0269</x:v>
      </x:c>
      <x:c r="B274" s="70" t="str">
        <x:v>M5C-034</x:v>
      </x:c>
      <x:c r="C274" s="70" t="str">
        <x:f>IFERROR(VLOOKUP(B274,'02_案例与预测'!$A$6:$E$65,5,FALSE),"")</x:f>
        <x:v>开发集</x:v>
      </x:c>
      <x:c r="D274" s="70" t="str">
        <x:v>RG05</x:v>
      </x:c>
      <x:c r="E274" s="70" t="str">
        <x:v>金钱、资源与劳动分配</x:v>
      </x:c>
      <x:c r="F274" s="70" t="str"/>
      <x:c r="G274" s="70" t="str"/>
      <x:c r="H274" s="70" t="str"/>
      <x:c r="I274" s="70" t="str"/>
      <x:c r="J274" s="70" t="str">
        <x:f>IF(OR(F274="",I274=""),"",IF(OR(I274="unknown",I274="not_assessed"),"不可评估",IF(F274=I274,"完全支持",IF(OR(AND(F274="pass",I274="conditional"),AND(F274="conditional",I274="pass")),"部分支持","反例"))))</x:f>
      </x:c>
      <x:c r="K274" s="70" t="str"/>
      <x:c r="L274" s="70" t="str"/>
      <x:c r="M274" s="70" t="str"/>
      <x:c r="N274" s="70" t="str"/>
      <x:c r="O274" s="70" t="str"/>
      <x:c r="P274" s="70" t="str"/>
    </x:row>
    <x:row r="275">
      <x:c r="A275" s="70" t="str">
        <x:v>M5RG-0270</x:v>
      </x:c>
      <x:c r="B275" s="70" t="str">
        <x:v>M5C-034</x:v>
      </x:c>
      <x:c r="C275" s="70" t="str">
        <x:f>IFERROR(VLOOKUP(B275,'02_案例与预测'!$A$6:$E$65,5,FALSE),"")</x:f>
        <x:v>开发集</x:v>
      </x:c>
      <x:c r="D275" s="70" t="str">
        <x:v>RG06</x:v>
      </x:c>
      <x:c r="E275" s="70" t="str">
        <x:v>家庭、婚育与照护责任</x:v>
      </x:c>
      <x:c r="F275" s="70" t="str"/>
      <x:c r="G275" s="70" t="str"/>
      <x:c r="H275" s="70" t="str"/>
      <x:c r="I275" s="70" t="str"/>
      <x:c r="J275" s="70" t="str">
        <x:f>IF(OR(F275="",I275=""),"",IF(OR(I275="unknown",I275="not_assessed"),"不可评估",IF(F275=I275,"完全支持",IF(OR(AND(F275="pass",I275="conditional"),AND(F275="conditional",I275="pass")),"部分支持","反例"))))</x:f>
      </x:c>
      <x:c r="K275" s="70" t="str"/>
      <x:c r="L275" s="70" t="str"/>
      <x:c r="M275" s="70" t="str"/>
      <x:c r="N275" s="70" t="str"/>
      <x:c r="O275" s="70" t="str"/>
      <x:c r="P275" s="70" t="str"/>
    </x:row>
    <x:row r="276">
      <x:c r="A276" s="70" t="str">
        <x:v>M5RG-0271</x:v>
      </x:c>
      <x:c r="B276" s="70" t="str">
        <x:v>M5C-034</x:v>
      </x:c>
      <x:c r="C276" s="70" t="str">
        <x:f>IFERROR(VLOOKUP(B276,'02_案例与预测'!$A$6:$E$65,5,FALSE),"")</x:f>
        <x:v>开发集</x:v>
      </x:c>
      <x:c r="D276" s="70" t="str">
        <x:v>RG07</x:v>
      </x:c>
      <x:c r="E276" s="70" t="str">
        <x:v>身体、亲密、隐私与健康</x:v>
      </x:c>
      <x:c r="F276" s="70" t="str"/>
      <x:c r="G276" s="70" t="str"/>
      <x:c r="H276" s="70" t="str"/>
      <x:c r="I276" s="70" t="str"/>
      <x:c r="J276" s="70" t="str">
        <x:f>IF(OR(F276="",I276=""),"",IF(OR(I276="unknown",I276="not_assessed"),"不可评估",IF(F276=I276,"完全支持",IF(OR(AND(F276="pass",I276="conditional"),AND(F276="conditional",I276="pass")),"部分支持","反例"))))</x:f>
      </x:c>
      <x:c r="K276" s="70" t="str"/>
      <x:c r="L276" s="70" t="str"/>
      <x:c r="M276" s="70" t="str"/>
      <x:c r="N276" s="70" t="str"/>
      <x:c r="O276" s="70" t="str"/>
      <x:c r="P276" s="70" t="str"/>
    </x:row>
    <x:row r="277">
      <x:c r="A277" s="70" t="str">
        <x:v>M5RG-0272</x:v>
      </x:c>
      <x:c r="B277" s="70" t="str">
        <x:v>M5C-034</x:v>
      </x:c>
      <x:c r="C277" s="70" t="str">
        <x:f>IFERROR(VLOOKUP(B277,'02_案例与预测'!$A$6:$E$65,5,FALSE),"")</x:f>
        <x:v>开发集</x:v>
      </x:c>
      <x:c r="D277" s="70" t="str">
        <x:v>RG08</x:v>
      </x:c>
      <x:c r="E277" s="70" t="str">
        <x:v>冲突、修复与学习意愿</x:v>
      </x:c>
      <x:c r="F277" s="70" t="str"/>
      <x:c r="G277" s="70" t="str"/>
      <x:c r="H277" s="70" t="str"/>
      <x:c r="I277" s="70" t="str"/>
      <x:c r="J277" s="70" t="str">
        <x:f>IF(OR(F277="",I277=""),"",IF(OR(I277="unknown",I277="not_assessed"),"不可评估",IF(F277=I277,"完全支持",IF(OR(AND(F277="pass",I277="conditional"),AND(F277="conditional",I277="pass")),"部分支持","反例"))))</x:f>
      </x:c>
      <x:c r="K277" s="70" t="str"/>
      <x:c r="L277" s="70" t="str"/>
      <x:c r="M277" s="70" t="str"/>
      <x:c r="N277" s="70" t="str"/>
      <x:c r="O277" s="70" t="str"/>
      <x:c r="P277" s="70" t="str"/>
    </x:row>
    <x:row r="278">
      <x:c r="A278" s="70" t="str">
        <x:v>M5RG-0273</x:v>
      </x:c>
      <x:c r="B278" s="70" t="str">
        <x:v>M5C-035</x:v>
      </x:c>
      <x:c r="C278" s="70" t="str">
        <x:f>IFERROR(VLOOKUP(B278,'02_案例与预测'!$A$6:$E$65,5,FALSE),"")</x:f>
        <x:v>开发集</x:v>
      </x:c>
      <x:c r="D278" s="70" t="str">
        <x:v>RG01</x:v>
      </x:c>
      <x:c r="E278" s="70" t="str">
        <x:v>安全、同意与尊重</x:v>
      </x:c>
      <x:c r="F278" s="70" t="str"/>
      <x:c r="G278" s="70" t="str"/>
      <x:c r="H278" s="70" t="str"/>
      <x:c r="I278" s="70" t="str"/>
      <x:c r="J278" s="70" t="str">
        <x:f>IF(OR(F278="",I278=""),"",IF(OR(I278="unknown",I278="not_assessed"),"不可评估",IF(F278=I278,"完全支持",IF(OR(AND(F278="pass",I278="conditional"),AND(F278="conditional",I278="pass")),"部分支持","反例"))))</x:f>
      </x:c>
      <x:c r="K278" s="70" t="str"/>
      <x:c r="L278" s="70" t="str"/>
      <x:c r="M278" s="70" t="str"/>
      <x:c r="N278" s="70" t="str"/>
      <x:c r="O278" s="70" t="str"/>
      <x:c r="P278" s="70" t="str"/>
    </x:row>
    <x:row r="279">
      <x:c r="A279" s="70" t="str">
        <x:v>M5RG-0274</x:v>
      </x:c>
      <x:c r="B279" s="70" t="str">
        <x:v>M5C-035</x:v>
      </x:c>
      <x:c r="C279" s="70" t="str">
        <x:f>IFERROR(VLOOKUP(B279,'02_案例与预测'!$A$6:$E$65,5,FALSE),"")</x:f>
        <x:v>开发集</x:v>
      </x:c>
      <x:c r="D279" s="70" t="str">
        <x:v>RG02</x:v>
      </x:c>
      <x:c r="E279" s="70" t="str">
        <x:v>关系意图与承诺</x:v>
      </x:c>
      <x:c r="F279" s="70" t="str"/>
      <x:c r="G279" s="70" t="str"/>
      <x:c r="H279" s="70" t="str"/>
      <x:c r="I279" s="70" t="str"/>
      <x:c r="J279" s="70" t="str">
        <x:f>IF(OR(F279="",I279=""),"",IF(OR(I279="unknown",I279="not_assessed"),"不可评估",IF(F279=I279,"完全支持",IF(OR(AND(F279="pass",I279="conditional"),AND(F279="conditional",I279="pass")),"部分支持","反例"))))</x:f>
      </x:c>
      <x:c r="K279" s="70" t="str"/>
      <x:c r="L279" s="70" t="str"/>
      <x:c r="M279" s="70" t="str"/>
      <x:c r="N279" s="70" t="str"/>
      <x:c r="O279" s="70" t="str"/>
      <x:c r="P279" s="70" t="str"/>
    </x:row>
    <x:row r="280">
      <x:c r="A280" s="70" t="str">
        <x:v>M5RG-0275</x:v>
      </x:c>
      <x:c r="B280" s="70" t="str">
        <x:v>M5C-035</x:v>
      </x:c>
      <x:c r="C280" s="70" t="str">
        <x:f>IFERROR(VLOOKUP(B280,'02_案例与预测'!$A$6:$E$65,5,FALSE),"")</x:f>
        <x:v>开发集</x:v>
      </x:c>
      <x:c r="D280" s="70" t="str">
        <x:v>RG03</x:v>
      </x:c>
      <x:c r="E280" s="70" t="str">
        <x:v>价值观与人生目标</x:v>
      </x:c>
      <x:c r="F280" s="70" t="str"/>
      <x:c r="G280" s="70" t="str"/>
      <x:c r="H280" s="70" t="str"/>
      <x:c r="I280" s="70" t="str"/>
      <x:c r="J280" s="70" t="str">
        <x:f>IF(OR(F280="",I280=""),"",IF(OR(I280="unknown",I280="not_assessed"),"不可评估",IF(F280=I280,"完全支持",IF(OR(AND(F280="pass",I280="conditional"),AND(F280="conditional",I280="pass")),"部分支持","反例"))))</x:f>
      </x:c>
      <x:c r="K280" s="70" t="str"/>
      <x:c r="L280" s="70" t="str"/>
      <x:c r="M280" s="70" t="str"/>
      <x:c r="N280" s="70" t="str"/>
      <x:c r="O280" s="70" t="str"/>
      <x:c r="P280" s="70" t="str"/>
    </x:row>
    <x:row r="281">
      <x:c r="A281" s="70" t="str">
        <x:v>M5RG-0276</x:v>
      </x:c>
      <x:c r="B281" s="70" t="str">
        <x:v>M5C-035</x:v>
      </x:c>
      <x:c r="C281" s="70" t="str">
        <x:f>IFERROR(VLOOKUP(B281,'02_案例与预测'!$A$6:$E$65,5,FALSE),"")</x:f>
        <x:v>开发集</x:v>
      </x:c>
      <x:c r="D281" s="70" t="str">
        <x:v>RG04</x:v>
      </x:c>
      <x:c r="E281" s="70" t="str">
        <x:v>时间、地域与生活节奏</x:v>
      </x:c>
      <x:c r="F281" s="70" t="str"/>
      <x:c r="G281" s="70" t="str"/>
      <x:c r="H281" s="70" t="str"/>
      <x:c r="I281" s="70" t="str"/>
      <x:c r="J281" s="70" t="str">
        <x:f>IF(OR(F281="",I281=""),"",IF(OR(I281="unknown",I281="not_assessed"),"不可评估",IF(F281=I281,"完全支持",IF(OR(AND(F281="pass",I281="conditional"),AND(F281="conditional",I281="pass")),"部分支持","反例"))))</x:f>
      </x:c>
      <x:c r="K281" s="70" t="str"/>
      <x:c r="L281" s="70" t="str"/>
      <x:c r="M281" s="70" t="str"/>
      <x:c r="N281" s="70" t="str"/>
      <x:c r="O281" s="70" t="str"/>
      <x:c r="P281" s="70" t="str"/>
    </x:row>
    <x:row r="282">
      <x:c r="A282" s="70" t="str">
        <x:v>M5RG-0277</x:v>
      </x:c>
      <x:c r="B282" s="70" t="str">
        <x:v>M5C-035</x:v>
      </x:c>
      <x:c r="C282" s="70" t="str">
        <x:f>IFERROR(VLOOKUP(B282,'02_案例与预测'!$A$6:$E$65,5,FALSE),"")</x:f>
        <x:v>开发集</x:v>
      </x:c>
      <x:c r="D282" s="70" t="str">
        <x:v>RG05</x:v>
      </x:c>
      <x:c r="E282" s="70" t="str">
        <x:v>金钱、资源与劳动分配</x:v>
      </x:c>
      <x:c r="F282" s="70" t="str"/>
      <x:c r="G282" s="70" t="str"/>
      <x:c r="H282" s="70" t="str"/>
      <x:c r="I282" s="70" t="str"/>
      <x:c r="J282" s="70" t="str">
        <x:f>IF(OR(F282="",I282=""),"",IF(OR(I282="unknown",I282="not_assessed"),"不可评估",IF(F282=I282,"完全支持",IF(OR(AND(F282="pass",I282="conditional"),AND(F282="conditional",I282="pass")),"部分支持","反例"))))</x:f>
      </x:c>
      <x:c r="K282" s="70" t="str"/>
      <x:c r="L282" s="70" t="str"/>
      <x:c r="M282" s="70" t="str"/>
      <x:c r="N282" s="70" t="str"/>
      <x:c r="O282" s="70" t="str"/>
      <x:c r="P282" s="70" t="str"/>
    </x:row>
    <x:row r="283">
      <x:c r="A283" s="70" t="str">
        <x:v>M5RG-0278</x:v>
      </x:c>
      <x:c r="B283" s="70" t="str">
        <x:v>M5C-035</x:v>
      </x:c>
      <x:c r="C283" s="70" t="str">
        <x:f>IFERROR(VLOOKUP(B283,'02_案例与预测'!$A$6:$E$65,5,FALSE),"")</x:f>
        <x:v>开发集</x:v>
      </x:c>
      <x:c r="D283" s="70" t="str">
        <x:v>RG06</x:v>
      </x:c>
      <x:c r="E283" s="70" t="str">
        <x:v>家庭、婚育与照护责任</x:v>
      </x:c>
      <x:c r="F283" s="70" t="str"/>
      <x:c r="G283" s="70" t="str"/>
      <x:c r="H283" s="70" t="str"/>
      <x:c r="I283" s="70" t="str"/>
      <x:c r="J283" s="70" t="str">
        <x:f>IF(OR(F283="",I283=""),"",IF(OR(I283="unknown",I283="not_assessed"),"不可评估",IF(F283=I283,"完全支持",IF(OR(AND(F283="pass",I283="conditional"),AND(F283="conditional",I283="pass")),"部分支持","反例"))))</x:f>
      </x:c>
      <x:c r="K283" s="70" t="str"/>
      <x:c r="L283" s="70" t="str"/>
      <x:c r="M283" s="70" t="str"/>
      <x:c r="N283" s="70" t="str"/>
      <x:c r="O283" s="70" t="str"/>
      <x:c r="P283" s="70" t="str"/>
    </x:row>
    <x:row r="284">
      <x:c r="A284" s="70" t="str">
        <x:v>M5RG-0279</x:v>
      </x:c>
      <x:c r="B284" s="70" t="str">
        <x:v>M5C-035</x:v>
      </x:c>
      <x:c r="C284" s="70" t="str">
        <x:f>IFERROR(VLOOKUP(B284,'02_案例与预测'!$A$6:$E$65,5,FALSE),"")</x:f>
        <x:v>开发集</x:v>
      </x:c>
      <x:c r="D284" s="70" t="str">
        <x:v>RG07</x:v>
      </x:c>
      <x:c r="E284" s="70" t="str">
        <x:v>身体、亲密、隐私与健康</x:v>
      </x:c>
      <x:c r="F284" s="70" t="str"/>
      <x:c r="G284" s="70" t="str"/>
      <x:c r="H284" s="70" t="str"/>
      <x:c r="I284" s="70" t="str"/>
      <x:c r="J284" s="70" t="str">
        <x:f>IF(OR(F284="",I284=""),"",IF(OR(I284="unknown",I284="not_assessed"),"不可评估",IF(F284=I284,"完全支持",IF(OR(AND(F284="pass",I284="conditional"),AND(F284="conditional",I284="pass")),"部分支持","反例"))))</x:f>
      </x:c>
      <x:c r="K284" s="70" t="str"/>
      <x:c r="L284" s="70" t="str"/>
      <x:c r="M284" s="70" t="str"/>
      <x:c r="N284" s="70" t="str"/>
      <x:c r="O284" s="70" t="str"/>
      <x:c r="P284" s="70" t="str"/>
    </x:row>
    <x:row r="285">
      <x:c r="A285" s="70" t="str">
        <x:v>M5RG-0280</x:v>
      </x:c>
      <x:c r="B285" s="70" t="str">
        <x:v>M5C-035</x:v>
      </x:c>
      <x:c r="C285" s="70" t="str">
        <x:f>IFERROR(VLOOKUP(B285,'02_案例与预测'!$A$6:$E$65,5,FALSE),"")</x:f>
        <x:v>开发集</x:v>
      </x:c>
      <x:c r="D285" s="70" t="str">
        <x:v>RG08</x:v>
      </x:c>
      <x:c r="E285" s="70" t="str">
        <x:v>冲突、修复与学习意愿</x:v>
      </x:c>
      <x:c r="F285" s="70" t="str"/>
      <x:c r="G285" s="70" t="str"/>
      <x:c r="H285" s="70" t="str"/>
      <x:c r="I285" s="70" t="str"/>
      <x:c r="J285" s="70" t="str">
        <x:f>IF(OR(F285="",I285=""),"",IF(OR(I285="unknown",I285="not_assessed"),"不可评估",IF(F285=I285,"完全支持",IF(OR(AND(F285="pass",I285="conditional"),AND(F285="conditional",I285="pass")),"部分支持","反例"))))</x:f>
      </x:c>
      <x:c r="K285" s="70" t="str"/>
      <x:c r="L285" s="70" t="str"/>
      <x:c r="M285" s="70" t="str"/>
      <x:c r="N285" s="70" t="str"/>
      <x:c r="O285" s="70" t="str"/>
      <x:c r="P285" s="70" t="str"/>
    </x:row>
    <x:row r="286">
      <x:c r="A286" s="70" t="str">
        <x:v>M5RG-0281</x:v>
      </x:c>
      <x:c r="B286" s="70" t="str">
        <x:v>M5C-036</x:v>
      </x:c>
      <x:c r="C286" s="70" t="str">
        <x:f>IFERROR(VLOOKUP(B286,'02_案例与预测'!$A$6:$E$65,5,FALSE),"")</x:f>
        <x:v>开发集</x:v>
      </x:c>
      <x:c r="D286" s="70" t="str">
        <x:v>RG01</x:v>
      </x:c>
      <x:c r="E286" s="70" t="str">
        <x:v>安全、同意与尊重</x:v>
      </x:c>
      <x:c r="F286" s="70" t="str"/>
      <x:c r="G286" s="70" t="str"/>
      <x:c r="H286" s="70" t="str"/>
      <x:c r="I286" s="70" t="str"/>
      <x:c r="J286" s="70" t="str">
        <x:f>IF(OR(F286="",I286=""),"",IF(OR(I286="unknown",I286="not_assessed"),"不可评估",IF(F286=I286,"完全支持",IF(OR(AND(F286="pass",I286="conditional"),AND(F286="conditional",I286="pass")),"部分支持","反例"))))</x:f>
      </x:c>
      <x:c r="K286" s="70" t="str"/>
      <x:c r="L286" s="70" t="str"/>
      <x:c r="M286" s="70" t="str"/>
      <x:c r="N286" s="70" t="str"/>
      <x:c r="O286" s="70" t="str"/>
      <x:c r="P286" s="70" t="str"/>
    </x:row>
    <x:row r="287">
      <x:c r="A287" s="70" t="str">
        <x:v>M5RG-0282</x:v>
      </x:c>
      <x:c r="B287" s="70" t="str">
        <x:v>M5C-036</x:v>
      </x:c>
      <x:c r="C287" s="70" t="str">
        <x:f>IFERROR(VLOOKUP(B287,'02_案例与预测'!$A$6:$E$65,5,FALSE),"")</x:f>
        <x:v>开发集</x:v>
      </x:c>
      <x:c r="D287" s="70" t="str">
        <x:v>RG02</x:v>
      </x:c>
      <x:c r="E287" s="70" t="str">
        <x:v>关系意图与承诺</x:v>
      </x:c>
      <x:c r="F287" s="70" t="str"/>
      <x:c r="G287" s="70" t="str"/>
      <x:c r="H287" s="70" t="str"/>
      <x:c r="I287" s="70" t="str"/>
      <x:c r="J287" s="70" t="str">
        <x:f>IF(OR(F287="",I287=""),"",IF(OR(I287="unknown",I287="not_assessed"),"不可评估",IF(F287=I287,"完全支持",IF(OR(AND(F287="pass",I287="conditional"),AND(F287="conditional",I287="pass")),"部分支持","反例"))))</x:f>
      </x:c>
      <x:c r="K287" s="70" t="str"/>
      <x:c r="L287" s="70" t="str"/>
      <x:c r="M287" s="70" t="str"/>
      <x:c r="N287" s="70" t="str"/>
      <x:c r="O287" s="70" t="str"/>
      <x:c r="P287" s="70" t="str"/>
    </x:row>
    <x:row r="288">
      <x:c r="A288" s="70" t="str">
        <x:v>M5RG-0283</x:v>
      </x:c>
      <x:c r="B288" s="70" t="str">
        <x:v>M5C-036</x:v>
      </x:c>
      <x:c r="C288" s="70" t="str">
        <x:f>IFERROR(VLOOKUP(B288,'02_案例与预测'!$A$6:$E$65,5,FALSE),"")</x:f>
        <x:v>开发集</x:v>
      </x:c>
      <x:c r="D288" s="70" t="str">
        <x:v>RG03</x:v>
      </x:c>
      <x:c r="E288" s="70" t="str">
        <x:v>价值观与人生目标</x:v>
      </x:c>
      <x:c r="F288" s="70" t="str"/>
      <x:c r="G288" s="70" t="str"/>
      <x:c r="H288" s="70" t="str"/>
      <x:c r="I288" s="70" t="str"/>
      <x:c r="J288" s="70" t="str">
        <x:f>IF(OR(F288="",I288=""),"",IF(OR(I288="unknown",I288="not_assessed"),"不可评估",IF(F288=I288,"完全支持",IF(OR(AND(F288="pass",I288="conditional"),AND(F288="conditional",I288="pass")),"部分支持","反例"))))</x:f>
      </x:c>
      <x:c r="K288" s="70" t="str"/>
      <x:c r="L288" s="70" t="str"/>
      <x:c r="M288" s="70" t="str"/>
      <x:c r="N288" s="70" t="str"/>
      <x:c r="O288" s="70" t="str"/>
      <x:c r="P288" s="70" t="str"/>
    </x:row>
    <x:row r="289">
      <x:c r="A289" s="70" t="str">
        <x:v>M5RG-0284</x:v>
      </x:c>
      <x:c r="B289" s="70" t="str">
        <x:v>M5C-036</x:v>
      </x:c>
      <x:c r="C289" s="70" t="str">
        <x:f>IFERROR(VLOOKUP(B289,'02_案例与预测'!$A$6:$E$65,5,FALSE),"")</x:f>
        <x:v>开发集</x:v>
      </x:c>
      <x:c r="D289" s="70" t="str">
        <x:v>RG04</x:v>
      </x:c>
      <x:c r="E289" s="70" t="str">
        <x:v>时间、地域与生活节奏</x:v>
      </x:c>
      <x:c r="F289" s="70" t="str"/>
      <x:c r="G289" s="70" t="str"/>
      <x:c r="H289" s="70" t="str"/>
      <x:c r="I289" s="70" t="str"/>
      <x:c r="J289" s="70" t="str">
        <x:f>IF(OR(F289="",I289=""),"",IF(OR(I289="unknown",I289="not_assessed"),"不可评估",IF(F289=I289,"完全支持",IF(OR(AND(F289="pass",I289="conditional"),AND(F289="conditional",I289="pass")),"部分支持","反例"))))</x:f>
      </x:c>
      <x:c r="K289" s="70" t="str"/>
      <x:c r="L289" s="70" t="str"/>
      <x:c r="M289" s="70" t="str"/>
      <x:c r="N289" s="70" t="str"/>
      <x:c r="O289" s="70" t="str"/>
      <x:c r="P289" s="70" t="str"/>
    </x:row>
    <x:row r="290">
      <x:c r="A290" s="70" t="str">
        <x:v>M5RG-0285</x:v>
      </x:c>
      <x:c r="B290" s="70" t="str">
        <x:v>M5C-036</x:v>
      </x:c>
      <x:c r="C290" s="70" t="str">
        <x:f>IFERROR(VLOOKUP(B290,'02_案例与预测'!$A$6:$E$65,5,FALSE),"")</x:f>
        <x:v>开发集</x:v>
      </x:c>
      <x:c r="D290" s="70" t="str">
        <x:v>RG05</x:v>
      </x:c>
      <x:c r="E290" s="70" t="str">
        <x:v>金钱、资源与劳动分配</x:v>
      </x:c>
      <x:c r="F290" s="70" t="str"/>
      <x:c r="G290" s="70" t="str"/>
      <x:c r="H290" s="70" t="str"/>
      <x:c r="I290" s="70" t="str"/>
      <x:c r="J290" s="70" t="str">
        <x:f>IF(OR(F290="",I290=""),"",IF(OR(I290="unknown",I290="not_assessed"),"不可评估",IF(F290=I290,"完全支持",IF(OR(AND(F290="pass",I290="conditional"),AND(F290="conditional",I290="pass")),"部分支持","反例"))))</x:f>
      </x:c>
      <x:c r="K290" s="70" t="str"/>
      <x:c r="L290" s="70" t="str"/>
      <x:c r="M290" s="70" t="str"/>
      <x:c r="N290" s="70" t="str"/>
      <x:c r="O290" s="70" t="str"/>
      <x:c r="P290" s="70" t="str"/>
    </x:row>
    <x:row r="291">
      <x:c r="A291" s="70" t="str">
        <x:v>M5RG-0286</x:v>
      </x:c>
      <x:c r="B291" s="70" t="str">
        <x:v>M5C-036</x:v>
      </x:c>
      <x:c r="C291" s="70" t="str">
        <x:f>IFERROR(VLOOKUP(B291,'02_案例与预测'!$A$6:$E$65,5,FALSE),"")</x:f>
        <x:v>开发集</x:v>
      </x:c>
      <x:c r="D291" s="70" t="str">
        <x:v>RG06</x:v>
      </x:c>
      <x:c r="E291" s="70" t="str">
        <x:v>家庭、婚育与照护责任</x:v>
      </x:c>
      <x:c r="F291" s="70" t="str"/>
      <x:c r="G291" s="70" t="str"/>
      <x:c r="H291" s="70" t="str"/>
      <x:c r="I291" s="70" t="str"/>
      <x:c r="J291" s="70" t="str">
        <x:f>IF(OR(F291="",I291=""),"",IF(OR(I291="unknown",I291="not_assessed"),"不可评估",IF(F291=I291,"完全支持",IF(OR(AND(F291="pass",I291="conditional"),AND(F291="conditional",I291="pass")),"部分支持","反例"))))</x:f>
      </x:c>
      <x:c r="K291" s="70" t="str"/>
      <x:c r="L291" s="70" t="str"/>
      <x:c r="M291" s="70" t="str"/>
      <x:c r="N291" s="70" t="str"/>
      <x:c r="O291" s="70" t="str"/>
      <x:c r="P291" s="70" t="str"/>
    </x:row>
    <x:row r="292">
      <x:c r="A292" s="70" t="str">
        <x:v>M5RG-0287</x:v>
      </x:c>
      <x:c r="B292" s="70" t="str">
        <x:v>M5C-036</x:v>
      </x:c>
      <x:c r="C292" s="70" t="str">
        <x:f>IFERROR(VLOOKUP(B292,'02_案例与预测'!$A$6:$E$65,5,FALSE),"")</x:f>
        <x:v>开发集</x:v>
      </x:c>
      <x:c r="D292" s="70" t="str">
        <x:v>RG07</x:v>
      </x:c>
      <x:c r="E292" s="70" t="str">
        <x:v>身体、亲密、隐私与健康</x:v>
      </x:c>
      <x:c r="F292" s="70" t="str"/>
      <x:c r="G292" s="70" t="str"/>
      <x:c r="H292" s="70" t="str"/>
      <x:c r="I292" s="70" t="str"/>
      <x:c r="J292" s="70" t="str">
        <x:f>IF(OR(F292="",I292=""),"",IF(OR(I292="unknown",I292="not_assessed"),"不可评估",IF(F292=I292,"完全支持",IF(OR(AND(F292="pass",I292="conditional"),AND(F292="conditional",I292="pass")),"部分支持","反例"))))</x:f>
      </x:c>
      <x:c r="K292" s="70" t="str"/>
      <x:c r="L292" s="70" t="str"/>
      <x:c r="M292" s="70" t="str"/>
      <x:c r="N292" s="70" t="str"/>
      <x:c r="O292" s="70" t="str"/>
      <x:c r="P292" s="70" t="str"/>
    </x:row>
    <x:row r="293">
      <x:c r="A293" s="70" t="str">
        <x:v>M5RG-0288</x:v>
      </x:c>
      <x:c r="B293" s="70" t="str">
        <x:v>M5C-036</x:v>
      </x:c>
      <x:c r="C293" s="70" t="str">
        <x:f>IFERROR(VLOOKUP(B293,'02_案例与预测'!$A$6:$E$65,5,FALSE),"")</x:f>
        <x:v>开发集</x:v>
      </x:c>
      <x:c r="D293" s="70" t="str">
        <x:v>RG08</x:v>
      </x:c>
      <x:c r="E293" s="70" t="str">
        <x:v>冲突、修复与学习意愿</x:v>
      </x:c>
      <x:c r="F293" s="70" t="str"/>
      <x:c r="G293" s="70" t="str"/>
      <x:c r="H293" s="70" t="str"/>
      <x:c r="I293" s="70" t="str"/>
      <x:c r="J293" s="70" t="str">
        <x:f>IF(OR(F293="",I293=""),"",IF(OR(I293="unknown",I293="not_assessed"),"不可评估",IF(F293=I293,"完全支持",IF(OR(AND(F293="pass",I293="conditional"),AND(F293="conditional",I293="pass")),"部分支持","反例"))))</x:f>
      </x:c>
      <x:c r="K293" s="70" t="str"/>
      <x:c r="L293" s="70" t="str"/>
      <x:c r="M293" s="70" t="str"/>
      <x:c r="N293" s="70" t="str"/>
      <x:c r="O293" s="70" t="str"/>
      <x:c r="P293" s="70" t="str"/>
    </x:row>
    <x:row r="294">
      <x:c r="A294" s="70" t="str">
        <x:v>M5RG-0289</x:v>
      </x:c>
      <x:c r="B294" s="70" t="str">
        <x:v>M5C-037</x:v>
      </x:c>
      <x:c r="C294" s="70" t="str">
        <x:f>IFERROR(VLOOKUP(B294,'02_案例与预测'!$A$6:$E$65,5,FALSE),"")</x:f>
        <x:v>开发集</x:v>
      </x:c>
      <x:c r="D294" s="70" t="str">
        <x:v>RG01</x:v>
      </x:c>
      <x:c r="E294" s="70" t="str">
        <x:v>安全、同意与尊重</x:v>
      </x:c>
      <x:c r="F294" s="70" t="str"/>
      <x:c r="G294" s="70" t="str"/>
      <x:c r="H294" s="70" t="str"/>
      <x:c r="I294" s="70" t="str"/>
      <x:c r="J294" s="70" t="str">
        <x:f>IF(OR(F294="",I294=""),"",IF(OR(I294="unknown",I294="not_assessed"),"不可评估",IF(F294=I294,"完全支持",IF(OR(AND(F294="pass",I294="conditional"),AND(F294="conditional",I294="pass")),"部分支持","反例"))))</x:f>
      </x:c>
      <x:c r="K294" s="70" t="str"/>
      <x:c r="L294" s="70" t="str"/>
      <x:c r="M294" s="70" t="str"/>
      <x:c r="N294" s="70" t="str"/>
      <x:c r="O294" s="70" t="str"/>
      <x:c r="P294" s="70" t="str"/>
    </x:row>
    <x:row r="295">
      <x:c r="A295" s="70" t="str">
        <x:v>M5RG-0290</x:v>
      </x:c>
      <x:c r="B295" s="70" t="str">
        <x:v>M5C-037</x:v>
      </x:c>
      <x:c r="C295" s="70" t="str">
        <x:f>IFERROR(VLOOKUP(B295,'02_案例与预测'!$A$6:$E$65,5,FALSE),"")</x:f>
        <x:v>开发集</x:v>
      </x:c>
      <x:c r="D295" s="70" t="str">
        <x:v>RG02</x:v>
      </x:c>
      <x:c r="E295" s="70" t="str">
        <x:v>关系意图与承诺</x:v>
      </x:c>
      <x:c r="F295" s="70" t="str"/>
      <x:c r="G295" s="70" t="str"/>
      <x:c r="H295" s="70" t="str"/>
      <x:c r="I295" s="70" t="str"/>
      <x:c r="J295" s="70" t="str">
        <x:f>IF(OR(F295="",I295=""),"",IF(OR(I295="unknown",I295="not_assessed"),"不可评估",IF(F295=I295,"完全支持",IF(OR(AND(F295="pass",I295="conditional"),AND(F295="conditional",I295="pass")),"部分支持","反例"))))</x:f>
      </x:c>
      <x:c r="K295" s="70" t="str"/>
      <x:c r="L295" s="70" t="str"/>
      <x:c r="M295" s="70" t="str"/>
      <x:c r="N295" s="70" t="str"/>
      <x:c r="O295" s="70" t="str"/>
      <x:c r="P295" s="70" t="str"/>
    </x:row>
    <x:row r="296">
      <x:c r="A296" s="70" t="str">
        <x:v>M5RG-0291</x:v>
      </x:c>
      <x:c r="B296" s="70" t="str">
        <x:v>M5C-037</x:v>
      </x:c>
      <x:c r="C296" s="70" t="str">
        <x:f>IFERROR(VLOOKUP(B296,'02_案例与预测'!$A$6:$E$65,5,FALSE),"")</x:f>
        <x:v>开发集</x:v>
      </x:c>
      <x:c r="D296" s="70" t="str">
        <x:v>RG03</x:v>
      </x:c>
      <x:c r="E296" s="70" t="str">
        <x:v>价值观与人生目标</x:v>
      </x:c>
      <x:c r="F296" s="70" t="str"/>
      <x:c r="G296" s="70" t="str"/>
      <x:c r="H296" s="70" t="str"/>
      <x:c r="I296" s="70" t="str"/>
      <x:c r="J296" s="70" t="str">
        <x:f>IF(OR(F296="",I296=""),"",IF(OR(I296="unknown",I296="not_assessed"),"不可评估",IF(F296=I296,"完全支持",IF(OR(AND(F296="pass",I296="conditional"),AND(F296="conditional",I296="pass")),"部分支持","反例"))))</x:f>
      </x:c>
      <x:c r="K296" s="70" t="str"/>
      <x:c r="L296" s="70" t="str"/>
      <x:c r="M296" s="70" t="str"/>
      <x:c r="N296" s="70" t="str"/>
      <x:c r="O296" s="70" t="str"/>
      <x:c r="P296" s="70" t="str"/>
    </x:row>
    <x:row r="297">
      <x:c r="A297" s="70" t="str">
        <x:v>M5RG-0292</x:v>
      </x:c>
      <x:c r="B297" s="70" t="str">
        <x:v>M5C-037</x:v>
      </x:c>
      <x:c r="C297" s="70" t="str">
        <x:f>IFERROR(VLOOKUP(B297,'02_案例与预测'!$A$6:$E$65,5,FALSE),"")</x:f>
        <x:v>开发集</x:v>
      </x:c>
      <x:c r="D297" s="70" t="str">
        <x:v>RG04</x:v>
      </x:c>
      <x:c r="E297" s="70" t="str">
        <x:v>时间、地域与生活节奏</x:v>
      </x:c>
      <x:c r="F297" s="70" t="str"/>
      <x:c r="G297" s="70" t="str"/>
      <x:c r="H297" s="70" t="str"/>
      <x:c r="I297" s="70" t="str"/>
      <x:c r="J297" s="70" t="str">
        <x:f>IF(OR(F297="",I297=""),"",IF(OR(I297="unknown",I297="not_assessed"),"不可评估",IF(F297=I297,"完全支持",IF(OR(AND(F297="pass",I297="conditional"),AND(F297="conditional",I297="pass")),"部分支持","反例"))))</x:f>
      </x:c>
      <x:c r="K297" s="70" t="str"/>
      <x:c r="L297" s="70" t="str"/>
      <x:c r="M297" s="70" t="str"/>
      <x:c r="N297" s="70" t="str"/>
      <x:c r="O297" s="70" t="str"/>
      <x:c r="P297" s="70" t="str"/>
    </x:row>
    <x:row r="298">
      <x:c r="A298" s="70" t="str">
        <x:v>M5RG-0293</x:v>
      </x:c>
      <x:c r="B298" s="70" t="str">
        <x:v>M5C-037</x:v>
      </x:c>
      <x:c r="C298" s="70" t="str">
        <x:f>IFERROR(VLOOKUP(B298,'02_案例与预测'!$A$6:$E$65,5,FALSE),"")</x:f>
        <x:v>开发集</x:v>
      </x:c>
      <x:c r="D298" s="70" t="str">
        <x:v>RG05</x:v>
      </x:c>
      <x:c r="E298" s="70" t="str">
        <x:v>金钱、资源与劳动分配</x:v>
      </x:c>
      <x:c r="F298" s="70" t="str"/>
      <x:c r="G298" s="70" t="str"/>
      <x:c r="H298" s="70" t="str"/>
      <x:c r="I298" s="70" t="str"/>
      <x:c r="J298" s="70" t="str">
        <x:f>IF(OR(F298="",I298=""),"",IF(OR(I298="unknown",I298="not_assessed"),"不可评估",IF(F298=I298,"完全支持",IF(OR(AND(F298="pass",I298="conditional"),AND(F298="conditional",I298="pass")),"部分支持","反例"))))</x:f>
      </x:c>
      <x:c r="K298" s="70" t="str"/>
      <x:c r="L298" s="70" t="str"/>
      <x:c r="M298" s="70" t="str"/>
      <x:c r="N298" s="70" t="str"/>
      <x:c r="O298" s="70" t="str"/>
      <x:c r="P298" s="70" t="str"/>
    </x:row>
    <x:row r="299">
      <x:c r="A299" s="70" t="str">
        <x:v>M5RG-0294</x:v>
      </x:c>
      <x:c r="B299" s="70" t="str">
        <x:v>M5C-037</x:v>
      </x:c>
      <x:c r="C299" s="70" t="str">
        <x:f>IFERROR(VLOOKUP(B299,'02_案例与预测'!$A$6:$E$65,5,FALSE),"")</x:f>
        <x:v>开发集</x:v>
      </x:c>
      <x:c r="D299" s="70" t="str">
        <x:v>RG06</x:v>
      </x:c>
      <x:c r="E299" s="70" t="str">
        <x:v>家庭、婚育与照护责任</x:v>
      </x:c>
      <x:c r="F299" s="70" t="str"/>
      <x:c r="G299" s="70" t="str"/>
      <x:c r="H299" s="70" t="str"/>
      <x:c r="I299" s="70" t="str"/>
      <x:c r="J299" s="70" t="str">
        <x:f>IF(OR(F299="",I299=""),"",IF(OR(I299="unknown",I299="not_assessed"),"不可评估",IF(F299=I299,"完全支持",IF(OR(AND(F299="pass",I299="conditional"),AND(F299="conditional",I299="pass")),"部分支持","反例"))))</x:f>
      </x:c>
      <x:c r="K299" s="70" t="str"/>
      <x:c r="L299" s="70" t="str"/>
      <x:c r="M299" s="70" t="str"/>
      <x:c r="N299" s="70" t="str"/>
      <x:c r="O299" s="70" t="str"/>
      <x:c r="P299" s="70" t="str"/>
    </x:row>
    <x:row r="300">
      <x:c r="A300" s="70" t="str">
        <x:v>M5RG-0295</x:v>
      </x:c>
      <x:c r="B300" s="70" t="str">
        <x:v>M5C-037</x:v>
      </x:c>
      <x:c r="C300" s="70" t="str">
        <x:f>IFERROR(VLOOKUP(B300,'02_案例与预测'!$A$6:$E$65,5,FALSE),"")</x:f>
        <x:v>开发集</x:v>
      </x:c>
      <x:c r="D300" s="70" t="str">
        <x:v>RG07</x:v>
      </x:c>
      <x:c r="E300" s="70" t="str">
        <x:v>身体、亲密、隐私与健康</x:v>
      </x:c>
      <x:c r="F300" s="70" t="str"/>
      <x:c r="G300" s="70" t="str"/>
      <x:c r="H300" s="70" t="str"/>
      <x:c r="I300" s="70" t="str"/>
      <x:c r="J300" s="70" t="str">
        <x:f>IF(OR(F300="",I300=""),"",IF(OR(I300="unknown",I300="not_assessed"),"不可评估",IF(F300=I300,"完全支持",IF(OR(AND(F300="pass",I300="conditional"),AND(F300="conditional",I300="pass")),"部分支持","反例"))))</x:f>
      </x:c>
      <x:c r="K300" s="70" t="str"/>
      <x:c r="L300" s="70" t="str"/>
      <x:c r="M300" s="70" t="str"/>
      <x:c r="N300" s="70" t="str"/>
      <x:c r="O300" s="70" t="str"/>
      <x:c r="P300" s="70" t="str"/>
    </x:row>
    <x:row r="301">
      <x:c r="A301" s="70" t="str">
        <x:v>M5RG-0296</x:v>
      </x:c>
      <x:c r="B301" s="70" t="str">
        <x:v>M5C-037</x:v>
      </x:c>
      <x:c r="C301" s="70" t="str">
        <x:f>IFERROR(VLOOKUP(B301,'02_案例与预测'!$A$6:$E$65,5,FALSE),"")</x:f>
        <x:v>开发集</x:v>
      </x:c>
      <x:c r="D301" s="70" t="str">
        <x:v>RG08</x:v>
      </x:c>
      <x:c r="E301" s="70" t="str">
        <x:v>冲突、修复与学习意愿</x:v>
      </x:c>
      <x:c r="F301" s="70" t="str"/>
      <x:c r="G301" s="70" t="str"/>
      <x:c r="H301" s="70" t="str"/>
      <x:c r="I301" s="70" t="str"/>
      <x:c r="J301" s="70" t="str">
        <x:f>IF(OR(F301="",I301=""),"",IF(OR(I301="unknown",I301="not_assessed"),"不可评估",IF(F301=I301,"完全支持",IF(OR(AND(F301="pass",I301="conditional"),AND(F301="conditional",I301="pass")),"部分支持","反例"))))</x:f>
      </x:c>
      <x:c r="K301" s="70" t="str"/>
      <x:c r="L301" s="70" t="str"/>
      <x:c r="M301" s="70" t="str"/>
      <x:c r="N301" s="70" t="str"/>
      <x:c r="O301" s="70" t="str"/>
      <x:c r="P301" s="70" t="str"/>
    </x:row>
    <x:row r="302">
      <x:c r="A302" s="70" t="str">
        <x:v>M5RG-0297</x:v>
      </x:c>
      <x:c r="B302" s="70" t="str">
        <x:v>M5C-038</x:v>
      </x:c>
      <x:c r="C302" s="70" t="str">
        <x:f>IFERROR(VLOOKUP(B302,'02_案例与预测'!$A$6:$E$65,5,FALSE),"")</x:f>
        <x:v>留出集</x:v>
      </x:c>
      <x:c r="D302" s="70" t="str">
        <x:v>RG01</x:v>
      </x:c>
      <x:c r="E302" s="70" t="str">
        <x:v>安全、同意与尊重</x:v>
      </x:c>
      <x:c r="F302" s="70" t="str"/>
      <x:c r="G302" s="70" t="str"/>
      <x:c r="H302" s="70" t="str"/>
      <x:c r="I302" s="70" t="str"/>
      <x:c r="J302" s="70" t="str">
        <x:f>IF(OR(F302="",I302=""),"",IF(OR(I302="unknown",I302="not_assessed"),"不可评估",IF(F302=I302,"完全支持",IF(OR(AND(F302="pass",I302="conditional"),AND(F302="conditional",I302="pass")),"部分支持","反例"))))</x:f>
      </x:c>
      <x:c r="K302" s="70" t="str"/>
      <x:c r="L302" s="70" t="str"/>
      <x:c r="M302" s="70" t="str"/>
      <x:c r="N302" s="70" t="str"/>
      <x:c r="O302" s="70" t="str"/>
      <x:c r="P302" s="70" t="str"/>
    </x:row>
    <x:row r="303">
      <x:c r="A303" s="70" t="str">
        <x:v>M5RG-0298</x:v>
      </x:c>
      <x:c r="B303" s="70" t="str">
        <x:v>M5C-038</x:v>
      </x:c>
      <x:c r="C303" s="70" t="str">
        <x:f>IFERROR(VLOOKUP(B303,'02_案例与预测'!$A$6:$E$65,5,FALSE),"")</x:f>
        <x:v>留出集</x:v>
      </x:c>
      <x:c r="D303" s="70" t="str">
        <x:v>RG02</x:v>
      </x:c>
      <x:c r="E303" s="70" t="str">
        <x:v>关系意图与承诺</x:v>
      </x:c>
      <x:c r="F303" s="70" t="str"/>
      <x:c r="G303" s="70" t="str"/>
      <x:c r="H303" s="70" t="str"/>
      <x:c r="I303" s="70" t="str"/>
      <x:c r="J303" s="70" t="str">
        <x:f>IF(OR(F303="",I303=""),"",IF(OR(I303="unknown",I303="not_assessed"),"不可评估",IF(F303=I303,"完全支持",IF(OR(AND(F303="pass",I303="conditional"),AND(F303="conditional",I303="pass")),"部分支持","反例"))))</x:f>
      </x:c>
      <x:c r="K303" s="70" t="str"/>
      <x:c r="L303" s="70" t="str"/>
      <x:c r="M303" s="70" t="str"/>
      <x:c r="N303" s="70" t="str"/>
      <x:c r="O303" s="70" t="str"/>
      <x:c r="P303" s="70" t="str"/>
    </x:row>
    <x:row r="304">
      <x:c r="A304" s="70" t="str">
        <x:v>M5RG-0299</x:v>
      </x:c>
      <x:c r="B304" s="70" t="str">
        <x:v>M5C-038</x:v>
      </x:c>
      <x:c r="C304" s="70" t="str">
        <x:f>IFERROR(VLOOKUP(B304,'02_案例与预测'!$A$6:$E$65,5,FALSE),"")</x:f>
        <x:v>留出集</x:v>
      </x:c>
      <x:c r="D304" s="70" t="str">
        <x:v>RG03</x:v>
      </x:c>
      <x:c r="E304" s="70" t="str">
        <x:v>价值观与人生目标</x:v>
      </x:c>
      <x:c r="F304" s="70" t="str"/>
      <x:c r="G304" s="70" t="str"/>
      <x:c r="H304" s="70" t="str"/>
      <x:c r="I304" s="70" t="str"/>
      <x:c r="J304" s="70" t="str">
        <x:f>IF(OR(F304="",I304=""),"",IF(OR(I304="unknown",I304="not_assessed"),"不可评估",IF(F304=I304,"完全支持",IF(OR(AND(F304="pass",I304="conditional"),AND(F304="conditional",I304="pass")),"部分支持","反例"))))</x:f>
      </x:c>
      <x:c r="K304" s="70" t="str"/>
      <x:c r="L304" s="70" t="str"/>
      <x:c r="M304" s="70" t="str"/>
      <x:c r="N304" s="70" t="str"/>
      <x:c r="O304" s="70" t="str"/>
      <x:c r="P304" s="70" t="str"/>
    </x:row>
    <x:row r="305">
      <x:c r="A305" s="70" t="str">
        <x:v>M5RG-0300</x:v>
      </x:c>
      <x:c r="B305" s="70" t="str">
        <x:v>M5C-038</x:v>
      </x:c>
      <x:c r="C305" s="70" t="str">
        <x:f>IFERROR(VLOOKUP(B305,'02_案例与预测'!$A$6:$E$65,5,FALSE),"")</x:f>
        <x:v>留出集</x:v>
      </x:c>
      <x:c r="D305" s="70" t="str">
        <x:v>RG04</x:v>
      </x:c>
      <x:c r="E305" s="70" t="str">
        <x:v>时间、地域与生活节奏</x:v>
      </x:c>
      <x:c r="F305" s="70" t="str"/>
      <x:c r="G305" s="70" t="str"/>
      <x:c r="H305" s="70" t="str"/>
      <x:c r="I305" s="70" t="str"/>
      <x:c r="J305" s="70" t="str">
        <x:f>IF(OR(F305="",I305=""),"",IF(OR(I305="unknown",I305="not_assessed"),"不可评估",IF(F305=I305,"完全支持",IF(OR(AND(F305="pass",I305="conditional"),AND(F305="conditional",I305="pass")),"部分支持","反例"))))</x:f>
      </x:c>
      <x:c r="K305" s="70" t="str"/>
      <x:c r="L305" s="70" t="str"/>
      <x:c r="M305" s="70" t="str"/>
      <x:c r="N305" s="70" t="str"/>
      <x:c r="O305" s="70" t="str"/>
      <x:c r="P305" s="70" t="str"/>
    </x:row>
    <x:row r="306">
      <x:c r="A306" s="70" t="str">
        <x:v>M5RG-0301</x:v>
      </x:c>
      <x:c r="B306" s="70" t="str">
        <x:v>M5C-038</x:v>
      </x:c>
      <x:c r="C306" s="70" t="str">
        <x:f>IFERROR(VLOOKUP(B306,'02_案例与预测'!$A$6:$E$65,5,FALSE),"")</x:f>
        <x:v>留出集</x:v>
      </x:c>
      <x:c r="D306" s="70" t="str">
        <x:v>RG05</x:v>
      </x:c>
      <x:c r="E306" s="70" t="str">
        <x:v>金钱、资源与劳动分配</x:v>
      </x:c>
      <x:c r="F306" s="70" t="str"/>
      <x:c r="G306" s="70" t="str"/>
      <x:c r="H306" s="70" t="str"/>
      <x:c r="I306" s="70" t="str"/>
      <x:c r="J306" s="70" t="str">
        <x:f>IF(OR(F306="",I306=""),"",IF(OR(I306="unknown",I306="not_assessed"),"不可评估",IF(F306=I306,"完全支持",IF(OR(AND(F306="pass",I306="conditional"),AND(F306="conditional",I306="pass")),"部分支持","反例"))))</x:f>
      </x:c>
      <x:c r="K306" s="70" t="str"/>
      <x:c r="L306" s="70" t="str"/>
      <x:c r="M306" s="70" t="str"/>
      <x:c r="N306" s="70" t="str"/>
      <x:c r="O306" s="70" t="str"/>
      <x:c r="P306" s="70" t="str"/>
    </x:row>
    <x:row r="307">
      <x:c r="A307" s="70" t="str">
        <x:v>M5RG-0302</x:v>
      </x:c>
      <x:c r="B307" s="70" t="str">
        <x:v>M5C-038</x:v>
      </x:c>
      <x:c r="C307" s="70" t="str">
        <x:f>IFERROR(VLOOKUP(B307,'02_案例与预测'!$A$6:$E$65,5,FALSE),"")</x:f>
        <x:v>留出集</x:v>
      </x:c>
      <x:c r="D307" s="70" t="str">
        <x:v>RG06</x:v>
      </x:c>
      <x:c r="E307" s="70" t="str">
        <x:v>家庭、婚育与照护责任</x:v>
      </x:c>
      <x:c r="F307" s="70" t="str"/>
      <x:c r="G307" s="70" t="str"/>
      <x:c r="H307" s="70" t="str"/>
      <x:c r="I307" s="70" t="str"/>
      <x:c r="J307" s="70" t="str">
        <x:f>IF(OR(F307="",I307=""),"",IF(OR(I307="unknown",I307="not_assessed"),"不可评估",IF(F307=I307,"完全支持",IF(OR(AND(F307="pass",I307="conditional"),AND(F307="conditional",I307="pass")),"部分支持","反例"))))</x:f>
      </x:c>
      <x:c r="K307" s="70" t="str"/>
      <x:c r="L307" s="70" t="str"/>
      <x:c r="M307" s="70" t="str"/>
      <x:c r="N307" s="70" t="str"/>
      <x:c r="O307" s="70" t="str"/>
      <x:c r="P307" s="70" t="str"/>
    </x:row>
    <x:row r="308">
      <x:c r="A308" s="70" t="str">
        <x:v>M5RG-0303</x:v>
      </x:c>
      <x:c r="B308" s="70" t="str">
        <x:v>M5C-038</x:v>
      </x:c>
      <x:c r="C308" s="70" t="str">
        <x:f>IFERROR(VLOOKUP(B308,'02_案例与预测'!$A$6:$E$65,5,FALSE),"")</x:f>
        <x:v>留出集</x:v>
      </x:c>
      <x:c r="D308" s="70" t="str">
        <x:v>RG07</x:v>
      </x:c>
      <x:c r="E308" s="70" t="str">
        <x:v>身体、亲密、隐私与健康</x:v>
      </x:c>
      <x:c r="F308" s="70" t="str"/>
      <x:c r="G308" s="70" t="str"/>
      <x:c r="H308" s="70" t="str"/>
      <x:c r="I308" s="70" t="str"/>
      <x:c r="J308" s="70" t="str">
        <x:f>IF(OR(F308="",I308=""),"",IF(OR(I308="unknown",I308="not_assessed"),"不可评估",IF(F308=I308,"完全支持",IF(OR(AND(F308="pass",I308="conditional"),AND(F308="conditional",I308="pass")),"部分支持","反例"))))</x:f>
      </x:c>
      <x:c r="K308" s="70" t="str"/>
      <x:c r="L308" s="70" t="str"/>
      <x:c r="M308" s="70" t="str"/>
      <x:c r="N308" s="70" t="str"/>
      <x:c r="O308" s="70" t="str"/>
      <x:c r="P308" s="70" t="str"/>
    </x:row>
    <x:row r="309">
      <x:c r="A309" s="70" t="str">
        <x:v>M5RG-0304</x:v>
      </x:c>
      <x:c r="B309" s="70" t="str">
        <x:v>M5C-038</x:v>
      </x:c>
      <x:c r="C309" s="70" t="str">
        <x:f>IFERROR(VLOOKUP(B309,'02_案例与预测'!$A$6:$E$65,5,FALSE),"")</x:f>
        <x:v>留出集</x:v>
      </x:c>
      <x:c r="D309" s="70" t="str">
        <x:v>RG08</x:v>
      </x:c>
      <x:c r="E309" s="70" t="str">
        <x:v>冲突、修复与学习意愿</x:v>
      </x:c>
      <x:c r="F309" s="70" t="str"/>
      <x:c r="G309" s="70" t="str"/>
      <x:c r="H309" s="70" t="str"/>
      <x:c r="I309" s="70" t="str"/>
      <x:c r="J309" s="70" t="str">
        <x:f>IF(OR(F309="",I309=""),"",IF(OR(I309="unknown",I309="not_assessed"),"不可评估",IF(F309=I309,"完全支持",IF(OR(AND(F309="pass",I309="conditional"),AND(F309="conditional",I309="pass")),"部分支持","反例"))))</x:f>
      </x:c>
      <x:c r="K309" s="70" t="str"/>
      <x:c r="L309" s="70" t="str"/>
      <x:c r="M309" s="70" t="str"/>
      <x:c r="N309" s="70" t="str"/>
      <x:c r="O309" s="70" t="str"/>
      <x:c r="P309" s="70" t="str"/>
    </x:row>
    <x:row r="310">
      <x:c r="A310" s="70" t="str">
        <x:v>M5RG-0305</x:v>
      </x:c>
      <x:c r="B310" s="70" t="str">
        <x:v>M5C-039</x:v>
      </x:c>
      <x:c r="C310" s="70" t="str">
        <x:f>IFERROR(VLOOKUP(B310,'02_案例与预测'!$A$6:$E$65,5,FALSE),"")</x:f>
        <x:v>留出集</x:v>
      </x:c>
      <x:c r="D310" s="70" t="str">
        <x:v>RG01</x:v>
      </x:c>
      <x:c r="E310" s="70" t="str">
        <x:v>安全、同意与尊重</x:v>
      </x:c>
      <x:c r="F310" s="70" t="str"/>
      <x:c r="G310" s="70" t="str"/>
      <x:c r="H310" s="70" t="str"/>
      <x:c r="I310" s="70" t="str"/>
      <x:c r="J310" s="70" t="str">
        <x:f>IF(OR(F310="",I310=""),"",IF(OR(I310="unknown",I310="not_assessed"),"不可评估",IF(F310=I310,"完全支持",IF(OR(AND(F310="pass",I310="conditional"),AND(F310="conditional",I310="pass")),"部分支持","反例"))))</x:f>
      </x:c>
      <x:c r="K310" s="70" t="str"/>
      <x:c r="L310" s="70" t="str"/>
      <x:c r="M310" s="70" t="str"/>
      <x:c r="N310" s="70" t="str"/>
      <x:c r="O310" s="70" t="str"/>
      <x:c r="P310" s="70" t="str"/>
    </x:row>
    <x:row r="311">
      <x:c r="A311" s="70" t="str">
        <x:v>M5RG-0306</x:v>
      </x:c>
      <x:c r="B311" s="70" t="str">
        <x:v>M5C-039</x:v>
      </x:c>
      <x:c r="C311" s="70" t="str">
        <x:f>IFERROR(VLOOKUP(B311,'02_案例与预测'!$A$6:$E$65,5,FALSE),"")</x:f>
        <x:v>留出集</x:v>
      </x:c>
      <x:c r="D311" s="70" t="str">
        <x:v>RG02</x:v>
      </x:c>
      <x:c r="E311" s="70" t="str">
        <x:v>关系意图与承诺</x:v>
      </x:c>
      <x:c r="F311" s="70" t="str"/>
      <x:c r="G311" s="70" t="str"/>
      <x:c r="H311" s="70" t="str"/>
      <x:c r="I311" s="70" t="str"/>
      <x:c r="J311" s="70" t="str">
        <x:f>IF(OR(F311="",I311=""),"",IF(OR(I311="unknown",I311="not_assessed"),"不可评估",IF(F311=I311,"完全支持",IF(OR(AND(F311="pass",I311="conditional"),AND(F311="conditional",I311="pass")),"部分支持","反例"))))</x:f>
      </x:c>
      <x:c r="K311" s="70" t="str"/>
      <x:c r="L311" s="70" t="str"/>
      <x:c r="M311" s="70" t="str"/>
      <x:c r="N311" s="70" t="str"/>
      <x:c r="O311" s="70" t="str"/>
      <x:c r="P311" s="70" t="str"/>
    </x:row>
    <x:row r="312">
      <x:c r="A312" s="70" t="str">
        <x:v>M5RG-0307</x:v>
      </x:c>
      <x:c r="B312" s="70" t="str">
        <x:v>M5C-039</x:v>
      </x:c>
      <x:c r="C312" s="70" t="str">
        <x:f>IFERROR(VLOOKUP(B312,'02_案例与预测'!$A$6:$E$65,5,FALSE),"")</x:f>
        <x:v>留出集</x:v>
      </x:c>
      <x:c r="D312" s="70" t="str">
        <x:v>RG03</x:v>
      </x:c>
      <x:c r="E312" s="70" t="str">
        <x:v>价值观与人生目标</x:v>
      </x:c>
      <x:c r="F312" s="70" t="str"/>
      <x:c r="G312" s="70" t="str"/>
      <x:c r="H312" s="70" t="str"/>
      <x:c r="I312" s="70" t="str"/>
      <x:c r="J312" s="70" t="str">
        <x:f>IF(OR(F312="",I312=""),"",IF(OR(I312="unknown",I312="not_assessed"),"不可评估",IF(F312=I312,"完全支持",IF(OR(AND(F312="pass",I312="conditional"),AND(F312="conditional",I312="pass")),"部分支持","反例"))))</x:f>
      </x:c>
      <x:c r="K312" s="70" t="str"/>
      <x:c r="L312" s="70" t="str"/>
      <x:c r="M312" s="70" t="str"/>
      <x:c r="N312" s="70" t="str"/>
      <x:c r="O312" s="70" t="str"/>
      <x:c r="P312" s="70" t="str"/>
    </x:row>
    <x:row r="313">
      <x:c r="A313" s="70" t="str">
        <x:v>M5RG-0308</x:v>
      </x:c>
      <x:c r="B313" s="70" t="str">
        <x:v>M5C-039</x:v>
      </x:c>
      <x:c r="C313" s="70" t="str">
        <x:f>IFERROR(VLOOKUP(B313,'02_案例与预测'!$A$6:$E$65,5,FALSE),"")</x:f>
        <x:v>留出集</x:v>
      </x:c>
      <x:c r="D313" s="70" t="str">
        <x:v>RG04</x:v>
      </x:c>
      <x:c r="E313" s="70" t="str">
        <x:v>时间、地域与生活节奏</x:v>
      </x:c>
      <x:c r="F313" s="70" t="str"/>
      <x:c r="G313" s="70" t="str"/>
      <x:c r="H313" s="70" t="str"/>
      <x:c r="I313" s="70" t="str"/>
      <x:c r="J313" s="70" t="str">
        <x:f>IF(OR(F313="",I313=""),"",IF(OR(I313="unknown",I313="not_assessed"),"不可评估",IF(F313=I313,"完全支持",IF(OR(AND(F313="pass",I313="conditional"),AND(F313="conditional",I313="pass")),"部分支持","反例"))))</x:f>
      </x:c>
      <x:c r="K313" s="70" t="str"/>
      <x:c r="L313" s="70" t="str"/>
      <x:c r="M313" s="70" t="str"/>
      <x:c r="N313" s="70" t="str"/>
      <x:c r="O313" s="70" t="str"/>
      <x:c r="P313" s="70" t="str"/>
    </x:row>
    <x:row r="314">
      <x:c r="A314" s="70" t="str">
        <x:v>M5RG-0309</x:v>
      </x:c>
      <x:c r="B314" s="70" t="str">
        <x:v>M5C-039</x:v>
      </x:c>
      <x:c r="C314" s="70" t="str">
        <x:f>IFERROR(VLOOKUP(B314,'02_案例与预测'!$A$6:$E$65,5,FALSE),"")</x:f>
        <x:v>留出集</x:v>
      </x:c>
      <x:c r="D314" s="70" t="str">
        <x:v>RG05</x:v>
      </x:c>
      <x:c r="E314" s="70" t="str">
        <x:v>金钱、资源与劳动分配</x:v>
      </x:c>
      <x:c r="F314" s="70" t="str"/>
      <x:c r="G314" s="70" t="str"/>
      <x:c r="H314" s="70" t="str"/>
      <x:c r="I314" s="70" t="str"/>
      <x:c r="J314" s="70" t="str">
        <x:f>IF(OR(F314="",I314=""),"",IF(OR(I314="unknown",I314="not_assessed"),"不可评估",IF(F314=I314,"完全支持",IF(OR(AND(F314="pass",I314="conditional"),AND(F314="conditional",I314="pass")),"部分支持","反例"))))</x:f>
      </x:c>
      <x:c r="K314" s="70" t="str"/>
      <x:c r="L314" s="70" t="str"/>
      <x:c r="M314" s="70" t="str"/>
      <x:c r="N314" s="70" t="str"/>
      <x:c r="O314" s="70" t="str"/>
      <x:c r="P314" s="70" t="str"/>
    </x:row>
    <x:row r="315">
      <x:c r="A315" s="70" t="str">
        <x:v>M5RG-0310</x:v>
      </x:c>
      <x:c r="B315" s="70" t="str">
        <x:v>M5C-039</x:v>
      </x:c>
      <x:c r="C315" s="70" t="str">
        <x:f>IFERROR(VLOOKUP(B315,'02_案例与预测'!$A$6:$E$65,5,FALSE),"")</x:f>
        <x:v>留出集</x:v>
      </x:c>
      <x:c r="D315" s="70" t="str">
        <x:v>RG06</x:v>
      </x:c>
      <x:c r="E315" s="70" t="str">
        <x:v>家庭、婚育与照护责任</x:v>
      </x:c>
      <x:c r="F315" s="70" t="str"/>
      <x:c r="G315" s="70" t="str"/>
      <x:c r="H315" s="70" t="str"/>
      <x:c r="I315" s="70" t="str"/>
      <x:c r="J315" s="70" t="str">
        <x:f>IF(OR(F315="",I315=""),"",IF(OR(I315="unknown",I315="not_assessed"),"不可评估",IF(F315=I315,"完全支持",IF(OR(AND(F315="pass",I315="conditional"),AND(F315="conditional",I315="pass")),"部分支持","反例"))))</x:f>
      </x:c>
      <x:c r="K315" s="70" t="str"/>
      <x:c r="L315" s="70" t="str"/>
      <x:c r="M315" s="70" t="str"/>
      <x:c r="N315" s="70" t="str"/>
      <x:c r="O315" s="70" t="str"/>
      <x:c r="P315" s="70" t="str"/>
    </x:row>
    <x:row r="316">
      <x:c r="A316" s="70" t="str">
        <x:v>M5RG-0311</x:v>
      </x:c>
      <x:c r="B316" s="70" t="str">
        <x:v>M5C-039</x:v>
      </x:c>
      <x:c r="C316" s="70" t="str">
        <x:f>IFERROR(VLOOKUP(B316,'02_案例与预测'!$A$6:$E$65,5,FALSE),"")</x:f>
        <x:v>留出集</x:v>
      </x:c>
      <x:c r="D316" s="70" t="str">
        <x:v>RG07</x:v>
      </x:c>
      <x:c r="E316" s="70" t="str">
        <x:v>身体、亲密、隐私与健康</x:v>
      </x:c>
      <x:c r="F316" s="70" t="str"/>
      <x:c r="G316" s="70" t="str"/>
      <x:c r="H316" s="70" t="str"/>
      <x:c r="I316" s="70" t="str"/>
      <x:c r="J316" s="70" t="str">
        <x:f>IF(OR(F316="",I316=""),"",IF(OR(I316="unknown",I316="not_assessed"),"不可评估",IF(F316=I316,"完全支持",IF(OR(AND(F316="pass",I316="conditional"),AND(F316="conditional",I316="pass")),"部分支持","反例"))))</x:f>
      </x:c>
      <x:c r="K316" s="70" t="str"/>
      <x:c r="L316" s="70" t="str"/>
      <x:c r="M316" s="70" t="str"/>
      <x:c r="N316" s="70" t="str"/>
      <x:c r="O316" s="70" t="str"/>
      <x:c r="P316" s="70" t="str"/>
    </x:row>
    <x:row r="317">
      <x:c r="A317" s="70" t="str">
        <x:v>M5RG-0312</x:v>
      </x:c>
      <x:c r="B317" s="70" t="str">
        <x:v>M5C-039</x:v>
      </x:c>
      <x:c r="C317" s="70" t="str">
        <x:f>IFERROR(VLOOKUP(B317,'02_案例与预测'!$A$6:$E$65,5,FALSE),"")</x:f>
        <x:v>留出集</x:v>
      </x:c>
      <x:c r="D317" s="70" t="str">
        <x:v>RG08</x:v>
      </x:c>
      <x:c r="E317" s="70" t="str">
        <x:v>冲突、修复与学习意愿</x:v>
      </x:c>
      <x:c r="F317" s="70" t="str"/>
      <x:c r="G317" s="70" t="str"/>
      <x:c r="H317" s="70" t="str"/>
      <x:c r="I317" s="70" t="str"/>
      <x:c r="J317" s="70" t="str">
        <x:f>IF(OR(F317="",I317=""),"",IF(OR(I317="unknown",I317="not_assessed"),"不可评估",IF(F317=I317,"完全支持",IF(OR(AND(F317="pass",I317="conditional"),AND(F317="conditional",I317="pass")),"部分支持","反例"))))</x:f>
      </x:c>
      <x:c r="K317" s="70" t="str"/>
      <x:c r="L317" s="70" t="str"/>
      <x:c r="M317" s="70" t="str"/>
      <x:c r="N317" s="70" t="str"/>
      <x:c r="O317" s="70" t="str"/>
      <x:c r="P317" s="70" t="str"/>
    </x:row>
    <x:row r="318">
      <x:c r="A318" s="70" t="str">
        <x:v>M5RG-0313</x:v>
      </x:c>
      <x:c r="B318" s="70" t="str">
        <x:v>M5C-040</x:v>
      </x:c>
      <x:c r="C318" s="70" t="str">
        <x:f>IFERROR(VLOOKUP(B318,'02_案例与预测'!$A$6:$E$65,5,FALSE),"")</x:f>
        <x:v>留出集</x:v>
      </x:c>
      <x:c r="D318" s="70" t="str">
        <x:v>RG01</x:v>
      </x:c>
      <x:c r="E318" s="70" t="str">
        <x:v>安全、同意与尊重</x:v>
      </x:c>
      <x:c r="F318" s="70" t="str"/>
      <x:c r="G318" s="70" t="str"/>
      <x:c r="H318" s="70" t="str"/>
      <x:c r="I318" s="70" t="str"/>
      <x:c r="J318" s="70" t="str">
        <x:f>IF(OR(F318="",I318=""),"",IF(OR(I318="unknown",I318="not_assessed"),"不可评估",IF(F318=I318,"完全支持",IF(OR(AND(F318="pass",I318="conditional"),AND(F318="conditional",I318="pass")),"部分支持","反例"))))</x:f>
      </x:c>
      <x:c r="K318" s="70" t="str"/>
      <x:c r="L318" s="70" t="str"/>
      <x:c r="M318" s="70" t="str"/>
      <x:c r="N318" s="70" t="str"/>
      <x:c r="O318" s="70" t="str"/>
      <x:c r="P318" s="70" t="str"/>
    </x:row>
    <x:row r="319">
      <x:c r="A319" s="70" t="str">
        <x:v>M5RG-0314</x:v>
      </x:c>
      <x:c r="B319" s="70" t="str">
        <x:v>M5C-040</x:v>
      </x:c>
      <x:c r="C319" s="70" t="str">
        <x:f>IFERROR(VLOOKUP(B319,'02_案例与预测'!$A$6:$E$65,5,FALSE),"")</x:f>
        <x:v>留出集</x:v>
      </x:c>
      <x:c r="D319" s="70" t="str">
        <x:v>RG02</x:v>
      </x:c>
      <x:c r="E319" s="70" t="str">
        <x:v>关系意图与承诺</x:v>
      </x:c>
      <x:c r="F319" s="70" t="str"/>
      <x:c r="G319" s="70" t="str"/>
      <x:c r="H319" s="70" t="str"/>
      <x:c r="I319" s="70" t="str"/>
      <x:c r="J319" s="70" t="str">
        <x:f>IF(OR(F319="",I319=""),"",IF(OR(I319="unknown",I319="not_assessed"),"不可评估",IF(F319=I319,"完全支持",IF(OR(AND(F319="pass",I319="conditional"),AND(F319="conditional",I319="pass")),"部分支持","反例"))))</x:f>
      </x:c>
      <x:c r="K319" s="70" t="str"/>
      <x:c r="L319" s="70" t="str"/>
      <x:c r="M319" s="70" t="str"/>
      <x:c r="N319" s="70" t="str"/>
      <x:c r="O319" s="70" t="str"/>
      <x:c r="P319" s="70" t="str"/>
    </x:row>
    <x:row r="320">
      <x:c r="A320" s="70" t="str">
        <x:v>M5RG-0315</x:v>
      </x:c>
      <x:c r="B320" s="70" t="str">
        <x:v>M5C-040</x:v>
      </x:c>
      <x:c r="C320" s="70" t="str">
        <x:f>IFERROR(VLOOKUP(B320,'02_案例与预测'!$A$6:$E$65,5,FALSE),"")</x:f>
        <x:v>留出集</x:v>
      </x:c>
      <x:c r="D320" s="70" t="str">
        <x:v>RG03</x:v>
      </x:c>
      <x:c r="E320" s="70" t="str">
        <x:v>价值观与人生目标</x:v>
      </x:c>
      <x:c r="F320" s="70" t="str"/>
      <x:c r="G320" s="70" t="str"/>
      <x:c r="H320" s="70" t="str"/>
      <x:c r="I320" s="70" t="str"/>
      <x:c r="J320" s="70" t="str">
        <x:f>IF(OR(F320="",I320=""),"",IF(OR(I320="unknown",I320="not_assessed"),"不可评估",IF(F320=I320,"完全支持",IF(OR(AND(F320="pass",I320="conditional"),AND(F320="conditional",I320="pass")),"部分支持","反例"))))</x:f>
      </x:c>
      <x:c r="K320" s="70" t="str"/>
      <x:c r="L320" s="70" t="str"/>
      <x:c r="M320" s="70" t="str"/>
      <x:c r="N320" s="70" t="str"/>
      <x:c r="O320" s="70" t="str"/>
      <x:c r="P320" s="70" t="str"/>
    </x:row>
    <x:row r="321">
      <x:c r="A321" s="70" t="str">
        <x:v>M5RG-0316</x:v>
      </x:c>
      <x:c r="B321" s="70" t="str">
        <x:v>M5C-040</x:v>
      </x:c>
      <x:c r="C321" s="70" t="str">
        <x:f>IFERROR(VLOOKUP(B321,'02_案例与预测'!$A$6:$E$65,5,FALSE),"")</x:f>
        <x:v>留出集</x:v>
      </x:c>
      <x:c r="D321" s="70" t="str">
        <x:v>RG04</x:v>
      </x:c>
      <x:c r="E321" s="70" t="str">
        <x:v>时间、地域与生活节奏</x:v>
      </x:c>
      <x:c r="F321" s="70" t="str"/>
      <x:c r="G321" s="70" t="str"/>
      <x:c r="H321" s="70" t="str"/>
      <x:c r="I321" s="70" t="str"/>
      <x:c r="J321" s="70" t="str">
        <x:f>IF(OR(F321="",I321=""),"",IF(OR(I321="unknown",I321="not_assessed"),"不可评估",IF(F321=I321,"完全支持",IF(OR(AND(F321="pass",I321="conditional"),AND(F321="conditional",I321="pass")),"部分支持","反例"))))</x:f>
      </x:c>
      <x:c r="K321" s="70" t="str"/>
      <x:c r="L321" s="70" t="str"/>
      <x:c r="M321" s="70" t="str"/>
      <x:c r="N321" s="70" t="str"/>
      <x:c r="O321" s="70" t="str"/>
      <x:c r="P321" s="70" t="str"/>
    </x:row>
    <x:row r="322">
      <x:c r="A322" s="70" t="str">
        <x:v>M5RG-0317</x:v>
      </x:c>
      <x:c r="B322" s="70" t="str">
        <x:v>M5C-040</x:v>
      </x:c>
      <x:c r="C322" s="70" t="str">
        <x:f>IFERROR(VLOOKUP(B322,'02_案例与预测'!$A$6:$E$65,5,FALSE),"")</x:f>
        <x:v>留出集</x:v>
      </x:c>
      <x:c r="D322" s="70" t="str">
        <x:v>RG05</x:v>
      </x:c>
      <x:c r="E322" s="70" t="str">
        <x:v>金钱、资源与劳动分配</x:v>
      </x:c>
      <x:c r="F322" s="70" t="str"/>
      <x:c r="G322" s="70" t="str"/>
      <x:c r="H322" s="70" t="str"/>
      <x:c r="I322" s="70" t="str"/>
      <x:c r="J322" s="70" t="str">
        <x:f>IF(OR(F322="",I322=""),"",IF(OR(I322="unknown",I322="not_assessed"),"不可评估",IF(F322=I322,"完全支持",IF(OR(AND(F322="pass",I322="conditional"),AND(F322="conditional",I322="pass")),"部分支持","反例"))))</x:f>
      </x:c>
      <x:c r="K322" s="70" t="str"/>
      <x:c r="L322" s="70" t="str"/>
      <x:c r="M322" s="70" t="str"/>
      <x:c r="N322" s="70" t="str"/>
      <x:c r="O322" s="70" t="str"/>
      <x:c r="P322" s="70" t="str"/>
    </x:row>
    <x:row r="323">
      <x:c r="A323" s="70" t="str">
        <x:v>M5RG-0318</x:v>
      </x:c>
      <x:c r="B323" s="70" t="str">
        <x:v>M5C-040</x:v>
      </x:c>
      <x:c r="C323" s="70" t="str">
        <x:f>IFERROR(VLOOKUP(B323,'02_案例与预测'!$A$6:$E$65,5,FALSE),"")</x:f>
        <x:v>留出集</x:v>
      </x:c>
      <x:c r="D323" s="70" t="str">
        <x:v>RG06</x:v>
      </x:c>
      <x:c r="E323" s="70" t="str">
        <x:v>家庭、婚育与照护责任</x:v>
      </x:c>
      <x:c r="F323" s="70" t="str"/>
      <x:c r="G323" s="70" t="str"/>
      <x:c r="H323" s="70" t="str"/>
      <x:c r="I323" s="70" t="str"/>
      <x:c r="J323" s="70" t="str">
        <x:f>IF(OR(F323="",I323=""),"",IF(OR(I323="unknown",I323="not_assessed"),"不可评估",IF(F323=I323,"完全支持",IF(OR(AND(F323="pass",I323="conditional"),AND(F323="conditional",I323="pass")),"部分支持","反例"))))</x:f>
      </x:c>
      <x:c r="K323" s="70" t="str"/>
      <x:c r="L323" s="70" t="str"/>
      <x:c r="M323" s="70" t="str"/>
      <x:c r="N323" s="70" t="str"/>
      <x:c r="O323" s="70" t="str"/>
      <x:c r="P323" s="70" t="str"/>
    </x:row>
    <x:row r="324">
      <x:c r="A324" s="70" t="str">
        <x:v>M5RG-0319</x:v>
      </x:c>
      <x:c r="B324" s="70" t="str">
        <x:v>M5C-040</x:v>
      </x:c>
      <x:c r="C324" s="70" t="str">
        <x:f>IFERROR(VLOOKUP(B324,'02_案例与预测'!$A$6:$E$65,5,FALSE),"")</x:f>
        <x:v>留出集</x:v>
      </x:c>
      <x:c r="D324" s="70" t="str">
        <x:v>RG07</x:v>
      </x:c>
      <x:c r="E324" s="70" t="str">
        <x:v>身体、亲密、隐私与健康</x:v>
      </x:c>
      <x:c r="F324" s="70" t="str"/>
      <x:c r="G324" s="70" t="str"/>
      <x:c r="H324" s="70" t="str"/>
      <x:c r="I324" s="70" t="str"/>
      <x:c r="J324" s="70" t="str">
        <x:f>IF(OR(F324="",I324=""),"",IF(OR(I324="unknown",I324="not_assessed"),"不可评估",IF(F324=I324,"完全支持",IF(OR(AND(F324="pass",I324="conditional"),AND(F324="conditional",I324="pass")),"部分支持","反例"))))</x:f>
      </x:c>
      <x:c r="K324" s="70" t="str"/>
      <x:c r="L324" s="70" t="str"/>
      <x:c r="M324" s="70" t="str"/>
      <x:c r="N324" s="70" t="str"/>
      <x:c r="O324" s="70" t="str"/>
      <x:c r="P324" s="70" t="str"/>
    </x:row>
    <x:row r="325">
      <x:c r="A325" s="70" t="str">
        <x:v>M5RG-0320</x:v>
      </x:c>
      <x:c r="B325" s="70" t="str">
        <x:v>M5C-040</x:v>
      </x:c>
      <x:c r="C325" s="70" t="str">
        <x:f>IFERROR(VLOOKUP(B325,'02_案例与预测'!$A$6:$E$65,5,FALSE),"")</x:f>
        <x:v>留出集</x:v>
      </x:c>
      <x:c r="D325" s="70" t="str">
        <x:v>RG08</x:v>
      </x:c>
      <x:c r="E325" s="70" t="str">
        <x:v>冲突、修复与学习意愿</x:v>
      </x:c>
      <x:c r="F325" s="70" t="str"/>
      <x:c r="G325" s="70" t="str"/>
      <x:c r="H325" s="70" t="str"/>
      <x:c r="I325" s="70" t="str"/>
      <x:c r="J325" s="70" t="str">
        <x:f>IF(OR(F325="",I325=""),"",IF(OR(I325="unknown",I325="not_assessed"),"不可评估",IF(F325=I325,"完全支持",IF(OR(AND(F325="pass",I325="conditional"),AND(F325="conditional",I325="pass")),"部分支持","反例"))))</x:f>
      </x:c>
      <x:c r="K325" s="70" t="str"/>
      <x:c r="L325" s="70" t="str"/>
      <x:c r="M325" s="70" t="str"/>
      <x:c r="N325" s="70" t="str"/>
      <x:c r="O325" s="70" t="str"/>
      <x:c r="P325" s="70" t="str"/>
    </x:row>
    <x:row r="326">
      <x:c r="A326" s="70" t="str">
        <x:v>M5RG-0321</x:v>
      </x:c>
      <x:c r="B326" s="70" t="str">
        <x:v>M5C-041</x:v>
      </x:c>
      <x:c r="C326" s="70" t="str">
        <x:f>IFERROR(VLOOKUP(B326,'02_案例与预测'!$A$6:$E$65,5,FALSE),"")</x:f>
        <x:v>开发集</x:v>
      </x:c>
      <x:c r="D326" s="70" t="str">
        <x:v>RG01</x:v>
      </x:c>
      <x:c r="E326" s="70" t="str">
        <x:v>安全、同意与尊重</x:v>
      </x:c>
      <x:c r="F326" s="70" t="str"/>
      <x:c r="G326" s="70" t="str"/>
      <x:c r="H326" s="70" t="str"/>
      <x:c r="I326" s="70" t="str"/>
      <x:c r="J326" s="70" t="str">
        <x:f>IF(OR(F326="",I326=""),"",IF(OR(I326="unknown",I326="not_assessed"),"不可评估",IF(F326=I326,"完全支持",IF(OR(AND(F326="pass",I326="conditional"),AND(F326="conditional",I326="pass")),"部分支持","反例"))))</x:f>
      </x:c>
      <x:c r="K326" s="70" t="str"/>
      <x:c r="L326" s="70" t="str"/>
      <x:c r="M326" s="70" t="str"/>
      <x:c r="N326" s="70" t="str"/>
      <x:c r="O326" s="70" t="str"/>
      <x:c r="P326" s="70" t="str"/>
    </x:row>
    <x:row r="327">
      <x:c r="A327" s="70" t="str">
        <x:v>M5RG-0322</x:v>
      </x:c>
      <x:c r="B327" s="70" t="str">
        <x:v>M5C-041</x:v>
      </x:c>
      <x:c r="C327" s="70" t="str">
        <x:f>IFERROR(VLOOKUP(B327,'02_案例与预测'!$A$6:$E$65,5,FALSE),"")</x:f>
        <x:v>开发集</x:v>
      </x:c>
      <x:c r="D327" s="70" t="str">
        <x:v>RG02</x:v>
      </x:c>
      <x:c r="E327" s="70" t="str">
        <x:v>关系意图与承诺</x:v>
      </x:c>
      <x:c r="F327" s="70" t="str"/>
      <x:c r="G327" s="70" t="str"/>
      <x:c r="H327" s="70" t="str"/>
      <x:c r="I327" s="70" t="str"/>
      <x:c r="J327" s="70" t="str">
        <x:f>IF(OR(F327="",I327=""),"",IF(OR(I327="unknown",I327="not_assessed"),"不可评估",IF(F327=I327,"完全支持",IF(OR(AND(F327="pass",I327="conditional"),AND(F327="conditional",I327="pass")),"部分支持","反例"))))</x:f>
      </x:c>
      <x:c r="K327" s="70" t="str"/>
      <x:c r="L327" s="70" t="str"/>
      <x:c r="M327" s="70" t="str"/>
      <x:c r="N327" s="70" t="str"/>
      <x:c r="O327" s="70" t="str"/>
      <x:c r="P327" s="70" t="str"/>
    </x:row>
    <x:row r="328">
      <x:c r="A328" s="70" t="str">
        <x:v>M5RG-0323</x:v>
      </x:c>
      <x:c r="B328" s="70" t="str">
        <x:v>M5C-041</x:v>
      </x:c>
      <x:c r="C328" s="70" t="str">
        <x:f>IFERROR(VLOOKUP(B328,'02_案例与预测'!$A$6:$E$65,5,FALSE),"")</x:f>
        <x:v>开发集</x:v>
      </x:c>
      <x:c r="D328" s="70" t="str">
        <x:v>RG03</x:v>
      </x:c>
      <x:c r="E328" s="70" t="str">
        <x:v>价值观与人生目标</x:v>
      </x:c>
      <x:c r="F328" s="70" t="str"/>
      <x:c r="G328" s="70" t="str"/>
      <x:c r="H328" s="70" t="str"/>
      <x:c r="I328" s="70" t="str"/>
      <x:c r="J328" s="70" t="str">
        <x:f>IF(OR(F328="",I328=""),"",IF(OR(I328="unknown",I328="not_assessed"),"不可评估",IF(F328=I328,"完全支持",IF(OR(AND(F328="pass",I328="conditional"),AND(F328="conditional",I328="pass")),"部分支持","反例"))))</x:f>
      </x:c>
      <x:c r="K328" s="70" t="str"/>
      <x:c r="L328" s="70" t="str"/>
      <x:c r="M328" s="70" t="str"/>
      <x:c r="N328" s="70" t="str"/>
      <x:c r="O328" s="70" t="str"/>
      <x:c r="P328" s="70" t="str"/>
    </x:row>
    <x:row r="329">
      <x:c r="A329" s="70" t="str">
        <x:v>M5RG-0324</x:v>
      </x:c>
      <x:c r="B329" s="70" t="str">
        <x:v>M5C-041</x:v>
      </x:c>
      <x:c r="C329" s="70" t="str">
        <x:f>IFERROR(VLOOKUP(B329,'02_案例与预测'!$A$6:$E$65,5,FALSE),"")</x:f>
        <x:v>开发集</x:v>
      </x:c>
      <x:c r="D329" s="70" t="str">
        <x:v>RG04</x:v>
      </x:c>
      <x:c r="E329" s="70" t="str">
        <x:v>时间、地域与生活节奏</x:v>
      </x:c>
      <x:c r="F329" s="70" t="str"/>
      <x:c r="G329" s="70" t="str"/>
      <x:c r="H329" s="70" t="str"/>
      <x:c r="I329" s="70" t="str"/>
      <x:c r="J329" s="70" t="str">
        <x:f>IF(OR(F329="",I329=""),"",IF(OR(I329="unknown",I329="not_assessed"),"不可评估",IF(F329=I329,"完全支持",IF(OR(AND(F329="pass",I329="conditional"),AND(F329="conditional",I329="pass")),"部分支持","反例"))))</x:f>
      </x:c>
      <x:c r="K329" s="70" t="str"/>
      <x:c r="L329" s="70" t="str"/>
      <x:c r="M329" s="70" t="str"/>
      <x:c r="N329" s="70" t="str"/>
      <x:c r="O329" s="70" t="str"/>
      <x:c r="P329" s="70" t="str"/>
    </x:row>
    <x:row r="330">
      <x:c r="A330" s="70" t="str">
        <x:v>M5RG-0325</x:v>
      </x:c>
      <x:c r="B330" s="70" t="str">
        <x:v>M5C-041</x:v>
      </x:c>
      <x:c r="C330" s="70" t="str">
        <x:f>IFERROR(VLOOKUP(B330,'02_案例与预测'!$A$6:$E$65,5,FALSE),"")</x:f>
        <x:v>开发集</x:v>
      </x:c>
      <x:c r="D330" s="70" t="str">
        <x:v>RG05</x:v>
      </x:c>
      <x:c r="E330" s="70" t="str">
        <x:v>金钱、资源与劳动分配</x:v>
      </x:c>
      <x:c r="F330" s="70" t="str"/>
      <x:c r="G330" s="70" t="str"/>
      <x:c r="H330" s="70" t="str"/>
      <x:c r="I330" s="70" t="str"/>
      <x:c r="J330" s="70" t="str">
        <x:f>IF(OR(F330="",I330=""),"",IF(OR(I330="unknown",I330="not_assessed"),"不可评估",IF(F330=I330,"完全支持",IF(OR(AND(F330="pass",I330="conditional"),AND(F330="conditional",I330="pass")),"部分支持","反例"))))</x:f>
      </x:c>
      <x:c r="K330" s="70" t="str"/>
      <x:c r="L330" s="70" t="str"/>
      <x:c r="M330" s="70" t="str"/>
      <x:c r="N330" s="70" t="str"/>
      <x:c r="O330" s="70" t="str"/>
      <x:c r="P330" s="70" t="str"/>
    </x:row>
    <x:row r="331">
      <x:c r="A331" s="70" t="str">
        <x:v>M5RG-0326</x:v>
      </x:c>
      <x:c r="B331" s="70" t="str">
        <x:v>M5C-041</x:v>
      </x:c>
      <x:c r="C331" s="70" t="str">
        <x:f>IFERROR(VLOOKUP(B331,'02_案例与预测'!$A$6:$E$65,5,FALSE),"")</x:f>
        <x:v>开发集</x:v>
      </x:c>
      <x:c r="D331" s="70" t="str">
        <x:v>RG06</x:v>
      </x:c>
      <x:c r="E331" s="70" t="str">
        <x:v>家庭、婚育与照护责任</x:v>
      </x:c>
      <x:c r="F331" s="70" t="str"/>
      <x:c r="G331" s="70" t="str"/>
      <x:c r="H331" s="70" t="str"/>
      <x:c r="I331" s="70" t="str"/>
      <x:c r="J331" s="70" t="str">
        <x:f>IF(OR(F331="",I331=""),"",IF(OR(I331="unknown",I331="not_assessed"),"不可评估",IF(F331=I331,"完全支持",IF(OR(AND(F331="pass",I331="conditional"),AND(F331="conditional",I331="pass")),"部分支持","反例"))))</x:f>
      </x:c>
      <x:c r="K331" s="70" t="str"/>
      <x:c r="L331" s="70" t="str"/>
      <x:c r="M331" s="70" t="str"/>
      <x:c r="N331" s="70" t="str"/>
      <x:c r="O331" s="70" t="str"/>
      <x:c r="P331" s="70" t="str"/>
    </x:row>
    <x:row r="332">
      <x:c r="A332" s="70" t="str">
        <x:v>M5RG-0327</x:v>
      </x:c>
      <x:c r="B332" s="70" t="str">
        <x:v>M5C-041</x:v>
      </x:c>
      <x:c r="C332" s="70" t="str">
        <x:f>IFERROR(VLOOKUP(B332,'02_案例与预测'!$A$6:$E$65,5,FALSE),"")</x:f>
        <x:v>开发集</x:v>
      </x:c>
      <x:c r="D332" s="70" t="str">
        <x:v>RG07</x:v>
      </x:c>
      <x:c r="E332" s="70" t="str">
        <x:v>身体、亲密、隐私与健康</x:v>
      </x:c>
      <x:c r="F332" s="70" t="str"/>
      <x:c r="G332" s="70" t="str"/>
      <x:c r="H332" s="70" t="str"/>
      <x:c r="I332" s="70" t="str"/>
      <x:c r="J332" s="70" t="str">
        <x:f>IF(OR(F332="",I332=""),"",IF(OR(I332="unknown",I332="not_assessed"),"不可评估",IF(F332=I332,"完全支持",IF(OR(AND(F332="pass",I332="conditional"),AND(F332="conditional",I332="pass")),"部分支持","反例"))))</x:f>
      </x:c>
      <x:c r="K332" s="70" t="str"/>
      <x:c r="L332" s="70" t="str"/>
      <x:c r="M332" s="70" t="str"/>
      <x:c r="N332" s="70" t="str"/>
      <x:c r="O332" s="70" t="str"/>
      <x:c r="P332" s="70" t="str"/>
    </x:row>
    <x:row r="333">
      <x:c r="A333" s="70" t="str">
        <x:v>M5RG-0328</x:v>
      </x:c>
      <x:c r="B333" s="70" t="str">
        <x:v>M5C-041</x:v>
      </x:c>
      <x:c r="C333" s="70" t="str">
        <x:f>IFERROR(VLOOKUP(B333,'02_案例与预测'!$A$6:$E$65,5,FALSE),"")</x:f>
        <x:v>开发集</x:v>
      </x:c>
      <x:c r="D333" s="70" t="str">
        <x:v>RG08</x:v>
      </x:c>
      <x:c r="E333" s="70" t="str">
        <x:v>冲突、修复与学习意愿</x:v>
      </x:c>
      <x:c r="F333" s="70" t="str"/>
      <x:c r="G333" s="70" t="str"/>
      <x:c r="H333" s="70" t="str"/>
      <x:c r="I333" s="70" t="str"/>
      <x:c r="J333" s="70" t="str">
        <x:f>IF(OR(F333="",I333=""),"",IF(OR(I333="unknown",I333="not_assessed"),"不可评估",IF(F333=I333,"完全支持",IF(OR(AND(F333="pass",I333="conditional"),AND(F333="conditional",I333="pass")),"部分支持","反例"))))</x:f>
      </x:c>
      <x:c r="K333" s="70" t="str"/>
      <x:c r="L333" s="70" t="str"/>
      <x:c r="M333" s="70" t="str"/>
      <x:c r="N333" s="70" t="str"/>
      <x:c r="O333" s="70" t="str"/>
      <x:c r="P333" s="70" t="str"/>
    </x:row>
    <x:row r="334">
      <x:c r="A334" s="70" t="str">
        <x:v>M5RG-0329</x:v>
      </x:c>
      <x:c r="B334" s="70" t="str">
        <x:v>M5C-042</x:v>
      </x:c>
      <x:c r="C334" s="70" t="str">
        <x:f>IFERROR(VLOOKUP(B334,'02_案例与预测'!$A$6:$E$65,5,FALSE),"")</x:f>
        <x:v>开发集</x:v>
      </x:c>
      <x:c r="D334" s="70" t="str">
        <x:v>RG01</x:v>
      </x:c>
      <x:c r="E334" s="70" t="str">
        <x:v>安全、同意与尊重</x:v>
      </x:c>
      <x:c r="F334" s="70" t="str"/>
      <x:c r="G334" s="70" t="str"/>
      <x:c r="H334" s="70" t="str"/>
      <x:c r="I334" s="70" t="str"/>
      <x:c r="J334" s="70" t="str">
        <x:f>IF(OR(F334="",I334=""),"",IF(OR(I334="unknown",I334="not_assessed"),"不可评估",IF(F334=I334,"完全支持",IF(OR(AND(F334="pass",I334="conditional"),AND(F334="conditional",I334="pass")),"部分支持","反例"))))</x:f>
      </x:c>
      <x:c r="K334" s="70" t="str"/>
      <x:c r="L334" s="70" t="str"/>
      <x:c r="M334" s="70" t="str"/>
      <x:c r="N334" s="70" t="str"/>
      <x:c r="O334" s="70" t="str"/>
      <x:c r="P334" s="70" t="str"/>
    </x:row>
    <x:row r="335">
      <x:c r="A335" s="70" t="str">
        <x:v>M5RG-0330</x:v>
      </x:c>
      <x:c r="B335" s="70" t="str">
        <x:v>M5C-042</x:v>
      </x:c>
      <x:c r="C335" s="70" t="str">
        <x:f>IFERROR(VLOOKUP(B335,'02_案例与预测'!$A$6:$E$65,5,FALSE),"")</x:f>
        <x:v>开发集</x:v>
      </x:c>
      <x:c r="D335" s="70" t="str">
        <x:v>RG02</x:v>
      </x:c>
      <x:c r="E335" s="70" t="str">
        <x:v>关系意图与承诺</x:v>
      </x:c>
      <x:c r="F335" s="70" t="str"/>
      <x:c r="G335" s="70" t="str"/>
      <x:c r="H335" s="70" t="str"/>
      <x:c r="I335" s="70" t="str"/>
      <x:c r="J335" s="70" t="str">
        <x:f>IF(OR(F335="",I335=""),"",IF(OR(I335="unknown",I335="not_assessed"),"不可评估",IF(F335=I335,"完全支持",IF(OR(AND(F335="pass",I335="conditional"),AND(F335="conditional",I335="pass")),"部分支持","反例"))))</x:f>
      </x:c>
      <x:c r="K335" s="70" t="str"/>
      <x:c r="L335" s="70" t="str"/>
      <x:c r="M335" s="70" t="str"/>
      <x:c r="N335" s="70" t="str"/>
      <x:c r="O335" s="70" t="str"/>
      <x:c r="P335" s="70" t="str"/>
    </x:row>
    <x:row r="336">
      <x:c r="A336" s="70" t="str">
        <x:v>M5RG-0331</x:v>
      </x:c>
      <x:c r="B336" s="70" t="str">
        <x:v>M5C-042</x:v>
      </x:c>
      <x:c r="C336" s="70" t="str">
        <x:f>IFERROR(VLOOKUP(B336,'02_案例与预测'!$A$6:$E$65,5,FALSE),"")</x:f>
        <x:v>开发集</x:v>
      </x:c>
      <x:c r="D336" s="70" t="str">
        <x:v>RG03</x:v>
      </x:c>
      <x:c r="E336" s="70" t="str">
        <x:v>价值观与人生目标</x:v>
      </x:c>
      <x:c r="F336" s="70" t="str"/>
      <x:c r="G336" s="70" t="str"/>
      <x:c r="H336" s="70" t="str"/>
      <x:c r="I336" s="70" t="str"/>
      <x:c r="J336" s="70" t="str">
        <x:f>IF(OR(F336="",I336=""),"",IF(OR(I336="unknown",I336="not_assessed"),"不可评估",IF(F336=I336,"完全支持",IF(OR(AND(F336="pass",I336="conditional"),AND(F336="conditional",I336="pass")),"部分支持","反例"))))</x:f>
      </x:c>
      <x:c r="K336" s="70" t="str"/>
      <x:c r="L336" s="70" t="str"/>
      <x:c r="M336" s="70" t="str"/>
      <x:c r="N336" s="70" t="str"/>
      <x:c r="O336" s="70" t="str"/>
      <x:c r="P336" s="70" t="str"/>
    </x:row>
    <x:row r="337">
      <x:c r="A337" s="70" t="str">
        <x:v>M5RG-0332</x:v>
      </x:c>
      <x:c r="B337" s="70" t="str">
        <x:v>M5C-042</x:v>
      </x:c>
      <x:c r="C337" s="70" t="str">
        <x:f>IFERROR(VLOOKUP(B337,'02_案例与预测'!$A$6:$E$65,5,FALSE),"")</x:f>
        <x:v>开发集</x:v>
      </x:c>
      <x:c r="D337" s="70" t="str">
        <x:v>RG04</x:v>
      </x:c>
      <x:c r="E337" s="70" t="str">
        <x:v>时间、地域与生活节奏</x:v>
      </x:c>
      <x:c r="F337" s="70" t="str"/>
      <x:c r="G337" s="70" t="str"/>
      <x:c r="H337" s="70" t="str"/>
      <x:c r="I337" s="70" t="str"/>
      <x:c r="J337" s="70" t="str">
        <x:f>IF(OR(F337="",I337=""),"",IF(OR(I337="unknown",I337="not_assessed"),"不可评估",IF(F337=I337,"完全支持",IF(OR(AND(F337="pass",I337="conditional"),AND(F337="conditional",I337="pass")),"部分支持","反例"))))</x:f>
      </x:c>
      <x:c r="K337" s="70" t="str"/>
      <x:c r="L337" s="70" t="str"/>
      <x:c r="M337" s="70" t="str"/>
      <x:c r="N337" s="70" t="str"/>
      <x:c r="O337" s="70" t="str"/>
      <x:c r="P337" s="70" t="str"/>
    </x:row>
    <x:row r="338">
      <x:c r="A338" s="70" t="str">
        <x:v>M5RG-0333</x:v>
      </x:c>
      <x:c r="B338" s="70" t="str">
        <x:v>M5C-042</x:v>
      </x:c>
      <x:c r="C338" s="70" t="str">
        <x:f>IFERROR(VLOOKUP(B338,'02_案例与预测'!$A$6:$E$65,5,FALSE),"")</x:f>
        <x:v>开发集</x:v>
      </x:c>
      <x:c r="D338" s="70" t="str">
        <x:v>RG05</x:v>
      </x:c>
      <x:c r="E338" s="70" t="str">
        <x:v>金钱、资源与劳动分配</x:v>
      </x:c>
      <x:c r="F338" s="70" t="str"/>
      <x:c r="G338" s="70" t="str"/>
      <x:c r="H338" s="70" t="str"/>
      <x:c r="I338" s="70" t="str"/>
      <x:c r="J338" s="70" t="str">
        <x:f>IF(OR(F338="",I338=""),"",IF(OR(I338="unknown",I338="not_assessed"),"不可评估",IF(F338=I338,"完全支持",IF(OR(AND(F338="pass",I338="conditional"),AND(F338="conditional",I338="pass")),"部分支持","反例"))))</x:f>
      </x:c>
      <x:c r="K338" s="70" t="str"/>
      <x:c r="L338" s="70" t="str"/>
      <x:c r="M338" s="70" t="str"/>
      <x:c r="N338" s="70" t="str"/>
      <x:c r="O338" s="70" t="str"/>
      <x:c r="P338" s="70" t="str"/>
    </x:row>
    <x:row r="339">
      <x:c r="A339" s="70" t="str">
        <x:v>M5RG-0334</x:v>
      </x:c>
      <x:c r="B339" s="70" t="str">
        <x:v>M5C-042</x:v>
      </x:c>
      <x:c r="C339" s="70" t="str">
        <x:f>IFERROR(VLOOKUP(B339,'02_案例与预测'!$A$6:$E$65,5,FALSE),"")</x:f>
        <x:v>开发集</x:v>
      </x:c>
      <x:c r="D339" s="70" t="str">
        <x:v>RG06</x:v>
      </x:c>
      <x:c r="E339" s="70" t="str">
        <x:v>家庭、婚育与照护责任</x:v>
      </x:c>
      <x:c r="F339" s="70" t="str"/>
      <x:c r="G339" s="70" t="str"/>
      <x:c r="H339" s="70" t="str"/>
      <x:c r="I339" s="70" t="str"/>
      <x:c r="J339" s="70" t="str">
        <x:f>IF(OR(F339="",I339=""),"",IF(OR(I339="unknown",I339="not_assessed"),"不可评估",IF(F339=I339,"完全支持",IF(OR(AND(F339="pass",I339="conditional"),AND(F339="conditional",I339="pass")),"部分支持","反例"))))</x:f>
      </x:c>
      <x:c r="K339" s="70" t="str"/>
      <x:c r="L339" s="70" t="str"/>
      <x:c r="M339" s="70" t="str"/>
      <x:c r="N339" s="70" t="str"/>
      <x:c r="O339" s="70" t="str"/>
      <x:c r="P339" s="70" t="str"/>
    </x:row>
    <x:row r="340">
      <x:c r="A340" s="70" t="str">
        <x:v>M5RG-0335</x:v>
      </x:c>
      <x:c r="B340" s="70" t="str">
        <x:v>M5C-042</x:v>
      </x:c>
      <x:c r="C340" s="70" t="str">
        <x:f>IFERROR(VLOOKUP(B340,'02_案例与预测'!$A$6:$E$65,5,FALSE),"")</x:f>
        <x:v>开发集</x:v>
      </x:c>
      <x:c r="D340" s="70" t="str">
        <x:v>RG07</x:v>
      </x:c>
      <x:c r="E340" s="70" t="str">
        <x:v>身体、亲密、隐私与健康</x:v>
      </x:c>
      <x:c r="F340" s="70" t="str"/>
      <x:c r="G340" s="70" t="str"/>
      <x:c r="H340" s="70" t="str"/>
      <x:c r="I340" s="70" t="str"/>
      <x:c r="J340" s="70" t="str">
        <x:f>IF(OR(F340="",I340=""),"",IF(OR(I340="unknown",I340="not_assessed"),"不可评估",IF(F340=I340,"完全支持",IF(OR(AND(F340="pass",I340="conditional"),AND(F340="conditional",I340="pass")),"部分支持","反例"))))</x:f>
      </x:c>
      <x:c r="K340" s="70" t="str"/>
      <x:c r="L340" s="70" t="str"/>
      <x:c r="M340" s="70" t="str"/>
      <x:c r="N340" s="70" t="str"/>
      <x:c r="O340" s="70" t="str"/>
      <x:c r="P340" s="70" t="str"/>
    </x:row>
    <x:row r="341">
      <x:c r="A341" s="70" t="str">
        <x:v>M5RG-0336</x:v>
      </x:c>
      <x:c r="B341" s="70" t="str">
        <x:v>M5C-042</x:v>
      </x:c>
      <x:c r="C341" s="70" t="str">
        <x:f>IFERROR(VLOOKUP(B341,'02_案例与预测'!$A$6:$E$65,5,FALSE),"")</x:f>
        <x:v>开发集</x:v>
      </x:c>
      <x:c r="D341" s="70" t="str">
        <x:v>RG08</x:v>
      </x:c>
      <x:c r="E341" s="70" t="str">
        <x:v>冲突、修复与学习意愿</x:v>
      </x:c>
      <x:c r="F341" s="70" t="str"/>
      <x:c r="G341" s="70" t="str"/>
      <x:c r="H341" s="70" t="str"/>
      <x:c r="I341" s="70" t="str"/>
      <x:c r="J341" s="70" t="str">
        <x:f>IF(OR(F341="",I341=""),"",IF(OR(I341="unknown",I341="not_assessed"),"不可评估",IF(F341=I341,"完全支持",IF(OR(AND(F341="pass",I341="conditional"),AND(F341="conditional",I341="pass")),"部分支持","反例"))))</x:f>
      </x:c>
      <x:c r="K341" s="70" t="str"/>
      <x:c r="L341" s="70" t="str"/>
      <x:c r="M341" s="70" t="str"/>
      <x:c r="N341" s="70" t="str"/>
      <x:c r="O341" s="70" t="str"/>
      <x:c r="P341" s="70" t="str"/>
    </x:row>
    <x:row r="342">
      <x:c r="A342" s="70" t="str">
        <x:v>M5RG-0337</x:v>
      </x:c>
      <x:c r="B342" s="70" t="str">
        <x:v>M5C-043</x:v>
      </x:c>
      <x:c r="C342" s="70" t="str">
        <x:f>IFERROR(VLOOKUP(B342,'02_案例与预测'!$A$6:$E$65,5,FALSE),"")</x:f>
        <x:v>开发集</x:v>
      </x:c>
      <x:c r="D342" s="70" t="str">
        <x:v>RG01</x:v>
      </x:c>
      <x:c r="E342" s="70" t="str">
        <x:v>安全、同意与尊重</x:v>
      </x:c>
      <x:c r="F342" s="70" t="str"/>
      <x:c r="G342" s="70" t="str"/>
      <x:c r="H342" s="70" t="str"/>
      <x:c r="I342" s="70" t="str"/>
      <x:c r="J342" s="70" t="str">
        <x:f>IF(OR(F342="",I342=""),"",IF(OR(I342="unknown",I342="not_assessed"),"不可评估",IF(F342=I342,"完全支持",IF(OR(AND(F342="pass",I342="conditional"),AND(F342="conditional",I342="pass")),"部分支持","反例"))))</x:f>
      </x:c>
      <x:c r="K342" s="70" t="str"/>
      <x:c r="L342" s="70" t="str"/>
      <x:c r="M342" s="70" t="str"/>
      <x:c r="N342" s="70" t="str"/>
      <x:c r="O342" s="70" t="str"/>
      <x:c r="P342" s="70" t="str"/>
    </x:row>
    <x:row r="343">
      <x:c r="A343" s="70" t="str">
        <x:v>M5RG-0338</x:v>
      </x:c>
      <x:c r="B343" s="70" t="str">
        <x:v>M5C-043</x:v>
      </x:c>
      <x:c r="C343" s="70" t="str">
        <x:f>IFERROR(VLOOKUP(B343,'02_案例与预测'!$A$6:$E$65,5,FALSE),"")</x:f>
        <x:v>开发集</x:v>
      </x:c>
      <x:c r="D343" s="70" t="str">
        <x:v>RG02</x:v>
      </x:c>
      <x:c r="E343" s="70" t="str">
        <x:v>关系意图与承诺</x:v>
      </x:c>
      <x:c r="F343" s="70" t="str"/>
      <x:c r="G343" s="70" t="str"/>
      <x:c r="H343" s="70" t="str"/>
      <x:c r="I343" s="70" t="str"/>
      <x:c r="J343" s="70" t="str">
        <x:f>IF(OR(F343="",I343=""),"",IF(OR(I343="unknown",I343="not_assessed"),"不可评估",IF(F343=I343,"完全支持",IF(OR(AND(F343="pass",I343="conditional"),AND(F343="conditional",I343="pass")),"部分支持","反例"))))</x:f>
      </x:c>
      <x:c r="K343" s="70" t="str"/>
      <x:c r="L343" s="70" t="str"/>
      <x:c r="M343" s="70" t="str"/>
      <x:c r="N343" s="70" t="str"/>
      <x:c r="O343" s="70" t="str"/>
      <x:c r="P343" s="70" t="str"/>
    </x:row>
    <x:row r="344">
      <x:c r="A344" s="70" t="str">
        <x:v>M5RG-0339</x:v>
      </x:c>
      <x:c r="B344" s="70" t="str">
        <x:v>M5C-043</x:v>
      </x:c>
      <x:c r="C344" s="70" t="str">
        <x:f>IFERROR(VLOOKUP(B344,'02_案例与预测'!$A$6:$E$65,5,FALSE),"")</x:f>
        <x:v>开发集</x:v>
      </x:c>
      <x:c r="D344" s="70" t="str">
        <x:v>RG03</x:v>
      </x:c>
      <x:c r="E344" s="70" t="str">
        <x:v>价值观与人生目标</x:v>
      </x:c>
      <x:c r="F344" s="70" t="str"/>
      <x:c r="G344" s="70" t="str"/>
      <x:c r="H344" s="70" t="str"/>
      <x:c r="I344" s="70" t="str"/>
      <x:c r="J344" s="70" t="str">
        <x:f>IF(OR(F344="",I344=""),"",IF(OR(I344="unknown",I344="not_assessed"),"不可评估",IF(F344=I344,"完全支持",IF(OR(AND(F344="pass",I344="conditional"),AND(F344="conditional",I344="pass")),"部分支持","反例"))))</x:f>
      </x:c>
      <x:c r="K344" s="70" t="str"/>
      <x:c r="L344" s="70" t="str"/>
      <x:c r="M344" s="70" t="str"/>
      <x:c r="N344" s="70" t="str"/>
      <x:c r="O344" s="70" t="str"/>
      <x:c r="P344" s="70" t="str"/>
    </x:row>
    <x:row r="345">
      <x:c r="A345" s="70" t="str">
        <x:v>M5RG-0340</x:v>
      </x:c>
      <x:c r="B345" s="70" t="str">
        <x:v>M5C-043</x:v>
      </x:c>
      <x:c r="C345" s="70" t="str">
        <x:f>IFERROR(VLOOKUP(B345,'02_案例与预测'!$A$6:$E$65,5,FALSE),"")</x:f>
        <x:v>开发集</x:v>
      </x:c>
      <x:c r="D345" s="70" t="str">
        <x:v>RG04</x:v>
      </x:c>
      <x:c r="E345" s="70" t="str">
        <x:v>时间、地域与生活节奏</x:v>
      </x:c>
      <x:c r="F345" s="70" t="str"/>
      <x:c r="G345" s="70" t="str"/>
      <x:c r="H345" s="70" t="str"/>
      <x:c r="I345" s="70" t="str"/>
      <x:c r="J345" s="70" t="str">
        <x:f>IF(OR(F345="",I345=""),"",IF(OR(I345="unknown",I345="not_assessed"),"不可评估",IF(F345=I345,"完全支持",IF(OR(AND(F345="pass",I345="conditional"),AND(F345="conditional",I345="pass")),"部分支持","反例"))))</x:f>
      </x:c>
      <x:c r="K345" s="70" t="str"/>
      <x:c r="L345" s="70" t="str"/>
      <x:c r="M345" s="70" t="str"/>
      <x:c r="N345" s="70" t="str"/>
      <x:c r="O345" s="70" t="str"/>
      <x:c r="P345" s="70" t="str"/>
    </x:row>
    <x:row r="346">
      <x:c r="A346" s="70" t="str">
        <x:v>M5RG-0341</x:v>
      </x:c>
      <x:c r="B346" s="70" t="str">
        <x:v>M5C-043</x:v>
      </x:c>
      <x:c r="C346" s="70" t="str">
        <x:f>IFERROR(VLOOKUP(B346,'02_案例与预测'!$A$6:$E$65,5,FALSE),"")</x:f>
        <x:v>开发集</x:v>
      </x:c>
      <x:c r="D346" s="70" t="str">
        <x:v>RG05</x:v>
      </x:c>
      <x:c r="E346" s="70" t="str">
        <x:v>金钱、资源与劳动分配</x:v>
      </x:c>
      <x:c r="F346" s="70" t="str"/>
      <x:c r="G346" s="70" t="str"/>
      <x:c r="H346" s="70" t="str"/>
      <x:c r="I346" s="70" t="str"/>
      <x:c r="J346" s="70" t="str">
        <x:f>IF(OR(F346="",I346=""),"",IF(OR(I346="unknown",I346="not_assessed"),"不可评估",IF(F346=I346,"完全支持",IF(OR(AND(F346="pass",I346="conditional"),AND(F346="conditional",I346="pass")),"部分支持","反例"))))</x:f>
      </x:c>
      <x:c r="K346" s="70" t="str"/>
      <x:c r="L346" s="70" t="str"/>
      <x:c r="M346" s="70" t="str"/>
      <x:c r="N346" s="70" t="str"/>
      <x:c r="O346" s="70" t="str"/>
      <x:c r="P346" s="70" t="str"/>
    </x:row>
    <x:row r="347">
      <x:c r="A347" s="70" t="str">
        <x:v>M5RG-0342</x:v>
      </x:c>
      <x:c r="B347" s="70" t="str">
        <x:v>M5C-043</x:v>
      </x:c>
      <x:c r="C347" s="70" t="str">
        <x:f>IFERROR(VLOOKUP(B347,'02_案例与预测'!$A$6:$E$65,5,FALSE),"")</x:f>
        <x:v>开发集</x:v>
      </x:c>
      <x:c r="D347" s="70" t="str">
        <x:v>RG06</x:v>
      </x:c>
      <x:c r="E347" s="70" t="str">
        <x:v>家庭、婚育与照护责任</x:v>
      </x:c>
      <x:c r="F347" s="70" t="str"/>
      <x:c r="G347" s="70" t="str"/>
      <x:c r="H347" s="70" t="str"/>
      <x:c r="I347" s="70" t="str"/>
      <x:c r="J347" s="70" t="str">
        <x:f>IF(OR(F347="",I347=""),"",IF(OR(I347="unknown",I347="not_assessed"),"不可评估",IF(F347=I347,"完全支持",IF(OR(AND(F347="pass",I347="conditional"),AND(F347="conditional",I347="pass")),"部分支持","反例"))))</x:f>
      </x:c>
      <x:c r="K347" s="70" t="str"/>
      <x:c r="L347" s="70" t="str"/>
      <x:c r="M347" s="70" t="str"/>
      <x:c r="N347" s="70" t="str"/>
      <x:c r="O347" s="70" t="str"/>
      <x:c r="P347" s="70" t="str"/>
    </x:row>
    <x:row r="348">
      <x:c r="A348" s="70" t="str">
        <x:v>M5RG-0343</x:v>
      </x:c>
      <x:c r="B348" s="70" t="str">
        <x:v>M5C-043</x:v>
      </x:c>
      <x:c r="C348" s="70" t="str">
        <x:f>IFERROR(VLOOKUP(B348,'02_案例与预测'!$A$6:$E$65,5,FALSE),"")</x:f>
        <x:v>开发集</x:v>
      </x:c>
      <x:c r="D348" s="70" t="str">
        <x:v>RG07</x:v>
      </x:c>
      <x:c r="E348" s="70" t="str">
        <x:v>身体、亲密、隐私与健康</x:v>
      </x:c>
      <x:c r="F348" s="70" t="str"/>
      <x:c r="G348" s="70" t="str"/>
      <x:c r="H348" s="70" t="str"/>
      <x:c r="I348" s="70" t="str"/>
      <x:c r="J348" s="70" t="str">
        <x:f>IF(OR(F348="",I348=""),"",IF(OR(I348="unknown",I348="not_assessed"),"不可评估",IF(F348=I348,"完全支持",IF(OR(AND(F348="pass",I348="conditional"),AND(F348="conditional",I348="pass")),"部分支持","反例"))))</x:f>
      </x:c>
      <x:c r="K348" s="70" t="str"/>
      <x:c r="L348" s="70" t="str"/>
      <x:c r="M348" s="70" t="str"/>
      <x:c r="N348" s="70" t="str"/>
      <x:c r="O348" s="70" t="str"/>
      <x:c r="P348" s="70" t="str"/>
    </x:row>
    <x:row r="349">
      <x:c r="A349" s="70" t="str">
        <x:v>M5RG-0344</x:v>
      </x:c>
      <x:c r="B349" s="70" t="str">
        <x:v>M5C-043</x:v>
      </x:c>
      <x:c r="C349" s="70" t="str">
        <x:f>IFERROR(VLOOKUP(B349,'02_案例与预测'!$A$6:$E$65,5,FALSE),"")</x:f>
        <x:v>开发集</x:v>
      </x:c>
      <x:c r="D349" s="70" t="str">
        <x:v>RG08</x:v>
      </x:c>
      <x:c r="E349" s="70" t="str">
        <x:v>冲突、修复与学习意愿</x:v>
      </x:c>
      <x:c r="F349" s="70" t="str"/>
      <x:c r="G349" s="70" t="str"/>
      <x:c r="H349" s="70" t="str"/>
      <x:c r="I349" s="70" t="str"/>
      <x:c r="J349" s="70" t="str">
        <x:f>IF(OR(F349="",I349=""),"",IF(OR(I349="unknown",I349="not_assessed"),"不可评估",IF(F349=I349,"完全支持",IF(OR(AND(F349="pass",I349="conditional"),AND(F349="conditional",I349="pass")),"部分支持","反例"))))</x:f>
      </x:c>
      <x:c r="K349" s="70" t="str"/>
      <x:c r="L349" s="70" t="str"/>
      <x:c r="M349" s="70" t="str"/>
      <x:c r="N349" s="70" t="str"/>
      <x:c r="O349" s="70" t="str"/>
      <x:c r="P349" s="70" t="str"/>
    </x:row>
    <x:row r="350">
      <x:c r="A350" s="70" t="str">
        <x:v>M5RG-0345</x:v>
      </x:c>
      <x:c r="B350" s="70" t="str">
        <x:v>M5C-044</x:v>
      </x:c>
      <x:c r="C350" s="70" t="str">
        <x:f>IFERROR(VLOOKUP(B350,'02_案例与预测'!$A$6:$E$65,5,FALSE),"")</x:f>
        <x:v>开发集</x:v>
      </x:c>
      <x:c r="D350" s="70" t="str">
        <x:v>RG01</x:v>
      </x:c>
      <x:c r="E350" s="70" t="str">
        <x:v>安全、同意与尊重</x:v>
      </x:c>
      <x:c r="F350" s="70" t="str"/>
      <x:c r="G350" s="70" t="str"/>
      <x:c r="H350" s="70" t="str"/>
      <x:c r="I350" s="70" t="str"/>
      <x:c r="J350" s="70" t="str">
        <x:f>IF(OR(F350="",I350=""),"",IF(OR(I350="unknown",I350="not_assessed"),"不可评估",IF(F350=I350,"完全支持",IF(OR(AND(F350="pass",I350="conditional"),AND(F350="conditional",I350="pass")),"部分支持","反例"))))</x:f>
      </x:c>
      <x:c r="K350" s="70" t="str"/>
      <x:c r="L350" s="70" t="str"/>
      <x:c r="M350" s="70" t="str"/>
      <x:c r="N350" s="70" t="str"/>
      <x:c r="O350" s="70" t="str"/>
      <x:c r="P350" s="70" t="str"/>
    </x:row>
    <x:row r="351">
      <x:c r="A351" s="70" t="str">
        <x:v>M5RG-0346</x:v>
      </x:c>
      <x:c r="B351" s="70" t="str">
        <x:v>M5C-044</x:v>
      </x:c>
      <x:c r="C351" s="70" t="str">
        <x:f>IFERROR(VLOOKUP(B351,'02_案例与预测'!$A$6:$E$65,5,FALSE),"")</x:f>
        <x:v>开发集</x:v>
      </x:c>
      <x:c r="D351" s="70" t="str">
        <x:v>RG02</x:v>
      </x:c>
      <x:c r="E351" s="70" t="str">
        <x:v>关系意图与承诺</x:v>
      </x:c>
      <x:c r="F351" s="70" t="str"/>
      <x:c r="G351" s="70" t="str"/>
      <x:c r="H351" s="70" t="str"/>
      <x:c r="I351" s="70" t="str"/>
      <x:c r="J351" s="70" t="str">
        <x:f>IF(OR(F351="",I351=""),"",IF(OR(I351="unknown",I351="not_assessed"),"不可评估",IF(F351=I351,"完全支持",IF(OR(AND(F351="pass",I351="conditional"),AND(F351="conditional",I351="pass")),"部分支持","反例"))))</x:f>
      </x:c>
      <x:c r="K351" s="70" t="str"/>
      <x:c r="L351" s="70" t="str"/>
      <x:c r="M351" s="70" t="str"/>
      <x:c r="N351" s="70" t="str"/>
      <x:c r="O351" s="70" t="str"/>
      <x:c r="P351" s="70" t="str"/>
    </x:row>
    <x:row r="352">
      <x:c r="A352" s="70" t="str">
        <x:v>M5RG-0347</x:v>
      </x:c>
      <x:c r="B352" s="70" t="str">
        <x:v>M5C-044</x:v>
      </x:c>
      <x:c r="C352" s="70" t="str">
        <x:f>IFERROR(VLOOKUP(B352,'02_案例与预测'!$A$6:$E$65,5,FALSE),"")</x:f>
        <x:v>开发集</x:v>
      </x:c>
      <x:c r="D352" s="70" t="str">
        <x:v>RG03</x:v>
      </x:c>
      <x:c r="E352" s="70" t="str">
        <x:v>价值观与人生目标</x:v>
      </x:c>
      <x:c r="F352" s="70" t="str"/>
      <x:c r="G352" s="70" t="str"/>
      <x:c r="H352" s="70" t="str"/>
      <x:c r="I352" s="70" t="str"/>
      <x:c r="J352" s="70" t="str">
        <x:f>IF(OR(F352="",I352=""),"",IF(OR(I352="unknown",I352="not_assessed"),"不可评估",IF(F352=I352,"完全支持",IF(OR(AND(F352="pass",I352="conditional"),AND(F352="conditional",I352="pass")),"部分支持","反例"))))</x:f>
      </x:c>
      <x:c r="K352" s="70" t="str"/>
      <x:c r="L352" s="70" t="str"/>
      <x:c r="M352" s="70" t="str"/>
      <x:c r="N352" s="70" t="str"/>
      <x:c r="O352" s="70" t="str"/>
      <x:c r="P352" s="70" t="str"/>
    </x:row>
    <x:row r="353">
      <x:c r="A353" s="70" t="str">
        <x:v>M5RG-0348</x:v>
      </x:c>
      <x:c r="B353" s="70" t="str">
        <x:v>M5C-044</x:v>
      </x:c>
      <x:c r="C353" s="70" t="str">
        <x:f>IFERROR(VLOOKUP(B353,'02_案例与预测'!$A$6:$E$65,5,FALSE),"")</x:f>
        <x:v>开发集</x:v>
      </x:c>
      <x:c r="D353" s="70" t="str">
        <x:v>RG04</x:v>
      </x:c>
      <x:c r="E353" s="70" t="str">
        <x:v>时间、地域与生活节奏</x:v>
      </x:c>
      <x:c r="F353" s="70" t="str"/>
      <x:c r="G353" s="70" t="str"/>
      <x:c r="H353" s="70" t="str"/>
      <x:c r="I353" s="70" t="str"/>
      <x:c r="J353" s="70" t="str">
        <x:f>IF(OR(F353="",I353=""),"",IF(OR(I353="unknown",I353="not_assessed"),"不可评估",IF(F353=I353,"完全支持",IF(OR(AND(F353="pass",I353="conditional"),AND(F353="conditional",I353="pass")),"部分支持","反例"))))</x:f>
      </x:c>
      <x:c r="K353" s="70" t="str"/>
      <x:c r="L353" s="70" t="str"/>
      <x:c r="M353" s="70" t="str"/>
      <x:c r="N353" s="70" t="str"/>
      <x:c r="O353" s="70" t="str"/>
      <x:c r="P353" s="70" t="str"/>
    </x:row>
    <x:row r="354">
      <x:c r="A354" s="70" t="str">
        <x:v>M5RG-0349</x:v>
      </x:c>
      <x:c r="B354" s="70" t="str">
        <x:v>M5C-044</x:v>
      </x:c>
      <x:c r="C354" s="70" t="str">
        <x:f>IFERROR(VLOOKUP(B354,'02_案例与预测'!$A$6:$E$65,5,FALSE),"")</x:f>
        <x:v>开发集</x:v>
      </x:c>
      <x:c r="D354" s="70" t="str">
        <x:v>RG05</x:v>
      </x:c>
      <x:c r="E354" s="70" t="str">
        <x:v>金钱、资源与劳动分配</x:v>
      </x:c>
      <x:c r="F354" s="70" t="str"/>
      <x:c r="G354" s="70" t="str"/>
      <x:c r="H354" s="70" t="str"/>
      <x:c r="I354" s="70" t="str"/>
      <x:c r="J354" s="70" t="str">
        <x:f>IF(OR(F354="",I354=""),"",IF(OR(I354="unknown",I354="not_assessed"),"不可评估",IF(F354=I354,"完全支持",IF(OR(AND(F354="pass",I354="conditional"),AND(F354="conditional",I354="pass")),"部分支持","反例"))))</x:f>
      </x:c>
      <x:c r="K354" s="70" t="str"/>
      <x:c r="L354" s="70" t="str"/>
      <x:c r="M354" s="70" t="str"/>
      <x:c r="N354" s="70" t="str"/>
      <x:c r="O354" s="70" t="str"/>
      <x:c r="P354" s="70" t="str"/>
    </x:row>
    <x:row r="355">
      <x:c r="A355" s="70" t="str">
        <x:v>M5RG-0350</x:v>
      </x:c>
      <x:c r="B355" s="70" t="str">
        <x:v>M5C-044</x:v>
      </x:c>
      <x:c r="C355" s="70" t="str">
        <x:f>IFERROR(VLOOKUP(B355,'02_案例与预测'!$A$6:$E$65,5,FALSE),"")</x:f>
        <x:v>开发集</x:v>
      </x:c>
      <x:c r="D355" s="70" t="str">
        <x:v>RG06</x:v>
      </x:c>
      <x:c r="E355" s="70" t="str">
        <x:v>家庭、婚育与照护责任</x:v>
      </x:c>
      <x:c r="F355" s="70" t="str"/>
      <x:c r="G355" s="70" t="str"/>
      <x:c r="H355" s="70" t="str"/>
      <x:c r="I355" s="70" t="str"/>
      <x:c r="J355" s="70" t="str">
        <x:f>IF(OR(F355="",I355=""),"",IF(OR(I355="unknown",I355="not_assessed"),"不可评估",IF(F355=I355,"完全支持",IF(OR(AND(F355="pass",I355="conditional"),AND(F355="conditional",I355="pass")),"部分支持","反例"))))</x:f>
      </x:c>
      <x:c r="K355" s="70" t="str"/>
      <x:c r="L355" s="70" t="str"/>
      <x:c r="M355" s="70" t="str"/>
      <x:c r="N355" s="70" t="str"/>
      <x:c r="O355" s="70" t="str"/>
      <x:c r="P355" s="70" t="str"/>
    </x:row>
    <x:row r="356">
      <x:c r="A356" s="70" t="str">
        <x:v>M5RG-0351</x:v>
      </x:c>
      <x:c r="B356" s="70" t="str">
        <x:v>M5C-044</x:v>
      </x:c>
      <x:c r="C356" s="70" t="str">
        <x:f>IFERROR(VLOOKUP(B356,'02_案例与预测'!$A$6:$E$65,5,FALSE),"")</x:f>
        <x:v>开发集</x:v>
      </x:c>
      <x:c r="D356" s="70" t="str">
        <x:v>RG07</x:v>
      </x:c>
      <x:c r="E356" s="70" t="str">
        <x:v>身体、亲密、隐私与健康</x:v>
      </x:c>
      <x:c r="F356" s="70" t="str"/>
      <x:c r="G356" s="70" t="str"/>
      <x:c r="H356" s="70" t="str"/>
      <x:c r="I356" s="70" t="str"/>
      <x:c r="J356" s="70" t="str">
        <x:f>IF(OR(F356="",I356=""),"",IF(OR(I356="unknown",I356="not_assessed"),"不可评估",IF(F356=I356,"完全支持",IF(OR(AND(F356="pass",I356="conditional"),AND(F356="conditional",I356="pass")),"部分支持","反例"))))</x:f>
      </x:c>
      <x:c r="K356" s="70" t="str"/>
      <x:c r="L356" s="70" t="str"/>
      <x:c r="M356" s="70" t="str"/>
      <x:c r="N356" s="70" t="str"/>
      <x:c r="O356" s="70" t="str"/>
      <x:c r="P356" s="70" t="str"/>
    </x:row>
    <x:row r="357">
      <x:c r="A357" s="70" t="str">
        <x:v>M5RG-0352</x:v>
      </x:c>
      <x:c r="B357" s="70" t="str">
        <x:v>M5C-044</x:v>
      </x:c>
      <x:c r="C357" s="70" t="str">
        <x:f>IFERROR(VLOOKUP(B357,'02_案例与预测'!$A$6:$E$65,5,FALSE),"")</x:f>
        <x:v>开发集</x:v>
      </x:c>
      <x:c r="D357" s="70" t="str">
        <x:v>RG08</x:v>
      </x:c>
      <x:c r="E357" s="70" t="str">
        <x:v>冲突、修复与学习意愿</x:v>
      </x:c>
      <x:c r="F357" s="70" t="str"/>
      <x:c r="G357" s="70" t="str"/>
      <x:c r="H357" s="70" t="str"/>
      <x:c r="I357" s="70" t="str"/>
      <x:c r="J357" s="70" t="str">
        <x:f>IF(OR(F357="",I357=""),"",IF(OR(I357="unknown",I357="not_assessed"),"不可评估",IF(F357=I357,"完全支持",IF(OR(AND(F357="pass",I357="conditional"),AND(F357="conditional",I357="pass")),"部分支持","反例"))))</x:f>
      </x:c>
      <x:c r="K357" s="70" t="str"/>
      <x:c r="L357" s="70" t="str"/>
      <x:c r="M357" s="70" t="str"/>
      <x:c r="N357" s="70" t="str"/>
      <x:c r="O357" s="70" t="str"/>
      <x:c r="P357" s="70" t="str"/>
    </x:row>
    <x:row r="358">
      <x:c r="A358" s="70" t="str">
        <x:v>M5RG-0353</x:v>
      </x:c>
      <x:c r="B358" s="70" t="str">
        <x:v>M5C-045</x:v>
      </x:c>
      <x:c r="C358" s="70" t="str">
        <x:f>IFERROR(VLOOKUP(B358,'02_案例与预测'!$A$6:$E$65,5,FALSE),"")</x:f>
        <x:v>开发集</x:v>
      </x:c>
      <x:c r="D358" s="70" t="str">
        <x:v>RG01</x:v>
      </x:c>
      <x:c r="E358" s="70" t="str">
        <x:v>安全、同意与尊重</x:v>
      </x:c>
      <x:c r="F358" s="70" t="str"/>
      <x:c r="G358" s="70" t="str"/>
      <x:c r="H358" s="70" t="str"/>
      <x:c r="I358" s="70" t="str"/>
      <x:c r="J358" s="70" t="str">
        <x:f>IF(OR(F358="",I358=""),"",IF(OR(I358="unknown",I358="not_assessed"),"不可评估",IF(F358=I358,"完全支持",IF(OR(AND(F358="pass",I358="conditional"),AND(F358="conditional",I358="pass")),"部分支持","反例"))))</x:f>
      </x:c>
      <x:c r="K358" s="70" t="str"/>
      <x:c r="L358" s="70" t="str"/>
      <x:c r="M358" s="70" t="str"/>
      <x:c r="N358" s="70" t="str"/>
      <x:c r="O358" s="70" t="str"/>
      <x:c r="P358" s="70" t="str"/>
    </x:row>
    <x:row r="359">
      <x:c r="A359" s="70" t="str">
        <x:v>M5RG-0354</x:v>
      </x:c>
      <x:c r="B359" s="70" t="str">
        <x:v>M5C-045</x:v>
      </x:c>
      <x:c r="C359" s="70" t="str">
        <x:f>IFERROR(VLOOKUP(B359,'02_案例与预测'!$A$6:$E$65,5,FALSE),"")</x:f>
        <x:v>开发集</x:v>
      </x:c>
      <x:c r="D359" s="70" t="str">
        <x:v>RG02</x:v>
      </x:c>
      <x:c r="E359" s="70" t="str">
        <x:v>关系意图与承诺</x:v>
      </x:c>
      <x:c r="F359" s="70" t="str"/>
      <x:c r="G359" s="70" t="str"/>
      <x:c r="H359" s="70" t="str"/>
      <x:c r="I359" s="70" t="str"/>
      <x:c r="J359" s="70" t="str">
        <x:f>IF(OR(F359="",I359=""),"",IF(OR(I359="unknown",I359="not_assessed"),"不可评估",IF(F359=I359,"完全支持",IF(OR(AND(F359="pass",I359="conditional"),AND(F359="conditional",I359="pass")),"部分支持","反例"))))</x:f>
      </x:c>
      <x:c r="K359" s="70" t="str"/>
      <x:c r="L359" s="70" t="str"/>
      <x:c r="M359" s="70" t="str"/>
      <x:c r="N359" s="70" t="str"/>
      <x:c r="O359" s="70" t="str"/>
      <x:c r="P359" s="70" t="str"/>
    </x:row>
    <x:row r="360">
      <x:c r="A360" s="70" t="str">
        <x:v>M5RG-0355</x:v>
      </x:c>
      <x:c r="B360" s="70" t="str">
        <x:v>M5C-045</x:v>
      </x:c>
      <x:c r="C360" s="70" t="str">
        <x:f>IFERROR(VLOOKUP(B360,'02_案例与预测'!$A$6:$E$65,5,FALSE),"")</x:f>
        <x:v>开发集</x:v>
      </x:c>
      <x:c r="D360" s="70" t="str">
        <x:v>RG03</x:v>
      </x:c>
      <x:c r="E360" s="70" t="str">
        <x:v>价值观与人生目标</x:v>
      </x:c>
      <x:c r="F360" s="70" t="str"/>
      <x:c r="G360" s="70" t="str"/>
      <x:c r="H360" s="70" t="str"/>
      <x:c r="I360" s="70" t="str"/>
      <x:c r="J360" s="70" t="str">
        <x:f>IF(OR(F360="",I360=""),"",IF(OR(I360="unknown",I360="not_assessed"),"不可评估",IF(F360=I360,"完全支持",IF(OR(AND(F360="pass",I360="conditional"),AND(F360="conditional",I360="pass")),"部分支持","反例"))))</x:f>
      </x:c>
      <x:c r="K360" s="70" t="str"/>
      <x:c r="L360" s="70" t="str"/>
      <x:c r="M360" s="70" t="str"/>
      <x:c r="N360" s="70" t="str"/>
      <x:c r="O360" s="70" t="str"/>
      <x:c r="P360" s="70" t="str"/>
    </x:row>
    <x:row r="361">
      <x:c r="A361" s="70" t="str">
        <x:v>M5RG-0356</x:v>
      </x:c>
      <x:c r="B361" s="70" t="str">
        <x:v>M5C-045</x:v>
      </x:c>
      <x:c r="C361" s="70" t="str">
        <x:f>IFERROR(VLOOKUP(B361,'02_案例与预测'!$A$6:$E$65,5,FALSE),"")</x:f>
        <x:v>开发集</x:v>
      </x:c>
      <x:c r="D361" s="70" t="str">
        <x:v>RG04</x:v>
      </x:c>
      <x:c r="E361" s="70" t="str">
        <x:v>时间、地域与生活节奏</x:v>
      </x:c>
      <x:c r="F361" s="70" t="str"/>
      <x:c r="G361" s="70" t="str"/>
      <x:c r="H361" s="70" t="str"/>
      <x:c r="I361" s="70" t="str"/>
      <x:c r="J361" s="70" t="str">
        <x:f>IF(OR(F361="",I361=""),"",IF(OR(I361="unknown",I361="not_assessed"),"不可评估",IF(F361=I361,"完全支持",IF(OR(AND(F361="pass",I361="conditional"),AND(F361="conditional",I361="pass")),"部分支持","反例"))))</x:f>
      </x:c>
      <x:c r="K361" s="70" t="str"/>
      <x:c r="L361" s="70" t="str"/>
      <x:c r="M361" s="70" t="str"/>
      <x:c r="N361" s="70" t="str"/>
      <x:c r="O361" s="70" t="str"/>
      <x:c r="P361" s="70" t="str"/>
    </x:row>
    <x:row r="362">
      <x:c r="A362" s="70" t="str">
        <x:v>M5RG-0357</x:v>
      </x:c>
      <x:c r="B362" s="70" t="str">
        <x:v>M5C-045</x:v>
      </x:c>
      <x:c r="C362" s="70" t="str">
        <x:f>IFERROR(VLOOKUP(B362,'02_案例与预测'!$A$6:$E$65,5,FALSE),"")</x:f>
        <x:v>开发集</x:v>
      </x:c>
      <x:c r="D362" s="70" t="str">
        <x:v>RG05</x:v>
      </x:c>
      <x:c r="E362" s="70" t="str">
        <x:v>金钱、资源与劳动分配</x:v>
      </x:c>
      <x:c r="F362" s="70" t="str"/>
      <x:c r="G362" s="70" t="str"/>
      <x:c r="H362" s="70" t="str"/>
      <x:c r="I362" s="70" t="str"/>
      <x:c r="J362" s="70" t="str">
        <x:f>IF(OR(F362="",I362=""),"",IF(OR(I362="unknown",I362="not_assessed"),"不可评估",IF(F362=I362,"完全支持",IF(OR(AND(F362="pass",I362="conditional"),AND(F362="conditional",I362="pass")),"部分支持","反例"))))</x:f>
      </x:c>
      <x:c r="K362" s="70" t="str"/>
      <x:c r="L362" s="70" t="str"/>
      <x:c r="M362" s="70" t="str"/>
      <x:c r="N362" s="70" t="str"/>
      <x:c r="O362" s="70" t="str"/>
      <x:c r="P362" s="70" t="str"/>
    </x:row>
    <x:row r="363">
      <x:c r="A363" s="70" t="str">
        <x:v>M5RG-0358</x:v>
      </x:c>
      <x:c r="B363" s="70" t="str">
        <x:v>M5C-045</x:v>
      </x:c>
      <x:c r="C363" s="70" t="str">
        <x:f>IFERROR(VLOOKUP(B363,'02_案例与预测'!$A$6:$E$65,5,FALSE),"")</x:f>
        <x:v>开发集</x:v>
      </x:c>
      <x:c r="D363" s="70" t="str">
        <x:v>RG06</x:v>
      </x:c>
      <x:c r="E363" s="70" t="str">
        <x:v>家庭、婚育与照护责任</x:v>
      </x:c>
      <x:c r="F363" s="70" t="str"/>
      <x:c r="G363" s="70" t="str"/>
      <x:c r="H363" s="70" t="str"/>
      <x:c r="I363" s="70" t="str"/>
      <x:c r="J363" s="70" t="str">
        <x:f>IF(OR(F363="",I363=""),"",IF(OR(I363="unknown",I363="not_assessed"),"不可评估",IF(F363=I363,"完全支持",IF(OR(AND(F363="pass",I363="conditional"),AND(F363="conditional",I363="pass")),"部分支持","反例"))))</x:f>
      </x:c>
      <x:c r="K363" s="70" t="str"/>
      <x:c r="L363" s="70" t="str"/>
      <x:c r="M363" s="70" t="str"/>
      <x:c r="N363" s="70" t="str"/>
      <x:c r="O363" s="70" t="str"/>
      <x:c r="P363" s="70" t="str"/>
    </x:row>
    <x:row r="364">
      <x:c r="A364" s="70" t="str">
        <x:v>M5RG-0359</x:v>
      </x:c>
      <x:c r="B364" s="70" t="str">
        <x:v>M5C-045</x:v>
      </x:c>
      <x:c r="C364" s="70" t="str">
        <x:f>IFERROR(VLOOKUP(B364,'02_案例与预测'!$A$6:$E$65,5,FALSE),"")</x:f>
        <x:v>开发集</x:v>
      </x:c>
      <x:c r="D364" s="70" t="str">
        <x:v>RG07</x:v>
      </x:c>
      <x:c r="E364" s="70" t="str">
        <x:v>身体、亲密、隐私与健康</x:v>
      </x:c>
      <x:c r="F364" s="70" t="str"/>
      <x:c r="G364" s="70" t="str"/>
      <x:c r="H364" s="70" t="str"/>
      <x:c r="I364" s="70" t="str"/>
      <x:c r="J364" s="70" t="str">
        <x:f>IF(OR(F364="",I364=""),"",IF(OR(I364="unknown",I364="not_assessed"),"不可评估",IF(F364=I364,"完全支持",IF(OR(AND(F364="pass",I364="conditional"),AND(F364="conditional",I364="pass")),"部分支持","反例"))))</x:f>
      </x:c>
      <x:c r="K364" s="70" t="str"/>
      <x:c r="L364" s="70" t="str"/>
      <x:c r="M364" s="70" t="str"/>
      <x:c r="N364" s="70" t="str"/>
      <x:c r="O364" s="70" t="str"/>
      <x:c r="P364" s="70" t="str"/>
    </x:row>
    <x:row r="365">
      <x:c r="A365" s="70" t="str">
        <x:v>M5RG-0360</x:v>
      </x:c>
      <x:c r="B365" s="70" t="str">
        <x:v>M5C-045</x:v>
      </x:c>
      <x:c r="C365" s="70" t="str">
        <x:f>IFERROR(VLOOKUP(B365,'02_案例与预测'!$A$6:$E$65,5,FALSE),"")</x:f>
        <x:v>开发集</x:v>
      </x:c>
      <x:c r="D365" s="70" t="str">
        <x:v>RG08</x:v>
      </x:c>
      <x:c r="E365" s="70" t="str">
        <x:v>冲突、修复与学习意愿</x:v>
      </x:c>
      <x:c r="F365" s="70" t="str"/>
      <x:c r="G365" s="70" t="str"/>
      <x:c r="H365" s="70" t="str"/>
      <x:c r="I365" s="70" t="str"/>
      <x:c r="J365" s="70" t="str">
        <x:f>IF(OR(F365="",I365=""),"",IF(OR(I365="unknown",I365="not_assessed"),"不可评估",IF(F365=I365,"完全支持",IF(OR(AND(F365="pass",I365="conditional"),AND(F365="conditional",I365="pass")),"部分支持","反例"))))</x:f>
      </x:c>
      <x:c r="K365" s="70" t="str"/>
      <x:c r="L365" s="70" t="str"/>
      <x:c r="M365" s="70" t="str"/>
      <x:c r="N365" s="70" t="str"/>
      <x:c r="O365" s="70" t="str"/>
      <x:c r="P365" s="70" t="str"/>
    </x:row>
    <x:row r="366">
      <x:c r="A366" s="70" t="str">
        <x:v>M5RG-0361</x:v>
      </x:c>
      <x:c r="B366" s="70" t="str">
        <x:v>M5C-046</x:v>
      </x:c>
      <x:c r="C366" s="70" t="str">
        <x:f>IFERROR(VLOOKUP(B366,'02_案例与预测'!$A$6:$E$65,5,FALSE),"")</x:f>
        <x:v>开发集</x:v>
      </x:c>
      <x:c r="D366" s="70" t="str">
        <x:v>RG01</x:v>
      </x:c>
      <x:c r="E366" s="70" t="str">
        <x:v>安全、同意与尊重</x:v>
      </x:c>
      <x:c r="F366" s="70" t="str"/>
      <x:c r="G366" s="70" t="str"/>
      <x:c r="H366" s="70" t="str"/>
      <x:c r="I366" s="70" t="str"/>
      <x:c r="J366" s="70" t="str">
        <x:f>IF(OR(F366="",I366=""),"",IF(OR(I366="unknown",I366="not_assessed"),"不可评估",IF(F366=I366,"完全支持",IF(OR(AND(F366="pass",I366="conditional"),AND(F366="conditional",I366="pass")),"部分支持","反例"))))</x:f>
      </x:c>
      <x:c r="K366" s="70" t="str"/>
      <x:c r="L366" s="70" t="str"/>
      <x:c r="M366" s="70" t="str"/>
      <x:c r="N366" s="70" t="str"/>
      <x:c r="O366" s="70" t="str"/>
      <x:c r="P366" s="70" t="str"/>
    </x:row>
    <x:row r="367">
      <x:c r="A367" s="70" t="str">
        <x:v>M5RG-0362</x:v>
      </x:c>
      <x:c r="B367" s="70" t="str">
        <x:v>M5C-046</x:v>
      </x:c>
      <x:c r="C367" s="70" t="str">
        <x:f>IFERROR(VLOOKUP(B367,'02_案例与预测'!$A$6:$E$65,5,FALSE),"")</x:f>
        <x:v>开发集</x:v>
      </x:c>
      <x:c r="D367" s="70" t="str">
        <x:v>RG02</x:v>
      </x:c>
      <x:c r="E367" s="70" t="str">
        <x:v>关系意图与承诺</x:v>
      </x:c>
      <x:c r="F367" s="70" t="str"/>
      <x:c r="G367" s="70" t="str"/>
      <x:c r="H367" s="70" t="str"/>
      <x:c r="I367" s="70" t="str"/>
      <x:c r="J367" s="70" t="str">
        <x:f>IF(OR(F367="",I367=""),"",IF(OR(I367="unknown",I367="not_assessed"),"不可评估",IF(F367=I367,"完全支持",IF(OR(AND(F367="pass",I367="conditional"),AND(F367="conditional",I367="pass")),"部分支持","反例"))))</x:f>
      </x:c>
      <x:c r="K367" s="70" t="str"/>
      <x:c r="L367" s="70" t="str"/>
      <x:c r="M367" s="70" t="str"/>
      <x:c r="N367" s="70" t="str"/>
      <x:c r="O367" s="70" t="str"/>
      <x:c r="P367" s="70" t="str"/>
    </x:row>
    <x:row r="368">
      <x:c r="A368" s="70" t="str">
        <x:v>M5RG-0363</x:v>
      </x:c>
      <x:c r="B368" s="70" t="str">
        <x:v>M5C-046</x:v>
      </x:c>
      <x:c r="C368" s="70" t="str">
        <x:f>IFERROR(VLOOKUP(B368,'02_案例与预测'!$A$6:$E$65,5,FALSE),"")</x:f>
        <x:v>开发集</x:v>
      </x:c>
      <x:c r="D368" s="70" t="str">
        <x:v>RG03</x:v>
      </x:c>
      <x:c r="E368" s="70" t="str">
        <x:v>价值观与人生目标</x:v>
      </x:c>
      <x:c r="F368" s="70" t="str"/>
      <x:c r="G368" s="70" t="str"/>
      <x:c r="H368" s="70" t="str"/>
      <x:c r="I368" s="70" t="str"/>
      <x:c r="J368" s="70" t="str">
        <x:f>IF(OR(F368="",I368=""),"",IF(OR(I368="unknown",I368="not_assessed"),"不可评估",IF(F368=I368,"完全支持",IF(OR(AND(F368="pass",I368="conditional"),AND(F368="conditional",I368="pass")),"部分支持","反例"))))</x:f>
      </x:c>
      <x:c r="K368" s="70" t="str"/>
      <x:c r="L368" s="70" t="str"/>
      <x:c r="M368" s="70" t="str"/>
      <x:c r="N368" s="70" t="str"/>
      <x:c r="O368" s="70" t="str"/>
      <x:c r="P368" s="70" t="str"/>
    </x:row>
    <x:row r="369">
      <x:c r="A369" s="70" t="str">
        <x:v>M5RG-0364</x:v>
      </x:c>
      <x:c r="B369" s="70" t="str">
        <x:v>M5C-046</x:v>
      </x:c>
      <x:c r="C369" s="70" t="str">
        <x:f>IFERROR(VLOOKUP(B369,'02_案例与预测'!$A$6:$E$65,5,FALSE),"")</x:f>
        <x:v>开发集</x:v>
      </x:c>
      <x:c r="D369" s="70" t="str">
        <x:v>RG04</x:v>
      </x:c>
      <x:c r="E369" s="70" t="str">
        <x:v>时间、地域与生活节奏</x:v>
      </x:c>
      <x:c r="F369" s="70" t="str"/>
      <x:c r="G369" s="70" t="str"/>
      <x:c r="H369" s="70" t="str"/>
      <x:c r="I369" s="70" t="str"/>
      <x:c r="J369" s="70" t="str">
        <x:f>IF(OR(F369="",I369=""),"",IF(OR(I369="unknown",I369="not_assessed"),"不可评估",IF(F369=I369,"完全支持",IF(OR(AND(F369="pass",I369="conditional"),AND(F369="conditional",I369="pass")),"部分支持","反例"))))</x:f>
      </x:c>
      <x:c r="K369" s="70" t="str"/>
      <x:c r="L369" s="70" t="str"/>
      <x:c r="M369" s="70" t="str"/>
      <x:c r="N369" s="70" t="str"/>
      <x:c r="O369" s="70" t="str"/>
      <x:c r="P369" s="70" t="str"/>
    </x:row>
    <x:row r="370">
      <x:c r="A370" s="70" t="str">
        <x:v>M5RG-0365</x:v>
      </x:c>
      <x:c r="B370" s="70" t="str">
        <x:v>M5C-046</x:v>
      </x:c>
      <x:c r="C370" s="70" t="str">
        <x:f>IFERROR(VLOOKUP(B370,'02_案例与预测'!$A$6:$E$65,5,FALSE),"")</x:f>
        <x:v>开发集</x:v>
      </x:c>
      <x:c r="D370" s="70" t="str">
        <x:v>RG05</x:v>
      </x:c>
      <x:c r="E370" s="70" t="str">
        <x:v>金钱、资源与劳动分配</x:v>
      </x:c>
      <x:c r="F370" s="70" t="str"/>
      <x:c r="G370" s="70" t="str"/>
      <x:c r="H370" s="70" t="str"/>
      <x:c r="I370" s="70" t="str"/>
      <x:c r="J370" s="70" t="str">
        <x:f>IF(OR(F370="",I370=""),"",IF(OR(I370="unknown",I370="not_assessed"),"不可评估",IF(F370=I370,"完全支持",IF(OR(AND(F370="pass",I370="conditional"),AND(F370="conditional",I370="pass")),"部分支持","反例"))))</x:f>
      </x:c>
      <x:c r="K370" s="70" t="str"/>
      <x:c r="L370" s="70" t="str"/>
      <x:c r="M370" s="70" t="str"/>
      <x:c r="N370" s="70" t="str"/>
      <x:c r="O370" s="70" t="str"/>
      <x:c r="P370" s="70" t="str"/>
    </x:row>
    <x:row r="371">
      <x:c r="A371" s="70" t="str">
        <x:v>M5RG-0366</x:v>
      </x:c>
      <x:c r="B371" s="70" t="str">
        <x:v>M5C-046</x:v>
      </x:c>
      <x:c r="C371" s="70" t="str">
        <x:f>IFERROR(VLOOKUP(B371,'02_案例与预测'!$A$6:$E$65,5,FALSE),"")</x:f>
        <x:v>开发集</x:v>
      </x:c>
      <x:c r="D371" s="70" t="str">
        <x:v>RG06</x:v>
      </x:c>
      <x:c r="E371" s="70" t="str">
        <x:v>家庭、婚育与照护责任</x:v>
      </x:c>
      <x:c r="F371" s="70" t="str"/>
      <x:c r="G371" s="70" t="str"/>
      <x:c r="H371" s="70" t="str"/>
      <x:c r="I371" s="70" t="str"/>
      <x:c r="J371" s="70" t="str">
        <x:f>IF(OR(F371="",I371=""),"",IF(OR(I371="unknown",I371="not_assessed"),"不可评估",IF(F371=I371,"完全支持",IF(OR(AND(F371="pass",I371="conditional"),AND(F371="conditional",I371="pass")),"部分支持","反例"))))</x:f>
      </x:c>
      <x:c r="K371" s="70" t="str"/>
      <x:c r="L371" s="70" t="str"/>
      <x:c r="M371" s="70" t="str"/>
      <x:c r="N371" s="70" t="str"/>
      <x:c r="O371" s="70" t="str"/>
      <x:c r="P371" s="70" t="str"/>
    </x:row>
    <x:row r="372">
      <x:c r="A372" s="70" t="str">
        <x:v>M5RG-0367</x:v>
      </x:c>
      <x:c r="B372" s="70" t="str">
        <x:v>M5C-046</x:v>
      </x:c>
      <x:c r="C372" s="70" t="str">
        <x:f>IFERROR(VLOOKUP(B372,'02_案例与预测'!$A$6:$E$65,5,FALSE),"")</x:f>
        <x:v>开发集</x:v>
      </x:c>
      <x:c r="D372" s="70" t="str">
        <x:v>RG07</x:v>
      </x:c>
      <x:c r="E372" s="70" t="str">
        <x:v>身体、亲密、隐私与健康</x:v>
      </x:c>
      <x:c r="F372" s="70" t="str"/>
      <x:c r="G372" s="70" t="str"/>
      <x:c r="H372" s="70" t="str"/>
      <x:c r="I372" s="70" t="str"/>
      <x:c r="J372" s="70" t="str">
        <x:f>IF(OR(F372="",I372=""),"",IF(OR(I372="unknown",I372="not_assessed"),"不可评估",IF(F372=I372,"完全支持",IF(OR(AND(F372="pass",I372="conditional"),AND(F372="conditional",I372="pass")),"部分支持","反例"))))</x:f>
      </x:c>
      <x:c r="K372" s="70" t="str"/>
      <x:c r="L372" s="70" t="str"/>
      <x:c r="M372" s="70" t="str"/>
      <x:c r="N372" s="70" t="str"/>
      <x:c r="O372" s="70" t="str"/>
      <x:c r="P372" s="70" t="str"/>
    </x:row>
    <x:row r="373">
      <x:c r="A373" s="70" t="str">
        <x:v>M5RG-0368</x:v>
      </x:c>
      <x:c r="B373" s="70" t="str">
        <x:v>M5C-046</x:v>
      </x:c>
      <x:c r="C373" s="70" t="str">
        <x:f>IFERROR(VLOOKUP(B373,'02_案例与预测'!$A$6:$E$65,5,FALSE),"")</x:f>
        <x:v>开发集</x:v>
      </x:c>
      <x:c r="D373" s="70" t="str">
        <x:v>RG08</x:v>
      </x:c>
      <x:c r="E373" s="70" t="str">
        <x:v>冲突、修复与学习意愿</x:v>
      </x:c>
      <x:c r="F373" s="70" t="str"/>
      <x:c r="G373" s="70" t="str"/>
      <x:c r="H373" s="70" t="str"/>
      <x:c r="I373" s="70" t="str"/>
      <x:c r="J373" s="70" t="str">
        <x:f>IF(OR(F373="",I373=""),"",IF(OR(I373="unknown",I373="not_assessed"),"不可评估",IF(F373=I373,"完全支持",IF(OR(AND(F373="pass",I373="conditional"),AND(F373="conditional",I373="pass")),"部分支持","反例"))))</x:f>
      </x:c>
      <x:c r="K373" s="70" t="str"/>
      <x:c r="L373" s="70" t="str"/>
      <x:c r="M373" s="70" t="str"/>
      <x:c r="N373" s="70" t="str"/>
      <x:c r="O373" s="70" t="str"/>
      <x:c r="P373" s="70" t="str"/>
    </x:row>
    <x:row r="374">
      <x:c r="A374" s="70" t="str">
        <x:v>M5RG-0369</x:v>
      </x:c>
      <x:c r="B374" s="70" t="str">
        <x:v>M5C-047</x:v>
      </x:c>
      <x:c r="C374" s="70" t="str">
        <x:f>IFERROR(VLOOKUP(B374,'02_案例与预测'!$A$6:$E$65,5,FALSE),"")</x:f>
        <x:v>开发集</x:v>
      </x:c>
      <x:c r="D374" s="70" t="str">
        <x:v>RG01</x:v>
      </x:c>
      <x:c r="E374" s="70" t="str">
        <x:v>安全、同意与尊重</x:v>
      </x:c>
      <x:c r="F374" s="70" t="str"/>
      <x:c r="G374" s="70" t="str"/>
      <x:c r="H374" s="70" t="str"/>
      <x:c r="I374" s="70" t="str"/>
      <x:c r="J374" s="70" t="str">
        <x:f>IF(OR(F374="",I374=""),"",IF(OR(I374="unknown",I374="not_assessed"),"不可评估",IF(F374=I374,"完全支持",IF(OR(AND(F374="pass",I374="conditional"),AND(F374="conditional",I374="pass")),"部分支持","反例"))))</x:f>
      </x:c>
      <x:c r="K374" s="70" t="str"/>
      <x:c r="L374" s="70" t="str"/>
      <x:c r="M374" s="70" t="str"/>
      <x:c r="N374" s="70" t="str"/>
      <x:c r="O374" s="70" t="str"/>
      <x:c r="P374" s="70" t="str"/>
    </x:row>
    <x:row r="375">
      <x:c r="A375" s="70" t="str">
        <x:v>M5RG-0370</x:v>
      </x:c>
      <x:c r="B375" s="70" t="str">
        <x:v>M5C-047</x:v>
      </x:c>
      <x:c r="C375" s="70" t="str">
        <x:f>IFERROR(VLOOKUP(B375,'02_案例与预测'!$A$6:$E$65,5,FALSE),"")</x:f>
        <x:v>开发集</x:v>
      </x:c>
      <x:c r="D375" s="70" t="str">
        <x:v>RG02</x:v>
      </x:c>
      <x:c r="E375" s="70" t="str">
        <x:v>关系意图与承诺</x:v>
      </x:c>
      <x:c r="F375" s="70" t="str"/>
      <x:c r="G375" s="70" t="str"/>
      <x:c r="H375" s="70" t="str"/>
      <x:c r="I375" s="70" t="str"/>
      <x:c r="J375" s="70" t="str">
        <x:f>IF(OR(F375="",I375=""),"",IF(OR(I375="unknown",I375="not_assessed"),"不可评估",IF(F375=I375,"完全支持",IF(OR(AND(F375="pass",I375="conditional"),AND(F375="conditional",I375="pass")),"部分支持","反例"))))</x:f>
      </x:c>
      <x:c r="K375" s="70" t="str"/>
      <x:c r="L375" s="70" t="str"/>
      <x:c r="M375" s="70" t="str"/>
      <x:c r="N375" s="70" t="str"/>
      <x:c r="O375" s="70" t="str"/>
      <x:c r="P375" s="70" t="str"/>
    </x:row>
    <x:row r="376">
      <x:c r="A376" s="70" t="str">
        <x:v>M5RG-0371</x:v>
      </x:c>
      <x:c r="B376" s="70" t="str">
        <x:v>M5C-047</x:v>
      </x:c>
      <x:c r="C376" s="70" t="str">
        <x:f>IFERROR(VLOOKUP(B376,'02_案例与预测'!$A$6:$E$65,5,FALSE),"")</x:f>
        <x:v>开发集</x:v>
      </x:c>
      <x:c r="D376" s="70" t="str">
        <x:v>RG03</x:v>
      </x:c>
      <x:c r="E376" s="70" t="str">
        <x:v>价值观与人生目标</x:v>
      </x:c>
      <x:c r="F376" s="70" t="str"/>
      <x:c r="G376" s="70" t="str"/>
      <x:c r="H376" s="70" t="str"/>
      <x:c r="I376" s="70" t="str"/>
      <x:c r="J376" s="70" t="str">
        <x:f>IF(OR(F376="",I376=""),"",IF(OR(I376="unknown",I376="not_assessed"),"不可评估",IF(F376=I376,"完全支持",IF(OR(AND(F376="pass",I376="conditional"),AND(F376="conditional",I376="pass")),"部分支持","反例"))))</x:f>
      </x:c>
      <x:c r="K376" s="70" t="str"/>
      <x:c r="L376" s="70" t="str"/>
      <x:c r="M376" s="70" t="str"/>
      <x:c r="N376" s="70" t="str"/>
      <x:c r="O376" s="70" t="str"/>
      <x:c r="P376" s="70" t="str"/>
    </x:row>
    <x:row r="377">
      <x:c r="A377" s="70" t="str">
        <x:v>M5RG-0372</x:v>
      </x:c>
      <x:c r="B377" s="70" t="str">
        <x:v>M5C-047</x:v>
      </x:c>
      <x:c r="C377" s="70" t="str">
        <x:f>IFERROR(VLOOKUP(B377,'02_案例与预测'!$A$6:$E$65,5,FALSE),"")</x:f>
        <x:v>开发集</x:v>
      </x:c>
      <x:c r="D377" s="70" t="str">
        <x:v>RG04</x:v>
      </x:c>
      <x:c r="E377" s="70" t="str">
        <x:v>时间、地域与生活节奏</x:v>
      </x:c>
      <x:c r="F377" s="70" t="str"/>
      <x:c r="G377" s="70" t="str"/>
      <x:c r="H377" s="70" t="str"/>
      <x:c r="I377" s="70" t="str"/>
      <x:c r="J377" s="70" t="str">
        <x:f>IF(OR(F377="",I377=""),"",IF(OR(I377="unknown",I377="not_assessed"),"不可评估",IF(F377=I377,"完全支持",IF(OR(AND(F377="pass",I377="conditional"),AND(F377="conditional",I377="pass")),"部分支持","反例"))))</x:f>
      </x:c>
      <x:c r="K377" s="70" t="str"/>
      <x:c r="L377" s="70" t="str"/>
      <x:c r="M377" s="70" t="str"/>
      <x:c r="N377" s="70" t="str"/>
      <x:c r="O377" s="70" t="str"/>
      <x:c r="P377" s="70" t="str"/>
    </x:row>
    <x:row r="378">
      <x:c r="A378" s="70" t="str">
        <x:v>M5RG-0373</x:v>
      </x:c>
      <x:c r="B378" s="70" t="str">
        <x:v>M5C-047</x:v>
      </x:c>
      <x:c r="C378" s="70" t="str">
        <x:f>IFERROR(VLOOKUP(B378,'02_案例与预测'!$A$6:$E$65,5,FALSE),"")</x:f>
        <x:v>开发集</x:v>
      </x:c>
      <x:c r="D378" s="70" t="str">
        <x:v>RG05</x:v>
      </x:c>
      <x:c r="E378" s="70" t="str">
        <x:v>金钱、资源与劳动分配</x:v>
      </x:c>
      <x:c r="F378" s="70" t="str"/>
      <x:c r="G378" s="70" t="str"/>
      <x:c r="H378" s="70" t="str"/>
      <x:c r="I378" s="70" t="str"/>
      <x:c r="J378" s="70" t="str">
        <x:f>IF(OR(F378="",I378=""),"",IF(OR(I378="unknown",I378="not_assessed"),"不可评估",IF(F378=I378,"完全支持",IF(OR(AND(F378="pass",I378="conditional"),AND(F378="conditional",I378="pass")),"部分支持","反例"))))</x:f>
      </x:c>
      <x:c r="K378" s="70" t="str"/>
      <x:c r="L378" s="70" t="str"/>
      <x:c r="M378" s="70" t="str"/>
      <x:c r="N378" s="70" t="str"/>
      <x:c r="O378" s="70" t="str"/>
      <x:c r="P378" s="70" t="str"/>
    </x:row>
    <x:row r="379">
      <x:c r="A379" s="70" t="str">
        <x:v>M5RG-0374</x:v>
      </x:c>
      <x:c r="B379" s="70" t="str">
        <x:v>M5C-047</x:v>
      </x:c>
      <x:c r="C379" s="70" t="str">
        <x:f>IFERROR(VLOOKUP(B379,'02_案例与预测'!$A$6:$E$65,5,FALSE),"")</x:f>
        <x:v>开发集</x:v>
      </x:c>
      <x:c r="D379" s="70" t="str">
        <x:v>RG06</x:v>
      </x:c>
      <x:c r="E379" s="70" t="str">
        <x:v>家庭、婚育与照护责任</x:v>
      </x:c>
      <x:c r="F379" s="70" t="str"/>
      <x:c r="G379" s="70" t="str"/>
      <x:c r="H379" s="70" t="str"/>
      <x:c r="I379" s="70" t="str"/>
      <x:c r="J379" s="70" t="str">
        <x:f>IF(OR(F379="",I379=""),"",IF(OR(I379="unknown",I379="not_assessed"),"不可评估",IF(F379=I379,"完全支持",IF(OR(AND(F379="pass",I379="conditional"),AND(F379="conditional",I379="pass")),"部分支持","反例"))))</x:f>
      </x:c>
      <x:c r="K379" s="70" t="str"/>
      <x:c r="L379" s="70" t="str"/>
      <x:c r="M379" s="70" t="str"/>
      <x:c r="N379" s="70" t="str"/>
      <x:c r="O379" s="70" t="str"/>
      <x:c r="P379" s="70" t="str"/>
    </x:row>
    <x:row r="380">
      <x:c r="A380" s="70" t="str">
        <x:v>M5RG-0375</x:v>
      </x:c>
      <x:c r="B380" s="70" t="str">
        <x:v>M5C-047</x:v>
      </x:c>
      <x:c r="C380" s="70" t="str">
        <x:f>IFERROR(VLOOKUP(B380,'02_案例与预测'!$A$6:$E$65,5,FALSE),"")</x:f>
        <x:v>开发集</x:v>
      </x:c>
      <x:c r="D380" s="70" t="str">
        <x:v>RG07</x:v>
      </x:c>
      <x:c r="E380" s="70" t="str">
        <x:v>身体、亲密、隐私与健康</x:v>
      </x:c>
      <x:c r="F380" s="70" t="str"/>
      <x:c r="G380" s="70" t="str"/>
      <x:c r="H380" s="70" t="str"/>
      <x:c r="I380" s="70" t="str"/>
      <x:c r="J380" s="70" t="str">
        <x:f>IF(OR(F380="",I380=""),"",IF(OR(I380="unknown",I380="not_assessed"),"不可评估",IF(F380=I380,"完全支持",IF(OR(AND(F380="pass",I380="conditional"),AND(F380="conditional",I380="pass")),"部分支持","反例"))))</x:f>
      </x:c>
      <x:c r="K380" s="70" t="str"/>
      <x:c r="L380" s="70" t="str"/>
      <x:c r="M380" s="70" t="str"/>
      <x:c r="N380" s="70" t="str"/>
      <x:c r="O380" s="70" t="str"/>
      <x:c r="P380" s="70" t="str"/>
    </x:row>
    <x:row r="381">
      <x:c r="A381" s="70" t="str">
        <x:v>M5RG-0376</x:v>
      </x:c>
      <x:c r="B381" s="70" t="str">
        <x:v>M5C-047</x:v>
      </x:c>
      <x:c r="C381" s="70" t="str">
        <x:f>IFERROR(VLOOKUP(B381,'02_案例与预测'!$A$6:$E$65,5,FALSE),"")</x:f>
        <x:v>开发集</x:v>
      </x:c>
      <x:c r="D381" s="70" t="str">
        <x:v>RG08</x:v>
      </x:c>
      <x:c r="E381" s="70" t="str">
        <x:v>冲突、修复与学习意愿</x:v>
      </x:c>
      <x:c r="F381" s="70" t="str"/>
      <x:c r="G381" s="70" t="str"/>
      <x:c r="H381" s="70" t="str"/>
      <x:c r="I381" s="70" t="str"/>
      <x:c r="J381" s="70" t="str">
        <x:f>IF(OR(F381="",I381=""),"",IF(OR(I381="unknown",I381="not_assessed"),"不可评估",IF(F381=I381,"完全支持",IF(OR(AND(F381="pass",I381="conditional"),AND(F381="conditional",I381="pass")),"部分支持","反例"))))</x:f>
      </x:c>
      <x:c r="K381" s="70" t="str"/>
      <x:c r="L381" s="70" t="str"/>
      <x:c r="M381" s="70" t="str"/>
      <x:c r="N381" s="70" t="str"/>
      <x:c r="O381" s="70" t="str"/>
      <x:c r="P381" s="70" t="str"/>
    </x:row>
    <x:row r="382">
      <x:c r="A382" s="70" t="str">
        <x:v>M5RG-0377</x:v>
      </x:c>
      <x:c r="B382" s="70" t="str">
        <x:v>M5C-048</x:v>
      </x:c>
      <x:c r="C382" s="70" t="str">
        <x:f>IFERROR(VLOOKUP(B382,'02_案例与预测'!$A$6:$E$65,5,FALSE),"")</x:f>
        <x:v>留出集</x:v>
      </x:c>
      <x:c r="D382" s="70" t="str">
        <x:v>RG01</x:v>
      </x:c>
      <x:c r="E382" s="70" t="str">
        <x:v>安全、同意与尊重</x:v>
      </x:c>
      <x:c r="F382" s="70" t="str"/>
      <x:c r="G382" s="70" t="str"/>
      <x:c r="H382" s="70" t="str"/>
      <x:c r="I382" s="70" t="str"/>
      <x:c r="J382" s="70" t="str">
        <x:f>IF(OR(F382="",I382=""),"",IF(OR(I382="unknown",I382="not_assessed"),"不可评估",IF(F382=I382,"完全支持",IF(OR(AND(F382="pass",I382="conditional"),AND(F382="conditional",I382="pass")),"部分支持","反例"))))</x:f>
      </x:c>
      <x:c r="K382" s="70" t="str"/>
      <x:c r="L382" s="70" t="str"/>
      <x:c r="M382" s="70" t="str"/>
      <x:c r="N382" s="70" t="str"/>
      <x:c r="O382" s="70" t="str"/>
      <x:c r="P382" s="70" t="str"/>
    </x:row>
    <x:row r="383">
      <x:c r="A383" s="70" t="str">
        <x:v>M5RG-0378</x:v>
      </x:c>
      <x:c r="B383" s="70" t="str">
        <x:v>M5C-048</x:v>
      </x:c>
      <x:c r="C383" s="70" t="str">
        <x:f>IFERROR(VLOOKUP(B383,'02_案例与预测'!$A$6:$E$65,5,FALSE),"")</x:f>
        <x:v>留出集</x:v>
      </x:c>
      <x:c r="D383" s="70" t="str">
        <x:v>RG02</x:v>
      </x:c>
      <x:c r="E383" s="70" t="str">
        <x:v>关系意图与承诺</x:v>
      </x:c>
      <x:c r="F383" s="70" t="str"/>
      <x:c r="G383" s="70" t="str"/>
      <x:c r="H383" s="70" t="str"/>
      <x:c r="I383" s="70" t="str"/>
      <x:c r="J383" s="70" t="str">
        <x:f>IF(OR(F383="",I383=""),"",IF(OR(I383="unknown",I383="not_assessed"),"不可评估",IF(F383=I383,"完全支持",IF(OR(AND(F383="pass",I383="conditional"),AND(F383="conditional",I383="pass")),"部分支持","反例"))))</x:f>
      </x:c>
      <x:c r="K383" s="70" t="str"/>
      <x:c r="L383" s="70" t="str"/>
      <x:c r="M383" s="70" t="str"/>
      <x:c r="N383" s="70" t="str"/>
      <x:c r="O383" s="70" t="str"/>
      <x:c r="P383" s="70" t="str"/>
    </x:row>
    <x:row r="384">
      <x:c r="A384" s="70" t="str">
        <x:v>M5RG-0379</x:v>
      </x:c>
      <x:c r="B384" s="70" t="str">
        <x:v>M5C-048</x:v>
      </x:c>
      <x:c r="C384" s="70" t="str">
        <x:f>IFERROR(VLOOKUP(B384,'02_案例与预测'!$A$6:$E$65,5,FALSE),"")</x:f>
        <x:v>留出集</x:v>
      </x:c>
      <x:c r="D384" s="70" t="str">
        <x:v>RG03</x:v>
      </x:c>
      <x:c r="E384" s="70" t="str">
        <x:v>价值观与人生目标</x:v>
      </x:c>
      <x:c r="F384" s="70" t="str"/>
      <x:c r="G384" s="70" t="str"/>
      <x:c r="H384" s="70" t="str"/>
      <x:c r="I384" s="70" t="str"/>
      <x:c r="J384" s="70" t="str">
        <x:f>IF(OR(F384="",I384=""),"",IF(OR(I384="unknown",I384="not_assessed"),"不可评估",IF(F384=I384,"完全支持",IF(OR(AND(F384="pass",I384="conditional"),AND(F384="conditional",I384="pass")),"部分支持","反例"))))</x:f>
      </x:c>
      <x:c r="K384" s="70" t="str"/>
      <x:c r="L384" s="70" t="str"/>
      <x:c r="M384" s="70" t="str"/>
      <x:c r="N384" s="70" t="str"/>
      <x:c r="O384" s="70" t="str"/>
      <x:c r="P384" s="70" t="str"/>
    </x:row>
    <x:row r="385">
      <x:c r="A385" s="70" t="str">
        <x:v>M5RG-0380</x:v>
      </x:c>
      <x:c r="B385" s="70" t="str">
        <x:v>M5C-048</x:v>
      </x:c>
      <x:c r="C385" s="70" t="str">
        <x:f>IFERROR(VLOOKUP(B385,'02_案例与预测'!$A$6:$E$65,5,FALSE),"")</x:f>
        <x:v>留出集</x:v>
      </x:c>
      <x:c r="D385" s="70" t="str">
        <x:v>RG04</x:v>
      </x:c>
      <x:c r="E385" s="70" t="str">
        <x:v>时间、地域与生活节奏</x:v>
      </x:c>
      <x:c r="F385" s="70" t="str"/>
      <x:c r="G385" s="70" t="str"/>
      <x:c r="H385" s="70" t="str"/>
      <x:c r="I385" s="70" t="str"/>
      <x:c r="J385" s="70" t="str">
        <x:f>IF(OR(F385="",I385=""),"",IF(OR(I385="unknown",I385="not_assessed"),"不可评估",IF(F385=I385,"完全支持",IF(OR(AND(F385="pass",I385="conditional"),AND(F385="conditional",I385="pass")),"部分支持","反例"))))</x:f>
      </x:c>
      <x:c r="K385" s="70" t="str"/>
      <x:c r="L385" s="70" t="str"/>
      <x:c r="M385" s="70" t="str"/>
      <x:c r="N385" s="70" t="str"/>
      <x:c r="O385" s="70" t="str"/>
      <x:c r="P385" s="70" t="str"/>
    </x:row>
    <x:row r="386">
      <x:c r="A386" s="70" t="str">
        <x:v>M5RG-0381</x:v>
      </x:c>
      <x:c r="B386" s="70" t="str">
        <x:v>M5C-048</x:v>
      </x:c>
      <x:c r="C386" s="70" t="str">
        <x:f>IFERROR(VLOOKUP(B386,'02_案例与预测'!$A$6:$E$65,5,FALSE),"")</x:f>
        <x:v>留出集</x:v>
      </x:c>
      <x:c r="D386" s="70" t="str">
        <x:v>RG05</x:v>
      </x:c>
      <x:c r="E386" s="70" t="str">
        <x:v>金钱、资源与劳动分配</x:v>
      </x:c>
      <x:c r="F386" s="70" t="str"/>
      <x:c r="G386" s="70" t="str"/>
      <x:c r="H386" s="70" t="str"/>
      <x:c r="I386" s="70" t="str"/>
      <x:c r="J386" s="70" t="str">
        <x:f>IF(OR(F386="",I386=""),"",IF(OR(I386="unknown",I386="not_assessed"),"不可评估",IF(F386=I386,"完全支持",IF(OR(AND(F386="pass",I386="conditional"),AND(F386="conditional",I386="pass")),"部分支持","反例"))))</x:f>
      </x:c>
      <x:c r="K386" s="70" t="str"/>
      <x:c r="L386" s="70" t="str"/>
      <x:c r="M386" s="70" t="str"/>
      <x:c r="N386" s="70" t="str"/>
      <x:c r="O386" s="70" t="str"/>
      <x:c r="P386" s="70" t="str"/>
    </x:row>
    <x:row r="387">
      <x:c r="A387" s="70" t="str">
        <x:v>M5RG-0382</x:v>
      </x:c>
      <x:c r="B387" s="70" t="str">
        <x:v>M5C-048</x:v>
      </x:c>
      <x:c r="C387" s="70" t="str">
        <x:f>IFERROR(VLOOKUP(B387,'02_案例与预测'!$A$6:$E$65,5,FALSE),"")</x:f>
        <x:v>留出集</x:v>
      </x:c>
      <x:c r="D387" s="70" t="str">
        <x:v>RG06</x:v>
      </x:c>
      <x:c r="E387" s="70" t="str">
        <x:v>家庭、婚育与照护责任</x:v>
      </x:c>
      <x:c r="F387" s="70" t="str"/>
      <x:c r="G387" s="70" t="str"/>
      <x:c r="H387" s="70" t="str"/>
      <x:c r="I387" s="70" t="str"/>
      <x:c r="J387" s="70" t="str">
        <x:f>IF(OR(F387="",I387=""),"",IF(OR(I387="unknown",I387="not_assessed"),"不可评估",IF(F387=I387,"完全支持",IF(OR(AND(F387="pass",I387="conditional"),AND(F387="conditional",I387="pass")),"部分支持","反例"))))</x:f>
      </x:c>
      <x:c r="K387" s="70" t="str"/>
      <x:c r="L387" s="70" t="str"/>
      <x:c r="M387" s="70" t="str"/>
      <x:c r="N387" s="70" t="str"/>
      <x:c r="O387" s="70" t="str"/>
      <x:c r="P387" s="70" t="str"/>
    </x:row>
    <x:row r="388">
      <x:c r="A388" s="70" t="str">
        <x:v>M5RG-0383</x:v>
      </x:c>
      <x:c r="B388" s="70" t="str">
        <x:v>M5C-048</x:v>
      </x:c>
      <x:c r="C388" s="70" t="str">
        <x:f>IFERROR(VLOOKUP(B388,'02_案例与预测'!$A$6:$E$65,5,FALSE),"")</x:f>
        <x:v>留出集</x:v>
      </x:c>
      <x:c r="D388" s="70" t="str">
        <x:v>RG07</x:v>
      </x:c>
      <x:c r="E388" s="70" t="str">
        <x:v>身体、亲密、隐私与健康</x:v>
      </x:c>
      <x:c r="F388" s="70" t="str"/>
      <x:c r="G388" s="70" t="str"/>
      <x:c r="H388" s="70" t="str"/>
      <x:c r="I388" s="70" t="str"/>
      <x:c r="J388" s="70" t="str">
        <x:f>IF(OR(F388="",I388=""),"",IF(OR(I388="unknown",I388="not_assessed"),"不可评估",IF(F388=I388,"完全支持",IF(OR(AND(F388="pass",I388="conditional"),AND(F388="conditional",I388="pass")),"部分支持","反例"))))</x:f>
      </x:c>
      <x:c r="K388" s="70" t="str"/>
      <x:c r="L388" s="70" t="str"/>
      <x:c r="M388" s="70" t="str"/>
      <x:c r="N388" s="70" t="str"/>
      <x:c r="O388" s="70" t="str"/>
      <x:c r="P388" s="70" t="str"/>
    </x:row>
    <x:row r="389">
      <x:c r="A389" s="70" t="str">
        <x:v>M5RG-0384</x:v>
      </x:c>
      <x:c r="B389" s="70" t="str">
        <x:v>M5C-048</x:v>
      </x:c>
      <x:c r="C389" s="70" t="str">
        <x:f>IFERROR(VLOOKUP(B389,'02_案例与预测'!$A$6:$E$65,5,FALSE),"")</x:f>
        <x:v>留出集</x:v>
      </x:c>
      <x:c r="D389" s="70" t="str">
        <x:v>RG08</x:v>
      </x:c>
      <x:c r="E389" s="70" t="str">
        <x:v>冲突、修复与学习意愿</x:v>
      </x:c>
      <x:c r="F389" s="70" t="str"/>
      <x:c r="G389" s="70" t="str"/>
      <x:c r="H389" s="70" t="str"/>
      <x:c r="I389" s="70" t="str"/>
      <x:c r="J389" s="70" t="str">
        <x:f>IF(OR(F389="",I389=""),"",IF(OR(I389="unknown",I389="not_assessed"),"不可评估",IF(F389=I389,"完全支持",IF(OR(AND(F389="pass",I389="conditional"),AND(F389="conditional",I389="pass")),"部分支持","反例"))))</x:f>
      </x:c>
      <x:c r="K389" s="70" t="str"/>
      <x:c r="L389" s="70" t="str"/>
      <x:c r="M389" s="70" t="str"/>
      <x:c r="N389" s="70" t="str"/>
      <x:c r="O389" s="70" t="str"/>
      <x:c r="P389" s="70" t="str"/>
    </x:row>
    <x:row r="390">
      <x:c r="A390" s="70" t="str">
        <x:v>M5RG-0385</x:v>
      </x:c>
      <x:c r="B390" s="70" t="str">
        <x:v>M5C-049</x:v>
      </x:c>
      <x:c r="C390" s="70" t="str">
        <x:f>IFERROR(VLOOKUP(B390,'02_案例与预测'!$A$6:$E$65,5,FALSE),"")</x:f>
        <x:v>留出集</x:v>
      </x:c>
      <x:c r="D390" s="70" t="str">
        <x:v>RG01</x:v>
      </x:c>
      <x:c r="E390" s="70" t="str">
        <x:v>安全、同意与尊重</x:v>
      </x:c>
      <x:c r="F390" s="70" t="str"/>
      <x:c r="G390" s="70" t="str"/>
      <x:c r="H390" s="70" t="str"/>
      <x:c r="I390" s="70" t="str"/>
      <x:c r="J390" s="70" t="str">
        <x:f>IF(OR(F390="",I390=""),"",IF(OR(I390="unknown",I390="not_assessed"),"不可评估",IF(F390=I390,"完全支持",IF(OR(AND(F390="pass",I390="conditional"),AND(F390="conditional",I390="pass")),"部分支持","反例"))))</x:f>
      </x:c>
      <x:c r="K390" s="70" t="str"/>
      <x:c r="L390" s="70" t="str"/>
      <x:c r="M390" s="70" t="str"/>
      <x:c r="N390" s="70" t="str"/>
      <x:c r="O390" s="70" t="str"/>
      <x:c r="P390" s="70" t="str"/>
    </x:row>
    <x:row r="391">
      <x:c r="A391" s="70" t="str">
        <x:v>M5RG-0386</x:v>
      </x:c>
      <x:c r="B391" s="70" t="str">
        <x:v>M5C-049</x:v>
      </x:c>
      <x:c r="C391" s="70" t="str">
        <x:f>IFERROR(VLOOKUP(B391,'02_案例与预测'!$A$6:$E$65,5,FALSE),"")</x:f>
        <x:v>留出集</x:v>
      </x:c>
      <x:c r="D391" s="70" t="str">
        <x:v>RG02</x:v>
      </x:c>
      <x:c r="E391" s="70" t="str">
        <x:v>关系意图与承诺</x:v>
      </x:c>
      <x:c r="F391" s="70" t="str"/>
      <x:c r="G391" s="70" t="str"/>
      <x:c r="H391" s="70" t="str"/>
      <x:c r="I391" s="70" t="str"/>
      <x:c r="J391" s="70" t="str">
        <x:f>IF(OR(F391="",I391=""),"",IF(OR(I391="unknown",I391="not_assessed"),"不可评估",IF(F391=I391,"完全支持",IF(OR(AND(F391="pass",I391="conditional"),AND(F391="conditional",I391="pass")),"部分支持","反例"))))</x:f>
      </x:c>
      <x:c r="K391" s="70" t="str"/>
      <x:c r="L391" s="70" t="str"/>
      <x:c r="M391" s="70" t="str"/>
      <x:c r="N391" s="70" t="str"/>
      <x:c r="O391" s="70" t="str"/>
      <x:c r="P391" s="70" t="str"/>
    </x:row>
    <x:row r="392">
      <x:c r="A392" s="70" t="str">
        <x:v>M5RG-0387</x:v>
      </x:c>
      <x:c r="B392" s="70" t="str">
        <x:v>M5C-049</x:v>
      </x:c>
      <x:c r="C392" s="70" t="str">
        <x:f>IFERROR(VLOOKUP(B392,'02_案例与预测'!$A$6:$E$65,5,FALSE),"")</x:f>
        <x:v>留出集</x:v>
      </x:c>
      <x:c r="D392" s="70" t="str">
        <x:v>RG03</x:v>
      </x:c>
      <x:c r="E392" s="70" t="str">
        <x:v>价值观与人生目标</x:v>
      </x:c>
      <x:c r="F392" s="70" t="str"/>
      <x:c r="G392" s="70" t="str"/>
      <x:c r="H392" s="70" t="str"/>
      <x:c r="I392" s="70" t="str"/>
      <x:c r="J392" s="70" t="str">
        <x:f>IF(OR(F392="",I392=""),"",IF(OR(I392="unknown",I392="not_assessed"),"不可评估",IF(F392=I392,"完全支持",IF(OR(AND(F392="pass",I392="conditional"),AND(F392="conditional",I392="pass")),"部分支持","反例"))))</x:f>
      </x:c>
      <x:c r="K392" s="70" t="str"/>
      <x:c r="L392" s="70" t="str"/>
      <x:c r="M392" s="70" t="str"/>
      <x:c r="N392" s="70" t="str"/>
      <x:c r="O392" s="70" t="str"/>
      <x:c r="P392" s="70" t="str"/>
    </x:row>
    <x:row r="393">
      <x:c r="A393" s="70" t="str">
        <x:v>M5RG-0388</x:v>
      </x:c>
      <x:c r="B393" s="70" t="str">
        <x:v>M5C-049</x:v>
      </x:c>
      <x:c r="C393" s="70" t="str">
        <x:f>IFERROR(VLOOKUP(B393,'02_案例与预测'!$A$6:$E$65,5,FALSE),"")</x:f>
        <x:v>留出集</x:v>
      </x:c>
      <x:c r="D393" s="70" t="str">
        <x:v>RG04</x:v>
      </x:c>
      <x:c r="E393" s="70" t="str">
        <x:v>时间、地域与生活节奏</x:v>
      </x:c>
      <x:c r="F393" s="70" t="str"/>
      <x:c r="G393" s="70" t="str"/>
      <x:c r="H393" s="70" t="str"/>
      <x:c r="I393" s="70" t="str"/>
      <x:c r="J393" s="70" t="str">
        <x:f>IF(OR(F393="",I393=""),"",IF(OR(I393="unknown",I393="not_assessed"),"不可评估",IF(F393=I393,"完全支持",IF(OR(AND(F393="pass",I393="conditional"),AND(F393="conditional",I393="pass")),"部分支持","反例"))))</x:f>
      </x:c>
      <x:c r="K393" s="70" t="str"/>
      <x:c r="L393" s="70" t="str"/>
      <x:c r="M393" s="70" t="str"/>
      <x:c r="N393" s="70" t="str"/>
      <x:c r="O393" s="70" t="str"/>
      <x:c r="P393" s="70" t="str"/>
    </x:row>
    <x:row r="394">
      <x:c r="A394" s="70" t="str">
        <x:v>M5RG-0389</x:v>
      </x:c>
      <x:c r="B394" s="70" t="str">
        <x:v>M5C-049</x:v>
      </x:c>
      <x:c r="C394" s="70" t="str">
        <x:f>IFERROR(VLOOKUP(B394,'02_案例与预测'!$A$6:$E$65,5,FALSE),"")</x:f>
        <x:v>留出集</x:v>
      </x:c>
      <x:c r="D394" s="70" t="str">
        <x:v>RG05</x:v>
      </x:c>
      <x:c r="E394" s="70" t="str">
        <x:v>金钱、资源与劳动分配</x:v>
      </x:c>
      <x:c r="F394" s="70" t="str"/>
      <x:c r="G394" s="70" t="str"/>
      <x:c r="H394" s="70" t="str"/>
      <x:c r="I394" s="70" t="str"/>
      <x:c r="J394" s="70" t="str">
        <x:f>IF(OR(F394="",I394=""),"",IF(OR(I394="unknown",I394="not_assessed"),"不可评估",IF(F394=I394,"完全支持",IF(OR(AND(F394="pass",I394="conditional"),AND(F394="conditional",I394="pass")),"部分支持","反例"))))</x:f>
      </x:c>
      <x:c r="K394" s="70" t="str"/>
      <x:c r="L394" s="70" t="str"/>
      <x:c r="M394" s="70" t="str"/>
      <x:c r="N394" s="70" t="str"/>
      <x:c r="O394" s="70" t="str"/>
      <x:c r="P394" s="70" t="str"/>
    </x:row>
    <x:row r="395">
      <x:c r="A395" s="70" t="str">
        <x:v>M5RG-0390</x:v>
      </x:c>
      <x:c r="B395" s="70" t="str">
        <x:v>M5C-049</x:v>
      </x:c>
      <x:c r="C395" s="70" t="str">
        <x:f>IFERROR(VLOOKUP(B395,'02_案例与预测'!$A$6:$E$65,5,FALSE),"")</x:f>
        <x:v>留出集</x:v>
      </x:c>
      <x:c r="D395" s="70" t="str">
        <x:v>RG06</x:v>
      </x:c>
      <x:c r="E395" s="70" t="str">
        <x:v>家庭、婚育与照护责任</x:v>
      </x:c>
      <x:c r="F395" s="70" t="str"/>
      <x:c r="G395" s="70" t="str"/>
      <x:c r="H395" s="70" t="str"/>
      <x:c r="I395" s="70" t="str"/>
      <x:c r="J395" s="70" t="str">
        <x:f>IF(OR(F395="",I395=""),"",IF(OR(I395="unknown",I395="not_assessed"),"不可评估",IF(F395=I395,"完全支持",IF(OR(AND(F395="pass",I395="conditional"),AND(F395="conditional",I395="pass")),"部分支持","反例"))))</x:f>
      </x:c>
      <x:c r="K395" s="70" t="str"/>
      <x:c r="L395" s="70" t="str"/>
      <x:c r="M395" s="70" t="str"/>
      <x:c r="N395" s="70" t="str"/>
      <x:c r="O395" s="70" t="str"/>
      <x:c r="P395" s="70" t="str"/>
    </x:row>
    <x:row r="396">
      <x:c r="A396" s="70" t="str">
        <x:v>M5RG-0391</x:v>
      </x:c>
      <x:c r="B396" s="70" t="str">
        <x:v>M5C-049</x:v>
      </x:c>
      <x:c r="C396" s="70" t="str">
        <x:f>IFERROR(VLOOKUP(B396,'02_案例与预测'!$A$6:$E$65,5,FALSE),"")</x:f>
        <x:v>留出集</x:v>
      </x:c>
      <x:c r="D396" s="70" t="str">
        <x:v>RG07</x:v>
      </x:c>
      <x:c r="E396" s="70" t="str">
        <x:v>身体、亲密、隐私与健康</x:v>
      </x:c>
      <x:c r="F396" s="70" t="str"/>
      <x:c r="G396" s="70" t="str"/>
      <x:c r="H396" s="70" t="str"/>
      <x:c r="I396" s="70" t="str"/>
      <x:c r="J396" s="70" t="str">
        <x:f>IF(OR(F396="",I396=""),"",IF(OR(I396="unknown",I396="not_assessed"),"不可评估",IF(F396=I396,"完全支持",IF(OR(AND(F396="pass",I396="conditional"),AND(F396="conditional",I396="pass")),"部分支持","反例"))))</x:f>
      </x:c>
      <x:c r="K396" s="70" t="str"/>
      <x:c r="L396" s="70" t="str"/>
      <x:c r="M396" s="70" t="str"/>
      <x:c r="N396" s="70" t="str"/>
      <x:c r="O396" s="70" t="str"/>
      <x:c r="P396" s="70" t="str"/>
    </x:row>
    <x:row r="397">
      <x:c r="A397" s="70" t="str">
        <x:v>M5RG-0392</x:v>
      </x:c>
      <x:c r="B397" s="70" t="str">
        <x:v>M5C-049</x:v>
      </x:c>
      <x:c r="C397" s="70" t="str">
        <x:f>IFERROR(VLOOKUP(B397,'02_案例与预测'!$A$6:$E$65,5,FALSE),"")</x:f>
        <x:v>留出集</x:v>
      </x:c>
      <x:c r="D397" s="70" t="str">
        <x:v>RG08</x:v>
      </x:c>
      <x:c r="E397" s="70" t="str">
        <x:v>冲突、修复与学习意愿</x:v>
      </x:c>
      <x:c r="F397" s="70" t="str"/>
      <x:c r="G397" s="70" t="str"/>
      <x:c r="H397" s="70" t="str"/>
      <x:c r="I397" s="70" t="str"/>
      <x:c r="J397" s="70" t="str">
        <x:f>IF(OR(F397="",I397=""),"",IF(OR(I397="unknown",I397="not_assessed"),"不可评估",IF(F397=I397,"完全支持",IF(OR(AND(F397="pass",I397="conditional"),AND(F397="conditional",I397="pass")),"部分支持","反例"))))</x:f>
      </x:c>
      <x:c r="K397" s="70" t="str"/>
      <x:c r="L397" s="70" t="str"/>
      <x:c r="M397" s="70" t="str"/>
      <x:c r="N397" s="70" t="str"/>
      <x:c r="O397" s="70" t="str"/>
      <x:c r="P397" s="70" t="str"/>
    </x:row>
    <x:row r="398">
      <x:c r="A398" s="70" t="str">
        <x:v>M5RG-0393</x:v>
      </x:c>
      <x:c r="B398" s="70" t="str">
        <x:v>M5C-050</x:v>
      </x:c>
      <x:c r="C398" s="70" t="str">
        <x:f>IFERROR(VLOOKUP(B398,'02_案例与预测'!$A$6:$E$65,5,FALSE),"")</x:f>
        <x:v>留出集</x:v>
      </x:c>
      <x:c r="D398" s="70" t="str">
        <x:v>RG01</x:v>
      </x:c>
      <x:c r="E398" s="70" t="str">
        <x:v>安全、同意与尊重</x:v>
      </x:c>
      <x:c r="F398" s="70" t="str"/>
      <x:c r="G398" s="70" t="str"/>
      <x:c r="H398" s="70" t="str"/>
      <x:c r="I398" s="70" t="str"/>
      <x:c r="J398" s="70" t="str">
        <x:f>IF(OR(F398="",I398=""),"",IF(OR(I398="unknown",I398="not_assessed"),"不可评估",IF(F398=I398,"完全支持",IF(OR(AND(F398="pass",I398="conditional"),AND(F398="conditional",I398="pass")),"部分支持","反例"))))</x:f>
      </x:c>
      <x:c r="K398" s="70" t="str"/>
      <x:c r="L398" s="70" t="str"/>
      <x:c r="M398" s="70" t="str"/>
      <x:c r="N398" s="70" t="str"/>
      <x:c r="O398" s="70" t="str"/>
      <x:c r="P398" s="70" t="str"/>
    </x:row>
    <x:row r="399">
      <x:c r="A399" s="70" t="str">
        <x:v>M5RG-0394</x:v>
      </x:c>
      <x:c r="B399" s="70" t="str">
        <x:v>M5C-050</x:v>
      </x:c>
      <x:c r="C399" s="70" t="str">
        <x:f>IFERROR(VLOOKUP(B399,'02_案例与预测'!$A$6:$E$65,5,FALSE),"")</x:f>
        <x:v>留出集</x:v>
      </x:c>
      <x:c r="D399" s="70" t="str">
        <x:v>RG02</x:v>
      </x:c>
      <x:c r="E399" s="70" t="str">
        <x:v>关系意图与承诺</x:v>
      </x:c>
      <x:c r="F399" s="70" t="str"/>
      <x:c r="G399" s="70" t="str"/>
      <x:c r="H399" s="70" t="str"/>
      <x:c r="I399" s="70" t="str"/>
      <x:c r="J399" s="70" t="str">
        <x:f>IF(OR(F399="",I399=""),"",IF(OR(I399="unknown",I399="not_assessed"),"不可评估",IF(F399=I399,"完全支持",IF(OR(AND(F399="pass",I399="conditional"),AND(F399="conditional",I399="pass")),"部分支持","反例"))))</x:f>
      </x:c>
      <x:c r="K399" s="70" t="str"/>
      <x:c r="L399" s="70" t="str"/>
      <x:c r="M399" s="70" t="str"/>
      <x:c r="N399" s="70" t="str"/>
      <x:c r="O399" s="70" t="str"/>
      <x:c r="P399" s="70" t="str"/>
    </x:row>
    <x:row r="400">
      <x:c r="A400" s="70" t="str">
        <x:v>M5RG-0395</x:v>
      </x:c>
      <x:c r="B400" s="70" t="str">
        <x:v>M5C-050</x:v>
      </x:c>
      <x:c r="C400" s="70" t="str">
        <x:f>IFERROR(VLOOKUP(B400,'02_案例与预测'!$A$6:$E$65,5,FALSE),"")</x:f>
        <x:v>留出集</x:v>
      </x:c>
      <x:c r="D400" s="70" t="str">
        <x:v>RG03</x:v>
      </x:c>
      <x:c r="E400" s="70" t="str">
        <x:v>价值观与人生目标</x:v>
      </x:c>
      <x:c r="F400" s="70" t="str"/>
      <x:c r="G400" s="70" t="str"/>
      <x:c r="H400" s="70" t="str"/>
      <x:c r="I400" s="70" t="str"/>
      <x:c r="J400" s="70" t="str">
        <x:f>IF(OR(F400="",I400=""),"",IF(OR(I400="unknown",I400="not_assessed"),"不可评估",IF(F400=I400,"完全支持",IF(OR(AND(F400="pass",I400="conditional"),AND(F400="conditional",I400="pass")),"部分支持","反例"))))</x:f>
      </x:c>
      <x:c r="K400" s="70" t="str"/>
      <x:c r="L400" s="70" t="str"/>
      <x:c r="M400" s="70" t="str"/>
      <x:c r="N400" s="70" t="str"/>
      <x:c r="O400" s="70" t="str"/>
      <x:c r="P400" s="70" t="str"/>
    </x:row>
    <x:row r="401">
      <x:c r="A401" s="70" t="str">
        <x:v>M5RG-0396</x:v>
      </x:c>
      <x:c r="B401" s="70" t="str">
        <x:v>M5C-050</x:v>
      </x:c>
      <x:c r="C401" s="70" t="str">
        <x:f>IFERROR(VLOOKUP(B401,'02_案例与预测'!$A$6:$E$65,5,FALSE),"")</x:f>
        <x:v>留出集</x:v>
      </x:c>
      <x:c r="D401" s="70" t="str">
        <x:v>RG04</x:v>
      </x:c>
      <x:c r="E401" s="70" t="str">
        <x:v>时间、地域与生活节奏</x:v>
      </x:c>
      <x:c r="F401" s="70" t="str"/>
      <x:c r="G401" s="70" t="str"/>
      <x:c r="H401" s="70" t="str"/>
      <x:c r="I401" s="70" t="str"/>
      <x:c r="J401" s="70" t="str">
        <x:f>IF(OR(F401="",I401=""),"",IF(OR(I401="unknown",I401="not_assessed"),"不可评估",IF(F401=I401,"完全支持",IF(OR(AND(F401="pass",I401="conditional"),AND(F401="conditional",I401="pass")),"部分支持","反例"))))</x:f>
      </x:c>
      <x:c r="K401" s="70" t="str"/>
      <x:c r="L401" s="70" t="str"/>
      <x:c r="M401" s="70" t="str"/>
      <x:c r="N401" s="70" t="str"/>
      <x:c r="O401" s="70" t="str"/>
      <x:c r="P401" s="70" t="str"/>
    </x:row>
    <x:row r="402">
      <x:c r="A402" s="70" t="str">
        <x:v>M5RG-0397</x:v>
      </x:c>
      <x:c r="B402" s="70" t="str">
        <x:v>M5C-050</x:v>
      </x:c>
      <x:c r="C402" s="70" t="str">
        <x:f>IFERROR(VLOOKUP(B402,'02_案例与预测'!$A$6:$E$65,5,FALSE),"")</x:f>
        <x:v>留出集</x:v>
      </x:c>
      <x:c r="D402" s="70" t="str">
        <x:v>RG05</x:v>
      </x:c>
      <x:c r="E402" s="70" t="str">
        <x:v>金钱、资源与劳动分配</x:v>
      </x:c>
      <x:c r="F402" s="70" t="str"/>
      <x:c r="G402" s="70" t="str"/>
      <x:c r="H402" s="70" t="str"/>
      <x:c r="I402" s="70" t="str"/>
      <x:c r="J402" s="70" t="str">
        <x:f>IF(OR(F402="",I402=""),"",IF(OR(I402="unknown",I402="not_assessed"),"不可评估",IF(F402=I402,"完全支持",IF(OR(AND(F402="pass",I402="conditional"),AND(F402="conditional",I402="pass")),"部分支持","反例"))))</x:f>
      </x:c>
      <x:c r="K402" s="70" t="str"/>
      <x:c r="L402" s="70" t="str"/>
      <x:c r="M402" s="70" t="str"/>
      <x:c r="N402" s="70" t="str"/>
      <x:c r="O402" s="70" t="str"/>
      <x:c r="P402" s="70" t="str"/>
    </x:row>
    <x:row r="403">
      <x:c r="A403" s="70" t="str">
        <x:v>M5RG-0398</x:v>
      </x:c>
      <x:c r="B403" s="70" t="str">
        <x:v>M5C-050</x:v>
      </x:c>
      <x:c r="C403" s="70" t="str">
        <x:f>IFERROR(VLOOKUP(B403,'02_案例与预测'!$A$6:$E$65,5,FALSE),"")</x:f>
        <x:v>留出集</x:v>
      </x:c>
      <x:c r="D403" s="70" t="str">
        <x:v>RG06</x:v>
      </x:c>
      <x:c r="E403" s="70" t="str">
        <x:v>家庭、婚育与照护责任</x:v>
      </x:c>
      <x:c r="F403" s="70" t="str"/>
      <x:c r="G403" s="70" t="str"/>
      <x:c r="H403" s="70" t="str"/>
      <x:c r="I403" s="70" t="str"/>
      <x:c r="J403" s="70" t="str">
        <x:f>IF(OR(F403="",I403=""),"",IF(OR(I403="unknown",I403="not_assessed"),"不可评估",IF(F403=I403,"完全支持",IF(OR(AND(F403="pass",I403="conditional"),AND(F403="conditional",I403="pass")),"部分支持","反例"))))</x:f>
      </x:c>
      <x:c r="K403" s="70" t="str"/>
      <x:c r="L403" s="70" t="str"/>
      <x:c r="M403" s="70" t="str"/>
      <x:c r="N403" s="70" t="str"/>
      <x:c r="O403" s="70" t="str"/>
      <x:c r="P403" s="70" t="str"/>
    </x:row>
    <x:row r="404">
      <x:c r="A404" s="70" t="str">
        <x:v>M5RG-0399</x:v>
      </x:c>
      <x:c r="B404" s="70" t="str">
        <x:v>M5C-050</x:v>
      </x:c>
      <x:c r="C404" s="70" t="str">
        <x:f>IFERROR(VLOOKUP(B404,'02_案例与预测'!$A$6:$E$65,5,FALSE),"")</x:f>
        <x:v>留出集</x:v>
      </x:c>
      <x:c r="D404" s="70" t="str">
        <x:v>RG07</x:v>
      </x:c>
      <x:c r="E404" s="70" t="str">
        <x:v>身体、亲密、隐私与健康</x:v>
      </x:c>
      <x:c r="F404" s="70" t="str"/>
      <x:c r="G404" s="70" t="str"/>
      <x:c r="H404" s="70" t="str"/>
      <x:c r="I404" s="70" t="str"/>
      <x:c r="J404" s="70" t="str">
        <x:f>IF(OR(F404="",I404=""),"",IF(OR(I404="unknown",I404="not_assessed"),"不可评估",IF(F404=I404,"完全支持",IF(OR(AND(F404="pass",I404="conditional"),AND(F404="conditional",I404="pass")),"部分支持","反例"))))</x:f>
      </x:c>
      <x:c r="K404" s="70" t="str"/>
      <x:c r="L404" s="70" t="str"/>
      <x:c r="M404" s="70" t="str"/>
      <x:c r="N404" s="70" t="str"/>
      <x:c r="O404" s="70" t="str"/>
      <x:c r="P404" s="70" t="str"/>
    </x:row>
    <x:row r="405">
      <x:c r="A405" s="70" t="str">
        <x:v>M5RG-0400</x:v>
      </x:c>
      <x:c r="B405" s="70" t="str">
        <x:v>M5C-050</x:v>
      </x:c>
      <x:c r="C405" s="70" t="str">
        <x:f>IFERROR(VLOOKUP(B405,'02_案例与预测'!$A$6:$E$65,5,FALSE),"")</x:f>
        <x:v>留出集</x:v>
      </x:c>
      <x:c r="D405" s="70" t="str">
        <x:v>RG08</x:v>
      </x:c>
      <x:c r="E405" s="70" t="str">
        <x:v>冲突、修复与学习意愿</x:v>
      </x:c>
      <x:c r="F405" s="70" t="str"/>
      <x:c r="G405" s="70" t="str"/>
      <x:c r="H405" s="70" t="str"/>
      <x:c r="I405" s="70" t="str"/>
      <x:c r="J405" s="70" t="str">
        <x:f>IF(OR(F405="",I405=""),"",IF(OR(I405="unknown",I405="not_assessed"),"不可评估",IF(F405=I405,"完全支持",IF(OR(AND(F405="pass",I405="conditional"),AND(F405="conditional",I405="pass")),"部分支持","反例"))))</x:f>
      </x:c>
      <x:c r="K405" s="70" t="str"/>
      <x:c r="L405" s="70" t="str"/>
      <x:c r="M405" s="70" t="str"/>
      <x:c r="N405" s="70" t="str"/>
      <x:c r="O405" s="70" t="str"/>
      <x:c r="P405" s="70" t="str"/>
    </x:row>
    <x:row r="406">
      <x:c r="A406" s="70" t="str">
        <x:v>M5RG-0401</x:v>
      </x:c>
      <x:c r="B406" s="70" t="str">
        <x:v>M5C-051</x:v>
      </x:c>
      <x:c r="C406" s="70" t="str">
        <x:f>IFERROR(VLOOKUP(B406,'02_案例与预测'!$A$6:$E$65,5,FALSE),"")</x:f>
        <x:v>开发集</x:v>
      </x:c>
      <x:c r="D406" s="70" t="str">
        <x:v>RG01</x:v>
      </x:c>
      <x:c r="E406" s="70" t="str">
        <x:v>安全、同意与尊重</x:v>
      </x:c>
      <x:c r="F406" s="70" t="str"/>
      <x:c r="G406" s="70" t="str"/>
      <x:c r="H406" s="70" t="str"/>
      <x:c r="I406" s="70" t="str"/>
      <x:c r="J406" s="70" t="str">
        <x:f>IF(OR(F406="",I406=""),"",IF(OR(I406="unknown",I406="not_assessed"),"不可评估",IF(F406=I406,"完全支持",IF(OR(AND(F406="pass",I406="conditional"),AND(F406="conditional",I406="pass")),"部分支持","反例"))))</x:f>
      </x:c>
      <x:c r="K406" s="70" t="str"/>
      <x:c r="L406" s="70" t="str"/>
      <x:c r="M406" s="70" t="str"/>
      <x:c r="N406" s="70" t="str"/>
      <x:c r="O406" s="70" t="str"/>
      <x:c r="P406" s="70" t="str"/>
    </x:row>
    <x:row r="407">
      <x:c r="A407" s="70" t="str">
        <x:v>M5RG-0402</x:v>
      </x:c>
      <x:c r="B407" s="70" t="str">
        <x:v>M5C-051</x:v>
      </x:c>
      <x:c r="C407" s="70" t="str">
        <x:f>IFERROR(VLOOKUP(B407,'02_案例与预测'!$A$6:$E$65,5,FALSE),"")</x:f>
        <x:v>开发集</x:v>
      </x:c>
      <x:c r="D407" s="70" t="str">
        <x:v>RG02</x:v>
      </x:c>
      <x:c r="E407" s="70" t="str">
        <x:v>关系意图与承诺</x:v>
      </x:c>
      <x:c r="F407" s="70" t="str"/>
      <x:c r="G407" s="70" t="str"/>
      <x:c r="H407" s="70" t="str"/>
      <x:c r="I407" s="70" t="str"/>
      <x:c r="J407" s="70" t="str">
        <x:f>IF(OR(F407="",I407=""),"",IF(OR(I407="unknown",I407="not_assessed"),"不可评估",IF(F407=I407,"完全支持",IF(OR(AND(F407="pass",I407="conditional"),AND(F407="conditional",I407="pass")),"部分支持","反例"))))</x:f>
      </x:c>
      <x:c r="K407" s="70" t="str"/>
      <x:c r="L407" s="70" t="str"/>
      <x:c r="M407" s="70" t="str"/>
      <x:c r="N407" s="70" t="str"/>
      <x:c r="O407" s="70" t="str"/>
      <x:c r="P407" s="70" t="str"/>
    </x:row>
    <x:row r="408">
      <x:c r="A408" s="70" t="str">
        <x:v>M5RG-0403</x:v>
      </x:c>
      <x:c r="B408" s="70" t="str">
        <x:v>M5C-051</x:v>
      </x:c>
      <x:c r="C408" s="70" t="str">
        <x:f>IFERROR(VLOOKUP(B408,'02_案例与预测'!$A$6:$E$65,5,FALSE),"")</x:f>
        <x:v>开发集</x:v>
      </x:c>
      <x:c r="D408" s="70" t="str">
        <x:v>RG03</x:v>
      </x:c>
      <x:c r="E408" s="70" t="str">
        <x:v>价值观与人生目标</x:v>
      </x:c>
      <x:c r="F408" s="70" t="str"/>
      <x:c r="G408" s="70" t="str"/>
      <x:c r="H408" s="70" t="str"/>
      <x:c r="I408" s="70" t="str"/>
      <x:c r="J408" s="70" t="str">
        <x:f>IF(OR(F408="",I408=""),"",IF(OR(I408="unknown",I408="not_assessed"),"不可评估",IF(F408=I408,"完全支持",IF(OR(AND(F408="pass",I408="conditional"),AND(F408="conditional",I408="pass")),"部分支持","反例"))))</x:f>
      </x:c>
      <x:c r="K408" s="70" t="str"/>
      <x:c r="L408" s="70" t="str"/>
      <x:c r="M408" s="70" t="str"/>
      <x:c r="N408" s="70" t="str"/>
      <x:c r="O408" s="70" t="str"/>
      <x:c r="P408" s="70" t="str"/>
    </x:row>
    <x:row r="409">
      <x:c r="A409" s="70" t="str">
        <x:v>M5RG-0404</x:v>
      </x:c>
      <x:c r="B409" s="70" t="str">
        <x:v>M5C-051</x:v>
      </x:c>
      <x:c r="C409" s="70" t="str">
        <x:f>IFERROR(VLOOKUP(B409,'02_案例与预测'!$A$6:$E$65,5,FALSE),"")</x:f>
        <x:v>开发集</x:v>
      </x:c>
      <x:c r="D409" s="70" t="str">
        <x:v>RG04</x:v>
      </x:c>
      <x:c r="E409" s="70" t="str">
        <x:v>时间、地域与生活节奏</x:v>
      </x:c>
      <x:c r="F409" s="70" t="str"/>
      <x:c r="G409" s="70" t="str"/>
      <x:c r="H409" s="70" t="str"/>
      <x:c r="I409" s="70" t="str"/>
      <x:c r="J409" s="70" t="str">
        <x:f>IF(OR(F409="",I409=""),"",IF(OR(I409="unknown",I409="not_assessed"),"不可评估",IF(F409=I409,"完全支持",IF(OR(AND(F409="pass",I409="conditional"),AND(F409="conditional",I409="pass")),"部分支持","反例"))))</x:f>
      </x:c>
      <x:c r="K409" s="70" t="str"/>
      <x:c r="L409" s="70" t="str"/>
      <x:c r="M409" s="70" t="str"/>
      <x:c r="N409" s="70" t="str"/>
      <x:c r="O409" s="70" t="str"/>
      <x:c r="P409" s="70" t="str"/>
    </x:row>
    <x:row r="410">
      <x:c r="A410" s="70" t="str">
        <x:v>M5RG-0405</x:v>
      </x:c>
      <x:c r="B410" s="70" t="str">
        <x:v>M5C-051</x:v>
      </x:c>
      <x:c r="C410" s="70" t="str">
        <x:f>IFERROR(VLOOKUP(B410,'02_案例与预测'!$A$6:$E$65,5,FALSE),"")</x:f>
        <x:v>开发集</x:v>
      </x:c>
      <x:c r="D410" s="70" t="str">
        <x:v>RG05</x:v>
      </x:c>
      <x:c r="E410" s="70" t="str">
        <x:v>金钱、资源与劳动分配</x:v>
      </x:c>
      <x:c r="F410" s="70" t="str"/>
      <x:c r="G410" s="70" t="str"/>
      <x:c r="H410" s="70" t="str"/>
      <x:c r="I410" s="70" t="str"/>
      <x:c r="J410" s="70" t="str">
        <x:f>IF(OR(F410="",I410=""),"",IF(OR(I410="unknown",I410="not_assessed"),"不可评估",IF(F410=I410,"完全支持",IF(OR(AND(F410="pass",I410="conditional"),AND(F410="conditional",I410="pass")),"部分支持","反例"))))</x:f>
      </x:c>
      <x:c r="K410" s="70" t="str"/>
      <x:c r="L410" s="70" t="str"/>
      <x:c r="M410" s="70" t="str"/>
      <x:c r="N410" s="70" t="str"/>
      <x:c r="O410" s="70" t="str"/>
      <x:c r="P410" s="70" t="str"/>
    </x:row>
    <x:row r="411">
      <x:c r="A411" s="70" t="str">
        <x:v>M5RG-0406</x:v>
      </x:c>
      <x:c r="B411" s="70" t="str">
        <x:v>M5C-051</x:v>
      </x:c>
      <x:c r="C411" s="70" t="str">
        <x:f>IFERROR(VLOOKUP(B411,'02_案例与预测'!$A$6:$E$65,5,FALSE),"")</x:f>
        <x:v>开发集</x:v>
      </x:c>
      <x:c r="D411" s="70" t="str">
        <x:v>RG06</x:v>
      </x:c>
      <x:c r="E411" s="70" t="str">
        <x:v>家庭、婚育与照护责任</x:v>
      </x:c>
      <x:c r="F411" s="70" t="str"/>
      <x:c r="G411" s="70" t="str"/>
      <x:c r="H411" s="70" t="str"/>
      <x:c r="I411" s="70" t="str"/>
      <x:c r="J411" s="70" t="str">
        <x:f>IF(OR(F411="",I411=""),"",IF(OR(I411="unknown",I411="not_assessed"),"不可评估",IF(F411=I411,"完全支持",IF(OR(AND(F411="pass",I411="conditional"),AND(F411="conditional",I411="pass")),"部分支持","反例"))))</x:f>
      </x:c>
      <x:c r="K411" s="70" t="str"/>
      <x:c r="L411" s="70" t="str"/>
      <x:c r="M411" s="70" t="str"/>
      <x:c r="N411" s="70" t="str"/>
      <x:c r="O411" s="70" t="str"/>
      <x:c r="P411" s="70" t="str"/>
    </x:row>
    <x:row r="412">
      <x:c r="A412" s="70" t="str">
        <x:v>M5RG-0407</x:v>
      </x:c>
      <x:c r="B412" s="70" t="str">
        <x:v>M5C-051</x:v>
      </x:c>
      <x:c r="C412" s="70" t="str">
        <x:f>IFERROR(VLOOKUP(B412,'02_案例与预测'!$A$6:$E$65,5,FALSE),"")</x:f>
        <x:v>开发集</x:v>
      </x:c>
      <x:c r="D412" s="70" t="str">
        <x:v>RG07</x:v>
      </x:c>
      <x:c r="E412" s="70" t="str">
        <x:v>身体、亲密、隐私与健康</x:v>
      </x:c>
      <x:c r="F412" s="70" t="str"/>
      <x:c r="G412" s="70" t="str"/>
      <x:c r="H412" s="70" t="str"/>
      <x:c r="I412" s="70" t="str"/>
      <x:c r="J412" s="70" t="str">
        <x:f>IF(OR(F412="",I412=""),"",IF(OR(I412="unknown",I412="not_assessed"),"不可评估",IF(F412=I412,"完全支持",IF(OR(AND(F412="pass",I412="conditional"),AND(F412="conditional",I412="pass")),"部分支持","反例"))))</x:f>
      </x:c>
      <x:c r="K412" s="70" t="str"/>
      <x:c r="L412" s="70" t="str"/>
      <x:c r="M412" s="70" t="str"/>
      <x:c r="N412" s="70" t="str"/>
      <x:c r="O412" s="70" t="str"/>
      <x:c r="P412" s="70" t="str"/>
    </x:row>
    <x:row r="413">
      <x:c r="A413" s="70" t="str">
        <x:v>M5RG-0408</x:v>
      </x:c>
      <x:c r="B413" s="70" t="str">
        <x:v>M5C-051</x:v>
      </x:c>
      <x:c r="C413" s="70" t="str">
        <x:f>IFERROR(VLOOKUP(B413,'02_案例与预测'!$A$6:$E$65,5,FALSE),"")</x:f>
        <x:v>开发集</x:v>
      </x:c>
      <x:c r="D413" s="70" t="str">
        <x:v>RG08</x:v>
      </x:c>
      <x:c r="E413" s="70" t="str">
        <x:v>冲突、修复与学习意愿</x:v>
      </x:c>
      <x:c r="F413" s="70" t="str"/>
      <x:c r="G413" s="70" t="str"/>
      <x:c r="H413" s="70" t="str"/>
      <x:c r="I413" s="70" t="str"/>
      <x:c r="J413" s="70" t="str">
        <x:f>IF(OR(F413="",I413=""),"",IF(OR(I413="unknown",I413="not_assessed"),"不可评估",IF(F413=I413,"完全支持",IF(OR(AND(F413="pass",I413="conditional"),AND(F413="conditional",I413="pass")),"部分支持","反例"))))</x:f>
      </x:c>
      <x:c r="K413" s="70" t="str"/>
      <x:c r="L413" s="70" t="str"/>
      <x:c r="M413" s="70" t="str"/>
      <x:c r="N413" s="70" t="str"/>
      <x:c r="O413" s="70" t="str"/>
      <x:c r="P413" s="70" t="str"/>
    </x:row>
    <x:row r="414">
      <x:c r="A414" s="70" t="str">
        <x:v>M5RG-0409</x:v>
      </x:c>
      <x:c r="B414" s="70" t="str">
        <x:v>M5C-052</x:v>
      </x:c>
      <x:c r="C414" s="70" t="str">
        <x:f>IFERROR(VLOOKUP(B414,'02_案例与预测'!$A$6:$E$65,5,FALSE),"")</x:f>
        <x:v>开发集</x:v>
      </x:c>
      <x:c r="D414" s="70" t="str">
        <x:v>RG01</x:v>
      </x:c>
      <x:c r="E414" s="70" t="str">
        <x:v>安全、同意与尊重</x:v>
      </x:c>
      <x:c r="F414" s="70" t="str"/>
      <x:c r="G414" s="70" t="str"/>
      <x:c r="H414" s="70" t="str"/>
      <x:c r="I414" s="70" t="str"/>
      <x:c r="J414" s="70" t="str">
        <x:f>IF(OR(F414="",I414=""),"",IF(OR(I414="unknown",I414="not_assessed"),"不可评估",IF(F414=I414,"完全支持",IF(OR(AND(F414="pass",I414="conditional"),AND(F414="conditional",I414="pass")),"部分支持","反例"))))</x:f>
      </x:c>
      <x:c r="K414" s="70" t="str"/>
      <x:c r="L414" s="70" t="str"/>
      <x:c r="M414" s="70" t="str"/>
      <x:c r="N414" s="70" t="str"/>
      <x:c r="O414" s="70" t="str"/>
      <x:c r="P414" s="70" t="str"/>
    </x:row>
    <x:row r="415">
      <x:c r="A415" s="70" t="str">
        <x:v>M5RG-0410</x:v>
      </x:c>
      <x:c r="B415" s="70" t="str">
        <x:v>M5C-052</x:v>
      </x:c>
      <x:c r="C415" s="70" t="str">
        <x:f>IFERROR(VLOOKUP(B415,'02_案例与预测'!$A$6:$E$65,5,FALSE),"")</x:f>
        <x:v>开发集</x:v>
      </x:c>
      <x:c r="D415" s="70" t="str">
        <x:v>RG02</x:v>
      </x:c>
      <x:c r="E415" s="70" t="str">
        <x:v>关系意图与承诺</x:v>
      </x:c>
      <x:c r="F415" s="70" t="str"/>
      <x:c r="G415" s="70" t="str"/>
      <x:c r="H415" s="70" t="str"/>
      <x:c r="I415" s="70" t="str"/>
      <x:c r="J415" s="70" t="str">
        <x:f>IF(OR(F415="",I415=""),"",IF(OR(I415="unknown",I415="not_assessed"),"不可评估",IF(F415=I415,"完全支持",IF(OR(AND(F415="pass",I415="conditional"),AND(F415="conditional",I415="pass")),"部分支持","反例"))))</x:f>
      </x:c>
      <x:c r="K415" s="70" t="str"/>
      <x:c r="L415" s="70" t="str"/>
      <x:c r="M415" s="70" t="str"/>
      <x:c r="N415" s="70" t="str"/>
      <x:c r="O415" s="70" t="str"/>
      <x:c r="P415" s="70" t="str"/>
    </x:row>
    <x:row r="416">
      <x:c r="A416" s="70" t="str">
        <x:v>M5RG-0411</x:v>
      </x:c>
      <x:c r="B416" s="70" t="str">
        <x:v>M5C-052</x:v>
      </x:c>
      <x:c r="C416" s="70" t="str">
        <x:f>IFERROR(VLOOKUP(B416,'02_案例与预测'!$A$6:$E$65,5,FALSE),"")</x:f>
        <x:v>开发集</x:v>
      </x:c>
      <x:c r="D416" s="70" t="str">
        <x:v>RG03</x:v>
      </x:c>
      <x:c r="E416" s="70" t="str">
        <x:v>价值观与人生目标</x:v>
      </x:c>
      <x:c r="F416" s="70" t="str"/>
      <x:c r="G416" s="70" t="str"/>
      <x:c r="H416" s="70" t="str"/>
      <x:c r="I416" s="70" t="str"/>
      <x:c r="J416" s="70" t="str">
        <x:f>IF(OR(F416="",I416=""),"",IF(OR(I416="unknown",I416="not_assessed"),"不可评估",IF(F416=I416,"完全支持",IF(OR(AND(F416="pass",I416="conditional"),AND(F416="conditional",I416="pass")),"部分支持","反例"))))</x:f>
      </x:c>
      <x:c r="K416" s="70" t="str"/>
      <x:c r="L416" s="70" t="str"/>
      <x:c r="M416" s="70" t="str"/>
      <x:c r="N416" s="70" t="str"/>
      <x:c r="O416" s="70" t="str"/>
      <x:c r="P416" s="70" t="str"/>
    </x:row>
    <x:row r="417">
      <x:c r="A417" s="70" t="str">
        <x:v>M5RG-0412</x:v>
      </x:c>
      <x:c r="B417" s="70" t="str">
        <x:v>M5C-052</x:v>
      </x:c>
      <x:c r="C417" s="70" t="str">
        <x:f>IFERROR(VLOOKUP(B417,'02_案例与预测'!$A$6:$E$65,5,FALSE),"")</x:f>
        <x:v>开发集</x:v>
      </x:c>
      <x:c r="D417" s="70" t="str">
        <x:v>RG04</x:v>
      </x:c>
      <x:c r="E417" s="70" t="str">
        <x:v>时间、地域与生活节奏</x:v>
      </x:c>
      <x:c r="F417" s="70" t="str"/>
      <x:c r="G417" s="70" t="str"/>
      <x:c r="H417" s="70" t="str"/>
      <x:c r="I417" s="70" t="str"/>
      <x:c r="J417" s="70" t="str">
        <x:f>IF(OR(F417="",I417=""),"",IF(OR(I417="unknown",I417="not_assessed"),"不可评估",IF(F417=I417,"完全支持",IF(OR(AND(F417="pass",I417="conditional"),AND(F417="conditional",I417="pass")),"部分支持","反例"))))</x:f>
      </x:c>
      <x:c r="K417" s="70" t="str"/>
      <x:c r="L417" s="70" t="str"/>
      <x:c r="M417" s="70" t="str"/>
      <x:c r="N417" s="70" t="str"/>
      <x:c r="O417" s="70" t="str"/>
      <x:c r="P417" s="70" t="str"/>
    </x:row>
    <x:row r="418">
      <x:c r="A418" s="70" t="str">
        <x:v>M5RG-0413</x:v>
      </x:c>
      <x:c r="B418" s="70" t="str">
        <x:v>M5C-052</x:v>
      </x:c>
      <x:c r="C418" s="70" t="str">
        <x:f>IFERROR(VLOOKUP(B418,'02_案例与预测'!$A$6:$E$65,5,FALSE),"")</x:f>
        <x:v>开发集</x:v>
      </x:c>
      <x:c r="D418" s="70" t="str">
        <x:v>RG05</x:v>
      </x:c>
      <x:c r="E418" s="70" t="str">
        <x:v>金钱、资源与劳动分配</x:v>
      </x:c>
      <x:c r="F418" s="70" t="str"/>
      <x:c r="G418" s="70" t="str"/>
      <x:c r="H418" s="70" t="str"/>
      <x:c r="I418" s="70" t="str"/>
      <x:c r="J418" s="70" t="str">
        <x:f>IF(OR(F418="",I418=""),"",IF(OR(I418="unknown",I418="not_assessed"),"不可评估",IF(F418=I418,"完全支持",IF(OR(AND(F418="pass",I418="conditional"),AND(F418="conditional",I418="pass")),"部分支持","反例"))))</x:f>
      </x:c>
      <x:c r="K418" s="70" t="str"/>
      <x:c r="L418" s="70" t="str"/>
      <x:c r="M418" s="70" t="str"/>
      <x:c r="N418" s="70" t="str"/>
      <x:c r="O418" s="70" t="str"/>
      <x:c r="P418" s="70" t="str"/>
    </x:row>
    <x:row r="419">
      <x:c r="A419" s="70" t="str">
        <x:v>M5RG-0414</x:v>
      </x:c>
      <x:c r="B419" s="70" t="str">
        <x:v>M5C-052</x:v>
      </x:c>
      <x:c r="C419" s="70" t="str">
        <x:f>IFERROR(VLOOKUP(B419,'02_案例与预测'!$A$6:$E$65,5,FALSE),"")</x:f>
        <x:v>开发集</x:v>
      </x:c>
      <x:c r="D419" s="70" t="str">
        <x:v>RG06</x:v>
      </x:c>
      <x:c r="E419" s="70" t="str">
        <x:v>家庭、婚育与照护责任</x:v>
      </x:c>
      <x:c r="F419" s="70" t="str"/>
      <x:c r="G419" s="70" t="str"/>
      <x:c r="H419" s="70" t="str"/>
      <x:c r="I419" s="70" t="str"/>
      <x:c r="J419" s="70" t="str">
        <x:f>IF(OR(F419="",I419=""),"",IF(OR(I419="unknown",I419="not_assessed"),"不可评估",IF(F419=I419,"完全支持",IF(OR(AND(F419="pass",I419="conditional"),AND(F419="conditional",I419="pass")),"部分支持","反例"))))</x:f>
      </x:c>
      <x:c r="K419" s="70" t="str"/>
      <x:c r="L419" s="70" t="str"/>
      <x:c r="M419" s="70" t="str"/>
      <x:c r="N419" s="70" t="str"/>
      <x:c r="O419" s="70" t="str"/>
      <x:c r="P419" s="70" t="str"/>
    </x:row>
    <x:row r="420">
      <x:c r="A420" s="70" t="str">
        <x:v>M5RG-0415</x:v>
      </x:c>
      <x:c r="B420" s="70" t="str">
        <x:v>M5C-052</x:v>
      </x:c>
      <x:c r="C420" s="70" t="str">
        <x:f>IFERROR(VLOOKUP(B420,'02_案例与预测'!$A$6:$E$65,5,FALSE),"")</x:f>
        <x:v>开发集</x:v>
      </x:c>
      <x:c r="D420" s="70" t="str">
        <x:v>RG07</x:v>
      </x:c>
      <x:c r="E420" s="70" t="str">
        <x:v>身体、亲密、隐私与健康</x:v>
      </x:c>
      <x:c r="F420" s="70" t="str"/>
      <x:c r="G420" s="70" t="str"/>
      <x:c r="H420" s="70" t="str"/>
      <x:c r="I420" s="70" t="str"/>
      <x:c r="J420" s="70" t="str">
        <x:f>IF(OR(F420="",I420=""),"",IF(OR(I420="unknown",I420="not_assessed"),"不可评估",IF(F420=I420,"完全支持",IF(OR(AND(F420="pass",I420="conditional"),AND(F420="conditional",I420="pass")),"部分支持","反例"))))</x:f>
      </x:c>
      <x:c r="K420" s="70" t="str"/>
      <x:c r="L420" s="70" t="str"/>
      <x:c r="M420" s="70" t="str"/>
      <x:c r="N420" s="70" t="str"/>
      <x:c r="O420" s="70" t="str"/>
      <x:c r="P420" s="70" t="str"/>
    </x:row>
    <x:row r="421">
      <x:c r="A421" s="70" t="str">
        <x:v>M5RG-0416</x:v>
      </x:c>
      <x:c r="B421" s="70" t="str">
        <x:v>M5C-052</x:v>
      </x:c>
      <x:c r="C421" s="70" t="str">
        <x:f>IFERROR(VLOOKUP(B421,'02_案例与预测'!$A$6:$E$65,5,FALSE),"")</x:f>
        <x:v>开发集</x:v>
      </x:c>
      <x:c r="D421" s="70" t="str">
        <x:v>RG08</x:v>
      </x:c>
      <x:c r="E421" s="70" t="str">
        <x:v>冲突、修复与学习意愿</x:v>
      </x:c>
      <x:c r="F421" s="70" t="str"/>
      <x:c r="G421" s="70" t="str"/>
      <x:c r="H421" s="70" t="str"/>
      <x:c r="I421" s="70" t="str"/>
      <x:c r="J421" s="70" t="str">
        <x:f>IF(OR(F421="",I421=""),"",IF(OR(I421="unknown",I421="not_assessed"),"不可评估",IF(F421=I421,"完全支持",IF(OR(AND(F421="pass",I421="conditional"),AND(F421="conditional",I421="pass")),"部分支持","反例"))))</x:f>
      </x:c>
      <x:c r="K421" s="70" t="str"/>
      <x:c r="L421" s="70" t="str"/>
      <x:c r="M421" s="70" t="str"/>
      <x:c r="N421" s="70" t="str"/>
      <x:c r="O421" s="70" t="str"/>
      <x:c r="P421" s="70" t="str"/>
    </x:row>
    <x:row r="422">
      <x:c r="A422" s="70" t="str">
        <x:v>M5RG-0417</x:v>
      </x:c>
      <x:c r="B422" s="70" t="str">
        <x:v>M5C-053</x:v>
      </x:c>
      <x:c r="C422" s="70" t="str">
        <x:f>IFERROR(VLOOKUP(B422,'02_案例与预测'!$A$6:$E$65,5,FALSE),"")</x:f>
        <x:v>开发集</x:v>
      </x:c>
      <x:c r="D422" s="70" t="str">
        <x:v>RG01</x:v>
      </x:c>
      <x:c r="E422" s="70" t="str">
        <x:v>安全、同意与尊重</x:v>
      </x:c>
      <x:c r="F422" s="70" t="str"/>
      <x:c r="G422" s="70" t="str"/>
      <x:c r="H422" s="70" t="str"/>
      <x:c r="I422" s="70" t="str"/>
      <x:c r="J422" s="70" t="str">
        <x:f>IF(OR(F422="",I422=""),"",IF(OR(I422="unknown",I422="not_assessed"),"不可评估",IF(F422=I422,"完全支持",IF(OR(AND(F422="pass",I422="conditional"),AND(F422="conditional",I422="pass")),"部分支持","反例"))))</x:f>
      </x:c>
      <x:c r="K422" s="70" t="str"/>
      <x:c r="L422" s="70" t="str"/>
      <x:c r="M422" s="70" t="str"/>
      <x:c r="N422" s="70" t="str"/>
      <x:c r="O422" s="70" t="str"/>
      <x:c r="P422" s="70" t="str"/>
    </x:row>
    <x:row r="423">
      <x:c r="A423" s="70" t="str">
        <x:v>M5RG-0418</x:v>
      </x:c>
      <x:c r="B423" s="70" t="str">
        <x:v>M5C-053</x:v>
      </x:c>
      <x:c r="C423" s="70" t="str">
        <x:f>IFERROR(VLOOKUP(B423,'02_案例与预测'!$A$6:$E$65,5,FALSE),"")</x:f>
        <x:v>开发集</x:v>
      </x:c>
      <x:c r="D423" s="70" t="str">
        <x:v>RG02</x:v>
      </x:c>
      <x:c r="E423" s="70" t="str">
        <x:v>关系意图与承诺</x:v>
      </x:c>
      <x:c r="F423" s="70" t="str"/>
      <x:c r="G423" s="70" t="str"/>
      <x:c r="H423" s="70" t="str"/>
      <x:c r="I423" s="70" t="str"/>
      <x:c r="J423" s="70" t="str">
        <x:f>IF(OR(F423="",I423=""),"",IF(OR(I423="unknown",I423="not_assessed"),"不可评估",IF(F423=I423,"完全支持",IF(OR(AND(F423="pass",I423="conditional"),AND(F423="conditional",I423="pass")),"部分支持","反例"))))</x:f>
      </x:c>
      <x:c r="K423" s="70" t="str"/>
      <x:c r="L423" s="70" t="str"/>
      <x:c r="M423" s="70" t="str"/>
      <x:c r="N423" s="70" t="str"/>
      <x:c r="O423" s="70" t="str"/>
      <x:c r="P423" s="70" t="str"/>
    </x:row>
    <x:row r="424">
      <x:c r="A424" s="70" t="str">
        <x:v>M5RG-0419</x:v>
      </x:c>
      <x:c r="B424" s="70" t="str">
        <x:v>M5C-053</x:v>
      </x:c>
      <x:c r="C424" s="70" t="str">
        <x:f>IFERROR(VLOOKUP(B424,'02_案例与预测'!$A$6:$E$65,5,FALSE),"")</x:f>
        <x:v>开发集</x:v>
      </x:c>
      <x:c r="D424" s="70" t="str">
        <x:v>RG03</x:v>
      </x:c>
      <x:c r="E424" s="70" t="str">
        <x:v>价值观与人生目标</x:v>
      </x:c>
      <x:c r="F424" s="70" t="str"/>
      <x:c r="G424" s="70" t="str"/>
      <x:c r="H424" s="70" t="str"/>
      <x:c r="I424" s="70" t="str"/>
      <x:c r="J424" s="70" t="str">
        <x:f>IF(OR(F424="",I424=""),"",IF(OR(I424="unknown",I424="not_assessed"),"不可评估",IF(F424=I424,"完全支持",IF(OR(AND(F424="pass",I424="conditional"),AND(F424="conditional",I424="pass")),"部分支持","反例"))))</x:f>
      </x:c>
      <x:c r="K424" s="70" t="str"/>
      <x:c r="L424" s="70" t="str"/>
      <x:c r="M424" s="70" t="str"/>
      <x:c r="N424" s="70" t="str"/>
      <x:c r="O424" s="70" t="str"/>
      <x:c r="P424" s="70" t="str"/>
    </x:row>
    <x:row r="425">
      <x:c r="A425" s="70" t="str">
        <x:v>M5RG-0420</x:v>
      </x:c>
      <x:c r="B425" s="70" t="str">
        <x:v>M5C-053</x:v>
      </x:c>
      <x:c r="C425" s="70" t="str">
        <x:f>IFERROR(VLOOKUP(B425,'02_案例与预测'!$A$6:$E$65,5,FALSE),"")</x:f>
        <x:v>开发集</x:v>
      </x:c>
      <x:c r="D425" s="70" t="str">
        <x:v>RG04</x:v>
      </x:c>
      <x:c r="E425" s="70" t="str">
        <x:v>时间、地域与生活节奏</x:v>
      </x:c>
      <x:c r="F425" s="70" t="str"/>
      <x:c r="G425" s="70" t="str"/>
      <x:c r="H425" s="70" t="str"/>
      <x:c r="I425" s="70" t="str"/>
      <x:c r="J425" s="70" t="str">
        <x:f>IF(OR(F425="",I425=""),"",IF(OR(I425="unknown",I425="not_assessed"),"不可评估",IF(F425=I425,"完全支持",IF(OR(AND(F425="pass",I425="conditional"),AND(F425="conditional",I425="pass")),"部分支持","反例"))))</x:f>
      </x:c>
      <x:c r="K425" s="70" t="str"/>
      <x:c r="L425" s="70" t="str"/>
      <x:c r="M425" s="70" t="str"/>
      <x:c r="N425" s="70" t="str"/>
      <x:c r="O425" s="70" t="str"/>
      <x:c r="P425" s="70" t="str"/>
    </x:row>
    <x:row r="426">
      <x:c r="A426" s="70" t="str">
        <x:v>M5RG-0421</x:v>
      </x:c>
      <x:c r="B426" s="70" t="str">
        <x:v>M5C-053</x:v>
      </x:c>
      <x:c r="C426" s="70" t="str">
        <x:f>IFERROR(VLOOKUP(B426,'02_案例与预测'!$A$6:$E$65,5,FALSE),"")</x:f>
        <x:v>开发集</x:v>
      </x:c>
      <x:c r="D426" s="70" t="str">
        <x:v>RG05</x:v>
      </x:c>
      <x:c r="E426" s="70" t="str">
        <x:v>金钱、资源与劳动分配</x:v>
      </x:c>
      <x:c r="F426" s="70" t="str"/>
      <x:c r="G426" s="70" t="str"/>
      <x:c r="H426" s="70" t="str"/>
      <x:c r="I426" s="70" t="str"/>
      <x:c r="J426" s="70" t="str">
        <x:f>IF(OR(F426="",I426=""),"",IF(OR(I426="unknown",I426="not_assessed"),"不可评估",IF(F426=I426,"完全支持",IF(OR(AND(F426="pass",I426="conditional"),AND(F426="conditional",I426="pass")),"部分支持","反例"))))</x:f>
      </x:c>
      <x:c r="K426" s="70" t="str"/>
      <x:c r="L426" s="70" t="str"/>
      <x:c r="M426" s="70" t="str"/>
      <x:c r="N426" s="70" t="str"/>
      <x:c r="O426" s="70" t="str"/>
      <x:c r="P426" s="70" t="str"/>
    </x:row>
    <x:row r="427">
      <x:c r="A427" s="70" t="str">
        <x:v>M5RG-0422</x:v>
      </x:c>
      <x:c r="B427" s="70" t="str">
        <x:v>M5C-053</x:v>
      </x:c>
      <x:c r="C427" s="70" t="str">
        <x:f>IFERROR(VLOOKUP(B427,'02_案例与预测'!$A$6:$E$65,5,FALSE),"")</x:f>
        <x:v>开发集</x:v>
      </x:c>
      <x:c r="D427" s="70" t="str">
        <x:v>RG06</x:v>
      </x:c>
      <x:c r="E427" s="70" t="str">
        <x:v>家庭、婚育与照护责任</x:v>
      </x:c>
      <x:c r="F427" s="70" t="str"/>
      <x:c r="G427" s="70" t="str"/>
      <x:c r="H427" s="70" t="str"/>
      <x:c r="I427" s="70" t="str"/>
      <x:c r="J427" s="70" t="str">
        <x:f>IF(OR(F427="",I427=""),"",IF(OR(I427="unknown",I427="not_assessed"),"不可评估",IF(F427=I427,"完全支持",IF(OR(AND(F427="pass",I427="conditional"),AND(F427="conditional",I427="pass")),"部分支持","反例"))))</x:f>
      </x:c>
      <x:c r="K427" s="70" t="str"/>
      <x:c r="L427" s="70" t="str"/>
      <x:c r="M427" s="70" t="str"/>
      <x:c r="N427" s="70" t="str"/>
      <x:c r="O427" s="70" t="str"/>
      <x:c r="P427" s="70" t="str"/>
    </x:row>
    <x:row r="428">
      <x:c r="A428" s="70" t="str">
        <x:v>M5RG-0423</x:v>
      </x:c>
      <x:c r="B428" s="70" t="str">
        <x:v>M5C-053</x:v>
      </x:c>
      <x:c r="C428" s="70" t="str">
        <x:f>IFERROR(VLOOKUP(B428,'02_案例与预测'!$A$6:$E$65,5,FALSE),"")</x:f>
        <x:v>开发集</x:v>
      </x:c>
      <x:c r="D428" s="70" t="str">
        <x:v>RG07</x:v>
      </x:c>
      <x:c r="E428" s="70" t="str">
        <x:v>身体、亲密、隐私与健康</x:v>
      </x:c>
      <x:c r="F428" s="70" t="str"/>
      <x:c r="G428" s="70" t="str"/>
      <x:c r="H428" s="70" t="str"/>
      <x:c r="I428" s="70" t="str"/>
      <x:c r="J428" s="70" t="str">
        <x:f>IF(OR(F428="",I428=""),"",IF(OR(I428="unknown",I428="not_assessed"),"不可评估",IF(F428=I428,"完全支持",IF(OR(AND(F428="pass",I428="conditional"),AND(F428="conditional",I428="pass")),"部分支持","反例"))))</x:f>
      </x:c>
      <x:c r="K428" s="70" t="str"/>
      <x:c r="L428" s="70" t="str"/>
      <x:c r="M428" s="70" t="str"/>
      <x:c r="N428" s="70" t="str"/>
      <x:c r="O428" s="70" t="str"/>
      <x:c r="P428" s="70" t="str"/>
    </x:row>
    <x:row r="429">
      <x:c r="A429" s="70" t="str">
        <x:v>M5RG-0424</x:v>
      </x:c>
      <x:c r="B429" s="70" t="str">
        <x:v>M5C-053</x:v>
      </x:c>
      <x:c r="C429" s="70" t="str">
        <x:f>IFERROR(VLOOKUP(B429,'02_案例与预测'!$A$6:$E$65,5,FALSE),"")</x:f>
        <x:v>开发集</x:v>
      </x:c>
      <x:c r="D429" s="70" t="str">
        <x:v>RG08</x:v>
      </x:c>
      <x:c r="E429" s="70" t="str">
        <x:v>冲突、修复与学习意愿</x:v>
      </x:c>
      <x:c r="F429" s="70" t="str"/>
      <x:c r="G429" s="70" t="str"/>
      <x:c r="H429" s="70" t="str"/>
      <x:c r="I429" s="70" t="str"/>
      <x:c r="J429" s="70" t="str">
        <x:f>IF(OR(F429="",I429=""),"",IF(OR(I429="unknown",I429="not_assessed"),"不可评估",IF(F429=I429,"完全支持",IF(OR(AND(F429="pass",I429="conditional"),AND(F429="conditional",I429="pass")),"部分支持","反例"))))</x:f>
      </x:c>
      <x:c r="K429" s="70" t="str"/>
      <x:c r="L429" s="70" t="str"/>
      <x:c r="M429" s="70" t="str"/>
      <x:c r="N429" s="70" t="str"/>
      <x:c r="O429" s="70" t="str"/>
      <x:c r="P429" s="70" t="str"/>
    </x:row>
    <x:row r="430">
      <x:c r="A430" s="70" t="str">
        <x:v>M5RG-0425</x:v>
      </x:c>
      <x:c r="B430" s="70" t="str">
        <x:v>M5C-054</x:v>
      </x:c>
      <x:c r="C430" s="70" t="str">
        <x:f>IFERROR(VLOOKUP(B430,'02_案例与预测'!$A$6:$E$65,5,FALSE),"")</x:f>
        <x:v>开发集</x:v>
      </x:c>
      <x:c r="D430" s="70" t="str">
        <x:v>RG01</x:v>
      </x:c>
      <x:c r="E430" s="70" t="str">
        <x:v>安全、同意与尊重</x:v>
      </x:c>
      <x:c r="F430" s="70" t="str"/>
      <x:c r="G430" s="70" t="str"/>
      <x:c r="H430" s="70" t="str"/>
      <x:c r="I430" s="70" t="str"/>
      <x:c r="J430" s="70" t="str">
        <x:f>IF(OR(F430="",I430=""),"",IF(OR(I430="unknown",I430="not_assessed"),"不可评估",IF(F430=I430,"完全支持",IF(OR(AND(F430="pass",I430="conditional"),AND(F430="conditional",I430="pass")),"部分支持","反例"))))</x:f>
      </x:c>
      <x:c r="K430" s="70" t="str"/>
      <x:c r="L430" s="70" t="str"/>
      <x:c r="M430" s="70" t="str"/>
      <x:c r="N430" s="70" t="str"/>
      <x:c r="O430" s="70" t="str"/>
      <x:c r="P430" s="70" t="str"/>
    </x:row>
    <x:row r="431">
      <x:c r="A431" s="70" t="str">
        <x:v>M5RG-0426</x:v>
      </x:c>
      <x:c r="B431" s="70" t="str">
        <x:v>M5C-054</x:v>
      </x:c>
      <x:c r="C431" s="70" t="str">
        <x:f>IFERROR(VLOOKUP(B431,'02_案例与预测'!$A$6:$E$65,5,FALSE),"")</x:f>
        <x:v>开发集</x:v>
      </x:c>
      <x:c r="D431" s="70" t="str">
        <x:v>RG02</x:v>
      </x:c>
      <x:c r="E431" s="70" t="str">
        <x:v>关系意图与承诺</x:v>
      </x:c>
      <x:c r="F431" s="70" t="str"/>
      <x:c r="G431" s="70" t="str"/>
      <x:c r="H431" s="70" t="str"/>
      <x:c r="I431" s="70" t="str"/>
      <x:c r="J431" s="70" t="str">
        <x:f>IF(OR(F431="",I431=""),"",IF(OR(I431="unknown",I431="not_assessed"),"不可评估",IF(F431=I431,"完全支持",IF(OR(AND(F431="pass",I431="conditional"),AND(F431="conditional",I431="pass")),"部分支持","反例"))))</x:f>
      </x:c>
      <x:c r="K431" s="70" t="str"/>
      <x:c r="L431" s="70" t="str"/>
      <x:c r="M431" s="70" t="str"/>
      <x:c r="N431" s="70" t="str"/>
      <x:c r="O431" s="70" t="str"/>
      <x:c r="P431" s="70" t="str"/>
    </x:row>
    <x:row r="432">
      <x:c r="A432" s="70" t="str">
        <x:v>M5RG-0427</x:v>
      </x:c>
      <x:c r="B432" s="70" t="str">
        <x:v>M5C-054</x:v>
      </x:c>
      <x:c r="C432" s="70" t="str">
        <x:f>IFERROR(VLOOKUP(B432,'02_案例与预测'!$A$6:$E$65,5,FALSE),"")</x:f>
        <x:v>开发集</x:v>
      </x:c>
      <x:c r="D432" s="70" t="str">
        <x:v>RG03</x:v>
      </x:c>
      <x:c r="E432" s="70" t="str">
        <x:v>价值观与人生目标</x:v>
      </x:c>
      <x:c r="F432" s="70" t="str"/>
      <x:c r="G432" s="70" t="str"/>
      <x:c r="H432" s="70" t="str"/>
      <x:c r="I432" s="70" t="str"/>
      <x:c r="J432" s="70" t="str">
        <x:f>IF(OR(F432="",I432=""),"",IF(OR(I432="unknown",I432="not_assessed"),"不可评估",IF(F432=I432,"完全支持",IF(OR(AND(F432="pass",I432="conditional"),AND(F432="conditional",I432="pass")),"部分支持","反例"))))</x:f>
      </x:c>
      <x:c r="K432" s="70" t="str"/>
      <x:c r="L432" s="70" t="str"/>
      <x:c r="M432" s="70" t="str"/>
      <x:c r="N432" s="70" t="str"/>
      <x:c r="O432" s="70" t="str"/>
      <x:c r="P432" s="70" t="str"/>
    </x:row>
    <x:row r="433">
      <x:c r="A433" s="70" t="str">
        <x:v>M5RG-0428</x:v>
      </x:c>
      <x:c r="B433" s="70" t="str">
        <x:v>M5C-054</x:v>
      </x:c>
      <x:c r="C433" s="70" t="str">
        <x:f>IFERROR(VLOOKUP(B433,'02_案例与预测'!$A$6:$E$65,5,FALSE),"")</x:f>
        <x:v>开发集</x:v>
      </x:c>
      <x:c r="D433" s="70" t="str">
        <x:v>RG04</x:v>
      </x:c>
      <x:c r="E433" s="70" t="str">
        <x:v>时间、地域与生活节奏</x:v>
      </x:c>
      <x:c r="F433" s="70" t="str"/>
      <x:c r="G433" s="70" t="str"/>
      <x:c r="H433" s="70" t="str"/>
      <x:c r="I433" s="70" t="str"/>
      <x:c r="J433" s="70" t="str">
        <x:f>IF(OR(F433="",I433=""),"",IF(OR(I433="unknown",I433="not_assessed"),"不可评估",IF(F433=I433,"完全支持",IF(OR(AND(F433="pass",I433="conditional"),AND(F433="conditional",I433="pass")),"部分支持","反例"))))</x:f>
      </x:c>
      <x:c r="K433" s="70" t="str"/>
      <x:c r="L433" s="70" t="str"/>
      <x:c r="M433" s="70" t="str"/>
      <x:c r="N433" s="70" t="str"/>
      <x:c r="O433" s="70" t="str"/>
      <x:c r="P433" s="70" t="str"/>
    </x:row>
    <x:row r="434">
      <x:c r="A434" s="70" t="str">
        <x:v>M5RG-0429</x:v>
      </x:c>
      <x:c r="B434" s="70" t="str">
        <x:v>M5C-054</x:v>
      </x:c>
      <x:c r="C434" s="70" t="str">
        <x:f>IFERROR(VLOOKUP(B434,'02_案例与预测'!$A$6:$E$65,5,FALSE),"")</x:f>
        <x:v>开发集</x:v>
      </x:c>
      <x:c r="D434" s="70" t="str">
        <x:v>RG05</x:v>
      </x:c>
      <x:c r="E434" s="70" t="str">
        <x:v>金钱、资源与劳动分配</x:v>
      </x:c>
      <x:c r="F434" s="70" t="str"/>
      <x:c r="G434" s="70" t="str"/>
      <x:c r="H434" s="70" t="str"/>
      <x:c r="I434" s="70" t="str"/>
      <x:c r="J434" s="70" t="str">
        <x:f>IF(OR(F434="",I434=""),"",IF(OR(I434="unknown",I434="not_assessed"),"不可评估",IF(F434=I434,"完全支持",IF(OR(AND(F434="pass",I434="conditional"),AND(F434="conditional",I434="pass")),"部分支持","反例"))))</x:f>
      </x:c>
      <x:c r="K434" s="70" t="str"/>
      <x:c r="L434" s="70" t="str"/>
      <x:c r="M434" s="70" t="str"/>
      <x:c r="N434" s="70" t="str"/>
      <x:c r="O434" s="70" t="str"/>
      <x:c r="P434" s="70" t="str"/>
    </x:row>
    <x:row r="435">
      <x:c r="A435" s="70" t="str">
        <x:v>M5RG-0430</x:v>
      </x:c>
      <x:c r="B435" s="70" t="str">
        <x:v>M5C-054</x:v>
      </x:c>
      <x:c r="C435" s="70" t="str">
        <x:f>IFERROR(VLOOKUP(B435,'02_案例与预测'!$A$6:$E$65,5,FALSE),"")</x:f>
        <x:v>开发集</x:v>
      </x:c>
      <x:c r="D435" s="70" t="str">
        <x:v>RG06</x:v>
      </x:c>
      <x:c r="E435" s="70" t="str">
        <x:v>家庭、婚育与照护责任</x:v>
      </x:c>
      <x:c r="F435" s="70" t="str"/>
      <x:c r="G435" s="70" t="str"/>
      <x:c r="H435" s="70" t="str"/>
      <x:c r="I435" s="70" t="str"/>
      <x:c r="J435" s="70" t="str">
        <x:f>IF(OR(F435="",I435=""),"",IF(OR(I435="unknown",I435="not_assessed"),"不可评估",IF(F435=I435,"完全支持",IF(OR(AND(F435="pass",I435="conditional"),AND(F435="conditional",I435="pass")),"部分支持","反例"))))</x:f>
      </x:c>
      <x:c r="K435" s="70" t="str"/>
      <x:c r="L435" s="70" t="str"/>
      <x:c r="M435" s="70" t="str"/>
      <x:c r="N435" s="70" t="str"/>
      <x:c r="O435" s="70" t="str"/>
      <x:c r="P435" s="70" t="str"/>
    </x:row>
    <x:row r="436">
      <x:c r="A436" s="70" t="str">
        <x:v>M5RG-0431</x:v>
      </x:c>
      <x:c r="B436" s="70" t="str">
        <x:v>M5C-054</x:v>
      </x:c>
      <x:c r="C436" s="70" t="str">
        <x:f>IFERROR(VLOOKUP(B436,'02_案例与预测'!$A$6:$E$65,5,FALSE),"")</x:f>
        <x:v>开发集</x:v>
      </x:c>
      <x:c r="D436" s="70" t="str">
        <x:v>RG07</x:v>
      </x:c>
      <x:c r="E436" s="70" t="str">
        <x:v>身体、亲密、隐私与健康</x:v>
      </x:c>
      <x:c r="F436" s="70" t="str"/>
      <x:c r="G436" s="70" t="str"/>
      <x:c r="H436" s="70" t="str"/>
      <x:c r="I436" s="70" t="str"/>
      <x:c r="J436" s="70" t="str">
        <x:f>IF(OR(F436="",I436=""),"",IF(OR(I436="unknown",I436="not_assessed"),"不可评估",IF(F436=I436,"完全支持",IF(OR(AND(F436="pass",I436="conditional"),AND(F436="conditional",I436="pass")),"部分支持","反例"))))</x:f>
      </x:c>
      <x:c r="K436" s="70" t="str"/>
      <x:c r="L436" s="70" t="str"/>
      <x:c r="M436" s="70" t="str"/>
      <x:c r="N436" s="70" t="str"/>
      <x:c r="O436" s="70" t="str"/>
      <x:c r="P436" s="70" t="str"/>
    </x:row>
    <x:row r="437">
      <x:c r="A437" s="70" t="str">
        <x:v>M5RG-0432</x:v>
      </x:c>
      <x:c r="B437" s="70" t="str">
        <x:v>M5C-054</x:v>
      </x:c>
      <x:c r="C437" s="70" t="str">
        <x:f>IFERROR(VLOOKUP(B437,'02_案例与预测'!$A$6:$E$65,5,FALSE),"")</x:f>
        <x:v>开发集</x:v>
      </x:c>
      <x:c r="D437" s="70" t="str">
        <x:v>RG08</x:v>
      </x:c>
      <x:c r="E437" s="70" t="str">
        <x:v>冲突、修复与学习意愿</x:v>
      </x:c>
      <x:c r="F437" s="70" t="str"/>
      <x:c r="G437" s="70" t="str"/>
      <x:c r="H437" s="70" t="str"/>
      <x:c r="I437" s="70" t="str"/>
      <x:c r="J437" s="70" t="str">
        <x:f>IF(OR(F437="",I437=""),"",IF(OR(I437="unknown",I437="not_assessed"),"不可评估",IF(F437=I437,"完全支持",IF(OR(AND(F437="pass",I437="conditional"),AND(F437="conditional",I437="pass")),"部分支持","反例"))))</x:f>
      </x:c>
      <x:c r="K437" s="70" t="str"/>
      <x:c r="L437" s="70" t="str"/>
      <x:c r="M437" s="70" t="str"/>
      <x:c r="N437" s="70" t="str"/>
      <x:c r="O437" s="70" t="str"/>
      <x:c r="P437" s="70" t="str"/>
    </x:row>
    <x:row r="438">
      <x:c r="A438" s="70" t="str">
        <x:v>M5RG-0433</x:v>
      </x:c>
      <x:c r="B438" s="70" t="str">
        <x:v>M5C-055</x:v>
      </x:c>
      <x:c r="C438" s="70" t="str">
        <x:f>IFERROR(VLOOKUP(B438,'02_案例与预测'!$A$6:$E$65,5,FALSE),"")</x:f>
        <x:v>开发集</x:v>
      </x:c>
      <x:c r="D438" s="70" t="str">
        <x:v>RG01</x:v>
      </x:c>
      <x:c r="E438" s="70" t="str">
        <x:v>安全、同意与尊重</x:v>
      </x:c>
      <x:c r="F438" s="70" t="str"/>
      <x:c r="G438" s="70" t="str"/>
      <x:c r="H438" s="70" t="str"/>
      <x:c r="I438" s="70" t="str"/>
      <x:c r="J438" s="70" t="str">
        <x:f>IF(OR(F438="",I438=""),"",IF(OR(I438="unknown",I438="not_assessed"),"不可评估",IF(F438=I438,"完全支持",IF(OR(AND(F438="pass",I438="conditional"),AND(F438="conditional",I438="pass")),"部分支持","反例"))))</x:f>
      </x:c>
      <x:c r="K438" s="70" t="str"/>
      <x:c r="L438" s="70" t="str"/>
      <x:c r="M438" s="70" t="str"/>
      <x:c r="N438" s="70" t="str"/>
      <x:c r="O438" s="70" t="str"/>
      <x:c r="P438" s="70" t="str"/>
    </x:row>
    <x:row r="439">
      <x:c r="A439" s="70" t="str">
        <x:v>M5RG-0434</x:v>
      </x:c>
      <x:c r="B439" s="70" t="str">
        <x:v>M5C-055</x:v>
      </x:c>
      <x:c r="C439" s="70" t="str">
        <x:f>IFERROR(VLOOKUP(B439,'02_案例与预测'!$A$6:$E$65,5,FALSE),"")</x:f>
        <x:v>开发集</x:v>
      </x:c>
      <x:c r="D439" s="70" t="str">
        <x:v>RG02</x:v>
      </x:c>
      <x:c r="E439" s="70" t="str">
        <x:v>关系意图与承诺</x:v>
      </x:c>
      <x:c r="F439" s="70" t="str"/>
      <x:c r="G439" s="70" t="str"/>
      <x:c r="H439" s="70" t="str"/>
      <x:c r="I439" s="70" t="str"/>
      <x:c r="J439" s="70" t="str">
        <x:f>IF(OR(F439="",I439=""),"",IF(OR(I439="unknown",I439="not_assessed"),"不可评估",IF(F439=I439,"完全支持",IF(OR(AND(F439="pass",I439="conditional"),AND(F439="conditional",I439="pass")),"部分支持","反例"))))</x:f>
      </x:c>
      <x:c r="K439" s="70" t="str"/>
      <x:c r="L439" s="70" t="str"/>
      <x:c r="M439" s="70" t="str"/>
      <x:c r="N439" s="70" t="str"/>
      <x:c r="O439" s="70" t="str"/>
      <x:c r="P439" s="70" t="str"/>
    </x:row>
    <x:row r="440">
      <x:c r="A440" s="70" t="str">
        <x:v>M5RG-0435</x:v>
      </x:c>
      <x:c r="B440" s="70" t="str">
        <x:v>M5C-055</x:v>
      </x:c>
      <x:c r="C440" s="70" t="str">
        <x:f>IFERROR(VLOOKUP(B440,'02_案例与预测'!$A$6:$E$65,5,FALSE),"")</x:f>
        <x:v>开发集</x:v>
      </x:c>
      <x:c r="D440" s="70" t="str">
        <x:v>RG03</x:v>
      </x:c>
      <x:c r="E440" s="70" t="str">
        <x:v>价值观与人生目标</x:v>
      </x:c>
      <x:c r="F440" s="70" t="str"/>
      <x:c r="G440" s="70" t="str"/>
      <x:c r="H440" s="70" t="str"/>
      <x:c r="I440" s="70" t="str"/>
      <x:c r="J440" s="70" t="str">
        <x:f>IF(OR(F440="",I440=""),"",IF(OR(I440="unknown",I440="not_assessed"),"不可评估",IF(F440=I440,"完全支持",IF(OR(AND(F440="pass",I440="conditional"),AND(F440="conditional",I440="pass")),"部分支持","反例"))))</x:f>
      </x:c>
      <x:c r="K440" s="70" t="str"/>
      <x:c r="L440" s="70" t="str"/>
      <x:c r="M440" s="70" t="str"/>
      <x:c r="N440" s="70" t="str"/>
      <x:c r="O440" s="70" t="str"/>
      <x:c r="P440" s="70" t="str"/>
    </x:row>
    <x:row r="441">
      <x:c r="A441" s="70" t="str">
        <x:v>M5RG-0436</x:v>
      </x:c>
      <x:c r="B441" s="70" t="str">
        <x:v>M5C-055</x:v>
      </x:c>
      <x:c r="C441" s="70" t="str">
        <x:f>IFERROR(VLOOKUP(B441,'02_案例与预测'!$A$6:$E$65,5,FALSE),"")</x:f>
        <x:v>开发集</x:v>
      </x:c>
      <x:c r="D441" s="70" t="str">
        <x:v>RG04</x:v>
      </x:c>
      <x:c r="E441" s="70" t="str">
        <x:v>时间、地域与生活节奏</x:v>
      </x:c>
      <x:c r="F441" s="70" t="str"/>
      <x:c r="G441" s="70" t="str"/>
      <x:c r="H441" s="70" t="str"/>
      <x:c r="I441" s="70" t="str"/>
      <x:c r="J441" s="70" t="str">
        <x:f>IF(OR(F441="",I441=""),"",IF(OR(I441="unknown",I441="not_assessed"),"不可评估",IF(F441=I441,"完全支持",IF(OR(AND(F441="pass",I441="conditional"),AND(F441="conditional",I441="pass")),"部分支持","反例"))))</x:f>
      </x:c>
      <x:c r="K441" s="70" t="str"/>
      <x:c r="L441" s="70" t="str"/>
      <x:c r="M441" s="70" t="str"/>
      <x:c r="N441" s="70" t="str"/>
      <x:c r="O441" s="70" t="str"/>
      <x:c r="P441" s="70" t="str"/>
    </x:row>
    <x:row r="442">
      <x:c r="A442" s="70" t="str">
        <x:v>M5RG-0437</x:v>
      </x:c>
      <x:c r="B442" s="70" t="str">
        <x:v>M5C-055</x:v>
      </x:c>
      <x:c r="C442" s="70" t="str">
        <x:f>IFERROR(VLOOKUP(B442,'02_案例与预测'!$A$6:$E$65,5,FALSE),"")</x:f>
        <x:v>开发集</x:v>
      </x:c>
      <x:c r="D442" s="70" t="str">
        <x:v>RG05</x:v>
      </x:c>
      <x:c r="E442" s="70" t="str">
        <x:v>金钱、资源与劳动分配</x:v>
      </x:c>
      <x:c r="F442" s="70" t="str"/>
      <x:c r="G442" s="70" t="str"/>
      <x:c r="H442" s="70" t="str"/>
      <x:c r="I442" s="70" t="str"/>
      <x:c r="J442" s="70" t="str">
        <x:f>IF(OR(F442="",I442=""),"",IF(OR(I442="unknown",I442="not_assessed"),"不可评估",IF(F442=I442,"完全支持",IF(OR(AND(F442="pass",I442="conditional"),AND(F442="conditional",I442="pass")),"部分支持","反例"))))</x:f>
      </x:c>
      <x:c r="K442" s="70" t="str"/>
      <x:c r="L442" s="70" t="str"/>
      <x:c r="M442" s="70" t="str"/>
      <x:c r="N442" s="70" t="str"/>
      <x:c r="O442" s="70" t="str"/>
      <x:c r="P442" s="70" t="str"/>
    </x:row>
    <x:row r="443">
      <x:c r="A443" s="70" t="str">
        <x:v>M5RG-0438</x:v>
      </x:c>
      <x:c r="B443" s="70" t="str">
        <x:v>M5C-055</x:v>
      </x:c>
      <x:c r="C443" s="70" t="str">
        <x:f>IFERROR(VLOOKUP(B443,'02_案例与预测'!$A$6:$E$65,5,FALSE),"")</x:f>
        <x:v>开发集</x:v>
      </x:c>
      <x:c r="D443" s="70" t="str">
        <x:v>RG06</x:v>
      </x:c>
      <x:c r="E443" s="70" t="str">
        <x:v>家庭、婚育与照护责任</x:v>
      </x:c>
      <x:c r="F443" s="70" t="str"/>
      <x:c r="G443" s="70" t="str"/>
      <x:c r="H443" s="70" t="str"/>
      <x:c r="I443" s="70" t="str"/>
      <x:c r="J443" s="70" t="str">
        <x:f>IF(OR(F443="",I443=""),"",IF(OR(I443="unknown",I443="not_assessed"),"不可评估",IF(F443=I443,"完全支持",IF(OR(AND(F443="pass",I443="conditional"),AND(F443="conditional",I443="pass")),"部分支持","反例"))))</x:f>
      </x:c>
      <x:c r="K443" s="70" t="str"/>
      <x:c r="L443" s="70" t="str"/>
      <x:c r="M443" s="70" t="str"/>
      <x:c r="N443" s="70" t="str"/>
      <x:c r="O443" s="70" t="str"/>
      <x:c r="P443" s="70" t="str"/>
    </x:row>
    <x:row r="444">
      <x:c r="A444" s="70" t="str">
        <x:v>M5RG-0439</x:v>
      </x:c>
      <x:c r="B444" s="70" t="str">
        <x:v>M5C-055</x:v>
      </x:c>
      <x:c r="C444" s="70" t="str">
        <x:f>IFERROR(VLOOKUP(B444,'02_案例与预测'!$A$6:$E$65,5,FALSE),"")</x:f>
        <x:v>开发集</x:v>
      </x:c>
      <x:c r="D444" s="70" t="str">
        <x:v>RG07</x:v>
      </x:c>
      <x:c r="E444" s="70" t="str">
        <x:v>身体、亲密、隐私与健康</x:v>
      </x:c>
      <x:c r="F444" s="70" t="str"/>
      <x:c r="G444" s="70" t="str"/>
      <x:c r="H444" s="70" t="str"/>
      <x:c r="I444" s="70" t="str"/>
      <x:c r="J444" s="70" t="str">
        <x:f>IF(OR(F444="",I444=""),"",IF(OR(I444="unknown",I444="not_assessed"),"不可评估",IF(F444=I444,"完全支持",IF(OR(AND(F444="pass",I444="conditional"),AND(F444="conditional",I444="pass")),"部分支持","反例"))))</x:f>
      </x:c>
      <x:c r="K444" s="70" t="str"/>
      <x:c r="L444" s="70" t="str"/>
      <x:c r="M444" s="70" t="str"/>
      <x:c r="N444" s="70" t="str"/>
      <x:c r="O444" s="70" t="str"/>
      <x:c r="P444" s="70" t="str"/>
    </x:row>
    <x:row r="445">
      <x:c r="A445" s="70" t="str">
        <x:v>M5RG-0440</x:v>
      </x:c>
      <x:c r="B445" s="70" t="str">
        <x:v>M5C-055</x:v>
      </x:c>
      <x:c r="C445" s="70" t="str">
        <x:f>IFERROR(VLOOKUP(B445,'02_案例与预测'!$A$6:$E$65,5,FALSE),"")</x:f>
        <x:v>开发集</x:v>
      </x:c>
      <x:c r="D445" s="70" t="str">
        <x:v>RG08</x:v>
      </x:c>
      <x:c r="E445" s="70" t="str">
        <x:v>冲突、修复与学习意愿</x:v>
      </x:c>
      <x:c r="F445" s="70" t="str"/>
      <x:c r="G445" s="70" t="str"/>
      <x:c r="H445" s="70" t="str"/>
      <x:c r="I445" s="70" t="str"/>
      <x:c r="J445" s="70" t="str">
        <x:f>IF(OR(F445="",I445=""),"",IF(OR(I445="unknown",I445="not_assessed"),"不可评估",IF(F445=I445,"完全支持",IF(OR(AND(F445="pass",I445="conditional"),AND(F445="conditional",I445="pass")),"部分支持","反例"))))</x:f>
      </x:c>
      <x:c r="K445" s="70" t="str"/>
      <x:c r="L445" s="70" t="str"/>
      <x:c r="M445" s="70" t="str"/>
      <x:c r="N445" s="70" t="str"/>
      <x:c r="O445" s="70" t="str"/>
      <x:c r="P445" s="70" t="str"/>
    </x:row>
    <x:row r="446">
      <x:c r="A446" s="70" t="str">
        <x:v>M5RG-0441</x:v>
      </x:c>
      <x:c r="B446" s="70" t="str">
        <x:v>M5C-056</x:v>
      </x:c>
      <x:c r="C446" s="70" t="str">
        <x:f>IFERROR(VLOOKUP(B446,'02_案例与预测'!$A$6:$E$65,5,FALSE),"")</x:f>
        <x:v>开发集</x:v>
      </x:c>
      <x:c r="D446" s="70" t="str">
        <x:v>RG01</x:v>
      </x:c>
      <x:c r="E446" s="70" t="str">
        <x:v>安全、同意与尊重</x:v>
      </x:c>
      <x:c r="F446" s="70" t="str"/>
      <x:c r="G446" s="70" t="str"/>
      <x:c r="H446" s="70" t="str"/>
      <x:c r="I446" s="70" t="str"/>
      <x:c r="J446" s="70" t="str">
        <x:f>IF(OR(F446="",I446=""),"",IF(OR(I446="unknown",I446="not_assessed"),"不可评估",IF(F446=I446,"完全支持",IF(OR(AND(F446="pass",I446="conditional"),AND(F446="conditional",I446="pass")),"部分支持","反例"))))</x:f>
      </x:c>
      <x:c r="K446" s="70" t="str"/>
      <x:c r="L446" s="70" t="str"/>
      <x:c r="M446" s="70" t="str"/>
      <x:c r="N446" s="70" t="str"/>
      <x:c r="O446" s="70" t="str"/>
      <x:c r="P446" s="70" t="str"/>
    </x:row>
    <x:row r="447">
      <x:c r="A447" s="70" t="str">
        <x:v>M5RG-0442</x:v>
      </x:c>
      <x:c r="B447" s="70" t="str">
        <x:v>M5C-056</x:v>
      </x:c>
      <x:c r="C447" s="70" t="str">
        <x:f>IFERROR(VLOOKUP(B447,'02_案例与预测'!$A$6:$E$65,5,FALSE),"")</x:f>
        <x:v>开发集</x:v>
      </x:c>
      <x:c r="D447" s="70" t="str">
        <x:v>RG02</x:v>
      </x:c>
      <x:c r="E447" s="70" t="str">
        <x:v>关系意图与承诺</x:v>
      </x:c>
      <x:c r="F447" s="70" t="str"/>
      <x:c r="G447" s="70" t="str"/>
      <x:c r="H447" s="70" t="str"/>
      <x:c r="I447" s="70" t="str"/>
      <x:c r="J447" s="70" t="str">
        <x:f>IF(OR(F447="",I447=""),"",IF(OR(I447="unknown",I447="not_assessed"),"不可评估",IF(F447=I447,"完全支持",IF(OR(AND(F447="pass",I447="conditional"),AND(F447="conditional",I447="pass")),"部分支持","反例"))))</x:f>
      </x:c>
      <x:c r="K447" s="70" t="str"/>
      <x:c r="L447" s="70" t="str"/>
      <x:c r="M447" s="70" t="str"/>
      <x:c r="N447" s="70" t="str"/>
      <x:c r="O447" s="70" t="str"/>
      <x:c r="P447" s="70" t="str"/>
    </x:row>
    <x:row r="448">
      <x:c r="A448" s="70" t="str">
        <x:v>M5RG-0443</x:v>
      </x:c>
      <x:c r="B448" s="70" t="str">
        <x:v>M5C-056</x:v>
      </x:c>
      <x:c r="C448" s="70" t="str">
        <x:f>IFERROR(VLOOKUP(B448,'02_案例与预测'!$A$6:$E$65,5,FALSE),"")</x:f>
        <x:v>开发集</x:v>
      </x:c>
      <x:c r="D448" s="70" t="str">
        <x:v>RG03</x:v>
      </x:c>
      <x:c r="E448" s="70" t="str">
        <x:v>价值观与人生目标</x:v>
      </x:c>
      <x:c r="F448" s="70" t="str"/>
      <x:c r="G448" s="70" t="str"/>
      <x:c r="H448" s="70" t="str"/>
      <x:c r="I448" s="70" t="str"/>
      <x:c r="J448" s="70" t="str">
        <x:f>IF(OR(F448="",I448=""),"",IF(OR(I448="unknown",I448="not_assessed"),"不可评估",IF(F448=I448,"完全支持",IF(OR(AND(F448="pass",I448="conditional"),AND(F448="conditional",I448="pass")),"部分支持","反例"))))</x:f>
      </x:c>
      <x:c r="K448" s="70" t="str"/>
      <x:c r="L448" s="70" t="str"/>
      <x:c r="M448" s="70" t="str"/>
      <x:c r="N448" s="70" t="str"/>
      <x:c r="O448" s="70" t="str"/>
      <x:c r="P448" s="70" t="str"/>
    </x:row>
    <x:row r="449">
      <x:c r="A449" s="70" t="str">
        <x:v>M5RG-0444</x:v>
      </x:c>
      <x:c r="B449" s="70" t="str">
        <x:v>M5C-056</x:v>
      </x:c>
      <x:c r="C449" s="70" t="str">
        <x:f>IFERROR(VLOOKUP(B449,'02_案例与预测'!$A$6:$E$65,5,FALSE),"")</x:f>
        <x:v>开发集</x:v>
      </x:c>
      <x:c r="D449" s="70" t="str">
        <x:v>RG04</x:v>
      </x:c>
      <x:c r="E449" s="70" t="str">
        <x:v>时间、地域与生活节奏</x:v>
      </x:c>
      <x:c r="F449" s="70" t="str"/>
      <x:c r="G449" s="70" t="str"/>
      <x:c r="H449" s="70" t="str"/>
      <x:c r="I449" s="70" t="str"/>
      <x:c r="J449" s="70" t="str">
        <x:f>IF(OR(F449="",I449=""),"",IF(OR(I449="unknown",I449="not_assessed"),"不可评估",IF(F449=I449,"完全支持",IF(OR(AND(F449="pass",I449="conditional"),AND(F449="conditional",I449="pass")),"部分支持","反例"))))</x:f>
      </x:c>
      <x:c r="K449" s="70" t="str"/>
      <x:c r="L449" s="70" t="str"/>
      <x:c r="M449" s="70" t="str"/>
      <x:c r="N449" s="70" t="str"/>
      <x:c r="O449" s="70" t="str"/>
      <x:c r="P449" s="70" t="str"/>
    </x:row>
    <x:row r="450">
      <x:c r="A450" s="70" t="str">
        <x:v>M5RG-0445</x:v>
      </x:c>
      <x:c r="B450" s="70" t="str">
        <x:v>M5C-056</x:v>
      </x:c>
      <x:c r="C450" s="70" t="str">
        <x:f>IFERROR(VLOOKUP(B450,'02_案例与预测'!$A$6:$E$65,5,FALSE),"")</x:f>
        <x:v>开发集</x:v>
      </x:c>
      <x:c r="D450" s="70" t="str">
        <x:v>RG05</x:v>
      </x:c>
      <x:c r="E450" s="70" t="str">
        <x:v>金钱、资源与劳动分配</x:v>
      </x:c>
      <x:c r="F450" s="70" t="str"/>
      <x:c r="G450" s="70" t="str"/>
      <x:c r="H450" s="70" t="str"/>
      <x:c r="I450" s="70" t="str"/>
      <x:c r="J450" s="70" t="str">
        <x:f>IF(OR(F450="",I450=""),"",IF(OR(I450="unknown",I450="not_assessed"),"不可评估",IF(F450=I450,"完全支持",IF(OR(AND(F450="pass",I450="conditional"),AND(F450="conditional",I450="pass")),"部分支持","反例"))))</x:f>
      </x:c>
      <x:c r="K450" s="70" t="str"/>
      <x:c r="L450" s="70" t="str"/>
      <x:c r="M450" s="70" t="str"/>
      <x:c r="N450" s="70" t="str"/>
      <x:c r="O450" s="70" t="str"/>
      <x:c r="P450" s="70" t="str"/>
    </x:row>
    <x:row r="451">
      <x:c r="A451" s="70" t="str">
        <x:v>M5RG-0446</x:v>
      </x:c>
      <x:c r="B451" s="70" t="str">
        <x:v>M5C-056</x:v>
      </x:c>
      <x:c r="C451" s="70" t="str">
        <x:f>IFERROR(VLOOKUP(B451,'02_案例与预测'!$A$6:$E$65,5,FALSE),"")</x:f>
        <x:v>开发集</x:v>
      </x:c>
      <x:c r="D451" s="70" t="str">
        <x:v>RG06</x:v>
      </x:c>
      <x:c r="E451" s="70" t="str">
        <x:v>家庭、婚育与照护责任</x:v>
      </x:c>
      <x:c r="F451" s="70" t="str"/>
      <x:c r="G451" s="70" t="str"/>
      <x:c r="H451" s="70" t="str"/>
      <x:c r="I451" s="70" t="str"/>
      <x:c r="J451" s="70" t="str">
        <x:f>IF(OR(F451="",I451=""),"",IF(OR(I451="unknown",I451="not_assessed"),"不可评估",IF(F451=I451,"完全支持",IF(OR(AND(F451="pass",I451="conditional"),AND(F451="conditional",I451="pass")),"部分支持","反例"))))</x:f>
      </x:c>
      <x:c r="K451" s="70" t="str"/>
      <x:c r="L451" s="70" t="str"/>
      <x:c r="M451" s="70" t="str"/>
      <x:c r="N451" s="70" t="str"/>
      <x:c r="O451" s="70" t="str"/>
      <x:c r="P451" s="70" t="str"/>
    </x:row>
    <x:row r="452">
      <x:c r="A452" s="70" t="str">
        <x:v>M5RG-0447</x:v>
      </x:c>
      <x:c r="B452" s="70" t="str">
        <x:v>M5C-056</x:v>
      </x:c>
      <x:c r="C452" s="70" t="str">
        <x:f>IFERROR(VLOOKUP(B452,'02_案例与预测'!$A$6:$E$65,5,FALSE),"")</x:f>
        <x:v>开发集</x:v>
      </x:c>
      <x:c r="D452" s="70" t="str">
        <x:v>RG07</x:v>
      </x:c>
      <x:c r="E452" s="70" t="str">
        <x:v>身体、亲密、隐私与健康</x:v>
      </x:c>
      <x:c r="F452" s="70" t="str"/>
      <x:c r="G452" s="70" t="str"/>
      <x:c r="H452" s="70" t="str"/>
      <x:c r="I452" s="70" t="str"/>
      <x:c r="J452" s="70" t="str">
        <x:f>IF(OR(F452="",I452=""),"",IF(OR(I452="unknown",I452="not_assessed"),"不可评估",IF(F452=I452,"完全支持",IF(OR(AND(F452="pass",I452="conditional"),AND(F452="conditional",I452="pass")),"部分支持","反例"))))</x:f>
      </x:c>
      <x:c r="K452" s="70" t="str"/>
      <x:c r="L452" s="70" t="str"/>
      <x:c r="M452" s="70" t="str"/>
      <x:c r="N452" s="70" t="str"/>
      <x:c r="O452" s="70" t="str"/>
      <x:c r="P452" s="70" t="str"/>
    </x:row>
    <x:row r="453">
      <x:c r="A453" s="70" t="str">
        <x:v>M5RG-0448</x:v>
      </x:c>
      <x:c r="B453" s="70" t="str">
        <x:v>M5C-056</x:v>
      </x:c>
      <x:c r="C453" s="70" t="str">
        <x:f>IFERROR(VLOOKUP(B453,'02_案例与预测'!$A$6:$E$65,5,FALSE),"")</x:f>
        <x:v>开发集</x:v>
      </x:c>
      <x:c r="D453" s="70" t="str">
        <x:v>RG08</x:v>
      </x:c>
      <x:c r="E453" s="70" t="str">
        <x:v>冲突、修复与学习意愿</x:v>
      </x:c>
      <x:c r="F453" s="70" t="str"/>
      <x:c r="G453" s="70" t="str"/>
      <x:c r="H453" s="70" t="str"/>
      <x:c r="I453" s="70" t="str"/>
      <x:c r="J453" s="70" t="str">
        <x:f>IF(OR(F453="",I453=""),"",IF(OR(I453="unknown",I453="not_assessed"),"不可评估",IF(F453=I453,"完全支持",IF(OR(AND(F453="pass",I453="conditional"),AND(F453="conditional",I453="pass")),"部分支持","反例"))))</x:f>
      </x:c>
      <x:c r="K453" s="70" t="str"/>
      <x:c r="L453" s="70" t="str"/>
      <x:c r="M453" s="70" t="str"/>
      <x:c r="N453" s="70" t="str"/>
      <x:c r="O453" s="70" t="str"/>
      <x:c r="P453" s="70" t="str"/>
    </x:row>
    <x:row r="454">
      <x:c r="A454" s="70" t="str">
        <x:v>M5RG-0449</x:v>
      </x:c>
      <x:c r="B454" s="70" t="str">
        <x:v>M5C-057</x:v>
      </x:c>
      <x:c r="C454" s="70" t="str">
        <x:f>IFERROR(VLOOKUP(B454,'02_案例与预测'!$A$6:$E$65,5,FALSE),"")</x:f>
        <x:v>开发集</x:v>
      </x:c>
      <x:c r="D454" s="70" t="str">
        <x:v>RG01</x:v>
      </x:c>
      <x:c r="E454" s="70" t="str">
        <x:v>安全、同意与尊重</x:v>
      </x:c>
      <x:c r="F454" s="70" t="str"/>
      <x:c r="G454" s="70" t="str"/>
      <x:c r="H454" s="70" t="str"/>
      <x:c r="I454" s="70" t="str"/>
      <x:c r="J454" s="70" t="str">
        <x:f>IF(OR(F454="",I454=""),"",IF(OR(I454="unknown",I454="not_assessed"),"不可评估",IF(F454=I454,"完全支持",IF(OR(AND(F454="pass",I454="conditional"),AND(F454="conditional",I454="pass")),"部分支持","反例"))))</x:f>
      </x:c>
      <x:c r="K454" s="70" t="str"/>
      <x:c r="L454" s="70" t="str"/>
      <x:c r="M454" s="70" t="str"/>
      <x:c r="N454" s="70" t="str"/>
      <x:c r="O454" s="70" t="str"/>
      <x:c r="P454" s="70" t="str"/>
    </x:row>
    <x:row r="455">
      <x:c r="A455" s="70" t="str">
        <x:v>M5RG-0450</x:v>
      </x:c>
      <x:c r="B455" s="70" t="str">
        <x:v>M5C-057</x:v>
      </x:c>
      <x:c r="C455" s="70" t="str">
        <x:f>IFERROR(VLOOKUP(B455,'02_案例与预测'!$A$6:$E$65,5,FALSE),"")</x:f>
        <x:v>开发集</x:v>
      </x:c>
      <x:c r="D455" s="70" t="str">
        <x:v>RG02</x:v>
      </x:c>
      <x:c r="E455" s="70" t="str">
        <x:v>关系意图与承诺</x:v>
      </x:c>
      <x:c r="F455" s="70" t="str"/>
      <x:c r="G455" s="70" t="str"/>
      <x:c r="H455" s="70" t="str"/>
      <x:c r="I455" s="70" t="str"/>
      <x:c r="J455" s="70" t="str">
        <x:f>IF(OR(F455="",I455=""),"",IF(OR(I455="unknown",I455="not_assessed"),"不可评估",IF(F455=I455,"完全支持",IF(OR(AND(F455="pass",I455="conditional"),AND(F455="conditional",I455="pass")),"部分支持","反例"))))</x:f>
      </x:c>
      <x:c r="K455" s="70" t="str"/>
      <x:c r="L455" s="70" t="str"/>
      <x:c r="M455" s="70" t="str"/>
      <x:c r="N455" s="70" t="str"/>
      <x:c r="O455" s="70" t="str"/>
      <x:c r="P455" s="70" t="str"/>
    </x:row>
    <x:row r="456">
      <x:c r="A456" s="70" t="str">
        <x:v>M5RG-0451</x:v>
      </x:c>
      <x:c r="B456" s="70" t="str">
        <x:v>M5C-057</x:v>
      </x:c>
      <x:c r="C456" s="70" t="str">
        <x:f>IFERROR(VLOOKUP(B456,'02_案例与预测'!$A$6:$E$65,5,FALSE),"")</x:f>
        <x:v>开发集</x:v>
      </x:c>
      <x:c r="D456" s="70" t="str">
        <x:v>RG03</x:v>
      </x:c>
      <x:c r="E456" s="70" t="str">
        <x:v>价值观与人生目标</x:v>
      </x:c>
      <x:c r="F456" s="70" t="str"/>
      <x:c r="G456" s="70" t="str"/>
      <x:c r="H456" s="70" t="str"/>
      <x:c r="I456" s="70" t="str"/>
      <x:c r="J456" s="70" t="str">
        <x:f>IF(OR(F456="",I456=""),"",IF(OR(I456="unknown",I456="not_assessed"),"不可评估",IF(F456=I456,"完全支持",IF(OR(AND(F456="pass",I456="conditional"),AND(F456="conditional",I456="pass")),"部分支持","反例"))))</x:f>
      </x:c>
      <x:c r="K456" s="70" t="str"/>
      <x:c r="L456" s="70" t="str"/>
      <x:c r="M456" s="70" t="str"/>
      <x:c r="N456" s="70" t="str"/>
      <x:c r="O456" s="70" t="str"/>
      <x:c r="P456" s="70" t="str"/>
    </x:row>
    <x:row r="457">
      <x:c r="A457" s="70" t="str">
        <x:v>M5RG-0452</x:v>
      </x:c>
      <x:c r="B457" s="70" t="str">
        <x:v>M5C-057</x:v>
      </x:c>
      <x:c r="C457" s="70" t="str">
        <x:f>IFERROR(VLOOKUP(B457,'02_案例与预测'!$A$6:$E$65,5,FALSE),"")</x:f>
        <x:v>开发集</x:v>
      </x:c>
      <x:c r="D457" s="70" t="str">
        <x:v>RG04</x:v>
      </x:c>
      <x:c r="E457" s="70" t="str">
        <x:v>时间、地域与生活节奏</x:v>
      </x:c>
      <x:c r="F457" s="70" t="str"/>
      <x:c r="G457" s="70" t="str"/>
      <x:c r="H457" s="70" t="str"/>
      <x:c r="I457" s="70" t="str"/>
      <x:c r="J457" s="70" t="str">
        <x:f>IF(OR(F457="",I457=""),"",IF(OR(I457="unknown",I457="not_assessed"),"不可评估",IF(F457=I457,"完全支持",IF(OR(AND(F457="pass",I457="conditional"),AND(F457="conditional",I457="pass")),"部分支持","反例"))))</x:f>
      </x:c>
      <x:c r="K457" s="70" t="str"/>
      <x:c r="L457" s="70" t="str"/>
      <x:c r="M457" s="70" t="str"/>
      <x:c r="N457" s="70" t="str"/>
      <x:c r="O457" s="70" t="str"/>
      <x:c r="P457" s="70" t="str"/>
    </x:row>
    <x:row r="458">
      <x:c r="A458" s="70" t="str">
        <x:v>M5RG-0453</x:v>
      </x:c>
      <x:c r="B458" s="70" t="str">
        <x:v>M5C-057</x:v>
      </x:c>
      <x:c r="C458" s="70" t="str">
        <x:f>IFERROR(VLOOKUP(B458,'02_案例与预测'!$A$6:$E$65,5,FALSE),"")</x:f>
        <x:v>开发集</x:v>
      </x:c>
      <x:c r="D458" s="70" t="str">
        <x:v>RG05</x:v>
      </x:c>
      <x:c r="E458" s="70" t="str">
        <x:v>金钱、资源与劳动分配</x:v>
      </x:c>
      <x:c r="F458" s="70" t="str"/>
      <x:c r="G458" s="70" t="str"/>
      <x:c r="H458" s="70" t="str"/>
      <x:c r="I458" s="70" t="str"/>
      <x:c r="J458" s="70" t="str">
        <x:f>IF(OR(F458="",I458=""),"",IF(OR(I458="unknown",I458="not_assessed"),"不可评估",IF(F458=I458,"完全支持",IF(OR(AND(F458="pass",I458="conditional"),AND(F458="conditional",I458="pass")),"部分支持","反例"))))</x:f>
      </x:c>
      <x:c r="K458" s="70" t="str"/>
      <x:c r="L458" s="70" t="str"/>
      <x:c r="M458" s="70" t="str"/>
      <x:c r="N458" s="70" t="str"/>
      <x:c r="O458" s="70" t="str"/>
      <x:c r="P458" s="70" t="str"/>
    </x:row>
    <x:row r="459">
      <x:c r="A459" s="70" t="str">
        <x:v>M5RG-0454</x:v>
      </x:c>
      <x:c r="B459" s="70" t="str">
        <x:v>M5C-057</x:v>
      </x:c>
      <x:c r="C459" s="70" t="str">
        <x:f>IFERROR(VLOOKUP(B459,'02_案例与预测'!$A$6:$E$65,5,FALSE),"")</x:f>
        <x:v>开发集</x:v>
      </x:c>
      <x:c r="D459" s="70" t="str">
        <x:v>RG06</x:v>
      </x:c>
      <x:c r="E459" s="70" t="str">
        <x:v>家庭、婚育与照护责任</x:v>
      </x:c>
      <x:c r="F459" s="70" t="str"/>
      <x:c r="G459" s="70" t="str"/>
      <x:c r="H459" s="70" t="str"/>
      <x:c r="I459" s="70" t="str"/>
      <x:c r="J459" s="70" t="str">
        <x:f>IF(OR(F459="",I459=""),"",IF(OR(I459="unknown",I459="not_assessed"),"不可评估",IF(F459=I459,"完全支持",IF(OR(AND(F459="pass",I459="conditional"),AND(F459="conditional",I459="pass")),"部分支持","反例"))))</x:f>
      </x:c>
      <x:c r="K459" s="70" t="str"/>
      <x:c r="L459" s="70" t="str"/>
      <x:c r="M459" s="70" t="str"/>
      <x:c r="N459" s="70" t="str"/>
      <x:c r="O459" s="70" t="str"/>
      <x:c r="P459" s="70" t="str"/>
    </x:row>
    <x:row r="460">
      <x:c r="A460" s="70" t="str">
        <x:v>M5RG-0455</x:v>
      </x:c>
      <x:c r="B460" s="70" t="str">
        <x:v>M5C-057</x:v>
      </x:c>
      <x:c r="C460" s="70" t="str">
        <x:f>IFERROR(VLOOKUP(B460,'02_案例与预测'!$A$6:$E$65,5,FALSE),"")</x:f>
        <x:v>开发集</x:v>
      </x:c>
      <x:c r="D460" s="70" t="str">
        <x:v>RG07</x:v>
      </x:c>
      <x:c r="E460" s="70" t="str">
        <x:v>身体、亲密、隐私与健康</x:v>
      </x:c>
      <x:c r="F460" s="70" t="str"/>
      <x:c r="G460" s="70" t="str"/>
      <x:c r="H460" s="70" t="str"/>
      <x:c r="I460" s="70" t="str"/>
      <x:c r="J460" s="70" t="str">
        <x:f>IF(OR(F460="",I460=""),"",IF(OR(I460="unknown",I460="not_assessed"),"不可评估",IF(F460=I460,"完全支持",IF(OR(AND(F460="pass",I460="conditional"),AND(F460="conditional",I460="pass")),"部分支持","反例"))))</x:f>
      </x:c>
      <x:c r="K460" s="70" t="str"/>
      <x:c r="L460" s="70" t="str"/>
      <x:c r="M460" s="70" t="str"/>
      <x:c r="N460" s="70" t="str"/>
      <x:c r="O460" s="70" t="str"/>
      <x:c r="P460" s="70" t="str"/>
    </x:row>
    <x:row r="461">
      <x:c r="A461" s="70" t="str">
        <x:v>M5RG-0456</x:v>
      </x:c>
      <x:c r="B461" s="70" t="str">
        <x:v>M5C-057</x:v>
      </x:c>
      <x:c r="C461" s="70" t="str">
        <x:f>IFERROR(VLOOKUP(B461,'02_案例与预测'!$A$6:$E$65,5,FALSE),"")</x:f>
        <x:v>开发集</x:v>
      </x:c>
      <x:c r="D461" s="70" t="str">
        <x:v>RG08</x:v>
      </x:c>
      <x:c r="E461" s="70" t="str">
        <x:v>冲突、修复与学习意愿</x:v>
      </x:c>
      <x:c r="F461" s="70" t="str"/>
      <x:c r="G461" s="70" t="str"/>
      <x:c r="H461" s="70" t="str"/>
      <x:c r="I461" s="70" t="str"/>
      <x:c r="J461" s="70" t="str">
        <x:f>IF(OR(F461="",I461=""),"",IF(OR(I461="unknown",I461="not_assessed"),"不可评估",IF(F461=I461,"完全支持",IF(OR(AND(F461="pass",I461="conditional"),AND(F461="conditional",I461="pass")),"部分支持","反例"))))</x:f>
      </x:c>
      <x:c r="K461" s="70" t="str"/>
      <x:c r="L461" s="70" t="str"/>
      <x:c r="M461" s="70" t="str"/>
      <x:c r="N461" s="70" t="str"/>
      <x:c r="O461" s="70" t="str"/>
      <x:c r="P461" s="70" t="str"/>
    </x:row>
    <x:row r="462">
      <x:c r="A462" s="70" t="str">
        <x:v>M5RG-0457</x:v>
      </x:c>
      <x:c r="B462" s="70" t="str">
        <x:v>M5C-058</x:v>
      </x:c>
      <x:c r="C462" s="70" t="str">
        <x:f>IFERROR(VLOOKUP(B462,'02_案例与预测'!$A$6:$E$65,5,FALSE),"")</x:f>
        <x:v>留出集</x:v>
      </x:c>
      <x:c r="D462" s="70" t="str">
        <x:v>RG01</x:v>
      </x:c>
      <x:c r="E462" s="70" t="str">
        <x:v>安全、同意与尊重</x:v>
      </x:c>
      <x:c r="F462" s="70" t="str"/>
      <x:c r="G462" s="70" t="str"/>
      <x:c r="H462" s="70" t="str"/>
      <x:c r="I462" s="70" t="str"/>
      <x:c r="J462" s="70" t="str">
        <x:f>IF(OR(F462="",I462=""),"",IF(OR(I462="unknown",I462="not_assessed"),"不可评估",IF(F462=I462,"完全支持",IF(OR(AND(F462="pass",I462="conditional"),AND(F462="conditional",I462="pass")),"部分支持","反例"))))</x:f>
      </x:c>
      <x:c r="K462" s="70" t="str"/>
      <x:c r="L462" s="70" t="str"/>
      <x:c r="M462" s="70" t="str"/>
      <x:c r="N462" s="70" t="str"/>
      <x:c r="O462" s="70" t="str"/>
      <x:c r="P462" s="70" t="str"/>
    </x:row>
    <x:row r="463">
      <x:c r="A463" s="70" t="str">
        <x:v>M5RG-0458</x:v>
      </x:c>
      <x:c r="B463" s="70" t="str">
        <x:v>M5C-058</x:v>
      </x:c>
      <x:c r="C463" s="70" t="str">
        <x:f>IFERROR(VLOOKUP(B463,'02_案例与预测'!$A$6:$E$65,5,FALSE),"")</x:f>
        <x:v>留出集</x:v>
      </x:c>
      <x:c r="D463" s="70" t="str">
        <x:v>RG02</x:v>
      </x:c>
      <x:c r="E463" s="70" t="str">
        <x:v>关系意图与承诺</x:v>
      </x:c>
      <x:c r="F463" s="70" t="str"/>
      <x:c r="G463" s="70" t="str"/>
      <x:c r="H463" s="70" t="str"/>
      <x:c r="I463" s="70" t="str"/>
      <x:c r="J463" s="70" t="str">
        <x:f>IF(OR(F463="",I463=""),"",IF(OR(I463="unknown",I463="not_assessed"),"不可评估",IF(F463=I463,"完全支持",IF(OR(AND(F463="pass",I463="conditional"),AND(F463="conditional",I463="pass")),"部分支持","反例"))))</x:f>
      </x:c>
      <x:c r="K463" s="70" t="str"/>
      <x:c r="L463" s="70" t="str"/>
      <x:c r="M463" s="70" t="str"/>
      <x:c r="N463" s="70" t="str"/>
      <x:c r="O463" s="70" t="str"/>
      <x:c r="P463" s="70" t="str"/>
    </x:row>
    <x:row r="464">
      <x:c r="A464" s="70" t="str">
        <x:v>M5RG-0459</x:v>
      </x:c>
      <x:c r="B464" s="70" t="str">
        <x:v>M5C-058</x:v>
      </x:c>
      <x:c r="C464" s="70" t="str">
        <x:f>IFERROR(VLOOKUP(B464,'02_案例与预测'!$A$6:$E$65,5,FALSE),"")</x:f>
        <x:v>留出集</x:v>
      </x:c>
      <x:c r="D464" s="70" t="str">
        <x:v>RG03</x:v>
      </x:c>
      <x:c r="E464" s="70" t="str">
        <x:v>价值观与人生目标</x:v>
      </x:c>
      <x:c r="F464" s="70" t="str"/>
      <x:c r="G464" s="70" t="str"/>
      <x:c r="H464" s="70" t="str"/>
      <x:c r="I464" s="70" t="str"/>
      <x:c r="J464" s="70" t="str">
        <x:f>IF(OR(F464="",I464=""),"",IF(OR(I464="unknown",I464="not_assessed"),"不可评估",IF(F464=I464,"完全支持",IF(OR(AND(F464="pass",I464="conditional"),AND(F464="conditional",I464="pass")),"部分支持","反例"))))</x:f>
      </x:c>
      <x:c r="K464" s="70" t="str"/>
      <x:c r="L464" s="70" t="str"/>
      <x:c r="M464" s="70" t="str"/>
      <x:c r="N464" s="70" t="str"/>
      <x:c r="O464" s="70" t="str"/>
      <x:c r="P464" s="70" t="str"/>
    </x:row>
    <x:row r="465">
      <x:c r="A465" s="70" t="str">
        <x:v>M5RG-0460</x:v>
      </x:c>
      <x:c r="B465" s="70" t="str">
        <x:v>M5C-058</x:v>
      </x:c>
      <x:c r="C465" s="70" t="str">
        <x:f>IFERROR(VLOOKUP(B465,'02_案例与预测'!$A$6:$E$65,5,FALSE),"")</x:f>
        <x:v>留出集</x:v>
      </x:c>
      <x:c r="D465" s="70" t="str">
        <x:v>RG04</x:v>
      </x:c>
      <x:c r="E465" s="70" t="str">
        <x:v>时间、地域与生活节奏</x:v>
      </x:c>
      <x:c r="F465" s="70" t="str"/>
      <x:c r="G465" s="70" t="str"/>
      <x:c r="H465" s="70" t="str"/>
      <x:c r="I465" s="70" t="str"/>
      <x:c r="J465" s="70" t="str">
        <x:f>IF(OR(F465="",I465=""),"",IF(OR(I465="unknown",I465="not_assessed"),"不可评估",IF(F465=I465,"完全支持",IF(OR(AND(F465="pass",I465="conditional"),AND(F465="conditional",I465="pass")),"部分支持","反例"))))</x:f>
      </x:c>
      <x:c r="K465" s="70" t="str"/>
      <x:c r="L465" s="70" t="str"/>
      <x:c r="M465" s="70" t="str"/>
      <x:c r="N465" s="70" t="str"/>
      <x:c r="O465" s="70" t="str"/>
      <x:c r="P465" s="70" t="str"/>
    </x:row>
    <x:row r="466">
      <x:c r="A466" s="70" t="str">
        <x:v>M5RG-0461</x:v>
      </x:c>
      <x:c r="B466" s="70" t="str">
        <x:v>M5C-058</x:v>
      </x:c>
      <x:c r="C466" s="70" t="str">
        <x:f>IFERROR(VLOOKUP(B466,'02_案例与预测'!$A$6:$E$65,5,FALSE),"")</x:f>
        <x:v>留出集</x:v>
      </x:c>
      <x:c r="D466" s="70" t="str">
        <x:v>RG05</x:v>
      </x:c>
      <x:c r="E466" s="70" t="str">
        <x:v>金钱、资源与劳动分配</x:v>
      </x:c>
      <x:c r="F466" s="70" t="str"/>
      <x:c r="G466" s="70" t="str"/>
      <x:c r="H466" s="70" t="str"/>
      <x:c r="I466" s="70" t="str"/>
      <x:c r="J466" s="70" t="str">
        <x:f>IF(OR(F466="",I466=""),"",IF(OR(I466="unknown",I466="not_assessed"),"不可评估",IF(F466=I466,"完全支持",IF(OR(AND(F466="pass",I466="conditional"),AND(F466="conditional",I466="pass")),"部分支持","反例"))))</x:f>
      </x:c>
      <x:c r="K466" s="70" t="str"/>
      <x:c r="L466" s="70" t="str"/>
      <x:c r="M466" s="70" t="str"/>
      <x:c r="N466" s="70" t="str"/>
      <x:c r="O466" s="70" t="str"/>
      <x:c r="P466" s="70" t="str"/>
    </x:row>
    <x:row r="467">
      <x:c r="A467" s="70" t="str">
        <x:v>M5RG-0462</x:v>
      </x:c>
      <x:c r="B467" s="70" t="str">
        <x:v>M5C-058</x:v>
      </x:c>
      <x:c r="C467" s="70" t="str">
        <x:f>IFERROR(VLOOKUP(B467,'02_案例与预测'!$A$6:$E$65,5,FALSE),"")</x:f>
        <x:v>留出集</x:v>
      </x:c>
      <x:c r="D467" s="70" t="str">
        <x:v>RG06</x:v>
      </x:c>
      <x:c r="E467" s="70" t="str">
        <x:v>家庭、婚育与照护责任</x:v>
      </x:c>
      <x:c r="F467" s="70" t="str"/>
      <x:c r="G467" s="70" t="str"/>
      <x:c r="H467" s="70" t="str"/>
      <x:c r="I467" s="70" t="str"/>
      <x:c r="J467" s="70" t="str">
        <x:f>IF(OR(F467="",I467=""),"",IF(OR(I467="unknown",I467="not_assessed"),"不可评估",IF(F467=I467,"完全支持",IF(OR(AND(F467="pass",I467="conditional"),AND(F467="conditional",I467="pass")),"部分支持","反例"))))</x:f>
      </x:c>
      <x:c r="K467" s="70" t="str"/>
      <x:c r="L467" s="70" t="str"/>
      <x:c r="M467" s="70" t="str"/>
      <x:c r="N467" s="70" t="str"/>
      <x:c r="O467" s="70" t="str"/>
      <x:c r="P467" s="70" t="str"/>
    </x:row>
    <x:row r="468">
      <x:c r="A468" s="70" t="str">
        <x:v>M5RG-0463</x:v>
      </x:c>
      <x:c r="B468" s="70" t="str">
        <x:v>M5C-058</x:v>
      </x:c>
      <x:c r="C468" s="70" t="str">
        <x:f>IFERROR(VLOOKUP(B468,'02_案例与预测'!$A$6:$E$65,5,FALSE),"")</x:f>
        <x:v>留出集</x:v>
      </x:c>
      <x:c r="D468" s="70" t="str">
        <x:v>RG07</x:v>
      </x:c>
      <x:c r="E468" s="70" t="str">
        <x:v>身体、亲密、隐私与健康</x:v>
      </x:c>
      <x:c r="F468" s="70" t="str"/>
      <x:c r="G468" s="70" t="str"/>
      <x:c r="H468" s="70" t="str"/>
      <x:c r="I468" s="70" t="str"/>
      <x:c r="J468" s="70" t="str">
        <x:f>IF(OR(F468="",I468=""),"",IF(OR(I468="unknown",I468="not_assessed"),"不可评估",IF(F468=I468,"完全支持",IF(OR(AND(F468="pass",I468="conditional"),AND(F468="conditional",I468="pass")),"部分支持","反例"))))</x:f>
      </x:c>
      <x:c r="K468" s="70" t="str"/>
      <x:c r="L468" s="70" t="str"/>
      <x:c r="M468" s="70" t="str"/>
      <x:c r="N468" s="70" t="str"/>
      <x:c r="O468" s="70" t="str"/>
      <x:c r="P468" s="70" t="str"/>
    </x:row>
    <x:row r="469">
      <x:c r="A469" s="70" t="str">
        <x:v>M5RG-0464</x:v>
      </x:c>
      <x:c r="B469" s="70" t="str">
        <x:v>M5C-058</x:v>
      </x:c>
      <x:c r="C469" s="70" t="str">
        <x:f>IFERROR(VLOOKUP(B469,'02_案例与预测'!$A$6:$E$65,5,FALSE),"")</x:f>
        <x:v>留出集</x:v>
      </x:c>
      <x:c r="D469" s="70" t="str">
        <x:v>RG08</x:v>
      </x:c>
      <x:c r="E469" s="70" t="str">
        <x:v>冲突、修复与学习意愿</x:v>
      </x:c>
      <x:c r="F469" s="70" t="str"/>
      <x:c r="G469" s="70" t="str"/>
      <x:c r="H469" s="70" t="str"/>
      <x:c r="I469" s="70" t="str"/>
      <x:c r="J469" s="70" t="str">
        <x:f>IF(OR(F469="",I469=""),"",IF(OR(I469="unknown",I469="not_assessed"),"不可评估",IF(F469=I469,"完全支持",IF(OR(AND(F469="pass",I469="conditional"),AND(F469="conditional",I469="pass")),"部分支持","反例"))))</x:f>
      </x:c>
      <x:c r="K469" s="70" t="str"/>
      <x:c r="L469" s="70" t="str"/>
      <x:c r="M469" s="70" t="str"/>
      <x:c r="N469" s="70" t="str"/>
      <x:c r="O469" s="70" t="str"/>
      <x:c r="P469" s="70" t="str"/>
    </x:row>
    <x:row r="470">
      <x:c r="A470" s="70" t="str">
        <x:v>M5RG-0465</x:v>
      </x:c>
      <x:c r="B470" s="70" t="str">
        <x:v>M5C-059</x:v>
      </x:c>
      <x:c r="C470" s="70" t="str">
        <x:f>IFERROR(VLOOKUP(B470,'02_案例与预测'!$A$6:$E$65,5,FALSE),"")</x:f>
        <x:v>留出集</x:v>
      </x:c>
      <x:c r="D470" s="70" t="str">
        <x:v>RG01</x:v>
      </x:c>
      <x:c r="E470" s="70" t="str">
        <x:v>安全、同意与尊重</x:v>
      </x:c>
      <x:c r="F470" s="70" t="str"/>
      <x:c r="G470" s="70" t="str"/>
      <x:c r="H470" s="70" t="str"/>
      <x:c r="I470" s="70" t="str"/>
      <x:c r="J470" s="70" t="str">
        <x:f>IF(OR(F470="",I470=""),"",IF(OR(I470="unknown",I470="not_assessed"),"不可评估",IF(F470=I470,"完全支持",IF(OR(AND(F470="pass",I470="conditional"),AND(F470="conditional",I470="pass")),"部分支持","反例"))))</x:f>
      </x:c>
      <x:c r="K470" s="70" t="str"/>
      <x:c r="L470" s="70" t="str"/>
      <x:c r="M470" s="70" t="str"/>
      <x:c r="N470" s="70" t="str"/>
      <x:c r="O470" s="70" t="str"/>
      <x:c r="P470" s="70" t="str"/>
    </x:row>
    <x:row r="471">
      <x:c r="A471" s="70" t="str">
        <x:v>M5RG-0466</x:v>
      </x:c>
      <x:c r="B471" s="70" t="str">
        <x:v>M5C-059</x:v>
      </x:c>
      <x:c r="C471" s="70" t="str">
        <x:f>IFERROR(VLOOKUP(B471,'02_案例与预测'!$A$6:$E$65,5,FALSE),"")</x:f>
        <x:v>留出集</x:v>
      </x:c>
      <x:c r="D471" s="70" t="str">
        <x:v>RG02</x:v>
      </x:c>
      <x:c r="E471" s="70" t="str">
        <x:v>关系意图与承诺</x:v>
      </x:c>
      <x:c r="F471" s="70" t="str"/>
      <x:c r="G471" s="70" t="str"/>
      <x:c r="H471" s="70" t="str"/>
      <x:c r="I471" s="70" t="str"/>
      <x:c r="J471" s="70" t="str">
        <x:f>IF(OR(F471="",I471=""),"",IF(OR(I471="unknown",I471="not_assessed"),"不可评估",IF(F471=I471,"完全支持",IF(OR(AND(F471="pass",I471="conditional"),AND(F471="conditional",I471="pass")),"部分支持","反例"))))</x:f>
      </x:c>
      <x:c r="K471" s="70" t="str"/>
      <x:c r="L471" s="70" t="str"/>
      <x:c r="M471" s="70" t="str"/>
      <x:c r="N471" s="70" t="str"/>
      <x:c r="O471" s="70" t="str"/>
      <x:c r="P471" s="70" t="str"/>
    </x:row>
    <x:row r="472">
      <x:c r="A472" s="70" t="str">
        <x:v>M5RG-0467</x:v>
      </x:c>
      <x:c r="B472" s="70" t="str">
        <x:v>M5C-059</x:v>
      </x:c>
      <x:c r="C472" s="70" t="str">
        <x:f>IFERROR(VLOOKUP(B472,'02_案例与预测'!$A$6:$E$65,5,FALSE),"")</x:f>
        <x:v>留出集</x:v>
      </x:c>
      <x:c r="D472" s="70" t="str">
        <x:v>RG03</x:v>
      </x:c>
      <x:c r="E472" s="70" t="str">
        <x:v>价值观与人生目标</x:v>
      </x:c>
      <x:c r="F472" s="70" t="str"/>
      <x:c r="G472" s="70" t="str"/>
      <x:c r="H472" s="70" t="str"/>
      <x:c r="I472" s="70" t="str"/>
      <x:c r="J472" s="70" t="str">
        <x:f>IF(OR(F472="",I472=""),"",IF(OR(I472="unknown",I472="not_assessed"),"不可评估",IF(F472=I472,"完全支持",IF(OR(AND(F472="pass",I472="conditional"),AND(F472="conditional",I472="pass")),"部分支持","反例"))))</x:f>
      </x:c>
      <x:c r="K472" s="70" t="str"/>
      <x:c r="L472" s="70" t="str"/>
      <x:c r="M472" s="70" t="str"/>
      <x:c r="N472" s="70" t="str"/>
      <x:c r="O472" s="70" t="str"/>
      <x:c r="P472" s="70" t="str"/>
    </x:row>
    <x:row r="473">
      <x:c r="A473" s="70" t="str">
        <x:v>M5RG-0468</x:v>
      </x:c>
      <x:c r="B473" s="70" t="str">
        <x:v>M5C-059</x:v>
      </x:c>
      <x:c r="C473" s="70" t="str">
        <x:f>IFERROR(VLOOKUP(B473,'02_案例与预测'!$A$6:$E$65,5,FALSE),"")</x:f>
        <x:v>留出集</x:v>
      </x:c>
      <x:c r="D473" s="70" t="str">
        <x:v>RG04</x:v>
      </x:c>
      <x:c r="E473" s="70" t="str">
        <x:v>时间、地域与生活节奏</x:v>
      </x:c>
      <x:c r="F473" s="70" t="str"/>
      <x:c r="G473" s="70" t="str"/>
      <x:c r="H473" s="70" t="str"/>
      <x:c r="I473" s="70" t="str"/>
      <x:c r="J473" s="70" t="str">
        <x:f>IF(OR(F473="",I473=""),"",IF(OR(I473="unknown",I473="not_assessed"),"不可评估",IF(F473=I473,"完全支持",IF(OR(AND(F473="pass",I473="conditional"),AND(F473="conditional",I473="pass")),"部分支持","反例"))))</x:f>
      </x:c>
      <x:c r="K473" s="70" t="str"/>
      <x:c r="L473" s="70" t="str"/>
      <x:c r="M473" s="70" t="str"/>
      <x:c r="N473" s="70" t="str"/>
      <x:c r="O473" s="70" t="str"/>
      <x:c r="P473" s="70" t="str"/>
    </x:row>
    <x:row r="474">
      <x:c r="A474" s="70" t="str">
        <x:v>M5RG-0469</x:v>
      </x:c>
      <x:c r="B474" s="70" t="str">
        <x:v>M5C-059</x:v>
      </x:c>
      <x:c r="C474" s="70" t="str">
        <x:f>IFERROR(VLOOKUP(B474,'02_案例与预测'!$A$6:$E$65,5,FALSE),"")</x:f>
        <x:v>留出集</x:v>
      </x:c>
      <x:c r="D474" s="70" t="str">
        <x:v>RG05</x:v>
      </x:c>
      <x:c r="E474" s="70" t="str">
        <x:v>金钱、资源与劳动分配</x:v>
      </x:c>
      <x:c r="F474" s="70" t="str"/>
      <x:c r="G474" s="70" t="str"/>
      <x:c r="H474" s="70" t="str"/>
      <x:c r="I474" s="70" t="str"/>
      <x:c r="J474" s="70" t="str">
        <x:f>IF(OR(F474="",I474=""),"",IF(OR(I474="unknown",I474="not_assessed"),"不可评估",IF(F474=I474,"完全支持",IF(OR(AND(F474="pass",I474="conditional"),AND(F474="conditional",I474="pass")),"部分支持","反例"))))</x:f>
      </x:c>
      <x:c r="K474" s="70" t="str"/>
      <x:c r="L474" s="70" t="str"/>
      <x:c r="M474" s="70" t="str"/>
      <x:c r="N474" s="70" t="str"/>
      <x:c r="O474" s="70" t="str"/>
      <x:c r="P474" s="70" t="str"/>
    </x:row>
    <x:row r="475">
      <x:c r="A475" s="70" t="str">
        <x:v>M5RG-0470</x:v>
      </x:c>
      <x:c r="B475" s="70" t="str">
        <x:v>M5C-059</x:v>
      </x:c>
      <x:c r="C475" s="70" t="str">
        <x:f>IFERROR(VLOOKUP(B475,'02_案例与预测'!$A$6:$E$65,5,FALSE),"")</x:f>
        <x:v>留出集</x:v>
      </x:c>
      <x:c r="D475" s="70" t="str">
        <x:v>RG06</x:v>
      </x:c>
      <x:c r="E475" s="70" t="str">
        <x:v>家庭、婚育与照护责任</x:v>
      </x:c>
      <x:c r="F475" s="70" t="str"/>
      <x:c r="G475" s="70" t="str"/>
      <x:c r="H475" s="70" t="str"/>
      <x:c r="I475" s="70" t="str"/>
      <x:c r="J475" s="70" t="str">
        <x:f>IF(OR(F475="",I475=""),"",IF(OR(I475="unknown",I475="not_assessed"),"不可评估",IF(F475=I475,"完全支持",IF(OR(AND(F475="pass",I475="conditional"),AND(F475="conditional",I475="pass")),"部分支持","反例"))))</x:f>
      </x:c>
      <x:c r="K475" s="70" t="str"/>
      <x:c r="L475" s="70" t="str"/>
      <x:c r="M475" s="70" t="str"/>
      <x:c r="N475" s="70" t="str"/>
      <x:c r="O475" s="70" t="str"/>
      <x:c r="P475" s="70" t="str"/>
    </x:row>
    <x:row r="476">
      <x:c r="A476" s="70" t="str">
        <x:v>M5RG-0471</x:v>
      </x:c>
      <x:c r="B476" s="70" t="str">
        <x:v>M5C-059</x:v>
      </x:c>
      <x:c r="C476" s="70" t="str">
        <x:f>IFERROR(VLOOKUP(B476,'02_案例与预测'!$A$6:$E$65,5,FALSE),"")</x:f>
        <x:v>留出集</x:v>
      </x:c>
      <x:c r="D476" s="70" t="str">
        <x:v>RG07</x:v>
      </x:c>
      <x:c r="E476" s="70" t="str">
        <x:v>身体、亲密、隐私与健康</x:v>
      </x:c>
      <x:c r="F476" s="70" t="str"/>
      <x:c r="G476" s="70" t="str"/>
      <x:c r="H476" s="70" t="str"/>
      <x:c r="I476" s="70" t="str"/>
      <x:c r="J476" s="70" t="str">
        <x:f>IF(OR(F476="",I476=""),"",IF(OR(I476="unknown",I476="not_assessed"),"不可评估",IF(F476=I476,"完全支持",IF(OR(AND(F476="pass",I476="conditional"),AND(F476="conditional",I476="pass")),"部分支持","反例"))))</x:f>
      </x:c>
      <x:c r="K476" s="70" t="str"/>
      <x:c r="L476" s="70" t="str"/>
      <x:c r="M476" s="70" t="str"/>
      <x:c r="N476" s="70" t="str"/>
      <x:c r="O476" s="70" t="str"/>
      <x:c r="P476" s="70" t="str"/>
    </x:row>
    <x:row r="477">
      <x:c r="A477" s="70" t="str">
        <x:v>M5RG-0472</x:v>
      </x:c>
      <x:c r="B477" s="70" t="str">
        <x:v>M5C-059</x:v>
      </x:c>
      <x:c r="C477" s="70" t="str">
        <x:f>IFERROR(VLOOKUP(B477,'02_案例与预测'!$A$6:$E$65,5,FALSE),"")</x:f>
        <x:v>留出集</x:v>
      </x:c>
      <x:c r="D477" s="70" t="str">
        <x:v>RG08</x:v>
      </x:c>
      <x:c r="E477" s="70" t="str">
        <x:v>冲突、修复与学习意愿</x:v>
      </x:c>
      <x:c r="F477" s="70" t="str"/>
      <x:c r="G477" s="70" t="str"/>
      <x:c r="H477" s="70" t="str"/>
      <x:c r="I477" s="70" t="str"/>
      <x:c r="J477" s="70" t="str">
        <x:f>IF(OR(F477="",I477=""),"",IF(OR(I477="unknown",I477="not_assessed"),"不可评估",IF(F477=I477,"完全支持",IF(OR(AND(F477="pass",I477="conditional"),AND(F477="conditional",I477="pass")),"部分支持","反例"))))</x:f>
      </x:c>
      <x:c r="K477" s="70" t="str"/>
      <x:c r="L477" s="70" t="str"/>
      <x:c r="M477" s="70" t="str"/>
      <x:c r="N477" s="70" t="str"/>
      <x:c r="O477" s="70" t="str"/>
      <x:c r="P477" s="70" t="str"/>
    </x:row>
    <x:row r="478">
      <x:c r="A478" s="70" t="str">
        <x:v>M5RG-0473</x:v>
      </x:c>
      <x:c r="B478" s="70" t="str">
        <x:v>M5C-060</x:v>
      </x:c>
      <x:c r="C478" s="70" t="str">
        <x:f>IFERROR(VLOOKUP(B478,'02_案例与预测'!$A$6:$E$65,5,FALSE),"")</x:f>
        <x:v>留出集</x:v>
      </x:c>
      <x:c r="D478" s="70" t="str">
        <x:v>RG01</x:v>
      </x:c>
      <x:c r="E478" s="70" t="str">
        <x:v>安全、同意与尊重</x:v>
      </x:c>
      <x:c r="F478" s="70" t="str"/>
      <x:c r="G478" s="70" t="str"/>
      <x:c r="H478" s="70" t="str"/>
      <x:c r="I478" s="70" t="str"/>
      <x:c r="J478" s="70" t="str">
        <x:f>IF(OR(F478="",I478=""),"",IF(OR(I478="unknown",I478="not_assessed"),"不可评估",IF(F478=I478,"完全支持",IF(OR(AND(F478="pass",I478="conditional"),AND(F478="conditional",I478="pass")),"部分支持","反例"))))</x:f>
      </x:c>
      <x:c r="K478" s="70" t="str"/>
      <x:c r="L478" s="70" t="str"/>
      <x:c r="M478" s="70" t="str"/>
      <x:c r="N478" s="70" t="str"/>
      <x:c r="O478" s="70" t="str"/>
      <x:c r="P478" s="70" t="str"/>
    </x:row>
    <x:row r="479">
      <x:c r="A479" s="70" t="str">
        <x:v>M5RG-0474</x:v>
      </x:c>
      <x:c r="B479" s="70" t="str">
        <x:v>M5C-060</x:v>
      </x:c>
      <x:c r="C479" s="70" t="str">
        <x:f>IFERROR(VLOOKUP(B479,'02_案例与预测'!$A$6:$E$65,5,FALSE),"")</x:f>
        <x:v>留出集</x:v>
      </x:c>
      <x:c r="D479" s="70" t="str">
        <x:v>RG02</x:v>
      </x:c>
      <x:c r="E479" s="70" t="str">
        <x:v>关系意图与承诺</x:v>
      </x:c>
      <x:c r="F479" s="70" t="str"/>
      <x:c r="G479" s="70" t="str"/>
      <x:c r="H479" s="70" t="str"/>
      <x:c r="I479" s="70" t="str"/>
      <x:c r="J479" s="70" t="str">
        <x:f>IF(OR(F479="",I479=""),"",IF(OR(I479="unknown",I479="not_assessed"),"不可评估",IF(F479=I479,"完全支持",IF(OR(AND(F479="pass",I479="conditional"),AND(F479="conditional",I479="pass")),"部分支持","反例"))))</x:f>
      </x:c>
      <x:c r="K479" s="70" t="str"/>
      <x:c r="L479" s="70" t="str"/>
      <x:c r="M479" s="70" t="str"/>
      <x:c r="N479" s="70" t="str"/>
      <x:c r="O479" s="70" t="str"/>
      <x:c r="P479" s="70" t="str"/>
    </x:row>
    <x:row r="480">
      <x:c r="A480" s="70" t="str">
        <x:v>M5RG-0475</x:v>
      </x:c>
      <x:c r="B480" s="70" t="str">
        <x:v>M5C-060</x:v>
      </x:c>
      <x:c r="C480" s="70" t="str">
        <x:f>IFERROR(VLOOKUP(B480,'02_案例与预测'!$A$6:$E$65,5,FALSE),"")</x:f>
        <x:v>留出集</x:v>
      </x:c>
      <x:c r="D480" s="70" t="str">
        <x:v>RG03</x:v>
      </x:c>
      <x:c r="E480" s="70" t="str">
        <x:v>价值观与人生目标</x:v>
      </x:c>
      <x:c r="F480" s="70" t="str"/>
      <x:c r="G480" s="70" t="str"/>
      <x:c r="H480" s="70" t="str"/>
      <x:c r="I480" s="70" t="str"/>
      <x:c r="J480" s="70" t="str">
        <x:f>IF(OR(F480="",I480=""),"",IF(OR(I480="unknown",I480="not_assessed"),"不可评估",IF(F480=I480,"完全支持",IF(OR(AND(F480="pass",I480="conditional"),AND(F480="conditional",I480="pass")),"部分支持","反例"))))</x:f>
      </x:c>
      <x:c r="K480" s="70" t="str"/>
      <x:c r="L480" s="70" t="str"/>
      <x:c r="M480" s="70" t="str"/>
      <x:c r="N480" s="70" t="str"/>
      <x:c r="O480" s="70" t="str"/>
      <x:c r="P480" s="70" t="str"/>
    </x:row>
    <x:row r="481">
      <x:c r="A481" s="70" t="str">
        <x:v>M5RG-0476</x:v>
      </x:c>
      <x:c r="B481" s="70" t="str">
        <x:v>M5C-060</x:v>
      </x:c>
      <x:c r="C481" s="70" t="str">
        <x:f>IFERROR(VLOOKUP(B481,'02_案例与预测'!$A$6:$E$65,5,FALSE),"")</x:f>
        <x:v>留出集</x:v>
      </x:c>
      <x:c r="D481" s="70" t="str">
        <x:v>RG04</x:v>
      </x:c>
      <x:c r="E481" s="70" t="str">
        <x:v>时间、地域与生活节奏</x:v>
      </x:c>
      <x:c r="F481" s="70" t="str"/>
      <x:c r="G481" s="70" t="str"/>
      <x:c r="H481" s="70" t="str"/>
      <x:c r="I481" s="70" t="str"/>
      <x:c r="J481" s="70" t="str">
        <x:f>IF(OR(F481="",I481=""),"",IF(OR(I481="unknown",I481="not_assessed"),"不可评估",IF(F481=I481,"完全支持",IF(OR(AND(F481="pass",I481="conditional"),AND(F481="conditional",I481="pass")),"部分支持","反例"))))</x:f>
      </x:c>
      <x:c r="K481" s="70" t="str"/>
      <x:c r="L481" s="70" t="str"/>
      <x:c r="M481" s="70" t="str"/>
      <x:c r="N481" s="70" t="str"/>
      <x:c r="O481" s="70" t="str"/>
      <x:c r="P481" s="70" t="str"/>
    </x:row>
    <x:row r="482">
      <x:c r="A482" s="70" t="str">
        <x:v>M5RG-0477</x:v>
      </x:c>
      <x:c r="B482" s="70" t="str">
        <x:v>M5C-060</x:v>
      </x:c>
      <x:c r="C482" s="70" t="str">
        <x:f>IFERROR(VLOOKUP(B482,'02_案例与预测'!$A$6:$E$65,5,FALSE),"")</x:f>
        <x:v>留出集</x:v>
      </x:c>
      <x:c r="D482" s="70" t="str">
        <x:v>RG05</x:v>
      </x:c>
      <x:c r="E482" s="70" t="str">
        <x:v>金钱、资源与劳动分配</x:v>
      </x:c>
      <x:c r="F482" s="70" t="str"/>
      <x:c r="G482" s="70" t="str"/>
      <x:c r="H482" s="70" t="str"/>
      <x:c r="I482" s="70" t="str"/>
      <x:c r="J482" s="70" t="str">
        <x:f>IF(OR(F482="",I482=""),"",IF(OR(I482="unknown",I482="not_assessed"),"不可评估",IF(F482=I482,"完全支持",IF(OR(AND(F482="pass",I482="conditional"),AND(F482="conditional",I482="pass")),"部分支持","反例"))))</x:f>
      </x:c>
      <x:c r="K482" s="70" t="str"/>
      <x:c r="L482" s="70" t="str"/>
      <x:c r="M482" s="70" t="str"/>
      <x:c r="N482" s="70" t="str"/>
      <x:c r="O482" s="70" t="str"/>
      <x:c r="P482" s="70" t="str"/>
    </x:row>
    <x:row r="483">
      <x:c r="A483" s="70" t="str">
        <x:v>M5RG-0478</x:v>
      </x:c>
      <x:c r="B483" s="70" t="str">
        <x:v>M5C-060</x:v>
      </x:c>
      <x:c r="C483" s="70" t="str">
        <x:f>IFERROR(VLOOKUP(B483,'02_案例与预测'!$A$6:$E$65,5,FALSE),"")</x:f>
        <x:v>留出集</x:v>
      </x:c>
      <x:c r="D483" s="70" t="str">
        <x:v>RG06</x:v>
      </x:c>
      <x:c r="E483" s="70" t="str">
        <x:v>家庭、婚育与照护责任</x:v>
      </x:c>
      <x:c r="F483" s="70" t="str"/>
      <x:c r="G483" s="70" t="str"/>
      <x:c r="H483" s="70" t="str"/>
      <x:c r="I483" s="70" t="str"/>
      <x:c r="J483" s="70" t="str">
        <x:f>IF(OR(F483="",I483=""),"",IF(OR(I483="unknown",I483="not_assessed"),"不可评估",IF(F483=I483,"完全支持",IF(OR(AND(F483="pass",I483="conditional"),AND(F483="conditional",I483="pass")),"部分支持","反例"))))</x:f>
      </x:c>
      <x:c r="K483" s="70" t="str"/>
      <x:c r="L483" s="70" t="str"/>
      <x:c r="M483" s="70" t="str"/>
      <x:c r="N483" s="70" t="str"/>
      <x:c r="O483" s="70" t="str"/>
      <x:c r="P483" s="70" t="str"/>
    </x:row>
    <x:row r="484">
      <x:c r="A484" s="70" t="str">
        <x:v>M5RG-0479</x:v>
      </x:c>
      <x:c r="B484" s="70" t="str">
        <x:v>M5C-060</x:v>
      </x:c>
      <x:c r="C484" s="70" t="str">
        <x:f>IFERROR(VLOOKUP(B484,'02_案例与预测'!$A$6:$E$65,5,FALSE),"")</x:f>
        <x:v>留出集</x:v>
      </x:c>
      <x:c r="D484" s="70" t="str">
        <x:v>RG07</x:v>
      </x:c>
      <x:c r="E484" s="70" t="str">
        <x:v>身体、亲密、隐私与健康</x:v>
      </x:c>
      <x:c r="F484" s="70" t="str"/>
      <x:c r="G484" s="70" t="str"/>
      <x:c r="H484" s="70" t="str"/>
      <x:c r="I484" s="70" t="str"/>
      <x:c r="J484" s="70" t="str">
        <x:f>IF(OR(F484="",I484=""),"",IF(OR(I484="unknown",I484="not_assessed"),"不可评估",IF(F484=I484,"完全支持",IF(OR(AND(F484="pass",I484="conditional"),AND(F484="conditional",I484="pass")),"部分支持","反例"))))</x:f>
      </x:c>
      <x:c r="K484" s="70" t="str"/>
      <x:c r="L484" s="70" t="str"/>
      <x:c r="M484" s="70" t="str"/>
      <x:c r="N484" s="70" t="str"/>
      <x:c r="O484" s="70" t="str"/>
      <x:c r="P484" s="70" t="str"/>
    </x:row>
    <x:row r="485">
      <x:c r="A485" s="71" t="str">
        <x:v>M5RG-0480</x:v>
      </x:c>
      <x:c r="B485" s="71" t="str">
        <x:v>M5C-060</x:v>
      </x:c>
      <x:c r="C485" s="71" t="str">
        <x:f>IFERROR(VLOOKUP(B485,'02_案例与预测'!$A$6:$E$65,5,FALSE),"")</x:f>
        <x:v>留出集</x:v>
      </x:c>
      <x:c r="D485" s="71" t="str">
        <x:v>RG08</x:v>
      </x:c>
      <x:c r="E485" s="71" t="str">
        <x:v>冲突、修复与学习意愿</x:v>
      </x:c>
      <x:c r="F485" s="71" t="str"/>
      <x:c r="G485" s="71" t="str"/>
      <x:c r="H485" s="71" t="str"/>
      <x:c r="I485" s="71" t="str"/>
      <x:c r="J485" s="71" t="str">
        <x:f>IF(OR(F485="",I485=""),"",IF(OR(I485="unknown",I485="not_assessed"),"不可评估",IF(F485=I485,"完全支持",IF(OR(AND(F485="pass",I485="conditional"),AND(F485="conditional",I485="pass")),"部分支持","反例"))))</x:f>
      </x:c>
      <x:c r="K485" s="71" t="str"/>
      <x:c r="L485" s="71" t="str"/>
      <x:c r="M485" s="71" t="str"/>
      <x:c r="N485" s="71" t="str"/>
      <x:c r="O485" s="71" t="str"/>
      <x:c r="P485" s="71" t="str"/>
    </x:row>
  </x:sheetData>
  <x:mergeCells>
    <x:mergeCell ref="A1:P2"/>
    <x:mergeCell ref="A3:P3"/>
  </x:mergeCells>
  <x:conditionalFormatting sqref="J6:J485">
    <x:cfRule type="expression" dxfId="3" priority="1">
      <x:formula>$J6="完全支持"</x:formula>
    </x:cfRule>
    <x:cfRule type="expression" dxfId="4" priority="2">
      <x:formula>$J6="反例"</x:formula>
    </x:cfRule>
  </x:conditionalFormatting>
  <x:dataValidations count="6">
    <x:dataValidation type="list" sqref="F6:F485">
      <x:formula1>"pass,conditional,fail,unknown,not_assessed"</x:formula1>
    </x:dataValidation>
    <x:dataValidation type="list" sqref="G6:G485">
      <x:formula1>"pass,conditional,fail,unknown,not_assessed"</x:formula1>
    </x:dataValidation>
    <x:dataValidation type="list" sqref="H6:H485">
      <x:formula1>"pass,conditional,fail,unknown,not_assessed"</x:formula1>
    </x:dataValidation>
    <x:dataValidation type="list" sqref="I6:I485">
      <x:formula1>"pass,conditional,fail,unknown,not_assessed"</x:formula1>
    </x:dataValidation>
    <x:dataValidation type="list" sqref="L6:L485">
      <x:formula1>"单方详细事件,双方反馈,时间线／记录,客观安排,多来源,单方抽象印象"</x:formula1>
    </x:dataValidation>
    <x:dataValidation type="list" sqref="N6:N485">
      <x:formula1>"高,中高,中,中低,低"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0a55a8887149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8" hidden="0" customWidth="1"/>
    <x:col min="5" max="5" width="28" hidden="0" customWidth="1"/>
    <x:col min="6" max="6" width="28" hidden="0" customWidth="1"/>
    <x:col min="7" max="7" width="42" hidden="0" customWidth="1"/>
    <x:col min="8" max="8" width="16" hidden="0" customWidth="1"/>
    <x:col min="9" max="9" width="16" hidden="0" customWidth="1"/>
    <x:col min="10" max="10" width="42" hidden="0" customWidth="1"/>
    <x:col min="11" max="11" width="16" hidden="0" customWidth="1"/>
    <x:col min="12" max="12" width="18" hidden="0" customWidth="1"/>
    <x:col min="13" max="13" width="14" hidden="0" customWidth="1"/>
    <x:col min="14" max="14" width="18" hidden="0" customWidth="1"/>
    <x:col min="15" max="15" width="18" hidden="0" customWidth="1"/>
    <x:col min="16" max="16" width="16" hidden="0" customWidth="1"/>
    <x:col min="17" max="17" width="16" hidden="0" customWidth="1"/>
    <x:col min="18" max="18" width="16" hidden="0" customWidth="1"/>
    <x:col min="19" max="19" width="28" hidden="0" customWidth="1"/>
    <x:col min="20" max="20" width="16" hidden="0" customWidth="1"/>
    <x:col min="21" max="21" width="16" hidden="0" customWidth="1"/>
    <x:col min="22" max="22" width="12" hidden="0" customWidth="1"/>
    <x:col min="23" max="23" width="44" hidden="0" customWidth="1"/>
  </x:cols>
  <x:sheetData>
    <x:row r="1">
      <x:c r="A1" s="76" t="str">
        <x:v>逐字段预测—现实对照日志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  <x:c r="Q1" s="76"/>
      <x:c r="R1" s="76"/>
      <x:c r="S1" s="76"/>
      <x:c r="T1" s="76"/>
      <x:c r="U1" s="76"/>
      <x:c r="V1" s="76"/>
      <x:c r="W1" s="76"/>
    </x:row>
    <x:row r="2">
      <x:c r="A2" s="76"/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6"/>
    </x:row>
    <x:row r="3">
      <x:c r="A3" s="81" t="str">
        <x:v>不可评估不计入一致度；证据越级、安全漏判和现实门槛漏判必须单独记录。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</x:row>
    <x:row r="5">
      <x:c r="A5" s="86" t="str">
        <x:v>eval_id</x:v>
      </x:c>
      <x:c r="B5" s="86" t="str">
        <x:v>case_id</x:v>
      </x:c>
      <x:c r="C5" s="86" t="str">
        <x:v>set_split</x:v>
      </x:c>
      <x:c r="D5" s="86" t="str">
        <x:v>模块</x:v>
      </x:c>
      <x:c r="E5" s="86" t="str">
        <x:v>output_slot</x:v>
      </x:c>
      <x:c r="F5" s="86" t="str">
        <x:v>字段名称</x:v>
      </x:c>
      <x:c r="G5" s="86" t="str">
        <x:v>预测值</x:v>
      </x:c>
      <x:c r="H5" s="86" t="str">
        <x:v>预测证据层0-7</x:v>
      </x:c>
      <x:c r="I5" s="86" t="str">
        <x:v>预测置信</x:v>
      </x:c>
      <x:c r="J5" s="86" t="str">
        <x:v>现实值</x:v>
      </x:c>
      <x:c r="K5" s="86" t="str">
        <x:v>现实证据层0-7</x:v>
      </x:c>
      <x:c r="L5" s="86" t="str">
        <x:v>匹配等级</x:v>
      </x:c>
      <x:c r="M5" s="86" t="str">
        <x:v>匹配分</x:v>
      </x:c>
      <x:c r="N5" s="86" t="str">
        <x:v>偏差方向</x:v>
      </x:c>
      <x:c r="O5" s="86" t="str">
        <x:v>错误类型</x:v>
      </x:c>
      <x:c r="P5" s="86" t="str">
        <x:v>严重度</x:v>
      </x:c>
      <x:c r="Q5" s="86" t="str">
        <x:v>证据越级</x:v>
      </x:c>
      <x:c r="R5" s="86" t="str">
        <x:v>安全漏判</x:v>
      </x:c>
      <x:c r="S5" s="86" t="str">
        <x:v>event_ids</x:v>
      </x:c>
      <x:c r="T5" s="86" t="str">
        <x:v>第一复核者</x:v>
      </x:c>
      <x:c r="U5" s="86" t="str">
        <x:v>第二复核者</x:v>
      </x:c>
      <x:c r="V5" s="86" t="str">
        <x:v>纳入</x:v>
      </x:c>
      <x:c r="W5" s="86" t="str">
        <x:v>备注</x:v>
      </x:c>
    </x:row>
    <x:row r="6">
      <x:c r="A6" s="70" t="str">
        <x:v>M5EV-0001</x:v>
      </x:c>
      <x:c r="B6" s="70" t="str"/>
      <x:c r="C6" s="70" t="str">
        <x:f>IFERROR(VLOOKUP(B6,'02_案例与预测'!$A$6:$E$65,5,FALSE),"")</x:f>
      </x:c>
      <x:c r="D6" s="70" t="str"/>
      <x:c r="E6" s="70" t="str"/>
      <x:c r="F6" s="70" t="str"/>
      <x:c r="G6" s="70" t="str"/>
      <x:c r="H6" s="70" t="str"/>
      <x:c r="I6" s="70" t="str"/>
      <x:c r="J6" s="70" t="str"/>
      <x:c r="K6" s="70" t="str"/>
      <x:c r="L6" s="70" t="str"/>
      <x:c r="M6" s="70" t="str">
        <x:f>IF(L6="完全支持",1,IF(L6="基本支持",0.75,IF(L6="部分支持",0.5,IF(L6="相邻但不同",0.25,IF(L6="反例",0,"")))))</x:f>
      </x:c>
      <x:c r="N6" s="70" t="str"/>
      <x:c r="O6" s="70" t="str"/>
      <x:c r="P6" s="70" t="str"/>
      <x:c r="Q6" s="70" t="str">
        <x:f>IF(OR(H6="",K6=""),"",IF(H6&gt;K6,"是","否"))</x:f>
      </x:c>
      <x:c r="R6" s="70" t="str">
        <x:v>否</x:v>
      </x:c>
      <x:c r="S6" s="70" t="str"/>
      <x:c r="T6" s="70" t="str"/>
      <x:c r="U6" s="70" t="str"/>
      <x:c r="V6" s="70" t="str">
        <x:v>否</x:v>
      </x:c>
      <x:c r="W6" s="70" t="str"/>
    </x:row>
    <x:row r="7">
      <x:c r="A7" s="70" t="str">
        <x:v>M5EV-0002</x:v>
      </x:c>
      <x:c r="B7" s="70" t="str"/>
      <x:c r="C7" s="70" t="str">
        <x:f>IFERROR(VLOOKUP(B7,'02_案例与预测'!$A$6:$E$65,5,FALSE),"")</x:f>
      </x:c>
      <x:c r="D7" s="70" t="str"/>
      <x:c r="E7" s="70" t="str"/>
      <x:c r="F7" s="70" t="str"/>
      <x:c r="G7" s="70" t="str"/>
      <x:c r="H7" s="70" t="str"/>
      <x:c r="I7" s="70" t="str"/>
      <x:c r="J7" s="70" t="str"/>
      <x:c r="K7" s="70" t="str"/>
      <x:c r="L7" s="70" t="str"/>
      <x:c r="M7" s="70" t="str">
        <x:f>IF(L7="完全支持",1,IF(L7="基本支持",0.75,IF(L7="部分支持",0.5,IF(L7="相邻但不同",0.25,IF(L7="反例",0,"")))))</x:f>
      </x:c>
      <x:c r="N7" s="70" t="str"/>
      <x:c r="O7" s="70" t="str"/>
      <x:c r="P7" s="70" t="str"/>
      <x:c r="Q7" s="70" t="str">
        <x:f>IF(OR(H7="",K7=""),"",IF(H7&gt;K7,"是","否"))</x:f>
      </x:c>
      <x:c r="R7" s="70" t="str">
        <x:v>否</x:v>
      </x:c>
      <x:c r="S7" s="70" t="str"/>
      <x:c r="T7" s="70" t="str"/>
      <x:c r="U7" s="70" t="str"/>
      <x:c r="V7" s="70" t="str">
        <x:v>否</x:v>
      </x:c>
      <x:c r="W7" s="70" t="str"/>
    </x:row>
    <x:row r="8">
      <x:c r="A8" s="70" t="str">
        <x:v>M5EV-0003</x:v>
      </x:c>
      <x:c r="B8" s="70" t="str"/>
      <x:c r="C8" s="70" t="str">
        <x:f>IFERROR(VLOOKUP(B8,'02_案例与预测'!$A$6:$E$65,5,FALSE),"")</x:f>
      </x:c>
      <x:c r="D8" s="70" t="str"/>
      <x:c r="E8" s="70" t="str"/>
      <x:c r="F8" s="70" t="str"/>
      <x:c r="G8" s="70" t="str"/>
      <x:c r="H8" s="70" t="str"/>
      <x:c r="I8" s="70" t="str"/>
      <x:c r="J8" s="70" t="str"/>
      <x:c r="K8" s="70" t="str"/>
      <x:c r="L8" s="70" t="str"/>
      <x:c r="M8" s="70" t="str">
        <x:f>IF(L8="完全支持",1,IF(L8="基本支持",0.75,IF(L8="部分支持",0.5,IF(L8="相邻但不同",0.25,IF(L8="反例",0,"")))))</x:f>
      </x:c>
      <x:c r="N8" s="70" t="str"/>
      <x:c r="O8" s="70" t="str"/>
      <x:c r="P8" s="70" t="str"/>
      <x:c r="Q8" s="70" t="str">
        <x:f>IF(OR(H8="",K8=""),"",IF(H8&gt;K8,"是","否"))</x:f>
      </x:c>
      <x:c r="R8" s="70" t="str">
        <x:v>否</x:v>
      </x:c>
      <x:c r="S8" s="70" t="str"/>
      <x:c r="T8" s="70" t="str"/>
      <x:c r="U8" s="70" t="str"/>
      <x:c r="V8" s="70" t="str">
        <x:v>否</x:v>
      </x:c>
      <x:c r="W8" s="70" t="str"/>
    </x:row>
    <x:row r="9">
      <x:c r="A9" s="70" t="str">
        <x:v>M5EV-0004</x:v>
      </x:c>
      <x:c r="B9" s="70" t="str"/>
      <x:c r="C9" s="70" t="str">
        <x:f>IFERROR(VLOOKUP(B9,'02_案例与预测'!$A$6:$E$65,5,FALSE),"")</x:f>
      </x:c>
      <x:c r="D9" s="70" t="str"/>
      <x:c r="E9" s="70" t="str"/>
      <x:c r="F9" s="70" t="str"/>
      <x:c r="G9" s="70" t="str"/>
      <x:c r="H9" s="70" t="str"/>
      <x:c r="I9" s="70" t="str"/>
      <x:c r="J9" s="70" t="str"/>
      <x:c r="K9" s="70" t="str"/>
      <x:c r="L9" s="70" t="str"/>
      <x:c r="M9" s="70" t="str">
        <x:f>IF(L9="完全支持",1,IF(L9="基本支持",0.75,IF(L9="部分支持",0.5,IF(L9="相邻但不同",0.25,IF(L9="反例",0,"")))))</x:f>
      </x:c>
      <x:c r="N9" s="70" t="str"/>
      <x:c r="O9" s="70" t="str"/>
      <x:c r="P9" s="70" t="str"/>
      <x:c r="Q9" s="70" t="str">
        <x:f>IF(OR(H9="",K9=""),"",IF(H9&gt;K9,"是","否"))</x:f>
      </x:c>
      <x:c r="R9" s="70" t="str">
        <x:v>否</x:v>
      </x:c>
      <x:c r="S9" s="70" t="str"/>
      <x:c r="T9" s="70" t="str"/>
      <x:c r="U9" s="70" t="str"/>
      <x:c r="V9" s="70" t="str">
        <x:v>否</x:v>
      </x:c>
      <x:c r="W9" s="70" t="str"/>
    </x:row>
    <x:row r="10">
      <x:c r="A10" s="70" t="str">
        <x:v>M5EV-0005</x:v>
      </x:c>
      <x:c r="B10" s="70" t="str"/>
      <x:c r="C10" s="70" t="str">
        <x:f>IFERROR(VLOOKUP(B10,'02_案例与预测'!$A$6:$E$65,5,FALSE),"")</x:f>
      </x:c>
      <x:c r="D10" s="70" t="str"/>
      <x:c r="E10" s="70" t="str"/>
      <x:c r="F10" s="70" t="str"/>
      <x:c r="G10" s="70" t="str"/>
      <x:c r="H10" s="70" t="str"/>
      <x:c r="I10" s="70" t="str"/>
      <x:c r="J10" s="70" t="str"/>
      <x:c r="K10" s="70" t="str"/>
      <x:c r="L10" s="70" t="str"/>
      <x:c r="M10" s="70" t="str">
        <x:f>IF(L10="完全支持",1,IF(L10="基本支持",0.75,IF(L10="部分支持",0.5,IF(L10="相邻但不同",0.25,IF(L10="反例",0,"")))))</x:f>
      </x:c>
      <x:c r="N10" s="70" t="str"/>
      <x:c r="O10" s="70" t="str"/>
      <x:c r="P10" s="70" t="str"/>
      <x:c r="Q10" s="70" t="str">
        <x:f>IF(OR(H10="",K10=""),"",IF(H10&gt;K10,"是","否"))</x:f>
      </x:c>
      <x:c r="R10" s="70" t="str">
        <x:v>否</x:v>
      </x:c>
      <x:c r="S10" s="70" t="str"/>
      <x:c r="T10" s="70" t="str"/>
      <x:c r="U10" s="70" t="str"/>
      <x:c r="V10" s="70" t="str">
        <x:v>否</x:v>
      </x:c>
      <x:c r="W10" s="70" t="str"/>
    </x:row>
    <x:row r="11">
      <x:c r="A11" s="70" t="str">
        <x:v>M5EV-0006</x:v>
      </x:c>
      <x:c r="B11" s="70" t="str"/>
      <x:c r="C11" s="70" t="str">
        <x:f>IFERROR(VLOOKUP(B11,'02_案例与预测'!$A$6:$E$65,5,FALSE),"")</x:f>
      </x:c>
      <x:c r="D11" s="70" t="str"/>
      <x:c r="E11" s="70" t="str"/>
      <x:c r="F11" s="70" t="str"/>
      <x:c r="G11" s="70" t="str"/>
      <x:c r="H11" s="70" t="str"/>
      <x:c r="I11" s="70" t="str"/>
      <x:c r="J11" s="70" t="str"/>
      <x:c r="K11" s="70" t="str"/>
      <x:c r="L11" s="70" t="str"/>
      <x:c r="M11" s="70" t="str">
        <x:f>IF(L11="完全支持",1,IF(L11="基本支持",0.75,IF(L11="部分支持",0.5,IF(L11="相邻但不同",0.25,IF(L11="反例",0,"")))))</x:f>
      </x:c>
      <x:c r="N11" s="70" t="str"/>
      <x:c r="O11" s="70" t="str"/>
      <x:c r="P11" s="70" t="str"/>
      <x:c r="Q11" s="70" t="str">
        <x:f>IF(OR(H11="",K11=""),"",IF(H11&gt;K11,"是","否"))</x:f>
      </x:c>
      <x:c r="R11" s="70" t="str">
        <x:v>否</x:v>
      </x:c>
      <x:c r="S11" s="70" t="str"/>
      <x:c r="T11" s="70" t="str"/>
      <x:c r="U11" s="70" t="str"/>
      <x:c r="V11" s="70" t="str">
        <x:v>否</x:v>
      </x:c>
      <x:c r="W11" s="70" t="str"/>
    </x:row>
    <x:row r="12">
      <x:c r="A12" s="70" t="str">
        <x:v>M5EV-0007</x:v>
      </x:c>
      <x:c r="B12" s="70" t="str"/>
      <x:c r="C12" s="70" t="str">
        <x:f>IFERROR(VLOOKUP(B12,'02_案例与预测'!$A$6:$E$65,5,FALSE),"")</x:f>
      </x:c>
      <x:c r="D12" s="70" t="str"/>
      <x:c r="E12" s="70" t="str"/>
      <x:c r="F12" s="70" t="str"/>
      <x:c r="G12" s="70" t="str"/>
      <x:c r="H12" s="70" t="str"/>
      <x:c r="I12" s="70" t="str"/>
      <x:c r="J12" s="70" t="str"/>
      <x:c r="K12" s="70" t="str"/>
      <x:c r="L12" s="70" t="str"/>
      <x:c r="M12" s="70" t="str">
        <x:f>IF(L12="完全支持",1,IF(L12="基本支持",0.75,IF(L12="部分支持",0.5,IF(L12="相邻但不同",0.25,IF(L12="反例",0,"")))))</x:f>
      </x:c>
      <x:c r="N12" s="70" t="str"/>
      <x:c r="O12" s="70" t="str"/>
      <x:c r="P12" s="70" t="str"/>
      <x:c r="Q12" s="70" t="str">
        <x:f>IF(OR(H12="",K12=""),"",IF(H12&gt;K12,"是","否"))</x:f>
      </x:c>
      <x:c r="R12" s="70" t="str">
        <x:v>否</x:v>
      </x:c>
      <x:c r="S12" s="70" t="str"/>
      <x:c r="T12" s="70" t="str"/>
      <x:c r="U12" s="70" t="str"/>
      <x:c r="V12" s="70" t="str">
        <x:v>否</x:v>
      </x:c>
      <x:c r="W12" s="70" t="str"/>
    </x:row>
    <x:row r="13">
      <x:c r="A13" s="70" t="str">
        <x:v>M5EV-0008</x:v>
      </x:c>
      <x:c r="B13" s="70" t="str"/>
      <x:c r="C13" s="70" t="str">
        <x:f>IFERROR(VLOOKUP(B13,'02_案例与预测'!$A$6:$E$65,5,FALSE),"")</x:f>
      </x:c>
      <x:c r="D13" s="70" t="str"/>
      <x:c r="E13" s="70" t="str"/>
      <x:c r="F13" s="70" t="str"/>
      <x:c r="G13" s="70" t="str"/>
      <x:c r="H13" s="70" t="str"/>
      <x:c r="I13" s="70" t="str"/>
      <x:c r="J13" s="70" t="str"/>
      <x:c r="K13" s="70" t="str"/>
      <x:c r="L13" s="70" t="str"/>
      <x:c r="M13" s="70" t="str">
        <x:f>IF(L13="完全支持",1,IF(L13="基本支持",0.75,IF(L13="部分支持",0.5,IF(L13="相邻但不同",0.25,IF(L13="反例",0,"")))))</x:f>
      </x:c>
      <x:c r="N13" s="70" t="str"/>
      <x:c r="O13" s="70" t="str"/>
      <x:c r="P13" s="70" t="str"/>
      <x:c r="Q13" s="70" t="str">
        <x:f>IF(OR(H13="",K13=""),"",IF(H13&gt;K13,"是","否"))</x:f>
      </x:c>
      <x:c r="R13" s="70" t="str">
        <x:v>否</x:v>
      </x:c>
      <x:c r="S13" s="70" t="str"/>
      <x:c r="T13" s="70" t="str"/>
      <x:c r="U13" s="70" t="str"/>
      <x:c r="V13" s="70" t="str">
        <x:v>否</x:v>
      </x:c>
      <x:c r="W13" s="70" t="str"/>
    </x:row>
    <x:row r="14">
      <x:c r="A14" s="70" t="str">
        <x:v>M5EV-0009</x:v>
      </x:c>
      <x:c r="B14" s="70" t="str"/>
      <x:c r="C14" s="70" t="str">
        <x:f>IFERROR(VLOOKUP(B14,'02_案例与预测'!$A$6:$E$65,5,FALSE),"")</x:f>
      </x:c>
      <x:c r="D14" s="70" t="str"/>
      <x:c r="E14" s="70" t="str"/>
      <x:c r="F14" s="70" t="str"/>
      <x:c r="G14" s="70" t="str"/>
      <x:c r="H14" s="70" t="str"/>
      <x:c r="I14" s="70" t="str"/>
      <x:c r="J14" s="70" t="str"/>
      <x:c r="K14" s="70" t="str"/>
      <x:c r="L14" s="70" t="str"/>
      <x:c r="M14" s="70" t="str">
        <x:f>IF(L14="完全支持",1,IF(L14="基本支持",0.75,IF(L14="部分支持",0.5,IF(L14="相邻但不同",0.25,IF(L14="反例",0,"")))))</x:f>
      </x:c>
      <x:c r="N14" s="70" t="str"/>
      <x:c r="O14" s="70" t="str"/>
      <x:c r="P14" s="70" t="str"/>
      <x:c r="Q14" s="70" t="str">
        <x:f>IF(OR(H14="",K14=""),"",IF(H14&gt;K14,"是","否"))</x:f>
      </x:c>
      <x:c r="R14" s="70" t="str">
        <x:v>否</x:v>
      </x:c>
      <x:c r="S14" s="70" t="str"/>
      <x:c r="T14" s="70" t="str"/>
      <x:c r="U14" s="70" t="str"/>
      <x:c r="V14" s="70" t="str">
        <x:v>否</x:v>
      </x:c>
      <x:c r="W14" s="70" t="str"/>
    </x:row>
    <x:row r="15">
      <x:c r="A15" s="70" t="str">
        <x:v>M5EV-0010</x:v>
      </x:c>
      <x:c r="B15" s="70" t="str"/>
      <x:c r="C15" s="70" t="str">
        <x:f>IFERROR(VLOOKUP(B15,'02_案例与预测'!$A$6:$E$65,5,FALSE),"")</x:f>
      </x:c>
      <x:c r="D15" s="70" t="str"/>
      <x:c r="E15" s="70" t="str"/>
      <x:c r="F15" s="70" t="str"/>
      <x:c r="G15" s="70" t="str"/>
      <x:c r="H15" s="70" t="str"/>
      <x:c r="I15" s="70" t="str"/>
      <x:c r="J15" s="70" t="str"/>
      <x:c r="K15" s="70" t="str"/>
      <x:c r="L15" s="70" t="str"/>
      <x:c r="M15" s="70" t="str">
        <x:f>IF(L15="完全支持",1,IF(L15="基本支持",0.75,IF(L15="部分支持",0.5,IF(L15="相邻但不同",0.25,IF(L15="反例",0,"")))))</x:f>
      </x:c>
      <x:c r="N15" s="70" t="str"/>
      <x:c r="O15" s="70" t="str"/>
      <x:c r="P15" s="70" t="str"/>
      <x:c r="Q15" s="70" t="str">
        <x:f>IF(OR(H15="",K15=""),"",IF(H15&gt;K15,"是","否"))</x:f>
      </x:c>
      <x:c r="R15" s="70" t="str">
        <x:v>否</x:v>
      </x:c>
      <x:c r="S15" s="70" t="str"/>
      <x:c r="T15" s="70" t="str"/>
      <x:c r="U15" s="70" t="str"/>
      <x:c r="V15" s="70" t="str">
        <x:v>否</x:v>
      </x:c>
      <x:c r="W15" s="70" t="str"/>
    </x:row>
    <x:row r="16">
      <x:c r="A16" s="70" t="str">
        <x:v>M5EV-0011</x:v>
      </x:c>
      <x:c r="B16" s="70" t="str"/>
      <x:c r="C16" s="70" t="str">
        <x:f>IFERROR(VLOOKUP(B16,'02_案例与预测'!$A$6:$E$65,5,FALSE),"")</x:f>
      </x:c>
      <x:c r="D16" s="70" t="str"/>
      <x:c r="E16" s="70" t="str"/>
      <x:c r="F16" s="70" t="str"/>
      <x:c r="G16" s="70" t="str"/>
      <x:c r="H16" s="70" t="str"/>
      <x:c r="I16" s="70" t="str"/>
      <x:c r="J16" s="70" t="str"/>
      <x:c r="K16" s="70" t="str"/>
      <x:c r="L16" s="70" t="str"/>
      <x:c r="M16" s="70" t="str">
        <x:f>IF(L16="完全支持",1,IF(L16="基本支持",0.75,IF(L16="部分支持",0.5,IF(L16="相邻但不同",0.25,IF(L16="反例",0,"")))))</x:f>
      </x:c>
      <x:c r="N16" s="70" t="str"/>
      <x:c r="O16" s="70" t="str"/>
      <x:c r="P16" s="70" t="str"/>
      <x:c r="Q16" s="70" t="str">
        <x:f>IF(OR(H16="",K16=""),"",IF(H16&gt;K16,"是","否"))</x:f>
      </x:c>
      <x:c r="R16" s="70" t="str">
        <x:v>否</x:v>
      </x:c>
      <x:c r="S16" s="70" t="str"/>
      <x:c r="T16" s="70" t="str"/>
      <x:c r="U16" s="70" t="str"/>
      <x:c r="V16" s="70" t="str">
        <x:v>否</x:v>
      </x:c>
      <x:c r="W16" s="70" t="str"/>
    </x:row>
    <x:row r="17">
      <x:c r="A17" s="70" t="str">
        <x:v>M5EV-0012</x:v>
      </x:c>
      <x:c r="B17" s="70" t="str"/>
      <x:c r="C17" s="70" t="str">
        <x:f>IFERROR(VLOOKUP(B17,'02_案例与预测'!$A$6:$E$65,5,FALSE),"")</x:f>
      </x:c>
      <x:c r="D17" s="70" t="str"/>
      <x:c r="E17" s="70" t="str"/>
      <x:c r="F17" s="70" t="str"/>
      <x:c r="G17" s="70" t="str"/>
      <x:c r="H17" s="70" t="str"/>
      <x:c r="I17" s="70" t="str"/>
      <x:c r="J17" s="70" t="str"/>
      <x:c r="K17" s="70" t="str"/>
      <x:c r="L17" s="70" t="str"/>
      <x:c r="M17" s="70" t="str">
        <x:f>IF(L17="完全支持",1,IF(L17="基本支持",0.75,IF(L17="部分支持",0.5,IF(L17="相邻但不同",0.25,IF(L17="反例",0,"")))))</x:f>
      </x:c>
      <x:c r="N17" s="70" t="str"/>
      <x:c r="O17" s="70" t="str"/>
      <x:c r="P17" s="70" t="str"/>
      <x:c r="Q17" s="70" t="str">
        <x:f>IF(OR(H17="",K17=""),"",IF(H17&gt;K17,"是","否"))</x:f>
      </x:c>
      <x:c r="R17" s="70" t="str">
        <x:v>否</x:v>
      </x:c>
      <x:c r="S17" s="70" t="str"/>
      <x:c r="T17" s="70" t="str"/>
      <x:c r="U17" s="70" t="str"/>
      <x:c r="V17" s="70" t="str">
        <x:v>否</x:v>
      </x:c>
      <x:c r="W17" s="70" t="str"/>
    </x:row>
    <x:row r="18">
      <x:c r="A18" s="70" t="str">
        <x:v>M5EV-0013</x:v>
      </x:c>
      <x:c r="B18" s="70" t="str"/>
      <x:c r="C18" s="70" t="str">
        <x:f>IFERROR(VLOOKUP(B18,'02_案例与预测'!$A$6:$E$65,5,FALSE),"")</x:f>
      </x:c>
      <x:c r="D18" s="70" t="str"/>
      <x:c r="E18" s="70" t="str"/>
      <x:c r="F18" s="70" t="str"/>
      <x:c r="G18" s="70" t="str"/>
      <x:c r="H18" s="70" t="str"/>
      <x:c r="I18" s="70" t="str"/>
      <x:c r="J18" s="70" t="str"/>
      <x:c r="K18" s="70" t="str"/>
      <x:c r="L18" s="70" t="str"/>
      <x:c r="M18" s="70" t="str">
        <x:f>IF(L18="完全支持",1,IF(L18="基本支持",0.75,IF(L18="部分支持",0.5,IF(L18="相邻但不同",0.25,IF(L18="反例",0,"")))))</x:f>
      </x:c>
      <x:c r="N18" s="70" t="str"/>
      <x:c r="O18" s="70" t="str"/>
      <x:c r="P18" s="70" t="str"/>
      <x:c r="Q18" s="70" t="str">
        <x:f>IF(OR(H18="",K18=""),"",IF(H18&gt;K18,"是","否"))</x:f>
      </x:c>
      <x:c r="R18" s="70" t="str">
        <x:v>否</x:v>
      </x:c>
      <x:c r="S18" s="70" t="str"/>
      <x:c r="T18" s="70" t="str"/>
      <x:c r="U18" s="70" t="str"/>
      <x:c r="V18" s="70" t="str">
        <x:v>否</x:v>
      </x:c>
      <x:c r="W18" s="70" t="str"/>
    </x:row>
    <x:row r="19">
      <x:c r="A19" s="70" t="str">
        <x:v>M5EV-0014</x:v>
      </x:c>
      <x:c r="B19" s="70" t="str"/>
      <x:c r="C19" s="70" t="str">
        <x:f>IFERROR(VLOOKUP(B19,'02_案例与预测'!$A$6:$E$65,5,FALSE),"")</x:f>
      </x:c>
      <x:c r="D19" s="70" t="str"/>
      <x:c r="E19" s="70" t="str"/>
      <x:c r="F19" s="70" t="str"/>
      <x:c r="G19" s="70" t="str"/>
      <x:c r="H19" s="70" t="str"/>
      <x:c r="I19" s="70" t="str"/>
      <x:c r="J19" s="70" t="str"/>
      <x:c r="K19" s="70" t="str"/>
      <x:c r="L19" s="70" t="str"/>
      <x:c r="M19" s="70" t="str">
        <x:f>IF(L19="完全支持",1,IF(L19="基本支持",0.75,IF(L19="部分支持",0.5,IF(L19="相邻但不同",0.25,IF(L19="反例",0,"")))))</x:f>
      </x:c>
      <x:c r="N19" s="70" t="str"/>
      <x:c r="O19" s="70" t="str"/>
      <x:c r="P19" s="70" t="str"/>
      <x:c r="Q19" s="70" t="str">
        <x:f>IF(OR(H19="",K19=""),"",IF(H19&gt;K19,"是","否"))</x:f>
      </x:c>
      <x:c r="R19" s="70" t="str">
        <x:v>否</x:v>
      </x:c>
      <x:c r="S19" s="70" t="str"/>
      <x:c r="T19" s="70" t="str"/>
      <x:c r="U19" s="70" t="str"/>
      <x:c r="V19" s="70" t="str">
        <x:v>否</x:v>
      </x:c>
      <x:c r="W19" s="70" t="str"/>
    </x:row>
    <x:row r="20">
      <x:c r="A20" s="70" t="str">
        <x:v>M5EV-0015</x:v>
      </x:c>
      <x:c r="B20" s="70" t="str"/>
      <x:c r="C20" s="70" t="str">
        <x:f>IFERROR(VLOOKUP(B20,'02_案例与预测'!$A$6:$E$65,5,FALSE),"")</x:f>
      </x:c>
      <x:c r="D20" s="70" t="str"/>
      <x:c r="E20" s="70" t="str"/>
      <x:c r="F20" s="70" t="str"/>
      <x:c r="G20" s="70" t="str"/>
      <x:c r="H20" s="70" t="str"/>
      <x:c r="I20" s="70" t="str"/>
      <x:c r="J20" s="70" t="str"/>
      <x:c r="K20" s="70" t="str"/>
      <x:c r="L20" s="70" t="str"/>
      <x:c r="M20" s="70" t="str">
        <x:f>IF(L20="完全支持",1,IF(L20="基本支持",0.75,IF(L20="部分支持",0.5,IF(L20="相邻但不同",0.25,IF(L20="反例",0,"")))))</x:f>
      </x:c>
      <x:c r="N20" s="70" t="str"/>
      <x:c r="O20" s="70" t="str"/>
      <x:c r="P20" s="70" t="str"/>
      <x:c r="Q20" s="70" t="str">
        <x:f>IF(OR(H20="",K20=""),"",IF(H20&gt;K20,"是","否"))</x:f>
      </x:c>
      <x:c r="R20" s="70" t="str">
        <x:v>否</x:v>
      </x:c>
      <x:c r="S20" s="70" t="str"/>
      <x:c r="T20" s="70" t="str"/>
      <x:c r="U20" s="70" t="str"/>
      <x:c r="V20" s="70" t="str">
        <x:v>否</x:v>
      </x:c>
      <x:c r="W20" s="70" t="str"/>
    </x:row>
    <x:row r="21">
      <x:c r="A21" s="70" t="str">
        <x:v>M5EV-0016</x:v>
      </x:c>
      <x:c r="B21" s="70" t="str"/>
      <x:c r="C21" s="70" t="str">
        <x:f>IFERROR(VLOOKUP(B21,'02_案例与预测'!$A$6:$E$65,5,FALSE),"")</x:f>
      </x:c>
      <x:c r="D21" s="70" t="str"/>
      <x:c r="E21" s="70" t="str"/>
      <x:c r="F21" s="70" t="str"/>
      <x:c r="G21" s="70" t="str"/>
      <x:c r="H21" s="70" t="str"/>
      <x:c r="I21" s="70" t="str"/>
      <x:c r="J21" s="70" t="str"/>
      <x:c r="K21" s="70" t="str"/>
      <x:c r="L21" s="70" t="str"/>
      <x:c r="M21" s="70" t="str">
        <x:f>IF(L21="完全支持",1,IF(L21="基本支持",0.75,IF(L21="部分支持",0.5,IF(L21="相邻但不同",0.25,IF(L21="反例",0,"")))))</x:f>
      </x:c>
      <x:c r="N21" s="70" t="str"/>
      <x:c r="O21" s="70" t="str"/>
      <x:c r="P21" s="70" t="str"/>
      <x:c r="Q21" s="70" t="str">
        <x:f>IF(OR(H21="",K21=""),"",IF(H21&gt;K21,"是","否"))</x:f>
      </x:c>
      <x:c r="R21" s="70" t="str">
        <x:v>否</x:v>
      </x:c>
      <x:c r="S21" s="70" t="str"/>
      <x:c r="T21" s="70" t="str"/>
      <x:c r="U21" s="70" t="str"/>
      <x:c r="V21" s="70" t="str">
        <x:v>否</x:v>
      </x:c>
      <x:c r="W21" s="70" t="str"/>
    </x:row>
    <x:row r="22">
      <x:c r="A22" s="70" t="str">
        <x:v>M5EV-0017</x:v>
      </x:c>
      <x:c r="B22" s="70" t="str"/>
      <x:c r="C22" s="70" t="str">
        <x:f>IFERROR(VLOOKUP(B22,'02_案例与预测'!$A$6:$E$65,5,FALSE),"")</x:f>
      </x:c>
      <x:c r="D22" s="70" t="str"/>
      <x:c r="E22" s="70" t="str"/>
      <x:c r="F22" s="70" t="str"/>
      <x:c r="G22" s="70" t="str"/>
      <x:c r="H22" s="70" t="str"/>
      <x:c r="I22" s="70" t="str"/>
      <x:c r="J22" s="70" t="str"/>
      <x:c r="K22" s="70" t="str"/>
      <x:c r="L22" s="70" t="str"/>
      <x:c r="M22" s="70" t="str">
        <x:f>IF(L22="完全支持",1,IF(L22="基本支持",0.75,IF(L22="部分支持",0.5,IF(L22="相邻但不同",0.25,IF(L22="反例",0,"")))))</x:f>
      </x:c>
      <x:c r="N22" s="70" t="str"/>
      <x:c r="O22" s="70" t="str"/>
      <x:c r="P22" s="70" t="str"/>
      <x:c r="Q22" s="70" t="str">
        <x:f>IF(OR(H22="",K22=""),"",IF(H22&gt;K22,"是","否"))</x:f>
      </x:c>
      <x:c r="R22" s="70" t="str">
        <x:v>否</x:v>
      </x:c>
      <x:c r="S22" s="70" t="str"/>
      <x:c r="T22" s="70" t="str"/>
      <x:c r="U22" s="70" t="str"/>
      <x:c r="V22" s="70" t="str">
        <x:v>否</x:v>
      </x:c>
      <x:c r="W22" s="70" t="str"/>
    </x:row>
    <x:row r="23">
      <x:c r="A23" s="70" t="str">
        <x:v>M5EV-0018</x:v>
      </x:c>
      <x:c r="B23" s="70" t="str"/>
      <x:c r="C23" s="70" t="str">
        <x:f>IFERROR(VLOOKUP(B23,'02_案例与预测'!$A$6:$E$65,5,FALSE),"")</x:f>
      </x:c>
      <x:c r="D23" s="70" t="str"/>
      <x:c r="E23" s="70" t="str"/>
      <x:c r="F23" s="70" t="str"/>
      <x:c r="G23" s="70" t="str"/>
      <x:c r="H23" s="70" t="str"/>
      <x:c r="I23" s="70" t="str"/>
      <x:c r="J23" s="70" t="str"/>
      <x:c r="K23" s="70" t="str"/>
      <x:c r="L23" s="70" t="str"/>
      <x:c r="M23" s="70" t="str">
        <x:f>IF(L23="完全支持",1,IF(L23="基本支持",0.75,IF(L23="部分支持",0.5,IF(L23="相邻但不同",0.25,IF(L23="反例",0,"")))))</x:f>
      </x:c>
      <x:c r="N23" s="70" t="str"/>
      <x:c r="O23" s="70" t="str"/>
      <x:c r="P23" s="70" t="str"/>
      <x:c r="Q23" s="70" t="str">
        <x:f>IF(OR(H23="",K23=""),"",IF(H23&gt;K23,"是","否"))</x:f>
      </x:c>
      <x:c r="R23" s="70" t="str">
        <x:v>否</x:v>
      </x:c>
      <x:c r="S23" s="70" t="str"/>
      <x:c r="T23" s="70" t="str"/>
      <x:c r="U23" s="70" t="str"/>
      <x:c r="V23" s="70" t="str">
        <x:v>否</x:v>
      </x:c>
      <x:c r="W23" s="70" t="str"/>
    </x:row>
    <x:row r="24">
      <x:c r="A24" s="70" t="str">
        <x:v>M5EV-0019</x:v>
      </x:c>
      <x:c r="B24" s="70" t="str"/>
      <x:c r="C24" s="70" t="str">
        <x:f>IFERROR(VLOOKUP(B24,'02_案例与预测'!$A$6:$E$65,5,FALSE),"")</x:f>
      </x:c>
      <x:c r="D24" s="70" t="str"/>
      <x:c r="E24" s="70" t="str"/>
      <x:c r="F24" s="70" t="str"/>
      <x:c r="G24" s="70" t="str"/>
      <x:c r="H24" s="70" t="str"/>
      <x:c r="I24" s="70" t="str"/>
      <x:c r="J24" s="70" t="str"/>
      <x:c r="K24" s="70" t="str"/>
      <x:c r="L24" s="70" t="str"/>
      <x:c r="M24" s="70" t="str">
        <x:f>IF(L24="完全支持",1,IF(L24="基本支持",0.75,IF(L24="部分支持",0.5,IF(L24="相邻但不同",0.25,IF(L24="反例",0,"")))))</x:f>
      </x:c>
      <x:c r="N24" s="70" t="str"/>
      <x:c r="O24" s="70" t="str"/>
      <x:c r="P24" s="70" t="str"/>
      <x:c r="Q24" s="70" t="str">
        <x:f>IF(OR(H24="",K24=""),"",IF(H24&gt;K24,"是","否"))</x:f>
      </x:c>
      <x:c r="R24" s="70" t="str">
        <x:v>否</x:v>
      </x:c>
      <x:c r="S24" s="70" t="str"/>
      <x:c r="T24" s="70" t="str"/>
      <x:c r="U24" s="70" t="str"/>
      <x:c r="V24" s="70" t="str">
        <x:v>否</x:v>
      </x:c>
      <x:c r="W24" s="70" t="str"/>
    </x:row>
    <x:row r="25">
      <x:c r="A25" s="70" t="str">
        <x:v>M5EV-0020</x:v>
      </x:c>
      <x:c r="B25" s="70" t="str"/>
      <x:c r="C25" s="70" t="str">
        <x:f>IFERROR(VLOOKUP(B25,'02_案例与预测'!$A$6:$E$65,5,FALSE),"")</x:f>
      </x:c>
      <x:c r="D25" s="70" t="str"/>
      <x:c r="E25" s="70" t="str"/>
      <x:c r="F25" s="70" t="str"/>
      <x:c r="G25" s="70" t="str"/>
      <x:c r="H25" s="70" t="str"/>
      <x:c r="I25" s="70" t="str"/>
      <x:c r="J25" s="70" t="str"/>
      <x:c r="K25" s="70" t="str"/>
      <x:c r="L25" s="70" t="str"/>
      <x:c r="M25" s="70" t="str">
        <x:f>IF(L25="完全支持",1,IF(L25="基本支持",0.75,IF(L25="部分支持",0.5,IF(L25="相邻但不同",0.25,IF(L25="反例",0,"")))))</x:f>
      </x:c>
      <x:c r="N25" s="70" t="str"/>
      <x:c r="O25" s="70" t="str"/>
      <x:c r="P25" s="70" t="str"/>
      <x:c r="Q25" s="70" t="str">
        <x:f>IF(OR(H25="",K25=""),"",IF(H25&gt;K25,"是","否"))</x:f>
      </x:c>
      <x:c r="R25" s="70" t="str">
        <x:v>否</x:v>
      </x:c>
      <x:c r="S25" s="70" t="str"/>
      <x:c r="T25" s="70" t="str"/>
      <x:c r="U25" s="70" t="str"/>
      <x:c r="V25" s="70" t="str">
        <x:v>否</x:v>
      </x:c>
      <x:c r="W25" s="70" t="str"/>
    </x:row>
    <x:row r="26">
      <x:c r="A26" s="70" t="str">
        <x:v>M5EV-0021</x:v>
      </x:c>
      <x:c r="B26" s="70" t="str"/>
      <x:c r="C26" s="70" t="str">
        <x:f>IFERROR(VLOOKUP(B26,'02_案例与预测'!$A$6:$E$65,5,FALSE),"")</x:f>
      </x:c>
      <x:c r="D26" s="70" t="str"/>
      <x:c r="E26" s="70" t="str"/>
      <x:c r="F26" s="70" t="str"/>
      <x:c r="G26" s="70" t="str"/>
      <x:c r="H26" s="70" t="str"/>
      <x:c r="I26" s="70" t="str"/>
      <x:c r="J26" s="70" t="str"/>
      <x:c r="K26" s="70" t="str"/>
      <x:c r="L26" s="70" t="str"/>
      <x:c r="M26" s="70" t="str">
        <x:f>IF(L26="完全支持",1,IF(L26="基本支持",0.75,IF(L26="部分支持",0.5,IF(L26="相邻但不同",0.25,IF(L26="反例",0,"")))))</x:f>
      </x:c>
      <x:c r="N26" s="70" t="str"/>
      <x:c r="O26" s="70" t="str"/>
      <x:c r="P26" s="70" t="str"/>
      <x:c r="Q26" s="70" t="str">
        <x:f>IF(OR(H26="",K26=""),"",IF(H26&gt;K26,"是","否"))</x:f>
      </x:c>
      <x:c r="R26" s="70" t="str">
        <x:v>否</x:v>
      </x:c>
      <x:c r="S26" s="70" t="str"/>
      <x:c r="T26" s="70" t="str"/>
      <x:c r="U26" s="70" t="str"/>
      <x:c r="V26" s="70" t="str">
        <x:v>否</x:v>
      </x:c>
      <x:c r="W26" s="70" t="str"/>
    </x:row>
    <x:row r="27">
      <x:c r="A27" s="70" t="str">
        <x:v>M5EV-0022</x:v>
      </x:c>
      <x:c r="B27" s="70" t="str"/>
      <x:c r="C27" s="70" t="str">
        <x:f>IFERROR(VLOOKUP(B27,'02_案例与预测'!$A$6:$E$65,5,FALSE),"")</x:f>
      </x:c>
      <x:c r="D27" s="70" t="str"/>
      <x:c r="E27" s="70" t="str"/>
      <x:c r="F27" s="70" t="str"/>
      <x:c r="G27" s="70" t="str"/>
      <x:c r="H27" s="70" t="str"/>
      <x:c r="I27" s="70" t="str"/>
      <x:c r="J27" s="70" t="str"/>
      <x:c r="K27" s="70" t="str"/>
      <x:c r="L27" s="70" t="str"/>
      <x:c r="M27" s="70" t="str">
        <x:f>IF(L27="完全支持",1,IF(L27="基本支持",0.75,IF(L27="部分支持",0.5,IF(L27="相邻但不同",0.25,IF(L27="反例",0,"")))))</x:f>
      </x:c>
      <x:c r="N27" s="70" t="str"/>
      <x:c r="O27" s="70" t="str"/>
      <x:c r="P27" s="70" t="str"/>
      <x:c r="Q27" s="70" t="str">
        <x:f>IF(OR(H27="",K27=""),"",IF(H27&gt;K27,"是","否"))</x:f>
      </x:c>
      <x:c r="R27" s="70" t="str">
        <x:v>否</x:v>
      </x:c>
      <x:c r="S27" s="70" t="str"/>
      <x:c r="T27" s="70" t="str"/>
      <x:c r="U27" s="70" t="str"/>
      <x:c r="V27" s="70" t="str">
        <x:v>否</x:v>
      </x:c>
      <x:c r="W27" s="70" t="str"/>
    </x:row>
    <x:row r="28">
      <x:c r="A28" s="70" t="str">
        <x:v>M5EV-0023</x:v>
      </x:c>
      <x:c r="B28" s="70" t="str"/>
      <x:c r="C28" s="70" t="str">
        <x:f>IFERROR(VLOOKUP(B28,'02_案例与预测'!$A$6:$E$65,5,FALSE),"")</x:f>
      </x:c>
      <x:c r="D28" s="70" t="str"/>
      <x:c r="E28" s="70" t="str"/>
      <x:c r="F28" s="70" t="str"/>
      <x:c r="G28" s="70" t="str"/>
      <x:c r="H28" s="70" t="str"/>
      <x:c r="I28" s="70" t="str"/>
      <x:c r="J28" s="70" t="str"/>
      <x:c r="K28" s="70" t="str"/>
      <x:c r="L28" s="70" t="str"/>
      <x:c r="M28" s="70" t="str">
        <x:f>IF(L28="完全支持",1,IF(L28="基本支持",0.75,IF(L28="部分支持",0.5,IF(L28="相邻但不同",0.25,IF(L28="反例",0,"")))))</x:f>
      </x:c>
      <x:c r="N28" s="70" t="str"/>
      <x:c r="O28" s="70" t="str"/>
      <x:c r="P28" s="70" t="str"/>
      <x:c r="Q28" s="70" t="str">
        <x:f>IF(OR(H28="",K28=""),"",IF(H28&gt;K28,"是","否"))</x:f>
      </x:c>
      <x:c r="R28" s="70" t="str">
        <x:v>否</x:v>
      </x:c>
      <x:c r="S28" s="70" t="str"/>
      <x:c r="T28" s="70" t="str"/>
      <x:c r="U28" s="70" t="str"/>
      <x:c r="V28" s="70" t="str">
        <x:v>否</x:v>
      </x:c>
      <x:c r="W28" s="70" t="str"/>
    </x:row>
    <x:row r="29">
      <x:c r="A29" s="70" t="str">
        <x:v>M5EV-0024</x:v>
      </x:c>
      <x:c r="B29" s="70" t="str"/>
      <x:c r="C29" s="70" t="str">
        <x:f>IFERROR(VLOOKUP(B29,'02_案例与预测'!$A$6:$E$65,5,FALSE),"")</x:f>
      </x:c>
      <x:c r="D29" s="70" t="str"/>
      <x:c r="E29" s="70" t="str"/>
      <x:c r="F29" s="70" t="str"/>
      <x:c r="G29" s="70" t="str"/>
      <x:c r="H29" s="70" t="str"/>
      <x:c r="I29" s="70" t="str"/>
      <x:c r="J29" s="70" t="str"/>
      <x:c r="K29" s="70" t="str"/>
      <x:c r="L29" s="70" t="str"/>
      <x:c r="M29" s="70" t="str">
        <x:f>IF(L29="完全支持",1,IF(L29="基本支持",0.75,IF(L29="部分支持",0.5,IF(L29="相邻但不同",0.25,IF(L29="反例",0,"")))))</x:f>
      </x:c>
      <x:c r="N29" s="70" t="str"/>
      <x:c r="O29" s="70" t="str"/>
      <x:c r="P29" s="70" t="str"/>
      <x:c r="Q29" s="70" t="str">
        <x:f>IF(OR(H29="",K29=""),"",IF(H29&gt;K29,"是","否"))</x:f>
      </x:c>
      <x:c r="R29" s="70" t="str">
        <x:v>否</x:v>
      </x:c>
      <x:c r="S29" s="70" t="str"/>
      <x:c r="T29" s="70" t="str"/>
      <x:c r="U29" s="70" t="str"/>
      <x:c r="V29" s="70" t="str">
        <x:v>否</x:v>
      </x:c>
      <x:c r="W29" s="70" t="str"/>
    </x:row>
    <x:row r="30">
      <x:c r="A30" s="70" t="str">
        <x:v>M5EV-0025</x:v>
      </x:c>
      <x:c r="B30" s="70" t="str"/>
      <x:c r="C30" s="70" t="str">
        <x:f>IFERROR(VLOOKUP(B30,'02_案例与预测'!$A$6:$E$65,5,FALSE),"")</x:f>
      </x:c>
      <x:c r="D30" s="70" t="str"/>
      <x:c r="E30" s="70" t="str"/>
      <x:c r="F30" s="70" t="str"/>
      <x:c r="G30" s="70" t="str"/>
      <x:c r="H30" s="70" t="str"/>
      <x:c r="I30" s="70" t="str"/>
      <x:c r="J30" s="70" t="str"/>
      <x:c r="K30" s="70" t="str"/>
      <x:c r="L30" s="70" t="str"/>
      <x:c r="M30" s="70" t="str">
        <x:f>IF(L30="完全支持",1,IF(L30="基本支持",0.75,IF(L30="部分支持",0.5,IF(L30="相邻但不同",0.25,IF(L30="反例",0,"")))))</x:f>
      </x:c>
      <x:c r="N30" s="70" t="str"/>
      <x:c r="O30" s="70" t="str"/>
      <x:c r="P30" s="70" t="str"/>
      <x:c r="Q30" s="70" t="str">
        <x:f>IF(OR(H30="",K30=""),"",IF(H30&gt;K30,"是","否"))</x:f>
      </x:c>
      <x:c r="R30" s="70" t="str">
        <x:v>否</x:v>
      </x:c>
      <x:c r="S30" s="70" t="str"/>
      <x:c r="T30" s="70" t="str"/>
      <x:c r="U30" s="70" t="str"/>
      <x:c r="V30" s="70" t="str">
        <x:v>否</x:v>
      </x:c>
      <x:c r="W30" s="70" t="str"/>
    </x:row>
    <x:row r="31">
      <x:c r="A31" s="70" t="str">
        <x:v>M5EV-0026</x:v>
      </x:c>
      <x:c r="B31" s="70" t="str"/>
      <x:c r="C31" s="70" t="str">
        <x:f>IFERROR(VLOOKUP(B31,'02_案例与预测'!$A$6:$E$65,5,FALSE),"")</x:f>
      </x:c>
      <x:c r="D31" s="70" t="str"/>
      <x:c r="E31" s="70" t="str"/>
      <x:c r="F31" s="70" t="str"/>
      <x:c r="G31" s="70" t="str"/>
      <x:c r="H31" s="70" t="str"/>
      <x:c r="I31" s="70" t="str"/>
      <x:c r="J31" s="70" t="str"/>
      <x:c r="K31" s="70" t="str"/>
      <x:c r="L31" s="70" t="str"/>
      <x:c r="M31" s="70" t="str">
        <x:f>IF(L31="完全支持",1,IF(L31="基本支持",0.75,IF(L31="部分支持",0.5,IF(L31="相邻但不同",0.25,IF(L31="反例",0,"")))))</x:f>
      </x:c>
      <x:c r="N31" s="70" t="str"/>
      <x:c r="O31" s="70" t="str"/>
      <x:c r="P31" s="70" t="str"/>
      <x:c r="Q31" s="70" t="str">
        <x:f>IF(OR(H31="",K31=""),"",IF(H31&gt;K31,"是","否"))</x:f>
      </x:c>
      <x:c r="R31" s="70" t="str">
        <x:v>否</x:v>
      </x:c>
      <x:c r="S31" s="70" t="str"/>
      <x:c r="T31" s="70" t="str"/>
      <x:c r="U31" s="70" t="str"/>
      <x:c r="V31" s="70" t="str">
        <x:v>否</x:v>
      </x:c>
      <x:c r="W31" s="70" t="str"/>
    </x:row>
    <x:row r="32">
      <x:c r="A32" s="70" t="str">
        <x:v>M5EV-0027</x:v>
      </x:c>
      <x:c r="B32" s="70" t="str"/>
      <x:c r="C32" s="70" t="str">
        <x:f>IFERROR(VLOOKUP(B32,'02_案例与预测'!$A$6:$E$65,5,FALSE),"")</x:f>
      </x:c>
      <x:c r="D32" s="70" t="str"/>
      <x:c r="E32" s="70" t="str"/>
      <x:c r="F32" s="70" t="str"/>
      <x:c r="G32" s="70" t="str"/>
      <x:c r="H32" s="70" t="str"/>
      <x:c r="I32" s="70" t="str"/>
      <x:c r="J32" s="70" t="str"/>
      <x:c r="K32" s="70" t="str"/>
      <x:c r="L32" s="70" t="str"/>
      <x:c r="M32" s="70" t="str">
        <x:f>IF(L32="完全支持",1,IF(L32="基本支持",0.75,IF(L32="部分支持",0.5,IF(L32="相邻但不同",0.25,IF(L32="反例",0,"")))))</x:f>
      </x:c>
      <x:c r="N32" s="70" t="str"/>
      <x:c r="O32" s="70" t="str"/>
      <x:c r="P32" s="70" t="str"/>
      <x:c r="Q32" s="70" t="str">
        <x:f>IF(OR(H32="",K32=""),"",IF(H32&gt;K32,"是","否"))</x:f>
      </x:c>
      <x:c r="R32" s="70" t="str">
        <x:v>否</x:v>
      </x:c>
      <x:c r="S32" s="70" t="str"/>
      <x:c r="T32" s="70" t="str"/>
      <x:c r="U32" s="70" t="str"/>
      <x:c r="V32" s="70" t="str">
        <x:v>否</x:v>
      </x:c>
      <x:c r="W32" s="70" t="str"/>
    </x:row>
    <x:row r="33">
      <x:c r="A33" s="70" t="str">
        <x:v>M5EV-0028</x:v>
      </x:c>
      <x:c r="B33" s="70" t="str"/>
      <x:c r="C33" s="70" t="str">
        <x:f>IFERROR(VLOOKUP(B33,'02_案例与预测'!$A$6:$E$65,5,FALSE),"")</x:f>
      </x:c>
      <x:c r="D33" s="70" t="str"/>
      <x:c r="E33" s="70" t="str"/>
      <x:c r="F33" s="70" t="str"/>
      <x:c r="G33" s="70" t="str"/>
      <x:c r="H33" s="70" t="str"/>
      <x:c r="I33" s="70" t="str"/>
      <x:c r="J33" s="70" t="str"/>
      <x:c r="K33" s="70" t="str"/>
      <x:c r="L33" s="70" t="str"/>
      <x:c r="M33" s="70" t="str">
        <x:f>IF(L33="完全支持",1,IF(L33="基本支持",0.75,IF(L33="部分支持",0.5,IF(L33="相邻但不同",0.25,IF(L33="反例",0,"")))))</x:f>
      </x:c>
      <x:c r="N33" s="70" t="str"/>
      <x:c r="O33" s="70" t="str"/>
      <x:c r="P33" s="70" t="str"/>
      <x:c r="Q33" s="70" t="str">
        <x:f>IF(OR(H33="",K33=""),"",IF(H33&gt;K33,"是","否"))</x:f>
      </x:c>
      <x:c r="R33" s="70" t="str">
        <x:v>否</x:v>
      </x:c>
      <x:c r="S33" s="70" t="str"/>
      <x:c r="T33" s="70" t="str"/>
      <x:c r="U33" s="70" t="str"/>
      <x:c r="V33" s="70" t="str">
        <x:v>否</x:v>
      </x:c>
      <x:c r="W33" s="70" t="str"/>
    </x:row>
    <x:row r="34">
      <x:c r="A34" s="70" t="str">
        <x:v>M5EV-0029</x:v>
      </x:c>
      <x:c r="B34" s="70" t="str"/>
      <x:c r="C34" s="70" t="str">
        <x:f>IFERROR(VLOOKUP(B34,'02_案例与预测'!$A$6:$E$65,5,FALSE),"")</x:f>
      </x:c>
      <x:c r="D34" s="70" t="str"/>
      <x:c r="E34" s="70" t="str"/>
      <x:c r="F34" s="70" t="str"/>
      <x:c r="G34" s="70" t="str"/>
      <x:c r="H34" s="70" t="str"/>
      <x:c r="I34" s="70" t="str"/>
      <x:c r="J34" s="70" t="str"/>
      <x:c r="K34" s="70" t="str"/>
      <x:c r="L34" s="70" t="str"/>
      <x:c r="M34" s="70" t="str">
        <x:f>IF(L34="完全支持",1,IF(L34="基本支持",0.75,IF(L34="部分支持",0.5,IF(L34="相邻但不同",0.25,IF(L34="反例",0,"")))))</x:f>
      </x:c>
      <x:c r="N34" s="70" t="str"/>
      <x:c r="O34" s="70" t="str"/>
      <x:c r="P34" s="70" t="str"/>
      <x:c r="Q34" s="70" t="str">
        <x:f>IF(OR(H34="",K34=""),"",IF(H34&gt;K34,"是","否"))</x:f>
      </x:c>
      <x:c r="R34" s="70" t="str">
        <x:v>否</x:v>
      </x:c>
      <x:c r="S34" s="70" t="str"/>
      <x:c r="T34" s="70" t="str"/>
      <x:c r="U34" s="70" t="str"/>
      <x:c r="V34" s="70" t="str">
        <x:v>否</x:v>
      </x:c>
      <x:c r="W34" s="70" t="str"/>
    </x:row>
    <x:row r="35">
      <x:c r="A35" s="70" t="str">
        <x:v>M5EV-0030</x:v>
      </x:c>
      <x:c r="B35" s="70" t="str"/>
      <x:c r="C35" s="70" t="str">
        <x:f>IFERROR(VLOOKUP(B35,'02_案例与预测'!$A$6:$E$65,5,FALSE),"")</x:f>
      </x:c>
      <x:c r="D35" s="70" t="str"/>
      <x:c r="E35" s="70" t="str"/>
      <x:c r="F35" s="70" t="str"/>
      <x:c r="G35" s="70" t="str"/>
      <x:c r="H35" s="70" t="str"/>
      <x:c r="I35" s="70" t="str"/>
      <x:c r="J35" s="70" t="str"/>
      <x:c r="K35" s="70" t="str"/>
      <x:c r="L35" s="70" t="str"/>
      <x:c r="M35" s="70" t="str">
        <x:f>IF(L35="完全支持",1,IF(L35="基本支持",0.75,IF(L35="部分支持",0.5,IF(L35="相邻但不同",0.25,IF(L35="反例",0,"")))))</x:f>
      </x:c>
      <x:c r="N35" s="70" t="str"/>
      <x:c r="O35" s="70" t="str"/>
      <x:c r="P35" s="70" t="str"/>
      <x:c r="Q35" s="70" t="str">
        <x:f>IF(OR(H35="",K35=""),"",IF(H35&gt;K35,"是","否"))</x:f>
      </x:c>
      <x:c r="R35" s="70" t="str">
        <x:v>否</x:v>
      </x:c>
      <x:c r="S35" s="70" t="str"/>
      <x:c r="T35" s="70" t="str"/>
      <x:c r="U35" s="70" t="str"/>
      <x:c r="V35" s="70" t="str">
        <x:v>否</x:v>
      </x:c>
      <x:c r="W35" s="70" t="str"/>
    </x:row>
    <x:row r="36">
      <x:c r="A36" s="70" t="str">
        <x:v>M5EV-0031</x:v>
      </x:c>
      <x:c r="B36" s="70" t="str"/>
      <x:c r="C36" s="70" t="str">
        <x:f>IFERROR(VLOOKUP(B36,'02_案例与预测'!$A$6:$E$65,5,FALSE),"")</x:f>
      </x:c>
      <x:c r="D36" s="70" t="str"/>
      <x:c r="E36" s="70" t="str"/>
      <x:c r="F36" s="70" t="str"/>
      <x:c r="G36" s="70" t="str"/>
      <x:c r="H36" s="70" t="str"/>
      <x:c r="I36" s="70" t="str"/>
      <x:c r="J36" s="70" t="str"/>
      <x:c r="K36" s="70" t="str"/>
      <x:c r="L36" s="70" t="str"/>
      <x:c r="M36" s="70" t="str">
        <x:f>IF(L36="完全支持",1,IF(L36="基本支持",0.75,IF(L36="部分支持",0.5,IF(L36="相邻但不同",0.25,IF(L36="反例",0,"")))))</x:f>
      </x:c>
      <x:c r="N36" s="70" t="str"/>
      <x:c r="O36" s="70" t="str"/>
      <x:c r="P36" s="70" t="str"/>
      <x:c r="Q36" s="70" t="str">
        <x:f>IF(OR(H36="",K36=""),"",IF(H36&gt;K36,"是","否"))</x:f>
      </x:c>
      <x:c r="R36" s="70" t="str">
        <x:v>否</x:v>
      </x:c>
      <x:c r="S36" s="70" t="str"/>
      <x:c r="T36" s="70" t="str"/>
      <x:c r="U36" s="70" t="str"/>
      <x:c r="V36" s="70" t="str">
        <x:v>否</x:v>
      </x:c>
      <x:c r="W36" s="70" t="str"/>
    </x:row>
    <x:row r="37">
      <x:c r="A37" s="70" t="str">
        <x:v>M5EV-0032</x:v>
      </x:c>
      <x:c r="B37" s="70" t="str"/>
      <x:c r="C37" s="70" t="str">
        <x:f>IFERROR(VLOOKUP(B37,'02_案例与预测'!$A$6:$E$65,5,FALSE),"")</x:f>
      </x:c>
      <x:c r="D37" s="70" t="str"/>
      <x:c r="E37" s="70" t="str"/>
      <x:c r="F37" s="70" t="str"/>
      <x:c r="G37" s="70" t="str"/>
      <x:c r="H37" s="70" t="str"/>
      <x:c r="I37" s="70" t="str"/>
      <x:c r="J37" s="70" t="str"/>
      <x:c r="K37" s="70" t="str"/>
      <x:c r="L37" s="70" t="str"/>
      <x:c r="M37" s="70" t="str">
        <x:f>IF(L37="完全支持",1,IF(L37="基本支持",0.75,IF(L37="部分支持",0.5,IF(L37="相邻但不同",0.25,IF(L37="反例",0,"")))))</x:f>
      </x:c>
      <x:c r="N37" s="70" t="str"/>
      <x:c r="O37" s="70" t="str"/>
      <x:c r="P37" s="70" t="str"/>
      <x:c r="Q37" s="70" t="str">
        <x:f>IF(OR(H37="",K37=""),"",IF(H37&gt;K37,"是","否"))</x:f>
      </x:c>
      <x:c r="R37" s="70" t="str">
        <x:v>否</x:v>
      </x:c>
      <x:c r="S37" s="70" t="str"/>
      <x:c r="T37" s="70" t="str"/>
      <x:c r="U37" s="70" t="str"/>
      <x:c r="V37" s="70" t="str">
        <x:v>否</x:v>
      </x:c>
      <x:c r="W37" s="70" t="str"/>
    </x:row>
    <x:row r="38">
      <x:c r="A38" s="70" t="str">
        <x:v>M5EV-0033</x:v>
      </x:c>
      <x:c r="B38" s="70" t="str"/>
      <x:c r="C38" s="70" t="str">
        <x:f>IFERROR(VLOOKUP(B38,'02_案例与预测'!$A$6:$E$65,5,FALSE),"")</x:f>
      </x:c>
      <x:c r="D38" s="70" t="str"/>
      <x:c r="E38" s="70" t="str"/>
      <x:c r="F38" s="70" t="str"/>
      <x:c r="G38" s="70" t="str"/>
      <x:c r="H38" s="70" t="str"/>
      <x:c r="I38" s="70" t="str"/>
      <x:c r="J38" s="70" t="str"/>
      <x:c r="K38" s="70" t="str"/>
      <x:c r="L38" s="70" t="str"/>
      <x:c r="M38" s="70" t="str">
        <x:f>IF(L38="完全支持",1,IF(L38="基本支持",0.75,IF(L38="部分支持",0.5,IF(L38="相邻但不同",0.25,IF(L38="反例",0,"")))))</x:f>
      </x:c>
      <x:c r="N38" s="70" t="str"/>
      <x:c r="O38" s="70" t="str"/>
      <x:c r="P38" s="70" t="str"/>
      <x:c r="Q38" s="70" t="str">
        <x:f>IF(OR(H38="",K38=""),"",IF(H38&gt;K38,"是","否"))</x:f>
      </x:c>
      <x:c r="R38" s="70" t="str">
        <x:v>否</x:v>
      </x:c>
      <x:c r="S38" s="70" t="str"/>
      <x:c r="T38" s="70" t="str"/>
      <x:c r="U38" s="70" t="str"/>
      <x:c r="V38" s="70" t="str">
        <x:v>否</x:v>
      </x:c>
      <x:c r="W38" s="70" t="str"/>
    </x:row>
    <x:row r="39">
      <x:c r="A39" s="70" t="str">
        <x:v>M5EV-0034</x:v>
      </x:c>
      <x:c r="B39" s="70" t="str"/>
      <x:c r="C39" s="70" t="str">
        <x:f>IFERROR(VLOOKUP(B39,'02_案例与预测'!$A$6:$E$65,5,FALSE),"")</x:f>
      </x:c>
      <x:c r="D39" s="70" t="str"/>
      <x:c r="E39" s="70" t="str"/>
      <x:c r="F39" s="70" t="str"/>
      <x:c r="G39" s="70" t="str"/>
      <x:c r="H39" s="70" t="str"/>
      <x:c r="I39" s="70" t="str"/>
      <x:c r="J39" s="70" t="str"/>
      <x:c r="K39" s="70" t="str"/>
      <x:c r="L39" s="70" t="str"/>
      <x:c r="M39" s="70" t="str">
        <x:f>IF(L39="完全支持",1,IF(L39="基本支持",0.75,IF(L39="部分支持",0.5,IF(L39="相邻但不同",0.25,IF(L39="反例",0,"")))))</x:f>
      </x:c>
      <x:c r="N39" s="70" t="str"/>
      <x:c r="O39" s="70" t="str"/>
      <x:c r="P39" s="70" t="str"/>
      <x:c r="Q39" s="70" t="str">
        <x:f>IF(OR(H39="",K39=""),"",IF(H39&gt;K39,"是","否"))</x:f>
      </x:c>
      <x:c r="R39" s="70" t="str">
        <x:v>否</x:v>
      </x:c>
      <x:c r="S39" s="70" t="str"/>
      <x:c r="T39" s="70" t="str"/>
      <x:c r="U39" s="70" t="str"/>
      <x:c r="V39" s="70" t="str">
        <x:v>否</x:v>
      </x:c>
      <x:c r="W39" s="70" t="str"/>
    </x:row>
    <x:row r="40">
      <x:c r="A40" s="70" t="str">
        <x:v>M5EV-0035</x:v>
      </x:c>
      <x:c r="B40" s="70" t="str"/>
      <x:c r="C40" s="70" t="str">
        <x:f>IFERROR(VLOOKUP(B40,'02_案例与预测'!$A$6:$E$65,5,FALSE),"")</x:f>
      </x:c>
      <x:c r="D40" s="70" t="str"/>
      <x:c r="E40" s="70" t="str"/>
      <x:c r="F40" s="70" t="str"/>
      <x:c r="G40" s="70" t="str"/>
      <x:c r="H40" s="70" t="str"/>
      <x:c r="I40" s="70" t="str"/>
      <x:c r="J40" s="70" t="str"/>
      <x:c r="K40" s="70" t="str"/>
      <x:c r="L40" s="70" t="str"/>
      <x:c r="M40" s="70" t="str">
        <x:f>IF(L40="完全支持",1,IF(L40="基本支持",0.75,IF(L40="部分支持",0.5,IF(L40="相邻但不同",0.25,IF(L40="反例",0,"")))))</x:f>
      </x:c>
      <x:c r="N40" s="70" t="str"/>
      <x:c r="O40" s="70" t="str"/>
      <x:c r="P40" s="70" t="str"/>
      <x:c r="Q40" s="70" t="str">
        <x:f>IF(OR(H40="",K40=""),"",IF(H40&gt;K40,"是","否"))</x:f>
      </x:c>
      <x:c r="R40" s="70" t="str">
        <x:v>否</x:v>
      </x:c>
      <x:c r="S40" s="70" t="str"/>
      <x:c r="T40" s="70" t="str"/>
      <x:c r="U40" s="70" t="str"/>
      <x:c r="V40" s="70" t="str">
        <x:v>否</x:v>
      </x:c>
      <x:c r="W40" s="70" t="str"/>
    </x:row>
    <x:row r="41">
      <x:c r="A41" s="70" t="str">
        <x:v>M5EV-0036</x:v>
      </x:c>
      <x:c r="B41" s="70" t="str"/>
      <x:c r="C41" s="70" t="str">
        <x:f>IFERROR(VLOOKUP(B41,'02_案例与预测'!$A$6:$E$65,5,FALSE),"")</x:f>
      </x:c>
      <x:c r="D41" s="70" t="str"/>
      <x:c r="E41" s="70" t="str"/>
      <x:c r="F41" s="70" t="str"/>
      <x:c r="G41" s="70" t="str"/>
      <x:c r="H41" s="70" t="str"/>
      <x:c r="I41" s="70" t="str"/>
      <x:c r="J41" s="70" t="str"/>
      <x:c r="K41" s="70" t="str"/>
      <x:c r="L41" s="70" t="str"/>
      <x:c r="M41" s="70" t="str">
        <x:f>IF(L41="完全支持",1,IF(L41="基本支持",0.75,IF(L41="部分支持",0.5,IF(L41="相邻但不同",0.25,IF(L41="反例",0,"")))))</x:f>
      </x:c>
      <x:c r="N41" s="70" t="str"/>
      <x:c r="O41" s="70" t="str"/>
      <x:c r="P41" s="70" t="str"/>
      <x:c r="Q41" s="70" t="str">
        <x:f>IF(OR(H41="",K41=""),"",IF(H41&gt;K41,"是","否"))</x:f>
      </x:c>
      <x:c r="R41" s="70" t="str">
        <x:v>否</x:v>
      </x:c>
      <x:c r="S41" s="70" t="str"/>
      <x:c r="T41" s="70" t="str"/>
      <x:c r="U41" s="70" t="str"/>
      <x:c r="V41" s="70" t="str">
        <x:v>否</x:v>
      </x:c>
      <x:c r="W41" s="70" t="str"/>
    </x:row>
    <x:row r="42">
      <x:c r="A42" s="70" t="str">
        <x:v>M5EV-0037</x:v>
      </x:c>
      <x:c r="B42" s="70" t="str"/>
      <x:c r="C42" s="70" t="str">
        <x:f>IFERROR(VLOOKUP(B42,'02_案例与预测'!$A$6:$E$65,5,FALSE),"")</x:f>
      </x:c>
      <x:c r="D42" s="70" t="str"/>
      <x:c r="E42" s="70" t="str"/>
      <x:c r="F42" s="70" t="str"/>
      <x:c r="G42" s="70" t="str"/>
      <x:c r="H42" s="70" t="str"/>
      <x:c r="I42" s="70" t="str"/>
      <x:c r="J42" s="70" t="str"/>
      <x:c r="K42" s="70" t="str"/>
      <x:c r="L42" s="70" t="str"/>
      <x:c r="M42" s="70" t="str">
        <x:f>IF(L42="完全支持",1,IF(L42="基本支持",0.75,IF(L42="部分支持",0.5,IF(L42="相邻但不同",0.25,IF(L42="反例",0,"")))))</x:f>
      </x:c>
      <x:c r="N42" s="70" t="str"/>
      <x:c r="O42" s="70" t="str"/>
      <x:c r="P42" s="70" t="str"/>
      <x:c r="Q42" s="70" t="str">
        <x:f>IF(OR(H42="",K42=""),"",IF(H42&gt;K42,"是","否"))</x:f>
      </x:c>
      <x:c r="R42" s="70" t="str">
        <x:v>否</x:v>
      </x:c>
      <x:c r="S42" s="70" t="str"/>
      <x:c r="T42" s="70" t="str"/>
      <x:c r="U42" s="70" t="str"/>
      <x:c r="V42" s="70" t="str">
        <x:v>否</x:v>
      </x:c>
      <x:c r="W42" s="70" t="str"/>
    </x:row>
    <x:row r="43">
      <x:c r="A43" s="70" t="str">
        <x:v>M5EV-0038</x:v>
      </x:c>
      <x:c r="B43" s="70" t="str"/>
      <x:c r="C43" s="70" t="str">
        <x:f>IFERROR(VLOOKUP(B43,'02_案例与预测'!$A$6:$E$65,5,FALSE),"")</x:f>
      </x:c>
      <x:c r="D43" s="70" t="str"/>
      <x:c r="E43" s="70" t="str"/>
      <x:c r="F43" s="70" t="str"/>
      <x:c r="G43" s="70" t="str"/>
      <x:c r="H43" s="70" t="str"/>
      <x:c r="I43" s="70" t="str"/>
      <x:c r="J43" s="70" t="str"/>
      <x:c r="K43" s="70" t="str"/>
      <x:c r="L43" s="70" t="str"/>
      <x:c r="M43" s="70" t="str">
        <x:f>IF(L43="完全支持",1,IF(L43="基本支持",0.75,IF(L43="部分支持",0.5,IF(L43="相邻但不同",0.25,IF(L43="反例",0,"")))))</x:f>
      </x:c>
      <x:c r="N43" s="70" t="str"/>
      <x:c r="O43" s="70" t="str"/>
      <x:c r="P43" s="70" t="str"/>
      <x:c r="Q43" s="70" t="str">
        <x:f>IF(OR(H43="",K43=""),"",IF(H43&gt;K43,"是","否"))</x:f>
      </x:c>
      <x:c r="R43" s="70" t="str">
        <x:v>否</x:v>
      </x:c>
      <x:c r="S43" s="70" t="str"/>
      <x:c r="T43" s="70" t="str"/>
      <x:c r="U43" s="70" t="str"/>
      <x:c r="V43" s="70" t="str">
        <x:v>否</x:v>
      </x:c>
      <x:c r="W43" s="70" t="str"/>
    </x:row>
    <x:row r="44">
      <x:c r="A44" s="70" t="str">
        <x:v>M5EV-0039</x:v>
      </x:c>
      <x:c r="B44" s="70" t="str"/>
      <x:c r="C44" s="70" t="str">
        <x:f>IFERROR(VLOOKUP(B44,'02_案例与预测'!$A$6:$E$65,5,FALSE),"")</x:f>
      </x:c>
      <x:c r="D44" s="70" t="str"/>
      <x:c r="E44" s="70" t="str"/>
      <x:c r="F44" s="70" t="str"/>
      <x:c r="G44" s="70" t="str"/>
      <x:c r="H44" s="70" t="str"/>
      <x:c r="I44" s="70" t="str"/>
      <x:c r="J44" s="70" t="str"/>
      <x:c r="K44" s="70" t="str"/>
      <x:c r="L44" s="70" t="str"/>
      <x:c r="M44" s="70" t="str">
        <x:f>IF(L44="完全支持",1,IF(L44="基本支持",0.75,IF(L44="部分支持",0.5,IF(L44="相邻但不同",0.25,IF(L44="反例",0,"")))))</x:f>
      </x:c>
      <x:c r="N44" s="70" t="str"/>
      <x:c r="O44" s="70" t="str"/>
      <x:c r="P44" s="70" t="str"/>
      <x:c r="Q44" s="70" t="str">
        <x:f>IF(OR(H44="",K44=""),"",IF(H44&gt;K44,"是","否"))</x:f>
      </x:c>
      <x:c r="R44" s="70" t="str">
        <x:v>否</x:v>
      </x:c>
      <x:c r="S44" s="70" t="str"/>
      <x:c r="T44" s="70" t="str"/>
      <x:c r="U44" s="70" t="str"/>
      <x:c r="V44" s="70" t="str">
        <x:v>否</x:v>
      </x:c>
      <x:c r="W44" s="70" t="str"/>
    </x:row>
    <x:row r="45">
      <x:c r="A45" s="70" t="str">
        <x:v>M5EV-0040</x:v>
      </x:c>
      <x:c r="B45" s="70" t="str"/>
      <x:c r="C45" s="70" t="str">
        <x:f>IFERROR(VLOOKUP(B45,'02_案例与预测'!$A$6:$E$65,5,FALSE),"")</x:f>
      </x:c>
      <x:c r="D45" s="70" t="str"/>
      <x:c r="E45" s="70" t="str"/>
      <x:c r="F45" s="70" t="str"/>
      <x:c r="G45" s="70" t="str"/>
      <x:c r="H45" s="70" t="str"/>
      <x:c r="I45" s="70" t="str"/>
      <x:c r="J45" s="70" t="str"/>
      <x:c r="K45" s="70" t="str"/>
      <x:c r="L45" s="70" t="str"/>
      <x:c r="M45" s="70" t="str">
        <x:f>IF(L45="完全支持",1,IF(L45="基本支持",0.75,IF(L45="部分支持",0.5,IF(L45="相邻但不同",0.25,IF(L45="反例",0,"")))))</x:f>
      </x:c>
      <x:c r="N45" s="70" t="str"/>
      <x:c r="O45" s="70" t="str"/>
      <x:c r="P45" s="70" t="str"/>
      <x:c r="Q45" s="70" t="str">
        <x:f>IF(OR(H45="",K45=""),"",IF(H45&gt;K45,"是","否"))</x:f>
      </x:c>
      <x:c r="R45" s="70" t="str">
        <x:v>否</x:v>
      </x:c>
      <x:c r="S45" s="70" t="str"/>
      <x:c r="T45" s="70" t="str"/>
      <x:c r="U45" s="70" t="str"/>
      <x:c r="V45" s="70" t="str">
        <x:v>否</x:v>
      </x:c>
      <x:c r="W45" s="70" t="str"/>
    </x:row>
    <x:row r="46">
      <x:c r="A46" s="70" t="str">
        <x:v>M5EV-0041</x:v>
      </x:c>
      <x:c r="B46" s="70" t="str"/>
      <x:c r="C46" s="70" t="str">
        <x:f>IFERROR(VLOOKUP(B46,'02_案例与预测'!$A$6:$E$65,5,FALSE),"")</x:f>
      </x:c>
      <x:c r="D46" s="70" t="str"/>
      <x:c r="E46" s="70" t="str"/>
      <x:c r="F46" s="70" t="str"/>
      <x:c r="G46" s="70" t="str"/>
      <x:c r="H46" s="70" t="str"/>
      <x:c r="I46" s="70" t="str"/>
      <x:c r="J46" s="70" t="str"/>
      <x:c r="K46" s="70" t="str"/>
      <x:c r="L46" s="70" t="str"/>
      <x:c r="M46" s="70" t="str">
        <x:f>IF(L46="完全支持",1,IF(L46="基本支持",0.75,IF(L46="部分支持",0.5,IF(L46="相邻但不同",0.25,IF(L46="反例",0,"")))))</x:f>
      </x:c>
      <x:c r="N46" s="70" t="str"/>
      <x:c r="O46" s="70" t="str"/>
      <x:c r="P46" s="70" t="str"/>
      <x:c r="Q46" s="70" t="str">
        <x:f>IF(OR(H46="",K46=""),"",IF(H46&gt;K46,"是","否"))</x:f>
      </x:c>
      <x:c r="R46" s="70" t="str">
        <x:v>否</x:v>
      </x:c>
      <x:c r="S46" s="70" t="str"/>
      <x:c r="T46" s="70" t="str"/>
      <x:c r="U46" s="70" t="str"/>
      <x:c r="V46" s="70" t="str">
        <x:v>否</x:v>
      </x:c>
      <x:c r="W46" s="70" t="str"/>
    </x:row>
    <x:row r="47">
      <x:c r="A47" s="70" t="str">
        <x:v>M5EV-0042</x:v>
      </x:c>
      <x:c r="B47" s="70" t="str"/>
      <x:c r="C47" s="70" t="str">
        <x:f>IFERROR(VLOOKUP(B47,'02_案例与预测'!$A$6:$E$65,5,FALSE),"")</x:f>
      </x:c>
      <x:c r="D47" s="70" t="str"/>
      <x:c r="E47" s="70" t="str"/>
      <x:c r="F47" s="70" t="str"/>
      <x:c r="G47" s="70" t="str"/>
      <x:c r="H47" s="70" t="str"/>
      <x:c r="I47" s="70" t="str"/>
      <x:c r="J47" s="70" t="str"/>
      <x:c r="K47" s="70" t="str"/>
      <x:c r="L47" s="70" t="str"/>
      <x:c r="M47" s="70" t="str">
        <x:f>IF(L47="完全支持",1,IF(L47="基本支持",0.75,IF(L47="部分支持",0.5,IF(L47="相邻但不同",0.25,IF(L47="反例",0,"")))))</x:f>
      </x:c>
      <x:c r="N47" s="70" t="str"/>
      <x:c r="O47" s="70" t="str"/>
      <x:c r="P47" s="70" t="str"/>
      <x:c r="Q47" s="70" t="str">
        <x:f>IF(OR(H47="",K47=""),"",IF(H47&gt;K47,"是","否"))</x:f>
      </x:c>
      <x:c r="R47" s="70" t="str">
        <x:v>否</x:v>
      </x:c>
      <x:c r="S47" s="70" t="str"/>
      <x:c r="T47" s="70" t="str"/>
      <x:c r="U47" s="70" t="str"/>
      <x:c r="V47" s="70" t="str">
        <x:v>否</x:v>
      </x:c>
      <x:c r="W47" s="70" t="str"/>
    </x:row>
    <x:row r="48">
      <x:c r="A48" s="70" t="str">
        <x:v>M5EV-0043</x:v>
      </x:c>
      <x:c r="B48" s="70" t="str"/>
      <x:c r="C48" s="70" t="str">
        <x:f>IFERROR(VLOOKUP(B48,'02_案例与预测'!$A$6:$E$65,5,FALSE),"")</x:f>
      </x:c>
      <x:c r="D48" s="70" t="str"/>
      <x:c r="E48" s="70" t="str"/>
      <x:c r="F48" s="70" t="str"/>
      <x:c r="G48" s="70" t="str"/>
      <x:c r="H48" s="70" t="str"/>
      <x:c r="I48" s="70" t="str"/>
      <x:c r="J48" s="70" t="str"/>
      <x:c r="K48" s="70" t="str"/>
      <x:c r="L48" s="70" t="str"/>
      <x:c r="M48" s="70" t="str">
        <x:f>IF(L48="完全支持",1,IF(L48="基本支持",0.75,IF(L48="部分支持",0.5,IF(L48="相邻但不同",0.25,IF(L48="反例",0,"")))))</x:f>
      </x:c>
      <x:c r="N48" s="70" t="str"/>
      <x:c r="O48" s="70" t="str"/>
      <x:c r="P48" s="70" t="str"/>
      <x:c r="Q48" s="70" t="str">
        <x:f>IF(OR(H48="",K48=""),"",IF(H48&gt;K48,"是","否"))</x:f>
      </x:c>
      <x:c r="R48" s="70" t="str">
        <x:v>否</x:v>
      </x:c>
      <x:c r="S48" s="70" t="str"/>
      <x:c r="T48" s="70" t="str"/>
      <x:c r="U48" s="70" t="str"/>
      <x:c r="V48" s="70" t="str">
        <x:v>否</x:v>
      </x:c>
      <x:c r="W48" s="70" t="str"/>
    </x:row>
    <x:row r="49">
      <x:c r="A49" s="70" t="str">
        <x:v>M5EV-0044</x:v>
      </x:c>
      <x:c r="B49" s="70" t="str"/>
      <x:c r="C49" s="70" t="str">
        <x:f>IFERROR(VLOOKUP(B49,'02_案例与预测'!$A$6:$E$65,5,FALSE),"")</x:f>
      </x:c>
      <x:c r="D49" s="70" t="str"/>
      <x:c r="E49" s="70" t="str"/>
      <x:c r="F49" s="70" t="str"/>
      <x:c r="G49" s="70" t="str"/>
      <x:c r="H49" s="70" t="str"/>
      <x:c r="I49" s="70" t="str"/>
      <x:c r="J49" s="70" t="str"/>
      <x:c r="K49" s="70" t="str"/>
      <x:c r="L49" s="70" t="str"/>
      <x:c r="M49" s="70" t="str">
        <x:f>IF(L49="完全支持",1,IF(L49="基本支持",0.75,IF(L49="部分支持",0.5,IF(L49="相邻但不同",0.25,IF(L49="反例",0,"")))))</x:f>
      </x:c>
      <x:c r="N49" s="70" t="str"/>
      <x:c r="O49" s="70" t="str"/>
      <x:c r="P49" s="70" t="str"/>
      <x:c r="Q49" s="70" t="str">
        <x:f>IF(OR(H49="",K49=""),"",IF(H49&gt;K49,"是","否"))</x:f>
      </x:c>
      <x:c r="R49" s="70" t="str">
        <x:v>否</x:v>
      </x:c>
      <x:c r="S49" s="70" t="str"/>
      <x:c r="T49" s="70" t="str"/>
      <x:c r="U49" s="70" t="str"/>
      <x:c r="V49" s="70" t="str">
        <x:v>否</x:v>
      </x:c>
      <x:c r="W49" s="70" t="str"/>
    </x:row>
    <x:row r="50">
      <x:c r="A50" s="70" t="str">
        <x:v>M5EV-0045</x:v>
      </x:c>
      <x:c r="B50" s="70" t="str"/>
      <x:c r="C50" s="70" t="str">
        <x:f>IFERROR(VLOOKUP(B50,'02_案例与预测'!$A$6:$E$65,5,FALSE),"")</x:f>
      </x:c>
      <x:c r="D50" s="70" t="str"/>
      <x:c r="E50" s="70" t="str"/>
      <x:c r="F50" s="70" t="str"/>
      <x:c r="G50" s="70" t="str"/>
      <x:c r="H50" s="70" t="str"/>
      <x:c r="I50" s="70" t="str"/>
      <x:c r="J50" s="70" t="str"/>
      <x:c r="K50" s="70" t="str"/>
      <x:c r="L50" s="70" t="str"/>
      <x:c r="M50" s="70" t="str">
        <x:f>IF(L50="完全支持",1,IF(L50="基本支持",0.75,IF(L50="部分支持",0.5,IF(L50="相邻但不同",0.25,IF(L50="反例",0,"")))))</x:f>
      </x:c>
      <x:c r="N50" s="70" t="str"/>
      <x:c r="O50" s="70" t="str"/>
      <x:c r="P50" s="70" t="str"/>
      <x:c r="Q50" s="70" t="str">
        <x:f>IF(OR(H50="",K50=""),"",IF(H50&gt;K50,"是","否"))</x:f>
      </x:c>
      <x:c r="R50" s="70" t="str">
        <x:v>否</x:v>
      </x:c>
      <x:c r="S50" s="70" t="str"/>
      <x:c r="T50" s="70" t="str"/>
      <x:c r="U50" s="70" t="str"/>
      <x:c r="V50" s="70" t="str">
        <x:v>否</x:v>
      </x:c>
      <x:c r="W50" s="70" t="str"/>
    </x:row>
    <x:row r="51">
      <x:c r="A51" s="70" t="str">
        <x:v>M5EV-0046</x:v>
      </x:c>
      <x:c r="B51" s="70" t="str"/>
      <x:c r="C51" s="70" t="str">
        <x:f>IFERROR(VLOOKUP(B51,'02_案例与预测'!$A$6:$E$65,5,FALSE),"")</x:f>
      </x:c>
      <x:c r="D51" s="70" t="str"/>
      <x:c r="E51" s="70" t="str"/>
      <x:c r="F51" s="70" t="str"/>
      <x:c r="G51" s="70" t="str"/>
      <x:c r="H51" s="70" t="str"/>
      <x:c r="I51" s="70" t="str"/>
      <x:c r="J51" s="70" t="str"/>
      <x:c r="K51" s="70" t="str"/>
      <x:c r="L51" s="70" t="str"/>
      <x:c r="M51" s="70" t="str">
        <x:f>IF(L51="完全支持",1,IF(L51="基本支持",0.75,IF(L51="部分支持",0.5,IF(L51="相邻但不同",0.25,IF(L51="反例",0,"")))))</x:f>
      </x:c>
      <x:c r="N51" s="70" t="str"/>
      <x:c r="O51" s="70" t="str"/>
      <x:c r="P51" s="70" t="str"/>
      <x:c r="Q51" s="70" t="str">
        <x:f>IF(OR(H51="",K51=""),"",IF(H51&gt;K51,"是","否"))</x:f>
      </x:c>
      <x:c r="R51" s="70" t="str">
        <x:v>否</x:v>
      </x:c>
      <x:c r="S51" s="70" t="str"/>
      <x:c r="T51" s="70" t="str"/>
      <x:c r="U51" s="70" t="str"/>
      <x:c r="V51" s="70" t="str">
        <x:v>否</x:v>
      </x:c>
      <x:c r="W51" s="70" t="str"/>
    </x:row>
    <x:row r="52">
      <x:c r="A52" s="70" t="str">
        <x:v>M5EV-0047</x:v>
      </x:c>
      <x:c r="B52" s="70" t="str"/>
      <x:c r="C52" s="70" t="str">
        <x:f>IFERROR(VLOOKUP(B52,'02_案例与预测'!$A$6:$E$65,5,FALSE),"")</x:f>
      </x:c>
      <x:c r="D52" s="70" t="str"/>
      <x:c r="E52" s="70" t="str"/>
      <x:c r="F52" s="70" t="str"/>
      <x:c r="G52" s="70" t="str"/>
      <x:c r="H52" s="70" t="str"/>
      <x:c r="I52" s="70" t="str"/>
      <x:c r="J52" s="70" t="str"/>
      <x:c r="K52" s="70" t="str"/>
      <x:c r="L52" s="70" t="str"/>
      <x:c r="M52" s="70" t="str">
        <x:f>IF(L52="完全支持",1,IF(L52="基本支持",0.75,IF(L52="部分支持",0.5,IF(L52="相邻但不同",0.25,IF(L52="反例",0,"")))))</x:f>
      </x:c>
      <x:c r="N52" s="70" t="str"/>
      <x:c r="O52" s="70" t="str"/>
      <x:c r="P52" s="70" t="str"/>
      <x:c r="Q52" s="70" t="str">
        <x:f>IF(OR(H52="",K52=""),"",IF(H52&gt;K52,"是","否"))</x:f>
      </x:c>
      <x:c r="R52" s="70" t="str">
        <x:v>否</x:v>
      </x:c>
      <x:c r="S52" s="70" t="str"/>
      <x:c r="T52" s="70" t="str"/>
      <x:c r="U52" s="70" t="str"/>
      <x:c r="V52" s="70" t="str">
        <x:v>否</x:v>
      </x:c>
      <x:c r="W52" s="70" t="str"/>
    </x:row>
    <x:row r="53">
      <x:c r="A53" s="70" t="str">
        <x:v>M5EV-0048</x:v>
      </x:c>
      <x:c r="B53" s="70" t="str"/>
      <x:c r="C53" s="70" t="str">
        <x:f>IFERROR(VLOOKUP(B53,'02_案例与预测'!$A$6:$E$65,5,FALSE),"")</x:f>
      </x:c>
      <x:c r="D53" s="70" t="str"/>
      <x:c r="E53" s="70" t="str"/>
      <x:c r="F53" s="70" t="str"/>
      <x:c r="G53" s="70" t="str"/>
      <x:c r="H53" s="70" t="str"/>
      <x:c r="I53" s="70" t="str"/>
      <x:c r="J53" s="70" t="str"/>
      <x:c r="K53" s="70" t="str"/>
      <x:c r="L53" s="70" t="str"/>
      <x:c r="M53" s="70" t="str">
        <x:f>IF(L53="完全支持",1,IF(L53="基本支持",0.75,IF(L53="部分支持",0.5,IF(L53="相邻但不同",0.25,IF(L53="反例",0,"")))))</x:f>
      </x:c>
      <x:c r="N53" s="70" t="str"/>
      <x:c r="O53" s="70" t="str"/>
      <x:c r="P53" s="70" t="str"/>
      <x:c r="Q53" s="70" t="str">
        <x:f>IF(OR(H53="",K53=""),"",IF(H53&gt;K53,"是","否"))</x:f>
      </x:c>
      <x:c r="R53" s="70" t="str">
        <x:v>否</x:v>
      </x:c>
      <x:c r="S53" s="70" t="str"/>
      <x:c r="T53" s="70" t="str"/>
      <x:c r="U53" s="70" t="str"/>
      <x:c r="V53" s="70" t="str">
        <x:v>否</x:v>
      </x:c>
      <x:c r="W53" s="70" t="str"/>
    </x:row>
    <x:row r="54">
      <x:c r="A54" s="70" t="str">
        <x:v>M5EV-0049</x:v>
      </x:c>
      <x:c r="B54" s="70" t="str"/>
      <x:c r="C54" s="70" t="str">
        <x:f>IFERROR(VLOOKUP(B54,'02_案例与预测'!$A$6:$E$65,5,FALSE),"")</x:f>
      </x:c>
      <x:c r="D54" s="70" t="str"/>
      <x:c r="E54" s="70" t="str"/>
      <x:c r="F54" s="70" t="str"/>
      <x:c r="G54" s="70" t="str"/>
      <x:c r="H54" s="70" t="str"/>
      <x:c r="I54" s="70" t="str"/>
      <x:c r="J54" s="70" t="str"/>
      <x:c r="K54" s="70" t="str"/>
      <x:c r="L54" s="70" t="str"/>
      <x:c r="M54" s="70" t="str">
        <x:f>IF(L54="完全支持",1,IF(L54="基本支持",0.75,IF(L54="部分支持",0.5,IF(L54="相邻但不同",0.25,IF(L54="反例",0,"")))))</x:f>
      </x:c>
      <x:c r="N54" s="70" t="str"/>
      <x:c r="O54" s="70" t="str"/>
      <x:c r="P54" s="70" t="str"/>
      <x:c r="Q54" s="70" t="str">
        <x:f>IF(OR(H54="",K54=""),"",IF(H54&gt;K54,"是","否"))</x:f>
      </x:c>
      <x:c r="R54" s="70" t="str">
        <x:v>否</x:v>
      </x:c>
      <x:c r="S54" s="70" t="str"/>
      <x:c r="T54" s="70" t="str"/>
      <x:c r="U54" s="70" t="str"/>
      <x:c r="V54" s="70" t="str">
        <x:v>否</x:v>
      </x:c>
      <x:c r="W54" s="70" t="str"/>
    </x:row>
    <x:row r="55">
      <x:c r="A55" s="70" t="str">
        <x:v>M5EV-0050</x:v>
      </x:c>
      <x:c r="B55" s="70" t="str"/>
      <x:c r="C55" s="70" t="str">
        <x:f>IFERROR(VLOOKUP(B55,'02_案例与预测'!$A$6:$E$65,5,FALSE),"")</x:f>
      </x:c>
      <x:c r="D55" s="70" t="str"/>
      <x:c r="E55" s="70" t="str"/>
      <x:c r="F55" s="70" t="str"/>
      <x:c r="G55" s="70" t="str"/>
      <x:c r="H55" s="70" t="str"/>
      <x:c r="I55" s="70" t="str"/>
      <x:c r="J55" s="70" t="str"/>
      <x:c r="K55" s="70" t="str"/>
      <x:c r="L55" s="70" t="str"/>
      <x:c r="M55" s="70" t="str">
        <x:f>IF(L55="完全支持",1,IF(L55="基本支持",0.75,IF(L55="部分支持",0.5,IF(L55="相邻但不同",0.25,IF(L55="反例",0,"")))))</x:f>
      </x:c>
      <x:c r="N55" s="70" t="str"/>
      <x:c r="O55" s="70" t="str"/>
      <x:c r="P55" s="70" t="str"/>
      <x:c r="Q55" s="70" t="str">
        <x:f>IF(OR(H55="",K55=""),"",IF(H55&gt;K55,"是","否"))</x:f>
      </x:c>
      <x:c r="R55" s="70" t="str">
        <x:v>否</x:v>
      </x:c>
      <x:c r="S55" s="70" t="str"/>
      <x:c r="T55" s="70" t="str"/>
      <x:c r="U55" s="70" t="str"/>
      <x:c r="V55" s="70" t="str">
        <x:v>否</x:v>
      </x:c>
      <x:c r="W55" s="70" t="str"/>
    </x:row>
    <x:row r="56">
      <x:c r="A56" s="70" t="str">
        <x:v>M5EV-0051</x:v>
      </x:c>
      <x:c r="B56" s="70" t="str"/>
      <x:c r="C56" s="70" t="str">
        <x:f>IFERROR(VLOOKUP(B56,'02_案例与预测'!$A$6:$E$65,5,FALSE),"")</x:f>
      </x:c>
      <x:c r="D56" s="70" t="str"/>
      <x:c r="E56" s="70" t="str"/>
      <x:c r="F56" s="70" t="str"/>
      <x:c r="G56" s="70" t="str"/>
      <x:c r="H56" s="70" t="str"/>
      <x:c r="I56" s="70" t="str"/>
      <x:c r="J56" s="70" t="str"/>
      <x:c r="K56" s="70" t="str"/>
      <x:c r="L56" s="70" t="str"/>
      <x:c r="M56" s="70" t="str">
        <x:f>IF(L56="完全支持",1,IF(L56="基本支持",0.75,IF(L56="部分支持",0.5,IF(L56="相邻但不同",0.25,IF(L56="反例",0,"")))))</x:f>
      </x:c>
      <x:c r="N56" s="70" t="str"/>
      <x:c r="O56" s="70" t="str"/>
      <x:c r="P56" s="70" t="str"/>
      <x:c r="Q56" s="70" t="str">
        <x:f>IF(OR(H56="",K56=""),"",IF(H56&gt;K56,"是","否"))</x:f>
      </x:c>
      <x:c r="R56" s="70" t="str">
        <x:v>否</x:v>
      </x:c>
      <x:c r="S56" s="70" t="str"/>
      <x:c r="T56" s="70" t="str"/>
      <x:c r="U56" s="70" t="str"/>
      <x:c r="V56" s="70" t="str">
        <x:v>否</x:v>
      </x:c>
      <x:c r="W56" s="70" t="str"/>
    </x:row>
    <x:row r="57">
      <x:c r="A57" s="70" t="str">
        <x:v>M5EV-0052</x:v>
      </x:c>
      <x:c r="B57" s="70" t="str"/>
      <x:c r="C57" s="70" t="str">
        <x:f>IFERROR(VLOOKUP(B57,'02_案例与预测'!$A$6:$E$65,5,FALSE),"")</x:f>
      </x:c>
      <x:c r="D57" s="70" t="str"/>
      <x:c r="E57" s="70" t="str"/>
      <x:c r="F57" s="70" t="str"/>
      <x:c r="G57" s="70" t="str"/>
      <x:c r="H57" s="70" t="str"/>
      <x:c r="I57" s="70" t="str"/>
      <x:c r="J57" s="70" t="str"/>
      <x:c r="K57" s="70" t="str"/>
      <x:c r="L57" s="70" t="str"/>
      <x:c r="M57" s="70" t="str">
        <x:f>IF(L57="完全支持",1,IF(L57="基本支持",0.75,IF(L57="部分支持",0.5,IF(L57="相邻但不同",0.25,IF(L57="反例",0,"")))))</x:f>
      </x:c>
      <x:c r="N57" s="70" t="str"/>
      <x:c r="O57" s="70" t="str"/>
      <x:c r="P57" s="70" t="str"/>
      <x:c r="Q57" s="70" t="str">
        <x:f>IF(OR(H57="",K57=""),"",IF(H57&gt;K57,"是","否"))</x:f>
      </x:c>
      <x:c r="R57" s="70" t="str">
        <x:v>否</x:v>
      </x:c>
      <x:c r="S57" s="70" t="str"/>
      <x:c r="T57" s="70" t="str"/>
      <x:c r="U57" s="70" t="str"/>
      <x:c r="V57" s="70" t="str">
        <x:v>否</x:v>
      </x:c>
      <x:c r="W57" s="70" t="str"/>
    </x:row>
    <x:row r="58">
      <x:c r="A58" s="70" t="str">
        <x:v>M5EV-0053</x:v>
      </x:c>
      <x:c r="B58" s="70" t="str"/>
      <x:c r="C58" s="70" t="str">
        <x:f>IFERROR(VLOOKUP(B58,'02_案例与预测'!$A$6:$E$65,5,FALSE),"")</x:f>
      </x:c>
      <x:c r="D58" s="70" t="str"/>
      <x:c r="E58" s="70" t="str"/>
      <x:c r="F58" s="70" t="str"/>
      <x:c r="G58" s="70" t="str"/>
      <x:c r="H58" s="70" t="str"/>
      <x:c r="I58" s="70" t="str"/>
      <x:c r="J58" s="70" t="str"/>
      <x:c r="K58" s="70" t="str"/>
      <x:c r="L58" s="70" t="str"/>
      <x:c r="M58" s="70" t="str">
        <x:f>IF(L58="完全支持",1,IF(L58="基本支持",0.75,IF(L58="部分支持",0.5,IF(L58="相邻但不同",0.25,IF(L58="反例",0,"")))))</x:f>
      </x:c>
      <x:c r="N58" s="70" t="str"/>
      <x:c r="O58" s="70" t="str"/>
      <x:c r="P58" s="70" t="str"/>
      <x:c r="Q58" s="70" t="str">
        <x:f>IF(OR(H58="",K58=""),"",IF(H58&gt;K58,"是","否"))</x:f>
      </x:c>
      <x:c r="R58" s="70" t="str">
        <x:v>否</x:v>
      </x:c>
      <x:c r="S58" s="70" t="str"/>
      <x:c r="T58" s="70" t="str"/>
      <x:c r="U58" s="70" t="str"/>
      <x:c r="V58" s="70" t="str">
        <x:v>否</x:v>
      </x:c>
      <x:c r="W58" s="70" t="str"/>
    </x:row>
    <x:row r="59">
      <x:c r="A59" s="70" t="str">
        <x:v>M5EV-0054</x:v>
      </x:c>
      <x:c r="B59" s="70" t="str"/>
      <x:c r="C59" s="70" t="str">
        <x:f>IFERROR(VLOOKUP(B59,'02_案例与预测'!$A$6:$E$65,5,FALSE),"")</x:f>
      </x:c>
      <x:c r="D59" s="70" t="str"/>
      <x:c r="E59" s="70" t="str"/>
      <x:c r="F59" s="70" t="str"/>
      <x:c r="G59" s="70" t="str"/>
      <x:c r="H59" s="70" t="str"/>
      <x:c r="I59" s="70" t="str"/>
      <x:c r="J59" s="70" t="str"/>
      <x:c r="K59" s="70" t="str"/>
      <x:c r="L59" s="70" t="str"/>
      <x:c r="M59" s="70" t="str">
        <x:f>IF(L59="完全支持",1,IF(L59="基本支持",0.75,IF(L59="部分支持",0.5,IF(L59="相邻但不同",0.25,IF(L59="反例",0,"")))))</x:f>
      </x:c>
      <x:c r="N59" s="70" t="str"/>
      <x:c r="O59" s="70" t="str"/>
      <x:c r="P59" s="70" t="str"/>
      <x:c r="Q59" s="70" t="str">
        <x:f>IF(OR(H59="",K59=""),"",IF(H59&gt;K59,"是","否"))</x:f>
      </x:c>
      <x:c r="R59" s="70" t="str">
        <x:v>否</x:v>
      </x:c>
      <x:c r="S59" s="70" t="str"/>
      <x:c r="T59" s="70" t="str"/>
      <x:c r="U59" s="70" t="str"/>
      <x:c r="V59" s="70" t="str">
        <x:v>否</x:v>
      </x:c>
      <x:c r="W59" s="70" t="str"/>
    </x:row>
    <x:row r="60">
      <x:c r="A60" s="70" t="str">
        <x:v>M5EV-0055</x:v>
      </x:c>
      <x:c r="B60" s="70" t="str"/>
      <x:c r="C60" s="70" t="str">
        <x:f>IFERROR(VLOOKUP(B60,'02_案例与预测'!$A$6:$E$65,5,FALSE),"")</x:f>
      </x:c>
      <x:c r="D60" s="70" t="str"/>
      <x:c r="E60" s="70" t="str"/>
      <x:c r="F60" s="70" t="str"/>
      <x:c r="G60" s="70" t="str"/>
      <x:c r="H60" s="70" t="str"/>
      <x:c r="I60" s="70" t="str"/>
      <x:c r="J60" s="70" t="str"/>
      <x:c r="K60" s="70" t="str"/>
      <x:c r="L60" s="70" t="str"/>
      <x:c r="M60" s="70" t="str">
        <x:f>IF(L60="完全支持",1,IF(L60="基本支持",0.75,IF(L60="部分支持",0.5,IF(L60="相邻但不同",0.25,IF(L60="反例",0,"")))))</x:f>
      </x:c>
      <x:c r="N60" s="70" t="str"/>
      <x:c r="O60" s="70" t="str"/>
      <x:c r="P60" s="70" t="str"/>
      <x:c r="Q60" s="70" t="str">
        <x:f>IF(OR(H60="",K60=""),"",IF(H60&gt;K60,"是","否"))</x:f>
      </x:c>
      <x:c r="R60" s="70" t="str">
        <x:v>否</x:v>
      </x:c>
      <x:c r="S60" s="70" t="str"/>
      <x:c r="T60" s="70" t="str"/>
      <x:c r="U60" s="70" t="str"/>
      <x:c r="V60" s="70" t="str">
        <x:v>否</x:v>
      </x:c>
      <x:c r="W60" s="70" t="str"/>
    </x:row>
    <x:row r="61">
      <x:c r="A61" s="70" t="str">
        <x:v>M5EV-0056</x:v>
      </x:c>
      <x:c r="B61" s="70" t="str"/>
      <x:c r="C61" s="70" t="str">
        <x:f>IFERROR(VLOOKUP(B61,'02_案例与预测'!$A$6:$E$65,5,FALSE),"")</x:f>
      </x:c>
      <x:c r="D61" s="70" t="str"/>
      <x:c r="E61" s="70" t="str"/>
      <x:c r="F61" s="70" t="str"/>
      <x:c r="G61" s="70" t="str"/>
      <x:c r="H61" s="70" t="str"/>
      <x:c r="I61" s="70" t="str"/>
      <x:c r="J61" s="70" t="str"/>
      <x:c r="K61" s="70" t="str"/>
      <x:c r="L61" s="70" t="str"/>
      <x:c r="M61" s="70" t="str">
        <x:f>IF(L61="完全支持",1,IF(L61="基本支持",0.75,IF(L61="部分支持",0.5,IF(L61="相邻但不同",0.25,IF(L61="反例",0,"")))))</x:f>
      </x:c>
      <x:c r="N61" s="70" t="str"/>
      <x:c r="O61" s="70" t="str"/>
      <x:c r="P61" s="70" t="str"/>
      <x:c r="Q61" s="70" t="str">
        <x:f>IF(OR(H61="",K61=""),"",IF(H61&gt;K61,"是","否"))</x:f>
      </x:c>
      <x:c r="R61" s="70" t="str">
        <x:v>否</x:v>
      </x:c>
      <x:c r="S61" s="70" t="str"/>
      <x:c r="T61" s="70" t="str"/>
      <x:c r="U61" s="70" t="str"/>
      <x:c r="V61" s="70" t="str">
        <x:v>否</x:v>
      </x:c>
      <x:c r="W61" s="70" t="str"/>
    </x:row>
    <x:row r="62">
      <x:c r="A62" s="70" t="str">
        <x:v>M5EV-0057</x:v>
      </x:c>
      <x:c r="B62" s="70" t="str"/>
      <x:c r="C62" s="70" t="str">
        <x:f>IFERROR(VLOOKUP(B62,'02_案例与预测'!$A$6:$E$65,5,FALSE),"")</x:f>
      </x:c>
      <x:c r="D62" s="70" t="str"/>
      <x:c r="E62" s="70" t="str"/>
      <x:c r="F62" s="70" t="str"/>
      <x:c r="G62" s="70" t="str"/>
      <x:c r="H62" s="70" t="str"/>
      <x:c r="I62" s="70" t="str"/>
      <x:c r="J62" s="70" t="str"/>
      <x:c r="K62" s="70" t="str"/>
      <x:c r="L62" s="70" t="str"/>
      <x:c r="M62" s="70" t="str">
        <x:f>IF(L62="完全支持",1,IF(L62="基本支持",0.75,IF(L62="部分支持",0.5,IF(L62="相邻但不同",0.25,IF(L62="反例",0,"")))))</x:f>
      </x:c>
      <x:c r="N62" s="70" t="str"/>
      <x:c r="O62" s="70" t="str"/>
      <x:c r="P62" s="70" t="str"/>
      <x:c r="Q62" s="70" t="str">
        <x:f>IF(OR(H62="",K62=""),"",IF(H62&gt;K62,"是","否"))</x:f>
      </x:c>
      <x:c r="R62" s="70" t="str">
        <x:v>否</x:v>
      </x:c>
      <x:c r="S62" s="70" t="str"/>
      <x:c r="T62" s="70" t="str"/>
      <x:c r="U62" s="70" t="str"/>
      <x:c r="V62" s="70" t="str">
        <x:v>否</x:v>
      </x:c>
      <x:c r="W62" s="70" t="str"/>
    </x:row>
    <x:row r="63">
      <x:c r="A63" s="70" t="str">
        <x:v>M5EV-0058</x:v>
      </x:c>
      <x:c r="B63" s="70" t="str"/>
      <x:c r="C63" s="70" t="str">
        <x:f>IFERROR(VLOOKUP(B63,'02_案例与预测'!$A$6:$E$65,5,FALSE),"")</x:f>
      </x:c>
      <x:c r="D63" s="70" t="str"/>
      <x:c r="E63" s="70" t="str"/>
      <x:c r="F63" s="70" t="str"/>
      <x:c r="G63" s="70" t="str"/>
      <x:c r="H63" s="70" t="str"/>
      <x:c r="I63" s="70" t="str"/>
      <x:c r="J63" s="70" t="str"/>
      <x:c r="K63" s="70" t="str"/>
      <x:c r="L63" s="70" t="str"/>
      <x:c r="M63" s="70" t="str">
        <x:f>IF(L63="完全支持",1,IF(L63="基本支持",0.75,IF(L63="部分支持",0.5,IF(L63="相邻但不同",0.25,IF(L63="反例",0,"")))))</x:f>
      </x:c>
      <x:c r="N63" s="70" t="str"/>
      <x:c r="O63" s="70" t="str"/>
      <x:c r="P63" s="70" t="str"/>
      <x:c r="Q63" s="70" t="str">
        <x:f>IF(OR(H63="",K63=""),"",IF(H63&gt;K63,"是","否"))</x:f>
      </x:c>
      <x:c r="R63" s="70" t="str">
        <x:v>否</x:v>
      </x:c>
      <x:c r="S63" s="70" t="str"/>
      <x:c r="T63" s="70" t="str"/>
      <x:c r="U63" s="70" t="str"/>
      <x:c r="V63" s="70" t="str">
        <x:v>否</x:v>
      </x:c>
      <x:c r="W63" s="70" t="str"/>
    </x:row>
    <x:row r="64">
      <x:c r="A64" s="70" t="str">
        <x:v>M5EV-0059</x:v>
      </x:c>
      <x:c r="B64" s="70" t="str"/>
      <x:c r="C64" s="70" t="str">
        <x:f>IFERROR(VLOOKUP(B64,'02_案例与预测'!$A$6:$E$65,5,FALSE),"")</x:f>
      </x:c>
      <x:c r="D64" s="70" t="str"/>
      <x:c r="E64" s="70" t="str"/>
      <x:c r="F64" s="70" t="str"/>
      <x:c r="G64" s="70" t="str"/>
      <x:c r="H64" s="70" t="str"/>
      <x:c r="I64" s="70" t="str"/>
      <x:c r="J64" s="70" t="str"/>
      <x:c r="K64" s="70" t="str"/>
      <x:c r="L64" s="70" t="str"/>
      <x:c r="M64" s="70" t="str">
        <x:f>IF(L64="完全支持",1,IF(L64="基本支持",0.75,IF(L64="部分支持",0.5,IF(L64="相邻但不同",0.25,IF(L64="反例",0,"")))))</x:f>
      </x:c>
      <x:c r="N64" s="70" t="str"/>
      <x:c r="O64" s="70" t="str"/>
      <x:c r="P64" s="70" t="str"/>
      <x:c r="Q64" s="70" t="str">
        <x:f>IF(OR(H64="",K64=""),"",IF(H64&gt;K64,"是","否"))</x:f>
      </x:c>
      <x:c r="R64" s="70" t="str">
        <x:v>否</x:v>
      </x:c>
      <x:c r="S64" s="70" t="str"/>
      <x:c r="T64" s="70" t="str"/>
      <x:c r="U64" s="70" t="str"/>
      <x:c r="V64" s="70" t="str">
        <x:v>否</x:v>
      </x:c>
      <x:c r="W64" s="70" t="str"/>
    </x:row>
    <x:row r="65">
      <x:c r="A65" s="70" t="str">
        <x:v>M5EV-0060</x:v>
      </x:c>
      <x:c r="B65" s="70" t="str"/>
      <x:c r="C65" s="70" t="str">
        <x:f>IFERROR(VLOOKUP(B65,'02_案例与预测'!$A$6:$E$65,5,FALSE),"")</x:f>
      </x:c>
      <x:c r="D65" s="70" t="str"/>
      <x:c r="E65" s="70" t="str"/>
      <x:c r="F65" s="70" t="str"/>
      <x:c r="G65" s="70" t="str"/>
      <x:c r="H65" s="70" t="str"/>
      <x:c r="I65" s="70" t="str"/>
      <x:c r="J65" s="70" t="str"/>
      <x:c r="K65" s="70" t="str"/>
      <x:c r="L65" s="70" t="str"/>
      <x:c r="M65" s="70" t="str">
        <x:f>IF(L65="完全支持",1,IF(L65="基本支持",0.75,IF(L65="部分支持",0.5,IF(L65="相邻但不同",0.25,IF(L65="反例",0,"")))))</x:f>
      </x:c>
      <x:c r="N65" s="70" t="str"/>
      <x:c r="O65" s="70" t="str"/>
      <x:c r="P65" s="70" t="str"/>
      <x:c r="Q65" s="70" t="str">
        <x:f>IF(OR(H65="",K65=""),"",IF(H65&gt;K65,"是","否"))</x:f>
      </x:c>
      <x:c r="R65" s="70" t="str">
        <x:v>否</x:v>
      </x:c>
      <x:c r="S65" s="70" t="str"/>
      <x:c r="T65" s="70" t="str"/>
      <x:c r="U65" s="70" t="str"/>
      <x:c r="V65" s="70" t="str">
        <x:v>否</x:v>
      </x:c>
      <x:c r="W65" s="70" t="str"/>
    </x:row>
    <x:row r="66">
      <x:c r="A66" s="70" t="str">
        <x:v>M5EV-0061</x:v>
      </x:c>
      <x:c r="B66" s="70" t="str"/>
      <x:c r="C66" s="70" t="str">
        <x:f>IFERROR(VLOOKUP(B66,'02_案例与预测'!$A$6:$E$65,5,FALSE),"")</x:f>
      </x:c>
      <x:c r="D66" s="70" t="str"/>
      <x:c r="E66" s="70" t="str"/>
      <x:c r="F66" s="70" t="str"/>
      <x:c r="G66" s="70" t="str"/>
      <x:c r="H66" s="70" t="str"/>
      <x:c r="I66" s="70" t="str"/>
      <x:c r="J66" s="70" t="str"/>
      <x:c r="K66" s="70" t="str"/>
      <x:c r="L66" s="70" t="str"/>
      <x:c r="M66" s="70" t="str">
        <x:f>IF(L66="完全支持",1,IF(L66="基本支持",0.75,IF(L66="部分支持",0.5,IF(L66="相邻但不同",0.25,IF(L66="反例",0,"")))))</x:f>
      </x:c>
      <x:c r="N66" s="70" t="str"/>
      <x:c r="O66" s="70" t="str"/>
      <x:c r="P66" s="70" t="str"/>
      <x:c r="Q66" s="70" t="str">
        <x:f>IF(OR(H66="",K66=""),"",IF(H66&gt;K66,"是","否"))</x:f>
      </x:c>
      <x:c r="R66" s="70" t="str">
        <x:v>否</x:v>
      </x:c>
      <x:c r="S66" s="70" t="str"/>
      <x:c r="T66" s="70" t="str"/>
      <x:c r="U66" s="70" t="str"/>
      <x:c r="V66" s="70" t="str">
        <x:v>否</x:v>
      </x:c>
      <x:c r="W66" s="70" t="str"/>
    </x:row>
    <x:row r="67">
      <x:c r="A67" s="70" t="str">
        <x:v>M5EV-0062</x:v>
      </x:c>
      <x:c r="B67" s="70" t="str"/>
      <x:c r="C67" s="70" t="str">
        <x:f>IFERROR(VLOOKUP(B67,'02_案例与预测'!$A$6:$E$65,5,FALSE),"")</x:f>
      </x:c>
      <x:c r="D67" s="70" t="str"/>
      <x:c r="E67" s="70" t="str"/>
      <x:c r="F67" s="70" t="str"/>
      <x:c r="G67" s="70" t="str"/>
      <x:c r="H67" s="70" t="str"/>
      <x:c r="I67" s="70" t="str"/>
      <x:c r="J67" s="70" t="str"/>
      <x:c r="K67" s="70" t="str"/>
      <x:c r="L67" s="70" t="str"/>
      <x:c r="M67" s="70" t="str">
        <x:f>IF(L67="完全支持",1,IF(L67="基本支持",0.75,IF(L67="部分支持",0.5,IF(L67="相邻但不同",0.25,IF(L67="反例",0,"")))))</x:f>
      </x:c>
      <x:c r="N67" s="70" t="str"/>
      <x:c r="O67" s="70" t="str"/>
      <x:c r="P67" s="70" t="str"/>
      <x:c r="Q67" s="70" t="str">
        <x:f>IF(OR(H67="",K67=""),"",IF(H67&gt;K67,"是","否"))</x:f>
      </x:c>
      <x:c r="R67" s="70" t="str">
        <x:v>否</x:v>
      </x:c>
      <x:c r="S67" s="70" t="str"/>
      <x:c r="T67" s="70" t="str"/>
      <x:c r="U67" s="70" t="str"/>
      <x:c r="V67" s="70" t="str">
        <x:v>否</x:v>
      </x:c>
      <x:c r="W67" s="70" t="str"/>
    </x:row>
    <x:row r="68">
      <x:c r="A68" s="70" t="str">
        <x:v>M5EV-0063</x:v>
      </x:c>
      <x:c r="B68" s="70" t="str"/>
      <x:c r="C68" s="70" t="str">
        <x:f>IFERROR(VLOOKUP(B68,'02_案例与预测'!$A$6:$E$65,5,FALSE),"")</x:f>
      </x:c>
      <x:c r="D68" s="70" t="str"/>
      <x:c r="E68" s="70" t="str"/>
      <x:c r="F68" s="70" t="str"/>
      <x:c r="G68" s="70" t="str"/>
      <x:c r="H68" s="70" t="str"/>
      <x:c r="I68" s="70" t="str"/>
      <x:c r="J68" s="70" t="str"/>
      <x:c r="K68" s="70" t="str"/>
      <x:c r="L68" s="70" t="str"/>
      <x:c r="M68" s="70" t="str">
        <x:f>IF(L68="完全支持",1,IF(L68="基本支持",0.75,IF(L68="部分支持",0.5,IF(L68="相邻但不同",0.25,IF(L68="反例",0,"")))))</x:f>
      </x:c>
      <x:c r="N68" s="70" t="str"/>
      <x:c r="O68" s="70" t="str"/>
      <x:c r="P68" s="70" t="str"/>
      <x:c r="Q68" s="70" t="str">
        <x:f>IF(OR(H68="",K68=""),"",IF(H68&gt;K68,"是","否"))</x:f>
      </x:c>
      <x:c r="R68" s="70" t="str">
        <x:v>否</x:v>
      </x:c>
      <x:c r="S68" s="70" t="str"/>
      <x:c r="T68" s="70" t="str"/>
      <x:c r="U68" s="70" t="str"/>
      <x:c r="V68" s="70" t="str">
        <x:v>否</x:v>
      </x:c>
      <x:c r="W68" s="70" t="str"/>
    </x:row>
    <x:row r="69">
      <x:c r="A69" s="70" t="str">
        <x:v>M5EV-0064</x:v>
      </x:c>
      <x:c r="B69" s="70" t="str"/>
      <x:c r="C69" s="70" t="str">
        <x:f>IFERROR(VLOOKUP(B69,'02_案例与预测'!$A$6:$E$65,5,FALSE),"")</x:f>
      </x:c>
      <x:c r="D69" s="70" t="str"/>
      <x:c r="E69" s="70" t="str"/>
      <x:c r="F69" s="70" t="str"/>
      <x:c r="G69" s="70" t="str"/>
      <x:c r="H69" s="70" t="str"/>
      <x:c r="I69" s="70" t="str"/>
      <x:c r="J69" s="70" t="str"/>
      <x:c r="K69" s="70" t="str"/>
      <x:c r="L69" s="70" t="str"/>
      <x:c r="M69" s="70" t="str">
        <x:f>IF(L69="完全支持",1,IF(L69="基本支持",0.75,IF(L69="部分支持",0.5,IF(L69="相邻但不同",0.25,IF(L69="反例",0,"")))))</x:f>
      </x:c>
      <x:c r="N69" s="70" t="str"/>
      <x:c r="O69" s="70" t="str"/>
      <x:c r="P69" s="70" t="str"/>
      <x:c r="Q69" s="70" t="str">
        <x:f>IF(OR(H69="",K69=""),"",IF(H69&gt;K69,"是","否"))</x:f>
      </x:c>
      <x:c r="R69" s="70" t="str">
        <x:v>否</x:v>
      </x:c>
      <x:c r="S69" s="70" t="str"/>
      <x:c r="T69" s="70" t="str"/>
      <x:c r="U69" s="70" t="str"/>
      <x:c r="V69" s="70" t="str">
        <x:v>否</x:v>
      </x:c>
      <x:c r="W69" s="70" t="str"/>
    </x:row>
    <x:row r="70">
      <x:c r="A70" s="70" t="str">
        <x:v>M5EV-0065</x:v>
      </x:c>
      <x:c r="B70" s="70" t="str"/>
      <x:c r="C70" s="70" t="str">
        <x:f>IFERROR(VLOOKUP(B70,'02_案例与预测'!$A$6:$E$65,5,FALSE),"")</x:f>
      </x:c>
      <x:c r="D70" s="70" t="str"/>
      <x:c r="E70" s="70" t="str"/>
      <x:c r="F70" s="70" t="str"/>
      <x:c r="G70" s="70" t="str"/>
      <x:c r="H70" s="70" t="str"/>
      <x:c r="I70" s="70" t="str"/>
      <x:c r="J70" s="70" t="str"/>
      <x:c r="K70" s="70" t="str"/>
      <x:c r="L70" s="70" t="str"/>
      <x:c r="M70" s="70" t="str">
        <x:f>IF(L70="完全支持",1,IF(L70="基本支持",0.75,IF(L70="部分支持",0.5,IF(L70="相邻但不同",0.25,IF(L70="反例",0,"")))))</x:f>
      </x:c>
      <x:c r="N70" s="70" t="str"/>
      <x:c r="O70" s="70" t="str"/>
      <x:c r="P70" s="70" t="str"/>
      <x:c r="Q70" s="70" t="str">
        <x:f>IF(OR(H70="",K70=""),"",IF(H70&gt;K70,"是","否"))</x:f>
      </x:c>
      <x:c r="R70" s="70" t="str">
        <x:v>否</x:v>
      </x:c>
      <x:c r="S70" s="70" t="str"/>
      <x:c r="T70" s="70" t="str"/>
      <x:c r="U70" s="70" t="str"/>
      <x:c r="V70" s="70" t="str">
        <x:v>否</x:v>
      </x:c>
      <x:c r="W70" s="70" t="str"/>
    </x:row>
    <x:row r="71">
      <x:c r="A71" s="70" t="str">
        <x:v>M5EV-0066</x:v>
      </x:c>
      <x:c r="B71" s="70" t="str"/>
      <x:c r="C71" s="70" t="str">
        <x:f>IFERROR(VLOOKUP(B71,'02_案例与预测'!$A$6:$E$65,5,FALSE),"")</x:f>
      </x:c>
      <x:c r="D71" s="70" t="str"/>
      <x:c r="E71" s="70" t="str"/>
      <x:c r="F71" s="70" t="str"/>
      <x:c r="G71" s="70" t="str"/>
      <x:c r="H71" s="70" t="str"/>
      <x:c r="I71" s="70" t="str"/>
      <x:c r="J71" s="70" t="str"/>
      <x:c r="K71" s="70" t="str"/>
      <x:c r="L71" s="70" t="str"/>
      <x:c r="M71" s="70" t="str">
        <x:f>IF(L71="完全支持",1,IF(L71="基本支持",0.75,IF(L71="部分支持",0.5,IF(L71="相邻但不同",0.25,IF(L71="反例",0,"")))))</x:f>
      </x:c>
      <x:c r="N71" s="70" t="str"/>
      <x:c r="O71" s="70" t="str"/>
      <x:c r="P71" s="70" t="str"/>
      <x:c r="Q71" s="70" t="str">
        <x:f>IF(OR(H71="",K71=""),"",IF(H71&gt;K71,"是","否"))</x:f>
      </x:c>
      <x:c r="R71" s="70" t="str">
        <x:v>否</x:v>
      </x:c>
      <x:c r="S71" s="70" t="str"/>
      <x:c r="T71" s="70" t="str"/>
      <x:c r="U71" s="70" t="str"/>
      <x:c r="V71" s="70" t="str">
        <x:v>否</x:v>
      </x:c>
      <x:c r="W71" s="70" t="str"/>
    </x:row>
    <x:row r="72">
      <x:c r="A72" s="70" t="str">
        <x:v>M5EV-0067</x:v>
      </x:c>
      <x:c r="B72" s="70" t="str"/>
      <x:c r="C72" s="70" t="str">
        <x:f>IFERROR(VLOOKUP(B72,'02_案例与预测'!$A$6:$E$65,5,FALSE),"")</x:f>
      </x:c>
      <x:c r="D72" s="70" t="str"/>
      <x:c r="E72" s="70" t="str"/>
      <x:c r="F72" s="70" t="str"/>
      <x:c r="G72" s="70" t="str"/>
      <x:c r="H72" s="70" t="str"/>
      <x:c r="I72" s="70" t="str"/>
      <x:c r="J72" s="70" t="str"/>
      <x:c r="K72" s="70" t="str"/>
      <x:c r="L72" s="70" t="str"/>
      <x:c r="M72" s="70" t="str">
        <x:f>IF(L72="完全支持",1,IF(L72="基本支持",0.75,IF(L72="部分支持",0.5,IF(L72="相邻但不同",0.25,IF(L72="反例",0,"")))))</x:f>
      </x:c>
      <x:c r="N72" s="70" t="str"/>
      <x:c r="O72" s="70" t="str"/>
      <x:c r="P72" s="70" t="str"/>
      <x:c r="Q72" s="70" t="str">
        <x:f>IF(OR(H72="",K72=""),"",IF(H72&gt;K72,"是","否"))</x:f>
      </x:c>
      <x:c r="R72" s="70" t="str">
        <x:v>否</x:v>
      </x:c>
      <x:c r="S72" s="70" t="str"/>
      <x:c r="T72" s="70" t="str"/>
      <x:c r="U72" s="70" t="str"/>
      <x:c r="V72" s="70" t="str">
        <x:v>否</x:v>
      </x:c>
      <x:c r="W72" s="70" t="str"/>
    </x:row>
    <x:row r="73">
      <x:c r="A73" s="70" t="str">
        <x:v>M5EV-0068</x:v>
      </x:c>
      <x:c r="B73" s="70" t="str"/>
      <x:c r="C73" s="70" t="str">
        <x:f>IFERROR(VLOOKUP(B73,'02_案例与预测'!$A$6:$E$65,5,FALSE),"")</x:f>
      </x:c>
      <x:c r="D73" s="70" t="str"/>
      <x:c r="E73" s="70" t="str"/>
      <x:c r="F73" s="70" t="str"/>
      <x:c r="G73" s="70" t="str"/>
      <x:c r="H73" s="70" t="str"/>
      <x:c r="I73" s="70" t="str"/>
      <x:c r="J73" s="70" t="str"/>
      <x:c r="K73" s="70" t="str"/>
      <x:c r="L73" s="70" t="str"/>
      <x:c r="M73" s="70" t="str">
        <x:f>IF(L73="完全支持",1,IF(L73="基本支持",0.75,IF(L73="部分支持",0.5,IF(L73="相邻但不同",0.25,IF(L73="反例",0,"")))))</x:f>
      </x:c>
      <x:c r="N73" s="70" t="str"/>
      <x:c r="O73" s="70" t="str"/>
      <x:c r="P73" s="70" t="str"/>
      <x:c r="Q73" s="70" t="str">
        <x:f>IF(OR(H73="",K73=""),"",IF(H73&gt;K73,"是","否"))</x:f>
      </x:c>
      <x:c r="R73" s="70" t="str">
        <x:v>否</x:v>
      </x:c>
      <x:c r="S73" s="70" t="str"/>
      <x:c r="T73" s="70" t="str"/>
      <x:c r="U73" s="70" t="str"/>
      <x:c r="V73" s="70" t="str">
        <x:v>否</x:v>
      </x:c>
      <x:c r="W73" s="70" t="str"/>
    </x:row>
    <x:row r="74">
      <x:c r="A74" s="70" t="str">
        <x:v>M5EV-0069</x:v>
      </x:c>
      <x:c r="B74" s="70" t="str"/>
      <x:c r="C74" s="70" t="str">
        <x:f>IFERROR(VLOOKUP(B74,'02_案例与预测'!$A$6:$E$65,5,FALSE),"")</x:f>
      </x:c>
      <x:c r="D74" s="70" t="str"/>
      <x:c r="E74" s="70" t="str"/>
      <x:c r="F74" s="70" t="str"/>
      <x:c r="G74" s="70" t="str"/>
      <x:c r="H74" s="70" t="str"/>
      <x:c r="I74" s="70" t="str"/>
      <x:c r="J74" s="70" t="str"/>
      <x:c r="K74" s="70" t="str"/>
      <x:c r="L74" s="70" t="str"/>
      <x:c r="M74" s="70" t="str">
        <x:f>IF(L74="完全支持",1,IF(L74="基本支持",0.75,IF(L74="部分支持",0.5,IF(L74="相邻但不同",0.25,IF(L74="反例",0,"")))))</x:f>
      </x:c>
      <x:c r="N74" s="70" t="str"/>
      <x:c r="O74" s="70" t="str"/>
      <x:c r="P74" s="70" t="str"/>
      <x:c r="Q74" s="70" t="str">
        <x:f>IF(OR(H74="",K74=""),"",IF(H74&gt;K74,"是","否"))</x:f>
      </x:c>
      <x:c r="R74" s="70" t="str">
        <x:v>否</x:v>
      </x:c>
      <x:c r="S74" s="70" t="str"/>
      <x:c r="T74" s="70" t="str"/>
      <x:c r="U74" s="70" t="str"/>
      <x:c r="V74" s="70" t="str">
        <x:v>否</x:v>
      </x:c>
      <x:c r="W74" s="70" t="str"/>
    </x:row>
    <x:row r="75">
      <x:c r="A75" s="70" t="str">
        <x:v>M5EV-0070</x:v>
      </x:c>
      <x:c r="B75" s="70" t="str"/>
      <x:c r="C75" s="70" t="str">
        <x:f>IFERROR(VLOOKUP(B75,'02_案例与预测'!$A$6:$E$65,5,FALSE),"")</x:f>
      </x:c>
      <x:c r="D75" s="70" t="str"/>
      <x:c r="E75" s="70" t="str"/>
      <x:c r="F75" s="70" t="str"/>
      <x:c r="G75" s="70" t="str"/>
      <x:c r="H75" s="70" t="str"/>
      <x:c r="I75" s="70" t="str"/>
      <x:c r="J75" s="70" t="str"/>
      <x:c r="K75" s="70" t="str"/>
      <x:c r="L75" s="70" t="str"/>
      <x:c r="M75" s="70" t="str">
        <x:f>IF(L75="完全支持",1,IF(L75="基本支持",0.75,IF(L75="部分支持",0.5,IF(L75="相邻但不同",0.25,IF(L75="反例",0,"")))))</x:f>
      </x:c>
      <x:c r="N75" s="70" t="str"/>
      <x:c r="O75" s="70" t="str"/>
      <x:c r="P75" s="70" t="str"/>
      <x:c r="Q75" s="70" t="str">
        <x:f>IF(OR(H75="",K75=""),"",IF(H75&gt;K75,"是","否"))</x:f>
      </x:c>
      <x:c r="R75" s="70" t="str">
        <x:v>否</x:v>
      </x:c>
      <x:c r="S75" s="70" t="str"/>
      <x:c r="T75" s="70" t="str"/>
      <x:c r="U75" s="70" t="str"/>
      <x:c r="V75" s="70" t="str">
        <x:v>否</x:v>
      </x:c>
      <x:c r="W75" s="70" t="str"/>
    </x:row>
    <x:row r="76">
      <x:c r="A76" s="70" t="str">
        <x:v>M5EV-0071</x:v>
      </x:c>
      <x:c r="B76" s="70" t="str"/>
      <x:c r="C76" s="70" t="str">
        <x:f>IFERROR(VLOOKUP(B76,'02_案例与预测'!$A$6:$E$65,5,FALSE),"")</x:f>
      </x:c>
      <x:c r="D76" s="70" t="str"/>
      <x:c r="E76" s="70" t="str"/>
      <x:c r="F76" s="70" t="str"/>
      <x:c r="G76" s="70" t="str"/>
      <x:c r="H76" s="70" t="str"/>
      <x:c r="I76" s="70" t="str"/>
      <x:c r="J76" s="70" t="str"/>
      <x:c r="K76" s="70" t="str"/>
      <x:c r="L76" s="70" t="str"/>
      <x:c r="M76" s="70" t="str">
        <x:f>IF(L76="完全支持",1,IF(L76="基本支持",0.75,IF(L76="部分支持",0.5,IF(L76="相邻但不同",0.25,IF(L76="反例",0,"")))))</x:f>
      </x:c>
      <x:c r="N76" s="70" t="str"/>
      <x:c r="O76" s="70" t="str"/>
      <x:c r="P76" s="70" t="str"/>
      <x:c r="Q76" s="70" t="str">
        <x:f>IF(OR(H76="",K76=""),"",IF(H76&gt;K76,"是","否"))</x:f>
      </x:c>
      <x:c r="R76" s="70" t="str">
        <x:v>否</x:v>
      </x:c>
      <x:c r="S76" s="70" t="str"/>
      <x:c r="T76" s="70" t="str"/>
      <x:c r="U76" s="70" t="str"/>
      <x:c r="V76" s="70" t="str">
        <x:v>否</x:v>
      </x:c>
      <x:c r="W76" s="70" t="str"/>
    </x:row>
    <x:row r="77">
      <x:c r="A77" s="70" t="str">
        <x:v>M5EV-0072</x:v>
      </x:c>
      <x:c r="B77" s="70" t="str"/>
      <x:c r="C77" s="70" t="str">
        <x:f>IFERROR(VLOOKUP(B77,'02_案例与预测'!$A$6:$E$65,5,FALSE),"")</x:f>
      </x:c>
      <x:c r="D77" s="70" t="str"/>
      <x:c r="E77" s="70" t="str"/>
      <x:c r="F77" s="70" t="str"/>
      <x:c r="G77" s="70" t="str"/>
      <x:c r="H77" s="70" t="str"/>
      <x:c r="I77" s="70" t="str"/>
      <x:c r="J77" s="70" t="str"/>
      <x:c r="K77" s="70" t="str"/>
      <x:c r="L77" s="70" t="str"/>
      <x:c r="M77" s="70" t="str">
        <x:f>IF(L77="完全支持",1,IF(L77="基本支持",0.75,IF(L77="部分支持",0.5,IF(L77="相邻但不同",0.25,IF(L77="反例",0,"")))))</x:f>
      </x:c>
      <x:c r="N77" s="70" t="str"/>
      <x:c r="O77" s="70" t="str"/>
      <x:c r="P77" s="70" t="str"/>
      <x:c r="Q77" s="70" t="str">
        <x:f>IF(OR(H77="",K77=""),"",IF(H77&gt;K77,"是","否"))</x:f>
      </x:c>
      <x:c r="R77" s="70" t="str">
        <x:v>否</x:v>
      </x:c>
      <x:c r="S77" s="70" t="str"/>
      <x:c r="T77" s="70" t="str"/>
      <x:c r="U77" s="70" t="str"/>
      <x:c r="V77" s="70" t="str">
        <x:v>否</x:v>
      </x:c>
      <x:c r="W77" s="70" t="str"/>
    </x:row>
    <x:row r="78">
      <x:c r="A78" s="70" t="str">
        <x:v>M5EV-0073</x:v>
      </x:c>
      <x:c r="B78" s="70" t="str"/>
      <x:c r="C78" s="70" t="str">
        <x:f>IFERROR(VLOOKUP(B78,'02_案例与预测'!$A$6:$E$65,5,FALSE),"")</x:f>
      </x:c>
      <x:c r="D78" s="70" t="str"/>
      <x:c r="E78" s="70" t="str"/>
      <x:c r="F78" s="70" t="str"/>
      <x:c r="G78" s="70" t="str"/>
      <x:c r="H78" s="70" t="str"/>
      <x:c r="I78" s="70" t="str"/>
      <x:c r="J78" s="70" t="str"/>
      <x:c r="K78" s="70" t="str"/>
      <x:c r="L78" s="70" t="str"/>
      <x:c r="M78" s="70" t="str">
        <x:f>IF(L78="完全支持",1,IF(L78="基本支持",0.75,IF(L78="部分支持",0.5,IF(L78="相邻但不同",0.25,IF(L78="反例",0,"")))))</x:f>
      </x:c>
      <x:c r="N78" s="70" t="str"/>
      <x:c r="O78" s="70" t="str"/>
      <x:c r="P78" s="70" t="str"/>
      <x:c r="Q78" s="70" t="str">
        <x:f>IF(OR(H78="",K78=""),"",IF(H78&gt;K78,"是","否"))</x:f>
      </x:c>
      <x:c r="R78" s="70" t="str">
        <x:v>否</x:v>
      </x:c>
      <x:c r="S78" s="70" t="str"/>
      <x:c r="T78" s="70" t="str"/>
      <x:c r="U78" s="70" t="str"/>
      <x:c r="V78" s="70" t="str">
        <x:v>否</x:v>
      </x:c>
      <x:c r="W78" s="70" t="str"/>
    </x:row>
    <x:row r="79">
      <x:c r="A79" s="70" t="str">
        <x:v>M5EV-0074</x:v>
      </x:c>
      <x:c r="B79" s="70" t="str"/>
      <x:c r="C79" s="70" t="str">
        <x:f>IFERROR(VLOOKUP(B79,'02_案例与预测'!$A$6:$E$65,5,FALSE),"")</x:f>
      </x:c>
      <x:c r="D79" s="70" t="str"/>
      <x:c r="E79" s="70" t="str"/>
      <x:c r="F79" s="70" t="str"/>
      <x:c r="G79" s="70" t="str"/>
      <x:c r="H79" s="70" t="str"/>
      <x:c r="I79" s="70" t="str"/>
      <x:c r="J79" s="70" t="str"/>
      <x:c r="K79" s="70" t="str"/>
      <x:c r="L79" s="70" t="str"/>
      <x:c r="M79" s="70" t="str">
        <x:f>IF(L79="完全支持",1,IF(L79="基本支持",0.75,IF(L79="部分支持",0.5,IF(L79="相邻但不同",0.25,IF(L79="反例",0,"")))))</x:f>
      </x:c>
      <x:c r="N79" s="70" t="str"/>
      <x:c r="O79" s="70" t="str"/>
      <x:c r="P79" s="70" t="str"/>
      <x:c r="Q79" s="70" t="str">
        <x:f>IF(OR(H79="",K79=""),"",IF(H79&gt;K79,"是","否"))</x:f>
      </x:c>
      <x:c r="R79" s="70" t="str">
        <x:v>否</x:v>
      </x:c>
      <x:c r="S79" s="70" t="str"/>
      <x:c r="T79" s="70" t="str"/>
      <x:c r="U79" s="70" t="str"/>
      <x:c r="V79" s="70" t="str">
        <x:v>否</x:v>
      </x:c>
      <x:c r="W79" s="70" t="str"/>
    </x:row>
    <x:row r="80">
      <x:c r="A80" s="70" t="str">
        <x:v>M5EV-0075</x:v>
      </x:c>
      <x:c r="B80" s="70" t="str"/>
      <x:c r="C80" s="70" t="str">
        <x:f>IFERROR(VLOOKUP(B80,'02_案例与预测'!$A$6:$E$65,5,FALSE),"")</x:f>
      </x:c>
      <x:c r="D80" s="70" t="str"/>
      <x:c r="E80" s="70" t="str"/>
      <x:c r="F80" s="70" t="str"/>
      <x:c r="G80" s="70" t="str"/>
      <x:c r="H80" s="70" t="str"/>
      <x:c r="I80" s="70" t="str"/>
      <x:c r="J80" s="70" t="str"/>
      <x:c r="K80" s="70" t="str"/>
      <x:c r="L80" s="70" t="str"/>
      <x:c r="M80" s="70" t="str">
        <x:f>IF(L80="完全支持",1,IF(L80="基本支持",0.75,IF(L80="部分支持",0.5,IF(L80="相邻但不同",0.25,IF(L80="反例",0,"")))))</x:f>
      </x:c>
      <x:c r="N80" s="70" t="str"/>
      <x:c r="O80" s="70" t="str"/>
      <x:c r="P80" s="70" t="str"/>
      <x:c r="Q80" s="70" t="str">
        <x:f>IF(OR(H80="",K80=""),"",IF(H80&gt;K80,"是","否"))</x:f>
      </x:c>
      <x:c r="R80" s="70" t="str">
        <x:v>否</x:v>
      </x:c>
      <x:c r="S80" s="70" t="str"/>
      <x:c r="T80" s="70" t="str"/>
      <x:c r="U80" s="70" t="str"/>
      <x:c r="V80" s="70" t="str">
        <x:v>否</x:v>
      </x:c>
      <x:c r="W80" s="70" t="str"/>
    </x:row>
    <x:row r="81">
      <x:c r="A81" s="70" t="str">
        <x:v>M5EV-0076</x:v>
      </x:c>
      <x:c r="B81" s="70" t="str"/>
      <x:c r="C81" s="70" t="str">
        <x:f>IFERROR(VLOOKUP(B81,'02_案例与预测'!$A$6:$E$65,5,FALSE),"")</x:f>
      </x:c>
      <x:c r="D81" s="70" t="str"/>
      <x:c r="E81" s="70" t="str"/>
      <x:c r="F81" s="70" t="str"/>
      <x:c r="G81" s="70" t="str"/>
      <x:c r="H81" s="70" t="str"/>
      <x:c r="I81" s="70" t="str"/>
      <x:c r="J81" s="70" t="str"/>
      <x:c r="K81" s="70" t="str"/>
      <x:c r="L81" s="70" t="str"/>
      <x:c r="M81" s="70" t="str">
        <x:f>IF(L81="完全支持",1,IF(L81="基本支持",0.75,IF(L81="部分支持",0.5,IF(L81="相邻但不同",0.25,IF(L81="反例",0,"")))))</x:f>
      </x:c>
      <x:c r="N81" s="70" t="str"/>
      <x:c r="O81" s="70" t="str"/>
      <x:c r="P81" s="70" t="str"/>
      <x:c r="Q81" s="70" t="str">
        <x:f>IF(OR(H81="",K81=""),"",IF(H81&gt;K81,"是","否"))</x:f>
      </x:c>
      <x:c r="R81" s="70" t="str">
        <x:v>否</x:v>
      </x:c>
      <x:c r="S81" s="70" t="str"/>
      <x:c r="T81" s="70" t="str"/>
      <x:c r="U81" s="70" t="str"/>
      <x:c r="V81" s="70" t="str">
        <x:v>否</x:v>
      </x:c>
      <x:c r="W81" s="70" t="str"/>
    </x:row>
    <x:row r="82">
      <x:c r="A82" s="70" t="str">
        <x:v>M5EV-0077</x:v>
      </x:c>
      <x:c r="B82" s="70" t="str"/>
      <x:c r="C82" s="70" t="str">
        <x:f>IFERROR(VLOOKUP(B82,'02_案例与预测'!$A$6:$E$65,5,FALSE),"")</x:f>
      </x:c>
      <x:c r="D82" s="70" t="str"/>
      <x:c r="E82" s="70" t="str"/>
      <x:c r="F82" s="70" t="str"/>
      <x:c r="G82" s="70" t="str"/>
      <x:c r="H82" s="70" t="str"/>
      <x:c r="I82" s="70" t="str"/>
      <x:c r="J82" s="70" t="str"/>
      <x:c r="K82" s="70" t="str"/>
      <x:c r="L82" s="70" t="str"/>
      <x:c r="M82" s="70" t="str">
        <x:f>IF(L82="完全支持",1,IF(L82="基本支持",0.75,IF(L82="部分支持",0.5,IF(L82="相邻但不同",0.25,IF(L82="反例",0,"")))))</x:f>
      </x:c>
      <x:c r="N82" s="70" t="str"/>
      <x:c r="O82" s="70" t="str"/>
      <x:c r="P82" s="70" t="str"/>
      <x:c r="Q82" s="70" t="str">
        <x:f>IF(OR(H82="",K82=""),"",IF(H82&gt;K82,"是","否"))</x:f>
      </x:c>
      <x:c r="R82" s="70" t="str">
        <x:v>否</x:v>
      </x:c>
      <x:c r="S82" s="70" t="str"/>
      <x:c r="T82" s="70" t="str"/>
      <x:c r="U82" s="70" t="str"/>
      <x:c r="V82" s="70" t="str">
        <x:v>否</x:v>
      </x:c>
      <x:c r="W82" s="70" t="str"/>
    </x:row>
    <x:row r="83">
      <x:c r="A83" s="70" t="str">
        <x:v>M5EV-0078</x:v>
      </x:c>
      <x:c r="B83" s="70" t="str"/>
      <x:c r="C83" s="70" t="str">
        <x:f>IFERROR(VLOOKUP(B83,'02_案例与预测'!$A$6:$E$65,5,FALSE),"")</x:f>
      </x:c>
      <x:c r="D83" s="70" t="str"/>
      <x:c r="E83" s="70" t="str"/>
      <x:c r="F83" s="70" t="str"/>
      <x:c r="G83" s="70" t="str"/>
      <x:c r="H83" s="70" t="str"/>
      <x:c r="I83" s="70" t="str"/>
      <x:c r="J83" s="70" t="str"/>
      <x:c r="K83" s="70" t="str"/>
      <x:c r="L83" s="70" t="str"/>
      <x:c r="M83" s="70" t="str">
        <x:f>IF(L83="完全支持",1,IF(L83="基本支持",0.75,IF(L83="部分支持",0.5,IF(L83="相邻但不同",0.25,IF(L83="反例",0,"")))))</x:f>
      </x:c>
      <x:c r="N83" s="70" t="str"/>
      <x:c r="O83" s="70" t="str"/>
      <x:c r="P83" s="70" t="str"/>
      <x:c r="Q83" s="70" t="str">
        <x:f>IF(OR(H83="",K83=""),"",IF(H83&gt;K83,"是","否"))</x:f>
      </x:c>
      <x:c r="R83" s="70" t="str">
        <x:v>否</x:v>
      </x:c>
      <x:c r="S83" s="70" t="str"/>
      <x:c r="T83" s="70" t="str"/>
      <x:c r="U83" s="70" t="str"/>
      <x:c r="V83" s="70" t="str">
        <x:v>否</x:v>
      </x:c>
      <x:c r="W83" s="70" t="str"/>
    </x:row>
    <x:row r="84">
      <x:c r="A84" s="70" t="str">
        <x:v>M5EV-0079</x:v>
      </x:c>
      <x:c r="B84" s="70" t="str"/>
      <x:c r="C84" s="70" t="str">
        <x:f>IFERROR(VLOOKUP(B84,'02_案例与预测'!$A$6:$E$65,5,FALSE),"")</x:f>
      </x:c>
      <x:c r="D84" s="70" t="str"/>
      <x:c r="E84" s="70" t="str"/>
      <x:c r="F84" s="70" t="str"/>
      <x:c r="G84" s="70" t="str"/>
      <x:c r="H84" s="70" t="str"/>
      <x:c r="I84" s="70" t="str"/>
      <x:c r="J84" s="70" t="str"/>
      <x:c r="K84" s="70" t="str"/>
      <x:c r="L84" s="70" t="str"/>
      <x:c r="M84" s="70" t="str">
        <x:f>IF(L84="完全支持",1,IF(L84="基本支持",0.75,IF(L84="部分支持",0.5,IF(L84="相邻但不同",0.25,IF(L84="反例",0,"")))))</x:f>
      </x:c>
      <x:c r="N84" s="70" t="str"/>
      <x:c r="O84" s="70" t="str"/>
      <x:c r="P84" s="70" t="str"/>
      <x:c r="Q84" s="70" t="str">
        <x:f>IF(OR(H84="",K84=""),"",IF(H84&gt;K84,"是","否"))</x:f>
      </x:c>
      <x:c r="R84" s="70" t="str">
        <x:v>否</x:v>
      </x:c>
      <x:c r="S84" s="70" t="str"/>
      <x:c r="T84" s="70" t="str"/>
      <x:c r="U84" s="70" t="str"/>
      <x:c r="V84" s="70" t="str">
        <x:v>否</x:v>
      </x:c>
      <x:c r="W84" s="70" t="str"/>
    </x:row>
    <x:row r="85">
      <x:c r="A85" s="70" t="str">
        <x:v>M5EV-0080</x:v>
      </x:c>
      <x:c r="B85" s="70" t="str"/>
      <x:c r="C85" s="70" t="str">
        <x:f>IFERROR(VLOOKUP(B85,'02_案例与预测'!$A$6:$E$65,5,FALSE),"")</x:f>
      </x:c>
      <x:c r="D85" s="70" t="str"/>
      <x:c r="E85" s="70" t="str"/>
      <x:c r="F85" s="70" t="str"/>
      <x:c r="G85" s="70" t="str"/>
      <x:c r="H85" s="70" t="str"/>
      <x:c r="I85" s="70" t="str"/>
      <x:c r="J85" s="70" t="str"/>
      <x:c r="K85" s="70" t="str"/>
      <x:c r="L85" s="70" t="str"/>
      <x:c r="M85" s="70" t="str">
        <x:f>IF(L85="完全支持",1,IF(L85="基本支持",0.75,IF(L85="部分支持",0.5,IF(L85="相邻但不同",0.25,IF(L85="反例",0,"")))))</x:f>
      </x:c>
      <x:c r="N85" s="70" t="str"/>
      <x:c r="O85" s="70" t="str"/>
      <x:c r="P85" s="70" t="str"/>
      <x:c r="Q85" s="70" t="str">
        <x:f>IF(OR(H85="",K85=""),"",IF(H85&gt;K85,"是","否"))</x:f>
      </x:c>
      <x:c r="R85" s="70" t="str">
        <x:v>否</x:v>
      </x:c>
      <x:c r="S85" s="70" t="str"/>
      <x:c r="T85" s="70" t="str"/>
      <x:c r="U85" s="70" t="str"/>
      <x:c r="V85" s="70" t="str">
        <x:v>否</x:v>
      </x:c>
      <x:c r="W85" s="70" t="str"/>
    </x:row>
    <x:row r="86">
      <x:c r="A86" s="70" t="str">
        <x:v>M5EV-0081</x:v>
      </x:c>
      <x:c r="B86" s="70" t="str"/>
      <x:c r="C86" s="70" t="str">
        <x:f>IFERROR(VLOOKUP(B86,'02_案例与预测'!$A$6:$E$65,5,FALSE),"")</x:f>
      </x:c>
      <x:c r="D86" s="70" t="str"/>
      <x:c r="E86" s="70" t="str"/>
      <x:c r="F86" s="70" t="str"/>
      <x:c r="G86" s="70" t="str"/>
      <x:c r="H86" s="70" t="str"/>
      <x:c r="I86" s="70" t="str"/>
      <x:c r="J86" s="70" t="str"/>
      <x:c r="K86" s="70" t="str"/>
      <x:c r="L86" s="70" t="str"/>
      <x:c r="M86" s="70" t="str">
        <x:f>IF(L86="完全支持",1,IF(L86="基本支持",0.75,IF(L86="部分支持",0.5,IF(L86="相邻但不同",0.25,IF(L86="反例",0,"")))))</x:f>
      </x:c>
      <x:c r="N86" s="70" t="str"/>
      <x:c r="O86" s="70" t="str"/>
      <x:c r="P86" s="70" t="str"/>
      <x:c r="Q86" s="70" t="str">
        <x:f>IF(OR(H86="",K86=""),"",IF(H86&gt;K86,"是","否"))</x:f>
      </x:c>
      <x:c r="R86" s="70" t="str">
        <x:v>否</x:v>
      </x:c>
      <x:c r="S86" s="70" t="str"/>
      <x:c r="T86" s="70" t="str"/>
      <x:c r="U86" s="70" t="str"/>
      <x:c r="V86" s="70" t="str">
        <x:v>否</x:v>
      </x:c>
      <x:c r="W86" s="70" t="str"/>
    </x:row>
    <x:row r="87">
      <x:c r="A87" s="70" t="str">
        <x:v>M5EV-0082</x:v>
      </x:c>
      <x:c r="B87" s="70" t="str"/>
      <x:c r="C87" s="70" t="str">
        <x:f>IFERROR(VLOOKUP(B87,'02_案例与预测'!$A$6:$E$65,5,FALSE),"")</x:f>
      </x:c>
      <x:c r="D87" s="70" t="str"/>
      <x:c r="E87" s="70" t="str"/>
      <x:c r="F87" s="70" t="str"/>
      <x:c r="G87" s="70" t="str"/>
      <x:c r="H87" s="70" t="str"/>
      <x:c r="I87" s="70" t="str"/>
      <x:c r="J87" s="70" t="str"/>
      <x:c r="K87" s="70" t="str"/>
      <x:c r="L87" s="70" t="str"/>
      <x:c r="M87" s="70" t="str">
        <x:f>IF(L87="完全支持",1,IF(L87="基本支持",0.75,IF(L87="部分支持",0.5,IF(L87="相邻但不同",0.25,IF(L87="反例",0,"")))))</x:f>
      </x:c>
      <x:c r="N87" s="70" t="str"/>
      <x:c r="O87" s="70" t="str"/>
      <x:c r="P87" s="70" t="str"/>
      <x:c r="Q87" s="70" t="str">
        <x:f>IF(OR(H87="",K87=""),"",IF(H87&gt;K87,"是","否"))</x:f>
      </x:c>
      <x:c r="R87" s="70" t="str">
        <x:v>否</x:v>
      </x:c>
      <x:c r="S87" s="70" t="str"/>
      <x:c r="T87" s="70" t="str"/>
      <x:c r="U87" s="70" t="str"/>
      <x:c r="V87" s="70" t="str">
        <x:v>否</x:v>
      </x:c>
      <x:c r="W87" s="70" t="str"/>
    </x:row>
    <x:row r="88">
      <x:c r="A88" s="70" t="str">
        <x:v>M5EV-0083</x:v>
      </x:c>
      <x:c r="B88" s="70" t="str"/>
      <x:c r="C88" s="70" t="str">
        <x:f>IFERROR(VLOOKUP(B88,'02_案例与预测'!$A$6:$E$65,5,FALSE),"")</x:f>
      </x:c>
      <x:c r="D88" s="70" t="str"/>
      <x:c r="E88" s="70" t="str"/>
      <x:c r="F88" s="70" t="str"/>
      <x:c r="G88" s="70" t="str"/>
      <x:c r="H88" s="70" t="str"/>
      <x:c r="I88" s="70" t="str"/>
      <x:c r="J88" s="70" t="str"/>
      <x:c r="K88" s="70" t="str"/>
      <x:c r="L88" s="70" t="str"/>
      <x:c r="M88" s="70" t="str">
        <x:f>IF(L88="完全支持",1,IF(L88="基本支持",0.75,IF(L88="部分支持",0.5,IF(L88="相邻但不同",0.25,IF(L88="反例",0,"")))))</x:f>
      </x:c>
      <x:c r="N88" s="70" t="str"/>
      <x:c r="O88" s="70" t="str"/>
      <x:c r="P88" s="70" t="str"/>
      <x:c r="Q88" s="70" t="str">
        <x:f>IF(OR(H88="",K88=""),"",IF(H88&gt;K88,"是","否"))</x:f>
      </x:c>
      <x:c r="R88" s="70" t="str">
        <x:v>否</x:v>
      </x:c>
      <x:c r="S88" s="70" t="str"/>
      <x:c r="T88" s="70" t="str"/>
      <x:c r="U88" s="70" t="str"/>
      <x:c r="V88" s="70" t="str">
        <x:v>否</x:v>
      </x:c>
      <x:c r="W88" s="70" t="str"/>
    </x:row>
    <x:row r="89">
      <x:c r="A89" s="70" t="str">
        <x:v>M5EV-0084</x:v>
      </x:c>
      <x:c r="B89" s="70" t="str"/>
      <x:c r="C89" s="70" t="str">
        <x:f>IFERROR(VLOOKUP(B89,'02_案例与预测'!$A$6:$E$65,5,FALSE),"")</x:f>
      </x:c>
      <x:c r="D89" s="70" t="str"/>
      <x:c r="E89" s="70" t="str"/>
      <x:c r="F89" s="70" t="str"/>
      <x:c r="G89" s="70" t="str"/>
      <x:c r="H89" s="70" t="str"/>
      <x:c r="I89" s="70" t="str"/>
      <x:c r="J89" s="70" t="str"/>
      <x:c r="K89" s="70" t="str"/>
      <x:c r="L89" s="70" t="str"/>
      <x:c r="M89" s="70" t="str">
        <x:f>IF(L89="完全支持",1,IF(L89="基本支持",0.75,IF(L89="部分支持",0.5,IF(L89="相邻但不同",0.25,IF(L89="反例",0,"")))))</x:f>
      </x:c>
      <x:c r="N89" s="70" t="str"/>
      <x:c r="O89" s="70" t="str"/>
      <x:c r="P89" s="70" t="str"/>
      <x:c r="Q89" s="70" t="str">
        <x:f>IF(OR(H89="",K89=""),"",IF(H89&gt;K89,"是","否"))</x:f>
      </x:c>
      <x:c r="R89" s="70" t="str">
        <x:v>否</x:v>
      </x:c>
      <x:c r="S89" s="70" t="str"/>
      <x:c r="T89" s="70" t="str"/>
      <x:c r="U89" s="70" t="str"/>
      <x:c r="V89" s="70" t="str">
        <x:v>否</x:v>
      </x:c>
      <x:c r="W89" s="70" t="str"/>
    </x:row>
    <x:row r="90">
      <x:c r="A90" s="70" t="str">
        <x:v>M5EV-0085</x:v>
      </x:c>
      <x:c r="B90" s="70" t="str"/>
      <x:c r="C90" s="70" t="str">
        <x:f>IFERROR(VLOOKUP(B90,'02_案例与预测'!$A$6:$E$65,5,FALSE),"")</x:f>
      </x:c>
      <x:c r="D90" s="70" t="str"/>
      <x:c r="E90" s="70" t="str"/>
      <x:c r="F90" s="70" t="str"/>
      <x:c r="G90" s="70" t="str"/>
      <x:c r="H90" s="70" t="str"/>
      <x:c r="I90" s="70" t="str"/>
      <x:c r="J90" s="70" t="str"/>
      <x:c r="K90" s="70" t="str"/>
      <x:c r="L90" s="70" t="str"/>
      <x:c r="M90" s="70" t="str">
        <x:f>IF(L90="完全支持",1,IF(L90="基本支持",0.75,IF(L90="部分支持",0.5,IF(L90="相邻但不同",0.25,IF(L90="反例",0,"")))))</x:f>
      </x:c>
      <x:c r="N90" s="70" t="str"/>
      <x:c r="O90" s="70" t="str"/>
      <x:c r="P90" s="70" t="str"/>
      <x:c r="Q90" s="70" t="str">
        <x:f>IF(OR(H90="",K90=""),"",IF(H90&gt;K90,"是","否"))</x:f>
      </x:c>
      <x:c r="R90" s="70" t="str">
        <x:v>否</x:v>
      </x:c>
      <x:c r="S90" s="70" t="str"/>
      <x:c r="T90" s="70" t="str"/>
      <x:c r="U90" s="70" t="str"/>
      <x:c r="V90" s="70" t="str">
        <x:v>否</x:v>
      </x:c>
      <x:c r="W90" s="70" t="str"/>
    </x:row>
    <x:row r="91">
      <x:c r="A91" s="70" t="str">
        <x:v>M5EV-0086</x:v>
      </x:c>
      <x:c r="B91" s="70" t="str"/>
      <x:c r="C91" s="70" t="str">
        <x:f>IFERROR(VLOOKUP(B91,'02_案例与预测'!$A$6:$E$65,5,FALSE),"")</x:f>
      </x:c>
      <x:c r="D91" s="70" t="str"/>
      <x:c r="E91" s="70" t="str"/>
      <x:c r="F91" s="70" t="str"/>
      <x:c r="G91" s="70" t="str"/>
      <x:c r="H91" s="70" t="str"/>
      <x:c r="I91" s="70" t="str"/>
      <x:c r="J91" s="70" t="str"/>
      <x:c r="K91" s="70" t="str"/>
      <x:c r="L91" s="70" t="str"/>
      <x:c r="M91" s="70" t="str">
        <x:f>IF(L91="完全支持",1,IF(L91="基本支持",0.75,IF(L91="部分支持",0.5,IF(L91="相邻但不同",0.25,IF(L91="反例",0,"")))))</x:f>
      </x:c>
      <x:c r="N91" s="70" t="str"/>
      <x:c r="O91" s="70" t="str"/>
      <x:c r="P91" s="70" t="str"/>
      <x:c r="Q91" s="70" t="str">
        <x:f>IF(OR(H91="",K91=""),"",IF(H91&gt;K91,"是","否"))</x:f>
      </x:c>
      <x:c r="R91" s="70" t="str">
        <x:v>否</x:v>
      </x:c>
      <x:c r="S91" s="70" t="str"/>
      <x:c r="T91" s="70" t="str"/>
      <x:c r="U91" s="70" t="str"/>
      <x:c r="V91" s="70" t="str">
        <x:v>否</x:v>
      </x:c>
      <x:c r="W91" s="70" t="str"/>
    </x:row>
    <x:row r="92">
      <x:c r="A92" s="70" t="str">
        <x:v>M5EV-0087</x:v>
      </x:c>
      <x:c r="B92" s="70" t="str"/>
      <x:c r="C92" s="70" t="str">
        <x:f>IFERROR(VLOOKUP(B92,'02_案例与预测'!$A$6:$E$65,5,FALSE),"")</x:f>
      </x:c>
      <x:c r="D92" s="70" t="str"/>
      <x:c r="E92" s="70" t="str"/>
      <x:c r="F92" s="70" t="str"/>
      <x:c r="G92" s="70" t="str"/>
      <x:c r="H92" s="70" t="str"/>
      <x:c r="I92" s="70" t="str"/>
      <x:c r="J92" s="70" t="str"/>
      <x:c r="K92" s="70" t="str"/>
      <x:c r="L92" s="70" t="str"/>
      <x:c r="M92" s="70" t="str">
        <x:f>IF(L92="完全支持",1,IF(L92="基本支持",0.75,IF(L92="部分支持",0.5,IF(L92="相邻但不同",0.25,IF(L92="反例",0,"")))))</x:f>
      </x:c>
      <x:c r="N92" s="70" t="str"/>
      <x:c r="O92" s="70" t="str"/>
      <x:c r="P92" s="70" t="str"/>
      <x:c r="Q92" s="70" t="str">
        <x:f>IF(OR(H92="",K92=""),"",IF(H92&gt;K92,"是","否"))</x:f>
      </x:c>
      <x:c r="R92" s="70" t="str">
        <x:v>否</x:v>
      </x:c>
      <x:c r="S92" s="70" t="str"/>
      <x:c r="T92" s="70" t="str"/>
      <x:c r="U92" s="70" t="str"/>
      <x:c r="V92" s="70" t="str">
        <x:v>否</x:v>
      </x:c>
      <x:c r="W92" s="70" t="str"/>
    </x:row>
    <x:row r="93">
      <x:c r="A93" s="70" t="str">
        <x:v>M5EV-0088</x:v>
      </x:c>
      <x:c r="B93" s="70" t="str"/>
      <x:c r="C93" s="70" t="str">
        <x:f>IFERROR(VLOOKUP(B93,'02_案例与预测'!$A$6:$E$65,5,FALSE),"")</x:f>
      </x:c>
      <x:c r="D93" s="70" t="str"/>
      <x:c r="E93" s="70" t="str"/>
      <x:c r="F93" s="70" t="str"/>
      <x:c r="G93" s="70" t="str"/>
      <x:c r="H93" s="70" t="str"/>
      <x:c r="I93" s="70" t="str"/>
      <x:c r="J93" s="70" t="str"/>
      <x:c r="K93" s="70" t="str"/>
      <x:c r="L93" s="70" t="str"/>
      <x:c r="M93" s="70" t="str">
        <x:f>IF(L93="完全支持",1,IF(L93="基本支持",0.75,IF(L93="部分支持",0.5,IF(L93="相邻但不同",0.25,IF(L93="反例",0,"")))))</x:f>
      </x:c>
      <x:c r="N93" s="70" t="str"/>
      <x:c r="O93" s="70" t="str"/>
      <x:c r="P93" s="70" t="str"/>
      <x:c r="Q93" s="70" t="str">
        <x:f>IF(OR(H93="",K93=""),"",IF(H93&gt;K93,"是","否"))</x:f>
      </x:c>
      <x:c r="R93" s="70" t="str">
        <x:v>否</x:v>
      </x:c>
      <x:c r="S93" s="70" t="str"/>
      <x:c r="T93" s="70" t="str"/>
      <x:c r="U93" s="70" t="str"/>
      <x:c r="V93" s="70" t="str">
        <x:v>否</x:v>
      </x:c>
      <x:c r="W93" s="70" t="str"/>
    </x:row>
    <x:row r="94">
      <x:c r="A94" s="70" t="str">
        <x:v>M5EV-0089</x:v>
      </x:c>
      <x:c r="B94" s="70" t="str"/>
      <x:c r="C94" s="70" t="str">
        <x:f>IFERROR(VLOOKUP(B94,'02_案例与预测'!$A$6:$E$65,5,FALSE),"")</x:f>
      </x:c>
      <x:c r="D94" s="70" t="str"/>
      <x:c r="E94" s="70" t="str"/>
      <x:c r="F94" s="70" t="str"/>
      <x:c r="G94" s="70" t="str"/>
      <x:c r="H94" s="70" t="str"/>
      <x:c r="I94" s="70" t="str"/>
      <x:c r="J94" s="70" t="str"/>
      <x:c r="K94" s="70" t="str"/>
      <x:c r="L94" s="70" t="str"/>
      <x:c r="M94" s="70" t="str">
        <x:f>IF(L94="完全支持",1,IF(L94="基本支持",0.75,IF(L94="部分支持",0.5,IF(L94="相邻但不同",0.25,IF(L94="反例",0,"")))))</x:f>
      </x:c>
      <x:c r="N94" s="70" t="str"/>
      <x:c r="O94" s="70" t="str"/>
      <x:c r="P94" s="70" t="str"/>
      <x:c r="Q94" s="70" t="str">
        <x:f>IF(OR(H94="",K94=""),"",IF(H94&gt;K94,"是","否"))</x:f>
      </x:c>
      <x:c r="R94" s="70" t="str">
        <x:v>否</x:v>
      </x:c>
      <x:c r="S94" s="70" t="str"/>
      <x:c r="T94" s="70" t="str"/>
      <x:c r="U94" s="70" t="str"/>
      <x:c r="V94" s="70" t="str">
        <x:v>否</x:v>
      </x:c>
      <x:c r="W94" s="70" t="str"/>
    </x:row>
    <x:row r="95">
      <x:c r="A95" s="70" t="str">
        <x:v>M5EV-0090</x:v>
      </x:c>
      <x:c r="B95" s="70" t="str"/>
      <x:c r="C95" s="70" t="str">
        <x:f>IFERROR(VLOOKUP(B95,'02_案例与预测'!$A$6:$E$65,5,FALSE),"")</x:f>
      </x:c>
      <x:c r="D95" s="70" t="str"/>
      <x:c r="E95" s="70" t="str"/>
      <x:c r="F95" s="70" t="str"/>
      <x:c r="G95" s="70" t="str"/>
      <x:c r="H95" s="70" t="str"/>
      <x:c r="I95" s="70" t="str"/>
      <x:c r="J95" s="70" t="str"/>
      <x:c r="K95" s="70" t="str"/>
      <x:c r="L95" s="70" t="str"/>
      <x:c r="M95" s="70" t="str">
        <x:f>IF(L95="完全支持",1,IF(L95="基本支持",0.75,IF(L95="部分支持",0.5,IF(L95="相邻但不同",0.25,IF(L95="反例",0,"")))))</x:f>
      </x:c>
      <x:c r="N95" s="70" t="str"/>
      <x:c r="O95" s="70" t="str"/>
      <x:c r="P95" s="70" t="str"/>
      <x:c r="Q95" s="70" t="str">
        <x:f>IF(OR(H95="",K95=""),"",IF(H95&gt;K95,"是","否"))</x:f>
      </x:c>
      <x:c r="R95" s="70" t="str">
        <x:v>否</x:v>
      </x:c>
      <x:c r="S95" s="70" t="str"/>
      <x:c r="T95" s="70" t="str"/>
      <x:c r="U95" s="70" t="str"/>
      <x:c r="V95" s="70" t="str">
        <x:v>否</x:v>
      </x:c>
      <x:c r="W95" s="70" t="str"/>
    </x:row>
    <x:row r="96">
      <x:c r="A96" s="70" t="str">
        <x:v>M5EV-0091</x:v>
      </x:c>
      <x:c r="B96" s="70" t="str"/>
      <x:c r="C96" s="70" t="str">
        <x:f>IFERROR(VLOOKUP(B96,'02_案例与预测'!$A$6:$E$65,5,FALSE),"")</x:f>
      </x:c>
      <x:c r="D96" s="70" t="str"/>
      <x:c r="E96" s="70" t="str"/>
      <x:c r="F96" s="70" t="str"/>
      <x:c r="G96" s="70" t="str"/>
      <x:c r="H96" s="70" t="str"/>
      <x:c r="I96" s="70" t="str"/>
      <x:c r="J96" s="70" t="str"/>
      <x:c r="K96" s="70" t="str"/>
      <x:c r="L96" s="70" t="str"/>
      <x:c r="M96" s="70" t="str">
        <x:f>IF(L96="完全支持",1,IF(L96="基本支持",0.75,IF(L96="部分支持",0.5,IF(L96="相邻但不同",0.25,IF(L96="反例",0,"")))))</x:f>
      </x:c>
      <x:c r="N96" s="70" t="str"/>
      <x:c r="O96" s="70" t="str"/>
      <x:c r="P96" s="70" t="str"/>
      <x:c r="Q96" s="70" t="str">
        <x:f>IF(OR(H96="",K96=""),"",IF(H96&gt;K96,"是","否"))</x:f>
      </x:c>
      <x:c r="R96" s="70" t="str">
        <x:v>否</x:v>
      </x:c>
      <x:c r="S96" s="70" t="str"/>
      <x:c r="T96" s="70" t="str"/>
      <x:c r="U96" s="70" t="str"/>
      <x:c r="V96" s="70" t="str">
        <x:v>否</x:v>
      </x:c>
      <x:c r="W96" s="70" t="str"/>
    </x:row>
    <x:row r="97">
      <x:c r="A97" s="70" t="str">
        <x:v>M5EV-0092</x:v>
      </x:c>
      <x:c r="B97" s="70" t="str"/>
      <x:c r="C97" s="70" t="str">
        <x:f>IFERROR(VLOOKUP(B97,'02_案例与预测'!$A$6:$E$65,5,FALSE),"")</x:f>
      </x:c>
      <x:c r="D97" s="70" t="str"/>
      <x:c r="E97" s="70" t="str"/>
      <x:c r="F97" s="70" t="str"/>
      <x:c r="G97" s="70" t="str"/>
      <x:c r="H97" s="70" t="str"/>
      <x:c r="I97" s="70" t="str"/>
      <x:c r="J97" s="70" t="str"/>
      <x:c r="K97" s="70" t="str"/>
      <x:c r="L97" s="70" t="str"/>
      <x:c r="M97" s="70" t="str">
        <x:f>IF(L97="完全支持",1,IF(L97="基本支持",0.75,IF(L97="部分支持",0.5,IF(L97="相邻但不同",0.25,IF(L97="反例",0,"")))))</x:f>
      </x:c>
      <x:c r="N97" s="70" t="str"/>
      <x:c r="O97" s="70" t="str"/>
      <x:c r="P97" s="70" t="str"/>
      <x:c r="Q97" s="70" t="str">
        <x:f>IF(OR(H97="",K97=""),"",IF(H97&gt;K97,"是","否"))</x:f>
      </x:c>
      <x:c r="R97" s="70" t="str">
        <x:v>否</x:v>
      </x:c>
      <x:c r="S97" s="70" t="str"/>
      <x:c r="T97" s="70" t="str"/>
      <x:c r="U97" s="70" t="str"/>
      <x:c r="V97" s="70" t="str">
        <x:v>否</x:v>
      </x:c>
      <x:c r="W97" s="70" t="str"/>
    </x:row>
    <x:row r="98">
      <x:c r="A98" s="70" t="str">
        <x:v>M5EV-0093</x:v>
      </x:c>
      <x:c r="B98" s="70" t="str"/>
      <x:c r="C98" s="70" t="str">
        <x:f>IFERROR(VLOOKUP(B98,'02_案例与预测'!$A$6:$E$65,5,FALSE),"")</x:f>
      </x:c>
      <x:c r="D98" s="70" t="str"/>
      <x:c r="E98" s="70" t="str"/>
      <x:c r="F98" s="70" t="str"/>
      <x:c r="G98" s="70" t="str"/>
      <x:c r="H98" s="70" t="str"/>
      <x:c r="I98" s="70" t="str"/>
      <x:c r="J98" s="70" t="str"/>
      <x:c r="K98" s="70" t="str"/>
      <x:c r="L98" s="70" t="str"/>
      <x:c r="M98" s="70" t="str">
        <x:f>IF(L98="完全支持",1,IF(L98="基本支持",0.75,IF(L98="部分支持",0.5,IF(L98="相邻但不同",0.25,IF(L98="反例",0,"")))))</x:f>
      </x:c>
      <x:c r="N98" s="70" t="str"/>
      <x:c r="O98" s="70" t="str"/>
      <x:c r="P98" s="70" t="str"/>
      <x:c r="Q98" s="70" t="str">
        <x:f>IF(OR(H98="",K98=""),"",IF(H98&gt;K98,"是","否"))</x:f>
      </x:c>
      <x:c r="R98" s="70" t="str">
        <x:v>否</x:v>
      </x:c>
      <x:c r="S98" s="70" t="str"/>
      <x:c r="T98" s="70" t="str"/>
      <x:c r="U98" s="70" t="str"/>
      <x:c r="V98" s="70" t="str">
        <x:v>否</x:v>
      </x:c>
      <x:c r="W98" s="70" t="str"/>
    </x:row>
    <x:row r="99">
      <x:c r="A99" s="70" t="str">
        <x:v>M5EV-0094</x:v>
      </x:c>
      <x:c r="B99" s="70" t="str"/>
      <x:c r="C99" s="70" t="str">
        <x:f>IFERROR(VLOOKUP(B99,'02_案例与预测'!$A$6:$E$65,5,FALSE),"")</x:f>
      </x:c>
      <x:c r="D99" s="70" t="str"/>
      <x:c r="E99" s="70" t="str"/>
      <x:c r="F99" s="70" t="str"/>
      <x:c r="G99" s="70" t="str"/>
      <x:c r="H99" s="70" t="str"/>
      <x:c r="I99" s="70" t="str"/>
      <x:c r="J99" s="70" t="str"/>
      <x:c r="K99" s="70" t="str"/>
      <x:c r="L99" s="70" t="str"/>
      <x:c r="M99" s="70" t="str">
        <x:f>IF(L99="完全支持",1,IF(L99="基本支持",0.75,IF(L99="部分支持",0.5,IF(L99="相邻但不同",0.25,IF(L99="反例",0,"")))))</x:f>
      </x:c>
      <x:c r="N99" s="70" t="str"/>
      <x:c r="O99" s="70" t="str"/>
      <x:c r="P99" s="70" t="str"/>
      <x:c r="Q99" s="70" t="str">
        <x:f>IF(OR(H99="",K99=""),"",IF(H99&gt;K99,"是","否"))</x:f>
      </x:c>
      <x:c r="R99" s="70" t="str">
        <x:v>否</x:v>
      </x:c>
      <x:c r="S99" s="70" t="str"/>
      <x:c r="T99" s="70" t="str"/>
      <x:c r="U99" s="70" t="str"/>
      <x:c r="V99" s="70" t="str">
        <x:v>否</x:v>
      </x:c>
      <x:c r="W99" s="70" t="str"/>
    </x:row>
    <x:row r="100">
      <x:c r="A100" s="70" t="str">
        <x:v>M5EV-0095</x:v>
      </x:c>
      <x:c r="B100" s="70" t="str"/>
      <x:c r="C100" s="70" t="str">
        <x:f>IFERROR(VLOOKUP(B100,'02_案例与预测'!$A$6:$E$65,5,FALSE),"")</x:f>
      </x:c>
      <x:c r="D100" s="70" t="str"/>
      <x:c r="E100" s="70" t="str"/>
      <x:c r="F100" s="70" t="str"/>
      <x:c r="G100" s="70" t="str"/>
      <x:c r="H100" s="70" t="str"/>
      <x:c r="I100" s="70" t="str"/>
      <x:c r="J100" s="70" t="str"/>
      <x:c r="K100" s="70" t="str"/>
      <x:c r="L100" s="70" t="str"/>
      <x:c r="M100" s="70" t="str">
        <x:f>IF(L100="完全支持",1,IF(L100="基本支持",0.75,IF(L100="部分支持",0.5,IF(L100="相邻但不同",0.25,IF(L100="反例",0,"")))))</x:f>
      </x:c>
      <x:c r="N100" s="70" t="str"/>
      <x:c r="O100" s="70" t="str"/>
      <x:c r="P100" s="70" t="str"/>
      <x:c r="Q100" s="70" t="str">
        <x:f>IF(OR(H100="",K100=""),"",IF(H100&gt;K100,"是","否"))</x:f>
      </x:c>
      <x:c r="R100" s="70" t="str">
        <x:v>否</x:v>
      </x:c>
      <x:c r="S100" s="70" t="str"/>
      <x:c r="T100" s="70" t="str"/>
      <x:c r="U100" s="70" t="str"/>
      <x:c r="V100" s="70" t="str">
        <x:v>否</x:v>
      </x:c>
      <x:c r="W100" s="70" t="str"/>
    </x:row>
    <x:row r="101">
      <x:c r="A101" s="70" t="str">
        <x:v>M5EV-0096</x:v>
      </x:c>
      <x:c r="B101" s="70" t="str"/>
      <x:c r="C101" s="70" t="str">
        <x:f>IFERROR(VLOOKUP(B101,'02_案例与预测'!$A$6:$E$65,5,FALSE),"")</x:f>
      </x:c>
      <x:c r="D101" s="70" t="str"/>
      <x:c r="E101" s="70" t="str"/>
      <x:c r="F101" s="70" t="str"/>
      <x:c r="G101" s="70" t="str"/>
      <x:c r="H101" s="70" t="str"/>
      <x:c r="I101" s="70" t="str"/>
      <x:c r="J101" s="70" t="str"/>
      <x:c r="K101" s="70" t="str"/>
      <x:c r="L101" s="70" t="str"/>
      <x:c r="M101" s="70" t="str">
        <x:f>IF(L101="完全支持",1,IF(L101="基本支持",0.75,IF(L101="部分支持",0.5,IF(L101="相邻但不同",0.25,IF(L101="反例",0,"")))))</x:f>
      </x:c>
      <x:c r="N101" s="70" t="str"/>
      <x:c r="O101" s="70" t="str"/>
      <x:c r="P101" s="70" t="str"/>
      <x:c r="Q101" s="70" t="str">
        <x:f>IF(OR(H101="",K101=""),"",IF(H101&gt;K101,"是","否"))</x:f>
      </x:c>
      <x:c r="R101" s="70" t="str">
        <x:v>否</x:v>
      </x:c>
      <x:c r="S101" s="70" t="str"/>
      <x:c r="T101" s="70" t="str"/>
      <x:c r="U101" s="70" t="str"/>
      <x:c r="V101" s="70" t="str">
        <x:v>否</x:v>
      </x:c>
      <x:c r="W101" s="70" t="str"/>
    </x:row>
    <x:row r="102">
      <x:c r="A102" s="70" t="str">
        <x:v>M5EV-0097</x:v>
      </x:c>
      <x:c r="B102" s="70" t="str"/>
      <x:c r="C102" s="70" t="str">
        <x:f>IFERROR(VLOOKUP(B102,'02_案例与预测'!$A$6:$E$65,5,FALSE),"")</x:f>
      </x:c>
      <x:c r="D102" s="70" t="str"/>
      <x:c r="E102" s="70" t="str"/>
      <x:c r="F102" s="70" t="str"/>
      <x:c r="G102" s="70" t="str"/>
      <x:c r="H102" s="70" t="str"/>
      <x:c r="I102" s="70" t="str"/>
      <x:c r="J102" s="70" t="str"/>
      <x:c r="K102" s="70" t="str"/>
      <x:c r="L102" s="70" t="str"/>
      <x:c r="M102" s="70" t="str">
        <x:f>IF(L102="完全支持",1,IF(L102="基本支持",0.75,IF(L102="部分支持",0.5,IF(L102="相邻但不同",0.25,IF(L102="反例",0,"")))))</x:f>
      </x:c>
      <x:c r="N102" s="70" t="str"/>
      <x:c r="O102" s="70" t="str"/>
      <x:c r="P102" s="70" t="str"/>
      <x:c r="Q102" s="70" t="str">
        <x:f>IF(OR(H102="",K102=""),"",IF(H102&gt;K102,"是","否"))</x:f>
      </x:c>
      <x:c r="R102" s="70" t="str">
        <x:v>否</x:v>
      </x:c>
      <x:c r="S102" s="70" t="str"/>
      <x:c r="T102" s="70" t="str"/>
      <x:c r="U102" s="70" t="str"/>
      <x:c r="V102" s="70" t="str">
        <x:v>否</x:v>
      </x:c>
      <x:c r="W102" s="70" t="str"/>
    </x:row>
    <x:row r="103">
      <x:c r="A103" s="70" t="str">
        <x:v>M5EV-0098</x:v>
      </x:c>
      <x:c r="B103" s="70" t="str"/>
      <x:c r="C103" s="70" t="str">
        <x:f>IFERROR(VLOOKUP(B103,'02_案例与预测'!$A$6:$E$65,5,FALSE),"")</x:f>
      </x:c>
      <x:c r="D103" s="70" t="str"/>
      <x:c r="E103" s="70" t="str"/>
      <x:c r="F103" s="70" t="str"/>
      <x:c r="G103" s="70" t="str"/>
      <x:c r="H103" s="70" t="str"/>
      <x:c r="I103" s="70" t="str"/>
      <x:c r="J103" s="70" t="str"/>
      <x:c r="K103" s="70" t="str"/>
      <x:c r="L103" s="70" t="str"/>
      <x:c r="M103" s="70" t="str">
        <x:f>IF(L103="完全支持",1,IF(L103="基本支持",0.75,IF(L103="部分支持",0.5,IF(L103="相邻但不同",0.25,IF(L103="反例",0,"")))))</x:f>
      </x:c>
      <x:c r="N103" s="70" t="str"/>
      <x:c r="O103" s="70" t="str"/>
      <x:c r="P103" s="70" t="str"/>
      <x:c r="Q103" s="70" t="str">
        <x:f>IF(OR(H103="",K103=""),"",IF(H103&gt;K103,"是","否"))</x:f>
      </x:c>
      <x:c r="R103" s="70" t="str">
        <x:v>否</x:v>
      </x:c>
      <x:c r="S103" s="70" t="str"/>
      <x:c r="T103" s="70" t="str"/>
      <x:c r="U103" s="70" t="str"/>
      <x:c r="V103" s="70" t="str">
        <x:v>否</x:v>
      </x:c>
      <x:c r="W103" s="70" t="str"/>
    </x:row>
    <x:row r="104">
      <x:c r="A104" s="70" t="str">
        <x:v>M5EV-0099</x:v>
      </x:c>
      <x:c r="B104" s="70" t="str"/>
      <x:c r="C104" s="70" t="str">
        <x:f>IFERROR(VLOOKUP(B104,'02_案例与预测'!$A$6:$E$65,5,FALSE),"")</x:f>
      </x:c>
      <x:c r="D104" s="70" t="str"/>
      <x:c r="E104" s="70" t="str"/>
      <x:c r="F104" s="70" t="str"/>
      <x:c r="G104" s="70" t="str"/>
      <x:c r="H104" s="70" t="str"/>
      <x:c r="I104" s="70" t="str"/>
      <x:c r="J104" s="70" t="str"/>
      <x:c r="K104" s="70" t="str"/>
      <x:c r="L104" s="70" t="str"/>
      <x:c r="M104" s="70" t="str">
        <x:f>IF(L104="完全支持",1,IF(L104="基本支持",0.75,IF(L104="部分支持",0.5,IF(L104="相邻但不同",0.25,IF(L104="反例",0,"")))))</x:f>
      </x:c>
      <x:c r="N104" s="70" t="str"/>
      <x:c r="O104" s="70" t="str"/>
      <x:c r="P104" s="70" t="str"/>
      <x:c r="Q104" s="70" t="str">
        <x:f>IF(OR(H104="",K104=""),"",IF(H104&gt;K104,"是","否"))</x:f>
      </x:c>
      <x:c r="R104" s="70" t="str">
        <x:v>否</x:v>
      </x:c>
      <x:c r="S104" s="70" t="str"/>
      <x:c r="T104" s="70" t="str"/>
      <x:c r="U104" s="70" t="str"/>
      <x:c r="V104" s="70" t="str">
        <x:v>否</x:v>
      </x:c>
      <x:c r="W104" s="70" t="str"/>
    </x:row>
    <x:row r="105">
      <x:c r="A105" s="70" t="str">
        <x:v>M5EV-0100</x:v>
      </x:c>
      <x:c r="B105" s="70" t="str"/>
      <x:c r="C105" s="70" t="str">
        <x:f>IFERROR(VLOOKUP(B105,'02_案例与预测'!$A$6:$E$65,5,FALSE),"")</x:f>
      </x:c>
      <x:c r="D105" s="70" t="str"/>
      <x:c r="E105" s="70" t="str"/>
      <x:c r="F105" s="70" t="str"/>
      <x:c r="G105" s="70" t="str"/>
      <x:c r="H105" s="70" t="str"/>
      <x:c r="I105" s="70" t="str"/>
      <x:c r="J105" s="70" t="str"/>
      <x:c r="K105" s="70" t="str"/>
      <x:c r="L105" s="70" t="str"/>
      <x:c r="M105" s="70" t="str">
        <x:f>IF(L105="完全支持",1,IF(L105="基本支持",0.75,IF(L105="部分支持",0.5,IF(L105="相邻但不同",0.25,IF(L105="反例",0,"")))))</x:f>
      </x:c>
      <x:c r="N105" s="70" t="str"/>
      <x:c r="O105" s="70" t="str"/>
      <x:c r="P105" s="70" t="str"/>
      <x:c r="Q105" s="70" t="str">
        <x:f>IF(OR(H105="",K105=""),"",IF(H105&gt;K105,"是","否"))</x:f>
      </x:c>
      <x:c r="R105" s="70" t="str">
        <x:v>否</x:v>
      </x:c>
      <x:c r="S105" s="70" t="str"/>
      <x:c r="T105" s="70" t="str"/>
      <x:c r="U105" s="70" t="str"/>
      <x:c r="V105" s="70" t="str">
        <x:v>否</x:v>
      </x:c>
      <x:c r="W105" s="70" t="str"/>
    </x:row>
    <x:row r="106">
      <x:c r="A106" s="70" t="str">
        <x:v>M5EV-0101</x:v>
      </x:c>
      <x:c r="B106" s="70" t="str"/>
      <x:c r="C106" s="70" t="str">
        <x:f>IFERROR(VLOOKUP(B106,'02_案例与预测'!$A$6:$E$65,5,FALSE),"")</x:f>
      </x:c>
      <x:c r="D106" s="70" t="str"/>
      <x:c r="E106" s="70" t="str"/>
      <x:c r="F106" s="70" t="str"/>
      <x:c r="G106" s="70" t="str"/>
      <x:c r="H106" s="70" t="str"/>
      <x:c r="I106" s="70" t="str"/>
      <x:c r="J106" s="70" t="str"/>
      <x:c r="K106" s="70" t="str"/>
      <x:c r="L106" s="70" t="str"/>
      <x:c r="M106" s="70" t="str">
        <x:f>IF(L106="完全支持",1,IF(L106="基本支持",0.75,IF(L106="部分支持",0.5,IF(L106="相邻但不同",0.25,IF(L106="反例",0,"")))))</x:f>
      </x:c>
      <x:c r="N106" s="70" t="str"/>
      <x:c r="O106" s="70" t="str"/>
      <x:c r="P106" s="70" t="str"/>
      <x:c r="Q106" s="70" t="str">
        <x:f>IF(OR(H106="",K106=""),"",IF(H106&gt;K106,"是","否"))</x:f>
      </x:c>
      <x:c r="R106" s="70" t="str">
        <x:v>否</x:v>
      </x:c>
      <x:c r="S106" s="70" t="str"/>
      <x:c r="T106" s="70" t="str"/>
      <x:c r="U106" s="70" t="str"/>
      <x:c r="V106" s="70" t="str">
        <x:v>否</x:v>
      </x:c>
      <x:c r="W106" s="70" t="str"/>
    </x:row>
    <x:row r="107">
      <x:c r="A107" s="70" t="str">
        <x:v>M5EV-0102</x:v>
      </x:c>
      <x:c r="B107" s="70" t="str"/>
      <x:c r="C107" s="70" t="str">
        <x:f>IFERROR(VLOOKUP(B107,'02_案例与预测'!$A$6:$E$65,5,FALSE),"")</x:f>
      </x:c>
      <x:c r="D107" s="70" t="str"/>
      <x:c r="E107" s="70" t="str"/>
      <x:c r="F107" s="70" t="str"/>
      <x:c r="G107" s="70" t="str"/>
      <x:c r="H107" s="70" t="str"/>
      <x:c r="I107" s="70" t="str"/>
      <x:c r="J107" s="70" t="str"/>
      <x:c r="K107" s="70" t="str"/>
      <x:c r="L107" s="70" t="str"/>
      <x:c r="M107" s="70" t="str">
        <x:f>IF(L107="完全支持",1,IF(L107="基本支持",0.75,IF(L107="部分支持",0.5,IF(L107="相邻但不同",0.25,IF(L107="反例",0,"")))))</x:f>
      </x:c>
      <x:c r="N107" s="70" t="str"/>
      <x:c r="O107" s="70" t="str"/>
      <x:c r="P107" s="70" t="str"/>
      <x:c r="Q107" s="70" t="str">
        <x:f>IF(OR(H107="",K107=""),"",IF(H107&gt;K107,"是","否"))</x:f>
      </x:c>
      <x:c r="R107" s="70" t="str">
        <x:v>否</x:v>
      </x:c>
      <x:c r="S107" s="70" t="str"/>
      <x:c r="T107" s="70" t="str"/>
      <x:c r="U107" s="70" t="str"/>
      <x:c r="V107" s="70" t="str">
        <x:v>否</x:v>
      </x:c>
      <x:c r="W107" s="70" t="str"/>
    </x:row>
    <x:row r="108">
      <x:c r="A108" s="70" t="str">
        <x:v>M5EV-0103</x:v>
      </x:c>
      <x:c r="B108" s="70" t="str"/>
      <x:c r="C108" s="70" t="str">
        <x:f>IFERROR(VLOOKUP(B108,'02_案例与预测'!$A$6:$E$65,5,FALSE),"")</x:f>
      </x:c>
      <x:c r="D108" s="70" t="str"/>
      <x:c r="E108" s="70" t="str"/>
      <x:c r="F108" s="70" t="str"/>
      <x:c r="G108" s="70" t="str"/>
      <x:c r="H108" s="70" t="str"/>
      <x:c r="I108" s="70" t="str"/>
      <x:c r="J108" s="70" t="str"/>
      <x:c r="K108" s="70" t="str"/>
      <x:c r="L108" s="70" t="str"/>
      <x:c r="M108" s="70" t="str">
        <x:f>IF(L108="完全支持",1,IF(L108="基本支持",0.75,IF(L108="部分支持",0.5,IF(L108="相邻但不同",0.25,IF(L108="反例",0,"")))))</x:f>
      </x:c>
      <x:c r="N108" s="70" t="str"/>
      <x:c r="O108" s="70" t="str"/>
      <x:c r="P108" s="70" t="str"/>
      <x:c r="Q108" s="70" t="str">
        <x:f>IF(OR(H108="",K108=""),"",IF(H108&gt;K108,"是","否"))</x:f>
      </x:c>
      <x:c r="R108" s="70" t="str">
        <x:v>否</x:v>
      </x:c>
      <x:c r="S108" s="70" t="str"/>
      <x:c r="T108" s="70" t="str"/>
      <x:c r="U108" s="70" t="str"/>
      <x:c r="V108" s="70" t="str">
        <x:v>否</x:v>
      </x:c>
      <x:c r="W108" s="70" t="str"/>
    </x:row>
    <x:row r="109">
      <x:c r="A109" s="70" t="str">
        <x:v>M5EV-0104</x:v>
      </x:c>
      <x:c r="B109" s="70" t="str"/>
      <x:c r="C109" s="70" t="str">
        <x:f>IFERROR(VLOOKUP(B109,'02_案例与预测'!$A$6:$E$65,5,FALSE),"")</x:f>
      </x:c>
      <x:c r="D109" s="70" t="str"/>
      <x:c r="E109" s="70" t="str"/>
      <x:c r="F109" s="70" t="str"/>
      <x:c r="G109" s="70" t="str"/>
      <x:c r="H109" s="70" t="str"/>
      <x:c r="I109" s="70" t="str"/>
      <x:c r="J109" s="70" t="str"/>
      <x:c r="K109" s="70" t="str"/>
      <x:c r="L109" s="70" t="str"/>
      <x:c r="M109" s="70" t="str">
        <x:f>IF(L109="完全支持",1,IF(L109="基本支持",0.75,IF(L109="部分支持",0.5,IF(L109="相邻但不同",0.25,IF(L109="反例",0,"")))))</x:f>
      </x:c>
      <x:c r="N109" s="70" t="str"/>
      <x:c r="O109" s="70" t="str"/>
      <x:c r="P109" s="70" t="str"/>
      <x:c r="Q109" s="70" t="str">
        <x:f>IF(OR(H109="",K109=""),"",IF(H109&gt;K109,"是","否"))</x:f>
      </x:c>
      <x:c r="R109" s="70" t="str">
        <x:v>否</x:v>
      </x:c>
      <x:c r="S109" s="70" t="str"/>
      <x:c r="T109" s="70" t="str"/>
      <x:c r="U109" s="70" t="str"/>
      <x:c r="V109" s="70" t="str">
        <x:v>否</x:v>
      </x:c>
      <x:c r="W109" s="70" t="str"/>
    </x:row>
    <x:row r="110">
      <x:c r="A110" s="70" t="str">
        <x:v>M5EV-0105</x:v>
      </x:c>
      <x:c r="B110" s="70" t="str"/>
      <x:c r="C110" s="70" t="str">
        <x:f>IFERROR(VLOOKUP(B110,'02_案例与预测'!$A$6:$E$65,5,FALSE),"")</x:f>
      </x:c>
      <x:c r="D110" s="70" t="str"/>
      <x:c r="E110" s="70" t="str"/>
      <x:c r="F110" s="70" t="str"/>
      <x:c r="G110" s="70" t="str"/>
      <x:c r="H110" s="70" t="str"/>
      <x:c r="I110" s="70" t="str"/>
      <x:c r="J110" s="70" t="str"/>
      <x:c r="K110" s="70" t="str"/>
      <x:c r="L110" s="70" t="str"/>
      <x:c r="M110" s="70" t="str">
        <x:f>IF(L110="完全支持",1,IF(L110="基本支持",0.75,IF(L110="部分支持",0.5,IF(L110="相邻但不同",0.25,IF(L110="反例",0,"")))))</x:f>
      </x:c>
      <x:c r="N110" s="70" t="str"/>
      <x:c r="O110" s="70" t="str"/>
      <x:c r="P110" s="70" t="str"/>
      <x:c r="Q110" s="70" t="str">
        <x:f>IF(OR(H110="",K110=""),"",IF(H110&gt;K110,"是","否"))</x:f>
      </x:c>
      <x:c r="R110" s="70" t="str">
        <x:v>否</x:v>
      </x:c>
      <x:c r="S110" s="70" t="str"/>
      <x:c r="T110" s="70" t="str"/>
      <x:c r="U110" s="70" t="str"/>
      <x:c r="V110" s="70" t="str">
        <x:v>否</x:v>
      </x:c>
      <x:c r="W110" s="70" t="str"/>
    </x:row>
    <x:row r="111">
      <x:c r="A111" s="70" t="str">
        <x:v>M5EV-0106</x:v>
      </x:c>
      <x:c r="B111" s="70" t="str"/>
      <x:c r="C111" s="70" t="str">
        <x:f>IFERROR(VLOOKUP(B111,'02_案例与预测'!$A$6:$E$65,5,FALSE),"")</x:f>
      </x:c>
      <x:c r="D111" s="70" t="str"/>
      <x:c r="E111" s="70" t="str"/>
      <x:c r="F111" s="70" t="str"/>
      <x:c r="G111" s="70" t="str"/>
      <x:c r="H111" s="70" t="str"/>
      <x:c r="I111" s="70" t="str"/>
      <x:c r="J111" s="70" t="str"/>
      <x:c r="K111" s="70" t="str"/>
      <x:c r="L111" s="70" t="str"/>
      <x:c r="M111" s="70" t="str">
        <x:f>IF(L111="完全支持",1,IF(L111="基本支持",0.75,IF(L111="部分支持",0.5,IF(L111="相邻但不同",0.25,IF(L111="反例",0,"")))))</x:f>
      </x:c>
      <x:c r="N111" s="70" t="str"/>
      <x:c r="O111" s="70" t="str"/>
      <x:c r="P111" s="70" t="str"/>
      <x:c r="Q111" s="70" t="str">
        <x:f>IF(OR(H111="",K111=""),"",IF(H111&gt;K111,"是","否"))</x:f>
      </x:c>
      <x:c r="R111" s="70" t="str">
        <x:v>否</x:v>
      </x:c>
      <x:c r="S111" s="70" t="str"/>
      <x:c r="T111" s="70" t="str"/>
      <x:c r="U111" s="70" t="str"/>
      <x:c r="V111" s="70" t="str">
        <x:v>否</x:v>
      </x:c>
      <x:c r="W111" s="70" t="str"/>
    </x:row>
    <x:row r="112">
      <x:c r="A112" s="70" t="str">
        <x:v>M5EV-0107</x:v>
      </x:c>
      <x:c r="B112" s="70" t="str"/>
      <x:c r="C112" s="70" t="str">
        <x:f>IFERROR(VLOOKUP(B112,'02_案例与预测'!$A$6:$E$65,5,FALSE),"")</x:f>
      </x:c>
      <x:c r="D112" s="70" t="str"/>
      <x:c r="E112" s="70" t="str"/>
      <x:c r="F112" s="70" t="str"/>
      <x:c r="G112" s="70" t="str"/>
      <x:c r="H112" s="70" t="str"/>
      <x:c r="I112" s="70" t="str"/>
      <x:c r="J112" s="70" t="str"/>
      <x:c r="K112" s="70" t="str"/>
      <x:c r="L112" s="70" t="str"/>
      <x:c r="M112" s="70" t="str">
        <x:f>IF(L112="完全支持",1,IF(L112="基本支持",0.75,IF(L112="部分支持",0.5,IF(L112="相邻但不同",0.25,IF(L112="反例",0,"")))))</x:f>
      </x:c>
      <x:c r="N112" s="70" t="str"/>
      <x:c r="O112" s="70" t="str"/>
      <x:c r="P112" s="70" t="str"/>
      <x:c r="Q112" s="70" t="str">
        <x:f>IF(OR(H112="",K112=""),"",IF(H112&gt;K112,"是","否"))</x:f>
      </x:c>
      <x:c r="R112" s="70" t="str">
        <x:v>否</x:v>
      </x:c>
      <x:c r="S112" s="70" t="str"/>
      <x:c r="T112" s="70" t="str"/>
      <x:c r="U112" s="70" t="str"/>
      <x:c r="V112" s="70" t="str">
        <x:v>否</x:v>
      </x:c>
      <x:c r="W112" s="70" t="str"/>
    </x:row>
    <x:row r="113">
      <x:c r="A113" s="70" t="str">
        <x:v>M5EV-0108</x:v>
      </x:c>
      <x:c r="B113" s="70" t="str"/>
      <x:c r="C113" s="70" t="str">
        <x:f>IFERROR(VLOOKUP(B113,'02_案例与预测'!$A$6:$E$65,5,FALSE),"")</x:f>
      </x:c>
      <x:c r="D113" s="70" t="str"/>
      <x:c r="E113" s="70" t="str"/>
      <x:c r="F113" s="70" t="str"/>
      <x:c r="G113" s="70" t="str"/>
      <x:c r="H113" s="70" t="str"/>
      <x:c r="I113" s="70" t="str"/>
      <x:c r="J113" s="70" t="str"/>
      <x:c r="K113" s="70" t="str"/>
      <x:c r="L113" s="70" t="str"/>
      <x:c r="M113" s="70" t="str">
        <x:f>IF(L113="完全支持",1,IF(L113="基本支持",0.75,IF(L113="部分支持",0.5,IF(L113="相邻但不同",0.25,IF(L113="反例",0,"")))))</x:f>
      </x:c>
      <x:c r="N113" s="70" t="str"/>
      <x:c r="O113" s="70" t="str"/>
      <x:c r="P113" s="70" t="str"/>
      <x:c r="Q113" s="70" t="str">
        <x:f>IF(OR(H113="",K113=""),"",IF(H113&gt;K113,"是","否"))</x:f>
      </x:c>
      <x:c r="R113" s="70" t="str">
        <x:v>否</x:v>
      </x:c>
      <x:c r="S113" s="70" t="str"/>
      <x:c r="T113" s="70" t="str"/>
      <x:c r="U113" s="70" t="str"/>
      <x:c r="V113" s="70" t="str">
        <x:v>否</x:v>
      </x:c>
      <x:c r="W113" s="70" t="str"/>
    </x:row>
    <x:row r="114">
      <x:c r="A114" s="70" t="str">
        <x:v>M5EV-0109</x:v>
      </x:c>
      <x:c r="B114" s="70" t="str"/>
      <x:c r="C114" s="70" t="str">
        <x:f>IFERROR(VLOOKUP(B114,'02_案例与预测'!$A$6:$E$65,5,FALSE),"")</x:f>
      </x:c>
      <x:c r="D114" s="70" t="str"/>
      <x:c r="E114" s="70" t="str"/>
      <x:c r="F114" s="70" t="str"/>
      <x:c r="G114" s="70" t="str"/>
      <x:c r="H114" s="70" t="str"/>
      <x:c r="I114" s="70" t="str"/>
      <x:c r="J114" s="70" t="str"/>
      <x:c r="K114" s="70" t="str"/>
      <x:c r="L114" s="70" t="str"/>
      <x:c r="M114" s="70" t="str">
        <x:f>IF(L114="完全支持",1,IF(L114="基本支持",0.75,IF(L114="部分支持",0.5,IF(L114="相邻但不同",0.25,IF(L114="反例",0,"")))))</x:f>
      </x:c>
      <x:c r="N114" s="70" t="str"/>
      <x:c r="O114" s="70" t="str"/>
      <x:c r="P114" s="70" t="str"/>
      <x:c r="Q114" s="70" t="str">
        <x:f>IF(OR(H114="",K114=""),"",IF(H114&gt;K114,"是","否"))</x:f>
      </x:c>
      <x:c r="R114" s="70" t="str">
        <x:v>否</x:v>
      </x:c>
      <x:c r="S114" s="70" t="str"/>
      <x:c r="T114" s="70" t="str"/>
      <x:c r="U114" s="70" t="str"/>
      <x:c r="V114" s="70" t="str">
        <x:v>否</x:v>
      </x:c>
      <x:c r="W114" s="70" t="str"/>
    </x:row>
    <x:row r="115">
      <x:c r="A115" s="70" t="str">
        <x:v>M5EV-0110</x:v>
      </x:c>
      <x:c r="B115" s="70" t="str"/>
      <x:c r="C115" s="70" t="str">
        <x:f>IFERROR(VLOOKUP(B115,'02_案例与预测'!$A$6:$E$65,5,FALSE),"")</x:f>
      </x:c>
      <x:c r="D115" s="70" t="str"/>
      <x:c r="E115" s="70" t="str"/>
      <x:c r="F115" s="70" t="str"/>
      <x:c r="G115" s="70" t="str"/>
      <x:c r="H115" s="70" t="str"/>
      <x:c r="I115" s="70" t="str"/>
      <x:c r="J115" s="70" t="str"/>
      <x:c r="K115" s="70" t="str"/>
      <x:c r="L115" s="70" t="str"/>
      <x:c r="M115" s="70" t="str">
        <x:f>IF(L115="完全支持",1,IF(L115="基本支持",0.75,IF(L115="部分支持",0.5,IF(L115="相邻但不同",0.25,IF(L115="反例",0,"")))))</x:f>
      </x:c>
      <x:c r="N115" s="70" t="str"/>
      <x:c r="O115" s="70" t="str"/>
      <x:c r="P115" s="70" t="str"/>
      <x:c r="Q115" s="70" t="str">
        <x:f>IF(OR(H115="",K115=""),"",IF(H115&gt;K115,"是","否"))</x:f>
      </x:c>
      <x:c r="R115" s="70" t="str">
        <x:v>否</x:v>
      </x:c>
      <x:c r="S115" s="70" t="str"/>
      <x:c r="T115" s="70" t="str"/>
      <x:c r="U115" s="70" t="str"/>
      <x:c r="V115" s="70" t="str">
        <x:v>否</x:v>
      </x:c>
      <x:c r="W115" s="70" t="str"/>
    </x:row>
    <x:row r="116">
      <x:c r="A116" s="70" t="str">
        <x:v>M5EV-0111</x:v>
      </x:c>
      <x:c r="B116" s="70" t="str"/>
      <x:c r="C116" s="70" t="str">
        <x:f>IFERROR(VLOOKUP(B116,'02_案例与预测'!$A$6:$E$65,5,FALSE),"")</x:f>
      </x:c>
      <x:c r="D116" s="70" t="str"/>
      <x:c r="E116" s="70" t="str"/>
      <x:c r="F116" s="70" t="str"/>
      <x:c r="G116" s="70" t="str"/>
      <x:c r="H116" s="70" t="str"/>
      <x:c r="I116" s="70" t="str"/>
      <x:c r="J116" s="70" t="str"/>
      <x:c r="K116" s="70" t="str"/>
      <x:c r="L116" s="70" t="str"/>
      <x:c r="M116" s="70" t="str">
        <x:f>IF(L116="完全支持",1,IF(L116="基本支持",0.75,IF(L116="部分支持",0.5,IF(L116="相邻但不同",0.25,IF(L116="反例",0,"")))))</x:f>
      </x:c>
      <x:c r="N116" s="70" t="str"/>
      <x:c r="O116" s="70" t="str"/>
      <x:c r="P116" s="70" t="str"/>
      <x:c r="Q116" s="70" t="str">
        <x:f>IF(OR(H116="",K116=""),"",IF(H116&gt;K116,"是","否"))</x:f>
      </x:c>
      <x:c r="R116" s="70" t="str">
        <x:v>否</x:v>
      </x:c>
      <x:c r="S116" s="70" t="str"/>
      <x:c r="T116" s="70" t="str"/>
      <x:c r="U116" s="70" t="str"/>
      <x:c r="V116" s="70" t="str">
        <x:v>否</x:v>
      </x:c>
      <x:c r="W116" s="70" t="str"/>
    </x:row>
    <x:row r="117">
      <x:c r="A117" s="70" t="str">
        <x:v>M5EV-0112</x:v>
      </x:c>
      <x:c r="B117" s="70" t="str"/>
      <x:c r="C117" s="70" t="str">
        <x:f>IFERROR(VLOOKUP(B117,'02_案例与预测'!$A$6:$E$65,5,FALSE),"")</x:f>
      </x:c>
      <x:c r="D117" s="70" t="str"/>
      <x:c r="E117" s="70" t="str"/>
      <x:c r="F117" s="70" t="str"/>
      <x:c r="G117" s="70" t="str"/>
      <x:c r="H117" s="70" t="str"/>
      <x:c r="I117" s="70" t="str"/>
      <x:c r="J117" s="70" t="str"/>
      <x:c r="K117" s="70" t="str"/>
      <x:c r="L117" s="70" t="str"/>
      <x:c r="M117" s="70" t="str">
        <x:f>IF(L117="完全支持",1,IF(L117="基本支持",0.75,IF(L117="部分支持",0.5,IF(L117="相邻但不同",0.25,IF(L117="反例",0,"")))))</x:f>
      </x:c>
      <x:c r="N117" s="70" t="str"/>
      <x:c r="O117" s="70" t="str"/>
      <x:c r="P117" s="70" t="str"/>
      <x:c r="Q117" s="70" t="str">
        <x:f>IF(OR(H117="",K117=""),"",IF(H117&gt;K117,"是","否"))</x:f>
      </x:c>
      <x:c r="R117" s="70" t="str">
        <x:v>否</x:v>
      </x:c>
      <x:c r="S117" s="70" t="str"/>
      <x:c r="T117" s="70" t="str"/>
      <x:c r="U117" s="70" t="str"/>
      <x:c r="V117" s="70" t="str">
        <x:v>否</x:v>
      </x:c>
      <x:c r="W117" s="70" t="str"/>
    </x:row>
    <x:row r="118">
      <x:c r="A118" s="70" t="str">
        <x:v>M5EV-0113</x:v>
      </x:c>
      <x:c r="B118" s="70" t="str"/>
      <x:c r="C118" s="70" t="str">
        <x:f>IFERROR(VLOOKUP(B118,'02_案例与预测'!$A$6:$E$65,5,FALSE),"")</x:f>
      </x:c>
      <x:c r="D118" s="70" t="str"/>
      <x:c r="E118" s="70" t="str"/>
      <x:c r="F118" s="70" t="str"/>
      <x:c r="G118" s="70" t="str"/>
      <x:c r="H118" s="70" t="str"/>
      <x:c r="I118" s="70" t="str"/>
      <x:c r="J118" s="70" t="str"/>
      <x:c r="K118" s="70" t="str"/>
      <x:c r="L118" s="70" t="str"/>
      <x:c r="M118" s="70" t="str">
        <x:f>IF(L118="完全支持",1,IF(L118="基本支持",0.75,IF(L118="部分支持",0.5,IF(L118="相邻但不同",0.25,IF(L118="反例",0,"")))))</x:f>
      </x:c>
      <x:c r="N118" s="70" t="str"/>
      <x:c r="O118" s="70" t="str"/>
      <x:c r="P118" s="70" t="str"/>
      <x:c r="Q118" s="70" t="str">
        <x:f>IF(OR(H118="",K118=""),"",IF(H118&gt;K118,"是","否"))</x:f>
      </x:c>
      <x:c r="R118" s="70" t="str">
        <x:v>否</x:v>
      </x:c>
      <x:c r="S118" s="70" t="str"/>
      <x:c r="T118" s="70" t="str"/>
      <x:c r="U118" s="70" t="str"/>
      <x:c r="V118" s="70" t="str">
        <x:v>否</x:v>
      </x:c>
      <x:c r="W118" s="70" t="str"/>
    </x:row>
    <x:row r="119">
      <x:c r="A119" s="70" t="str">
        <x:v>M5EV-0114</x:v>
      </x:c>
      <x:c r="B119" s="70" t="str"/>
      <x:c r="C119" s="70" t="str">
        <x:f>IFERROR(VLOOKUP(B119,'02_案例与预测'!$A$6:$E$65,5,FALSE),"")</x:f>
      </x:c>
      <x:c r="D119" s="70" t="str"/>
      <x:c r="E119" s="70" t="str"/>
      <x:c r="F119" s="70" t="str"/>
      <x:c r="G119" s="70" t="str"/>
      <x:c r="H119" s="70" t="str"/>
      <x:c r="I119" s="70" t="str"/>
      <x:c r="J119" s="70" t="str"/>
      <x:c r="K119" s="70" t="str"/>
      <x:c r="L119" s="70" t="str"/>
      <x:c r="M119" s="70" t="str">
        <x:f>IF(L119="完全支持",1,IF(L119="基本支持",0.75,IF(L119="部分支持",0.5,IF(L119="相邻但不同",0.25,IF(L119="反例",0,"")))))</x:f>
      </x:c>
      <x:c r="N119" s="70" t="str"/>
      <x:c r="O119" s="70" t="str"/>
      <x:c r="P119" s="70" t="str"/>
      <x:c r="Q119" s="70" t="str">
        <x:f>IF(OR(H119="",K119=""),"",IF(H119&gt;K119,"是","否"))</x:f>
      </x:c>
      <x:c r="R119" s="70" t="str">
        <x:v>否</x:v>
      </x:c>
      <x:c r="S119" s="70" t="str"/>
      <x:c r="T119" s="70" t="str"/>
      <x:c r="U119" s="70" t="str"/>
      <x:c r="V119" s="70" t="str">
        <x:v>否</x:v>
      </x:c>
      <x:c r="W119" s="70" t="str"/>
    </x:row>
    <x:row r="120">
      <x:c r="A120" s="70" t="str">
        <x:v>M5EV-0115</x:v>
      </x:c>
      <x:c r="B120" s="70" t="str"/>
      <x:c r="C120" s="70" t="str">
        <x:f>IFERROR(VLOOKUP(B120,'02_案例与预测'!$A$6:$E$65,5,FALSE),"")</x:f>
      </x:c>
      <x:c r="D120" s="70" t="str"/>
      <x:c r="E120" s="70" t="str"/>
      <x:c r="F120" s="70" t="str"/>
      <x:c r="G120" s="70" t="str"/>
      <x:c r="H120" s="70" t="str"/>
      <x:c r="I120" s="70" t="str"/>
      <x:c r="J120" s="70" t="str"/>
      <x:c r="K120" s="70" t="str"/>
      <x:c r="L120" s="70" t="str"/>
      <x:c r="M120" s="70" t="str">
        <x:f>IF(L120="完全支持",1,IF(L120="基本支持",0.75,IF(L120="部分支持",0.5,IF(L120="相邻但不同",0.25,IF(L120="反例",0,"")))))</x:f>
      </x:c>
      <x:c r="N120" s="70" t="str"/>
      <x:c r="O120" s="70" t="str"/>
      <x:c r="P120" s="70" t="str"/>
      <x:c r="Q120" s="70" t="str">
        <x:f>IF(OR(H120="",K120=""),"",IF(H120&gt;K120,"是","否"))</x:f>
      </x:c>
      <x:c r="R120" s="70" t="str">
        <x:v>否</x:v>
      </x:c>
      <x:c r="S120" s="70" t="str"/>
      <x:c r="T120" s="70" t="str"/>
      <x:c r="U120" s="70" t="str"/>
      <x:c r="V120" s="70" t="str">
        <x:v>否</x:v>
      </x:c>
      <x:c r="W120" s="70" t="str"/>
    </x:row>
    <x:row r="121">
      <x:c r="A121" s="70" t="str">
        <x:v>M5EV-0116</x:v>
      </x:c>
      <x:c r="B121" s="70" t="str"/>
      <x:c r="C121" s="70" t="str">
        <x:f>IFERROR(VLOOKUP(B121,'02_案例与预测'!$A$6:$E$65,5,FALSE),"")</x:f>
      </x:c>
      <x:c r="D121" s="70" t="str"/>
      <x:c r="E121" s="70" t="str"/>
      <x:c r="F121" s="70" t="str"/>
      <x:c r="G121" s="70" t="str"/>
      <x:c r="H121" s="70" t="str"/>
      <x:c r="I121" s="70" t="str"/>
      <x:c r="J121" s="70" t="str"/>
      <x:c r="K121" s="70" t="str"/>
      <x:c r="L121" s="70" t="str"/>
      <x:c r="M121" s="70" t="str">
        <x:f>IF(L121="完全支持",1,IF(L121="基本支持",0.75,IF(L121="部分支持",0.5,IF(L121="相邻但不同",0.25,IF(L121="反例",0,"")))))</x:f>
      </x:c>
      <x:c r="N121" s="70" t="str"/>
      <x:c r="O121" s="70" t="str"/>
      <x:c r="P121" s="70" t="str"/>
      <x:c r="Q121" s="70" t="str">
        <x:f>IF(OR(H121="",K121=""),"",IF(H121&gt;K121,"是","否"))</x:f>
      </x:c>
      <x:c r="R121" s="70" t="str">
        <x:v>否</x:v>
      </x:c>
      <x:c r="S121" s="70" t="str"/>
      <x:c r="T121" s="70" t="str"/>
      <x:c r="U121" s="70" t="str"/>
      <x:c r="V121" s="70" t="str">
        <x:v>否</x:v>
      </x:c>
      <x:c r="W121" s="70" t="str"/>
    </x:row>
    <x:row r="122">
      <x:c r="A122" s="70" t="str">
        <x:v>M5EV-0117</x:v>
      </x:c>
      <x:c r="B122" s="70" t="str"/>
      <x:c r="C122" s="70" t="str">
        <x:f>IFERROR(VLOOKUP(B122,'02_案例与预测'!$A$6:$E$65,5,FALSE),"")</x:f>
      </x:c>
      <x:c r="D122" s="70" t="str"/>
      <x:c r="E122" s="70" t="str"/>
      <x:c r="F122" s="70" t="str"/>
      <x:c r="G122" s="70" t="str"/>
      <x:c r="H122" s="70" t="str"/>
      <x:c r="I122" s="70" t="str"/>
      <x:c r="J122" s="70" t="str"/>
      <x:c r="K122" s="70" t="str"/>
      <x:c r="L122" s="70" t="str"/>
      <x:c r="M122" s="70" t="str">
        <x:f>IF(L122="完全支持",1,IF(L122="基本支持",0.75,IF(L122="部分支持",0.5,IF(L122="相邻但不同",0.25,IF(L122="反例",0,"")))))</x:f>
      </x:c>
      <x:c r="N122" s="70" t="str"/>
      <x:c r="O122" s="70" t="str"/>
      <x:c r="P122" s="70" t="str"/>
      <x:c r="Q122" s="70" t="str">
        <x:f>IF(OR(H122="",K122=""),"",IF(H122&gt;K122,"是","否"))</x:f>
      </x:c>
      <x:c r="R122" s="70" t="str">
        <x:v>否</x:v>
      </x:c>
      <x:c r="S122" s="70" t="str"/>
      <x:c r="T122" s="70" t="str"/>
      <x:c r="U122" s="70" t="str"/>
      <x:c r="V122" s="70" t="str">
        <x:v>否</x:v>
      </x:c>
      <x:c r="W122" s="70" t="str"/>
    </x:row>
    <x:row r="123">
      <x:c r="A123" s="70" t="str">
        <x:v>M5EV-0118</x:v>
      </x:c>
      <x:c r="B123" s="70" t="str"/>
      <x:c r="C123" s="70" t="str">
        <x:f>IFERROR(VLOOKUP(B123,'02_案例与预测'!$A$6:$E$65,5,FALSE),"")</x:f>
      </x:c>
      <x:c r="D123" s="70" t="str"/>
      <x:c r="E123" s="70" t="str"/>
      <x:c r="F123" s="70" t="str"/>
      <x:c r="G123" s="70" t="str"/>
      <x:c r="H123" s="70" t="str"/>
      <x:c r="I123" s="70" t="str"/>
      <x:c r="J123" s="70" t="str"/>
      <x:c r="K123" s="70" t="str"/>
      <x:c r="L123" s="70" t="str"/>
      <x:c r="M123" s="70" t="str">
        <x:f>IF(L123="完全支持",1,IF(L123="基本支持",0.75,IF(L123="部分支持",0.5,IF(L123="相邻但不同",0.25,IF(L123="反例",0,"")))))</x:f>
      </x:c>
      <x:c r="N123" s="70" t="str"/>
      <x:c r="O123" s="70" t="str"/>
      <x:c r="P123" s="70" t="str"/>
      <x:c r="Q123" s="70" t="str">
        <x:f>IF(OR(H123="",K123=""),"",IF(H123&gt;K123,"是","否"))</x:f>
      </x:c>
      <x:c r="R123" s="70" t="str">
        <x:v>否</x:v>
      </x:c>
      <x:c r="S123" s="70" t="str"/>
      <x:c r="T123" s="70" t="str"/>
      <x:c r="U123" s="70" t="str"/>
      <x:c r="V123" s="70" t="str">
        <x:v>否</x:v>
      </x:c>
      <x:c r="W123" s="70" t="str"/>
    </x:row>
    <x:row r="124">
      <x:c r="A124" s="70" t="str">
        <x:v>M5EV-0119</x:v>
      </x:c>
      <x:c r="B124" s="70" t="str"/>
      <x:c r="C124" s="70" t="str">
        <x:f>IFERROR(VLOOKUP(B124,'02_案例与预测'!$A$6:$E$65,5,FALSE),"")</x:f>
      </x:c>
      <x:c r="D124" s="70" t="str"/>
      <x:c r="E124" s="70" t="str"/>
      <x:c r="F124" s="70" t="str"/>
      <x:c r="G124" s="70" t="str"/>
      <x:c r="H124" s="70" t="str"/>
      <x:c r="I124" s="70" t="str"/>
      <x:c r="J124" s="70" t="str"/>
      <x:c r="K124" s="70" t="str"/>
      <x:c r="L124" s="70" t="str"/>
      <x:c r="M124" s="70" t="str">
        <x:f>IF(L124="完全支持",1,IF(L124="基本支持",0.75,IF(L124="部分支持",0.5,IF(L124="相邻但不同",0.25,IF(L124="反例",0,"")))))</x:f>
      </x:c>
      <x:c r="N124" s="70" t="str"/>
      <x:c r="O124" s="70" t="str"/>
      <x:c r="P124" s="70" t="str"/>
      <x:c r="Q124" s="70" t="str">
        <x:f>IF(OR(H124="",K124=""),"",IF(H124&gt;K124,"是","否"))</x:f>
      </x:c>
      <x:c r="R124" s="70" t="str">
        <x:v>否</x:v>
      </x:c>
      <x:c r="S124" s="70" t="str"/>
      <x:c r="T124" s="70" t="str"/>
      <x:c r="U124" s="70" t="str"/>
      <x:c r="V124" s="70" t="str">
        <x:v>否</x:v>
      </x:c>
      <x:c r="W124" s="70" t="str"/>
    </x:row>
    <x:row r="125">
      <x:c r="A125" s="70" t="str">
        <x:v>M5EV-0120</x:v>
      </x:c>
      <x:c r="B125" s="70" t="str"/>
      <x:c r="C125" s="70" t="str">
        <x:f>IFERROR(VLOOKUP(B125,'02_案例与预测'!$A$6:$E$65,5,FALSE),"")</x:f>
      </x:c>
      <x:c r="D125" s="70" t="str"/>
      <x:c r="E125" s="70" t="str"/>
      <x:c r="F125" s="70" t="str"/>
      <x:c r="G125" s="70" t="str"/>
      <x:c r="H125" s="70" t="str"/>
      <x:c r="I125" s="70" t="str"/>
      <x:c r="J125" s="70" t="str"/>
      <x:c r="K125" s="70" t="str"/>
      <x:c r="L125" s="70" t="str"/>
      <x:c r="M125" s="70" t="str">
        <x:f>IF(L125="完全支持",1,IF(L125="基本支持",0.75,IF(L125="部分支持",0.5,IF(L125="相邻但不同",0.25,IF(L125="反例",0,"")))))</x:f>
      </x:c>
      <x:c r="N125" s="70" t="str"/>
      <x:c r="O125" s="70" t="str"/>
      <x:c r="P125" s="70" t="str"/>
      <x:c r="Q125" s="70" t="str">
        <x:f>IF(OR(H125="",K125=""),"",IF(H125&gt;K125,"是","否"))</x:f>
      </x:c>
      <x:c r="R125" s="70" t="str">
        <x:v>否</x:v>
      </x:c>
      <x:c r="S125" s="70" t="str"/>
      <x:c r="T125" s="70" t="str"/>
      <x:c r="U125" s="70" t="str"/>
      <x:c r="V125" s="70" t="str">
        <x:v>否</x:v>
      </x:c>
      <x:c r="W125" s="70" t="str"/>
    </x:row>
    <x:row r="126">
      <x:c r="A126" s="70" t="str">
        <x:v>M5EV-0121</x:v>
      </x:c>
      <x:c r="B126" s="70" t="str"/>
      <x:c r="C126" s="70" t="str">
        <x:f>IFERROR(VLOOKUP(B126,'02_案例与预测'!$A$6:$E$65,5,FALSE),"")</x:f>
      </x:c>
      <x:c r="D126" s="70" t="str"/>
      <x:c r="E126" s="70" t="str"/>
      <x:c r="F126" s="70" t="str"/>
      <x:c r="G126" s="70" t="str"/>
      <x:c r="H126" s="70" t="str"/>
      <x:c r="I126" s="70" t="str"/>
      <x:c r="J126" s="70" t="str"/>
      <x:c r="K126" s="70" t="str"/>
      <x:c r="L126" s="70" t="str"/>
      <x:c r="M126" s="70" t="str">
        <x:f>IF(L126="完全支持",1,IF(L126="基本支持",0.75,IF(L126="部分支持",0.5,IF(L126="相邻但不同",0.25,IF(L126="反例",0,"")))))</x:f>
      </x:c>
      <x:c r="N126" s="70" t="str"/>
      <x:c r="O126" s="70" t="str"/>
      <x:c r="P126" s="70" t="str"/>
      <x:c r="Q126" s="70" t="str">
        <x:f>IF(OR(H126="",K126=""),"",IF(H126&gt;K126,"是","否"))</x:f>
      </x:c>
      <x:c r="R126" s="70" t="str">
        <x:v>否</x:v>
      </x:c>
      <x:c r="S126" s="70" t="str"/>
      <x:c r="T126" s="70" t="str"/>
      <x:c r="U126" s="70" t="str"/>
      <x:c r="V126" s="70" t="str">
        <x:v>否</x:v>
      </x:c>
      <x:c r="W126" s="70" t="str"/>
    </x:row>
    <x:row r="127">
      <x:c r="A127" s="70" t="str">
        <x:v>M5EV-0122</x:v>
      </x:c>
      <x:c r="B127" s="70" t="str"/>
      <x:c r="C127" s="70" t="str">
        <x:f>IFERROR(VLOOKUP(B127,'02_案例与预测'!$A$6:$E$65,5,FALSE),"")</x:f>
      </x:c>
      <x:c r="D127" s="70" t="str"/>
      <x:c r="E127" s="70" t="str"/>
      <x:c r="F127" s="70" t="str"/>
      <x:c r="G127" s="70" t="str"/>
      <x:c r="H127" s="70" t="str"/>
      <x:c r="I127" s="70" t="str"/>
      <x:c r="J127" s="70" t="str"/>
      <x:c r="K127" s="70" t="str"/>
      <x:c r="L127" s="70" t="str"/>
      <x:c r="M127" s="70" t="str">
        <x:f>IF(L127="完全支持",1,IF(L127="基本支持",0.75,IF(L127="部分支持",0.5,IF(L127="相邻但不同",0.25,IF(L127="反例",0,"")))))</x:f>
      </x:c>
      <x:c r="N127" s="70" t="str"/>
      <x:c r="O127" s="70" t="str"/>
      <x:c r="P127" s="70" t="str"/>
      <x:c r="Q127" s="70" t="str">
        <x:f>IF(OR(H127="",K127=""),"",IF(H127&gt;K127,"是","否"))</x:f>
      </x:c>
      <x:c r="R127" s="70" t="str">
        <x:v>否</x:v>
      </x:c>
      <x:c r="S127" s="70" t="str"/>
      <x:c r="T127" s="70" t="str"/>
      <x:c r="U127" s="70" t="str"/>
      <x:c r="V127" s="70" t="str">
        <x:v>否</x:v>
      </x:c>
      <x:c r="W127" s="70" t="str"/>
    </x:row>
    <x:row r="128">
      <x:c r="A128" s="70" t="str">
        <x:v>M5EV-0123</x:v>
      </x:c>
      <x:c r="B128" s="70" t="str"/>
      <x:c r="C128" s="70" t="str">
        <x:f>IFERROR(VLOOKUP(B128,'02_案例与预测'!$A$6:$E$65,5,FALSE),"")</x:f>
      </x:c>
      <x:c r="D128" s="70" t="str"/>
      <x:c r="E128" s="70" t="str"/>
      <x:c r="F128" s="70" t="str"/>
      <x:c r="G128" s="70" t="str"/>
      <x:c r="H128" s="70" t="str"/>
      <x:c r="I128" s="70" t="str"/>
      <x:c r="J128" s="70" t="str"/>
      <x:c r="K128" s="70" t="str"/>
      <x:c r="L128" s="70" t="str"/>
      <x:c r="M128" s="70" t="str">
        <x:f>IF(L128="完全支持",1,IF(L128="基本支持",0.75,IF(L128="部分支持",0.5,IF(L128="相邻但不同",0.25,IF(L128="反例",0,"")))))</x:f>
      </x:c>
      <x:c r="N128" s="70" t="str"/>
      <x:c r="O128" s="70" t="str"/>
      <x:c r="P128" s="70" t="str"/>
      <x:c r="Q128" s="70" t="str">
        <x:f>IF(OR(H128="",K128=""),"",IF(H128&gt;K128,"是","否"))</x:f>
      </x:c>
      <x:c r="R128" s="70" t="str">
        <x:v>否</x:v>
      </x:c>
      <x:c r="S128" s="70" t="str"/>
      <x:c r="T128" s="70" t="str"/>
      <x:c r="U128" s="70" t="str"/>
      <x:c r="V128" s="70" t="str">
        <x:v>否</x:v>
      </x:c>
      <x:c r="W128" s="70" t="str"/>
    </x:row>
    <x:row r="129">
      <x:c r="A129" s="70" t="str">
        <x:v>M5EV-0124</x:v>
      </x:c>
      <x:c r="B129" s="70" t="str"/>
      <x:c r="C129" s="70" t="str">
        <x:f>IFERROR(VLOOKUP(B129,'02_案例与预测'!$A$6:$E$65,5,FALSE),"")</x:f>
      </x:c>
      <x:c r="D129" s="70" t="str"/>
      <x:c r="E129" s="70" t="str"/>
      <x:c r="F129" s="70" t="str"/>
      <x:c r="G129" s="70" t="str"/>
      <x:c r="H129" s="70" t="str"/>
      <x:c r="I129" s="70" t="str"/>
      <x:c r="J129" s="70" t="str"/>
      <x:c r="K129" s="70" t="str"/>
      <x:c r="L129" s="70" t="str"/>
      <x:c r="M129" s="70" t="str">
        <x:f>IF(L129="完全支持",1,IF(L129="基本支持",0.75,IF(L129="部分支持",0.5,IF(L129="相邻但不同",0.25,IF(L129="反例",0,"")))))</x:f>
      </x:c>
      <x:c r="N129" s="70" t="str"/>
      <x:c r="O129" s="70" t="str"/>
      <x:c r="P129" s="70" t="str"/>
      <x:c r="Q129" s="70" t="str">
        <x:f>IF(OR(H129="",K129=""),"",IF(H129&gt;K129,"是","否"))</x:f>
      </x:c>
      <x:c r="R129" s="70" t="str">
        <x:v>否</x:v>
      </x:c>
      <x:c r="S129" s="70" t="str"/>
      <x:c r="T129" s="70" t="str"/>
      <x:c r="U129" s="70" t="str"/>
      <x:c r="V129" s="70" t="str">
        <x:v>否</x:v>
      </x:c>
      <x:c r="W129" s="70" t="str"/>
    </x:row>
    <x:row r="130">
      <x:c r="A130" s="70" t="str">
        <x:v>M5EV-0125</x:v>
      </x:c>
      <x:c r="B130" s="70" t="str"/>
      <x:c r="C130" s="70" t="str">
        <x:f>IFERROR(VLOOKUP(B130,'02_案例与预测'!$A$6:$E$65,5,FALSE),"")</x:f>
      </x:c>
      <x:c r="D130" s="70" t="str"/>
      <x:c r="E130" s="70" t="str"/>
      <x:c r="F130" s="70" t="str"/>
      <x:c r="G130" s="70" t="str"/>
      <x:c r="H130" s="70" t="str"/>
      <x:c r="I130" s="70" t="str"/>
      <x:c r="J130" s="70" t="str"/>
      <x:c r="K130" s="70" t="str"/>
      <x:c r="L130" s="70" t="str"/>
      <x:c r="M130" s="70" t="str">
        <x:f>IF(L130="完全支持",1,IF(L130="基本支持",0.75,IF(L130="部分支持",0.5,IF(L130="相邻但不同",0.25,IF(L130="反例",0,"")))))</x:f>
      </x:c>
      <x:c r="N130" s="70" t="str"/>
      <x:c r="O130" s="70" t="str"/>
      <x:c r="P130" s="70" t="str"/>
      <x:c r="Q130" s="70" t="str">
        <x:f>IF(OR(H130="",K130=""),"",IF(H130&gt;K130,"是","否"))</x:f>
      </x:c>
      <x:c r="R130" s="70" t="str">
        <x:v>否</x:v>
      </x:c>
      <x:c r="S130" s="70" t="str"/>
      <x:c r="T130" s="70" t="str"/>
      <x:c r="U130" s="70" t="str"/>
      <x:c r="V130" s="70" t="str">
        <x:v>否</x:v>
      </x:c>
      <x:c r="W130" s="70" t="str"/>
    </x:row>
    <x:row r="131">
      <x:c r="A131" s="70" t="str">
        <x:v>M5EV-0126</x:v>
      </x:c>
      <x:c r="B131" s="70" t="str"/>
      <x:c r="C131" s="70" t="str">
        <x:f>IFERROR(VLOOKUP(B131,'02_案例与预测'!$A$6:$E$65,5,FALSE),"")</x:f>
      </x:c>
      <x:c r="D131" s="70" t="str"/>
      <x:c r="E131" s="70" t="str"/>
      <x:c r="F131" s="70" t="str"/>
      <x:c r="G131" s="70" t="str"/>
      <x:c r="H131" s="70" t="str"/>
      <x:c r="I131" s="70" t="str"/>
      <x:c r="J131" s="70" t="str"/>
      <x:c r="K131" s="70" t="str"/>
      <x:c r="L131" s="70" t="str"/>
      <x:c r="M131" s="70" t="str">
        <x:f>IF(L131="完全支持",1,IF(L131="基本支持",0.75,IF(L131="部分支持",0.5,IF(L131="相邻但不同",0.25,IF(L131="反例",0,"")))))</x:f>
      </x:c>
      <x:c r="N131" s="70" t="str"/>
      <x:c r="O131" s="70" t="str"/>
      <x:c r="P131" s="70" t="str"/>
      <x:c r="Q131" s="70" t="str">
        <x:f>IF(OR(H131="",K131=""),"",IF(H131&gt;K131,"是","否"))</x:f>
      </x:c>
      <x:c r="R131" s="70" t="str">
        <x:v>否</x:v>
      </x:c>
      <x:c r="S131" s="70" t="str"/>
      <x:c r="T131" s="70" t="str"/>
      <x:c r="U131" s="70" t="str"/>
      <x:c r="V131" s="70" t="str">
        <x:v>否</x:v>
      </x:c>
      <x:c r="W131" s="70" t="str"/>
    </x:row>
    <x:row r="132">
      <x:c r="A132" s="70" t="str">
        <x:v>M5EV-0127</x:v>
      </x:c>
      <x:c r="B132" s="70" t="str"/>
      <x:c r="C132" s="70" t="str">
        <x:f>IFERROR(VLOOKUP(B132,'02_案例与预测'!$A$6:$E$65,5,FALSE),"")</x:f>
      </x:c>
      <x:c r="D132" s="70" t="str"/>
      <x:c r="E132" s="70" t="str"/>
      <x:c r="F132" s="70" t="str"/>
      <x:c r="G132" s="70" t="str"/>
      <x:c r="H132" s="70" t="str"/>
      <x:c r="I132" s="70" t="str"/>
      <x:c r="J132" s="70" t="str"/>
      <x:c r="K132" s="70" t="str"/>
      <x:c r="L132" s="70" t="str"/>
      <x:c r="M132" s="70" t="str">
        <x:f>IF(L132="完全支持",1,IF(L132="基本支持",0.75,IF(L132="部分支持",0.5,IF(L132="相邻但不同",0.25,IF(L132="反例",0,"")))))</x:f>
      </x:c>
      <x:c r="N132" s="70" t="str"/>
      <x:c r="O132" s="70" t="str"/>
      <x:c r="P132" s="70" t="str"/>
      <x:c r="Q132" s="70" t="str">
        <x:f>IF(OR(H132="",K132=""),"",IF(H132&gt;K132,"是","否"))</x:f>
      </x:c>
      <x:c r="R132" s="70" t="str">
        <x:v>否</x:v>
      </x:c>
      <x:c r="S132" s="70" t="str"/>
      <x:c r="T132" s="70" t="str"/>
      <x:c r="U132" s="70" t="str"/>
      <x:c r="V132" s="70" t="str">
        <x:v>否</x:v>
      </x:c>
      <x:c r="W132" s="70" t="str"/>
    </x:row>
    <x:row r="133">
      <x:c r="A133" s="70" t="str">
        <x:v>M5EV-0128</x:v>
      </x:c>
      <x:c r="B133" s="70" t="str"/>
      <x:c r="C133" s="70" t="str">
        <x:f>IFERROR(VLOOKUP(B133,'02_案例与预测'!$A$6:$E$65,5,FALSE),"")</x:f>
      </x:c>
      <x:c r="D133" s="70" t="str"/>
      <x:c r="E133" s="70" t="str"/>
      <x:c r="F133" s="70" t="str"/>
      <x:c r="G133" s="70" t="str"/>
      <x:c r="H133" s="70" t="str"/>
      <x:c r="I133" s="70" t="str"/>
      <x:c r="J133" s="70" t="str"/>
      <x:c r="K133" s="70" t="str"/>
      <x:c r="L133" s="70" t="str"/>
      <x:c r="M133" s="70" t="str">
        <x:f>IF(L133="完全支持",1,IF(L133="基本支持",0.75,IF(L133="部分支持",0.5,IF(L133="相邻但不同",0.25,IF(L133="反例",0,"")))))</x:f>
      </x:c>
      <x:c r="N133" s="70" t="str"/>
      <x:c r="O133" s="70" t="str"/>
      <x:c r="P133" s="70" t="str"/>
      <x:c r="Q133" s="70" t="str">
        <x:f>IF(OR(H133="",K133=""),"",IF(H133&gt;K133,"是","否"))</x:f>
      </x:c>
      <x:c r="R133" s="70" t="str">
        <x:v>否</x:v>
      </x:c>
      <x:c r="S133" s="70" t="str"/>
      <x:c r="T133" s="70" t="str"/>
      <x:c r="U133" s="70" t="str"/>
      <x:c r="V133" s="70" t="str">
        <x:v>否</x:v>
      </x:c>
      <x:c r="W133" s="70" t="str"/>
    </x:row>
    <x:row r="134">
      <x:c r="A134" s="70" t="str">
        <x:v>M5EV-0129</x:v>
      </x:c>
      <x:c r="B134" s="70" t="str"/>
      <x:c r="C134" s="70" t="str">
        <x:f>IFERROR(VLOOKUP(B134,'02_案例与预测'!$A$6:$E$65,5,FALSE),"")</x:f>
      </x:c>
      <x:c r="D134" s="70" t="str"/>
      <x:c r="E134" s="70" t="str"/>
      <x:c r="F134" s="70" t="str"/>
      <x:c r="G134" s="70" t="str"/>
      <x:c r="H134" s="70" t="str"/>
      <x:c r="I134" s="70" t="str"/>
      <x:c r="J134" s="70" t="str"/>
      <x:c r="K134" s="70" t="str"/>
      <x:c r="L134" s="70" t="str"/>
      <x:c r="M134" s="70" t="str">
        <x:f>IF(L134="完全支持",1,IF(L134="基本支持",0.75,IF(L134="部分支持",0.5,IF(L134="相邻但不同",0.25,IF(L134="反例",0,"")))))</x:f>
      </x:c>
      <x:c r="N134" s="70" t="str"/>
      <x:c r="O134" s="70" t="str"/>
      <x:c r="P134" s="70" t="str"/>
      <x:c r="Q134" s="70" t="str">
        <x:f>IF(OR(H134="",K134=""),"",IF(H134&gt;K134,"是","否"))</x:f>
      </x:c>
      <x:c r="R134" s="70" t="str">
        <x:v>否</x:v>
      </x:c>
      <x:c r="S134" s="70" t="str"/>
      <x:c r="T134" s="70" t="str"/>
      <x:c r="U134" s="70" t="str"/>
      <x:c r="V134" s="70" t="str">
        <x:v>否</x:v>
      </x:c>
      <x:c r="W134" s="70" t="str"/>
    </x:row>
    <x:row r="135">
      <x:c r="A135" s="70" t="str">
        <x:v>M5EV-0130</x:v>
      </x:c>
      <x:c r="B135" s="70" t="str"/>
      <x:c r="C135" s="70" t="str">
        <x:f>IFERROR(VLOOKUP(B135,'02_案例与预测'!$A$6:$E$65,5,FALSE),"")</x:f>
      </x:c>
      <x:c r="D135" s="70" t="str"/>
      <x:c r="E135" s="70" t="str"/>
      <x:c r="F135" s="70" t="str"/>
      <x:c r="G135" s="70" t="str"/>
      <x:c r="H135" s="70" t="str"/>
      <x:c r="I135" s="70" t="str"/>
      <x:c r="J135" s="70" t="str"/>
      <x:c r="K135" s="70" t="str"/>
      <x:c r="L135" s="70" t="str"/>
      <x:c r="M135" s="70" t="str">
        <x:f>IF(L135="完全支持",1,IF(L135="基本支持",0.75,IF(L135="部分支持",0.5,IF(L135="相邻但不同",0.25,IF(L135="反例",0,"")))))</x:f>
      </x:c>
      <x:c r="N135" s="70" t="str"/>
      <x:c r="O135" s="70" t="str"/>
      <x:c r="P135" s="70" t="str"/>
      <x:c r="Q135" s="70" t="str">
        <x:f>IF(OR(H135="",K135=""),"",IF(H135&gt;K135,"是","否"))</x:f>
      </x:c>
      <x:c r="R135" s="70" t="str">
        <x:v>否</x:v>
      </x:c>
      <x:c r="S135" s="70" t="str"/>
      <x:c r="T135" s="70" t="str"/>
      <x:c r="U135" s="70" t="str"/>
      <x:c r="V135" s="70" t="str">
        <x:v>否</x:v>
      </x:c>
      <x:c r="W135" s="70" t="str"/>
    </x:row>
    <x:row r="136">
      <x:c r="A136" s="70" t="str">
        <x:v>M5EV-0131</x:v>
      </x:c>
      <x:c r="B136" s="70" t="str"/>
      <x:c r="C136" s="70" t="str">
        <x:f>IFERROR(VLOOKUP(B136,'02_案例与预测'!$A$6:$E$65,5,FALSE),"")</x:f>
      </x:c>
      <x:c r="D136" s="70" t="str"/>
      <x:c r="E136" s="70" t="str"/>
      <x:c r="F136" s="70" t="str"/>
      <x:c r="G136" s="70" t="str"/>
      <x:c r="H136" s="70" t="str"/>
      <x:c r="I136" s="70" t="str"/>
      <x:c r="J136" s="70" t="str"/>
      <x:c r="K136" s="70" t="str"/>
      <x:c r="L136" s="70" t="str"/>
      <x:c r="M136" s="70" t="str">
        <x:f>IF(L136="完全支持",1,IF(L136="基本支持",0.75,IF(L136="部分支持",0.5,IF(L136="相邻但不同",0.25,IF(L136="反例",0,"")))))</x:f>
      </x:c>
      <x:c r="N136" s="70" t="str"/>
      <x:c r="O136" s="70" t="str"/>
      <x:c r="P136" s="70" t="str"/>
      <x:c r="Q136" s="70" t="str">
        <x:f>IF(OR(H136="",K136=""),"",IF(H136&gt;K136,"是","否"))</x:f>
      </x:c>
      <x:c r="R136" s="70" t="str">
        <x:v>否</x:v>
      </x:c>
      <x:c r="S136" s="70" t="str"/>
      <x:c r="T136" s="70" t="str"/>
      <x:c r="U136" s="70" t="str"/>
      <x:c r="V136" s="70" t="str">
        <x:v>否</x:v>
      </x:c>
      <x:c r="W136" s="70" t="str"/>
    </x:row>
    <x:row r="137">
      <x:c r="A137" s="70" t="str">
        <x:v>M5EV-0132</x:v>
      </x:c>
      <x:c r="B137" s="70" t="str"/>
      <x:c r="C137" s="70" t="str">
        <x:f>IFERROR(VLOOKUP(B137,'02_案例与预测'!$A$6:$E$65,5,FALSE),"")</x:f>
      </x:c>
      <x:c r="D137" s="70" t="str"/>
      <x:c r="E137" s="70" t="str"/>
      <x:c r="F137" s="70" t="str"/>
      <x:c r="G137" s="70" t="str"/>
      <x:c r="H137" s="70" t="str"/>
      <x:c r="I137" s="70" t="str"/>
      <x:c r="J137" s="70" t="str"/>
      <x:c r="K137" s="70" t="str"/>
      <x:c r="L137" s="70" t="str"/>
      <x:c r="M137" s="70" t="str">
        <x:f>IF(L137="完全支持",1,IF(L137="基本支持",0.75,IF(L137="部分支持",0.5,IF(L137="相邻但不同",0.25,IF(L137="反例",0,"")))))</x:f>
      </x:c>
      <x:c r="N137" s="70" t="str"/>
      <x:c r="O137" s="70" t="str"/>
      <x:c r="P137" s="70" t="str"/>
      <x:c r="Q137" s="70" t="str">
        <x:f>IF(OR(H137="",K137=""),"",IF(H137&gt;K137,"是","否"))</x:f>
      </x:c>
      <x:c r="R137" s="70" t="str">
        <x:v>否</x:v>
      </x:c>
      <x:c r="S137" s="70" t="str"/>
      <x:c r="T137" s="70" t="str"/>
      <x:c r="U137" s="70" t="str"/>
      <x:c r="V137" s="70" t="str">
        <x:v>否</x:v>
      </x:c>
      <x:c r="W137" s="70" t="str"/>
    </x:row>
    <x:row r="138">
      <x:c r="A138" s="70" t="str">
        <x:v>M5EV-0133</x:v>
      </x:c>
      <x:c r="B138" s="70" t="str"/>
      <x:c r="C138" s="70" t="str">
        <x:f>IFERROR(VLOOKUP(B138,'02_案例与预测'!$A$6:$E$65,5,FALSE),"")</x:f>
      </x:c>
      <x:c r="D138" s="70" t="str"/>
      <x:c r="E138" s="70" t="str"/>
      <x:c r="F138" s="70" t="str"/>
      <x:c r="G138" s="70" t="str"/>
      <x:c r="H138" s="70" t="str"/>
      <x:c r="I138" s="70" t="str"/>
      <x:c r="J138" s="70" t="str"/>
      <x:c r="K138" s="70" t="str"/>
      <x:c r="L138" s="70" t="str"/>
      <x:c r="M138" s="70" t="str">
        <x:f>IF(L138="完全支持",1,IF(L138="基本支持",0.75,IF(L138="部分支持",0.5,IF(L138="相邻但不同",0.25,IF(L138="反例",0,"")))))</x:f>
      </x:c>
      <x:c r="N138" s="70" t="str"/>
      <x:c r="O138" s="70" t="str"/>
      <x:c r="P138" s="70" t="str"/>
      <x:c r="Q138" s="70" t="str">
        <x:f>IF(OR(H138="",K138=""),"",IF(H138&gt;K138,"是","否"))</x:f>
      </x:c>
      <x:c r="R138" s="70" t="str">
        <x:v>否</x:v>
      </x:c>
      <x:c r="S138" s="70" t="str"/>
      <x:c r="T138" s="70" t="str"/>
      <x:c r="U138" s="70" t="str"/>
      <x:c r="V138" s="70" t="str">
        <x:v>否</x:v>
      </x:c>
      <x:c r="W138" s="70" t="str"/>
    </x:row>
    <x:row r="139">
      <x:c r="A139" s="70" t="str">
        <x:v>M5EV-0134</x:v>
      </x:c>
      <x:c r="B139" s="70" t="str"/>
      <x:c r="C139" s="70" t="str">
        <x:f>IFERROR(VLOOKUP(B139,'02_案例与预测'!$A$6:$E$65,5,FALSE),"")</x:f>
      </x:c>
      <x:c r="D139" s="70" t="str"/>
      <x:c r="E139" s="70" t="str"/>
      <x:c r="F139" s="70" t="str"/>
      <x:c r="G139" s="70" t="str"/>
      <x:c r="H139" s="70" t="str"/>
      <x:c r="I139" s="70" t="str"/>
      <x:c r="J139" s="70" t="str"/>
      <x:c r="K139" s="70" t="str"/>
      <x:c r="L139" s="70" t="str"/>
      <x:c r="M139" s="70" t="str">
        <x:f>IF(L139="完全支持",1,IF(L139="基本支持",0.75,IF(L139="部分支持",0.5,IF(L139="相邻但不同",0.25,IF(L139="反例",0,"")))))</x:f>
      </x:c>
      <x:c r="N139" s="70" t="str"/>
      <x:c r="O139" s="70" t="str"/>
      <x:c r="P139" s="70" t="str"/>
      <x:c r="Q139" s="70" t="str">
        <x:f>IF(OR(H139="",K139=""),"",IF(H139&gt;K139,"是","否"))</x:f>
      </x:c>
      <x:c r="R139" s="70" t="str">
        <x:v>否</x:v>
      </x:c>
      <x:c r="S139" s="70" t="str"/>
      <x:c r="T139" s="70" t="str"/>
      <x:c r="U139" s="70" t="str"/>
      <x:c r="V139" s="70" t="str">
        <x:v>否</x:v>
      </x:c>
      <x:c r="W139" s="70" t="str"/>
    </x:row>
    <x:row r="140">
      <x:c r="A140" s="70" t="str">
        <x:v>M5EV-0135</x:v>
      </x:c>
      <x:c r="B140" s="70" t="str"/>
      <x:c r="C140" s="70" t="str">
        <x:f>IFERROR(VLOOKUP(B140,'02_案例与预测'!$A$6:$E$65,5,FALSE),"")</x:f>
      </x:c>
      <x:c r="D140" s="70" t="str"/>
      <x:c r="E140" s="70" t="str"/>
      <x:c r="F140" s="70" t="str"/>
      <x:c r="G140" s="70" t="str"/>
      <x:c r="H140" s="70" t="str"/>
      <x:c r="I140" s="70" t="str"/>
      <x:c r="J140" s="70" t="str"/>
      <x:c r="K140" s="70" t="str"/>
      <x:c r="L140" s="70" t="str"/>
      <x:c r="M140" s="70" t="str">
        <x:f>IF(L140="完全支持",1,IF(L140="基本支持",0.75,IF(L140="部分支持",0.5,IF(L140="相邻但不同",0.25,IF(L140="反例",0,"")))))</x:f>
      </x:c>
      <x:c r="N140" s="70" t="str"/>
      <x:c r="O140" s="70" t="str"/>
      <x:c r="P140" s="70" t="str"/>
      <x:c r="Q140" s="70" t="str">
        <x:f>IF(OR(H140="",K140=""),"",IF(H140&gt;K140,"是","否"))</x:f>
      </x:c>
      <x:c r="R140" s="70" t="str">
        <x:v>否</x:v>
      </x:c>
      <x:c r="S140" s="70" t="str"/>
      <x:c r="T140" s="70" t="str"/>
      <x:c r="U140" s="70" t="str"/>
      <x:c r="V140" s="70" t="str">
        <x:v>否</x:v>
      </x:c>
      <x:c r="W140" s="70" t="str"/>
    </x:row>
    <x:row r="141">
      <x:c r="A141" s="70" t="str">
        <x:v>M5EV-0136</x:v>
      </x:c>
      <x:c r="B141" s="70" t="str"/>
      <x:c r="C141" s="70" t="str">
        <x:f>IFERROR(VLOOKUP(B141,'02_案例与预测'!$A$6:$E$65,5,FALSE),"")</x:f>
      </x:c>
      <x:c r="D141" s="70" t="str"/>
      <x:c r="E141" s="70" t="str"/>
      <x:c r="F141" s="70" t="str"/>
      <x:c r="G141" s="70" t="str"/>
      <x:c r="H141" s="70" t="str"/>
      <x:c r="I141" s="70" t="str"/>
      <x:c r="J141" s="70" t="str"/>
      <x:c r="K141" s="70" t="str"/>
      <x:c r="L141" s="70" t="str"/>
      <x:c r="M141" s="70" t="str">
        <x:f>IF(L141="完全支持",1,IF(L141="基本支持",0.75,IF(L141="部分支持",0.5,IF(L141="相邻但不同",0.25,IF(L141="反例",0,"")))))</x:f>
      </x:c>
      <x:c r="N141" s="70" t="str"/>
      <x:c r="O141" s="70" t="str"/>
      <x:c r="P141" s="70" t="str"/>
      <x:c r="Q141" s="70" t="str">
        <x:f>IF(OR(H141="",K141=""),"",IF(H141&gt;K141,"是","否"))</x:f>
      </x:c>
      <x:c r="R141" s="70" t="str">
        <x:v>否</x:v>
      </x:c>
      <x:c r="S141" s="70" t="str"/>
      <x:c r="T141" s="70" t="str"/>
      <x:c r="U141" s="70" t="str"/>
      <x:c r="V141" s="70" t="str">
        <x:v>否</x:v>
      </x:c>
      <x:c r="W141" s="70" t="str"/>
    </x:row>
    <x:row r="142">
      <x:c r="A142" s="70" t="str">
        <x:v>M5EV-0137</x:v>
      </x:c>
      <x:c r="B142" s="70" t="str"/>
      <x:c r="C142" s="70" t="str">
        <x:f>IFERROR(VLOOKUP(B142,'02_案例与预测'!$A$6:$E$65,5,FALSE),"")</x:f>
      </x:c>
      <x:c r="D142" s="70" t="str"/>
      <x:c r="E142" s="70" t="str"/>
      <x:c r="F142" s="70" t="str"/>
      <x:c r="G142" s="70" t="str"/>
      <x:c r="H142" s="70" t="str"/>
      <x:c r="I142" s="70" t="str"/>
      <x:c r="J142" s="70" t="str"/>
      <x:c r="K142" s="70" t="str"/>
      <x:c r="L142" s="70" t="str"/>
      <x:c r="M142" s="70" t="str">
        <x:f>IF(L142="完全支持",1,IF(L142="基本支持",0.75,IF(L142="部分支持",0.5,IF(L142="相邻但不同",0.25,IF(L142="反例",0,"")))))</x:f>
      </x:c>
      <x:c r="N142" s="70" t="str"/>
      <x:c r="O142" s="70" t="str"/>
      <x:c r="P142" s="70" t="str"/>
      <x:c r="Q142" s="70" t="str">
        <x:f>IF(OR(H142="",K142=""),"",IF(H142&gt;K142,"是","否"))</x:f>
      </x:c>
      <x:c r="R142" s="70" t="str">
        <x:v>否</x:v>
      </x:c>
      <x:c r="S142" s="70" t="str"/>
      <x:c r="T142" s="70" t="str"/>
      <x:c r="U142" s="70" t="str"/>
      <x:c r="V142" s="70" t="str">
        <x:v>否</x:v>
      </x:c>
      <x:c r="W142" s="70" t="str"/>
    </x:row>
    <x:row r="143">
      <x:c r="A143" s="70" t="str">
        <x:v>M5EV-0138</x:v>
      </x:c>
      <x:c r="B143" s="70" t="str"/>
      <x:c r="C143" s="70" t="str">
        <x:f>IFERROR(VLOOKUP(B143,'02_案例与预测'!$A$6:$E$65,5,FALSE),"")</x:f>
      </x:c>
      <x:c r="D143" s="70" t="str"/>
      <x:c r="E143" s="70" t="str"/>
      <x:c r="F143" s="70" t="str"/>
      <x:c r="G143" s="70" t="str"/>
      <x:c r="H143" s="70" t="str"/>
      <x:c r="I143" s="70" t="str"/>
      <x:c r="J143" s="70" t="str"/>
      <x:c r="K143" s="70" t="str"/>
      <x:c r="L143" s="70" t="str"/>
      <x:c r="M143" s="70" t="str">
        <x:f>IF(L143="完全支持",1,IF(L143="基本支持",0.75,IF(L143="部分支持",0.5,IF(L143="相邻但不同",0.25,IF(L143="反例",0,"")))))</x:f>
      </x:c>
      <x:c r="N143" s="70" t="str"/>
      <x:c r="O143" s="70" t="str"/>
      <x:c r="P143" s="70" t="str"/>
      <x:c r="Q143" s="70" t="str">
        <x:f>IF(OR(H143="",K143=""),"",IF(H143&gt;K143,"是","否"))</x:f>
      </x:c>
      <x:c r="R143" s="70" t="str">
        <x:v>否</x:v>
      </x:c>
      <x:c r="S143" s="70" t="str"/>
      <x:c r="T143" s="70" t="str"/>
      <x:c r="U143" s="70" t="str"/>
      <x:c r="V143" s="70" t="str">
        <x:v>否</x:v>
      </x:c>
      <x:c r="W143" s="70" t="str"/>
    </x:row>
    <x:row r="144">
      <x:c r="A144" s="70" t="str">
        <x:v>M5EV-0139</x:v>
      </x:c>
      <x:c r="B144" s="70" t="str"/>
      <x:c r="C144" s="70" t="str">
        <x:f>IFERROR(VLOOKUP(B144,'02_案例与预测'!$A$6:$E$65,5,FALSE),"")</x:f>
      </x:c>
      <x:c r="D144" s="70" t="str"/>
      <x:c r="E144" s="70" t="str"/>
      <x:c r="F144" s="70" t="str"/>
      <x:c r="G144" s="70" t="str"/>
      <x:c r="H144" s="70" t="str"/>
      <x:c r="I144" s="70" t="str"/>
      <x:c r="J144" s="70" t="str"/>
      <x:c r="K144" s="70" t="str"/>
      <x:c r="L144" s="70" t="str"/>
      <x:c r="M144" s="70" t="str">
        <x:f>IF(L144="完全支持",1,IF(L144="基本支持",0.75,IF(L144="部分支持",0.5,IF(L144="相邻但不同",0.25,IF(L144="反例",0,"")))))</x:f>
      </x:c>
      <x:c r="N144" s="70" t="str"/>
      <x:c r="O144" s="70" t="str"/>
      <x:c r="P144" s="70" t="str"/>
      <x:c r="Q144" s="70" t="str">
        <x:f>IF(OR(H144="",K144=""),"",IF(H144&gt;K144,"是","否"))</x:f>
      </x:c>
      <x:c r="R144" s="70" t="str">
        <x:v>否</x:v>
      </x:c>
      <x:c r="S144" s="70" t="str"/>
      <x:c r="T144" s="70" t="str"/>
      <x:c r="U144" s="70" t="str"/>
      <x:c r="V144" s="70" t="str">
        <x:v>否</x:v>
      </x:c>
      <x:c r="W144" s="70" t="str"/>
    </x:row>
    <x:row r="145">
      <x:c r="A145" s="70" t="str">
        <x:v>M5EV-0140</x:v>
      </x:c>
      <x:c r="B145" s="70" t="str"/>
      <x:c r="C145" s="70" t="str">
        <x:f>IFERROR(VLOOKUP(B145,'02_案例与预测'!$A$6:$E$65,5,FALSE),"")</x:f>
      </x:c>
      <x:c r="D145" s="70" t="str"/>
      <x:c r="E145" s="70" t="str"/>
      <x:c r="F145" s="70" t="str"/>
      <x:c r="G145" s="70" t="str"/>
      <x:c r="H145" s="70" t="str"/>
      <x:c r="I145" s="70" t="str"/>
      <x:c r="J145" s="70" t="str"/>
      <x:c r="K145" s="70" t="str"/>
      <x:c r="L145" s="70" t="str"/>
      <x:c r="M145" s="70" t="str">
        <x:f>IF(L145="完全支持",1,IF(L145="基本支持",0.75,IF(L145="部分支持",0.5,IF(L145="相邻但不同",0.25,IF(L145="反例",0,"")))))</x:f>
      </x:c>
      <x:c r="N145" s="70" t="str"/>
      <x:c r="O145" s="70" t="str"/>
      <x:c r="P145" s="70" t="str"/>
      <x:c r="Q145" s="70" t="str">
        <x:f>IF(OR(H145="",K145=""),"",IF(H145&gt;K145,"是","否"))</x:f>
      </x:c>
      <x:c r="R145" s="70" t="str">
        <x:v>否</x:v>
      </x:c>
      <x:c r="S145" s="70" t="str"/>
      <x:c r="T145" s="70" t="str"/>
      <x:c r="U145" s="70" t="str"/>
      <x:c r="V145" s="70" t="str">
        <x:v>否</x:v>
      </x:c>
      <x:c r="W145" s="70" t="str"/>
    </x:row>
    <x:row r="146">
      <x:c r="A146" s="70" t="str">
        <x:v>M5EV-0141</x:v>
      </x:c>
      <x:c r="B146" s="70" t="str"/>
      <x:c r="C146" s="70" t="str">
        <x:f>IFERROR(VLOOKUP(B146,'02_案例与预测'!$A$6:$E$65,5,FALSE),"")</x:f>
      </x:c>
      <x:c r="D146" s="70" t="str"/>
      <x:c r="E146" s="70" t="str"/>
      <x:c r="F146" s="70" t="str"/>
      <x:c r="G146" s="70" t="str"/>
      <x:c r="H146" s="70" t="str"/>
      <x:c r="I146" s="70" t="str"/>
      <x:c r="J146" s="70" t="str"/>
      <x:c r="K146" s="70" t="str"/>
      <x:c r="L146" s="70" t="str"/>
      <x:c r="M146" s="70" t="str">
        <x:f>IF(L146="完全支持",1,IF(L146="基本支持",0.75,IF(L146="部分支持",0.5,IF(L146="相邻但不同",0.25,IF(L146="反例",0,"")))))</x:f>
      </x:c>
      <x:c r="N146" s="70" t="str"/>
      <x:c r="O146" s="70" t="str"/>
      <x:c r="P146" s="70" t="str"/>
      <x:c r="Q146" s="70" t="str">
        <x:f>IF(OR(H146="",K146=""),"",IF(H146&gt;K146,"是","否"))</x:f>
      </x:c>
      <x:c r="R146" s="70" t="str">
        <x:v>否</x:v>
      </x:c>
      <x:c r="S146" s="70" t="str"/>
      <x:c r="T146" s="70" t="str"/>
      <x:c r="U146" s="70" t="str"/>
      <x:c r="V146" s="70" t="str">
        <x:v>否</x:v>
      </x:c>
      <x:c r="W146" s="70" t="str"/>
    </x:row>
    <x:row r="147">
      <x:c r="A147" s="70" t="str">
        <x:v>M5EV-0142</x:v>
      </x:c>
      <x:c r="B147" s="70" t="str"/>
      <x:c r="C147" s="70" t="str">
        <x:f>IFERROR(VLOOKUP(B147,'02_案例与预测'!$A$6:$E$65,5,FALSE),"")</x:f>
      </x:c>
      <x:c r="D147" s="70" t="str"/>
      <x:c r="E147" s="70" t="str"/>
      <x:c r="F147" s="70" t="str"/>
      <x:c r="G147" s="70" t="str"/>
      <x:c r="H147" s="70" t="str"/>
      <x:c r="I147" s="70" t="str"/>
      <x:c r="J147" s="70" t="str"/>
      <x:c r="K147" s="70" t="str"/>
      <x:c r="L147" s="70" t="str"/>
      <x:c r="M147" s="70" t="str">
        <x:f>IF(L147="完全支持",1,IF(L147="基本支持",0.75,IF(L147="部分支持",0.5,IF(L147="相邻但不同",0.25,IF(L147="反例",0,"")))))</x:f>
      </x:c>
      <x:c r="N147" s="70" t="str"/>
      <x:c r="O147" s="70" t="str"/>
      <x:c r="P147" s="70" t="str"/>
      <x:c r="Q147" s="70" t="str">
        <x:f>IF(OR(H147="",K147=""),"",IF(H147&gt;K147,"是","否"))</x:f>
      </x:c>
      <x:c r="R147" s="70" t="str">
        <x:v>否</x:v>
      </x:c>
      <x:c r="S147" s="70" t="str"/>
      <x:c r="T147" s="70" t="str"/>
      <x:c r="U147" s="70" t="str"/>
      <x:c r="V147" s="70" t="str">
        <x:v>否</x:v>
      </x:c>
      <x:c r="W147" s="70" t="str"/>
    </x:row>
    <x:row r="148">
      <x:c r="A148" s="70" t="str">
        <x:v>M5EV-0143</x:v>
      </x:c>
      <x:c r="B148" s="70" t="str"/>
      <x:c r="C148" s="70" t="str">
        <x:f>IFERROR(VLOOKUP(B148,'02_案例与预测'!$A$6:$E$65,5,FALSE),"")</x:f>
      </x:c>
      <x:c r="D148" s="70" t="str"/>
      <x:c r="E148" s="70" t="str"/>
      <x:c r="F148" s="70" t="str"/>
      <x:c r="G148" s="70" t="str"/>
      <x:c r="H148" s="70" t="str"/>
      <x:c r="I148" s="70" t="str"/>
      <x:c r="J148" s="70" t="str"/>
      <x:c r="K148" s="70" t="str"/>
      <x:c r="L148" s="70" t="str"/>
      <x:c r="M148" s="70" t="str">
        <x:f>IF(L148="完全支持",1,IF(L148="基本支持",0.75,IF(L148="部分支持",0.5,IF(L148="相邻但不同",0.25,IF(L148="反例",0,"")))))</x:f>
      </x:c>
      <x:c r="N148" s="70" t="str"/>
      <x:c r="O148" s="70" t="str"/>
      <x:c r="P148" s="70" t="str"/>
      <x:c r="Q148" s="70" t="str">
        <x:f>IF(OR(H148="",K148=""),"",IF(H148&gt;K148,"是","否"))</x:f>
      </x:c>
      <x:c r="R148" s="70" t="str">
        <x:v>否</x:v>
      </x:c>
      <x:c r="S148" s="70" t="str"/>
      <x:c r="T148" s="70" t="str"/>
      <x:c r="U148" s="70" t="str"/>
      <x:c r="V148" s="70" t="str">
        <x:v>否</x:v>
      </x:c>
      <x:c r="W148" s="70" t="str"/>
    </x:row>
    <x:row r="149">
      <x:c r="A149" s="70" t="str">
        <x:v>M5EV-0144</x:v>
      </x:c>
      <x:c r="B149" s="70" t="str"/>
      <x:c r="C149" s="70" t="str">
        <x:f>IFERROR(VLOOKUP(B149,'02_案例与预测'!$A$6:$E$65,5,FALSE),"")</x:f>
      </x:c>
      <x:c r="D149" s="70" t="str"/>
      <x:c r="E149" s="70" t="str"/>
      <x:c r="F149" s="70" t="str"/>
      <x:c r="G149" s="70" t="str"/>
      <x:c r="H149" s="70" t="str"/>
      <x:c r="I149" s="70" t="str"/>
      <x:c r="J149" s="70" t="str"/>
      <x:c r="K149" s="70" t="str"/>
      <x:c r="L149" s="70" t="str"/>
      <x:c r="M149" s="70" t="str">
        <x:f>IF(L149="完全支持",1,IF(L149="基本支持",0.75,IF(L149="部分支持",0.5,IF(L149="相邻但不同",0.25,IF(L149="反例",0,"")))))</x:f>
      </x:c>
      <x:c r="N149" s="70" t="str"/>
      <x:c r="O149" s="70" t="str"/>
      <x:c r="P149" s="70" t="str"/>
      <x:c r="Q149" s="70" t="str">
        <x:f>IF(OR(H149="",K149=""),"",IF(H149&gt;K149,"是","否"))</x:f>
      </x:c>
      <x:c r="R149" s="70" t="str">
        <x:v>否</x:v>
      </x:c>
      <x:c r="S149" s="70" t="str"/>
      <x:c r="T149" s="70" t="str"/>
      <x:c r="U149" s="70" t="str"/>
      <x:c r="V149" s="70" t="str">
        <x:v>否</x:v>
      </x:c>
      <x:c r="W149" s="70" t="str"/>
    </x:row>
    <x:row r="150">
      <x:c r="A150" s="70" t="str">
        <x:v>M5EV-0145</x:v>
      </x:c>
      <x:c r="B150" s="70" t="str"/>
      <x:c r="C150" s="70" t="str">
        <x:f>IFERROR(VLOOKUP(B150,'02_案例与预测'!$A$6:$E$65,5,FALSE),"")</x:f>
      </x:c>
      <x:c r="D150" s="70" t="str"/>
      <x:c r="E150" s="70" t="str"/>
      <x:c r="F150" s="70" t="str"/>
      <x:c r="G150" s="70" t="str"/>
      <x:c r="H150" s="70" t="str"/>
      <x:c r="I150" s="70" t="str"/>
      <x:c r="J150" s="70" t="str"/>
      <x:c r="K150" s="70" t="str"/>
      <x:c r="L150" s="70" t="str"/>
      <x:c r="M150" s="70" t="str">
        <x:f>IF(L150="完全支持",1,IF(L150="基本支持",0.75,IF(L150="部分支持",0.5,IF(L150="相邻但不同",0.25,IF(L150="反例",0,"")))))</x:f>
      </x:c>
      <x:c r="N150" s="70" t="str"/>
      <x:c r="O150" s="70" t="str"/>
      <x:c r="P150" s="70" t="str"/>
      <x:c r="Q150" s="70" t="str">
        <x:f>IF(OR(H150="",K150=""),"",IF(H150&gt;K150,"是","否"))</x:f>
      </x:c>
      <x:c r="R150" s="70" t="str">
        <x:v>否</x:v>
      </x:c>
      <x:c r="S150" s="70" t="str"/>
      <x:c r="T150" s="70" t="str"/>
      <x:c r="U150" s="70" t="str"/>
      <x:c r="V150" s="70" t="str">
        <x:v>否</x:v>
      </x:c>
      <x:c r="W150" s="70" t="str"/>
    </x:row>
    <x:row r="151">
      <x:c r="A151" s="70" t="str">
        <x:v>M5EV-0146</x:v>
      </x:c>
      <x:c r="B151" s="70" t="str"/>
      <x:c r="C151" s="70" t="str">
        <x:f>IFERROR(VLOOKUP(B151,'02_案例与预测'!$A$6:$E$65,5,FALSE),"")</x:f>
      </x:c>
      <x:c r="D151" s="70" t="str"/>
      <x:c r="E151" s="70" t="str"/>
      <x:c r="F151" s="70" t="str"/>
      <x:c r="G151" s="70" t="str"/>
      <x:c r="H151" s="70" t="str"/>
      <x:c r="I151" s="70" t="str"/>
      <x:c r="J151" s="70" t="str"/>
      <x:c r="K151" s="70" t="str"/>
      <x:c r="L151" s="70" t="str"/>
      <x:c r="M151" s="70" t="str">
        <x:f>IF(L151="完全支持",1,IF(L151="基本支持",0.75,IF(L151="部分支持",0.5,IF(L151="相邻但不同",0.25,IF(L151="反例",0,"")))))</x:f>
      </x:c>
      <x:c r="N151" s="70" t="str"/>
      <x:c r="O151" s="70" t="str"/>
      <x:c r="P151" s="70" t="str"/>
      <x:c r="Q151" s="70" t="str">
        <x:f>IF(OR(H151="",K151=""),"",IF(H151&gt;K151,"是","否"))</x:f>
      </x:c>
      <x:c r="R151" s="70" t="str">
        <x:v>否</x:v>
      </x:c>
      <x:c r="S151" s="70" t="str"/>
      <x:c r="T151" s="70" t="str"/>
      <x:c r="U151" s="70" t="str"/>
      <x:c r="V151" s="70" t="str">
        <x:v>否</x:v>
      </x:c>
      <x:c r="W151" s="70" t="str"/>
    </x:row>
    <x:row r="152">
      <x:c r="A152" s="70" t="str">
        <x:v>M5EV-0147</x:v>
      </x:c>
      <x:c r="B152" s="70" t="str"/>
      <x:c r="C152" s="70" t="str">
        <x:f>IFERROR(VLOOKUP(B152,'02_案例与预测'!$A$6:$E$65,5,FALSE),"")</x:f>
      </x:c>
      <x:c r="D152" s="70" t="str"/>
      <x:c r="E152" s="70" t="str"/>
      <x:c r="F152" s="70" t="str"/>
      <x:c r="G152" s="70" t="str"/>
      <x:c r="H152" s="70" t="str"/>
      <x:c r="I152" s="70" t="str"/>
      <x:c r="J152" s="70" t="str"/>
      <x:c r="K152" s="70" t="str"/>
      <x:c r="L152" s="70" t="str"/>
      <x:c r="M152" s="70" t="str">
        <x:f>IF(L152="完全支持",1,IF(L152="基本支持",0.75,IF(L152="部分支持",0.5,IF(L152="相邻但不同",0.25,IF(L152="反例",0,"")))))</x:f>
      </x:c>
      <x:c r="N152" s="70" t="str"/>
      <x:c r="O152" s="70" t="str"/>
      <x:c r="P152" s="70" t="str"/>
      <x:c r="Q152" s="70" t="str">
        <x:f>IF(OR(H152="",K152=""),"",IF(H152&gt;K152,"是","否"))</x:f>
      </x:c>
      <x:c r="R152" s="70" t="str">
        <x:v>否</x:v>
      </x:c>
      <x:c r="S152" s="70" t="str"/>
      <x:c r="T152" s="70" t="str"/>
      <x:c r="U152" s="70" t="str"/>
      <x:c r="V152" s="70" t="str">
        <x:v>否</x:v>
      </x:c>
      <x:c r="W152" s="70" t="str"/>
    </x:row>
    <x:row r="153">
      <x:c r="A153" s="70" t="str">
        <x:v>M5EV-0148</x:v>
      </x:c>
      <x:c r="B153" s="70" t="str"/>
      <x:c r="C153" s="70" t="str">
        <x:f>IFERROR(VLOOKUP(B153,'02_案例与预测'!$A$6:$E$65,5,FALSE),"")</x:f>
      </x:c>
      <x:c r="D153" s="70" t="str"/>
      <x:c r="E153" s="70" t="str"/>
      <x:c r="F153" s="70" t="str"/>
      <x:c r="G153" s="70" t="str"/>
      <x:c r="H153" s="70" t="str"/>
      <x:c r="I153" s="70" t="str"/>
      <x:c r="J153" s="70" t="str"/>
      <x:c r="K153" s="70" t="str"/>
      <x:c r="L153" s="70" t="str"/>
      <x:c r="M153" s="70" t="str">
        <x:f>IF(L153="完全支持",1,IF(L153="基本支持",0.75,IF(L153="部分支持",0.5,IF(L153="相邻但不同",0.25,IF(L153="反例",0,"")))))</x:f>
      </x:c>
      <x:c r="N153" s="70" t="str"/>
      <x:c r="O153" s="70" t="str"/>
      <x:c r="P153" s="70" t="str"/>
      <x:c r="Q153" s="70" t="str">
        <x:f>IF(OR(H153="",K153=""),"",IF(H153&gt;K153,"是","否"))</x:f>
      </x:c>
      <x:c r="R153" s="70" t="str">
        <x:v>否</x:v>
      </x:c>
      <x:c r="S153" s="70" t="str"/>
      <x:c r="T153" s="70" t="str"/>
      <x:c r="U153" s="70" t="str"/>
      <x:c r="V153" s="70" t="str">
        <x:v>否</x:v>
      </x:c>
      <x:c r="W153" s="70" t="str"/>
    </x:row>
    <x:row r="154">
      <x:c r="A154" s="70" t="str">
        <x:v>M5EV-0149</x:v>
      </x:c>
      <x:c r="B154" s="70" t="str"/>
      <x:c r="C154" s="70" t="str">
        <x:f>IFERROR(VLOOKUP(B154,'02_案例与预测'!$A$6:$E$65,5,FALSE),"")</x:f>
      </x:c>
      <x:c r="D154" s="70" t="str"/>
      <x:c r="E154" s="70" t="str"/>
      <x:c r="F154" s="70" t="str"/>
      <x:c r="G154" s="70" t="str"/>
      <x:c r="H154" s="70" t="str"/>
      <x:c r="I154" s="70" t="str"/>
      <x:c r="J154" s="70" t="str"/>
      <x:c r="K154" s="70" t="str"/>
      <x:c r="L154" s="70" t="str"/>
      <x:c r="M154" s="70" t="str">
        <x:f>IF(L154="完全支持",1,IF(L154="基本支持",0.75,IF(L154="部分支持",0.5,IF(L154="相邻但不同",0.25,IF(L154="反例",0,"")))))</x:f>
      </x:c>
      <x:c r="N154" s="70" t="str"/>
      <x:c r="O154" s="70" t="str"/>
      <x:c r="P154" s="70" t="str"/>
      <x:c r="Q154" s="70" t="str">
        <x:f>IF(OR(H154="",K154=""),"",IF(H154&gt;K154,"是","否"))</x:f>
      </x:c>
      <x:c r="R154" s="70" t="str">
        <x:v>否</x:v>
      </x:c>
      <x:c r="S154" s="70" t="str"/>
      <x:c r="T154" s="70" t="str"/>
      <x:c r="U154" s="70" t="str"/>
      <x:c r="V154" s="70" t="str">
        <x:v>否</x:v>
      </x:c>
      <x:c r="W154" s="70" t="str"/>
    </x:row>
    <x:row r="155">
      <x:c r="A155" s="70" t="str">
        <x:v>M5EV-0150</x:v>
      </x:c>
      <x:c r="B155" s="70" t="str"/>
      <x:c r="C155" s="70" t="str">
        <x:f>IFERROR(VLOOKUP(B155,'02_案例与预测'!$A$6:$E$65,5,FALSE),"")</x:f>
      </x:c>
      <x:c r="D155" s="70" t="str"/>
      <x:c r="E155" s="70" t="str"/>
      <x:c r="F155" s="70" t="str"/>
      <x:c r="G155" s="70" t="str"/>
      <x:c r="H155" s="70" t="str"/>
      <x:c r="I155" s="70" t="str"/>
      <x:c r="J155" s="70" t="str"/>
      <x:c r="K155" s="70" t="str"/>
      <x:c r="L155" s="70" t="str"/>
      <x:c r="M155" s="70" t="str">
        <x:f>IF(L155="完全支持",1,IF(L155="基本支持",0.75,IF(L155="部分支持",0.5,IF(L155="相邻但不同",0.25,IF(L155="反例",0,"")))))</x:f>
      </x:c>
      <x:c r="N155" s="70" t="str"/>
      <x:c r="O155" s="70" t="str"/>
      <x:c r="P155" s="70" t="str"/>
      <x:c r="Q155" s="70" t="str">
        <x:f>IF(OR(H155="",K155=""),"",IF(H155&gt;K155,"是","否"))</x:f>
      </x:c>
      <x:c r="R155" s="70" t="str">
        <x:v>否</x:v>
      </x:c>
      <x:c r="S155" s="70" t="str"/>
      <x:c r="T155" s="70" t="str"/>
      <x:c r="U155" s="70" t="str"/>
      <x:c r="V155" s="70" t="str">
        <x:v>否</x:v>
      </x:c>
      <x:c r="W155" s="70" t="str"/>
    </x:row>
    <x:row r="156">
      <x:c r="A156" s="70" t="str">
        <x:v>M5EV-0151</x:v>
      </x:c>
      <x:c r="B156" s="70" t="str"/>
      <x:c r="C156" s="70" t="str">
        <x:f>IFERROR(VLOOKUP(B156,'02_案例与预测'!$A$6:$E$65,5,FALSE),"")</x:f>
      </x:c>
      <x:c r="D156" s="70" t="str"/>
      <x:c r="E156" s="70" t="str"/>
      <x:c r="F156" s="70" t="str"/>
      <x:c r="G156" s="70" t="str"/>
      <x:c r="H156" s="70" t="str"/>
      <x:c r="I156" s="70" t="str"/>
      <x:c r="J156" s="70" t="str"/>
      <x:c r="K156" s="70" t="str"/>
      <x:c r="L156" s="70" t="str"/>
      <x:c r="M156" s="70" t="str">
        <x:f>IF(L156="完全支持",1,IF(L156="基本支持",0.75,IF(L156="部分支持",0.5,IF(L156="相邻但不同",0.25,IF(L156="反例",0,"")))))</x:f>
      </x:c>
      <x:c r="N156" s="70" t="str"/>
      <x:c r="O156" s="70" t="str"/>
      <x:c r="P156" s="70" t="str"/>
      <x:c r="Q156" s="70" t="str">
        <x:f>IF(OR(H156="",K156=""),"",IF(H156&gt;K156,"是","否"))</x:f>
      </x:c>
      <x:c r="R156" s="70" t="str">
        <x:v>否</x:v>
      </x:c>
      <x:c r="S156" s="70" t="str"/>
      <x:c r="T156" s="70" t="str"/>
      <x:c r="U156" s="70" t="str"/>
      <x:c r="V156" s="70" t="str">
        <x:v>否</x:v>
      </x:c>
      <x:c r="W156" s="70" t="str"/>
    </x:row>
    <x:row r="157">
      <x:c r="A157" s="70" t="str">
        <x:v>M5EV-0152</x:v>
      </x:c>
      <x:c r="B157" s="70" t="str"/>
      <x:c r="C157" s="70" t="str">
        <x:f>IFERROR(VLOOKUP(B157,'02_案例与预测'!$A$6:$E$65,5,FALSE),"")</x:f>
      </x:c>
      <x:c r="D157" s="70" t="str"/>
      <x:c r="E157" s="70" t="str"/>
      <x:c r="F157" s="70" t="str"/>
      <x:c r="G157" s="70" t="str"/>
      <x:c r="H157" s="70" t="str"/>
      <x:c r="I157" s="70" t="str"/>
      <x:c r="J157" s="70" t="str"/>
      <x:c r="K157" s="70" t="str"/>
      <x:c r="L157" s="70" t="str"/>
      <x:c r="M157" s="70" t="str">
        <x:f>IF(L157="完全支持",1,IF(L157="基本支持",0.75,IF(L157="部分支持",0.5,IF(L157="相邻但不同",0.25,IF(L157="反例",0,"")))))</x:f>
      </x:c>
      <x:c r="N157" s="70" t="str"/>
      <x:c r="O157" s="70" t="str"/>
      <x:c r="P157" s="70" t="str"/>
      <x:c r="Q157" s="70" t="str">
        <x:f>IF(OR(H157="",K157=""),"",IF(H157&gt;K157,"是","否"))</x:f>
      </x:c>
      <x:c r="R157" s="70" t="str">
        <x:v>否</x:v>
      </x:c>
      <x:c r="S157" s="70" t="str"/>
      <x:c r="T157" s="70" t="str"/>
      <x:c r="U157" s="70" t="str"/>
      <x:c r="V157" s="70" t="str">
        <x:v>否</x:v>
      </x:c>
      <x:c r="W157" s="70" t="str"/>
    </x:row>
    <x:row r="158">
      <x:c r="A158" s="70" t="str">
        <x:v>M5EV-0153</x:v>
      </x:c>
      <x:c r="B158" s="70" t="str"/>
      <x:c r="C158" s="70" t="str">
        <x:f>IFERROR(VLOOKUP(B158,'02_案例与预测'!$A$6:$E$65,5,FALSE),"")</x:f>
      </x:c>
      <x:c r="D158" s="70" t="str"/>
      <x:c r="E158" s="70" t="str"/>
      <x:c r="F158" s="70" t="str"/>
      <x:c r="G158" s="70" t="str"/>
      <x:c r="H158" s="70" t="str"/>
      <x:c r="I158" s="70" t="str"/>
      <x:c r="J158" s="70" t="str"/>
      <x:c r="K158" s="70" t="str"/>
      <x:c r="L158" s="70" t="str"/>
      <x:c r="M158" s="70" t="str">
        <x:f>IF(L158="完全支持",1,IF(L158="基本支持",0.75,IF(L158="部分支持",0.5,IF(L158="相邻但不同",0.25,IF(L158="反例",0,"")))))</x:f>
      </x:c>
      <x:c r="N158" s="70" t="str"/>
      <x:c r="O158" s="70" t="str"/>
      <x:c r="P158" s="70" t="str"/>
      <x:c r="Q158" s="70" t="str">
        <x:f>IF(OR(H158="",K158=""),"",IF(H158&gt;K158,"是","否"))</x:f>
      </x:c>
      <x:c r="R158" s="70" t="str">
        <x:v>否</x:v>
      </x:c>
      <x:c r="S158" s="70" t="str"/>
      <x:c r="T158" s="70" t="str"/>
      <x:c r="U158" s="70" t="str"/>
      <x:c r="V158" s="70" t="str">
        <x:v>否</x:v>
      </x:c>
      <x:c r="W158" s="70" t="str"/>
    </x:row>
    <x:row r="159">
      <x:c r="A159" s="70" t="str">
        <x:v>M5EV-0154</x:v>
      </x:c>
      <x:c r="B159" s="70" t="str"/>
      <x:c r="C159" s="70" t="str">
        <x:f>IFERROR(VLOOKUP(B159,'02_案例与预测'!$A$6:$E$65,5,FALSE),"")</x:f>
      </x:c>
      <x:c r="D159" s="70" t="str"/>
      <x:c r="E159" s="70" t="str"/>
      <x:c r="F159" s="70" t="str"/>
      <x:c r="G159" s="70" t="str"/>
      <x:c r="H159" s="70" t="str"/>
      <x:c r="I159" s="70" t="str"/>
      <x:c r="J159" s="70" t="str"/>
      <x:c r="K159" s="70" t="str"/>
      <x:c r="L159" s="70" t="str"/>
      <x:c r="M159" s="70" t="str">
        <x:f>IF(L159="完全支持",1,IF(L159="基本支持",0.75,IF(L159="部分支持",0.5,IF(L159="相邻但不同",0.25,IF(L159="反例",0,"")))))</x:f>
      </x:c>
      <x:c r="N159" s="70" t="str"/>
      <x:c r="O159" s="70" t="str"/>
      <x:c r="P159" s="70" t="str"/>
      <x:c r="Q159" s="70" t="str">
        <x:f>IF(OR(H159="",K159=""),"",IF(H159&gt;K159,"是","否"))</x:f>
      </x:c>
      <x:c r="R159" s="70" t="str">
        <x:v>否</x:v>
      </x:c>
      <x:c r="S159" s="70" t="str"/>
      <x:c r="T159" s="70" t="str"/>
      <x:c r="U159" s="70" t="str"/>
      <x:c r="V159" s="70" t="str">
        <x:v>否</x:v>
      </x:c>
      <x:c r="W159" s="70" t="str"/>
    </x:row>
    <x:row r="160">
      <x:c r="A160" s="70" t="str">
        <x:v>M5EV-0155</x:v>
      </x:c>
      <x:c r="B160" s="70" t="str"/>
      <x:c r="C160" s="70" t="str">
        <x:f>IFERROR(VLOOKUP(B160,'02_案例与预测'!$A$6:$E$65,5,FALSE),"")</x:f>
      </x:c>
      <x:c r="D160" s="70" t="str"/>
      <x:c r="E160" s="70" t="str"/>
      <x:c r="F160" s="70" t="str"/>
      <x:c r="G160" s="70" t="str"/>
      <x:c r="H160" s="70" t="str"/>
      <x:c r="I160" s="70" t="str"/>
      <x:c r="J160" s="70" t="str"/>
      <x:c r="K160" s="70" t="str"/>
      <x:c r="L160" s="70" t="str"/>
      <x:c r="M160" s="70" t="str">
        <x:f>IF(L160="完全支持",1,IF(L160="基本支持",0.75,IF(L160="部分支持",0.5,IF(L160="相邻但不同",0.25,IF(L160="反例",0,"")))))</x:f>
      </x:c>
      <x:c r="N160" s="70" t="str"/>
      <x:c r="O160" s="70" t="str"/>
      <x:c r="P160" s="70" t="str"/>
      <x:c r="Q160" s="70" t="str">
        <x:f>IF(OR(H160="",K160=""),"",IF(H160&gt;K160,"是","否"))</x:f>
      </x:c>
      <x:c r="R160" s="70" t="str">
        <x:v>否</x:v>
      </x:c>
      <x:c r="S160" s="70" t="str"/>
      <x:c r="T160" s="70" t="str"/>
      <x:c r="U160" s="70" t="str"/>
      <x:c r="V160" s="70" t="str">
        <x:v>否</x:v>
      </x:c>
      <x:c r="W160" s="70" t="str"/>
    </x:row>
    <x:row r="161">
      <x:c r="A161" s="70" t="str">
        <x:v>M5EV-0156</x:v>
      </x:c>
      <x:c r="B161" s="70" t="str"/>
      <x:c r="C161" s="70" t="str">
        <x:f>IFERROR(VLOOKUP(B161,'02_案例与预测'!$A$6:$E$65,5,FALSE),"")</x:f>
      </x:c>
      <x:c r="D161" s="70" t="str"/>
      <x:c r="E161" s="70" t="str"/>
      <x:c r="F161" s="70" t="str"/>
      <x:c r="G161" s="70" t="str"/>
      <x:c r="H161" s="70" t="str"/>
      <x:c r="I161" s="70" t="str"/>
      <x:c r="J161" s="70" t="str"/>
      <x:c r="K161" s="70" t="str"/>
      <x:c r="L161" s="70" t="str"/>
      <x:c r="M161" s="70" t="str">
        <x:f>IF(L161="完全支持",1,IF(L161="基本支持",0.75,IF(L161="部分支持",0.5,IF(L161="相邻但不同",0.25,IF(L161="反例",0,"")))))</x:f>
      </x:c>
      <x:c r="N161" s="70" t="str"/>
      <x:c r="O161" s="70" t="str"/>
      <x:c r="P161" s="70" t="str"/>
      <x:c r="Q161" s="70" t="str">
        <x:f>IF(OR(H161="",K161=""),"",IF(H161&gt;K161,"是","否"))</x:f>
      </x:c>
      <x:c r="R161" s="70" t="str">
        <x:v>否</x:v>
      </x:c>
      <x:c r="S161" s="70" t="str"/>
      <x:c r="T161" s="70" t="str"/>
      <x:c r="U161" s="70" t="str"/>
      <x:c r="V161" s="70" t="str">
        <x:v>否</x:v>
      </x:c>
      <x:c r="W161" s="70" t="str"/>
    </x:row>
    <x:row r="162">
      <x:c r="A162" s="70" t="str">
        <x:v>M5EV-0157</x:v>
      </x:c>
      <x:c r="B162" s="70" t="str"/>
      <x:c r="C162" s="70" t="str">
        <x:f>IFERROR(VLOOKUP(B162,'02_案例与预测'!$A$6:$E$65,5,FALSE),"")</x:f>
      </x:c>
      <x:c r="D162" s="70" t="str"/>
      <x:c r="E162" s="70" t="str"/>
      <x:c r="F162" s="70" t="str"/>
      <x:c r="G162" s="70" t="str"/>
      <x:c r="H162" s="70" t="str"/>
      <x:c r="I162" s="70" t="str"/>
      <x:c r="J162" s="70" t="str"/>
      <x:c r="K162" s="70" t="str"/>
      <x:c r="L162" s="70" t="str"/>
      <x:c r="M162" s="70" t="str">
        <x:f>IF(L162="完全支持",1,IF(L162="基本支持",0.75,IF(L162="部分支持",0.5,IF(L162="相邻但不同",0.25,IF(L162="反例",0,"")))))</x:f>
      </x:c>
      <x:c r="N162" s="70" t="str"/>
      <x:c r="O162" s="70" t="str"/>
      <x:c r="P162" s="70" t="str"/>
      <x:c r="Q162" s="70" t="str">
        <x:f>IF(OR(H162="",K162=""),"",IF(H162&gt;K162,"是","否"))</x:f>
      </x:c>
      <x:c r="R162" s="70" t="str">
        <x:v>否</x:v>
      </x:c>
      <x:c r="S162" s="70" t="str"/>
      <x:c r="T162" s="70" t="str"/>
      <x:c r="U162" s="70" t="str"/>
      <x:c r="V162" s="70" t="str">
        <x:v>否</x:v>
      </x:c>
      <x:c r="W162" s="70" t="str"/>
    </x:row>
    <x:row r="163">
      <x:c r="A163" s="70" t="str">
        <x:v>M5EV-0158</x:v>
      </x:c>
      <x:c r="B163" s="70" t="str"/>
      <x:c r="C163" s="70" t="str">
        <x:f>IFERROR(VLOOKUP(B163,'02_案例与预测'!$A$6:$E$65,5,FALSE),"")</x:f>
      </x:c>
      <x:c r="D163" s="70" t="str"/>
      <x:c r="E163" s="70" t="str"/>
      <x:c r="F163" s="70" t="str"/>
      <x:c r="G163" s="70" t="str"/>
      <x:c r="H163" s="70" t="str"/>
      <x:c r="I163" s="70" t="str"/>
      <x:c r="J163" s="70" t="str"/>
      <x:c r="K163" s="70" t="str"/>
      <x:c r="L163" s="70" t="str"/>
      <x:c r="M163" s="70" t="str">
        <x:f>IF(L163="完全支持",1,IF(L163="基本支持",0.75,IF(L163="部分支持",0.5,IF(L163="相邻但不同",0.25,IF(L163="反例",0,"")))))</x:f>
      </x:c>
      <x:c r="N163" s="70" t="str"/>
      <x:c r="O163" s="70" t="str"/>
      <x:c r="P163" s="70" t="str"/>
      <x:c r="Q163" s="70" t="str">
        <x:f>IF(OR(H163="",K163=""),"",IF(H163&gt;K163,"是","否"))</x:f>
      </x:c>
      <x:c r="R163" s="70" t="str">
        <x:v>否</x:v>
      </x:c>
      <x:c r="S163" s="70" t="str"/>
      <x:c r="T163" s="70" t="str"/>
      <x:c r="U163" s="70" t="str"/>
      <x:c r="V163" s="70" t="str">
        <x:v>否</x:v>
      </x:c>
      <x:c r="W163" s="70" t="str"/>
    </x:row>
    <x:row r="164">
      <x:c r="A164" s="70" t="str">
        <x:v>M5EV-0159</x:v>
      </x:c>
      <x:c r="B164" s="70" t="str"/>
      <x:c r="C164" s="70" t="str">
        <x:f>IFERROR(VLOOKUP(B164,'02_案例与预测'!$A$6:$E$65,5,FALSE),"")</x:f>
      </x:c>
      <x:c r="D164" s="70" t="str"/>
      <x:c r="E164" s="70" t="str"/>
      <x:c r="F164" s="70" t="str"/>
      <x:c r="G164" s="70" t="str"/>
      <x:c r="H164" s="70" t="str"/>
      <x:c r="I164" s="70" t="str"/>
      <x:c r="J164" s="70" t="str"/>
      <x:c r="K164" s="70" t="str"/>
      <x:c r="L164" s="70" t="str"/>
      <x:c r="M164" s="70" t="str">
        <x:f>IF(L164="完全支持",1,IF(L164="基本支持",0.75,IF(L164="部分支持",0.5,IF(L164="相邻但不同",0.25,IF(L164="反例",0,"")))))</x:f>
      </x:c>
      <x:c r="N164" s="70" t="str"/>
      <x:c r="O164" s="70" t="str"/>
      <x:c r="P164" s="70" t="str"/>
      <x:c r="Q164" s="70" t="str">
        <x:f>IF(OR(H164="",K164=""),"",IF(H164&gt;K164,"是","否"))</x:f>
      </x:c>
      <x:c r="R164" s="70" t="str">
        <x:v>否</x:v>
      </x:c>
      <x:c r="S164" s="70" t="str"/>
      <x:c r="T164" s="70" t="str"/>
      <x:c r="U164" s="70" t="str"/>
      <x:c r="V164" s="70" t="str">
        <x:v>否</x:v>
      </x:c>
      <x:c r="W164" s="70" t="str"/>
    </x:row>
    <x:row r="165">
      <x:c r="A165" s="70" t="str">
        <x:v>M5EV-0160</x:v>
      </x:c>
      <x:c r="B165" s="70" t="str"/>
      <x:c r="C165" s="70" t="str">
        <x:f>IFERROR(VLOOKUP(B165,'02_案例与预测'!$A$6:$E$65,5,FALSE),"")</x:f>
      </x:c>
      <x:c r="D165" s="70" t="str"/>
      <x:c r="E165" s="70" t="str"/>
      <x:c r="F165" s="70" t="str"/>
      <x:c r="G165" s="70" t="str"/>
      <x:c r="H165" s="70" t="str"/>
      <x:c r="I165" s="70" t="str"/>
      <x:c r="J165" s="70" t="str"/>
      <x:c r="K165" s="70" t="str"/>
      <x:c r="L165" s="70" t="str"/>
      <x:c r="M165" s="70" t="str">
        <x:f>IF(L165="完全支持",1,IF(L165="基本支持",0.75,IF(L165="部分支持",0.5,IF(L165="相邻但不同",0.25,IF(L165="反例",0,"")))))</x:f>
      </x:c>
      <x:c r="N165" s="70" t="str"/>
      <x:c r="O165" s="70" t="str"/>
      <x:c r="P165" s="70" t="str"/>
      <x:c r="Q165" s="70" t="str">
        <x:f>IF(OR(H165="",K165=""),"",IF(H165&gt;K165,"是","否"))</x:f>
      </x:c>
      <x:c r="R165" s="70" t="str">
        <x:v>否</x:v>
      </x:c>
      <x:c r="S165" s="70" t="str"/>
      <x:c r="T165" s="70" t="str"/>
      <x:c r="U165" s="70" t="str"/>
      <x:c r="V165" s="70" t="str">
        <x:v>否</x:v>
      </x:c>
      <x:c r="W165" s="70" t="str"/>
    </x:row>
    <x:row r="166">
      <x:c r="A166" s="70" t="str">
        <x:v>M5EV-0161</x:v>
      </x:c>
      <x:c r="B166" s="70" t="str"/>
      <x:c r="C166" s="70" t="str">
        <x:f>IFERROR(VLOOKUP(B166,'02_案例与预测'!$A$6:$E$65,5,FALSE),"")</x:f>
      </x:c>
      <x:c r="D166" s="70" t="str"/>
      <x:c r="E166" s="70" t="str"/>
      <x:c r="F166" s="70" t="str"/>
      <x:c r="G166" s="70" t="str"/>
      <x:c r="H166" s="70" t="str"/>
      <x:c r="I166" s="70" t="str"/>
      <x:c r="J166" s="70" t="str"/>
      <x:c r="K166" s="70" t="str"/>
      <x:c r="L166" s="70" t="str"/>
      <x:c r="M166" s="70" t="str">
        <x:f>IF(L166="完全支持",1,IF(L166="基本支持",0.75,IF(L166="部分支持",0.5,IF(L166="相邻但不同",0.25,IF(L166="反例",0,"")))))</x:f>
      </x:c>
      <x:c r="N166" s="70" t="str"/>
      <x:c r="O166" s="70" t="str"/>
      <x:c r="P166" s="70" t="str"/>
      <x:c r="Q166" s="70" t="str">
        <x:f>IF(OR(H166="",K166=""),"",IF(H166&gt;K166,"是","否"))</x:f>
      </x:c>
      <x:c r="R166" s="70" t="str">
        <x:v>否</x:v>
      </x:c>
      <x:c r="S166" s="70" t="str"/>
      <x:c r="T166" s="70" t="str"/>
      <x:c r="U166" s="70" t="str"/>
      <x:c r="V166" s="70" t="str">
        <x:v>否</x:v>
      </x:c>
      <x:c r="W166" s="70" t="str"/>
    </x:row>
    <x:row r="167">
      <x:c r="A167" s="70" t="str">
        <x:v>M5EV-0162</x:v>
      </x:c>
      <x:c r="B167" s="70" t="str"/>
      <x:c r="C167" s="70" t="str">
        <x:f>IFERROR(VLOOKUP(B167,'02_案例与预测'!$A$6:$E$65,5,FALSE),"")</x:f>
      </x:c>
      <x:c r="D167" s="70" t="str"/>
      <x:c r="E167" s="70" t="str"/>
      <x:c r="F167" s="70" t="str"/>
      <x:c r="G167" s="70" t="str"/>
      <x:c r="H167" s="70" t="str"/>
      <x:c r="I167" s="70" t="str"/>
      <x:c r="J167" s="70" t="str"/>
      <x:c r="K167" s="70" t="str"/>
      <x:c r="L167" s="70" t="str"/>
      <x:c r="M167" s="70" t="str">
        <x:f>IF(L167="完全支持",1,IF(L167="基本支持",0.75,IF(L167="部分支持",0.5,IF(L167="相邻但不同",0.25,IF(L167="反例",0,"")))))</x:f>
      </x:c>
      <x:c r="N167" s="70" t="str"/>
      <x:c r="O167" s="70" t="str"/>
      <x:c r="P167" s="70" t="str"/>
      <x:c r="Q167" s="70" t="str">
        <x:f>IF(OR(H167="",K167=""),"",IF(H167&gt;K167,"是","否"))</x:f>
      </x:c>
      <x:c r="R167" s="70" t="str">
        <x:v>否</x:v>
      </x:c>
      <x:c r="S167" s="70" t="str"/>
      <x:c r="T167" s="70" t="str"/>
      <x:c r="U167" s="70" t="str"/>
      <x:c r="V167" s="70" t="str">
        <x:v>否</x:v>
      </x:c>
      <x:c r="W167" s="70" t="str"/>
    </x:row>
    <x:row r="168">
      <x:c r="A168" s="70" t="str">
        <x:v>M5EV-0163</x:v>
      </x:c>
      <x:c r="B168" s="70" t="str"/>
      <x:c r="C168" s="70" t="str">
        <x:f>IFERROR(VLOOKUP(B168,'02_案例与预测'!$A$6:$E$65,5,FALSE),"")</x:f>
      </x:c>
      <x:c r="D168" s="70" t="str"/>
      <x:c r="E168" s="70" t="str"/>
      <x:c r="F168" s="70" t="str"/>
      <x:c r="G168" s="70" t="str"/>
      <x:c r="H168" s="70" t="str"/>
      <x:c r="I168" s="70" t="str"/>
      <x:c r="J168" s="70" t="str"/>
      <x:c r="K168" s="70" t="str"/>
      <x:c r="L168" s="70" t="str"/>
      <x:c r="M168" s="70" t="str">
        <x:f>IF(L168="完全支持",1,IF(L168="基本支持",0.75,IF(L168="部分支持",0.5,IF(L168="相邻但不同",0.25,IF(L168="反例",0,"")))))</x:f>
      </x:c>
      <x:c r="N168" s="70" t="str"/>
      <x:c r="O168" s="70" t="str"/>
      <x:c r="P168" s="70" t="str"/>
      <x:c r="Q168" s="70" t="str">
        <x:f>IF(OR(H168="",K168=""),"",IF(H168&gt;K168,"是","否"))</x:f>
      </x:c>
      <x:c r="R168" s="70" t="str">
        <x:v>否</x:v>
      </x:c>
      <x:c r="S168" s="70" t="str"/>
      <x:c r="T168" s="70" t="str"/>
      <x:c r="U168" s="70" t="str"/>
      <x:c r="V168" s="70" t="str">
        <x:v>否</x:v>
      </x:c>
      <x:c r="W168" s="70" t="str"/>
    </x:row>
    <x:row r="169">
      <x:c r="A169" s="70" t="str">
        <x:v>M5EV-0164</x:v>
      </x:c>
      <x:c r="B169" s="70" t="str"/>
      <x:c r="C169" s="70" t="str">
        <x:f>IFERROR(VLOOKUP(B169,'02_案例与预测'!$A$6:$E$65,5,FALSE),"")</x:f>
      </x:c>
      <x:c r="D169" s="70" t="str"/>
      <x:c r="E169" s="70" t="str"/>
      <x:c r="F169" s="70" t="str"/>
      <x:c r="G169" s="70" t="str"/>
      <x:c r="H169" s="70" t="str"/>
      <x:c r="I169" s="70" t="str"/>
      <x:c r="J169" s="70" t="str"/>
      <x:c r="K169" s="70" t="str"/>
      <x:c r="L169" s="70" t="str"/>
      <x:c r="M169" s="70" t="str">
        <x:f>IF(L169="完全支持",1,IF(L169="基本支持",0.75,IF(L169="部分支持",0.5,IF(L169="相邻但不同",0.25,IF(L169="反例",0,"")))))</x:f>
      </x:c>
      <x:c r="N169" s="70" t="str"/>
      <x:c r="O169" s="70" t="str"/>
      <x:c r="P169" s="70" t="str"/>
      <x:c r="Q169" s="70" t="str">
        <x:f>IF(OR(H169="",K169=""),"",IF(H169&gt;K169,"是","否"))</x:f>
      </x:c>
      <x:c r="R169" s="70" t="str">
        <x:v>否</x:v>
      </x:c>
      <x:c r="S169" s="70" t="str"/>
      <x:c r="T169" s="70" t="str"/>
      <x:c r="U169" s="70" t="str"/>
      <x:c r="V169" s="70" t="str">
        <x:v>否</x:v>
      </x:c>
      <x:c r="W169" s="70" t="str"/>
    </x:row>
    <x:row r="170">
      <x:c r="A170" s="70" t="str">
        <x:v>M5EV-0165</x:v>
      </x:c>
      <x:c r="B170" s="70" t="str"/>
      <x:c r="C170" s="70" t="str">
        <x:f>IFERROR(VLOOKUP(B170,'02_案例与预测'!$A$6:$E$65,5,FALSE),"")</x:f>
      </x:c>
      <x:c r="D170" s="70" t="str"/>
      <x:c r="E170" s="70" t="str"/>
      <x:c r="F170" s="70" t="str"/>
      <x:c r="G170" s="70" t="str"/>
      <x:c r="H170" s="70" t="str"/>
      <x:c r="I170" s="70" t="str"/>
      <x:c r="J170" s="70" t="str"/>
      <x:c r="K170" s="70" t="str"/>
      <x:c r="L170" s="70" t="str"/>
      <x:c r="M170" s="70" t="str">
        <x:f>IF(L170="完全支持",1,IF(L170="基本支持",0.75,IF(L170="部分支持",0.5,IF(L170="相邻但不同",0.25,IF(L170="反例",0,"")))))</x:f>
      </x:c>
      <x:c r="N170" s="70" t="str"/>
      <x:c r="O170" s="70" t="str"/>
      <x:c r="P170" s="70" t="str"/>
      <x:c r="Q170" s="70" t="str">
        <x:f>IF(OR(H170="",K170=""),"",IF(H170&gt;K170,"是","否"))</x:f>
      </x:c>
      <x:c r="R170" s="70" t="str">
        <x:v>否</x:v>
      </x:c>
      <x:c r="S170" s="70" t="str"/>
      <x:c r="T170" s="70" t="str"/>
      <x:c r="U170" s="70" t="str"/>
      <x:c r="V170" s="70" t="str">
        <x:v>否</x:v>
      </x:c>
      <x:c r="W170" s="70" t="str"/>
    </x:row>
    <x:row r="171">
      <x:c r="A171" s="70" t="str">
        <x:v>M5EV-0166</x:v>
      </x:c>
      <x:c r="B171" s="70" t="str"/>
      <x:c r="C171" s="70" t="str">
        <x:f>IFERROR(VLOOKUP(B171,'02_案例与预测'!$A$6:$E$65,5,FALSE),"")</x:f>
      </x:c>
      <x:c r="D171" s="70" t="str"/>
      <x:c r="E171" s="70" t="str"/>
      <x:c r="F171" s="70" t="str"/>
      <x:c r="G171" s="70" t="str"/>
      <x:c r="H171" s="70" t="str"/>
      <x:c r="I171" s="70" t="str"/>
      <x:c r="J171" s="70" t="str"/>
      <x:c r="K171" s="70" t="str"/>
      <x:c r="L171" s="70" t="str"/>
      <x:c r="M171" s="70" t="str">
        <x:f>IF(L171="完全支持",1,IF(L171="基本支持",0.75,IF(L171="部分支持",0.5,IF(L171="相邻但不同",0.25,IF(L171="反例",0,"")))))</x:f>
      </x:c>
      <x:c r="N171" s="70" t="str"/>
      <x:c r="O171" s="70" t="str"/>
      <x:c r="P171" s="70" t="str"/>
      <x:c r="Q171" s="70" t="str">
        <x:f>IF(OR(H171="",K171=""),"",IF(H171&gt;K171,"是","否"))</x:f>
      </x:c>
      <x:c r="R171" s="70" t="str">
        <x:v>否</x:v>
      </x:c>
      <x:c r="S171" s="70" t="str"/>
      <x:c r="T171" s="70" t="str"/>
      <x:c r="U171" s="70" t="str"/>
      <x:c r="V171" s="70" t="str">
        <x:v>否</x:v>
      </x:c>
      <x:c r="W171" s="70" t="str"/>
    </x:row>
    <x:row r="172">
      <x:c r="A172" s="70" t="str">
        <x:v>M5EV-0167</x:v>
      </x:c>
      <x:c r="B172" s="70" t="str"/>
      <x:c r="C172" s="70" t="str">
        <x:f>IFERROR(VLOOKUP(B172,'02_案例与预测'!$A$6:$E$65,5,FALSE),"")</x:f>
      </x:c>
      <x:c r="D172" s="70" t="str"/>
      <x:c r="E172" s="70" t="str"/>
      <x:c r="F172" s="70" t="str"/>
      <x:c r="G172" s="70" t="str"/>
      <x:c r="H172" s="70" t="str"/>
      <x:c r="I172" s="70" t="str"/>
      <x:c r="J172" s="70" t="str"/>
      <x:c r="K172" s="70" t="str"/>
      <x:c r="L172" s="70" t="str"/>
      <x:c r="M172" s="70" t="str">
        <x:f>IF(L172="完全支持",1,IF(L172="基本支持",0.75,IF(L172="部分支持",0.5,IF(L172="相邻但不同",0.25,IF(L172="反例",0,"")))))</x:f>
      </x:c>
      <x:c r="N172" s="70" t="str"/>
      <x:c r="O172" s="70" t="str"/>
      <x:c r="P172" s="70" t="str"/>
      <x:c r="Q172" s="70" t="str">
        <x:f>IF(OR(H172="",K172=""),"",IF(H172&gt;K172,"是","否"))</x:f>
      </x:c>
      <x:c r="R172" s="70" t="str">
        <x:v>否</x:v>
      </x:c>
      <x:c r="S172" s="70" t="str"/>
      <x:c r="T172" s="70" t="str"/>
      <x:c r="U172" s="70" t="str"/>
      <x:c r="V172" s="70" t="str">
        <x:v>否</x:v>
      </x:c>
      <x:c r="W172" s="70" t="str"/>
    </x:row>
    <x:row r="173">
      <x:c r="A173" s="70" t="str">
        <x:v>M5EV-0168</x:v>
      </x:c>
      <x:c r="B173" s="70" t="str"/>
      <x:c r="C173" s="70" t="str">
        <x:f>IFERROR(VLOOKUP(B173,'02_案例与预测'!$A$6:$E$65,5,FALSE),"")</x:f>
      </x:c>
      <x:c r="D173" s="70" t="str"/>
      <x:c r="E173" s="70" t="str"/>
      <x:c r="F173" s="70" t="str"/>
      <x:c r="G173" s="70" t="str"/>
      <x:c r="H173" s="70" t="str"/>
      <x:c r="I173" s="70" t="str"/>
      <x:c r="J173" s="70" t="str"/>
      <x:c r="K173" s="70" t="str"/>
      <x:c r="L173" s="70" t="str"/>
      <x:c r="M173" s="70" t="str">
        <x:f>IF(L173="完全支持",1,IF(L173="基本支持",0.75,IF(L173="部分支持",0.5,IF(L173="相邻但不同",0.25,IF(L173="反例",0,"")))))</x:f>
      </x:c>
      <x:c r="N173" s="70" t="str"/>
      <x:c r="O173" s="70" t="str"/>
      <x:c r="P173" s="70" t="str"/>
      <x:c r="Q173" s="70" t="str">
        <x:f>IF(OR(H173="",K173=""),"",IF(H173&gt;K173,"是","否"))</x:f>
      </x:c>
      <x:c r="R173" s="70" t="str">
        <x:v>否</x:v>
      </x:c>
      <x:c r="S173" s="70" t="str"/>
      <x:c r="T173" s="70" t="str"/>
      <x:c r="U173" s="70" t="str"/>
      <x:c r="V173" s="70" t="str">
        <x:v>否</x:v>
      </x:c>
      <x:c r="W173" s="70" t="str"/>
    </x:row>
    <x:row r="174">
      <x:c r="A174" s="70" t="str">
        <x:v>M5EV-0169</x:v>
      </x:c>
      <x:c r="B174" s="70" t="str"/>
      <x:c r="C174" s="70" t="str">
        <x:f>IFERROR(VLOOKUP(B174,'02_案例与预测'!$A$6:$E$65,5,FALSE),"")</x:f>
      </x:c>
      <x:c r="D174" s="70" t="str"/>
      <x:c r="E174" s="70" t="str"/>
      <x:c r="F174" s="70" t="str"/>
      <x:c r="G174" s="70" t="str"/>
      <x:c r="H174" s="70" t="str"/>
      <x:c r="I174" s="70" t="str"/>
      <x:c r="J174" s="70" t="str"/>
      <x:c r="K174" s="70" t="str"/>
      <x:c r="L174" s="70" t="str"/>
      <x:c r="M174" s="70" t="str">
        <x:f>IF(L174="完全支持",1,IF(L174="基本支持",0.75,IF(L174="部分支持",0.5,IF(L174="相邻但不同",0.25,IF(L174="反例",0,"")))))</x:f>
      </x:c>
      <x:c r="N174" s="70" t="str"/>
      <x:c r="O174" s="70" t="str"/>
      <x:c r="P174" s="70" t="str"/>
      <x:c r="Q174" s="70" t="str">
        <x:f>IF(OR(H174="",K174=""),"",IF(H174&gt;K174,"是","否"))</x:f>
      </x:c>
      <x:c r="R174" s="70" t="str">
        <x:v>否</x:v>
      </x:c>
      <x:c r="S174" s="70" t="str"/>
      <x:c r="T174" s="70" t="str"/>
      <x:c r="U174" s="70" t="str"/>
      <x:c r="V174" s="70" t="str">
        <x:v>否</x:v>
      </x:c>
      <x:c r="W174" s="70" t="str"/>
    </x:row>
    <x:row r="175">
      <x:c r="A175" s="70" t="str">
        <x:v>M5EV-0170</x:v>
      </x:c>
      <x:c r="B175" s="70" t="str"/>
      <x:c r="C175" s="70" t="str">
        <x:f>IFERROR(VLOOKUP(B175,'02_案例与预测'!$A$6:$E$65,5,FALSE),"")</x:f>
      </x:c>
      <x:c r="D175" s="70" t="str"/>
      <x:c r="E175" s="70" t="str"/>
      <x:c r="F175" s="70" t="str"/>
      <x:c r="G175" s="70" t="str"/>
      <x:c r="H175" s="70" t="str"/>
      <x:c r="I175" s="70" t="str"/>
      <x:c r="J175" s="70" t="str"/>
      <x:c r="K175" s="70" t="str"/>
      <x:c r="L175" s="70" t="str"/>
      <x:c r="M175" s="70" t="str">
        <x:f>IF(L175="完全支持",1,IF(L175="基本支持",0.75,IF(L175="部分支持",0.5,IF(L175="相邻但不同",0.25,IF(L175="反例",0,"")))))</x:f>
      </x:c>
      <x:c r="N175" s="70" t="str"/>
      <x:c r="O175" s="70" t="str"/>
      <x:c r="P175" s="70" t="str"/>
      <x:c r="Q175" s="70" t="str">
        <x:f>IF(OR(H175="",K175=""),"",IF(H175&gt;K175,"是","否"))</x:f>
      </x:c>
      <x:c r="R175" s="70" t="str">
        <x:v>否</x:v>
      </x:c>
      <x:c r="S175" s="70" t="str"/>
      <x:c r="T175" s="70" t="str"/>
      <x:c r="U175" s="70" t="str"/>
      <x:c r="V175" s="70" t="str">
        <x:v>否</x:v>
      </x:c>
      <x:c r="W175" s="70" t="str"/>
    </x:row>
    <x:row r="176">
      <x:c r="A176" s="70" t="str">
        <x:v>M5EV-0171</x:v>
      </x:c>
      <x:c r="B176" s="70" t="str"/>
      <x:c r="C176" s="70" t="str">
        <x:f>IFERROR(VLOOKUP(B176,'02_案例与预测'!$A$6:$E$65,5,FALSE),"")</x:f>
      </x:c>
      <x:c r="D176" s="70" t="str"/>
      <x:c r="E176" s="70" t="str"/>
      <x:c r="F176" s="70" t="str"/>
      <x:c r="G176" s="70" t="str"/>
      <x:c r="H176" s="70" t="str"/>
      <x:c r="I176" s="70" t="str"/>
      <x:c r="J176" s="70" t="str"/>
      <x:c r="K176" s="70" t="str"/>
      <x:c r="L176" s="70" t="str"/>
      <x:c r="M176" s="70" t="str">
        <x:f>IF(L176="完全支持",1,IF(L176="基本支持",0.75,IF(L176="部分支持",0.5,IF(L176="相邻但不同",0.25,IF(L176="反例",0,"")))))</x:f>
      </x:c>
      <x:c r="N176" s="70" t="str"/>
      <x:c r="O176" s="70" t="str"/>
      <x:c r="P176" s="70" t="str"/>
      <x:c r="Q176" s="70" t="str">
        <x:f>IF(OR(H176="",K176=""),"",IF(H176&gt;K176,"是","否"))</x:f>
      </x:c>
      <x:c r="R176" s="70" t="str">
        <x:v>否</x:v>
      </x:c>
      <x:c r="S176" s="70" t="str"/>
      <x:c r="T176" s="70" t="str"/>
      <x:c r="U176" s="70" t="str"/>
      <x:c r="V176" s="70" t="str">
        <x:v>否</x:v>
      </x:c>
      <x:c r="W176" s="70" t="str"/>
    </x:row>
    <x:row r="177">
      <x:c r="A177" s="70" t="str">
        <x:v>M5EV-0172</x:v>
      </x:c>
      <x:c r="B177" s="70" t="str"/>
      <x:c r="C177" s="70" t="str">
        <x:f>IFERROR(VLOOKUP(B177,'02_案例与预测'!$A$6:$E$65,5,FALSE),"")</x:f>
      </x:c>
      <x:c r="D177" s="70" t="str"/>
      <x:c r="E177" s="70" t="str"/>
      <x:c r="F177" s="70" t="str"/>
      <x:c r="G177" s="70" t="str"/>
      <x:c r="H177" s="70" t="str"/>
      <x:c r="I177" s="70" t="str"/>
      <x:c r="J177" s="70" t="str"/>
      <x:c r="K177" s="70" t="str"/>
      <x:c r="L177" s="70" t="str"/>
      <x:c r="M177" s="70" t="str">
        <x:f>IF(L177="完全支持",1,IF(L177="基本支持",0.75,IF(L177="部分支持",0.5,IF(L177="相邻但不同",0.25,IF(L177="反例",0,"")))))</x:f>
      </x:c>
      <x:c r="N177" s="70" t="str"/>
      <x:c r="O177" s="70" t="str"/>
      <x:c r="P177" s="70" t="str"/>
      <x:c r="Q177" s="70" t="str">
        <x:f>IF(OR(H177="",K177=""),"",IF(H177&gt;K177,"是","否"))</x:f>
      </x:c>
      <x:c r="R177" s="70" t="str">
        <x:v>否</x:v>
      </x:c>
      <x:c r="S177" s="70" t="str"/>
      <x:c r="T177" s="70" t="str"/>
      <x:c r="U177" s="70" t="str"/>
      <x:c r="V177" s="70" t="str">
        <x:v>否</x:v>
      </x:c>
      <x:c r="W177" s="70" t="str"/>
    </x:row>
    <x:row r="178">
      <x:c r="A178" s="70" t="str">
        <x:v>M5EV-0173</x:v>
      </x:c>
      <x:c r="B178" s="70" t="str"/>
      <x:c r="C178" s="70" t="str">
        <x:f>IFERROR(VLOOKUP(B178,'02_案例与预测'!$A$6:$E$65,5,FALSE),"")</x:f>
      </x:c>
      <x:c r="D178" s="70" t="str"/>
      <x:c r="E178" s="70" t="str"/>
      <x:c r="F178" s="70" t="str"/>
      <x:c r="G178" s="70" t="str"/>
      <x:c r="H178" s="70" t="str"/>
      <x:c r="I178" s="70" t="str"/>
      <x:c r="J178" s="70" t="str"/>
      <x:c r="K178" s="70" t="str"/>
      <x:c r="L178" s="70" t="str"/>
      <x:c r="M178" s="70" t="str">
        <x:f>IF(L178="完全支持",1,IF(L178="基本支持",0.75,IF(L178="部分支持",0.5,IF(L178="相邻但不同",0.25,IF(L178="反例",0,"")))))</x:f>
      </x:c>
      <x:c r="N178" s="70" t="str"/>
      <x:c r="O178" s="70" t="str"/>
      <x:c r="P178" s="70" t="str"/>
      <x:c r="Q178" s="70" t="str">
        <x:f>IF(OR(H178="",K178=""),"",IF(H178&gt;K178,"是","否"))</x:f>
      </x:c>
      <x:c r="R178" s="70" t="str">
        <x:v>否</x:v>
      </x:c>
      <x:c r="S178" s="70" t="str"/>
      <x:c r="T178" s="70" t="str"/>
      <x:c r="U178" s="70" t="str"/>
      <x:c r="V178" s="70" t="str">
        <x:v>否</x:v>
      </x:c>
      <x:c r="W178" s="70" t="str"/>
    </x:row>
    <x:row r="179">
      <x:c r="A179" s="70" t="str">
        <x:v>M5EV-0174</x:v>
      </x:c>
      <x:c r="B179" s="70" t="str"/>
      <x:c r="C179" s="70" t="str">
        <x:f>IFERROR(VLOOKUP(B179,'02_案例与预测'!$A$6:$E$65,5,FALSE),"")</x:f>
      </x:c>
      <x:c r="D179" s="70" t="str"/>
      <x:c r="E179" s="70" t="str"/>
      <x:c r="F179" s="70" t="str"/>
      <x:c r="G179" s="70" t="str"/>
      <x:c r="H179" s="70" t="str"/>
      <x:c r="I179" s="70" t="str"/>
      <x:c r="J179" s="70" t="str"/>
      <x:c r="K179" s="70" t="str"/>
      <x:c r="L179" s="70" t="str"/>
      <x:c r="M179" s="70" t="str">
        <x:f>IF(L179="完全支持",1,IF(L179="基本支持",0.75,IF(L179="部分支持",0.5,IF(L179="相邻但不同",0.25,IF(L179="反例",0,"")))))</x:f>
      </x:c>
      <x:c r="N179" s="70" t="str"/>
      <x:c r="O179" s="70" t="str"/>
      <x:c r="P179" s="70" t="str"/>
      <x:c r="Q179" s="70" t="str">
        <x:f>IF(OR(H179="",K179=""),"",IF(H179&gt;K179,"是","否"))</x:f>
      </x:c>
      <x:c r="R179" s="70" t="str">
        <x:v>否</x:v>
      </x:c>
      <x:c r="S179" s="70" t="str"/>
      <x:c r="T179" s="70" t="str"/>
      <x:c r="U179" s="70" t="str"/>
      <x:c r="V179" s="70" t="str">
        <x:v>否</x:v>
      </x:c>
      <x:c r="W179" s="70" t="str"/>
    </x:row>
    <x:row r="180">
      <x:c r="A180" s="70" t="str">
        <x:v>M5EV-0175</x:v>
      </x:c>
      <x:c r="B180" s="70" t="str"/>
      <x:c r="C180" s="70" t="str">
        <x:f>IFERROR(VLOOKUP(B180,'02_案例与预测'!$A$6:$E$65,5,FALSE),"")</x:f>
      </x:c>
      <x:c r="D180" s="70" t="str"/>
      <x:c r="E180" s="70" t="str"/>
      <x:c r="F180" s="70" t="str"/>
      <x:c r="G180" s="70" t="str"/>
      <x:c r="H180" s="70" t="str"/>
      <x:c r="I180" s="70" t="str"/>
      <x:c r="J180" s="70" t="str"/>
      <x:c r="K180" s="70" t="str"/>
      <x:c r="L180" s="70" t="str"/>
      <x:c r="M180" s="70" t="str">
        <x:f>IF(L180="完全支持",1,IF(L180="基本支持",0.75,IF(L180="部分支持",0.5,IF(L180="相邻但不同",0.25,IF(L180="反例",0,"")))))</x:f>
      </x:c>
      <x:c r="N180" s="70" t="str"/>
      <x:c r="O180" s="70" t="str"/>
      <x:c r="P180" s="70" t="str"/>
      <x:c r="Q180" s="70" t="str">
        <x:f>IF(OR(H180="",K180=""),"",IF(H180&gt;K180,"是","否"))</x:f>
      </x:c>
      <x:c r="R180" s="70" t="str">
        <x:v>否</x:v>
      </x:c>
      <x:c r="S180" s="70" t="str"/>
      <x:c r="T180" s="70" t="str"/>
      <x:c r="U180" s="70" t="str"/>
      <x:c r="V180" s="70" t="str">
        <x:v>否</x:v>
      </x:c>
      <x:c r="W180" s="70" t="str"/>
    </x:row>
    <x:row r="181">
      <x:c r="A181" s="70" t="str">
        <x:v>M5EV-0176</x:v>
      </x:c>
      <x:c r="B181" s="70" t="str"/>
      <x:c r="C181" s="70" t="str">
        <x:f>IFERROR(VLOOKUP(B181,'02_案例与预测'!$A$6:$E$65,5,FALSE),"")</x:f>
      </x:c>
      <x:c r="D181" s="70" t="str"/>
      <x:c r="E181" s="70" t="str"/>
      <x:c r="F181" s="70" t="str"/>
      <x:c r="G181" s="70" t="str"/>
      <x:c r="H181" s="70" t="str"/>
      <x:c r="I181" s="70" t="str"/>
      <x:c r="J181" s="70" t="str"/>
      <x:c r="K181" s="70" t="str"/>
      <x:c r="L181" s="70" t="str"/>
      <x:c r="M181" s="70" t="str">
        <x:f>IF(L181="完全支持",1,IF(L181="基本支持",0.75,IF(L181="部分支持",0.5,IF(L181="相邻但不同",0.25,IF(L181="反例",0,"")))))</x:f>
      </x:c>
      <x:c r="N181" s="70" t="str"/>
      <x:c r="O181" s="70" t="str"/>
      <x:c r="P181" s="70" t="str"/>
      <x:c r="Q181" s="70" t="str">
        <x:f>IF(OR(H181="",K181=""),"",IF(H181&gt;K181,"是","否"))</x:f>
      </x:c>
      <x:c r="R181" s="70" t="str">
        <x:v>否</x:v>
      </x:c>
      <x:c r="S181" s="70" t="str"/>
      <x:c r="T181" s="70" t="str"/>
      <x:c r="U181" s="70" t="str"/>
      <x:c r="V181" s="70" t="str">
        <x:v>否</x:v>
      </x:c>
      <x:c r="W181" s="70" t="str"/>
    </x:row>
    <x:row r="182">
      <x:c r="A182" s="70" t="str">
        <x:v>M5EV-0177</x:v>
      </x:c>
      <x:c r="B182" s="70" t="str"/>
      <x:c r="C182" s="70" t="str">
        <x:f>IFERROR(VLOOKUP(B182,'02_案例与预测'!$A$6:$E$65,5,FALSE),"")</x:f>
      </x:c>
      <x:c r="D182" s="70" t="str"/>
      <x:c r="E182" s="70" t="str"/>
      <x:c r="F182" s="70" t="str"/>
      <x:c r="G182" s="70" t="str"/>
      <x:c r="H182" s="70" t="str"/>
      <x:c r="I182" s="70" t="str"/>
      <x:c r="J182" s="70" t="str"/>
      <x:c r="K182" s="70" t="str"/>
      <x:c r="L182" s="70" t="str"/>
      <x:c r="M182" s="70" t="str">
        <x:f>IF(L182="完全支持",1,IF(L182="基本支持",0.75,IF(L182="部分支持",0.5,IF(L182="相邻但不同",0.25,IF(L182="反例",0,"")))))</x:f>
      </x:c>
      <x:c r="N182" s="70" t="str"/>
      <x:c r="O182" s="70" t="str"/>
      <x:c r="P182" s="70" t="str"/>
      <x:c r="Q182" s="70" t="str">
        <x:f>IF(OR(H182="",K182=""),"",IF(H182&gt;K182,"是","否"))</x:f>
      </x:c>
      <x:c r="R182" s="70" t="str">
        <x:v>否</x:v>
      </x:c>
      <x:c r="S182" s="70" t="str"/>
      <x:c r="T182" s="70" t="str"/>
      <x:c r="U182" s="70" t="str"/>
      <x:c r="V182" s="70" t="str">
        <x:v>否</x:v>
      </x:c>
      <x:c r="W182" s="70" t="str"/>
    </x:row>
    <x:row r="183">
      <x:c r="A183" s="70" t="str">
        <x:v>M5EV-0178</x:v>
      </x:c>
      <x:c r="B183" s="70" t="str"/>
      <x:c r="C183" s="70" t="str">
        <x:f>IFERROR(VLOOKUP(B183,'02_案例与预测'!$A$6:$E$65,5,FALSE),"")</x:f>
      </x:c>
      <x:c r="D183" s="70" t="str"/>
      <x:c r="E183" s="70" t="str"/>
      <x:c r="F183" s="70" t="str"/>
      <x:c r="G183" s="70" t="str"/>
      <x:c r="H183" s="70" t="str"/>
      <x:c r="I183" s="70" t="str"/>
      <x:c r="J183" s="70" t="str"/>
      <x:c r="K183" s="70" t="str"/>
      <x:c r="L183" s="70" t="str"/>
      <x:c r="M183" s="70" t="str">
        <x:f>IF(L183="完全支持",1,IF(L183="基本支持",0.75,IF(L183="部分支持",0.5,IF(L183="相邻但不同",0.25,IF(L183="反例",0,"")))))</x:f>
      </x:c>
      <x:c r="N183" s="70" t="str"/>
      <x:c r="O183" s="70" t="str"/>
      <x:c r="P183" s="70" t="str"/>
      <x:c r="Q183" s="70" t="str">
        <x:f>IF(OR(H183="",K183=""),"",IF(H183&gt;K183,"是","否"))</x:f>
      </x:c>
      <x:c r="R183" s="70" t="str">
        <x:v>否</x:v>
      </x:c>
      <x:c r="S183" s="70" t="str"/>
      <x:c r="T183" s="70" t="str"/>
      <x:c r="U183" s="70" t="str"/>
      <x:c r="V183" s="70" t="str">
        <x:v>否</x:v>
      </x:c>
      <x:c r="W183" s="70" t="str"/>
    </x:row>
    <x:row r="184">
      <x:c r="A184" s="70" t="str">
        <x:v>M5EV-0179</x:v>
      </x:c>
      <x:c r="B184" s="70" t="str"/>
      <x:c r="C184" s="70" t="str">
        <x:f>IFERROR(VLOOKUP(B184,'02_案例与预测'!$A$6:$E$65,5,FALSE),"")</x:f>
      </x:c>
      <x:c r="D184" s="70" t="str"/>
      <x:c r="E184" s="70" t="str"/>
      <x:c r="F184" s="70" t="str"/>
      <x:c r="G184" s="70" t="str"/>
      <x:c r="H184" s="70" t="str"/>
      <x:c r="I184" s="70" t="str"/>
      <x:c r="J184" s="70" t="str"/>
      <x:c r="K184" s="70" t="str"/>
      <x:c r="L184" s="70" t="str"/>
      <x:c r="M184" s="70" t="str">
        <x:f>IF(L184="完全支持",1,IF(L184="基本支持",0.75,IF(L184="部分支持",0.5,IF(L184="相邻但不同",0.25,IF(L184="反例",0,"")))))</x:f>
      </x:c>
      <x:c r="N184" s="70" t="str"/>
      <x:c r="O184" s="70" t="str"/>
      <x:c r="P184" s="70" t="str"/>
      <x:c r="Q184" s="70" t="str">
        <x:f>IF(OR(H184="",K184=""),"",IF(H184&gt;K184,"是","否"))</x:f>
      </x:c>
      <x:c r="R184" s="70" t="str">
        <x:v>否</x:v>
      </x:c>
      <x:c r="S184" s="70" t="str"/>
      <x:c r="T184" s="70" t="str"/>
      <x:c r="U184" s="70" t="str"/>
      <x:c r="V184" s="70" t="str">
        <x:v>否</x:v>
      </x:c>
      <x:c r="W184" s="70" t="str"/>
    </x:row>
    <x:row r="185">
      <x:c r="A185" s="70" t="str">
        <x:v>M5EV-0180</x:v>
      </x:c>
      <x:c r="B185" s="70" t="str"/>
      <x:c r="C185" s="70" t="str">
        <x:f>IFERROR(VLOOKUP(B185,'02_案例与预测'!$A$6:$E$65,5,FALSE),"")</x:f>
      </x:c>
      <x:c r="D185" s="70" t="str"/>
      <x:c r="E185" s="70" t="str"/>
      <x:c r="F185" s="70" t="str"/>
      <x:c r="G185" s="70" t="str"/>
      <x:c r="H185" s="70" t="str"/>
      <x:c r="I185" s="70" t="str"/>
      <x:c r="J185" s="70" t="str"/>
      <x:c r="K185" s="70" t="str"/>
      <x:c r="L185" s="70" t="str"/>
      <x:c r="M185" s="70" t="str">
        <x:f>IF(L185="完全支持",1,IF(L185="基本支持",0.75,IF(L185="部分支持",0.5,IF(L185="相邻但不同",0.25,IF(L185="反例",0,"")))))</x:f>
      </x:c>
      <x:c r="N185" s="70" t="str"/>
      <x:c r="O185" s="70" t="str"/>
      <x:c r="P185" s="70" t="str"/>
      <x:c r="Q185" s="70" t="str">
        <x:f>IF(OR(H185="",K185=""),"",IF(H185&gt;K185,"是","否"))</x:f>
      </x:c>
      <x:c r="R185" s="70" t="str">
        <x:v>否</x:v>
      </x:c>
      <x:c r="S185" s="70" t="str"/>
      <x:c r="T185" s="70" t="str"/>
      <x:c r="U185" s="70" t="str"/>
      <x:c r="V185" s="70" t="str">
        <x:v>否</x:v>
      </x:c>
      <x:c r="W185" s="70" t="str"/>
    </x:row>
    <x:row r="186">
      <x:c r="A186" s="70" t="str">
        <x:v>M5EV-0181</x:v>
      </x:c>
      <x:c r="B186" s="70" t="str"/>
      <x:c r="C186" s="70" t="str">
        <x:f>IFERROR(VLOOKUP(B186,'02_案例与预测'!$A$6:$E$65,5,FALSE),"")</x:f>
      </x:c>
      <x:c r="D186" s="70" t="str"/>
      <x:c r="E186" s="70" t="str"/>
      <x:c r="F186" s="70" t="str"/>
      <x:c r="G186" s="70" t="str"/>
      <x:c r="H186" s="70" t="str"/>
      <x:c r="I186" s="70" t="str"/>
      <x:c r="J186" s="70" t="str"/>
      <x:c r="K186" s="70" t="str"/>
      <x:c r="L186" s="70" t="str"/>
      <x:c r="M186" s="70" t="str">
        <x:f>IF(L186="完全支持",1,IF(L186="基本支持",0.75,IF(L186="部分支持",0.5,IF(L186="相邻但不同",0.25,IF(L186="反例",0,"")))))</x:f>
      </x:c>
      <x:c r="N186" s="70" t="str"/>
      <x:c r="O186" s="70" t="str"/>
      <x:c r="P186" s="70" t="str"/>
      <x:c r="Q186" s="70" t="str">
        <x:f>IF(OR(H186="",K186=""),"",IF(H186&gt;K186,"是","否"))</x:f>
      </x:c>
      <x:c r="R186" s="70" t="str">
        <x:v>否</x:v>
      </x:c>
      <x:c r="S186" s="70" t="str"/>
      <x:c r="T186" s="70" t="str"/>
      <x:c r="U186" s="70" t="str"/>
      <x:c r="V186" s="70" t="str">
        <x:v>否</x:v>
      </x:c>
      <x:c r="W186" s="70" t="str"/>
    </x:row>
    <x:row r="187">
      <x:c r="A187" s="70" t="str">
        <x:v>M5EV-0182</x:v>
      </x:c>
      <x:c r="B187" s="70" t="str"/>
      <x:c r="C187" s="70" t="str">
        <x:f>IFERROR(VLOOKUP(B187,'02_案例与预测'!$A$6:$E$65,5,FALSE),"")</x:f>
      </x:c>
      <x:c r="D187" s="70" t="str"/>
      <x:c r="E187" s="70" t="str"/>
      <x:c r="F187" s="70" t="str"/>
      <x:c r="G187" s="70" t="str"/>
      <x:c r="H187" s="70" t="str"/>
      <x:c r="I187" s="70" t="str"/>
      <x:c r="J187" s="70" t="str"/>
      <x:c r="K187" s="70" t="str"/>
      <x:c r="L187" s="70" t="str"/>
      <x:c r="M187" s="70" t="str">
        <x:f>IF(L187="完全支持",1,IF(L187="基本支持",0.75,IF(L187="部分支持",0.5,IF(L187="相邻但不同",0.25,IF(L187="反例",0,"")))))</x:f>
      </x:c>
      <x:c r="N187" s="70" t="str"/>
      <x:c r="O187" s="70" t="str"/>
      <x:c r="P187" s="70" t="str"/>
      <x:c r="Q187" s="70" t="str">
        <x:f>IF(OR(H187="",K187=""),"",IF(H187&gt;K187,"是","否"))</x:f>
      </x:c>
      <x:c r="R187" s="70" t="str">
        <x:v>否</x:v>
      </x:c>
      <x:c r="S187" s="70" t="str"/>
      <x:c r="T187" s="70" t="str"/>
      <x:c r="U187" s="70" t="str"/>
      <x:c r="V187" s="70" t="str">
        <x:v>否</x:v>
      </x:c>
      <x:c r="W187" s="70" t="str"/>
    </x:row>
    <x:row r="188">
      <x:c r="A188" s="70" t="str">
        <x:v>M5EV-0183</x:v>
      </x:c>
      <x:c r="B188" s="70" t="str"/>
      <x:c r="C188" s="70" t="str">
        <x:f>IFERROR(VLOOKUP(B188,'02_案例与预测'!$A$6:$E$65,5,FALSE),"")</x:f>
      </x:c>
      <x:c r="D188" s="70" t="str"/>
      <x:c r="E188" s="70" t="str"/>
      <x:c r="F188" s="70" t="str"/>
      <x:c r="G188" s="70" t="str"/>
      <x:c r="H188" s="70" t="str"/>
      <x:c r="I188" s="70" t="str"/>
      <x:c r="J188" s="70" t="str"/>
      <x:c r="K188" s="70" t="str"/>
      <x:c r="L188" s="70" t="str"/>
      <x:c r="M188" s="70" t="str">
        <x:f>IF(L188="完全支持",1,IF(L188="基本支持",0.75,IF(L188="部分支持",0.5,IF(L188="相邻但不同",0.25,IF(L188="反例",0,"")))))</x:f>
      </x:c>
      <x:c r="N188" s="70" t="str"/>
      <x:c r="O188" s="70" t="str"/>
      <x:c r="P188" s="70" t="str"/>
      <x:c r="Q188" s="70" t="str">
        <x:f>IF(OR(H188="",K188=""),"",IF(H188&gt;K188,"是","否"))</x:f>
      </x:c>
      <x:c r="R188" s="70" t="str">
        <x:v>否</x:v>
      </x:c>
      <x:c r="S188" s="70" t="str"/>
      <x:c r="T188" s="70" t="str"/>
      <x:c r="U188" s="70" t="str"/>
      <x:c r="V188" s="70" t="str">
        <x:v>否</x:v>
      </x:c>
      <x:c r="W188" s="70" t="str"/>
    </x:row>
    <x:row r="189">
      <x:c r="A189" s="70" t="str">
        <x:v>M5EV-0184</x:v>
      </x:c>
      <x:c r="B189" s="70" t="str"/>
      <x:c r="C189" s="70" t="str">
        <x:f>IFERROR(VLOOKUP(B189,'02_案例与预测'!$A$6:$E$65,5,FALSE),"")</x:f>
      </x:c>
      <x:c r="D189" s="70" t="str"/>
      <x:c r="E189" s="70" t="str"/>
      <x:c r="F189" s="70" t="str"/>
      <x:c r="G189" s="70" t="str"/>
      <x:c r="H189" s="70" t="str"/>
      <x:c r="I189" s="70" t="str"/>
      <x:c r="J189" s="70" t="str"/>
      <x:c r="K189" s="70" t="str"/>
      <x:c r="L189" s="70" t="str"/>
      <x:c r="M189" s="70" t="str">
        <x:f>IF(L189="完全支持",1,IF(L189="基本支持",0.75,IF(L189="部分支持",0.5,IF(L189="相邻但不同",0.25,IF(L189="反例",0,"")))))</x:f>
      </x:c>
      <x:c r="N189" s="70" t="str"/>
      <x:c r="O189" s="70" t="str"/>
      <x:c r="P189" s="70" t="str"/>
      <x:c r="Q189" s="70" t="str">
        <x:f>IF(OR(H189="",K189=""),"",IF(H189&gt;K189,"是","否"))</x:f>
      </x:c>
      <x:c r="R189" s="70" t="str">
        <x:v>否</x:v>
      </x:c>
      <x:c r="S189" s="70" t="str"/>
      <x:c r="T189" s="70" t="str"/>
      <x:c r="U189" s="70" t="str"/>
      <x:c r="V189" s="70" t="str">
        <x:v>否</x:v>
      </x:c>
      <x:c r="W189" s="70" t="str"/>
    </x:row>
    <x:row r="190">
      <x:c r="A190" s="70" t="str">
        <x:v>M5EV-0185</x:v>
      </x:c>
      <x:c r="B190" s="70" t="str"/>
      <x:c r="C190" s="70" t="str">
        <x:f>IFERROR(VLOOKUP(B190,'02_案例与预测'!$A$6:$E$65,5,FALSE),"")</x:f>
      </x:c>
      <x:c r="D190" s="70" t="str"/>
      <x:c r="E190" s="70" t="str"/>
      <x:c r="F190" s="70" t="str"/>
      <x:c r="G190" s="70" t="str"/>
      <x:c r="H190" s="70" t="str"/>
      <x:c r="I190" s="70" t="str"/>
      <x:c r="J190" s="70" t="str"/>
      <x:c r="K190" s="70" t="str"/>
      <x:c r="L190" s="70" t="str"/>
      <x:c r="M190" s="70" t="str">
        <x:f>IF(L190="完全支持",1,IF(L190="基本支持",0.75,IF(L190="部分支持",0.5,IF(L190="相邻但不同",0.25,IF(L190="反例",0,"")))))</x:f>
      </x:c>
      <x:c r="N190" s="70" t="str"/>
      <x:c r="O190" s="70" t="str"/>
      <x:c r="P190" s="70" t="str"/>
      <x:c r="Q190" s="70" t="str">
        <x:f>IF(OR(H190="",K190=""),"",IF(H190&gt;K190,"是","否"))</x:f>
      </x:c>
      <x:c r="R190" s="70" t="str">
        <x:v>否</x:v>
      </x:c>
      <x:c r="S190" s="70" t="str"/>
      <x:c r="T190" s="70" t="str"/>
      <x:c r="U190" s="70" t="str"/>
      <x:c r="V190" s="70" t="str">
        <x:v>否</x:v>
      </x:c>
      <x:c r="W190" s="70" t="str"/>
    </x:row>
    <x:row r="191">
      <x:c r="A191" s="70" t="str">
        <x:v>M5EV-0186</x:v>
      </x:c>
      <x:c r="B191" s="70" t="str"/>
      <x:c r="C191" s="70" t="str">
        <x:f>IFERROR(VLOOKUP(B191,'02_案例与预测'!$A$6:$E$65,5,FALSE),"")</x:f>
      </x:c>
      <x:c r="D191" s="70" t="str"/>
      <x:c r="E191" s="70" t="str"/>
      <x:c r="F191" s="70" t="str"/>
      <x:c r="G191" s="70" t="str"/>
      <x:c r="H191" s="70" t="str"/>
      <x:c r="I191" s="70" t="str"/>
      <x:c r="J191" s="70" t="str"/>
      <x:c r="K191" s="70" t="str"/>
      <x:c r="L191" s="70" t="str"/>
      <x:c r="M191" s="70" t="str">
        <x:f>IF(L191="完全支持",1,IF(L191="基本支持",0.75,IF(L191="部分支持",0.5,IF(L191="相邻但不同",0.25,IF(L191="反例",0,"")))))</x:f>
      </x:c>
      <x:c r="N191" s="70" t="str"/>
      <x:c r="O191" s="70" t="str"/>
      <x:c r="P191" s="70" t="str"/>
      <x:c r="Q191" s="70" t="str">
        <x:f>IF(OR(H191="",K191=""),"",IF(H191&gt;K191,"是","否"))</x:f>
      </x:c>
      <x:c r="R191" s="70" t="str">
        <x:v>否</x:v>
      </x:c>
      <x:c r="S191" s="70" t="str"/>
      <x:c r="T191" s="70" t="str"/>
      <x:c r="U191" s="70" t="str"/>
      <x:c r="V191" s="70" t="str">
        <x:v>否</x:v>
      </x:c>
      <x:c r="W191" s="70" t="str"/>
    </x:row>
    <x:row r="192">
      <x:c r="A192" s="70" t="str">
        <x:v>M5EV-0187</x:v>
      </x:c>
      <x:c r="B192" s="70" t="str"/>
      <x:c r="C192" s="70" t="str">
        <x:f>IFERROR(VLOOKUP(B192,'02_案例与预测'!$A$6:$E$65,5,FALSE),"")</x:f>
      </x:c>
      <x:c r="D192" s="70" t="str"/>
      <x:c r="E192" s="70" t="str"/>
      <x:c r="F192" s="70" t="str"/>
      <x:c r="G192" s="70" t="str"/>
      <x:c r="H192" s="70" t="str"/>
      <x:c r="I192" s="70" t="str"/>
      <x:c r="J192" s="70" t="str"/>
      <x:c r="K192" s="70" t="str"/>
      <x:c r="L192" s="70" t="str"/>
      <x:c r="M192" s="70" t="str">
        <x:f>IF(L192="完全支持",1,IF(L192="基本支持",0.75,IF(L192="部分支持",0.5,IF(L192="相邻但不同",0.25,IF(L192="反例",0,"")))))</x:f>
      </x:c>
      <x:c r="N192" s="70" t="str"/>
      <x:c r="O192" s="70" t="str"/>
      <x:c r="P192" s="70" t="str"/>
      <x:c r="Q192" s="70" t="str">
        <x:f>IF(OR(H192="",K192=""),"",IF(H192&gt;K192,"是","否"))</x:f>
      </x:c>
      <x:c r="R192" s="70" t="str">
        <x:v>否</x:v>
      </x:c>
      <x:c r="S192" s="70" t="str"/>
      <x:c r="T192" s="70" t="str"/>
      <x:c r="U192" s="70" t="str"/>
      <x:c r="V192" s="70" t="str">
        <x:v>否</x:v>
      </x:c>
      <x:c r="W192" s="70" t="str"/>
    </x:row>
    <x:row r="193">
      <x:c r="A193" s="70" t="str">
        <x:v>M5EV-0188</x:v>
      </x:c>
      <x:c r="B193" s="70" t="str"/>
      <x:c r="C193" s="70" t="str">
        <x:f>IFERROR(VLOOKUP(B193,'02_案例与预测'!$A$6:$E$65,5,FALSE),"")</x:f>
      </x:c>
      <x:c r="D193" s="70" t="str"/>
      <x:c r="E193" s="70" t="str"/>
      <x:c r="F193" s="70" t="str"/>
      <x:c r="G193" s="70" t="str"/>
      <x:c r="H193" s="70" t="str"/>
      <x:c r="I193" s="70" t="str"/>
      <x:c r="J193" s="70" t="str"/>
      <x:c r="K193" s="70" t="str"/>
      <x:c r="L193" s="70" t="str"/>
      <x:c r="M193" s="70" t="str">
        <x:f>IF(L193="完全支持",1,IF(L193="基本支持",0.75,IF(L193="部分支持",0.5,IF(L193="相邻但不同",0.25,IF(L193="反例",0,"")))))</x:f>
      </x:c>
      <x:c r="N193" s="70" t="str"/>
      <x:c r="O193" s="70" t="str"/>
      <x:c r="P193" s="70" t="str"/>
      <x:c r="Q193" s="70" t="str">
        <x:f>IF(OR(H193="",K193=""),"",IF(H193&gt;K193,"是","否"))</x:f>
      </x:c>
      <x:c r="R193" s="70" t="str">
        <x:v>否</x:v>
      </x:c>
      <x:c r="S193" s="70" t="str"/>
      <x:c r="T193" s="70" t="str"/>
      <x:c r="U193" s="70" t="str"/>
      <x:c r="V193" s="70" t="str">
        <x:v>否</x:v>
      </x:c>
      <x:c r="W193" s="70" t="str"/>
    </x:row>
    <x:row r="194">
      <x:c r="A194" s="70" t="str">
        <x:v>M5EV-0189</x:v>
      </x:c>
      <x:c r="B194" s="70" t="str"/>
      <x:c r="C194" s="70" t="str">
        <x:f>IFERROR(VLOOKUP(B194,'02_案例与预测'!$A$6:$E$65,5,FALSE),"")</x:f>
      </x:c>
      <x:c r="D194" s="70" t="str"/>
      <x:c r="E194" s="70" t="str"/>
      <x:c r="F194" s="70" t="str"/>
      <x:c r="G194" s="70" t="str"/>
      <x:c r="H194" s="70" t="str"/>
      <x:c r="I194" s="70" t="str"/>
      <x:c r="J194" s="70" t="str"/>
      <x:c r="K194" s="70" t="str"/>
      <x:c r="L194" s="70" t="str"/>
      <x:c r="M194" s="70" t="str">
        <x:f>IF(L194="完全支持",1,IF(L194="基本支持",0.75,IF(L194="部分支持",0.5,IF(L194="相邻但不同",0.25,IF(L194="反例",0,"")))))</x:f>
      </x:c>
      <x:c r="N194" s="70" t="str"/>
      <x:c r="O194" s="70" t="str"/>
      <x:c r="P194" s="70" t="str"/>
      <x:c r="Q194" s="70" t="str">
        <x:f>IF(OR(H194="",K194=""),"",IF(H194&gt;K194,"是","否"))</x:f>
      </x:c>
      <x:c r="R194" s="70" t="str">
        <x:v>否</x:v>
      </x:c>
      <x:c r="S194" s="70" t="str"/>
      <x:c r="T194" s="70" t="str"/>
      <x:c r="U194" s="70" t="str"/>
      <x:c r="V194" s="70" t="str">
        <x:v>否</x:v>
      </x:c>
      <x:c r="W194" s="70" t="str"/>
    </x:row>
    <x:row r="195">
      <x:c r="A195" s="70" t="str">
        <x:v>M5EV-0190</x:v>
      </x:c>
      <x:c r="B195" s="70" t="str"/>
      <x:c r="C195" s="70" t="str">
        <x:f>IFERROR(VLOOKUP(B195,'02_案例与预测'!$A$6:$E$65,5,FALSE),"")</x:f>
      </x:c>
      <x:c r="D195" s="70" t="str"/>
      <x:c r="E195" s="70" t="str"/>
      <x:c r="F195" s="70" t="str"/>
      <x:c r="G195" s="70" t="str"/>
      <x:c r="H195" s="70" t="str"/>
      <x:c r="I195" s="70" t="str"/>
      <x:c r="J195" s="70" t="str"/>
      <x:c r="K195" s="70" t="str"/>
      <x:c r="L195" s="70" t="str"/>
      <x:c r="M195" s="70" t="str">
        <x:f>IF(L195="完全支持",1,IF(L195="基本支持",0.75,IF(L195="部分支持",0.5,IF(L195="相邻但不同",0.25,IF(L195="反例",0,"")))))</x:f>
      </x:c>
      <x:c r="N195" s="70" t="str"/>
      <x:c r="O195" s="70" t="str"/>
      <x:c r="P195" s="70" t="str"/>
      <x:c r="Q195" s="70" t="str">
        <x:f>IF(OR(H195="",K195=""),"",IF(H195&gt;K195,"是","否"))</x:f>
      </x:c>
      <x:c r="R195" s="70" t="str">
        <x:v>否</x:v>
      </x:c>
      <x:c r="S195" s="70" t="str"/>
      <x:c r="T195" s="70" t="str"/>
      <x:c r="U195" s="70" t="str"/>
      <x:c r="V195" s="70" t="str">
        <x:v>否</x:v>
      </x:c>
      <x:c r="W195" s="70" t="str"/>
    </x:row>
    <x:row r="196">
      <x:c r="A196" s="70" t="str">
        <x:v>M5EV-0191</x:v>
      </x:c>
      <x:c r="B196" s="70" t="str"/>
      <x:c r="C196" s="70" t="str">
        <x:f>IFERROR(VLOOKUP(B196,'02_案例与预测'!$A$6:$E$65,5,FALSE),"")</x:f>
      </x:c>
      <x:c r="D196" s="70" t="str"/>
      <x:c r="E196" s="70" t="str"/>
      <x:c r="F196" s="70" t="str"/>
      <x:c r="G196" s="70" t="str"/>
      <x:c r="H196" s="70" t="str"/>
      <x:c r="I196" s="70" t="str"/>
      <x:c r="J196" s="70" t="str"/>
      <x:c r="K196" s="70" t="str"/>
      <x:c r="L196" s="70" t="str"/>
      <x:c r="M196" s="70" t="str">
        <x:f>IF(L196="完全支持",1,IF(L196="基本支持",0.75,IF(L196="部分支持",0.5,IF(L196="相邻但不同",0.25,IF(L196="反例",0,"")))))</x:f>
      </x:c>
      <x:c r="N196" s="70" t="str"/>
      <x:c r="O196" s="70" t="str"/>
      <x:c r="P196" s="70" t="str"/>
      <x:c r="Q196" s="70" t="str">
        <x:f>IF(OR(H196="",K196=""),"",IF(H196&gt;K196,"是","否"))</x:f>
      </x:c>
      <x:c r="R196" s="70" t="str">
        <x:v>否</x:v>
      </x:c>
      <x:c r="S196" s="70" t="str"/>
      <x:c r="T196" s="70" t="str"/>
      <x:c r="U196" s="70" t="str"/>
      <x:c r="V196" s="70" t="str">
        <x:v>否</x:v>
      </x:c>
      <x:c r="W196" s="70" t="str"/>
    </x:row>
    <x:row r="197">
      <x:c r="A197" s="70" t="str">
        <x:v>M5EV-0192</x:v>
      </x:c>
      <x:c r="B197" s="70" t="str"/>
      <x:c r="C197" s="70" t="str">
        <x:f>IFERROR(VLOOKUP(B197,'02_案例与预测'!$A$6:$E$65,5,FALSE),"")</x:f>
      </x:c>
      <x:c r="D197" s="70" t="str"/>
      <x:c r="E197" s="70" t="str"/>
      <x:c r="F197" s="70" t="str"/>
      <x:c r="G197" s="70" t="str"/>
      <x:c r="H197" s="70" t="str"/>
      <x:c r="I197" s="70" t="str"/>
      <x:c r="J197" s="70" t="str"/>
      <x:c r="K197" s="70" t="str"/>
      <x:c r="L197" s="70" t="str"/>
      <x:c r="M197" s="70" t="str">
        <x:f>IF(L197="完全支持",1,IF(L197="基本支持",0.75,IF(L197="部分支持",0.5,IF(L197="相邻但不同",0.25,IF(L197="反例",0,"")))))</x:f>
      </x:c>
      <x:c r="N197" s="70" t="str"/>
      <x:c r="O197" s="70" t="str"/>
      <x:c r="P197" s="70" t="str"/>
      <x:c r="Q197" s="70" t="str">
        <x:f>IF(OR(H197="",K197=""),"",IF(H197&gt;K197,"是","否"))</x:f>
      </x:c>
      <x:c r="R197" s="70" t="str">
        <x:v>否</x:v>
      </x:c>
      <x:c r="S197" s="70" t="str"/>
      <x:c r="T197" s="70" t="str"/>
      <x:c r="U197" s="70" t="str"/>
      <x:c r="V197" s="70" t="str">
        <x:v>否</x:v>
      </x:c>
      <x:c r="W197" s="70" t="str"/>
    </x:row>
    <x:row r="198">
      <x:c r="A198" s="70" t="str">
        <x:v>M5EV-0193</x:v>
      </x:c>
      <x:c r="B198" s="70" t="str"/>
      <x:c r="C198" s="70" t="str">
        <x:f>IFERROR(VLOOKUP(B198,'02_案例与预测'!$A$6:$E$65,5,FALSE),"")</x:f>
      </x:c>
      <x:c r="D198" s="70" t="str"/>
      <x:c r="E198" s="70" t="str"/>
      <x:c r="F198" s="70" t="str"/>
      <x:c r="G198" s="70" t="str"/>
      <x:c r="H198" s="70" t="str"/>
      <x:c r="I198" s="70" t="str"/>
      <x:c r="J198" s="70" t="str"/>
      <x:c r="K198" s="70" t="str"/>
      <x:c r="L198" s="70" t="str"/>
      <x:c r="M198" s="70" t="str">
        <x:f>IF(L198="完全支持",1,IF(L198="基本支持",0.75,IF(L198="部分支持",0.5,IF(L198="相邻但不同",0.25,IF(L198="反例",0,"")))))</x:f>
      </x:c>
      <x:c r="N198" s="70" t="str"/>
      <x:c r="O198" s="70" t="str"/>
      <x:c r="P198" s="70" t="str"/>
      <x:c r="Q198" s="70" t="str">
        <x:f>IF(OR(H198="",K198=""),"",IF(H198&gt;K198,"是","否"))</x:f>
      </x:c>
      <x:c r="R198" s="70" t="str">
        <x:v>否</x:v>
      </x:c>
      <x:c r="S198" s="70" t="str"/>
      <x:c r="T198" s="70" t="str"/>
      <x:c r="U198" s="70" t="str"/>
      <x:c r="V198" s="70" t="str">
        <x:v>否</x:v>
      </x:c>
      <x:c r="W198" s="70" t="str"/>
    </x:row>
    <x:row r="199">
      <x:c r="A199" s="70" t="str">
        <x:v>M5EV-0194</x:v>
      </x:c>
      <x:c r="B199" s="70" t="str"/>
      <x:c r="C199" s="70" t="str">
        <x:f>IFERROR(VLOOKUP(B199,'02_案例与预测'!$A$6:$E$65,5,FALSE),"")</x:f>
      </x:c>
      <x:c r="D199" s="70" t="str"/>
      <x:c r="E199" s="70" t="str"/>
      <x:c r="F199" s="70" t="str"/>
      <x:c r="G199" s="70" t="str"/>
      <x:c r="H199" s="70" t="str"/>
      <x:c r="I199" s="70" t="str"/>
      <x:c r="J199" s="70" t="str"/>
      <x:c r="K199" s="70" t="str"/>
      <x:c r="L199" s="70" t="str"/>
      <x:c r="M199" s="70" t="str">
        <x:f>IF(L199="完全支持",1,IF(L199="基本支持",0.75,IF(L199="部分支持",0.5,IF(L199="相邻但不同",0.25,IF(L199="反例",0,"")))))</x:f>
      </x:c>
      <x:c r="N199" s="70" t="str"/>
      <x:c r="O199" s="70" t="str"/>
      <x:c r="P199" s="70" t="str"/>
      <x:c r="Q199" s="70" t="str">
        <x:f>IF(OR(H199="",K199=""),"",IF(H199&gt;K199,"是","否"))</x:f>
      </x:c>
      <x:c r="R199" s="70" t="str">
        <x:v>否</x:v>
      </x:c>
      <x:c r="S199" s="70" t="str"/>
      <x:c r="T199" s="70" t="str"/>
      <x:c r="U199" s="70" t="str"/>
      <x:c r="V199" s="70" t="str">
        <x:v>否</x:v>
      </x:c>
      <x:c r="W199" s="70" t="str"/>
    </x:row>
    <x:row r="200">
      <x:c r="A200" s="70" t="str">
        <x:v>M5EV-0195</x:v>
      </x:c>
      <x:c r="B200" s="70" t="str"/>
      <x:c r="C200" s="70" t="str">
        <x:f>IFERROR(VLOOKUP(B200,'02_案例与预测'!$A$6:$E$65,5,FALSE),"")</x:f>
      </x:c>
      <x:c r="D200" s="70" t="str"/>
      <x:c r="E200" s="70" t="str"/>
      <x:c r="F200" s="70" t="str"/>
      <x:c r="G200" s="70" t="str"/>
      <x:c r="H200" s="70" t="str"/>
      <x:c r="I200" s="70" t="str"/>
      <x:c r="J200" s="70" t="str"/>
      <x:c r="K200" s="70" t="str"/>
      <x:c r="L200" s="70" t="str"/>
      <x:c r="M200" s="70" t="str">
        <x:f>IF(L200="完全支持",1,IF(L200="基本支持",0.75,IF(L200="部分支持",0.5,IF(L200="相邻但不同",0.25,IF(L200="反例",0,"")))))</x:f>
      </x:c>
      <x:c r="N200" s="70" t="str"/>
      <x:c r="O200" s="70" t="str"/>
      <x:c r="P200" s="70" t="str"/>
      <x:c r="Q200" s="70" t="str">
        <x:f>IF(OR(H200="",K200=""),"",IF(H200&gt;K200,"是","否"))</x:f>
      </x:c>
      <x:c r="R200" s="70" t="str">
        <x:v>否</x:v>
      </x:c>
      <x:c r="S200" s="70" t="str"/>
      <x:c r="T200" s="70" t="str"/>
      <x:c r="U200" s="70" t="str"/>
      <x:c r="V200" s="70" t="str">
        <x:v>否</x:v>
      </x:c>
      <x:c r="W200" s="70" t="str"/>
    </x:row>
    <x:row r="201">
      <x:c r="A201" s="70" t="str">
        <x:v>M5EV-0196</x:v>
      </x:c>
      <x:c r="B201" s="70" t="str"/>
      <x:c r="C201" s="70" t="str">
        <x:f>IFERROR(VLOOKUP(B201,'02_案例与预测'!$A$6:$E$65,5,FALSE),"")</x:f>
      </x:c>
      <x:c r="D201" s="70" t="str"/>
      <x:c r="E201" s="70" t="str"/>
      <x:c r="F201" s="70" t="str"/>
      <x:c r="G201" s="70" t="str"/>
      <x:c r="H201" s="70" t="str"/>
      <x:c r="I201" s="70" t="str"/>
      <x:c r="J201" s="70" t="str"/>
      <x:c r="K201" s="70" t="str"/>
      <x:c r="L201" s="70" t="str"/>
      <x:c r="M201" s="70" t="str">
        <x:f>IF(L201="完全支持",1,IF(L201="基本支持",0.75,IF(L201="部分支持",0.5,IF(L201="相邻但不同",0.25,IF(L201="反例",0,"")))))</x:f>
      </x:c>
      <x:c r="N201" s="70" t="str"/>
      <x:c r="O201" s="70" t="str"/>
      <x:c r="P201" s="70" t="str"/>
      <x:c r="Q201" s="70" t="str">
        <x:f>IF(OR(H201="",K201=""),"",IF(H201&gt;K201,"是","否"))</x:f>
      </x:c>
      <x:c r="R201" s="70" t="str">
        <x:v>否</x:v>
      </x:c>
      <x:c r="S201" s="70" t="str"/>
      <x:c r="T201" s="70" t="str"/>
      <x:c r="U201" s="70" t="str"/>
      <x:c r="V201" s="70" t="str">
        <x:v>否</x:v>
      </x:c>
      <x:c r="W201" s="70" t="str"/>
    </x:row>
    <x:row r="202">
      <x:c r="A202" s="70" t="str">
        <x:v>M5EV-0197</x:v>
      </x:c>
      <x:c r="B202" s="70" t="str"/>
      <x:c r="C202" s="70" t="str">
        <x:f>IFERROR(VLOOKUP(B202,'02_案例与预测'!$A$6:$E$65,5,FALSE),"")</x:f>
      </x:c>
      <x:c r="D202" s="70" t="str"/>
      <x:c r="E202" s="70" t="str"/>
      <x:c r="F202" s="70" t="str"/>
      <x:c r="G202" s="70" t="str"/>
      <x:c r="H202" s="70" t="str"/>
      <x:c r="I202" s="70" t="str"/>
      <x:c r="J202" s="70" t="str"/>
      <x:c r="K202" s="70" t="str"/>
      <x:c r="L202" s="70" t="str"/>
      <x:c r="M202" s="70" t="str">
        <x:f>IF(L202="完全支持",1,IF(L202="基本支持",0.75,IF(L202="部分支持",0.5,IF(L202="相邻但不同",0.25,IF(L202="反例",0,"")))))</x:f>
      </x:c>
      <x:c r="N202" s="70" t="str"/>
      <x:c r="O202" s="70" t="str"/>
      <x:c r="P202" s="70" t="str"/>
      <x:c r="Q202" s="70" t="str">
        <x:f>IF(OR(H202="",K202=""),"",IF(H202&gt;K202,"是","否"))</x:f>
      </x:c>
      <x:c r="R202" s="70" t="str">
        <x:v>否</x:v>
      </x:c>
      <x:c r="S202" s="70" t="str"/>
      <x:c r="T202" s="70" t="str"/>
      <x:c r="U202" s="70" t="str"/>
      <x:c r="V202" s="70" t="str">
        <x:v>否</x:v>
      </x:c>
      <x:c r="W202" s="70" t="str"/>
    </x:row>
    <x:row r="203">
      <x:c r="A203" s="70" t="str">
        <x:v>M5EV-0198</x:v>
      </x:c>
      <x:c r="B203" s="70" t="str"/>
      <x:c r="C203" s="70" t="str">
        <x:f>IFERROR(VLOOKUP(B203,'02_案例与预测'!$A$6:$E$65,5,FALSE),"")</x:f>
      </x:c>
      <x:c r="D203" s="70" t="str"/>
      <x:c r="E203" s="70" t="str"/>
      <x:c r="F203" s="70" t="str"/>
      <x:c r="G203" s="70" t="str"/>
      <x:c r="H203" s="70" t="str"/>
      <x:c r="I203" s="70" t="str"/>
      <x:c r="J203" s="70" t="str"/>
      <x:c r="K203" s="70" t="str"/>
      <x:c r="L203" s="70" t="str"/>
      <x:c r="M203" s="70" t="str">
        <x:f>IF(L203="完全支持",1,IF(L203="基本支持",0.75,IF(L203="部分支持",0.5,IF(L203="相邻但不同",0.25,IF(L203="反例",0,"")))))</x:f>
      </x:c>
      <x:c r="N203" s="70" t="str"/>
      <x:c r="O203" s="70" t="str"/>
      <x:c r="P203" s="70" t="str"/>
      <x:c r="Q203" s="70" t="str">
        <x:f>IF(OR(H203="",K203=""),"",IF(H203&gt;K203,"是","否"))</x:f>
      </x:c>
      <x:c r="R203" s="70" t="str">
        <x:v>否</x:v>
      </x:c>
      <x:c r="S203" s="70" t="str"/>
      <x:c r="T203" s="70" t="str"/>
      <x:c r="U203" s="70" t="str"/>
      <x:c r="V203" s="70" t="str">
        <x:v>否</x:v>
      </x:c>
      <x:c r="W203" s="70" t="str"/>
    </x:row>
    <x:row r="204">
      <x:c r="A204" s="70" t="str">
        <x:v>M5EV-0199</x:v>
      </x:c>
      <x:c r="B204" s="70" t="str"/>
      <x:c r="C204" s="70" t="str">
        <x:f>IFERROR(VLOOKUP(B204,'02_案例与预测'!$A$6:$E$65,5,FALSE),"")</x:f>
      </x:c>
      <x:c r="D204" s="70" t="str"/>
      <x:c r="E204" s="70" t="str"/>
      <x:c r="F204" s="70" t="str"/>
      <x:c r="G204" s="70" t="str"/>
      <x:c r="H204" s="70" t="str"/>
      <x:c r="I204" s="70" t="str"/>
      <x:c r="J204" s="70" t="str"/>
      <x:c r="K204" s="70" t="str"/>
      <x:c r="L204" s="70" t="str"/>
      <x:c r="M204" s="70" t="str">
        <x:f>IF(L204="完全支持",1,IF(L204="基本支持",0.75,IF(L204="部分支持",0.5,IF(L204="相邻但不同",0.25,IF(L204="反例",0,"")))))</x:f>
      </x:c>
      <x:c r="N204" s="70" t="str"/>
      <x:c r="O204" s="70" t="str"/>
      <x:c r="P204" s="70" t="str"/>
      <x:c r="Q204" s="70" t="str">
        <x:f>IF(OR(H204="",K204=""),"",IF(H204&gt;K204,"是","否"))</x:f>
      </x:c>
      <x:c r="R204" s="70" t="str">
        <x:v>否</x:v>
      </x:c>
      <x:c r="S204" s="70" t="str"/>
      <x:c r="T204" s="70" t="str"/>
      <x:c r="U204" s="70" t="str"/>
      <x:c r="V204" s="70" t="str">
        <x:v>否</x:v>
      </x:c>
      <x:c r="W204" s="70" t="str"/>
    </x:row>
    <x:row r="205">
      <x:c r="A205" s="70" t="str">
        <x:v>M5EV-0200</x:v>
      </x:c>
      <x:c r="B205" s="70" t="str"/>
      <x:c r="C205" s="70" t="str">
        <x:f>IFERROR(VLOOKUP(B205,'02_案例与预测'!$A$6:$E$65,5,FALSE),"")</x:f>
      </x:c>
      <x:c r="D205" s="70" t="str"/>
      <x:c r="E205" s="70" t="str"/>
      <x:c r="F205" s="70" t="str"/>
      <x:c r="G205" s="70" t="str"/>
      <x:c r="H205" s="70" t="str"/>
      <x:c r="I205" s="70" t="str"/>
      <x:c r="J205" s="70" t="str"/>
      <x:c r="K205" s="70" t="str"/>
      <x:c r="L205" s="70" t="str"/>
      <x:c r="M205" s="70" t="str">
        <x:f>IF(L205="完全支持",1,IF(L205="基本支持",0.75,IF(L205="部分支持",0.5,IF(L205="相邻但不同",0.25,IF(L205="反例",0,"")))))</x:f>
      </x:c>
      <x:c r="N205" s="70" t="str"/>
      <x:c r="O205" s="70" t="str"/>
      <x:c r="P205" s="70" t="str"/>
      <x:c r="Q205" s="70" t="str">
        <x:f>IF(OR(H205="",K205=""),"",IF(H205&gt;K205,"是","否"))</x:f>
      </x:c>
      <x:c r="R205" s="70" t="str">
        <x:v>否</x:v>
      </x:c>
      <x:c r="S205" s="70" t="str"/>
      <x:c r="T205" s="70" t="str"/>
      <x:c r="U205" s="70" t="str"/>
      <x:c r="V205" s="70" t="str">
        <x:v>否</x:v>
      </x:c>
      <x:c r="W205" s="70" t="str"/>
    </x:row>
    <x:row r="206">
      <x:c r="A206" s="70" t="str">
        <x:v>M5EV-0201</x:v>
      </x:c>
      <x:c r="B206" s="70" t="str"/>
      <x:c r="C206" s="70" t="str">
        <x:f>IFERROR(VLOOKUP(B206,'02_案例与预测'!$A$6:$E$65,5,FALSE),"")</x:f>
      </x:c>
      <x:c r="D206" s="70" t="str"/>
      <x:c r="E206" s="70" t="str"/>
      <x:c r="F206" s="70" t="str"/>
      <x:c r="G206" s="70" t="str"/>
      <x:c r="H206" s="70" t="str"/>
      <x:c r="I206" s="70" t="str"/>
      <x:c r="J206" s="70" t="str"/>
      <x:c r="K206" s="70" t="str"/>
      <x:c r="L206" s="70" t="str"/>
      <x:c r="M206" s="70" t="str">
        <x:f>IF(L206="完全支持",1,IF(L206="基本支持",0.75,IF(L206="部分支持",0.5,IF(L206="相邻但不同",0.25,IF(L206="反例",0,"")))))</x:f>
      </x:c>
      <x:c r="N206" s="70" t="str"/>
      <x:c r="O206" s="70" t="str"/>
      <x:c r="P206" s="70" t="str"/>
      <x:c r="Q206" s="70" t="str">
        <x:f>IF(OR(H206="",K206=""),"",IF(H206&gt;K206,"是","否"))</x:f>
      </x:c>
      <x:c r="R206" s="70" t="str">
        <x:v>否</x:v>
      </x:c>
      <x:c r="S206" s="70" t="str"/>
      <x:c r="T206" s="70" t="str"/>
      <x:c r="U206" s="70" t="str"/>
      <x:c r="V206" s="70" t="str">
        <x:v>否</x:v>
      </x:c>
      <x:c r="W206" s="70" t="str"/>
    </x:row>
    <x:row r="207">
      <x:c r="A207" s="70" t="str">
        <x:v>M5EV-0202</x:v>
      </x:c>
      <x:c r="B207" s="70" t="str"/>
      <x:c r="C207" s="70" t="str">
        <x:f>IFERROR(VLOOKUP(B207,'02_案例与预测'!$A$6:$E$65,5,FALSE),"")</x:f>
      </x:c>
      <x:c r="D207" s="70" t="str"/>
      <x:c r="E207" s="70" t="str"/>
      <x:c r="F207" s="70" t="str"/>
      <x:c r="G207" s="70" t="str"/>
      <x:c r="H207" s="70" t="str"/>
      <x:c r="I207" s="70" t="str"/>
      <x:c r="J207" s="70" t="str"/>
      <x:c r="K207" s="70" t="str"/>
      <x:c r="L207" s="70" t="str"/>
      <x:c r="M207" s="70" t="str">
        <x:f>IF(L207="完全支持",1,IF(L207="基本支持",0.75,IF(L207="部分支持",0.5,IF(L207="相邻但不同",0.25,IF(L207="反例",0,"")))))</x:f>
      </x:c>
      <x:c r="N207" s="70" t="str"/>
      <x:c r="O207" s="70" t="str"/>
      <x:c r="P207" s="70" t="str"/>
      <x:c r="Q207" s="70" t="str">
        <x:f>IF(OR(H207="",K207=""),"",IF(H207&gt;K207,"是","否"))</x:f>
      </x:c>
      <x:c r="R207" s="70" t="str">
        <x:v>否</x:v>
      </x:c>
      <x:c r="S207" s="70" t="str"/>
      <x:c r="T207" s="70" t="str"/>
      <x:c r="U207" s="70" t="str"/>
      <x:c r="V207" s="70" t="str">
        <x:v>否</x:v>
      </x:c>
      <x:c r="W207" s="70" t="str"/>
    </x:row>
    <x:row r="208">
      <x:c r="A208" s="70" t="str">
        <x:v>M5EV-0203</x:v>
      </x:c>
      <x:c r="B208" s="70" t="str"/>
      <x:c r="C208" s="70" t="str">
        <x:f>IFERROR(VLOOKUP(B208,'02_案例与预测'!$A$6:$E$65,5,FALSE),"")</x:f>
      </x:c>
      <x:c r="D208" s="70" t="str"/>
      <x:c r="E208" s="70" t="str"/>
      <x:c r="F208" s="70" t="str"/>
      <x:c r="G208" s="70" t="str"/>
      <x:c r="H208" s="70" t="str"/>
      <x:c r="I208" s="70" t="str"/>
      <x:c r="J208" s="70" t="str"/>
      <x:c r="K208" s="70" t="str"/>
      <x:c r="L208" s="70" t="str"/>
      <x:c r="M208" s="70" t="str">
        <x:f>IF(L208="完全支持",1,IF(L208="基本支持",0.75,IF(L208="部分支持",0.5,IF(L208="相邻但不同",0.25,IF(L208="反例",0,"")))))</x:f>
      </x:c>
      <x:c r="N208" s="70" t="str"/>
      <x:c r="O208" s="70" t="str"/>
      <x:c r="P208" s="70" t="str"/>
      <x:c r="Q208" s="70" t="str">
        <x:f>IF(OR(H208="",K208=""),"",IF(H208&gt;K208,"是","否"))</x:f>
      </x:c>
      <x:c r="R208" s="70" t="str">
        <x:v>否</x:v>
      </x:c>
      <x:c r="S208" s="70" t="str"/>
      <x:c r="T208" s="70" t="str"/>
      <x:c r="U208" s="70" t="str"/>
      <x:c r="V208" s="70" t="str">
        <x:v>否</x:v>
      </x:c>
      <x:c r="W208" s="70" t="str"/>
    </x:row>
    <x:row r="209">
      <x:c r="A209" s="70" t="str">
        <x:v>M5EV-0204</x:v>
      </x:c>
      <x:c r="B209" s="70" t="str"/>
      <x:c r="C209" s="70" t="str">
        <x:f>IFERROR(VLOOKUP(B209,'02_案例与预测'!$A$6:$E$65,5,FALSE),"")</x:f>
      </x:c>
      <x:c r="D209" s="70" t="str"/>
      <x:c r="E209" s="70" t="str"/>
      <x:c r="F209" s="70" t="str"/>
      <x:c r="G209" s="70" t="str"/>
      <x:c r="H209" s="70" t="str"/>
      <x:c r="I209" s="70" t="str"/>
      <x:c r="J209" s="70" t="str"/>
      <x:c r="K209" s="70" t="str"/>
      <x:c r="L209" s="70" t="str"/>
      <x:c r="M209" s="70" t="str">
        <x:f>IF(L209="完全支持",1,IF(L209="基本支持",0.75,IF(L209="部分支持",0.5,IF(L209="相邻但不同",0.25,IF(L209="反例",0,"")))))</x:f>
      </x:c>
      <x:c r="N209" s="70" t="str"/>
      <x:c r="O209" s="70" t="str"/>
      <x:c r="P209" s="70" t="str"/>
      <x:c r="Q209" s="70" t="str">
        <x:f>IF(OR(H209="",K209=""),"",IF(H209&gt;K209,"是","否"))</x:f>
      </x:c>
      <x:c r="R209" s="70" t="str">
        <x:v>否</x:v>
      </x:c>
      <x:c r="S209" s="70" t="str"/>
      <x:c r="T209" s="70" t="str"/>
      <x:c r="U209" s="70" t="str"/>
      <x:c r="V209" s="70" t="str">
        <x:v>否</x:v>
      </x:c>
      <x:c r="W209" s="70" t="str"/>
    </x:row>
    <x:row r="210">
      <x:c r="A210" s="70" t="str">
        <x:v>M5EV-0205</x:v>
      </x:c>
      <x:c r="B210" s="70" t="str"/>
      <x:c r="C210" s="70" t="str">
        <x:f>IFERROR(VLOOKUP(B210,'02_案例与预测'!$A$6:$E$65,5,FALSE),"")</x:f>
      </x:c>
      <x:c r="D210" s="70" t="str"/>
      <x:c r="E210" s="70" t="str"/>
      <x:c r="F210" s="70" t="str"/>
      <x:c r="G210" s="70" t="str"/>
      <x:c r="H210" s="70" t="str"/>
      <x:c r="I210" s="70" t="str"/>
      <x:c r="J210" s="70" t="str"/>
      <x:c r="K210" s="70" t="str"/>
      <x:c r="L210" s="70" t="str"/>
      <x:c r="M210" s="70" t="str">
        <x:f>IF(L210="完全支持",1,IF(L210="基本支持",0.75,IF(L210="部分支持",0.5,IF(L210="相邻但不同",0.25,IF(L210="反例",0,"")))))</x:f>
      </x:c>
      <x:c r="N210" s="70" t="str"/>
      <x:c r="O210" s="70" t="str"/>
      <x:c r="P210" s="70" t="str"/>
      <x:c r="Q210" s="70" t="str">
        <x:f>IF(OR(H210="",K210=""),"",IF(H210&gt;K210,"是","否"))</x:f>
      </x:c>
      <x:c r="R210" s="70" t="str">
        <x:v>否</x:v>
      </x:c>
      <x:c r="S210" s="70" t="str"/>
      <x:c r="T210" s="70" t="str"/>
      <x:c r="U210" s="70" t="str"/>
      <x:c r="V210" s="70" t="str">
        <x:v>否</x:v>
      </x:c>
      <x:c r="W210" s="70" t="str"/>
    </x:row>
    <x:row r="211">
      <x:c r="A211" s="70" t="str">
        <x:v>M5EV-0206</x:v>
      </x:c>
      <x:c r="B211" s="70" t="str"/>
      <x:c r="C211" s="70" t="str">
        <x:f>IFERROR(VLOOKUP(B211,'02_案例与预测'!$A$6:$E$65,5,FALSE),"")</x:f>
      </x:c>
      <x:c r="D211" s="70" t="str"/>
      <x:c r="E211" s="70" t="str"/>
      <x:c r="F211" s="70" t="str"/>
      <x:c r="G211" s="70" t="str"/>
      <x:c r="H211" s="70" t="str"/>
      <x:c r="I211" s="70" t="str"/>
      <x:c r="J211" s="70" t="str"/>
      <x:c r="K211" s="70" t="str"/>
      <x:c r="L211" s="70" t="str"/>
      <x:c r="M211" s="70" t="str">
        <x:f>IF(L211="完全支持",1,IF(L211="基本支持",0.75,IF(L211="部分支持",0.5,IF(L211="相邻但不同",0.25,IF(L211="反例",0,"")))))</x:f>
      </x:c>
      <x:c r="N211" s="70" t="str"/>
      <x:c r="O211" s="70" t="str"/>
      <x:c r="P211" s="70" t="str"/>
      <x:c r="Q211" s="70" t="str">
        <x:f>IF(OR(H211="",K211=""),"",IF(H211&gt;K211,"是","否"))</x:f>
      </x:c>
      <x:c r="R211" s="70" t="str">
        <x:v>否</x:v>
      </x:c>
      <x:c r="S211" s="70" t="str"/>
      <x:c r="T211" s="70" t="str"/>
      <x:c r="U211" s="70" t="str"/>
      <x:c r="V211" s="70" t="str">
        <x:v>否</x:v>
      </x:c>
      <x:c r="W211" s="70" t="str"/>
    </x:row>
    <x:row r="212">
      <x:c r="A212" s="70" t="str">
        <x:v>M5EV-0207</x:v>
      </x:c>
      <x:c r="B212" s="70" t="str"/>
      <x:c r="C212" s="70" t="str">
        <x:f>IFERROR(VLOOKUP(B212,'02_案例与预测'!$A$6:$E$65,5,FALSE),"")</x:f>
      </x:c>
      <x:c r="D212" s="70" t="str"/>
      <x:c r="E212" s="70" t="str"/>
      <x:c r="F212" s="70" t="str"/>
      <x:c r="G212" s="70" t="str"/>
      <x:c r="H212" s="70" t="str"/>
      <x:c r="I212" s="70" t="str"/>
      <x:c r="J212" s="70" t="str"/>
      <x:c r="K212" s="70" t="str"/>
      <x:c r="L212" s="70" t="str"/>
      <x:c r="M212" s="70" t="str">
        <x:f>IF(L212="完全支持",1,IF(L212="基本支持",0.75,IF(L212="部分支持",0.5,IF(L212="相邻但不同",0.25,IF(L212="反例",0,"")))))</x:f>
      </x:c>
      <x:c r="N212" s="70" t="str"/>
      <x:c r="O212" s="70" t="str"/>
      <x:c r="P212" s="70" t="str"/>
      <x:c r="Q212" s="70" t="str">
        <x:f>IF(OR(H212="",K212=""),"",IF(H212&gt;K212,"是","否"))</x:f>
      </x:c>
      <x:c r="R212" s="70" t="str">
        <x:v>否</x:v>
      </x:c>
      <x:c r="S212" s="70" t="str"/>
      <x:c r="T212" s="70" t="str"/>
      <x:c r="U212" s="70" t="str"/>
      <x:c r="V212" s="70" t="str">
        <x:v>否</x:v>
      </x:c>
      <x:c r="W212" s="70" t="str"/>
    </x:row>
    <x:row r="213">
      <x:c r="A213" s="70" t="str">
        <x:v>M5EV-0208</x:v>
      </x:c>
      <x:c r="B213" s="70" t="str"/>
      <x:c r="C213" s="70" t="str">
        <x:f>IFERROR(VLOOKUP(B213,'02_案例与预测'!$A$6:$E$65,5,FALSE),"")</x:f>
      </x:c>
      <x:c r="D213" s="70" t="str"/>
      <x:c r="E213" s="70" t="str"/>
      <x:c r="F213" s="70" t="str"/>
      <x:c r="G213" s="70" t="str"/>
      <x:c r="H213" s="70" t="str"/>
      <x:c r="I213" s="70" t="str"/>
      <x:c r="J213" s="70" t="str"/>
      <x:c r="K213" s="70" t="str"/>
      <x:c r="L213" s="70" t="str"/>
      <x:c r="M213" s="70" t="str">
        <x:f>IF(L213="完全支持",1,IF(L213="基本支持",0.75,IF(L213="部分支持",0.5,IF(L213="相邻但不同",0.25,IF(L213="反例",0,"")))))</x:f>
      </x:c>
      <x:c r="N213" s="70" t="str"/>
      <x:c r="O213" s="70" t="str"/>
      <x:c r="P213" s="70" t="str"/>
      <x:c r="Q213" s="70" t="str">
        <x:f>IF(OR(H213="",K213=""),"",IF(H213&gt;K213,"是","否"))</x:f>
      </x:c>
      <x:c r="R213" s="70" t="str">
        <x:v>否</x:v>
      </x:c>
      <x:c r="S213" s="70" t="str"/>
      <x:c r="T213" s="70" t="str"/>
      <x:c r="U213" s="70" t="str"/>
      <x:c r="V213" s="70" t="str">
        <x:v>否</x:v>
      </x:c>
      <x:c r="W213" s="70" t="str"/>
    </x:row>
    <x:row r="214">
      <x:c r="A214" s="70" t="str">
        <x:v>M5EV-0209</x:v>
      </x:c>
      <x:c r="B214" s="70" t="str"/>
      <x:c r="C214" s="70" t="str">
        <x:f>IFERROR(VLOOKUP(B214,'02_案例与预测'!$A$6:$E$65,5,FALSE),"")</x:f>
      </x:c>
      <x:c r="D214" s="70" t="str"/>
      <x:c r="E214" s="70" t="str"/>
      <x:c r="F214" s="70" t="str"/>
      <x:c r="G214" s="70" t="str"/>
      <x:c r="H214" s="70" t="str"/>
      <x:c r="I214" s="70" t="str"/>
      <x:c r="J214" s="70" t="str"/>
      <x:c r="K214" s="70" t="str"/>
      <x:c r="L214" s="70" t="str"/>
      <x:c r="M214" s="70" t="str">
        <x:f>IF(L214="完全支持",1,IF(L214="基本支持",0.75,IF(L214="部分支持",0.5,IF(L214="相邻但不同",0.25,IF(L214="反例",0,"")))))</x:f>
      </x:c>
      <x:c r="N214" s="70" t="str"/>
      <x:c r="O214" s="70" t="str"/>
      <x:c r="P214" s="70" t="str"/>
      <x:c r="Q214" s="70" t="str">
        <x:f>IF(OR(H214="",K214=""),"",IF(H214&gt;K214,"是","否"))</x:f>
      </x:c>
      <x:c r="R214" s="70" t="str">
        <x:v>否</x:v>
      </x:c>
      <x:c r="S214" s="70" t="str"/>
      <x:c r="T214" s="70" t="str"/>
      <x:c r="U214" s="70" t="str"/>
      <x:c r="V214" s="70" t="str">
        <x:v>否</x:v>
      </x:c>
      <x:c r="W214" s="70" t="str"/>
    </x:row>
    <x:row r="215">
      <x:c r="A215" s="70" t="str">
        <x:v>M5EV-0210</x:v>
      </x:c>
      <x:c r="B215" s="70" t="str"/>
      <x:c r="C215" s="70" t="str">
        <x:f>IFERROR(VLOOKUP(B215,'02_案例与预测'!$A$6:$E$65,5,FALSE),"")</x:f>
      </x:c>
      <x:c r="D215" s="70" t="str"/>
      <x:c r="E215" s="70" t="str"/>
      <x:c r="F215" s="70" t="str"/>
      <x:c r="G215" s="70" t="str"/>
      <x:c r="H215" s="70" t="str"/>
      <x:c r="I215" s="70" t="str"/>
      <x:c r="J215" s="70" t="str"/>
      <x:c r="K215" s="70" t="str"/>
      <x:c r="L215" s="70" t="str"/>
      <x:c r="M215" s="70" t="str">
        <x:f>IF(L215="完全支持",1,IF(L215="基本支持",0.75,IF(L215="部分支持",0.5,IF(L215="相邻但不同",0.25,IF(L215="反例",0,"")))))</x:f>
      </x:c>
      <x:c r="N215" s="70" t="str"/>
      <x:c r="O215" s="70" t="str"/>
      <x:c r="P215" s="70" t="str"/>
      <x:c r="Q215" s="70" t="str">
        <x:f>IF(OR(H215="",K215=""),"",IF(H215&gt;K215,"是","否"))</x:f>
      </x:c>
      <x:c r="R215" s="70" t="str">
        <x:v>否</x:v>
      </x:c>
      <x:c r="S215" s="70" t="str"/>
      <x:c r="T215" s="70" t="str"/>
      <x:c r="U215" s="70" t="str"/>
      <x:c r="V215" s="70" t="str">
        <x:v>否</x:v>
      </x:c>
      <x:c r="W215" s="70" t="str"/>
    </x:row>
    <x:row r="216">
      <x:c r="A216" s="70" t="str">
        <x:v>M5EV-0211</x:v>
      </x:c>
      <x:c r="B216" s="70" t="str"/>
      <x:c r="C216" s="70" t="str">
        <x:f>IFERROR(VLOOKUP(B216,'02_案例与预测'!$A$6:$E$65,5,FALSE),"")</x:f>
      </x:c>
      <x:c r="D216" s="70" t="str"/>
      <x:c r="E216" s="70" t="str"/>
      <x:c r="F216" s="70" t="str"/>
      <x:c r="G216" s="70" t="str"/>
      <x:c r="H216" s="70" t="str"/>
      <x:c r="I216" s="70" t="str"/>
      <x:c r="J216" s="70" t="str"/>
      <x:c r="K216" s="70" t="str"/>
      <x:c r="L216" s="70" t="str"/>
      <x:c r="M216" s="70" t="str">
        <x:f>IF(L216="完全支持",1,IF(L216="基本支持",0.75,IF(L216="部分支持",0.5,IF(L216="相邻但不同",0.25,IF(L216="反例",0,"")))))</x:f>
      </x:c>
      <x:c r="N216" s="70" t="str"/>
      <x:c r="O216" s="70" t="str"/>
      <x:c r="P216" s="70" t="str"/>
      <x:c r="Q216" s="70" t="str">
        <x:f>IF(OR(H216="",K216=""),"",IF(H216&gt;K216,"是","否"))</x:f>
      </x:c>
      <x:c r="R216" s="70" t="str">
        <x:v>否</x:v>
      </x:c>
      <x:c r="S216" s="70" t="str"/>
      <x:c r="T216" s="70" t="str"/>
      <x:c r="U216" s="70" t="str"/>
      <x:c r="V216" s="70" t="str">
        <x:v>否</x:v>
      </x:c>
      <x:c r="W216" s="70" t="str"/>
    </x:row>
    <x:row r="217">
      <x:c r="A217" s="70" t="str">
        <x:v>M5EV-0212</x:v>
      </x:c>
      <x:c r="B217" s="70" t="str"/>
      <x:c r="C217" s="70" t="str">
        <x:f>IFERROR(VLOOKUP(B217,'02_案例与预测'!$A$6:$E$65,5,FALSE),"")</x:f>
      </x:c>
      <x:c r="D217" s="70" t="str"/>
      <x:c r="E217" s="70" t="str"/>
      <x:c r="F217" s="70" t="str"/>
      <x:c r="G217" s="70" t="str"/>
      <x:c r="H217" s="70" t="str"/>
      <x:c r="I217" s="70" t="str"/>
      <x:c r="J217" s="70" t="str"/>
      <x:c r="K217" s="70" t="str"/>
      <x:c r="L217" s="70" t="str"/>
      <x:c r="M217" s="70" t="str">
        <x:f>IF(L217="完全支持",1,IF(L217="基本支持",0.75,IF(L217="部分支持",0.5,IF(L217="相邻但不同",0.25,IF(L217="反例",0,"")))))</x:f>
      </x:c>
      <x:c r="N217" s="70" t="str"/>
      <x:c r="O217" s="70" t="str"/>
      <x:c r="P217" s="70" t="str"/>
      <x:c r="Q217" s="70" t="str">
        <x:f>IF(OR(H217="",K217=""),"",IF(H217&gt;K217,"是","否"))</x:f>
      </x:c>
      <x:c r="R217" s="70" t="str">
        <x:v>否</x:v>
      </x:c>
      <x:c r="S217" s="70" t="str"/>
      <x:c r="T217" s="70" t="str"/>
      <x:c r="U217" s="70" t="str"/>
      <x:c r="V217" s="70" t="str">
        <x:v>否</x:v>
      </x:c>
      <x:c r="W217" s="70" t="str"/>
    </x:row>
    <x:row r="218">
      <x:c r="A218" s="70" t="str">
        <x:v>M5EV-0213</x:v>
      </x:c>
      <x:c r="B218" s="70" t="str"/>
      <x:c r="C218" s="70" t="str">
        <x:f>IFERROR(VLOOKUP(B218,'02_案例与预测'!$A$6:$E$65,5,FALSE),"")</x:f>
      </x:c>
      <x:c r="D218" s="70" t="str"/>
      <x:c r="E218" s="70" t="str"/>
      <x:c r="F218" s="70" t="str"/>
      <x:c r="G218" s="70" t="str"/>
      <x:c r="H218" s="70" t="str"/>
      <x:c r="I218" s="70" t="str"/>
      <x:c r="J218" s="70" t="str"/>
      <x:c r="K218" s="70" t="str"/>
      <x:c r="L218" s="70" t="str"/>
      <x:c r="M218" s="70" t="str">
        <x:f>IF(L218="完全支持",1,IF(L218="基本支持",0.75,IF(L218="部分支持",0.5,IF(L218="相邻但不同",0.25,IF(L218="反例",0,"")))))</x:f>
      </x:c>
      <x:c r="N218" s="70" t="str"/>
      <x:c r="O218" s="70" t="str"/>
      <x:c r="P218" s="70" t="str"/>
      <x:c r="Q218" s="70" t="str">
        <x:f>IF(OR(H218="",K218=""),"",IF(H218&gt;K218,"是","否"))</x:f>
      </x:c>
      <x:c r="R218" s="70" t="str">
        <x:v>否</x:v>
      </x:c>
      <x:c r="S218" s="70" t="str"/>
      <x:c r="T218" s="70" t="str"/>
      <x:c r="U218" s="70" t="str"/>
      <x:c r="V218" s="70" t="str">
        <x:v>否</x:v>
      </x:c>
      <x:c r="W218" s="70" t="str"/>
    </x:row>
    <x:row r="219">
      <x:c r="A219" s="70" t="str">
        <x:v>M5EV-0214</x:v>
      </x:c>
      <x:c r="B219" s="70" t="str"/>
      <x:c r="C219" s="70" t="str">
        <x:f>IFERROR(VLOOKUP(B219,'02_案例与预测'!$A$6:$E$65,5,FALSE),"")</x:f>
      </x:c>
      <x:c r="D219" s="70" t="str"/>
      <x:c r="E219" s="70" t="str"/>
      <x:c r="F219" s="70" t="str"/>
      <x:c r="G219" s="70" t="str"/>
      <x:c r="H219" s="70" t="str"/>
      <x:c r="I219" s="70" t="str"/>
      <x:c r="J219" s="70" t="str"/>
      <x:c r="K219" s="70" t="str"/>
      <x:c r="L219" s="70" t="str"/>
      <x:c r="M219" s="70" t="str">
        <x:f>IF(L219="完全支持",1,IF(L219="基本支持",0.75,IF(L219="部分支持",0.5,IF(L219="相邻但不同",0.25,IF(L219="反例",0,"")))))</x:f>
      </x:c>
      <x:c r="N219" s="70" t="str"/>
      <x:c r="O219" s="70" t="str"/>
      <x:c r="P219" s="70" t="str"/>
      <x:c r="Q219" s="70" t="str">
        <x:f>IF(OR(H219="",K219=""),"",IF(H219&gt;K219,"是","否"))</x:f>
      </x:c>
      <x:c r="R219" s="70" t="str">
        <x:v>否</x:v>
      </x:c>
      <x:c r="S219" s="70" t="str"/>
      <x:c r="T219" s="70" t="str"/>
      <x:c r="U219" s="70" t="str"/>
      <x:c r="V219" s="70" t="str">
        <x:v>否</x:v>
      </x:c>
      <x:c r="W219" s="70" t="str"/>
    </x:row>
    <x:row r="220">
      <x:c r="A220" s="70" t="str">
        <x:v>M5EV-0215</x:v>
      </x:c>
      <x:c r="B220" s="70" t="str"/>
      <x:c r="C220" s="70" t="str">
        <x:f>IFERROR(VLOOKUP(B220,'02_案例与预测'!$A$6:$E$65,5,FALSE),"")</x:f>
      </x:c>
      <x:c r="D220" s="70" t="str"/>
      <x:c r="E220" s="70" t="str"/>
      <x:c r="F220" s="70" t="str"/>
      <x:c r="G220" s="70" t="str"/>
      <x:c r="H220" s="70" t="str"/>
      <x:c r="I220" s="70" t="str"/>
      <x:c r="J220" s="70" t="str"/>
      <x:c r="K220" s="70" t="str"/>
      <x:c r="L220" s="70" t="str"/>
      <x:c r="M220" s="70" t="str">
        <x:f>IF(L220="完全支持",1,IF(L220="基本支持",0.75,IF(L220="部分支持",0.5,IF(L220="相邻但不同",0.25,IF(L220="反例",0,"")))))</x:f>
      </x:c>
      <x:c r="N220" s="70" t="str"/>
      <x:c r="O220" s="70" t="str"/>
      <x:c r="P220" s="70" t="str"/>
      <x:c r="Q220" s="70" t="str">
        <x:f>IF(OR(H220="",K220=""),"",IF(H220&gt;K220,"是","否"))</x:f>
      </x:c>
      <x:c r="R220" s="70" t="str">
        <x:v>否</x:v>
      </x:c>
      <x:c r="S220" s="70" t="str"/>
      <x:c r="T220" s="70" t="str"/>
      <x:c r="U220" s="70" t="str"/>
      <x:c r="V220" s="70" t="str">
        <x:v>否</x:v>
      </x:c>
      <x:c r="W220" s="70" t="str"/>
    </x:row>
    <x:row r="221">
      <x:c r="A221" s="70" t="str">
        <x:v>M5EV-0216</x:v>
      </x:c>
      <x:c r="B221" s="70" t="str"/>
      <x:c r="C221" s="70" t="str">
        <x:f>IFERROR(VLOOKUP(B221,'02_案例与预测'!$A$6:$E$65,5,FALSE),"")</x:f>
      </x:c>
      <x:c r="D221" s="70" t="str"/>
      <x:c r="E221" s="70" t="str"/>
      <x:c r="F221" s="70" t="str"/>
      <x:c r="G221" s="70" t="str"/>
      <x:c r="H221" s="70" t="str"/>
      <x:c r="I221" s="70" t="str"/>
      <x:c r="J221" s="70" t="str"/>
      <x:c r="K221" s="70" t="str"/>
      <x:c r="L221" s="70" t="str"/>
      <x:c r="M221" s="70" t="str">
        <x:f>IF(L221="完全支持",1,IF(L221="基本支持",0.75,IF(L221="部分支持",0.5,IF(L221="相邻但不同",0.25,IF(L221="反例",0,"")))))</x:f>
      </x:c>
      <x:c r="N221" s="70" t="str"/>
      <x:c r="O221" s="70" t="str"/>
      <x:c r="P221" s="70" t="str"/>
      <x:c r="Q221" s="70" t="str">
        <x:f>IF(OR(H221="",K221=""),"",IF(H221&gt;K221,"是","否"))</x:f>
      </x:c>
      <x:c r="R221" s="70" t="str">
        <x:v>否</x:v>
      </x:c>
      <x:c r="S221" s="70" t="str"/>
      <x:c r="T221" s="70" t="str"/>
      <x:c r="U221" s="70" t="str"/>
      <x:c r="V221" s="70" t="str">
        <x:v>否</x:v>
      </x:c>
      <x:c r="W221" s="70" t="str"/>
    </x:row>
    <x:row r="222">
      <x:c r="A222" s="70" t="str">
        <x:v>M5EV-0217</x:v>
      </x:c>
      <x:c r="B222" s="70" t="str"/>
      <x:c r="C222" s="70" t="str">
        <x:f>IFERROR(VLOOKUP(B222,'02_案例与预测'!$A$6:$E$65,5,FALSE),"")</x:f>
      </x:c>
      <x:c r="D222" s="70" t="str"/>
      <x:c r="E222" s="70" t="str"/>
      <x:c r="F222" s="70" t="str"/>
      <x:c r="G222" s="70" t="str"/>
      <x:c r="H222" s="70" t="str"/>
      <x:c r="I222" s="70" t="str"/>
      <x:c r="J222" s="70" t="str"/>
      <x:c r="K222" s="70" t="str"/>
      <x:c r="L222" s="70" t="str"/>
      <x:c r="M222" s="70" t="str">
        <x:f>IF(L222="完全支持",1,IF(L222="基本支持",0.75,IF(L222="部分支持",0.5,IF(L222="相邻但不同",0.25,IF(L222="反例",0,"")))))</x:f>
      </x:c>
      <x:c r="N222" s="70" t="str"/>
      <x:c r="O222" s="70" t="str"/>
      <x:c r="P222" s="70" t="str"/>
      <x:c r="Q222" s="70" t="str">
        <x:f>IF(OR(H222="",K222=""),"",IF(H222&gt;K222,"是","否"))</x:f>
      </x:c>
      <x:c r="R222" s="70" t="str">
        <x:v>否</x:v>
      </x:c>
      <x:c r="S222" s="70" t="str"/>
      <x:c r="T222" s="70" t="str"/>
      <x:c r="U222" s="70" t="str"/>
      <x:c r="V222" s="70" t="str">
        <x:v>否</x:v>
      </x:c>
      <x:c r="W222" s="70" t="str"/>
    </x:row>
    <x:row r="223">
      <x:c r="A223" s="70" t="str">
        <x:v>M5EV-0218</x:v>
      </x:c>
      <x:c r="B223" s="70" t="str"/>
      <x:c r="C223" s="70" t="str">
        <x:f>IFERROR(VLOOKUP(B223,'02_案例与预测'!$A$6:$E$65,5,FALSE),"")</x:f>
      </x:c>
      <x:c r="D223" s="70" t="str"/>
      <x:c r="E223" s="70" t="str"/>
      <x:c r="F223" s="70" t="str"/>
      <x:c r="G223" s="70" t="str"/>
      <x:c r="H223" s="70" t="str"/>
      <x:c r="I223" s="70" t="str"/>
      <x:c r="J223" s="70" t="str"/>
      <x:c r="K223" s="70" t="str"/>
      <x:c r="L223" s="70" t="str"/>
      <x:c r="M223" s="70" t="str">
        <x:f>IF(L223="完全支持",1,IF(L223="基本支持",0.75,IF(L223="部分支持",0.5,IF(L223="相邻但不同",0.25,IF(L223="反例",0,"")))))</x:f>
      </x:c>
      <x:c r="N223" s="70" t="str"/>
      <x:c r="O223" s="70" t="str"/>
      <x:c r="P223" s="70" t="str"/>
      <x:c r="Q223" s="70" t="str">
        <x:f>IF(OR(H223="",K223=""),"",IF(H223&gt;K223,"是","否"))</x:f>
      </x:c>
      <x:c r="R223" s="70" t="str">
        <x:v>否</x:v>
      </x:c>
      <x:c r="S223" s="70" t="str"/>
      <x:c r="T223" s="70" t="str"/>
      <x:c r="U223" s="70" t="str"/>
      <x:c r="V223" s="70" t="str">
        <x:v>否</x:v>
      </x:c>
      <x:c r="W223" s="70" t="str"/>
    </x:row>
    <x:row r="224">
      <x:c r="A224" s="70" t="str">
        <x:v>M5EV-0219</x:v>
      </x:c>
      <x:c r="B224" s="70" t="str"/>
      <x:c r="C224" s="70" t="str">
        <x:f>IFERROR(VLOOKUP(B224,'02_案例与预测'!$A$6:$E$65,5,FALSE),"")</x:f>
      </x:c>
      <x:c r="D224" s="70" t="str"/>
      <x:c r="E224" s="70" t="str"/>
      <x:c r="F224" s="70" t="str"/>
      <x:c r="G224" s="70" t="str"/>
      <x:c r="H224" s="70" t="str"/>
      <x:c r="I224" s="70" t="str"/>
      <x:c r="J224" s="70" t="str"/>
      <x:c r="K224" s="70" t="str"/>
      <x:c r="L224" s="70" t="str"/>
      <x:c r="M224" s="70" t="str">
        <x:f>IF(L224="完全支持",1,IF(L224="基本支持",0.75,IF(L224="部分支持",0.5,IF(L224="相邻但不同",0.25,IF(L224="反例",0,"")))))</x:f>
      </x:c>
      <x:c r="N224" s="70" t="str"/>
      <x:c r="O224" s="70" t="str"/>
      <x:c r="P224" s="70" t="str"/>
      <x:c r="Q224" s="70" t="str">
        <x:f>IF(OR(H224="",K224=""),"",IF(H224&gt;K224,"是","否"))</x:f>
      </x:c>
      <x:c r="R224" s="70" t="str">
        <x:v>否</x:v>
      </x:c>
      <x:c r="S224" s="70" t="str"/>
      <x:c r="T224" s="70" t="str"/>
      <x:c r="U224" s="70" t="str"/>
      <x:c r="V224" s="70" t="str">
        <x:v>否</x:v>
      </x:c>
      <x:c r="W224" s="70" t="str"/>
    </x:row>
    <x:row r="225">
      <x:c r="A225" s="70" t="str">
        <x:v>M5EV-0220</x:v>
      </x:c>
      <x:c r="B225" s="70" t="str"/>
      <x:c r="C225" s="70" t="str">
        <x:f>IFERROR(VLOOKUP(B225,'02_案例与预测'!$A$6:$E$65,5,FALSE),"")</x:f>
      </x:c>
      <x:c r="D225" s="70" t="str"/>
      <x:c r="E225" s="70" t="str"/>
      <x:c r="F225" s="70" t="str"/>
      <x:c r="G225" s="70" t="str"/>
      <x:c r="H225" s="70" t="str"/>
      <x:c r="I225" s="70" t="str"/>
      <x:c r="J225" s="70" t="str"/>
      <x:c r="K225" s="70" t="str"/>
      <x:c r="L225" s="70" t="str"/>
      <x:c r="M225" s="70" t="str">
        <x:f>IF(L225="完全支持",1,IF(L225="基本支持",0.75,IF(L225="部分支持",0.5,IF(L225="相邻但不同",0.25,IF(L225="反例",0,"")))))</x:f>
      </x:c>
      <x:c r="N225" s="70" t="str"/>
      <x:c r="O225" s="70" t="str"/>
      <x:c r="P225" s="70" t="str"/>
      <x:c r="Q225" s="70" t="str">
        <x:f>IF(OR(H225="",K225=""),"",IF(H225&gt;K225,"是","否"))</x:f>
      </x:c>
      <x:c r="R225" s="70" t="str">
        <x:v>否</x:v>
      </x:c>
      <x:c r="S225" s="70" t="str"/>
      <x:c r="T225" s="70" t="str"/>
      <x:c r="U225" s="70" t="str"/>
      <x:c r="V225" s="70" t="str">
        <x:v>否</x:v>
      </x:c>
      <x:c r="W225" s="70" t="str"/>
    </x:row>
    <x:row r="226">
      <x:c r="A226" s="70" t="str">
        <x:v>M5EV-0221</x:v>
      </x:c>
      <x:c r="B226" s="70" t="str"/>
      <x:c r="C226" s="70" t="str">
        <x:f>IFERROR(VLOOKUP(B226,'02_案例与预测'!$A$6:$E$65,5,FALSE),"")</x:f>
      </x:c>
      <x:c r="D226" s="70" t="str"/>
      <x:c r="E226" s="70" t="str"/>
      <x:c r="F226" s="70" t="str"/>
      <x:c r="G226" s="70" t="str"/>
      <x:c r="H226" s="70" t="str"/>
      <x:c r="I226" s="70" t="str"/>
      <x:c r="J226" s="70" t="str"/>
      <x:c r="K226" s="70" t="str"/>
      <x:c r="L226" s="70" t="str"/>
      <x:c r="M226" s="70" t="str">
        <x:f>IF(L226="完全支持",1,IF(L226="基本支持",0.75,IF(L226="部分支持",0.5,IF(L226="相邻但不同",0.25,IF(L226="反例",0,"")))))</x:f>
      </x:c>
      <x:c r="N226" s="70" t="str"/>
      <x:c r="O226" s="70" t="str"/>
      <x:c r="P226" s="70" t="str"/>
      <x:c r="Q226" s="70" t="str">
        <x:f>IF(OR(H226="",K226=""),"",IF(H226&gt;K226,"是","否"))</x:f>
      </x:c>
      <x:c r="R226" s="70" t="str">
        <x:v>否</x:v>
      </x:c>
      <x:c r="S226" s="70" t="str"/>
      <x:c r="T226" s="70" t="str"/>
      <x:c r="U226" s="70" t="str"/>
      <x:c r="V226" s="70" t="str">
        <x:v>否</x:v>
      </x:c>
      <x:c r="W226" s="70" t="str"/>
    </x:row>
    <x:row r="227">
      <x:c r="A227" s="70" t="str">
        <x:v>M5EV-0222</x:v>
      </x:c>
      <x:c r="B227" s="70" t="str"/>
      <x:c r="C227" s="70" t="str">
        <x:f>IFERROR(VLOOKUP(B227,'02_案例与预测'!$A$6:$E$65,5,FALSE),"")</x:f>
      </x:c>
      <x:c r="D227" s="70" t="str"/>
      <x:c r="E227" s="70" t="str"/>
      <x:c r="F227" s="70" t="str"/>
      <x:c r="G227" s="70" t="str"/>
      <x:c r="H227" s="70" t="str"/>
      <x:c r="I227" s="70" t="str"/>
      <x:c r="J227" s="70" t="str"/>
      <x:c r="K227" s="70" t="str"/>
      <x:c r="L227" s="70" t="str"/>
      <x:c r="M227" s="70" t="str">
        <x:f>IF(L227="完全支持",1,IF(L227="基本支持",0.75,IF(L227="部分支持",0.5,IF(L227="相邻但不同",0.25,IF(L227="反例",0,"")))))</x:f>
      </x:c>
      <x:c r="N227" s="70" t="str"/>
      <x:c r="O227" s="70" t="str"/>
      <x:c r="P227" s="70" t="str"/>
      <x:c r="Q227" s="70" t="str">
        <x:f>IF(OR(H227="",K227=""),"",IF(H227&gt;K227,"是","否"))</x:f>
      </x:c>
      <x:c r="R227" s="70" t="str">
        <x:v>否</x:v>
      </x:c>
      <x:c r="S227" s="70" t="str"/>
      <x:c r="T227" s="70" t="str"/>
      <x:c r="U227" s="70" t="str"/>
      <x:c r="V227" s="70" t="str">
        <x:v>否</x:v>
      </x:c>
      <x:c r="W227" s="70" t="str"/>
    </x:row>
    <x:row r="228">
      <x:c r="A228" s="70" t="str">
        <x:v>M5EV-0223</x:v>
      </x:c>
      <x:c r="B228" s="70" t="str"/>
      <x:c r="C228" s="70" t="str">
        <x:f>IFERROR(VLOOKUP(B228,'02_案例与预测'!$A$6:$E$65,5,FALSE),"")</x:f>
      </x:c>
      <x:c r="D228" s="70" t="str"/>
      <x:c r="E228" s="70" t="str"/>
      <x:c r="F228" s="70" t="str"/>
      <x:c r="G228" s="70" t="str"/>
      <x:c r="H228" s="70" t="str"/>
      <x:c r="I228" s="70" t="str"/>
      <x:c r="J228" s="70" t="str"/>
      <x:c r="K228" s="70" t="str"/>
      <x:c r="L228" s="70" t="str"/>
      <x:c r="M228" s="70" t="str">
        <x:f>IF(L228="完全支持",1,IF(L228="基本支持",0.75,IF(L228="部分支持",0.5,IF(L228="相邻但不同",0.25,IF(L228="反例",0,"")))))</x:f>
      </x:c>
      <x:c r="N228" s="70" t="str"/>
      <x:c r="O228" s="70" t="str"/>
      <x:c r="P228" s="70" t="str"/>
      <x:c r="Q228" s="70" t="str">
        <x:f>IF(OR(H228="",K228=""),"",IF(H228&gt;K228,"是","否"))</x:f>
      </x:c>
      <x:c r="R228" s="70" t="str">
        <x:v>否</x:v>
      </x:c>
      <x:c r="S228" s="70" t="str"/>
      <x:c r="T228" s="70" t="str"/>
      <x:c r="U228" s="70" t="str"/>
      <x:c r="V228" s="70" t="str">
        <x:v>否</x:v>
      </x:c>
      <x:c r="W228" s="70" t="str"/>
    </x:row>
    <x:row r="229">
      <x:c r="A229" s="70" t="str">
        <x:v>M5EV-0224</x:v>
      </x:c>
      <x:c r="B229" s="70" t="str"/>
      <x:c r="C229" s="70" t="str">
        <x:f>IFERROR(VLOOKUP(B229,'02_案例与预测'!$A$6:$E$65,5,FALSE),"")</x:f>
      </x:c>
      <x:c r="D229" s="70" t="str"/>
      <x:c r="E229" s="70" t="str"/>
      <x:c r="F229" s="70" t="str"/>
      <x:c r="G229" s="70" t="str"/>
      <x:c r="H229" s="70" t="str"/>
      <x:c r="I229" s="70" t="str"/>
      <x:c r="J229" s="70" t="str"/>
      <x:c r="K229" s="70" t="str"/>
      <x:c r="L229" s="70" t="str"/>
      <x:c r="M229" s="70" t="str">
        <x:f>IF(L229="完全支持",1,IF(L229="基本支持",0.75,IF(L229="部分支持",0.5,IF(L229="相邻但不同",0.25,IF(L229="反例",0,"")))))</x:f>
      </x:c>
      <x:c r="N229" s="70" t="str"/>
      <x:c r="O229" s="70" t="str"/>
      <x:c r="P229" s="70" t="str"/>
      <x:c r="Q229" s="70" t="str">
        <x:f>IF(OR(H229="",K229=""),"",IF(H229&gt;K229,"是","否"))</x:f>
      </x:c>
      <x:c r="R229" s="70" t="str">
        <x:v>否</x:v>
      </x:c>
      <x:c r="S229" s="70" t="str"/>
      <x:c r="T229" s="70" t="str"/>
      <x:c r="U229" s="70" t="str"/>
      <x:c r="V229" s="70" t="str">
        <x:v>否</x:v>
      </x:c>
      <x:c r="W229" s="70" t="str"/>
    </x:row>
    <x:row r="230">
      <x:c r="A230" s="70" t="str">
        <x:v>M5EV-0225</x:v>
      </x:c>
      <x:c r="B230" s="70" t="str"/>
      <x:c r="C230" s="70" t="str">
        <x:f>IFERROR(VLOOKUP(B230,'02_案例与预测'!$A$6:$E$65,5,FALSE),"")</x:f>
      </x:c>
      <x:c r="D230" s="70" t="str"/>
      <x:c r="E230" s="70" t="str"/>
      <x:c r="F230" s="70" t="str"/>
      <x:c r="G230" s="70" t="str"/>
      <x:c r="H230" s="70" t="str"/>
      <x:c r="I230" s="70" t="str"/>
      <x:c r="J230" s="70" t="str"/>
      <x:c r="K230" s="70" t="str"/>
      <x:c r="L230" s="70" t="str"/>
      <x:c r="M230" s="70" t="str">
        <x:f>IF(L230="完全支持",1,IF(L230="基本支持",0.75,IF(L230="部分支持",0.5,IF(L230="相邻但不同",0.25,IF(L230="反例",0,"")))))</x:f>
      </x:c>
      <x:c r="N230" s="70" t="str"/>
      <x:c r="O230" s="70" t="str"/>
      <x:c r="P230" s="70" t="str"/>
      <x:c r="Q230" s="70" t="str">
        <x:f>IF(OR(H230="",K230=""),"",IF(H230&gt;K230,"是","否"))</x:f>
      </x:c>
      <x:c r="R230" s="70" t="str">
        <x:v>否</x:v>
      </x:c>
      <x:c r="S230" s="70" t="str"/>
      <x:c r="T230" s="70" t="str"/>
      <x:c r="U230" s="70" t="str"/>
      <x:c r="V230" s="70" t="str">
        <x:v>否</x:v>
      </x:c>
      <x:c r="W230" s="70" t="str"/>
    </x:row>
    <x:row r="231">
      <x:c r="A231" s="70" t="str">
        <x:v>M5EV-0226</x:v>
      </x:c>
      <x:c r="B231" s="70" t="str"/>
      <x:c r="C231" s="70" t="str">
        <x:f>IFERROR(VLOOKUP(B231,'02_案例与预测'!$A$6:$E$65,5,FALSE),"")</x:f>
      </x:c>
      <x:c r="D231" s="70" t="str"/>
      <x:c r="E231" s="70" t="str"/>
      <x:c r="F231" s="70" t="str"/>
      <x:c r="G231" s="70" t="str"/>
      <x:c r="H231" s="70" t="str"/>
      <x:c r="I231" s="70" t="str"/>
      <x:c r="J231" s="70" t="str"/>
      <x:c r="K231" s="70" t="str"/>
      <x:c r="L231" s="70" t="str"/>
      <x:c r="M231" s="70" t="str">
        <x:f>IF(L231="完全支持",1,IF(L231="基本支持",0.75,IF(L231="部分支持",0.5,IF(L231="相邻但不同",0.25,IF(L231="反例",0,"")))))</x:f>
      </x:c>
      <x:c r="N231" s="70" t="str"/>
      <x:c r="O231" s="70" t="str"/>
      <x:c r="P231" s="70" t="str"/>
      <x:c r="Q231" s="70" t="str">
        <x:f>IF(OR(H231="",K231=""),"",IF(H231&gt;K231,"是","否"))</x:f>
      </x:c>
      <x:c r="R231" s="70" t="str">
        <x:v>否</x:v>
      </x:c>
      <x:c r="S231" s="70" t="str"/>
      <x:c r="T231" s="70" t="str"/>
      <x:c r="U231" s="70" t="str"/>
      <x:c r="V231" s="70" t="str">
        <x:v>否</x:v>
      </x:c>
      <x:c r="W231" s="70" t="str"/>
    </x:row>
    <x:row r="232">
      <x:c r="A232" s="70" t="str">
        <x:v>M5EV-0227</x:v>
      </x:c>
      <x:c r="B232" s="70" t="str"/>
      <x:c r="C232" s="70" t="str">
        <x:f>IFERROR(VLOOKUP(B232,'02_案例与预测'!$A$6:$E$65,5,FALSE),"")</x:f>
      </x:c>
      <x:c r="D232" s="70" t="str"/>
      <x:c r="E232" s="70" t="str"/>
      <x:c r="F232" s="70" t="str"/>
      <x:c r="G232" s="70" t="str"/>
      <x:c r="H232" s="70" t="str"/>
      <x:c r="I232" s="70" t="str"/>
      <x:c r="J232" s="70" t="str"/>
      <x:c r="K232" s="70" t="str"/>
      <x:c r="L232" s="70" t="str"/>
      <x:c r="M232" s="70" t="str">
        <x:f>IF(L232="完全支持",1,IF(L232="基本支持",0.75,IF(L232="部分支持",0.5,IF(L232="相邻但不同",0.25,IF(L232="反例",0,"")))))</x:f>
      </x:c>
      <x:c r="N232" s="70" t="str"/>
      <x:c r="O232" s="70" t="str"/>
      <x:c r="P232" s="70" t="str"/>
      <x:c r="Q232" s="70" t="str">
        <x:f>IF(OR(H232="",K232=""),"",IF(H232&gt;K232,"是","否"))</x:f>
      </x:c>
      <x:c r="R232" s="70" t="str">
        <x:v>否</x:v>
      </x:c>
      <x:c r="S232" s="70" t="str"/>
      <x:c r="T232" s="70" t="str"/>
      <x:c r="U232" s="70" t="str"/>
      <x:c r="V232" s="70" t="str">
        <x:v>否</x:v>
      </x:c>
      <x:c r="W232" s="70" t="str"/>
    </x:row>
    <x:row r="233">
      <x:c r="A233" s="70" t="str">
        <x:v>M5EV-0228</x:v>
      </x:c>
      <x:c r="B233" s="70" t="str"/>
      <x:c r="C233" s="70" t="str">
        <x:f>IFERROR(VLOOKUP(B233,'02_案例与预测'!$A$6:$E$65,5,FALSE),"")</x:f>
      </x:c>
      <x:c r="D233" s="70" t="str"/>
      <x:c r="E233" s="70" t="str"/>
      <x:c r="F233" s="70" t="str"/>
      <x:c r="G233" s="70" t="str"/>
      <x:c r="H233" s="70" t="str"/>
      <x:c r="I233" s="70" t="str"/>
      <x:c r="J233" s="70" t="str"/>
      <x:c r="K233" s="70" t="str"/>
      <x:c r="L233" s="70" t="str"/>
      <x:c r="M233" s="70" t="str">
        <x:f>IF(L233="完全支持",1,IF(L233="基本支持",0.75,IF(L233="部分支持",0.5,IF(L233="相邻但不同",0.25,IF(L233="反例",0,"")))))</x:f>
      </x:c>
      <x:c r="N233" s="70" t="str"/>
      <x:c r="O233" s="70" t="str"/>
      <x:c r="P233" s="70" t="str"/>
      <x:c r="Q233" s="70" t="str">
        <x:f>IF(OR(H233="",K233=""),"",IF(H233&gt;K233,"是","否"))</x:f>
      </x:c>
      <x:c r="R233" s="70" t="str">
        <x:v>否</x:v>
      </x:c>
      <x:c r="S233" s="70" t="str"/>
      <x:c r="T233" s="70" t="str"/>
      <x:c r="U233" s="70" t="str"/>
      <x:c r="V233" s="70" t="str">
        <x:v>否</x:v>
      </x:c>
      <x:c r="W233" s="70" t="str"/>
    </x:row>
    <x:row r="234">
      <x:c r="A234" s="70" t="str">
        <x:v>M5EV-0229</x:v>
      </x:c>
      <x:c r="B234" s="70" t="str"/>
      <x:c r="C234" s="70" t="str">
        <x:f>IFERROR(VLOOKUP(B234,'02_案例与预测'!$A$6:$E$65,5,FALSE),"")</x:f>
      </x:c>
      <x:c r="D234" s="70" t="str"/>
      <x:c r="E234" s="70" t="str"/>
      <x:c r="F234" s="70" t="str"/>
      <x:c r="G234" s="70" t="str"/>
      <x:c r="H234" s="70" t="str"/>
      <x:c r="I234" s="70" t="str"/>
      <x:c r="J234" s="70" t="str"/>
      <x:c r="K234" s="70" t="str"/>
      <x:c r="L234" s="70" t="str"/>
      <x:c r="M234" s="70" t="str">
        <x:f>IF(L234="完全支持",1,IF(L234="基本支持",0.75,IF(L234="部分支持",0.5,IF(L234="相邻但不同",0.25,IF(L234="反例",0,"")))))</x:f>
      </x:c>
      <x:c r="N234" s="70" t="str"/>
      <x:c r="O234" s="70" t="str"/>
      <x:c r="P234" s="70" t="str"/>
      <x:c r="Q234" s="70" t="str">
        <x:f>IF(OR(H234="",K234=""),"",IF(H234&gt;K234,"是","否"))</x:f>
      </x:c>
      <x:c r="R234" s="70" t="str">
        <x:v>否</x:v>
      </x:c>
      <x:c r="S234" s="70" t="str"/>
      <x:c r="T234" s="70" t="str"/>
      <x:c r="U234" s="70" t="str"/>
      <x:c r="V234" s="70" t="str">
        <x:v>否</x:v>
      </x:c>
      <x:c r="W234" s="70" t="str"/>
    </x:row>
    <x:row r="235">
      <x:c r="A235" s="70" t="str">
        <x:v>M5EV-0230</x:v>
      </x:c>
      <x:c r="B235" s="70" t="str"/>
      <x:c r="C235" s="70" t="str">
        <x:f>IFERROR(VLOOKUP(B235,'02_案例与预测'!$A$6:$E$65,5,FALSE),"")</x:f>
      </x:c>
      <x:c r="D235" s="70" t="str"/>
      <x:c r="E235" s="70" t="str"/>
      <x:c r="F235" s="70" t="str"/>
      <x:c r="G235" s="70" t="str"/>
      <x:c r="H235" s="70" t="str"/>
      <x:c r="I235" s="70" t="str"/>
      <x:c r="J235" s="70" t="str"/>
      <x:c r="K235" s="70" t="str"/>
      <x:c r="L235" s="70" t="str"/>
      <x:c r="M235" s="70" t="str">
        <x:f>IF(L235="完全支持",1,IF(L235="基本支持",0.75,IF(L235="部分支持",0.5,IF(L235="相邻但不同",0.25,IF(L235="反例",0,"")))))</x:f>
      </x:c>
      <x:c r="N235" s="70" t="str"/>
      <x:c r="O235" s="70" t="str"/>
      <x:c r="P235" s="70" t="str"/>
      <x:c r="Q235" s="70" t="str">
        <x:f>IF(OR(H235="",K235=""),"",IF(H235&gt;K235,"是","否"))</x:f>
      </x:c>
      <x:c r="R235" s="70" t="str">
        <x:v>否</x:v>
      </x:c>
      <x:c r="S235" s="70" t="str"/>
      <x:c r="T235" s="70" t="str"/>
      <x:c r="U235" s="70" t="str"/>
      <x:c r="V235" s="70" t="str">
        <x:v>否</x:v>
      </x:c>
      <x:c r="W235" s="70" t="str"/>
    </x:row>
    <x:row r="236">
      <x:c r="A236" s="70" t="str">
        <x:v>M5EV-0231</x:v>
      </x:c>
      <x:c r="B236" s="70" t="str"/>
      <x:c r="C236" s="70" t="str">
        <x:f>IFERROR(VLOOKUP(B236,'02_案例与预测'!$A$6:$E$65,5,FALSE),"")</x:f>
      </x:c>
      <x:c r="D236" s="70" t="str"/>
      <x:c r="E236" s="70" t="str"/>
      <x:c r="F236" s="70" t="str"/>
      <x:c r="G236" s="70" t="str"/>
      <x:c r="H236" s="70" t="str"/>
      <x:c r="I236" s="70" t="str"/>
      <x:c r="J236" s="70" t="str"/>
      <x:c r="K236" s="70" t="str"/>
      <x:c r="L236" s="70" t="str"/>
      <x:c r="M236" s="70" t="str">
        <x:f>IF(L236="完全支持",1,IF(L236="基本支持",0.75,IF(L236="部分支持",0.5,IF(L236="相邻但不同",0.25,IF(L236="反例",0,"")))))</x:f>
      </x:c>
      <x:c r="N236" s="70" t="str"/>
      <x:c r="O236" s="70" t="str"/>
      <x:c r="P236" s="70" t="str"/>
      <x:c r="Q236" s="70" t="str">
        <x:f>IF(OR(H236="",K236=""),"",IF(H236&gt;K236,"是","否"))</x:f>
      </x:c>
      <x:c r="R236" s="70" t="str">
        <x:v>否</x:v>
      </x:c>
      <x:c r="S236" s="70" t="str"/>
      <x:c r="T236" s="70" t="str"/>
      <x:c r="U236" s="70" t="str"/>
      <x:c r="V236" s="70" t="str">
        <x:v>否</x:v>
      </x:c>
      <x:c r="W236" s="70" t="str"/>
    </x:row>
    <x:row r="237">
      <x:c r="A237" s="70" t="str">
        <x:v>M5EV-0232</x:v>
      </x:c>
      <x:c r="B237" s="70" t="str"/>
      <x:c r="C237" s="70" t="str">
        <x:f>IFERROR(VLOOKUP(B237,'02_案例与预测'!$A$6:$E$65,5,FALSE),"")</x:f>
      </x:c>
      <x:c r="D237" s="70" t="str"/>
      <x:c r="E237" s="70" t="str"/>
      <x:c r="F237" s="70" t="str"/>
      <x:c r="G237" s="70" t="str"/>
      <x:c r="H237" s="70" t="str"/>
      <x:c r="I237" s="70" t="str"/>
      <x:c r="J237" s="70" t="str"/>
      <x:c r="K237" s="70" t="str"/>
      <x:c r="L237" s="70" t="str"/>
      <x:c r="M237" s="70" t="str">
        <x:f>IF(L237="完全支持",1,IF(L237="基本支持",0.75,IF(L237="部分支持",0.5,IF(L237="相邻但不同",0.25,IF(L237="反例",0,"")))))</x:f>
      </x:c>
      <x:c r="N237" s="70" t="str"/>
      <x:c r="O237" s="70" t="str"/>
      <x:c r="P237" s="70" t="str"/>
      <x:c r="Q237" s="70" t="str">
        <x:f>IF(OR(H237="",K237=""),"",IF(H237&gt;K237,"是","否"))</x:f>
      </x:c>
      <x:c r="R237" s="70" t="str">
        <x:v>否</x:v>
      </x:c>
      <x:c r="S237" s="70" t="str"/>
      <x:c r="T237" s="70" t="str"/>
      <x:c r="U237" s="70" t="str"/>
      <x:c r="V237" s="70" t="str">
        <x:v>否</x:v>
      </x:c>
      <x:c r="W237" s="70" t="str"/>
    </x:row>
    <x:row r="238">
      <x:c r="A238" s="70" t="str">
        <x:v>M5EV-0233</x:v>
      </x:c>
      <x:c r="B238" s="70" t="str"/>
      <x:c r="C238" s="70" t="str">
        <x:f>IFERROR(VLOOKUP(B238,'02_案例与预测'!$A$6:$E$65,5,FALSE),"")</x:f>
      </x:c>
      <x:c r="D238" s="70" t="str"/>
      <x:c r="E238" s="70" t="str"/>
      <x:c r="F238" s="70" t="str"/>
      <x:c r="G238" s="70" t="str"/>
      <x:c r="H238" s="70" t="str"/>
      <x:c r="I238" s="70" t="str"/>
      <x:c r="J238" s="70" t="str"/>
      <x:c r="K238" s="70" t="str"/>
      <x:c r="L238" s="70" t="str"/>
      <x:c r="M238" s="70" t="str">
        <x:f>IF(L238="完全支持",1,IF(L238="基本支持",0.75,IF(L238="部分支持",0.5,IF(L238="相邻但不同",0.25,IF(L238="反例",0,"")))))</x:f>
      </x:c>
      <x:c r="N238" s="70" t="str"/>
      <x:c r="O238" s="70" t="str"/>
      <x:c r="P238" s="70" t="str"/>
      <x:c r="Q238" s="70" t="str">
        <x:f>IF(OR(H238="",K238=""),"",IF(H238&gt;K238,"是","否"))</x:f>
      </x:c>
      <x:c r="R238" s="70" t="str">
        <x:v>否</x:v>
      </x:c>
      <x:c r="S238" s="70" t="str"/>
      <x:c r="T238" s="70" t="str"/>
      <x:c r="U238" s="70" t="str"/>
      <x:c r="V238" s="70" t="str">
        <x:v>否</x:v>
      </x:c>
      <x:c r="W238" s="70" t="str"/>
    </x:row>
    <x:row r="239">
      <x:c r="A239" s="70" t="str">
        <x:v>M5EV-0234</x:v>
      </x:c>
      <x:c r="B239" s="70" t="str"/>
      <x:c r="C239" s="70" t="str">
        <x:f>IFERROR(VLOOKUP(B239,'02_案例与预测'!$A$6:$E$65,5,FALSE),"")</x:f>
      </x:c>
      <x:c r="D239" s="70" t="str"/>
      <x:c r="E239" s="70" t="str"/>
      <x:c r="F239" s="70" t="str"/>
      <x:c r="G239" s="70" t="str"/>
      <x:c r="H239" s="70" t="str"/>
      <x:c r="I239" s="70" t="str"/>
      <x:c r="J239" s="70" t="str"/>
      <x:c r="K239" s="70" t="str"/>
      <x:c r="L239" s="70" t="str"/>
      <x:c r="M239" s="70" t="str">
        <x:f>IF(L239="完全支持",1,IF(L239="基本支持",0.75,IF(L239="部分支持",0.5,IF(L239="相邻但不同",0.25,IF(L239="反例",0,"")))))</x:f>
      </x:c>
      <x:c r="N239" s="70" t="str"/>
      <x:c r="O239" s="70" t="str"/>
      <x:c r="P239" s="70" t="str"/>
      <x:c r="Q239" s="70" t="str">
        <x:f>IF(OR(H239="",K239=""),"",IF(H239&gt;K239,"是","否"))</x:f>
      </x:c>
      <x:c r="R239" s="70" t="str">
        <x:v>否</x:v>
      </x:c>
      <x:c r="S239" s="70" t="str"/>
      <x:c r="T239" s="70" t="str"/>
      <x:c r="U239" s="70" t="str"/>
      <x:c r="V239" s="70" t="str">
        <x:v>否</x:v>
      </x:c>
      <x:c r="W239" s="70" t="str"/>
    </x:row>
    <x:row r="240">
      <x:c r="A240" s="70" t="str">
        <x:v>M5EV-0235</x:v>
      </x:c>
      <x:c r="B240" s="70" t="str"/>
      <x:c r="C240" s="70" t="str">
        <x:f>IFERROR(VLOOKUP(B240,'02_案例与预测'!$A$6:$E$65,5,FALSE),"")</x:f>
      </x:c>
      <x:c r="D240" s="70" t="str"/>
      <x:c r="E240" s="70" t="str"/>
      <x:c r="F240" s="70" t="str"/>
      <x:c r="G240" s="70" t="str"/>
      <x:c r="H240" s="70" t="str"/>
      <x:c r="I240" s="70" t="str"/>
      <x:c r="J240" s="70" t="str"/>
      <x:c r="K240" s="70" t="str"/>
      <x:c r="L240" s="70" t="str"/>
      <x:c r="M240" s="70" t="str">
        <x:f>IF(L240="完全支持",1,IF(L240="基本支持",0.75,IF(L240="部分支持",0.5,IF(L240="相邻但不同",0.25,IF(L240="反例",0,"")))))</x:f>
      </x:c>
      <x:c r="N240" s="70" t="str"/>
      <x:c r="O240" s="70" t="str"/>
      <x:c r="P240" s="70" t="str"/>
      <x:c r="Q240" s="70" t="str">
        <x:f>IF(OR(H240="",K240=""),"",IF(H240&gt;K240,"是","否"))</x:f>
      </x:c>
      <x:c r="R240" s="70" t="str">
        <x:v>否</x:v>
      </x:c>
      <x:c r="S240" s="70" t="str"/>
      <x:c r="T240" s="70" t="str"/>
      <x:c r="U240" s="70" t="str"/>
      <x:c r="V240" s="70" t="str">
        <x:v>否</x:v>
      </x:c>
      <x:c r="W240" s="70" t="str"/>
    </x:row>
    <x:row r="241">
      <x:c r="A241" s="70" t="str">
        <x:v>M5EV-0236</x:v>
      </x:c>
      <x:c r="B241" s="70" t="str"/>
      <x:c r="C241" s="70" t="str">
        <x:f>IFERROR(VLOOKUP(B241,'02_案例与预测'!$A$6:$E$65,5,FALSE),"")</x:f>
      </x:c>
      <x:c r="D241" s="70" t="str"/>
      <x:c r="E241" s="70" t="str"/>
      <x:c r="F241" s="70" t="str"/>
      <x:c r="G241" s="70" t="str"/>
      <x:c r="H241" s="70" t="str"/>
      <x:c r="I241" s="70" t="str"/>
      <x:c r="J241" s="70" t="str"/>
      <x:c r="K241" s="70" t="str"/>
      <x:c r="L241" s="70" t="str"/>
      <x:c r="M241" s="70" t="str">
        <x:f>IF(L241="完全支持",1,IF(L241="基本支持",0.75,IF(L241="部分支持",0.5,IF(L241="相邻但不同",0.25,IF(L241="反例",0,"")))))</x:f>
      </x:c>
      <x:c r="N241" s="70" t="str"/>
      <x:c r="O241" s="70" t="str"/>
      <x:c r="P241" s="70" t="str"/>
      <x:c r="Q241" s="70" t="str">
        <x:f>IF(OR(H241="",K241=""),"",IF(H241&gt;K241,"是","否"))</x:f>
      </x:c>
      <x:c r="R241" s="70" t="str">
        <x:v>否</x:v>
      </x:c>
      <x:c r="S241" s="70" t="str"/>
      <x:c r="T241" s="70" t="str"/>
      <x:c r="U241" s="70" t="str"/>
      <x:c r="V241" s="70" t="str">
        <x:v>否</x:v>
      </x:c>
      <x:c r="W241" s="70" t="str"/>
    </x:row>
    <x:row r="242">
      <x:c r="A242" s="70" t="str">
        <x:v>M5EV-0237</x:v>
      </x:c>
      <x:c r="B242" s="70" t="str"/>
      <x:c r="C242" s="70" t="str">
        <x:f>IFERROR(VLOOKUP(B242,'02_案例与预测'!$A$6:$E$65,5,FALSE),"")</x:f>
      </x:c>
      <x:c r="D242" s="70" t="str"/>
      <x:c r="E242" s="70" t="str"/>
      <x:c r="F242" s="70" t="str"/>
      <x:c r="G242" s="70" t="str"/>
      <x:c r="H242" s="70" t="str"/>
      <x:c r="I242" s="70" t="str"/>
      <x:c r="J242" s="70" t="str"/>
      <x:c r="K242" s="70" t="str"/>
      <x:c r="L242" s="70" t="str"/>
      <x:c r="M242" s="70" t="str">
        <x:f>IF(L242="完全支持",1,IF(L242="基本支持",0.75,IF(L242="部分支持",0.5,IF(L242="相邻但不同",0.25,IF(L242="反例",0,"")))))</x:f>
      </x:c>
      <x:c r="N242" s="70" t="str"/>
      <x:c r="O242" s="70" t="str"/>
      <x:c r="P242" s="70" t="str"/>
      <x:c r="Q242" s="70" t="str">
        <x:f>IF(OR(H242="",K242=""),"",IF(H242&gt;K242,"是","否"))</x:f>
      </x:c>
      <x:c r="R242" s="70" t="str">
        <x:v>否</x:v>
      </x:c>
      <x:c r="S242" s="70" t="str"/>
      <x:c r="T242" s="70" t="str"/>
      <x:c r="U242" s="70" t="str"/>
      <x:c r="V242" s="70" t="str">
        <x:v>否</x:v>
      </x:c>
      <x:c r="W242" s="70" t="str"/>
    </x:row>
    <x:row r="243">
      <x:c r="A243" s="70" t="str">
        <x:v>M5EV-0238</x:v>
      </x:c>
      <x:c r="B243" s="70" t="str"/>
      <x:c r="C243" s="70" t="str">
        <x:f>IFERROR(VLOOKUP(B243,'02_案例与预测'!$A$6:$E$65,5,FALSE),"")</x:f>
      </x:c>
      <x:c r="D243" s="70" t="str"/>
      <x:c r="E243" s="70" t="str"/>
      <x:c r="F243" s="70" t="str"/>
      <x:c r="G243" s="70" t="str"/>
      <x:c r="H243" s="70" t="str"/>
      <x:c r="I243" s="70" t="str"/>
      <x:c r="J243" s="70" t="str"/>
      <x:c r="K243" s="70" t="str"/>
      <x:c r="L243" s="70" t="str"/>
      <x:c r="M243" s="70" t="str">
        <x:f>IF(L243="完全支持",1,IF(L243="基本支持",0.75,IF(L243="部分支持",0.5,IF(L243="相邻但不同",0.25,IF(L243="反例",0,"")))))</x:f>
      </x:c>
      <x:c r="N243" s="70" t="str"/>
      <x:c r="O243" s="70" t="str"/>
      <x:c r="P243" s="70" t="str"/>
      <x:c r="Q243" s="70" t="str">
        <x:f>IF(OR(H243="",K243=""),"",IF(H243&gt;K243,"是","否"))</x:f>
      </x:c>
      <x:c r="R243" s="70" t="str">
        <x:v>否</x:v>
      </x:c>
      <x:c r="S243" s="70" t="str"/>
      <x:c r="T243" s="70" t="str"/>
      <x:c r="U243" s="70" t="str"/>
      <x:c r="V243" s="70" t="str">
        <x:v>否</x:v>
      </x:c>
      <x:c r="W243" s="70" t="str"/>
    </x:row>
    <x:row r="244">
      <x:c r="A244" s="70" t="str">
        <x:v>M5EV-0239</x:v>
      </x:c>
      <x:c r="B244" s="70" t="str"/>
      <x:c r="C244" s="70" t="str">
        <x:f>IFERROR(VLOOKUP(B244,'02_案例与预测'!$A$6:$E$65,5,FALSE),"")</x:f>
      </x:c>
      <x:c r="D244" s="70" t="str"/>
      <x:c r="E244" s="70" t="str"/>
      <x:c r="F244" s="70" t="str"/>
      <x:c r="G244" s="70" t="str"/>
      <x:c r="H244" s="70" t="str"/>
      <x:c r="I244" s="70" t="str"/>
      <x:c r="J244" s="70" t="str"/>
      <x:c r="K244" s="70" t="str"/>
      <x:c r="L244" s="70" t="str"/>
      <x:c r="M244" s="70" t="str">
        <x:f>IF(L244="完全支持",1,IF(L244="基本支持",0.75,IF(L244="部分支持",0.5,IF(L244="相邻但不同",0.25,IF(L244="反例",0,"")))))</x:f>
      </x:c>
      <x:c r="N244" s="70" t="str"/>
      <x:c r="O244" s="70" t="str"/>
      <x:c r="P244" s="70" t="str"/>
      <x:c r="Q244" s="70" t="str">
        <x:f>IF(OR(H244="",K244=""),"",IF(H244&gt;K244,"是","否"))</x:f>
      </x:c>
      <x:c r="R244" s="70" t="str">
        <x:v>否</x:v>
      </x:c>
      <x:c r="S244" s="70" t="str"/>
      <x:c r="T244" s="70" t="str"/>
      <x:c r="U244" s="70" t="str"/>
      <x:c r="V244" s="70" t="str">
        <x:v>否</x:v>
      </x:c>
      <x:c r="W244" s="70" t="str"/>
    </x:row>
    <x:row r="245">
      <x:c r="A245" s="70" t="str">
        <x:v>M5EV-0240</x:v>
      </x:c>
      <x:c r="B245" s="70" t="str"/>
      <x:c r="C245" s="70" t="str">
        <x:f>IFERROR(VLOOKUP(B245,'02_案例与预测'!$A$6:$E$65,5,FALSE),"")</x:f>
      </x:c>
      <x:c r="D245" s="70" t="str"/>
      <x:c r="E245" s="70" t="str"/>
      <x:c r="F245" s="70" t="str"/>
      <x:c r="G245" s="70" t="str"/>
      <x:c r="H245" s="70" t="str"/>
      <x:c r="I245" s="70" t="str"/>
      <x:c r="J245" s="70" t="str"/>
      <x:c r="K245" s="70" t="str"/>
      <x:c r="L245" s="70" t="str"/>
      <x:c r="M245" s="70" t="str">
        <x:f>IF(L245="完全支持",1,IF(L245="基本支持",0.75,IF(L245="部分支持",0.5,IF(L245="相邻但不同",0.25,IF(L245="反例",0,"")))))</x:f>
      </x:c>
      <x:c r="N245" s="70" t="str"/>
      <x:c r="O245" s="70" t="str"/>
      <x:c r="P245" s="70" t="str"/>
      <x:c r="Q245" s="70" t="str">
        <x:f>IF(OR(H245="",K245=""),"",IF(H245&gt;K245,"是","否"))</x:f>
      </x:c>
      <x:c r="R245" s="70" t="str">
        <x:v>否</x:v>
      </x:c>
      <x:c r="S245" s="70" t="str"/>
      <x:c r="T245" s="70" t="str"/>
      <x:c r="U245" s="70" t="str"/>
      <x:c r="V245" s="70" t="str">
        <x:v>否</x:v>
      </x:c>
      <x:c r="W245" s="70" t="str"/>
    </x:row>
    <x:row r="246">
      <x:c r="A246" s="70" t="str">
        <x:v>M5EV-0241</x:v>
      </x:c>
      <x:c r="B246" s="70" t="str"/>
      <x:c r="C246" s="70" t="str">
        <x:f>IFERROR(VLOOKUP(B246,'02_案例与预测'!$A$6:$E$65,5,FALSE),"")</x:f>
      </x:c>
      <x:c r="D246" s="70" t="str"/>
      <x:c r="E246" s="70" t="str"/>
      <x:c r="F246" s="70" t="str"/>
      <x:c r="G246" s="70" t="str"/>
      <x:c r="H246" s="70" t="str"/>
      <x:c r="I246" s="70" t="str"/>
      <x:c r="J246" s="70" t="str"/>
      <x:c r="K246" s="70" t="str"/>
      <x:c r="L246" s="70" t="str"/>
      <x:c r="M246" s="70" t="str">
        <x:f>IF(L246="完全支持",1,IF(L246="基本支持",0.75,IF(L246="部分支持",0.5,IF(L246="相邻但不同",0.25,IF(L246="反例",0,"")))))</x:f>
      </x:c>
      <x:c r="N246" s="70" t="str"/>
      <x:c r="O246" s="70" t="str"/>
      <x:c r="P246" s="70" t="str"/>
      <x:c r="Q246" s="70" t="str">
        <x:f>IF(OR(H246="",K246=""),"",IF(H246&gt;K246,"是","否"))</x:f>
      </x:c>
      <x:c r="R246" s="70" t="str">
        <x:v>否</x:v>
      </x:c>
      <x:c r="S246" s="70" t="str"/>
      <x:c r="T246" s="70" t="str"/>
      <x:c r="U246" s="70" t="str"/>
      <x:c r="V246" s="70" t="str">
        <x:v>否</x:v>
      </x:c>
      <x:c r="W246" s="70" t="str"/>
    </x:row>
    <x:row r="247">
      <x:c r="A247" s="70" t="str">
        <x:v>M5EV-0242</x:v>
      </x:c>
      <x:c r="B247" s="70" t="str"/>
      <x:c r="C247" s="70" t="str">
        <x:f>IFERROR(VLOOKUP(B247,'02_案例与预测'!$A$6:$E$65,5,FALSE),"")</x:f>
      </x:c>
      <x:c r="D247" s="70" t="str"/>
      <x:c r="E247" s="70" t="str"/>
      <x:c r="F247" s="70" t="str"/>
      <x:c r="G247" s="70" t="str"/>
      <x:c r="H247" s="70" t="str"/>
      <x:c r="I247" s="70" t="str"/>
      <x:c r="J247" s="70" t="str"/>
      <x:c r="K247" s="70" t="str"/>
      <x:c r="L247" s="70" t="str"/>
      <x:c r="M247" s="70" t="str">
        <x:f>IF(L247="完全支持",1,IF(L247="基本支持",0.75,IF(L247="部分支持",0.5,IF(L247="相邻但不同",0.25,IF(L247="反例",0,"")))))</x:f>
      </x:c>
      <x:c r="N247" s="70" t="str"/>
      <x:c r="O247" s="70" t="str"/>
      <x:c r="P247" s="70" t="str"/>
      <x:c r="Q247" s="70" t="str">
        <x:f>IF(OR(H247="",K247=""),"",IF(H247&gt;K247,"是","否"))</x:f>
      </x:c>
      <x:c r="R247" s="70" t="str">
        <x:v>否</x:v>
      </x:c>
      <x:c r="S247" s="70" t="str"/>
      <x:c r="T247" s="70" t="str"/>
      <x:c r="U247" s="70" t="str"/>
      <x:c r="V247" s="70" t="str">
        <x:v>否</x:v>
      </x:c>
      <x:c r="W247" s="70" t="str"/>
    </x:row>
    <x:row r="248">
      <x:c r="A248" s="70" t="str">
        <x:v>M5EV-0243</x:v>
      </x:c>
      <x:c r="B248" s="70" t="str"/>
      <x:c r="C248" s="70" t="str">
        <x:f>IFERROR(VLOOKUP(B248,'02_案例与预测'!$A$6:$E$65,5,FALSE),"")</x:f>
      </x:c>
      <x:c r="D248" s="70" t="str"/>
      <x:c r="E248" s="70" t="str"/>
      <x:c r="F248" s="70" t="str"/>
      <x:c r="G248" s="70" t="str"/>
      <x:c r="H248" s="70" t="str"/>
      <x:c r="I248" s="70" t="str"/>
      <x:c r="J248" s="70" t="str"/>
      <x:c r="K248" s="70" t="str"/>
      <x:c r="L248" s="70" t="str"/>
      <x:c r="M248" s="70" t="str">
        <x:f>IF(L248="完全支持",1,IF(L248="基本支持",0.75,IF(L248="部分支持",0.5,IF(L248="相邻但不同",0.25,IF(L248="反例",0,"")))))</x:f>
      </x:c>
      <x:c r="N248" s="70" t="str"/>
      <x:c r="O248" s="70" t="str"/>
      <x:c r="P248" s="70" t="str"/>
      <x:c r="Q248" s="70" t="str">
        <x:f>IF(OR(H248="",K248=""),"",IF(H248&gt;K248,"是","否"))</x:f>
      </x:c>
      <x:c r="R248" s="70" t="str">
        <x:v>否</x:v>
      </x:c>
      <x:c r="S248" s="70" t="str"/>
      <x:c r="T248" s="70" t="str"/>
      <x:c r="U248" s="70" t="str"/>
      <x:c r="V248" s="70" t="str">
        <x:v>否</x:v>
      </x:c>
      <x:c r="W248" s="70" t="str"/>
    </x:row>
    <x:row r="249">
      <x:c r="A249" s="70" t="str">
        <x:v>M5EV-0244</x:v>
      </x:c>
      <x:c r="B249" s="70" t="str"/>
      <x:c r="C249" s="70" t="str">
        <x:f>IFERROR(VLOOKUP(B249,'02_案例与预测'!$A$6:$E$65,5,FALSE),"")</x:f>
      </x:c>
      <x:c r="D249" s="70" t="str"/>
      <x:c r="E249" s="70" t="str"/>
      <x:c r="F249" s="70" t="str"/>
      <x:c r="G249" s="70" t="str"/>
      <x:c r="H249" s="70" t="str"/>
      <x:c r="I249" s="70" t="str"/>
      <x:c r="J249" s="70" t="str"/>
      <x:c r="K249" s="70" t="str"/>
      <x:c r="L249" s="70" t="str"/>
      <x:c r="M249" s="70" t="str">
        <x:f>IF(L249="完全支持",1,IF(L249="基本支持",0.75,IF(L249="部分支持",0.5,IF(L249="相邻但不同",0.25,IF(L249="反例",0,"")))))</x:f>
      </x:c>
      <x:c r="N249" s="70" t="str"/>
      <x:c r="O249" s="70" t="str"/>
      <x:c r="P249" s="70" t="str"/>
      <x:c r="Q249" s="70" t="str">
        <x:f>IF(OR(H249="",K249=""),"",IF(H249&gt;K249,"是","否"))</x:f>
      </x:c>
      <x:c r="R249" s="70" t="str">
        <x:v>否</x:v>
      </x:c>
      <x:c r="S249" s="70" t="str"/>
      <x:c r="T249" s="70" t="str"/>
      <x:c r="U249" s="70" t="str"/>
      <x:c r="V249" s="70" t="str">
        <x:v>否</x:v>
      </x:c>
      <x:c r="W249" s="70" t="str"/>
    </x:row>
    <x:row r="250">
      <x:c r="A250" s="70" t="str">
        <x:v>M5EV-0245</x:v>
      </x:c>
      <x:c r="B250" s="70" t="str"/>
      <x:c r="C250" s="70" t="str">
        <x:f>IFERROR(VLOOKUP(B250,'02_案例与预测'!$A$6:$E$65,5,FALSE),"")</x:f>
      </x:c>
      <x:c r="D250" s="70" t="str"/>
      <x:c r="E250" s="70" t="str"/>
      <x:c r="F250" s="70" t="str"/>
      <x:c r="G250" s="70" t="str"/>
      <x:c r="H250" s="70" t="str"/>
      <x:c r="I250" s="70" t="str"/>
      <x:c r="J250" s="70" t="str"/>
      <x:c r="K250" s="70" t="str"/>
      <x:c r="L250" s="70" t="str"/>
      <x:c r="M250" s="70" t="str">
        <x:f>IF(L250="完全支持",1,IF(L250="基本支持",0.75,IF(L250="部分支持",0.5,IF(L250="相邻但不同",0.25,IF(L250="反例",0,"")))))</x:f>
      </x:c>
      <x:c r="N250" s="70" t="str"/>
      <x:c r="O250" s="70" t="str"/>
      <x:c r="P250" s="70" t="str"/>
      <x:c r="Q250" s="70" t="str">
        <x:f>IF(OR(H250="",K250=""),"",IF(H250&gt;K250,"是","否"))</x:f>
      </x:c>
      <x:c r="R250" s="70" t="str">
        <x:v>否</x:v>
      </x:c>
      <x:c r="S250" s="70" t="str"/>
      <x:c r="T250" s="70" t="str"/>
      <x:c r="U250" s="70" t="str"/>
      <x:c r="V250" s="70" t="str">
        <x:v>否</x:v>
      </x:c>
      <x:c r="W250" s="70" t="str"/>
    </x:row>
    <x:row r="251">
      <x:c r="A251" s="70" t="str">
        <x:v>M5EV-0246</x:v>
      </x:c>
      <x:c r="B251" s="70" t="str"/>
      <x:c r="C251" s="70" t="str">
        <x:f>IFERROR(VLOOKUP(B251,'02_案例与预测'!$A$6:$E$65,5,FALSE),"")</x:f>
      </x:c>
      <x:c r="D251" s="70" t="str"/>
      <x:c r="E251" s="70" t="str"/>
      <x:c r="F251" s="70" t="str"/>
      <x:c r="G251" s="70" t="str"/>
      <x:c r="H251" s="70" t="str"/>
      <x:c r="I251" s="70" t="str"/>
      <x:c r="J251" s="70" t="str"/>
      <x:c r="K251" s="70" t="str"/>
      <x:c r="L251" s="70" t="str"/>
      <x:c r="M251" s="70" t="str">
        <x:f>IF(L251="完全支持",1,IF(L251="基本支持",0.75,IF(L251="部分支持",0.5,IF(L251="相邻但不同",0.25,IF(L251="反例",0,"")))))</x:f>
      </x:c>
      <x:c r="N251" s="70" t="str"/>
      <x:c r="O251" s="70" t="str"/>
      <x:c r="P251" s="70" t="str"/>
      <x:c r="Q251" s="70" t="str">
        <x:f>IF(OR(H251="",K251=""),"",IF(H251&gt;K251,"是","否"))</x:f>
      </x:c>
      <x:c r="R251" s="70" t="str">
        <x:v>否</x:v>
      </x:c>
      <x:c r="S251" s="70" t="str"/>
      <x:c r="T251" s="70" t="str"/>
      <x:c r="U251" s="70" t="str"/>
      <x:c r="V251" s="70" t="str">
        <x:v>否</x:v>
      </x:c>
      <x:c r="W251" s="70" t="str"/>
    </x:row>
    <x:row r="252">
      <x:c r="A252" s="70" t="str">
        <x:v>M5EV-0247</x:v>
      </x:c>
      <x:c r="B252" s="70" t="str"/>
      <x:c r="C252" s="70" t="str">
        <x:f>IFERROR(VLOOKUP(B252,'02_案例与预测'!$A$6:$E$65,5,FALSE),"")</x:f>
      </x:c>
      <x:c r="D252" s="70" t="str"/>
      <x:c r="E252" s="70" t="str"/>
      <x:c r="F252" s="70" t="str"/>
      <x:c r="G252" s="70" t="str"/>
      <x:c r="H252" s="70" t="str"/>
      <x:c r="I252" s="70" t="str"/>
      <x:c r="J252" s="70" t="str"/>
      <x:c r="K252" s="70" t="str"/>
      <x:c r="L252" s="70" t="str"/>
      <x:c r="M252" s="70" t="str">
        <x:f>IF(L252="完全支持",1,IF(L252="基本支持",0.75,IF(L252="部分支持",0.5,IF(L252="相邻但不同",0.25,IF(L252="反例",0,"")))))</x:f>
      </x:c>
      <x:c r="N252" s="70" t="str"/>
      <x:c r="O252" s="70" t="str"/>
      <x:c r="P252" s="70" t="str"/>
      <x:c r="Q252" s="70" t="str">
        <x:f>IF(OR(H252="",K252=""),"",IF(H252&gt;K252,"是","否"))</x:f>
      </x:c>
      <x:c r="R252" s="70" t="str">
        <x:v>否</x:v>
      </x:c>
      <x:c r="S252" s="70" t="str"/>
      <x:c r="T252" s="70" t="str"/>
      <x:c r="U252" s="70" t="str"/>
      <x:c r="V252" s="70" t="str">
        <x:v>否</x:v>
      </x:c>
      <x:c r="W252" s="70" t="str"/>
    </x:row>
    <x:row r="253">
      <x:c r="A253" s="70" t="str">
        <x:v>M5EV-0248</x:v>
      </x:c>
      <x:c r="B253" s="70" t="str"/>
      <x:c r="C253" s="70" t="str">
        <x:f>IFERROR(VLOOKUP(B253,'02_案例与预测'!$A$6:$E$65,5,FALSE),"")</x:f>
      </x:c>
      <x:c r="D253" s="70" t="str"/>
      <x:c r="E253" s="70" t="str"/>
      <x:c r="F253" s="70" t="str"/>
      <x:c r="G253" s="70" t="str"/>
      <x:c r="H253" s="70" t="str"/>
      <x:c r="I253" s="70" t="str"/>
      <x:c r="J253" s="70" t="str"/>
      <x:c r="K253" s="70" t="str"/>
      <x:c r="L253" s="70" t="str"/>
      <x:c r="M253" s="70" t="str">
        <x:f>IF(L253="完全支持",1,IF(L253="基本支持",0.75,IF(L253="部分支持",0.5,IF(L253="相邻但不同",0.25,IF(L253="反例",0,"")))))</x:f>
      </x:c>
      <x:c r="N253" s="70" t="str"/>
      <x:c r="O253" s="70" t="str"/>
      <x:c r="P253" s="70" t="str"/>
      <x:c r="Q253" s="70" t="str">
        <x:f>IF(OR(H253="",K253=""),"",IF(H253&gt;K253,"是","否"))</x:f>
      </x:c>
      <x:c r="R253" s="70" t="str">
        <x:v>否</x:v>
      </x:c>
      <x:c r="S253" s="70" t="str"/>
      <x:c r="T253" s="70" t="str"/>
      <x:c r="U253" s="70" t="str"/>
      <x:c r="V253" s="70" t="str">
        <x:v>否</x:v>
      </x:c>
      <x:c r="W253" s="70" t="str"/>
    </x:row>
    <x:row r="254">
      <x:c r="A254" s="70" t="str">
        <x:v>M5EV-0249</x:v>
      </x:c>
      <x:c r="B254" s="70" t="str"/>
      <x:c r="C254" s="70" t="str">
        <x:f>IFERROR(VLOOKUP(B254,'02_案例与预测'!$A$6:$E$65,5,FALSE),"")</x:f>
      </x:c>
      <x:c r="D254" s="70" t="str"/>
      <x:c r="E254" s="70" t="str"/>
      <x:c r="F254" s="70" t="str"/>
      <x:c r="G254" s="70" t="str"/>
      <x:c r="H254" s="70" t="str"/>
      <x:c r="I254" s="70" t="str"/>
      <x:c r="J254" s="70" t="str"/>
      <x:c r="K254" s="70" t="str"/>
      <x:c r="L254" s="70" t="str"/>
      <x:c r="M254" s="70" t="str">
        <x:f>IF(L254="完全支持",1,IF(L254="基本支持",0.75,IF(L254="部分支持",0.5,IF(L254="相邻但不同",0.25,IF(L254="反例",0,"")))))</x:f>
      </x:c>
      <x:c r="N254" s="70" t="str"/>
      <x:c r="O254" s="70" t="str"/>
      <x:c r="P254" s="70" t="str"/>
      <x:c r="Q254" s="70" t="str">
        <x:f>IF(OR(H254="",K254=""),"",IF(H254&gt;K254,"是","否"))</x:f>
      </x:c>
      <x:c r="R254" s="70" t="str">
        <x:v>否</x:v>
      </x:c>
      <x:c r="S254" s="70" t="str"/>
      <x:c r="T254" s="70" t="str"/>
      <x:c r="U254" s="70" t="str"/>
      <x:c r="V254" s="70" t="str">
        <x:v>否</x:v>
      </x:c>
      <x:c r="W254" s="70" t="str"/>
    </x:row>
    <x:row r="255">
      <x:c r="A255" s="70" t="str">
        <x:v>M5EV-0250</x:v>
      </x:c>
      <x:c r="B255" s="70" t="str"/>
      <x:c r="C255" s="70" t="str">
        <x:f>IFERROR(VLOOKUP(B255,'02_案例与预测'!$A$6:$E$65,5,FALSE),"")</x:f>
      </x:c>
      <x:c r="D255" s="70" t="str"/>
      <x:c r="E255" s="70" t="str"/>
      <x:c r="F255" s="70" t="str"/>
      <x:c r="G255" s="70" t="str"/>
      <x:c r="H255" s="70" t="str"/>
      <x:c r="I255" s="70" t="str"/>
      <x:c r="J255" s="70" t="str"/>
      <x:c r="K255" s="70" t="str"/>
      <x:c r="L255" s="70" t="str"/>
      <x:c r="M255" s="70" t="str">
        <x:f>IF(L255="完全支持",1,IF(L255="基本支持",0.75,IF(L255="部分支持",0.5,IF(L255="相邻但不同",0.25,IF(L255="反例",0,"")))))</x:f>
      </x:c>
      <x:c r="N255" s="70" t="str"/>
      <x:c r="O255" s="70" t="str"/>
      <x:c r="P255" s="70" t="str"/>
      <x:c r="Q255" s="70" t="str">
        <x:f>IF(OR(H255="",K255=""),"",IF(H255&gt;K255,"是","否"))</x:f>
      </x:c>
      <x:c r="R255" s="70" t="str">
        <x:v>否</x:v>
      </x:c>
      <x:c r="S255" s="70" t="str"/>
      <x:c r="T255" s="70" t="str"/>
      <x:c r="U255" s="70" t="str"/>
      <x:c r="V255" s="70" t="str">
        <x:v>否</x:v>
      </x:c>
      <x:c r="W255" s="70" t="str"/>
    </x:row>
    <x:row r="256">
      <x:c r="A256" s="70" t="str">
        <x:v>M5EV-0251</x:v>
      </x:c>
      <x:c r="B256" s="70" t="str"/>
      <x:c r="C256" s="70" t="str">
        <x:f>IFERROR(VLOOKUP(B256,'02_案例与预测'!$A$6:$E$65,5,FALSE),"")</x:f>
      </x:c>
      <x:c r="D256" s="70" t="str"/>
      <x:c r="E256" s="70" t="str"/>
      <x:c r="F256" s="70" t="str"/>
      <x:c r="G256" s="70" t="str"/>
      <x:c r="H256" s="70" t="str"/>
      <x:c r="I256" s="70" t="str"/>
      <x:c r="J256" s="70" t="str"/>
      <x:c r="K256" s="70" t="str"/>
      <x:c r="L256" s="70" t="str"/>
      <x:c r="M256" s="70" t="str">
        <x:f>IF(L256="完全支持",1,IF(L256="基本支持",0.75,IF(L256="部分支持",0.5,IF(L256="相邻但不同",0.25,IF(L256="反例",0,"")))))</x:f>
      </x:c>
      <x:c r="N256" s="70" t="str"/>
      <x:c r="O256" s="70" t="str"/>
      <x:c r="P256" s="70" t="str"/>
      <x:c r="Q256" s="70" t="str">
        <x:f>IF(OR(H256="",K256=""),"",IF(H256&gt;K256,"是","否"))</x:f>
      </x:c>
      <x:c r="R256" s="70" t="str">
        <x:v>否</x:v>
      </x:c>
      <x:c r="S256" s="70" t="str"/>
      <x:c r="T256" s="70" t="str"/>
      <x:c r="U256" s="70" t="str"/>
      <x:c r="V256" s="70" t="str">
        <x:v>否</x:v>
      </x:c>
      <x:c r="W256" s="70" t="str"/>
    </x:row>
    <x:row r="257">
      <x:c r="A257" s="70" t="str">
        <x:v>M5EV-0252</x:v>
      </x:c>
      <x:c r="B257" s="70" t="str"/>
      <x:c r="C257" s="70" t="str">
        <x:f>IFERROR(VLOOKUP(B257,'02_案例与预测'!$A$6:$E$65,5,FALSE),"")</x:f>
      </x:c>
      <x:c r="D257" s="70" t="str"/>
      <x:c r="E257" s="70" t="str"/>
      <x:c r="F257" s="70" t="str"/>
      <x:c r="G257" s="70" t="str"/>
      <x:c r="H257" s="70" t="str"/>
      <x:c r="I257" s="70" t="str"/>
      <x:c r="J257" s="70" t="str"/>
      <x:c r="K257" s="70" t="str"/>
      <x:c r="L257" s="70" t="str"/>
      <x:c r="M257" s="70" t="str">
        <x:f>IF(L257="完全支持",1,IF(L257="基本支持",0.75,IF(L257="部分支持",0.5,IF(L257="相邻但不同",0.25,IF(L257="反例",0,"")))))</x:f>
      </x:c>
      <x:c r="N257" s="70" t="str"/>
      <x:c r="O257" s="70" t="str"/>
      <x:c r="P257" s="70" t="str"/>
      <x:c r="Q257" s="70" t="str">
        <x:f>IF(OR(H257="",K257=""),"",IF(H257&gt;K257,"是","否"))</x:f>
      </x:c>
      <x:c r="R257" s="70" t="str">
        <x:v>否</x:v>
      </x:c>
      <x:c r="S257" s="70" t="str"/>
      <x:c r="T257" s="70" t="str"/>
      <x:c r="U257" s="70" t="str"/>
      <x:c r="V257" s="70" t="str">
        <x:v>否</x:v>
      </x:c>
      <x:c r="W257" s="70" t="str"/>
    </x:row>
    <x:row r="258">
      <x:c r="A258" s="70" t="str">
        <x:v>M5EV-0253</x:v>
      </x:c>
      <x:c r="B258" s="70" t="str"/>
      <x:c r="C258" s="70" t="str">
        <x:f>IFERROR(VLOOKUP(B258,'02_案例与预测'!$A$6:$E$65,5,FALSE),"")</x:f>
      </x:c>
      <x:c r="D258" s="70" t="str"/>
      <x:c r="E258" s="70" t="str"/>
      <x:c r="F258" s="70" t="str"/>
      <x:c r="G258" s="70" t="str"/>
      <x:c r="H258" s="70" t="str"/>
      <x:c r="I258" s="70" t="str"/>
      <x:c r="J258" s="70" t="str"/>
      <x:c r="K258" s="70" t="str"/>
      <x:c r="L258" s="70" t="str"/>
      <x:c r="M258" s="70" t="str">
        <x:f>IF(L258="完全支持",1,IF(L258="基本支持",0.75,IF(L258="部分支持",0.5,IF(L258="相邻但不同",0.25,IF(L258="反例",0,"")))))</x:f>
      </x:c>
      <x:c r="N258" s="70" t="str"/>
      <x:c r="O258" s="70" t="str"/>
      <x:c r="P258" s="70" t="str"/>
      <x:c r="Q258" s="70" t="str">
        <x:f>IF(OR(H258="",K258=""),"",IF(H258&gt;K258,"是","否"))</x:f>
      </x:c>
      <x:c r="R258" s="70" t="str">
        <x:v>否</x:v>
      </x:c>
      <x:c r="S258" s="70" t="str"/>
      <x:c r="T258" s="70" t="str"/>
      <x:c r="U258" s="70" t="str"/>
      <x:c r="V258" s="70" t="str">
        <x:v>否</x:v>
      </x:c>
      <x:c r="W258" s="70" t="str"/>
    </x:row>
    <x:row r="259">
      <x:c r="A259" s="70" t="str">
        <x:v>M5EV-0254</x:v>
      </x:c>
      <x:c r="B259" s="70" t="str"/>
      <x:c r="C259" s="70" t="str">
        <x:f>IFERROR(VLOOKUP(B259,'02_案例与预测'!$A$6:$E$65,5,FALSE),"")</x:f>
      </x:c>
      <x:c r="D259" s="70" t="str"/>
      <x:c r="E259" s="70" t="str"/>
      <x:c r="F259" s="70" t="str"/>
      <x:c r="G259" s="70" t="str"/>
      <x:c r="H259" s="70" t="str"/>
      <x:c r="I259" s="70" t="str"/>
      <x:c r="J259" s="70" t="str"/>
      <x:c r="K259" s="70" t="str"/>
      <x:c r="L259" s="70" t="str"/>
      <x:c r="M259" s="70" t="str">
        <x:f>IF(L259="完全支持",1,IF(L259="基本支持",0.75,IF(L259="部分支持",0.5,IF(L259="相邻但不同",0.25,IF(L259="反例",0,"")))))</x:f>
      </x:c>
      <x:c r="N259" s="70" t="str"/>
      <x:c r="O259" s="70" t="str"/>
      <x:c r="P259" s="70" t="str"/>
      <x:c r="Q259" s="70" t="str">
        <x:f>IF(OR(H259="",K259=""),"",IF(H259&gt;K259,"是","否"))</x:f>
      </x:c>
      <x:c r="R259" s="70" t="str">
        <x:v>否</x:v>
      </x:c>
      <x:c r="S259" s="70" t="str"/>
      <x:c r="T259" s="70" t="str"/>
      <x:c r="U259" s="70" t="str"/>
      <x:c r="V259" s="70" t="str">
        <x:v>否</x:v>
      </x:c>
      <x:c r="W259" s="70" t="str"/>
    </x:row>
    <x:row r="260">
      <x:c r="A260" s="70" t="str">
        <x:v>M5EV-0255</x:v>
      </x:c>
      <x:c r="B260" s="70" t="str"/>
      <x:c r="C260" s="70" t="str">
        <x:f>IFERROR(VLOOKUP(B260,'02_案例与预测'!$A$6:$E$65,5,FALSE),"")</x:f>
      </x:c>
      <x:c r="D260" s="70" t="str"/>
      <x:c r="E260" s="70" t="str"/>
      <x:c r="F260" s="70" t="str"/>
      <x:c r="G260" s="70" t="str"/>
      <x:c r="H260" s="70" t="str"/>
      <x:c r="I260" s="70" t="str"/>
      <x:c r="J260" s="70" t="str"/>
      <x:c r="K260" s="70" t="str"/>
      <x:c r="L260" s="70" t="str"/>
      <x:c r="M260" s="70" t="str">
        <x:f>IF(L260="完全支持",1,IF(L260="基本支持",0.75,IF(L260="部分支持",0.5,IF(L260="相邻但不同",0.25,IF(L260="反例",0,"")))))</x:f>
      </x:c>
      <x:c r="N260" s="70" t="str"/>
      <x:c r="O260" s="70" t="str"/>
      <x:c r="P260" s="70" t="str"/>
      <x:c r="Q260" s="70" t="str">
        <x:f>IF(OR(H260="",K260=""),"",IF(H260&gt;K260,"是","否"))</x:f>
      </x:c>
      <x:c r="R260" s="70" t="str">
        <x:v>否</x:v>
      </x:c>
      <x:c r="S260" s="70" t="str"/>
      <x:c r="T260" s="70" t="str"/>
      <x:c r="U260" s="70" t="str"/>
      <x:c r="V260" s="70" t="str">
        <x:v>否</x:v>
      </x:c>
      <x:c r="W260" s="70" t="str"/>
    </x:row>
    <x:row r="261">
      <x:c r="A261" s="70" t="str">
        <x:v>M5EV-0256</x:v>
      </x:c>
      <x:c r="B261" s="70" t="str"/>
      <x:c r="C261" s="70" t="str">
        <x:f>IFERROR(VLOOKUP(B261,'02_案例与预测'!$A$6:$E$65,5,FALSE),"")</x:f>
      </x:c>
      <x:c r="D261" s="70" t="str"/>
      <x:c r="E261" s="70" t="str"/>
      <x:c r="F261" s="70" t="str"/>
      <x:c r="G261" s="70" t="str"/>
      <x:c r="H261" s="70" t="str"/>
      <x:c r="I261" s="70" t="str"/>
      <x:c r="J261" s="70" t="str"/>
      <x:c r="K261" s="70" t="str"/>
      <x:c r="L261" s="70" t="str"/>
      <x:c r="M261" s="70" t="str">
        <x:f>IF(L261="完全支持",1,IF(L261="基本支持",0.75,IF(L261="部分支持",0.5,IF(L261="相邻但不同",0.25,IF(L261="反例",0,"")))))</x:f>
      </x:c>
      <x:c r="N261" s="70" t="str"/>
      <x:c r="O261" s="70" t="str"/>
      <x:c r="P261" s="70" t="str"/>
      <x:c r="Q261" s="70" t="str">
        <x:f>IF(OR(H261="",K261=""),"",IF(H261&gt;K261,"是","否"))</x:f>
      </x:c>
      <x:c r="R261" s="70" t="str">
        <x:v>否</x:v>
      </x:c>
      <x:c r="S261" s="70" t="str"/>
      <x:c r="T261" s="70" t="str"/>
      <x:c r="U261" s="70" t="str"/>
      <x:c r="V261" s="70" t="str">
        <x:v>否</x:v>
      </x:c>
      <x:c r="W261" s="70" t="str"/>
    </x:row>
    <x:row r="262">
      <x:c r="A262" s="70" t="str">
        <x:v>M5EV-0257</x:v>
      </x:c>
      <x:c r="B262" s="70" t="str"/>
      <x:c r="C262" s="70" t="str">
        <x:f>IFERROR(VLOOKUP(B262,'02_案例与预测'!$A$6:$E$65,5,FALSE),"")</x:f>
      </x:c>
      <x:c r="D262" s="70" t="str"/>
      <x:c r="E262" s="70" t="str"/>
      <x:c r="F262" s="70" t="str"/>
      <x:c r="G262" s="70" t="str"/>
      <x:c r="H262" s="70" t="str"/>
      <x:c r="I262" s="70" t="str"/>
      <x:c r="J262" s="70" t="str"/>
      <x:c r="K262" s="70" t="str"/>
      <x:c r="L262" s="70" t="str"/>
      <x:c r="M262" s="70" t="str">
        <x:f>IF(L262="完全支持",1,IF(L262="基本支持",0.75,IF(L262="部分支持",0.5,IF(L262="相邻但不同",0.25,IF(L262="反例",0,"")))))</x:f>
      </x:c>
      <x:c r="N262" s="70" t="str"/>
      <x:c r="O262" s="70" t="str"/>
      <x:c r="P262" s="70" t="str"/>
      <x:c r="Q262" s="70" t="str">
        <x:f>IF(OR(H262="",K262=""),"",IF(H262&gt;K262,"是","否"))</x:f>
      </x:c>
      <x:c r="R262" s="70" t="str">
        <x:v>否</x:v>
      </x:c>
      <x:c r="S262" s="70" t="str"/>
      <x:c r="T262" s="70" t="str"/>
      <x:c r="U262" s="70" t="str"/>
      <x:c r="V262" s="70" t="str">
        <x:v>否</x:v>
      </x:c>
      <x:c r="W262" s="70" t="str"/>
    </x:row>
    <x:row r="263">
      <x:c r="A263" s="70" t="str">
        <x:v>M5EV-0258</x:v>
      </x:c>
      <x:c r="B263" s="70" t="str"/>
      <x:c r="C263" s="70" t="str">
        <x:f>IFERROR(VLOOKUP(B263,'02_案例与预测'!$A$6:$E$65,5,FALSE),"")</x:f>
      </x:c>
      <x:c r="D263" s="70" t="str"/>
      <x:c r="E263" s="70" t="str"/>
      <x:c r="F263" s="70" t="str"/>
      <x:c r="G263" s="70" t="str"/>
      <x:c r="H263" s="70" t="str"/>
      <x:c r="I263" s="70" t="str"/>
      <x:c r="J263" s="70" t="str"/>
      <x:c r="K263" s="70" t="str"/>
      <x:c r="L263" s="70" t="str"/>
      <x:c r="M263" s="70" t="str">
        <x:f>IF(L263="完全支持",1,IF(L263="基本支持",0.75,IF(L263="部分支持",0.5,IF(L263="相邻但不同",0.25,IF(L263="反例",0,"")))))</x:f>
      </x:c>
      <x:c r="N263" s="70" t="str"/>
      <x:c r="O263" s="70" t="str"/>
      <x:c r="P263" s="70" t="str"/>
      <x:c r="Q263" s="70" t="str">
        <x:f>IF(OR(H263="",K263=""),"",IF(H263&gt;K263,"是","否"))</x:f>
      </x:c>
      <x:c r="R263" s="70" t="str">
        <x:v>否</x:v>
      </x:c>
      <x:c r="S263" s="70" t="str"/>
      <x:c r="T263" s="70" t="str"/>
      <x:c r="U263" s="70" t="str"/>
      <x:c r="V263" s="70" t="str">
        <x:v>否</x:v>
      </x:c>
      <x:c r="W263" s="70" t="str"/>
    </x:row>
    <x:row r="264">
      <x:c r="A264" s="70" t="str">
        <x:v>M5EV-0259</x:v>
      </x:c>
      <x:c r="B264" s="70" t="str"/>
      <x:c r="C264" s="70" t="str">
        <x:f>IFERROR(VLOOKUP(B264,'02_案例与预测'!$A$6:$E$65,5,FALSE),"")</x:f>
      </x:c>
      <x:c r="D264" s="70" t="str"/>
      <x:c r="E264" s="70" t="str"/>
      <x:c r="F264" s="70" t="str"/>
      <x:c r="G264" s="70" t="str"/>
      <x:c r="H264" s="70" t="str"/>
      <x:c r="I264" s="70" t="str"/>
      <x:c r="J264" s="70" t="str"/>
      <x:c r="K264" s="70" t="str"/>
      <x:c r="L264" s="70" t="str"/>
      <x:c r="M264" s="70" t="str">
        <x:f>IF(L264="完全支持",1,IF(L264="基本支持",0.75,IF(L264="部分支持",0.5,IF(L264="相邻但不同",0.25,IF(L264="反例",0,"")))))</x:f>
      </x:c>
      <x:c r="N264" s="70" t="str"/>
      <x:c r="O264" s="70" t="str"/>
      <x:c r="P264" s="70" t="str"/>
      <x:c r="Q264" s="70" t="str">
        <x:f>IF(OR(H264="",K264=""),"",IF(H264&gt;K264,"是","否"))</x:f>
      </x:c>
      <x:c r="R264" s="70" t="str">
        <x:v>否</x:v>
      </x:c>
      <x:c r="S264" s="70" t="str"/>
      <x:c r="T264" s="70" t="str"/>
      <x:c r="U264" s="70" t="str"/>
      <x:c r="V264" s="70" t="str">
        <x:v>否</x:v>
      </x:c>
      <x:c r="W264" s="70" t="str"/>
    </x:row>
    <x:row r="265">
      <x:c r="A265" s="70" t="str">
        <x:v>M5EV-0260</x:v>
      </x:c>
      <x:c r="B265" s="70" t="str"/>
      <x:c r="C265" s="70" t="str">
        <x:f>IFERROR(VLOOKUP(B265,'02_案例与预测'!$A$6:$E$65,5,FALSE),"")</x:f>
      </x:c>
      <x:c r="D265" s="70" t="str"/>
      <x:c r="E265" s="70" t="str"/>
      <x:c r="F265" s="70" t="str"/>
      <x:c r="G265" s="70" t="str"/>
      <x:c r="H265" s="70" t="str"/>
      <x:c r="I265" s="70" t="str"/>
      <x:c r="J265" s="70" t="str"/>
      <x:c r="K265" s="70" t="str"/>
      <x:c r="L265" s="70" t="str"/>
      <x:c r="M265" s="70" t="str">
        <x:f>IF(L265="完全支持",1,IF(L265="基本支持",0.75,IF(L265="部分支持",0.5,IF(L265="相邻但不同",0.25,IF(L265="反例",0,"")))))</x:f>
      </x:c>
      <x:c r="N265" s="70" t="str"/>
      <x:c r="O265" s="70" t="str"/>
      <x:c r="P265" s="70" t="str"/>
      <x:c r="Q265" s="70" t="str">
        <x:f>IF(OR(H265="",K265=""),"",IF(H265&gt;K265,"是","否"))</x:f>
      </x:c>
      <x:c r="R265" s="70" t="str">
        <x:v>否</x:v>
      </x:c>
      <x:c r="S265" s="70" t="str"/>
      <x:c r="T265" s="70" t="str"/>
      <x:c r="U265" s="70" t="str"/>
      <x:c r="V265" s="70" t="str">
        <x:v>否</x:v>
      </x:c>
      <x:c r="W265" s="70" t="str"/>
    </x:row>
    <x:row r="266">
      <x:c r="A266" s="70" t="str">
        <x:v>M5EV-0261</x:v>
      </x:c>
      <x:c r="B266" s="70" t="str"/>
      <x:c r="C266" s="70" t="str">
        <x:f>IFERROR(VLOOKUP(B266,'02_案例与预测'!$A$6:$E$65,5,FALSE),"")</x:f>
      </x:c>
      <x:c r="D266" s="70" t="str"/>
      <x:c r="E266" s="70" t="str"/>
      <x:c r="F266" s="70" t="str"/>
      <x:c r="G266" s="70" t="str"/>
      <x:c r="H266" s="70" t="str"/>
      <x:c r="I266" s="70" t="str"/>
      <x:c r="J266" s="70" t="str"/>
      <x:c r="K266" s="70" t="str"/>
      <x:c r="L266" s="70" t="str"/>
      <x:c r="M266" s="70" t="str">
        <x:f>IF(L266="完全支持",1,IF(L266="基本支持",0.75,IF(L266="部分支持",0.5,IF(L266="相邻但不同",0.25,IF(L266="反例",0,"")))))</x:f>
      </x:c>
      <x:c r="N266" s="70" t="str"/>
      <x:c r="O266" s="70" t="str"/>
      <x:c r="P266" s="70" t="str"/>
      <x:c r="Q266" s="70" t="str">
        <x:f>IF(OR(H266="",K266=""),"",IF(H266&gt;K266,"是","否"))</x:f>
      </x:c>
      <x:c r="R266" s="70" t="str">
        <x:v>否</x:v>
      </x:c>
      <x:c r="S266" s="70" t="str"/>
      <x:c r="T266" s="70" t="str"/>
      <x:c r="U266" s="70" t="str"/>
      <x:c r="V266" s="70" t="str">
        <x:v>否</x:v>
      </x:c>
      <x:c r="W266" s="70" t="str"/>
    </x:row>
    <x:row r="267">
      <x:c r="A267" s="70" t="str">
        <x:v>M5EV-0262</x:v>
      </x:c>
      <x:c r="B267" s="70" t="str"/>
      <x:c r="C267" s="70" t="str">
        <x:f>IFERROR(VLOOKUP(B267,'02_案例与预测'!$A$6:$E$65,5,FALSE),"")</x:f>
      </x:c>
      <x:c r="D267" s="70" t="str"/>
      <x:c r="E267" s="70" t="str"/>
      <x:c r="F267" s="70" t="str"/>
      <x:c r="G267" s="70" t="str"/>
      <x:c r="H267" s="70" t="str"/>
      <x:c r="I267" s="70" t="str"/>
      <x:c r="J267" s="70" t="str"/>
      <x:c r="K267" s="70" t="str"/>
      <x:c r="L267" s="70" t="str"/>
      <x:c r="M267" s="70" t="str">
        <x:f>IF(L267="完全支持",1,IF(L267="基本支持",0.75,IF(L267="部分支持",0.5,IF(L267="相邻但不同",0.25,IF(L267="反例",0,"")))))</x:f>
      </x:c>
      <x:c r="N267" s="70" t="str"/>
      <x:c r="O267" s="70" t="str"/>
      <x:c r="P267" s="70" t="str"/>
      <x:c r="Q267" s="70" t="str">
        <x:f>IF(OR(H267="",K267=""),"",IF(H267&gt;K267,"是","否"))</x:f>
      </x:c>
      <x:c r="R267" s="70" t="str">
        <x:v>否</x:v>
      </x:c>
      <x:c r="S267" s="70" t="str"/>
      <x:c r="T267" s="70" t="str"/>
      <x:c r="U267" s="70" t="str"/>
      <x:c r="V267" s="70" t="str">
        <x:v>否</x:v>
      </x:c>
      <x:c r="W267" s="70" t="str"/>
    </x:row>
    <x:row r="268">
      <x:c r="A268" s="70" t="str">
        <x:v>M5EV-0263</x:v>
      </x:c>
      <x:c r="B268" s="70" t="str"/>
      <x:c r="C268" s="70" t="str">
        <x:f>IFERROR(VLOOKUP(B268,'02_案例与预测'!$A$6:$E$65,5,FALSE),"")</x:f>
      </x:c>
      <x:c r="D268" s="70" t="str"/>
      <x:c r="E268" s="70" t="str"/>
      <x:c r="F268" s="70" t="str"/>
      <x:c r="G268" s="70" t="str"/>
      <x:c r="H268" s="70" t="str"/>
      <x:c r="I268" s="70" t="str"/>
      <x:c r="J268" s="70" t="str"/>
      <x:c r="K268" s="70" t="str"/>
      <x:c r="L268" s="70" t="str"/>
      <x:c r="M268" s="70" t="str">
        <x:f>IF(L268="完全支持",1,IF(L268="基本支持",0.75,IF(L268="部分支持",0.5,IF(L268="相邻但不同",0.25,IF(L268="反例",0,"")))))</x:f>
      </x:c>
      <x:c r="N268" s="70" t="str"/>
      <x:c r="O268" s="70" t="str"/>
      <x:c r="P268" s="70" t="str"/>
      <x:c r="Q268" s="70" t="str">
        <x:f>IF(OR(H268="",K268=""),"",IF(H268&gt;K268,"是","否"))</x:f>
      </x:c>
      <x:c r="R268" s="70" t="str">
        <x:v>否</x:v>
      </x:c>
      <x:c r="S268" s="70" t="str"/>
      <x:c r="T268" s="70" t="str"/>
      <x:c r="U268" s="70" t="str"/>
      <x:c r="V268" s="70" t="str">
        <x:v>否</x:v>
      </x:c>
      <x:c r="W268" s="70" t="str"/>
    </x:row>
    <x:row r="269">
      <x:c r="A269" s="70" t="str">
        <x:v>M5EV-0264</x:v>
      </x:c>
      <x:c r="B269" s="70" t="str"/>
      <x:c r="C269" s="70" t="str">
        <x:f>IFERROR(VLOOKUP(B269,'02_案例与预测'!$A$6:$E$65,5,FALSE),"")</x:f>
      </x:c>
      <x:c r="D269" s="70" t="str"/>
      <x:c r="E269" s="70" t="str"/>
      <x:c r="F269" s="70" t="str"/>
      <x:c r="G269" s="70" t="str"/>
      <x:c r="H269" s="70" t="str"/>
      <x:c r="I269" s="70" t="str"/>
      <x:c r="J269" s="70" t="str"/>
      <x:c r="K269" s="70" t="str"/>
      <x:c r="L269" s="70" t="str"/>
      <x:c r="M269" s="70" t="str">
        <x:f>IF(L269="完全支持",1,IF(L269="基本支持",0.75,IF(L269="部分支持",0.5,IF(L269="相邻但不同",0.25,IF(L269="反例",0,"")))))</x:f>
      </x:c>
      <x:c r="N269" s="70" t="str"/>
      <x:c r="O269" s="70" t="str"/>
      <x:c r="P269" s="70" t="str"/>
      <x:c r="Q269" s="70" t="str">
        <x:f>IF(OR(H269="",K269=""),"",IF(H269&gt;K269,"是","否"))</x:f>
      </x:c>
      <x:c r="R269" s="70" t="str">
        <x:v>否</x:v>
      </x:c>
      <x:c r="S269" s="70" t="str"/>
      <x:c r="T269" s="70" t="str"/>
      <x:c r="U269" s="70" t="str"/>
      <x:c r="V269" s="70" t="str">
        <x:v>否</x:v>
      </x:c>
      <x:c r="W269" s="70" t="str"/>
    </x:row>
    <x:row r="270">
      <x:c r="A270" s="70" t="str">
        <x:v>M5EV-0265</x:v>
      </x:c>
      <x:c r="B270" s="70" t="str"/>
      <x:c r="C270" s="70" t="str">
        <x:f>IFERROR(VLOOKUP(B270,'02_案例与预测'!$A$6:$E$65,5,FALSE),"")</x:f>
      </x:c>
      <x:c r="D270" s="70" t="str"/>
      <x:c r="E270" s="70" t="str"/>
      <x:c r="F270" s="70" t="str"/>
      <x:c r="G270" s="70" t="str"/>
      <x:c r="H270" s="70" t="str"/>
      <x:c r="I270" s="70" t="str"/>
      <x:c r="J270" s="70" t="str"/>
      <x:c r="K270" s="70" t="str"/>
      <x:c r="L270" s="70" t="str"/>
      <x:c r="M270" s="70" t="str">
        <x:f>IF(L270="完全支持",1,IF(L270="基本支持",0.75,IF(L270="部分支持",0.5,IF(L270="相邻但不同",0.25,IF(L270="反例",0,"")))))</x:f>
      </x:c>
      <x:c r="N270" s="70" t="str"/>
      <x:c r="O270" s="70" t="str"/>
      <x:c r="P270" s="70" t="str"/>
      <x:c r="Q270" s="70" t="str">
        <x:f>IF(OR(H270="",K270=""),"",IF(H270&gt;K270,"是","否"))</x:f>
      </x:c>
      <x:c r="R270" s="70" t="str">
        <x:v>否</x:v>
      </x:c>
      <x:c r="S270" s="70" t="str"/>
      <x:c r="T270" s="70" t="str"/>
      <x:c r="U270" s="70" t="str"/>
      <x:c r="V270" s="70" t="str">
        <x:v>否</x:v>
      </x:c>
      <x:c r="W270" s="70" t="str"/>
    </x:row>
    <x:row r="271">
      <x:c r="A271" s="70" t="str">
        <x:v>M5EV-0266</x:v>
      </x:c>
      <x:c r="B271" s="70" t="str"/>
      <x:c r="C271" s="70" t="str">
        <x:f>IFERROR(VLOOKUP(B271,'02_案例与预测'!$A$6:$E$65,5,FALSE),"")</x:f>
      </x:c>
      <x:c r="D271" s="70" t="str"/>
      <x:c r="E271" s="70" t="str"/>
      <x:c r="F271" s="70" t="str"/>
      <x:c r="G271" s="70" t="str"/>
      <x:c r="H271" s="70" t="str"/>
      <x:c r="I271" s="70" t="str"/>
      <x:c r="J271" s="70" t="str"/>
      <x:c r="K271" s="70" t="str"/>
      <x:c r="L271" s="70" t="str"/>
      <x:c r="M271" s="70" t="str">
        <x:f>IF(L271="完全支持",1,IF(L271="基本支持",0.75,IF(L271="部分支持",0.5,IF(L271="相邻但不同",0.25,IF(L271="反例",0,"")))))</x:f>
      </x:c>
      <x:c r="N271" s="70" t="str"/>
      <x:c r="O271" s="70" t="str"/>
      <x:c r="P271" s="70" t="str"/>
      <x:c r="Q271" s="70" t="str">
        <x:f>IF(OR(H271="",K271=""),"",IF(H271&gt;K271,"是","否"))</x:f>
      </x:c>
      <x:c r="R271" s="70" t="str">
        <x:v>否</x:v>
      </x:c>
      <x:c r="S271" s="70" t="str"/>
      <x:c r="T271" s="70" t="str"/>
      <x:c r="U271" s="70" t="str"/>
      <x:c r="V271" s="70" t="str">
        <x:v>否</x:v>
      </x:c>
      <x:c r="W271" s="70" t="str"/>
    </x:row>
    <x:row r="272">
      <x:c r="A272" s="70" t="str">
        <x:v>M5EV-0267</x:v>
      </x:c>
      <x:c r="B272" s="70" t="str"/>
      <x:c r="C272" s="70" t="str">
        <x:f>IFERROR(VLOOKUP(B272,'02_案例与预测'!$A$6:$E$65,5,FALSE),"")</x:f>
      </x:c>
      <x:c r="D272" s="70" t="str"/>
      <x:c r="E272" s="70" t="str"/>
      <x:c r="F272" s="70" t="str"/>
      <x:c r="G272" s="70" t="str"/>
      <x:c r="H272" s="70" t="str"/>
      <x:c r="I272" s="70" t="str"/>
      <x:c r="J272" s="70" t="str"/>
      <x:c r="K272" s="70" t="str"/>
      <x:c r="L272" s="70" t="str"/>
      <x:c r="M272" s="70" t="str">
        <x:f>IF(L272="完全支持",1,IF(L272="基本支持",0.75,IF(L272="部分支持",0.5,IF(L272="相邻但不同",0.25,IF(L272="反例",0,"")))))</x:f>
      </x:c>
      <x:c r="N272" s="70" t="str"/>
      <x:c r="O272" s="70" t="str"/>
      <x:c r="P272" s="70" t="str"/>
      <x:c r="Q272" s="70" t="str">
        <x:f>IF(OR(H272="",K272=""),"",IF(H272&gt;K272,"是","否"))</x:f>
      </x:c>
      <x:c r="R272" s="70" t="str">
        <x:v>否</x:v>
      </x:c>
      <x:c r="S272" s="70" t="str"/>
      <x:c r="T272" s="70" t="str"/>
      <x:c r="U272" s="70" t="str"/>
      <x:c r="V272" s="70" t="str">
        <x:v>否</x:v>
      </x:c>
      <x:c r="W272" s="70" t="str"/>
    </x:row>
    <x:row r="273">
      <x:c r="A273" s="70" t="str">
        <x:v>M5EV-0268</x:v>
      </x:c>
      <x:c r="B273" s="70" t="str"/>
      <x:c r="C273" s="70" t="str">
        <x:f>IFERROR(VLOOKUP(B273,'02_案例与预测'!$A$6:$E$65,5,FALSE),"")</x:f>
      </x:c>
      <x:c r="D273" s="70" t="str"/>
      <x:c r="E273" s="70" t="str"/>
      <x:c r="F273" s="70" t="str"/>
      <x:c r="G273" s="70" t="str"/>
      <x:c r="H273" s="70" t="str"/>
      <x:c r="I273" s="70" t="str"/>
      <x:c r="J273" s="70" t="str"/>
      <x:c r="K273" s="70" t="str"/>
      <x:c r="L273" s="70" t="str"/>
      <x:c r="M273" s="70" t="str">
        <x:f>IF(L273="完全支持",1,IF(L273="基本支持",0.75,IF(L273="部分支持",0.5,IF(L273="相邻但不同",0.25,IF(L273="反例",0,"")))))</x:f>
      </x:c>
      <x:c r="N273" s="70" t="str"/>
      <x:c r="O273" s="70" t="str"/>
      <x:c r="P273" s="70" t="str"/>
      <x:c r="Q273" s="70" t="str">
        <x:f>IF(OR(H273="",K273=""),"",IF(H273&gt;K273,"是","否"))</x:f>
      </x:c>
      <x:c r="R273" s="70" t="str">
        <x:v>否</x:v>
      </x:c>
      <x:c r="S273" s="70" t="str"/>
      <x:c r="T273" s="70" t="str"/>
      <x:c r="U273" s="70" t="str"/>
      <x:c r="V273" s="70" t="str">
        <x:v>否</x:v>
      </x:c>
      <x:c r="W273" s="70" t="str"/>
    </x:row>
    <x:row r="274">
      <x:c r="A274" s="70" t="str">
        <x:v>M5EV-0269</x:v>
      </x:c>
      <x:c r="B274" s="70" t="str"/>
      <x:c r="C274" s="70" t="str">
        <x:f>IFERROR(VLOOKUP(B274,'02_案例与预测'!$A$6:$E$65,5,FALSE),"")</x:f>
      </x:c>
      <x:c r="D274" s="70" t="str"/>
      <x:c r="E274" s="70" t="str"/>
      <x:c r="F274" s="70" t="str"/>
      <x:c r="G274" s="70" t="str"/>
      <x:c r="H274" s="70" t="str"/>
      <x:c r="I274" s="70" t="str"/>
      <x:c r="J274" s="70" t="str"/>
      <x:c r="K274" s="70" t="str"/>
      <x:c r="L274" s="70" t="str"/>
      <x:c r="M274" s="70" t="str">
        <x:f>IF(L274="完全支持",1,IF(L274="基本支持",0.75,IF(L274="部分支持",0.5,IF(L274="相邻但不同",0.25,IF(L274="反例",0,"")))))</x:f>
      </x:c>
      <x:c r="N274" s="70" t="str"/>
      <x:c r="O274" s="70" t="str"/>
      <x:c r="P274" s="70" t="str"/>
      <x:c r="Q274" s="70" t="str">
        <x:f>IF(OR(H274="",K274=""),"",IF(H274&gt;K274,"是","否"))</x:f>
      </x:c>
      <x:c r="R274" s="70" t="str">
        <x:v>否</x:v>
      </x:c>
      <x:c r="S274" s="70" t="str"/>
      <x:c r="T274" s="70" t="str"/>
      <x:c r="U274" s="70" t="str"/>
      <x:c r="V274" s="70" t="str">
        <x:v>否</x:v>
      </x:c>
      <x:c r="W274" s="70" t="str"/>
    </x:row>
    <x:row r="275">
      <x:c r="A275" s="70" t="str">
        <x:v>M5EV-0270</x:v>
      </x:c>
      <x:c r="B275" s="70" t="str"/>
      <x:c r="C275" s="70" t="str">
        <x:f>IFERROR(VLOOKUP(B275,'02_案例与预测'!$A$6:$E$65,5,FALSE),"")</x:f>
      </x:c>
      <x:c r="D275" s="70" t="str"/>
      <x:c r="E275" s="70" t="str"/>
      <x:c r="F275" s="70" t="str"/>
      <x:c r="G275" s="70" t="str"/>
      <x:c r="H275" s="70" t="str"/>
      <x:c r="I275" s="70" t="str"/>
      <x:c r="J275" s="70" t="str"/>
      <x:c r="K275" s="70" t="str"/>
      <x:c r="L275" s="70" t="str"/>
      <x:c r="M275" s="70" t="str">
        <x:f>IF(L275="完全支持",1,IF(L275="基本支持",0.75,IF(L275="部分支持",0.5,IF(L275="相邻但不同",0.25,IF(L275="反例",0,"")))))</x:f>
      </x:c>
      <x:c r="N275" s="70" t="str"/>
      <x:c r="O275" s="70" t="str"/>
      <x:c r="P275" s="70" t="str"/>
      <x:c r="Q275" s="70" t="str">
        <x:f>IF(OR(H275="",K275=""),"",IF(H275&gt;K275,"是","否"))</x:f>
      </x:c>
      <x:c r="R275" s="70" t="str">
        <x:v>否</x:v>
      </x:c>
      <x:c r="S275" s="70" t="str"/>
      <x:c r="T275" s="70" t="str"/>
      <x:c r="U275" s="70" t="str"/>
      <x:c r="V275" s="70" t="str">
        <x:v>否</x:v>
      </x:c>
      <x:c r="W275" s="70" t="str"/>
    </x:row>
    <x:row r="276">
      <x:c r="A276" s="70" t="str">
        <x:v>M5EV-0271</x:v>
      </x:c>
      <x:c r="B276" s="70" t="str"/>
      <x:c r="C276" s="70" t="str">
        <x:f>IFERROR(VLOOKUP(B276,'02_案例与预测'!$A$6:$E$65,5,FALSE),"")</x:f>
      </x:c>
      <x:c r="D276" s="70" t="str"/>
      <x:c r="E276" s="70" t="str"/>
      <x:c r="F276" s="70" t="str"/>
      <x:c r="G276" s="70" t="str"/>
      <x:c r="H276" s="70" t="str"/>
      <x:c r="I276" s="70" t="str"/>
      <x:c r="J276" s="70" t="str"/>
      <x:c r="K276" s="70" t="str"/>
      <x:c r="L276" s="70" t="str"/>
      <x:c r="M276" s="70" t="str">
        <x:f>IF(L276="完全支持",1,IF(L276="基本支持",0.75,IF(L276="部分支持",0.5,IF(L276="相邻但不同",0.25,IF(L276="反例",0,"")))))</x:f>
      </x:c>
      <x:c r="N276" s="70" t="str"/>
      <x:c r="O276" s="70" t="str"/>
      <x:c r="P276" s="70" t="str"/>
      <x:c r="Q276" s="70" t="str">
        <x:f>IF(OR(H276="",K276=""),"",IF(H276&gt;K276,"是","否"))</x:f>
      </x:c>
      <x:c r="R276" s="70" t="str">
        <x:v>否</x:v>
      </x:c>
      <x:c r="S276" s="70" t="str"/>
      <x:c r="T276" s="70" t="str"/>
      <x:c r="U276" s="70" t="str"/>
      <x:c r="V276" s="70" t="str">
        <x:v>否</x:v>
      </x:c>
      <x:c r="W276" s="70" t="str"/>
    </x:row>
    <x:row r="277">
      <x:c r="A277" s="70" t="str">
        <x:v>M5EV-0272</x:v>
      </x:c>
      <x:c r="B277" s="70" t="str"/>
      <x:c r="C277" s="70" t="str">
        <x:f>IFERROR(VLOOKUP(B277,'02_案例与预测'!$A$6:$E$65,5,FALSE),"")</x:f>
      </x:c>
      <x:c r="D277" s="70" t="str"/>
      <x:c r="E277" s="70" t="str"/>
      <x:c r="F277" s="70" t="str"/>
      <x:c r="G277" s="70" t="str"/>
      <x:c r="H277" s="70" t="str"/>
      <x:c r="I277" s="70" t="str"/>
      <x:c r="J277" s="70" t="str"/>
      <x:c r="K277" s="70" t="str"/>
      <x:c r="L277" s="70" t="str"/>
      <x:c r="M277" s="70" t="str">
        <x:f>IF(L277="完全支持",1,IF(L277="基本支持",0.75,IF(L277="部分支持",0.5,IF(L277="相邻但不同",0.25,IF(L277="反例",0,"")))))</x:f>
      </x:c>
      <x:c r="N277" s="70" t="str"/>
      <x:c r="O277" s="70" t="str"/>
      <x:c r="P277" s="70" t="str"/>
      <x:c r="Q277" s="70" t="str">
        <x:f>IF(OR(H277="",K277=""),"",IF(H277&gt;K277,"是","否"))</x:f>
      </x:c>
      <x:c r="R277" s="70" t="str">
        <x:v>否</x:v>
      </x:c>
      <x:c r="S277" s="70" t="str"/>
      <x:c r="T277" s="70" t="str"/>
      <x:c r="U277" s="70" t="str"/>
      <x:c r="V277" s="70" t="str">
        <x:v>否</x:v>
      </x:c>
      <x:c r="W277" s="70" t="str"/>
    </x:row>
    <x:row r="278">
      <x:c r="A278" s="70" t="str">
        <x:v>M5EV-0273</x:v>
      </x:c>
      <x:c r="B278" s="70" t="str"/>
      <x:c r="C278" s="70" t="str">
        <x:f>IFERROR(VLOOKUP(B278,'02_案例与预测'!$A$6:$E$65,5,FALSE),"")</x:f>
      </x:c>
      <x:c r="D278" s="70" t="str"/>
      <x:c r="E278" s="70" t="str"/>
      <x:c r="F278" s="70" t="str"/>
      <x:c r="G278" s="70" t="str"/>
      <x:c r="H278" s="70" t="str"/>
      <x:c r="I278" s="70" t="str"/>
      <x:c r="J278" s="70" t="str"/>
      <x:c r="K278" s="70" t="str"/>
      <x:c r="L278" s="70" t="str"/>
      <x:c r="M278" s="70" t="str">
        <x:f>IF(L278="完全支持",1,IF(L278="基本支持",0.75,IF(L278="部分支持",0.5,IF(L278="相邻但不同",0.25,IF(L278="反例",0,"")))))</x:f>
      </x:c>
      <x:c r="N278" s="70" t="str"/>
      <x:c r="O278" s="70" t="str"/>
      <x:c r="P278" s="70" t="str"/>
      <x:c r="Q278" s="70" t="str">
        <x:f>IF(OR(H278="",K278=""),"",IF(H278&gt;K278,"是","否"))</x:f>
      </x:c>
      <x:c r="R278" s="70" t="str">
        <x:v>否</x:v>
      </x:c>
      <x:c r="S278" s="70" t="str"/>
      <x:c r="T278" s="70" t="str"/>
      <x:c r="U278" s="70" t="str"/>
      <x:c r="V278" s="70" t="str">
        <x:v>否</x:v>
      </x:c>
      <x:c r="W278" s="70" t="str"/>
    </x:row>
    <x:row r="279">
      <x:c r="A279" s="70" t="str">
        <x:v>M5EV-0274</x:v>
      </x:c>
      <x:c r="B279" s="70" t="str"/>
      <x:c r="C279" s="70" t="str">
        <x:f>IFERROR(VLOOKUP(B279,'02_案例与预测'!$A$6:$E$65,5,FALSE),"")</x:f>
      </x:c>
      <x:c r="D279" s="70" t="str"/>
      <x:c r="E279" s="70" t="str"/>
      <x:c r="F279" s="70" t="str"/>
      <x:c r="G279" s="70" t="str"/>
      <x:c r="H279" s="70" t="str"/>
      <x:c r="I279" s="70" t="str"/>
      <x:c r="J279" s="70" t="str"/>
      <x:c r="K279" s="70" t="str"/>
      <x:c r="L279" s="70" t="str"/>
      <x:c r="M279" s="70" t="str">
        <x:f>IF(L279="完全支持",1,IF(L279="基本支持",0.75,IF(L279="部分支持",0.5,IF(L279="相邻但不同",0.25,IF(L279="反例",0,"")))))</x:f>
      </x:c>
      <x:c r="N279" s="70" t="str"/>
      <x:c r="O279" s="70" t="str"/>
      <x:c r="P279" s="70" t="str"/>
      <x:c r="Q279" s="70" t="str">
        <x:f>IF(OR(H279="",K279=""),"",IF(H279&gt;K279,"是","否"))</x:f>
      </x:c>
      <x:c r="R279" s="70" t="str">
        <x:v>否</x:v>
      </x:c>
      <x:c r="S279" s="70" t="str"/>
      <x:c r="T279" s="70" t="str"/>
      <x:c r="U279" s="70" t="str"/>
      <x:c r="V279" s="70" t="str">
        <x:v>否</x:v>
      </x:c>
      <x:c r="W279" s="70" t="str"/>
    </x:row>
    <x:row r="280">
      <x:c r="A280" s="70" t="str">
        <x:v>M5EV-0275</x:v>
      </x:c>
      <x:c r="B280" s="70" t="str"/>
      <x:c r="C280" s="70" t="str">
        <x:f>IFERROR(VLOOKUP(B280,'02_案例与预测'!$A$6:$E$65,5,FALSE),"")</x:f>
      </x:c>
      <x:c r="D280" s="70" t="str"/>
      <x:c r="E280" s="70" t="str"/>
      <x:c r="F280" s="70" t="str"/>
      <x:c r="G280" s="70" t="str"/>
      <x:c r="H280" s="70" t="str"/>
      <x:c r="I280" s="70" t="str"/>
      <x:c r="J280" s="70" t="str"/>
      <x:c r="K280" s="70" t="str"/>
      <x:c r="L280" s="70" t="str"/>
      <x:c r="M280" s="70" t="str">
        <x:f>IF(L280="完全支持",1,IF(L280="基本支持",0.75,IF(L280="部分支持",0.5,IF(L280="相邻但不同",0.25,IF(L280="反例",0,"")))))</x:f>
      </x:c>
      <x:c r="N280" s="70" t="str"/>
      <x:c r="O280" s="70" t="str"/>
      <x:c r="P280" s="70" t="str"/>
      <x:c r="Q280" s="70" t="str">
        <x:f>IF(OR(H280="",K280=""),"",IF(H280&gt;K280,"是","否"))</x:f>
      </x:c>
      <x:c r="R280" s="70" t="str">
        <x:v>否</x:v>
      </x:c>
      <x:c r="S280" s="70" t="str"/>
      <x:c r="T280" s="70" t="str"/>
      <x:c r="U280" s="70" t="str"/>
      <x:c r="V280" s="70" t="str">
        <x:v>否</x:v>
      </x:c>
      <x:c r="W280" s="70" t="str"/>
    </x:row>
    <x:row r="281">
      <x:c r="A281" s="70" t="str">
        <x:v>M5EV-0276</x:v>
      </x:c>
      <x:c r="B281" s="70" t="str"/>
      <x:c r="C281" s="70" t="str">
        <x:f>IFERROR(VLOOKUP(B281,'02_案例与预测'!$A$6:$E$65,5,FALSE),"")</x:f>
      </x:c>
      <x:c r="D281" s="70" t="str"/>
      <x:c r="E281" s="70" t="str"/>
      <x:c r="F281" s="70" t="str"/>
      <x:c r="G281" s="70" t="str"/>
      <x:c r="H281" s="70" t="str"/>
      <x:c r="I281" s="70" t="str"/>
      <x:c r="J281" s="70" t="str"/>
      <x:c r="K281" s="70" t="str"/>
      <x:c r="L281" s="70" t="str"/>
      <x:c r="M281" s="70" t="str">
        <x:f>IF(L281="完全支持",1,IF(L281="基本支持",0.75,IF(L281="部分支持",0.5,IF(L281="相邻但不同",0.25,IF(L281="反例",0,"")))))</x:f>
      </x:c>
      <x:c r="N281" s="70" t="str"/>
      <x:c r="O281" s="70" t="str"/>
      <x:c r="P281" s="70" t="str"/>
      <x:c r="Q281" s="70" t="str">
        <x:f>IF(OR(H281="",K281=""),"",IF(H281&gt;K281,"是","否"))</x:f>
      </x:c>
      <x:c r="R281" s="70" t="str">
        <x:v>否</x:v>
      </x:c>
      <x:c r="S281" s="70" t="str"/>
      <x:c r="T281" s="70" t="str"/>
      <x:c r="U281" s="70" t="str"/>
      <x:c r="V281" s="70" t="str">
        <x:v>否</x:v>
      </x:c>
      <x:c r="W281" s="70" t="str"/>
    </x:row>
    <x:row r="282">
      <x:c r="A282" s="70" t="str">
        <x:v>M5EV-0277</x:v>
      </x:c>
      <x:c r="B282" s="70" t="str"/>
      <x:c r="C282" s="70" t="str">
        <x:f>IFERROR(VLOOKUP(B282,'02_案例与预测'!$A$6:$E$65,5,FALSE),"")</x:f>
      </x:c>
      <x:c r="D282" s="70" t="str"/>
      <x:c r="E282" s="70" t="str"/>
      <x:c r="F282" s="70" t="str"/>
      <x:c r="G282" s="70" t="str"/>
      <x:c r="H282" s="70" t="str"/>
      <x:c r="I282" s="70" t="str"/>
      <x:c r="J282" s="70" t="str"/>
      <x:c r="K282" s="70" t="str"/>
      <x:c r="L282" s="70" t="str"/>
      <x:c r="M282" s="70" t="str">
        <x:f>IF(L282="完全支持",1,IF(L282="基本支持",0.75,IF(L282="部分支持",0.5,IF(L282="相邻但不同",0.25,IF(L282="反例",0,"")))))</x:f>
      </x:c>
      <x:c r="N282" s="70" t="str"/>
      <x:c r="O282" s="70" t="str"/>
      <x:c r="P282" s="70" t="str"/>
      <x:c r="Q282" s="70" t="str">
        <x:f>IF(OR(H282="",K282=""),"",IF(H282&gt;K282,"是","否"))</x:f>
      </x:c>
      <x:c r="R282" s="70" t="str">
        <x:v>否</x:v>
      </x:c>
      <x:c r="S282" s="70" t="str"/>
      <x:c r="T282" s="70" t="str"/>
      <x:c r="U282" s="70" t="str"/>
      <x:c r="V282" s="70" t="str">
        <x:v>否</x:v>
      </x:c>
      <x:c r="W282" s="70" t="str"/>
    </x:row>
    <x:row r="283">
      <x:c r="A283" s="70" t="str">
        <x:v>M5EV-0278</x:v>
      </x:c>
      <x:c r="B283" s="70" t="str"/>
      <x:c r="C283" s="70" t="str">
        <x:f>IFERROR(VLOOKUP(B283,'02_案例与预测'!$A$6:$E$65,5,FALSE),"")</x:f>
      </x:c>
      <x:c r="D283" s="70" t="str"/>
      <x:c r="E283" s="70" t="str"/>
      <x:c r="F283" s="70" t="str"/>
      <x:c r="G283" s="70" t="str"/>
      <x:c r="H283" s="70" t="str"/>
      <x:c r="I283" s="70" t="str"/>
      <x:c r="J283" s="70" t="str"/>
      <x:c r="K283" s="70" t="str"/>
      <x:c r="L283" s="70" t="str"/>
      <x:c r="M283" s="70" t="str">
        <x:f>IF(L283="完全支持",1,IF(L283="基本支持",0.75,IF(L283="部分支持",0.5,IF(L283="相邻但不同",0.25,IF(L283="反例",0,"")))))</x:f>
      </x:c>
      <x:c r="N283" s="70" t="str"/>
      <x:c r="O283" s="70" t="str"/>
      <x:c r="P283" s="70" t="str"/>
      <x:c r="Q283" s="70" t="str">
        <x:f>IF(OR(H283="",K283=""),"",IF(H283&gt;K283,"是","否"))</x:f>
      </x:c>
      <x:c r="R283" s="70" t="str">
        <x:v>否</x:v>
      </x:c>
      <x:c r="S283" s="70" t="str"/>
      <x:c r="T283" s="70" t="str"/>
      <x:c r="U283" s="70" t="str"/>
      <x:c r="V283" s="70" t="str">
        <x:v>否</x:v>
      </x:c>
      <x:c r="W283" s="70" t="str"/>
    </x:row>
    <x:row r="284">
      <x:c r="A284" s="70" t="str">
        <x:v>M5EV-0279</x:v>
      </x:c>
      <x:c r="B284" s="70" t="str"/>
      <x:c r="C284" s="70" t="str">
        <x:f>IFERROR(VLOOKUP(B284,'02_案例与预测'!$A$6:$E$65,5,FALSE),"")</x:f>
      </x:c>
      <x:c r="D284" s="70" t="str"/>
      <x:c r="E284" s="70" t="str"/>
      <x:c r="F284" s="70" t="str"/>
      <x:c r="G284" s="70" t="str"/>
      <x:c r="H284" s="70" t="str"/>
      <x:c r="I284" s="70" t="str"/>
      <x:c r="J284" s="70" t="str"/>
      <x:c r="K284" s="70" t="str"/>
      <x:c r="L284" s="70" t="str"/>
      <x:c r="M284" s="70" t="str">
        <x:f>IF(L284="完全支持",1,IF(L284="基本支持",0.75,IF(L284="部分支持",0.5,IF(L284="相邻但不同",0.25,IF(L284="反例",0,"")))))</x:f>
      </x:c>
      <x:c r="N284" s="70" t="str"/>
      <x:c r="O284" s="70" t="str"/>
      <x:c r="P284" s="70" t="str"/>
      <x:c r="Q284" s="70" t="str">
        <x:f>IF(OR(H284="",K284=""),"",IF(H284&gt;K284,"是","否"))</x:f>
      </x:c>
      <x:c r="R284" s="70" t="str">
        <x:v>否</x:v>
      </x:c>
      <x:c r="S284" s="70" t="str"/>
      <x:c r="T284" s="70" t="str"/>
      <x:c r="U284" s="70" t="str"/>
      <x:c r="V284" s="70" t="str">
        <x:v>否</x:v>
      </x:c>
      <x:c r="W284" s="70" t="str"/>
    </x:row>
    <x:row r="285">
      <x:c r="A285" s="70" t="str">
        <x:v>M5EV-0280</x:v>
      </x:c>
      <x:c r="B285" s="70" t="str"/>
      <x:c r="C285" s="70" t="str">
        <x:f>IFERROR(VLOOKUP(B285,'02_案例与预测'!$A$6:$E$65,5,FALSE),"")</x:f>
      </x:c>
      <x:c r="D285" s="70" t="str"/>
      <x:c r="E285" s="70" t="str"/>
      <x:c r="F285" s="70" t="str"/>
      <x:c r="G285" s="70" t="str"/>
      <x:c r="H285" s="70" t="str"/>
      <x:c r="I285" s="70" t="str"/>
      <x:c r="J285" s="70" t="str"/>
      <x:c r="K285" s="70" t="str"/>
      <x:c r="L285" s="70" t="str"/>
      <x:c r="M285" s="70" t="str">
        <x:f>IF(L285="完全支持",1,IF(L285="基本支持",0.75,IF(L285="部分支持",0.5,IF(L285="相邻但不同",0.25,IF(L285="反例",0,"")))))</x:f>
      </x:c>
      <x:c r="N285" s="70" t="str"/>
      <x:c r="O285" s="70" t="str"/>
      <x:c r="P285" s="70" t="str"/>
      <x:c r="Q285" s="70" t="str">
        <x:f>IF(OR(H285="",K285=""),"",IF(H285&gt;K285,"是","否"))</x:f>
      </x:c>
      <x:c r="R285" s="70" t="str">
        <x:v>否</x:v>
      </x:c>
      <x:c r="S285" s="70" t="str"/>
      <x:c r="T285" s="70" t="str"/>
      <x:c r="U285" s="70" t="str"/>
      <x:c r="V285" s="70" t="str">
        <x:v>否</x:v>
      </x:c>
      <x:c r="W285" s="70" t="str"/>
    </x:row>
    <x:row r="286">
      <x:c r="A286" s="70" t="str">
        <x:v>M5EV-0281</x:v>
      </x:c>
      <x:c r="B286" s="70" t="str"/>
      <x:c r="C286" s="70" t="str">
        <x:f>IFERROR(VLOOKUP(B286,'02_案例与预测'!$A$6:$E$65,5,FALSE),"")</x:f>
      </x:c>
      <x:c r="D286" s="70" t="str"/>
      <x:c r="E286" s="70" t="str"/>
      <x:c r="F286" s="70" t="str"/>
      <x:c r="G286" s="70" t="str"/>
      <x:c r="H286" s="70" t="str"/>
      <x:c r="I286" s="70" t="str"/>
      <x:c r="J286" s="70" t="str"/>
      <x:c r="K286" s="70" t="str"/>
      <x:c r="L286" s="70" t="str"/>
      <x:c r="M286" s="70" t="str">
        <x:f>IF(L286="完全支持",1,IF(L286="基本支持",0.75,IF(L286="部分支持",0.5,IF(L286="相邻但不同",0.25,IF(L286="反例",0,"")))))</x:f>
      </x:c>
      <x:c r="N286" s="70" t="str"/>
      <x:c r="O286" s="70" t="str"/>
      <x:c r="P286" s="70" t="str"/>
      <x:c r="Q286" s="70" t="str">
        <x:f>IF(OR(H286="",K286=""),"",IF(H286&gt;K286,"是","否"))</x:f>
      </x:c>
      <x:c r="R286" s="70" t="str">
        <x:v>否</x:v>
      </x:c>
      <x:c r="S286" s="70" t="str"/>
      <x:c r="T286" s="70" t="str"/>
      <x:c r="U286" s="70" t="str"/>
      <x:c r="V286" s="70" t="str">
        <x:v>否</x:v>
      </x:c>
      <x:c r="W286" s="70" t="str"/>
    </x:row>
    <x:row r="287">
      <x:c r="A287" s="70" t="str">
        <x:v>M5EV-0282</x:v>
      </x:c>
      <x:c r="B287" s="70" t="str"/>
      <x:c r="C287" s="70" t="str">
        <x:f>IFERROR(VLOOKUP(B287,'02_案例与预测'!$A$6:$E$65,5,FALSE),"")</x:f>
      </x:c>
      <x:c r="D287" s="70" t="str"/>
      <x:c r="E287" s="70" t="str"/>
      <x:c r="F287" s="70" t="str"/>
      <x:c r="G287" s="70" t="str"/>
      <x:c r="H287" s="70" t="str"/>
      <x:c r="I287" s="70" t="str"/>
      <x:c r="J287" s="70" t="str"/>
      <x:c r="K287" s="70" t="str"/>
      <x:c r="L287" s="70" t="str"/>
      <x:c r="M287" s="70" t="str">
        <x:f>IF(L287="完全支持",1,IF(L287="基本支持",0.75,IF(L287="部分支持",0.5,IF(L287="相邻但不同",0.25,IF(L287="反例",0,"")))))</x:f>
      </x:c>
      <x:c r="N287" s="70" t="str"/>
      <x:c r="O287" s="70" t="str"/>
      <x:c r="P287" s="70" t="str"/>
      <x:c r="Q287" s="70" t="str">
        <x:f>IF(OR(H287="",K287=""),"",IF(H287&gt;K287,"是","否"))</x:f>
      </x:c>
      <x:c r="R287" s="70" t="str">
        <x:v>否</x:v>
      </x:c>
      <x:c r="S287" s="70" t="str"/>
      <x:c r="T287" s="70" t="str"/>
      <x:c r="U287" s="70" t="str"/>
      <x:c r="V287" s="70" t="str">
        <x:v>否</x:v>
      </x:c>
      <x:c r="W287" s="70" t="str"/>
    </x:row>
    <x:row r="288">
      <x:c r="A288" s="70" t="str">
        <x:v>M5EV-0283</x:v>
      </x:c>
      <x:c r="B288" s="70" t="str"/>
      <x:c r="C288" s="70" t="str">
        <x:f>IFERROR(VLOOKUP(B288,'02_案例与预测'!$A$6:$E$65,5,FALSE),"")</x:f>
      </x:c>
      <x:c r="D288" s="70" t="str"/>
      <x:c r="E288" s="70" t="str"/>
      <x:c r="F288" s="70" t="str"/>
      <x:c r="G288" s="70" t="str"/>
      <x:c r="H288" s="70" t="str"/>
      <x:c r="I288" s="70" t="str"/>
      <x:c r="J288" s="70" t="str"/>
      <x:c r="K288" s="70" t="str"/>
      <x:c r="L288" s="70" t="str"/>
      <x:c r="M288" s="70" t="str">
        <x:f>IF(L288="完全支持",1,IF(L288="基本支持",0.75,IF(L288="部分支持",0.5,IF(L288="相邻但不同",0.25,IF(L288="反例",0,"")))))</x:f>
      </x:c>
      <x:c r="N288" s="70" t="str"/>
      <x:c r="O288" s="70" t="str"/>
      <x:c r="P288" s="70" t="str"/>
      <x:c r="Q288" s="70" t="str">
        <x:f>IF(OR(H288="",K288=""),"",IF(H288&gt;K288,"是","否"))</x:f>
      </x:c>
      <x:c r="R288" s="70" t="str">
        <x:v>否</x:v>
      </x:c>
      <x:c r="S288" s="70" t="str"/>
      <x:c r="T288" s="70" t="str"/>
      <x:c r="U288" s="70" t="str"/>
      <x:c r="V288" s="70" t="str">
        <x:v>否</x:v>
      </x:c>
      <x:c r="W288" s="70" t="str"/>
    </x:row>
    <x:row r="289">
      <x:c r="A289" s="70" t="str">
        <x:v>M5EV-0284</x:v>
      </x:c>
      <x:c r="B289" s="70" t="str"/>
      <x:c r="C289" s="70" t="str">
        <x:f>IFERROR(VLOOKUP(B289,'02_案例与预测'!$A$6:$E$65,5,FALSE),"")</x:f>
      </x:c>
      <x:c r="D289" s="70" t="str"/>
      <x:c r="E289" s="70" t="str"/>
      <x:c r="F289" s="70" t="str"/>
      <x:c r="G289" s="70" t="str"/>
      <x:c r="H289" s="70" t="str"/>
      <x:c r="I289" s="70" t="str"/>
      <x:c r="J289" s="70" t="str"/>
      <x:c r="K289" s="70" t="str"/>
      <x:c r="L289" s="70" t="str"/>
      <x:c r="M289" s="70" t="str">
        <x:f>IF(L289="完全支持",1,IF(L289="基本支持",0.75,IF(L289="部分支持",0.5,IF(L289="相邻但不同",0.25,IF(L289="反例",0,"")))))</x:f>
      </x:c>
      <x:c r="N289" s="70" t="str"/>
      <x:c r="O289" s="70" t="str"/>
      <x:c r="P289" s="70" t="str"/>
      <x:c r="Q289" s="70" t="str">
        <x:f>IF(OR(H289="",K289=""),"",IF(H289&gt;K289,"是","否"))</x:f>
      </x:c>
      <x:c r="R289" s="70" t="str">
        <x:v>否</x:v>
      </x:c>
      <x:c r="S289" s="70" t="str"/>
      <x:c r="T289" s="70" t="str"/>
      <x:c r="U289" s="70" t="str"/>
      <x:c r="V289" s="70" t="str">
        <x:v>否</x:v>
      </x:c>
      <x:c r="W289" s="70" t="str"/>
    </x:row>
    <x:row r="290">
      <x:c r="A290" s="70" t="str">
        <x:v>M5EV-0285</x:v>
      </x:c>
      <x:c r="B290" s="70" t="str"/>
      <x:c r="C290" s="70" t="str">
        <x:f>IFERROR(VLOOKUP(B290,'02_案例与预测'!$A$6:$E$65,5,FALSE),"")</x:f>
      </x:c>
      <x:c r="D290" s="70" t="str"/>
      <x:c r="E290" s="70" t="str"/>
      <x:c r="F290" s="70" t="str"/>
      <x:c r="G290" s="70" t="str"/>
      <x:c r="H290" s="70" t="str"/>
      <x:c r="I290" s="70" t="str"/>
      <x:c r="J290" s="70" t="str"/>
      <x:c r="K290" s="70" t="str"/>
      <x:c r="L290" s="70" t="str"/>
      <x:c r="M290" s="70" t="str">
        <x:f>IF(L290="完全支持",1,IF(L290="基本支持",0.75,IF(L290="部分支持",0.5,IF(L290="相邻但不同",0.25,IF(L290="反例",0,"")))))</x:f>
      </x:c>
      <x:c r="N290" s="70" t="str"/>
      <x:c r="O290" s="70" t="str"/>
      <x:c r="P290" s="70" t="str"/>
      <x:c r="Q290" s="70" t="str">
        <x:f>IF(OR(H290="",K290=""),"",IF(H290&gt;K290,"是","否"))</x:f>
      </x:c>
      <x:c r="R290" s="70" t="str">
        <x:v>否</x:v>
      </x:c>
      <x:c r="S290" s="70" t="str"/>
      <x:c r="T290" s="70" t="str"/>
      <x:c r="U290" s="70" t="str"/>
      <x:c r="V290" s="70" t="str">
        <x:v>否</x:v>
      </x:c>
      <x:c r="W290" s="70" t="str"/>
    </x:row>
    <x:row r="291">
      <x:c r="A291" s="70" t="str">
        <x:v>M5EV-0286</x:v>
      </x:c>
      <x:c r="B291" s="70" t="str"/>
      <x:c r="C291" s="70" t="str">
        <x:f>IFERROR(VLOOKUP(B291,'02_案例与预测'!$A$6:$E$65,5,FALSE),"")</x:f>
      </x:c>
      <x:c r="D291" s="70" t="str"/>
      <x:c r="E291" s="70" t="str"/>
      <x:c r="F291" s="70" t="str"/>
      <x:c r="G291" s="70" t="str"/>
      <x:c r="H291" s="70" t="str"/>
      <x:c r="I291" s="70" t="str"/>
      <x:c r="J291" s="70" t="str"/>
      <x:c r="K291" s="70" t="str"/>
      <x:c r="L291" s="70" t="str"/>
      <x:c r="M291" s="70" t="str">
        <x:f>IF(L291="完全支持",1,IF(L291="基本支持",0.75,IF(L291="部分支持",0.5,IF(L291="相邻但不同",0.25,IF(L291="反例",0,"")))))</x:f>
      </x:c>
      <x:c r="N291" s="70" t="str"/>
      <x:c r="O291" s="70" t="str"/>
      <x:c r="P291" s="70" t="str"/>
      <x:c r="Q291" s="70" t="str">
        <x:f>IF(OR(H291="",K291=""),"",IF(H291&gt;K291,"是","否"))</x:f>
      </x:c>
      <x:c r="R291" s="70" t="str">
        <x:v>否</x:v>
      </x:c>
      <x:c r="S291" s="70" t="str"/>
      <x:c r="T291" s="70" t="str"/>
      <x:c r="U291" s="70" t="str"/>
      <x:c r="V291" s="70" t="str">
        <x:v>否</x:v>
      </x:c>
      <x:c r="W291" s="70" t="str"/>
    </x:row>
    <x:row r="292">
      <x:c r="A292" s="70" t="str">
        <x:v>M5EV-0287</x:v>
      </x:c>
      <x:c r="B292" s="70" t="str"/>
      <x:c r="C292" s="70" t="str">
        <x:f>IFERROR(VLOOKUP(B292,'02_案例与预测'!$A$6:$E$65,5,FALSE),"")</x:f>
      </x:c>
      <x:c r="D292" s="70" t="str"/>
      <x:c r="E292" s="70" t="str"/>
      <x:c r="F292" s="70" t="str"/>
      <x:c r="G292" s="70" t="str"/>
      <x:c r="H292" s="70" t="str"/>
      <x:c r="I292" s="70" t="str"/>
      <x:c r="J292" s="70" t="str"/>
      <x:c r="K292" s="70" t="str"/>
      <x:c r="L292" s="70" t="str"/>
      <x:c r="M292" s="70" t="str">
        <x:f>IF(L292="完全支持",1,IF(L292="基本支持",0.75,IF(L292="部分支持",0.5,IF(L292="相邻但不同",0.25,IF(L292="反例",0,"")))))</x:f>
      </x:c>
      <x:c r="N292" s="70" t="str"/>
      <x:c r="O292" s="70" t="str"/>
      <x:c r="P292" s="70" t="str"/>
      <x:c r="Q292" s="70" t="str">
        <x:f>IF(OR(H292="",K292=""),"",IF(H292&gt;K292,"是","否"))</x:f>
      </x:c>
      <x:c r="R292" s="70" t="str">
        <x:v>否</x:v>
      </x:c>
      <x:c r="S292" s="70" t="str"/>
      <x:c r="T292" s="70" t="str"/>
      <x:c r="U292" s="70" t="str"/>
      <x:c r="V292" s="70" t="str">
        <x:v>否</x:v>
      </x:c>
      <x:c r="W292" s="70" t="str"/>
    </x:row>
    <x:row r="293">
      <x:c r="A293" s="70" t="str">
        <x:v>M5EV-0288</x:v>
      </x:c>
      <x:c r="B293" s="70" t="str"/>
      <x:c r="C293" s="70" t="str">
        <x:f>IFERROR(VLOOKUP(B293,'02_案例与预测'!$A$6:$E$65,5,FALSE),"")</x:f>
      </x:c>
      <x:c r="D293" s="70" t="str"/>
      <x:c r="E293" s="70" t="str"/>
      <x:c r="F293" s="70" t="str"/>
      <x:c r="G293" s="70" t="str"/>
      <x:c r="H293" s="70" t="str"/>
      <x:c r="I293" s="70" t="str"/>
      <x:c r="J293" s="70" t="str"/>
      <x:c r="K293" s="70" t="str"/>
      <x:c r="L293" s="70" t="str"/>
      <x:c r="M293" s="70" t="str">
        <x:f>IF(L293="完全支持",1,IF(L293="基本支持",0.75,IF(L293="部分支持",0.5,IF(L293="相邻但不同",0.25,IF(L293="反例",0,"")))))</x:f>
      </x:c>
      <x:c r="N293" s="70" t="str"/>
      <x:c r="O293" s="70" t="str"/>
      <x:c r="P293" s="70" t="str"/>
      <x:c r="Q293" s="70" t="str">
        <x:f>IF(OR(H293="",K293=""),"",IF(H293&gt;K293,"是","否"))</x:f>
      </x:c>
      <x:c r="R293" s="70" t="str">
        <x:v>否</x:v>
      </x:c>
      <x:c r="S293" s="70" t="str"/>
      <x:c r="T293" s="70" t="str"/>
      <x:c r="U293" s="70" t="str"/>
      <x:c r="V293" s="70" t="str">
        <x:v>否</x:v>
      </x:c>
      <x:c r="W293" s="70" t="str"/>
    </x:row>
    <x:row r="294">
      <x:c r="A294" s="70" t="str">
        <x:v>M5EV-0289</x:v>
      </x:c>
      <x:c r="B294" s="70" t="str"/>
      <x:c r="C294" s="70" t="str">
        <x:f>IFERROR(VLOOKUP(B294,'02_案例与预测'!$A$6:$E$65,5,FALSE),"")</x:f>
      </x:c>
      <x:c r="D294" s="70" t="str"/>
      <x:c r="E294" s="70" t="str"/>
      <x:c r="F294" s="70" t="str"/>
      <x:c r="G294" s="70" t="str"/>
      <x:c r="H294" s="70" t="str"/>
      <x:c r="I294" s="70" t="str"/>
      <x:c r="J294" s="70" t="str"/>
      <x:c r="K294" s="70" t="str"/>
      <x:c r="L294" s="70" t="str"/>
      <x:c r="M294" s="70" t="str">
        <x:f>IF(L294="完全支持",1,IF(L294="基本支持",0.75,IF(L294="部分支持",0.5,IF(L294="相邻但不同",0.25,IF(L294="反例",0,"")))))</x:f>
      </x:c>
      <x:c r="N294" s="70" t="str"/>
      <x:c r="O294" s="70" t="str"/>
      <x:c r="P294" s="70" t="str"/>
      <x:c r="Q294" s="70" t="str">
        <x:f>IF(OR(H294="",K294=""),"",IF(H294&gt;K294,"是","否"))</x:f>
      </x:c>
      <x:c r="R294" s="70" t="str">
        <x:v>否</x:v>
      </x:c>
      <x:c r="S294" s="70" t="str"/>
      <x:c r="T294" s="70" t="str"/>
      <x:c r="U294" s="70" t="str"/>
      <x:c r="V294" s="70" t="str">
        <x:v>否</x:v>
      </x:c>
      <x:c r="W294" s="70" t="str"/>
    </x:row>
    <x:row r="295">
      <x:c r="A295" s="70" t="str">
        <x:v>M5EV-0290</x:v>
      </x:c>
      <x:c r="B295" s="70" t="str"/>
      <x:c r="C295" s="70" t="str">
        <x:f>IFERROR(VLOOKUP(B295,'02_案例与预测'!$A$6:$E$65,5,FALSE),"")</x:f>
      </x:c>
      <x:c r="D295" s="70" t="str"/>
      <x:c r="E295" s="70" t="str"/>
      <x:c r="F295" s="70" t="str"/>
      <x:c r="G295" s="70" t="str"/>
      <x:c r="H295" s="70" t="str"/>
      <x:c r="I295" s="70" t="str"/>
      <x:c r="J295" s="70" t="str"/>
      <x:c r="K295" s="70" t="str"/>
      <x:c r="L295" s="70" t="str"/>
      <x:c r="M295" s="70" t="str">
        <x:f>IF(L295="完全支持",1,IF(L295="基本支持",0.75,IF(L295="部分支持",0.5,IF(L295="相邻但不同",0.25,IF(L295="反例",0,"")))))</x:f>
      </x:c>
      <x:c r="N295" s="70" t="str"/>
      <x:c r="O295" s="70" t="str"/>
      <x:c r="P295" s="70" t="str"/>
      <x:c r="Q295" s="70" t="str">
        <x:f>IF(OR(H295="",K295=""),"",IF(H295&gt;K295,"是","否"))</x:f>
      </x:c>
      <x:c r="R295" s="70" t="str">
        <x:v>否</x:v>
      </x:c>
      <x:c r="S295" s="70" t="str"/>
      <x:c r="T295" s="70" t="str"/>
      <x:c r="U295" s="70" t="str"/>
      <x:c r="V295" s="70" t="str">
        <x:v>否</x:v>
      </x:c>
      <x:c r="W295" s="70" t="str"/>
    </x:row>
    <x:row r="296">
      <x:c r="A296" s="70" t="str">
        <x:v>M5EV-0291</x:v>
      </x:c>
      <x:c r="B296" s="70" t="str"/>
      <x:c r="C296" s="70" t="str">
        <x:f>IFERROR(VLOOKUP(B296,'02_案例与预测'!$A$6:$E$65,5,FALSE),"")</x:f>
      </x:c>
      <x:c r="D296" s="70" t="str"/>
      <x:c r="E296" s="70" t="str"/>
      <x:c r="F296" s="70" t="str"/>
      <x:c r="G296" s="70" t="str"/>
      <x:c r="H296" s="70" t="str"/>
      <x:c r="I296" s="70" t="str"/>
      <x:c r="J296" s="70" t="str"/>
      <x:c r="K296" s="70" t="str"/>
      <x:c r="L296" s="70" t="str"/>
      <x:c r="M296" s="70" t="str">
        <x:f>IF(L296="完全支持",1,IF(L296="基本支持",0.75,IF(L296="部分支持",0.5,IF(L296="相邻但不同",0.25,IF(L296="反例",0,"")))))</x:f>
      </x:c>
      <x:c r="N296" s="70" t="str"/>
      <x:c r="O296" s="70" t="str"/>
      <x:c r="P296" s="70" t="str"/>
      <x:c r="Q296" s="70" t="str">
        <x:f>IF(OR(H296="",K296=""),"",IF(H296&gt;K296,"是","否"))</x:f>
      </x:c>
      <x:c r="R296" s="70" t="str">
        <x:v>否</x:v>
      </x:c>
      <x:c r="S296" s="70" t="str"/>
      <x:c r="T296" s="70" t="str"/>
      <x:c r="U296" s="70" t="str"/>
      <x:c r="V296" s="70" t="str">
        <x:v>否</x:v>
      </x:c>
      <x:c r="W296" s="70" t="str"/>
    </x:row>
    <x:row r="297">
      <x:c r="A297" s="70" t="str">
        <x:v>M5EV-0292</x:v>
      </x:c>
      <x:c r="B297" s="70" t="str"/>
      <x:c r="C297" s="70" t="str">
        <x:f>IFERROR(VLOOKUP(B297,'02_案例与预测'!$A$6:$E$65,5,FALSE),"")</x:f>
      </x:c>
      <x:c r="D297" s="70" t="str"/>
      <x:c r="E297" s="70" t="str"/>
      <x:c r="F297" s="70" t="str"/>
      <x:c r="G297" s="70" t="str"/>
      <x:c r="H297" s="70" t="str"/>
      <x:c r="I297" s="70" t="str"/>
      <x:c r="J297" s="70" t="str"/>
      <x:c r="K297" s="70" t="str"/>
      <x:c r="L297" s="70" t="str"/>
      <x:c r="M297" s="70" t="str">
        <x:f>IF(L297="完全支持",1,IF(L297="基本支持",0.75,IF(L297="部分支持",0.5,IF(L297="相邻但不同",0.25,IF(L297="反例",0,"")))))</x:f>
      </x:c>
      <x:c r="N297" s="70" t="str"/>
      <x:c r="O297" s="70" t="str"/>
      <x:c r="P297" s="70" t="str"/>
      <x:c r="Q297" s="70" t="str">
        <x:f>IF(OR(H297="",K297=""),"",IF(H297&gt;K297,"是","否"))</x:f>
      </x:c>
      <x:c r="R297" s="70" t="str">
        <x:v>否</x:v>
      </x:c>
      <x:c r="S297" s="70" t="str"/>
      <x:c r="T297" s="70" t="str"/>
      <x:c r="U297" s="70" t="str"/>
      <x:c r="V297" s="70" t="str">
        <x:v>否</x:v>
      </x:c>
      <x:c r="W297" s="70" t="str"/>
    </x:row>
    <x:row r="298">
      <x:c r="A298" s="70" t="str">
        <x:v>M5EV-0293</x:v>
      </x:c>
      <x:c r="B298" s="70" t="str"/>
      <x:c r="C298" s="70" t="str">
        <x:f>IFERROR(VLOOKUP(B298,'02_案例与预测'!$A$6:$E$65,5,FALSE),"")</x:f>
      </x:c>
      <x:c r="D298" s="70" t="str"/>
      <x:c r="E298" s="70" t="str"/>
      <x:c r="F298" s="70" t="str"/>
      <x:c r="G298" s="70" t="str"/>
      <x:c r="H298" s="70" t="str"/>
      <x:c r="I298" s="70" t="str"/>
      <x:c r="J298" s="70" t="str"/>
      <x:c r="K298" s="70" t="str"/>
      <x:c r="L298" s="70" t="str"/>
      <x:c r="M298" s="70" t="str">
        <x:f>IF(L298="完全支持",1,IF(L298="基本支持",0.75,IF(L298="部分支持",0.5,IF(L298="相邻但不同",0.25,IF(L298="反例",0,"")))))</x:f>
      </x:c>
      <x:c r="N298" s="70" t="str"/>
      <x:c r="O298" s="70" t="str"/>
      <x:c r="P298" s="70" t="str"/>
      <x:c r="Q298" s="70" t="str">
        <x:f>IF(OR(H298="",K298=""),"",IF(H298&gt;K298,"是","否"))</x:f>
      </x:c>
      <x:c r="R298" s="70" t="str">
        <x:v>否</x:v>
      </x:c>
      <x:c r="S298" s="70" t="str"/>
      <x:c r="T298" s="70" t="str"/>
      <x:c r="U298" s="70" t="str"/>
      <x:c r="V298" s="70" t="str">
        <x:v>否</x:v>
      </x:c>
      <x:c r="W298" s="70" t="str"/>
    </x:row>
    <x:row r="299">
      <x:c r="A299" s="70" t="str">
        <x:v>M5EV-0294</x:v>
      </x:c>
      <x:c r="B299" s="70" t="str"/>
      <x:c r="C299" s="70" t="str">
        <x:f>IFERROR(VLOOKUP(B299,'02_案例与预测'!$A$6:$E$65,5,FALSE),"")</x:f>
      </x:c>
      <x:c r="D299" s="70" t="str"/>
      <x:c r="E299" s="70" t="str"/>
      <x:c r="F299" s="70" t="str"/>
      <x:c r="G299" s="70" t="str"/>
      <x:c r="H299" s="70" t="str"/>
      <x:c r="I299" s="70" t="str"/>
      <x:c r="J299" s="70" t="str"/>
      <x:c r="K299" s="70" t="str"/>
      <x:c r="L299" s="70" t="str"/>
      <x:c r="M299" s="70" t="str">
        <x:f>IF(L299="完全支持",1,IF(L299="基本支持",0.75,IF(L299="部分支持",0.5,IF(L299="相邻但不同",0.25,IF(L299="反例",0,"")))))</x:f>
      </x:c>
      <x:c r="N299" s="70" t="str"/>
      <x:c r="O299" s="70" t="str"/>
      <x:c r="P299" s="70" t="str"/>
      <x:c r="Q299" s="70" t="str">
        <x:f>IF(OR(H299="",K299=""),"",IF(H299&gt;K299,"是","否"))</x:f>
      </x:c>
      <x:c r="R299" s="70" t="str">
        <x:v>否</x:v>
      </x:c>
      <x:c r="S299" s="70" t="str"/>
      <x:c r="T299" s="70" t="str"/>
      <x:c r="U299" s="70" t="str"/>
      <x:c r="V299" s="70" t="str">
        <x:v>否</x:v>
      </x:c>
      <x:c r="W299" s="70" t="str"/>
    </x:row>
    <x:row r="300">
      <x:c r="A300" s="70" t="str">
        <x:v>M5EV-0295</x:v>
      </x:c>
      <x:c r="B300" s="70" t="str"/>
      <x:c r="C300" s="70" t="str">
        <x:f>IFERROR(VLOOKUP(B300,'02_案例与预测'!$A$6:$E$65,5,FALSE),"")</x:f>
      </x:c>
      <x:c r="D300" s="70" t="str"/>
      <x:c r="E300" s="70" t="str"/>
      <x:c r="F300" s="70" t="str"/>
      <x:c r="G300" s="70" t="str"/>
      <x:c r="H300" s="70" t="str"/>
      <x:c r="I300" s="70" t="str"/>
      <x:c r="J300" s="70" t="str"/>
      <x:c r="K300" s="70" t="str"/>
      <x:c r="L300" s="70" t="str"/>
      <x:c r="M300" s="70" t="str">
        <x:f>IF(L300="完全支持",1,IF(L300="基本支持",0.75,IF(L300="部分支持",0.5,IF(L300="相邻但不同",0.25,IF(L300="反例",0,"")))))</x:f>
      </x:c>
      <x:c r="N300" s="70" t="str"/>
      <x:c r="O300" s="70" t="str"/>
      <x:c r="P300" s="70" t="str"/>
      <x:c r="Q300" s="70" t="str">
        <x:f>IF(OR(H300="",K300=""),"",IF(H300&gt;K300,"是","否"))</x:f>
      </x:c>
      <x:c r="R300" s="70" t="str">
        <x:v>否</x:v>
      </x:c>
      <x:c r="S300" s="70" t="str"/>
      <x:c r="T300" s="70" t="str"/>
      <x:c r="U300" s="70" t="str"/>
      <x:c r="V300" s="70" t="str">
        <x:v>否</x:v>
      </x:c>
      <x:c r="W300" s="70" t="str"/>
    </x:row>
    <x:row r="301">
      <x:c r="A301" s="70" t="str">
        <x:v>M5EV-0296</x:v>
      </x:c>
      <x:c r="B301" s="70" t="str"/>
      <x:c r="C301" s="70" t="str">
        <x:f>IFERROR(VLOOKUP(B301,'02_案例与预测'!$A$6:$E$65,5,FALSE),"")</x:f>
      </x:c>
      <x:c r="D301" s="70" t="str"/>
      <x:c r="E301" s="70" t="str"/>
      <x:c r="F301" s="70" t="str"/>
      <x:c r="G301" s="70" t="str"/>
      <x:c r="H301" s="70" t="str"/>
      <x:c r="I301" s="70" t="str"/>
      <x:c r="J301" s="70" t="str"/>
      <x:c r="K301" s="70" t="str"/>
      <x:c r="L301" s="70" t="str"/>
      <x:c r="M301" s="70" t="str">
        <x:f>IF(L301="完全支持",1,IF(L301="基本支持",0.75,IF(L301="部分支持",0.5,IF(L301="相邻但不同",0.25,IF(L301="反例",0,"")))))</x:f>
      </x:c>
      <x:c r="N301" s="70" t="str"/>
      <x:c r="O301" s="70" t="str"/>
      <x:c r="P301" s="70" t="str"/>
      <x:c r="Q301" s="70" t="str">
        <x:f>IF(OR(H301="",K301=""),"",IF(H301&gt;K301,"是","否"))</x:f>
      </x:c>
      <x:c r="R301" s="70" t="str">
        <x:v>否</x:v>
      </x:c>
      <x:c r="S301" s="70" t="str"/>
      <x:c r="T301" s="70" t="str"/>
      <x:c r="U301" s="70" t="str"/>
      <x:c r="V301" s="70" t="str">
        <x:v>否</x:v>
      </x:c>
      <x:c r="W301" s="70" t="str"/>
    </x:row>
    <x:row r="302">
      <x:c r="A302" s="70" t="str">
        <x:v>M5EV-0297</x:v>
      </x:c>
      <x:c r="B302" s="70" t="str"/>
      <x:c r="C302" s="70" t="str">
        <x:f>IFERROR(VLOOKUP(B302,'02_案例与预测'!$A$6:$E$65,5,FALSE),"")</x:f>
      </x:c>
      <x:c r="D302" s="70" t="str"/>
      <x:c r="E302" s="70" t="str"/>
      <x:c r="F302" s="70" t="str"/>
      <x:c r="G302" s="70" t="str"/>
      <x:c r="H302" s="70" t="str"/>
      <x:c r="I302" s="70" t="str"/>
      <x:c r="J302" s="70" t="str"/>
      <x:c r="K302" s="70" t="str"/>
      <x:c r="L302" s="70" t="str"/>
      <x:c r="M302" s="70" t="str">
        <x:f>IF(L302="完全支持",1,IF(L302="基本支持",0.75,IF(L302="部分支持",0.5,IF(L302="相邻但不同",0.25,IF(L302="反例",0,"")))))</x:f>
      </x:c>
      <x:c r="N302" s="70" t="str"/>
      <x:c r="O302" s="70" t="str"/>
      <x:c r="P302" s="70" t="str"/>
      <x:c r="Q302" s="70" t="str">
        <x:f>IF(OR(H302="",K302=""),"",IF(H302&gt;K302,"是","否"))</x:f>
      </x:c>
      <x:c r="R302" s="70" t="str">
        <x:v>否</x:v>
      </x:c>
      <x:c r="S302" s="70" t="str"/>
      <x:c r="T302" s="70" t="str"/>
      <x:c r="U302" s="70" t="str"/>
      <x:c r="V302" s="70" t="str">
        <x:v>否</x:v>
      </x:c>
      <x:c r="W302" s="70" t="str"/>
    </x:row>
    <x:row r="303">
      <x:c r="A303" s="70" t="str">
        <x:v>M5EV-0298</x:v>
      </x:c>
      <x:c r="B303" s="70" t="str"/>
      <x:c r="C303" s="70" t="str">
        <x:f>IFERROR(VLOOKUP(B303,'02_案例与预测'!$A$6:$E$65,5,FALSE),"")</x:f>
      </x:c>
      <x:c r="D303" s="70" t="str"/>
      <x:c r="E303" s="70" t="str"/>
      <x:c r="F303" s="70" t="str"/>
      <x:c r="G303" s="70" t="str"/>
      <x:c r="H303" s="70" t="str"/>
      <x:c r="I303" s="70" t="str"/>
      <x:c r="J303" s="70" t="str"/>
      <x:c r="K303" s="70" t="str"/>
      <x:c r="L303" s="70" t="str"/>
      <x:c r="M303" s="70" t="str">
        <x:f>IF(L303="完全支持",1,IF(L303="基本支持",0.75,IF(L303="部分支持",0.5,IF(L303="相邻但不同",0.25,IF(L303="反例",0,"")))))</x:f>
      </x:c>
      <x:c r="N303" s="70" t="str"/>
      <x:c r="O303" s="70" t="str"/>
      <x:c r="P303" s="70" t="str"/>
      <x:c r="Q303" s="70" t="str">
        <x:f>IF(OR(H303="",K303=""),"",IF(H303&gt;K303,"是","否"))</x:f>
      </x:c>
      <x:c r="R303" s="70" t="str">
        <x:v>否</x:v>
      </x:c>
      <x:c r="S303" s="70" t="str"/>
      <x:c r="T303" s="70" t="str"/>
      <x:c r="U303" s="70" t="str"/>
      <x:c r="V303" s="70" t="str">
        <x:v>否</x:v>
      </x:c>
      <x:c r="W303" s="70" t="str"/>
    </x:row>
    <x:row r="304">
      <x:c r="A304" s="70" t="str">
        <x:v>M5EV-0299</x:v>
      </x:c>
      <x:c r="B304" s="70" t="str"/>
      <x:c r="C304" s="70" t="str">
        <x:f>IFERROR(VLOOKUP(B304,'02_案例与预测'!$A$6:$E$65,5,FALSE),"")</x:f>
      </x:c>
      <x:c r="D304" s="70" t="str"/>
      <x:c r="E304" s="70" t="str"/>
      <x:c r="F304" s="70" t="str"/>
      <x:c r="G304" s="70" t="str"/>
      <x:c r="H304" s="70" t="str"/>
      <x:c r="I304" s="70" t="str"/>
      <x:c r="J304" s="70" t="str"/>
      <x:c r="K304" s="70" t="str"/>
      <x:c r="L304" s="70" t="str"/>
      <x:c r="M304" s="70" t="str">
        <x:f>IF(L304="完全支持",1,IF(L304="基本支持",0.75,IF(L304="部分支持",0.5,IF(L304="相邻但不同",0.25,IF(L304="反例",0,"")))))</x:f>
      </x:c>
      <x:c r="N304" s="70" t="str"/>
      <x:c r="O304" s="70" t="str"/>
      <x:c r="P304" s="70" t="str"/>
      <x:c r="Q304" s="70" t="str">
        <x:f>IF(OR(H304="",K304=""),"",IF(H304&gt;K304,"是","否"))</x:f>
      </x:c>
      <x:c r="R304" s="70" t="str">
        <x:v>否</x:v>
      </x:c>
      <x:c r="S304" s="70" t="str"/>
      <x:c r="T304" s="70" t="str"/>
      <x:c r="U304" s="70" t="str"/>
      <x:c r="V304" s="70" t="str">
        <x:v>否</x:v>
      </x:c>
      <x:c r="W304" s="70" t="str"/>
    </x:row>
    <x:row r="305">
      <x:c r="A305" s="89" t="str">
        <x:v>M5EV-0300</x:v>
      </x:c>
      <x:c r="B305" s="89" t="str"/>
      <x:c r="C305" s="89" t="str">
        <x:f>IFERROR(VLOOKUP(B305,'02_案例与预测'!$A$6:$E$65,5,FALSE),"")</x:f>
      </x:c>
      <x:c r="D305" s="89" t="str"/>
      <x:c r="E305" s="89" t="str"/>
      <x:c r="F305" s="89" t="str"/>
      <x:c r="G305" s="89" t="str"/>
      <x:c r="H305" s="89" t="str"/>
      <x:c r="I305" s="89" t="str"/>
      <x:c r="J305" s="89" t="str"/>
      <x:c r="K305" s="89" t="str"/>
      <x:c r="L305" s="89" t="str"/>
      <x:c r="M305" s="89" t="str">
        <x:f>IF(L305="完全支持",1,IF(L305="基本支持",0.75,IF(L305="部分支持",0.5,IF(L305="相邻但不同",0.25,IF(L305="反例",0,"")))))</x:f>
      </x:c>
      <x:c r="N305" s="89" t="str"/>
      <x:c r="O305" s="89" t="str"/>
      <x:c r="P305" s="89" t="str"/>
      <x:c r="Q305" s="89" t="str">
        <x:f>IF(OR(H305="",K305=""),"",IF(H305&gt;K305,"是","否"))</x:f>
      </x:c>
      <x:c r="R305" s="89" t="str">
        <x:v>否</x:v>
      </x:c>
      <x:c r="S305" s="89" t="str"/>
      <x:c r="T305" s="89" t="str"/>
      <x:c r="U305" s="89" t="str"/>
      <x:c r="V305" s="89" t="str">
        <x:v>否</x:v>
      </x:c>
      <x:c r="W305" s="89" t="str"/>
    </x:row>
  </x:sheetData>
  <x:mergeCells>
    <x:mergeCell ref="A1:W2"/>
    <x:mergeCell ref="A3:W3"/>
  </x:mergeCells>
  <x:dataValidations count="10">
    <x:dataValidation type="list" sqref="D6:D305">
      <x:formula1>"BASE,PARTNER,EXCHANGE,BOUND,REPAIR,RHYTHM,GAP,SYNTH,RG,REPORT"</x:formula1>
    </x:dataValidation>
    <x:dataValidation type="list" sqref="H6:H305">
      <x:formula1>"0,1,2,3,4,5,6,7"</x:formula1>
    </x:dataValidation>
    <x:dataValidation type="list" sqref="I6:I305">
      <x:formula1>"高,中高,中,中低,低"</x:formula1>
    </x:dataValidation>
    <x:dataValidation type="list" sqref="K6:K305">
      <x:formula1>"0,1,2,3,4,5,6,7"</x:formula1>
    </x:dataValidation>
    <x:dataValidation type="list" sqref="L6:L305">
      <x:formula1>"完全支持,基本支持,部分支持,相邻但不同,反例,不可评估"</x:formula1>
    </x:dataValidation>
    <x:dataValidation type="list" sqref="N6:N305">
      <x:formula1>"正确,过度预测,预测不足,错类,错主次,错阶段,不可评估"</x:formula1>
    </x:dataValidation>
    <x:dataValidation type="list" sqref="O6:O305">
      <x:formula1>"ER01,ER02,ER03,ER04,ER05,ER06,ER07,ER08,ER09,ER10,ER11,ER12,ER13,ER14,ER15,ER16,ER17,ER18"</x:formula1>
    </x:dataValidation>
    <x:dataValidation type="list" sqref="P6:P305">
      <x:formula1>"安全,核心,重大,一般,轻微"</x:formula1>
    </x:dataValidation>
    <x:dataValidation type="list" sqref="R6:R305">
      <x:formula1>"是,否"</x:formula1>
    </x:dataValidation>
    <x:dataValidation type="list" sqref="V6:V30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cf0a3a83594a9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20" hidden="0" customWidth="1"/>
    <x:col min="5" max="5" width="18" hidden="0" customWidth="1"/>
    <x:col min="6" max="6" width="52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6" hidden="0" customWidth="1"/>
    <x:col min="12" max="12" width="14" hidden="0" customWidth="1"/>
    <x:col min="13" max="13" width="28" hidden="0" customWidth="1"/>
    <x:col min="14" max="14" width="12" hidden="0" customWidth="1"/>
    <x:col min="15" max="15" width="44" hidden="0" customWidth="1"/>
  </x:cols>
  <x:sheetData>
    <x:row r="1">
      <x:c r="A1" s="76" t="str">
        <x:v>规则命中、反馈后新增与反例日志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</x:row>
    <x:row r="2">
      <x:c r="A2" s="76"/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</x:row>
    <x:row r="3">
      <x:c r="A3" s="81" t="str">
        <x:v>反馈后才发现的规则不能算预测命中；同一事件保持相同event_id。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  <x:c r="O3" s="81"/>
    </x:row>
    <x:row r="5">
      <x:c r="A5" s="86" t="str">
        <x:v>hit_id</x:v>
      </x:c>
      <x:c r="B5" s="86" t="str">
        <x:v>case_id</x:v>
      </x:c>
      <x:c r="C5" s="86" t="str">
        <x:v>set_split</x:v>
      </x:c>
      <x:c r="D5" s="86" t="str">
        <x:v>rule_id</x:v>
      </x:c>
      <x:c r="E5" s="86" t="str">
        <x:v>模块</x:v>
      </x:c>
      <x:c r="F5" s="86" t="str">
        <x:v>规则名称</x:v>
      </x:c>
      <x:c r="G5" s="86" t="str">
        <x:v>命中时点</x:v>
      </x:c>
      <x:c r="H5" s="86" t="str">
        <x:v>预测角色</x:v>
      </x:c>
      <x:c r="I5" s="86" t="str">
        <x:v>核验结果</x:v>
      </x:c>
      <x:c r="J5" s="86" t="str">
        <x:v>匹配分</x:v>
      </x:c>
      <x:c r="K5" s="86" t="str">
        <x:v>反例强度</x:v>
      </x:c>
      <x:c r="L5" s="86" t="str">
        <x:v>安全关键</x:v>
      </x:c>
      <x:c r="M5" s="86" t="str">
        <x:v>event_ids</x:v>
      </x:c>
      <x:c r="N5" s="86" t="str">
        <x:v>纳入</x:v>
      </x:c>
      <x:c r="O5" s="86" t="str">
        <x:v>备注</x:v>
      </x:c>
    </x:row>
    <x:row r="6">
      <x:c r="A6" s="70" t="str">
        <x:v>M5HIT-0001</x:v>
      </x:c>
      <x:c r="B6" s="70" t="str"/>
      <x:c r="C6" s="70" t="str">
        <x:f>IFERROR(VLOOKUP(B6,'02_案例与预测'!$A$6:$E$65,5,FALSE),"")</x:f>
      </x:c>
      <x:c r="D6" s="70" t="str"/>
      <x:c r="E6" s="70" t="str"/>
      <x:c r="F6" s="70" t="str"/>
      <x:c r="G6" s="70" t="str"/>
      <x:c r="H6" s="70" t="str"/>
      <x:c r="I6" s="70" t="str"/>
      <x:c r="J6" s="70" t="str">
        <x:f>IF(I6="支持",1,IF(I6="基本支持",0.75,IF(I6="部分支持",0.5,IF(I6="相邻但不同",0.25,IF(I6="反例",0,"")))))</x:f>
      </x:c>
      <x:c r="K6" s="70" t="str">
        <x:v>无</x:v>
      </x:c>
      <x:c r="L6" s="70" t="str">
        <x:v>否</x:v>
      </x:c>
      <x:c r="M6" s="70" t="str"/>
      <x:c r="N6" s="70" t="str">
        <x:v>否</x:v>
      </x:c>
      <x:c r="O6" s="70" t="str"/>
    </x:row>
    <x:row r="7">
      <x:c r="A7" s="70" t="str">
        <x:v>M5HIT-0002</x:v>
      </x:c>
      <x:c r="B7" s="70" t="str"/>
      <x:c r="C7" s="70" t="str">
        <x:f>IFERROR(VLOOKUP(B7,'02_案例与预测'!$A$6:$E$65,5,FALSE),"")</x:f>
      </x:c>
      <x:c r="D7" s="70" t="str"/>
      <x:c r="E7" s="70" t="str"/>
      <x:c r="F7" s="70" t="str"/>
      <x:c r="G7" s="70" t="str"/>
      <x:c r="H7" s="70" t="str"/>
      <x:c r="I7" s="70" t="str"/>
      <x:c r="J7" s="70" t="str">
        <x:f>IF(I7="支持",1,IF(I7="基本支持",0.75,IF(I7="部分支持",0.5,IF(I7="相邻但不同",0.25,IF(I7="反例",0,"")))))</x:f>
      </x:c>
      <x:c r="K7" s="70" t="str">
        <x:v>无</x:v>
      </x:c>
      <x:c r="L7" s="70" t="str">
        <x:v>否</x:v>
      </x:c>
      <x:c r="M7" s="70" t="str"/>
      <x:c r="N7" s="70" t="str">
        <x:v>否</x:v>
      </x:c>
      <x:c r="O7" s="70" t="str"/>
    </x:row>
    <x:row r="8">
      <x:c r="A8" s="70" t="str">
        <x:v>M5HIT-0003</x:v>
      </x:c>
      <x:c r="B8" s="70" t="str"/>
      <x:c r="C8" s="70" t="str">
        <x:f>IFERROR(VLOOKUP(B8,'02_案例与预测'!$A$6:$E$65,5,FALSE),"")</x:f>
      </x:c>
      <x:c r="D8" s="70" t="str"/>
      <x:c r="E8" s="70" t="str"/>
      <x:c r="F8" s="70" t="str"/>
      <x:c r="G8" s="70" t="str"/>
      <x:c r="H8" s="70" t="str"/>
      <x:c r="I8" s="70" t="str"/>
      <x:c r="J8" s="70" t="str">
        <x:f>IF(I8="支持",1,IF(I8="基本支持",0.75,IF(I8="部分支持",0.5,IF(I8="相邻但不同",0.25,IF(I8="反例",0,"")))))</x:f>
      </x:c>
      <x:c r="K8" s="70" t="str">
        <x:v>无</x:v>
      </x:c>
      <x:c r="L8" s="70" t="str">
        <x:v>否</x:v>
      </x:c>
      <x:c r="M8" s="70" t="str"/>
      <x:c r="N8" s="70" t="str">
        <x:v>否</x:v>
      </x:c>
      <x:c r="O8" s="70" t="str"/>
    </x:row>
    <x:row r="9">
      <x:c r="A9" s="70" t="str">
        <x:v>M5HIT-0004</x:v>
      </x:c>
      <x:c r="B9" s="70" t="str"/>
      <x:c r="C9" s="70" t="str">
        <x:f>IFERROR(VLOOKUP(B9,'02_案例与预测'!$A$6:$E$65,5,FALSE),"")</x:f>
      </x:c>
      <x:c r="D9" s="70" t="str"/>
      <x:c r="E9" s="70" t="str"/>
      <x:c r="F9" s="70" t="str"/>
      <x:c r="G9" s="70" t="str"/>
      <x:c r="H9" s="70" t="str"/>
      <x:c r="I9" s="70" t="str"/>
      <x:c r="J9" s="70" t="str">
        <x:f>IF(I9="支持",1,IF(I9="基本支持",0.75,IF(I9="部分支持",0.5,IF(I9="相邻但不同",0.25,IF(I9="反例",0,"")))))</x:f>
      </x:c>
      <x:c r="K9" s="70" t="str">
        <x:v>无</x:v>
      </x:c>
      <x:c r="L9" s="70" t="str">
        <x:v>否</x:v>
      </x:c>
      <x:c r="M9" s="70" t="str"/>
      <x:c r="N9" s="70" t="str">
        <x:v>否</x:v>
      </x:c>
      <x:c r="O9" s="70" t="str"/>
    </x:row>
    <x:row r="10">
      <x:c r="A10" s="70" t="str">
        <x:v>M5HIT-0005</x:v>
      </x:c>
      <x:c r="B10" s="70" t="str"/>
      <x:c r="C10" s="70" t="str">
        <x:f>IFERROR(VLOOKUP(B10,'02_案例与预测'!$A$6:$E$65,5,FALSE),"")</x:f>
      </x:c>
      <x:c r="D10" s="70" t="str"/>
      <x:c r="E10" s="70" t="str"/>
      <x:c r="F10" s="70" t="str"/>
      <x:c r="G10" s="70" t="str"/>
      <x:c r="H10" s="70" t="str"/>
      <x:c r="I10" s="70" t="str"/>
      <x:c r="J10" s="70" t="str">
        <x:f>IF(I10="支持",1,IF(I10="基本支持",0.75,IF(I10="部分支持",0.5,IF(I10="相邻但不同",0.25,IF(I10="反例",0,"")))))</x:f>
      </x:c>
      <x:c r="K10" s="70" t="str">
        <x:v>无</x:v>
      </x:c>
      <x:c r="L10" s="70" t="str">
        <x:v>否</x:v>
      </x:c>
      <x:c r="M10" s="70" t="str"/>
      <x:c r="N10" s="70" t="str">
        <x:v>否</x:v>
      </x:c>
      <x:c r="O10" s="70" t="str"/>
    </x:row>
    <x:row r="11">
      <x:c r="A11" s="70" t="str">
        <x:v>M5HIT-0006</x:v>
      </x:c>
      <x:c r="B11" s="70" t="str"/>
      <x:c r="C11" s="70" t="str">
        <x:f>IFERROR(VLOOKUP(B11,'02_案例与预测'!$A$6:$E$65,5,FALSE),"")</x:f>
      </x:c>
      <x:c r="D11" s="70" t="str"/>
      <x:c r="E11" s="70" t="str"/>
      <x:c r="F11" s="70" t="str"/>
      <x:c r="G11" s="70" t="str"/>
      <x:c r="H11" s="70" t="str"/>
      <x:c r="I11" s="70" t="str"/>
      <x:c r="J11" s="70" t="str">
        <x:f>IF(I11="支持",1,IF(I11="基本支持",0.75,IF(I11="部分支持",0.5,IF(I11="相邻但不同",0.25,IF(I11="反例",0,"")))))</x:f>
      </x:c>
      <x:c r="K11" s="70" t="str">
        <x:v>无</x:v>
      </x:c>
      <x:c r="L11" s="70" t="str">
        <x:v>否</x:v>
      </x:c>
      <x:c r="M11" s="70" t="str"/>
      <x:c r="N11" s="70" t="str">
        <x:v>否</x:v>
      </x:c>
      <x:c r="O11" s="70" t="str"/>
    </x:row>
    <x:row r="12">
      <x:c r="A12" s="70" t="str">
        <x:v>M5HIT-0007</x:v>
      </x:c>
      <x:c r="B12" s="70" t="str"/>
      <x:c r="C12" s="70" t="str">
        <x:f>IFERROR(VLOOKUP(B12,'02_案例与预测'!$A$6:$E$65,5,FALSE),"")</x:f>
      </x:c>
      <x:c r="D12" s="70" t="str"/>
      <x:c r="E12" s="70" t="str"/>
      <x:c r="F12" s="70" t="str"/>
      <x:c r="G12" s="70" t="str"/>
      <x:c r="H12" s="70" t="str"/>
      <x:c r="I12" s="70" t="str"/>
      <x:c r="J12" s="70" t="str">
        <x:f>IF(I12="支持",1,IF(I12="基本支持",0.75,IF(I12="部分支持",0.5,IF(I12="相邻但不同",0.25,IF(I12="反例",0,"")))))</x:f>
      </x:c>
      <x:c r="K12" s="70" t="str">
        <x:v>无</x:v>
      </x:c>
      <x:c r="L12" s="70" t="str">
        <x:v>否</x:v>
      </x:c>
      <x:c r="M12" s="70" t="str"/>
      <x:c r="N12" s="70" t="str">
        <x:v>否</x:v>
      </x:c>
      <x:c r="O12" s="70" t="str"/>
    </x:row>
    <x:row r="13">
      <x:c r="A13" s="70" t="str">
        <x:v>M5HIT-0008</x:v>
      </x:c>
      <x:c r="B13" s="70" t="str"/>
      <x:c r="C13" s="70" t="str">
        <x:f>IFERROR(VLOOKUP(B13,'02_案例与预测'!$A$6:$E$65,5,FALSE),"")</x:f>
      </x:c>
      <x:c r="D13" s="70" t="str"/>
      <x:c r="E13" s="70" t="str"/>
      <x:c r="F13" s="70" t="str"/>
      <x:c r="G13" s="70" t="str"/>
      <x:c r="H13" s="70" t="str"/>
      <x:c r="I13" s="70" t="str"/>
      <x:c r="J13" s="70" t="str">
        <x:f>IF(I13="支持",1,IF(I13="基本支持",0.75,IF(I13="部分支持",0.5,IF(I13="相邻但不同",0.25,IF(I13="反例",0,"")))))</x:f>
      </x:c>
      <x:c r="K13" s="70" t="str">
        <x:v>无</x:v>
      </x:c>
      <x:c r="L13" s="70" t="str">
        <x:v>否</x:v>
      </x:c>
      <x:c r="M13" s="70" t="str"/>
      <x:c r="N13" s="70" t="str">
        <x:v>否</x:v>
      </x:c>
      <x:c r="O13" s="70" t="str"/>
    </x:row>
    <x:row r="14">
      <x:c r="A14" s="70" t="str">
        <x:v>M5HIT-0009</x:v>
      </x:c>
      <x:c r="B14" s="70" t="str"/>
      <x:c r="C14" s="70" t="str">
        <x:f>IFERROR(VLOOKUP(B14,'02_案例与预测'!$A$6:$E$65,5,FALSE),"")</x:f>
      </x:c>
      <x:c r="D14" s="70" t="str"/>
      <x:c r="E14" s="70" t="str"/>
      <x:c r="F14" s="70" t="str"/>
      <x:c r="G14" s="70" t="str"/>
      <x:c r="H14" s="70" t="str"/>
      <x:c r="I14" s="70" t="str"/>
      <x:c r="J14" s="70" t="str">
        <x:f>IF(I14="支持",1,IF(I14="基本支持",0.75,IF(I14="部分支持",0.5,IF(I14="相邻但不同",0.25,IF(I14="反例",0,"")))))</x:f>
      </x:c>
      <x:c r="K14" s="70" t="str">
        <x:v>无</x:v>
      </x:c>
      <x:c r="L14" s="70" t="str">
        <x:v>否</x:v>
      </x:c>
      <x:c r="M14" s="70" t="str"/>
      <x:c r="N14" s="70" t="str">
        <x:v>否</x:v>
      </x:c>
      <x:c r="O14" s="70" t="str"/>
    </x:row>
    <x:row r="15">
      <x:c r="A15" s="70" t="str">
        <x:v>M5HIT-0010</x:v>
      </x:c>
      <x:c r="B15" s="70" t="str"/>
      <x:c r="C15" s="70" t="str">
        <x:f>IFERROR(VLOOKUP(B15,'02_案例与预测'!$A$6:$E$65,5,FALSE),"")</x:f>
      </x:c>
      <x:c r="D15" s="70" t="str"/>
      <x:c r="E15" s="70" t="str"/>
      <x:c r="F15" s="70" t="str"/>
      <x:c r="G15" s="70" t="str"/>
      <x:c r="H15" s="70" t="str"/>
      <x:c r="I15" s="70" t="str"/>
      <x:c r="J15" s="70" t="str">
        <x:f>IF(I15="支持",1,IF(I15="基本支持",0.75,IF(I15="部分支持",0.5,IF(I15="相邻但不同",0.25,IF(I15="反例",0,"")))))</x:f>
      </x:c>
      <x:c r="K15" s="70" t="str">
        <x:v>无</x:v>
      </x:c>
      <x:c r="L15" s="70" t="str">
        <x:v>否</x:v>
      </x:c>
      <x:c r="M15" s="70" t="str"/>
      <x:c r="N15" s="70" t="str">
        <x:v>否</x:v>
      </x:c>
      <x:c r="O15" s="70" t="str"/>
    </x:row>
    <x:row r="16">
      <x:c r="A16" s="70" t="str">
        <x:v>M5HIT-0011</x:v>
      </x:c>
      <x:c r="B16" s="70" t="str"/>
      <x:c r="C16" s="70" t="str">
        <x:f>IFERROR(VLOOKUP(B16,'02_案例与预测'!$A$6:$E$65,5,FALSE),"")</x:f>
      </x:c>
      <x:c r="D16" s="70" t="str"/>
      <x:c r="E16" s="70" t="str"/>
      <x:c r="F16" s="70" t="str"/>
      <x:c r="G16" s="70" t="str"/>
      <x:c r="H16" s="70" t="str"/>
      <x:c r="I16" s="70" t="str"/>
      <x:c r="J16" s="70" t="str">
        <x:f>IF(I16="支持",1,IF(I16="基本支持",0.75,IF(I16="部分支持",0.5,IF(I16="相邻但不同",0.25,IF(I16="反例",0,"")))))</x:f>
      </x:c>
      <x:c r="K16" s="70" t="str">
        <x:v>无</x:v>
      </x:c>
      <x:c r="L16" s="70" t="str">
        <x:v>否</x:v>
      </x:c>
      <x:c r="M16" s="70" t="str"/>
      <x:c r="N16" s="70" t="str">
        <x:v>否</x:v>
      </x:c>
      <x:c r="O16" s="70" t="str"/>
    </x:row>
    <x:row r="17">
      <x:c r="A17" s="70" t="str">
        <x:v>M5HIT-0012</x:v>
      </x:c>
      <x:c r="B17" s="70" t="str"/>
      <x:c r="C17" s="70" t="str">
        <x:f>IFERROR(VLOOKUP(B17,'02_案例与预测'!$A$6:$E$65,5,FALSE),"")</x:f>
      </x:c>
      <x:c r="D17" s="70" t="str"/>
      <x:c r="E17" s="70" t="str"/>
      <x:c r="F17" s="70" t="str"/>
      <x:c r="G17" s="70" t="str"/>
      <x:c r="H17" s="70" t="str"/>
      <x:c r="I17" s="70" t="str"/>
      <x:c r="J17" s="70" t="str">
        <x:f>IF(I17="支持",1,IF(I17="基本支持",0.75,IF(I17="部分支持",0.5,IF(I17="相邻但不同",0.25,IF(I17="反例",0,"")))))</x:f>
      </x:c>
      <x:c r="K17" s="70" t="str">
        <x:v>无</x:v>
      </x:c>
      <x:c r="L17" s="70" t="str">
        <x:v>否</x:v>
      </x:c>
      <x:c r="M17" s="70" t="str"/>
      <x:c r="N17" s="70" t="str">
        <x:v>否</x:v>
      </x:c>
      <x:c r="O17" s="70" t="str"/>
    </x:row>
    <x:row r="18">
      <x:c r="A18" s="70" t="str">
        <x:v>M5HIT-0013</x:v>
      </x:c>
      <x:c r="B18" s="70" t="str"/>
      <x:c r="C18" s="70" t="str">
        <x:f>IFERROR(VLOOKUP(B18,'02_案例与预测'!$A$6:$E$65,5,FALSE),"")</x:f>
      </x:c>
      <x:c r="D18" s="70" t="str"/>
      <x:c r="E18" s="70" t="str"/>
      <x:c r="F18" s="70" t="str"/>
      <x:c r="G18" s="70" t="str"/>
      <x:c r="H18" s="70" t="str"/>
      <x:c r="I18" s="70" t="str"/>
      <x:c r="J18" s="70" t="str">
        <x:f>IF(I18="支持",1,IF(I18="基本支持",0.75,IF(I18="部分支持",0.5,IF(I18="相邻但不同",0.25,IF(I18="反例",0,"")))))</x:f>
      </x:c>
      <x:c r="K18" s="70" t="str">
        <x:v>无</x:v>
      </x:c>
      <x:c r="L18" s="70" t="str">
        <x:v>否</x:v>
      </x:c>
      <x:c r="M18" s="70" t="str"/>
      <x:c r="N18" s="70" t="str">
        <x:v>否</x:v>
      </x:c>
      <x:c r="O18" s="70" t="str"/>
    </x:row>
    <x:row r="19">
      <x:c r="A19" s="70" t="str">
        <x:v>M5HIT-0014</x:v>
      </x:c>
      <x:c r="B19" s="70" t="str"/>
      <x:c r="C19" s="70" t="str">
        <x:f>IFERROR(VLOOKUP(B19,'02_案例与预测'!$A$6:$E$65,5,FALSE),"")</x:f>
      </x:c>
      <x:c r="D19" s="70" t="str"/>
      <x:c r="E19" s="70" t="str"/>
      <x:c r="F19" s="70" t="str"/>
      <x:c r="G19" s="70" t="str"/>
      <x:c r="H19" s="70" t="str"/>
      <x:c r="I19" s="70" t="str"/>
      <x:c r="J19" s="70" t="str">
        <x:f>IF(I19="支持",1,IF(I19="基本支持",0.75,IF(I19="部分支持",0.5,IF(I19="相邻但不同",0.25,IF(I19="反例",0,"")))))</x:f>
      </x:c>
      <x:c r="K19" s="70" t="str">
        <x:v>无</x:v>
      </x:c>
      <x:c r="L19" s="70" t="str">
        <x:v>否</x:v>
      </x:c>
      <x:c r="M19" s="70" t="str"/>
      <x:c r="N19" s="70" t="str">
        <x:v>否</x:v>
      </x:c>
      <x:c r="O19" s="70" t="str"/>
    </x:row>
    <x:row r="20">
      <x:c r="A20" s="70" t="str">
        <x:v>M5HIT-0015</x:v>
      </x:c>
      <x:c r="B20" s="70" t="str"/>
      <x:c r="C20" s="70" t="str">
        <x:f>IFERROR(VLOOKUP(B20,'02_案例与预测'!$A$6:$E$65,5,FALSE),"")</x:f>
      </x:c>
      <x:c r="D20" s="70" t="str"/>
      <x:c r="E20" s="70" t="str"/>
      <x:c r="F20" s="70" t="str"/>
      <x:c r="G20" s="70" t="str"/>
      <x:c r="H20" s="70" t="str"/>
      <x:c r="I20" s="70" t="str"/>
      <x:c r="J20" s="70" t="str">
        <x:f>IF(I20="支持",1,IF(I20="基本支持",0.75,IF(I20="部分支持",0.5,IF(I20="相邻但不同",0.25,IF(I20="反例",0,"")))))</x:f>
      </x:c>
      <x:c r="K20" s="70" t="str">
        <x:v>无</x:v>
      </x:c>
      <x:c r="L20" s="70" t="str">
        <x:v>否</x:v>
      </x:c>
      <x:c r="M20" s="70" t="str"/>
      <x:c r="N20" s="70" t="str">
        <x:v>否</x:v>
      </x:c>
      <x:c r="O20" s="70" t="str"/>
    </x:row>
    <x:row r="21">
      <x:c r="A21" s="70" t="str">
        <x:v>M5HIT-0016</x:v>
      </x:c>
      <x:c r="B21" s="70" t="str"/>
      <x:c r="C21" s="70" t="str">
        <x:f>IFERROR(VLOOKUP(B21,'02_案例与预测'!$A$6:$E$65,5,FALSE),"")</x:f>
      </x:c>
      <x:c r="D21" s="70" t="str"/>
      <x:c r="E21" s="70" t="str"/>
      <x:c r="F21" s="70" t="str"/>
      <x:c r="G21" s="70" t="str"/>
      <x:c r="H21" s="70" t="str"/>
      <x:c r="I21" s="70" t="str"/>
      <x:c r="J21" s="70" t="str">
        <x:f>IF(I21="支持",1,IF(I21="基本支持",0.75,IF(I21="部分支持",0.5,IF(I21="相邻但不同",0.25,IF(I21="反例",0,"")))))</x:f>
      </x:c>
      <x:c r="K21" s="70" t="str">
        <x:v>无</x:v>
      </x:c>
      <x:c r="L21" s="70" t="str">
        <x:v>否</x:v>
      </x:c>
      <x:c r="M21" s="70" t="str"/>
      <x:c r="N21" s="70" t="str">
        <x:v>否</x:v>
      </x:c>
      <x:c r="O21" s="70" t="str"/>
    </x:row>
    <x:row r="22">
      <x:c r="A22" s="70" t="str">
        <x:v>M5HIT-0017</x:v>
      </x:c>
      <x:c r="B22" s="70" t="str"/>
      <x:c r="C22" s="70" t="str">
        <x:f>IFERROR(VLOOKUP(B22,'02_案例与预测'!$A$6:$E$65,5,FALSE),"")</x:f>
      </x:c>
      <x:c r="D22" s="70" t="str"/>
      <x:c r="E22" s="70" t="str"/>
      <x:c r="F22" s="70" t="str"/>
      <x:c r="G22" s="70" t="str"/>
      <x:c r="H22" s="70" t="str"/>
      <x:c r="I22" s="70" t="str"/>
      <x:c r="J22" s="70" t="str">
        <x:f>IF(I22="支持",1,IF(I22="基本支持",0.75,IF(I22="部分支持",0.5,IF(I22="相邻但不同",0.25,IF(I22="反例",0,"")))))</x:f>
      </x:c>
      <x:c r="K22" s="70" t="str">
        <x:v>无</x:v>
      </x:c>
      <x:c r="L22" s="70" t="str">
        <x:v>否</x:v>
      </x:c>
      <x:c r="M22" s="70" t="str"/>
      <x:c r="N22" s="70" t="str">
        <x:v>否</x:v>
      </x:c>
      <x:c r="O22" s="70" t="str"/>
    </x:row>
    <x:row r="23">
      <x:c r="A23" s="70" t="str">
        <x:v>M5HIT-0018</x:v>
      </x:c>
      <x:c r="B23" s="70" t="str"/>
      <x:c r="C23" s="70" t="str">
        <x:f>IFERROR(VLOOKUP(B23,'02_案例与预测'!$A$6:$E$65,5,FALSE),"")</x:f>
      </x:c>
      <x:c r="D23" s="70" t="str"/>
      <x:c r="E23" s="70" t="str"/>
      <x:c r="F23" s="70" t="str"/>
      <x:c r="G23" s="70" t="str"/>
      <x:c r="H23" s="70" t="str"/>
      <x:c r="I23" s="70" t="str"/>
      <x:c r="J23" s="70" t="str">
        <x:f>IF(I23="支持",1,IF(I23="基本支持",0.75,IF(I23="部分支持",0.5,IF(I23="相邻但不同",0.25,IF(I23="反例",0,"")))))</x:f>
      </x:c>
      <x:c r="K23" s="70" t="str">
        <x:v>无</x:v>
      </x:c>
      <x:c r="L23" s="70" t="str">
        <x:v>否</x:v>
      </x:c>
      <x:c r="M23" s="70" t="str"/>
      <x:c r="N23" s="70" t="str">
        <x:v>否</x:v>
      </x:c>
      <x:c r="O23" s="70" t="str"/>
    </x:row>
    <x:row r="24">
      <x:c r="A24" s="70" t="str">
        <x:v>M5HIT-0019</x:v>
      </x:c>
      <x:c r="B24" s="70" t="str"/>
      <x:c r="C24" s="70" t="str">
        <x:f>IFERROR(VLOOKUP(B24,'02_案例与预测'!$A$6:$E$65,5,FALSE),"")</x:f>
      </x:c>
      <x:c r="D24" s="70" t="str"/>
      <x:c r="E24" s="70" t="str"/>
      <x:c r="F24" s="70" t="str"/>
      <x:c r="G24" s="70" t="str"/>
      <x:c r="H24" s="70" t="str"/>
      <x:c r="I24" s="70" t="str"/>
      <x:c r="J24" s="70" t="str">
        <x:f>IF(I24="支持",1,IF(I24="基本支持",0.75,IF(I24="部分支持",0.5,IF(I24="相邻但不同",0.25,IF(I24="反例",0,"")))))</x:f>
      </x:c>
      <x:c r="K24" s="70" t="str">
        <x:v>无</x:v>
      </x:c>
      <x:c r="L24" s="70" t="str">
        <x:v>否</x:v>
      </x:c>
      <x:c r="M24" s="70" t="str"/>
      <x:c r="N24" s="70" t="str">
        <x:v>否</x:v>
      </x:c>
      <x:c r="O24" s="70" t="str"/>
    </x:row>
    <x:row r="25">
      <x:c r="A25" s="70" t="str">
        <x:v>M5HIT-0020</x:v>
      </x:c>
      <x:c r="B25" s="70" t="str"/>
      <x:c r="C25" s="70" t="str">
        <x:f>IFERROR(VLOOKUP(B25,'02_案例与预测'!$A$6:$E$65,5,FALSE),"")</x:f>
      </x:c>
      <x:c r="D25" s="70" t="str"/>
      <x:c r="E25" s="70" t="str"/>
      <x:c r="F25" s="70" t="str"/>
      <x:c r="G25" s="70" t="str"/>
      <x:c r="H25" s="70" t="str"/>
      <x:c r="I25" s="70" t="str"/>
      <x:c r="J25" s="70" t="str">
        <x:f>IF(I25="支持",1,IF(I25="基本支持",0.75,IF(I25="部分支持",0.5,IF(I25="相邻但不同",0.25,IF(I25="反例",0,"")))))</x:f>
      </x:c>
      <x:c r="K25" s="70" t="str">
        <x:v>无</x:v>
      </x:c>
      <x:c r="L25" s="70" t="str">
        <x:v>否</x:v>
      </x:c>
      <x:c r="M25" s="70" t="str"/>
      <x:c r="N25" s="70" t="str">
        <x:v>否</x:v>
      </x:c>
      <x:c r="O25" s="70" t="str"/>
    </x:row>
    <x:row r="26">
      <x:c r="A26" s="70" t="str">
        <x:v>M5HIT-0021</x:v>
      </x:c>
      <x:c r="B26" s="70" t="str"/>
      <x:c r="C26" s="70" t="str">
        <x:f>IFERROR(VLOOKUP(B26,'02_案例与预测'!$A$6:$E$65,5,FALSE),"")</x:f>
      </x:c>
      <x:c r="D26" s="70" t="str"/>
      <x:c r="E26" s="70" t="str"/>
      <x:c r="F26" s="70" t="str"/>
      <x:c r="G26" s="70" t="str"/>
      <x:c r="H26" s="70" t="str"/>
      <x:c r="I26" s="70" t="str"/>
      <x:c r="J26" s="70" t="str">
        <x:f>IF(I26="支持",1,IF(I26="基本支持",0.75,IF(I26="部分支持",0.5,IF(I26="相邻但不同",0.25,IF(I26="反例",0,"")))))</x:f>
      </x:c>
      <x:c r="K26" s="70" t="str">
        <x:v>无</x:v>
      </x:c>
      <x:c r="L26" s="70" t="str">
        <x:v>否</x:v>
      </x:c>
      <x:c r="M26" s="70" t="str"/>
      <x:c r="N26" s="70" t="str">
        <x:v>否</x:v>
      </x:c>
      <x:c r="O26" s="70" t="str"/>
    </x:row>
    <x:row r="27">
      <x:c r="A27" s="70" t="str">
        <x:v>M5HIT-0022</x:v>
      </x:c>
      <x:c r="B27" s="70" t="str"/>
      <x:c r="C27" s="70" t="str">
        <x:f>IFERROR(VLOOKUP(B27,'02_案例与预测'!$A$6:$E$65,5,FALSE),"")</x:f>
      </x:c>
      <x:c r="D27" s="70" t="str"/>
      <x:c r="E27" s="70" t="str"/>
      <x:c r="F27" s="70" t="str"/>
      <x:c r="G27" s="70" t="str"/>
      <x:c r="H27" s="70" t="str"/>
      <x:c r="I27" s="70" t="str"/>
      <x:c r="J27" s="70" t="str">
        <x:f>IF(I27="支持",1,IF(I27="基本支持",0.75,IF(I27="部分支持",0.5,IF(I27="相邻但不同",0.25,IF(I27="反例",0,"")))))</x:f>
      </x:c>
      <x:c r="K27" s="70" t="str">
        <x:v>无</x:v>
      </x:c>
      <x:c r="L27" s="70" t="str">
        <x:v>否</x:v>
      </x:c>
      <x:c r="M27" s="70" t="str"/>
      <x:c r="N27" s="70" t="str">
        <x:v>否</x:v>
      </x:c>
      <x:c r="O27" s="70" t="str"/>
    </x:row>
    <x:row r="28">
      <x:c r="A28" s="70" t="str">
        <x:v>M5HIT-0023</x:v>
      </x:c>
      <x:c r="B28" s="70" t="str"/>
      <x:c r="C28" s="70" t="str">
        <x:f>IFERROR(VLOOKUP(B28,'02_案例与预测'!$A$6:$E$65,5,FALSE),"")</x:f>
      </x:c>
      <x:c r="D28" s="70" t="str"/>
      <x:c r="E28" s="70" t="str"/>
      <x:c r="F28" s="70" t="str"/>
      <x:c r="G28" s="70" t="str"/>
      <x:c r="H28" s="70" t="str"/>
      <x:c r="I28" s="70" t="str"/>
      <x:c r="J28" s="70" t="str">
        <x:f>IF(I28="支持",1,IF(I28="基本支持",0.75,IF(I28="部分支持",0.5,IF(I28="相邻但不同",0.25,IF(I28="反例",0,"")))))</x:f>
      </x:c>
      <x:c r="K28" s="70" t="str">
        <x:v>无</x:v>
      </x:c>
      <x:c r="L28" s="70" t="str">
        <x:v>否</x:v>
      </x:c>
      <x:c r="M28" s="70" t="str"/>
      <x:c r="N28" s="70" t="str">
        <x:v>否</x:v>
      </x:c>
      <x:c r="O28" s="70" t="str"/>
    </x:row>
    <x:row r="29">
      <x:c r="A29" s="70" t="str">
        <x:v>M5HIT-0024</x:v>
      </x:c>
      <x:c r="B29" s="70" t="str"/>
      <x:c r="C29" s="70" t="str">
        <x:f>IFERROR(VLOOKUP(B29,'02_案例与预测'!$A$6:$E$65,5,FALSE),"")</x:f>
      </x:c>
      <x:c r="D29" s="70" t="str"/>
      <x:c r="E29" s="70" t="str"/>
      <x:c r="F29" s="70" t="str"/>
      <x:c r="G29" s="70" t="str"/>
      <x:c r="H29" s="70" t="str"/>
      <x:c r="I29" s="70" t="str"/>
      <x:c r="J29" s="70" t="str">
        <x:f>IF(I29="支持",1,IF(I29="基本支持",0.75,IF(I29="部分支持",0.5,IF(I29="相邻但不同",0.25,IF(I29="反例",0,"")))))</x:f>
      </x:c>
      <x:c r="K29" s="70" t="str">
        <x:v>无</x:v>
      </x:c>
      <x:c r="L29" s="70" t="str">
        <x:v>否</x:v>
      </x:c>
      <x:c r="M29" s="70" t="str"/>
      <x:c r="N29" s="70" t="str">
        <x:v>否</x:v>
      </x:c>
      <x:c r="O29" s="70" t="str"/>
    </x:row>
    <x:row r="30">
      <x:c r="A30" s="70" t="str">
        <x:v>M5HIT-0025</x:v>
      </x:c>
      <x:c r="B30" s="70" t="str"/>
      <x:c r="C30" s="70" t="str">
        <x:f>IFERROR(VLOOKUP(B30,'02_案例与预测'!$A$6:$E$65,5,FALSE),"")</x:f>
      </x:c>
      <x:c r="D30" s="70" t="str"/>
      <x:c r="E30" s="70" t="str"/>
      <x:c r="F30" s="70" t="str"/>
      <x:c r="G30" s="70" t="str"/>
      <x:c r="H30" s="70" t="str"/>
      <x:c r="I30" s="70" t="str"/>
      <x:c r="J30" s="70" t="str">
        <x:f>IF(I30="支持",1,IF(I30="基本支持",0.75,IF(I30="部分支持",0.5,IF(I30="相邻但不同",0.25,IF(I30="反例",0,"")))))</x:f>
      </x:c>
      <x:c r="K30" s="70" t="str">
        <x:v>无</x:v>
      </x:c>
      <x:c r="L30" s="70" t="str">
        <x:v>否</x:v>
      </x:c>
      <x:c r="M30" s="70" t="str"/>
      <x:c r="N30" s="70" t="str">
        <x:v>否</x:v>
      </x:c>
      <x:c r="O30" s="70" t="str"/>
    </x:row>
    <x:row r="31">
      <x:c r="A31" s="70" t="str">
        <x:v>M5HIT-0026</x:v>
      </x:c>
      <x:c r="B31" s="70" t="str"/>
      <x:c r="C31" s="70" t="str">
        <x:f>IFERROR(VLOOKUP(B31,'02_案例与预测'!$A$6:$E$65,5,FALSE),"")</x:f>
      </x:c>
      <x:c r="D31" s="70" t="str"/>
      <x:c r="E31" s="70" t="str"/>
      <x:c r="F31" s="70" t="str"/>
      <x:c r="G31" s="70" t="str"/>
      <x:c r="H31" s="70" t="str"/>
      <x:c r="I31" s="70" t="str"/>
      <x:c r="J31" s="70" t="str">
        <x:f>IF(I31="支持",1,IF(I31="基本支持",0.75,IF(I31="部分支持",0.5,IF(I31="相邻但不同",0.25,IF(I31="反例",0,"")))))</x:f>
      </x:c>
      <x:c r="K31" s="70" t="str">
        <x:v>无</x:v>
      </x:c>
      <x:c r="L31" s="70" t="str">
        <x:v>否</x:v>
      </x:c>
      <x:c r="M31" s="70" t="str"/>
      <x:c r="N31" s="70" t="str">
        <x:v>否</x:v>
      </x:c>
      <x:c r="O31" s="70" t="str"/>
    </x:row>
    <x:row r="32">
      <x:c r="A32" s="70" t="str">
        <x:v>M5HIT-0027</x:v>
      </x:c>
      <x:c r="B32" s="70" t="str"/>
      <x:c r="C32" s="70" t="str">
        <x:f>IFERROR(VLOOKUP(B32,'02_案例与预测'!$A$6:$E$65,5,FALSE),"")</x:f>
      </x:c>
      <x:c r="D32" s="70" t="str"/>
      <x:c r="E32" s="70" t="str"/>
      <x:c r="F32" s="70" t="str"/>
      <x:c r="G32" s="70" t="str"/>
      <x:c r="H32" s="70" t="str"/>
      <x:c r="I32" s="70" t="str"/>
      <x:c r="J32" s="70" t="str">
        <x:f>IF(I32="支持",1,IF(I32="基本支持",0.75,IF(I32="部分支持",0.5,IF(I32="相邻但不同",0.25,IF(I32="反例",0,"")))))</x:f>
      </x:c>
      <x:c r="K32" s="70" t="str">
        <x:v>无</x:v>
      </x:c>
      <x:c r="L32" s="70" t="str">
        <x:v>否</x:v>
      </x:c>
      <x:c r="M32" s="70" t="str"/>
      <x:c r="N32" s="70" t="str">
        <x:v>否</x:v>
      </x:c>
      <x:c r="O32" s="70" t="str"/>
    </x:row>
    <x:row r="33">
      <x:c r="A33" s="70" t="str">
        <x:v>M5HIT-0028</x:v>
      </x:c>
      <x:c r="B33" s="70" t="str"/>
      <x:c r="C33" s="70" t="str">
        <x:f>IFERROR(VLOOKUP(B33,'02_案例与预测'!$A$6:$E$65,5,FALSE),"")</x:f>
      </x:c>
      <x:c r="D33" s="70" t="str"/>
      <x:c r="E33" s="70" t="str"/>
      <x:c r="F33" s="70" t="str"/>
      <x:c r="G33" s="70" t="str"/>
      <x:c r="H33" s="70" t="str"/>
      <x:c r="I33" s="70" t="str"/>
      <x:c r="J33" s="70" t="str">
        <x:f>IF(I33="支持",1,IF(I33="基本支持",0.75,IF(I33="部分支持",0.5,IF(I33="相邻但不同",0.25,IF(I33="反例",0,"")))))</x:f>
      </x:c>
      <x:c r="K33" s="70" t="str">
        <x:v>无</x:v>
      </x:c>
      <x:c r="L33" s="70" t="str">
        <x:v>否</x:v>
      </x:c>
      <x:c r="M33" s="70" t="str"/>
      <x:c r="N33" s="70" t="str">
        <x:v>否</x:v>
      </x:c>
      <x:c r="O33" s="70" t="str"/>
    </x:row>
    <x:row r="34">
      <x:c r="A34" s="70" t="str">
        <x:v>M5HIT-0029</x:v>
      </x:c>
      <x:c r="B34" s="70" t="str"/>
      <x:c r="C34" s="70" t="str">
        <x:f>IFERROR(VLOOKUP(B34,'02_案例与预测'!$A$6:$E$65,5,FALSE),"")</x:f>
      </x:c>
      <x:c r="D34" s="70" t="str"/>
      <x:c r="E34" s="70" t="str"/>
      <x:c r="F34" s="70" t="str"/>
      <x:c r="G34" s="70" t="str"/>
      <x:c r="H34" s="70" t="str"/>
      <x:c r="I34" s="70" t="str"/>
      <x:c r="J34" s="70" t="str">
        <x:f>IF(I34="支持",1,IF(I34="基本支持",0.75,IF(I34="部分支持",0.5,IF(I34="相邻但不同",0.25,IF(I34="反例",0,"")))))</x:f>
      </x:c>
      <x:c r="K34" s="70" t="str">
        <x:v>无</x:v>
      </x:c>
      <x:c r="L34" s="70" t="str">
        <x:v>否</x:v>
      </x:c>
      <x:c r="M34" s="70" t="str"/>
      <x:c r="N34" s="70" t="str">
        <x:v>否</x:v>
      </x:c>
      <x:c r="O34" s="70" t="str"/>
    </x:row>
    <x:row r="35">
      <x:c r="A35" s="70" t="str">
        <x:v>M5HIT-0030</x:v>
      </x:c>
      <x:c r="B35" s="70" t="str"/>
      <x:c r="C35" s="70" t="str">
        <x:f>IFERROR(VLOOKUP(B35,'02_案例与预测'!$A$6:$E$65,5,FALSE),"")</x:f>
      </x:c>
      <x:c r="D35" s="70" t="str"/>
      <x:c r="E35" s="70" t="str"/>
      <x:c r="F35" s="70" t="str"/>
      <x:c r="G35" s="70" t="str"/>
      <x:c r="H35" s="70" t="str"/>
      <x:c r="I35" s="70" t="str"/>
      <x:c r="J35" s="70" t="str">
        <x:f>IF(I35="支持",1,IF(I35="基本支持",0.75,IF(I35="部分支持",0.5,IF(I35="相邻但不同",0.25,IF(I35="反例",0,"")))))</x:f>
      </x:c>
      <x:c r="K35" s="70" t="str">
        <x:v>无</x:v>
      </x:c>
      <x:c r="L35" s="70" t="str">
        <x:v>否</x:v>
      </x:c>
      <x:c r="M35" s="70" t="str"/>
      <x:c r="N35" s="70" t="str">
        <x:v>否</x:v>
      </x:c>
      <x:c r="O35" s="70" t="str"/>
    </x:row>
    <x:row r="36">
      <x:c r="A36" s="70" t="str">
        <x:v>M5HIT-0031</x:v>
      </x:c>
      <x:c r="B36" s="70" t="str"/>
      <x:c r="C36" s="70" t="str">
        <x:f>IFERROR(VLOOKUP(B36,'02_案例与预测'!$A$6:$E$65,5,FALSE),"")</x:f>
      </x:c>
      <x:c r="D36" s="70" t="str"/>
      <x:c r="E36" s="70" t="str"/>
      <x:c r="F36" s="70" t="str"/>
      <x:c r="G36" s="70" t="str"/>
      <x:c r="H36" s="70" t="str"/>
      <x:c r="I36" s="70" t="str"/>
      <x:c r="J36" s="70" t="str">
        <x:f>IF(I36="支持",1,IF(I36="基本支持",0.75,IF(I36="部分支持",0.5,IF(I36="相邻但不同",0.25,IF(I36="反例",0,"")))))</x:f>
      </x:c>
      <x:c r="K36" s="70" t="str">
        <x:v>无</x:v>
      </x:c>
      <x:c r="L36" s="70" t="str">
        <x:v>否</x:v>
      </x:c>
      <x:c r="M36" s="70" t="str"/>
      <x:c r="N36" s="70" t="str">
        <x:v>否</x:v>
      </x:c>
      <x:c r="O36" s="70" t="str"/>
    </x:row>
    <x:row r="37">
      <x:c r="A37" s="70" t="str">
        <x:v>M5HIT-0032</x:v>
      </x:c>
      <x:c r="B37" s="70" t="str"/>
      <x:c r="C37" s="70" t="str">
        <x:f>IFERROR(VLOOKUP(B37,'02_案例与预测'!$A$6:$E$65,5,FALSE),"")</x:f>
      </x:c>
      <x:c r="D37" s="70" t="str"/>
      <x:c r="E37" s="70" t="str"/>
      <x:c r="F37" s="70" t="str"/>
      <x:c r="G37" s="70" t="str"/>
      <x:c r="H37" s="70" t="str"/>
      <x:c r="I37" s="70" t="str"/>
      <x:c r="J37" s="70" t="str">
        <x:f>IF(I37="支持",1,IF(I37="基本支持",0.75,IF(I37="部分支持",0.5,IF(I37="相邻但不同",0.25,IF(I37="反例",0,"")))))</x:f>
      </x:c>
      <x:c r="K37" s="70" t="str">
        <x:v>无</x:v>
      </x:c>
      <x:c r="L37" s="70" t="str">
        <x:v>否</x:v>
      </x:c>
      <x:c r="M37" s="70" t="str"/>
      <x:c r="N37" s="70" t="str">
        <x:v>否</x:v>
      </x:c>
      <x:c r="O37" s="70" t="str"/>
    </x:row>
    <x:row r="38">
      <x:c r="A38" s="70" t="str">
        <x:v>M5HIT-0033</x:v>
      </x:c>
      <x:c r="B38" s="70" t="str"/>
      <x:c r="C38" s="70" t="str">
        <x:f>IFERROR(VLOOKUP(B38,'02_案例与预测'!$A$6:$E$65,5,FALSE),"")</x:f>
      </x:c>
      <x:c r="D38" s="70" t="str"/>
      <x:c r="E38" s="70" t="str"/>
      <x:c r="F38" s="70" t="str"/>
      <x:c r="G38" s="70" t="str"/>
      <x:c r="H38" s="70" t="str"/>
      <x:c r="I38" s="70" t="str"/>
      <x:c r="J38" s="70" t="str">
        <x:f>IF(I38="支持",1,IF(I38="基本支持",0.75,IF(I38="部分支持",0.5,IF(I38="相邻但不同",0.25,IF(I38="反例",0,"")))))</x:f>
      </x:c>
      <x:c r="K38" s="70" t="str">
        <x:v>无</x:v>
      </x:c>
      <x:c r="L38" s="70" t="str">
        <x:v>否</x:v>
      </x:c>
      <x:c r="M38" s="70" t="str"/>
      <x:c r="N38" s="70" t="str">
        <x:v>否</x:v>
      </x:c>
      <x:c r="O38" s="70" t="str"/>
    </x:row>
    <x:row r="39">
      <x:c r="A39" s="70" t="str">
        <x:v>M5HIT-0034</x:v>
      </x:c>
      <x:c r="B39" s="70" t="str"/>
      <x:c r="C39" s="70" t="str">
        <x:f>IFERROR(VLOOKUP(B39,'02_案例与预测'!$A$6:$E$65,5,FALSE),"")</x:f>
      </x:c>
      <x:c r="D39" s="70" t="str"/>
      <x:c r="E39" s="70" t="str"/>
      <x:c r="F39" s="70" t="str"/>
      <x:c r="G39" s="70" t="str"/>
      <x:c r="H39" s="70" t="str"/>
      <x:c r="I39" s="70" t="str"/>
      <x:c r="J39" s="70" t="str">
        <x:f>IF(I39="支持",1,IF(I39="基本支持",0.75,IF(I39="部分支持",0.5,IF(I39="相邻但不同",0.25,IF(I39="反例",0,"")))))</x:f>
      </x:c>
      <x:c r="K39" s="70" t="str">
        <x:v>无</x:v>
      </x:c>
      <x:c r="L39" s="70" t="str">
        <x:v>否</x:v>
      </x:c>
      <x:c r="M39" s="70" t="str"/>
      <x:c r="N39" s="70" t="str">
        <x:v>否</x:v>
      </x:c>
      <x:c r="O39" s="70" t="str"/>
    </x:row>
    <x:row r="40">
      <x:c r="A40" s="70" t="str">
        <x:v>M5HIT-0035</x:v>
      </x:c>
      <x:c r="B40" s="70" t="str"/>
      <x:c r="C40" s="70" t="str">
        <x:f>IFERROR(VLOOKUP(B40,'02_案例与预测'!$A$6:$E$65,5,FALSE),"")</x:f>
      </x:c>
      <x:c r="D40" s="70" t="str"/>
      <x:c r="E40" s="70" t="str"/>
      <x:c r="F40" s="70" t="str"/>
      <x:c r="G40" s="70" t="str"/>
      <x:c r="H40" s="70" t="str"/>
      <x:c r="I40" s="70" t="str"/>
      <x:c r="J40" s="70" t="str">
        <x:f>IF(I40="支持",1,IF(I40="基本支持",0.75,IF(I40="部分支持",0.5,IF(I40="相邻但不同",0.25,IF(I40="反例",0,"")))))</x:f>
      </x:c>
      <x:c r="K40" s="70" t="str">
        <x:v>无</x:v>
      </x:c>
      <x:c r="L40" s="70" t="str">
        <x:v>否</x:v>
      </x:c>
      <x:c r="M40" s="70" t="str"/>
      <x:c r="N40" s="70" t="str">
        <x:v>否</x:v>
      </x:c>
      <x:c r="O40" s="70" t="str"/>
    </x:row>
    <x:row r="41">
      <x:c r="A41" s="70" t="str">
        <x:v>M5HIT-0036</x:v>
      </x:c>
      <x:c r="B41" s="70" t="str"/>
      <x:c r="C41" s="70" t="str">
        <x:f>IFERROR(VLOOKUP(B41,'02_案例与预测'!$A$6:$E$65,5,FALSE),"")</x:f>
      </x:c>
      <x:c r="D41" s="70" t="str"/>
      <x:c r="E41" s="70" t="str"/>
      <x:c r="F41" s="70" t="str"/>
      <x:c r="G41" s="70" t="str"/>
      <x:c r="H41" s="70" t="str"/>
      <x:c r="I41" s="70" t="str"/>
      <x:c r="J41" s="70" t="str">
        <x:f>IF(I41="支持",1,IF(I41="基本支持",0.75,IF(I41="部分支持",0.5,IF(I41="相邻但不同",0.25,IF(I41="反例",0,"")))))</x:f>
      </x:c>
      <x:c r="K41" s="70" t="str">
        <x:v>无</x:v>
      </x:c>
      <x:c r="L41" s="70" t="str">
        <x:v>否</x:v>
      </x:c>
      <x:c r="M41" s="70" t="str"/>
      <x:c r="N41" s="70" t="str">
        <x:v>否</x:v>
      </x:c>
      <x:c r="O41" s="70" t="str"/>
    </x:row>
    <x:row r="42">
      <x:c r="A42" s="70" t="str">
        <x:v>M5HIT-0037</x:v>
      </x:c>
      <x:c r="B42" s="70" t="str"/>
      <x:c r="C42" s="70" t="str">
        <x:f>IFERROR(VLOOKUP(B42,'02_案例与预测'!$A$6:$E$65,5,FALSE),"")</x:f>
      </x:c>
      <x:c r="D42" s="70" t="str"/>
      <x:c r="E42" s="70" t="str"/>
      <x:c r="F42" s="70" t="str"/>
      <x:c r="G42" s="70" t="str"/>
      <x:c r="H42" s="70" t="str"/>
      <x:c r="I42" s="70" t="str"/>
      <x:c r="J42" s="70" t="str">
        <x:f>IF(I42="支持",1,IF(I42="基本支持",0.75,IF(I42="部分支持",0.5,IF(I42="相邻但不同",0.25,IF(I42="反例",0,"")))))</x:f>
      </x:c>
      <x:c r="K42" s="70" t="str">
        <x:v>无</x:v>
      </x:c>
      <x:c r="L42" s="70" t="str">
        <x:v>否</x:v>
      </x:c>
      <x:c r="M42" s="70" t="str"/>
      <x:c r="N42" s="70" t="str">
        <x:v>否</x:v>
      </x:c>
      <x:c r="O42" s="70" t="str"/>
    </x:row>
    <x:row r="43">
      <x:c r="A43" s="70" t="str">
        <x:v>M5HIT-0038</x:v>
      </x:c>
      <x:c r="B43" s="70" t="str"/>
      <x:c r="C43" s="70" t="str">
        <x:f>IFERROR(VLOOKUP(B43,'02_案例与预测'!$A$6:$E$65,5,FALSE),"")</x:f>
      </x:c>
      <x:c r="D43" s="70" t="str"/>
      <x:c r="E43" s="70" t="str"/>
      <x:c r="F43" s="70" t="str"/>
      <x:c r="G43" s="70" t="str"/>
      <x:c r="H43" s="70" t="str"/>
      <x:c r="I43" s="70" t="str"/>
      <x:c r="J43" s="70" t="str">
        <x:f>IF(I43="支持",1,IF(I43="基本支持",0.75,IF(I43="部分支持",0.5,IF(I43="相邻但不同",0.25,IF(I43="反例",0,"")))))</x:f>
      </x:c>
      <x:c r="K43" s="70" t="str">
        <x:v>无</x:v>
      </x:c>
      <x:c r="L43" s="70" t="str">
        <x:v>否</x:v>
      </x:c>
      <x:c r="M43" s="70" t="str"/>
      <x:c r="N43" s="70" t="str">
        <x:v>否</x:v>
      </x:c>
      <x:c r="O43" s="70" t="str"/>
    </x:row>
    <x:row r="44">
      <x:c r="A44" s="70" t="str">
        <x:v>M5HIT-0039</x:v>
      </x:c>
      <x:c r="B44" s="70" t="str"/>
      <x:c r="C44" s="70" t="str">
        <x:f>IFERROR(VLOOKUP(B44,'02_案例与预测'!$A$6:$E$65,5,FALSE),"")</x:f>
      </x:c>
      <x:c r="D44" s="70" t="str"/>
      <x:c r="E44" s="70" t="str"/>
      <x:c r="F44" s="70" t="str"/>
      <x:c r="G44" s="70" t="str"/>
      <x:c r="H44" s="70" t="str"/>
      <x:c r="I44" s="70" t="str"/>
      <x:c r="J44" s="70" t="str">
        <x:f>IF(I44="支持",1,IF(I44="基本支持",0.75,IF(I44="部分支持",0.5,IF(I44="相邻但不同",0.25,IF(I44="反例",0,"")))))</x:f>
      </x:c>
      <x:c r="K44" s="70" t="str">
        <x:v>无</x:v>
      </x:c>
      <x:c r="L44" s="70" t="str">
        <x:v>否</x:v>
      </x:c>
      <x:c r="M44" s="70" t="str"/>
      <x:c r="N44" s="70" t="str">
        <x:v>否</x:v>
      </x:c>
      <x:c r="O44" s="70" t="str"/>
    </x:row>
    <x:row r="45">
      <x:c r="A45" s="70" t="str">
        <x:v>M5HIT-0040</x:v>
      </x:c>
      <x:c r="B45" s="70" t="str"/>
      <x:c r="C45" s="70" t="str">
        <x:f>IFERROR(VLOOKUP(B45,'02_案例与预测'!$A$6:$E$65,5,FALSE),"")</x:f>
      </x:c>
      <x:c r="D45" s="70" t="str"/>
      <x:c r="E45" s="70" t="str"/>
      <x:c r="F45" s="70" t="str"/>
      <x:c r="G45" s="70" t="str"/>
      <x:c r="H45" s="70" t="str"/>
      <x:c r="I45" s="70" t="str"/>
      <x:c r="J45" s="70" t="str">
        <x:f>IF(I45="支持",1,IF(I45="基本支持",0.75,IF(I45="部分支持",0.5,IF(I45="相邻但不同",0.25,IF(I45="反例",0,"")))))</x:f>
      </x:c>
      <x:c r="K45" s="70" t="str">
        <x:v>无</x:v>
      </x:c>
      <x:c r="L45" s="70" t="str">
        <x:v>否</x:v>
      </x:c>
      <x:c r="M45" s="70" t="str"/>
      <x:c r="N45" s="70" t="str">
        <x:v>否</x:v>
      </x:c>
      <x:c r="O45" s="70" t="str"/>
    </x:row>
    <x:row r="46">
      <x:c r="A46" s="70" t="str">
        <x:v>M5HIT-0041</x:v>
      </x:c>
      <x:c r="B46" s="70" t="str"/>
      <x:c r="C46" s="70" t="str">
        <x:f>IFERROR(VLOOKUP(B46,'02_案例与预测'!$A$6:$E$65,5,FALSE),"")</x:f>
      </x:c>
      <x:c r="D46" s="70" t="str"/>
      <x:c r="E46" s="70" t="str"/>
      <x:c r="F46" s="70" t="str"/>
      <x:c r="G46" s="70" t="str"/>
      <x:c r="H46" s="70" t="str"/>
      <x:c r="I46" s="70" t="str"/>
      <x:c r="J46" s="70" t="str">
        <x:f>IF(I46="支持",1,IF(I46="基本支持",0.75,IF(I46="部分支持",0.5,IF(I46="相邻但不同",0.25,IF(I46="反例",0,"")))))</x:f>
      </x:c>
      <x:c r="K46" s="70" t="str">
        <x:v>无</x:v>
      </x:c>
      <x:c r="L46" s="70" t="str">
        <x:v>否</x:v>
      </x:c>
      <x:c r="M46" s="70" t="str"/>
      <x:c r="N46" s="70" t="str">
        <x:v>否</x:v>
      </x:c>
      <x:c r="O46" s="70" t="str"/>
    </x:row>
    <x:row r="47">
      <x:c r="A47" s="70" t="str">
        <x:v>M5HIT-0042</x:v>
      </x:c>
      <x:c r="B47" s="70" t="str"/>
      <x:c r="C47" s="70" t="str">
        <x:f>IFERROR(VLOOKUP(B47,'02_案例与预测'!$A$6:$E$65,5,FALSE),"")</x:f>
      </x:c>
      <x:c r="D47" s="70" t="str"/>
      <x:c r="E47" s="70" t="str"/>
      <x:c r="F47" s="70" t="str"/>
      <x:c r="G47" s="70" t="str"/>
      <x:c r="H47" s="70" t="str"/>
      <x:c r="I47" s="70" t="str"/>
      <x:c r="J47" s="70" t="str">
        <x:f>IF(I47="支持",1,IF(I47="基本支持",0.75,IF(I47="部分支持",0.5,IF(I47="相邻但不同",0.25,IF(I47="反例",0,"")))))</x:f>
      </x:c>
      <x:c r="K47" s="70" t="str">
        <x:v>无</x:v>
      </x:c>
      <x:c r="L47" s="70" t="str">
        <x:v>否</x:v>
      </x:c>
      <x:c r="M47" s="70" t="str"/>
      <x:c r="N47" s="70" t="str">
        <x:v>否</x:v>
      </x:c>
      <x:c r="O47" s="70" t="str"/>
    </x:row>
    <x:row r="48">
      <x:c r="A48" s="70" t="str">
        <x:v>M5HIT-0043</x:v>
      </x:c>
      <x:c r="B48" s="70" t="str"/>
      <x:c r="C48" s="70" t="str">
        <x:f>IFERROR(VLOOKUP(B48,'02_案例与预测'!$A$6:$E$65,5,FALSE),"")</x:f>
      </x:c>
      <x:c r="D48" s="70" t="str"/>
      <x:c r="E48" s="70" t="str"/>
      <x:c r="F48" s="70" t="str"/>
      <x:c r="G48" s="70" t="str"/>
      <x:c r="H48" s="70" t="str"/>
      <x:c r="I48" s="70" t="str"/>
      <x:c r="J48" s="70" t="str">
        <x:f>IF(I48="支持",1,IF(I48="基本支持",0.75,IF(I48="部分支持",0.5,IF(I48="相邻但不同",0.25,IF(I48="反例",0,"")))))</x:f>
      </x:c>
      <x:c r="K48" s="70" t="str">
        <x:v>无</x:v>
      </x:c>
      <x:c r="L48" s="70" t="str">
        <x:v>否</x:v>
      </x:c>
      <x:c r="M48" s="70" t="str"/>
      <x:c r="N48" s="70" t="str">
        <x:v>否</x:v>
      </x:c>
      <x:c r="O48" s="70" t="str"/>
    </x:row>
    <x:row r="49">
      <x:c r="A49" s="70" t="str">
        <x:v>M5HIT-0044</x:v>
      </x:c>
      <x:c r="B49" s="70" t="str"/>
      <x:c r="C49" s="70" t="str">
        <x:f>IFERROR(VLOOKUP(B49,'02_案例与预测'!$A$6:$E$65,5,FALSE),"")</x:f>
      </x:c>
      <x:c r="D49" s="70" t="str"/>
      <x:c r="E49" s="70" t="str"/>
      <x:c r="F49" s="70" t="str"/>
      <x:c r="G49" s="70" t="str"/>
      <x:c r="H49" s="70" t="str"/>
      <x:c r="I49" s="70" t="str"/>
      <x:c r="J49" s="70" t="str">
        <x:f>IF(I49="支持",1,IF(I49="基本支持",0.75,IF(I49="部分支持",0.5,IF(I49="相邻但不同",0.25,IF(I49="反例",0,"")))))</x:f>
      </x:c>
      <x:c r="K49" s="70" t="str">
        <x:v>无</x:v>
      </x:c>
      <x:c r="L49" s="70" t="str">
        <x:v>否</x:v>
      </x:c>
      <x:c r="M49" s="70" t="str"/>
      <x:c r="N49" s="70" t="str">
        <x:v>否</x:v>
      </x:c>
      <x:c r="O49" s="70" t="str"/>
    </x:row>
    <x:row r="50">
      <x:c r="A50" s="70" t="str">
        <x:v>M5HIT-0045</x:v>
      </x:c>
      <x:c r="B50" s="70" t="str"/>
      <x:c r="C50" s="70" t="str">
        <x:f>IFERROR(VLOOKUP(B50,'02_案例与预测'!$A$6:$E$65,5,FALSE),"")</x:f>
      </x:c>
      <x:c r="D50" s="70" t="str"/>
      <x:c r="E50" s="70" t="str"/>
      <x:c r="F50" s="70" t="str"/>
      <x:c r="G50" s="70" t="str"/>
      <x:c r="H50" s="70" t="str"/>
      <x:c r="I50" s="70" t="str"/>
      <x:c r="J50" s="70" t="str">
        <x:f>IF(I50="支持",1,IF(I50="基本支持",0.75,IF(I50="部分支持",0.5,IF(I50="相邻但不同",0.25,IF(I50="反例",0,"")))))</x:f>
      </x:c>
      <x:c r="K50" s="70" t="str">
        <x:v>无</x:v>
      </x:c>
      <x:c r="L50" s="70" t="str">
        <x:v>否</x:v>
      </x:c>
      <x:c r="M50" s="70" t="str"/>
      <x:c r="N50" s="70" t="str">
        <x:v>否</x:v>
      </x:c>
      <x:c r="O50" s="70" t="str"/>
    </x:row>
    <x:row r="51">
      <x:c r="A51" s="70" t="str">
        <x:v>M5HIT-0046</x:v>
      </x:c>
      <x:c r="B51" s="70" t="str"/>
      <x:c r="C51" s="70" t="str">
        <x:f>IFERROR(VLOOKUP(B51,'02_案例与预测'!$A$6:$E$65,5,FALSE),"")</x:f>
      </x:c>
      <x:c r="D51" s="70" t="str"/>
      <x:c r="E51" s="70" t="str"/>
      <x:c r="F51" s="70" t="str"/>
      <x:c r="G51" s="70" t="str"/>
      <x:c r="H51" s="70" t="str"/>
      <x:c r="I51" s="70" t="str"/>
      <x:c r="J51" s="70" t="str">
        <x:f>IF(I51="支持",1,IF(I51="基本支持",0.75,IF(I51="部分支持",0.5,IF(I51="相邻但不同",0.25,IF(I51="反例",0,"")))))</x:f>
      </x:c>
      <x:c r="K51" s="70" t="str">
        <x:v>无</x:v>
      </x:c>
      <x:c r="L51" s="70" t="str">
        <x:v>否</x:v>
      </x:c>
      <x:c r="M51" s="70" t="str"/>
      <x:c r="N51" s="70" t="str">
        <x:v>否</x:v>
      </x:c>
      <x:c r="O51" s="70" t="str"/>
    </x:row>
    <x:row r="52">
      <x:c r="A52" s="70" t="str">
        <x:v>M5HIT-0047</x:v>
      </x:c>
      <x:c r="B52" s="70" t="str"/>
      <x:c r="C52" s="70" t="str">
        <x:f>IFERROR(VLOOKUP(B52,'02_案例与预测'!$A$6:$E$65,5,FALSE),"")</x:f>
      </x:c>
      <x:c r="D52" s="70" t="str"/>
      <x:c r="E52" s="70" t="str"/>
      <x:c r="F52" s="70" t="str"/>
      <x:c r="G52" s="70" t="str"/>
      <x:c r="H52" s="70" t="str"/>
      <x:c r="I52" s="70" t="str"/>
      <x:c r="J52" s="70" t="str">
        <x:f>IF(I52="支持",1,IF(I52="基本支持",0.75,IF(I52="部分支持",0.5,IF(I52="相邻但不同",0.25,IF(I52="反例",0,"")))))</x:f>
      </x:c>
      <x:c r="K52" s="70" t="str">
        <x:v>无</x:v>
      </x:c>
      <x:c r="L52" s="70" t="str">
        <x:v>否</x:v>
      </x:c>
      <x:c r="M52" s="70" t="str"/>
      <x:c r="N52" s="70" t="str">
        <x:v>否</x:v>
      </x:c>
      <x:c r="O52" s="70" t="str"/>
    </x:row>
    <x:row r="53">
      <x:c r="A53" s="70" t="str">
        <x:v>M5HIT-0048</x:v>
      </x:c>
      <x:c r="B53" s="70" t="str"/>
      <x:c r="C53" s="70" t="str">
        <x:f>IFERROR(VLOOKUP(B53,'02_案例与预测'!$A$6:$E$65,5,FALSE),"")</x:f>
      </x:c>
      <x:c r="D53" s="70" t="str"/>
      <x:c r="E53" s="70" t="str"/>
      <x:c r="F53" s="70" t="str"/>
      <x:c r="G53" s="70" t="str"/>
      <x:c r="H53" s="70" t="str"/>
      <x:c r="I53" s="70" t="str"/>
      <x:c r="J53" s="70" t="str">
        <x:f>IF(I53="支持",1,IF(I53="基本支持",0.75,IF(I53="部分支持",0.5,IF(I53="相邻但不同",0.25,IF(I53="反例",0,"")))))</x:f>
      </x:c>
      <x:c r="K53" s="70" t="str">
        <x:v>无</x:v>
      </x:c>
      <x:c r="L53" s="70" t="str">
        <x:v>否</x:v>
      </x:c>
      <x:c r="M53" s="70" t="str"/>
      <x:c r="N53" s="70" t="str">
        <x:v>否</x:v>
      </x:c>
      <x:c r="O53" s="70" t="str"/>
    </x:row>
    <x:row r="54">
      <x:c r="A54" s="70" t="str">
        <x:v>M5HIT-0049</x:v>
      </x:c>
      <x:c r="B54" s="70" t="str"/>
      <x:c r="C54" s="70" t="str">
        <x:f>IFERROR(VLOOKUP(B54,'02_案例与预测'!$A$6:$E$65,5,FALSE),"")</x:f>
      </x:c>
      <x:c r="D54" s="70" t="str"/>
      <x:c r="E54" s="70" t="str"/>
      <x:c r="F54" s="70" t="str"/>
      <x:c r="G54" s="70" t="str"/>
      <x:c r="H54" s="70" t="str"/>
      <x:c r="I54" s="70" t="str"/>
      <x:c r="J54" s="70" t="str">
        <x:f>IF(I54="支持",1,IF(I54="基本支持",0.75,IF(I54="部分支持",0.5,IF(I54="相邻但不同",0.25,IF(I54="反例",0,"")))))</x:f>
      </x:c>
      <x:c r="K54" s="70" t="str">
        <x:v>无</x:v>
      </x:c>
      <x:c r="L54" s="70" t="str">
        <x:v>否</x:v>
      </x:c>
      <x:c r="M54" s="70" t="str"/>
      <x:c r="N54" s="70" t="str">
        <x:v>否</x:v>
      </x:c>
      <x:c r="O54" s="70" t="str"/>
    </x:row>
    <x:row r="55">
      <x:c r="A55" s="70" t="str">
        <x:v>M5HIT-0050</x:v>
      </x:c>
      <x:c r="B55" s="70" t="str"/>
      <x:c r="C55" s="70" t="str">
        <x:f>IFERROR(VLOOKUP(B55,'02_案例与预测'!$A$6:$E$65,5,FALSE),"")</x:f>
      </x:c>
      <x:c r="D55" s="70" t="str"/>
      <x:c r="E55" s="70" t="str"/>
      <x:c r="F55" s="70" t="str"/>
      <x:c r="G55" s="70" t="str"/>
      <x:c r="H55" s="70" t="str"/>
      <x:c r="I55" s="70" t="str"/>
      <x:c r="J55" s="70" t="str">
        <x:f>IF(I55="支持",1,IF(I55="基本支持",0.75,IF(I55="部分支持",0.5,IF(I55="相邻但不同",0.25,IF(I55="反例",0,"")))))</x:f>
      </x:c>
      <x:c r="K55" s="70" t="str">
        <x:v>无</x:v>
      </x:c>
      <x:c r="L55" s="70" t="str">
        <x:v>否</x:v>
      </x:c>
      <x:c r="M55" s="70" t="str"/>
      <x:c r="N55" s="70" t="str">
        <x:v>否</x:v>
      </x:c>
      <x:c r="O55" s="70" t="str"/>
    </x:row>
    <x:row r="56">
      <x:c r="A56" s="70" t="str">
        <x:v>M5HIT-0051</x:v>
      </x:c>
      <x:c r="B56" s="70" t="str"/>
      <x:c r="C56" s="70" t="str">
        <x:f>IFERROR(VLOOKUP(B56,'02_案例与预测'!$A$6:$E$65,5,FALSE),"")</x:f>
      </x:c>
      <x:c r="D56" s="70" t="str"/>
      <x:c r="E56" s="70" t="str"/>
      <x:c r="F56" s="70" t="str"/>
      <x:c r="G56" s="70" t="str"/>
      <x:c r="H56" s="70" t="str"/>
      <x:c r="I56" s="70" t="str"/>
      <x:c r="J56" s="70" t="str">
        <x:f>IF(I56="支持",1,IF(I56="基本支持",0.75,IF(I56="部分支持",0.5,IF(I56="相邻但不同",0.25,IF(I56="反例",0,"")))))</x:f>
      </x:c>
      <x:c r="K56" s="70" t="str">
        <x:v>无</x:v>
      </x:c>
      <x:c r="L56" s="70" t="str">
        <x:v>否</x:v>
      </x:c>
      <x:c r="M56" s="70" t="str"/>
      <x:c r="N56" s="70" t="str">
        <x:v>否</x:v>
      </x:c>
      <x:c r="O56" s="70" t="str"/>
    </x:row>
    <x:row r="57">
      <x:c r="A57" s="70" t="str">
        <x:v>M5HIT-0052</x:v>
      </x:c>
      <x:c r="B57" s="70" t="str"/>
      <x:c r="C57" s="70" t="str">
        <x:f>IFERROR(VLOOKUP(B57,'02_案例与预测'!$A$6:$E$65,5,FALSE),"")</x:f>
      </x:c>
      <x:c r="D57" s="70" t="str"/>
      <x:c r="E57" s="70" t="str"/>
      <x:c r="F57" s="70" t="str"/>
      <x:c r="G57" s="70" t="str"/>
      <x:c r="H57" s="70" t="str"/>
      <x:c r="I57" s="70" t="str"/>
      <x:c r="J57" s="70" t="str">
        <x:f>IF(I57="支持",1,IF(I57="基本支持",0.75,IF(I57="部分支持",0.5,IF(I57="相邻但不同",0.25,IF(I57="反例",0,"")))))</x:f>
      </x:c>
      <x:c r="K57" s="70" t="str">
        <x:v>无</x:v>
      </x:c>
      <x:c r="L57" s="70" t="str">
        <x:v>否</x:v>
      </x:c>
      <x:c r="M57" s="70" t="str"/>
      <x:c r="N57" s="70" t="str">
        <x:v>否</x:v>
      </x:c>
      <x:c r="O57" s="70" t="str"/>
    </x:row>
    <x:row r="58">
      <x:c r="A58" s="70" t="str">
        <x:v>M5HIT-0053</x:v>
      </x:c>
      <x:c r="B58" s="70" t="str"/>
      <x:c r="C58" s="70" t="str">
        <x:f>IFERROR(VLOOKUP(B58,'02_案例与预测'!$A$6:$E$65,5,FALSE),"")</x:f>
      </x:c>
      <x:c r="D58" s="70" t="str"/>
      <x:c r="E58" s="70" t="str"/>
      <x:c r="F58" s="70" t="str"/>
      <x:c r="G58" s="70" t="str"/>
      <x:c r="H58" s="70" t="str"/>
      <x:c r="I58" s="70" t="str"/>
      <x:c r="J58" s="70" t="str">
        <x:f>IF(I58="支持",1,IF(I58="基本支持",0.75,IF(I58="部分支持",0.5,IF(I58="相邻但不同",0.25,IF(I58="反例",0,"")))))</x:f>
      </x:c>
      <x:c r="K58" s="70" t="str">
        <x:v>无</x:v>
      </x:c>
      <x:c r="L58" s="70" t="str">
        <x:v>否</x:v>
      </x:c>
      <x:c r="M58" s="70" t="str"/>
      <x:c r="N58" s="70" t="str">
        <x:v>否</x:v>
      </x:c>
      <x:c r="O58" s="70" t="str"/>
    </x:row>
    <x:row r="59">
      <x:c r="A59" s="70" t="str">
        <x:v>M5HIT-0054</x:v>
      </x:c>
      <x:c r="B59" s="70" t="str"/>
      <x:c r="C59" s="70" t="str">
        <x:f>IFERROR(VLOOKUP(B59,'02_案例与预测'!$A$6:$E$65,5,FALSE),"")</x:f>
      </x:c>
      <x:c r="D59" s="70" t="str"/>
      <x:c r="E59" s="70" t="str"/>
      <x:c r="F59" s="70" t="str"/>
      <x:c r="G59" s="70" t="str"/>
      <x:c r="H59" s="70" t="str"/>
      <x:c r="I59" s="70" t="str"/>
      <x:c r="J59" s="70" t="str">
        <x:f>IF(I59="支持",1,IF(I59="基本支持",0.75,IF(I59="部分支持",0.5,IF(I59="相邻但不同",0.25,IF(I59="反例",0,"")))))</x:f>
      </x:c>
      <x:c r="K59" s="70" t="str">
        <x:v>无</x:v>
      </x:c>
      <x:c r="L59" s="70" t="str">
        <x:v>否</x:v>
      </x:c>
      <x:c r="M59" s="70" t="str"/>
      <x:c r="N59" s="70" t="str">
        <x:v>否</x:v>
      </x:c>
      <x:c r="O59" s="70" t="str"/>
    </x:row>
    <x:row r="60">
      <x:c r="A60" s="70" t="str">
        <x:v>M5HIT-0055</x:v>
      </x:c>
      <x:c r="B60" s="70" t="str"/>
      <x:c r="C60" s="70" t="str">
        <x:f>IFERROR(VLOOKUP(B60,'02_案例与预测'!$A$6:$E$65,5,FALSE),"")</x:f>
      </x:c>
      <x:c r="D60" s="70" t="str"/>
      <x:c r="E60" s="70" t="str"/>
      <x:c r="F60" s="70" t="str"/>
      <x:c r="G60" s="70" t="str"/>
      <x:c r="H60" s="70" t="str"/>
      <x:c r="I60" s="70" t="str"/>
      <x:c r="J60" s="70" t="str">
        <x:f>IF(I60="支持",1,IF(I60="基本支持",0.75,IF(I60="部分支持",0.5,IF(I60="相邻但不同",0.25,IF(I60="反例",0,"")))))</x:f>
      </x:c>
      <x:c r="K60" s="70" t="str">
        <x:v>无</x:v>
      </x:c>
      <x:c r="L60" s="70" t="str">
        <x:v>否</x:v>
      </x:c>
      <x:c r="M60" s="70" t="str"/>
      <x:c r="N60" s="70" t="str">
        <x:v>否</x:v>
      </x:c>
      <x:c r="O60" s="70" t="str"/>
    </x:row>
    <x:row r="61">
      <x:c r="A61" s="70" t="str">
        <x:v>M5HIT-0056</x:v>
      </x:c>
      <x:c r="B61" s="70" t="str"/>
      <x:c r="C61" s="70" t="str">
        <x:f>IFERROR(VLOOKUP(B61,'02_案例与预测'!$A$6:$E$65,5,FALSE),"")</x:f>
      </x:c>
      <x:c r="D61" s="70" t="str"/>
      <x:c r="E61" s="70" t="str"/>
      <x:c r="F61" s="70" t="str"/>
      <x:c r="G61" s="70" t="str"/>
      <x:c r="H61" s="70" t="str"/>
      <x:c r="I61" s="70" t="str"/>
      <x:c r="J61" s="70" t="str">
        <x:f>IF(I61="支持",1,IF(I61="基本支持",0.75,IF(I61="部分支持",0.5,IF(I61="相邻但不同",0.25,IF(I61="反例",0,"")))))</x:f>
      </x:c>
      <x:c r="K61" s="70" t="str">
        <x:v>无</x:v>
      </x:c>
      <x:c r="L61" s="70" t="str">
        <x:v>否</x:v>
      </x:c>
      <x:c r="M61" s="70" t="str"/>
      <x:c r="N61" s="70" t="str">
        <x:v>否</x:v>
      </x:c>
      <x:c r="O61" s="70" t="str"/>
    </x:row>
    <x:row r="62">
      <x:c r="A62" s="70" t="str">
        <x:v>M5HIT-0057</x:v>
      </x:c>
      <x:c r="B62" s="70" t="str"/>
      <x:c r="C62" s="70" t="str">
        <x:f>IFERROR(VLOOKUP(B62,'02_案例与预测'!$A$6:$E$65,5,FALSE),"")</x:f>
      </x:c>
      <x:c r="D62" s="70" t="str"/>
      <x:c r="E62" s="70" t="str"/>
      <x:c r="F62" s="70" t="str"/>
      <x:c r="G62" s="70" t="str"/>
      <x:c r="H62" s="70" t="str"/>
      <x:c r="I62" s="70" t="str"/>
      <x:c r="J62" s="70" t="str">
        <x:f>IF(I62="支持",1,IF(I62="基本支持",0.75,IF(I62="部分支持",0.5,IF(I62="相邻但不同",0.25,IF(I62="反例",0,"")))))</x:f>
      </x:c>
      <x:c r="K62" s="70" t="str">
        <x:v>无</x:v>
      </x:c>
      <x:c r="L62" s="70" t="str">
        <x:v>否</x:v>
      </x:c>
      <x:c r="M62" s="70" t="str"/>
      <x:c r="N62" s="70" t="str">
        <x:v>否</x:v>
      </x:c>
      <x:c r="O62" s="70" t="str"/>
    </x:row>
    <x:row r="63">
      <x:c r="A63" s="70" t="str">
        <x:v>M5HIT-0058</x:v>
      </x:c>
      <x:c r="B63" s="70" t="str"/>
      <x:c r="C63" s="70" t="str">
        <x:f>IFERROR(VLOOKUP(B63,'02_案例与预测'!$A$6:$E$65,5,FALSE),"")</x:f>
      </x:c>
      <x:c r="D63" s="70" t="str"/>
      <x:c r="E63" s="70" t="str"/>
      <x:c r="F63" s="70" t="str"/>
      <x:c r="G63" s="70" t="str"/>
      <x:c r="H63" s="70" t="str"/>
      <x:c r="I63" s="70" t="str"/>
      <x:c r="J63" s="70" t="str">
        <x:f>IF(I63="支持",1,IF(I63="基本支持",0.75,IF(I63="部分支持",0.5,IF(I63="相邻但不同",0.25,IF(I63="反例",0,"")))))</x:f>
      </x:c>
      <x:c r="K63" s="70" t="str">
        <x:v>无</x:v>
      </x:c>
      <x:c r="L63" s="70" t="str">
        <x:v>否</x:v>
      </x:c>
      <x:c r="M63" s="70" t="str"/>
      <x:c r="N63" s="70" t="str">
        <x:v>否</x:v>
      </x:c>
      <x:c r="O63" s="70" t="str"/>
    </x:row>
    <x:row r="64">
      <x:c r="A64" s="70" t="str">
        <x:v>M5HIT-0059</x:v>
      </x:c>
      <x:c r="B64" s="70" t="str"/>
      <x:c r="C64" s="70" t="str">
        <x:f>IFERROR(VLOOKUP(B64,'02_案例与预测'!$A$6:$E$65,5,FALSE),"")</x:f>
      </x:c>
      <x:c r="D64" s="70" t="str"/>
      <x:c r="E64" s="70" t="str"/>
      <x:c r="F64" s="70" t="str"/>
      <x:c r="G64" s="70" t="str"/>
      <x:c r="H64" s="70" t="str"/>
      <x:c r="I64" s="70" t="str"/>
      <x:c r="J64" s="70" t="str">
        <x:f>IF(I64="支持",1,IF(I64="基本支持",0.75,IF(I64="部分支持",0.5,IF(I64="相邻但不同",0.25,IF(I64="反例",0,"")))))</x:f>
      </x:c>
      <x:c r="K64" s="70" t="str">
        <x:v>无</x:v>
      </x:c>
      <x:c r="L64" s="70" t="str">
        <x:v>否</x:v>
      </x:c>
      <x:c r="M64" s="70" t="str"/>
      <x:c r="N64" s="70" t="str">
        <x:v>否</x:v>
      </x:c>
      <x:c r="O64" s="70" t="str"/>
    </x:row>
    <x:row r="65">
      <x:c r="A65" s="70" t="str">
        <x:v>M5HIT-0060</x:v>
      </x:c>
      <x:c r="B65" s="70" t="str"/>
      <x:c r="C65" s="70" t="str">
        <x:f>IFERROR(VLOOKUP(B65,'02_案例与预测'!$A$6:$E$65,5,FALSE),"")</x:f>
      </x:c>
      <x:c r="D65" s="70" t="str"/>
      <x:c r="E65" s="70" t="str"/>
      <x:c r="F65" s="70" t="str"/>
      <x:c r="G65" s="70" t="str"/>
      <x:c r="H65" s="70" t="str"/>
      <x:c r="I65" s="70" t="str"/>
      <x:c r="J65" s="70" t="str">
        <x:f>IF(I65="支持",1,IF(I65="基本支持",0.75,IF(I65="部分支持",0.5,IF(I65="相邻但不同",0.25,IF(I65="反例",0,"")))))</x:f>
      </x:c>
      <x:c r="K65" s="70" t="str">
        <x:v>无</x:v>
      </x:c>
      <x:c r="L65" s="70" t="str">
        <x:v>否</x:v>
      </x:c>
      <x:c r="M65" s="70" t="str"/>
      <x:c r="N65" s="70" t="str">
        <x:v>否</x:v>
      </x:c>
      <x:c r="O65" s="70" t="str"/>
    </x:row>
    <x:row r="66">
      <x:c r="A66" s="70" t="str">
        <x:v>M5HIT-0061</x:v>
      </x:c>
      <x:c r="B66" s="70" t="str"/>
      <x:c r="C66" s="70" t="str">
        <x:f>IFERROR(VLOOKUP(B66,'02_案例与预测'!$A$6:$E$65,5,FALSE),"")</x:f>
      </x:c>
      <x:c r="D66" s="70" t="str"/>
      <x:c r="E66" s="70" t="str"/>
      <x:c r="F66" s="70" t="str"/>
      <x:c r="G66" s="70" t="str"/>
      <x:c r="H66" s="70" t="str"/>
      <x:c r="I66" s="70" t="str"/>
      <x:c r="J66" s="70" t="str">
        <x:f>IF(I66="支持",1,IF(I66="基本支持",0.75,IF(I66="部分支持",0.5,IF(I66="相邻但不同",0.25,IF(I66="反例",0,"")))))</x:f>
      </x:c>
      <x:c r="K66" s="70" t="str">
        <x:v>无</x:v>
      </x:c>
      <x:c r="L66" s="70" t="str">
        <x:v>否</x:v>
      </x:c>
      <x:c r="M66" s="70" t="str"/>
      <x:c r="N66" s="70" t="str">
        <x:v>否</x:v>
      </x:c>
      <x:c r="O66" s="70" t="str"/>
    </x:row>
    <x:row r="67">
      <x:c r="A67" s="70" t="str">
        <x:v>M5HIT-0062</x:v>
      </x:c>
      <x:c r="B67" s="70" t="str"/>
      <x:c r="C67" s="70" t="str">
        <x:f>IFERROR(VLOOKUP(B67,'02_案例与预测'!$A$6:$E$65,5,FALSE),"")</x:f>
      </x:c>
      <x:c r="D67" s="70" t="str"/>
      <x:c r="E67" s="70" t="str"/>
      <x:c r="F67" s="70" t="str"/>
      <x:c r="G67" s="70" t="str"/>
      <x:c r="H67" s="70" t="str"/>
      <x:c r="I67" s="70" t="str"/>
      <x:c r="J67" s="70" t="str">
        <x:f>IF(I67="支持",1,IF(I67="基本支持",0.75,IF(I67="部分支持",0.5,IF(I67="相邻但不同",0.25,IF(I67="反例",0,"")))))</x:f>
      </x:c>
      <x:c r="K67" s="70" t="str">
        <x:v>无</x:v>
      </x:c>
      <x:c r="L67" s="70" t="str">
        <x:v>否</x:v>
      </x:c>
      <x:c r="M67" s="70" t="str"/>
      <x:c r="N67" s="70" t="str">
        <x:v>否</x:v>
      </x:c>
      <x:c r="O67" s="70" t="str"/>
    </x:row>
    <x:row r="68">
      <x:c r="A68" s="70" t="str">
        <x:v>M5HIT-0063</x:v>
      </x:c>
      <x:c r="B68" s="70" t="str"/>
      <x:c r="C68" s="70" t="str">
        <x:f>IFERROR(VLOOKUP(B68,'02_案例与预测'!$A$6:$E$65,5,FALSE),"")</x:f>
      </x:c>
      <x:c r="D68" s="70" t="str"/>
      <x:c r="E68" s="70" t="str"/>
      <x:c r="F68" s="70" t="str"/>
      <x:c r="G68" s="70" t="str"/>
      <x:c r="H68" s="70" t="str"/>
      <x:c r="I68" s="70" t="str"/>
      <x:c r="J68" s="70" t="str">
        <x:f>IF(I68="支持",1,IF(I68="基本支持",0.75,IF(I68="部分支持",0.5,IF(I68="相邻但不同",0.25,IF(I68="反例",0,"")))))</x:f>
      </x:c>
      <x:c r="K68" s="70" t="str">
        <x:v>无</x:v>
      </x:c>
      <x:c r="L68" s="70" t="str">
        <x:v>否</x:v>
      </x:c>
      <x:c r="M68" s="70" t="str"/>
      <x:c r="N68" s="70" t="str">
        <x:v>否</x:v>
      </x:c>
      <x:c r="O68" s="70" t="str"/>
    </x:row>
    <x:row r="69">
      <x:c r="A69" s="70" t="str">
        <x:v>M5HIT-0064</x:v>
      </x:c>
      <x:c r="B69" s="70" t="str"/>
      <x:c r="C69" s="70" t="str">
        <x:f>IFERROR(VLOOKUP(B69,'02_案例与预测'!$A$6:$E$65,5,FALSE),"")</x:f>
      </x:c>
      <x:c r="D69" s="70" t="str"/>
      <x:c r="E69" s="70" t="str"/>
      <x:c r="F69" s="70" t="str"/>
      <x:c r="G69" s="70" t="str"/>
      <x:c r="H69" s="70" t="str"/>
      <x:c r="I69" s="70" t="str"/>
      <x:c r="J69" s="70" t="str">
        <x:f>IF(I69="支持",1,IF(I69="基本支持",0.75,IF(I69="部分支持",0.5,IF(I69="相邻但不同",0.25,IF(I69="反例",0,"")))))</x:f>
      </x:c>
      <x:c r="K69" s="70" t="str">
        <x:v>无</x:v>
      </x:c>
      <x:c r="L69" s="70" t="str">
        <x:v>否</x:v>
      </x:c>
      <x:c r="M69" s="70" t="str"/>
      <x:c r="N69" s="70" t="str">
        <x:v>否</x:v>
      </x:c>
      <x:c r="O69" s="70" t="str"/>
    </x:row>
    <x:row r="70">
      <x:c r="A70" s="70" t="str">
        <x:v>M5HIT-0065</x:v>
      </x:c>
      <x:c r="B70" s="70" t="str"/>
      <x:c r="C70" s="70" t="str">
        <x:f>IFERROR(VLOOKUP(B70,'02_案例与预测'!$A$6:$E$65,5,FALSE),"")</x:f>
      </x:c>
      <x:c r="D70" s="70" t="str"/>
      <x:c r="E70" s="70" t="str"/>
      <x:c r="F70" s="70" t="str"/>
      <x:c r="G70" s="70" t="str"/>
      <x:c r="H70" s="70" t="str"/>
      <x:c r="I70" s="70" t="str"/>
      <x:c r="J70" s="70" t="str">
        <x:f>IF(I70="支持",1,IF(I70="基本支持",0.75,IF(I70="部分支持",0.5,IF(I70="相邻但不同",0.25,IF(I70="反例",0,"")))))</x:f>
      </x:c>
      <x:c r="K70" s="70" t="str">
        <x:v>无</x:v>
      </x:c>
      <x:c r="L70" s="70" t="str">
        <x:v>否</x:v>
      </x:c>
      <x:c r="M70" s="70" t="str"/>
      <x:c r="N70" s="70" t="str">
        <x:v>否</x:v>
      </x:c>
      <x:c r="O70" s="70" t="str"/>
    </x:row>
    <x:row r="71">
      <x:c r="A71" s="70" t="str">
        <x:v>M5HIT-0066</x:v>
      </x:c>
      <x:c r="B71" s="70" t="str"/>
      <x:c r="C71" s="70" t="str">
        <x:f>IFERROR(VLOOKUP(B71,'02_案例与预测'!$A$6:$E$65,5,FALSE),"")</x:f>
      </x:c>
      <x:c r="D71" s="70" t="str"/>
      <x:c r="E71" s="70" t="str"/>
      <x:c r="F71" s="70" t="str"/>
      <x:c r="G71" s="70" t="str"/>
      <x:c r="H71" s="70" t="str"/>
      <x:c r="I71" s="70" t="str"/>
      <x:c r="J71" s="70" t="str">
        <x:f>IF(I71="支持",1,IF(I71="基本支持",0.75,IF(I71="部分支持",0.5,IF(I71="相邻但不同",0.25,IF(I71="反例",0,"")))))</x:f>
      </x:c>
      <x:c r="K71" s="70" t="str">
        <x:v>无</x:v>
      </x:c>
      <x:c r="L71" s="70" t="str">
        <x:v>否</x:v>
      </x:c>
      <x:c r="M71" s="70" t="str"/>
      <x:c r="N71" s="70" t="str">
        <x:v>否</x:v>
      </x:c>
      <x:c r="O71" s="70" t="str"/>
    </x:row>
    <x:row r="72">
      <x:c r="A72" s="70" t="str">
        <x:v>M5HIT-0067</x:v>
      </x:c>
      <x:c r="B72" s="70" t="str"/>
      <x:c r="C72" s="70" t="str">
        <x:f>IFERROR(VLOOKUP(B72,'02_案例与预测'!$A$6:$E$65,5,FALSE),"")</x:f>
      </x:c>
      <x:c r="D72" s="70" t="str"/>
      <x:c r="E72" s="70" t="str"/>
      <x:c r="F72" s="70" t="str"/>
      <x:c r="G72" s="70" t="str"/>
      <x:c r="H72" s="70" t="str"/>
      <x:c r="I72" s="70" t="str"/>
      <x:c r="J72" s="70" t="str">
        <x:f>IF(I72="支持",1,IF(I72="基本支持",0.75,IF(I72="部分支持",0.5,IF(I72="相邻但不同",0.25,IF(I72="反例",0,"")))))</x:f>
      </x:c>
      <x:c r="K72" s="70" t="str">
        <x:v>无</x:v>
      </x:c>
      <x:c r="L72" s="70" t="str">
        <x:v>否</x:v>
      </x:c>
      <x:c r="M72" s="70" t="str"/>
      <x:c r="N72" s="70" t="str">
        <x:v>否</x:v>
      </x:c>
      <x:c r="O72" s="70" t="str"/>
    </x:row>
    <x:row r="73">
      <x:c r="A73" s="70" t="str">
        <x:v>M5HIT-0068</x:v>
      </x:c>
      <x:c r="B73" s="70" t="str"/>
      <x:c r="C73" s="70" t="str">
        <x:f>IFERROR(VLOOKUP(B73,'02_案例与预测'!$A$6:$E$65,5,FALSE),"")</x:f>
      </x:c>
      <x:c r="D73" s="70" t="str"/>
      <x:c r="E73" s="70" t="str"/>
      <x:c r="F73" s="70" t="str"/>
      <x:c r="G73" s="70" t="str"/>
      <x:c r="H73" s="70" t="str"/>
      <x:c r="I73" s="70" t="str"/>
      <x:c r="J73" s="70" t="str">
        <x:f>IF(I73="支持",1,IF(I73="基本支持",0.75,IF(I73="部分支持",0.5,IF(I73="相邻但不同",0.25,IF(I73="反例",0,"")))))</x:f>
      </x:c>
      <x:c r="K73" s="70" t="str">
        <x:v>无</x:v>
      </x:c>
      <x:c r="L73" s="70" t="str">
        <x:v>否</x:v>
      </x:c>
      <x:c r="M73" s="70" t="str"/>
      <x:c r="N73" s="70" t="str">
        <x:v>否</x:v>
      </x:c>
      <x:c r="O73" s="70" t="str"/>
    </x:row>
    <x:row r="74">
      <x:c r="A74" s="70" t="str">
        <x:v>M5HIT-0069</x:v>
      </x:c>
      <x:c r="B74" s="70" t="str"/>
      <x:c r="C74" s="70" t="str">
        <x:f>IFERROR(VLOOKUP(B74,'02_案例与预测'!$A$6:$E$65,5,FALSE),"")</x:f>
      </x:c>
      <x:c r="D74" s="70" t="str"/>
      <x:c r="E74" s="70" t="str"/>
      <x:c r="F74" s="70" t="str"/>
      <x:c r="G74" s="70" t="str"/>
      <x:c r="H74" s="70" t="str"/>
      <x:c r="I74" s="70" t="str"/>
      <x:c r="J74" s="70" t="str">
        <x:f>IF(I74="支持",1,IF(I74="基本支持",0.75,IF(I74="部分支持",0.5,IF(I74="相邻但不同",0.25,IF(I74="反例",0,"")))))</x:f>
      </x:c>
      <x:c r="K74" s="70" t="str">
        <x:v>无</x:v>
      </x:c>
      <x:c r="L74" s="70" t="str">
        <x:v>否</x:v>
      </x:c>
      <x:c r="M74" s="70" t="str"/>
      <x:c r="N74" s="70" t="str">
        <x:v>否</x:v>
      </x:c>
      <x:c r="O74" s="70" t="str"/>
    </x:row>
    <x:row r="75">
      <x:c r="A75" s="70" t="str">
        <x:v>M5HIT-0070</x:v>
      </x:c>
      <x:c r="B75" s="70" t="str"/>
      <x:c r="C75" s="70" t="str">
        <x:f>IFERROR(VLOOKUP(B75,'02_案例与预测'!$A$6:$E$65,5,FALSE),"")</x:f>
      </x:c>
      <x:c r="D75" s="70" t="str"/>
      <x:c r="E75" s="70" t="str"/>
      <x:c r="F75" s="70" t="str"/>
      <x:c r="G75" s="70" t="str"/>
      <x:c r="H75" s="70" t="str"/>
      <x:c r="I75" s="70" t="str"/>
      <x:c r="J75" s="70" t="str">
        <x:f>IF(I75="支持",1,IF(I75="基本支持",0.75,IF(I75="部分支持",0.5,IF(I75="相邻但不同",0.25,IF(I75="反例",0,"")))))</x:f>
      </x:c>
      <x:c r="K75" s="70" t="str">
        <x:v>无</x:v>
      </x:c>
      <x:c r="L75" s="70" t="str">
        <x:v>否</x:v>
      </x:c>
      <x:c r="M75" s="70" t="str"/>
      <x:c r="N75" s="70" t="str">
        <x:v>否</x:v>
      </x:c>
      <x:c r="O75" s="70" t="str"/>
    </x:row>
    <x:row r="76">
      <x:c r="A76" s="70" t="str">
        <x:v>M5HIT-0071</x:v>
      </x:c>
      <x:c r="B76" s="70" t="str"/>
      <x:c r="C76" s="70" t="str">
        <x:f>IFERROR(VLOOKUP(B76,'02_案例与预测'!$A$6:$E$65,5,FALSE),"")</x:f>
      </x:c>
      <x:c r="D76" s="70" t="str"/>
      <x:c r="E76" s="70" t="str"/>
      <x:c r="F76" s="70" t="str"/>
      <x:c r="G76" s="70" t="str"/>
      <x:c r="H76" s="70" t="str"/>
      <x:c r="I76" s="70" t="str"/>
      <x:c r="J76" s="70" t="str">
        <x:f>IF(I76="支持",1,IF(I76="基本支持",0.75,IF(I76="部分支持",0.5,IF(I76="相邻但不同",0.25,IF(I76="反例",0,"")))))</x:f>
      </x:c>
      <x:c r="K76" s="70" t="str">
        <x:v>无</x:v>
      </x:c>
      <x:c r="L76" s="70" t="str">
        <x:v>否</x:v>
      </x:c>
      <x:c r="M76" s="70" t="str"/>
      <x:c r="N76" s="70" t="str">
        <x:v>否</x:v>
      </x:c>
      <x:c r="O76" s="70" t="str"/>
    </x:row>
    <x:row r="77">
      <x:c r="A77" s="70" t="str">
        <x:v>M5HIT-0072</x:v>
      </x:c>
      <x:c r="B77" s="70" t="str"/>
      <x:c r="C77" s="70" t="str">
        <x:f>IFERROR(VLOOKUP(B77,'02_案例与预测'!$A$6:$E$65,5,FALSE),"")</x:f>
      </x:c>
      <x:c r="D77" s="70" t="str"/>
      <x:c r="E77" s="70" t="str"/>
      <x:c r="F77" s="70" t="str"/>
      <x:c r="G77" s="70" t="str"/>
      <x:c r="H77" s="70" t="str"/>
      <x:c r="I77" s="70" t="str"/>
      <x:c r="J77" s="70" t="str">
        <x:f>IF(I77="支持",1,IF(I77="基本支持",0.75,IF(I77="部分支持",0.5,IF(I77="相邻但不同",0.25,IF(I77="反例",0,"")))))</x:f>
      </x:c>
      <x:c r="K77" s="70" t="str">
        <x:v>无</x:v>
      </x:c>
      <x:c r="L77" s="70" t="str">
        <x:v>否</x:v>
      </x:c>
      <x:c r="M77" s="70" t="str"/>
      <x:c r="N77" s="70" t="str">
        <x:v>否</x:v>
      </x:c>
      <x:c r="O77" s="70" t="str"/>
    </x:row>
    <x:row r="78">
      <x:c r="A78" s="70" t="str">
        <x:v>M5HIT-0073</x:v>
      </x:c>
      <x:c r="B78" s="70" t="str"/>
      <x:c r="C78" s="70" t="str">
        <x:f>IFERROR(VLOOKUP(B78,'02_案例与预测'!$A$6:$E$65,5,FALSE),"")</x:f>
      </x:c>
      <x:c r="D78" s="70" t="str"/>
      <x:c r="E78" s="70" t="str"/>
      <x:c r="F78" s="70" t="str"/>
      <x:c r="G78" s="70" t="str"/>
      <x:c r="H78" s="70" t="str"/>
      <x:c r="I78" s="70" t="str"/>
      <x:c r="J78" s="70" t="str">
        <x:f>IF(I78="支持",1,IF(I78="基本支持",0.75,IF(I78="部分支持",0.5,IF(I78="相邻但不同",0.25,IF(I78="反例",0,"")))))</x:f>
      </x:c>
      <x:c r="K78" s="70" t="str">
        <x:v>无</x:v>
      </x:c>
      <x:c r="L78" s="70" t="str">
        <x:v>否</x:v>
      </x:c>
      <x:c r="M78" s="70" t="str"/>
      <x:c r="N78" s="70" t="str">
        <x:v>否</x:v>
      </x:c>
      <x:c r="O78" s="70" t="str"/>
    </x:row>
    <x:row r="79">
      <x:c r="A79" s="70" t="str">
        <x:v>M5HIT-0074</x:v>
      </x:c>
      <x:c r="B79" s="70" t="str"/>
      <x:c r="C79" s="70" t="str">
        <x:f>IFERROR(VLOOKUP(B79,'02_案例与预测'!$A$6:$E$65,5,FALSE),"")</x:f>
      </x:c>
      <x:c r="D79" s="70" t="str"/>
      <x:c r="E79" s="70" t="str"/>
      <x:c r="F79" s="70" t="str"/>
      <x:c r="G79" s="70" t="str"/>
      <x:c r="H79" s="70" t="str"/>
      <x:c r="I79" s="70" t="str"/>
      <x:c r="J79" s="70" t="str">
        <x:f>IF(I79="支持",1,IF(I79="基本支持",0.75,IF(I79="部分支持",0.5,IF(I79="相邻但不同",0.25,IF(I79="反例",0,"")))))</x:f>
      </x:c>
      <x:c r="K79" s="70" t="str">
        <x:v>无</x:v>
      </x:c>
      <x:c r="L79" s="70" t="str">
        <x:v>否</x:v>
      </x:c>
      <x:c r="M79" s="70" t="str"/>
      <x:c r="N79" s="70" t="str">
        <x:v>否</x:v>
      </x:c>
      <x:c r="O79" s="70" t="str"/>
    </x:row>
    <x:row r="80">
      <x:c r="A80" s="70" t="str">
        <x:v>M5HIT-0075</x:v>
      </x:c>
      <x:c r="B80" s="70" t="str"/>
      <x:c r="C80" s="70" t="str">
        <x:f>IFERROR(VLOOKUP(B80,'02_案例与预测'!$A$6:$E$65,5,FALSE),"")</x:f>
      </x:c>
      <x:c r="D80" s="70" t="str"/>
      <x:c r="E80" s="70" t="str"/>
      <x:c r="F80" s="70" t="str"/>
      <x:c r="G80" s="70" t="str"/>
      <x:c r="H80" s="70" t="str"/>
      <x:c r="I80" s="70" t="str"/>
      <x:c r="J80" s="70" t="str">
        <x:f>IF(I80="支持",1,IF(I80="基本支持",0.75,IF(I80="部分支持",0.5,IF(I80="相邻但不同",0.25,IF(I80="反例",0,"")))))</x:f>
      </x:c>
      <x:c r="K80" s="70" t="str">
        <x:v>无</x:v>
      </x:c>
      <x:c r="L80" s="70" t="str">
        <x:v>否</x:v>
      </x:c>
      <x:c r="M80" s="70" t="str"/>
      <x:c r="N80" s="70" t="str">
        <x:v>否</x:v>
      </x:c>
      <x:c r="O80" s="70" t="str"/>
    </x:row>
    <x:row r="81">
      <x:c r="A81" s="70" t="str">
        <x:v>M5HIT-0076</x:v>
      </x:c>
      <x:c r="B81" s="70" t="str"/>
      <x:c r="C81" s="70" t="str">
        <x:f>IFERROR(VLOOKUP(B81,'02_案例与预测'!$A$6:$E$65,5,FALSE),"")</x:f>
      </x:c>
      <x:c r="D81" s="70" t="str"/>
      <x:c r="E81" s="70" t="str"/>
      <x:c r="F81" s="70" t="str"/>
      <x:c r="G81" s="70" t="str"/>
      <x:c r="H81" s="70" t="str"/>
      <x:c r="I81" s="70" t="str"/>
      <x:c r="J81" s="70" t="str">
        <x:f>IF(I81="支持",1,IF(I81="基本支持",0.75,IF(I81="部分支持",0.5,IF(I81="相邻但不同",0.25,IF(I81="反例",0,"")))))</x:f>
      </x:c>
      <x:c r="K81" s="70" t="str">
        <x:v>无</x:v>
      </x:c>
      <x:c r="L81" s="70" t="str">
        <x:v>否</x:v>
      </x:c>
      <x:c r="M81" s="70" t="str"/>
      <x:c r="N81" s="70" t="str">
        <x:v>否</x:v>
      </x:c>
      <x:c r="O81" s="70" t="str"/>
    </x:row>
    <x:row r="82">
      <x:c r="A82" s="70" t="str">
        <x:v>M5HIT-0077</x:v>
      </x:c>
      <x:c r="B82" s="70" t="str"/>
      <x:c r="C82" s="70" t="str">
        <x:f>IFERROR(VLOOKUP(B82,'02_案例与预测'!$A$6:$E$65,5,FALSE),"")</x:f>
      </x:c>
      <x:c r="D82" s="70" t="str"/>
      <x:c r="E82" s="70" t="str"/>
      <x:c r="F82" s="70" t="str"/>
      <x:c r="G82" s="70" t="str"/>
      <x:c r="H82" s="70" t="str"/>
      <x:c r="I82" s="70" t="str"/>
      <x:c r="J82" s="70" t="str">
        <x:f>IF(I82="支持",1,IF(I82="基本支持",0.75,IF(I82="部分支持",0.5,IF(I82="相邻但不同",0.25,IF(I82="反例",0,"")))))</x:f>
      </x:c>
      <x:c r="K82" s="70" t="str">
        <x:v>无</x:v>
      </x:c>
      <x:c r="L82" s="70" t="str">
        <x:v>否</x:v>
      </x:c>
      <x:c r="M82" s="70" t="str"/>
      <x:c r="N82" s="70" t="str">
        <x:v>否</x:v>
      </x:c>
      <x:c r="O82" s="70" t="str"/>
    </x:row>
    <x:row r="83">
      <x:c r="A83" s="70" t="str">
        <x:v>M5HIT-0078</x:v>
      </x:c>
      <x:c r="B83" s="70" t="str"/>
      <x:c r="C83" s="70" t="str">
        <x:f>IFERROR(VLOOKUP(B83,'02_案例与预测'!$A$6:$E$65,5,FALSE),"")</x:f>
      </x:c>
      <x:c r="D83" s="70" t="str"/>
      <x:c r="E83" s="70" t="str"/>
      <x:c r="F83" s="70" t="str"/>
      <x:c r="G83" s="70" t="str"/>
      <x:c r="H83" s="70" t="str"/>
      <x:c r="I83" s="70" t="str"/>
      <x:c r="J83" s="70" t="str">
        <x:f>IF(I83="支持",1,IF(I83="基本支持",0.75,IF(I83="部分支持",0.5,IF(I83="相邻但不同",0.25,IF(I83="反例",0,"")))))</x:f>
      </x:c>
      <x:c r="K83" s="70" t="str">
        <x:v>无</x:v>
      </x:c>
      <x:c r="L83" s="70" t="str">
        <x:v>否</x:v>
      </x:c>
      <x:c r="M83" s="70" t="str"/>
      <x:c r="N83" s="70" t="str">
        <x:v>否</x:v>
      </x:c>
      <x:c r="O83" s="70" t="str"/>
    </x:row>
    <x:row r="84">
      <x:c r="A84" s="70" t="str">
        <x:v>M5HIT-0079</x:v>
      </x:c>
      <x:c r="B84" s="70" t="str"/>
      <x:c r="C84" s="70" t="str">
        <x:f>IFERROR(VLOOKUP(B84,'02_案例与预测'!$A$6:$E$65,5,FALSE),"")</x:f>
      </x:c>
      <x:c r="D84" s="70" t="str"/>
      <x:c r="E84" s="70" t="str"/>
      <x:c r="F84" s="70" t="str"/>
      <x:c r="G84" s="70" t="str"/>
      <x:c r="H84" s="70" t="str"/>
      <x:c r="I84" s="70" t="str"/>
      <x:c r="J84" s="70" t="str">
        <x:f>IF(I84="支持",1,IF(I84="基本支持",0.75,IF(I84="部分支持",0.5,IF(I84="相邻但不同",0.25,IF(I84="反例",0,"")))))</x:f>
      </x:c>
      <x:c r="K84" s="70" t="str">
        <x:v>无</x:v>
      </x:c>
      <x:c r="L84" s="70" t="str">
        <x:v>否</x:v>
      </x:c>
      <x:c r="M84" s="70" t="str"/>
      <x:c r="N84" s="70" t="str">
        <x:v>否</x:v>
      </x:c>
      <x:c r="O84" s="70" t="str"/>
    </x:row>
    <x:row r="85">
      <x:c r="A85" s="70" t="str">
        <x:v>M5HIT-0080</x:v>
      </x:c>
      <x:c r="B85" s="70" t="str"/>
      <x:c r="C85" s="70" t="str">
        <x:f>IFERROR(VLOOKUP(B85,'02_案例与预测'!$A$6:$E$65,5,FALSE),"")</x:f>
      </x:c>
      <x:c r="D85" s="70" t="str"/>
      <x:c r="E85" s="70" t="str"/>
      <x:c r="F85" s="70" t="str"/>
      <x:c r="G85" s="70" t="str"/>
      <x:c r="H85" s="70" t="str"/>
      <x:c r="I85" s="70" t="str"/>
      <x:c r="J85" s="70" t="str">
        <x:f>IF(I85="支持",1,IF(I85="基本支持",0.75,IF(I85="部分支持",0.5,IF(I85="相邻但不同",0.25,IF(I85="反例",0,"")))))</x:f>
      </x:c>
      <x:c r="K85" s="70" t="str">
        <x:v>无</x:v>
      </x:c>
      <x:c r="L85" s="70" t="str">
        <x:v>否</x:v>
      </x:c>
      <x:c r="M85" s="70" t="str"/>
      <x:c r="N85" s="70" t="str">
        <x:v>否</x:v>
      </x:c>
      <x:c r="O85" s="70" t="str"/>
    </x:row>
    <x:row r="86">
      <x:c r="A86" s="70" t="str">
        <x:v>M5HIT-0081</x:v>
      </x:c>
      <x:c r="B86" s="70" t="str"/>
      <x:c r="C86" s="70" t="str">
        <x:f>IFERROR(VLOOKUP(B86,'02_案例与预测'!$A$6:$E$65,5,FALSE),"")</x:f>
      </x:c>
      <x:c r="D86" s="70" t="str"/>
      <x:c r="E86" s="70" t="str"/>
      <x:c r="F86" s="70" t="str"/>
      <x:c r="G86" s="70" t="str"/>
      <x:c r="H86" s="70" t="str"/>
      <x:c r="I86" s="70" t="str"/>
      <x:c r="J86" s="70" t="str">
        <x:f>IF(I86="支持",1,IF(I86="基本支持",0.75,IF(I86="部分支持",0.5,IF(I86="相邻但不同",0.25,IF(I86="反例",0,"")))))</x:f>
      </x:c>
      <x:c r="K86" s="70" t="str">
        <x:v>无</x:v>
      </x:c>
      <x:c r="L86" s="70" t="str">
        <x:v>否</x:v>
      </x:c>
      <x:c r="M86" s="70" t="str"/>
      <x:c r="N86" s="70" t="str">
        <x:v>否</x:v>
      </x:c>
      <x:c r="O86" s="70" t="str"/>
    </x:row>
    <x:row r="87">
      <x:c r="A87" s="70" t="str">
        <x:v>M5HIT-0082</x:v>
      </x:c>
      <x:c r="B87" s="70" t="str"/>
      <x:c r="C87" s="70" t="str">
        <x:f>IFERROR(VLOOKUP(B87,'02_案例与预测'!$A$6:$E$65,5,FALSE),"")</x:f>
      </x:c>
      <x:c r="D87" s="70" t="str"/>
      <x:c r="E87" s="70" t="str"/>
      <x:c r="F87" s="70" t="str"/>
      <x:c r="G87" s="70" t="str"/>
      <x:c r="H87" s="70" t="str"/>
      <x:c r="I87" s="70" t="str"/>
      <x:c r="J87" s="70" t="str">
        <x:f>IF(I87="支持",1,IF(I87="基本支持",0.75,IF(I87="部分支持",0.5,IF(I87="相邻但不同",0.25,IF(I87="反例",0,"")))))</x:f>
      </x:c>
      <x:c r="K87" s="70" t="str">
        <x:v>无</x:v>
      </x:c>
      <x:c r="L87" s="70" t="str">
        <x:v>否</x:v>
      </x:c>
      <x:c r="M87" s="70" t="str"/>
      <x:c r="N87" s="70" t="str">
        <x:v>否</x:v>
      </x:c>
      <x:c r="O87" s="70" t="str"/>
    </x:row>
    <x:row r="88">
      <x:c r="A88" s="70" t="str">
        <x:v>M5HIT-0083</x:v>
      </x:c>
      <x:c r="B88" s="70" t="str"/>
      <x:c r="C88" s="70" t="str">
        <x:f>IFERROR(VLOOKUP(B88,'02_案例与预测'!$A$6:$E$65,5,FALSE),"")</x:f>
      </x:c>
      <x:c r="D88" s="70" t="str"/>
      <x:c r="E88" s="70" t="str"/>
      <x:c r="F88" s="70" t="str"/>
      <x:c r="G88" s="70" t="str"/>
      <x:c r="H88" s="70" t="str"/>
      <x:c r="I88" s="70" t="str"/>
      <x:c r="J88" s="70" t="str">
        <x:f>IF(I88="支持",1,IF(I88="基本支持",0.75,IF(I88="部分支持",0.5,IF(I88="相邻但不同",0.25,IF(I88="反例",0,"")))))</x:f>
      </x:c>
      <x:c r="K88" s="70" t="str">
        <x:v>无</x:v>
      </x:c>
      <x:c r="L88" s="70" t="str">
        <x:v>否</x:v>
      </x:c>
      <x:c r="M88" s="70" t="str"/>
      <x:c r="N88" s="70" t="str">
        <x:v>否</x:v>
      </x:c>
      <x:c r="O88" s="70" t="str"/>
    </x:row>
    <x:row r="89">
      <x:c r="A89" s="70" t="str">
        <x:v>M5HIT-0084</x:v>
      </x:c>
      <x:c r="B89" s="70" t="str"/>
      <x:c r="C89" s="70" t="str">
        <x:f>IFERROR(VLOOKUP(B89,'02_案例与预测'!$A$6:$E$65,5,FALSE),"")</x:f>
      </x:c>
      <x:c r="D89" s="70" t="str"/>
      <x:c r="E89" s="70" t="str"/>
      <x:c r="F89" s="70" t="str"/>
      <x:c r="G89" s="70" t="str"/>
      <x:c r="H89" s="70" t="str"/>
      <x:c r="I89" s="70" t="str"/>
      <x:c r="J89" s="70" t="str">
        <x:f>IF(I89="支持",1,IF(I89="基本支持",0.75,IF(I89="部分支持",0.5,IF(I89="相邻但不同",0.25,IF(I89="反例",0,"")))))</x:f>
      </x:c>
      <x:c r="K89" s="70" t="str">
        <x:v>无</x:v>
      </x:c>
      <x:c r="L89" s="70" t="str">
        <x:v>否</x:v>
      </x:c>
      <x:c r="M89" s="70" t="str"/>
      <x:c r="N89" s="70" t="str">
        <x:v>否</x:v>
      </x:c>
      <x:c r="O89" s="70" t="str"/>
    </x:row>
    <x:row r="90">
      <x:c r="A90" s="70" t="str">
        <x:v>M5HIT-0085</x:v>
      </x:c>
      <x:c r="B90" s="70" t="str"/>
      <x:c r="C90" s="70" t="str">
        <x:f>IFERROR(VLOOKUP(B90,'02_案例与预测'!$A$6:$E$65,5,FALSE),"")</x:f>
      </x:c>
      <x:c r="D90" s="70" t="str"/>
      <x:c r="E90" s="70" t="str"/>
      <x:c r="F90" s="70" t="str"/>
      <x:c r="G90" s="70" t="str"/>
      <x:c r="H90" s="70" t="str"/>
      <x:c r="I90" s="70" t="str"/>
      <x:c r="J90" s="70" t="str">
        <x:f>IF(I90="支持",1,IF(I90="基本支持",0.75,IF(I90="部分支持",0.5,IF(I90="相邻但不同",0.25,IF(I90="反例",0,"")))))</x:f>
      </x:c>
      <x:c r="K90" s="70" t="str">
        <x:v>无</x:v>
      </x:c>
      <x:c r="L90" s="70" t="str">
        <x:v>否</x:v>
      </x:c>
      <x:c r="M90" s="70" t="str"/>
      <x:c r="N90" s="70" t="str">
        <x:v>否</x:v>
      </x:c>
      <x:c r="O90" s="70" t="str"/>
    </x:row>
    <x:row r="91">
      <x:c r="A91" s="70" t="str">
        <x:v>M5HIT-0086</x:v>
      </x:c>
      <x:c r="B91" s="70" t="str"/>
      <x:c r="C91" s="70" t="str">
        <x:f>IFERROR(VLOOKUP(B91,'02_案例与预测'!$A$6:$E$65,5,FALSE),"")</x:f>
      </x:c>
      <x:c r="D91" s="70" t="str"/>
      <x:c r="E91" s="70" t="str"/>
      <x:c r="F91" s="70" t="str"/>
      <x:c r="G91" s="70" t="str"/>
      <x:c r="H91" s="70" t="str"/>
      <x:c r="I91" s="70" t="str"/>
      <x:c r="J91" s="70" t="str">
        <x:f>IF(I91="支持",1,IF(I91="基本支持",0.75,IF(I91="部分支持",0.5,IF(I91="相邻但不同",0.25,IF(I91="反例",0,"")))))</x:f>
      </x:c>
      <x:c r="K91" s="70" t="str">
        <x:v>无</x:v>
      </x:c>
      <x:c r="L91" s="70" t="str">
        <x:v>否</x:v>
      </x:c>
      <x:c r="M91" s="70" t="str"/>
      <x:c r="N91" s="70" t="str">
        <x:v>否</x:v>
      </x:c>
      <x:c r="O91" s="70" t="str"/>
    </x:row>
    <x:row r="92">
      <x:c r="A92" s="70" t="str">
        <x:v>M5HIT-0087</x:v>
      </x:c>
      <x:c r="B92" s="70" t="str"/>
      <x:c r="C92" s="70" t="str">
        <x:f>IFERROR(VLOOKUP(B92,'02_案例与预测'!$A$6:$E$65,5,FALSE),"")</x:f>
      </x:c>
      <x:c r="D92" s="70" t="str"/>
      <x:c r="E92" s="70" t="str"/>
      <x:c r="F92" s="70" t="str"/>
      <x:c r="G92" s="70" t="str"/>
      <x:c r="H92" s="70" t="str"/>
      <x:c r="I92" s="70" t="str"/>
      <x:c r="J92" s="70" t="str">
        <x:f>IF(I92="支持",1,IF(I92="基本支持",0.75,IF(I92="部分支持",0.5,IF(I92="相邻但不同",0.25,IF(I92="反例",0,"")))))</x:f>
      </x:c>
      <x:c r="K92" s="70" t="str">
        <x:v>无</x:v>
      </x:c>
      <x:c r="L92" s="70" t="str">
        <x:v>否</x:v>
      </x:c>
      <x:c r="M92" s="70" t="str"/>
      <x:c r="N92" s="70" t="str">
        <x:v>否</x:v>
      </x:c>
      <x:c r="O92" s="70" t="str"/>
    </x:row>
    <x:row r="93">
      <x:c r="A93" s="70" t="str">
        <x:v>M5HIT-0088</x:v>
      </x:c>
      <x:c r="B93" s="70" t="str"/>
      <x:c r="C93" s="70" t="str">
        <x:f>IFERROR(VLOOKUP(B93,'02_案例与预测'!$A$6:$E$65,5,FALSE),"")</x:f>
      </x:c>
      <x:c r="D93" s="70" t="str"/>
      <x:c r="E93" s="70" t="str"/>
      <x:c r="F93" s="70" t="str"/>
      <x:c r="G93" s="70" t="str"/>
      <x:c r="H93" s="70" t="str"/>
      <x:c r="I93" s="70" t="str"/>
      <x:c r="J93" s="70" t="str">
        <x:f>IF(I93="支持",1,IF(I93="基本支持",0.75,IF(I93="部分支持",0.5,IF(I93="相邻但不同",0.25,IF(I93="反例",0,"")))))</x:f>
      </x:c>
      <x:c r="K93" s="70" t="str">
        <x:v>无</x:v>
      </x:c>
      <x:c r="L93" s="70" t="str">
        <x:v>否</x:v>
      </x:c>
      <x:c r="M93" s="70" t="str"/>
      <x:c r="N93" s="70" t="str">
        <x:v>否</x:v>
      </x:c>
      <x:c r="O93" s="70" t="str"/>
    </x:row>
    <x:row r="94">
      <x:c r="A94" s="70" t="str">
        <x:v>M5HIT-0089</x:v>
      </x:c>
      <x:c r="B94" s="70" t="str"/>
      <x:c r="C94" s="70" t="str">
        <x:f>IFERROR(VLOOKUP(B94,'02_案例与预测'!$A$6:$E$65,5,FALSE),"")</x:f>
      </x:c>
      <x:c r="D94" s="70" t="str"/>
      <x:c r="E94" s="70" t="str"/>
      <x:c r="F94" s="70" t="str"/>
      <x:c r="G94" s="70" t="str"/>
      <x:c r="H94" s="70" t="str"/>
      <x:c r="I94" s="70" t="str"/>
      <x:c r="J94" s="70" t="str">
        <x:f>IF(I94="支持",1,IF(I94="基本支持",0.75,IF(I94="部分支持",0.5,IF(I94="相邻但不同",0.25,IF(I94="反例",0,"")))))</x:f>
      </x:c>
      <x:c r="K94" s="70" t="str">
        <x:v>无</x:v>
      </x:c>
      <x:c r="L94" s="70" t="str">
        <x:v>否</x:v>
      </x:c>
      <x:c r="M94" s="70" t="str"/>
      <x:c r="N94" s="70" t="str">
        <x:v>否</x:v>
      </x:c>
      <x:c r="O94" s="70" t="str"/>
    </x:row>
    <x:row r="95">
      <x:c r="A95" s="70" t="str">
        <x:v>M5HIT-0090</x:v>
      </x:c>
      <x:c r="B95" s="70" t="str"/>
      <x:c r="C95" s="70" t="str">
        <x:f>IFERROR(VLOOKUP(B95,'02_案例与预测'!$A$6:$E$65,5,FALSE),"")</x:f>
      </x:c>
      <x:c r="D95" s="70" t="str"/>
      <x:c r="E95" s="70" t="str"/>
      <x:c r="F95" s="70" t="str"/>
      <x:c r="G95" s="70" t="str"/>
      <x:c r="H95" s="70" t="str"/>
      <x:c r="I95" s="70" t="str"/>
      <x:c r="J95" s="70" t="str">
        <x:f>IF(I95="支持",1,IF(I95="基本支持",0.75,IF(I95="部分支持",0.5,IF(I95="相邻但不同",0.25,IF(I95="反例",0,"")))))</x:f>
      </x:c>
      <x:c r="K95" s="70" t="str">
        <x:v>无</x:v>
      </x:c>
      <x:c r="L95" s="70" t="str">
        <x:v>否</x:v>
      </x:c>
      <x:c r="M95" s="70" t="str"/>
      <x:c r="N95" s="70" t="str">
        <x:v>否</x:v>
      </x:c>
      <x:c r="O95" s="70" t="str"/>
    </x:row>
    <x:row r="96">
      <x:c r="A96" s="70" t="str">
        <x:v>M5HIT-0091</x:v>
      </x:c>
      <x:c r="B96" s="70" t="str"/>
      <x:c r="C96" s="70" t="str">
        <x:f>IFERROR(VLOOKUP(B96,'02_案例与预测'!$A$6:$E$65,5,FALSE),"")</x:f>
      </x:c>
      <x:c r="D96" s="70" t="str"/>
      <x:c r="E96" s="70" t="str"/>
      <x:c r="F96" s="70" t="str"/>
      <x:c r="G96" s="70" t="str"/>
      <x:c r="H96" s="70" t="str"/>
      <x:c r="I96" s="70" t="str"/>
      <x:c r="J96" s="70" t="str">
        <x:f>IF(I96="支持",1,IF(I96="基本支持",0.75,IF(I96="部分支持",0.5,IF(I96="相邻但不同",0.25,IF(I96="反例",0,"")))))</x:f>
      </x:c>
      <x:c r="K96" s="70" t="str">
        <x:v>无</x:v>
      </x:c>
      <x:c r="L96" s="70" t="str">
        <x:v>否</x:v>
      </x:c>
      <x:c r="M96" s="70" t="str"/>
      <x:c r="N96" s="70" t="str">
        <x:v>否</x:v>
      </x:c>
      <x:c r="O96" s="70" t="str"/>
    </x:row>
    <x:row r="97">
      <x:c r="A97" s="70" t="str">
        <x:v>M5HIT-0092</x:v>
      </x:c>
      <x:c r="B97" s="70" t="str"/>
      <x:c r="C97" s="70" t="str">
        <x:f>IFERROR(VLOOKUP(B97,'02_案例与预测'!$A$6:$E$65,5,FALSE),"")</x:f>
      </x:c>
      <x:c r="D97" s="70" t="str"/>
      <x:c r="E97" s="70" t="str"/>
      <x:c r="F97" s="70" t="str"/>
      <x:c r="G97" s="70" t="str"/>
      <x:c r="H97" s="70" t="str"/>
      <x:c r="I97" s="70" t="str"/>
      <x:c r="J97" s="70" t="str">
        <x:f>IF(I97="支持",1,IF(I97="基本支持",0.75,IF(I97="部分支持",0.5,IF(I97="相邻但不同",0.25,IF(I97="反例",0,"")))))</x:f>
      </x:c>
      <x:c r="K97" s="70" t="str">
        <x:v>无</x:v>
      </x:c>
      <x:c r="L97" s="70" t="str">
        <x:v>否</x:v>
      </x:c>
      <x:c r="M97" s="70" t="str"/>
      <x:c r="N97" s="70" t="str">
        <x:v>否</x:v>
      </x:c>
      <x:c r="O97" s="70" t="str"/>
    </x:row>
    <x:row r="98">
      <x:c r="A98" s="70" t="str">
        <x:v>M5HIT-0093</x:v>
      </x:c>
      <x:c r="B98" s="70" t="str"/>
      <x:c r="C98" s="70" t="str">
        <x:f>IFERROR(VLOOKUP(B98,'02_案例与预测'!$A$6:$E$65,5,FALSE),"")</x:f>
      </x:c>
      <x:c r="D98" s="70" t="str"/>
      <x:c r="E98" s="70" t="str"/>
      <x:c r="F98" s="70" t="str"/>
      <x:c r="G98" s="70" t="str"/>
      <x:c r="H98" s="70" t="str"/>
      <x:c r="I98" s="70" t="str"/>
      <x:c r="J98" s="70" t="str">
        <x:f>IF(I98="支持",1,IF(I98="基本支持",0.75,IF(I98="部分支持",0.5,IF(I98="相邻但不同",0.25,IF(I98="反例",0,"")))))</x:f>
      </x:c>
      <x:c r="K98" s="70" t="str">
        <x:v>无</x:v>
      </x:c>
      <x:c r="L98" s="70" t="str">
        <x:v>否</x:v>
      </x:c>
      <x:c r="M98" s="70" t="str"/>
      <x:c r="N98" s="70" t="str">
        <x:v>否</x:v>
      </x:c>
      <x:c r="O98" s="70" t="str"/>
    </x:row>
    <x:row r="99">
      <x:c r="A99" s="70" t="str">
        <x:v>M5HIT-0094</x:v>
      </x:c>
      <x:c r="B99" s="70" t="str"/>
      <x:c r="C99" s="70" t="str">
        <x:f>IFERROR(VLOOKUP(B99,'02_案例与预测'!$A$6:$E$65,5,FALSE),"")</x:f>
      </x:c>
      <x:c r="D99" s="70" t="str"/>
      <x:c r="E99" s="70" t="str"/>
      <x:c r="F99" s="70" t="str"/>
      <x:c r="G99" s="70" t="str"/>
      <x:c r="H99" s="70" t="str"/>
      <x:c r="I99" s="70" t="str"/>
      <x:c r="J99" s="70" t="str">
        <x:f>IF(I99="支持",1,IF(I99="基本支持",0.75,IF(I99="部分支持",0.5,IF(I99="相邻但不同",0.25,IF(I99="反例",0,"")))))</x:f>
      </x:c>
      <x:c r="K99" s="70" t="str">
        <x:v>无</x:v>
      </x:c>
      <x:c r="L99" s="70" t="str">
        <x:v>否</x:v>
      </x:c>
      <x:c r="M99" s="70" t="str"/>
      <x:c r="N99" s="70" t="str">
        <x:v>否</x:v>
      </x:c>
      <x:c r="O99" s="70" t="str"/>
    </x:row>
    <x:row r="100">
      <x:c r="A100" s="70" t="str">
        <x:v>M5HIT-0095</x:v>
      </x:c>
      <x:c r="B100" s="70" t="str"/>
      <x:c r="C100" s="70" t="str">
        <x:f>IFERROR(VLOOKUP(B100,'02_案例与预测'!$A$6:$E$65,5,FALSE),"")</x:f>
      </x:c>
      <x:c r="D100" s="70" t="str"/>
      <x:c r="E100" s="70" t="str"/>
      <x:c r="F100" s="70" t="str"/>
      <x:c r="G100" s="70" t="str"/>
      <x:c r="H100" s="70" t="str"/>
      <x:c r="I100" s="70" t="str"/>
      <x:c r="J100" s="70" t="str">
        <x:f>IF(I100="支持",1,IF(I100="基本支持",0.75,IF(I100="部分支持",0.5,IF(I100="相邻但不同",0.25,IF(I100="反例",0,"")))))</x:f>
      </x:c>
      <x:c r="K100" s="70" t="str">
        <x:v>无</x:v>
      </x:c>
      <x:c r="L100" s="70" t="str">
        <x:v>否</x:v>
      </x:c>
      <x:c r="M100" s="70" t="str"/>
      <x:c r="N100" s="70" t="str">
        <x:v>否</x:v>
      </x:c>
      <x:c r="O100" s="70" t="str"/>
    </x:row>
    <x:row r="101">
      <x:c r="A101" s="70" t="str">
        <x:v>M5HIT-0096</x:v>
      </x:c>
      <x:c r="B101" s="70" t="str"/>
      <x:c r="C101" s="70" t="str">
        <x:f>IFERROR(VLOOKUP(B101,'02_案例与预测'!$A$6:$E$65,5,FALSE),"")</x:f>
      </x:c>
      <x:c r="D101" s="70" t="str"/>
      <x:c r="E101" s="70" t="str"/>
      <x:c r="F101" s="70" t="str"/>
      <x:c r="G101" s="70" t="str"/>
      <x:c r="H101" s="70" t="str"/>
      <x:c r="I101" s="70" t="str"/>
      <x:c r="J101" s="70" t="str">
        <x:f>IF(I101="支持",1,IF(I101="基本支持",0.75,IF(I101="部分支持",0.5,IF(I101="相邻但不同",0.25,IF(I101="反例",0,"")))))</x:f>
      </x:c>
      <x:c r="K101" s="70" t="str">
        <x:v>无</x:v>
      </x:c>
      <x:c r="L101" s="70" t="str">
        <x:v>否</x:v>
      </x:c>
      <x:c r="M101" s="70" t="str"/>
      <x:c r="N101" s="70" t="str">
        <x:v>否</x:v>
      </x:c>
      <x:c r="O101" s="70" t="str"/>
    </x:row>
    <x:row r="102">
      <x:c r="A102" s="70" t="str">
        <x:v>M5HIT-0097</x:v>
      </x:c>
      <x:c r="B102" s="70" t="str"/>
      <x:c r="C102" s="70" t="str">
        <x:f>IFERROR(VLOOKUP(B102,'02_案例与预测'!$A$6:$E$65,5,FALSE),"")</x:f>
      </x:c>
      <x:c r="D102" s="70" t="str"/>
      <x:c r="E102" s="70" t="str"/>
      <x:c r="F102" s="70" t="str"/>
      <x:c r="G102" s="70" t="str"/>
      <x:c r="H102" s="70" t="str"/>
      <x:c r="I102" s="70" t="str"/>
      <x:c r="J102" s="70" t="str">
        <x:f>IF(I102="支持",1,IF(I102="基本支持",0.75,IF(I102="部分支持",0.5,IF(I102="相邻但不同",0.25,IF(I102="反例",0,"")))))</x:f>
      </x:c>
      <x:c r="K102" s="70" t="str">
        <x:v>无</x:v>
      </x:c>
      <x:c r="L102" s="70" t="str">
        <x:v>否</x:v>
      </x:c>
      <x:c r="M102" s="70" t="str"/>
      <x:c r="N102" s="70" t="str">
        <x:v>否</x:v>
      </x:c>
      <x:c r="O102" s="70" t="str"/>
    </x:row>
    <x:row r="103">
      <x:c r="A103" s="70" t="str">
        <x:v>M5HIT-0098</x:v>
      </x:c>
      <x:c r="B103" s="70" t="str"/>
      <x:c r="C103" s="70" t="str">
        <x:f>IFERROR(VLOOKUP(B103,'02_案例与预测'!$A$6:$E$65,5,FALSE),"")</x:f>
      </x:c>
      <x:c r="D103" s="70" t="str"/>
      <x:c r="E103" s="70" t="str"/>
      <x:c r="F103" s="70" t="str"/>
      <x:c r="G103" s="70" t="str"/>
      <x:c r="H103" s="70" t="str"/>
      <x:c r="I103" s="70" t="str"/>
      <x:c r="J103" s="70" t="str">
        <x:f>IF(I103="支持",1,IF(I103="基本支持",0.75,IF(I103="部分支持",0.5,IF(I103="相邻但不同",0.25,IF(I103="反例",0,"")))))</x:f>
      </x:c>
      <x:c r="K103" s="70" t="str">
        <x:v>无</x:v>
      </x:c>
      <x:c r="L103" s="70" t="str">
        <x:v>否</x:v>
      </x:c>
      <x:c r="M103" s="70" t="str"/>
      <x:c r="N103" s="70" t="str">
        <x:v>否</x:v>
      </x:c>
      <x:c r="O103" s="70" t="str"/>
    </x:row>
    <x:row r="104">
      <x:c r="A104" s="70" t="str">
        <x:v>M5HIT-0099</x:v>
      </x:c>
      <x:c r="B104" s="70" t="str"/>
      <x:c r="C104" s="70" t="str">
        <x:f>IFERROR(VLOOKUP(B104,'02_案例与预测'!$A$6:$E$65,5,FALSE),"")</x:f>
      </x:c>
      <x:c r="D104" s="70" t="str"/>
      <x:c r="E104" s="70" t="str"/>
      <x:c r="F104" s="70" t="str"/>
      <x:c r="G104" s="70" t="str"/>
      <x:c r="H104" s="70" t="str"/>
      <x:c r="I104" s="70" t="str"/>
      <x:c r="J104" s="70" t="str">
        <x:f>IF(I104="支持",1,IF(I104="基本支持",0.75,IF(I104="部分支持",0.5,IF(I104="相邻但不同",0.25,IF(I104="反例",0,"")))))</x:f>
      </x:c>
      <x:c r="K104" s="70" t="str">
        <x:v>无</x:v>
      </x:c>
      <x:c r="L104" s="70" t="str">
        <x:v>否</x:v>
      </x:c>
      <x:c r="M104" s="70" t="str"/>
      <x:c r="N104" s="70" t="str">
        <x:v>否</x:v>
      </x:c>
      <x:c r="O104" s="70" t="str"/>
    </x:row>
    <x:row r="105">
      <x:c r="A105" s="70" t="str">
        <x:v>M5HIT-0100</x:v>
      </x:c>
      <x:c r="B105" s="70" t="str"/>
      <x:c r="C105" s="70" t="str">
        <x:f>IFERROR(VLOOKUP(B105,'02_案例与预测'!$A$6:$E$65,5,FALSE),"")</x:f>
      </x:c>
      <x:c r="D105" s="70" t="str"/>
      <x:c r="E105" s="70" t="str"/>
      <x:c r="F105" s="70" t="str"/>
      <x:c r="G105" s="70" t="str"/>
      <x:c r="H105" s="70" t="str"/>
      <x:c r="I105" s="70" t="str"/>
      <x:c r="J105" s="70" t="str">
        <x:f>IF(I105="支持",1,IF(I105="基本支持",0.75,IF(I105="部分支持",0.5,IF(I105="相邻但不同",0.25,IF(I105="反例",0,"")))))</x:f>
      </x:c>
      <x:c r="K105" s="70" t="str">
        <x:v>无</x:v>
      </x:c>
      <x:c r="L105" s="70" t="str">
        <x:v>否</x:v>
      </x:c>
      <x:c r="M105" s="70" t="str"/>
      <x:c r="N105" s="70" t="str">
        <x:v>否</x:v>
      </x:c>
      <x:c r="O105" s="70" t="str"/>
    </x:row>
    <x:row r="106">
      <x:c r="A106" s="70" t="str">
        <x:v>M5HIT-0101</x:v>
      </x:c>
      <x:c r="B106" s="70" t="str"/>
      <x:c r="C106" s="70" t="str">
        <x:f>IFERROR(VLOOKUP(B106,'02_案例与预测'!$A$6:$E$65,5,FALSE),"")</x:f>
      </x:c>
      <x:c r="D106" s="70" t="str"/>
      <x:c r="E106" s="70" t="str"/>
      <x:c r="F106" s="70" t="str"/>
      <x:c r="G106" s="70" t="str"/>
      <x:c r="H106" s="70" t="str"/>
      <x:c r="I106" s="70" t="str"/>
      <x:c r="J106" s="70" t="str">
        <x:f>IF(I106="支持",1,IF(I106="基本支持",0.75,IF(I106="部分支持",0.5,IF(I106="相邻但不同",0.25,IF(I106="反例",0,"")))))</x:f>
      </x:c>
      <x:c r="K106" s="70" t="str">
        <x:v>无</x:v>
      </x:c>
      <x:c r="L106" s="70" t="str">
        <x:v>否</x:v>
      </x:c>
      <x:c r="M106" s="70" t="str"/>
      <x:c r="N106" s="70" t="str">
        <x:v>否</x:v>
      </x:c>
      <x:c r="O106" s="70" t="str"/>
    </x:row>
    <x:row r="107">
      <x:c r="A107" s="70" t="str">
        <x:v>M5HIT-0102</x:v>
      </x:c>
      <x:c r="B107" s="70" t="str"/>
      <x:c r="C107" s="70" t="str">
        <x:f>IFERROR(VLOOKUP(B107,'02_案例与预测'!$A$6:$E$65,5,FALSE),"")</x:f>
      </x:c>
      <x:c r="D107" s="70" t="str"/>
      <x:c r="E107" s="70" t="str"/>
      <x:c r="F107" s="70" t="str"/>
      <x:c r="G107" s="70" t="str"/>
      <x:c r="H107" s="70" t="str"/>
      <x:c r="I107" s="70" t="str"/>
      <x:c r="J107" s="70" t="str">
        <x:f>IF(I107="支持",1,IF(I107="基本支持",0.75,IF(I107="部分支持",0.5,IF(I107="相邻但不同",0.25,IF(I107="反例",0,"")))))</x:f>
      </x:c>
      <x:c r="K107" s="70" t="str">
        <x:v>无</x:v>
      </x:c>
      <x:c r="L107" s="70" t="str">
        <x:v>否</x:v>
      </x:c>
      <x:c r="M107" s="70" t="str"/>
      <x:c r="N107" s="70" t="str">
        <x:v>否</x:v>
      </x:c>
      <x:c r="O107" s="70" t="str"/>
    </x:row>
    <x:row r="108">
      <x:c r="A108" s="70" t="str">
        <x:v>M5HIT-0103</x:v>
      </x:c>
      <x:c r="B108" s="70" t="str"/>
      <x:c r="C108" s="70" t="str">
        <x:f>IFERROR(VLOOKUP(B108,'02_案例与预测'!$A$6:$E$65,5,FALSE),"")</x:f>
      </x:c>
      <x:c r="D108" s="70" t="str"/>
      <x:c r="E108" s="70" t="str"/>
      <x:c r="F108" s="70" t="str"/>
      <x:c r="G108" s="70" t="str"/>
      <x:c r="H108" s="70" t="str"/>
      <x:c r="I108" s="70" t="str"/>
      <x:c r="J108" s="70" t="str">
        <x:f>IF(I108="支持",1,IF(I108="基本支持",0.75,IF(I108="部分支持",0.5,IF(I108="相邻但不同",0.25,IF(I108="反例",0,"")))))</x:f>
      </x:c>
      <x:c r="K108" s="70" t="str">
        <x:v>无</x:v>
      </x:c>
      <x:c r="L108" s="70" t="str">
        <x:v>否</x:v>
      </x:c>
      <x:c r="M108" s="70" t="str"/>
      <x:c r="N108" s="70" t="str">
        <x:v>否</x:v>
      </x:c>
      <x:c r="O108" s="70" t="str"/>
    </x:row>
    <x:row r="109">
      <x:c r="A109" s="70" t="str">
        <x:v>M5HIT-0104</x:v>
      </x:c>
      <x:c r="B109" s="70" t="str"/>
      <x:c r="C109" s="70" t="str">
        <x:f>IFERROR(VLOOKUP(B109,'02_案例与预测'!$A$6:$E$65,5,FALSE),"")</x:f>
      </x:c>
      <x:c r="D109" s="70" t="str"/>
      <x:c r="E109" s="70" t="str"/>
      <x:c r="F109" s="70" t="str"/>
      <x:c r="G109" s="70" t="str"/>
      <x:c r="H109" s="70" t="str"/>
      <x:c r="I109" s="70" t="str"/>
      <x:c r="J109" s="70" t="str">
        <x:f>IF(I109="支持",1,IF(I109="基本支持",0.75,IF(I109="部分支持",0.5,IF(I109="相邻但不同",0.25,IF(I109="反例",0,"")))))</x:f>
      </x:c>
      <x:c r="K109" s="70" t="str">
        <x:v>无</x:v>
      </x:c>
      <x:c r="L109" s="70" t="str">
        <x:v>否</x:v>
      </x:c>
      <x:c r="M109" s="70" t="str"/>
      <x:c r="N109" s="70" t="str">
        <x:v>否</x:v>
      </x:c>
      <x:c r="O109" s="70" t="str"/>
    </x:row>
    <x:row r="110">
      <x:c r="A110" s="70" t="str">
        <x:v>M5HIT-0105</x:v>
      </x:c>
      <x:c r="B110" s="70" t="str"/>
      <x:c r="C110" s="70" t="str">
        <x:f>IFERROR(VLOOKUP(B110,'02_案例与预测'!$A$6:$E$65,5,FALSE),"")</x:f>
      </x:c>
      <x:c r="D110" s="70" t="str"/>
      <x:c r="E110" s="70" t="str"/>
      <x:c r="F110" s="70" t="str"/>
      <x:c r="G110" s="70" t="str"/>
      <x:c r="H110" s="70" t="str"/>
      <x:c r="I110" s="70" t="str"/>
      <x:c r="J110" s="70" t="str">
        <x:f>IF(I110="支持",1,IF(I110="基本支持",0.75,IF(I110="部分支持",0.5,IF(I110="相邻但不同",0.25,IF(I110="反例",0,"")))))</x:f>
      </x:c>
      <x:c r="K110" s="70" t="str">
        <x:v>无</x:v>
      </x:c>
      <x:c r="L110" s="70" t="str">
        <x:v>否</x:v>
      </x:c>
      <x:c r="M110" s="70" t="str"/>
      <x:c r="N110" s="70" t="str">
        <x:v>否</x:v>
      </x:c>
      <x:c r="O110" s="70" t="str"/>
    </x:row>
    <x:row r="111">
      <x:c r="A111" s="70" t="str">
        <x:v>M5HIT-0106</x:v>
      </x:c>
      <x:c r="B111" s="70" t="str"/>
      <x:c r="C111" s="70" t="str">
        <x:f>IFERROR(VLOOKUP(B111,'02_案例与预测'!$A$6:$E$65,5,FALSE),"")</x:f>
      </x:c>
      <x:c r="D111" s="70" t="str"/>
      <x:c r="E111" s="70" t="str"/>
      <x:c r="F111" s="70" t="str"/>
      <x:c r="G111" s="70" t="str"/>
      <x:c r="H111" s="70" t="str"/>
      <x:c r="I111" s="70" t="str"/>
      <x:c r="J111" s="70" t="str">
        <x:f>IF(I111="支持",1,IF(I111="基本支持",0.75,IF(I111="部分支持",0.5,IF(I111="相邻但不同",0.25,IF(I111="反例",0,"")))))</x:f>
      </x:c>
      <x:c r="K111" s="70" t="str">
        <x:v>无</x:v>
      </x:c>
      <x:c r="L111" s="70" t="str">
        <x:v>否</x:v>
      </x:c>
      <x:c r="M111" s="70" t="str"/>
      <x:c r="N111" s="70" t="str">
        <x:v>否</x:v>
      </x:c>
      <x:c r="O111" s="70" t="str"/>
    </x:row>
    <x:row r="112">
      <x:c r="A112" s="70" t="str">
        <x:v>M5HIT-0107</x:v>
      </x:c>
      <x:c r="B112" s="70" t="str"/>
      <x:c r="C112" s="70" t="str">
        <x:f>IFERROR(VLOOKUP(B112,'02_案例与预测'!$A$6:$E$65,5,FALSE),"")</x:f>
      </x:c>
      <x:c r="D112" s="70" t="str"/>
      <x:c r="E112" s="70" t="str"/>
      <x:c r="F112" s="70" t="str"/>
      <x:c r="G112" s="70" t="str"/>
      <x:c r="H112" s="70" t="str"/>
      <x:c r="I112" s="70" t="str"/>
      <x:c r="J112" s="70" t="str">
        <x:f>IF(I112="支持",1,IF(I112="基本支持",0.75,IF(I112="部分支持",0.5,IF(I112="相邻但不同",0.25,IF(I112="反例",0,"")))))</x:f>
      </x:c>
      <x:c r="K112" s="70" t="str">
        <x:v>无</x:v>
      </x:c>
      <x:c r="L112" s="70" t="str">
        <x:v>否</x:v>
      </x:c>
      <x:c r="M112" s="70" t="str"/>
      <x:c r="N112" s="70" t="str">
        <x:v>否</x:v>
      </x:c>
      <x:c r="O112" s="70" t="str"/>
    </x:row>
    <x:row r="113">
      <x:c r="A113" s="70" t="str">
        <x:v>M5HIT-0108</x:v>
      </x:c>
      <x:c r="B113" s="70" t="str"/>
      <x:c r="C113" s="70" t="str">
        <x:f>IFERROR(VLOOKUP(B113,'02_案例与预测'!$A$6:$E$65,5,FALSE),"")</x:f>
      </x:c>
      <x:c r="D113" s="70" t="str"/>
      <x:c r="E113" s="70" t="str"/>
      <x:c r="F113" s="70" t="str"/>
      <x:c r="G113" s="70" t="str"/>
      <x:c r="H113" s="70" t="str"/>
      <x:c r="I113" s="70" t="str"/>
      <x:c r="J113" s="70" t="str">
        <x:f>IF(I113="支持",1,IF(I113="基本支持",0.75,IF(I113="部分支持",0.5,IF(I113="相邻但不同",0.25,IF(I113="反例",0,"")))))</x:f>
      </x:c>
      <x:c r="K113" s="70" t="str">
        <x:v>无</x:v>
      </x:c>
      <x:c r="L113" s="70" t="str">
        <x:v>否</x:v>
      </x:c>
      <x:c r="M113" s="70" t="str"/>
      <x:c r="N113" s="70" t="str">
        <x:v>否</x:v>
      </x:c>
      <x:c r="O113" s="70" t="str"/>
    </x:row>
    <x:row r="114">
      <x:c r="A114" s="70" t="str">
        <x:v>M5HIT-0109</x:v>
      </x:c>
      <x:c r="B114" s="70" t="str"/>
      <x:c r="C114" s="70" t="str">
        <x:f>IFERROR(VLOOKUP(B114,'02_案例与预测'!$A$6:$E$65,5,FALSE),"")</x:f>
      </x:c>
      <x:c r="D114" s="70" t="str"/>
      <x:c r="E114" s="70" t="str"/>
      <x:c r="F114" s="70" t="str"/>
      <x:c r="G114" s="70" t="str"/>
      <x:c r="H114" s="70" t="str"/>
      <x:c r="I114" s="70" t="str"/>
      <x:c r="J114" s="70" t="str">
        <x:f>IF(I114="支持",1,IF(I114="基本支持",0.75,IF(I114="部分支持",0.5,IF(I114="相邻但不同",0.25,IF(I114="反例",0,"")))))</x:f>
      </x:c>
      <x:c r="K114" s="70" t="str">
        <x:v>无</x:v>
      </x:c>
      <x:c r="L114" s="70" t="str">
        <x:v>否</x:v>
      </x:c>
      <x:c r="M114" s="70" t="str"/>
      <x:c r="N114" s="70" t="str">
        <x:v>否</x:v>
      </x:c>
      <x:c r="O114" s="70" t="str"/>
    </x:row>
    <x:row r="115">
      <x:c r="A115" s="70" t="str">
        <x:v>M5HIT-0110</x:v>
      </x:c>
      <x:c r="B115" s="70" t="str"/>
      <x:c r="C115" s="70" t="str">
        <x:f>IFERROR(VLOOKUP(B115,'02_案例与预测'!$A$6:$E$65,5,FALSE),"")</x:f>
      </x:c>
      <x:c r="D115" s="70" t="str"/>
      <x:c r="E115" s="70" t="str"/>
      <x:c r="F115" s="70" t="str"/>
      <x:c r="G115" s="70" t="str"/>
      <x:c r="H115" s="70" t="str"/>
      <x:c r="I115" s="70" t="str"/>
      <x:c r="J115" s="70" t="str">
        <x:f>IF(I115="支持",1,IF(I115="基本支持",0.75,IF(I115="部分支持",0.5,IF(I115="相邻但不同",0.25,IF(I115="反例",0,"")))))</x:f>
      </x:c>
      <x:c r="K115" s="70" t="str">
        <x:v>无</x:v>
      </x:c>
      <x:c r="L115" s="70" t="str">
        <x:v>否</x:v>
      </x:c>
      <x:c r="M115" s="70" t="str"/>
      <x:c r="N115" s="70" t="str">
        <x:v>否</x:v>
      </x:c>
      <x:c r="O115" s="70" t="str"/>
    </x:row>
    <x:row r="116">
      <x:c r="A116" s="70" t="str">
        <x:v>M5HIT-0111</x:v>
      </x:c>
      <x:c r="B116" s="70" t="str"/>
      <x:c r="C116" s="70" t="str">
        <x:f>IFERROR(VLOOKUP(B116,'02_案例与预测'!$A$6:$E$65,5,FALSE),"")</x:f>
      </x:c>
      <x:c r="D116" s="70" t="str"/>
      <x:c r="E116" s="70" t="str"/>
      <x:c r="F116" s="70" t="str"/>
      <x:c r="G116" s="70" t="str"/>
      <x:c r="H116" s="70" t="str"/>
      <x:c r="I116" s="70" t="str"/>
      <x:c r="J116" s="70" t="str">
        <x:f>IF(I116="支持",1,IF(I116="基本支持",0.75,IF(I116="部分支持",0.5,IF(I116="相邻但不同",0.25,IF(I116="反例",0,"")))))</x:f>
      </x:c>
      <x:c r="K116" s="70" t="str">
        <x:v>无</x:v>
      </x:c>
      <x:c r="L116" s="70" t="str">
        <x:v>否</x:v>
      </x:c>
      <x:c r="M116" s="70" t="str"/>
      <x:c r="N116" s="70" t="str">
        <x:v>否</x:v>
      </x:c>
      <x:c r="O116" s="70" t="str"/>
    </x:row>
    <x:row r="117">
      <x:c r="A117" s="70" t="str">
        <x:v>M5HIT-0112</x:v>
      </x:c>
      <x:c r="B117" s="70" t="str"/>
      <x:c r="C117" s="70" t="str">
        <x:f>IFERROR(VLOOKUP(B117,'02_案例与预测'!$A$6:$E$65,5,FALSE),"")</x:f>
      </x:c>
      <x:c r="D117" s="70" t="str"/>
      <x:c r="E117" s="70" t="str"/>
      <x:c r="F117" s="70" t="str"/>
      <x:c r="G117" s="70" t="str"/>
      <x:c r="H117" s="70" t="str"/>
      <x:c r="I117" s="70" t="str"/>
      <x:c r="J117" s="70" t="str">
        <x:f>IF(I117="支持",1,IF(I117="基本支持",0.75,IF(I117="部分支持",0.5,IF(I117="相邻但不同",0.25,IF(I117="反例",0,"")))))</x:f>
      </x:c>
      <x:c r="K117" s="70" t="str">
        <x:v>无</x:v>
      </x:c>
      <x:c r="L117" s="70" t="str">
        <x:v>否</x:v>
      </x:c>
      <x:c r="M117" s="70" t="str"/>
      <x:c r="N117" s="70" t="str">
        <x:v>否</x:v>
      </x:c>
      <x:c r="O117" s="70" t="str"/>
    </x:row>
    <x:row r="118">
      <x:c r="A118" s="70" t="str">
        <x:v>M5HIT-0113</x:v>
      </x:c>
      <x:c r="B118" s="70" t="str"/>
      <x:c r="C118" s="70" t="str">
        <x:f>IFERROR(VLOOKUP(B118,'02_案例与预测'!$A$6:$E$65,5,FALSE),"")</x:f>
      </x:c>
      <x:c r="D118" s="70" t="str"/>
      <x:c r="E118" s="70" t="str"/>
      <x:c r="F118" s="70" t="str"/>
      <x:c r="G118" s="70" t="str"/>
      <x:c r="H118" s="70" t="str"/>
      <x:c r="I118" s="70" t="str"/>
      <x:c r="J118" s="70" t="str">
        <x:f>IF(I118="支持",1,IF(I118="基本支持",0.75,IF(I118="部分支持",0.5,IF(I118="相邻但不同",0.25,IF(I118="反例",0,"")))))</x:f>
      </x:c>
      <x:c r="K118" s="70" t="str">
        <x:v>无</x:v>
      </x:c>
      <x:c r="L118" s="70" t="str">
        <x:v>否</x:v>
      </x:c>
      <x:c r="M118" s="70" t="str"/>
      <x:c r="N118" s="70" t="str">
        <x:v>否</x:v>
      </x:c>
      <x:c r="O118" s="70" t="str"/>
    </x:row>
    <x:row r="119">
      <x:c r="A119" s="70" t="str">
        <x:v>M5HIT-0114</x:v>
      </x:c>
      <x:c r="B119" s="70" t="str"/>
      <x:c r="C119" s="70" t="str">
        <x:f>IFERROR(VLOOKUP(B119,'02_案例与预测'!$A$6:$E$65,5,FALSE),"")</x:f>
      </x:c>
      <x:c r="D119" s="70" t="str"/>
      <x:c r="E119" s="70" t="str"/>
      <x:c r="F119" s="70" t="str"/>
      <x:c r="G119" s="70" t="str"/>
      <x:c r="H119" s="70" t="str"/>
      <x:c r="I119" s="70" t="str"/>
      <x:c r="J119" s="70" t="str">
        <x:f>IF(I119="支持",1,IF(I119="基本支持",0.75,IF(I119="部分支持",0.5,IF(I119="相邻但不同",0.25,IF(I119="反例",0,"")))))</x:f>
      </x:c>
      <x:c r="K119" s="70" t="str">
        <x:v>无</x:v>
      </x:c>
      <x:c r="L119" s="70" t="str">
        <x:v>否</x:v>
      </x:c>
      <x:c r="M119" s="70" t="str"/>
      <x:c r="N119" s="70" t="str">
        <x:v>否</x:v>
      </x:c>
      <x:c r="O119" s="70" t="str"/>
    </x:row>
    <x:row r="120">
      <x:c r="A120" s="70" t="str">
        <x:v>M5HIT-0115</x:v>
      </x:c>
      <x:c r="B120" s="70" t="str"/>
      <x:c r="C120" s="70" t="str">
        <x:f>IFERROR(VLOOKUP(B120,'02_案例与预测'!$A$6:$E$65,5,FALSE),"")</x:f>
      </x:c>
      <x:c r="D120" s="70" t="str"/>
      <x:c r="E120" s="70" t="str"/>
      <x:c r="F120" s="70" t="str"/>
      <x:c r="G120" s="70" t="str"/>
      <x:c r="H120" s="70" t="str"/>
      <x:c r="I120" s="70" t="str"/>
      <x:c r="J120" s="70" t="str">
        <x:f>IF(I120="支持",1,IF(I120="基本支持",0.75,IF(I120="部分支持",0.5,IF(I120="相邻但不同",0.25,IF(I120="反例",0,"")))))</x:f>
      </x:c>
      <x:c r="K120" s="70" t="str">
        <x:v>无</x:v>
      </x:c>
      <x:c r="L120" s="70" t="str">
        <x:v>否</x:v>
      </x:c>
      <x:c r="M120" s="70" t="str"/>
      <x:c r="N120" s="70" t="str">
        <x:v>否</x:v>
      </x:c>
      <x:c r="O120" s="70" t="str"/>
    </x:row>
    <x:row r="121">
      <x:c r="A121" s="70" t="str">
        <x:v>M5HIT-0116</x:v>
      </x:c>
      <x:c r="B121" s="70" t="str"/>
      <x:c r="C121" s="70" t="str">
        <x:f>IFERROR(VLOOKUP(B121,'02_案例与预测'!$A$6:$E$65,5,FALSE),"")</x:f>
      </x:c>
      <x:c r="D121" s="70" t="str"/>
      <x:c r="E121" s="70" t="str"/>
      <x:c r="F121" s="70" t="str"/>
      <x:c r="G121" s="70" t="str"/>
      <x:c r="H121" s="70" t="str"/>
      <x:c r="I121" s="70" t="str"/>
      <x:c r="J121" s="70" t="str">
        <x:f>IF(I121="支持",1,IF(I121="基本支持",0.75,IF(I121="部分支持",0.5,IF(I121="相邻但不同",0.25,IF(I121="反例",0,"")))))</x:f>
      </x:c>
      <x:c r="K121" s="70" t="str">
        <x:v>无</x:v>
      </x:c>
      <x:c r="L121" s="70" t="str">
        <x:v>否</x:v>
      </x:c>
      <x:c r="M121" s="70" t="str"/>
      <x:c r="N121" s="70" t="str">
        <x:v>否</x:v>
      </x:c>
      <x:c r="O121" s="70" t="str"/>
    </x:row>
    <x:row r="122">
      <x:c r="A122" s="70" t="str">
        <x:v>M5HIT-0117</x:v>
      </x:c>
      <x:c r="B122" s="70" t="str"/>
      <x:c r="C122" s="70" t="str">
        <x:f>IFERROR(VLOOKUP(B122,'02_案例与预测'!$A$6:$E$65,5,FALSE),"")</x:f>
      </x:c>
      <x:c r="D122" s="70" t="str"/>
      <x:c r="E122" s="70" t="str"/>
      <x:c r="F122" s="70" t="str"/>
      <x:c r="G122" s="70" t="str"/>
      <x:c r="H122" s="70" t="str"/>
      <x:c r="I122" s="70" t="str"/>
      <x:c r="J122" s="70" t="str">
        <x:f>IF(I122="支持",1,IF(I122="基本支持",0.75,IF(I122="部分支持",0.5,IF(I122="相邻但不同",0.25,IF(I122="反例",0,"")))))</x:f>
      </x:c>
      <x:c r="K122" s="70" t="str">
        <x:v>无</x:v>
      </x:c>
      <x:c r="L122" s="70" t="str">
        <x:v>否</x:v>
      </x:c>
      <x:c r="M122" s="70" t="str"/>
      <x:c r="N122" s="70" t="str">
        <x:v>否</x:v>
      </x:c>
      <x:c r="O122" s="70" t="str"/>
    </x:row>
    <x:row r="123">
      <x:c r="A123" s="70" t="str">
        <x:v>M5HIT-0118</x:v>
      </x:c>
      <x:c r="B123" s="70" t="str"/>
      <x:c r="C123" s="70" t="str">
        <x:f>IFERROR(VLOOKUP(B123,'02_案例与预测'!$A$6:$E$65,5,FALSE),"")</x:f>
      </x:c>
      <x:c r="D123" s="70" t="str"/>
      <x:c r="E123" s="70" t="str"/>
      <x:c r="F123" s="70" t="str"/>
      <x:c r="G123" s="70" t="str"/>
      <x:c r="H123" s="70" t="str"/>
      <x:c r="I123" s="70" t="str"/>
      <x:c r="J123" s="70" t="str">
        <x:f>IF(I123="支持",1,IF(I123="基本支持",0.75,IF(I123="部分支持",0.5,IF(I123="相邻但不同",0.25,IF(I123="反例",0,"")))))</x:f>
      </x:c>
      <x:c r="K123" s="70" t="str">
        <x:v>无</x:v>
      </x:c>
      <x:c r="L123" s="70" t="str">
        <x:v>否</x:v>
      </x:c>
      <x:c r="M123" s="70" t="str"/>
      <x:c r="N123" s="70" t="str">
        <x:v>否</x:v>
      </x:c>
      <x:c r="O123" s="70" t="str"/>
    </x:row>
    <x:row r="124">
      <x:c r="A124" s="70" t="str">
        <x:v>M5HIT-0119</x:v>
      </x:c>
      <x:c r="B124" s="70" t="str"/>
      <x:c r="C124" s="70" t="str">
        <x:f>IFERROR(VLOOKUP(B124,'02_案例与预测'!$A$6:$E$65,5,FALSE),"")</x:f>
      </x:c>
      <x:c r="D124" s="70" t="str"/>
      <x:c r="E124" s="70" t="str"/>
      <x:c r="F124" s="70" t="str"/>
      <x:c r="G124" s="70" t="str"/>
      <x:c r="H124" s="70" t="str"/>
      <x:c r="I124" s="70" t="str"/>
      <x:c r="J124" s="70" t="str">
        <x:f>IF(I124="支持",1,IF(I124="基本支持",0.75,IF(I124="部分支持",0.5,IF(I124="相邻但不同",0.25,IF(I124="反例",0,"")))))</x:f>
      </x:c>
      <x:c r="K124" s="70" t="str">
        <x:v>无</x:v>
      </x:c>
      <x:c r="L124" s="70" t="str">
        <x:v>否</x:v>
      </x:c>
      <x:c r="M124" s="70" t="str"/>
      <x:c r="N124" s="70" t="str">
        <x:v>否</x:v>
      </x:c>
      <x:c r="O124" s="70" t="str"/>
    </x:row>
    <x:row r="125">
      <x:c r="A125" s="70" t="str">
        <x:v>M5HIT-0120</x:v>
      </x:c>
      <x:c r="B125" s="70" t="str"/>
      <x:c r="C125" s="70" t="str">
        <x:f>IFERROR(VLOOKUP(B125,'02_案例与预测'!$A$6:$E$65,5,FALSE),"")</x:f>
      </x:c>
      <x:c r="D125" s="70" t="str"/>
      <x:c r="E125" s="70" t="str"/>
      <x:c r="F125" s="70" t="str"/>
      <x:c r="G125" s="70" t="str"/>
      <x:c r="H125" s="70" t="str"/>
      <x:c r="I125" s="70" t="str"/>
      <x:c r="J125" s="70" t="str">
        <x:f>IF(I125="支持",1,IF(I125="基本支持",0.75,IF(I125="部分支持",0.5,IF(I125="相邻但不同",0.25,IF(I125="反例",0,"")))))</x:f>
      </x:c>
      <x:c r="K125" s="70" t="str">
        <x:v>无</x:v>
      </x:c>
      <x:c r="L125" s="70" t="str">
        <x:v>否</x:v>
      </x:c>
      <x:c r="M125" s="70" t="str"/>
      <x:c r="N125" s="70" t="str">
        <x:v>否</x:v>
      </x:c>
      <x:c r="O125" s="70" t="str"/>
    </x:row>
    <x:row r="126">
      <x:c r="A126" s="70" t="str">
        <x:v>M5HIT-0121</x:v>
      </x:c>
      <x:c r="B126" s="70" t="str"/>
      <x:c r="C126" s="70" t="str">
        <x:f>IFERROR(VLOOKUP(B126,'02_案例与预测'!$A$6:$E$65,5,FALSE),"")</x:f>
      </x:c>
      <x:c r="D126" s="70" t="str"/>
      <x:c r="E126" s="70" t="str"/>
      <x:c r="F126" s="70" t="str"/>
      <x:c r="G126" s="70" t="str"/>
      <x:c r="H126" s="70" t="str"/>
      <x:c r="I126" s="70" t="str"/>
      <x:c r="J126" s="70" t="str">
        <x:f>IF(I126="支持",1,IF(I126="基本支持",0.75,IF(I126="部分支持",0.5,IF(I126="相邻但不同",0.25,IF(I126="反例",0,"")))))</x:f>
      </x:c>
      <x:c r="K126" s="70" t="str">
        <x:v>无</x:v>
      </x:c>
      <x:c r="L126" s="70" t="str">
        <x:v>否</x:v>
      </x:c>
      <x:c r="M126" s="70" t="str"/>
      <x:c r="N126" s="70" t="str">
        <x:v>否</x:v>
      </x:c>
      <x:c r="O126" s="70" t="str"/>
    </x:row>
    <x:row r="127">
      <x:c r="A127" s="70" t="str">
        <x:v>M5HIT-0122</x:v>
      </x:c>
      <x:c r="B127" s="70" t="str"/>
      <x:c r="C127" s="70" t="str">
        <x:f>IFERROR(VLOOKUP(B127,'02_案例与预测'!$A$6:$E$65,5,FALSE),"")</x:f>
      </x:c>
      <x:c r="D127" s="70" t="str"/>
      <x:c r="E127" s="70" t="str"/>
      <x:c r="F127" s="70" t="str"/>
      <x:c r="G127" s="70" t="str"/>
      <x:c r="H127" s="70" t="str"/>
      <x:c r="I127" s="70" t="str"/>
      <x:c r="J127" s="70" t="str">
        <x:f>IF(I127="支持",1,IF(I127="基本支持",0.75,IF(I127="部分支持",0.5,IF(I127="相邻但不同",0.25,IF(I127="反例",0,"")))))</x:f>
      </x:c>
      <x:c r="K127" s="70" t="str">
        <x:v>无</x:v>
      </x:c>
      <x:c r="L127" s="70" t="str">
        <x:v>否</x:v>
      </x:c>
      <x:c r="M127" s="70" t="str"/>
      <x:c r="N127" s="70" t="str">
        <x:v>否</x:v>
      </x:c>
      <x:c r="O127" s="70" t="str"/>
    </x:row>
    <x:row r="128">
      <x:c r="A128" s="70" t="str">
        <x:v>M5HIT-0123</x:v>
      </x:c>
      <x:c r="B128" s="70" t="str"/>
      <x:c r="C128" s="70" t="str">
        <x:f>IFERROR(VLOOKUP(B128,'02_案例与预测'!$A$6:$E$65,5,FALSE),"")</x:f>
      </x:c>
      <x:c r="D128" s="70" t="str"/>
      <x:c r="E128" s="70" t="str"/>
      <x:c r="F128" s="70" t="str"/>
      <x:c r="G128" s="70" t="str"/>
      <x:c r="H128" s="70" t="str"/>
      <x:c r="I128" s="70" t="str"/>
      <x:c r="J128" s="70" t="str">
        <x:f>IF(I128="支持",1,IF(I128="基本支持",0.75,IF(I128="部分支持",0.5,IF(I128="相邻但不同",0.25,IF(I128="反例",0,"")))))</x:f>
      </x:c>
      <x:c r="K128" s="70" t="str">
        <x:v>无</x:v>
      </x:c>
      <x:c r="L128" s="70" t="str">
        <x:v>否</x:v>
      </x:c>
      <x:c r="M128" s="70" t="str"/>
      <x:c r="N128" s="70" t="str">
        <x:v>否</x:v>
      </x:c>
      <x:c r="O128" s="70" t="str"/>
    </x:row>
    <x:row r="129">
      <x:c r="A129" s="70" t="str">
        <x:v>M5HIT-0124</x:v>
      </x:c>
      <x:c r="B129" s="70" t="str"/>
      <x:c r="C129" s="70" t="str">
        <x:f>IFERROR(VLOOKUP(B129,'02_案例与预测'!$A$6:$E$65,5,FALSE),"")</x:f>
      </x:c>
      <x:c r="D129" s="70" t="str"/>
      <x:c r="E129" s="70" t="str"/>
      <x:c r="F129" s="70" t="str"/>
      <x:c r="G129" s="70" t="str"/>
      <x:c r="H129" s="70" t="str"/>
      <x:c r="I129" s="70" t="str"/>
      <x:c r="J129" s="70" t="str">
        <x:f>IF(I129="支持",1,IF(I129="基本支持",0.75,IF(I129="部分支持",0.5,IF(I129="相邻但不同",0.25,IF(I129="反例",0,"")))))</x:f>
      </x:c>
      <x:c r="K129" s="70" t="str">
        <x:v>无</x:v>
      </x:c>
      <x:c r="L129" s="70" t="str">
        <x:v>否</x:v>
      </x:c>
      <x:c r="M129" s="70" t="str"/>
      <x:c r="N129" s="70" t="str">
        <x:v>否</x:v>
      </x:c>
      <x:c r="O129" s="70" t="str"/>
    </x:row>
    <x:row r="130">
      <x:c r="A130" s="70" t="str">
        <x:v>M5HIT-0125</x:v>
      </x:c>
      <x:c r="B130" s="70" t="str"/>
      <x:c r="C130" s="70" t="str">
        <x:f>IFERROR(VLOOKUP(B130,'02_案例与预测'!$A$6:$E$65,5,FALSE),"")</x:f>
      </x:c>
      <x:c r="D130" s="70" t="str"/>
      <x:c r="E130" s="70" t="str"/>
      <x:c r="F130" s="70" t="str"/>
      <x:c r="G130" s="70" t="str"/>
      <x:c r="H130" s="70" t="str"/>
      <x:c r="I130" s="70" t="str"/>
      <x:c r="J130" s="70" t="str">
        <x:f>IF(I130="支持",1,IF(I130="基本支持",0.75,IF(I130="部分支持",0.5,IF(I130="相邻但不同",0.25,IF(I130="反例",0,"")))))</x:f>
      </x:c>
      <x:c r="K130" s="70" t="str">
        <x:v>无</x:v>
      </x:c>
      <x:c r="L130" s="70" t="str">
        <x:v>否</x:v>
      </x:c>
      <x:c r="M130" s="70" t="str"/>
      <x:c r="N130" s="70" t="str">
        <x:v>否</x:v>
      </x:c>
      <x:c r="O130" s="70" t="str"/>
    </x:row>
    <x:row r="131">
      <x:c r="A131" s="70" t="str">
        <x:v>M5HIT-0126</x:v>
      </x:c>
      <x:c r="B131" s="70" t="str"/>
      <x:c r="C131" s="70" t="str">
        <x:f>IFERROR(VLOOKUP(B131,'02_案例与预测'!$A$6:$E$65,5,FALSE),"")</x:f>
      </x:c>
      <x:c r="D131" s="70" t="str"/>
      <x:c r="E131" s="70" t="str"/>
      <x:c r="F131" s="70" t="str"/>
      <x:c r="G131" s="70" t="str"/>
      <x:c r="H131" s="70" t="str"/>
      <x:c r="I131" s="70" t="str"/>
      <x:c r="J131" s="70" t="str">
        <x:f>IF(I131="支持",1,IF(I131="基本支持",0.75,IF(I131="部分支持",0.5,IF(I131="相邻但不同",0.25,IF(I131="反例",0,"")))))</x:f>
      </x:c>
      <x:c r="K131" s="70" t="str">
        <x:v>无</x:v>
      </x:c>
      <x:c r="L131" s="70" t="str">
        <x:v>否</x:v>
      </x:c>
      <x:c r="M131" s="70" t="str"/>
      <x:c r="N131" s="70" t="str">
        <x:v>否</x:v>
      </x:c>
      <x:c r="O131" s="70" t="str"/>
    </x:row>
    <x:row r="132">
      <x:c r="A132" s="70" t="str">
        <x:v>M5HIT-0127</x:v>
      </x:c>
      <x:c r="B132" s="70" t="str"/>
      <x:c r="C132" s="70" t="str">
        <x:f>IFERROR(VLOOKUP(B132,'02_案例与预测'!$A$6:$E$65,5,FALSE),"")</x:f>
      </x:c>
      <x:c r="D132" s="70" t="str"/>
      <x:c r="E132" s="70" t="str"/>
      <x:c r="F132" s="70" t="str"/>
      <x:c r="G132" s="70" t="str"/>
      <x:c r="H132" s="70" t="str"/>
      <x:c r="I132" s="70" t="str"/>
      <x:c r="J132" s="70" t="str">
        <x:f>IF(I132="支持",1,IF(I132="基本支持",0.75,IF(I132="部分支持",0.5,IF(I132="相邻但不同",0.25,IF(I132="反例",0,"")))))</x:f>
      </x:c>
      <x:c r="K132" s="70" t="str">
        <x:v>无</x:v>
      </x:c>
      <x:c r="L132" s="70" t="str">
        <x:v>否</x:v>
      </x:c>
      <x:c r="M132" s="70" t="str"/>
      <x:c r="N132" s="70" t="str">
        <x:v>否</x:v>
      </x:c>
      <x:c r="O132" s="70" t="str"/>
    </x:row>
    <x:row r="133">
      <x:c r="A133" s="70" t="str">
        <x:v>M5HIT-0128</x:v>
      </x:c>
      <x:c r="B133" s="70" t="str"/>
      <x:c r="C133" s="70" t="str">
        <x:f>IFERROR(VLOOKUP(B133,'02_案例与预测'!$A$6:$E$65,5,FALSE),"")</x:f>
      </x:c>
      <x:c r="D133" s="70" t="str"/>
      <x:c r="E133" s="70" t="str"/>
      <x:c r="F133" s="70" t="str"/>
      <x:c r="G133" s="70" t="str"/>
      <x:c r="H133" s="70" t="str"/>
      <x:c r="I133" s="70" t="str"/>
      <x:c r="J133" s="70" t="str">
        <x:f>IF(I133="支持",1,IF(I133="基本支持",0.75,IF(I133="部分支持",0.5,IF(I133="相邻但不同",0.25,IF(I133="反例",0,"")))))</x:f>
      </x:c>
      <x:c r="K133" s="70" t="str">
        <x:v>无</x:v>
      </x:c>
      <x:c r="L133" s="70" t="str">
        <x:v>否</x:v>
      </x:c>
      <x:c r="M133" s="70" t="str"/>
      <x:c r="N133" s="70" t="str">
        <x:v>否</x:v>
      </x:c>
      <x:c r="O133" s="70" t="str"/>
    </x:row>
    <x:row r="134">
      <x:c r="A134" s="70" t="str">
        <x:v>M5HIT-0129</x:v>
      </x:c>
      <x:c r="B134" s="70" t="str"/>
      <x:c r="C134" s="70" t="str">
        <x:f>IFERROR(VLOOKUP(B134,'02_案例与预测'!$A$6:$E$65,5,FALSE),"")</x:f>
      </x:c>
      <x:c r="D134" s="70" t="str"/>
      <x:c r="E134" s="70" t="str"/>
      <x:c r="F134" s="70" t="str"/>
      <x:c r="G134" s="70" t="str"/>
      <x:c r="H134" s="70" t="str"/>
      <x:c r="I134" s="70" t="str"/>
      <x:c r="J134" s="70" t="str">
        <x:f>IF(I134="支持",1,IF(I134="基本支持",0.75,IF(I134="部分支持",0.5,IF(I134="相邻但不同",0.25,IF(I134="反例",0,"")))))</x:f>
      </x:c>
      <x:c r="K134" s="70" t="str">
        <x:v>无</x:v>
      </x:c>
      <x:c r="L134" s="70" t="str">
        <x:v>否</x:v>
      </x:c>
      <x:c r="M134" s="70" t="str"/>
      <x:c r="N134" s="70" t="str">
        <x:v>否</x:v>
      </x:c>
      <x:c r="O134" s="70" t="str"/>
    </x:row>
    <x:row r="135">
      <x:c r="A135" s="70" t="str">
        <x:v>M5HIT-0130</x:v>
      </x:c>
      <x:c r="B135" s="70" t="str"/>
      <x:c r="C135" s="70" t="str">
        <x:f>IFERROR(VLOOKUP(B135,'02_案例与预测'!$A$6:$E$65,5,FALSE),"")</x:f>
      </x:c>
      <x:c r="D135" s="70" t="str"/>
      <x:c r="E135" s="70" t="str"/>
      <x:c r="F135" s="70" t="str"/>
      <x:c r="G135" s="70" t="str"/>
      <x:c r="H135" s="70" t="str"/>
      <x:c r="I135" s="70" t="str"/>
      <x:c r="J135" s="70" t="str">
        <x:f>IF(I135="支持",1,IF(I135="基本支持",0.75,IF(I135="部分支持",0.5,IF(I135="相邻但不同",0.25,IF(I135="反例",0,"")))))</x:f>
      </x:c>
      <x:c r="K135" s="70" t="str">
        <x:v>无</x:v>
      </x:c>
      <x:c r="L135" s="70" t="str">
        <x:v>否</x:v>
      </x:c>
      <x:c r="M135" s="70" t="str"/>
      <x:c r="N135" s="70" t="str">
        <x:v>否</x:v>
      </x:c>
      <x:c r="O135" s="70" t="str"/>
    </x:row>
    <x:row r="136">
      <x:c r="A136" s="70" t="str">
        <x:v>M5HIT-0131</x:v>
      </x:c>
      <x:c r="B136" s="70" t="str"/>
      <x:c r="C136" s="70" t="str">
        <x:f>IFERROR(VLOOKUP(B136,'02_案例与预测'!$A$6:$E$65,5,FALSE),"")</x:f>
      </x:c>
      <x:c r="D136" s="70" t="str"/>
      <x:c r="E136" s="70" t="str"/>
      <x:c r="F136" s="70" t="str"/>
      <x:c r="G136" s="70" t="str"/>
      <x:c r="H136" s="70" t="str"/>
      <x:c r="I136" s="70" t="str"/>
      <x:c r="J136" s="70" t="str">
        <x:f>IF(I136="支持",1,IF(I136="基本支持",0.75,IF(I136="部分支持",0.5,IF(I136="相邻但不同",0.25,IF(I136="反例",0,"")))))</x:f>
      </x:c>
      <x:c r="K136" s="70" t="str">
        <x:v>无</x:v>
      </x:c>
      <x:c r="L136" s="70" t="str">
        <x:v>否</x:v>
      </x:c>
      <x:c r="M136" s="70" t="str"/>
      <x:c r="N136" s="70" t="str">
        <x:v>否</x:v>
      </x:c>
      <x:c r="O136" s="70" t="str"/>
    </x:row>
    <x:row r="137">
      <x:c r="A137" s="70" t="str">
        <x:v>M5HIT-0132</x:v>
      </x:c>
      <x:c r="B137" s="70" t="str"/>
      <x:c r="C137" s="70" t="str">
        <x:f>IFERROR(VLOOKUP(B137,'02_案例与预测'!$A$6:$E$65,5,FALSE),"")</x:f>
      </x:c>
      <x:c r="D137" s="70" t="str"/>
      <x:c r="E137" s="70" t="str"/>
      <x:c r="F137" s="70" t="str"/>
      <x:c r="G137" s="70" t="str"/>
      <x:c r="H137" s="70" t="str"/>
      <x:c r="I137" s="70" t="str"/>
      <x:c r="J137" s="70" t="str">
        <x:f>IF(I137="支持",1,IF(I137="基本支持",0.75,IF(I137="部分支持",0.5,IF(I137="相邻但不同",0.25,IF(I137="反例",0,"")))))</x:f>
      </x:c>
      <x:c r="K137" s="70" t="str">
        <x:v>无</x:v>
      </x:c>
      <x:c r="L137" s="70" t="str">
        <x:v>否</x:v>
      </x:c>
      <x:c r="M137" s="70" t="str"/>
      <x:c r="N137" s="70" t="str">
        <x:v>否</x:v>
      </x:c>
      <x:c r="O137" s="70" t="str"/>
    </x:row>
    <x:row r="138">
      <x:c r="A138" s="70" t="str">
        <x:v>M5HIT-0133</x:v>
      </x:c>
      <x:c r="B138" s="70" t="str"/>
      <x:c r="C138" s="70" t="str">
        <x:f>IFERROR(VLOOKUP(B138,'02_案例与预测'!$A$6:$E$65,5,FALSE),"")</x:f>
      </x:c>
      <x:c r="D138" s="70" t="str"/>
      <x:c r="E138" s="70" t="str"/>
      <x:c r="F138" s="70" t="str"/>
      <x:c r="G138" s="70" t="str"/>
      <x:c r="H138" s="70" t="str"/>
      <x:c r="I138" s="70" t="str"/>
      <x:c r="J138" s="70" t="str">
        <x:f>IF(I138="支持",1,IF(I138="基本支持",0.75,IF(I138="部分支持",0.5,IF(I138="相邻但不同",0.25,IF(I138="反例",0,"")))))</x:f>
      </x:c>
      <x:c r="K138" s="70" t="str">
        <x:v>无</x:v>
      </x:c>
      <x:c r="L138" s="70" t="str">
        <x:v>否</x:v>
      </x:c>
      <x:c r="M138" s="70" t="str"/>
      <x:c r="N138" s="70" t="str">
        <x:v>否</x:v>
      </x:c>
      <x:c r="O138" s="70" t="str"/>
    </x:row>
    <x:row r="139">
      <x:c r="A139" s="70" t="str">
        <x:v>M5HIT-0134</x:v>
      </x:c>
      <x:c r="B139" s="70" t="str"/>
      <x:c r="C139" s="70" t="str">
        <x:f>IFERROR(VLOOKUP(B139,'02_案例与预测'!$A$6:$E$65,5,FALSE),"")</x:f>
      </x:c>
      <x:c r="D139" s="70" t="str"/>
      <x:c r="E139" s="70" t="str"/>
      <x:c r="F139" s="70" t="str"/>
      <x:c r="G139" s="70" t="str"/>
      <x:c r="H139" s="70" t="str"/>
      <x:c r="I139" s="70" t="str"/>
      <x:c r="J139" s="70" t="str">
        <x:f>IF(I139="支持",1,IF(I139="基本支持",0.75,IF(I139="部分支持",0.5,IF(I139="相邻但不同",0.25,IF(I139="反例",0,"")))))</x:f>
      </x:c>
      <x:c r="K139" s="70" t="str">
        <x:v>无</x:v>
      </x:c>
      <x:c r="L139" s="70" t="str">
        <x:v>否</x:v>
      </x:c>
      <x:c r="M139" s="70" t="str"/>
      <x:c r="N139" s="70" t="str">
        <x:v>否</x:v>
      </x:c>
      <x:c r="O139" s="70" t="str"/>
    </x:row>
    <x:row r="140">
      <x:c r="A140" s="70" t="str">
        <x:v>M5HIT-0135</x:v>
      </x:c>
      <x:c r="B140" s="70" t="str"/>
      <x:c r="C140" s="70" t="str">
        <x:f>IFERROR(VLOOKUP(B140,'02_案例与预测'!$A$6:$E$65,5,FALSE),"")</x:f>
      </x:c>
      <x:c r="D140" s="70" t="str"/>
      <x:c r="E140" s="70" t="str"/>
      <x:c r="F140" s="70" t="str"/>
      <x:c r="G140" s="70" t="str"/>
      <x:c r="H140" s="70" t="str"/>
      <x:c r="I140" s="70" t="str"/>
      <x:c r="J140" s="70" t="str">
        <x:f>IF(I140="支持",1,IF(I140="基本支持",0.75,IF(I140="部分支持",0.5,IF(I140="相邻但不同",0.25,IF(I140="反例",0,"")))))</x:f>
      </x:c>
      <x:c r="K140" s="70" t="str">
        <x:v>无</x:v>
      </x:c>
      <x:c r="L140" s="70" t="str">
        <x:v>否</x:v>
      </x:c>
      <x:c r="M140" s="70" t="str"/>
      <x:c r="N140" s="70" t="str">
        <x:v>否</x:v>
      </x:c>
      <x:c r="O140" s="70" t="str"/>
    </x:row>
    <x:row r="141">
      <x:c r="A141" s="70" t="str">
        <x:v>M5HIT-0136</x:v>
      </x:c>
      <x:c r="B141" s="70" t="str"/>
      <x:c r="C141" s="70" t="str">
        <x:f>IFERROR(VLOOKUP(B141,'02_案例与预测'!$A$6:$E$65,5,FALSE),"")</x:f>
      </x:c>
      <x:c r="D141" s="70" t="str"/>
      <x:c r="E141" s="70" t="str"/>
      <x:c r="F141" s="70" t="str"/>
      <x:c r="G141" s="70" t="str"/>
      <x:c r="H141" s="70" t="str"/>
      <x:c r="I141" s="70" t="str"/>
      <x:c r="J141" s="70" t="str">
        <x:f>IF(I141="支持",1,IF(I141="基本支持",0.75,IF(I141="部分支持",0.5,IF(I141="相邻但不同",0.25,IF(I141="反例",0,"")))))</x:f>
      </x:c>
      <x:c r="K141" s="70" t="str">
        <x:v>无</x:v>
      </x:c>
      <x:c r="L141" s="70" t="str">
        <x:v>否</x:v>
      </x:c>
      <x:c r="M141" s="70" t="str"/>
      <x:c r="N141" s="70" t="str">
        <x:v>否</x:v>
      </x:c>
      <x:c r="O141" s="70" t="str"/>
    </x:row>
    <x:row r="142">
      <x:c r="A142" s="70" t="str">
        <x:v>M5HIT-0137</x:v>
      </x:c>
      <x:c r="B142" s="70" t="str"/>
      <x:c r="C142" s="70" t="str">
        <x:f>IFERROR(VLOOKUP(B142,'02_案例与预测'!$A$6:$E$65,5,FALSE),"")</x:f>
      </x:c>
      <x:c r="D142" s="70" t="str"/>
      <x:c r="E142" s="70" t="str"/>
      <x:c r="F142" s="70" t="str"/>
      <x:c r="G142" s="70" t="str"/>
      <x:c r="H142" s="70" t="str"/>
      <x:c r="I142" s="70" t="str"/>
      <x:c r="J142" s="70" t="str">
        <x:f>IF(I142="支持",1,IF(I142="基本支持",0.75,IF(I142="部分支持",0.5,IF(I142="相邻但不同",0.25,IF(I142="反例",0,"")))))</x:f>
      </x:c>
      <x:c r="K142" s="70" t="str">
        <x:v>无</x:v>
      </x:c>
      <x:c r="L142" s="70" t="str">
        <x:v>否</x:v>
      </x:c>
      <x:c r="M142" s="70" t="str"/>
      <x:c r="N142" s="70" t="str">
        <x:v>否</x:v>
      </x:c>
      <x:c r="O142" s="70" t="str"/>
    </x:row>
    <x:row r="143">
      <x:c r="A143" s="70" t="str">
        <x:v>M5HIT-0138</x:v>
      </x:c>
      <x:c r="B143" s="70" t="str"/>
      <x:c r="C143" s="70" t="str">
        <x:f>IFERROR(VLOOKUP(B143,'02_案例与预测'!$A$6:$E$65,5,FALSE),"")</x:f>
      </x:c>
      <x:c r="D143" s="70" t="str"/>
      <x:c r="E143" s="70" t="str"/>
      <x:c r="F143" s="70" t="str"/>
      <x:c r="G143" s="70" t="str"/>
      <x:c r="H143" s="70" t="str"/>
      <x:c r="I143" s="70" t="str"/>
      <x:c r="J143" s="70" t="str">
        <x:f>IF(I143="支持",1,IF(I143="基本支持",0.75,IF(I143="部分支持",0.5,IF(I143="相邻但不同",0.25,IF(I143="反例",0,"")))))</x:f>
      </x:c>
      <x:c r="K143" s="70" t="str">
        <x:v>无</x:v>
      </x:c>
      <x:c r="L143" s="70" t="str">
        <x:v>否</x:v>
      </x:c>
      <x:c r="M143" s="70" t="str"/>
      <x:c r="N143" s="70" t="str">
        <x:v>否</x:v>
      </x:c>
      <x:c r="O143" s="70" t="str"/>
    </x:row>
    <x:row r="144">
      <x:c r="A144" s="70" t="str">
        <x:v>M5HIT-0139</x:v>
      </x:c>
      <x:c r="B144" s="70" t="str"/>
      <x:c r="C144" s="70" t="str">
        <x:f>IFERROR(VLOOKUP(B144,'02_案例与预测'!$A$6:$E$65,5,FALSE),"")</x:f>
      </x:c>
      <x:c r="D144" s="70" t="str"/>
      <x:c r="E144" s="70" t="str"/>
      <x:c r="F144" s="70" t="str"/>
      <x:c r="G144" s="70" t="str"/>
      <x:c r="H144" s="70" t="str"/>
      <x:c r="I144" s="70" t="str"/>
      <x:c r="J144" s="70" t="str">
        <x:f>IF(I144="支持",1,IF(I144="基本支持",0.75,IF(I144="部分支持",0.5,IF(I144="相邻但不同",0.25,IF(I144="反例",0,"")))))</x:f>
      </x:c>
      <x:c r="K144" s="70" t="str">
        <x:v>无</x:v>
      </x:c>
      <x:c r="L144" s="70" t="str">
        <x:v>否</x:v>
      </x:c>
      <x:c r="M144" s="70" t="str"/>
      <x:c r="N144" s="70" t="str">
        <x:v>否</x:v>
      </x:c>
      <x:c r="O144" s="70" t="str"/>
    </x:row>
    <x:row r="145">
      <x:c r="A145" s="70" t="str">
        <x:v>M5HIT-0140</x:v>
      </x:c>
      <x:c r="B145" s="70" t="str"/>
      <x:c r="C145" s="70" t="str">
        <x:f>IFERROR(VLOOKUP(B145,'02_案例与预测'!$A$6:$E$65,5,FALSE),"")</x:f>
      </x:c>
      <x:c r="D145" s="70" t="str"/>
      <x:c r="E145" s="70" t="str"/>
      <x:c r="F145" s="70" t="str"/>
      <x:c r="G145" s="70" t="str"/>
      <x:c r="H145" s="70" t="str"/>
      <x:c r="I145" s="70" t="str"/>
      <x:c r="J145" s="70" t="str">
        <x:f>IF(I145="支持",1,IF(I145="基本支持",0.75,IF(I145="部分支持",0.5,IF(I145="相邻但不同",0.25,IF(I145="反例",0,"")))))</x:f>
      </x:c>
      <x:c r="K145" s="70" t="str">
        <x:v>无</x:v>
      </x:c>
      <x:c r="L145" s="70" t="str">
        <x:v>否</x:v>
      </x:c>
      <x:c r="M145" s="70" t="str"/>
      <x:c r="N145" s="70" t="str">
        <x:v>否</x:v>
      </x:c>
      <x:c r="O145" s="70" t="str"/>
    </x:row>
    <x:row r="146">
      <x:c r="A146" s="70" t="str">
        <x:v>M5HIT-0141</x:v>
      </x:c>
      <x:c r="B146" s="70" t="str"/>
      <x:c r="C146" s="70" t="str">
        <x:f>IFERROR(VLOOKUP(B146,'02_案例与预测'!$A$6:$E$65,5,FALSE),"")</x:f>
      </x:c>
      <x:c r="D146" s="70" t="str"/>
      <x:c r="E146" s="70" t="str"/>
      <x:c r="F146" s="70" t="str"/>
      <x:c r="G146" s="70" t="str"/>
      <x:c r="H146" s="70" t="str"/>
      <x:c r="I146" s="70" t="str"/>
      <x:c r="J146" s="70" t="str">
        <x:f>IF(I146="支持",1,IF(I146="基本支持",0.75,IF(I146="部分支持",0.5,IF(I146="相邻但不同",0.25,IF(I146="反例",0,"")))))</x:f>
      </x:c>
      <x:c r="K146" s="70" t="str">
        <x:v>无</x:v>
      </x:c>
      <x:c r="L146" s="70" t="str">
        <x:v>否</x:v>
      </x:c>
      <x:c r="M146" s="70" t="str"/>
      <x:c r="N146" s="70" t="str">
        <x:v>否</x:v>
      </x:c>
      <x:c r="O146" s="70" t="str"/>
    </x:row>
    <x:row r="147">
      <x:c r="A147" s="70" t="str">
        <x:v>M5HIT-0142</x:v>
      </x:c>
      <x:c r="B147" s="70" t="str"/>
      <x:c r="C147" s="70" t="str">
        <x:f>IFERROR(VLOOKUP(B147,'02_案例与预测'!$A$6:$E$65,5,FALSE),"")</x:f>
      </x:c>
      <x:c r="D147" s="70" t="str"/>
      <x:c r="E147" s="70" t="str"/>
      <x:c r="F147" s="70" t="str"/>
      <x:c r="G147" s="70" t="str"/>
      <x:c r="H147" s="70" t="str"/>
      <x:c r="I147" s="70" t="str"/>
      <x:c r="J147" s="70" t="str">
        <x:f>IF(I147="支持",1,IF(I147="基本支持",0.75,IF(I147="部分支持",0.5,IF(I147="相邻但不同",0.25,IF(I147="反例",0,"")))))</x:f>
      </x:c>
      <x:c r="K147" s="70" t="str">
        <x:v>无</x:v>
      </x:c>
      <x:c r="L147" s="70" t="str">
        <x:v>否</x:v>
      </x:c>
      <x:c r="M147" s="70" t="str"/>
      <x:c r="N147" s="70" t="str">
        <x:v>否</x:v>
      </x:c>
      <x:c r="O147" s="70" t="str"/>
    </x:row>
    <x:row r="148">
      <x:c r="A148" s="70" t="str">
        <x:v>M5HIT-0143</x:v>
      </x:c>
      <x:c r="B148" s="70" t="str"/>
      <x:c r="C148" s="70" t="str">
        <x:f>IFERROR(VLOOKUP(B148,'02_案例与预测'!$A$6:$E$65,5,FALSE),"")</x:f>
      </x:c>
      <x:c r="D148" s="70" t="str"/>
      <x:c r="E148" s="70" t="str"/>
      <x:c r="F148" s="70" t="str"/>
      <x:c r="G148" s="70" t="str"/>
      <x:c r="H148" s="70" t="str"/>
      <x:c r="I148" s="70" t="str"/>
      <x:c r="J148" s="70" t="str">
        <x:f>IF(I148="支持",1,IF(I148="基本支持",0.75,IF(I148="部分支持",0.5,IF(I148="相邻但不同",0.25,IF(I148="反例",0,"")))))</x:f>
      </x:c>
      <x:c r="K148" s="70" t="str">
        <x:v>无</x:v>
      </x:c>
      <x:c r="L148" s="70" t="str">
        <x:v>否</x:v>
      </x:c>
      <x:c r="M148" s="70" t="str"/>
      <x:c r="N148" s="70" t="str">
        <x:v>否</x:v>
      </x:c>
      <x:c r="O148" s="70" t="str"/>
    </x:row>
    <x:row r="149">
      <x:c r="A149" s="70" t="str">
        <x:v>M5HIT-0144</x:v>
      </x:c>
      <x:c r="B149" s="70" t="str"/>
      <x:c r="C149" s="70" t="str">
        <x:f>IFERROR(VLOOKUP(B149,'02_案例与预测'!$A$6:$E$65,5,FALSE),"")</x:f>
      </x:c>
      <x:c r="D149" s="70" t="str"/>
      <x:c r="E149" s="70" t="str"/>
      <x:c r="F149" s="70" t="str"/>
      <x:c r="G149" s="70" t="str"/>
      <x:c r="H149" s="70" t="str"/>
      <x:c r="I149" s="70" t="str"/>
      <x:c r="J149" s="70" t="str">
        <x:f>IF(I149="支持",1,IF(I149="基本支持",0.75,IF(I149="部分支持",0.5,IF(I149="相邻但不同",0.25,IF(I149="反例",0,"")))))</x:f>
      </x:c>
      <x:c r="K149" s="70" t="str">
        <x:v>无</x:v>
      </x:c>
      <x:c r="L149" s="70" t="str">
        <x:v>否</x:v>
      </x:c>
      <x:c r="M149" s="70" t="str"/>
      <x:c r="N149" s="70" t="str">
        <x:v>否</x:v>
      </x:c>
      <x:c r="O149" s="70" t="str"/>
    </x:row>
    <x:row r="150">
      <x:c r="A150" s="70" t="str">
        <x:v>M5HIT-0145</x:v>
      </x:c>
      <x:c r="B150" s="70" t="str"/>
      <x:c r="C150" s="70" t="str">
        <x:f>IFERROR(VLOOKUP(B150,'02_案例与预测'!$A$6:$E$65,5,FALSE),"")</x:f>
      </x:c>
      <x:c r="D150" s="70" t="str"/>
      <x:c r="E150" s="70" t="str"/>
      <x:c r="F150" s="70" t="str"/>
      <x:c r="G150" s="70" t="str"/>
      <x:c r="H150" s="70" t="str"/>
      <x:c r="I150" s="70" t="str"/>
      <x:c r="J150" s="70" t="str">
        <x:f>IF(I150="支持",1,IF(I150="基本支持",0.75,IF(I150="部分支持",0.5,IF(I150="相邻但不同",0.25,IF(I150="反例",0,"")))))</x:f>
      </x:c>
      <x:c r="K150" s="70" t="str">
        <x:v>无</x:v>
      </x:c>
      <x:c r="L150" s="70" t="str">
        <x:v>否</x:v>
      </x:c>
      <x:c r="M150" s="70" t="str"/>
      <x:c r="N150" s="70" t="str">
        <x:v>否</x:v>
      </x:c>
      <x:c r="O150" s="70" t="str"/>
    </x:row>
    <x:row r="151">
      <x:c r="A151" s="70" t="str">
        <x:v>M5HIT-0146</x:v>
      </x:c>
      <x:c r="B151" s="70" t="str"/>
      <x:c r="C151" s="70" t="str">
        <x:f>IFERROR(VLOOKUP(B151,'02_案例与预测'!$A$6:$E$65,5,FALSE),"")</x:f>
      </x:c>
      <x:c r="D151" s="70" t="str"/>
      <x:c r="E151" s="70" t="str"/>
      <x:c r="F151" s="70" t="str"/>
      <x:c r="G151" s="70" t="str"/>
      <x:c r="H151" s="70" t="str"/>
      <x:c r="I151" s="70" t="str"/>
      <x:c r="J151" s="70" t="str">
        <x:f>IF(I151="支持",1,IF(I151="基本支持",0.75,IF(I151="部分支持",0.5,IF(I151="相邻但不同",0.25,IF(I151="反例",0,"")))))</x:f>
      </x:c>
      <x:c r="K151" s="70" t="str">
        <x:v>无</x:v>
      </x:c>
      <x:c r="L151" s="70" t="str">
        <x:v>否</x:v>
      </x:c>
      <x:c r="M151" s="70" t="str"/>
      <x:c r="N151" s="70" t="str">
        <x:v>否</x:v>
      </x:c>
      <x:c r="O151" s="70" t="str"/>
    </x:row>
    <x:row r="152">
      <x:c r="A152" s="70" t="str">
        <x:v>M5HIT-0147</x:v>
      </x:c>
      <x:c r="B152" s="70" t="str"/>
      <x:c r="C152" s="70" t="str">
        <x:f>IFERROR(VLOOKUP(B152,'02_案例与预测'!$A$6:$E$65,5,FALSE),"")</x:f>
      </x:c>
      <x:c r="D152" s="70" t="str"/>
      <x:c r="E152" s="70" t="str"/>
      <x:c r="F152" s="70" t="str"/>
      <x:c r="G152" s="70" t="str"/>
      <x:c r="H152" s="70" t="str"/>
      <x:c r="I152" s="70" t="str"/>
      <x:c r="J152" s="70" t="str">
        <x:f>IF(I152="支持",1,IF(I152="基本支持",0.75,IF(I152="部分支持",0.5,IF(I152="相邻但不同",0.25,IF(I152="反例",0,"")))))</x:f>
      </x:c>
      <x:c r="K152" s="70" t="str">
        <x:v>无</x:v>
      </x:c>
      <x:c r="L152" s="70" t="str">
        <x:v>否</x:v>
      </x:c>
      <x:c r="M152" s="70" t="str"/>
      <x:c r="N152" s="70" t="str">
        <x:v>否</x:v>
      </x:c>
      <x:c r="O152" s="70" t="str"/>
    </x:row>
    <x:row r="153">
      <x:c r="A153" s="70" t="str">
        <x:v>M5HIT-0148</x:v>
      </x:c>
      <x:c r="B153" s="70" t="str"/>
      <x:c r="C153" s="70" t="str">
        <x:f>IFERROR(VLOOKUP(B153,'02_案例与预测'!$A$6:$E$65,5,FALSE),"")</x:f>
      </x:c>
      <x:c r="D153" s="70" t="str"/>
      <x:c r="E153" s="70" t="str"/>
      <x:c r="F153" s="70" t="str"/>
      <x:c r="G153" s="70" t="str"/>
      <x:c r="H153" s="70" t="str"/>
      <x:c r="I153" s="70" t="str"/>
      <x:c r="J153" s="70" t="str">
        <x:f>IF(I153="支持",1,IF(I153="基本支持",0.75,IF(I153="部分支持",0.5,IF(I153="相邻但不同",0.25,IF(I153="反例",0,"")))))</x:f>
      </x:c>
      <x:c r="K153" s="70" t="str">
        <x:v>无</x:v>
      </x:c>
      <x:c r="L153" s="70" t="str">
        <x:v>否</x:v>
      </x:c>
      <x:c r="M153" s="70" t="str"/>
      <x:c r="N153" s="70" t="str">
        <x:v>否</x:v>
      </x:c>
      <x:c r="O153" s="70" t="str"/>
    </x:row>
    <x:row r="154">
      <x:c r="A154" s="70" t="str">
        <x:v>M5HIT-0149</x:v>
      </x:c>
      <x:c r="B154" s="70" t="str"/>
      <x:c r="C154" s="70" t="str">
        <x:f>IFERROR(VLOOKUP(B154,'02_案例与预测'!$A$6:$E$65,5,FALSE),"")</x:f>
      </x:c>
      <x:c r="D154" s="70" t="str"/>
      <x:c r="E154" s="70" t="str"/>
      <x:c r="F154" s="70" t="str"/>
      <x:c r="G154" s="70" t="str"/>
      <x:c r="H154" s="70" t="str"/>
      <x:c r="I154" s="70" t="str"/>
      <x:c r="J154" s="70" t="str">
        <x:f>IF(I154="支持",1,IF(I154="基本支持",0.75,IF(I154="部分支持",0.5,IF(I154="相邻但不同",0.25,IF(I154="反例",0,"")))))</x:f>
      </x:c>
      <x:c r="K154" s="70" t="str">
        <x:v>无</x:v>
      </x:c>
      <x:c r="L154" s="70" t="str">
        <x:v>否</x:v>
      </x:c>
      <x:c r="M154" s="70" t="str"/>
      <x:c r="N154" s="70" t="str">
        <x:v>否</x:v>
      </x:c>
      <x:c r="O154" s="70" t="str"/>
    </x:row>
    <x:row r="155">
      <x:c r="A155" s="70" t="str">
        <x:v>M5HIT-0150</x:v>
      </x:c>
      <x:c r="B155" s="70" t="str"/>
      <x:c r="C155" s="70" t="str">
        <x:f>IFERROR(VLOOKUP(B155,'02_案例与预测'!$A$6:$E$65,5,FALSE),"")</x:f>
      </x:c>
      <x:c r="D155" s="70" t="str"/>
      <x:c r="E155" s="70" t="str"/>
      <x:c r="F155" s="70" t="str"/>
      <x:c r="G155" s="70" t="str"/>
      <x:c r="H155" s="70" t="str"/>
      <x:c r="I155" s="70" t="str"/>
      <x:c r="J155" s="70" t="str">
        <x:f>IF(I155="支持",1,IF(I155="基本支持",0.75,IF(I155="部分支持",0.5,IF(I155="相邻但不同",0.25,IF(I155="反例",0,"")))))</x:f>
      </x:c>
      <x:c r="K155" s="70" t="str">
        <x:v>无</x:v>
      </x:c>
      <x:c r="L155" s="70" t="str">
        <x:v>否</x:v>
      </x:c>
      <x:c r="M155" s="70" t="str"/>
      <x:c r="N155" s="70" t="str">
        <x:v>否</x:v>
      </x:c>
      <x:c r="O155" s="70" t="str"/>
    </x:row>
    <x:row r="156">
      <x:c r="A156" s="70" t="str">
        <x:v>M5HIT-0151</x:v>
      </x:c>
      <x:c r="B156" s="70" t="str"/>
      <x:c r="C156" s="70" t="str">
        <x:f>IFERROR(VLOOKUP(B156,'02_案例与预测'!$A$6:$E$65,5,FALSE),"")</x:f>
      </x:c>
      <x:c r="D156" s="70" t="str"/>
      <x:c r="E156" s="70" t="str"/>
      <x:c r="F156" s="70" t="str"/>
      <x:c r="G156" s="70" t="str"/>
      <x:c r="H156" s="70" t="str"/>
      <x:c r="I156" s="70" t="str"/>
      <x:c r="J156" s="70" t="str">
        <x:f>IF(I156="支持",1,IF(I156="基本支持",0.75,IF(I156="部分支持",0.5,IF(I156="相邻但不同",0.25,IF(I156="反例",0,"")))))</x:f>
      </x:c>
      <x:c r="K156" s="70" t="str">
        <x:v>无</x:v>
      </x:c>
      <x:c r="L156" s="70" t="str">
        <x:v>否</x:v>
      </x:c>
      <x:c r="M156" s="70" t="str"/>
      <x:c r="N156" s="70" t="str">
        <x:v>否</x:v>
      </x:c>
      <x:c r="O156" s="70" t="str"/>
    </x:row>
    <x:row r="157">
      <x:c r="A157" s="70" t="str">
        <x:v>M5HIT-0152</x:v>
      </x:c>
      <x:c r="B157" s="70" t="str"/>
      <x:c r="C157" s="70" t="str">
        <x:f>IFERROR(VLOOKUP(B157,'02_案例与预测'!$A$6:$E$65,5,FALSE),"")</x:f>
      </x:c>
      <x:c r="D157" s="70" t="str"/>
      <x:c r="E157" s="70" t="str"/>
      <x:c r="F157" s="70" t="str"/>
      <x:c r="G157" s="70" t="str"/>
      <x:c r="H157" s="70" t="str"/>
      <x:c r="I157" s="70" t="str"/>
      <x:c r="J157" s="70" t="str">
        <x:f>IF(I157="支持",1,IF(I157="基本支持",0.75,IF(I157="部分支持",0.5,IF(I157="相邻但不同",0.25,IF(I157="反例",0,"")))))</x:f>
      </x:c>
      <x:c r="K157" s="70" t="str">
        <x:v>无</x:v>
      </x:c>
      <x:c r="L157" s="70" t="str">
        <x:v>否</x:v>
      </x:c>
      <x:c r="M157" s="70" t="str"/>
      <x:c r="N157" s="70" t="str">
        <x:v>否</x:v>
      </x:c>
      <x:c r="O157" s="70" t="str"/>
    </x:row>
    <x:row r="158">
      <x:c r="A158" s="70" t="str">
        <x:v>M5HIT-0153</x:v>
      </x:c>
      <x:c r="B158" s="70" t="str"/>
      <x:c r="C158" s="70" t="str">
        <x:f>IFERROR(VLOOKUP(B158,'02_案例与预测'!$A$6:$E$65,5,FALSE),"")</x:f>
      </x:c>
      <x:c r="D158" s="70" t="str"/>
      <x:c r="E158" s="70" t="str"/>
      <x:c r="F158" s="70" t="str"/>
      <x:c r="G158" s="70" t="str"/>
      <x:c r="H158" s="70" t="str"/>
      <x:c r="I158" s="70" t="str"/>
      <x:c r="J158" s="70" t="str">
        <x:f>IF(I158="支持",1,IF(I158="基本支持",0.75,IF(I158="部分支持",0.5,IF(I158="相邻但不同",0.25,IF(I158="反例",0,"")))))</x:f>
      </x:c>
      <x:c r="K158" s="70" t="str">
        <x:v>无</x:v>
      </x:c>
      <x:c r="L158" s="70" t="str">
        <x:v>否</x:v>
      </x:c>
      <x:c r="M158" s="70" t="str"/>
      <x:c r="N158" s="70" t="str">
        <x:v>否</x:v>
      </x:c>
      <x:c r="O158" s="70" t="str"/>
    </x:row>
    <x:row r="159">
      <x:c r="A159" s="70" t="str">
        <x:v>M5HIT-0154</x:v>
      </x:c>
      <x:c r="B159" s="70" t="str"/>
      <x:c r="C159" s="70" t="str">
        <x:f>IFERROR(VLOOKUP(B159,'02_案例与预测'!$A$6:$E$65,5,FALSE),"")</x:f>
      </x:c>
      <x:c r="D159" s="70" t="str"/>
      <x:c r="E159" s="70" t="str"/>
      <x:c r="F159" s="70" t="str"/>
      <x:c r="G159" s="70" t="str"/>
      <x:c r="H159" s="70" t="str"/>
      <x:c r="I159" s="70" t="str"/>
      <x:c r="J159" s="70" t="str">
        <x:f>IF(I159="支持",1,IF(I159="基本支持",0.75,IF(I159="部分支持",0.5,IF(I159="相邻但不同",0.25,IF(I159="反例",0,"")))))</x:f>
      </x:c>
      <x:c r="K159" s="70" t="str">
        <x:v>无</x:v>
      </x:c>
      <x:c r="L159" s="70" t="str">
        <x:v>否</x:v>
      </x:c>
      <x:c r="M159" s="70" t="str"/>
      <x:c r="N159" s="70" t="str">
        <x:v>否</x:v>
      </x:c>
      <x:c r="O159" s="70" t="str"/>
    </x:row>
    <x:row r="160">
      <x:c r="A160" s="70" t="str">
        <x:v>M5HIT-0155</x:v>
      </x:c>
      <x:c r="B160" s="70" t="str"/>
      <x:c r="C160" s="70" t="str">
        <x:f>IFERROR(VLOOKUP(B160,'02_案例与预测'!$A$6:$E$65,5,FALSE),"")</x:f>
      </x:c>
      <x:c r="D160" s="70" t="str"/>
      <x:c r="E160" s="70" t="str"/>
      <x:c r="F160" s="70" t="str"/>
      <x:c r="G160" s="70" t="str"/>
      <x:c r="H160" s="70" t="str"/>
      <x:c r="I160" s="70" t="str"/>
      <x:c r="J160" s="70" t="str">
        <x:f>IF(I160="支持",1,IF(I160="基本支持",0.75,IF(I160="部分支持",0.5,IF(I160="相邻但不同",0.25,IF(I160="反例",0,"")))))</x:f>
      </x:c>
      <x:c r="K160" s="70" t="str">
        <x:v>无</x:v>
      </x:c>
      <x:c r="L160" s="70" t="str">
        <x:v>否</x:v>
      </x:c>
      <x:c r="M160" s="70" t="str"/>
      <x:c r="N160" s="70" t="str">
        <x:v>否</x:v>
      </x:c>
      <x:c r="O160" s="70" t="str"/>
    </x:row>
    <x:row r="161">
      <x:c r="A161" s="70" t="str">
        <x:v>M5HIT-0156</x:v>
      </x:c>
      <x:c r="B161" s="70" t="str"/>
      <x:c r="C161" s="70" t="str">
        <x:f>IFERROR(VLOOKUP(B161,'02_案例与预测'!$A$6:$E$65,5,FALSE),"")</x:f>
      </x:c>
      <x:c r="D161" s="70" t="str"/>
      <x:c r="E161" s="70" t="str"/>
      <x:c r="F161" s="70" t="str"/>
      <x:c r="G161" s="70" t="str"/>
      <x:c r="H161" s="70" t="str"/>
      <x:c r="I161" s="70" t="str"/>
      <x:c r="J161" s="70" t="str">
        <x:f>IF(I161="支持",1,IF(I161="基本支持",0.75,IF(I161="部分支持",0.5,IF(I161="相邻但不同",0.25,IF(I161="反例",0,"")))))</x:f>
      </x:c>
      <x:c r="K161" s="70" t="str">
        <x:v>无</x:v>
      </x:c>
      <x:c r="L161" s="70" t="str">
        <x:v>否</x:v>
      </x:c>
      <x:c r="M161" s="70" t="str"/>
      <x:c r="N161" s="70" t="str">
        <x:v>否</x:v>
      </x:c>
      <x:c r="O161" s="70" t="str"/>
    </x:row>
    <x:row r="162">
      <x:c r="A162" s="70" t="str">
        <x:v>M5HIT-0157</x:v>
      </x:c>
      <x:c r="B162" s="70" t="str"/>
      <x:c r="C162" s="70" t="str">
        <x:f>IFERROR(VLOOKUP(B162,'02_案例与预测'!$A$6:$E$65,5,FALSE),"")</x:f>
      </x:c>
      <x:c r="D162" s="70" t="str"/>
      <x:c r="E162" s="70" t="str"/>
      <x:c r="F162" s="70" t="str"/>
      <x:c r="G162" s="70" t="str"/>
      <x:c r="H162" s="70" t="str"/>
      <x:c r="I162" s="70" t="str"/>
      <x:c r="J162" s="70" t="str">
        <x:f>IF(I162="支持",1,IF(I162="基本支持",0.75,IF(I162="部分支持",0.5,IF(I162="相邻但不同",0.25,IF(I162="反例",0,"")))))</x:f>
      </x:c>
      <x:c r="K162" s="70" t="str">
        <x:v>无</x:v>
      </x:c>
      <x:c r="L162" s="70" t="str">
        <x:v>否</x:v>
      </x:c>
      <x:c r="M162" s="70" t="str"/>
      <x:c r="N162" s="70" t="str">
        <x:v>否</x:v>
      </x:c>
      <x:c r="O162" s="70" t="str"/>
    </x:row>
    <x:row r="163">
      <x:c r="A163" s="70" t="str">
        <x:v>M5HIT-0158</x:v>
      </x:c>
      <x:c r="B163" s="70" t="str"/>
      <x:c r="C163" s="70" t="str">
        <x:f>IFERROR(VLOOKUP(B163,'02_案例与预测'!$A$6:$E$65,5,FALSE),"")</x:f>
      </x:c>
      <x:c r="D163" s="70" t="str"/>
      <x:c r="E163" s="70" t="str"/>
      <x:c r="F163" s="70" t="str"/>
      <x:c r="G163" s="70" t="str"/>
      <x:c r="H163" s="70" t="str"/>
      <x:c r="I163" s="70" t="str"/>
      <x:c r="J163" s="70" t="str">
        <x:f>IF(I163="支持",1,IF(I163="基本支持",0.75,IF(I163="部分支持",0.5,IF(I163="相邻但不同",0.25,IF(I163="反例",0,"")))))</x:f>
      </x:c>
      <x:c r="K163" s="70" t="str">
        <x:v>无</x:v>
      </x:c>
      <x:c r="L163" s="70" t="str">
        <x:v>否</x:v>
      </x:c>
      <x:c r="M163" s="70" t="str"/>
      <x:c r="N163" s="70" t="str">
        <x:v>否</x:v>
      </x:c>
      <x:c r="O163" s="70" t="str"/>
    </x:row>
    <x:row r="164">
      <x:c r="A164" s="70" t="str">
        <x:v>M5HIT-0159</x:v>
      </x:c>
      <x:c r="B164" s="70" t="str"/>
      <x:c r="C164" s="70" t="str">
        <x:f>IFERROR(VLOOKUP(B164,'02_案例与预测'!$A$6:$E$65,5,FALSE),"")</x:f>
      </x:c>
      <x:c r="D164" s="70" t="str"/>
      <x:c r="E164" s="70" t="str"/>
      <x:c r="F164" s="70" t="str"/>
      <x:c r="G164" s="70" t="str"/>
      <x:c r="H164" s="70" t="str"/>
      <x:c r="I164" s="70" t="str"/>
      <x:c r="J164" s="70" t="str">
        <x:f>IF(I164="支持",1,IF(I164="基本支持",0.75,IF(I164="部分支持",0.5,IF(I164="相邻但不同",0.25,IF(I164="反例",0,"")))))</x:f>
      </x:c>
      <x:c r="K164" s="70" t="str">
        <x:v>无</x:v>
      </x:c>
      <x:c r="L164" s="70" t="str">
        <x:v>否</x:v>
      </x:c>
      <x:c r="M164" s="70" t="str"/>
      <x:c r="N164" s="70" t="str">
        <x:v>否</x:v>
      </x:c>
      <x:c r="O164" s="70" t="str"/>
    </x:row>
    <x:row r="165">
      <x:c r="A165" s="70" t="str">
        <x:v>M5HIT-0160</x:v>
      </x:c>
      <x:c r="B165" s="70" t="str"/>
      <x:c r="C165" s="70" t="str">
        <x:f>IFERROR(VLOOKUP(B165,'02_案例与预测'!$A$6:$E$65,5,FALSE),"")</x:f>
      </x:c>
      <x:c r="D165" s="70" t="str"/>
      <x:c r="E165" s="70" t="str"/>
      <x:c r="F165" s="70" t="str"/>
      <x:c r="G165" s="70" t="str"/>
      <x:c r="H165" s="70" t="str"/>
      <x:c r="I165" s="70" t="str"/>
      <x:c r="J165" s="70" t="str">
        <x:f>IF(I165="支持",1,IF(I165="基本支持",0.75,IF(I165="部分支持",0.5,IF(I165="相邻但不同",0.25,IF(I165="反例",0,"")))))</x:f>
      </x:c>
      <x:c r="K165" s="70" t="str">
        <x:v>无</x:v>
      </x:c>
      <x:c r="L165" s="70" t="str">
        <x:v>否</x:v>
      </x:c>
      <x:c r="M165" s="70" t="str"/>
      <x:c r="N165" s="70" t="str">
        <x:v>否</x:v>
      </x:c>
      <x:c r="O165" s="70" t="str"/>
    </x:row>
    <x:row r="166">
      <x:c r="A166" s="70" t="str">
        <x:v>M5HIT-0161</x:v>
      </x:c>
      <x:c r="B166" s="70" t="str"/>
      <x:c r="C166" s="70" t="str">
        <x:f>IFERROR(VLOOKUP(B166,'02_案例与预测'!$A$6:$E$65,5,FALSE),"")</x:f>
      </x:c>
      <x:c r="D166" s="70" t="str"/>
      <x:c r="E166" s="70" t="str"/>
      <x:c r="F166" s="70" t="str"/>
      <x:c r="G166" s="70" t="str"/>
      <x:c r="H166" s="70" t="str"/>
      <x:c r="I166" s="70" t="str"/>
      <x:c r="J166" s="70" t="str">
        <x:f>IF(I166="支持",1,IF(I166="基本支持",0.75,IF(I166="部分支持",0.5,IF(I166="相邻但不同",0.25,IF(I166="反例",0,"")))))</x:f>
      </x:c>
      <x:c r="K166" s="70" t="str">
        <x:v>无</x:v>
      </x:c>
      <x:c r="L166" s="70" t="str">
        <x:v>否</x:v>
      </x:c>
      <x:c r="M166" s="70" t="str"/>
      <x:c r="N166" s="70" t="str">
        <x:v>否</x:v>
      </x:c>
      <x:c r="O166" s="70" t="str"/>
    </x:row>
    <x:row r="167">
      <x:c r="A167" s="70" t="str">
        <x:v>M5HIT-0162</x:v>
      </x:c>
      <x:c r="B167" s="70" t="str"/>
      <x:c r="C167" s="70" t="str">
        <x:f>IFERROR(VLOOKUP(B167,'02_案例与预测'!$A$6:$E$65,5,FALSE),"")</x:f>
      </x:c>
      <x:c r="D167" s="70" t="str"/>
      <x:c r="E167" s="70" t="str"/>
      <x:c r="F167" s="70" t="str"/>
      <x:c r="G167" s="70" t="str"/>
      <x:c r="H167" s="70" t="str"/>
      <x:c r="I167" s="70" t="str"/>
      <x:c r="J167" s="70" t="str">
        <x:f>IF(I167="支持",1,IF(I167="基本支持",0.75,IF(I167="部分支持",0.5,IF(I167="相邻但不同",0.25,IF(I167="反例",0,"")))))</x:f>
      </x:c>
      <x:c r="K167" s="70" t="str">
        <x:v>无</x:v>
      </x:c>
      <x:c r="L167" s="70" t="str">
        <x:v>否</x:v>
      </x:c>
      <x:c r="M167" s="70" t="str"/>
      <x:c r="N167" s="70" t="str">
        <x:v>否</x:v>
      </x:c>
      <x:c r="O167" s="70" t="str"/>
    </x:row>
    <x:row r="168">
      <x:c r="A168" s="70" t="str">
        <x:v>M5HIT-0163</x:v>
      </x:c>
      <x:c r="B168" s="70" t="str"/>
      <x:c r="C168" s="70" t="str">
        <x:f>IFERROR(VLOOKUP(B168,'02_案例与预测'!$A$6:$E$65,5,FALSE),"")</x:f>
      </x:c>
      <x:c r="D168" s="70" t="str"/>
      <x:c r="E168" s="70" t="str"/>
      <x:c r="F168" s="70" t="str"/>
      <x:c r="G168" s="70" t="str"/>
      <x:c r="H168" s="70" t="str"/>
      <x:c r="I168" s="70" t="str"/>
      <x:c r="J168" s="70" t="str">
        <x:f>IF(I168="支持",1,IF(I168="基本支持",0.75,IF(I168="部分支持",0.5,IF(I168="相邻但不同",0.25,IF(I168="反例",0,"")))))</x:f>
      </x:c>
      <x:c r="K168" s="70" t="str">
        <x:v>无</x:v>
      </x:c>
      <x:c r="L168" s="70" t="str">
        <x:v>否</x:v>
      </x:c>
      <x:c r="M168" s="70" t="str"/>
      <x:c r="N168" s="70" t="str">
        <x:v>否</x:v>
      </x:c>
      <x:c r="O168" s="70" t="str"/>
    </x:row>
    <x:row r="169">
      <x:c r="A169" s="70" t="str">
        <x:v>M5HIT-0164</x:v>
      </x:c>
      <x:c r="B169" s="70" t="str"/>
      <x:c r="C169" s="70" t="str">
        <x:f>IFERROR(VLOOKUP(B169,'02_案例与预测'!$A$6:$E$65,5,FALSE),"")</x:f>
      </x:c>
      <x:c r="D169" s="70" t="str"/>
      <x:c r="E169" s="70" t="str"/>
      <x:c r="F169" s="70" t="str"/>
      <x:c r="G169" s="70" t="str"/>
      <x:c r="H169" s="70" t="str"/>
      <x:c r="I169" s="70" t="str"/>
      <x:c r="J169" s="70" t="str">
        <x:f>IF(I169="支持",1,IF(I169="基本支持",0.75,IF(I169="部分支持",0.5,IF(I169="相邻但不同",0.25,IF(I169="反例",0,"")))))</x:f>
      </x:c>
      <x:c r="K169" s="70" t="str">
        <x:v>无</x:v>
      </x:c>
      <x:c r="L169" s="70" t="str">
        <x:v>否</x:v>
      </x:c>
      <x:c r="M169" s="70" t="str"/>
      <x:c r="N169" s="70" t="str">
        <x:v>否</x:v>
      </x:c>
      <x:c r="O169" s="70" t="str"/>
    </x:row>
    <x:row r="170">
      <x:c r="A170" s="70" t="str">
        <x:v>M5HIT-0165</x:v>
      </x:c>
      <x:c r="B170" s="70" t="str"/>
      <x:c r="C170" s="70" t="str">
        <x:f>IFERROR(VLOOKUP(B170,'02_案例与预测'!$A$6:$E$65,5,FALSE),"")</x:f>
      </x:c>
      <x:c r="D170" s="70" t="str"/>
      <x:c r="E170" s="70" t="str"/>
      <x:c r="F170" s="70" t="str"/>
      <x:c r="G170" s="70" t="str"/>
      <x:c r="H170" s="70" t="str"/>
      <x:c r="I170" s="70" t="str"/>
      <x:c r="J170" s="70" t="str">
        <x:f>IF(I170="支持",1,IF(I170="基本支持",0.75,IF(I170="部分支持",0.5,IF(I170="相邻但不同",0.25,IF(I170="反例",0,"")))))</x:f>
      </x:c>
      <x:c r="K170" s="70" t="str">
        <x:v>无</x:v>
      </x:c>
      <x:c r="L170" s="70" t="str">
        <x:v>否</x:v>
      </x:c>
      <x:c r="M170" s="70" t="str"/>
      <x:c r="N170" s="70" t="str">
        <x:v>否</x:v>
      </x:c>
      <x:c r="O170" s="70" t="str"/>
    </x:row>
    <x:row r="171">
      <x:c r="A171" s="70" t="str">
        <x:v>M5HIT-0166</x:v>
      </x:c>
      <x:c r="B171" s="70" t="str"/>
      <x:c r="C171" s="70" t="str">
        <x:f>IFERROR(VLOOKUP(B171,'02_案例与预测'!$A$6:$E$65,5,FALSE),"")</x:f>
      </x:c>
      <x:c r="D171" s="70" t="str"/>
      <x:c r="E171" s="70" t="str"/>
      <x:c r="F171" s="70" t="str"/>
      <x:c r="G171" s="70" t="str"/>
      <x:c r="H171" s="70" t="str"/>
      <x:c r="I171" s="70" t="str"/>
      <x:c r="J171" s="70" t="str">
        <x:f>IF(I171="支持",1,IF(I171="基本支持",0.75,IF(I171="部分支持",0.5,IF(I171="相邻但不同",0.25,IF(I171="反例",0,"")))))</x:f>
      </x:c>
      <x:c r="K171" s="70" t="str">
        <x:v>无</x:v>
      </x:c>
      <x:c r="L171" s="70" t="str">
        <x:v>否</x:v>
      </x:c>
      <x:c r="M171" s="70" t="str"/>
      <x:c r="N171" s="70" t="str">
        <x:v>否</x:v>
      </x:c>
      <x:c r="O171" s="70" t="str"/>
    </x:row>
    <x:row r="172">
      <x:c r="A172" s="70" t="str">
        <x:v>M5HIT-0167</x:v>
      </x:c>
      <x:c r="B172" s="70" t="str"/>
      <x:c r="C172" s="70" t="str">
        <x:f>IFERROR(VLOOKUP(B172,'02_案例与预测'!$A$6:$E$65,5,FALSE),"")</x:f>
      </x:c>
      <x:c r="D172" s="70" t="str"/>
      <x:c r="E172" s="70" t="str"/>
      <x:c r="F172" s="70" t="str"/>
      <x:c r="G172" s="70" t="str"/>
      <x:c r="H172" s="70" t="str"/>
      <x:c r="I172" s="70" t="str"/>
      <x:c r="J172" s="70" t="str">
        <x:f>IF(I172="支持",1,IF(I172="基本支持",0.75,IF(I172="部分支持",0.5,IF(I172="相邻但不同",0.25,IF(I172="反例",0,"")))))</x:f>
      </x:c>
      <x:c r="K172" s="70" t="str">
        <x:v>无</x:v>
      </x:c>
      <x:c r="L172" s="70" t="str">
        <x:v>否</x:v>
      </x:c>
      <x:c r="M172" s="70" t="str"/>
      <x:c r="N172" s="70" t="str">
        <x:v>否</x:v>
      </x:c>
      <x:c r="O172" s="70" t="str"/>
    </x:row>
    <x:row r="173">
      <x:c r="A173" s="70" t="str">
        <x:v>M5HIT-0168</x:v>
      </x:c>
      <x:c r="B173" s="70" t="str"/>
      <x:c r="C173" s="70" t="str">
        <x:f>IFERROR(VLOOKUP(B173,'02_案例与预测'!$A$6:$E$65,5,FALSE),"")</x:f>
      </x:c>
      <x:c r="D173" s="70" t="str"/>
      <x:c r="E173" s="70" t="str"/>
      <x:c r="F173" s="70" t="str"/>
      <x:c r="G173" s="70" t="str"/>
      <x:c r="H173" s="70" t="str"/>
      <x:c r="I173" s="70" t="str"/>
      <x:c r="J173" s="70" t="str">
        <x:f>IF(I173="支持",1,IF(I173="基本支持",0.75,IF(I173="部分支持",0.5,IF(I173="相邻但不同",0.25,IF(I173="反例",0,"")))))</x:f>
      </x:c>
      <x:c r="K173" s="70" t="str">
        <x:v>无</x:v>
      </x:c>
      <x:c r="L173" s="70" t="str">
        <x:v>否</x:v>
      </x:c>
      <x:c r="M173" s="70" t="str"/>
      <x:c r="N173" s="70" t="str">
        <x:v>否</x:v>
      </x:c>
      <x:c r="O173" s="70" t="str"/>
    </x:row>
    <x:row r="174">
      <x:c r="A174" s="70" t="str">
        <x:v>M5HIT-0169</x:v>
      </x:c>
      <x:c r="B174" s="70" t="str"/>
      <x:c r="C174" s="70" t="str">
        <x:f>IFERROR(VLOOKUP(B174,'02_案例与预测'!$A$6:$E$65,5,FALSE),"")</x:f>
      </x:c>
      <x:c r="D174" s="70" t="str"/>
      <x:c r="E174" s="70" t="str"/>
      <x:c r="F174" s="70" t="str"/>
      <x:c r="G174" s="70" t="str"/>
      <x:c r="H174" s="70" t="str"/>
      <x:c r="I174" s="70" t="str"/>
      <x:c r="J174" s="70" t="str">
        <x:f>IF(I174="支持",1,IF(I174="基本支持",0.75,IF(I174="部分支持",0.5,IF(I174="相邻但不同",0.25,IF(I174="反例",0,"")))))</x:f>
      </x:c>
      <x:c r="K174" s="70" t="str">
        <x:v>无</x:v>
      </x:c>
      <x:c r="L174" s="70" t="str">
        <x:v>否</x:v>
      </x:c>
      <x:c r="M174" s="70" t="str"/>
      <x:c r="N174" s="70" t="str">
        <x:v>否</x:v>
      </x:c>
      <x:c r="O174" s="70" t="str"/>
    </x:row>
    <x:row r="175">
      <x:c r="A175" s="70" t="str">
        <x:v>M5HIT-0170</x:v>
      </x:c>
      <x:c r="B175" s="70" t="str"/>
      <x:c r="C175" s="70" t="str">
        <x:f>IFERROR(VLOOKUP(B175,'02_案例与预测'!$A$6:$E$65,5,FALSE),"")</x:f>
      </x:c>
      <x:c r="D175" s="70" t="str"/>
      <x:c r="E175" s="70" t="str"/>
      <x:c r="F175" s="70" t="str"/>
      <x:c r="G175" s="70" t="str"/>
      <x:c r="H175" s="70" t="str"/>
      <x:c r="I175" s="70" t="str"/>
      <x:c r="J175" s="70" t="str">
        <x:f>IF(I175="支持",1,IF(I175="基本支持",0.75,IF(I175="部分支持",0.5,IF(I175="相邻但不同",0.25,IF(I175="反例",0,"")))))</x:f>
      </x:c>
      <x:c r="K175" s="70" t="str">
        <x:v>无</x:v>
      </x:c>
      <x:c r="L175" s="70" t="str">
        <x:v>否</x:v>
      </x:c>
      <x:c r="M175" s="70" t="str"/>
      <x:c r="N175" s="70" t="str">
        <x:v>否</x:v>
      </x:c>
      <x:c r="O175" s="70" t="str"/>
    </x:row>
    <x:row r="176">
      <x:c r="A176" s="70" t="str">
        <x:v>M5HIT-0171</x:v>
      </x:c>
      <x:c r="B176" s="70" t="str"/>
      <x:c r="C176" s="70" t="str">
        <x:f>IFERROR(VLOOKUP(B176,'02_案例与预测'!$A$6:$E$65,5,FALSE),"")</x:f>
      </x:c>
      <x:c r="D176" s="70" t="str"/>
      <x:c r="E176" s="70" t="str"/>
      <x:c r="F176" s="70" t="str"/>
      <x:c r="G176" s="70" t="str"/>
      <x:c r="H176" s="70" t="str"/>
      <x:c r="I176" s="70" t="str"/>
      <x:c r="J176" s="70" t="str">
        <x:f>IF(I176="支持",1,IF(I176="基本支持",0.75,IF(I176="部分支持",0.5,IF(I176="相邻但不同",0.25,IF(I176="反例",0,"")))))</x:f>
      </x:c>
      <x:c r="K176" s="70" t="str">
        <x:v>无</x:v>
      </x:c>
      <x:c r="L176" s="70" t="str">
        <x:v>否</x:v>
      </x:c>
      <x:c r="M176" s="70" t="str"/>
      <x:c r="N176" s="70" t="str">
        <x:v>否</x:v>
      </x:c>
      <x:c r="O176" s="70" t="str"/>
    </x:row>
    <x:row r="177">
      <x:c r="A177" s="70" t="str">
        <x:v>M5HIT-0172</x:v>
      </x:c>
      <x:c r="B177" s="70" t="str"/>
      <x:c r="C177" s="70" t="str">
        <x:f>IFERROR(VLOOKUP(B177,'02_案例与预测'!$A$6:$E$65,5,FALSE),"")</x:f>
      </x:c>
      <x:c r="D177" s="70" t="str"/>
      <x:c r="E177" s="70" t="str"/>
      <x:c r="F177" s="70" t="str"/>
      <x:c r="G177" s="70" t="str"/>
      <x:c r="H177" s="70" t="str"/>
      <x:c r="I177" s="70" t="str"/>
      <x:c r="J177" s="70" t="str">
        <x:f>IF(I177="支持",1,IF(I177="基本支持",0.75,IF(I177="部分支持",0.5,IF(I177="相邻但不同",0.25,IF(I177="反例",0,"")))))</x:f>
      </x:c>
      <x:c r="K177" s="70" t="str">
        <x:v>无</x:v>
      </x:c>
      <x:c r="L177" s="70" t="str">
        <x:v>否</x:v>
      </x:c>
      <x:c r="M177" s="70" t="str"/>
      <x:c r="N177" s="70" t="str">
        <x:v>否</x:v>
      </x:c>
      <x:c r="O177" s="70" t="str"/>
    </x:row>
    <x:row r="178">
      <x:c r="A178" s="70" t="str">
        <x:v>M5HIT-0173</x:v>
      </x:c>
      <x:c r="B178" s="70" t="str"/>
      <x:c r="C178" s="70" t="str">
        <x:f>IFERROR(VLOOKUP(B178,'02_案例与预测'!$A$6:$E$65,5,FALSE),"")</x:f>
      </x:c>
      <x:c r="D178" s="70" t="str"/>
      <x:c r="E178" s="70" t="str"/>
      <x:c r="F178" s="70" t="str"/>
      <x:c r="G178" s="70" t="str"/>
      <x:c r="H178" s="70" t="str"/>
      <x:c r="I178" s="70" t="str"/>
      <x:c r="J178" s="70" t="str">
        <x:f>IF(I178="支持",1,IF(I178="基本支持",0.75,IF(I178="部分支持",0.5,IF(I178="相邻但不同",0.25,IF(I178="反例",0,"")))))</x:f>
      </x:c>
      <x:c r="K178" s="70" t="str">
        <x:v>无</x:v>
      </x:c>
      <x:c r="L178" s="70" t="str">
        <x:v>否</x:v>
      </x:c>
      <x:c r="M178" s="70" t="str"/>
      <x:c r="N178" s="70" t="str">
        <x:v>否</x:v>
      </x:c>
      <x:c r="O178" s="70" t="str"/>
    </x:row>
    <x:row r="179">
      <x:c r="A179" s="70" t="str">
        <x:v>M5HIT-0174</x:v>
      </x:c>
      <x:c r="B179" s="70" t="str"/>
      <x:c r="C179" s="70" t="str">
        <x:f>IFERROR(VLOOKUP(B179,'02_案例与预测'!$A$6:$E$65,5,FALSE),"")</x:f>
      </x:c>
      <x:c r="D179" s="70" t="str"/>
      <x:c r="E179" s="70" t="str"/>
      <x:c r="F179" s="70" t="str"/>
      <x:c r="G179" s="70" t="str"/>
      <x:c r="H179" s="70" t="str"/>
      <x:c r="I179" s="70" t="str"/>
      <x:c r="J179" s="70" t="str">
        <x:f>IF(I179="支持",1,IF(I179="基本支持",0.75,IF(I179="部分支持",0.5,IF(I179="相邻但不同",0.25,IF(I179="反例",0,"")))))</x:f>
      </x:c>
      <x:c r="K179" s="70" t="str">
        <x:v>无</x:v>
      </x:c>
      <x:c r="L179" s="70" t="str">
        <x:v>否</x:v>
      </x:c>
      <x:c r="M179" s="70" t="str"/>
      <x:c r="N179" s="70" t="str">
        <x:v>否</x:v>
      </x:c>
      <x:c r="O179" s="70" t="str"/>
    </x:row>
    <x:row r="180">
      <x:c r="A180" s="70" t="str">
        <x:v>M5HIT-0175</x:v>
      </x:c>
      <x:c r="B180" s="70" t="str"/>
      <x:c r="C180" s="70" t="str">
        <x:f>IFERROR(VLOOKUP(B180,'02_案例与预测'!$A$6:$E$65,5,FALSE),"")</x:f>
      </x:c>
      <x:c r="D180" s="70" t="str"/>
      <x:c r="E180" s="70" t="str"/>
      <x:c r="F180" s="70" t="str"/>
      <x:c r="G180" s="70" t="str"/>
      <x:c r="H180" s="70" t="str"/>
      <x:c r="I180" s="70" t="str"/>
      <x:c r="J180" s="70" t="str">
        <x:f>IF(I180="支持",1,IF(I180="基本支持",0.75,IF(I180="部分支持",0.5,IF(I180="相邻但不同",0.25,IF(I180="反例",0,"")))))</x:f>
      </x:c>
      <x:c r="K180" s="70" t="str">
        <x:v>无</x:v>
      </x:c>
      <x:c r="L180" s="70" t="str">
        <x:v>否</x:v>
      </x:c>
      <x:c r="M180" s="70" t="str"/>
      <x:c r="N180" s="70" t="str">
        <x:v>否</x:v>
      </x:c>
      <x:c r="O180" s="70" t="str"/>
    </x:row>
    <x:row r="181">
      <x:c r="A181" s="70" t="str">
        <x:v>M5HIT-0176</x:v>
      </x:c>
      <x:c r="B181" s="70" t="str"/>
      <x:c r="C181" s="70" t="str">
        <x:f>IFERROR(VLOOKUP(B181,'02_案例与预测'!$A$6:$E$65,5,FALSE),"")</x:f>
      </x:c>
      <x:c r="D181" s="70" t="str"/>
      <x:c r="E181" s="70" t="str"/>
      <x:c r="F181" s="70" t="str"/>
      <x:c r="G181" s="70" t="str"/>
      <x:c r="H181" s="70" t="str"/>
      <x:c r="I181" s="70" t="str"/>
      <x:c r="J181" s="70" t="str">
        <x:f>IF(I181="支持",1,IF(I181="基本支持",0.75,IF(I181="部分支持",0.5,IF(I181="相邻但不同",0.25,IF(I181="反例",0,"")))))</x:f>
      </x:c>
      <x:c r="K181" s="70" t="str">
        <x:v>无</x:v>
      </x:c>
      <x:c r="L181" s="70" t="str">
        <x:v>否</x:v>
      </x:c>
      <x:c r="M181" s="70" t="str"/>
      <x:c r="N181" s="70" t="str">
        <x:v>否</x:v>
      </x:c>
      <x:c r="O181" s="70" t="str"/>
    </x:row>
    <x:row r="182">
      <x:c r="A182" s="70" t="str">
        <x:v>M5HIT-0177</x:v>
      </x:c>
      <x:c r="B182" s="70" t="str"/>
      <x:c r="C182" s="70" t="str">
        <x:f>IFERROR(VLOOKUP(B182,'02_案例与预测'!$A$6:$E$65,5,FALSE),"")</x:f>
      </x:c>
      <x:c r="D182" s="70" t="str"/>
      <x:c r="E182" s="70" t="str"/>
      <x:c r="F182" s="70" t="str"/>
      <x:c r="G182" s="70" t="str"/>
      <x:c r="H182" s="70" t="str"/>
      <x:c r="I182" s="70" t="str"/>
      <x:c r="J182" s="70" t="str">
        <x:f>IF(I182="支持",1,IF(I182="基本支持",0.75,IF(I182="部分支持",0.5,IF(I182="相邻但不同",0.25,IF(I182="反例",0,"")))))</x:f>
      </x:c>
      <x:c r="K182" s="70" t="str">
        <x:v>无</x:v>
      </x:c>
      <x:c r="L182" s="70" t="str">
        <x:v>否</x:v>
      </x:c>
      <x:c r="M182" s="70" t="str"/>
      <x:c r="N182" s="70" t="str">
        <x:v>否</x:v>
      </x:c>
      <x:c r="O182" s="70" t="str"/>
    </x:row>
    <x:row r="183">
      <x:c r="A183" s="70" t="str">
        <x:v>M5HIT-0178</x:v>
      </x:c>
      <x:c r="B183" s="70" t="str"/>
      <x:c r="C183" s="70" t="str">
        <x:f>IFERROR(VLOOKUP(B183,'02_案例与预测'!$A$6:$E$65,5,FALSE),"")</x:f>
      </x:c>
      <x:c r="D183" s="70" t="str"/>
      <x:c r="E183" s="70" t="str"/>
      <x:c r="F183" s="70" t="str"/>
      <x:c r="G183" s="70" t="str"/>
      <x:c r="H183" s="70" t="str"/>
      <x:c r="I183" s="70" t="str"/>
      <x:c r="J183" s="70" t="str">
        <x:f>IF(I183="支持",1,IF(I183="基本支持",0.75,IF(I183="部分支持",0.5,IF(I183="相邻但不同",0.25,IF(I183="反例",0,"")))))</x:f>
      </x:c>
      <x:c r="K183" s="70" t="str">
        <x:v>无</x:v>
      </x:c>
      <x:c r="L183" s="70" t="str">
        <x:v>否</x:v>
      </x:c>
      <x:c r="M183" s="70" t="str"/>
      <x:c r="N183" s="70" t="str">
        <x:v>否</x:v>
      </x:c>
      <x:c r="O183" s="70" t="str"/>
    </x:row>
    <x:row r="184">
      <x:c r="A184" s="70" t="str">
        <x:v>M5HIT-0179</x:v>
      </x:c>
      <x:c r="B184" s="70" t="str"/>
      <x:c r="C184" s="70" t="str">
        <x:f>IFERROR(VLOOKUP(B184,'02_案例与预测'!$A$6:$E$65,5,FALSE),"")</x:f>
      </x:c>
      <x:c r="D184" s="70" t="str"/>
      <x:c r="E184" s="70" t="str"/>
      <x:c r="F184" s="70" t="str"/>
      <x:c r="G184" s="70" t="str"/>
      <x:c r="H184" s="70" t="str"/>
      <x:c r="I184" s="70" t="str"/>
      <x:c r="J184" s="70" t="str">
        <x:f>IF(I184="支持",1,IF(I184="基本支持",0.75,IF(I184="部分支持",0.5,IF(I184="相邻但不同",0.25,IF(I184="反例",0,"")))))</x:f>
      </x:c>
      <x:c r="K184" s="70" t="str">
        <x:v>无</x:v>
      </x:c>
      <x:c r="L184" s="70" t="str">
        <x:v>否</x:v>
      </x:c>
      <x:c r="M184" s="70" t="str"/>
      <x:c r="N184" s="70" t="str">
        <x:v>否</x:v>
      </x:c>
      <x:c r="O184" s="70" t="str"/>
    </x:row>
    <x:row r="185">
      <x:c r="A185" s="70" t="str">
        <x:v>M5HIT-0180</x:v>
      </x:c>
      <x:c r="B185" s="70" t="str"/>
      <x:c r="C185" s="70" t="str">
        <x:f>IFERROR(VLOOKUP(B185,'02_案例与预测'!$A$6:$E$65,5,FALSE),"")</x:f>
      </x:c>
      <x:c r="D185" s="70" t="str"/>
      <x:c r="E185" s="70" t="str"/>
      <x:c r="F185" s="70" t="str"/>
      <x:c r="G185" s="70" t="str"/>
      <x:c r="H185" s="70" t="str"/>
      <x:c r="I185" s="70" t="str"/>
      <x:c r="J185" s="70" t="str">
        <x:f>IF(I185="支持",1,IF(I185="基本支持",0.75,IF(I185="部分支持",0.5,IF(I185="相邻但不同",0.25,IF(I185="反例",0,"")))))</x:f>
      </x:c>
      <x:c r="K185" s="70" t="str">
        <x:v>无</x:v>
      </x:c>
      <x:c r="L185" s="70" t="str">
        <x:v>否</x:v>
      </x:c>
      <x:c r="M185" s="70" t="str"/>
      <x:c r="N185" s="70" t="str">
        <x:v>否</x:v>
      </x:c>
      <x:c r="O185" s="70" t="str"/>
    </x:row>
    <x:row r="186">
      <x:c r="A186" s="70" t="str">
        <x:v>M5HIT-0181</x:v>
      </x:c>
      <x:c r="B186" s="70" t="str"/>
      <x:c r="C186" s="70" t="str">
        <x:f>IFERROR(VLOOKUP(B186,'02_案例与预测'!$A$6:$E$65,5,FALSE),"")</x:f>
      </x:c>
      <x:c r="D186" s="70" t="str"/>
      <x:c r="E186" s="70" t="str"/>
      <x:c r="F186" s="70" t="str"/>
      <x:c r="G186" s="70" t="str"/>
      <x:c r="H186" s="70" t="str"/>
      <x:c r="I186" s="70" t="str"/>
      <x:c r="J186" s="70" t="str">
        <x:f>IF(I186="支持",1,IF(I186="基本支持",0.75,IF(I186="部分支持",0.5,IF(I186="相邻但不同",0.25,IF(I186="反例",0,"")))))</x:f>
      </x:c>
      <x:c r="K186" s="70" t="str">
        <x:v>无</x:v>
      </x:c>
      <x:c r="L186" s="70" t="str">
        <x:v>否</x:v>
      </x:c>
      <x:c r="M186" s="70" t="str"/>
      <x:c r="N186" s="70" t="str">
        <x:v>否</x:v>
      </x:c>
      <x:c r="O186" s="70" t="str"/>
    </x:row>
    <x:row r="187">
      <x:c r="A187" s="70" t="str">
        <x:v>M5HIT-0182</x:v>
      </x:c>
      <x:c r="B187" s="70" t="str"/>
      <x:c r="C187" s="70" t="str">
        <x:f>IFERROR(VLOOKUP(B187,'02_案例与预测'!$A$6:$E$65,5,FALSE),"")</x:f>
      </x:c>
      <x:c r="D187" s="70" t="str"/>
      <x:c r="E187" s="70" t="str"/>
      <x:c r="F187" s="70" t="str"/>
      <x:c r="G187" s="70" t="str"/>
      <x:c r="H187" s="70" t="str"/>
      <x:c r="I187" s="70" t="str"/>
      <x:c r="J187" s="70" t="str">
        <x:f>IF(I187="支持",1,IF(I187="基本支持",0.75,IF(I187="部分支持",0.5,IF(I187="相邻但不同",0.25,IF(I187="反例",0,"")))))</x:f>
      </x:c>
      <x:c r="K187" s="70" t="str">
        <x:v>无</x:v>
      </x:c>
      <x:c r="L187" s="70" t="str">
        <x:v>否</x:v>
      </x:c>
      <x:c r="M187" s="70" t="str"/>
      <x:c r="N187" s="70" t="str">
        <x:v>否</x:v>
      </x:c>
      <x:c r="O187" s="70" t="str"/>
    </x:row>
    <x:row r="188">
      <x:c r="A188" s="70" t="str">
        <x:v>M5HIT-0183</x:v>
      </x:c>
      <x:c r="B188" s="70" t="str"/>
      <x:c r="C188" s="70" t="str">
        <x:f>IFERROR(VLOOKUP(B188,'02_案例与预测'!$A$6:$E$65,5,FALSE),"")</x:f>
      </x:c>
      <x:c r="D188" s="70" t="str"/>
      <x:c r="E188" s="70" t="str"/>
      <x:c r="F188" s="70" t="str"/>
      <x:c r="G188" s="70" t="str"/>
      <x:c r="H188" s="70" t="str"/>
      <x:c r="I188" s="70" t="str"/>
      <x:c r="J188" s="70" t="str">
        <x:f>IF(I188="支持",1,IF(I188="基本支持",0.75,IF(I188="部分支持",0.5,IF(I188="相邻但不同",0.25,IF(I188="反例",0,"")))))</x:f>
      </x:c>
      <x:c r="K188" s="70" t="str">
        <x:v>无</x:v>
      </x:c>
      <x:c r="L188" s="70" t="str">
        <x:v>否</x:v>
      </x:c>
      <x:c r="M188" s="70" t="str"/>
      <x:c r="N188" s="70" t="str">
        <x:v>否</x:v>
      </x:c>
      <x:c r="O188" s="70" t="str"/>
    </x:row>
    <x:row r="189">
      <x:c r="A189" s="70" t="str">
        <x:v>M5HIT-0184</x:v>
      </x:c>
      <x:c r="B189" s="70" t="str"/>
      <x:c r="C189" s="70" t="str">
        <x:f>IFERROR(VLOOKUP(B189,'02_案例与预测'!$A$6:$E$65,5,FALSE),"")</x:f>
      </x:c>
      <x:c r="D189" s="70" t="str"/>
      <x:c r="E189" s="70" t="str"/>
      <x:c r="F189" s="70" t="str"/>
      <x:c r="G189" s="70" t="str"/>
      <x:c r="H189" s="70" t="str"/>
      <x:c r="I189" s="70" t="str"/>
      <x:c r="J189" s="70" t="str">
        <x:f>IF(I189="支持",1,IF(I189="基本支持",0.75,IF(I189="部分支持",0.5,IF(I189="相邻但不同",0.25,IF(I189="反例",0,"")))))</x:f>
      </x:c>
      <x:c r="K189" s="70" t="str">
        <x:v>无</x:v>
      </x:c>
      <x:c r="L189" s="70" t="str">
        <x:v>否</x:v>
      </x:c>
      <x:c r="M189" s="70" t="str"/>
      <x:c r="N189" s="70" t="str">
        <x:v>否</x:v>
      </x:c>
      <x:c r="O189" s="70" t="str"/>
    </x:row>
    <x:row r="190">
      <x:c r="A190" s="70" t="str">
        <x:v>M5HIT-0185</x:v>
      </x:c>
      <x:c r="B190" s="70" t="str"/>
      <x:c r="C190" s="70" t="str">
        <x:f>IFERROR(VLOOKUP(B190,'02_案例与预测'!$A$6:$E$65,5,FALSE),"")</x:f>
      </x:c>
      <x:c r="D190" s="70" t="str"/>
      <x:c r="E190" s="70" t="str"/>
      <x:c r="F190" s="70" t="str"/>
      <x:c r="G190" s="70" t="str"/>
      <x:c r="H190" s="70" t="str"/>
      <x:c r="I190" s="70" t="str"/>
      <x:c r="J190" s="70" t="str">
        <x:f>IF(I190="支持",1,IF(I190="基本支持",0.75,IF(I190="部分支持",0.5,IF(I190="相邻但不同",0.25,IF(I190="反例",0,"")))))</x:f>
      </x:c>
      <x:c r="K190" s="70" t="str">
        <x:v>无</x:v>
      </x:c>
      <x:c r="L190" s="70" t="str">
        <x:v>否</x:v>
      </x:c>
      <x:c r="M190" s="70" t="str"/>
      <x:c r="N190" s="70" t="str">
        <x:v>否</x:v>
      </x:c>
      <x:c r="O190" s="70" t="str"/>
    </x:row>
    <x:row r="191">
      <x:c r="A191" s="70" t="str">
        <x:v>M5HIT-0186</x:v>
      </x:c>
      <x:c r="B191" s="70" t="str"/>
      <x:c r="C191" s="70" t="str">
        <x:f>IFERROR(VLOOKUP(B191,'02_案例与预测'!$A$6:$E$65,5,FALSE),"")</x:f>
      </x:c>
      <x:c r="D191" s="70" t="str"/>
      <x:c r="E191" s="70" t="str"/>
      <x:c r="F191" s="70" t="str"/>
      <x:c r="G191" s="70" t="str"/>
      <x:c r="H191" s="70" t="str"/>
      <x:c r="I191" s="70" t="str"/>
      <x:c r="J191" s="70" t="str">
        <x:f>IF(I191="支持",1,IF(I191="基本支持",0.75,IF(I191="部分支持",0.5,IF(I191="相邻但不同",0.25,IF(I191="反例",0,"")))))</x:f>
      </x:c>
      <x:c r="K191" s="70" t="str">
        <x:v>无</x:v>
      </x:c>
      <x:c r="L191" s="70" t="str">
        <x:v>否</x:v>
      </x:c>
      <x:c r="M191" s="70" t="str"/>
      <x:c r="N191" s="70" t="str">
        <x:v>否</x:v>
      </x:c>
      <x:c r="O191" s="70" t="str"/>
    </x:row>
    <x:row r="192">
      <x:c r="A192" s="70" t="str">
        <x:v>M5HIT-0187</x:v>
      </x:c>
      <x:c r="B192" s="70" t="str"/>
      <x:c r="C192" s="70" t="str">
        <x:f>IFERROR(VLOOKUP(B192,'02_案例与预测'!$A$6:$E$65,5,FALSE),"")</x:f>
      </x:c>
      <x:c r="D192" s="70" t="str"/>
      <x:c r="E192" s="70" t="str"/>
      <x:c r="F192" s="70" t="str"/>
      <x:c r="G192" s="70" t="str"/>
      <x:c r="H192" s="70" t="str"/>
      <x:c r="I192" s="70" t="str"/>
      <x:c r="J192" s="70" t="str">
        <x:f>IF(I192="支持",1,IF(I192="基本支持",0.75,IF(I192="部分支持",0.5,IF(I192="相邻但不同",0.25,IF(I192="反例",0,"")))))</x:f>
      </x:c>
      <x:c r="K192" s="70" t="str">
        <x:v>无</x:v>
      </x:c>
      <x:c r="L192" s="70" t="str">
        <x:v>否</x:v>
      </x:c>
      <x:c r="M192" s="70" t="str"/>
      <x:c r="N192" s="70" t="str">
        <x:v>否</x:v>
      </x:c>
      <x:c r="O192" s="70" t="str"/>
    </x:row>
    <x:row r="193">
      <x:c r="A193" s="70" t="str">
        <x:v>M5HIT-0188</x:v>
      </x:c>
      <x:c r="B193" s="70" t="str"/>
      <x:c r="C193" s="70" t="str">
        <x:f>IFERROR(VLOOKUP(B193,'02_案例与预测'!$A$6:$E$65,5,FALSE),"")</x:f>
      </x:c>
      <x:c r="D193" s="70" t="str"/>
      <x:c r="E193" s="70" t="str"/>
      <x:c r="F193" s="70" t="str"/>
      <x:c r="G193" s="70" t="str"/>
      <x:c r="H193" s="70" t="str"/>
      <x:c r="I193" s="70" t="str"/>
      <x:c r="J193" s="70" t="str">
        <x:f>IF(I193="支持",1,IF(I193="基本支持",0.75,IF(I193="部分支持",0.5,IF(I193="相邻但不同",0.25,IF(I193="反例",0,"")))))</x:f>
      </x:c>
      <x:c r="K193" s="70" t="str">
        <x:v>无</x:v>
      </x:c>
      <x:c r="L193" s="70" t="str">
        <x:v>否</x:v>
      </x:c>
      <x:c r="M193" s="70" t="str"/>
      <x:c r="N193" s="70" t="str">
        <x:v>否</x:v>
      </x:c>
      <x:c r="O193" s="70" t="str"/>
    </x:row>
    <x:row r="194">
      <x:c r="A194" s="70" t="str">
        <x:v>M5HIT-0189</x:v>
      </x:c>
      <x:c r="B194" s="70" t="str"/>
      <x:c r="C194" s="70" t="str">
        <x:f>IFERROR(VLOOKUP(B194,'02_案例与预测'!$A$6:$E$65,5,FALSE),"")</x:f>
      </x:c>
      <x:c r="D194" s="70" t="str"/>
      <x:c r="E194" s="70" t="str"/>
      <x:c r="F194" s="70" t="str"/>
      <x:c r="G194" s="70" t="str"/>
      <x:c r="H194" s="70" t="str"/>
      <x:c r="I194" s="70" t="str"/>
      <x:c r="J194" s="70" t="str">
        <x:f>IF(I194="支持",1,IF(I194="基本支持",0.75,IF(I194="部分支持",0.5,IF(I194="相邻但不同",0.25,IF(I194="反例",0,"")))))</x:f>
      </x:c>
      <x:c r="K194" s="70" t="str">
        <x:v>无</x:v>
      </x:c>
      <x:c r="L194" s="70" t="str">
        <x:v>否</x:v>
      </x:c>
      <x:c r="M194" s="70" t="str"/>
      <x:c r="N194" s="70" t="str">
        <x:v>否</x:v>
      </x:c>
      <x:c r="O194" s="70" t="str"/>
    </x:row>
    <x:row r="195">
      <x:c r="A195" s="70" t="str">
        <x:v>M5HIT-0190</x:v>
      </x:c>
      <x:c r="B195" s="70" t="str"/>
      <x:c r="C195" s="70" t="str">
        <x:f>IFERROR(VLOOKUP(B195,'02_案例与预测'!$A$6:$E$65,5,FALSE),"")</x:f>
      </x:c>
      <x:c r="D195" s="70" t="str"/>
      <x:c r="E195" s="70" t="str"/>
      <x:c r="F195" s="70" t="str"/>
      <x:c r="G195" s="70" t="str"/>
      <x:c r="H195" s="70" t="str"/>
      <x:c r="I195" s="70" t="str"/>
      <x:c r="J195" s="70" t="str">
        <x:f>IF(I195="支持",1,IF(I195="基本支持",0.75,IF(I195="部分支持",0.5,IF(I195="相邻但不同",0.25,IF(I195="反例",0,"")))))</x:f>
      </x:c>
      <x:c r="K195" s="70" t="str">
        <x:v>无</x:v>
      </x:c>
      <x:c r="L195" s="70" t="str">
        <x:v>否</x:v>
      </x:c>
      <x:c r="M195" s="70" t="str"/>
      <x:c r="N195" s="70" t="str">
        <x:v>否</x:v>
      </x:c>
      <x:c r="O195" s="70" t="str"/>
    </x:row>
    <x:row r="196">
      <x:c r="A196" s="70" t="str">
        <x:v>M5HIT-0191</x:v>
      </x:c>
      <x:c r="B196" s="70" t="str"/>
      <x:c r="C196" s="70" t="str">
        <x:f>IFERROR(VLOOKUP(B196,'02_案例与预测'!$A$6:$E$65,5,FALSE),"")</x:f>
      </x:c>
      <x:c r="D196" s="70" t="str"/>
      <x:c r="E196" s="70" t="str"/>
      <x:c r="F196" s="70" t="str"/>
      <x:c r="G196" s="70" t="str"/>
      <x:c r="H196" s="70" t="str"/>
      <x:c r="I196" s="70" t="str"/>
      <x:c r="J196" s="70" t="str">
        <x:f>IF(I196="支持",1,IF(I196="基本支持",0.75,IF(I196="部分支持",0.5,IF(I196="相邻但不同",0.25,IF(I196="反例",0,"")))))</x:f>
      </x:c>
      <x:c r="K196" s="70" t="str">
        <x:v>无</x:v>
      </x:c>
      <x:c r="L196" s="70" t="str">
        <x:v>否</x:v>
      </x:c>
      <x:c r="M196" s="70" t="str"/>
      <x:c r="N196" s="70" t="str">
        <x:v>否</x:v>
      </x:c>
      <x:c r="O196" s="70" t="str"/>
    </x:row>
    <x:row r="197">
      <x:c r="A197" s="70" t="str">
        <x:v>M5HIT-0192</x:v>
      </x:c>
      <x:c r="B197" s="70" t="str"/>
      <x:c r="C197" s="70" t="str">
        <x:f>IFERROR(VLOOKUP(B197,'02_案例与预测'!$A$6:$E$65,5,FALSE),"")</x:f>
      </x:c>
      <x:c r="D197" s="70" t="str"/>
      <x:c r="E197" s="70" t="str"/>
      <x:c r="F197" s="70" t="str"/>
      <x:c r="G197" s="70" t="str"/>
      <x:c r="H197" s="70" t="str"/>
      <x:c r="I197" s="70" t="str"/>
      <x:c r="J197" s="70" t="str">
        <x:f>IF(I197="支持",1,IF(I197="基本支持",0.75,IF(I197="部分支持",0.5,IF(I197="相邻但不同",0.25,IF(I197="反例",0,"")))))</x:f>
      </x:c>
      <x:c r="K197" s="70" t="str">
        <x:v>无</x:v>
      </x:c>
      <x:c r="L197" s="70" t="str">
        <x:v>否</x:v>
      </x:c>
      <x:c r="M197" s="70" t="str"/>
      <x:c r="N197" s="70" t="str">
        <x:v>否</x:v>
      </x:c>
      <x:c r="O197" s="70" t="str"/>
    </x:row>
    <x:row r="198">
      <x:c r="A198" s="70" t="str">
        <x:v>M5HIT-0193</x:v>
      </x:c>
      <x:c r="B198" s="70" t="str"/>
      <x:c r="C198" s="70" t="str">
        <x:f>IFERROR(VLOOKUP(B198,'02_案例与预测'!$A$6:$E$65,5,FALSE),"")</x:f>
      </x:c>
      <x:c r="D198" s="70" t="str"/>
      <x:c r="E198" s="70" t="str"/>
      <x:c r="F198" s="70" t="str"/>
      <x:c r="G198" s="70" t="str"/>
      <x:c r="H198" s="70" t="str"/>
      <x:c r="I198" s="70" t="str"/>
      <x:c r="J198" s="70" t="str">
        <x:f>IF(I198="支持",1,IF(I198="基本支持",0.75,IF(I198="部分支持",0.5,IF(I198="相邻但不同",0.25,IF(I198="反例",0,"")))))</x:f>
      </x:c>
      <x:c r="K198" s="70" t="str">
        <x:v>无</x:v>
      </x:c>
      <x:c r="L198" s="70" t="str">
        <x:v>否</x:v>
      </x:c>
      <x:c r="M198" s="70" t="str"/>
      <x:c r="N198" s="70" t="str">
        <x:v>否</x:v>
      </x:c>
      <x:c r="O198" s="70" t="str"/>
    </x:row>
    <x:row r="199">
      <x:c r="A199" s="70" t="str">
        <x:v>M5HIT-0194</x:v>
      </x:c>
      <x:c r="B199" s="70" t="str"/>
      <x:c r="C199" s="70" t="str">
        <x:f>IFERROR(VLOOKUP(B199,'02_案例与预测'!$A$6:$E$65,5,FALSE),"")</x:f>
      </x:c>
      <x:c r="D199" s="70" t="str"/>
      <x:c r="E199" s="70" t="str"/>
      <x:c r="F199" s="70" t="str"/>
      <x:c r="G199" s="70" t="str"/>
      <x:c r="H199" s="70" t="str"/>
      <x:c r="I199" s="70" t="str"/>
      <x:c r="J199" s="70" t="str">
        <x:f>IF(I199="支持",1,IF(I199="基本支持",0.75,IF(I199="部分支持",0.5,IF(I199="相邻但不同",0.25,IF(I199="反例",0,"")))))</x:f>
      </x:c>
      <x:c r="K199" s="70" t="str">
        <x:v>无</x:v>
      </x:c>
      <x:c r="L199" s="70" t="str">
        <x:v>否</x:v>
      </x:c>
      <x:c r="M199" s="70" t="str"/>
      <x:c r="N199" s="70" t="str">
        <x:v>否</x:v>
      </x:c>
      <x:c r="O199" s="70" t="str"/>
    </x:row>
    <x:row r="200">
      <x:c r="A200" s="70" t="str">
        <x:v>M5HIT-0195</x:v>
      </x:c>
      <x:c r="B200" s="70" t="str"/>
      <x:c r="C200" s="70" t="str">
        <x:f>IFERROR(VLOOKUP(B200,'02_案例与预测'!$A$6:$E$65,5,FALSE),"")</x:f>
      </x:c>
      <x:c r="D200" s="70" t="str"/>
      <x:c r="E200" s="70" t="str"/>
      <x:c r="F200" s="70" t="str"/>
      <x:c r="G200" s="70" t="str"/>
      <x:c r="H200" s="70" t="str"/>
      <x:c r="I200" s="70" t="str"/>
      <x:c r="J200" s="70" t="str">
        <x:f>IF(I200="支持",1,IF(I200="基本支持",0.75,IF(I200="部分支持",0.5,IF(I200="相邻但不同",0.25,IF(I200="反例",0,"")))))</x:f>
      </x:c>
      <x:c r="K200" s="70" t="str">
        <x:v>无</x:v>
      </x:c>
      <x:c r="L200" s="70" t="str">
        <x:v>否</x:v>
      </x:c>
      <x:c r="M200" s="70" t="str"/>
      <x:c r="N200" s="70" t="str">
        <x:v>否</x:v>
      </x:c>
      <x:c r="O200" s="70" t="str"/>
    </x:row>
    <x:row r="201">
      <x:c r="A201" s="70" t="str">
        <x:v>M5HIT-0196</x:v>
      </x:c>
      <x:c r="B201" s="70" t="str"/>
      <x:c r="C201" s="70" t="str">
        <x:f>IFERROR(VLOOKUP(B201,'02_案例与预测'!$A$6:$E$65,5,FALSE),"")</x:f>
      </x:c>
      <x:c r="D201" s="70" t="str"/>
      <x:c r="E201" s="70" t="str"/>
      <x:c r="F201" s="70" t="str"/>
      <x:c r="G201" s="70" t="str"/>
      <x:c r="H201" s="70" t="str"/>
      <x:c r="I201" s="70" t="str"/>
      <x:c r="J201" s="70" t="str">
        <x:f>IF(I201="支持",1,IF(I201="基本支持",0.75,IF(I201="部分支持",0.5,IF(I201="相邻但不同",0.25,IF(I201="反例",0,"")))))</x:f>
      </x:c>
      <x:c r="K201" s="70" t="str">
        <x:v>无</x:v>
      </x:c>
      <x:c r="L201" s="70" t="str">
        <x:v>否</x:v>
      </x:c>
      <x:c r="M201" s="70" t="str"/>
      <x:c r="N201" s="70" t="str">
        <x:v>否</x:v>
      </x:c>
      <x:c r="O201" s="70" t="str"/>
    </x:row>
    <x:row r="202">
      <x:c r="A202" s="70" t="str">
        <x:v>M5HIT-0197</x:v>
      </x:c>
      <x:c r="B202" s="70" t="str"/>
      <x:c r="C202" s="70" t="str">
        <x:f>IFERROR(VLOOKUP(B202,'02_案例与预测'!$A$6:$E$65,5,FALSE),"")</x:f>
      </x:c>
      <x:c r="D202" s="70" t="str"/>
      <x:c r="E202" s="70" t="str"/>
      <x:c r="F202" s="70" t="str"/>
      <x:c r="G202" s="70" t="str"/>
      <x:c r="H202" s="70" t="str"/>
      <x:c r="I202" s="70" t="str"/>
      <x:c r="J202" s="70" t="str">
        <x:f>IF(I202="支持",1,IF(I202="基本支持",0.75,IF(I202="部分支持",0.5,IF(I202="相邻但不同",0.25,IF(I202="反例",0,"")))))</x:f>
      </x:c>
      <x:c r="K202" s="70" t="str">
        <x:v>无</x:v>
      </x:c>
      <x:c r="L202" s="70" t="str">
        <x:v>否</x:v>
      </x:c>
      <x:c r="M202" s="70" t="str"/>
      <x:c r="N202" s="70" t="str">
        <x:v>否</x:v>
      </x:c>
      <x:c r="O202" s="70" t="str"/>
    </x:row>
    <x:row r="203">
      <x:c r="A203" s="70" t="str">
        <x:v>M5HIT-0198</x:v>
      </x:c>
      <x:c r="B203" s="70" t="str"/>
      <x:c r="C203" s="70" t="str">
        <x:f>IFERROR(VLOOKUP(B203,'02_案例与预测'!$A$6:$E$65,5,FALSE),"")</x:f>
      </x:c>
      <x:c r="D203" s="70" t="str"/>
      <x:c r="E203" s="70" t="str"/>
      <x:c r="F203" s="70" t="str"/>
      <x:c r="G203" s="70" t="str"/>
      <x:c r="H203" s="70" t="str"/>
      <x:c r="I203" s="70" t="str"/>
      <x:c r="J203" s="70" t="str">
        <x:f>IF(I203="支持",1,IF(I203="基本支持",0.75,IF(I203="部分支持",0.5,IF(I203="相邻但不同",0.25,IF(I203="反例",0,"")))))</x:f>
      </x:c>
      <x:c r="K203" s="70" t="str">
        <x:v>无</x:v>
      </x:c>
      <x:c r="L203" s="70" t="str">
        <x:v>否</x:v>
      </x:c>
      <x:c r="M203" s="70" t="str"/>
      <x:c r="N203" s="70" t="str">
        <x:v>否</x:v>
      </x:c>
      <x:c r="O203" s="70" t="str"/>
    </x:row>
    <x:row r="204">
      <x:c r="A204" s="70" t="str">
        <x:v>M5HIT-0199</x:v>
      </x:c>
      <x:c r="B204" s="70" t="str"/>
      <x:c r="C204" s="70" t="str">
        <x:f>IFERROR(VLOOKUP(B204,'02_案例与预测'!$A$6:$E$65,5,FALSE),"")</x:f>
      </x:c>
      <x:c r="D204" s="70" t="str"/>
      <x:c r="E204" s="70" t="str"/>
      <x:c r="F204" s="70" t="str"/>
      <x:c r="G204" s="70" t="str"/>
      <x:c r="H204" s="70" t="str"/>
      <x:c r="I204" s="70" t="str"/>
      <x:c r="J204" s="70" t="str">
        <x:f>IF(I204="支持",1,IF(I204="基本支持",0.75,IF(I204="部分支持",0.5,IF(I204="相邻但不同",0.25,IF(I204="反例",0,"")))))</x:f>
      </x:c>
      <x:c r="K204" s="70" t="str">
        <x:v>无</x:v>
      </x:c>
      <x:c r="L204" s="70" t="str">
        <x:v>否</x:v>
      </x:c>
      <x:c r="M204" s="70" t="str"/>
      <x:c r="N204" s="70" t="str">
        <x:v>否</x:v>
      </x:c>
      <x:c r="O204" s="70" t="str"/>
    </x:row>
    <x:row r="205">
      <x:c r="A205" s="70" t="str">
        <x:v>M5HIT-0200</x:v>
      </x:c>
      <x:c r="B205" s="70" t="str"/>
      <x:c r="C205" s="70" t="str">
        <x:f>IFERROR(VLOOKUP(B205,'02_案例与预测'!$A$6:$E$65,5,FALSE),"")</x:f>
      </x:c>
      <x:c r="D205" s="70" t="str"/>
      <x:c r="E205" s="70" t="str"/>
      <x:c r="F205" s="70" t="str"/>
      <x:c r="G205" s="70" t="str"/>
      <x:c r="H205" s="70" t="str"/>
      <x:c r="I205" s="70" t="str"/>
      <x:c r="J205" s="70" t="str">
        <x:f>IF(I205="支持",1,IF(I205="基本支持",0.75,IF(I205="部分支持",0.5,IF(I205="相邻但不同",0.25,IF(I205="反例",0,"")))))</x:f>
      </x:c>
      <x:c r="K205" s="70" t="str">
        <x:v>无</x:v>
      </x:c>
      <x:c r="L205" s="70" t="str">
        <x:v>否</x:v>
      </x:c>
      <x:c r="M205" s="70" t="str"/>
      <x:c r="N205" s="70" t="str">
        <x:v>否</x:v>
      </x:c>
      <x:c r="O205" s="70" t="str"/>
    </x:row>
    <x:row r="206">
      <x:c r="A206" s="70" t="str">
        <x:v>M5HIT-0201</x:v>
      </x:c>
      <x:c r="B206" s="70" t="str"/>
      <x:c r="C206" s="70" t="str">
        <x:f>IFERROR(VLOOKUP(B206,'02_案例与预测'!$A$6:$E$65,5,FALSE),"")</x:f>
      </x:c>
      <x:c r="D206" s="70" t="str"/>
      <x:c r="E206" s="70" t="str"/>
      <x:c r="F206" s="70" t="str"/>
      <x:c r="G206" s="70" t="str"/>
      <x:c r="H206" s="70" t="str"/>
      <x:c r="I206" s="70" t="str"/>
      <x:c r="J206" s="70" t="str">
        <x:f>IF(I206="支持",1,IF(I206="基本支持",0.75,IF(I206="部分支持",0.5,IF(I206="相邻但不同",0.25,IF(I206="反例",0,"")))))</x:f>
      </x:c>
      <x:c r="K206" s="70" t="str">
        <x:v>无</x:v>
      </x:c>
      <x:c r="L206" s="70" t="str">
        <x:v>否</x:v>
      </x:c>
      <x:c r="M206" s="70" t="str"/>
      <x:c r="N206" s="70" t="str">
        <x:v>否</x:v>
      </x:c>
      <x:c r="O206" s="70" t="str"/>
    </x:row>
    <x:row r="207">
      <x:c r="A207" s="70" t="str">
        <x:v>M5HIT-0202</x:v>
      </x:c>
      <x:c r="B207" s="70" t="str"/>
      <x:c r="C207" s="70" t="str">
        <x:f>IFERROR(VLOOKUP(B207,'02_案例与预测'!$A$6:$E$65,5,FALSE),"")</x:f>
      </x:c>
      <x:c r="D207" s="70" t="str"/>
      <x:c r="E207" s="70" t="str"/>
      <x:c r="F207" s="70" t="str"/>
      <x:c r="G207" s="70" t="str"/>
      <x:c r="H207" s="70" t="str"/>
      <x:c r="I207" s="70" t="str"/>
      <x:c r="J207" s="70" t="str">
        <x:f>IF(I207="支持",1,IF(I207="基本支持",0.75,IF(I207="部分支持",0.5,IF(I207="相邻但不同",0.25,IF(I207="反例",0,"")))))</x:f>
      </x:c>
      <x:c r="K207" s="70" t="str">
        <x:v>无</x:v>
      </x:c>
      <x:c r="L207" s="70" t="str">
        <x:v>否</x:v>
      </x:c>
      <x:c r="M207" s="70" t="str"/>
      <x:c r="N207" s="70" t="str">
        <x:v>否</x:v>
      </x:c>
      <x:c r="O207" s="70" t="str"/>
    </x:row>
    <x:row r="208">
      <x:c r="A208" s="70" t="str">
        <x:v>M5HIT-0203</x:v>
      </x:c>
      <x:c r="B208" s="70" t="str"/>
      <x:c r="C208" s="70" t="str">
        <x:f>IFERROR(VLOOKUP(B208,'02_案例与预测'!$A$6:$E$65,5,FALSE),"")</x:f>
      </x:c>
      <x:c r="D208" s="70" t="str"/>
      <x:c r="E208" s="70" t="str"/>
      <x:c r="F208" s="70" t="str"/>
      <x:c r="G208" s="70" t="str"/>
      <x:c r="H208" s="70" t="str"/>
      <x:c r="I208" s="70" t="str"/>
      <x:c r="J208" s="70" t="str">
        <x:f>IF(I208="支持",1,IF(I208="基本支持",0.75,IF(I208="部分支持",0.5,IF(I208="相邻但不同",0.25,IF(I208="反例",0,"")))))</x:f>
      </x:c>
      <x:c r="K208" s="70" t="str">
        <x:v>无</x:v>
      </x:c>
      <x:c r="L208" s="70" t="str">
        <x:v>否</x:v>
      </x:c>
      <x:c r="M208" s="70" t="str"/>
      <x:c r="N208" s="70" t="str">
        <x:v>否</x:v>
      </x:c>
      <x:c r="O208" s="70" t="str"/>
    </x:row>
    <x:row r="209">
      <x:c r="A209" s="70" t="str">
        <x:v>M5HIT-0204</x:v>
      </x:c>
      <x:c r="B209" s="70" t="str"/>
      <x:c r="C209" s="70" t="str">
        <x:f>IFERROR(VLOOKUP(B209,'02_案例与预测'!$A$6:$E$65,5,FALSE),"")</x:f>
      </x:c>
      <x:c r="D209" s="70" t="str"/>
      <x:c r="E209" s="70" t="str"/>
      <x:c r="F209" s="70" t="str"/>
      <x:c r="G209" s="70" t="str"/>
      <x:c r="H209" s="70" t="str"/>
      <x:c r="I209" s="70" t="str"/>
      <x:c r="J209" s="70" t="str">
        <x:f>IF(I209="支持",1,IF(I209="基本支持",0.75,IF(I209="部分支持",0.5,IF(I209="相邻但不同",0.25,IF(I209="反例",0,"")))))</x:f>
      </x:c>
      <x:c r="K209" s="70" t="str">
        <x:v>无</x:v>
      </x:c>
      <x:c r="L209" s="70" t="str">
        <x:v>否</x:v>
      </x:c>
      <x:c r="M209" s="70" t="str"/>
      <x:c r="N209" s="70" t="str">
        <x:v>否</x:v>
      </x:c>
      <x:c r="O209" s="70" t="str"/>
    </x:row>
    <x:row r="210">
      <x:c r="A210" s="70" t="str">
        <x:v>M5HIT-0205</x:v>
      </x:c>
      <x:c r="B210" s="70" t="str"/>
      <x:c r="C210" s="70" t="str">
        <x:f>IFERROR(VLOOKUP(B210,'02_案例与预测'!$A$6:$E$65,5,FALSE),"")</x:f>
      </x:c>
      <x:c r="D210" s="70" t="str"/>
      <x:c r="E210" s="70" t="str"/>
      <x:c r="F210" s="70" t="str"/>
      <x:c r="G210" s="70" t="str"/>
      <x:c r="H210" s="70" t="str"/>
      <x:c r="I210" s="70" t="str"/>
      <x:c r="J210" s="70" t="str">
        <x:f>IF(I210="支持",1,IF(I210="基本支持",0.75,IF(I210="部分支持",0.5,IF(I210="相邻但不同",0.25,IF(I210="反例",0,"")))))</x:f>
      </x:c>
      <x:c r="K210" s="70" t="str">
        <x:v>无</x:v>
      </x:c>
      <x:c r="L210" s="70" t="str">
        <x:v>否</x:v>
      </x:c>
      <x:c r="M210" s="70" t="str"/>
      <x:c r="N210" s="70" t="str">
        <x:v>否</x:v>
      </x:c>
      <x:c r="O210" s="70" t="str"/>
    </x:row>
    <x:row r="211">
      <x:c r="A211" s="70" t="str">
        <x:v>M5HIT-0206</x:v>
      </x:c>
      <x:c r="B211" s="70" t="str"/>
      <x:c r="C211" s="70" t="str">
        <x:f>IFERROR(VLOOKUP(B211,'02_案例与预测'!$A$6:$E$65,5,FALSE),"")</x:f>
      </x:c>
      <x:c r="D211" s="70" t="str"/>
      <x:c r="E211" s="70" t="str"/>
      <x:c r="F211" s="70" t="str"/>
      <x:c r="G211" s="70" t="str"/>
      <x:c r="H211" s="70" t="str"/>
      <x:c r="I211" s="70" t="str"/>
      <x:c r="J211" s="70" t="str">
        <x:f>IF(I211="支持",1,IF(I211="基本支持",0.75,IF(I211="部分支持",0.5,IF(I211="相邻但不同",0.25,IF(I211="反例",0,"")))))</x:f>
      </x:c>
      <x:c r="K211" s="70" t="str">
        <x:v>无</x:v>
      </x:c>
      <x:c r="L211" s="70" t="str">
        <x:v>否</x:v>
      </x:c>
      <x:c r="M211" s="70" t="str"/>
      <x:c r="N211" s="70" t="str">
        <x:v>否</x:v>
      </x:c>
      <x:c r="O211" s="70" t="str"/>
    </x:row>
    <x:row r="212">
      <x:c r="A212" s="70" t="str">
        <x:v>M5HIT-0207</x:v>
      </x:c>
      <x:c r="B212" s="70" t="str"/>
      <x:c r="C212" s="70" t="str">
        <x:f>IFERROR(VLOOKUP(B212,'02_案例与预测'!$A$6:$E$65,5,FALSE),"")</x:f>
      </x:c>
      <x:c r="D212" s="70" t="str"/>
      <x:c r="E212" s="70" t="str"/>
      <x:c r="F212" s="70" t="str"/>
      <x:c r="G212" s="70" t="str"/>
      <x:c r="H212" s="70" t="str"/>
      <x:c r="I212" s="70" t="str"/>
      <x:c r="J212" s="70" t="str">
        <x:f>IF(I212="支持",1,IF(I212="基本支持",0.75,IF(I212="部分支持",0.5,IF(I212="相邻但不同",0.25,IF(I212="反例",0,"")))))</x:f>
      </x:c>
      <x:c r="K212" s="70" t="str">
        <x:v>无</x:v>
      </x:c>
      <x:c r="L212" s="70" t="str">
        <x:v>否</x:v>
      </x:c>
      <x:c r="M212" s="70" t="str"/>
      <x:c r="N212" s="70" t="str">
        <x:v>否</x:v>
      </x:c>
      <x:c r="O212" s="70" t="str"/>
    </x:row>
    <x:row r="213">
      <x:c r="A213" s="70" t="str">
        <x:v>M5HIT-0208</x:v>
      </x:c>
      <x:c r="B213" s="70" t="str"/>
      <x:c r="C213" s="70" t="str">
        <x:f>IFERROR(VLOOKUP(B213,'02_案例与预测'!$A$6:$E$65,5,FALSE),"")</x:f>
      </x:c>
      <x:c r="D213" s="70" t="str"/>
      <x:c r="E213" s="70" t="str"/>
      <x:c r="F213" s="70" t="str"/>
      <x:c r="G213" s="70" t="str"/>
      <x:c r="H213" s="70" t="str"/>
      <x:c r="I213" s="70" t="str"/>
      <x:c r="J213" s="70" t="str">
        <x:f>IF(I213="支持",1,IF(I213="基本支持",0.75,IF(I213="部分支持",0.5,IF(I213="相邻但不同",0.25,IF(I213="反例",0,"")))))</x:f>
      </x:c>
      <x:c r="K213" s="70" t="str">
        <x:v>无</x:v>
      </x:c>
      <x:c r="L213" s="70" t="str">
        <x:v>否</x:v>
      </x:c>
      <x:c r="M213" s="70" t="str"/>
      <x:c r="N213" s="70" t="str">
        <x:v>否</x:v>
      </x:c>
      <x:c r="O213" s="70" t="str"/>
    </x:row>
    <x:row r="214">
      <x:c r="A214" s="70" t="str">
        <x:v>M5HIT-0209</x:v>
      </x:c>
      <x:c r="B214" s="70" t="str"/>
      <x:c r="C214" s="70" t="str">
        <x:f>IFERROR(VLOOKUP(B214,'02_案例与预测'!$A$6:$E$65,5,FALSE),"")</x:f>
      </x:c>
      <x:c r="D214" s="70" t="str"/>
      <x:c r="E214" s="70" t="str"/>
      <x:c r="F214" s="70" t="str"/>
      <x:c r="G214" s="70" t="str"/>
      <x:c r="H214" s="70" t="str"/>
      <x:c r="I214" s="70" t="str"/>
      <x:c r="J214" s="70" t="str">
        <x:f>IF(I214="支持",1,IF(I214="基本支持",0.75,IF(I214="部分支持",0.5,IF(I214="相邻但不同",0.25,IF(I214="反例",0,"")))))</x:f>
      </x:c>
      <x:c r="K214" s="70" t="str">
        <x:v>无</x:v>
      </x:c>
      <x:c r="L214" s="70" t="str">
        <x:v>否</x:v>
      </x:c>
      <x:c r="M214" s="70" t="str"/>
      <x:c r="N214" s="70" t="str">
        <x:v>否</x:v>
      </x:c>
      <x:c r="O214" s="70" t="str"/>
    </x:row>
    <x:row r="215">
      <x:c r="A215" s="70" t="str">
        <x:v>M5HIT-0210</x:v>
      </x:c>
      <x:c r="B215" s="70" t="str"/>
      <x:c r="C215" s="70" t="str">
        <x:f>IFERROR(VLOOKUP(B215,'02_案例与预测'!$A$6:$E$65,5,FALSE),"")</x:f>
      </x:c>
      <x:c r="D215" s="70" t="str"/>
      <x:c r="E215" s="70" t="str"/>
      <x:c r="F215" s="70" t="str"/>
      <x:c r="G215" s="70" t="str"/>
      <x:c r="H215" s="70" t="str"/>
      <x:c r="I215" s="70" t="str"/>
      <x:c r="J215" s="70" t="str">
        <x:f>IF(I215="支持",1,IF(I215="基本支持",0.75,IF(I215="部分支持",0.5,IF(I215="相邻但不同",0.25,IF(I215="反例",0,"")))))</x:f>
      </x:c>
      <x:c r="K215" s="70" t="str">
        <x:v>无</x:v>
      </x:c>
      <x:c r="L215" s="70" t="str">
        <x:v>否</x:v>
      </x:c>
      <x:c r="M215" s="70" t="str"/>
      <x:c r="N215" s="70" t="str">
        <x:v>否</x:v>
      </x:c>
      <x:c r="O215" s="70" t="str"/>
    </x:row>
    <x:row r="216">
      <x:c r="A216" s="70" t="str">
        <x:v>M5HIT-0211</x:v>
      </x:c>
      <x:c r="B216" s="70" t="str"/>
      <x:c r="C216" s="70" t="str">
        <x:f>IFERROR(VLOOKUP(B216,'02_案例与预测'!$A$6:$E$65,5,FALSE),"")</x:f>
      </x:c>
      <x:c r="D216" s="70" t="str"/>
      <x:c r="E216" s="70" t="str"/>
      <x:c r="F216" s="70" t="str"/>
      <x:c r="G216" s="70" t="str"/>
      <x:c r="H216" s="70" t="str"/>
      <x:c r="I216" s="70" t="str"/>
      <x:c r="J216" s="70" t="str">
        <x:f>IF(I216="支持",1,IF(I216="基本支持",0.75,IF(I216="部分支持",0.5,IF(I216="相邻但不同",0.25,IF(I216="反例",0,"")))))</x:f>
      </x:c>
      <x:c r="K216" s="70" t="str">
        <x:v>无</x:v>
      </x:c>
      <x:c r="L216" s="70" t="str">
        <x:v>否</x:v>
      </x:c>
      <x:c r="M216" s="70" t="str"/>
      <x:c r="N216" s="70" t="str">
        <x:v>否</x:v>
      </x:c>
      <x:c r="O216" s="70" t="str"/>
    </x:row>
    <x:row r="217">
      <x:c r="A217" s="70" t="str">
        <x:v>M5HIT-0212</x:v>
      </x:c>
      <x:c r="B217" s="70" t="str"/>
      <x:c r="C217" s="70" t="str">
        <x:f>IFERROR(VLOOKUP(B217,'02_案例与预测'!$A$6:$E$65,5,FALSE),"")</x:f>
      </x:c>
      <x:c r="D217" s="70" t="str"/>
      <x:c r="E217" s="70" t="str"/>
      <x:c r="F217" s="70" t="str"/>
      <x:c r="G217" s="70" t="str"/>
      <x:c r="H217" s="70" t="str"/>
      <x:c r="I217" s="70" t="str"/>
      <x:c r="J217" s="70" t="str">
        <x:f>IF(I217="支持",1,IF(I217="基本支持",0.75,IF(I217="部分支持",0.5,IF(I217="相邻但不同",0.25,IF(I217="反例",0,"")))))</x:f>
      </x:c>
      <x:c r="K217" s="70" t="str">
        <x:v>无</x:v>
      </x:c>
      <x:c r="L217" s="70" t="str">
        <x:v>否</x:v>
      </x:c>
      <x:c r="M217" s="70" t="str"/>
      <x:c r="N217" s="70" t="str">
        <x:v>否</x:v>
      </x:c>
      <x:c r="O217" s="70" t="str"/>
    </x:row>
    <x:row r="218">
      <x:c r="A218" s="70" t="str">
        <x:v>M5HIT-0213</x:v>
      </x:c>
      <x:c r="B218" s="70" t="str"/>
      <x:c r="C218" s="70" t="str">
        <x:f>IFERROR(VLOOKUP(B218,'02_案例与预测'!$A$6:$E$65,5,FALSE),"")</x:f>
      </x:c>
      <x:c r="D218" s="70" t="str"/>
      <x:c r="E218" s="70" t="str"/>
      <x:c r="F218" s="70" t="str"/>
      <x:c r="G218" s="70" t="str"/>
      <x:c r="H218" s="70" t="str"/>
      <x:c r="I218" s="70" t="str"/>
      <x:c r="J218" s="70" t="str">
        <x:f>IF(I218="支持",1,IF(I218="基本支持",0.75,IF(I218="部分支持",0.5,IF(I218="相邻但不同",0.25,IF(I218="反例",0,"")))))</x:f>
      </x:c>
      <x:c r="K218" s="70" t="str">
        <x:v>无</x:v>
      </x:c>
      <x:c r="L218" s="70" t="str">
        <x:v>否</x:v>
      </x:c>
      <x:c r="M218" s="70" t="str"/>
      <x:c r="N218" s="70" t="str">
        <x:v>否</x:v>
      </x:c>
      <x:c r="O218" s="70" t="str"/>
    </x:row>
    <x:row r="219">
      <x:c r="A219" s="70" t="str">
        <x:v>M5HIT-0214</x:v>
      </x:c>
      <x:c r="B219" s="70" t="str"/>
      <x:c r="C219" s="70" t="str">
        <x:f>IFERROR(VLOOKUP(B219,'02_案例与预测'!$A$6:$E$65,5,FALSE),"")</x:f>
      </x:c>
      <x:c r="D219" s="70" t="str"/>
      <x:c r="E219" s="70" t="str"/>
      <x:c r="F219" s="70" t="str"/>
      <x:c r="G219" s="70" t="str"/>
      <x:c r="H219" s="70" t="str"/>
      <x:c r="I219" s="70" t="str"/>
      <x:c r="J219" s="70" t="str">
        <x:f>IF(I219="支持",1,IF(I219="基本支持",0.75,IF(I219="部分支持",0.5,IF(I219="相邻但不同",0.25,IF(I219="反例",0,"")))))</x:f>
      </x:c>
      <x:c r="K219" s="70" t="str">
        <x:v>无</x:v>
      </x:c>
      <x:c r="L219" s="70" t="str">
        <x:v>否</x:v>
      </x:c>
      <x:c r="M219" s="70" t="str"/>
      <x:c r="N219" s="70" t="str">
        <x:v>否</x:v>
      </x:c>
      <x:c r="O219" s="70" t="str"/>
    </x:row>
    <x:row r="220">
      <x:c r="A220" s="70" t="str">
        <x:v>M5HIT-0215</x:v>
      </x:c>
      <x:c r="B220" s="70" t="str"/>
      <x:c r="C220" s="70" t="str">
        <x:f>IFERROR(VLOOKUP(B220,'02_案例与预测'!$A$6:$E$65,5,FALSE),"")</x:f>
      </x:c>
      <x:c r="D220" s="70" t="str"/>
      <x:c r="E220" s="70" t="str"/>
      <x:c r="F220" s="70" t="str"/>
      <x:c r="G220" s="70" t="str"/>
      <x:c r="H220" s="70" t="str"/>
      <x:c r="I220" s="70" t="str"/>
      <x:c r="J220" s="70" t="str">
        <x:f>IF(I220="支持",1,IF(I220="基本支持",0.75,IF(I220="部分支持",0.5,IF(I220="相邻但不同",0.25,IF(I220="反例",0,"")))))</x:f>
      </x:c>
      <x:c r="K220" s="70" t="str">
        <x:v>无</x:v>
      </x:c>
      <x:c r="L220" s="70" t="str">
        <x:v>否</x:v>
      </x:c>
      <x:c r="M220" s="70" t="str"/>
      <x:c r="N220" s="70" t="str">
        <x:v>否</x:v>
      </x:c>
      <x:c r="O220" s="70" t="str"/>
    </x:row>
    <x:row r="221">
      <x:c r="A221" s="70" t="str">
        <x:v>M5HIT-0216</x:v>
      </x:c>
      <x:c r="B221" s="70" t="str"/>
      <x:c r="C221" s="70" t="str">
        <x:f>IFERROR(VLOOKUP(B221,'02_案例与预测'!$A$6:$E$65,5,FALSE),"")</x:f>
      </x:c>
      <x:c r="D221" s="70" t="str"/>
      <x:c r="E221" s="70" t="str"/>
      <x:c r="F221" s="70" t="str"/>
      <x:c r="G221" s="70" t="str"/>
      <x:c r="H221" s="70" t="str"/>
      <x:c r="I221" s="70" t="str"/>
      <x:c r="J221" s="70" t="str">
        <x:f>IF(I221="支持",1,IF(I221="基本支持",0.75,IF(I221="部分支持",0.5,IF(I221="相邻但不同",0.25,IF(I221="反例",0,"")))))</x:f>
      </x:c>
      <x:c r="K221" s="70" t="str">
        <x:v>无</x:v>
      </x:c>
      <x:c r="L221" s="70" t="str">
        <x:v>否</x:v>
      </x:c>
      <x:c r="M221" s="70" t="str"/>
      <x:c r="N221" s="70" t="str">
        <x:v>否</x:v>
      </x:c>
      <x:c r="O221" s="70" t="str"/>
    </x:row>
    <x:row r="222">
      <x:c r="A222" s="70" t="str">
        <x:v>M5HIT-0217</x:v>
      </x:c>
      <x:c r="B222" s="70" t="str"/>
      <x:c r="C222" s="70" t="str">
        <x:f>IFERROR(VLOOKUP(B222,'02_案例与预测'!$A$6:$E$65,5,FALSE),"")</x:f>
      </x:c>
      <x:c r="D222" s="70" t="str"/>
      <x:c r="E222" s="70" t="str"/>
      <x:c r="F222" s="70" t="str"/>
      <x:c r="G222" s="70" t="str"/>
      <x:c r="H222" s="70" t="str"/>
      <x:c r="I222" s="70" t="str"/>
      <x:c r="J222" s="70" t="str">
        <x:f>IF(I222="支持",1,IF(I222="基本支持",0.75,IF(I222="部分支持",0.5,IF(I222="相邻但不同",0.25,IF(I222="反例",0,"")))))</x:f>
      </x:c>
      <x:c r="K222" s="70" t="str">
        <x:v>无</x:v>
      </x:c>
      <x:c r="L222" s="70" t="str">
        <x:v>否</x:v>
      </x:c>
      <x:c r="M222" s="70" t="str"/>
      <x:c r="N222" s="70" t="str">
        <x:v>否</x:v>
      </x:c>
      <x:c r="O222" s="70" t="str"/>
    </x:row>
    <x:row r="223">
      <x:c r="A223" s="70" t="str">
        <x:v>M5HIT-0218</x:v>
      </x:c>
      <x:c r="B223" s="70" t="str"/>
      <x:c r="C223" s="70" t="str">
        <x:f>IFERROR(VLOOKUP(B223,'02_案例与预测'!$A$6:$E$65,5,FALSE),"")</x:f>
      </x:c>
      <x:c r="D223" s="70" t="str"/>
      <x:c r="E223" s="70" t="str"/>
      <x:c r="F223" s="70" t="str"/>
      <x:c r="G223" s="70" t="str"/>
      <x:c r="H223" s="70" t="str"/>
      <x:c r="I223" s="70" t="str"/>
      <x:c r="J223" s="70" t="str">
        <x:f>IF(I223="支持",1,IF(I223="基本支持",0.75,IF(I223="部分支持",0.5,IF(I223="相邻但不同",0.25,IF(I223="反例",0,"")))))</x:f>
      </x:c>
      <x:c r="K223" s="70" t="str">
        <x:v>无</x:v>
      </x:c>
      <x:c r="L223" s="70" t="str">
        <x:v>否</x:v>
      </x:c>
      <x:c r="M223" s="70" t="str"/>
      <x:c r="N223" s="70" t="str">
        <x:v>否</x:v>
      </x:c>
      <x:c r="O223" s="70" t="str"/>
    </x:row>
    <x:row r="224">
      <x:c r="A224" s="70" t="str">
        <x:v>M5HIT-0219</x:v>
      </x:c>
      <x:c r="B224" s="70" t="str"/>
      <x:c r="C224" s="70" t="str">
        <x:f>IFERROR(VLOOKUP(B224,'02_案例与预测'!$A$6:$E$65,5,FALSE),"")</x:f>
      </x:c>
      <x:c r="D224" s="70" t="str"/>
      <x:c r="E224" s="70" t="str"/>
      <x:c r="F224" s="70" t="str"/>
      <x:c r="G224" s="70" t="str"/>
      <x:c r="H224" s="70" t="str"/>
      <x:c r="I224" s="70" t="str"/>
      <x:c r="J224" s="70" t="str">
        <x:f>IF(I224="支持",1,IF(I224="基本支持",0.75,IF(I224="部分支持",0.5,IF(I224="相邻但不同",0.25,IF(I224="反例",0,"")))))</x:f>
      </x:c>
      <x:c r="K224" s="70" t="str">
        <x:v>无</x:v>
      </x:c>
      <x:c r="L224" s="70" t="str">
        <x:v>否</x:v>
      </x:c>
      <x:c r="M224" s="70" t="str"/>
      <x:c r="N224" s="70" t="str">
        <x:v>否</x:v>
      </x:c>
      <x:c r="O224" s="70" t="str"/>
    </x:row>
    <x:row r="225">
      <x:c r="A225" s="70" t="str">
        <x:v>M5HIT-0220</x:v>
      </x:c>
      <x:c r="B225" s="70" t="str"/>
      <x:c r="C225" s="70" t="str">
        <x:f>IFERROR(VLOOKUP(B225,'02_案例与预测'!$A$6:$E$65,5,FALSE),"")</x:f>
      </x:c>
      <x:c r="D225" s="70" t="str"/>
      <x:c r="E225" s="70" t="str"/>
      <x:c r="F225" s="70" t="str"/>
      <x:c r="G225" s="70" t="str"/>
      <x:c r="H225" s="70" t="str"/>
      <x:c r="I225" s="70" t="str"/>
      <x:c r="J225" s="70" t="str">
        <x:f>IF(I225="支持",1,IF(I225="基本支持",0.75,IF(I225="部分支持",0.5,IF(I225="相邻但不同",0.25,IF(I225="反例",0,"")))))</x:f>
      </x:c>
      <x:c r="K225" s="70" t="str">
        <x:v>无</x:v>
      </x:c>
      <x:c r="L225" s="70" t="str">
        <x:v>否</x:v>
      </x:c>
      <x:c r="M225" s="70" t="str"/>
      <x:c r="N225" s="70" t="str">
        <x:v>否</x:v>
      </x:c>
      <x:c r="O225" s="70" t="str"/>
    </x:row>
    <x:row r="226">
      <x:c r="A226" s="70" t="str">
        <x:v>M5HIT-0221</x:v>
      </x:c>
      <x:c r="B226" s="70" t="str"/>
      <x:c r="C226" s="70" t="str">
        <x:f>IFERROR(VLOOKUP(B226,'02_案例与预测'!$A$6:$E$65,5,FALSE),"")</x:f>
      </x:c>
      <x:c r="D226" s="70" t="str"/>
      <x:c r="E226" s="70" t="str"/>
      <x:c r="F226" s="70" t="str"/>
      <x:c r="G226" s="70" t="str"/>
      <x:c r="H226" s="70" t="str"/>
      <x:c r="I226" s="70" t="str"/>
      <x:c r="J226" s="70" t="str">
        <x:f>IF(I226="支持",1,IF(I226="基本支持",0.75,IF(I226="部分支持",0.5,IF(I226="相邻但不同",0.25,IF(I226="反例",0,"")))))</x:f>
      </x:c>
      <x:c r="K226" s="70" t="str">
        <x:v>无</x:v>
      </x:c>
      <x:c r="L226" s="70" t="str">
        <x:v>否</x:v>
      </x:c>
      <x:c r="M226" s="70" t="str"/>
      <x:c r="N226" s="70" t="str">
        <x:v>否</x:v>
      </x:c>
      <x:c r="O226" s="70" t="str"/>
    </x:row>
    <x:row r="227">
      <x:c r="A227" s="70" t="str">
        <x:v>M5HIT-0222</x:v>
      </x:c>
      <x:c r="B227" s="70" t="str"/>
      <x:c r="C227" s="70" t="str">
        <x:f>IFERROR(VLOOKUP(B227,'02_案例与预测'!$A$6:$E$65,5,FALSE),"")</x:f>
      </x:c>
      <x:c r="D227" s="70" t="str"/>
      <x:c r="E227" s="70" t="str"/>
      <x:c r="F227" s="70" t="str"/>
      <x:c r="G227" s="70" t="str"/>
      <x:c r="H227" s="70" t="str"/>
      <x:c r="I227" s="70" t="str"/>
      <x:c r="J227" s="70" t="str">
        <x:f>IF(I227="支持",1,IF(I227="基本支持",0.75,IF(I227="部分支持",0.5,IF(I227="相邻但不同",0.25,IF(I227="反例",0,"")))))</x:f>
      </x:c>
      <x:c r="K227" s="70" t="str">
        <x:v>无</x:v>
      </x:c>
      <x:c r="L227" s="70" t="str">
        <x:v>否</x:v>
      </x:c>
      <x:c r="M227" s="70" t="str"/>
      <x:c r="N227" s="70" t="str">
        <x:v>否</x:v>
      </x:c>
      <x:c r="O227" s="70" t="str"/>
    </x:row>
    <x:row r="228">
      <x:c r="A228" s="70" t="str">
        <x:v>M5HIT-0223</x:v>
      </x:c>
      <x:c r="B228" s="70" t="str"/>
      <x:c r="C228" s="70" t="str">
        <x:f>IFERROR(VLOOKUP(B228,'02_案例与预测'!$A$6:$E$65,5,FALSE),"")</x:f>
      </x:c>
      <x:c r="D228" s="70" t="str"/>
      <x:c r="E228" s="70" t="str"/>
      <x:c r="F228" s="70" t="str"/>
      <x:c r="G228" s="70" t="str"/>
      <x:c r="H228" s="70" t="str"/>
      <x:c r="I228" s="70" t="str"/>
      <x:c r="J228" s="70" t="str">
        <x:f>IF(I228="支持",1,IF(I228="基本支持",0.75,IF(I228="部分支持",0.5,IF(I228="相邻但不同",0.25,IF(I228="反例",0,"")))))</x:f>
      </x:c>
      <x:c r="K228" s="70" t="str">
        <x:v>无</x:v>
      </x:c>
      <x:c r="L228" s="70" t="str">
        <x:v>否</x:v>
      </x:c>
      <x:c r="M228" s="70" t="str"/>
      <x:c r="N228" s="70" t="str">
        <x:v>否</x:v>
      </x:c>
      <x:c r="O228" s="70" t="str"/>
    </x:row>
    <x:row r="229">
      <x:c r="A229" s="70" t="str">
        <x:v>M5HIT-0224</x:v>
      </x:c>
      <x:c r="B229" s="70" t="str"/>
      <x:c r="C229" s="70" t="str">
        <x:f>IFERROR(VLOOKUP(B229,'02_案例与预测'!$A$6:$E$65,5,FALSE),"")</x:f>
      </x:c>
      <x:c r="D229" s="70" t="str"/>
      <x:c r="E229" s="70" t="str"/>
      <x:c r="F229" s="70" t="str"/>
      <x:c r="G229" s="70" t="str"/>
      <x:c r="H229" s="70" t="str"/>
      <x:c r="I229" s="70" t="str"/>
      <x:c r="J229" s="70" t="str">
        <x:f>IF(I229="支持",1,IF(I229="基本支持",0.75,IF(I229="部分支持",0.5,IF(I229="相邻但不同",0.25,IF(I229="反例",0,"")))))</x:f>
      </x:c>
      <x:c r="K229" s="70" t="str">
        <x:v>无</x:v>
      </x:c>
      <x:c r="L229" s="70" t="str">
        <x:v>否</x:v>
      </x:c>
      <x:c r="M229" s="70" t="str"/>
      <x:c r="N229" s="70" t="str">
        <x:v>否</x:v>
      </x:c>
      <x:c r="O229" s="70" t="str"/>
    </x:row>
    <x:row r="230">
      <x:c r="A230" s="70" t="str">
        <x:v>M5HIT-0225</x:v>
      </x:c>
      <x:c r="B230" s="70" t="str"/>
      <x:c r="C230" s="70" t="str">
        <x:f>IFERROR(VLOOKUP(B230,'02_案例与预测'!$A$6:$E$65,5,FALSE),"")</x:f>
      </x:c>
      <x:c r="D230" s="70" t="str"/>
      <x:c r="E230" s="70" t="str"/>
      <x:c r="F230" s="70" t="str"/>
      <x:c r="G230" s="70" t="str"/>
      <x:c r="H230" s="70" t="str"/>
      <x:c r="I230" s="70" t="str"/>
      <x:c r="J230" s="70" t="str">
        <x:f>IF(I230="支持",1,IF(I230="基本支持",0.75,IF(I230="部分支持",0.5,IF(I230="相邻但不同",0.25,IF(I230="反例",0,"")))))</x:f>
      </x:c>
      <x:c r="K230" s="70" t="str">
        <x:v>无</x:v>
      </x:c>
      <x:c r="L230" s="70" t="str">
        <x:v>否</x:v>
      </x:c>
      <x:c r="M230" s="70" t="str"/>
      <x:c r="N230" s="70" t="str">
        <x:v>否</x:v>
      </x:c>
      <x:c r="O230" s="70" t="str"/>
    </x:row>
    <x:row r="231">
      <x:c r="A231" s="70" t="str">
        <x:v>M5HIT-0226</x:v>
      </x:c>
      <x:c r="B231" s="70" t="str"/>
      <x:c r="C231" s="70" t="str">
        <x:f>IFERROR(VLOOKUP(B231,'02_案例与预测'!$A$6:$E$65,5,FALSE),"")</x:f>
      </x:c>
      <x:c r="D231" s="70" t="str"/>
      <x:c r="E231" s="70" t="str"/>
      <x:c r="F231" s="70" t="str"/>
      <x:c r="G231" s="70" t="str"/>
      <x:c r="H231" s="70" t="str"/>
      <x:c r="I231" s="70" t="str"/>
      <x:c r="J231" s="70" t="str">
        <x:f>IF(I231="支持",1,IF(I231="基本支持",0.75,IF(I231="部分支持",0.5,IF(I231="相邻但不同",0.25,IF(I231="反例",0,"")))))</x:f>
      </x:c>
      <x:c r="K231" s="70" t="str">
        <x:v>无</x:v>
      </x:c>
      <x:c r="L231" s="70" t="str">
        <x:v>否</x:v>
      </x:c>
      <x:c r="M231" s="70" t="str"/>
      <x:c r="N231" s="70" t="str">
        <x:v>否</x:v>
      </x:c>
      <x:c r="O231" s="70" t="str"/>
    </x:row>
    <x:row r="232">
      <x:c r="A232" s="70" t="str">
        <x:v>M5HIT-0227</x:v>
      </x:c>
      <x:c r="B232" s="70" t="str"/>
      <x:c r="C232" s="70" t="str">
        <x:f>IFERROR(VLOOKUP(B232,'02_案例与预测'!$A$6:$E$65,5,FALSE),"")</x:f>
      </x:c>
      <x:c r="D232" s="70" t="str"/>
      <x:c r="E232" s="70" t="str"/>
      <x:c r="F232" s="70" t="str"/>
      <x:c r="G232" s="70" t="str"/>
      <x:c r="H232" s="70" t="str"/>
      <x:c r="I232" s="70" t="str"/>
      <x:c r="J232" s="70" t="str">
        <x:f>IF(I232="支持",1,IF(I232="基本支持",0.75,IF(I232="部分支持",0.5,IF(I232="相邻但不同",0.25,IF(I232="反例",0,"")))))</x:f>
      </x:c>
      <x:c r="K232" s="70" t="str">
        <x:v>无</x:v>
      </x:c>
      <x:c r="L232" s="70" t="str">
        <x:v>否</x:v>
      </x:c>
      <x:c r="M232" s="70" t="str"/>
      <x:c r="N232" s="70" t="str">
        <x:v>否</x:v>
      </x:c>
      <x:c r="O232" s="70" t="str"/>
    </x:row>
    <x:row r="233">
      <x:c r="A233" s="70" t="str">
        <x:v>M5HIT-0228</x:v>
      </x:c>
      <x:c r="B233" s="70" t="str"/>
      <x:c r="C233" s="70" t="str">
        <x:f>IFERROR(VLOOKUP(B233,'02_案例与预测'!$A$6:$E$65,5,FALSE),"")</x:f>
      </x:c>
      <x:c r="D233" s="70" t="str"/>
      <x:c r="E233" s="70" t="str"/>
      <x:c r="F233" s="70" t="str"/>
      <x:c r="G233" s="70" t="str"/>
      <x:c r="H233" s="70" t="str"/>
      <x:c r="I233" s="70" t="str"/>
      <x:c r="J233" s="70" t="str">
        <x:f>IF(I233="支持",1,IF(I233="基本支持",0.75,IF(I233="部分支持",0.5,IF(I233="相邻但不同",0.25,IF(I233="反例",0,"")))))</x:f>
      </x:c>
      <x:c r="K233" s="70" t="str">
        <x:v>无</x:v>
      </x:c>
      <x:c r="L233" s="70" t="str">
        <x:v>否</x:v>
      </x:c>
      <x:c r="M233" s="70" t="str"/>
      <x:c r="N233" s="70" t="str">
        <x:v>否</x:v>
      </x:c>
      <x:c r="O233" s="70" t="str"/>
    </x:row>
    <x:row r="234">
      <x:c r="A234" s="70" t="str">
        <x:v>M5HIT-0229</x:v>
      </x:c>
      <x:c r="B234" s="70" t="str"/>
      <x:c r="C234" s="70" t="str">
        <x:f>IFERROR(VLOOKUP(B234,'02_案例与预测'!$A$6:$E$65,5,FALSE),"")</x:f>
      </x:c>
      <x:c r="D234" s="70" t="str"/>
      <x:c r="E234" s="70" t="str"/>
      <x:c r="F234" s="70" t="str"/>
      <x:c r="G234" s="70" t="str"/>
      <x:c r="H234" s="70" t="str"/>
      <x:c r="I234" s="70" t="str"/>
      <x:c r="J234" s="70" t="str">
        <x:f>IF(I234="支持",1,IF(I234="基本支持",0.75,IF(I234="部分支持",0.5,IF(I234="相邻但不同",0.25,IF(I234="反例",0,"")))))</x:f>
      </x:c>
      <x:c r="K234" s="70" t="str">
        <x:v>无</x:v>
      </x:c>
      <x:c r="L234" s="70" t="str">
        <x:v>否</x:v>
      </x:c>
      <x:c r="M234" s="70" t="str"/>
      <x:c r="N234" s="70" t="str">
        <x:v>否</x:v>
      </x:c>
      <x:c r="O234" s="70" t="str"/>
    </x:row>
    <x:row r="235">
      <x:c r="A235" s="70" t="str">
        <x:v>M5HIT-0230</x:v>
      </x:c>
      <x:c r="B235" s="70" t="str"/>
      <x:c r="C235" s="70" t="str">
        <x:f>IFERROR(VLOOKUP(B235,'02_案例与预测'!$A$6:$E$65,5,FALSE),"")</x:f>
      </x:c>
      <x:c r="D235" s="70" t="str"/>
      <x:c r="E235" s="70" t="str"/>
      <x:c r="F235" s="70" t="str"/>
      <x:c r="G235" s="70" t="str"/>
      <x:c r="H235" s="70" t="str"/>
      <x:c r="I235" s="70" t="str"/>
      <x:c r="J235" s="70" t="str">
        <x:f>IF(I235="支持",1,IF(I235="基本支持",0.75,IF(I235="部分支持",0.5,IF(I235="相邻但不同",0.25,IF(I235="反例",0,"")))))</x:f>
      </x:c>
      <x:c r="K235" s="70" t="str">
        <x:v>无</x:v>
      </x:c>
      <x:c r="L235" s="70" t="str">
        <x:v>否</x:v>
      </x:c>
      <x:c r="M235" s="70" t="str"/>
      <x:c r="N235" s="70" t="str">
        <x:v>否</x:v>
      </x:c>
      <x:c r="O235" s="70" t="str"/>
    </x:row>
    <x:row r="236">
      <x:c r="A236" s="70" t="str">
        <x:v>M5HIT-0231</x:v>
      </x:c>
      <x:c r="B236" s="70" t="str"/>
      <x:c r="C236" s="70" t="str">
        <x:f>IFERROR(VLOOKUP(B236,'02_案例与预测'!$A$6:$E$65,5,FALSE),"")</x:f>
      </x:c>
      <x:c r="D236" s="70" t="str"/>
      <x:c r="E236" s="70" t="str"/>
      <x:c r="F236" s="70" t="str"/>
      <x:c r="G236" s="70" t="str"/>
      <x:c r="H236" s="70" t="str"/>
      <x:c r="I236" s="70" t="str"/>
      <x:c r="J236" s="70" t="str">
        <x:f>IF(I236="支持",1,IF(I236="基本支持",0.75,IF(I236="部分支持",0.5,IF(I236="相邻但不同",0.25,IF(I236="反例",0,"")))))</x:f>
      </x:c>
      <x:c r="K236" s="70" t="str">
        <x:v>无</x:v>
      </x:c>
      <x:c r="L236" s="70" t="str">
        <x:v>否</x:v>
      </x:c>
      <x:c r="M236" s="70" t="str"/>
      <x:c r="N236" s="70" t="str">
        <x:v>否</x:v>
      </x:c>
      <x:c r="O236" s="70" t="str"/>
    </x:row>
    <x:row r="237">
      <x:c r="A237" s="70" t="str">
        <x:v>M5HIT-0232</x:v>
      </x:c>
      <x:c r="B237" s="70" t="str"/>
      <x:c r="C237" s="70" t="str">
        <x:f>IFERROR(VLOOKUP(B237,'02_案例与预测'!$A$6:$E$65,5,FALSE),"")</x:f>
      </x:c>
      <x:c r="D237" s="70" t="str"/>
      <x:c r="E237" s="70" t="str"/>
      <x:c r="F237" s="70" t="str"/>
      <x:c r="G237" s="70" t="str"/>
      <x:c r="H237" s="70" t="str"/>
      <x:c r="I237" s="70" t="str"/>
      <x:c r="J237" s="70" t="str">
        <x:f>IF(I237="支持",1,IF(I237="基本支持",0.75,IF(I237="部分支持",0.5,IF(I237="相邻但不同",0.25,IF(I237="反例",0,"")))))</x:f>
      </x:c>
      <x:c r="K237" s="70" t="str">
        <x:v>无</x:v>
      </x:c>
      <x:c r="L237" s="70" t="str">
        <x:v>否</x:v>
      </x:c>
      <x:c r="M237" s="70" t="str"/>
      <x:c r="N237" s="70" t="str">
        <x:v>否</x:v>
      </x:c>
      <x:c r="O237" s="70" t="str"/>
    </x:row>
    <x:row r="238">
      <x:c r="A238" s="70" t="str">
        <x:v>M5HIT-0233</x:v>
      </x:c>
      <x:c r="B238" s="70" t="str"/>
      <x:c r="C238" s="70" t="str">
        <x:f>IFERROR(VLOOKUP(B238,'02_案例与预测'!$A$6:$E$65,5,FALSE),"")</x:f>
      </x:c>
      <x:c r="D238" s="70" t="str"/>
      <x:c r="E238" s="70" t="str"/>
      <x:c r="F238" s="70" t="str"/>
      <x:c r="G238" s="70" t="str"/>
      <x:c r="H238" s="70" t="str"/>
      <x:c r="I238" s="70" t="str"/>
      <x:c r="J238" s="70" t="str">
        <x:f>IF(I238="支持",1,IF(I238="基本支持",0.75,IF(I238="部分支持",0.5,IF(I238="相邻但不同",0.25,IF(I238="反例",0,"")))))</x:f>
      </x:c>
      <x:c r="K238" s="70" t="str">
        <x:v>无</x:v>
      </x:c>
      <x:c r="L238" s="70" t="str">
        <x:v>否</x:v>
      </x:c>
      <x:c r="M238" s="70" t="str"/>
      <x:c r="N238" s="70" t="str">
        <x:v>否</x:v>
      </x:c>
      <x:c r="O238" s="70" t="str"/>
    </x:row>
    <x:row r="239">
      <x:c r="A239" s="70" t="str">
        <x:v>M5HIT-0234</x:v>
      </x:c>
      <x:c r="B239" s="70" t="str"/>
      <x:c r="C239" s="70" t="str">
        <x:f>IFERROR(VLOOKUP(B239,'02_案例与预测'!$A$6:$E$65,5,FALSE),"")</x:f>
      </x:c>
      <x:c r="D239" s="70" t="str"/>
      <x:c r="E239" s="70" t="str"/>
      <x:c r="F239" s="70" t="str"/>
      <x:c r="G239" s="70" t="str"/>
      <x:c r="H239" s="70" t="str"/>
      <x:c r="I239" s="70" t="str"/>
      <x:c r="J239" s="70" t="str">
        <x:f>IF(I239="支持",1,IF(I239="基本支持",0.75,IF(I239="部分支持",0.5,IF(I239="相邻但不同",0.25,IF(I239="反例",0,"")))))</x:f>
      </x:c>
      <x:c r="K239" s="70" t="str">
        <x:v>无</x:v>
      </x:c>
      <x:c r="L239" s="70" t="str">
        <x:v>否</x:v>
      </x:c>
      <x:c r="M239" s="70" t="str"/>
      <x:c r="N239" s="70" t="str">
        <x:v>否</x:v>
      </x:c>
      <x:c r="O239" s="70" t="str"/>
    </x:row>
    <x:row r="240">
      <x:c r="A240" s="70" t="str">
        <x:v>M5HIT-0235</x:v>
      </x:c>
      <x:c r="B240" s="70" t="str"/>
      <x:c r="C240" s="70" t="str">
        <x:f>IFERROR(VLOOKUP(B240,'02_案例与预测'!$A$6:$E$65,5,FALSE),"")</x:f>
      </x:c>
      <x:c r="D240" s="70" t="str"/>
      <x:c r="E240" s="70" t="str"/>
      <x:c r="F240" s="70" t="str"/>
      <x:c r="G240" s="70" t="str"/>
      <x:c r="H240" s="70" t="str"/>
      <x:c r="I240" s="70" t="str"/>
      <x:c r="J240" s="70" t="str">
        <x:f>IF(I240="支持",1,IF(I240="基本支持",0.75,IF(I240="部分支持",0.5,IF(I240="相邻但不同",0.25,IF(I240="反例",0,"")))))</x:f>
      </x:c>
      <x:c r="K240" s="70" t="str">
        <x:v>无</x:v>
      </x:c>
      <x:c r="L240" s="70" t="str">
        <x:v>否</x:v>
      </x:c>
      <x:c r="M240" s="70" t="str"/>
      <x:c r="N240" s="70" t="str">
        <x:v>否</x:v>
      </x:c>
      <x:c r="O240" s="70" t="str"/>
    </x:row>
    <x:row r="241">
      <x:c r="A241" s="70" t="str">
        <x:v>M5HIT-0236</x:v>
      </x:c>
      <x:c r="B241" s="70" t="str"/>
      <x:c r="C241" s="70" t="str">
        <x:f>IFERROR(VLOOKUP(B241,'02_案例与预测'!$A$6:$E$65,5,FALSE),"")</x:f>
      </x:c>
      <x:c r="D241" s="70" t="str"/>
      <x:c r="E241" s="70" t="str"/>
      <x:c r="F241" s="70" t="str"/>
      <x:c r="G241" s="70" t="str"/>
      <x:c r="H241" s="70" t="str"/>
      <x:c r="I241" s="70" t="str"/>
      <x:c r="J241" s="70" t="str">
        <x:f>IF(I241="支持",1,IF(I241="基本支持",0.75,IF(I241="部分支持",0.5,IF(I241="相邻但不同",0.25,IF(I241="反例",0,"")))))</x:f>
      </x:c>
      <x:c r="K241" s="70" t="str">
        <x:v>无</x:v>
      </x:c>
      <x:c r="L241" s="70" t="str">
        <x:v>否</x:v>
      </x:c>
      <x:c r="M241" s="70" t="str"/>
      <x:c r="N241" s="70" t="str">
        <x:v>否</x:v>
      </x:c>
      <x:c r="O241" s="70" t="str"/>
    </x:row>
    <x:row r="242">
      <x:c r="A242" s="70" t="str">
        <x:v>M5HIT-0237</x:v>
      </x:c>
      <x:c r="B242" s="70" t="str"/>
      <x:c r="C242" s="70" t="str">
        <x:f>IFERROR(VLOOKUP(B242,'02_案例与预测'!$A$6:$E$65,5,FALSE),"")</x:f>
      </x:c>
      <x:c r="D242" s="70" t="str"/>
      <x:c r="E242" s="70" t="str"/>
      <x:c r="F242" s="70" t="str"/>
      <x:c r="G242" s="70" t="str"/>
      <x:c r="H242" s="70" t="str"/>
      <x:c r="I242" s="70" t="str"/>
      <x:c r="J242" s="70" t="str">
        <x:f>IF(I242="支持",1,IF(I242="基本支持",0.75,IF(I242="部分支持",0.5,IF(I242="相邻但不同",0.25,IF(I242="反例",0,"")))))</x:f>
      </x:c>
      <x:c r="K242" s="70" t="str">
        <x:v>无</x:v>
      </x:c>
      <x:c r="L242" s="70" t="str">
        <x:v>否</x:v>
      </x:c>
      <x:c r="M242" s="70" t="str"/>
      <x:c r="N242" s="70" t="str">
        <x:v>否</x:v>
      </x:c>
      <x:c r="O242" s="70" t="str"/>
    </x:row>
    <x:row r="243">
      <x:c r="A243" s="70" t="str">
        <x:v>M5HIT-0238</x:v>
      </x:c>
      <x:c r="B243" s="70" t="str"/>
      <x:c r="C243" s="70" t="str">
        <x:f>IFERROR(VLOOKUP(B243,'02_案例与预测'!$A$6:$E$65,5,FALSE),"")</x:f>
      </x:c>
      <x:c r="D243" s="70" t="str"/>
      <x:c r="E243" s="70" t="str"/>
      <x:c r="F243" s="70" t="str"/>
      <x:c r="G243" s="70" t="str"/>
      <x:c r="H243" s="70" t="str"/>
      <x:c r="I243" s="70" t="str"/>
      <x:c r="J243" s="70" t="str">
        <x:f>IF(I243="支持",1,IF(I243="基本支持",0.75,IF(I243="部分支持",0.5,IF(I243="相邻但不同",0.25,IF(I243="反例",0,"")))))</x:f>
      </x:c>
      <x:c r="K243" s="70" t="str">
        <x:v>无</x:v>
      </x:c>
      <x:c r="L243" s="70" t="str">
        <x:v>否</x:v>
      </x:c>
      <x:c r="M243" s="70" t="str"/>
      <x:c r="N243" s="70" t="str">
        <x:v>否</x:v>
      </x:c>
      <x:c r="O243" s="70" t="str"/>
    </x:row>
    <x:row r="244">
      <x:c r="A244" s="70" t="str">
        <x:v>M5HIT-0239</x:v>
      </x:c>
      <x:c r="B244" s="70" t="str"/>
      <x:c r="C244" s="70" t="str">
        <x:f>IFERROR(VLOOKUP(B244,'02_案例与预测'!$A$6:$E$65,5,FALSE),"")</x:f>
      </x:c>
      <x:c r="D244" s="70" t="str"/>
      <x:c r="E244" s="70" t="str"/>
      <x:c r="F244" s="70" t="str"/>
      <x:c r="G244" s="70" t="str"/>
      <x:c r="H244" s="70" t="str"/>
      <x:c r="I244" s="70" t="str"/>
      <x:c r="J244" s="70" t="str">
        <x:f>IF(I244="支持",1,IF(I244="基本支持",0.75,IF(I244="部分支持",0.5,IF(I244="相邻但不同",0.25,IF(I244="反例",0,"")))))</x:f>
      </x:c>
      <x:c r="K244" s="70" t="str">
        <x:v>无</x:v>
      </x:c>
      <x:c r="L244" s="70" t="str">
        <x:v>否</x:v>
      </x:c>
      <x:c r="M244" s="70" t="str"/>
      <x:c r="N244" s="70" t="str">
        <x:v>否</x:v>
      </x:c>
      <x:c r="O244" s="70" t="str"/>
    </x:row>
    <x:row r="245">
      <x:c r="A245" s="70" t="str">
        <x:v>M5HIT-0240</x:v>
      </x:c>
      <x:c r="B245" s="70" t="str"/>
      <x:c r="C245" s="70" t="str">
        <x:f>IFERROR(VLOOKUP(B245,'02_案例与预测'!$A$6:$E$65,5,FALSE),"")</x:f>
      </x:c>
      <x:c r="D245" s="70" t="str"/>
      <x:c r="E245" s="70" t="str"/>
      <x:c r="F245" s="70" t="str"/>
      <x:c r="G245" s="70" t="str"/>
      <x:c r="H245" s="70" t="str"/>
      <x:c r="I245" s="70" t="str"/>
      <x:c r="J245" s="70" t="str">
        <x:f>IF(I245="支持",1,IF(I245="基本支持",0.75,IF(I245="部分支持",0.5,IF(I245="相邻但不同",0.25,IF(I245="反例",0,"")))))</x:f>
      </x:c>
      <x:c r="K245" s="70" t="str">
        <x:v>无</x:v>
      </x:c>
      <x:c r="L245" s="70" t="str">
        <x:v>否</x:v>
      </x:c>
      <x:c r="M245" s="70" t="str"/>
      <x:c r="N245" s="70" t="str">
        <x:v>否</x:v>
      </x:c>
      <x:c r="O245" s="70" t="str"/>
    </x:row>
    <x:row r="246">
      <x:c r="A246" s="70" t="str">
        <x:v>M5HIT-0241</x:v>
      </x:c>
      <x:c r="B246" s="70" t="str"/>
      <x:c r="C246" s="70" t="str">
        <x:f>IFERROR(VLOOKUP(B246,'02_案例与预测'!$A$6:$E$65,5,FALSE),"")</x:f>
      </x:c>
      <x:c r="D246" s="70" t="str"/>
      <x:c r="E246" s="70" t="str"/>
      <x:c r="F246" s="70" t="str"/>
      <x:c r="G246" s="70" t="str"/>
      <x:c r="H246" s="70" t="str"/>
      <x:c r="I246" s="70" t="str"/>
      <x:c r="J246" s="70" t="str">
        <x:f>IF(I246="支持",1,IF(I246="基本支持",0.75,IF(I246="部分支持",0.5,IF(I246="相邻但不同",0.25,IF(I246="反例",0,"")))))</x:f>
      </x:c>
      <x:c r="K246" s="70" t="str">
        <x:v>无</x:v>
      </x:c>
      <x:c r="L246" s="70" t="str">
        <x:v>否</x:v>
      </x:c>
      <x:c r="M246" s="70" t="str"/>
      <x:c r="N246" s="70" t="str">
        <x:v>否</x:v>
      </x:c>
      <x:c r="O246" s="70" t="str"/>
    </x:row>
    <x:row r="247">
      <x:c r="A247" s="70" t="str">
        <x:v>M5HIT-0242</x:v>
      </x:c>
      <x:c r="B247" s="70" t="str"/>
      <x:c r="C247" s="70" t="str">
        <x:f>IFERROR(VLOOKUP(B247,'02_案例与预测'!$A$6:$E$65,5,FALSE),"")</x:f>
      </x:c>
      <x:c r="D247" s="70" t="str"/>
      <x:c r="E247" s="70" t="str"/>
      <x:c r="F247" s="70" t="str"/>
      <x:c r="G247" s="70" t="str"/>
      <x:c r="H247" s="70" t="str"/>
      <x:c r="I247" s="70" t="str"/>
      <x:c r="J247" s="70" t="str">
        <x:f>IF(I247="支持",1,IF(I247="基本支持",0.75,IF(I247="部分支持",0.5,IF(I247="相邻但不同",0.25,IF(I247="反例",0,"")))))</x:f>
      </x:c>
      <x:c r="K247" s="70" t="str">
        <x:v>无</x:v>
      </x:c>
      <x:c r="L247" s="70" t="str">
        <x:v>否</x:v>
      </x:c>
      <x:c r="M247" s="70" t="str"/>
      <x:c r="N247" s="70" t="str">
        <x:v>否</x:v>
      </x:c>
      <x:c r="O247" s="70" t="str"/>
    </x:row>
    <x:row r="248">
      <x:c r="A248" s="70" t="str">
        <x:v>M5HIT-0243</x:v>
      </x:c>
      <x:c r="B248" s="70" t="str"/>
      <x:c r="C248" s="70" t="str">
        <x:f>IFERROR(VLOOKUP(B248,'02_案例与预测'!$A$6:$E$65,5,FALSE),"")</x:f>
      </x:c>
      <x:c r="D248" s="70" t="str"/>
      <x:c r="E248" s="70" t="str"/>
      <x:c r="F248" s="70" t="str"/>
      <x:c r="G248" s="70" t="str"/>
      <x:c r="H248" s="70" t="str"/>
      <x:c r="I248" s="70" t="str"/>
      <x:c r="J248" s="70" t="str">
        <x:f>IF(I248="支持",1,IF(I248="基本支持",0.75,IF(I248="部分支持",0.5,IF(I248="相邻但不同",0.25,IF(I248="反例",0,"")))))</x:f>
      </x:c>
      <x:c r="K248" s="70" t="str">
        <x:v>无</x:v>
      </x:c>
      <x:c r="L248" s="70" t="str">
        <x:v>否</x:v>
      </x:c>
      <x:c r="M248" s="70" t="str"/>
      <x:c r="N248" s="70" t="str">
        <x:v>否</x:v>
      </x:c>
      <x:c r="O248" s="70" t="str"/>
    </x:row>
    <x:row r="249">
      <x:c r="A249" s="70" t="str">
        <x:v>M5HIT-0244</x:v>
      </x:c>
      <x:c r="B249" s="70" t="str"/>
      <x:c r="C249" s="70" t="str">
        <x:f>IFERROR(VLOOKUP(B249,'02_案例与预测'!$A$6:$E$65,5,FALSE),"")</x:f>
      </x:c>
      <x:c r="D249" s="70" t="str"/>
      <x:c r="E249" s="70" t="str"/>
      <x:c r="F249" s="70" t="str"/>
      <x:c r="G249" s="70" t="str"/>
      <x:c r="H249" s="70" t="str"/>
      <x:c r="I249" s="70" t="str"/>
      <x:c r="J249" s="70" t="str">
        <x:f>IF(I249="支持",1,IF(I249="基本支持",0.75,IF(I249="部分支持",0.5,IF(I249="相邻但不同",0.25,IF(I249="反例",0,"")))))</x:f>
      </x:c>
      <x:c r="K249" s="70" t="str">
        <x:v>无</x:v>
      </x:c>
      <x:c r="L249" s="70" t="str">
        <x:v>否</x:v>
      </x:c>
      <x:c r="M249" s="70" t="str"/>
      <x:c r="N249" s="70" t="str">
        <x:v>否</x:v>
      </x:c>
      <x:c r="O249" s="70" t="str"/>
    </x:row>
    <x:row r="250">
      <x:c r="A250" s="70" t="str">
        <x:v>M5HIT-0245</x:v>
      </x:c>
      <x:c r="B250" s="70" t="str"/>
      <x:c r="C250" s="70" t="str">
        <x:f>IFERROR(VLOOKUP(B250,'02_案例与预测'!$A$6:$E$65,5,FALSE),"")</x:f>
      </x:c>
      <x:c r="D250" s="70" t="str"/>
      <x:c r="E250" s="70" t="str"/>
      <x:c r="F250" s="70" t="str"/>
      <x:c r="G250" s="70" t="str"/>
      <x:c r="H250" s="70" t="str"/>
      <x:c r="I250" s="70" t="str"/>
      <x:c r="J250" s="70" t="str">
        <x:f>IF(I250="支持",1,IF(I250="基本支持",0.75,IF(I250="部分支持",0.5,IF(I250="相邻但不同",0.25,IF(I250="反例",0,"")))))</x:f>
      </x:c>
      <x:c r="K250" s="70" t="str">
        <x:v>无</x:v>
      </x:c>
      <x:c r="L250" s="70" t="str">
        <x:v>否</x:v>
      </x:c>
      <x:c r="M250" s="70" t="str"/>
      <x:c r="N250" s="70" t="str">
        <x:v>否</x:v>
      </x:c>
      <x:c r="O250" s="70" t="str"/>
    </x:row>
    <x:row r="251">
      <x:c r="A251" s="70" t="str">
        <x:v>M5HIT-0246</x:v>
      </x:c>
      <x:c r="B251" s="70" t="str"/>
      <x:c r="C251" s="70" t="str">
        <x:f>IFERROR(VLOOKUP(B251,'02_案例与预测'!$A$6:$E$65,5,FALSE),"")</x:f>
      </x:c>
      <x:c r="D251" s="70" t="str"/>
      <x:c r="E251" s="70" t="str"/>
      <x:c r="F251" s="70" t="str"/>
      <x:c r="G251" s="70" t="str"/>
      <x:c r="H251" s="70" t="str"/>
      <x:c r="I251" s="70" t="str"/>
      <x:c r="J251" s="70" t="str">
        <x:f>IF(I251="支持",1,IF(I251="基本支持",0.75,IF(I251="部分支持",0.5,IF(I251="相邻但不同",0.25,IF(I251="反例",0,"")))))</x:f>
      </x:c>
      <x:c r="K251" s="70" t="str">
        <x:v>无</x:v>
      </x:c>
      <x:c r="L251" s="70" t="str">
        <x:v>否</x:v>
      </x:c>
      <x:c r="M251" s="70" t="str"/>
      <x:c r="N251" s="70" t="str">
        <x:v>否</x:v>
      </x:c>
      <x:c r="O251" s="70" t="str"/>
    </x:row>
    <x:row r="252">
      <x:c r="A252" s="70" t="str">
        <x:v>M5HIT-0247</x:v>
      </x:c>
      <x:c r="B252" s="70" t="str"/>
      <x:c r="C252" s="70" t="str">
        <x:f>IFERROR(VLOOKUP(B252,'02_案例与预测'!$A$6:$E$65,5,FALSE),"")</x:f>
      </x:c>
      <x:c r="D252" s="70" t="str"/>
      <x:c r="E252" s="70" t="str"/>
      <x:c r="F252" s="70" t="str"/>
      <x:c r="G252" s="70" t="str"/>
      <x:c r="H252" s="70" t="str"/>
      <x:c r="I252" s="70" t="str"/>
      <x:c r="J252" s="70" t="str">
        <x:f>IF(I252="支持",1,IF(I252="基本支持",0.75,IF(I252="部分支持",0.5,IF(I252="相邻但不同",0.25,IF(I252="反例",0,"")))))</x:f>
      </x:c>
      <x:c r="K252" s="70" t="str">
        <x:v>无</x:v>
      </x:c>
      <x:c r="L252" s="70" t="str">
        <x:v>否</x:v>
      </x:c>
      <x:c r="M252" s="70" t="str"/>
      <x:c r="N252" s="70" t="str">
        <x:v>否</x:v>
      </x:c>
      <x:c r="O252" s="70" t="str"/>
    </x:row>
    <x:row r="253">
      <x:c r="A253" s="70" t="str">
        <x:v>M5HIT-0248</x:v>
      </x:c>
      <x:c r="B253" s="70" t="str"/>
      <x:c r="C253" s="70" t="str">
        <x:f>IFERROR(VLOOKUP(B253,'02_案例与预测'!$A$6:$E$65,5,FALSE),"")</x:f>
      </x:c>
      <x:c r="D253" s="70" t="str"/>
      <x:c r="E253" s="70" t="str"/>
      <x:c r="F253" s="70" t="str"/>
      <x:c r="G253" s="70" t="str"/>
      <x:c r="H253" s="70" t="str"/>
      <x:c r="I253" s="70" t="str"/>
      <x:c r="J253" s="70" t="str">
        <x:f>IF(I253="支持",1,IF(I253="基本支持",0.75,IF(I253="部分支持",0.5,IF(I253="相邻但不同",0.25,IF(I253="反例",0,"")))))</x:f>
      </x:c>
      <x:c r="K253" s="70" t="str">
        <x:v>无</x:v>
      </x:c>
      <x:c r="L253" s="70" t="str">
        <x:v>否</x:v>
      </x:c>
      <x:c r="M253" s="70" t="str"/>
      <x:c r="N253" s="70" t="str">
        <x:v>否</x:v>
      </x:c>
      <x:c r="O253" s="70" t="str"/>
    </x:row>
    <x:row r="254">
      <x:c r="A254" s="70" t="str">
        <x:v>M5HIT-0249</x:v>
      </x:c>
      <x:c r="B254" s="70" t="str"/>
      <x:c r="C254" s="70" t="str">
        <x:f>IFERROR(VLOOKUP(B254,'02_案例与预测'!$A$6:$E$65,5,FALSE),"")</x:f>
      </x:c>
      <x:c r="D254" s="70" t="str"/>
      <x:c r="E254" s="70" t="str"/>
      <x:c r="F254" s="70" t="str"/>
      <x:c r="G254" s="70" t="str"/>
      <x:c r="H254" s="70" t="str"/>
      <x:c r="I254" s="70" t="str"/>
      <x:c r="J254" s="70" t="str">
        <x:f>IF(I254="支持",1,IF(I254="基本支持",0.75,IF(I254="部分支持",0.5,IF(I254="相邻但不同",0.25,IF(I254="反例",0,"")))))</x:f>
      </x:c>
      <x:c r="K254" s="70" t="str">
        <x:v>无</x:v>
      </x:c>
      <x:c r="L254" s="70" t="str">
        <x:v>否</x:v>
      </x:c>
      <x:c r="M254" s="70" t="str"/>
      <x:c r="N254" s="70" t="str">
        <x:v>否</x:v>
      </x:c>
      <x:c r="O254" s="70" t="str"/>
    </x:row>
    <x:row r="255">
      <x:c r="A255" s="70" t="str">
        <x:v>M5HIT-0250</x:v>
      </x:c>
      <x:c r="B255" s="70" t="str"/>
      <x:c r="C255" s="70" t="str">
        <x:f>IFERROR(VLOOKUP(B255,'02_案例与预测'!$A$6:$E$65,5,FALSE),"")</x:f>
      </x:c>
      <x:c r="D255" s="70" t="str"/>
      <x:c r="E255" s="70" t="str"/>
      <x:c r="F255" s="70" t="str"/>
      <x:c r="G255" s="70" t="str"/>
      <x:c r="H255" s="70" t="str"/>
      <x:c r="I255" s="70" t="str"/>
      <x:c r="J255" s="70" t="str">
        <x:f>IF(I255="支持",1,IF(I255="基本支持",0.75,IF(I255="部分支持",0.5,IF(I255="相邻但不同",0.25,IF(I255="反例",0,"")))))</x:f>
      </x:c>
      <x:c r="K255" s="70" t="str">
        <x:v>无</x:v>
      </x:c>
      <x:c r="L255" s="70" t="str">
        <x:v>否</x:v>
      </x:c>
      <x:c r="M255" s="70" t="str"/>
      <x:c r="N255" s="70" t="str">
        <x:v>否</x:v>
      </x:c>
      <x:c r="O255" s="70" t="str"/>
    </x:row>
    <x:row r="256">
      <x:c r="A256" s="70" t="str">
        <x:v>M5HIT-0251</x:v>
      </x:c>
      <x:c r="B256" s="70" t="str"/>
      <x:c r="C256" s="70" t="str">
        <x:f>IFERROR(VLOOKUP(B256,'02_案例与预测'!$A$6:$E$65,5,FALSE),"")</x:f>
      </x:c>
      <x:c r="D256" s="70" t="str"/>
      <x:c r="E256" s="70" t="str"/>
      <x:c r="F256" s="70" t="str"/>
      <x:c r="G256" s="70" t="str"/>
      <x:c r="H256" s="70" t="str"/>
      <x:c r="I256" s="70" t="str"/>
      <x:c r="J256" s="70" t="str">
        <x:f>IF(I256="支持",1,IF(I256="基本支持",0.75,IF(I256="部分支持",0.5,IF(I256="相邻但不同",0.25,IF(I256="反例",0,"")))))</x:f>
      </x:c>
      <x:c r="K256" s="70" t="str">
        <x:v>无</x:v>
      </x:c>
      <x:c r="L256" s="70" t="str">
        <x:v>否</x:v>
      </x:c>
      <x:c r="M256" s="70" t="str"/>
      <x:c r="N256" s="70" t="str">
        <x:v>否</x:v>
      </x:c>
      <x:c r="O256" s="70" t="str"/>
    </x:row>
    <x:row r="257">
      <x:c r="A257" s="70" t="str">
        <x:v>M5HIT-0252</x:v>
      </x:c>
      <x:c r="B257" s="70" t="str"/>
      <x:c r="C257" s="70" t="str">
        <x:f>IFERROR(VLOOKUP(B257,'02_案例与预测'!$A$6:$E$65,5,FALSE),"")</x:f>
      </x:c>
      <x:c r="D257" s="70" t="str"/>
      <x:c r="E257" s="70" t="str"/>
      <x:c r="F257" s="70" t="str"/>
      <x:c r="G257" s="70" t="str"/>
      <x:c r="H257" s="70" t="str"/>
      <x:c r="I257" s="70" t="str"/>
      <x:c r="J257" s="70" t="str">
        <x:f>IF(I257="支持",1,IF(I257="基本支持",0.75,IF(I257="部分支持",0.5,IF(I257="相邻但不同",0.25,IF(I257="反例",0,"")))))</x:f>
      </x:c>
      <x:c r="K257" s="70" t="str">
        <x:v>无</x:v>
      </x:c>
      <x:c r="L257" s="70" t="str">
        <x:v>否</x:v>
      </x:c>
      <x:c r="M257" s="70" t="str"/>
      <x:c r="N257" s="70" t="str">
        <x:v>否</x:v>
      </x:c>
      <x:c r="O257" s="70" t="str"/>
    </x:row>
    <x:row r="258">
      <x:c r="A258" s="70" t="str">
        <x:v>M5HIT-0253</x:v>
      </x:c>
      <x:c r="B258" s="70" t="str"/>
      <x:c r="C258" s="70" t="str">
        <x:f>IFERROR(VLOOKUP(B258,'02_案例与预测'!$A$6:$E$65,5,FALSE),"")</x:f>
      </x:c>
      <x:c r="D258" s="70" t="str"/>
      <x:c r="E258" s="70" t="str"/>
      <x:c r="F258" s="70" t="str"/>
      <x:c r="G258" s="70" t="str"/>
      <x:c r="H258" s="70" t="str"/>
      <x:c r="I258" s="70" t="str"/>
      <x:c r="J258" s="70" t="str">
        <x:f>IF(I258="支持",1,IF(I258="基本支持",0.75,IF(I258="部分支持",0.5,IF(I258="相邻但不同",0.25,IF(I258="反例",0,"")))))</x:f>
      </x:c>
      <x:c r="K258" s="70" t="str">
        <x:v>无</x:v>
      </x:c>
      <x:c r="L258" s="70" t="str">
        <x:v>否</x:v>
      </x:c>
      <x:c r="M258" s="70" t="str"/>
      <x:c r="N258" s="70" t="str">
        <x:v>否</x:v>
      </x:c>
      <x:c r="O258" s="70" t="str"/>
    </x:row>
    <x:row r="259">
      <x:c r="A259" s="70" t="str">
        <x:v>M5HIT-0254</x:v>
      </x:c>
      <x:c r="B259" s="70" t="str"/>
      <x:c r="C259" s="70" t="str">
        <x:f>IFERROR(VLOOKUP(B259,'02_案例与预测'!$A$6:$E$65,5,FALSE),"")</x:f>
      </x:c>
      <x:c r="D259" s="70" t="str"/>
      <x:c r="E259" s="70" t="str"/>
      <x:c r="F259" s="70" t="str"/>
      <x:c r="G259" s="70" t="str"/>
      <x:c r="H259" s="70" t="str"/>
      <x:c r="I259" s="70" t="str"/>
      <x:c r="J259" s="70" t="str">
        <x:f>IF(I259="支持",1,IF(I259="基本支持",0.75,IF(I259="部分支持",0.5,IF(I259="相邻但不同",0.25,IF(I259="反例",0,"")))))</x:f>
      </x:c>
      <x:c r="K259" s="70" t="str">
        <x:v>无</x:v>
      </x:c>
      <x:c r="L259" s="70" t="str">
        <x:v>否</x:v>
      </x:c>
      <x:c r="M259" s="70" t="str"/>
      <x:c r="N259" s="70" t="str">
        <x:v>否</x:v>
      </x:c>
      <x:c r="O259" s="70" t="str"/>
    </x:row>
    <x:row r="260">
      <x:c r="A260" s="70" t="str">
        <x:v>M5HIT-0255</x:v>
      </x:c>
      <x:c r="B260" s="70" t="str"/>
      <x:c r="C260" s="70" t="str">
        <x:f>IFERROR(VLOOKUP(B260,'02_案例与预测'!$A$6:$E$65,5,FALSE),"")</x:f>
      </x:c>
      <x:c r="D260" s="70" t="str"/>
      <x:c r="E260" s="70" t="str"/>
      <x:c r="F260" s="70" t="str"/>
      <x:c r="G260" s="70" t="str"/>
      <x:c r="H260" s="70" t="str"/>
      <x:c r="I260" s="70" t="str"/>
      <x:c r="J260" s="70" t="str">
        <x:f>IF(I260="支持",1,IF(I260="基本支持",0.75,IF(I260="部分支持",0.5,IF(I260="相邻但不同",0.25,IF(I260="反例",0,"")))))</x:f>
      </x:c>
      <x:c r="K260" s="70" t="str">
        <x:v>无</x:v>
      </x:c>
      <x:c r="L260" s="70" t="str">
        <x:v>否</x:v>
      </x:c>
      <x:c r="M260" s="70" t="str"/>
      <x:c r="N260" s="70" t="str">
        <x:v>否</x:v>
      </x:c>
      <x:c r="O260" s="70" t="str"/>
    </x:row>
    <x:row r="261">
      <x:c r="A261" s="70" t="str">
        <x:v>M5HIT-0256</x:v>
      </x:c>
      <x:c r="B261" s="70" t="str"/>
      <x:c r="C261" s="70" t="str">
        <x:f>IFERROR(VLOOKUP(B261,'02_案例与预测'!$A$6:$E$65,5,FALSE),"")</x:f>
      </x:c>
      <x:c r="D261" s="70" t="str"/>
      <x:c r="E261" s="70" t="str"/>
      <x:c r="F261" s="70" t="str"/>
      <x:c r="G261" s="70" t="str"/>
      <x:c r="H261" s="70" t="str"/>
      <x:c r="I261" s="70" t="str"/>
      <x:c r="J261" s="70" t="str">
        <x:f>IF(I261="支持",1,IF(I261="基本支持",0.75,IF(I261="部分支持",0.5,IF(I261="相邻但不同",0.25,IF(I261="反例",0,"")))))</x:f>
      </x:c>
      <x:c r="K261" s="70" t="str">
        <x:v>无</x:v>
      </x:c>
      <x:c r="L261" s="70" t="str">
        <x:v>否</x:v>
      </x:c>
      <x:c r="M261" s="70" t="str"/>
      <x:c r="N261" s="70" t="str">
        <x:v>否</x:v>
      </x:c>
      <x:c r="O261" s="70" t="str"/>
    </x:row>
    <x:row r="262">
      <x:c r="A262" s="70" t="str">
        <x:v>M5HIT-0257</x:v>
      </x:c>
      <x:c r="B262" s="70" t="str"/>
      <x:c r="C262" s="70" t="str">
        <x:f>IFERROR(VLOOKUP(B262,'02_案例与预测'!$A$6:$E$65,5,FALSE),"")</x:f>
      </x:c>
      <x:c r="D262" s="70" t="str"/>
      <x:c r="E262" s="70" t="str"/>
      <x:c r="F262" s="70" t="str"/>
      <x:c r="G262" s="70" t="str"/>
      <x:c r="H262" s="70" t="str"/>
      <x:c r="I262" s="70" t="str"/>
      <x:c r="J262" s="70" t="str">
        <x:f>IF(I262="支持",1,IF(I262="基本支持",0.75,IF(I262="部分支持",0.5,IF(I262="相邻但不同",0.25,IF(I262="反例",0,"")))))</x:f>
      </x:c>
      <x:c r="K262" s="70" t="str">
        <x:v>无</x:v>
      </x:c>
      <x:c r="L262" s="70" t="str">
        <x:v>否</x:v>
      </x:c>
      <x:c r="M262" s="70" t="str"/>
      <x:c r="N262" s="70" t="str">
        <x:v>否</x:v>
      </x:c>
      <x:c r="O262" s="70" t="str"/>
    </x:row>
    <x:row r="263">
      <x:c r="A263" s="70" t="str">
        <x:v>M5HIT-0258</x:v>
      </x:c>
      <x:c r="B263" s="70" t="str"/>
      <x:c r="C263" s="70" t="str">
        <x:f>IFERROR(VLOOKUP(B263,'02_案例与预测'!$A$6:$E$65,5,FALSE),"")</x:f>
      </x:c>
      <x:c r="D263" s="70" t="str"/>
      <x:c r="E263" s="70" t="str"/>
      <x:c r="F263" s="70" t="str"/>
      <x:c r="G263" s="70" t="str"/>
      <x:c r="H263" s="70" t="str"/>
      <x:c r="I263" s="70" t="str"/>
      <x:c r="J263" s="70" t="str">
        <x:f>IF(I263="支持",1,IF(I263="基本支持",0.75,IF(I263="部分支持",0.5,IF(I263="相邻但不同",0.25,IF(I263="反例",0,"")))))</x:f>
      </x:c>
      <x:c r="K263" s="70" t="str">
        <x:v>无</x:v>
      </x:c>
      <x:c r="L263" s="70" t="str">
        <x:v>否</x:v>
      </x:c>
      <x:c r="M263" s="70" t="str"/>
      <x:c r="N263" s="70" t="str">
        <x:v>否</x:v>
      </x:c>
      <x:c r="O263" s="70" t="str"/>
    </x:row>
    <x:row r="264">
      <x:c r="A264" s="70" t="str">
        <x:v>M5HIT-0259</x:v>
      </x:c>
      <x:c r="B264" s="70" t="str"/>
      <x:c r="C264" s="70" t="str">
        <x:f>IFERROR(VLOOKUP(B264,'02_案例与预测'!$A$6:$E$65,5,FALSE),"")</x:f>
      </x:c>
      <x:c r="D264" s="70" t="str"/>
      <x:c r="E264" s="70" t="str"/>
      <x:c r="F264" s="70" t="str"/>
      <x:c r="G264" s="70" t="str"/>
      <x:c r="H264" s="70" t="str"/>
      <x:c r="I264" s="70" t="str"/>
      <x:c r="J264" s="70" t="str">
        <x:f>IF(I264="支持",1,IF(I264="基本支持",0.75,IF(I264="部分支持",0.5,IF(I264="相邻但不同",0.25,IF(I264="反例",0,"")))))</x:f>
      </x:c>
      <x:c r="K264" s="70" t="str">
        <x:v>无</x:v>
      </x:c>
      <x:c r="L264" s="70" t="str">
        <x:v>否</x:v>
      </x:c>
      <x:c r="M264" s="70" t="str"/>
      <x:c r="N264" s="70" t="str">
        <x:v>否</x:v>
      </x:c>
      <x:c r="O264" s="70" t="str"/>
    </x:row>
    <x:row r="265">
      <x:c r="A265" s="70" t="str">
        <x:v>M5HIT-0260</x:v>
      </x:c>
      <x:c r="B265" s="70" t="str"/>
      <x:c r="C265" s="70" t="str">
        <x:f>IFERROR(VLOOKUP(B265,'02_案例与预测'!$A$6:$E$65,5,FALSE),"")</x:f>
      </x:c>
      <x:c r="D265" s="70" t="str"/>
      <x:c r="E265" s="70" t="str"/>
      <x:c r="F265" s="70" t="str"/>
      <x:c r="G265" s="70" t="str"/>
      <x:c r="H265" s="70" t="str"/>
      <x:c r="I265" s="70" t="str"/>
      <x:c r="J265" s="70" t="str">
        <x:f>IF(I265="支持",1,IF(I265="基本支持",0.75,IF(I265="部分支持",0.5,IF(I265="相邻但不同",0.25,IF(I265="反例",0,"")))))</x:f>
      </x:c>
      <x:c r="K265" s="70" t="str">
        <x:v>无</x:v>
      </x:c>
      <x:c r="L265" s="70" t="str">
        <x:v>否</x:v>
      </x:c>
      <x:c r="M265" s="70" t="str"/>
      <x:c r="N265" s="70" t="str">
        <x:v>否</x:v>
      </x:c>
      <x:c r="O265" s="70" t="str"/>
    </x:row>
    <x:row r="266">
      <x:c r="A266" s="70" t="str">
        <x:v>M5HIT-0261</x:v>
      </x:c>
      <x:c r="B266" s="70" t="str"/>
      <x:c r="C266" s="70" t="str">
        <x:f>IFERROR(VLOOKUP(B266,'02_案例与预测'!$A$6:$E$65,5,FALSE),"")</x:f>
      </x:c>
      <x:c r="D266" s="70" t="str"/>
      <x:c r="E266" s="70" t="str"/>
      <x:c r="F266" s="70" t="str"/>
      <x:c r="G266" s="70" t="str"/>
      <x:c r="H266" s="70" t="str"/>
      <x:c r="I266" s="70" t="str"/>
      <x:c r="J266" s="70" t="str">
        <x:f>IF(I266="支持",1,IF(I266="基本支持",0.75,IF(I266="部分支持",0.5,IF(I266="相邻但不同",0.25,IF(I266="反例",0,"")))))</x:f>
      </x:c>
      <x:c r="K266" s="70" t="str">
        <x:v>无</x:v>
      </x:c>
      <x:c r="L266" s="70" t="str">
        <x:v>否</x:v>
      </x:c>
      <x:c r="M266" s="70" t="str"/>
      <x:c r="N266" s="70" t="str">
        <x:v>否</x:v>
      </x:c>
      <x:c r="O266" s="70" t="str"/>
    </x:row>
    <x:row r="267">
      <x:c r="A267" s="70" t="str">
        <x:v>M5HIT-0262</x:v>
      </x:c>
      <x:c r="B267" s="70" t="str"/>
      <x:c r="C267" s="70" t="str">
        <x:f>IFERROR(VLOOKUP(B267,'02_案例与预测'!$A$6:$E$65,5,FALSE),"")</x:f>
      </x:c>
      <x:c r="D267" s="70" t="str"/>
      <x:c r="E267" s="70" t="str"/>
      <x:c r="F267" s="70" t="str"/>
      <x:c r="G267" s="70" t="str"/>
      <x:c r="H267" s="70" t="str"/>
      <x:c r="I267" s="70" t="str"/>
      <x:c r="J267" s="70" t="str">
        <x:f>IF(I267="支持",1,IF(I267="基本支持",0.75,IF(I267="部分支持",0.5,IF(I267="相邻但不同",0.25,IF(I267="反例",0,"")))))</x:f>
      </x:c>
      <x:c r="K267" s="70" t="str">
        <x:v>无</x:v>
      </x:c>
      <x:c r="L267" s="70" t="str">
        <x:v>否</x:v>
      </x:c>
      <x:c r="M267" s="70" t="str"/>
      <x:c r="N267" s="70" t="str">
        <x:v>否</x:v>
      </x:c>
      <x:c r="O267" s="70" t="str"/>
    </x:row>
    <x:row r="268">
      <x:c r="A268" s="70" t="str">
        <x:v>M5HIT-0263</x:v>
      </x:c>
      <x:c r="B268" s="70" t="str"/>
      <x:c r="C268" s="70" t="str">
        <x:f>IFERROR(VLOOKUP(B268,'02_案例与预测'!$A$6:$E$65,5,FALSE),"")</x:f>
      </x:c>
      <x:c r="D268" s="70" t="str"/>
      <x:c r="E268" s="70" t="str"/>
      <x:c r="F268" s="70" t="str"/>
      <x:c r="G268" s="70" t="str"/>
      <x:c r="H268" s="70" t="str"/>
      <x:c r="I268" s="70" t="str"/>
      <x:c r="J268" s="70" t="str">
        <x:f>IF(I268="支持",1,IF(I268="基本支持",0.75,IF(I268="部分支持",0.5,IF(I268="相邻但不同",0.25,IF(I268="反例",0,"")))))</x:f>
      </x:c>
      <x:c r="K268" s="70" t="str">
        <x:v>无</x:v>
      </x:c>
      <x:c r="L268" s="70" t="str">
        <x:v>否</x:v>
      </x:c>
      <x:c r="M268" s="70" t="str"/>
      <x:c r="N268" s="70" t="str">
        <x:v>否</x:v>
      </x:c>
      <x:c r="O268" s="70" t="str"/>
    </x:row>
    <x:row r="269">
      <x:c r="A269" s="70" t="str">
        <x:v>M5HIT-0264</x:v>
      </x:c>
      <x:c r="B269" s="70" t="str"/>
      <x:c r="C269" s="70" t="str">
        <x:f>IFERROR(VLOOKUP(B269,'02_案例与预测'!$A$6:$E$65,5,FALSE),"")</x:f>
      </x:c>
      <x:c r="D269" s="70" t="str"/>
      <x:c r="E269" s="70" t="str"/>
      <x:c r="F269" s="70" t="str"/>
      <x:c r="G269" s="70" t="str"/>
      <x:c r="H269" s="70" t="str"/>
      <x:c r="I269" s="70" t="str"/>
      <x:c r="J269" s="70" t="str">
        <x:f>IF(I269="支持",1,IF(I269="基本支持",0.75,IF(I269="部分支持",0.5,IF(I269="相邻但不同",0.25,IF(I269="反例",0,"")))))</x:f>
      </x:c>
      <x:c r="K269" s="70" t="str">
        <x:v>无</x:v>
      </x:c>
      <x:c r="L269" s="70" t="str">
        <x:v>否</x:v>
      </x:c>
      <x:c r="M269" s="70" t="str"/>
      <x:c r="N269" s="70" t="str">
        <x:v>否</x:v>
      </x:c>
      <x:c r="O269" s="70" t="str"/>
    </x:row>
    <x:row r="270">
      <x:c r="A270" s="70" t="str">
        <x:v>M5HIT-0265</x:v>
      </x:c>
      <x:c r="B270" s="70" t="str"/>
      <x:c r="C270" s="70" t="str">
        <x:f>IFERROR(VLOOKUP(B270,'02_案例与预测'!$A$6:$E$65,5,FALSE),"")</x:f>
      </x:c>
      <x:c r="D270" s="70" t="str"/>
      <x:c r="E270" s="70" t="str"/>
      <x:c r="F270" s="70" t="str"/>
      <x:c r="G270" s="70" t="str"/>
      <x:c r="H270" s="70" t="str"/>
      <x:c r="I270" s="70" t="str"/>
      <x:c r="J270" s="70" t="str">
        <x:f>IF(I270="支持",1,IF(I270="基本支持",0.75,IF(I270="部分支持",0.5,IF(I270="相邻但不同",0.25,IF(I270="反例",0,"")))))</x:f>
      </x:c>
      <x:c r="K270" s="70" t="str">
        <x:v>无</x:v>
      </x:c>
      <x:c r="L270" s="70" t="str">
        <x:v>否</x:v>
      </x:c>
      <x:c r="M270" s="70" t="str"/>
      <x:c r="N270" s="70" t="str">
        <x:v>否</x:v>
      </x:c>
      <x:c r="O270" s="70" t="str"/>
    </x:row>
    <x:row r="271">
      <x:c r="A271" s="70" t="str">
        <x:v>M5HIT-0266</x:v>
      </x:c>
      <x:c r="B271" s="70" t="str"/>
      <x:c r="C271" s="70" t="str">
        <x:f>IFERROR(VLOOKUP(B271,'02_案例与预测'!$A$6:$E$65,5,FALSE),"")</x:f>
      </x:c>
      <x:c r="D271" s="70" t="str"/>
      <x:c r="E271" s="70" t="str"/>
      <x:c r="F271" s="70" t="str"/>
      <x:c r="G271" s="70" t="str"/>
      <x:c r="H271" s="70" t="str"/>
      <x:c r="I271" s="70" t="str"/>
      <x:c r="J271" s="70" t="str">
        <x:f>IF(I271="支持",1,IF(I271="基本支持",0.75,IF(I271="部分支持",0.5,IF(I271="相邻但不同",0.25,IF(I271="反例",0,"")))))</x:f>
      </x:c>
      <x:c r="K271" s="70" t="str">
        <x:v>无</x:v>
      </x:c>
      <x:c r="L271" s="70" t="str">
        <x:v>否</x:v>
      </x:c>
      <x:c r="M271" s="70" t="str"/>
      <x:c r="N271" s="70" t="str">
        <x:v>否</x:v>
      </x:c>
      <x:c r="O271" s="70" t="str"/>
    </x:row>
    <x:row r="272">
      <x:c r="A272" s="70" t="str">
        <x:v>M5HIT-0267</x:v>
      </x:c>
      <x:c r="B272" s="70" t="str"/>
      <x:c r="C272" s="70" t="str">
        <x:f>IFERROR(VLOOKUP(B272,'02_案例与预测'!$A$6:$E$65,5,FALSE),"")</x:f>
      </x:c>
      <x:c r="D272" s="70" t="str"/>
      <x:c r="E272" s="70" t="str"/>
      <x:c r="F272" s="70" t="str"/>
      <x:c r="G272" s="70" t="str"/>
      <x:c r="H272" s="70" t="str"/>
      <x:c r="I272" s="70" t="str"/>
      <x:c r="J272" s="70" t="str">
        <x:f>IF(I272="支持",1,IF(I272="基本支持",0.75,IF(I272="部分支持",0.5,IF(I272="相邻但不同",0.25,IF(I272="反例",0,"")))))</x:f>
      </x:c>
      <x:c r="K272" s="70" t="str">
        <x:v>无</x:v>
      </x:c>
      <x:c r="L272" s="70" t="str">
        <x:v>否</x:v>
      </x:c>
      <x:c r="M272" s="70" t="str"/>
      <x:c r="N272" s="70" t="str">
        <x:v>否</x:v>
      </x:c>
      <x:c r="O272" s="70" t="str"/>
    </x:row>
    <x:row r="273">
      <x:c r="A273" s="70" t="str">
        <x:v>M5HIT-0268</x:v>
      </x:c>
      <x:c r="B273" s="70" t="str"/>
      <x:c r="C273" s="70" t="str">
        <x:f>IFERROR(VLOOKUP(B273,'02_案例与预测'!$A$6:$E$65,5,FALSE),"")</x:f>
      </x:c>
      <x:c r="D273" s="70" t="str"/>
      <x:c r="E273" s="70" t="str"/>
      <x:c r="F273" s="70" t="str"/>
      <x:c r="G273" s="70" t="str"/>
      <x:c r="H273" s="70" t="str"/>
      <x:c r="I273" s="70" t="str"/>
      <x:c r="J273" s="70" t="str">
        <x:f>IF(I273="支持",1,IF(I273="基本支持",0.75,IF(I273="部分支持",0.5,IF(I273="相邻但不同",0.25,IF(I273="反例",0,"")))))</x:f>
      </x:c>
      <x:c r="K273" s="70" t="str">
        <x:v>无</x:v>
      </x:c>
      <x:c r="L273" s="70" t="str">
        <x:v>否</x:v>
      </x:c>
      <x:c r="M273" s="70" t="str"/>
      <x:c r="N273" s="70" t="str">
        <x:v>否</x:v>
      </x:c>
      <x:c r="O273" s="70" t="str"/>
    </x:row>
    <x:row r="274">
      <x:c r="A274" s="70" t="str">
        <x:v>M5HIT-0269</x:v>
      </x:c>
      <x:c r="B274" s="70" t="str"/>
      <x:c r="C274" s="70" t="str">
        <x:f>IFERROR(VLOOKUP(B274,'02_案例与预测'!$A$6:$E$65,5,FALSE),"")</x:f>
      </x:c>
      <x:c r="D274" s="70" t="str"/>
      <x:c r="E274" s="70" t="str"/>
      <x:c r="F274" s="70" t="str"/>
      <x:c r="G274" s="70" t="str"/>
      <x:c r="H274" s="70" t="str"/>
      <x:c r="I274" s="70" t="str"/>
      <x:c r="J274" s="70" t="str">
        <x:f>IF(I274="支持",1,IF(I274="基本支持",0.75,IF(I274="部分支持",0.5,IF(I274="相邻但不同",0.25,IF(I274="反例",0,"")))))</x:f>
      </x:c>
      <x:c r="K274" s="70" t="str">
        <x:v>无</x:v>
      </x:c>
      <x:c r="L274" s="70" t="str">
        <x:v>否</x:v>
      </x:c>
      <x:c r="M274" s="70" t="str"/>
      <x:c r="N274" s="70" t="str">
        <x:v>否</x:v>
      </x:c>
      <x:c r="O274" s="70" t="str"/>
    </x:row>
    <x:row r="275">
      <x:c r="A275" s="70" t="str">
        <x:v>M5HIT-0270</x:v>
      </x:c>
      <x:c r="B275" s="70" t="str"/>
      <x:c r="C275" s="70" t="str">
        <x:f>IFERROR(VLOOKUP(B275,'02_案例与预测'!$A$6:$E$65,5,FALSE),"")</x:f>
      </x:c>
      <x:c r="D275" s="70" t="str"/>
      <x:c r="E275" s="70" t="str"/>
      <x:c r="F275" s="70" t="str"/>
      <x:c r="G275" s="70" t="str"/>
      <x:c r="H275" s="70" t="str"/>
      <x:c r="I275" s="70" t="str"/>
      <x:c r="J275" s="70" t="str">
        <x:f>IF(I275="支持",1,IF(I275="基本支持",0.75,IF(I275="部分支持",0.5,IF(I275="相邻但不同",0.25,IF(I275="反例",0,"")))))</x:f>
      </x:c>
      <x:c r="K275" s="70" t="str">
        <x:v>无</x:v>
      </x:c>
      <x:c r="L275" s="70" t="str">
        <x:v>否</x:v>
      </x:c>
      <x:c r="M275" s="70" t="str"/>
      <x:c r="N275" s="70" t="str">
        <x:v>否</x:v>
      </x:c>
      <x:c r="O275" s="70" t="str"/>
    </x:row>
    <x:row r="276">
      <x:c r="A276" s="70" t="str">
        <x:v>M5HIT-0271</x:v>
      </x:c>
      <x:c r="B276" s="70" t="str"/>
      <x:c r="C276" s="70" t="str">
        <x:f>IFERROR(VLOOKUP(B276,'02_案例与预测'!$A$6:$E$65,5,FALSE),"")</x:f>
      </x:c>
      <x:c r="D276" s="70" t="str"/>
      <x:c r="E276" s="70" t="str"/>
      <x:c r="F276" s="70" t="str"/>
      <x:c r="G276" s="70" t="str"/>
      <x:c r="H276" s="70" t="str"/>
      <x:c r="I276" s="70" t="str"/>
      <x:c r="J276" s="70" t="str">
        <x:f>IF(I276="支持",1,IF(I276="基本支持",0.75,IF(I276="部分支持",0.5,IF(I276="相邻但不同",0.25,IF(I276="反例",0,"")))))</x:f>
      </x:c>
      <x:c r="K276" s="70" t="str">
        <x:v>无</x:v>
      </x:c>
      <x:c r="L276" s="70" t="str">
        <x:v>否</x:v>
      </x:c>
      <x:c r="M276" s="70" t="str"/>
      <x:c r="N276" s="70" t="str">
        <x:v>否</x:v>
      </x:c>
      <x:c r="O276" s="70" t="str"/>
    </x:row>
    <x:row r="277">
      <x:c r="A277" s="70" t="str">
        <x:v>M5HIT-0272</x:v>
      </x:c>
      <x:c r="B277" s="70" t="str"/>
      <x:c r="C277" s="70" t="str">
        <x:f>IFERROR(VLOOKUP(B277,'02_案例与预测'!$A$6:$E$65,5,FALSE),"")</x:f>
      </x:c>
      <x:c r="D277" s="70" t="str"/>
      <x:c r="E277" s="70" t="str"/>
      <x:c r="F277" s="70" t="str"/>
      <x:c r="G277" s="70" t="str"/>
      <x:c r="H277" s="70" t="str"/>
      <x:c r="I277" s="70" t="str"/>
      <x:c r="J277" s="70" t="str">
        <x:f>IF(I277="支持",1,IF(I277="基本支持",0.75,IF(I277="部分支持",0.5,IF(I277="相邻但不同",0.25,IF(I277="反例",0,"")))))</x:f>
      </x:c>
      <x:c r="K277" s="70" t="str">
        <x:v>无</x:v>
      </x:c>
      <x:c r="L277" s="70" t="str">
        <x:v>否</x:v>
      </x:c>
      <x:c r="M277" s="70" t="str"/>
      <x:c r="N277" s="70" t="str">
        <x:v>否</x:v>
      </x:c>
      <x:c r="O277" s="70" t="str"/>
    </x:row>
    <x:row r="278">
      <x:c r="A278" s="70" t="str">
        <x:v>M5HIT-0273</x:v>
      </x:c>
      <x:c r="B278" s="70" t="str"/>
      <x:c r="C278" s="70" t="str">
        <x:f>IFERROR(VLOOKUP(B278,'02_案例与预测'!$A$6:$E$65,5,FALSE),"")</x:f>
      </x:c>
      <x:c r="D278" s="70" t="str"/>
      <x:c r="E278" s="70" t="str"/>
      <x:c r="F278" s="70" t="str"/>
      <x:c r="G278" s="70" t="str"/>
      <x:c r="H278" s="70" t="str"/>
      <x:c r="I278" s="70" t="str"/>
      <x:c r="J278" s="70" t="str">
        <x:f>IF(I278="支持",1,IF(I278="基本支持",0.75,IF(I278="部分支持",0.5,IF(I278="相邻但不同",0.25,IF(I278="反例",0,"")))))</x:f>
      </x:c>
      <x:c r="K278" s="70" t="str">
        <x:v>无</x:v>
      </x:c>
      <x:c r="L278" s="70" t="str">
        <x:v>否</x:v>
      </x:c>
      <x:c r="M278" s="70" t="str"/>
      <x:c r="N278" s="70" t="str">
        <x:v>否</x:v>
      </x:c>
      <x:c r="O278" s="70" t="str"/>
    </x:row>
    <x:row r="279">
      <x:c r="A279" s="70" t="str">
        <x:v>M5HIT-0274</x:v>
      </x:c>
      <x:c r="B279" s="70" t="str"/>
      <x:c r="C279" s="70" t="str">
        <x:f>IFERROR(VLOOKUP(B279,'02_案例与预测'!$A$6:$E$65,5,FALSE),"")</x:f>
      </x:c>
      <x:c r="D279" s="70" t="str"/>
      <x:c r="E279" s="70" t="str"/>
      <x:c r="F279" s="70" t="str"/>
      <x:c r="G279" s="70" t="str"/>
      <x:c r="H279" s="70" t="str"/>
      <x:c r="I279" s="70" t="str"/>
      <x:c r="J279" s="70" t="str">
        <x:f>IF(I279="支持",1,IF(I279="基本支持",0.75,IF(I279="部分支持",0.5,IF(I279="相邻但不同",0.25,IF(I279="反例",0,"")))))</x:f>
      </x:c>
      <x:c r="K279" s="70" t="str">
        <x:v>无</x:v>
      </x:c>
      <x:c r="L279" s="70" t="str">
        <x:v>否</x:v>
      </x:c>
      <x:c r="M279" s="70" t="str"/>
      <x:c r="N279" s="70" t="str">
        <x:v>否</x:v>
      </x:c>
      <x:c r="O279" s="70" t="str"/>
    </x:row>
    <x:row r="280">
      <x:c r="A280" s="70" t="str">
        <x:v>M5HIT-0275</x:v>
      </x:c>
      <x:c r="B280" s="70" t="str"/>
      <x:c r="C280" s="70" t="str">
        <x:f>IFERROR(VLOOKUP(B280,'02_案例与预测'!$A$6:$E$65,5,FALSE),"")</x:f>
      </x:c>
      <x:c r="D280" s="70" t="str"/>
      <x:c r="E280" s="70" t="str"/>
      <x:c r="F280" s="70" t="str"/>
      <x:c r="G280" s="70" t="str"/>
      <x:c r="H280" s="70" t="str"/>
      <x:c r="I280" s="70" t="str"/>
      <x:c r="J280" s="70" t="str">
        <x:f>IF(I280="支持",1,IF(I280="基本支持",0.75,IF(I280="部分支持",0.5,IF(I280="相邻但不同",0.25,IF(I280="反例",0,"")))))</x:f>
      </x:c>
      <x:c r="K280" s="70" t="str">
        <x:v>无</x:v>
      </x:c>
      <x:c r="L280" s="70" t="str">
        <x:v>否</x:v>
      </x:c>
      <x:c r="M280" s="70" t="str"/>
      <x:c r="N280" s="70" t="str">
        <x:v>否</x:v>
      </x:c>
      <x:c r="O280" s="70" t="str"/>
    </x:row>
    <x:row r="281">
      <x:c r="A281" s="70" t="str">
        <x:v>M5HIT-0276</x:v>
      </x:c>
      <x:c r="B281" s="70" t="str"/>
      <x:c r="C281" s="70" t="str">
        <x:f>IFERROR(VLOOKUP(B281,'02_案例与预测'!$A$6:$E$65,5,FALSE),"")</x:f>
      </x:c>
      <x:c r="D281" s="70" t="str"/>
      <x:c r="E281" s="70" t="str"/>
      <x:c r="F281" s="70" t="str"/>
      <x:c r="G281" s="70" t="str"/>
      <x:c r="H281" s="70" t="str"/>
      <x:c r="I281" s="70" t="str"/>
      <x:c r="J281" s="70" t="str">
        <x:f>IF(I281="支持",1,IF(I281="基本支持",0.75,IF(I281="部分支持",0.5,IF(I281="相邻但不同",0.25,IF(I281="反例",0,"")))))</x:f>
      </x:c>
      <x:c r="K281" s="70" t="str">
        <x:v>无</x:v>
      </x:c>
      <x:c r="L281" s="70" t="str">
        <x:v>否</x:v>
      </x:c>
      <x:c r="M281" s="70" t="str"/>
      <x:c r="N281" s="70" t="str">
        <x:v>否</x:v>
      </x:c>
      <x:c r="O281" s="70" t="str"/>
    </x:row>
    <x:row r="282">
      <x:c r="A282" s="70" t="str">
        <x:v>M5HIT-0277</x:v>
      </x:c>
      <x:c r="B282" s="70" t="str"/>
      <x:c r="C282" s="70" t="str">
        <x:f>IFERROR(VLOOKUP(B282,'02_案例与预测'!$A$6:$E$65,5,FALSE),"")</x:f>
      </x:c>
      <x:c r="D282" s="70" t="str"/>
      <x:c r="E282" s="70" t="str"/>
      <x:c r="F282" s="70" t="str"/>
      <x:c r="G282" s="70" t="str"/>
      <x:c r="H282" s="70" t="str"/>
      <x:c r="I282" s="70" t="str"/>
      <x:c r="J282" s="70" t="str">
        <x:f>IF(I282="支持",1,IF(I282="基本支持",0.75,IF(I282="部分支持",0.5,IF(I282="相邻但不同",0.25,IF(I282="反例",0,"")))))</x:f>
      </x:c>
      <x:c r="K282" s="70" t="str">
        <x:v>无</x:v>
      </x:c>
      <x:c r="L282" s="70" t="str">
        <x:v>否</x:v>
      </x:c>
      <x:c r="M282" s="70" t="str"/>
      <x:c r="N282" s="70" t="str">
        <x:v>否</x:v>
      </x:c>
      <x:c r="O282" s="70" t="str"/>
    </x:row>
    <x:row r="283">
      <x:c r="A283" s="70" t="str">
        <x:v>M5HIT-0278</x:v>
      </x:c>
      <x:c r="B283" s="70" t="str"/>
      <x:c r="C283" s="70" t="str">
        <x:f>IFERROR(VLOOKUP(B283,'02_案例与预测'!$A$6:$E$65,5,FALSE),"")</x:f>
      </x:c>
      <x:c r="D283" s="70" t="str"/>
      <x:c r="E283" s="70" t="str"/>
      <x:c r="F283" s="70" t="str"/>
      <x:c r="G283" s="70" t="str"/>
      <x:c r="H283" s="70" t="str"/>
      <x:c r="I283" s="70" t="str"/>
      <x:c r="J283" s="70" t="str">
        <x:f>IF(I283="支持",1,IF(I283="基本支持",0.75,IF(I283="部分支持",0.5,IF(I283="相邻但不同",0.25,IF(I283="反例",0,"")))))</x:f>
      </x:c>
      <x:c r="K283" s="70" t="str">
        <x:v>无</x:v>
      </x:c>
      <x:c r="L283" s="70" t="str">
        <x:v>否</x:v>
      </x:c>
      <x:c r="M283" s="70" t="str"/>
      <x:c r="N283" s="70" t="str">
        <x:v>否</x:v>
      </x:c>
      <x:c r="O283" s="70" t="str"/>
    </x:row>
    <x:row r="284">
      <x:c r="A284" s="70" t="str">
        <x:v>M5HIT-0279</x:v>
      </x:c>
      <x:c r="B284" s="70" t="str"/>
      <x:c r="C284" s="70" t="str">
        <x:f>IFERROR(VLOOKUP(B284,'02_案例与预测'!$A$6:$E$65,5,FALSE),"")</x:f>
      </x:c>
      <x:c r="D284" s="70" t="str"/>
      <x:c r="E284" s="70" t="str"/>
      <x:c r="F284" s="70" t="str"/>
      <x:c r="G284" s="70" t="str"/>
      <x:c r="H284" s="70" t="str"/>
      <x:c r="I284" s="70" t="str"/>
      <x:c r="J284" s="70" t="str">
        <x:f>IF(I284="支持",1,IF(I284="基本支持",0.75,IF(I284="部分支持",0.5,IF(I284="相邻但不同",0.25,IF(I284="反例",0,"")))))</x:f>
      </x:c>
      <x:c r="K284" s="70" t="str">
        <x:v>无</x:v>
      </x:c>
      <x:c r="L284" s="70" t="str">
        <x:v>否</x:v>
      </x:c>
      <x:c r="M284" s="70" t="str"/>
      <x:c r="N284" s="70" t="str">
        <x:v>否</x:v>
      </x:c>
      <x:c r="O284" s="70" t="str"/>
    </x:row>
    <x:row r="285">
      <x:c r="A285" s="70" t="str">
        <x:v>M5HIT-0280</x:v>
      </x:c>
      <x:c r="B285" s="70" t="str"/>
      <x:c r="C285" s="70" t="str">
        <x:f>IFERROR(VLOOKUP(B285,'02_案例与预测'!$A$6:$E$65,5,FALSE),"")</x:f>
      </x:c>
      <x:c r="D285" s="70" t="str"/>
      <x:c r="E285" s="70" t="str"/>
      <x:c r="F285" s="70" t="str"/>
      <x:c r="G285" s="70" t="str"/>
      <x:c r="H285" s="70" t="str"/>
      <x:c r="I285" s="70" t="str"/>
      <x:c r="J285" s="70" t="str">
        <x:f>IF(I285="支持",1,IF(I285="基本支持",0.75,IF(I285="部分支持",0.5,IF(I285="相邻但不同",0.25,IF(I285="反例",0,"")))))</x:f>
      </x:c>
      <x:c r="K285" s="70" t="str">
        <x:v>无</x:v>
      </x:c>
      <x:c r="L285" s="70" t="str">
        <x:v>否</x:v>
      </x:c>
      <x:c r="M285" s="70" t="str"/>
      <x:c r="N285" s="70" t="str">
        <x:v>否</x:v>
      </x:c>
      <x:c r="O285" s="70" t="str"/>
    </x:row>
    <x:row r="286">
      <x:c r="A286" s="70" t="str">
        <x:v>M5HIT-0281</x:v>
      </x:c>
      <x:c r="B286" s="70" t="str"/>
      <x:c r="C286" s="70" t="str">
        <x:f>IFERROR(VLOOKUP(B286,'02_案例与预测'!$A$6:$E$65,5,FALSE),"")</x:f>
      </x:c>
      <x:c r="D286" s="70" t="str"/>
      <x:c r="E286" s="70" t="str"/>
      <x:c r="F286" s="70" t="str"/>
      <x:c r="G286" s="70" t="str"/>
      <x:c r="H286" s="70" t="str"/>
      <x:c r="I286" s="70" t="str"/>
      <x:c r="J286" s="70" t="str">
        <x:f>IF(I286="支持",1,IF(I286="基本支持",0.75,IF(I286="部分支持",0.5,IF(I286="相邻但不同",0.25,IF(I286="反例",0,"")))))</x:f>
      </x:c>
      <x:c r="K286" s="70" t="str">
        <x:v>无</x:v>
      </x:c>
      <x:c r="L286" s="70" t="str">
        <x:v>否</x:v>
      </x:c>
      <x:c r="M286" s="70" t="str"/>
      <x:c r="N286" s="70" t="str">
        <x:v>否</x:v>
      </x:c>
      <x:c r="O286" s="70" t="str"/>
    </x:row>
    <x:row r="287">
      <x:c r="A287" s="70" t="str">
        <x:v>M5HIT-0282</x:v>
      </x:c>
      <x:c r="B287" s="70" t="str"/>
      <x:c r="C287" s="70" t="str">
        <x:f>IFERROR(VLOOKUP(B287,'02_案例与预测'!$A$6:$E$65,5,FALSE),"")</x:f>
      </x:c>
      <x:c r="D287" s="70" t="str"/>
      <x:c r="E287" s="70" t="str"/>
      <x:c r="F287" s="70" t="str"/>
      <x:c r="G287" s="70" t="str"/>
      <x:c r="H287" s="70" t="str"/>
      <x:c r="I287" s="70" t="str"/>
      <x:c r="J287" s="70" t="str">
        <x:f>IF(I287="支持",1,IF(I287="基本支持",0.75,IF(I287="部分支持",0.5,IF(I287="相邻但不同",0.25,IF(I287="反例",0,"")))))</x:f>
      </x:c>
      <x:c r="K287" s="70" t="str">
        <x:v>无</x:v>
      </x:c>
      <x:c r="L287" s="70" t="str">
        <x:v>否</x:v>
      </x:c>
      <x:c r="M287" s="70" t="str"/>
      <x:c r="N287" s="70" t="str">
        <x:v>否</x:v>
      </x:c>
      <x:c r="O287" s="70" t="str"/>
    </x:row>
    <x:row r="288">
      <x:c r="A288" s="70" t="str">
        <x:v>M5HIT-0283</x:v>
      </x:c>
      <x:c r="B288" s="70" t="str"/>
      <x:c r="C288" s="70" t="str">
        <x:f>IFERROR(VLOOKUP(B288,'02_案例与预测'!$A$6:$E$65,5,FALSE),"")</x:f>
      </x:c>
      <x:c r="D288" s="70" t="str"/>
      <x:c r="E288" s="70" t="str"/>
      <x:c r="F288" s="70" t="str"/>
      <x:c r="G288" s="70" t="str"/>
      <x:c r="H288" s="70" t="str"/>
      <x:c r="I288" s="70" t="str"/>
      <x:c r="J288" s="70" t="str">
        <x:f>IF(I288="支持",1,IF(I288="基本支持",0.75,IF(I288="部分支持",0.5,IF(I288="相邻但不同",0.25,IF(I288="反例",0,"")))))</x:f>
      </x:c>
      <x:c r="K288" s="70" t="str">
        <x:v>无</x:v>
      </x:c>
      <x:c r="L288" s="70" t="str">
        <x:v>否</x:v>
      </x:c>
      <x:c r="M288" s="70" t="str"/>
      <x:c r="N288" s="70" t="str">
        <x:v>否</x:v>
      </x:c>
      <x:c r="O288" s="70" t="str"/>
    </x:row>
    <x:row r="289">
      <x:c r="A289" s="70" t="str">
        <x:v>M5HIT-0284</x:v>
      </x:c>
      <x:c r="B289" s="70" t="str"/>
      <x:c r="C289" s="70" t="str">
        <x:f>IFERROR(VLOOKUP(B289,'02_案例与预测'!$A$6:$E$65,5,FALSE),"")</x:f>
      </x:c>
      <x:c r="D289" s="70" t="str"/>
      <x:c r="E289" s="70" t="str"/>
      <x:c r="F289" s="70" t="str"/>
      <x:c r="G289" s="70" t="str"/>
      <x:c r="H289" s="70" t="str"/>
      <x:c r="I289" s="70" t="str"/>
      <x:c r="J289" s="70" t="str">
        <x:f>IF(I289="支持",1,IF(I289="基本支持",0.75,IF(I289="部分支持",0.5,IF(I289="相邻但不同",0.25,IF(I289="反例",0,"")))))</x:f>
      </x:c>
      <x:c r="K289" s="70" t="str">
        <x:v>无</x:v>
      </x:c>
      <x:c r="L289" s="70" t="str">
        <x:v>否</x:v>
      </x:c>
      <x:c r="M289" s="70" t="str"/>
      <x:c r="N289" s="70" t="str">
        <x:v>否</x:v>
      </x:c>
      <x:c r="O289" s="70" t="str"/>
    </x:row>
    <x:row r="290">
      <x:c r="A290" s="70" t="str">
        <x:v>M5HIT-0285</x:v>
      </x:c>
      <x:c r="B290" s="70" t="str"/>
      <x:c r="C290" s="70" t="str">
        <x:f>IFERROR(VLOOKUP(B290,'02_案例与预测'!$A$6:$E$65,5,FALSE),"")</x:f>
      </x:c>
      <x:c r="D290" s="70" t="str"/>
      <x:c r="E290" s="70" t="str"/>
      <x:c r="F290" s="70" t="str"/>
      <x:c r="G290" s="70" t="str"/>
      <x:c r="H290" s="70" t="str"/>
      <x:c r="I290" s="70" t="str"/>
      <x:c r="J290" s="70" t="str">
        <x:f>IF(I290="支持",1,IF(I290="基本支持",0.75,IF(I290="部分支持",0.5,IF(I290="相邻但不同",0.25,IF(I290="反例",0,"")))))</x:f>
      </x:c>
      <x:c r="K290" s="70" t="str">
        <x:v>无</x:v>
      </x:c>
      <x:c r="L290" s="70" t="str">
        <x:v>否</x:v>
      </x:c>
      <x:c r="M290" s="70" t="str"/>
      <x:c r="N290" s="70" t="str">
        <x:v>否</x:v>
      </x:c>
      <x:c r="O290" s="70" t="str"/>
    </x:row>
    <x:row r="291">
      <x:c r="A291" s="70" t="str">
        <x:v>M5HIT-0286</x:v>
      </x:c>
      <x:c r="B291" s="70" t="str"/>
      <x:c r="C291" s="70" t="str">
        <x:f>IFERROR(VLOOKUP(B291,'02_案例与预测'!$A$6:$E$65,5,FALSE),"")</x:f>
      </x:c>
      <x:c r="D291" s="70" t="str"/>
      <x:c r="E291" s="70" t="str"/>
      <x:c r="F291" s="70" t="str"/>
      <x:c r="G291" s="70" t="str"/>
      <x:c r="H291" s="70" t="str"/>
      <x:c r="I291" s="70" t="str"/>
      <x:c r="J291" s="70" t="str">
        <x:f>IF(I291="支持",1,IF(I291="基本支持",0.75,IF(I291="部分支持",0.5,IF(I291="相邻但不同",0.25,IF(I291="反例",0,"")))))</x:f>
      </x:c>
      <x:c r="K291" s="70" t="str">
        <x:v>无</x:v>
      </x:c>
      <x:c r="L291" s="70" t="str">
        <x:v>否</x:v>
      </x:c>
      <x:c r="M291" s="70" t="str"/>
      <x:c r="N291" s="70" t="str">
        <x:v>否</x:v>
      </x:c>
      <x:c r="O291" s="70" t="str"/>
    </x:row>
    <x:row r="292">
      <x:c r="A292" s="70" t="str">
        <x:v>M5HIT-0287</x:v>
      </x:c>
      <x:c r="B292" s="70" t="str"/>
      <x:c r="C292" s="70" t="str">
        <x:f>IFERROR(VLOOKUP(B292,'02_案例与预测'!$A$6:$E$65,5,FALSE),"")</x:f>
      </x:c>
      <x:c r="D292" s="70" t="str"/>
      <x:c r="E292" s="70" t="str"/>
      <x:c r="F292" s="70" t="str"/>
      <x:c r="G292" s="70" t="str"/>
      <x:c r="H292" s="70" t="str"/>
      <x:c r="I292" s="70" t="str"/>
      <x:c r="J292" s="70" t="str">
        <x:f>IF(I292="支持",1,IF(I292="基本支持",0.75,IF(I292="部分支持",0.5,IF(I292="相邻但不同",0.25,IF(I292="反例",0,"")))))</x:f>
      </x:c>
      <x:c r="K292" s="70" t="str">
        <x:v>无</x:v>
      </x:c>
      <x:c r="L292" s="70" t="str">
        <x:v>否</x:v>
      </x:c>
      <x:c r="M292" s="70" t="str"/>
      <x:c r="N292" s="70" t="str">
        <x:v>否</x:v>
      </x:c>
      <x:c r="O292" s="70" t="str"/>
    </x:row>
    <x:row r="293">
      <x:c r="A293" s="70" t="str">
        <x:v>M5HIT-0288</x:v>
      </x:c>
      <x:c r="B293" s="70" t="str"/>
      <x:c r="C293" s="70" t="str">
        <x:f>IFERROR(VLOOKUP(B293,'02_案例与预测'!$A$6:$E$65,5,FALSE),"")</x:f>
      </x:c>
      <x:c r="D293" s="70" t="str"/>
      <x:c r="E293" s="70" t="str"/>
      <x:c r="F293" s="70" t="str"/>
      <x:c r="G293" s="70" t="str"/>
      <x:c r="H293" s="70" t="str"/>
      <x:c r="I293" s="70" t="str"/>
      <x:c r="J293" s="70" t="str">
        <x:f>IF(I293="支持",1,IF(I293="基本支持",0.75,IF(I293="部分支持",0.5,IF(I293="相邻但不同",0.25,IF(I293="反例",0,"")))))</x:f>
      </x:c>
      <x:c r="K293" s="70" t="str">
        <x:v>无</x:v>
      </x:c>
      <x:c r="L293" s="70" t="str">
        <x:v>否</x:v>
      </x:c>
      <x:c r="M293" s="70" t="str"/>
      <x:c r="N293" s="70" t="str">
        <x:v>否</x:v>
      </x:c>
      <x:c r="O293" s="70" t="str"/>
    </x:row>
    <x:row r="294">
      <x:c r="A294" s="70" t="str">
        <x:v>M5HIT-0289</x:v>
      </x:c>
      <x:c r="B294" s="70" t="str"/>
      <x:c r="C294" s="70" t="str">
        <x:f>IFERROR(VLOOKUP(B294,'02_案例与预测'!$A$6:$E$65,5,FALSE),"")</x:f>
      </x:c>
      <x:c r="D294" s="70" t="str"/>
      <x:c r="E294" s="70" t="str"/>
      <x:c r="F294" s="70" t="str"/>
      <x:c r="G294" s="70" t="str"/>
      <x:c r="H294" s="70" t="str"/>
      <x:c r="I294" s="70" t="str"/>
      <x:c r="J294" s="70" t="str">
        <x:f>IF(I294="支持",1,IF(I294="基本支持",0.75,IF(I294="部分支持",0.5,IF(I294="相邻但不同",0.25,IF(I294="反例",0,"")))))</x:f>
      </x:c>
      <x:c r="K294" s="70" t="str">
        <x:v>无</x:v>
      </x:c>
      <x:c r="L294" s="70" t="str">
        <x:v>否</x:v>
      </x:c>
      <x:c r="M294" s="70" t="str"/>
      <x:c r="N294" s="70" t="str">
        <x:v>否</x:v>
      </x:c>
      <x:c r="O294" s="70" t="str"/>
    </x:row>
    <x:row r="295">
      <x:c r="A295" s="70" t="str">
        <x:v>M5HIT-0290</x:v>
      </x:c>
      <x:c r="B295" s="70" t="str"/>
      <x:c r="C295" s="70" t="str">
        <x:f>IFERROR(VLOOKUP(B295,'02_案例与预测'!$A$6:$E$65,5,FALSE),"")</x:f>
      </x:c>
      <x:c r="D295" s="70" t="str"/>
      <x:c r="E295" s="70" t="str"/>
      <x:c r="F295" s="70" t="str"/>
      <x:c r="G295" s="70" t="str"/>
      <x:c r="H295" s="70" t="str"/>
      <x:c r="I295" s="70" t="str"/>
      <x:c r="J295" s="70" t="str">
        <x:f>IF(I295="支持",1,IF(I295="基本支持",0.75,IF(I295="部分支持",0.5,IF(I295="相邻但不同",0.25,IF(I295="反例",0,"")))))</x:f>
      </x:c>
      <x:c r="K295" s="70" t="str">
        <x:v>无</x:v>
      </x:c>
      <x:c r="L295" s="70" t="str">
        <x:v>否</x:v>
      </x:c>
      <x:c r="M295" s="70" t="str"/>
      <x:c r="N295" s="70" t="str">
        <x:v>否</x:v>
      </x:c>
      <x:c r="O295" s="70" t="str"/>
    </x:row>
    <x:row r="296">
      <x:c r="A296" s="70" t="str">
        <x:v>M5HIT-0291</x:v>
      </x:c>
      <x:c r="B296" s="70" t="str"/>
      <x:c r="C296" s="70" t="str">
        <x:f>IFERROR(VLOOKUP(B296,'02_案例与预测'!$A$6:$E$65,5,FALSE),"")</x:f>
      </x:c>
      <x:c r="D296" s="70" t="str"/>
      <x:c r="E296" s="70" t="str"/>
      <x:c r="F296" s="70" t="str"/>
      <x:c r="G296" s="70" t="str"/>
      <x:c r="H296" s="70" t="str"/>
      <x:c r="I296" s="70" t="str"/>
      <x:c r="J296" s="70" t="str">
        <x:f>IF(I296="支持",1,IF(I296="基本支持",0.75,IF(I296="部分支持",0.5,IF(I296="相邻但不同",0.25,IF(I296="反例",0,"")))))</x:f>
      </x:c>
      <x:c r="K296" s="70" t="str">
        <x:v>无</x:v>
      </x:c>
      <x:c r="L296" s="70" t="str">
        <x:v>否</x:v>
      </x:c>
      <x:c r="M296" s="70" t="str"/>
      <x:c r="N296" s="70" t="str">
        <x:v>否</x:v>
      </x:c>
      <x:c r="O296" s="70" t="str"/>
    </x:row>
    <x:row r="297">
      <x:c r="A297" s="70" t="str">
        <x:v>M5HIT-0292</x:v>
      </x:c>
      <x:c r="B297" s="70" t="str"/>
      <x:c r="C297" s="70" t="str">
        <x:f>IFERROR(VLOOKUP(B297,'02_案例与预测'!$A$6:$E$65,5,FALSE),"")</x:f>
      </x:c>
      <x:c r="D297" s="70" t="str"/>
      <x:c r="E297" s="70" t="str"/>
      <x:c r="F297" s="70" t="str"/>
      <x:c r="G297" s="70" t="str"/>
      <x:c r="H297" s="70" t="str"/>
      <x:c r="I297" s="70" t="str"/>
      <x:c r="J297" s="70" t="str">
        <x:f>IF(I297="支持",1,IF(I297="基本支持",0.75,IF(I297="部分支持",0.5,IF(I297="相邻但不同",0.25,IF(I297="反例",0,"")))))</x:f>
      </x:c>
      <x:c r="K297" s="70" t="str">
        <x:v>无</x:v>
      </x:c>
      <x:c r="L297" s="70" t="str">
        <x:v>否</x:v>
      </x:c>
      <x:c r="M297" s="70" t="str"/>
      <x:c r="N297" s="70" t="str">
        <x:v>否</x:v>
      </x:c>
      <x:c r="O297" s="70" t="str"/>
    </x:row>
    <x:row r="298">
      <x:c r="A298" s="70" t="str">
        <x:v>M5HIT-0293</x:v>
      </x:c>
      <x:c r="B298" s="70" t="str"/>
      <x:c r="C298" s="70" t="str">
        <x:f>IFERROR(VLOOKUP(B298,'02_案例与预测'!$A$6:$E$65,5,FALSE),"")</x:f>
      </x:c>
      <x:c r="D298" s="70" t="str"/>
      <x:c r="E298" s="70" t="str"/>
      <x:c r="F298" s="70" t="str"/>
      <x:c r="G298" s="70" t="str"/>
      <x:c r="H298" s="70" t="str"/>
      <x:c r="I298" s="70" t="str"/>
      <x:c r="J298" s="70" t="str">
        <x:f>IF(I298="支持",1,IF(I298="基本支持",0.75,IF(I298="部分支持",0.5,IF(I298="相邻但不同",0.25,IF(I298="反例",0,"")))))</x:f>
      </x:c>
      <x:c r="K298" s="70" t="str">
        <x:v>无</x:v>
      </x:c>
      <x:c r="L298" s="70" t="str">
        <x:v>否</x:v>
      </x:c>
      <x:c r="M298" s="70" t="str"/>
      <x:c r="N298" s="70" t="str">
        <x:v>否</x:v>
      </x:c>
      <x:c r="O298" s="70" t="str"/>
    </x:row>
    <x:row r="299">
      <x:c r="A299" s="70" t="str">
        <x:v>M5HIT-0294</x:v>
      </x:c>
      <x:c r="B299" s="70" t="str"/>
      <x:c r="C299" s="70" t="str">
        <x:f>IFERROR(VLOOKUP(B299,'02_案例与预测'!$A$6:$E$65,5,FALSE),"")</x:f>
      </x:c>
      <x:c r="D299" s="70" t="str"/>
      <x:c r="E299" s="70" t="str"/>
      <x:c r="F299" s="70" t="str"/>
      <x:c r="G299" s="70" t="str"/>
      <x:c r="H299" s="70" t="str"/>
      <x:c r="I299" s="70" t="str"/>
      <x:c r="J299" s="70" t="str">
        <x:f>IF(I299="支持",1,IF(I299="基本支持",0.75,IF(I299="部分支持",0.5,IF(I299="相邻但不同",0.25,IF(I299="反例",0,"")))))</x:f>
      </x:c>
      <x:c r="K299" s="70" t="str">
        <x:v>无</x:v>
      </x:c>
      <x:c r="L299" s="70" t="str">
        <x:v>否</x:v>
      </x:c>
      <x:c r="M299" s="70" t="str"/>
      <x:c r="N299" s="70" t="str">
        <x:v>否</x:v>
      </x:c>
      <x:c r="O299" s="70" t="str"/>
    </x:row>
    <x:row r="300">
      <x:c r="A300" s="70" t="str">
        <x:v>M5HIT-0295</x:v>
      </x:c>
      <x:c r="B300" s="70" t="str"/>
      <x:c r="C300" s="70" t="str">
        <x:f>IFERROR(VLOOKUP(B300,'02_案例与预测'!$A$6:$E$65,5,FALSE),"")</x:f>
      </x:c>
      <x:c r="D300" s="70" t="str"/>
      <x:c r="E300" s="70" t="str"/>
      <x:c r="F300" s="70" t="str"/>
      <x:c r="G300" s="70" t="str"/>
      <x:c r="H300" s="70" t="str"/>
      <x:c r="I300" s="70" t="str"/>
      <x:c r="J300" s="70" t="str">
        <x:f>IF(I300="支持",1,IF(I300="基本支持",0.75,IF(I300="部分支持",0.5,IF(I300="相邻但不同",0.25,IF(I300="反例",0,"")))))</x:f>
      </x:c>
      <x:c r="K300" s="70" t="str">
        <x:v>无</x:v>
      </x:c>
      <x:c r="L300" s="70" t="str">
        <x:v>否</x:v>
      </x:c>
      <x:c r="M300" s="70" t="str"/>
      <x:c r="N300" s="70" t="str">
        <x:v>否</x:v>
      </x:c>
      <x:c r="O300" s="70" t="str"/>
    </x:row>
    <x:row r="301">
      <x:c r="A301" s="70" t="str">
        <x:v>M5HIT-0296</x:v>
      </x:c>
      <x:c r="B301" s="70" t="str"/>
      <x:c r="C301" s="70" t="str">
        <x:f>IFERROR(VLOOKUP(B301,'02_案例与预测'!$A$6:$E$65,5,FALSE),"")</x:f>
      </x:c>
      <x:c r="D301" s="70" t="str"/>
      <x:c r="E301" s="70" t="str"/>
      <x:c r="F301" s="70" t="str"/>
      <x:c r="G301" s="70" t="str"/>
      <x:c r="H301" s="70" t="str"/>
      <x:c r="I301" s="70" t="str"/>
      <x:c r="J301" s="70" t="str">
        <x:f>IF(I301="支持",1,IF(I301="基本支持",0.75,IF(I301="部分支持",0.5,IF(I301="相邻但不同",0.25,IF(I301="反例",0,"")))))</x:f>
      </x:c>
      <x:c r="K301" s="70" t="str">
        <x:v>无</x:v>
      </x:c>
      <x:c r="L301" s="70" t="str">
        <x:v>否</x:v>
      </x:c>
      <x:c r="M301" s="70" t="str"/>
      <x:c r="N301" s="70" t="str">
        <x:v>否</x:v>
      </x:c>
      <x:c r="O301" s="70" t="str"/>
    </x:row>
    <x:row r="302">
      <x:c r="A302" s="70" t="str">
        <x:v>M5HIT-0297</x:v>
      </x:c>
      <x:c r="B302" s="70" t="str"/>
      <x:c r="C302" s="70" t="str">
        <x:f>IFERROR(VLOOKUP(B302,'02_案例与预测'!$A$6:$E$65,5,FALSE),"")</x:f>
      </x:c>
      <x:c r="D302" s="70" t="str"/>
      <x:c r="E302" s="70" t="str"/>
      <x:c r="F302" s="70" t="str"/>
      <x:c r="G302" s="70" t="str"/>
      <x:c r="H302" s="70" t="str"/>
      <x:c r="I302" s="70" t="str"/>
      <x:c r="J302" s="70" t="str">
        <x:f>IF(I302="支持",1,IF(I302="基本支持",0.75,IF(I302="部分支持",0.5,IF(I302="相邻但不同",0.25,IF(I302="反例",0,"")))))</x:f>
      </x:c>
      <x:c r="K302" s="70" t="str">
        <x:v>无</x:v>
      </x:c>
      <x:c r="L302" s="70" t="str">
        <x:v>否</x:v>
      </x:c>
      <x:c r="M302" s="70" t="str"/>
      <x:c r="N302" s="70" t="str">
        <x:v>否</x:v>
      </x:c>
      <x:c r="O302" s="70" t="str"/>
    </x:row>
    <x:row r="303">
      <x:c r="A303" s="70" t="str">
        <x:v>M5HIT-0298</x:v>
      </x:c>
      <x:c r="B303" s="70" t="str"/>
      <x:c r="C303" s="70" t="str">
        <x:f>IFERROR(VLOOKUP(B303,'02_案例与预测'!$A$6:$E$65,5,FALSE),"")</x:f>
      </x:c>
      <x:c r="D303" s="70" t="str"/>
      <x:c r="E303" s="70" t="str"/>
      <x:c r="F303" s="70" t="str"/>
      <x:c r="G303" s="70" t="str"/>
      <x:c r="H303" s="70" t="str"/>
      <x:c r="I303" s="70" t="str"/>
      <x:c r="J303" s="70" t="str">
        <x:f>IF(I303="支持",1,IF(I303="基本支持",0.75,IF(I303="部分支持",0.5,IF(I303="相邻但不同",0.25,IF(I303="反例",0,"")))))</x:f>
      </x:c>
      <x:c r="K303" s="70" t="str">
        <x:v>无</x:v>
      </x:c>
      <x:c r="L303" s="70" t="str">
        <x:v>否</x:v>
      </x:c>
      <x:c r="M303" s="70" t="str"/>
      <x:c r="N303" s="70" t="str">
        <x:v>否</x:v>
      </x:c>
      <x:c r="O303" s="70" t="str"/>
    </x:row>
    <x:row r="304">
      <x:c r="A304" s="70" t="str">
        <x:v>M5HIT-0299</x:v>
      </x:c>
      <x:c r="B304" s="70" t="str"/>
      <x:c r="C304" s="70" t="str">
        <x:f>IFERROR(VLOOKUP(B304,'02_案例与预测'!$A$6:$E$65,5,FALSE),"")</x:f>
      </x:c>
      <x:c r="D304" s="70" t="str"/>
      <x:c r="E304" s="70" t="str"/>
      <x:c r="F304" s="70" t="str"/>
      <x:c r="G304" s="70" t="str"/>
      <x:c r="H304" s="70" t="str"/>
      <x:c r="I304" s="70" t="str"/>
      <x:c r="J304" s="70" t="str">
        <x:f>IF(I304="支持",1,IF(I304="基本支持",0.75,IF(I304="部分支持",0.5,IF(I304="相邻但不同",0.25,IF(I304="反例",0,"")))))</x:f>
      </x:c>
      <x:c r="K304" s="70" t="str">
        <x:v>无</x:v>
      </x:c>
      <x:c r="L304" s="70" t="str">
        <x:v>否</x:v>
      </x:c>
      <x:c r="M304" s="70" t="str"/>
      <x:c r="N304" s="70" t="str">
        <x:v>否</x:v>
      </x:c>
      <x:c r="O304" s="70" t="str"/>
    </x:row>
    <x:row r="305">
      <x:c r="A305" s="70" t="str">
        <x:v>M5HIT-0300</x:v>
      </x:c>
      <x:c r="B305" s="70" t="str"/>
      <x:c r="C305" s="70" t="str">
        <x:f>IFERROR(VLOOKUP(B305,'02_案例与预测'!$A$6:$E$65,5,FALSE),"")</x:f>
      </x:c>
      <x:c r="D305" s="70" t="str"/>
      <x:c r="E305" s="70" t="str"/>
      <x:c r="F305" s="70" t="str"/>
      <x:c r="G305" s="70" t="str"/>
      <x:c r="H305" s="70" t="str"/>
      <x:c r="I305" s="70" t="str"/>
      <x:c r="J305" s="70" t="str">
        <x:f>IF(I305="支持",1,IF(I305="基本支持",0.75,IF(I305="部分支持",0.5,IF(I305="相邻但不同",0.25,IF(I305="反例",0,"")))))</x:f>
      </x:c>
      <x:c r="K305" s="70" t="str">
        <x:v>无</x:v>
      </x:c>
      <x:c r="L305" s="70" t="str">
        <x:v>否</x:v>
      </x:c>
      <x:c r="M305" s="70" t="str"/>
      <x:c r="N305" s="70" t="str">
        <x:v>否</x:v>
      </x:c>
      <x:c r="O305" s="70" t="str"/>
    </x:row>
    <x:row r="306">
      <x:c r="A306" s="70" t="str">
        <x:v>M5HIT-0301</x:v>
      </x:c>
      <x:c r="B306" s="70" t="str"/>
      <x:c r="C306" s="70" t="str">
        <x:f>IFERROR(VLOOKUP(B306,'02_案例与预测'!$A$6:$E$65,5,FALSE),"")</x:f>
      </x:c>
      <x:c r="D306" s="70" t="str"/>
      <x:c r="E306" s="70" t="str"/>
      <x:c r="F306" s="70" t="str"/>
      <x:c r="G306" s="70" t="str"/>
      <x:c r="H306" s="70" t="str"/>
      <x:c r="I306" s="70" t="str"/>
      <x:c r="J306" s="70" t="str">
        <x:f>IF(I306="支持",1,IF(I306="基本支持",0.75,IF(I306="部分支持",0.5,IF(I306="相邻但不同",0.25,IF(I306="反例",0,"")))))</x:f>
      </x:c>
      <x:c r="K306" s="70" t="str">
        <x:v>无</x:v>
      </x:c>
      <x:c r="L306" s="70" t="str">
        <x:v>否</x:v>
      </x:c>
      <x:c r="M306" s="70" t="str"/>
      <x:c r="N306" s="70" t="str">
        <x:v>否</x:v>
      </x:c>
      <x:c r="O306" s="70" t="str"/>
    </x:row>
    <x:row r="307">
      <x:c r="A307" s="70" t="str">
        <x:v>M5HIT-0302</x:v>
      </x:c>
      <x:c r="B307" s="70" t="str"/>
      <x:c r="C307" s="70" t="str">
        <x:f>IFERROR(VLOOKUP(B307,'02_案例与预测'!$A$6:$E$65,5,FALSE),"")</x:f>
      </x:c>
      <x:c r="D307" s="70" t="str"/>
      <x:c r="E307" s="70" t="str"/>
      <x:c r="F307" s="70" t="str"/>
      <x:c r="G307" s="70" t="str"/>
      <x:c r="H307" s="70" t="str"/>
      <x:c r="I307" s="70" t="str"/>
      <x:c r="J307" s="70" t="str">
        <x:f>IF(I307="支持",1,IF(I307="基本支持",0.75,IF(I307="部分支持",0.5,IF(I307="相邻但不同",0.25,IF(I307="反例",0,"")))))</x:f>
      </x:c>
      <x:c r="K307" s="70" t="str">
        <x:v>无</x:v>
      </x:c>
      <x:c r="L307" s="70" t="str">
        <x:v>否</x:v>
      </x:c>
      <x:c r="M307" s="70" t="str"/>
      <x:c r="N307" s="70" t="str">
        <x:v>否</x:v>
      </x:c>
      <x:c r="O307" s="70" t="str"/>
    </x:row>
    <x:row r="308">
      <x:c r="A308" s="70" t="str">
        <x:v>M5HIT-0303</x:v>
      </x:c>
      <x:c r="B308" s="70" t="str"/>
      <x:c r="C308" s="70" t="str">
        <x:f>IFERROR(VLOOKUP(B308,'02_案例与预测'!$A$6:$E$65,5,FALSE),"")</x:f>
      </x:c>
      <x:c r="D308" s="70" t="str"/>
      <x:c r="E308" s="70" t="str"/>
      <x:c r="F308" s="70" t="str"/>
      <x:c r="G308" s="70" t="str"/>
      <x:c r="H308" s="70" t="str"/>
      <x:c r="I308" s="70" t="str"/>
      <x:c r="J308" s="70" t="str">
        <x:f>IF(I308="支持",1,IF(I308="基本支持",0.75,IF(I308="部分支持",0.5,IF(I308="相邻但不同",0.25,IF(I308="反例",0,"")))))</x:f>
      </x:c>
      <x:c r="K308" s="70" t="str">
        <x:v>无</x:v>
      </x:c>
      <x:c r="L308" s="70" t="str">
        <x:v>否</x:v>
      </x:c>
      <x:c r="M308" s="70" t="str"/>
      <x:c r="N308" s="70" t="str">
        <x:v>否</x:v>
      </x:c>
      <x:c r="O308" s="70" t="str"/>
    </x:row>
    <x:row r="309">
      <x:c r="A309" s="70" t="str">
        <x:v>M5HIT-0304</x:v>
      </x:c>
      <x:c r="B309" s="70" t="str"/>
      <x:c r="C309" s="70" t="str">
        <x:f>IFERROR(VLOOKUP(B309,'02_案例与预测'!$A$6:$E$65,5,FALSE),"")</x:f>
      </x:c>
      <x:c r="D309" s="70" t="str"/>
      <x:c r="E309" s="70" t="str"/>
      <x:c r="F309" s="70" t="str"/>
      <x:c r="G309" s="70" t="str"/>
      <x:c r="H309" s="70" t="str"/>
      <x:c r="I309" s="70" t="str"/>
      <x:c r="J309" s="70" t="str">
        <x:f>IF(I309="支持",1,IF(I309="基本支持",0.75,IF(I309="部分支持",0.5,IF(I309="相邻但不同",0.25,IF(I309="反例",0,"")))))</x:f>
      </x:c>
      <x:c r="K309" s="70" t="str">
        <x:v>无</x:v>
      </x:c>
      <x:c r="L309" s="70" t="str">
        <x:v>否</x:v>
      </x:c>
      <x:c r="M309" s="70" t="str"/>
      <x:c r="N309" s="70" t="str">
        <x:v>否</x:v>
      </x:c>
      <x:c r="O309" s="70" t="str"/>
    </x:row>
    <x:row r="310">
      <x:c r="A310" s="70" t="str">
        <x:v>M5HIT-0305</x:v>
      </x:c>
      <x:c r="B310" s="70" t="str"/>
      <x:c r="C310" s="70" t="str">
        <x:f>IFERROR(VLOOKUP(B310,'02_案例与预测'!$A$6:$E$65,5,FALSE),"")</x:f>
      </x:c>
      <x:c r="D310" s="70" t="str"/>
      <x:c r="E310" s="70" t="str"/>
      <x:c r="F310" s="70" t="str"/>
      <x:c r="G310" s="70" t="str"/>
      <x:c r="H310" s="70" t="str"/>
      <x:c r="I310" s="70" t="str"/>
      <x:c r="J310" s="70" t="str">
        <x:f>IF(I310="支持",1,IF(I310="基本支持",0.75,IF(I310="部分支持",0.5,IF(I310="相邻但不同",0.25,IF(I310="反例",0,"")))))</x:f>
      </x:c>
      <x:c r="K310" s="70" t="str">
        <x:v>无</x:v>
      </x:c>
      <x:c r="L310" s="70" t="str">
        <x:v>否</x:v>
      </x:c>
      <x:c r="M310" s="70" t="str"/>
      <x:c r="N310" s="70" t="str">
        <x:v>否</x:v>
      </x:c>
      <x:c r="O310" s="70" t="str"/>
    </x:row>
    <x:row r="311">
      <x:c r="A311" s="70" t="str">
        <x:v>M5HIT-0306</x:v>
      </x:c>
      <x:c r="B311" s="70" t="str"/>
      <x:c r="C311" s="70" t="str">
        <x:f>IFERROR(VLOOKUP(B311,'02_案例与预测'!$A$6:$E$65,5,FALSE),"")</x:f>
      </x:c>
      <x:c r="D311" s="70" t="str"/>
      <x:c r="E311" s="70" t="str"/>
      <x:c r="F311" s="70" t="str"/>
      <x:c r="G311" s="70" t="str"/>
      <x:c r="H311" s="70" t="str"/>
      <x:c r="I311" s="70" t="str"/>
      <x:c r="J311" s="70" t="str">
        <x:f>IF(I311="支持",1,IF(I311="基本支持",0.75,IF(I311="部分支持",0.5,IF(I311="相邻但不同",0.25,IF(I311="反例",0,"")))))</x:f>
      </x:c>
      <x:c r="K311" s="70" t="str">
        <x:v>无</x:v>
      </x:c>
      <x:c r="L311" s="70" t="str">
        <x:v>否</x:v>
      </x:c>
      <x:c r="M311" s="70" t="str"/>
      <x:c r="N311" s="70" t="str">
        <x:v>否</x:v>
      </x:c>
      <x:c r="O311" s="70" t="str"/>
    </x:row>
    <x:row r="312">
      <x:c r="A312" s="70" t="str">
        <x:v>M5HIT-0307</x:v>
      </x:c>
      <x:c r="B312" s="70" t="str"/>
      <x:c r="C312" s="70" t="str">
        <x:f>IFERROR(VLOOKUP(B312,'02_案例与预测'!$A$6:$E$65,5,FALSE),"")</x:f>
      </x:c>
      <x:c r="D312" s="70" t="str"/>
      <x:c r="E312" s="70" t="str"/>
      <x:c r="F312" s="70" t="str"/>
      <x:c r="G312" s="70" t="str"/>
      <x:c r="H312" s="70" t="str"/>
      <x:c r="I312" s="70" t="str"/>
      <x:c r="J312" s="70" t="str">
        <x:f>IF(I312="支持",1,IF(I312="基本支持",0.75,IF(I312="部分支持",0.5,IF(I312="相邻但不同",0.25,IF(I312="反例",0,"")))))</x:f>
      </x:c>
      <x:c r="K312" s="70" t="str">
        <x:v>无</x:v>
      </x:c>
      <x:c r="L312" s="70" t="str">
        <x:v>否</x:v>
      </x:c>
      <x:c r="M312" s="70" t="str"/>
      <x:c r="N312" s="70" t="str">
        <x:v>否</x:v>
      </x:c>
      <x:c r="O312" s="70" t="str"/>
    </x:row>
    <x:row r="313">
      <x:c r="A313" s="70" t="str">
        <x:v>M5HIT-0308</x:v>
      </x:c>
      <x:c r="B313" s="70" t="str"/>
      <x:c r="C313" s="70" t="str">
        <x:f>IFERROR(VLOOKUP(B313,'02_案例与预测'!$A$6:$E$65,5,FALSE),"")</x:f>
      </x:c>
      <x:c r="D313" s="70" t="str"/>
      <x:c r="E313" s="70" t="str"/>
      <x:c r="F313" s="70" t="str"/>
      <x:c r="G313" s="70" t="str"/>
      <x:c r="H313" s="70" t="str"/>
      <x:c r="I313" s="70" t="str"/>
      <x:c r="J313" s="70" t="str">
        <x:f>IF(I313="支持",1,IF(I313="基本支持",0.75,IF(I313="部分支持",0.5,IF(I313="相邻但不同",0.25,IF(I313="反例",0,"")))))</x:f>
      </x:c>
      <x:c r="K313" s="70" t="str">
        <x:v>无</x:v>
      </x:c>
      <x:c r="L313" s="70" t="str">
        <x:v>否</x:v>
      </x:c>
      <x:c r="M313" s="70" t="str"/>
      <x:c r="N313" s="70" t="str">
        <x:v>否</x:v>
      </x:c>
      <x:c r="O313" s="70" t="str"/>
    </x:row>
    <x:row r="314">
      <x:c r="A314" s="70" t="str">
        <x:v>M5HIT-0309</x:v>
      </x:c>
      <x:c r="B314" s="70" t="str"/>
      <x:c r="C314" s="70" t="str">
        <x:f>IFERROR(VLOOKUP(B314,'02_案例与预测'!$A$6:$E$65,5,FALSE),"")</x:f>
      </x:c>
      <x:c r="D314" s="70" t="str"/>
      <x:c r="E314" s="70" t="str"/>
      <x:c r="F314" s="70" t="str"/>
      <x:c r="G314" s="70" t="str"/>
      <x:c r="H314" s="70" t="str"/>
      <x:c r="I314" s="70" t="str"/>
      <x:c r="J314" s="70" t="str">
        <x:f>IF(I314="支持",1,IF(I314="基本支持",0.75,IF(I314="部分支持",0.5,IF(I314="相邻但不同",0.25,IF(I314="反例",0,"")))))</x:f>
      </x:c>
      <x:c r="K314" s="70" t="str">
        <x:v>无</x:v>
      </x:c>
      <x:c r="L314" s="70" t="str">
        <x:v>否</x:v>
      </x:c>
      <x:c r="M314" s="70" t="str"/>
      <x:c r="N314" s="70" t="str">
        <x:v>否</x:v>
      </x:c>
      <x:c r="O314" s="70" t="str"/>
    </x:row>
    <x:row r="315">
      <x:c r="A315" s="70" t="str">
        <x:v>M5HIT-0310</x:v>
      </x:c>
      <x:c r="B315" s="70" t="str"/>
      <x:c r="C315" s="70" t="str">
        <x:f>IFERROR(VLOOKUP(B315,'02_案例与预测'!$A$6:$E$65,5,FALSE),"")</x:f>
      </x:c>
      <x:c r="D315" s="70" t="str"/>
      <x:c r="E315" s="70" t="str"/>
      <x:c r="F315" s="70" t="str"/>
      <x:c r="G315" s="70" t="str"/>
      <x:c r="H315" s="70" t="str"/>
      <x:c r="I315" s="70" t="str"/>
      <x:c r="J315" s="70" t="str">
        <x:f>IF(I315="支持",1,IF(I315="基本支持",0.75,IF(I315="部分支持",0.5,IF(I315="相邻但不同",0.25,IF(I315="反例",0,"")))))</x:f>
      </x:c>
      <x:c r="K315" s="70" t="str">
        <x:v>无</x:v>
      </x:c>
      <x:c r="L315" s="70" t="str">
        <x:v>否</x:v>
      </x:c>
      <x:c r="M315" s="70" t="str"/>
      <x:c r="N315" s="70" t="str">
        <x:v>否</x:v>
      </x:c>
      <x:c r="O315" s="70" t="str"/>
    </x:row>
    <x:row r="316">
      <x:c r="A316" s="70" t="str">
        <x:v>M5HIT-0311</x:v>
      </x:c>
      <x:c r="B316" s="70" t="str"/>
      <x:c r="C316" s="70" t="str">
        <x:f>IFERROR(VLOOKUP(B316,'02_案例与预测'!$A$6:$E$65,5,FALSE),"")</x:f>
      </x:c>
      <x:c r="D316" s="70" t="str"/>
      <x:c r="E316" s="70" t="str"/>
      <x:c r="F316" s="70" t="str"/>
      <x:c r="G316" s="70" t="str"/>
      <x:c r="H316" s="70" t="str"/>
      <x:c r="I316" s="70" t="str"/>
      <x:c r="J316" s="70" t="str">
        <x:f>IF(I316="支持",1,IF(I316="基本支持",0.75,IF(I316="部分支持",0.5,IF(I316="相邻但不同",0.25,IF(I316="反例",0,"")))))</x:f>
      </x:c>
      <x:c r="K316" s="70" t="str">
        <x:v>无</x:v>
      </x:c>
      <x:c r="L316" s="70" t="str">
        <x:v>否</x:v>
      </x:c>
      <x:c r="M316" s="70" t="str"/>
      <x:c r="N316" s="70" t="str">
        <x:v>否</x:v>
      </x:c>
      <x:c r="O316" s="70" t="str"/>
    </x:row>
    <x:row r="317">
      <x:c r="A317" s="70" t="str">
        <x:v>M5HIT-0312</x:v>
      </x:c>
      <x:c r="B317" s="70" t="str"/>
      <x:c r="C317" s="70" t="str">
        <x:f>IFERROR(VLOOKUP(B317,'02_案例与预测'!$A$6:$E$65,5,FALSE),"")</x:f>
      </x:c>
      <x:c r="D317" s="70" t="str"/>
      <x:c r="E317" s="70" t="str"/>
      <x:c r="F317" s="70" t="str"/>
      <x:c r="G317" s="70" t="str"/>
      <x:c r="H317" s="70" t="str"/>
      <x:c r="I317" s="70" t="str"/>
      <x:c r="J317" s="70" t="str">
        <x:f>IF(I317="支持",1,IF(I317="基本支持",0.75,IF(I317="部分支持",0.5,IF(I317="相邻但不同",0.25,IF(I317="反例",0,"")))))</x:f>
      </x:c>
      <x:c r="K317" s="70" t="str">
        <x:v>无</x:v>
      </x:c>
      <x:c r="L317" s="70" t="str">
        <x:v>否</x:v>
      </x:c>
      <x:c r="M317" s="70" t="str"/>
      <x:c r="N317" s="70" t="str">
        <x:v>否</x:v>
      </x:c>
      <x:c r="O317" s="70" t="str"/>
    </x:row>
    <x:row r="318">
      <x:c r="A318" s="70" t="str">
        <x:v>M5HIT-0313</x:v>
      </x:c>
      <x:c r="B318" s="70" t="str"/>
      <x:c r="C318" s="70" t="str">
        <x:f>IFERROR(VLOOKUP(B318,'02_案例与预测'!$A$6:$E$65,5,FALSE),"")</x:f>
      </x:c>
      <x:c r="D318" s="70" t="str"/>
      <x:c r="E318" s="70" t="str"/>
      <x:c r="F318" s="70" t="str"/>
      <x:c r="G318" s="70" t="str"/>
      <x:c r="H318" s="70" t="str"/>
      <x:c r="I318" s="70" t="str"/>
      <x:c r="J318" s="70" t="str">
        <x:f>IF(I318="支持",1,IF(I318="基本支持",0.75,IF(I318="部分支持",0.5,IF(I318="相邻但不同",0.25,IF(I318="反例",0,"")))))</x:f>
      </x:c>
      <x:c r="K318" s="70" t="str">
        <x:v>无</x:v>
      </x:c>
      <x:c r="L318" s="70" t="str">
        <x:v>否</x:v>
      </x:c>
      <x:c r="M318" s="70" t="str"/>
      <x:c r="N318" s="70" t="str">
        <x:v>否</x:v>
      </x:c>
      <x:c r="O318" s="70" t="str"/>
    </x:row>
    <x:row r="319">
      <x:c r="A319" s="70" t="str">
        <x:v>M5HIT-0314</x:v>
      </x:c>
      <x:c r="B319" s="70" t="str"/>
      <x:c r="C319" s="70" t="str">
        <x:f>IFERROR(VLOOKUP(B319,'02_案例与预测'!$A$6:$E$65,5,FALSE),"")</x:f>
      </x:c>
      <x:c r="D319" s="70" t="str"/>
      <x:c r="E319" s="70" t="str"/>
      <x:c r="F319" s="70" t="str"/>
      <x:c r="G319" s="70" t="str"/>
      <x:c r="H319" s="70" t="str"/>
      <x:c r="I319" s="70" t="str"/>
      <x:c r="J319" s="70" t="str">
        <x:f>IF(I319="支持",1,IF(I319="基本支持",0.75,IF(I319="部分支持",0.5,IF(I319="相邻但不同",0.25,IF(I319="反例",0,"")))))</x:f>
      </x:c>
      <x:c r="K319" s="70" t="str">
        <x:v>无</x:v>
      </x:c>
      <x:c r="L319" s="70" t="str">
        <x:v>否</x:v>
      </x:c>
      <x:c r="M319" s="70" t="str"/>
      <x:c r="N319" s="70" t="str">
        <x:v>否</x:v>
      </x:c>
      <x:c r="O319" s="70" t="str"/>
    </x:row>
    <x:row r="320">
      <x:c r="A320" s="70" t="str">
        <x:v>M5HIT-0315</x:v>
      </x:c>
      <x:c r="B320" s="70" t="str"/>
      <x:c r="C320" s="70" t="str">
        <x:f>IFERROR(VLOOKUP(B320,'02_案例与预测'!$A$6:$E$65,5,FALSE),"")</x:f>
      </x:c>
      <x:c r="D320" s="70" t="str"/>
      <x:c r="E320" s="70" t="str"/>
      <x:c r="F320" s="70" t="str"/>
      <x:c r="G320" s="70" t="str"/>
      <x:c r="H320" s="70" t="str"/>
      <x:c r="I320" s="70" t="str"/>
      <x:c r="J320" s="70" t="str">
        <x:f>IF(I320="支持",1,IF(I320="基本支持",0.75,IF(I320="部分支持",0.5,IF(I320="相邻但不同",0.25,IF(I320="反例",0,"")))))</x:f>
      </x:c>
      <x:c r="K320" s="70" t="str">
        <x:v>无</x:v>
      </x:c>
      <x:c r="L320" s="70" t="str">
        <x:v>否</x:v>
      </x:c>
      <x:c r="M320" s="70" t="str"/>
      <x:c r="N320" s="70" t="str">
        <x:v>否</x:v>
      </x:c>
      <x:c r="O320" s="70" t="str"/>
    </x:row>
    <x:row r="321">
      <x:c r="A321" s="70" t="str">
        <x:v>M5HIT-0316</x:v>
      </x:c>
      <x:c r="B321" s="70" t="str"/>
      <x:c r="C321" s="70" t="str">
        <x:f>IFERROR(VLOOKUP(B321,'02_案例与预测'!$A$6:$E$65,5,FALSE),"")</x:f>
      </x:c>
      <x:c r="D321" s="70" t="str"/>
      <x:c r="E321" s="70" t="str"/>
      <x:c r="F321" s="70" t="str"/>
      <x:c r="G321" s="70" t="str"/>
      <x:c r="H321" s="70" t="str"/>
      <x:c r="I321" s="70" t="str"/>
      <x:c r="J321" s="70" t="str">
        <x:f>IF(I321="支持",1,IF(I321="基本支持",0.75,IF(I321="部分支持",0.5,IF(I321="相邻但不同",0.25,IF(I321="反例",0,"")))))</x:f>
      </x:c>
      <x:c r="K321" s="70" t="str">
        <x:v>无</x:v>
      </x:c>
      <x:c r="L321" s="70" t="str">
        <x:v>否</x:v>
      </x:c>
      <x:c r="M321" s="70" t="str"/>
      <x:c r="N321" s="70" t="str">
        <x:v>否</x:v>
      </x:c>
      <x:c r="O321" s="70" t="str"/>
    </x:row>
    <x:row r="322">
      <x:c r="A322" s="70" t="str">
        <x:v>M5HIT-0317</x:v>
      </x:c>
      <x:c r="B322" s="70" t="str"/>
      <x:c r="C322" s="70" t="str">
        <x:f>IFERROR(VLOOKUP(B322,'02_案例与预测'!$A$6:$E$65,5,FALSE),"")</x:f>
      </x:c>
      <x:c r="D322" s="70" t="str"/>
      <x:c r="E322" s="70" t="str"/>
      <x:c r="F322" s="70" t="str"/>
      <x:c r="G322" s="70" t="str"/>
      <x:c r="H322" s="70" t="str"/>
      <x:c r="I322" s="70" t="str"/>
      <x:c r="J322" s="70" t="str">
        <x:f>IF(I322="支持",1,IF(I322="基本支持",0.75,IF(I322="部分支持",0.5,IF(I322="相邻但不同",0.25,IF(I322="反例",0,"")))))</x:f>
      </x:c>
      <x:c r="K322" s="70" t="str">
        <x:v>无</x:v>
      </x:c>
      <x:c r="L322" s="70" t="str">
        <x:v>否</x:v>
      </x:c>
      <x:c r="M322" s="70" t="str"/>
      <x:c r="N322" s="70" t="str">
        <x:v>否</x:v>
      </x:c>
      <x:c r="O322" s="70" t="str"/>
    </x:row>
    <x:row r="323">
      <x:c r="A323" s="70" t="str">
        <x:v>M5HIT-0318</x:v>
      </x:c>
      <x:c r="B323" s="70" t="str"/>
      <x:c r="C323" s="70" t="str">
        <x:f>IFERROR(VLOOKUP(B323,'02_案例与预测'!$A$6:$E$65,5,FALSE),"")</x:f>
      </x:c>
      <x:c r="D323" s="70" t="str"/>
      <x:c r="E323" s="70" t="str"/>
      <x:c r="F323" s="70" t="str"/>
      <x:c r="G323" s="70" t="str"/>
      <x:c r="H323" s="70" t="str"/>
      <x:c r="I323" s="70" t="str"/>
      <x:c r="J323" s="70" t="str">
        <x:f>IF(I323="支持",1,IF(I323="基本支持",0.75,IF(I323="部分支持",0.5,IF(I323="相邻但不同",0.25,IF(I323="反例",0,"")))))</x:f>
      </x:c>
      <x:c r="K323" s="70" t="str">
        <x:v>无</x:v>
      </x:c>
      <x:c r="L323" s="70" t="str">
        <x:v>否</x:v>
      </x:c>
      <x:c r="M323" s="70" t="str"/>
      <x:c r="N323" s="70" t="str">
        <x:v>否</x:v>
      </x:c>
      <x:c r="O323" s="70" t="str"/>
    </x:row>
    <x:row r="324">
      <x:c r="A324" s="70" t="str">
        <x:v>M5HIT-0319</x:v>
      </x:c>
      <x:c r="B324" s="70" t="str"/>
      <x:c r="C324" s="70" t="str">
        <x:f>IFERROR(VLOOKUP(B324,'02_案例与预测'!$A$6:$E$65,5,FALSE),"")</x:f>
      </x:c>
      <x:c r="D324" s="70" t="str"/>
      <x:c r="E324" s="70" t="str"/>
      <x:c r="F324" s="70" t="str"/>
      <x:c r="G324" s="70" t="str"/>
      <x:c r="H324" s="70" t="str"/>
      <x:c r="I324" s="70" t="str"/>
      <x:c r="J324" s="70" t="str">
        <x:f>IF(I324="支持",1,IF(I324="基本支持",0.75,IF(I324="部分支持",0.5,IF(I324="相邻但不同",0.25,IF(I324="反例",0,"")))))</x:f>
      </x:c>
      <x:c r="K324" s="70" t="str">
        <x:v>无</x:v>
      </x:c>
      <x:c r="L324" s="70" t="str">
        <x:v>否</x:v>
      </x:c>
      <x:c r="M324" s="70" t="str"/>
      <x:c r="N324" s="70" t="str">
        <x:v>否</x:v>
      </x:c>
      <x:c r="O324" s="70" t="str"/>
    </x:row>
    <x:row r="325">
      <x:c r="A325" s="70" t="str">
        <x:v>M5HIT-0320</x:v>
      </x:c>
      <x:c r="B325" s="70" t="str"/>
      <x:c r="C325" s="70" t="str">
        <x:f>IFERROR(VLOOKUP(B325,'02_案例与预测'!$A$6:$E$65,5,FALSE),"")</x:f>
      </x:c>
      <x:c r="D325" s="70" t="str"/>
      <x:c r="E325" s="70" t="str"/>
      <x:c r="F325" s="70" t="str"/>
      <x:c r="G325" s="70" t="str"/>
      <x:c r="H325" s="70" t="str"/>
      <x:c r="I325" s="70" t="str"/>
      <x:c r="J325" s="70" t="str">
        <x:f>IF(I325="支持",1,IF(I325="基本支持",0.75,IF(I325="部分支持",0.5,IF(I325="相邻但不同",0.25,IF(I325="反例",0,"")))))</x:f>
      </x:c>
      <x:c r="K325" s="70" t="str">
        <x:v>无</x:v>
      </x:c>
      <x:c r="L325" s="70" t="str">
        <x:v>否</x:v>
      </x:c>
      <x:c r="M325" s="70" t="str"/>
      <x:c r="N325" s="70" t="str">
        <x:v>否</x:v>
      </x:c>
      <x:c r="O325" s="70" t="str"/>
    </x:row>
    <x:row r="326">
      <x:c r="A326" s="70" t="str">
        <x:v>M5HIT-0321</x:v>
      </x:c>
      <x:c r="B326" s="70" t="str"/>
      <x:c r="C326" s="70" t="str">
        <x:f>IFERROR(VLOOKUP(B326,'02_案例与预测'!$A$6:$E$65,5,FALSE),"")</x:f>
      </x:c>
      <x:c r="D326" s="70" t="str"/>
      <x:c r="E326" s="70" t="str"/>
      <x:c r="F326" s="70" t="str"/>
      <x:c r="G326" s="70" t="str"/>
      <x:c r="H326" s="70" t="str"/>
      <x:c r="I326" s="70" t="str"/>
      <x:c r="J326" s="70" t="str">
        <x:f>IF(I326="支持",1,IF(I326="基本支持",0.75,IF(I326="部分支持",0.5,IF(I326="相邻但不同",0.25,IF(I326="反例",0,"")))))</x:f>
      </x:c>
      <x:c r="K326" s="70" t="str">
        <x:v>无</x:v>
      </x:c>
      <x:c r="L326" s="70" t="str">
        <x:v>否</x:v>
      </x:c>
      <x:c r="M326" s="70" t="str"/>
      <x:c r="N326" s="70" t="str">
        <x:v>否</x:v>
      </x:c>
      <x:c r="O326" s="70" t="str"/>
    </x:row>
    <x:row r="327">
      <x:c r="A327" s="70" t="str">
        <x:v>M5HIT-0322</x:v>
      </x:c>
      <x:c r="B327" s="70" t="str"/>
      <x:c r="C327" s="70" t="str">
        <x:f>IFERROR(VLOOKUP(B327,'02_案例与预测'!$A$6:$E$65,5,FALSE),"")</x:f>
      </x:c>
      <x:c r="D327" s="70" t="str"/>
      <x:c r="E327" s="70" t="str"/>
      <x:c r="F327" s="70" t="str"/>
      <x:c r="G327" s="70" t="str"/>
      <x:c r="H327" s="70" t="str"/>
      <x:c r="I327" s="70" t="str"/>
      <x:c r="J327" s="70" t="str">
        <x:f>IF(I327="支持",1,IF(I327="基本支持",0.75,IF(I327="部分支持",0.5,IF(I327="相邻但不同",0.25,IF(I327="反例",0,"")))))</x:f>
      </x:c>
      <x:c r="K327" s="70" t="str">
        <x:v>无</x:v>
      </x:c>
      <x:c r="L327" s="70" t="str">
        <x:v>否</x:v>
      </x:c>
      <x:c r="M327" s="70" t="str"/>
      <x:c r="N327" s="70" t="str">
        <x:v>否</x:v>
      </x:c>
      <x:c r="O327" s="70" t="str"/>
    </x:row>
    <x:row r="328">
      <x:c r="A328" s="70" t="str">
        <x:v>M5HIT-0323</x:v>
      </x:c>
      <x:c r="B328" s="70" t="str"/>
      <x:c r="C328" s="70" t="str">
        <x:f>IFERROR(VLOOKUP(B328,'02_案例与预测'!$A$6:$E$65,5,FALSE),"")</x:f>
      </x:c>
      <x:c r="D328" s="70" t="str"/>
      <x:c r="E328" s="70" t="str"/>
      <x:c r="F328" s="70" t="str"/>
      <x:c r="G328" s="70" t="str"/>
      <x:c r="H328" s="70" t="str"/>
      <x:c r="I328" s="70" t="str"/>
      <x:c r="J328" s="70" t="str">
        <x:f>IF(I328="支持",1,IF(I328="基本支持",0.75,IF(I328="部分支持",0.5,IF(I328="相邻但不同",0.25,IF(I328="反例",0,"")))))</x:f>
      </x:c>
      <x:c r="K328" s="70" t="str">
        <x:v>无</x:v>
      </x:c>
      <x:c r="L328" s="70" t="str">
        <x:v>否</x:v>
      </x:c>
      <x:c r="M328" s="70" t="str"/>
      <x:c r="N328" s="70" t="str">
        <x:v>否</x:v>
      </x:c>
      <x:c r="O328" s="70" t="str"/>
    </x:row>
    <x:row r="329">
      <x:c r="A329" s="70" t="str">
        <x:v>M5HIT-0324</x:v>
      </x:c>
      <x:c r="B329" s="70" t="str"/>
      <x:c r="C329" s="70" t="str">
        <x:f>IFERROR(VLOOKUP(B329,'02_案例与预测'!$A$6:$E$65,5,FALSE),"")</x:f>
      </x:c>
      <x:c r="D329" s="70" t="str"/>
      <x:c r="E329" s="70" t="str"/>
      <x:c r="F329" s="70" t="str"/>
      <x:c r="G329" s="70" t="str"/>
      <x:c r="H329" s="70" t="str"/>
      <x:c r="I329" s="70" t="str"/>
      <x:c r="J329" s="70" t="str">
        <x:f>IF(I329="支持",1,IF(I329="基本支持",0.75,IF(I329="部分支持",0.5,IF(I329="相邻但不同",0.25,IF(I329="反例",0,"")))))</x:f>
      </x:c>
      <x:c r="K329" s="70" t="str">
        <x:v>无</x:v>
      </x:c>
      <x:c r="L329" s="70" t="str">
        <x:v>否</x:v>
      </x:c>
      <x:c r="M329" s="70" t="str"/>
      <x:c r="N329" s="70" t="str">
        <x:v>否</x:v>
      </x:c>
      <x:c r="O329" s="70" t="str"/>
    </x:row>
    <x:row r="330">
      <x:c r="A330" s="70" t="str">
        <x:v>M5HIT-0325</x:v>
      </x:c>
      <x:c r="B330" s="70" t="str"/>
      <x:c r="C330" s="70" t="str">
        <x:f>IFERROR(VLOOKUP(B330,'02_案例与预测'!$A$6:$E$65,5,FALSE),"")</x:f>
      </x:c>
      <x:c r="D330" s="70" t="str"/>
      <x:c r="E330" s="70" t="str"/>
      <x:c r="F330" s="70" t="str"/>
      <x:c r="G330" s="70" t="str"/>
      <x:c r="H330" s="70" t="str"/>
      <x:c r="I330" s="70" t="str"/>
      <x:c r="J330" s="70" t="str">
        <x:f>IF(I330="支持",1,IF(I330="基本支持",0.75,IF(I330="部分支持",0.5,IF(I330="相邻但不同",0.25,IF(I330="反例",0,"")))))</x:f>
      </x:c>
      <x:c r="K330" s="70" t="str">
        <x:v>无</x:v>
      </x:c>
      <x:c r="L330" s="70" t="str">
        <x:v>否</x:v>
      </x:c>
      <x:c r="M330" s="70" t="str"/>
      <x:c r="N330" s="70" t="str">
        <x:v>否</x:v>
      </x:c>
      <x:c r="O330" s="70" t="str"/>
    </x:row>
    <x:row r="331">
      <x:c r="A331" s="70" t="str">
        <x:v>M5HIT-0326</x:v>
      </x:c>
      <x:c r="B331" s="70" t="str"/>
      <x:c r="C331" s="70" t="str">
        <x:f>IFERROR(VLOOKUP(B331,'02_案例与预测'!$A$6:$E$65,5,FALSE),"")</x:f>
      </x:c>
      <x:c r="D331" s="70" t="str"/>
      <x:c r="E331" s="70" t="str"/>
      <x:c r="F331" s="70" t="str"/>
      <x:c r="G331" s="70" t="str"/>
      <x:c r="H331" s="70" t="str"/>
      <x:c r="I331" s="70" t="str"/>
      <x:c r="J331" s="70" t="str">
        <x:f>IF(I331="支持",1,IF(I331="基本支持",0.75,IF(I331="部分支持",0.5,IF(I331="相邻但不同",0.25,IF(I331="反例",0,"")))))</x:f>
      </x:c>
      <x:c r="K331" s="70" t="str">
        <x:v>无</x:v>
      </x:c>
      <x:c r="L331" s="70" t="str">
        <x:v>否</x:v>
      </x:c>
      <x:c r="M331" s="70" t="str"/>
      <x:c r="N331" s="70" t="str">
        <x:v>否</x:v>
      </x:c>
      <x:c r="O331" s="70" t="str"/>
    </x:row>
    <x:row r="332">
      <x:c r="A332" s="70" t="str">
        <x:v>M5HIT-0327</x:v>
      </x:c>
      <x:c r="B332" s="70" t="str"/>
      <x:c r="C332" s="70" t="str">
        <x:f>IFERROR(VLOOKUP(B332,'02_案例与预测'!$A$6:$E$65,5,FALSE),"")</x:f>
      </x:c>
      <x:c r="D332" s="70" t="str"/>
      <x:c r="E332" s="70" t="str"/>
      <x:c r="F332" s="70" t="str"/>
      <x:c r="G332" s="70" t="str"/>
      <x:c r="H332" s="70" t="str"/>
      <x:c r="I332" s="70" t="str"/>
      <x:c r="J332" s="70" t="str">
        <x:f>IF(I332="支持",1,IF(I332="基本支持",0.75,IF(I332="部分支持",0.5,IF(I332="相邻但不同",0.25,IF(I332="反例",0,"")))))</x:f>
      </x:c>
      <x:c r="K332" s="70" t="str">
        <x:v>无</x:v>
      </x:c>
      <x:c r="L332" s="70" t="str">
        <x:v>否</x:v>
      </x:c>
      <x:c r="M332" s="70" t="str"/>
      <x:c r="N332" s="70" t="str">
        <x:v>否</x:v>
      </x:c>
      <x:c r="O332" s="70" t="str"/>
    </x:row>
    <x:row r="333">
      <x:c r="A333" s="70" t="str">
        <x:v>M5HIT-0328</x:v>
      </x:c>
      <x:c r="B333" s="70" t="str"/>
      <x:c r="C333" s="70" t="str">
        <x:f>IFERROR(VLOOKUP(B333,'02_案例与预测'!$A$6:$E$65,5,FALSE),"")</x:f>
      </x:c>
      <x:c r="D333" s="70" t="str"/>
      <x:c r="E333" s="70" t="str"/>
      <x:c r="F333" s="70" t="str"/>
      <x:c r="G333" s="70" t="str"/>
      <x:c r="H333" s="70" t="str"/>
      <x:c r="I333" s="70" t="str"/>
      <x:c r="J333" s="70" t="str">
        <x:f>IF(I333="支持",1,IF(I333="基本支持",0.75,IF(I333="部分支持",0.5,IF(I333="相邻但不同",0.25,IF(I333="反例",0,"")))))</x:f>
      </x:c>
      <x:c r="K333" s="70" t="str">
        <x:v>无</x:v>
      </x:c>
      <x:c r="L333" s="70" t="str">
        <x:v>否</x:v>
      </x:c>
      <x:c r="M333" s="70" t="str"/>
      <x:c r="N333" s="70" t="str">
        <x:v>否</x:v>
      </x:c>
      <x:c r="O333" s="70" t="str"/>
    </x:row>
    <x:row r="334">
      <x:c r="A334" s="70" t="str">
        <x:v>M5HIT-0329</x:v>
      </x:c>
      <x:c r="B334" s="70" t="str"/>
      <x:c r="C334" s="70" t="str">
        <x:f>IFERROR(VLOOKUP(B334,'02_案例与预测'!$A$6:$E$65,5,FALSE),"")</x:f>
      </x:c>
      <x:c r="D334" s="70" t="str"/>
      <x:c r="E334" s="70" t="str"/>
      <x:c r="F334" s="70" t="str"/>
      <x:c r="G334" s="70" t="str"/>
      <x:c r="H334" s="70" t="str"/>
      <x:c r="I334" s="70" t="str"/>
      <x:c r="J334" s="70" t="str">
        <x:f>IF(I334="支持",1,IF(I334="基本支持",0.75,IF(I334="部分支持",0.5,IF(I334="相邻但不同",0.25,IF(I334="反例",0,"")))))</x:f>
      </x:c>
      <x:c r="K334" s="70" t="str">
        <x:v>无</x:v>
      </x:c>
      <x:c r="L334" s="70" t="str">
        <x:v>否</x:v>
      </x:c>
      <x:c r="M334" s="70" t="str"/>
      <x:c r="N334" s="70" t="str">
        <x:v>否</x:v>
      </x:c>
      <x:c r="O334" s="70" t="str"/>
    </x:row>
    <x:row r="335">
      <x:c r="A335" s="70" t="str">
        <x:v>M5HIT-0330</x:v>
      </x:c>
      <x:c r="B335" s="70" t="str"/>
      <x:c r="C335" s="70" t="str">
        <x:f>IFERROR(VLOOKUP(B335,'02_案例与预测'!$A$6:$E$65,5,FALSE),"")</x:f>
      </x:c>
      <x:c r="D335" s="70" t="str"/>
      <x:c r="E335" s="70" t="str"/>
      <x:c r="F335" s="70" t="str"/>
      <x:c r="G335" s="70" t="str"/>
      <x:c r="H335" s="70" t="str"/>
      <x:c r="I335" s="70" t="str"/>
      <x:c r="J335" s="70" t="str">
        <x:f>IF(I335="支持",1,IF(I335="基本支持",0.75,IF(I335="部分支持",0.5,IF(I335="相邻但不同",0.25,IF(I335="反例",0,"")))))</x:f>
      </x:c>
      <x:c r="K335" s="70" t="str">
        <x:v>无</x:v>
      </x:c>
      <x:c r="L335" s="70" t="str">
        <x:v>否</x:v>
      </x:c>
      <x:c r="M335" s="70" t="str"/>
      <x:c r="N335" s="70" t="str">
        <x:v>否</x:v>
      </x:c>
      <x:c r="O335" s="70" t="str"/>
    </x:row>
    <x:row r="336">
      <x:c r="A336" s="70" t="str">
        <x:v>M5HIT-0331</x:v>
      </x:c>
      <x:c r="B336" s="70" t="str"/>
      <x:c r="C336" s="70" t="str">
        <x:f>IFERROR(VLOOKUP(B336,'02_案例与预测'!$A$6:$E$65,5,FALSE),"")</x:f>
      </x:c>
      <x:c r="D336" s="70" t="str"/>
      <x:c r="E336" s="70" t="str"/>
      <x:c r="F336" s="70" t="str"/>
      <x:c r="G336" s="70" t="str"/>
      <x:c r="H336" s="70" t="str"/>
      <x:c r="I336" s="70" t="str"/>
      <x:c r="J336" s="70" t="str">
        <x:f>IF(I336="支持",1,IF(I336="基本支持",0.75,IF(I336="部分支持",0.5,IF(I336="相邻但不同",0.25,IF(I336="反例",0,"")))))</x:f>
      </x:c>
      <x:c r="K336" s="70" t="str">
        <x:v>无</x:v>
      </x:c>
      <x:c r="L336" s="70" t="str">
        <x:v>否</x:v>
      </x:c>
      <x:c r="M336" s="70" t="str"/>
      <x:c r="N336" s="70" t="str">
        <x:v>否</x:v>
      </x:c>
      <x:c r="O336" s="70" t="str"/>
    </x:row>
    <x:row r="337">
      <x:c r="A337" s="70" t="str">
        <x:v>M5HIT-0332</x:v>
      </x:c>
      <x:c r="B337" s="70" t="str"/>
      <x:c r="C337" s="70" t="str">
        <x:f>IFERROR(VLOOKUP(B337,'02_案例与预测'!$A$6:$E$65,5,FALSE),"")</x:f>
      </x:c>
      <x:c r="D337" s="70" t="str"/>
      <x:c r="E337" s="70" t="str"/>
      <x:c r="F337" s="70" t="str"/>
      <x:c r="G337" s="70" t="str"/>
      <x:c r="H337" s="70" t="str"/>
      <x:c r="I337" s="70" t="str"/>
      <x:c r="J337" s="70" t="str">
        <x:f>IF(I337="支持",1,IF(I337="基本支持",0.75,IF(I337="部分支持",0.5,IF(I337="相邻但不同",0.25,IF(I337="反例",0,"")))))</x:f>
      </x:c>
      <x:c r="K337" s="70" t="str">
        <x:v>无</x:v>
      </x:c>
      <x:c r="L337" s="70" t="str">
        <x:v>否</x:v>
      </x:c>
      <x:c r="M337" s="70" t="str"/>
      <x:c r="N337" s="70" t="str">
        <x:v>否</x:v>
      </x:c>
      <x:c r="O337" s="70" t="str"/>
    </x:row>
    <x:row r="338">
      <x:c r="A338" s="70" t="str">
        <x:v>M5HIT-0333</x:v>
      </x:c>
      <x:c r="B338" s="70" t="str"/>
      <x:c r="C338" s="70" t="str">
        <x:f>IFERROR(VLOOKUP(B338,'02_案例与预测'!$A$6:$E$65,5,FALSE),"")</x:f>
      </x:c>
      <x:c r="D338" s="70" t="str"/>
      <x:c r="E338" s="70" t="str"/>
      <x:c r="F338" s="70" t="str"/>
      <x:c r="G338" s="70" t="str"/>
      <x:c r="H338" s="70" t="str"/>
      <x:c r="I338" s="70" t="str"/>
      <x:c r="J338" s="70" t="str">
        <x:f>IF(I338="支持",1,IF(I338="基本支持",0.75,IF(I338="部分支持",0.5,IF(I338="相邻但不同",0.25,IF(I338="反例",0,"")))))</x:f>
      </x:c>
      <x:c r="K338" s="70" t="str">
        <x:v>无</x:v>
      </x:c>
      <x:c r="L338" s="70" t="str">
        <x:v>否</x:v>
      </x:c>
      <x:c r="M338" s="70" t="str"/>
      <x:c r="N338" s="70" t="str">
        <x:v>否</x:v>
      </x:c>
      <x:c r="O338" s="70" t="str"/>
    </x:row>
    <x:row r="339">
      <x:c r="A339" s="70" t="str">
        <x:v>M5HIT-0334</x:v>
      </x:c>
      <x:c r="B339" s="70" t="str"/>
      <x:c r="C339" s="70" t="str">
        <x:f>IFERROR(VLOOKUP(B339,'02_案例与预测'!$A$6:$E$65,5,FALSE),"")</x:f>
      </x:c>
      <x:c r="D339" s="70" t="str"/>
      <x:c r="E339" s="70" t="str"/>
      <x:c r="F339" s="70" t="str"/>
      <x:c r="G339" s="70" t="str"/>
      <x:c r="H339" s="70" t="str"/>
      <x:c r="I339" s="70" t="str"/>
      <x:c r="J339" s="70" t="str">
        <x:f>IF(I339="支持",1,IF(I339="基本支持",0.75,IF(I339="部分支持",0.5,IF(I339="相邻但不同",0.25,IF(I339="反例",0,"")))))</x:f>
      </x:c>
      <x:c r="K339" s="70" t="str">
        <x:v>无</x:v>
      </x:c>
      <x:c r="L339" s="70" t="str">
        <x:v>否</x:v>
      </x:c>
      <x:c r="M339" s="70" t="str"/>
      <x:c r="N339" s="70" t="str">
        <x:v>否</x:v>
      </x:c>
      <x:c r="O339" s="70" t="str"/>
    </x:row>
    <x:row r="340">
      <x:c r="A340" s="70" t="str">
        <x:v>M5HIT-0335</x:v>
      </x:c>
      <x:c r="B340" s="70" t="str"/>
      <x:c r="C340" s="70" t="str">
        <x:f>IFERROR(VLOOKUP(B340,'02_案例与预测'!$A$6:$E$65,5,FALSE),"")</x:f>
      </x:c>
      <x:c r="D340" s="70" t="str"/>
      <x:c r="E340" s="70" t="str"/>
      <x:c r="F340" s="70" t="str"/>
      <x:c r="G340" s="70" t="str"/>
      <x:c r="H340" s="70" t="str"/>
      <x:c r="I340" s="70" t="str"/>
      <x:c r="J340" s="70" t="str">
        <x:f>IF(I340="支持",1,IF(I340="基本支持",0.75,IF(I340="部分支持",0.5,IF(I340="相邻但不同",0.25,IF(I340="反例",0,"")))))</x:f>
      </x:c>
      <x:c r="K340" s="70" t="str">
        <x:v>无</x:v>
      </x:c>
      <x:c r="L340" s="70" t="str">
        <x:v>否</x:v>
      </x:c>
      <x:c r="M340" s="70" t="str"/>
      <x:c r="N340" s="70" t="str">
        <x:v>否</x:v>
      </x:c>
      <x:c r="O340" s="70" t="str"/>
    </x:row>
    <x:row r="341">
      <x:c r="A341" s="70" t="str">
        <x:v>M5HIT-0336</x:v>
      </x:c>
      <x:c r="B341" s="70" t="str"/>
      <x:c r="C341" s="70" t="str">
        <x:f>IFERROR(VLOOKUP(B341,'02_案例与预测'!$A$6:$E$65,5,FALSE),"")</x:f>
      </x:c>
      <x:c r="D341" s="70" t="str"/>
      <x:c r="E341" s="70" t="str"/>
      <x:c r="F341" s="70" t="str"/>
      <x:c r="G341" s="70" t="str"/>
      <x:c r="H341" s="70" t="str"/>
      <x:c r="I341" s="70" t="str"/>
      <x:c r="J341" s="70" t="str">
        <x:f>IF(I341="支持",1,IF(I341="基本支持",0.75,IF(I341="部分支持",0.5,IF(I341="相邻但不同",0.25,IF(I341="反例",0,"")))))</x:f>
      </x:c>
      <x:c r="K341" s="70" t="str">
        <x:v>无</x:v>
      </x:c>
      <x:c r="L341" s="70" t="str">
        <x:v>否</x:v>
      </x:c>
      <x:c r="M341" s="70" t="str"/>
      <x:c r="N341" s="70" t="str">
        <x:v>否</x:v>
      </x:c>
      <x:c r="O341" s="70" t="str"/>
    </x:row>
    <x:row r="342">
      <x:c r="A342" s="70" t="str">
        <x:v>M5HIT-0337</x:v>
      </x:c>
      <x:c r="B342" s="70" t="str"/>
      <x:c r="C342" s="70" t="str">
        <x:f>IFERROR(VLOOKUP(B342,'02_案例与预测'!$A$6:$E$65,5,FALSE),"")</x:f>
      </x:c>
      <x:c r="D342" s="70" t="str"/>
      <x:c r="E342" s="70" t="str"/>
      <x:c r="F342" s="70" t="str"/>
      <x:c r="G342" s="70" t="str"/>
      <x:c r="H342" s="70" t="str"/>
      <x:c r="I342" s="70" t="str"/>
      <x:c r="J342" s="70" t="str">
        <x:f>IF(I342="支持",1,IF(I342="基本支持",0.75,IF(I342="部分支持",0.5,IF(I342="相邻但不同",0.25,IF(I342="反例",0,"")))))</x:f>
      </x:c>
      <x:c r="K342" s="70" t="str">
        <x:v>无</x:v>
      </x:c>
      <x:c r="L342" s="70" t="str">
        <x:v>否</x:v>
      </x:c>
      <x:c r="M342" s="70" t="str"/>
      <x:c r="N342" s="70" t="str">
        <x:v>否</x:v>
      </x:c>
      <x:c r="O342" s="70" t="str"/>
    </x:row>
    <x:row r="343">
      <x:c r="A343" s="70" t="str">
        <x:v>M5HIT-0338</x:v>
      </x:c>
      <x:c r="B343" s="70" t="str"/>
      <x:c r="C343" s="70" t="str">
        <x:f>IFERROR(VLOOKUP(B343,'02_案例与预测'!$A$6:$E$65,5,FALSE),"")</x:f>
      </x:c>
      <x:c r="D343" s="70" t="str"/>
      <x:c r="E343" s="70" t="str"/>
      <x:c r="F343" s="70" t="str"/>
      <x:c r="G343" s="70" t="str"/>
      <x:c r="H343" s="70" t="str"/>
      <x:c r="I343" s="70" t="str"/>
      <x:c r="J343" s="70" t="str">
        <x:f>IF(I343="支持",1,IF(I343="基本支持",0.75,IF(I343="部分支持",0.5,IF(I343="相邻但不同",0.25,IF(I343="反例",0,"")))))</x:f>
      </x:c>
      <x:c r="K343" s="70" t="str">
        <x:v>无</x:v>
      </x:c>
      <x:c r="L343" s="70" t="str">
        <x:v>否</x:v>
      </x:c>
      <x:c r="M343" s="70" t="str"/>
      <x:c r="N343" s="70" t="str">
        <x:v>否</x:v>
      </x:c>
      <x:c r="O343" s="70" t="str"/>
    </x:row>
    <x:row r="344">
      <x:c r="A344" s="70" t="str">
        <x:v>M5HIT-0339</x:v>
      </x:c>
      <x:c r="B344" s="70" t="str"/>
      <x:c r="C344" s="70" t="str">
        <x:f>IFERROR(VLOOKUP(B344,'02_案例与预测'!$A$6:$E$65,5,FALSE),"")</x:f>
      </x:c>
      <x:c r="D344" s="70" t="str"/>
      <x:c r="E344" s="70" t="str"/>
      <x:c r="F344" s="70" t="str"/>
      <x:c r="G344" s="70" t="str"/>
      <x:c r="H344" s="70" t="str"/>
      <x:c r="I344" s="70" t="str"/>
      <x:c r="J344" s="70" t="str">
        <x:f>IF(I344="支持",1,IF(I344="基本支持",0.75,IF(I344="部分支持",0.5,IF(I344="相邻但不同",0.25,IF(I344="反例",0,"")))))</x:f>
      </x:c>
      <x:c r="K344" s="70" t="str">
        <x:v>无</x:v>
      </x:c>
      <x:c r="L344" s="70" t="str">
        <x:v>否</x:v>
      </x:c>
      <x:c r="M344" s="70" t="str"/>
      <x:c r="N344" s="70" t="str">
        <x:v>否</x:v>
      </x:c>
      <x:c r="O344" s="70" t="str"/>
    </x:row>
    <x:row r="345">
      <x:c r="A345" s="70" t="str">
        <x:v>M5HIT-0340</x:v>
      </x:c>
      <x:c r="B345" s="70" t="str"/>
      <x:c r="C345" s="70" t="str">
        <x:f>IFERROR(VLOOKUP(B345,'02_案例与预测'!$A$6:$E$65,5,FALSE),"")</x:f>
      </x:c>
      <x:c r="D345" s="70" t="str"/>
      <x:c r="E345" s="70" t="str"/>
      <x:c r="F345" s="70" t="str"/>
      <x:c r="G345" s="70" t="str"/>
      <x:c r="H345" s="70" t="str"/>
      <x:c r="I345" s="70" t="str"/>
      <x:c r="J345" s="70" t="str">
        <x:f>IF(I345="支持",1,IF(I345="基本支持",0.75,IF(I345="部分支持",0.5,IF(I345="相邻但不同",0.25,IF(I345="反例",0,"")))))</x:f>
      </x:c>
      <x:c r="K345" s="70" t="str">
        <x:v>无</x:v>
      </x:c>
      <x:c r="L345" s="70" t="str">
        <x:v>否</x:v>
      </x:c>
      <x:c r="M345" s="70" t="str"/>
      <x:c r="N345" s="70" t="str">
        <x:v>否</x:v>
      </x:c>
      <x:c r="O345" s="70" t="str"/>
    </x:row>
    <x:row r="346">
      <x:c r="A346" s="70" t="str">
        <x:v>M5HIT-0341</x:v>
      </x:c>
      <x:c r="B346" s="70" t="str"/>
      <x:c r="C346" s="70" t="str">
        <x:f>IFERROR(VLOOKUP(B346,'02_案例与预测'!$A$6:$E$65,5,FALSE),"")</x:f>
      </x:c>
      <x:c r="D346" s="70" t="str"/>
      <x:c r="E346" s="70" t="str"/>
      <x:c r="F346" s="70" t="str"/>
      <x:c r="G346" s="70" t="str"/>
      <x:c r="H346" s="70" t="str"/>
      <x:c r="I346" s="70" t="str"/>
      <x:c r="J346" s="70" t="str">
        <x:f>IF(I346="支持",1,IF(I346="基本支持",0.75,IF(I346="部分支持",0.5,IF(I346="相邻但不同",0.25,IF(I346="反例",0,"")))))</x:f>
      </x:c>
      <x:c r="K346" s="70" t="str">
        <x:v>无</x:v>
      </x:c>
      <x:c r="L346" s="70" t="str">
        <x:v>否</x:v>
      </x:c>
      <x:c r="M346" s="70" t="str"/>
      <x:c r="N346" s="70" t="str">
        <x:v>否</x:v>
      </x:c>
      <x:c r="O346" s="70" t="str"/>
    </x:row>
    <x:row r="347">
      <x:c r="A347" s="70" t="str">
        <x:v>M5HIT-0342</x:v>
      </x:c>
      <x:c r="B347" s="70" t="str"/>
      <x:c r="C347" s="70" t="str">
        <x:f>IFERROR(VLOOKUP(B347,'02_案例与预测'!$A$6:$E$65,5,FALSE),"")</x:f>
      </x:c>
      <x:c r="D347" s="70" t="str"/>
      <x:c r="E347" s="70" t="str"/>
      <x:c r="F347" s="70" t="str"/>
      <x:c r="G347" s="70" t="str"/>
      <x:c r="H347" s="70" t="str"/>
      <x:c r="I347" s="70" t="str"/>
      <x:c r="J347" s="70" t="str">
        <x:f>IF(I347="支持",1,IF(I347="基本支持",0.75,IF(I347="部分支持",0.5,IF(I347="相邻但不同",0.25,IF(I347="反例",0,"")))))</x:f>
      </x:c>
      <x:c r="K347" s="70" t="str">
        <x:v>无</x:v>
      </x:c>
      <x:c r="L347" s="70" t="str">
        <x:v>否</x:v>
      </x:c>
      <x:c r="M347" s="70" t="str"/>
      <x:c r="N347" s="70" t="str">
        <x:v>否</x:v>
      </x:c>
      <x:c r="O347" s="70" t="str"/>
    </x:row>
    <x:row r="348">
      <x:c r="A348" s="70" t="str">
        <x:v>M5HIT-0343</x:v>
      </x:c>
      <x:c r="B348" s="70" t="str"/>
      <x:c r="C348" s="70" t="str">
        <x:f>IFERROR(VLOOKUP(B348,'02_案例与预测'!$A$6:$E$65,5,FALSE),"")</x:f>
      </x:c>
      <x:c r="D348" s="70" t="str"/>
      <x:c r="E348" s="70" t="str"/>
      <x:c r="F348" s="70" t="str"/>
      <x:c r="G348" s="70" t="str"/>
      <x:c r="H348" s="70" t="str"/>
      <x:c r="I348" s="70" t="str"/>
      <x:c r="J348" s="70" t="str">
        <x:f>IF(I348="支持",1,IF(I348="基本支持",0.75,IF(I348="部分支持",0.5,IF(I348="相邻但不同",0.25,IF(I348="反例",0,"")))))</x:f>
      </x:c>
      <x:c r="K348" s="70" t="str">
        <x:v>无</x:v>
      </x:c>
      <x:c r="L348" s="70" t="str">
        <x:v>否</x:v>
      </x:c>
      <x:c r="M348" s="70" t="str"/>
      <x:c r="N348" s="70" t="str">
        <x:v>否</x:v>
      </x:c>
      <x:c r="O348" s="70" t="str"/>
    </x:row>
    <x:row r="349">
      <x:c r="A349" s="70" t="str">
        <x:v>M5HIT-0344</x:v>
      </x:c>
      <x:c r="B349" s="70" t="str"/>
      <x:c r="C349" s="70" t="str">
        <x:f>IFERROR(VLOOKUP(B349,'02_案例与预测'!$A$6:$E$65,5,FALSE),"")</x:f>
      </x:c>
      <x:c r="D349" s="70" t="str"/>
      <x:c r="E349" s="70" t="str"/>
      <x:c r="F349" s="70" t="str"/>
      <x:c r="G349" s="70" t="str"/>
      <x:c r="H349" s="70" t="str"/>
      <x:c r="I349" s="70" t="str"/>
      <x:c r="J349" s="70" t="str">
        <x:f>IF(I349="支持",1,IF(I349="基本支持",0.75,IF(I349="部分支持",0.5,IF(I349="相邻但不同",0.25,IF(I349="反例",0,"")))))</x:f>
      </x:c>
      <x:c r="K349" s="70" t="str">
        <x:v>无</x:v>
      </x:c>
      <x:c r="L349" s="70" t="str">
        <x:v>否</x:v>
      </x:c>
      <x:c r="M349" s="70" t="str"/>
      <x:c r="N349" s="70" t="str">
        <x:v>否</x:v>
      </x:c>
      <x:c r="O349" s="70" t="str"/>
    </x:row>
    <x:row r="350">
      <x:c r="A350" s="70" t="str">
        <x:v>M5HIT-0345</x:v>
      </x:c>
      <x:c r="B350" s="70" t="str"/>
      <x:c r="C350" s="70" t="str">
        <x:f>IFERROR(VLOOKUP(B350,'02_案例与预测'!$A$6:$E$65,5,FALSE),"")</x:f>
      </x:c>
      <x:c r="D350" s="70" t="str"/>
      <x:c r="E350" s="70" t="str"/>
      <x:c r="F350" s="70" t="str"/>
      <x:c r="G350" s="70" t="str"/>
      <x:c r="H350" s="70" t="str"/>
      <x:c r="I350" s="70" t="str"/>
      <x:c r="J350" s="70" t="str">
        <x:f>IF(I350="支持",1,IF(I350="基本支持",0.75,IF(I350="部分支持",0.5,IF(I350="相邻但不同",0.25,IF(I350="反例",0,"")))))</x:f>
      </x:c>
      <x:c r="K350" s="70" t="str">
        <x:v>无</x:v>
      </x:c>
      <x:c r="L350" s="70" t="str">
        <x:v>否</x:v>
      </x:c>
      <x:c r="M350" s="70" t="str"/>
      <x:c r="N350" s="70" t="str">
        <x:v>否</x:v>
      </x:c>
      <x:c r="O350" s="70" t="str"/>
    </x:row>
    <x:row r="351">
      <x:c r="A351" s="70" t="str">
        <x:v>M5HIT-0346</x:v>
      </x:c>
      <x:c r="B351" s="70" t="str"/>
      <x:c r="C351" s="70" t="str">
        <x:f>IFERROR(VLOOKUP(B351,'02_案例与预测'!$A$6:$E$65,5,FALSE),"")</x:f>
      </x:c>
      <x:c r="D351" s="70" t="str"/>
      <x:c r="E351" s="70" t="str"/>
      <x:c r="F351" s="70" t="str"/>
      <x:c r="G351" s="70" t="str"/>
      <x:c r="H351" s="70" t="str"/>
      <x:c r="I351" s="70" t="str"/>
      <x:c r="J351" s="70" t="str">
        <x:f>IF(I351="支持",1,IF(I351="基本支持",0.75,IF(I351="部分支持",0.5,IF(I351="相邻但不同",0.25,IF(I351="反例",0,"")))))</x:f>
      </x:c>
      <x:c r="K351" s="70" t="str">
        <x:v>无</x:v>
      </x:c>
      <x:c r="L351" s="70" t="str">
        <x:v>否</x:v>
      </x:c>
      <x:c r="M351" s="70" t="str"/>
      <x:c r="N351" s="70" t="str">
        <x:v>否</x:v>
      </x:c>
      <x:c r="O351" s="70" t="str"/>
    </x:row>
    <x:row r="352">
      <x:c r="A352" s="70" t="str">
        <x:v>M5HIT-0347</x:v>
      </x:c>
      <x:c r="B352" s="70" t="str"/>
      <x:c r="C352" s="70" t="str">
        <x:f>IFERROR(VLOOKUP(B352,'02_案例与预测'!$A$6:$E$65,5,FALSE),"")</x:f>
      </x:c>
      <x:c r="D352" s="70" t="str"/>
      <x:c r="E352" s="70" t="str"/>
      <x:c r="F352" s="70" t="str"/>
      <x:c r="G352" s="70" t="str"/>
      <x:c r="H352" s="70" t="str"/>
      <x:c r="I352" s="70" t="str"/>
      <x:c r="J352" s="70" t="str">
        <x:f>IF(I352="支持",1,IF(I352="基本支持",0.75,IF(I352="部分支持",0.5,IF(I352="相邻但不同",0.25,IF(I352="反例",0,"")))))</x:f>
      </x:c>
      <x:c r="K352" s="70" t="str">
        <x:v>无</x:v>
      </x:c>
      <x:c r="L352" s="70" t="str">
        <x:v>否</x:v>
      </x:c>
      <x:c r="M352" s="70" t="str"/>
      <x:c r="N352" s="70" t="str">
        <x:v>否</x:v>
      </x:c>
      <x:c r="O352" s="70" t="str"/>
    </x:row>
    <x:row r="353">
      <x:c r="A353" s="70" t="str">
        <x:v>M5HIT-0348</x:v>
      </x:c>
      <x:c r="B353" s="70" t="str"/>
      <x:c r="C353" s="70" t="str">
        <x:f>IFERROR(VLOOKUP(B353,'02_案例与预测'!$A$6:$E$65,5,FALSE),"")</x:f>
      </x:c>
      <x:c r="D353" s="70" t="str"/>
      <x:c r="E353" s="70" t="str"/>
      <x:c r="F353" s="70" t="str"/>
      <x:c r="G353" s="70" t="str"/>
      <x:c r="H353" s="70" t="str"/>
      <x:c r="I353" s="70" t="str"/>
      <x:c r="J353" s="70" t="str">
        <x:f>IF(I353="支持",1,IF(I353="基本支持",0.75,IF(I353="部分支持",0.5,IF(I353="相邻但不同",0.25,IF(I353="反例",0,"")))))</x:f>
      </x:c>
      <x:c r="K353" s="70" t="str">
        <x:v>无</x:v>
      </x:c>
      <x:c r="L353" s="70" t="str">
        <x:v>否</x:v>
      </x:c>
      <x:c r="M353" s="70" t="str"/>
      <x:c r="N353" s="70" t="str">
        <x:v>否</x:v>
      </x:c>
      <x:c r="O353" s="70" t="str"/>
    </x:row>
    <x:row r="354">
      <x:c r="A354" s="70" t="str">
        <x:v>M5HIT-0349</x:v>
      </x:c>
      <x:c r="B354" s="70" t="str"/>
      <x:c r="C354" s="70" t="str">
        <x:f>IFERROR(VLOOKUP(B354,'02_案例与预测'!$A$6:$E$65,5,FALSE),"")</x:f>
      </x:c>
      <x:c r="D354" s="70" t="str"/>
      <x:c r="E354" s="70" t="str"/>
      <x:c r="F354" s="70" t="str"/>
      <x:c r="G354" s="70" t="str"/>
      <x:c r="H354" s="70" t="str"/>
      <x:c r="I354" s="70" t="str"/>
      <x:c r="J354" s="70" t="str">
        <x:f>IF(I354="支持",1,IF(I354="基本支持",0.75,IF(I354="部分支持",0.5,IF(I354="相邻但不同",0.25,IF(I354="反例",0,"")))))</x:f>
      </x:c>
      <x:c r="K354" s="70" t="str">
        <x:v>无</x:v>
      </x:c>
      <x:c r="L354" s="70" t="str">
        <x:v>否</x:v>
      </x:c>
      <x:c r="M354" s="70" t="str"/>
      <x:c r="N354" s="70" t="str">
        <x:v>否</x:v>
      </x:c>
      <x:c r="O354" s="70" t="str"/>
    </x:row>
    <x:row r="355">
      <x:c r="A355" s="70" t="str">
        <x:v>M5HIT-0350</x:v>
      </x:c>
      <x:c r="B355" s="70" t="str"/>
      <x:c r="C355" s="70" t="str">
        <x:f>IFERROR(VLOOKUP(B355,'02_案例与预测'!$A$6:$E$65,5,FALSE),"")</x:f>
      </x:c>
      <x:c r="D355" s="70" t="str"/>
      <x:c r="E355" s="70" t="str"/>
      <x:c r="F355" s="70" t="str"/>
      <x:c r="G355" s="70" t="str"/>
      <x:c r="H355" s="70" t="str"/>
      <x:c r="I355" s="70" t="str"/>
      <x:c r="J355" s="70" t="str">
        <x:f>IF(I355="支持",1,IF(I355="基本支持",0.75,IF(I355="部分支持",0.5,IF(I355="相邻但不同",0.25,IF(I355="反例",0,"")))))</x:f>
      </x:c>
      <x:c r="K355" s="70" t="str">
        <x:v>无</x:v>
      </x:c>
      <x:c r="L355" s="70" t="str">
        <x:v>否</x:v>
      </x:c>
      <x:c r="M355" s="70" t="str"/>
      <x:c r="N355" s="70" t="str">
        <x:v>否</x:v>
      </x:c>
      <x:c r="O355" s="70" t="str"/>
    </x:row>
    <x:row r="356">
      <x:c r="A356" s="70" t="str">
        <x:v>M5HIT-0351</x:v>
      </x:c>
      <x:c r="B356" s="70" t="str"/>
      <x:c r="C356" s="70" t="str">
        <x:f>IFERROR(VLOOKUP(B356,'02_案例与预测'!$A$6:$E$65,5,FALSE),"")</x:f>
      </x:c>
      <x:c r="D356" s="70" t="str"/>
      <x:c r="E356" s="70" t="str"/>
      <x:c r="F356" s="70" t="str"/>
      <x:c r="G356" s="70" t="str"/>
      <x:c r="H356" s="70" t="str"/>
      <x:c r="I356" s="70" t="str"/>
      <x:c r="J356" s="70" t="str">
        <x:f>IF(I356="支持",1,IF(I356="基本支持",0.75,IF(I356="部分支持",0.5,IF(I356="相邻但不同",0.25,IF(I356="反例",0,"")))))</x:f>
      </x:c>
      <x:c r="K356" s="70" t="str">
        <x:v>无</x:v>
      </x:c>
      <x:c r="L356" s="70" t="str">
        <x:v>否</x:v>
      </x:c>
      <x:c r="M356" s="70" t="str"/>
      <x:c r="N356" s="70" t="str">
        <x:v>否</x:v>
      </x:c>
      <x:c r="O356" s="70" t="str"/>
    </x:row>
    <x:row r="357">
      <x:c r="A357" s="70" t="str">
        <x:v>M5HIT-0352</x:v>
      </x:c>
      <x:c r="B357" s="70" t="str"/>
      <x:c r="C357" s="70" t="str">
        <x:f>IFERROR(VLOOKUP(B357,'02_案例与预测'!$A$6:$E$65,5,FALSE),"")</x:f>
      </x:c>
      <x:c r="D357" s="70" t="str"/>
      <x:c r="E357" s="70" t="str"/>
      <x:c r="F357" s="70" t="str"/>
      <x:c r="G357" s="70" t="str"/>
      <x:c r="H357" s="70" t="str"/>
      <x:c r="I357" s="70" t="str"/>
      <x:c r="J357" s="70" t="str">
        <x:f>IF(I357="支持",1,IF(I357="基本支持",0.75,IF(I357="部分支持",0.5,IF(I357="相邻但不同",0.25,IF(I357="反例",0,"")))))</x:f>
      </x:c>
      <x:c r="K357" s="70" t="str">
        <x:v>无</x:v>
      </x:c>
      <x:c r="L357" s="70" t="str">
        <x:v>否</x:v>
      </x:c>
      <x:c r="M357" s="70" t="str"/>
      <x:c r="N357" s="70" t="str">
        <x:v>否</x:v>
      </x:c>
      <x:c r="O357" s="70" t="str"/>
    </x:row>
    <x:row r="358">
      <x:c r="A358" s="70" t="str">
        <x:v>M5HIT-0353</x:v>
      </x:c>
      <x:c r="B358" s="70" t="str"/>
      <x:c r="C358" s="70" t="str">
        <x:f>IFERROR(VLOOKUP(B358,'02_案例与预测'!$A$6:$E$65,5,FALSE),"")</x:f>
      </x:c>
      <x:c r="D358" s="70" t="str"/>
      <x:c r="E358" s="70" t="str"/>
      <x:c r="F358" s="70" t="str"/>
      <x:c r="G358" s="70" t="str"/>
      <x:c r="H358" s="70" t="str"/>
      <x:c r="I358" s="70" t="str"/>
      <x:c r="J358" s="70" t="str">
        <x:f>IF(I358="支持",1,IF(I358="基本支持",0.75,IF(I358="部分支持",0.5,IF(I358="相邻但不同",0.25,IF(I358="反例",0,"")))))</x:f>
      </x:c>
      <x:c r="K358" s="70" t="str">
        <x:v>无</x:v>
      </x:c>
      <x:c r="L358" s="70" t="str">
        <x:v>否</x:v>
      </x:c>
      <x:c r="M358" s="70" t="str"/>
      <x:c r="N358" s="70" t="str">
        <x:v>否</x:v>
      </x:c>
      <x:c r="O358" s="70" t="str"/>
    </x:row>
    <x:row r="359">
      <x:c r="A359" s="70" t="str">
        <x:v>M5HIT-0354</x:v>
      </x:c>
      <x:c r="B359" s="70" t="str"/>
      <x:c r="C359" s="70" t="str">
        <x:f>IFERROR(VLOOKUP(B359,'02_案例与预测'!$A$6:$E$65,5,FALSE),"")</x:f>
      </x:c>
      <x:c r="D359" s="70" t="str"/>
      <x:c r="E359" s="70" t="str"/>
      <x:c r="F359" s="70" t="str"/>
      <x:c r="G359" s="70" t="str"/>
      <x:c r="H359" s="70" t="str"/>
      <x:c r="I359" s="70" t="str"/>
      <x:c r="J359" s="70" t="str">
        <x:f>IF(I359="支持",1,IF(I359="基本支持",0.75,IF(I359="部分支持",0.5,IF(I359="相邻但不同",0.25,IF(I359="反例",0,"")))))</x:f>
      </x:c>
      <x:c r="K359" s="70" t="str">
        <x:v>无</x:v>
      </x:c>
      <x:c r="L359" s="70" t="str">
        <x:v>否</x:v>
      </x:c>
      <x:c r="M359" s="70" t="str"/>
      <x:c r="N359" s="70" t="str">
        <x:v>否</x:v>
      </x:c>
      <x:c r="O359" s="70" t="str"/>
    </x:row>
    <x:row r="360">
      <x:c r="A360" s="70" t="str">
        <x:v>M5HIT-0355</x:v>
      </x:c>
      <x:c r="B360" s="70" t="str"/>
      <x:c r="C360" s="70" t="str">
        <x:f>IFERROR(VLOOKUP(B360,'02_案例与预测'!$A$6:$E$65,5,FALSE),"")</x:f>
      </x:c>
      <x:c r="D360" s="70" t="str"/>
      <x:c r="E360" s="70" t="str"/>
      <x:c r="F360" s="70" t="str"/>
      <x:c r="G360" s="70" t="str"/>
      <x:c r="H360" s="70" t="str"/>
      <x:c r="I360" s="70" t="str"/>
      <x:c r="J360" s="70" t="str">
        <x:f>IF(I360="支持",1,IF(I360="基本支持",0.75,IF(I360="部分支持",0.5,IF(I360="相邻但不同",0.25,IF(I360="反例",0,"")))))</x:f>
      </x:c>
      <x:c r="K360" s="70" t="str">
        <x:v>无</x:v>
      </x:c>
      <x:c r="L360" s="70" t="str">
        <x:v>否</x:v>
      </x:c>
      <x:c r="M360" s="70" t="str"/>
      <x:c r="N360" s="70" t="str">
        <x:v>否</x:v>
      </x:c>
      <x:c r="O360" s="70" t="str"/>
    </x:row>
    <x:row r="361">
      <x:c r="A361" s="70" t="str">
        <x:v>M5HIT-0356</x:v>
      </x:c>
      <x:c r="B361" s="70" t="str"/>
      <x:c r="C361" s="70" t="str">
        <x:f>IFERROR(VLOOKUP(B361,'02_案例与预测'!$A$6:$E$65,5,FALSE),"")</x:f>
      </x:c>
      <x:c r="D361" s="70" t="str"/>
      <x:c r="E361" s="70" t="str"/>
      <x:c r="F361" s="70" t="str"/>
      <x:c r="G361" s="70" t="str"/>
      <x:c r="H361" s="70" t="str"/>
      <x:c r="I361" s="70" t="str"/>
      <x:c r="J361" s="70" t="str">
        <x:f>IF(I361="支持",1,IF(I361="基本支持",0.75,IF(I361="部分支持",0.5,IF(I361="相邻但不同",0.25,IF(I361="反例",0,"")))))</x:f>
      </x:c>
      <x:c r="K361" s="70" t="str">
        <x:v>无</x:v>
      </x:c>
      <x:c r="L361" s="70" t="str">
        <x:v>否</x:v>
      </x:c>
      <x:c r="M361" s="70" t="str"/>
      <x:c r="N361" s="70" t="str">
        <x:v>否</x:v>
      </x:c>
      <x:c r="O361" s="70" t="str"/>
    </x:row>
    <x:row r="362">
      <x:c r="A362" s="70" t="str">
        <x:v>M5HIT-0357</x:v>
      </x:c>
      <x:c r="B362" s="70" t="str"/>
      <x:c r="C362" s="70" t="str">
        <x:f>IFERROR(VLOOKUP(B362,'02_案例与预测'!$A$6:$E$65,5,FALSE),"")</x:f>
      </x:c>
      <x:c r="D362" s="70" t="str"/>
      <x:c r="E362" s="70" t="str"/>
      <x:c r="F362" s="70" t="str"/>
      <x:c r="G362" s="70" t="str"/>
      <x:c r="H362" s="70" t="str"/>
      <x:c r="I362" s="70" t="str"/>
      <x:c r="J362" s="70" t="str">
        <x:f>IF(I362="支持",1,IF(I362="基本支持",0.75,IF(I362="部分支持",0.5,IF(I362="相邻但不同",0.25,IF(I362="反例",0,"")))))</x:f>
      </x:c>
      <x:c r="K362" s="70" t="str">
        <x:v>无</x:v>
      </x:c>
      <x:c r="L362" s="70" t="str">
        <x:v>否</x:v>
      </x:c>
      <x:c r="M362" s="70" t="str"/>
      <x:c r="N362" s="70" t="str">
        <x:v>否</x:v>
      </x:c>
      <x:c r="O362" s="70" t="str"/>
    </x:row>
    <x:row r="363">
      <x:c r="A363" s="70" t="str">
        <x:v>M5HIT-0358</x:v>
      </x:c>
      <x:c r="B363" s="70" t="str"/>
      <x:c r="C363" s="70" t="str">
        <x:f>IFERROR(VLOOKUP(B363,'02_案例与预测'!$A$6:$E$65,5,FALSE),"")</x:f>
      </x:c>
      <x:c r="D363" s="70" t="str"/>
      <x:c r="E363" s="70" t="str"/>
      <x:c r="F363" s="70" t="str"/>
      <x:c r="G363" s="70" t="str"/>
      <x:c r="H363" s="70" t="str"/>
      <x:c r="I363" s="70" t="str"/>
      <x:c r="J363" s="70" t="str">
        <x:f>IF(I363="支持",1,IF(I363="基本支持",0.75,IF(I363="部分支持",0.5,IF(I363="相邻但不同",0.25,IF(I363="反例",0,"")))))</x:f>
      </x:c>
      <x:c r="K363" s="70" t="str">
        <x:v>无</x:v>
      </x:c>
      <x:c r="L363" s="70" t="str">
        <x:v>否</x:v>
      </x:c>
      <x:c r="M363" s="70" t="str"/>
      <x:c r="N363" s="70" t="str">
        <x:v>否</x:v>
      </x:c>
      <x:c r="O363" s="70" t="str"/>
    </x:row>
    <x:row r="364">
      <x:c r="A364" s="70" t="str">
        <x:v>M5HIT-0359</x:v>
      </x:c>
      <x:c r="B364" s="70" t="str"/>
      <x:c r="C364" s="70" t="str">
        <x:f>IFERROR(VLOOKUP(B364,'02_案例与预测'!$A$6:$E$65,5,FALSE),"")</x:f>
      </x:c>
      <x:c r="D364" s="70" t="str"/>
      <x:c r="E364" s="70" t="str"/>
      <x:c r="F364" s="70" t="str"/>
      <x:c r="G364" s="70" t="str"/>
      <x:c r="H364" s="70" t="str"/>
      <x:c r="I364" s="70" t="str"/>
      <x:c r="J364" s="70" t="str">
        <x:f>IF(I364="支持",1,IF(I364="基本支持",0.75,IF(I364="部分支持",0.5,IF(I364="相邻但不同",0.25,IF(I364="反例",0,"")))))</x:f>
      </x:c>
      <x:c r="K364" s="70" t="str">
        <x:v>无</x:v>
      </x:c>
      <x:c r="L364" s="70" t="str">
        <x:v>否</x:v>
      </x:c>
      <x:c r="M364" s="70" t="str"/>
      <x:c r="N364" s="70" t="str">
        <x:v>否</x:v>
      </x:c>
      <x:c r="O364" s="70" t="str"/>
    </x:row>
    <x:row r="365">
      <x:c r="A365" s="70" t="str">
        <x:v>M5HIT-0360</x:v>
      </x:c>
      <x:c r="B365" s="70" t="str"/>
      <x:c r="C365" s="70" t="str">
        <x:f>IFERROR(VLOOKUP(B365,'02_案例与预测'!$A$6:$E$65,5,FALSE),"")</x:f>
      </x:c>
      <x:c r="D365" s="70" t="str"/>
      <x:c r="E365" s="70" t="str"/>
      <x:c r="F365" s="70" t="str"/>
      <x:c r="G365" s="70" t="str"/>
      <x:c r="H365" s="70" t="str"/>
      <x:c r="I365" s="70" t="str"/>
      <x:c r="J365" s="70" t="str">
        <x:f>IF(I365="支持",1,IF(I365="基本支持",0.75,IF(I365="部分支持",0.5,IF(I365="相邻但不同",0.25,IF(I365="反例",0,"")))))</x:f>
      </x:c>
      <x:c r="K365" s="70" t="str">
        <x:v>无</x:v>
      </x:c>
      <x:c r="L365" s="70" t="str">
        <x:v>否</x:v>
      </x:c>
      <x:c r="M365" s="70" t="str"/>
      <x:c r="N365" s="70" t="str">
        <x:v>否</x:v>
      </x:c>
      <x:c r="O365" s="70" t="str"/>
    </x:row>
    <x:row r="366">
      <x:c r="A366" s="70" t="str">
        <x:v>M5HIT-0361</x:v>
      </x:c>
      <x:c r="B366" s="70" t="str"/>
      <x:c r="C366" s="70" t="str">
        <x:f>IFERROR(VLOOKUP(B366,'02_案例与预测'!$A$6:$E$65,5,FALSE),"")</x:f>
      </x:c>
      <x:c r="D366" s="70" t="str"/>
      <x:c r="E366" s="70" t="str"/>
      <x:c r="F366" s="70" t="str"/>
      <x:c r="G366" s="70" t="str"/>
      <x:c r="H366" s="70" t="str"/>
      <x:c r="I366" s="70" t="str"/>
      <x:c r="J366" s="70" t="str">
        <x:f>IF(I366="支持",1,IF(I366="基本支持",0.75,IF(I366="部分支持",0.5,IF(I366="相邻但不同",0.25,IF(I366="反例",0,"")))))</x:f>
      </x:c>
      <x:c r="K366" s="70" t="str">
        <x:v>无</x:v>
      </x:c>
      <x:c r="L366" s="70" t="str">
        <x:v>否</x:v>
      </x:c>
      <x:c r="M366" s="70" t="str"/>
      <x:c r="N366" s="70" t="str">
        <x:v>否</x:v>
      </x:c>
      <x:c r="O366" s="70" t="str"/>
    </x:row>
    <x:row r="367">
      <x:c r="A367" s="70" t="str">
        <x:v>M5HIT-0362</x:v>
      </x:c>
      <x:c r="B367" s="70" t="str"/>
      <x:c r="C367" s="70" t="str">
        <x:f>IFERROR(VLOOKUP(B367,'02_案例与预测'!$A$6:$E$65,5,FALSE),"")</x:f>
      </x:c>
      <x:c r="D367" s="70" t="str"/>
      <x:c r="E367" s="70" t="str"/>
      <x:c r="F367" s="70" t="str"/>
      <x:c r="G367" s="70" t="str"/>
      <x:c r="H367" s="70" t="str"/>
      <x:c r="I367" s="70" t="str"/>
      <x:c r="J367" s="70" t="str">
        <x:f>IF(I367="支持",1,IF(I367="基本支持",0.75,IF(I367="部分支持",0.5,IF(I367="相邻但不同",0.25,IF(I367="反例",0,"")))))</x:f>
      </x:c>
      <x:c r="K367" s="70" t="str">
        <x:v>无</x:v>
      </x:c>
      <x:c r="L367" s="70" t="str">
        <x:v>否</x:v>
      </x:c>
      <x:c r="M367" s="70" t="str"/>
      <x:c r="N367" s="70" t="str">
        <x:v>否</x:v>
      </x:c>
      <x:c r="O367" s="70" t="str"/>
    </x:row>
    <x:row r="368">
      <x:c r="A368" s="70" t="str">
        <x:v>M5HIT-0363</x:v>
      </x:c>
      <x:c r="B368" s="70" t="str"/>
      <x:c r="C368" s="70" t="str">
        <x:f>IFERROR(VLOOKUP(B368,'02_案例与预测'!$A$6:$E$65,5,FALSE),"")</x:f>
      </x:c>
      <x:c r="D368" s="70" t="str"/>
      <x:c r="E368" s="70" t="str"/>
      <x:c r="F368" s="70" t="str"/>
      <x:c r="G368" s="70" t="str"/>
      <x:c r="H368" s="70" t="str"/>
      <x:c r="I368" s="70" t="str"/>
      <x:c r="J368" s="70" t="str">
        <x:f>IF(I368="支持",1,IF(I368="基本支持",0.75,IF(I368="部分支持",0.5,IF(I368="相邻但不同",0.25,IF(I368="反例",0,"")))))</x:f>
      </x:c>
      <x:c r="K368" s="70" t="str">
        <x:v>无</x:v>
      </x:c>
      <x:c r="L368" s="70" t="str">
        <x:v>否</x:v>
      </x:c>
      <x:c r="M368" s="70" t="str"/>
      <x:c r="N368" s="70" t="str">
        <x:v>否</x:v>
      </x:c>
      <x:c r="O368" s="70" t="str"/>
    </x:row>
    <x:row r="369">
      <x:c r="A369" s="70" t="str">
        <x:v>M5HIT-0364</x:v>
      </x:c>
      <x:c r="B369" s="70" t="str"/>
      <x:c r="C369" s="70" t="str">
        <x:f>IFERROR(VLOOKUP(B369,'02_案例与预测'!$A$6:$E$65,5,FALSE),"")</x:f>
      </x:c>
      <x:c r="D369" s="70" t="str"/>
      <x:c r="E369" s="70" t="str"/>
      <x:c r="F369" s="70" t="str"/>
      <x:c r="G369" s="70" t="str"/>
      <x:c r="H369" s="70" t="str"/>
      <x:c r="I369" s="70" t="str"/>
      <x:c r="J369" s="70" t="str">
        <x:f>IF(I369="支持",1,IF(I369="基本支持",0.75,IF(I369="部分支持",0.5,IF(I369="相邻但不同",0.25,IF(I369="反例",0,"")))))</x:f>
      </x:c>
      <x:c r="K369" s="70" t="str">
        <x:v>无</x:v>
      </x:c>
      <x:c r="L369" s="70" t="str">
        <x:v>否</x:v>
      </x:c>
      <x:c r="M369" s="70" t="str"/>
      <x:c r="N369" s="70" t="str">
        <x:v>否</x:v>
      </x:c>
      <x:c r="O369" s="70" t="str"/>
    </x:row>
    <x:row r="370">
      <x:c r="A370" s="70" t="str">
        <x:v>M5HIT-0365</x:v>
      </x:c>
      <x:c r="B370" s="70" t="str"/>
      <x:c r="C370" s="70" t="str">
        <x:f>IFERROR(VLOOKUP(B370,'02_案例与预测'!$A$6:$E$65,5,FALSE),"")</x:f>
      </x:c>
      <x:c r="D370" s="70" t="str"/>
      <x:c r="E370" s="70" t="str"/>
      <x:c r="F370" s="70" t="str"/>
      <x:c r="G370" s="70" t="str"/>
      <x:c r="H370" s="70" t="str"/>
      <x:c r="I370" s="70" t="str"/>
      <x:c r="J370" s="70" t="str">
        <x:f>IF(I370="支持",1,IF(I370="基本支持",0.75,IF(I370="部分支持",0.5,IF(I370="相邻但不同",0.25,IF(I370="反例",0,"")))))</x:f>
      </x:c>
      <x:c r="K370" s="70" t="str">
        <x:v>无</x:v>
      </x:c>
      <x:c r="L370" s="70" t="str">
        <x:v>否</x:v>
      </x:c>
      <x:c r="M370" s="70" t="str"/>
      <x:c r="N370" s="70" t="str">
        <x:v>否</x:v>
      </x:c>
      <x:c r="O370" s="70" t="str"/>
    </x:row>
    <x:row r="371">
      <x:c r="A371" s="70" t="str">
        <x:v>M5HIT-0366</x:v>
      </x:c>
      <x:c r="B371" s="70" t="str"/>
      <x:c r="C371" s="70" t="str">
        <x:f>IFERROR(VLOOKUP(B371,'02_案例与预测'!$A$6:$E$65,5,FALSE),"")</x:f>
      </x:c>
      <x:c r="D371" s="70" t="str"/>
      <x:c r="E371" s="70" t="str"/>
      <x:c r="F371" s="70" t="str"/>
      <x:c r="G371" s="70" t="str"/>
      <x:c r="H371" s="70" t="str"/>
      <x:c r="I371" s="70" t="str"/>
      <x:c r="J371" s="70" t="str">
        <x:f>IF(I371="支持",1,IF(I371="基本支持",0.75,IF(I371="部分支持",0.5,IF(I371="相邻但不同",0.25,IF(I371="反例",0,"")))))</x:f>
      </x:c>
      <x:c r="K371" s="70" t="str">
        <x:v>无</x:v>
      </x:c>
      <x:c r="L371" s="70" t="str">
        <x:v>否</x:v>
      </x:c>
      <x:c r="M371" s="70" t="str"/>
      <x:c r="N371" s="70" t="str">
        <x:v>否</x:v>
      </x:c>
      <x:c r="O371" s="70" t="str"/>
    </x:row>
    <x:row r="372">
      <x:c r="A372" s="70" t="str">
        <x:v>M5HIT-0367</x:v>
      </x:c>
      <x:c r="B372" s="70" t="str"/>
      <x:c r="C372" s="70" t="str">
        <x:f>IFERROR(VLOOKUP(B372,'02_案例与预测'!$A$6:$E$65,5,FALSE),"")</x:f>
      </x:c>
      <x:c r="D372" s="70" t="str"/>
      <x:c r="E372" s="70" t="str"/>
      <x:c r="F372" s="70" t="str"/>
      <x:c r="G372" s="70" t="str"/>
      <x:c r="H372" s="70" t="str"/>
      <x:c r="I372" s="70" t="str"/>
      <x:c r="J372" s="70" t="str">
        <x:f>IF(I372="支持",1,IF(I372="基本支持",0.75,IF(I372="部分支持",0.5,IF(I372="相邻但不同",0.25,IF(I372="反例",0,"")))))</x:f>
      </x:c>
      <x:c r="K372" s="70" t="str">
        <x:v>无</x:v>
      </x:c>
      <x:c r="L372" s="70" t="str">
        <x:v>否</x:v>
      </x:c>
      <x:c r="M372" s="70" t="str"/>
      <x:c r="N372" s="70" t="str">
        <x:v>否</x:v>
      </x:c>
      <x:c r="O372" s="70" t="str"/>
    </x:row>
    <x:row r="373">
      <x:c r="A373" s="70" t="str">
        <x:v>M5HIT-0368</x:v>
      </x:c>
      <x:c r="B373" s="70" t="str"/>
      <x:c r="C373" s="70" t="str">
        <x:f>IFERROR(VLOOKUP(B373,'02_案例与预测'!$A$6:$E$65,5,FALSE),"")</x:f>
      </x:c>
      <x:c r="D373" s="70" t="str"/>
      <x:c r="E373" s="70" t="str"/>
      <x:c r="F373" s="70" t="str"/>
      <x:c r="G373" s="70" t="str"/>
      <x:c r="H373" s="70" t="str"/>
      <x:c r="I373" s="70" t="str"/>
      <x:c r="J373" s="70" t="str">
        <x:f>IF(I373="支持",1,IF(I373="基本支持",0.75,IF(I373="部分支持",0.5,IF(I373="相邻但不同",0.25,IF(I373="反例",0,"")))))</x:f>
      </x:c>
      <x:c r="K373" s="70" t="str">
        <x:v>无</x:v>
      </x:c>
      <x:c r="L373" s="70" t="str">
        <x:v>否</x:v>
      </x:c>
      <x:c r="M373" s="70" t="str"/>
      <x:c r="N373" s="70" t="str">
        <x:v>否</x:v>
      </x:c>
      <x:c r="O373" s="70" t="str"/>
    </x:row>
    <x:row r="374">
      <x:c r="A374" s="70" t="str">
        <x:v>M5HIT-0369</x:v>
      </x:c>
      <x:c r="B374" s="70" t="str"/>
      <x:c r="C374" s="70" t="str">
        <x:f>IFERROR(VLOOKUP(B374,'02_案例与预测'!$A$6:$E$65,5,FALSE),"")</x:f>
      </x:c>
      <x:c r="D374" s="70" t="str"/>
      <x:c r="E374" s="70" t="str"/>
      <x:c r="F374" s="70" t="str"/>
      <x:c r="G374" s="70" t="str"/>
      <x:c r="H374" s="70" t="str"/>
      <x:c r="I374" s="70" t="str"/>
      <x:c r="J374" s="70" t="str">
        <x:f>IF(I374="支持",1,IF(I374="基本支持",0.75,IF(I374="部分支持",0.5,IF(I374="相邻但不同",0.25,IF(I374="反例",0,"")))))</x:f>
      </x:c>
      <x:c r="K374" s="70" t="str">
        <x:v>无</x:v>
      </x:c>
      <x:c r="L374" s="70" t="str">
        <x:v>否</x:v>
      </x:c>
      <x:c r="M374" s="70" t="str"/>
      <x:c r="N374" s="70" t="str">
        <x:v>否</x:v>
      </x:c>
      <x:c r="O374" s="70" t="str"/>
    </x:row>
    <x:row r="375">
      <x:c r="A375" s="70" t="str">
        <x:v>M5HIT-0370</x:v>
      </x:c>
      <x:c r="B375" s="70" t="str"/>
      <x:c r="C375" s="70" t="str">
        <x:f>IFERROR(VLOOKUP(B375,'02_案例与预测'!$A$6:$E$65,5,FALSE),"")</x:f>
      </x:c>
      <x:c r="D375" s="70" t="str"/>
      <x:c r="E375" s="70" t="str"/>
      <x:c r="F375" s="70" t="str"/>
      <x:c r="G375" s="70" t="str"/>
      <x:c r="H375" s="70" t="str"/>
      <x:c r="I375" s="70" t="str"/>
      <x:c r="J375" s="70" t="str">
        <x:f>IF(I375="支持",1,IF(I375="基本支持",0.75,IF(I375="部分支持",0.5,IF(I375="相邻但不同",0.25,IF(I375="反例",0,"")))))</x:f>
      </x:c>
      <x:c r="K375" s="70" t="str">
        <x:v>无</x:v>
      </x:c>
      <x:c r="L375" s="70" t="str">
        <x:v>否</x:v>
      </x:c>
      <x:c r="M375" s="70" t="str"/>
      <x:c r="N375" s="70" t="str">
        <x:v>否</x:v>
      </x:c>
      <x:c r="O375" s="70" t="str"/>
    </x:row>
    <x:row r="376">
      <x:c r="A376" s="70" t="str">
        <x:v>M5HIT-0371</x:v>
      </x:c>
      <x:c r="B376" s="70" t="str"/>
      <x:c r="C376" s="70" t="str">
        <x:f>IFERROR(VLOOKUP(B376,'02_案例与预测'!$A$6:$E$65,5,FALSE),"")</x:f>
      </x:c>
      <x:c r="D376" s="70" t="str"/>
      <x:c r="E376" s="70" t="str"/>
      <x:c r="F376" s="70" t="str"/>
      <x:c r="G376" s="70" t="str"/>
      <x:c r="H376" s="70" t="str"/>
      <x:c r="I376" s="70" t="str"/>
      <x:c r="J376" s="70" t="str">
        <x:f>IF(I376="支持",1,IF(I376="基本支持",0.75,IF(I376="部分支持",0.5,IF(I376="相邻但不同",0.25,IF(I376="反例",0,"")))))</x:f>
      </x:c>
      <x:c r="K376" s="70" t="str">
        <x:v>无</x:v>
      </x:c>
      <x:c r="L376" s="70" t="str">
        <x:v>否</x:v>
      </x:c>
      <x:c r="M376" s="70" t="str"/>
      <x:c r="N376" s="70" t="str">
        <x:v>否</x:v>
      </x:c>
      <x:c r="O376" s="70" t="str"/>
    </x:row>
    <x:row r="377">
      <x:c r="A377" s="70" t="str">
        <x:v>M5HIT-0372</x:v>
      </x:c>
      <x:c r="B377" s="70" t="str"/>
      <x:c r="C377" s="70" t="str">
        <x:f>IFERROR(VLOOKUP(B377,'02_案例与预测'!$A$6:$E$65,5,FALSE),"")</x:f>
      </x:c>
      <x:c r="D377" s="70" t="str"/>
      <x:c r="E377" s="70" t="str"/>
      <x:c r="F377" s="70" t="str"/>
      <x:c r="G377" s="70" t="str"/>
      <x:c r="H377" s="70" t="str"/>
      <x:c r="I377" s="70" t="str"/>
      <x:c r="J377" s="70" t="str">
        <x:f>IF(I377="支持",1,IF(I377="基本支持",0.75,IF(I377="部分支持",0.5,IF(I377="相邻但不同",0.25,IF(I377="反例",0,"")))))</x:f>
      </x:c>
      <x:c r="K377" s="70" t="str">
        <x:v>无</x:v>
      </x:c>
      <x:c r="L377" s="70" t="str">
        <x:v>否</x:v>
      </x:c>
      <x:c r="M377" s="70" t="str"/>
      <x:c r="N377" s="70" t="str">
        <x:v>否</x:v>
      </x:c>
      <x:c r="O377" s="70" t="str"/>
    </x:row>
    <x:row r="378">
      <x:c r="A378" s="70" t="str">
        <x:v>M5HIT-0373</x:v>
      </x:c>
      <x:c r="B378" s="70" t="str"/>
      <x:c r="C378" s="70" t="str">
        <x:f>IFERROR(VLOOKUP(B378,'02_案例与预测'!$A$6:$E$65,5,FALSE),"")</x:f>
      </x:c>
      <x:c r="D378" s="70" t="str"/>
      <x:c r="E378" s="70" t="str"/>
      <x:c r="F378" s="70" t="str"/>
      <x:c r="G378" s="70" t="str"/>
      <x:c r="H378" s="70" t="str"/>
      <x:c r="I378" s="70" t="str"/>
      <x:c r="J378" s="70" t="str">
        <x:f>IF(I378="支持",1,IF(I378="基本支持",0.75,IF(I378="部分支持",0.5,IF(I378="相邻但不同",0.25,IF(I378="反例",0,"")))))</x:f>
      </x:c>
      <x:c r="K378" s="70" t="str">
        <x:v>无</x:v>
      </x:c>
      <x:c r="L378" s="70" t="str">
        <x:v>否</x:v>
      </x:c>
      <x:c r="M378" s="70" t="str"/>
      <x:c r="N378" s="70" t="str">
        <x:v>否</x:v>
      </x:c>
      <x:c r="O378" s="70" t="str"/>
    </x:row>
    <x:row r="379">
      <x:c r="A379" s="70" t="str">
        <x:v>M5HIT-0374</x:v>
      </x:c>
      <x:c r="B379" s="70" t="str"/>
      <x:c r="C379" s="70" t="str">
        <x:f>IFERROR(VLOOKUP(B379,'02_案例与预测'!$A$6:$E$65,5,FALSE),"")</x:f>
      </x:c>
      <x:c r="D379" s="70" t="str"/>
      <x:c r="E379" s="70" t="str"/>
      <x:c r="F379" s="70" t="str"/>
      <x:c r="G379" s="70" t="str"/>
      <x:c r="H379" s="70" t="str"/>
      <x:c r="I379" s="70" t="str"/>
      <x:c r="J379" s="70" t="str">
        <x:f>IF(I379="支持",1,IF(I379="基本支持",0.75,IF(I379="部分支持",0.5,IF(I379="相邻但不同",0.25,IF(I379="反例",0,"")))))</x:f>
      </x:c>
      <x:c r="K379" s="70" t="str">
        <x:v>无</x:v>
      </x:c>
      <x:c r="L379" s="70" t="str">
        <x:v>否</x:v>
      </x:c>
      <x:c r="M379" s="70" t="str"/>
      <x:c r="N379" s="70" t="str">
        <x:v>否</x:v>
      </x:c>
      <x:c r="O379" s="70" t="str"/>
    </x:row>
    <x:row r="380">
      <x:c r="A380" s="70" t="str">
        <x:v>M5HIT-0375</x:v>
      </x:c>
      <x:c r="B380" s="70" t="str"/>
      <x:c r="C380" s="70" t="str">
        <x:f>IFERROR(VLOOKUP(B380,'02_案例与预测'!$A$6:$E$65,5,FALSE),"")</x:f>
      </x:c>
      <x:c r="D380" s="70" t="str"/>
      <x:c r="E380" s="70" t="str"/>
      <x:c r="F380" s="70" t="str"/>
      <x:c r="G380" s="70" t="str"/>
      <x:c r="H380" s="70" t="str"/>
      <x:c r="I380" s="70" t="str"/>
      <x:c r="J380" s="70" t="str">
        <x:f>IF(I380="支持",1,IF(I380="基本支持",0.75,IF(I380="部分支持",0.5,IF(I380="相邻但不同",0.25,IF(I380="反例",0,"")))))</x:f>
      </x:c>
      <x:c r="K380" s="70" t="str">
        <x:v>无</x:v>
      </x:c>
      <x:c r="L380" s="70" t="str">
        <x:v>否</x:v>
      </x:c>
      <x:c r="M380" s="70" t="str"/>
      <x:c r="N380" s="70" t="str">
        <x:v>否</x:v>
      </x:c>
      <x:c r="O380" s="70" t="str"/>
    </x:row>
    <x:row r="381">
      <x:c r="A381" s="70" t="str">
        <x:v>M5HIT-0376</x:v>
      </x:c>
      <x:c r="B381" s="70" t="str"/>
      <x:c r="C381" s="70" t="str">
        <x:f>IFERROR(VLOOKUP(B381,'02_案例与预测'!$A$6:$E$65,5,FALSE),"")</x:f>
      </x:c>
      <x:c r="D381" s="70" t="str"/>
      <x:c r="E381" s="70" t="str"/>
      <x:c r="F381" s="70" t="str"/>
      <x:c r="G381" s="70" t="str"/>
      <x:c r="H381" s="70" t="str"/>
      <x:c r="I381" s="70" t="str"/>
      <x:c r="J381" s="70" t="str">
        <x:f>IF(I381="支持",1,IF(I381="基本支持",0.75,IF(I381="部分支持",0.5,IF(I381="相邻但不同",0.25,IF(I381="反例",0,"")))))</x:f>
      </x:c>
      <x:c r="K381" s="70" t="str">
        <x:v>无</x:v>
      </x:c>
      <x:c r="L381" s="70" t="str">
        <x:v>否</x:v>
      </x:c>
      <x:c r="M381" s="70" t="str"/>
      <x:c r="N381" s="70" t="str">
        <x:v>否</x:v>
      </x:c>
      <x:c r="O381" s="70" t="str"/>
    </x:row>
    <x:row r="382">
      <x:c r="A382" s="70" t="str">
        <x:v>M5HIT-0377</x:v>
      </x:c>
      <x:c r="B382" s="70" t="str"/>
      <x:c r="C382" s="70" t="str">
        <x:f>IFERROR(VLOOKUP(B382,'02_案例与预测'!$A$6:$E$65,5,FALSE),"")</x:f>
      </x:c>
      <x:c r="D382" s="70" t="str"/>
      <x:c r="E382" s="70" t="str"/>
      <x:c r="F382" s="70" t="str"/>
      <x:c r="G382" s="70" t="str"/>
      <x:c r="H382" s="70" t="str"/>
      <x:c r="I382" s="70" t="str"/>
      <x:c r="J382" s="70" t="str">
        <x:f>IF(I382="支持",1,IF(I382="基本支持",0.75,IF(I382="部分支持",0.5,IF(I382="相邻但不同",0.25,IF(I382="反例",0,"")))))</x:f>
      </x:c>
      <x:c r="K382" s="70" t="str">
        <x:v>无</x:v>
      </x:c>
      <x:c r="L382" s="70" t="str">
        <x:v>否</x:v>
      </x:c>
      <x:c r="M382" s="70" t="str"/>
      <x:c r="N382" s="70" t="str">
        <x:v>否</x:v>
      </x:c>
      <x:c r="O382" s="70" t="str"/>
    </x:row>
    <x:row r="383">
      <x:c r="A383" s="70" t="str">
        <x:v>M5HIT-0378</x:v>
      </x:c>
      <x:c r="B383" s="70" t="str"/>
      <x:c r="C383" s="70" t="str">
        <x:f>IFERROR(VLOOKUP(B383,'02_案例与预测'!$A$6:$E$65,5,FALSE),"")</x:f>
      </x:c>
      <x:c r="D383" s="70" t="str"/>
      <x:c r="E383" s="70" t="str"/>
      <x:c r="F383" s="70" t="str"/>
      <x:c r="G383" s="70" t="str"/>
      <x:c r="H383" s="70" t="str"/>
      <x:c r="I383" s="70" t="str"/>
      <x:c r="J383" s="70" t="str">
        <x:f>IF(I383="支持",1,IF(I383="基本支持",0.75,IF(I383="部分支持",0.5,IF(I383="相邻但不同",0.25,IF(I383="反例",0,"")))))</x:f>
      </x:c>
      <x:c r="K383" s="70" t="str">
        <x:v>无</x:v>
      </x:c>
      <x:c r="L383" s="70" t="str">
        <x:v>否</x:v>
      </x:c>
      <x:c r="M383" s="70" t="str"/>
      <x:c r="N383" s="70" t="str">
        <x:v>否</x:v>
      </x:c>
      <x:c r="O383" s="70" t="str"/>
    </x:row>
    <x:row r="384">
      <x:c r="A384" s="70" t="str">
        <x:v>M5HIT-0379</x:v>
      </x:c>
      <x:c r="B384" s="70" t="str"/>
      <x:c r="C384" s="70" t="str">
        <x:f>IFERROR(VLOOKUP(B384,'02_案例与预测'!$A$6:$E$65,5,FALSE),"")</x:f>
      </x:c>
      <x:c r="D384" s="70" t="str"/>
      <x:c r="E384" s="70" t="str"/>
      <x:c r="F384" s="70" t="str"/>
      <x:c r="G384" s="70" t="str"/>
      <x:c r="H384" s="70" t="str"/>
      <x:c r="I384" s="70" t="str"/>
      <x:c r="J384" s="70" t="str">
        <x:f>IF(I384="支持",1,IF(I384="基本支持",0.75,IF(I384="部分支持",0.5,IF(I384="相邻但不同",0.25,IF(I384="反例",0,"")))))</x:f>
      </x:c>
      <x:c r="K384" s="70" t="str">
        <x:v>无</x:v>
      </x:c>
      <x:c r="L384" s="70" t="str">
        <x:v>否</x:v>
      </x:c>
      <x:c r="M384" s="70" t="str"/>
      <x:c r="N384" s="70" t="str">
        <x:v>否</x:v>
      </x:c>
      <x:c r="O384" s="70" t="str"/>
    </x:row>
    <x:row r="385">
      <x:c r="A385" s="70" t="str">
        <x:v>M5HIT-0380</x:v>
      </x:c>
      <x:c r="B385" s="70" t="str"/>
      <x:c r="C385" s="70" t="str">
        <x:f>IFERROR(VLOOKUP(B385,'02_案例与预测'!$A$6:$E$65,5,FALSE),"")</x:f>
      </x:c>
      <x:c r="D385" s="70" t="str"/>
      <x:c r="E385" s="70" t="str"/>
      <x:c r="F385" s="70" t="str"/>
      <x:c r="G385" s="70" t="str"/>
      <x:c r="H385" s="70" t="str"/>
      <x:c r="I385" s="70" t="str"/>
      <x:c r="J385" s="70" t="str">
        <x:f>IF(I385="支持",1,IF(I385="基本支持",0.75,IF(I385="部分支持",0.5,IF(I385="相邻但不同",0.25,IF(I385="反例",0,"")))))</x:f>
      </x:c>
      <x:c r="K385" s="70" t="str">
        <x:v>无</x:v>
      </x:c>
      <x:c r="L385" s="70" t="str">
        <x:v>否</x:v>
      </x:c>
      <x:c r="M385" s="70" t="str"/>
      <x:c r="N385" s="70" t="str">
        <x:v>否</x:v>
      </x:c>
      <x:c r="O385" s="70" t="str"/>
    </x:row>
    <x:row r="386">
      <x:c r="A386" s="70" t="str">
        <x:v>M5HIT-0381</x:v>
      </x:c>
      <x:c r="B386" s="70" t="str"/>
      <x:c r="C386" s="70" t="str">
        <x:f>IFERROR(VLOOKUP(B386,'02_案例与预测'!$A$6:$E$65,5,FALSE),"")</x:f>
      </x:c>
      <x:c r="D386" s="70" t="str"/>
      <x:c r="E386" s="70" t="str"/>
      <x:c r="F386" s="70" t="str"/>
      <x:c r="G386" s="70" t="str"/>
      <x:c r="H386" s="70" t="str"/>
      <x:c r="I386" s="70" t="str"/>
      <x:c r="J386" s="70" t="str">
        <x:f>IF(I386="支持",1,IF(I386="基本支持",0.75,IF(I386="部分支持",0.5,IF(I386="相邻但不同",0.25,IF(I386="反例",0,"")))))</x:f>
      </x:c>
      <x:c r="K386" s="70" t="str">
        <x:v>无</x:v>
      </x:c>
      <x:c r="L386" s="70" t="str">
        <x:v>否</x:v>
      </x:c>
      <x:c r="M386" s="70" t="str"/>
      <x:c r="N386" s="70" t="str">
        <x:v>否</x:v>
      </x:c>
      <x:c r="O386" s="70" t="str"/>
    </x:row>
    <x:row r="387">
      <x:c r="A387" s="70" t="str">
        <x:v>M5HIT-0382</x:v>
      </x:c>
      <x:c r="B387" s="70" t="str"/>
      <x:c r="C387" s="70" t="str">
        <x:f>IFERROR(VLOOKUP(B387,'02_案例与预测'!$A$6:$E$65,5,FALSE),"")</x:f>
      </x:c>
      <x:c r="D387" s="70" t="str"/>
      <x:c r="E387" s="70" t="str"/>
      <x:c r="F387" s="70" t="str"/>
      <x:c r="G387" s="70" t="str"/>
      <x:c r="H387" s="70" t="str"/>
      <x:c r="I387" s="70" t="str"/>
      <x:c r="J387" s="70" t="str">
        <x:f>IF(I387="支持",1,IF(I387="基本支持",0.75,IF(I387="部分支持",0.5,IF(I387="相邻但不同",0.25,IF(I387="反例",0,"")))))</x:f>
      </x:c>
      <x:c r="K387" s="70" t="str">
        <x:v>无</x:v>
      </x:c>
      <x:c r="L387" s="70" t="str">
        <x:v>否</x:v>
      </x:c>
      <x:c r="M387" s="70" t="str"/>
      <x:c r="N387" s="70" t="str">
        <x:v>否</x:v>
      </x:c>
      <x:c r="O387" s="70" t="str"/>
    </x:row>
    <x:row r="388">
      <x:c r="A388" s="70" t="str">
        <x:v>M5HIT-0383</x:v>
      </x:c>
      <x:c r="B388" s="70" t="str"/>
      <x:c r="C388" s="70" t="str">
        <x:f>IFERROR(VLOOKUP(B388,'02_案例与预测'!$A$6:$E$65,5,FALSE),"")</x:f>
      </x:c>
      <x:c r="D388" s="70" t="str"/>
      <x:c r="E388" s="70" t="str"/>
      <x:c r="F388" s="70" t="str"/>
      <x:c r="G388" s="70" t="str"/>
      <x:c r="H388" s="70" t="str"/>
      <x:c r="I388" s="70" t="str"/>
      <x:c r="J388" s="70" t="str">
        <x:f>IF(I388="支持",1,IF(I388="基本支持",0.75,IF(I388="部分支持",0.5,IF(I388="相邻但不同",0.25,IF(I388="反例",0,"")))))</x:f>
      </x:c>
      <x:c r="K388" s="70" t="str">
        <x:v>无</x:v>
      </x:c>
      <x:c r="L388" s="70" t="str">
        <x:v>否</x:v>
      </x:c>
      <x:c r="M388" s="70" t="str"/>
      <x:c r="N388" s="70" t="str">
        <x:v>否</x:v>
      </x:c>
      <x:c r="O388" s="70" t="str"/>
    </x:row>
    <x:row r="389">
      <x:c r="A389" s="70" t="str">
        <x:v>M5HIT-0384</x:v>
      </x:c>
      <x:c r="B389" s="70" t="str"/>
      <x:c r="C389" s="70" t="str">
        <x:f>IFERROR(VLOOKUP(B389,'02_案例与预测'!$A$6:$E$65,5,FALSE),"")</x:f>
      </x:c>
      <x:c r="D389" s="70" t="str"/>
      <x:c r="E389" s="70" t="str"/>
      <x:c r="F389" s="70" t="str"/>
      <x:c r="G389" s="70" t="str"/>
      <x:c r="H389" s="70" t="str"/>
      <x:c r="I389" s="70" t="str"/>
      <x:c r="J389" s="70" t="str">
        <x:f>IF(I389="支持",1,IF(I389="基本支持",0.75,IF(I389="部分支持",0.5,IF(I389="相邻但不同",0.25,IF(I389="反例",0,"")))))</x:f>
      </x:c>
      <x:c r="K389" s="70" t="str">
        <x:v>无</x:v>
      </x:c>
      <x:c r="L389" s="70" t="str">
        <x:v>否</x:v>
      </x:c>
      <x:c r="M389" s="70" t="str"/>
      <x:c r="N389" s="70" t="str">
        <x:v>否</x:v>
      </x:c>
      <x:c r="O389" s="70" t="str"/>
    </x:row>
    <x:row r="390">
      <x:c r="A390" s="70" t="str">
        <x:v>M5HIT-0385</x:v>
      </x:c>
      <x:c r="B390" s="70" t="str"/>
      <x:c r="C390" s="70" t="str">
        <x:f>IFERROR(VLOOKUP(B390,'02_案例与预测'!$A$6:$E$65,5,FALSE),"")</x:f>
      </x:c>
      <x:c r="D390" s="70" t="str"/>
      <x:c r="E390" s="70" t="str"/>
      <x:c r="F390" s="70" t="str"/>
      <x:c r="G390" s="70" t="str"/>
      <x:c r="H390" s="70" t="str"/>
      <x:c r="I390" s="70" t="str"/>
      <x:c r="J390" s="70" t="str">
        <x:f>IF(I390="支持",1,IF(I390="基本支持",0.75,IF(I390="部分支持",0.5,IF(I390="相邻但不同",0.25,IF(I390="反例",0,"")))))</x:f>
      </x:c>
      <x:c r="K390" s="70" t="str">
        <x:v>无</x:v>
      </x:c>
      <x:c r="L390" s="70" t="str">
        <x:v>否</x:v>
      </x:c>
      <x:c r="M390" s="70" t="str"/>
      <x:c r="N390" s="70" t="str">
        <x:v>否</x:v>
      </x:c>
      <x:c r="O390" s="70" t="str"/>
    </x:row>
    <x:row r="391">
      <x:c r="A391" s="70" t="str">
        <x:v>M5HIT-0386</x:v>
      </x:c>
      <x:c r="B391" s="70" t="str"/>
      <x:c r="C391" s="70" t="str">
        <x:f>IFERROR(VLOOKUP(B391,'02_案例与预测'!$A$6:$E$65,5,FALSE),"")</x:f>
      </x:c>
      <x:c r="D391" s="70" t="str"/>
      <x:c r="E391" s="70" t="str"/>
      <x:c r="F391" s="70" t="str"/>
      <x:c r="G391" s="70" t="str"/>
      <x:c r="H391" s="70" t="str"/>
      <x:c r="I391" s="70" t="str"/>
      <x:c r="J391" s="70" t="str">
        <x:f>IF(I391="支持",1,IF(I391="基本支持",0.75,IF(I391="部分支持",0.5,IF(I391="相邻但不同",0.25,IF(I391="反例",0,"")))))</x:f>
      </x:c>
      <x:c r="K391" s="70" t="str">
        <x:v>无</x:v>
      </x:c>
      <x:c r="L391" s="70" t="str">
        <x:v>否</x:v>
      </x:c>
      <x:c r="M391" s="70" t="str"/>
      <x:c r="N391" s="70" t="str">
        <x:v>否</x:v>
      </x:c>
      <x:c r="O391" s="70" t="str"/>
    </x:row>
    <x:row r="392">
      <x:c r="A392" s="70" t="str">
        <x:v>M5HIT-0387</x:v>
      </x:c>
      <x:c r="B392" s="70" t="str"/>
      <x:c r="C392" s="70" t="str">
        <x:f>IFERROR(VLOOKUP(B392,'02_案例与预测'!$A$6:$E$65,5,FALSE),"")</x:f>
      </x:c>
      <x:c r="D392" s="70" t="str"/>
      <x:c r="E392" s="70" t="str"/>
      <x:c r="F392" s="70" t="str"/>
      <x:c r="G392" s="70" t="str"/>
      <x:c r="H392" s="70" t="str"/>
      <x:c r="I392" s="70" t="str"/>
      <x:c r="J392" s="70" t="str">
        <x:f>IF(I392="支持",1,IF(I392="基本支持",0.75,IF(I392="部分支持",0.5,IF(I392="相邻但不同",0.25,IF(I392="反例",0,"")))))</x:f>
      </x:c>
      <x:c r="K392" s="70" t="str">
        <x:v>无</x:v>
      </x:c>
      <x:c r="L392" s="70" t="str">
        <x:v>否</x:v>
      </x:c>
      <x:c r="M392" s="70" t="str"/>
      <x:c r="N392" s="70" t="str">
        <x:v>否</x:v>
      </x:c>
      <x:c r="O392" s="70" t="str"/>
    </x:row>
    <x:row r="393">
      <x:c r="A393" s="70" t="str">
        <x:v>M5HIT-0388</x:v>
      </x:c>
      <x:c r="B393" s="70" t="str"/>
      <x:c r="C393" s="70" t="str">
        <x:f>IFERROR(VLOOKUP(B393,'02_案例与预测'!$A$6:$E$65,5,FALSE),"")</x:f>
      </x:c>
      <x:c r="D393" s="70" t="str"/>
      <x:c r="E393" s="70" t="str"/>
      <x:c r="F393" s="70" t="str"/>
      <x:c r="G393" s="70" t="str"/>
      <x:c r="H393" s="70" t="str"/>
      <x:c r="I393" s="70" t="str"/>
      <x:c r="J393" s="70" t="str">
        <x:f>IF(I393="支持",1,IF(I393="基本支持",0.75,IF(I393="部分支持",0.5,IF(I393="相邻但不同",0.25,IF(I393="反例",0,"")))))</x:f>
      </x:c>
      <x:c r="K393" s="70" t="str">
        <x:v>无</x:v>
      </x:c>
      <x:c r="L393" s="70" t="str">
        <x:v>否</x:v>
      </x:c>
      <x:c r="M393" s="70" t="str"/>
      <x:c r="N393" s="70" t="str">
        <x:v>否</x:v>
      </x:c>
      <x:c r="O393" s="70" t="str"/>
    </x:row>
    <x:row r="394">
      <x:c r="A394" s="70" t="str">
        <x:v>M5HIT-0389</x:v>
      </x:c>
      <x:c r="B394" s="70" t="str"/>
      <x:c r="C394" s="70" t="str">
        <x:f>IFERROR(VLOOKUP(B394,'02_案例与预测'!$A$6:$E$65,5,FALSE),"")</x:f>
      </x:c>
      <x:c r="D394" s="70" t="str"/>
      <x:c r="E394" s="70" t="str"/>
      <x:c r="F394" s="70" t="str"/>
      <x:c r="G394" s="70" t="str"/>
      <x:c r="H394" s="70" t="str"/>
      <x:c r="I394" s="70" t="str"/>
      <x:c r="J394" s="70" t="str">
        <x:f>IF(I394="支持",1,IF(I394="基本支持",0.75,IF(I394="部分支持",0.5,IF(I394="相邻但不同",0.25,IF(I394="反例",0,"")))))</x:f>
      </x:c>
      <x:c r="K394" s="70" t="str">
        <x:v>无</x:v>
      </x:c>
      <x:c r="L394" s="70" t="str">
        <x:v>否</x:v>
      </x:c>
      <x:c r="M394" s="70" t="str"/>
      <x:c r="N394" s="70" t="str">
        <x:v>否</x:v>
      </x:c>
      <x:c r="O394" s="70" t="str"/>
    </x:row>
    <x:row r="395">
      <x:c r="A395" s="70" t="str">
        <x:v>M5HIT-0390</x:v>
      </x:c>
      <x:c r="B395" s="70" t="str"/>
      <x:c r="C395" s="70" t="str">
        <x:f>IFERROR(VLOOKUP(B395,'02_案例与预测'!$A$6:$E$65,5,FALSE),"")</x:f>
      </x:c>
      <x:c r="D395" s="70" t="str"/>
      <x:c r="E395" s="70" t="str"/>
      <x:c r="F395" s="70" t="str"/>
      <x:c r="G395" s="70" t="str"/>
      <x:c r="H395" s="70" t="str"/>
      <x:c r="I395" s="70" t="str"/>
      <x:c r="J395" s="70" t="str">
        <x:f>IF(I395="支持",1,IF(I395="基本支持",0.75,IF(I395="部分支持",0.5,IF(I395="相邻但不同",0.25,IF(I395="反例",0,"")))))</x:f>
      </x:c>
      <x:c r="K395" s="70" t="str">
        <x:v>无</x:v>
      </x:c>
      <x:c r="L395" s="70" t="str">
        <x:v>否</x:v>
      </x:c>
      <x:c r="M395" s="70" t="str"/>
      <x:c r="N395" s="70" t="str">
        <x:v>否</x:v>
      </x:c>
      <x:c r="O395" s="70" t="str"/>
    </x:row>
    <x:row r="396">
      <x:c r="A396" s="70" t="str">
        <x:v>M5HIT-0391</x:v>
      </x:c>
      <x:c r="B396" s="70" t="str"/>
      <x:c r="C396" s="70" t="str">
        <x:f>IFERROR(VLOOKUP(B396,'02_案例与预测'!$A$6:$E$65,5,FALSE),"")</x:f>
      </x:c>
      <x:c r="D396" s="70" t="str"/>
      <x:c r="E396" s="70" t="str"/>
      <x:c r="F396" s="70" t="str"/>
      <x:c r="G396" s="70" t="str"/>
      <x:c r="H396" s="70" t="str"/>
      <x:c r="I396" s="70" t="str"/>
      <x:c r="J396" s="70" t="str">
        <x:f>IF(I396="支持",1,IF(I396="基本支持",0.75,IF(I396="部分支持",0.5,IF(I396="相邻但不同",0.25,IF(I396="反例",0,"")))))</x:f>
      </x:c>
      <x:c r="K396" s="70" t="str">
        <x:v>无</x:v>
      </x:c>
      <x:c r="L396" s="70" t="str">
        <x:v>否</x:v>
      </x:c>
      <x:c r="M396" s="70" t="str"/>
      <x:c r="N396" s="70" t="str">
        <x:v>否</x:v>
      </x:c>
      <x:c r="O396" s="70" t="str"/>
    </x:row>
    <x:row r="397">
      <x:c r="A397" s="70" t="str">
        <x:v>M5HIT-0392</x:v>
      </x:c>
      <x:c r="B397" s="70" t="str"/>
      <x:c r="C397" s="70" t="str">
        <x:f>IFERROR(VLOOKUP(B397,'02_案例与预测'!$A$6:$E$65,5,FALSE),"")</x:f>
      </x:c>
      <x:c r="D397" s="70" t="str"/>
      <x:c r="E397" s="70" t="str"/>
      <x:c r="F397" s="70" t="str"/>
      <x:c r="G397" s="70" t="str"/>
      <x:c r="H397" s="70" t="str"/>
      <x:c r="I397" s="70" t="str"/>
      <x:c r="J397" s="70" t="str">
        <x:f>IF(I397="支持",1,IF(I397="基本支持",0.75,IF(I397="部分支持",0.5,IF(I397="相邻但不同",0.25,IF(I397="反例",0,"")))))</x:f>
      </x:c>
      <x:c r="K397" s="70" t="str">
        <x:v>无</x:v>
      </x:c>
      <x:c r="L397" s="70" t="str">
        <x:v>否</x:v>
      </x:c>
      <x:c r="M397" s="70" t="str"/>
      <x:c r="N397" s="70" t="str">
        <x:v>否</x:v>
      </x:c>
      <x:c r="O397" s="70" t="str"/>
    </x:row>
    <x:row r="398">
      <x:c r="A398" s="70" t="str">
        <x:v>M5HIT-0393</x:v>
      </x:c>
      <x:c r="B398" s="70" t="str"/>
      <x:c r="C398" s="70" t="str">
        <x:f>IFERROR(VLOOKUP(B398,'02_案例与预测'!$A$6:$E$65,5,FALSE),"")</x:f>
      </x:c>
      <x:c r="D398" s="70" t="str"/>
      <x:c r="E398" s="70" t="str"/>
      <x:c r="F398" s="70" t="str"/>
      <x:c r="G398" s="70" t="str"/>
      <x:c r="H398" s="70" t="str"/>
      <x:c r="I398" s="70" t="str"/>
      <x:c r="J398" s="70" t="str">
        <x:f>IF(I398="支持",1,IF(I398="基本支持",0.75,IF(I398="部分支持",0.5,IF(I398="相邻但不同",0.25,IF(I398="反例",0,"")))))</x:f>
      </x:c>
      <x:c r="K398" s="70" t="str">
        <x:v>无</x:v>
      </x:c>
      <x:c r="L398" s="70" t="str">
        <x:v>否</x:v>
      </x:c>
      <x:c r="M398" s="70" t="str"/>
      <x:c r="N398" s="70" t="str">
        <x:v>否</x:v>
      </x:c>
      <x:c r="O398" s="70" t="str"/>
    </x:row>
    <x:row r="399">
      <x:c r="A399" s="70" t="str">
        <x:v>M5HIT-0394</x:v>
      </x:c>
      <x:c r="B399" s="70" t="str"/>
      <x:c r="C399" s="70" t="str">
        <x:f>IFERROR(VLOOKUP(B399,'02_案例与预测'!$A$6:$E$65,5,FALSE),"")</x:f>
      </x:c>
      <x:c r="D399" s="70" t="str"/>
      <x:c r="E399" s="70" t="str"/>
      <x:c r="F399" s="70" t="str"/>
      <x:c r="G399" s="70" t="str"/>
      <x:c r="H399" s="70" t="str"/>
      <x:c r="I399" s="70" t="str"/>
      <x:c r="J399" s="70" t="str">
        <x:f>IF(I399="支持",1,IF(I399="基本支持",0.75,IF(I399="部分支持",0.5,IF(I399="相邻但不同",0.25,IF(I399="反例",0,"")))))</x:f>
      </x:c>
      <x:c r="K399" s="70" t="str">
        <x:v>无</x:v>
      </x:c>
      <x:c r="L399" s="70" t="str">
        <x:v>否</x:v>
      </x:c>
      <x:c r="M399" s="70" t="str"/>
      <x:c r="N399" s="70" t="str">
        <x:v>否</x:v>
      </x:c>
      <x:c r="O399" s="70" t="str"/>
    </x:row>
    <x:row r="400">
      <x:c r="A400" s="70" t="str">
        <x:v>M5HIT-0395</x:v>
      </x:c>
      <x:c r="B400" s="70" t="str"/>
      <x:c r="C400" s="70" t="str">
        <x:f>IFERROR(VLOOKUP(B400,'02_案例与预测'!$A$6:$E$65,5,FALSE),"")</x:f>
      </x:c>
      <x:c r="D400" s="70" t="str"/>
      <x:c r="E400" s="70" t="str"/>
      <x:c r="F400" s="70" t="str"/>
      <x:c r="G400" s="70" t="str"/>
      <x:c r="H400" s="70" t="str"/>
      <x:c r="I400" s="70" t="str"/>
      <x:c r="J400" s="70" t="str">
        <x:f>IF(I400="支持",1,IF(I400="基本支持",0.75,IF(I400="部分支持",0.5,IF(I400="相邻但不同",0.25,IF(I400="反例",0,"")))))</x:f>
      </x:c>
      <x:c r="K400" s="70" t="str">
        <x:v>无</x:v>
      </x:c>
      <x:c r="L400" s="70" t="str">
        <x:v>否</x:v>
      </x:c>
      <x:c r="M400" s="70" t="str"/>
      <x:c r="N400" s="70" t="str">
        <x:v>否</x:v>
      </x:c>
      <x:c r="O400" s="70" t="str"/>
    </x:row>
    <x:row r="401">
      <x:c r="A401" s="70" t="str">
        <x:v>M5HIT-0396</x:v>
      </x:c>
      <x:c r="B401" s="70" t="str"/>
      <x:c r="C401" s="70" t="str">
        <x:f>IFERROR(VLOOKUP(B401,'02_案例与预测'!$A$6:$E$65,5,FALSE),"")</x:f>
      </x:c>
      <x:c r="D401" s="70" t="str"/>
      <x:c r="E401" s="70" t="str"/>
      <x:c r="F401" s="70" t="str"/>
      <x:c r="G401" s="70" t="str"/>
      <x:c r="H401" s="70" t="str"/>
      <x:c r="I401" s="70" t="str"/>
      <x:c r="J401" s="70" t="str">
        <x:f>IF(I401="支持",1,IF(I401="基本支持",0.75,IF(I401="部分支持",0.5,IF(I401="相邻但不同",0.25,IF(I401="反例",0,"")))))</x:f>
      </x:c>
      <x:c r="K401" s="70" t="str">
        <x:v>无</x:v>
      </x:c>
      <x:c r="L401" s="70" t="str">
        <x:v>否</x:v>
      </x:c>
      <x:c r="M401" s="70" t="str"/>
      <x:c r="N401" s="70" t="str">
        <x:v>否</x:v>
      </x:c>
      <x:c r="O401" s="70" t="str"/>
    </x:row>
    <x:row r="402">
      <x:c r="A402" s="70" t="str">
        <x:v>M5HIT-0397</x:v>
      </x:c>
      <x:c r="B402" s="70" t="str"/>
      <x:c r="C402" s="70" t="str">
        <x:f>IFERROR(VLOOKUP(B402,'02_案例与预测'!$A$6:$E$65,5,FALSE),"")</x:f>
      </x:c>
      <x:c r="D402" s="70" t="str"/>
      <x:c r="E402" s="70" t="str"/>
      <x:c r="F402" s="70" t="str"/>
      <x:c r="G402" s="70" t="str"/>
      <x:c r="H402" s="70" t="str"/>
      <x:c r="I402" s="70" t="str"/>
      <x:c r="J402" s="70" t="str">
        <x:f>IF(I402="支持",1,IF(I402="基本支持",0.75,IF(I402="部分支持",0.5,IF(I402="相邻但不同",0.25,IF(I402="反例",0,"")))))</x:f>
      </x:c>
      <x:c r="K402" s="70" t="str">
        <x:v>无</x:v>
      </x:c>
      <x:c r="L402" s="70" t="str">
        <x:v>否</x:v>
      </x:c>
      <x:c r="M402" s="70" t="str"/>
      <x:c r="N402" s="70" t="str">
        <x:v>否</x:v>
      </x:c>
      <x:c r="O402" s="70" t="str"/>
    </x:row>
    <x:row r="403">
      <x:c r="A403" s="70" t="str">
        <x:v>M5HIT-0398</x:v>
      </x:c>
      <x:c r="B403" s="70" t="str"/>
      <x:c r="C403" s="70" t="str">
        <x:f>IFERROR(VLOOKUP(B403,'02_案例与预测'!$A$6:$E$65,5,FALSE),"")</x:f>
      </x:c>
      <x:c r="D403" s="70" t="str"/>
      <x:c r="E403" s="70" t="str"/>
      <x:c r="F403" s="70" t="str"/>
      <x:c r="G403" s="70" t="str"/>
      <x:c r="H403" s="70" t="str"/>
      <x:c r="I403" s="70" t="str"/>
      <x:c r="J403" s="70" t="str">
        <x:f>IF(I403="支持",1,IF(I403="基本支持",0.75,IF(I403="部分支持",0.5,IF(I403="相邻但不同",0.25,IF(I403="反例",0,"")))))</x:f>
      </x:c>
      <x:c r="K403" s="70" t="str">
        <x:v>无</x:v>
      </x:c>
      <x:c r="L403" s="70" t="str">
        <x:v>否</x:v>
      </x:c>
      <x:c r="M403" s="70" t="str"/>
      <x:c r="N403" s="70" t="str">
        <x:v>否</x:v>
      </x:c>
      <x:c r="O403" s="70" t="str"/>
    </x:row>
    <x:row r="404">
      <x:c r="A404" s="70" t="str">
        <x:v>M5HIT-0399</x:v>
      </x:c>
      <x:c r="B404" s="70" t="str"/>
      <x:c r="C404" s="70" t="str">
        <x:f>IFERROR(VLOOKUP(B404,'02_案例与预测'!$A$6:$E$65,5,FALSE),"")</x:f>
      </x:c>
      <x:c r="D404" s="70" t="str"/>
      <x:c r="E404" s="70" t="str"/>
      <x:c r="F404" s="70" t="str"/>
      <x:c r="G404" s="70" t="str"/>
      <x:c r="H404" s="70" t="str"/>
      <x:c r="I404" s="70" t="str"/>
      <x:c r="J404" s="70" t="str">
        <x:f>IF(I404="支持",1,IF(I404="基本支持",0.75,IF(I404="部分支持",0.5,IF(I404="相邻但不同",0.25,IF(I404="反例",0,"")))))</x:f>
      </x:c>
      <x:c r="K404" s="70" t="str">
        <x:v>无</x:v>
      </x:c>
      <x:c r="L404" s="70" t="str">
        <x:v>否</x:v>
      </x:c>
      <x:c r="M404" s="70" t="str"/>
      <x:c r="N404" s="70" t="str">
        <x:v>否</x:v>
      </x:c>
      <x:c r="O404" s="70" t="str"/>
    </x:row>
    <x:row r="405">
      <x:c r="A405" s="89" t="str">
        <x:v>M5HIT-0400</x:v>
      </x:c>
      <x:c r="B405" s="89" t="str"/>
      <x:c r="C405" s="89" t="str">
        <x:f>IFERROR(VLOOKUP(B405,'02_案例与预测'!$A$6:$E$65,5,FALSE),"")</x:f>
      </x:c>
      <x:c r="D405" s="89" t="str"/>
      <x:c r="E405" s="89" t="str"/>
      <x:c r="F405" s="89" t="str"/>
      <x:c r="G405" s="89" t="str"/>
      <x:c r="H405" s="89" t="str"/>
      <x:c r="I405" s="89" t="str"/>
      <x:c r="J405" s="89" t="str">
        <x:f>IF(I405="支持",1,IF(I405="基本支持",0.75,IF(I405="部分支持",0.5,IF(I405="相邻但不同",0.25,IF(I405="反例",0,"")))))</x:f>
      </x:c>
      <x:c r="K405" s="89" t="str">
        <x:v>无</x:v>
      </x:c>
      <x:c r="L405" s="89" t="str">
        <x:v>否</x:v>
      </x:c>
      <x:c r="M405" s="89" t="str"/>
      <x:c r="N405" s="89" t="str">
        <x:v>否</x:v>
      </x:c>
      <x:c r="O405" s="89" t="str"/>
    </x:row>
  </x:sheetData>
  <x:mergeCells>
    <x:mergeCell ref="A1:O2"/>
    <x:mergeCell ref="A3:O3"/>
  </x:mergeCells>
  <x:dataValidations count="7">
    <x:dataValidation type="list" sqref="E6:E405">
      <x:formula1>"BASE,PARTNER,EXCHANGE,BOUND,REPAIR,RHYTHM,GAP,SYNTH"</x:formula1>
    </x:dataValidation>
    <x:dataValidation type="list" sqref="G6:G405">
      <x:formula1>"冻结前命中,反馈后新增,仅用于解释,未命中"</x:formula1>
    </x:dataValidation>
    <x:dataValidation type="list" sqref="H6:H405">
      <x:formula1>"主结论,次结论,门控,风险,桥接,背景,报告语言"</x:formula1>
    </x:dataValidation>
    <x:dataValidation type="list" sqref="I6:I405">
      <x:formula1>"支持,基本支持,部分支持,相邻但不同,反例,不可评估"</x:formula1>
    </x:dataValidation>
    <x:dataValidation type="list" sqref="K6:K405">
      <x:formula1>"无,弱,中,强,安全"</x:formula1>
    </x:dataValidation>
    <x:dataValidation type="list" sqref="L6:L405">
      <x:formula1>"是,否"</x:formula1>
    </x:dataValidation>
    <x:dataValidation type="list" sqref="N6:N40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16340dd1fe4b0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52" hidden="0" customWidth="1"/>
    <x:col min="4" max="4" width="16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4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6" hidden="0" customWidth="1"/>
    <x:col min="18" max="18" width="18" hidden="0" customWidth="1"/>
    <x:col min="19" max="19" width="20" hidden="0" customWidth="1"/>
    <x:col min="20" max="20" width="20" hidden="0" customWidth="1"/>
    <x:col min="21" max="21" width="18" hidden="0" customWidth="1"/>
    <x:col min="22" max="22" width="18" hidden="0" customWidth="1"/>
    <x:col min="23" max="23" width="44" hidden="0" customWidth="1"/>
  </x:cols>
  <x:sheetData>
    <x:row r="1">
      <x:c r="A1" s="94" t="str">
        <x:v>活跃规则表现与生命周期建议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  <x:c r="M1" s="94"/>
      <x:c r="N1" s="94"/>
      <x:c r="O1" s="94"/>
      <x:c r="P1" s="94"/>
      <x:c r="Q1" s="94"/>
      <x:c r="R1" s="94"/>
      <x:c r="S1" s="94"/>
      <x:c r="T1" s="94"/>
      <x:c r="U1" s="94"/>
      <x:c r="V1" s="94"/>
      <x:c r="W1" s="94"/>
    </x:row>
    <x:row r="2">
      <x:c r="A2" s="94"/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  <x:c r="O2" s="94"/>
      <x:c r="P2" s="94"/>
      <x:c r="Q2" s="94"/>
      <x:c r="R2" s="94"/>
      <x:c r="S2" s="94"/>
      <x:c r="T2" s="94"/>
      <x:c r="U2" s="94"/>
      <x:c r="V2" s="94"/>
      <x:c r="W2" s="94"/>
    </x:row>
    <x:row r="3">
      <x:c r="A3" s="99" t="str">
        <x:v>自动建议仅用于筛查；任何修改都要经过留出集和结构回归测试。</x:v>
      </x:c>
      <x:c r="B3" s="99"/>
      <x:c r="C3" s="99"/>
      <x:c r="D3" s="99"/>
      <x:c r="E3" s="99"/>
      <x:c r="F3" s="99"/>
      <x:c r="G3" s="99"/>
      <x:c r="H3" s="99"/>
      <x:c r="I3" s="99"/>
      <x:c r="J3" s="99"/>
      <x:c r="K3" s="99"/>
      <x:c r="L3" s="99"/>
      <x:c r="M3" s="99"/>
      <x:c r="N3" s="99"/>
      <x:c r="O3" s="99"/>
      <x:c r="P3" s="99"/>
      <x:c r="Q3" s="99"/>
      <x:c r="R3" s="99"/>
      <x:c r="S3" s="99"/>
      <x:c r="T3" s="99"/>
      <x:c r="U3" s="99"/>
      <x:c r="V3" s="99"/>
      <x:c r="W3" s="99"/>
    </x:row>
    <x:row r="5">
      <x:c r="A5" s="104" t="str">
        <x:v>rule_id</x:v>
      </x:c>
      <x:c r="B5" s="104" t="str">
        <x:v>模块</x:v>
      </x:c>
      <x:c r="C5" s="104" t="str">
        <x:v>规则名称</x:v>
      </x:c>
      <x:c r="D5" s="104" t="str">
        <x:v>基线状态</x:v>
      </x:c>
      <x:c r="E5" s="104" t="str">
        <x:v>支持</x:v>
      </x:c>
      <x:c r="F5" s="104" t="str">
        <x:v>基本支持</x:v>
      </x:c>
      <x:c r="G5" s="104" t="str">
        <x:v>部分支持</x:v>
      </x:c>
      <x:c r="H5" s="104" t="str">
        <x:v>相邻不同</x:v>
      </x:c>
      <x:c r="I5" s="104" t="str">
        <x:v>反例</x:v>
      </x:c>
      <x:c r="J5" s="104" t="str">
        <x:v>不可评估</x:v>
      </x:c>
      <x:c r="K5" s="104" t="str">
        <x:v>可评总数</x:v>
      </x:c>
      <x:c r="L5" s="104" t="str">
        <x:v>加权一致度</x:v>
      </x:c>
      <x:c r="M5" s="104" t="str">
        <x:v>反例率</x:v>
      </x:c>
      <x:c r="N5" s="104" t="str">
        <x:v>强反例</x:v>
      </x:c>
      <x:c r="O5" s="104" t="str">
        <x:v>安全漏判</x:v>
      </x:c>
      <x:c r="P5" s="104" t="str">
        <x:v>开发一致度</x:v>
      </x:c>
      <x:c r="Q5" s="104" t="str">
        <x:v>留出一致度</x:v>
      </x:c>
      <x:c r="R5" s="104" t="str">
        <x:v>样本阶段</x:v>
      </x:c>
      <x:c r="S5" s="104" t="str">
        <x:v>自动建议</x:v>
      </x:c>
      <x:c r="T5" s="104" t="str">
        <x:v>人工决定</x:v>
      </x:c>
      <x:c r="U5" s="104" t="str">
        <x:v>新状态</x:v>
      </x:c>
      <x:c r="V5" s="104" t="str">
        <x:v>change_id</x:v>
      </x:c>
      <x:c r="W5" s="104" t="str">
        <x:v>备注</x:v>
      </x:c>
    </x:row>
    <x:row r="6">
      <x:c r="A6" s="70" t="str">
        <x:v>M5-SYNTH-001</x:v>
      </x:c>
      <x:c r="B6" s="70" t="str">
        <x:v>SYNTH</x:v>
      </x:c>
      <x:c r="C6" s="70" t="str">
        <x:v>M5-SYNTH正式定义｜模型五总合成</x:v>
      </x:c>
      <x:c r="D6" s="70" t="str">
        <x:v>待验证</x:v>
      </x:c>
      <x:c r="E6" s="70" t="n">
        <x:f>COUNTIFS('06_规则命中'!$D$6:$D$405,A6,'06_规则命中'!$I$6:$I$405,"支持",'06_规则命中'!$N$6:$N$405,"是")</x:f>
        <x:v>0</x:v>
      </x:c>
      <x:c r="F6" s="70" t="n">
        <x:f>COUNTIFS('06_规则命中'!$D$6:$D$405,A6,'06_规则命中'!$I$6:$I$405,"基本支持",'06_规则命中'!$N$6:$N$405,"是")</x:f>
        <x:v>0</x:v>
      </x:c>
      <x:c r="G6" s="70" t="n">
        <x:f>COUNTIFS('06_规则命中'!$D$6:$D$405,A6,'06_规则命中'!$I$6:$I$405,"部分支持",'06_规则命中'!$N$6:$N$405,"是")</x:f>
        <x:v>0</x:v>
      </x:c>
      <x:c r="H6" s="70" t="n">
        <x:f>COUNTIFS('06_规则命中'!$D$6:$D$405,A6,'06_规则命中'!$I$6:$I$405,"相邻但不同",'06_规则命中'!$N$6:$N$405,"是")</x:f>
        <x:v>0</x:v>
      </x:c>
      <x:c r="I6" s="70" t="n">
        <x:f>COUNTIFS('06_规则命中'!$D$6:$D$405,A6,'06_规则命中'!$I$6:$I$405,"反例",'06_规则命中'!$N$6:$N$405,"是")</x:f>
        <x:v>0</x:v>
      </x:c>
      <x:c r="J6" s="70" t="n">
        <x:f>COUNTIFS('06_规则命中'!$D$6:$D$405,A6,'06_规则命中'!$I$6:$I$405,"不可评估",'06_规则命中'!$N$6:$N$405,"是")</x:f>
        <x:v>0</x:v>
      </x:c>
      <x:c r="K6" s="70" t="n">
        <x:f>SUM(E6:I6)</x:f>
        <x:v>0</x:v>
      </x:c>
      <x:c r="L6" s="108" t="str">
        <x:f>IFERROR((E6+0.75*F6+0.5*G6+0.25*H6)/K6,"")</x:f>
      </x:c>
      <x:c r="M6" s="108" t="str">
        <x:f>IFERROR(I6/K6,"")</x:f>
      </x:c>
      <x:c r="N6" s="70" t="n">
        <x:f>COUNTIFS('08_反例与错误'!$E$6:$E$155,A6,'08_反例与错误'!$H$6:$H$155,"强")+COUNTIFS('08_反例与错误'!$E$6:$E$155,A6,'08_反例与错误'!$H$6:$H$155,"安全")</x:f>
        <x:v>0</x:v>
      </x:c>
      <x:c r="O6" s="70" t="n">
        <x:f>COUNTIFS('06_规则命中'!$D$6:$D$405,A6,'06_规则命中'!$I$6:$I$405,"反例",'06_规则命中'!$L$6:$L$405,"是",'06_规则命中'!$N$6:$N$405,"是")</x:f>
        <x:v>0</x:v>
      </x:c>
      <x:c r="P6" s="108" t="str">
        <x:f>IFERROR(SUMIFS('06_规则命中'!$J$6:$J$405,'06_规则命中'!$D$6:$D$405,A6,'06_规则命中'!$C$6:$C$405,"开发集",'06_规则命中'!$N$6:$N$405,"是")/COUNTIFS('06_规则命中'!$D$6:$D$405,A6,'06_规则命中'!$C$6:$C$405,"开发集",'06_规则命中'!$I$6:$I$405,"&lt;&gt;不可评估",'06_规则命中'!$N$6:$N$405,"是"),"")</x:f>
      </x:c>
      <x:c r="Q6" s="108" t="str">
        <x:f>IFERROR(SUMIFS('06_规则命中'!$J$6:$J$405,'06_规则命中'!$D$6:$D$405,A6,'06_规则命中'!$C$6:$C$405,"留出集",'06_规则命中'!$N$6:$N$405,"是")/COUNTIFS('06_规则命中'!$D$6:$D$405,A6,'06_规则命中'!$C$6:$C$405,"留出集",'06_规则命中'!$I$6:$I$405,"&lt;&gt;不可评估",'06_规则命中'!$N$6:$N$405,"是"),"")</x:f>
      </x:c>
      <x:c r="R6" s="70" t="str">
        <x:f>IF(K6=0,"P0 待验证",IF(K6&lt;3,"P1 极少样本",IF(K6&lt;6,"P2 探索",IF(K6&lt;12,"P3 初步","P4 稳定候选"))))</x:f>
        <x:v>P0 待验证</x:v>
      </x:c>
      <x:c r="S6" s="70" t="str">
        <x:f>IF(O6&gt;0,"立即安全审查",IF(K6&lt;3,"样本不足",IF(AND(K6&gt;=4,M6&gt;=0.6),"停用候选",IF(AND(K6&gt;=6,M6&gt;=0.4),"优先修改",IF(AND(K6&gt;=8,L6&gt;=0.75,M6&lt;=0.15,N6=0),"保留观察",IF(AND(P6&lt;&gt;"",Q6&lt;&gt;"",ABS(P6-Q6)&gt;0.25),"疑似过拟合","继续验证"))))))</x:f>
        <x:v>样本不足</x:v>
      </x:c>
      <x:c r="T6" s="70" t="str"/>
      <x:c r="U6" s="70" t="str">
        <x:v>待验证</x:v>
      </x:c>
      <x:c r="V6" s="70" t="str"/>
      <x:c r="W6" s="70" t="str"/>
    </x:row>
    <x:row r="7">
      <x:c r="A7" s="70" t="str">
        <x:v>M5-SYNTH-002</x:v>
      </x:c>
      <x:c r="B7" s="70" t="str">
        <x:v>SYNTH</x:v>
      </x:c>
      <x:c r="C7" s="70" t="str">
        <x:v>七模块合成公式｜不得跳过现实层</x:v>
      </x:c>
      <x:c r="D7" s="70" t="str">
        <x:v>待验证</x:v>
      </x:c>
      <x:c r="E7" s="70" t="n">
        <x:f>COUNTIFS('06_规则命中'!$D$6:$D$405,A7,'06_规则命中'!$I$6:$I$405,"支持",'06_规则命中'!$N$6:$N$405,"是")</x:f>
        <x:v>0</x:v>
      </x:c>
      <x:c r="F7" s="70" t="n">
        <x:f>COUNTIFS('06_规则命中'!$D$6:$D$405,A7,'06_规则命中'!$I$6:$I$405,"基本支持",'06_规则命中'!$N$6:$N$405,"是")</x:f>
        <x:v>0</x:v>
      </x:c>
      <x:c r="G7" s="70" t="n">
        <x:f>COUNTIFS('06_规则命中'!$D$6:$D$405,A7,'06_规则命中'!$I$6:$I$405,"部分支持",'06_规则命中'!$N$6:$N$405,"是")</x:f>
        <x:v>0</x:v>
      </x:c>
      <x:c r="H7" s="70" t="n">
        <x:f>COUNTIFS('06_规则命中'!$D$6:$D$405,A7,'06_规则命中'!$I$6:$I$405,"相邻但不同",'06_规则命中'!$N$6:$N$405,"是")</x:f>
        <x:v>0</x:v>
      </x:c>
      <x:c r="I7" s="70" t="n">
        <x:f>COUNTIFS('06_规则命中'!$D$6:$D$405,A7,'06_规则命中'!$I$6:$I$405,"反例",'06_规则命中'!$N$6:$N$405,"是")</x:f>
        <x:v>0</x:v>
      </x:c>
      <x:c r="J7" s="70" t="n">
        <x:f>COUNTIFS('06_规则命中'!$D$6:$D$405,A7,'06_规则命中'!$I$6:$I$405,"不可评估",'06_规则命中'!$N$6:$N$405,"是")</x:f>
        <x:v>0</x:v>
      </x:c>
      <x:c r="K7" s="70" t="n">
        <x:f>SUM(E7:I7)</x:f>
        <x:v>0</x:v>
      </x:c>
      <x:c r="L7" s="108" t="str">
        <x:f>IFERROR((E7+0.75*F7+0.5*G7+0.25*H7)/K7,"")</x:f>
      </x:c>
      <x:c r="M7" s="108" t="str">
        <x:f>IFERROR(I7/K7,"")</x:f>
      </x:c>
      <x:c r="N7" s="70" t="n">
        <x:f>COUNTIFS('08_反例与错误'!$E$6:$E$155,A7,'08_反例与错误'!$H$6:$H$155,"强")+COUNTIFS('08_反例与错误'!$E$6:$E$155,A7,'08_反例与错误'!$H$6:$H$155,"安全")</x:f>
        <x:v>0</x:v>
      </x:c>
      <x:c r="O7" s="70" t="n">
        <x:f>COUNTIFS('06_规则命中'!$D$6:$D$405,A7,'06_规则命中'!$I$6:$I$405,"反例",'06_规则命中'!$L$6:$L$405,"是",'06_规则命中'!$N$6:$N$405,"是")</x:f>
        <x:v>0</x:v>
      </x:c>
      <x:c r="P7" s="108" t="str">
        <x:f>IFERROR(SUMIFS('06_规则命中'!$J$6:$J$405,'06_规则命中'!$D$6:$D$405,A7,'06_规则命中'!$C$6:$C$405,"开发集",'06_规则命中'!$N$6:$N$405,"是")/COUNTIFS('06_规则命中'!$D$6:$D$405,A7,'06_规则命中'!$C$6:$C$405,"开发集",'06_规则命中'!$I$6:$I$405,"&lt;&gt;不可评估",'06_规则命中'!$N$6:$N$405,"是"),"")</x:f>
      </x:c>
      <x:c r="Q7" s="108" t="str">
        <x:f>IFERROR(SUMIFS('06_规则命中'!$J$6:$J$405,'06_规则命中'!$D$6:$D$405,A7,'06_规则命中'!$C$6:$C$405,"留出集",'06_规则命中'!$N$6:$N$405,"是")/COUNTIFS('06_规则命中'!$D$6:$D$405,A7,'06_规则命中'!$C$6:$C$405,"留出集",'06_规则命中'!$I$6:$I$405,"&lt;&gt;不可评估",'06_规则命中'!$N$6:$N$405,"是"),"")</x:f>
      </x:c>
      <x:c r="R7" s="70" t="str">
        <x:f>IF(K7=0,"P0 待验证",IF(K7&lt;3,"P1 极少样本",IF(K7&lt;6,"P2 探索",IF(K7&lt;12,"P3 初步","P4 稳定候选"))))</x:f>
        <x:v>P0 待验证</x:v>
      </x:c>
      <x:c r="S7" s="70" t="str">
        <x:f>IF(O7&gt;0,"立即安全审查",IF(K7&lt;3,"样本不足",IF(AND(K7&gt;=4,M7&gt;=0.6),"停用候选",IF(AND(K7&gt;=6,M7&gt;=0.4),"优先修改",IF(AND(K7&gt;=8,L7&gt;=0.75,M7&lt;=0.15,N7=0),"保留观察",IF(AND(P7&lt;&gt;"",Q7&lt;&gt;"",ABS(P7-Q7)&gt;0.25),"疑似过拟合","继续验证"))))))</x:f>
        <x:v>样本不足</x:v>
      </x:c>
      <x:c r="T7" s="70" t="str"/>
      <x:c r="U7" s="70" t="str">
        <x:v>待验证</x:v>
      </x:c>
      <x:c r="V7" s="70" t="str"/>
      <x:c r="W7" s="70" t="str"/>
    </x:row>
    <x:row r="8">
      <x:c r="A8" s="70" t="str">
        <x:v>M5-SYNTH-003</x:v>
      </x:c>
      <x:c r="B8" s="70" t="str">
        <x:v>SYNTH</x:v>
      </x:c>
      <x:c r="C8" s="70" t="str">
        <x:v>现实安全优先｜普通适配立即停止</x:v>
      </x:c>
      <x:c r="D8" s="70" t="str">
        <x:v>待验证</x:v>
      </x:c>
      <x:c r="E8" s="70" t="n">
        <x:f>COUNTIFS('06_规则命中'!$D$6:$D$405,A8,'06_规则命中'!$I$6:$I$405,"支持",'06_规则命中'!$N$6:$N$405,"是")</x:f>
        <x:v>0</x:v>
      </x:c>
      <x:c r="F8" s="70" t="n">
        <x:f>COUNTIFS('06_规则命中'!$D$6:$D$405,A8,'06_规则命中'!$I$6:$I$405,"基本支持",'06_规则命中'!$N$6:$N$405,"是")</x:f>
        <x:v>0</x:v>
      </x:c>
      <x:c r="G8" s="70" t="n">
        <x:f>COUNTIFS('06_规则命中'!$D$6:$D$405,A8,'06_规则命中'!$I$6:$I$405,"部分支持",'06_规则命中'!$N$6:$N$405,"是")</x:f>
        <x:v>0</x:v>
      </x:c>
      <x:c r="H8" s="70" t="n">
        <x:f>COUNTIFS('06_规则命中'!$D$6:$D$405,A8,'06_规则命中'!$I$6:$I$405,"相邻但不同",'06_规则命中'!$N$6:$N$405,"是")</x:f>
        <x:v>0</x:v>
      </x:c>
      <x:c r="I8" s="70" t="n">
        <x:f>COUNTIFS('06_规则命中'!$D$6:$D$405,A8,'06_规则命中'!$I$6:$I$405,"反例",'06_规则命中'!$N$6:$N$405,"是")</x:f>
        <x:v>0</x:v>
      </x:c>
      <x:c r="J8" s="70" t="n">
        <x:f>COUNTIFS('06_规则命中'!$D$6:$D$405,A8,'06_规则命中'!$I$6:$I$405,"不可评估",'06_规则命中'!$N$6:$N$405,"是")</x:f>
        <x:v>0</x:v>
      </x:c>
      <x:c r="K8" s="70" t="n">
        <x:f>SUM(E8:I8)</x:f>
        <x:v>0</x:v>
      </x:c>
      <x:c r="L8" s="108" t="str">
        <x:f>IFERROR((E8+0.75*F8+0.5*G8+0.25*H8)/K8,"")</x:f>
      </x:c>
      <x:c r="M8" s="108" t="str">
        <x:f>IFERROR(I8/K8,"")</x:f>
      </x:c>
      <x:c r="N8" s="70" t="n">
        <x:f>COUNTIFS('08_反例与错误'!$E$6:$E$155,A8,'08_反例与错误'!$H$6:$H$155,"强")+COUNTIFS('08_反例与错误'!$E$6:$E$155,A8,'08_反例与错误'!$H$6:$H$155,"安全")</x:f>
        <x:v>0</x:v>
      </x:c>
      <x:c r="O8" s="70" t="n">
        <x:f>COUNTIFS('06_规则命中'!$D$6:$D$405,A8,'06_规则命中'!$I$6:$I$405,"反例",'06_规则命中'!$L$6:$L$405,"是",'06_规则命中'!$N$6:$N$405,"是")</x:f>
        <x:v>0</x:v>
      </x:c>
      <x:c r="P8" s="108" t="str">
        <x:f>IFERROR(SUMIFS('06_规则命中'!$J$6:$J$405,'06_规则命中'!$D$6:$D$405,A8,'06_规则命中'!$C$6:$C$405,"开发集",'06_规则命中'!$N$6:$N$405,"是")/COUNTIFS('06_规则命中'!$D$6:$D$405,A8,'06_规则命中'!$C$6:$C$405,"开发集",'06_规则命中'!$I$6:$I$405,"&lt;&gt;不可评估",'06_规则命中'!$N$6:$N$405,"是"),"")</x:f>
      </x:c>
      <x:c r="Q8" s="108" t="str">
        <x:f>IFERROR(SUMIFS('06_规则命中'!$J$6:$J$405,'06_规则命中'!$D$6:$D$405,A8,'06_规则命中'!$C$6:$C$405,"留出集",'06_规则命中'!$N$6:$N$405,"是")/COUNTIFS('06_规则命中'!$D$6:$D$405,A8,'06_规则命中'!$C$6:$C$405,"留出集",'06_规则命中'!$I$6:$I$405,"&lt;&gt;不可评估",'06_规则命中'!$N$6:$N$405,"是"),"")</x:f>
      </x:c>
      <x:c r="R8" s="70" t="str">
        <x:f>IF(K8=0,"P0 待验证",IF(K8&lt;3,"P1 极少样本",IF(K8&lt;6,"P2 探索",IF(K8&lt;12,"P3 初步","P4 稳定候选"))))</x:f>
        <x:v>P0 待验证</x:v>
      </x:c>
      <x:c r="S8" s="70" t="str">
        <x:f>IF(O8&gt;0,"立即安全审查",IF(K8&lt;3,"样本不足",IF(AND(K8&gt;=4,M8&gt;=0.6),"停用候选",IF(AND(K8&gt;=6,M8&gt;=0.4),"优先修改",IF(AND(K8&gt;=8,L8&gt;=0.75,M8&lt;=0.15,N8=0),"保留观察",IF(AND(P8&lt;&gt;"",Q8&lt;&gt;"",ABS(P8-Q8)&gt;0.25),"疑似过拟合","继续验证"))))))</x:f>
        <x:v>样本不足</x:v>
      </x:c>
      <x:c r="T8" s="70" t="str"/>
      <x:c r="U8" s="70" t="str">
        <x:v>待验证</x:v>
      </x:c>
      <x:c r="V8" s="70" t="str"/>
      <x:c r="W8" s="70" t="str"/>
    </x:row>
    <x:row r="9">
      <x:c r="A9" s="70" t="str">
        <x:v>M5-SYNTH-004</x:v>
      </x:c>
      <x:c r="B9" s="70" t="str">
        <x:v>SYNTH</x:v>
      </x:c>
      <x:c r="C9" s="70" t="str">
        <x:v>核心现实门槛优先｜结构高分不得覆盖</x:v>
      </x:c>
      <x:c r="D9" s="70" t="str">
        <x:v>待验证</x:v>
      </x:c>
      <x:c r="E9" s="70" t="n">
        <x:f>COUNTIFS('06_规则命中'!$D$6:$D$405,A9,'06_规则命中'!$I$6:$I$405,"支持",'06_规则命中'!$N$6:$N$405,"是")</x:f>
        <x:v>0</x:v>
      </x:c>
      <x:c r="F9" s="70" t="n">
        <x:f>COUNTIFS('06_规则命中'!$D$6:$D$405,A9,'06_规则命中'!$I$6:$I$405,"基本支持",'06_规则命中'!$N$6:$N$405,"是")</x:f>
        <x:v>0</x:v>
      </x:c>
      <x:c r="G9" s="70" t="n">
        <x:f>COUNTIFS('06_规则命中'!$D$6:$D$405,A9,'06_规则命中'!$I$6:$I$405,"部分支持",'06_规则命中'!$N$6:$N$405,"是")</x:f>
        <x:v>0</x:v>
      </x:c>
      <x:c r="H9" s="70" t="n">
        <x:f>COUNTIFS('06_规则命中'!$D$6:$D$405,A9,'06_规则命中'!$I$6:$I$405,"相邻但不同",'06_规则命中'!$N$6:$N$405,"是")</x:f>
        <x:v>0</x:v>
      </x:c>
      <x:c r="I9" s="70" t="n">
        <x:f>COUNTIFS('06_规则命中'!$D$6:$D$405,A9,'06_规则命中'!$I$6:$I$405,"反例",'06_规则命中'!$N$6:$N$405,"是")</x:f>
        <x:v>0</x:v>
      </x:c>
      <x:c r="J9" s="70" t="n">
        <x:f>COUNTIFS('06_规则命中'!$D$6:$D$405,A9,'06_规则命中'!$I$6:$I$405,"不可评估",'06_规则命中'!$N$6:$N$405,"是")</x:f>
        <x:v>0</x:v>
      </x:c>
      <x:c r="K9" s="70" t="n">
        <x:f>SUM(E9:I9)</x:f>
        <x:v>0</x:v>
      </x:c>
      <x:c r="L9" s="108" t="str">
        <x:f>IFERROR((E9+0.75*F9+0.5*G9+0.25*H9)/K9,"")</x:f>
      </x:c>
      <x:c r="M9" s="108" t="str">
        <x:f>IFERROR(I9/K9,"")</x:f>
      </x:c>
      <x:c r="N9" s="70" t="n">
        <x:f>COUNTIFS('08_反例与错误'!$E$6:$E$155,A9,'08_反例与错误'!$H$6:$H$155,"强")+COUNTIFS('08_反例与错误'!$E$6:$E$155,A9,'08_反例与错误'!$H$6:$H$155,"安全")</x:f>
        <x:v>0</x:v>
      </x:c>
      <x:c r="O9" s="70" t="n">
        <x:f>COUNTIFS('06_规则命中'!$D$6:$D$405,A9,'06_规则命中'!$I$6:$I$405,"反例",'06_规则命中'!$L$6:$L$405,"是",'06_规则命中'!$N$6:$N$405,"是")</x:f>
        <x:v>0</x:v>
      </x:c>
      <x:c r="P9" s="108" t="str">
        <x:f>IFERROR(SUMIFS('06_规则命中'!$J$6:$J$405,'06_规则命中'!$D$6:$D$405,A9,'06_规则命中'!$C$6:$C$405,"开发集",'06_规则命中'!$N$6:$N$405,"是")/COUNTIFS('06_规则命中'!$D$6:$D$405,A9,'06_规则命中'!$C$6:$C$405,"开发集",'06_规则命中'!$I$6:$I$405,"&lt;&gt;不可评估",'06_规则命中'!$N$6:$N$405,"是"),"")</x:f>
      </x:c>
      <x:c r="Q9" s="108" t="str">
        <x:f>IFERROR(SUMIFS('06_规则命中'!$J$6:$J$405,'06_规则命中'!$D$6:$D$405,A9,'06_规则命中'!$C$6:$C$405,"留出集",'06_规则命中'!$N$6:$N$405,"是")/COUNTIFS('06_规则命中'!$D$6:$D$405,A9,'06_规则命中'!$C$6:$C$405,"留出集",'06_规则命中'!$I$6:$I$405,"&lt;&gt;不可评估",'06_规则命中'!$N$6:$N$405,"是"),"")</x:f>
      </x:c>
      <x:c r="R9" s="70" t="str">
        <x:f>IF(K9=0,"P0 待验证",IF(K9&lt;3,"P1 极少样本",IF(K9&lt;6,"P2 探索",IF(K9&lt;12,"P3 初步","P4 稳定候选"))))</x:f>
        <x:v>P0 待验证</x:v>
      </x:c>
      <x:c r="S9" s="70" t="str">
        <x:f>IF(O9&gt;0,"立即安全审查",IF(K9&lt;3,"样本不足",IF(AND(K9&gt;=4,M9&gt;=0.6),"停用候选",IF(AND(K9&gt;=6,M9&gt;=0.4),"优先修改",IF(AND(K9&gt;=8,L9&gt;=0.75,M9&lt;=0.15,N9=0),"保留观察",IF(AND(P9&lt;&gt;"",Q9&lt;&gt;"",ABS(P9-Q9)&gt;0.25),"疑似过拟合","继续验证"))))))</x:f>
        <x:v>样本不足</x:v>
      </x:c>
      <x:c r="T9" s="70" t="str"/>
      <x:c r="U9" s="70" t="str">
        <x:v>待验证</x:v>
      </x:c>
      <x:c r="V9" s="70" t="str"/>
      <x:c r="W9" s="70" t="str"/>
    </x:row>
    <x:row r="10">
      <x:c r="A10" s="70" t="str">
        <x:v>M5-SYNTH-005</x:v>
      </x:c>
      <x:c r="B10" s="70" t="str">
        <x:v>SYNTH</x:v>
      </x:c>
      <x:c r="C10" s="70" t="str">
        <x:v>资料不足停止｜关键字段不可补写</x:v>
      </x:c>
      <x:c r="D10" s="70" t="str">
        <x:v>待验证</x:v>
      </x:c>
      <x:c r="E10" s="70" t="n">
        <x:f>COUNTIFS('06_规则命中'!$D$6:$D$405,A10,'06_规则命中'!$I$6:$I$405,"支持",'06_规则命中'!$N$6:$N$405,"是")</x:f>
        <x:v>0</x:v>
      </x:c>
      <x:c r="F10" s="70" t="n">
        <x:f>COUNTIFS('06_规则命中'!$D$6:$D$405,A10,'06_规则命中'!$I$6:$I$405,"基本支持",'06_规则命中'!$N$6:$N$405,"是")</x:f>
        <x:v>0</x:v>
      </x:c>
      <x:c r="G10" s="70" t="n">
        <x:f>COUNTIFS('06_规则命中'!$D$6:$D$405,A10,'06_规则命中'!$I$6:$I$405,"部分支持",'06_规则命中'!$N$6:$N$405,"是")</x:f>
        <x:v>0</x:v>
      </x:c>
      <x:c r="H10" s="70" t="n">
        <x:f>COUNTIFS('06_规则命中'!$D$6:$D$405,A10,'06_规则命中'!$I$6:$I$405,"相邻但不同",'06_规则命中'!$N$6:$N$405,"是")</x:f>
        <x:v>0</x:v>
      </x:c>
      <x:c r="I10" s="70" t="n">
        <x:f>COUNTIFS('06_规则命中'!$D$6:$D$405,A10,'06_规则命中'!$I$6:$I$405,"反例",'06_规则命中'!$N$6:$N$405,"是")</x:f>
        <x:v>0</x:v>
      </x:c>
      <x:c r="J10" s="70" t="n">
        <x:f>COUNTIFS('06_规则命中'!$D$6:$D$405,A10,'06_规则命中'!$I$6:$I$405,"不可评估",'06_规则命中'!$N$6:$N$405,"是")</x:f>
        <x:v>0</x:v>
      </x:c>
      <x:c r="K10" s="70" t="n">
        <x:f>SUM(E10:I10)</x:f>
        <x:v>0</x:v>
      </x:c>
      <x:c r="L10" s="108" t="str">
        <x:f>IFERROR((E10+0.75*F10+0.5*G10+0.25*H10)/K10,"")</x:f>
      </x:c>
      <x:c r="M10" s="108" t="str">
        <x:f>IFERROR(I10/K10,"")</x:f>
      </x:c>
      <x:c r="N10" s="70" t="n">
        <x:f>COUNTIFS('08_反例与错误'!$E$6:$E$155,A10,'08_反例与错误'!$H$6:$H$155,"强")+COUNTIFS('08_反例与错误'!$E$6:$E$155,A10,'08_反例与错误'!$H$6:$H$155,"安全")</x:f>
        <x:v>0</x:v>
      </x:c>
      <x:c r="O10" s="70" t="n">
        <x:f>COUNTIFS('06_规则命中'!$D$6:$D$405,A10,'06_规则命中'!$I$6:$I$405,"反例",'06_规则命中'!$L$6:$L$405,"是",'06_规则命中'!$N$6:$N$405,"是")</x:f>
        <x:v>0</x:v>
      </x:c>
      <x:c r="P10" s="108" t="str">
        <x:f>IFERROR(SUMIFS('06_规则命中'!$J$6:$J$405,'06_规则命中'!$D$6:$D$405,A10,'06_规则命中'!$C$6:$C$405,"开发集",'06_规则命中'!$N$6:$N$405,"是")/COUNTIFS('06_规则命中'!$D$6:$D$405,A10,'06_规则命中'!$C$6:$C$405,"开发集",'06_规则命中'!$I$6:$I$405,"&lt;&gt;不可评估",'06_规则命中'!$N$6:$N$405,"是"),"")</x:f>
      </x:c>
      <x:c r="Q10" s="108" t="str">
        <x:f>IFERROR(SUMIFS('06_规则命中'!$J$6:$J$405,'06_规则命中'!$D$6:$D$405,A10,'06_规则命中'!$C$6:$C$405,"留出集",'06_规则命中'!$N$6:$N$405,"是")/COUNTIFS('06_规则命中'!$D$6:$D$405,A10,'06_规则命中'!$C$6:$C$405,"留出集",'06_规则命中'!$I$6:$I$405,"&lt;&gt;不可评估",'06_规则命中'!$N$6:$N$405,"是"),"")</x:f>
      </x:c>
      <x:c r="R10" s="70" t="str">
        <x:f>IF(K10=0,"P0 待验证",IF(K10&lt;3,"P1 极少样本",IF(K10&lt;6,"P2 探索",IF(K10&lt;12,"P3 初步","P4 稳定候选"))))</x:f>
        <x:v>P0 待验证</x:v>
      </x:c>
      <x:c r="S10" s="70" t="str">
        <x:f>IF(O10&gt;0,"立即安全审查",IF(K10&lt;3,"样本不足",IF(AND(K10&gt;=4,M10&gt;=0.6),"停用候选",IF(AND(K10&gt;=6,M10&gt;=0.4),"优先修改",IF(AND(K10&gt;=8,L10&gt;=0.75,M10&lt;=0.15,N10=0),"保留观察",IF(AND(P10&lt;&gt;"",Q10&lt;&gt;"",ABS(P10-Q10)&gt;0.25),"疑似过拟合","继续验证"))))))</x:f>
        <x:v>样本不足</x:v>
      </x:c>
      <x:c r="T10" s="70" t="str"/>
      <x:c r="U10" s="70" t="str">
        <x:v>待验证</x:v>
      </x:c>
      <x:c r="V10" s="70" t="str"/>
      <x:c r="W10" s="70" t="str"/>
    </x:row>
    <x:row r="11">
      <x:c r="A11" s="70" t="str">
        <x:v>M5-SYNTH-145</x:v>
      </x:c>
      <x:c r="B11" s="70" t="str">
        <x:v>SYNTH</x:v>
      </x:c>
      <x:c r="C11" s="70" t="str">
        <x:v>RG总门控｜RG01安全失败覆盖全部</x:v>
      </x:c>
      <x:c r="D11" s="70" t="str">
        <x:v>待验证</x:v>
      </x:c>
      <x:c r="E11" s="70" t="n">
        <x:f>COUNTIFS('06_规则命中'!$D$6:$D$405,A11,'06_规则命中'!$I$6:$I$405,"支持",'06_规则命中'!$N$6:$N$405,"是")</x:f>
        <x:v>0</x:v>
      </x:c>
      <x:c r="F11" s="70" t="n">
        <x:f>COUNTIFS('06_规则命中'!$D$6:$D$405,A11,'06_规则命中'!$I$6:$I$405,"基本支持",'06_规则命中'!$N$6:$N$405,"是")</x:f>
        <x:v>0</x:v>
      </x:c>
      <x:c r="G11" s="70" t="n">
        <x:f>COUNTIFS('06_规则命中'!$D$6:$D$405,A11,'06_规则命中'!$I$6:$I$405,"部分支持",'06_规则命中'!$N$6:$N$405,"是")</x:f>
        <x:v>0</x:v>
      </x:c>
      <x:c r="H11" s="70" t="n">
        <x:f>COUNTIFS('06_规则命中'!$D$6:$D$405,A11,'06_规则命中'!$I$6:$I$405,"相邻但不同",'06_规则命中'!$N$6:$N$405,"是")</x:f>
        <x:v>0</x:v>
      </x:c>
      <x:c r="I11" s="70" t="n">
        <x:f>COUNTIFS('06_规则命中'!$D$6:$D$405,A11,'06_规则命中'!$I$6:$I$405,"反例",'06_规则命中'!$N$6:$N$405,"是")</x:f>
        <x:v>0</x:v>
      </x:c>
      <x:c r="J11" s="70" t="n">
        <x:f>COUNTIFS('06_规则命中'!$D$6:$D$405,A11,'06_规则命中'!$I$6:$I$405,"不可评估",'06_规则命中'!$N$6:$N$405,"是")</x:f>
        <x:v>0</x:v>
      </x:c>
      <x:c r="K11" s="70" t="n">
        <x:f>SUM(E11:I11)</x:f>
        <x:v>0</x:v>
      </x:c>
      <x:c r="L11" s="108" t="str">
        <x:f>IFERROR((E11+0.75*F11+0.5*G11+0.25*H11)/K11,"")</x:f>
      </x:c>
      <x:c r="M11" s="108" t="str">
        <x:f>IFERROR(I11/K11,"")</x:f>
      </x:c>
      <x:c r="N11" s="70" t="n">
        <x:f>COUNTIFS('08_反例与错误'!$E$6:$E$155,A11,'08_反例与错误'!$H$6:$H$155,"强")+COUNTIFS('08_反例与错误'!$E$6:$E$155,A11,'08_反例与错误'!$H$6:$H$155,"安全")</x:f>
        <x:v>0</x:v>
      </x:c>
      <x:c r="O11" s="70" t="n">
        <x:f>COUNTIFS('06_规则命中'!$D$6:$D$405,A11,'06_规则命中'!$I$6:$I$405,"反例",'06_规则命中'!$L$6:$L$405,"是",'06_规则命中'!$N$6:$N$405,"是")</x:f>
        <x:v>0</x:v>
      </x:c>
      <x:c r="P11" s="108" t="str">
        <x:f>IFERROR(SUMIFS('06_规则命中'!$J$6:$J$405,'06_规则命中'!$D$6:$D$405,A11,'06_规则命中'!$C$6:$C$405,"开发集",'06_规则命中'!$N$6:$N$405,"是")/COUNTIFS('06_规则命中'!$D$6:$D$405,A11,'06_规则命中'!$C$6:$C$405,"开发集",'06_规则命中'!$I$6:$I$405,"&lt;&gt;不可评估",'06_规则命中'!$N$6:$N$405,"是"),"")</x:f>
      </x:c>
      <x:c r="Q11" s="108" t="str">
        <x:f>IFERROR(SUMIFS('06_规则命中'!$J$6:$J$405,'06_规则命中'!$D$6:$D$405,A11,'06_规则命中'!$C$6:$C$405,"留出集",'06_规则命中'!$N$6:$N$405,"是")/COUNTIFS('06_规则命中'!$D$6:$D$405,A11,'06_规则命中'!$C$6:$C$405,"留出集",'06_规则命中'!$I$6:$I$405,"&lt;&gt;不可评估",'06_规则命中'!$N$6:$N$405,"是"),"")</x:f>
      </x:c>
      <x:c r="R11" s="70" t="str">
        <x:f>IF(K11=0,"P0 待验证",IF(K11&lt;3,"P1 极少样本",IF(K11&lt;6,"P2 探索",IF(K11&lt;12,"P3 初步","P4 稳定候选"))))</x:f>
        <x:v>P0 待验证</x:v>
      </x:c>
      <x:c r="S11" s="70" t="str">
        <x:f>IF(O11&gt;0,"立即安全审查",IF(K11&lt;3,"样本不足",IF(AND(K11&gt;=4,M11&gt;=0.6),"停用候选",IF(AND(K11&gt;=6,M11&gt;=0.4),"优先修改",IF(AND(K11&gt;=8,L11&gt;=0.75,M11&lt;=0.15,N11=0),"保留观察",IF(AND(P11&lt;&gt;"",Q11&lt;&gt;"",ABS(P11-Q11)&gt;0.25),"疑似过拟合","继续验证"))))))</x:f>
        <x:v>样本不足</x:v>
      </x:c>
      <x:c r="T11" s="70" t="str"/>
      <x:c r="U11" s="70" t="str">
        <x:v>待验证</x:v>
      </x:c>
      <x:c r="V11" s="70" t="str"/>
      <x:c r="W11" s="70" t="str"/>
    </x:row>
    <x:row r="12">
      <x:c r="A12" s="70" t="str">
        <x:v>M5-SYNTH-006</x:v>
      </x:c>
      <x:c r="B12" s="70" t="str">
        <x:v>SYNTH</x:v>
      </x:c>
      <x:c r="C12" s="70" t="str">
        <x:v>只有命盘资料最高FG2</x:v>
      </x:c>
      <x:c r="D12" s="70" t="str">
        <x:v>待验证</x:v>
      </x:c>
      <x:c r="E12" s="70" t="n">
        <x:f>COUNTIFS('06_规则命中'!$D$6:$D$405,A12,'06_规则命中'!$I$6:$I$405,"支持",'06_规则命中'!$N$6:$N$405,"是")</x:f>
        <x:v>0</x:v>
      </x:c>
      <x:c r="F12" s="70" t="n">
        <x:f>COUNTIFS('06_规则命中'!$D$6:$D$405,A12,'06_规则命中'!$I$6:$I$405,"基本支持",'06_规则命中'!$N$6:$N$405,"是")</x:f>
        <x:v>0</x:v>
      </x:c>
      <x:c r="G12" s="70" t="n">
        <x:f>COUNTIFS('06_规则命中'!$D$6:$D$405,A12,'06_规则命中'!$I$6:$I$405,"部分支持",'06_规则命中'!$N$6:$N$405,"是")</x:f>
        <x:v>0</x:v>
      </x:c>
      <x:c r="H12" s="70" t="n">
        <x:f>COUNTIFS('06_规则命中'!$D$6:$D$405,A12,'06_规则命中'!$I$6:$I$405,"相邻但不同",'06_规则命中'!$N$6:$N$405,"是")</x:f>
        <x:v>0</x:v>
      </x:c>
      <x:c r="I12" s="70" t="n">
        <x:f>COUNTIFS('06_规则命中'!$D$6:$D$405,A12,'06_规则命中'!$I$6:$I$405,"反例",'06_规则命中'!$N$6:$N$405,"是")</x:f>
        <x:v>0</x:v>
      </x:c>
      <x:c r="J12" s="70" t="n">
        <x:f>COUNTIFS('06_规则命中'!$D$6:$D$405,A12,'06_规则命中'!$I$6:$I$405,"不可评估",'06_规则命中'!$N$6:$N$405,"是")</x:f>
        <x:v>0</x:v>
      </x:c>
      <x:c r="K12" s="70" t="n">
        <x:f>SUM(E12:I12)</x:f>
        <x:v>0</x:v>
      </x:c>
      <x:c r="L12" s="108" t="str">
        <x:f>IFERROR((E12+0.75*F12+0.5*G12+0.25*H12)/K12,"")</x:f>
      </x:c>
      <x:c r="M12" s="108" t="str">
        <x:f>IFERROR(I12/K12,"")</x:f>
      </x:c>
      <x:c r="N12" s="70" t="n">
        <x:f>COUNTIFS('08_反例与错误'!$E$6:$E$155,A12,'08_反例与错误'!$H$6:$H$155,"强")+COUNTIFS('08_反例与错误'!$E$6:$E$155,A12,'08_反例与错误'!$H$6:$H$155,"安全")</x:f>
        <x:v>0</x:v>
      </x:c>
      <x:c r="O12" s="70" t="n">
        <x:f>COUNTIFS('06_规则命中'!$D$6:$D$405,A12,'06_规则命中'!$I$6:$I$405,"反例",'06_规则命中'!$L$6:$L$405,"是",'06_规则命中'!$N$6:$N$405,"是")</x:f>
        <x:v>0</x:v>
      </x:c>
      <x:c r="P12" s="108" t="str">
        <x:f>IFERROR(SUMIFS('06_规则命中'!$J$6:$J$405,'06_规则命中'!$D$6:$D$405,A12,'06_规则命中'!$C$6:$C$405,"开发集",'06_规则命中'!$N$6:$N$405,"是")/COUNTIFS('06_规则命中'!$D$6:$D$405,A12,'06_规则命中'!$C$6:$C$405,"开发集",'06_规则命中'!$I$6:$I$405,"&lt;&gt;不可评估",'06_规则命中'!$N$6:$N$405,"是"),"")</x:f>
      </x:c>
      <x:c r="Q12" s="108" t="str">
        <x:f>IFERROR(SUMIFS('06_规则命中'!$J$6:$J$405,'06_规则命中'!$D$6:$D$405,A12,'06_规则命中'!$C$6:$C$405,"留出集",'06_规则命中'!$N$6:$N$405,"是")/COUNTIFS('06_规则命中'!$D$6:$D$405,A12,'06_规则命中'!$C$6:$C$405,"留出集",'06_规则命中'!$I$6:$I$405,"&lt;&gt;不可评估",'06_规则命中'!$N$6:$N$405,"是"),"")</x:f>
      </x:c>
      <x:c r="R12" s="70" t="str">
        <x:f>IF(K12=0,"P0 待验证",IF(K12&lt;3,"P1 极少样本",IF(K12&lt;6,"P2 探索",IF(K12&lt;12,"P3 初步","P4 稳定候选"))))</x:f>
        <x:v>P0 待验证</x:v>
      </x:c>
      <x:c r="S12" s="70" t="str">
        <x:f>IF(O12&gt;0,"立即安全审查",IF(K12&lt;3,"样本不足",IF(AND(K12&gt;=4,M12&gt;=0.6),"停用候选",IF(AND(K12&gt;=6,M12&gt;=0.4),"优先修改",IF(AND(K12&gt;=8,L12&gt;=0.75,M12&lt;=0.15,N12=0),"保留观察",IF(AND(P12&lt;&gt;"",Q12&lt;&gt;"",ABS(P12-Q12)&gt;0.25),"疑似过拟合","继续验证"))))))</x:f>
        <x:v>样本不足</x:v>
      </x:c>
      <x:c r="T12" s="70" t="str"/>
      <x:c r="U12" s="70" t="str">
        <x:v>待验证</x:v>
      </x:c>
      <x:c r="V12" s="70" t="str"/>
      <x:c r="W12" s="70" t="str"/>
    </x:row>
    <x:row r="13">
      <x:c r="A13" s="70" t="str">
        <x:v>M5-SYNTH-007</x:v>
      </x:c>
      <x:c r="B13" s="70" t="str">
        <x:v>SYNTH</x:v>
      </x:c>
      <x:c r="C13" s="70" t="str">
        <x:v>心动不计入长期适配基础分</x:v>
      </x:c>
      <x:c r="D13" s="70" t="str">
        <x:v>待验证</x:v>
      </x:c>
      <x:c r="E13" s="70" t="n">
        <x:f>COUNTIFS('06_规则命中'!$D$6:$D$405,A13,'06_规则命中'!$I$6:$I$405,"支持",'06_规则命中'!$N$6:$N$405,"是")</x:f>
        <x:v>0</x:v>
      </x:c>
      <x:c r="F13" s="70" t="n">
        <x:f>COUNTIFS('06_规则命中'!$D$6:$D$405,A13,'06_规则命中'!$I$6:$I$405,"基本支持",'06_规则命中'!$N$6:$N$405,"是")</x:f>
        <x:v>0</x:v>
      </x:c>
      <x:c r="G13" s="70" t="n">
        <x:f>COUNTIFS('06_规则命中'!$D$6:$D$405,A13,'06_规则命中'!$I$6:$I$405,"部分支持",'06_规则命中'!$N$6:$N$405,"是")</x:f>
        <x:v>0</x:v>
      </x:c>
      <x:c r="H13" s="70" t="n">
        <x:f>COUNTIFS('06_规则命中'!$D$6:$D$405,A13,'06_规则命中'!$I$6:$I$405,"相邻但不同",'06_规则命中'!$N$6:$N$405,"是")</x:f>
        <x:v>0</x:v>
      </x:c>
      <x:c r="I13" s="70" t="n">
        <x:f>COUNTIFS('06_规则命中'!$D$6:$D$405,A13,'06_规则命中'!$I$6:$I$405,"反例",'06_规则命中'!$N$6:$N$405,"是")</x:f>
        <x:v>0</x:v>
      </x:c>
      <x:c r="J13" s="70" t="n">
        <x:f>COUNTIFS('06_规则命中'!$D$6:$D$405,A13,'06_规则命中'!$I$6:$I$405,"不可评估",'06_规则命中'!$N$6:$N$405,"是")</x:f>
        <x:v>0</x:v>
      </x:c>
      <x:c r="K13" s="70" t="n">
        <x:f>SUM(E13:I13)</x:f>
        <x:v>0</x:v>
      </x:c>
      <x:c r="L13" s="108" t="str">
        <x:f>IFERROR((E13+0.75*F13+0.5*G13+0.25*H13)/K13,"")</x:f>
      </x:c>
      <x:c r="M13" s="108" t="str">
        <x:f>IFERROR(I13/K13,"")</x:f>
      </x:c>
      <x:c r="N13" s="70" t="n">
        <x:f>COUNTIFS('08_反例与错误'!$E$6:$E$155,A13,'08_反例与错误'!$H$6:$H$155,"强")+COUNTIFS('08_反例与错误'!$E$6:$E$155,A13,'08_反例与错误'!$H$6:$H$155,"安全")</x:f>
        <x:v>0</x:v>
      </x:c>
      <x:c r="O13" s="70" t="n">
        <x:f>COUNTIFS('06_规则命中'!$D$6:$D$405,A13,'06_规则命中'!$I$6:$I$405,"反例",'06_规则命中'!$L$6:$L$405,"是",'06_规则命中'!$N$6:$N$405,"是")</x:f>
        <x:v>0</x:v>
      </x:c>
      <x:c r="P13" s="108" t="str">
        <x:f>IFERROR(SUMIFS('06_规则命中'!$J$6:$J$405,'06_规则命中'!$D$6:$D$405,A13,'06_规则命中'!$C$6:$C$405,"开发集",'06_规则命中'!$N$6:$N$405,"是")/COUNTIFS('06_规则命中'!$D$6:$D$405,A13,'06_规则命中'!$C$6:$C$405,"开发集",'06_规则命中'!$I$6:$I$405,"&lt;&gt;不可评估",'06_规则命中'!$N$6:$N$405,"是"),"")</x:f>
      </x:c>
      <x:c r="Q13" s="108" t="str">
        <x:f>IFERROR(SUMIFS('06_规则命中'!$J$6:$J$405,'06_规则命中'!$D$6:$D$405,A13,'06_规则命中'!$C$6:$C$405,"留出集",'06_规则命中'!$N$6:$N$405,"是")/COUNTIFS('06_规则命中'!$D$6:$D$405,A13,'06_规则命中'!$C$6:$C$405,"留出集",'06_规则命中'!$I$6:$I$405,"&lt;&gt;不可评估",'06_规则命中'!$N$6:$N$405,"是"),"")</x:f>
      </x:c>
      <x:c r="R13" s="70" t="str">
        <x:f>IF(K13=0,"P0 待验证",IF(K13&lt;3,"P1 极少样本",IF(K13&lt;6,"P2 探索",IF(K13&lt;12,"P3 初步","P4 稳定候选"))))</x:f>
        <x:v>P0 待验证</x:v>
      </x:c>
      <x:c r="S13" s="70" t="str">
        <x:f>IF(O13&gt;0,"立即安全审查",IF(K13&lt;3,"样本不足",IF(AND(K13&gt;=4,M13&gt;=0.6),"停用候选",IF(AND(K13&gt;=6,M13&gt;=0.4),"优先修改",IF(AND(K13&gt;=8,L13&gt;=0.75,M13&lt;=0.15,N13=0),"保留观察",IF(AND(P13&lt;&gt;"",Q13&lt;&gt;"",ABS(P13-Q13)&gt;0.25),"疑似过拟合","继续验证"))))))</x:f>
        <x:v>样本不足</x:v>
      </x:c>
      <x:c r="T13" s="70" t="str"/>
      <x:c r="U13" s="70" t="str">
        <x:v>待验证</x:v>
      </x:c>
      <x:c r="V13" s="70" t="str"/>
      <x:c r="W13" s="70" t="str"/>
    </x:row>
    <x:row r="14">
      <x:c r="A14" s="70" t="str">
        <x:v>M5-SYNTH-008</x:v>
      </x:c>
      <x:c r="B14" s="70" t="str">
        <x:v>SYNTH</x:v>
      </x:c>
      <x:c r="C14" s="70" t="str">
        <x:v>关系准入不计入长期成熟基础分</x:v>
      </x:c>
      <x:c r="D14" s="70" t="str">
        <x:v>待验证</x:v>
      </x:c>
      <x:c r="E14" s="70" t="n">
        <x:f>COUNTIFS('06_规则命中'!$D$6:$D$405,A14,'06_规则命中'!$I$6:$I$405,"支持",'06_规则命中'!$N$6:$N$405,"是")</x:f>
        <x:v>0</x:v>
      </x:c>
      <x:c r="F14" s="70" t="n">
        <x:f>COUNTIFS('06_规则命中'!$D$6:$D$405,A14,'06_规则命中'!$I$6:$I$405,"基本支持",'06_规则命中'!$N$6:$N$405,"是")</x:f>
        <x:v>0</x:v>
      </x:c>
      <x:c r="G14" s="70" t="n">
        <x:f>COUNTIFS('06_规则命中'!$D$6:$D$405,A14,'06_规则命中'!$I$6:$I$405,"部分支持",'06_规则命中'!$N$6:$N$405,"是")</x:f>
        <x:v>0</x:v>
      </x:c>
      <x:c r="H14" s="70" t="n">
        <x:f>COUNTIFS('06_规则命中'!$D$6:$D$405,A14,'06_规则命中'!$I$6:$I$405,"相邻但不同",'06_规则命中'!$N$6:$N$405,"是")</x:f>
        <x:v>0</x:v>
      </x:c>
      <x:c r="I14" s="70" t="n">
        <x:f>COUNTIFS('06_规则命中'!$D$6:$D$405,A14,'06_规则命中'!$I$6:$I$405,"反例",'06_规则命中'!$N$6:$N$405,"是")</x:f>
        <x:v>0</x:v>
      </x:c>
      <x:c r="J14" s="70" t="n">
        <x:f>COUNTIFS('06_规则命中'!$D$6:$D$405,A14,'06_规则命中'!$I$6:$I$405,"不可评估",'06_规则命中'!$N$6:$N$405,"是")</x:f>
        <x:v>0</x:v>
      </x:c>
      <x:c r="K14" s="70" t="n">
        <x:f>SUM(E14:I14)</x:f>
        <x:v>0</x:v>
      </x:c>
      <x:c r="L14" s="108" t="str">
        <x:f>IFERROR((E14+0.75*F14+0.5*G14+0.25*H14)/K14,"")</x:f>
      </x:c>
      <x:c r="M14" s="108" t="str">
        <x:f>IFERROR(I14/K14,"")</x:f>
      </x:c>
      <x:c r="N14" s="70" t="n">
        <x:f>COUNTIFS('08_反例与错误'!$E$6:$E$155,A14,'08_反例与错误'!$H$6:$H$155,"强")+COUNTIFS('08_反例与错误'!$E$6:$E$155,A14,'08_反例与错误'!$H$6:$H$155,"安全")</x:f>
        <x:v>0</x:v>
      </x:c>
      <x:c r="O14" s="70" t="n">
        <x:f>COUNTIFS('06_规则命中'!$D$6:$D$405,A14,'06_规则命中'!$I$6:$I$405,"反例",'06_规则命中'!$L$6:$L$405,"是",'06_规则命中'!$N$6:$N$405,"是")</x:f>
        <x:v>0</x:v>
      </x:c>
      <x:c r="P14" s="108" t="str">
        <x:f>IFERROR(SUMIFS('06_规则命中'!$J$6:$J$405,'06_规则命中'!$D$6:$D$405,A14,'06_规则命中'!$C$6:$C$405,"开发集",'06_规则命中'!$N$6:$N$405,"是")/COUNTIFS('06_规则命中'!$D$6:$D$405,A14,'06_规则命中'!$C$6:$C$405,"开发集",'06_规则命中'!$I$6:$I$405,"&lt;&gt;不可评估",'06_规则命中'!$N$6:$N$405,"是"),"")</x:f>
      </x:c>
      <x:c r="Q14" s="108" t="str">
        <x:f>IFERROR(SUMIFS('06_规则命中'!$J$6:$J$405,'06_规则命中'!$D$6:$D$405,A14,'06_规则命中'!$C$6:$C$405,"留出集",'06_规则命中'!$N$6:$N$405,"是")/COUNTIFS('06_规则命中'!$D$6:$D$405,A14,'06_规则命中'!$C$6:$C$405,"留出集",'06_规则命中'!$I$6:$I$405,"&lt;&gt;不可评估",'06_规则命中'!$N$6:$N$405,"是"),"")</x:f>
      </x:c>
      <x:c r="R14" s="70" t="str">
        <x:f>IF(K14=0,"P0 待验证",IF(K14&lt;3,"P1 极少样本",IF(K14&lt;6,"P2 探索",IF(K14&lt;12,"P3 初步","P4 稳定候选"))))</x:f>
        <x:v>P0 待验证</x:v>
      </x:c>
      <x:c r="S14" s="70" t="str">
        <x:f>IF(O14&gt;0,"立即安全审查",IF(K14&lt;3,"样本不足",IF(AND(K14&gt;=4,M14&gt;=0.6),"停用候选",IF(AND(K14&gt;=6,M14&gt;=0.4),"优先修改",IF(AND(K14&gt;=8,L14&gt;=0.75,M14&lt;=0.15,N14=0),"保留观察",IF(AND(P14&lt;&gt;"",Q14&lt;&gt;"",ABS(P14-Q14)&gt;0.25),"疑似过拟合","继续验证"))))))</x:f>
        <x:v>样本不足</x:v>
      </x:c>
      <x:c r="T14" s="70" t="str"/>
      <x:c r="U14" s="70" t="str">
        <x:v>待验证</x:v>
      </x:c>
      <x:c r="V14" s="70" t="str"/>
      <x:c r="W14" s="70" t="str"/>
    </x:row>
    <x:row r="15">
      <x:c r="A15" s="70" t="str">
        <x:v>M5-SYNTH-009</x:v>
      </x:c>
      <x:c r="B15" s="70" t="str">
        <x:v>SYNTH</x:v>
      </x:c>
      <x:c r="C15" s="70" t="str">
        <x:v>正常功能必须保留｜适配不是找相反的人</x:v>
      </x:c>
      <x:c r="D15" s="70" t="str">
        <x:v>待验证</x:v>
      </x:c>
      <x:c r="E15" s="70" t="n">
        <x:f>COUNTIFS('06_规则命中'!$D$6:$D$405,A15,'06_规则命中'!$I$6:$I$405,"支持",'06_规则命中'!$N$6:$N$405,"是")</x:f>
        <x:v>0</x:v>
      </x:c>
      <x:c r="F15" s="70" t="n">
        <x:f>COUNTIFS('06_规则命中'!$D$6:$D$405,A15,'06_规则命中'!$I$6:$I$405,"基本支持",'06_规则命中'!$N$6:$N$405,"是")</x:f>
        <x:v>0</x:v>
      </x:c>
      <x:c r="G15" s="70" t="n">
        <x:f>COUNTIFS('06_规则命中'!$D$6:$D$405,A15,'06_规则命中'!$I$6:$I$405,"部分支持",'06_规则命中'!$N$6:$N$405,"是")</x:f>
        <x:v>0</x:v>
      </x:c>
      <x:c r="H15" s="70" t="n">
        <x:f>COUNTIFS('06_规则命中'!$D$6:$D$405,A15,'06_规则命中'!$I$6:$I$405,"相邻但不同",'06_规则命中'!$N$6:$N$405,"是")</x:f>
        <x:v>0</x:v>
      </x:c>
      <x:c r="I15" s="70" t="n">
        <x:f>COUNTIFS('06_规则命中'!$D$6:$D$405,A15,'06_规则命中'!$I$6:$I$405,"反例",'06_规则命中'!$N$6:$N$405,"是")</x:f>
        <x:v>0</x:v>
      </x:c>
      <x:c r="J15" s="70" t="n">
        <x:f>COUNTIFS('06_规则命中'!$D$6:$D$405,A15,'06_规则命中'!$I$6:$I$405,"不可评估",'06_规则命中'!$N$6:$N$405,"是")</x:f>
        <x:v>0</x:v>
      </x:c>
      <x:c r="K15" s="70" t="n">
        <x:f>SUM(E15:I15)</x:f>
        <x:v>0</x:v>
      </x:c>
      <x:c r="L15" s="108" t="str">
        <x:f>IFERROR((E15+0.75*F15+0.5*G15+0.25*H15)/K15,"")</x:f>
      </x:c>
      <x:c r="M15" s="108" t="str">
        <x:f>IFERROR(I15/K15,"")</x:f>
      </x:c>
      <x:c r="N15" s="70" t="n">
        <x:f>COUNTIFS('08_反例与错误'!$E$6:$E$155,A15,'08_反例与错误'!$H$6:$H$155,"强")+COUNTIFS('08_反例与错误'!$E$6:$E$155,A15,'08_反例与错误'!$H$6:$H$155,"安全")</x:f>
        <x:v>0</x:v>
      </x:c>
      <x:c r="O15" s="70" t="n">
        <x:f>COUNTIFS('06_规则命中'!$D$6:$D$405,A15,'06_规则命中'!$I$6:$I$405,"反例",'06_规则命中'!$L$6:$L$405,"是",'06_规则命中'!$N$6:$N$405,"是")</x:f>
        <x:v>0</x:v>
      </x:c>
      <x:c r="P15" s="108" t="str">
        <x:f>IFERROR(SUMIFS('06_规则命中'!$J$6:$J$405,'06_规则命中'!$D$6:$D$405,A15,'06_规则命中'!$C$6:$C$405,"开发集",'06_规则命中'!$N$6:$N$405,"是")/COUNTIFS('06_规则命中'!$D$6:$D$405,A15,'06_规则命中'!$C$6:$C$405,"开发集",'06_规则命中'!$I$6:$I$405,"&lt;&gt;不可评估",'06_规则命中'!$N$6:$N$405,"是"),"")</x:f>
      </x:c>
      <x:c r="Q15" s="108" t="str">
        <x:f>IFERROR(SUMIFS('06_规则命中'!$J$6:$J$405,'06_规则命中'!$D$6:$D$405,A15,'06_规则命中'!$C$6:$C$405,"留出集",'06_规则命中'!$N$6:$N$405,"是")/COUNTIFS('06_规则命中'!$D$6:$D$405,A15,'06_规则命中'!$C$6:$C$405,"留出集",'06_规则命中'!$I$6:$I$405,"&lt;&gt;不可评估",'06_规则命中'!$N$6:$N$405,"是"),"")</x:f>
      </x:c>
      <x:c r="R15" s="70" t="str">
        <x:f>IF(K15=0,"P0 待验证",IF(K15&lt;3,"P1 极少样本",IF(K15&lt;6,"P2 探索",IF(K15&lt;12,"P3 初步","P4 稳定候选"))))</x:f>
        <x:v>P0 待验证</x:v>
      </x:c>
      <x:c r="S15" s="70" t="str">
        <x:f>IF(O15&gt;0,"立即安全审查",IF(K15&lt;3,"样本不足",IF(AND(K15&gt;=4,M15&gt;=0.6),"停用候选",IF(AND(K15&gt;=6,M15&gt;=0.4),"优先修改",IF(AND(K15&gt;=8,L15&gt;=0.75,M15&lt;=0.15,N15=0),"保留观察",IF(AND(P15&lt;&gt;"",Q15&lt;&gt;"",ABS(P15-Q15)&gt;0.25),"疑似过拟合","继续验证"))))))</x:f>
        <x:v>样本不足</x:v>
      </x:c>
      <x:c r="T15" s="70" t="str"/>
      <x:c r="U15" s="70" t="str">
        <x:v>待验证</x:v>
      </x:c>
      <x:c r="V15" s="70" t="str"/>
      <x:c r="W15" s="70" t="str"/>
    </x:row>
    <x:row r="16">
      <x:c r="A16" s="70" t="str">
        <x:v>M5-SYNTH-010</x:v>
      </x:c>
      <x:c r="B16" s="70" t="str">
        <x:v>SYNTH</x:v>
      </x:c>
      <x:c r="C16" s="70" t="str">
        <x:v>具体对象现实行为优先</x:v>
      </x:c>
      <x:c r="D16" s="70" t="str">
        <x:v>待验证</x:v>
      </x:c>
      <x:c r="E16" s="70" t="n">
        <x:f>COUNTIFS('06_规则命中'!$D$6:$D$405,A16,'06_规则命中'!$I$6:$I$405,"支持",'06_规则命中'!$N$6:$N$405,"是")</x:f>
        <x:v>0</x:v>
      </x:c>
      <x:c r="F16" s="70" t="n">
        <x:f>COUNTIFS('06_规则命中'!$D$6:$D$405,A16,'06_规则命中'!$I$6:$I$405,"基本支持",'06_规则命中'!$N$6:$N$405,"是")</x:f>
        <x:v>0</x:v>
      </x:c>
      <x:c r="G16" s="70" t="n">
        <x:f>COUNTIFS('06_规则命中'!$D$6:$D$405,A16,'06_规则命中'!$I$6:$I$405,"部分支持",'06_规则命中'!$N$6:$N$405,"是")</x:f>
        <x:v>0</x:v>
      </x:c>
      <x:c r="H16" s="70" t="n">
        <x:f>COUNTIFS('06_规则命中'!$D$6:$D$405,A16,'06_规则命中'!$I$6:$I$405,"相邻但不同",'06_规则命中'!$N$6:$N$405,"是")</x:f>
        <x:v>0</x:v>
      </x:c>
      <x:c r="I16" s="70" t="n">
        <x:f>COUNTIFS('06_规则命中'!$D$6:$D$405,A16,'06_规则命中'!$I$6:$I$405,"反例",'06_规则命中'!$N$6:$N$405,"是")</x:f>
        <x:v>0</x:v>
      </x:c>
      <x:c r="J16" s="70" t="n">
        <x:f>COUNTIFS('06_规则命中'!$D$6:$D$405,A16,'06_规则命中'!$I$6:$I$405,"不可评估",'06_规则命中'!$N$6:$N$405,"是")</x:f>
        <x:v>0</x:v>
      </x:c>
      <x:c r="K16" s="70" t="n">
        <x:f>SUM(E16:I16)</x:f>
        <x:v>0</x:v>
      </x:c>
      <x:c r="L16" s="108" t="str">
        <x:f>IFERROR((E16+0.75*F16+0.5*G16+0.25*H16)/K16,"")</x:f>
      </x:c>
      <x:c r="M16" s="108" t="str">
        <x:f>IFERROR(I16/K16,"")</x:f>
      </x:c>
      <x:c r="N16" s="70" t="n">
        <x:f>COUNTIFS('08_反例与错误'!$E$6:$E$155,A16,'08_反例与错误'!$H$6:$H$155,"强")+COUNTIFS('08_反例与错误'!$E$6:$E$155,A16,'08_反例与错误'!$H$6:$H$155,"安全")</x:f>
        <x:v>0</x:v>
      </x:c>
      <x:c r="O16" s="70" t="n">
        <x:f>COUNTIFS('06_规则命中'!$D$6:$D$405,A16,'06_规则命中'!$I$6:$I$405,"反例",'06_规则命中'!$L$6:$L$405,"是",'06_规则命中'!$N$6:$N$405,"是")</x:f>
        <x:v>0</x:v>
      </x:c>
      <x:c r="P16" s="108" t="str">
        <x:f>IFERROR(SUMIFS('06_规则命中'!$J$6:$J$405,'06_规则命中'!$D$6:$D$405,A16,'06_规则命中'!$C$6:$C$405,"开发集",'06_规则命中'!$N$6:$N$405,"是")/COUNTIFS('06_规则命中'!$D$6:$D$405,A16,'06_规则命中'!$C$6:$C$405,"开发集",'06_规则命中'!$I$6:$I$405,"&lt;&gt;不可评估",'06_规则命中'!$N$6:$N$405,"是"),"")</x:f>
      </x:c>
      <x:c r="Q16" s="108" t="str">
        <x:f>IFERROR(SUMIFS('06_规则命中'!$J$6:$J$405,'06_规则命中'!$D$6:$D$405,A16,'06_规则命中'!$C$6:$C$405,"留出集",'06_规则命中'!$N$6:$N$405,"是")/COUNTIFS('06_规则命中'!$D$6:$D$405,A16,'06_规则命中'!$C$6:$C$405,"留出集",'06_规则命中'!$I$6:$I$405,"&lt;&gt;不可评估",'06_规则命中'!$N$6:$N$405,"是"),"")</x:f>
      </x:c>
      <x:c r="R16" s="70" t="str">
        <x:f>IF(K16=0,"P0 待验证",IF(K16&lt;3,"P1 极少样本",IF(K16&lt;6,"P2 探索",IF(K16&lt;12,"P3 初步","P4 稳定候选"))))</x:f>
        <x:v>P0 待验证</x:v>
      </x:c>
      <x:c r="S16" s="70" t="str">
        <x:f>IF(O16&gt;0,"立即安全审查",IF(K16&lt;3,"样本不足",IF(AND(K16&gt;=4,M16&gt;=0.6),"停用候选",IF(AND(K16&gt;=6,M16&gt;=0.4),"优先修改",IF(AND(K16&gt;=8,L16&gt;=0.75,M16&lt;=0.15,N16=0),"保留观察",IF(AND(P16&lt;&gt;"",Q16&lt;&gt;"",ABS(P16-Q16)&gt;0.25),"疑似过拟合","继续验证"))))))</x:f>
        <x:v>样本不足</x:v>
      </x:c>
      <x:c r="T16" s="70" t="str"/>
      <x:c r="U16" s="70" t="str">
        <x:v>待验证</x:v>
      </x:c>
      <x:c r="V16" s="70" t="str"/>
      <x:c r="W16" s="70" t="str"/>
    </x:row>
    <x:row r="17">
      <x:c r="A17" s="70" t="str">
        <x:v>M5-SYNTH-011</x:v>
      </x:c>
      <x:c r="B17" s="70" t="str">
        <x:v>SYNTH</x:v>
      </x:c>
      <x:c r="C17" s="70" t="str">
        <x:v>FG、AF与置信度三者分离</x:v>
      </x:c>
      <x:c r="D17" s="70" t="str">
        <x:v>待验证</x:v>
      </x:c>
      <x:c r="E17" s="70" t="n">
        <x:f>COUNTIFS('06_规则命中'!$D$6:$D$405,A17,'06_规则命中'!$I$6:$I$405,"支持",'06_规则命中'!$N$6:$N$405,"是")</x:f>
        <x:v>0</x:v>
      </x:c>
      <x:c r="F17" s="70" t="n">
        <x:f>COUNTIFS('06_规则命中'!$D$6:$D$405,A17,'06_规则命中'!$I$6:$I$405,"基本支持",'06_规则命中'!$N$6:$N$405,"是")</x:f>
        <x:v>0</x:v>
      </x:c>
      <x:c r="G17" s="70" t="n">
        <x:f>COUNTIFS('06_规则命中'!$D$6:$D$405,A17,'06_规则命中'!$I$6:$I$405,"部分支持",'06_规则命中'!$N$6:$N$405,"是")</x:f>
        <x:v>0</x:v>
      </x:c>
      <x:c r="H17" s="70" t="n">
        <x:f>COUNTIFS('06_规则命中'!$D$6:$D$405,A17,'06_规则命中'!$I$6:$I$405,"相邻但不同",'06_规则命中'!$N$6:$N$405,"是")</x:f>
        <x:v>0</x:v>
      </x:c>
      <x:c r="I17" s="70" t="n">
        <x:f>COUNTIFS('06_规则命中'!$D$6:$D$405,A17,'06_规则命中'!$I$6:$I$405,"反例",'06_规则命中'!$N$6:$N$405,"是")</x:f>
        <x:v>0</x:v>
      </x:c>
      <x:c r="J17" s="70" t="n">
        <x:f>COUNTIFS('06_规则命中'!$D$6:$D$405,A17,'06_规则命中'!$I$6:$I$405,"不可评估",'06_规则命中'!$N$6:$N$405,"是")</x:f>
        <x:v>0</x:v>
      </x:c>
      <x:c r="K17" s="70" t="n">
        <x:f>SUM(E17:I17)</x:f>
        <x:v>0</x:v>
      </x:c>
      <x:c r="L17" s="108" t="str">
        <x:f>IFERROR((E17+0.75*F17+0.5*G17+0.25*H17)/K17,"")</x:f>
      </x:c>
      <x:c r="M17" s="108" t="str">
        <x:f>IFERROR(I17/K17,"")</x:f>
      </x:c>
      <x:c r="N17" s="70" t="n">
        <x:f>COUNTIFS('08_反例与错误'!$E$6:$E$155,A17,'08_反例与错误'!$H$6:$H$155,"强")+COUNTIFS('08_反例与错误'!$E$6:$E$155,A17,'08_反例与错误'!$H$6:$H$155,"安全")</x:f>
        <x:v>0</x:v>
      </x:c>
      <x:c r="O17" s="70" t="n">
        <x:f>COUNTIFS('06_规则命中'!$D$6:$D$405,A17,'06_规则命中'!$I$6:$I$405,"反例",'06_规则命中'!$L$6:$L$405,"是",'06_规则命中'!$N$6:$N$405,"是")</x:f>
        <x:v>0</x:v>
      </x:c>
      <x:c r="P17" s="108" t="str">
        <x:f>IFERROR(SUMIFS('06_规则命中'!$J$6:$J$405,'06_规则命中'!$D$6:$D$405,A17,'06_规则命中'!$C$6:$C$405,"开发集",'06_规则命中'!$N$6:$N$405,"是")/COUNTIFS('06_规则命中'!$D$6:$D$405,A17,'06_规则命中'!$C$6:$C$405,"开发集",'06_规则命中'!$I$6:$I$405,"&lt;&gt;不可评估",'06_规则命中'!$N$6:$N$405,"是"),"")</x:f>
      </x:c>
      <x:c r="Q17" s="108" t="str">
        <x:f>IFERROR(SUMIFS('06_规则命中'!$J$6:$J$405,'06_规则命中'!$D$6:$D$405,A17,'06_规则命中'!$C$6:$C$405,"留出集",'06_规则命中'!$N$6:$N$405,"是")/COUNTIFS('06_规则命中'!$D$6:$D$405,A17,'06_规则命中'!$C$6:$C$405,"留出集",'06_规则命中'!$I$6:$I$405,"&lt;&gt;不可评估",'06_规则命中'!$N$6:$N$405,"是"),"")</x:f>
      </x:c>
      <x:c r="R17" s="70" t="str">
        <x:f>IF(K17=0,"P0 待验证",IF(K17&lt;3,"P1 极少样本",IF(K17&lt;6,"P2 探索",IF(K17&lt;12,"P3 初步","P4 稳定候选"))))</x:f>
        <x:v>P0 待验证</x:v>
      </x:c>
      <x:c r="S17" s="70" t="str">
        <x:f>IF(O17&gt;0,"立即安全审查",IF(K17&lt;3,"样本不足",IF(AND(K17&gt;=4,M17&gt;=0.6),"停用候选",IF(AND(K17&gt;=6,M17&gt;=0.4),"优先修改",IF(AND(K17&gt;=8,L17&gt;=0.75,M17&lt;=0.15,N17=0),"保留观察",IF(AND(P17&lt;&gt;"",Q17&lt;&gt;"",ABS(P17-Q17)&gt;0.25),"疑似过拟合","继续验证"))))))</x:f>
        <x:v>样本不足</x:v>
      </x:c>
      <x:c r="T17" s="70" t="str"/>
      <x:c r="U17" s="70" t="str">
        <x:v>待验证</x:v>
      </x:c>
      <x:c r="V17" s="70" t="str"/>
      <x:c r="W17" s="70" t="str"/>
    </x:row>
    <x:row r="18">
      <x:c r="A18" s="70" t="str">
        <x:v>M5-SYNTH-116</x:v>
      </x:c>
      <x:c r="B18" s="70" t="str">
        <x:v>SYNTH</x:v>
      </x:c>
      <x:c r="C18" s="70" t="str">
        <x:v>RG01现实门槛｜失败或未知</x:v>
      </x:c>
      <x:c r="D18" s="70" t="str">
        <x:v>待验证</x:v>
      </x:c>
      <x:c r="E18" s="70" t="n">
        <x:f>COUNTIFS('06_规则命中'!$D$6:$D$405,A18,'06_规则命中'!$I$6:$I$405,"支持",'06_规则命中'!$N$6:$N$405,"是")</x:f>
        <x:v>0</x:v>
      </x:c>
      <x:c r="F18" s="70" t="n">
        <x:f>COUNTIFS('06_规则命中'!$D$6:$D$405,A18,'06_规则命中'!$I$6:$I$405,"基本支持",'06_规则命中'!$N$6:$N$405,"是")</x:f>
        <x:v>0</x:v>
      </x:c>
      <x:c r="G18" s="70" t="n">
        <x:f>COUNTIFS('06_规则命中'!$D$6:$D$405,A18,'06_规则命中'!$I$6:$I$405,"部分支持",'06_规则命中'!$N$6:$N$405,"是")</x:f>
        <x:v>0</x:v>
      </x:c>
      <x:c r="H18" s="70" t="n">
        <x:f>COUNTIFS('06_规则命中'!$D$6:$D$405,A18,'06_规则命中'!$I$6:$I$405,"相邻但不同",'06_规则命中'!$N$6:$N$405,"是")</x:f>
        <x:v>0</x:v>
      </x:c>
      <x:c r="I18" s="70" t="n">
        <x:f>COUNTIFS('06_规则命中'!$D$6:$D$405,A18,'06_规则命中'!$I$6:$I$405,"反例",'06_规则命中'!$N$6:$N$405,"是")</x:f>
        <x:v>0</x:v>
      </x:c>
      <x:c r="J18" s="70" t="n">
        <x:f>COUNTIFS('06_规则命中'!$D$6:$D$405,A18,'06_规则命中'!$I$6:$I$405,"不可评估",'06_规则命中'!$N$6:$N$405,"是")</x:f>
        <x:v>0</x:v>
      </x:c>
      <x:c r="K18" s="70" t="n">
        <x:f>SUM(E18:I18)</x:f>
        <x:v>0</x:v>
      </x:c>
      <x:c r="L18" s="108" t="str">
        <x:f>IFERROR((E18+0.75*F18+0.5*G18+0.25*H18)/K18,"")</x:f>
      </x:c>
      <x:c r="M18" s="108" t="str">
        <x:f>IFERROR(I18/K18,"")</x:f>
      </x:c>
      <x:c r="N18" s="70" t="n">
        <x:f>COUNTIFS('08_反例与错误'!$E$6:$E$155,A18,'08_反例与错误'!$H$6:$H$155,"强")+COUNTIFS('08_反例与错误'!$E$6:$E$155,A18,'08_反例与错误'!$H$6:$H$155,"安全")</x:f>
        <x:v>0</x:v>
      </x:c>
      <x:c r="O18" s="70" t="n">
        <x:f>COUNTIFS('06_规则命中'!$D$6:$D$405,A18,'06_规则命中'!$I$6:$I$405,"反例",'06_规则命中'!$L$6:$L$405,"是",'06_规则命中'!$N$6:$N$405,"是")</x:f>
        <x:v>0</x:v>
      </x:c>
      <x:c r="P18" s="108" t="str">
        <x:f>IFERROR(SUMIFS('06_规则命中'!$J$6:$J$405,'06_规则命中'!$D$6:$D$405,A18,'06_规则命中'!$C$6:$C$405,"开发集",'06_规则命中'!$N$6:$N$405,"是")/COUNTIFS('06_规则命中'!$D$6:$D$405,A18,'06_规则命中'!$C$6:$C$405,"开发集",'06_规则命中'!$I$6:$I$405,"&lt;&gt;不可评估",'06_规则命中'!$N$6:$N$405,"是"),"")</x:f>
      </x:c>
      <x:c r="Q18" s="108" t="str">
        <x:f>IFERROR(SUMIFS('06_规则命中'!$J$6:$J$405,'06_规则命中'!$D$6:$D$405,A18,'06_规则命中'!$C$6:$C$405,"留出集",'06_规则命中'!$N$6:$N$405,"是")/COUNTIFS('06_规则命中'!$D$6:$D$405,A18,'06_规则命中'!$C$6:$C$405,"留出集",'06_规则命中'!$I$6:$I$405,"&lt;&gt;不可评估",'06_规则命中'!$N$6:$N$405,"是"),"")</x:f>
      </x:c>
      <x:c r="R18" s="70" t="str">
        <x:f>IF(K18=0,"P0 待验证",IF(K18&lt;3,"P1 极少样本",IF(K18&lt;6,"P2 探索",IF(K18&lt;12,"P3 初步","P4 稳定候选"))))</x:f>
        <x:v>P0 待验证</x:v>
      </x:c>
      <x:c r="S18" s="70" t="str">
        <x:f>IF(O18&gt;0,"立即安全审查",IF(K18&lt;3,"样本不足",IF(AND(K18&gt;=4,M18&gt;=0.6),"停用候选",IF(AND(K18&gt;=6,M18&gt;=0.4),"优先修改",IF(AND(K18&gt;=8,L18&gt;=0.75,M18&lt;=0.15,N18=0),"保留观察",IF(AND(P18&lt;&gt;"",Q18&lt;&gt;"",ABS(P18-Q18)&gt;0.25),"疑似过拟合","继续验证"))))))</x:f>
        <x:v>样本不足</x:v>
      </x:c>
      <x:c r="T18" s="70" t="str"/>
      <x:c r="U18" s="70" t="str">
        <x:v>待验证</x:v>
      </x:c>
      <x:c r="V18" s="70" t="str"/>
      <x:c r="W18" s="70" t="str"/>
    </x:row>
    <x:row r="19">
      <x:c r="A19" s="70" t="str">
        <x:v>M5-SYNTH-140</x:v>
      </x:c>
      <x:c r="B19" s="70" t="str">
        <x:v>SYNTH</x:v>
      </x:c>
      <x:c r="C19" s="70" t="str">
        <x:v>RG07现实门槛｜失败或未知</x:v>
      </x:c>
      <x:c r="D19" s="70" t="str">
        <x:v>待验证</x:v>
      </x:c>
      <x:c r="E19" s="70" t="n">
        <x:f>COUNTIFS('06_规则命中'!$D$6:$D$405,A19,'06_规则命中'!$I$6:$I$405,"支持",'06_规则命中'!$N$6:$N$405,"是")</x:f>
        <x:v>0</x:v>
      </x:c>
      <x:c r="F19" s="70" t="n">
        <x:f>COUNTIFS('06_规则命中'!$D$6:$D$405,A19,'06_规则命中'!$I$6:$I$405,"基本支持",'06_规则命中'!$N$6:$N$405,"是")</x:f>
        <x:v>0</x:v>
      </x:c>
      <x:c r="G19" s="70" t="n">
        <x:f>COUNTIFS('06_规则命中'!$D$6:$D$405,A19,'06_规则命中'!$I$6:$I$405,"部分支持",'06_规则命中'!$N$6:$N$405,"是")</x:f>
        <x:v>0</x:v>
      </x:c>
      <x:c r="H19" s="70" t="n">
        <x:f>COUNTIFS('06_规则命中'!$D$6:$D$405,A19,'06_规则命中'!$I$6:$I$405,"相邻但不同",'06_规则命中'!$N$6:$N$405,"是")</x:f>
        <x:v>0</x:v>
      </x:c>
      <x:c r="I19" s="70" t="n">
        <x:f>COUNTIFS('06_规则命中'!$D$6:$D$405,A19,'06_规则命中'!$I$6:$I$405,"反例",'06_规则命中'!$N$6:$N$405,"是")</x:f>
        <x:v>0</x:v>
      </x:c>
      <x:c r="J19" s="70" t="n">
        <x:f>COUNTIFS('06_规则命中'!$D$6:$D$405,A19,'06_规则命中'!$I$6:$I$405,"不可评估",'06_规则命中'!$N$6:$N$405,"是")</x:f>
        <x:v>0</x:v>
      </x:c>
      <x:c r="K19" s="70" t="n">
        <x:f>SUM(E19:I19)</x:f>
        <x:v>0</x:v>
      </x:c>
      <x:c r="L19" s="108" t="str">
        <x:f>IFERROR((E19+0.75*F19+0.5*G19+0.25*H19)/K19,"")</x:f>
      </x:c>
      <x:c r="M19" s="108" t="str">
        <x:f>IFERROR(I19/K19,"")</x:f>
      </x:c>
      <x:c r="N19" s="70" t="n">
        <x:f>COUNTIFS('08_反例与错误'!$E$6:$E$155,A19,'08_反例与错误'!$H$6:$H$155,"强")+COUNTIFS('08_反例与错误'!$E$6:$E$155,A19,'08_反例与错误'!$H$6:$H$155,"安全")</x:f>
        <x:v>0</x:v>
      </x:c>
      <x:c r="O19" s="70" t="n">
        <x:f>COUNTIFS('06_规则命中'!$D$6:$D$405,A19,'06_规则命中'!$I$6:$I$405,"反例",'06_规则命中'!$L$6:$L$405,"是",'06_规则命中'!$N$6:$N$405,"是")</x:f>
        <x:v>0</x:v>
      </x:c>
      <x:c r="P19" s="108" t="str">
        <x:f>IFERROR(SUMIFS('06_规则命中'!$J$6:$J$405,'06_规则命中'!$D$6:$D$405,A19,'06_规则命中'!$C$6:$C$405,"开发集",'06_规则命中'!$N$6:$N$405,"是")/COUNTIFS('06_规则命中'!$D$6:$D$405,A19,'06_规则命中'!$C$6:$C$405,"开发集",'06_规则命中'!$I$6:$I$405,"&lt;&gt;不可评估",'06_规则命中'!$N$6:$N$405,"是"),"")</x:f>
      </x:c>
      <x:c r="Q19" s="108" t="str">
        <x:f>IFERROR(SUMIFS('06_规则命中'!$J$6:$J$405,'06_规则命中'!$D$6:$D$405,A19,'06_规则命中'!$C$6:$C$405,"留出集",'06_规则命中'!$N$6:$N$405,"是")/COUNTIFS('06_规则命中'!$D$6:$D$405,A19,'06_规则命中'!$C$6:$C$405,"留出集",'06_规则命中'!$I$6:$I$405,"&lt;&gt;不可评估",'06_规则命中'!$N$6:$N$405,"是"),"")</x:f>
      </x:c>
      <x:c r="R19" s="70" t="str">
        <x:f>IF(K19=0,"P0 待验证",IF(K19&lt;3,"P1 极少样本",IF(K19&lt;6,"P2 探索",IF(K19&lt;12,"P3 初步","P4 稳定候选"))))</x:f>
        <x:v>P0 待验证</x:v>
      </x:c>
      <x:c r="S19" s="70" t="str">
        <x:f>IF(O19&gt;0,"立即安全审查",IF(K19&lt;3,"样本不足",IF(AND(K19&gt;=4,M19&gt;=0.6),"停用候选",IF(AND(K19&gt;=6,M19&gt;=0.4),"优先修改",IF(AND(K19&gt;=8,L19&gt;=0.75,M19&lt;=0.15,N19=0),"保留观察",IF(AND(P19&lt;&gt;"",Q19&lt;&gt;"",ABS(P19-Q19)&gt;0.25),"疑似过拟合","继续验证"))))))</x:f>
        <x:v>样本不足</x:v>
      </x:c>
      <x:c r="T19" s="70" t="str"/>
      <x:c r="U19" s="70" t="str">
        <x:v>待验证</x:v>
      </x:c>
      <x:c r="V19" s="70" t="str"/>
      <x:c r="W19" s="70" t="str"/>
    </x:row>
    <x:row r="20">
      <x:c r="A20" s="70" t="str">
        <x:v>M5-SYNTH-153</x:v>
      </x:c>
      <x:c r="B20" s="70" t="str">
        <x:v>SYNTH</x:v>
      </x:c>
      <x:c r="C20" s="70" t="str">
        <x:v>FG0｜现实安全停止</x:v>
      </x:c>
      <x:c r="D20" s="70" t="str">
        <x:v>待验证</x:v>
      </x:c>
      <x:c r="E20" s="70" t="n">
        <x:f>COUNTIFS('06_规则命中'!$D$6:$D$405,A20,'06_规则命中'!$I$6:$I$405,"支持",'06_规则命中'!$N$6:$N$405,"是")</x:f>
        <x:v>0</x:v>
      </x:c>
      <x:c r="F20" s="70" t="n">
        <x:f>COUNTIFS('06_规则命中'!$D$6:$D$405,A20,'06_规则命中'!$I$6:$I$405,"基本支持",'06_规则命中'!$N$6:$N$405,"是")</x:f>
        <x:v>0</x:v>
      </x:c>
      <x:c r="G20" s="70" t="n">
        <x:f>COUNTIFS('06_规则命中'!$D$6:$D$405,A20,'06_规则命中'!$I$6:$I$405,"部分支持",'06_规则命中'!$N$6:$N$405,"是")</x:f>
        <x:v>0</x:v>
      </x:c>
      <x:c r="H20" s="70" t="n">
        <x:f>COUNTIFS('06_规则命中'!$D$6:$D$405,A20,'06_规则命中'!$I$6:$I$405,"相邻但不同",'06_规则命中'!$N$6:$N$405,"是")</x:f>
        <x:v>0</x:v>
      </x:c>
      <x:c r="I20" s="70" t="n">
        <x:f>COUNTIFS('06_规则命中'!$D$6:$D$405,A20,'06_规则命中'!$I$6:$I$405,"反例",'06_规则命中'!$N$6:$N$405,"是")</x:f>
        <x:v>0</x:v>
      </x:c>
      <x:c r="J20" s="70" t="n">
        <x:f>COUNTIFS('06_规则命中'!$D$6:$D$405,A20,'06_规则命中'!$I$6:$I$405,"不可评估",'06_规则命中'!$N$6:$N$405,"是")</x:f>
        <x:v>0</x:v>
      </x:c>
      <x:c r="K20" s="70" t="n">
        <x:f>SUM(E20:I20)</x:f>
        <x:v>0</x:v>
      </x:c>
      <x:c r="L20" s="108" t="str">
        <x:f>IFERROR((E20+0.75*F20+0.5*G20+0.25*H20)/K20,"")</x:f>
      </x:c>
      <x:c r="M20" s="108" t="str">
        <x:f>IFERROR(I20/K20,"")</x:f>
      </x:c>
      <x:c r="N20" s="70" t="n">
        <x:f>COUNTIFS('08_反例与错误'!$E$6:$E$155,A20,'08_反例与错误'!$H$6:$H$155,"强")+COUNTIFS('08_反例与错误'!$E$6:$E$155,A20,'08_反例与错误'!$H$6:$H$155,"安全")</x:f>
        <x:v>0</x:v>
      </x:c>
      <x:c r="O20" s="70" t="n">
        <x:f>COUNTIFS('06_规则命中'!$D$6:$D$405,A20,'06_规则命中'!$I$6:$I$405,"反例",'06_规则命中'!$L$6:$L$405,"是",'06_规则命中'!$N$6:$N$405,"是")</x:f>
        <x:v>0</x:v>
      </x:c>
      <x:c r="P20" s="108" t="str">
        <x:f>IFERROR(SUMIFS('06_规则命中'!$J$6:$J$405,'06_规则命中'!$D$6:$D$405,A20,'06_规则命中'!$C$6:$C$405,"开发集",'06_规则命中'!$N$6:$N$405,"是")/COUNTIFS('06_规则命中'!$D$6:$D$405,A20,'06_规则命中'!$C$6:$C$405,"开发集",'06_规则命中'!$I$6:$I$405,"&lt;&gt;不可评估",'06_规则命中'!$N$6:$N$405,"是"),"")</x:f>
      </x:c>
      <x:c r="Q20" s="108" t="str">
        <x:f>IFERROR(SUMIFS('06_规则命中'!$J$6:$J$405,'06_规则命中'!$D$6:$D$405,A20,'06_规则命中'!$C$6:$C$405,"留出集",'06_规则命中'!$N$6:$N$405,"是")/COUNTIFS('06_规则命中'!$D$6:$D$405,A20,'06_规则命中'!$C$6:$C$405,"留出集",'06_规则命中'!$I$6:$I$405,"&lt;&gt;不可评估",'06_规则命中'!$N$6:$N$405,"是"),"")</x:f>
      </x:c>
      <x:c r="R20" s="70" t="str">
        <x:f>IF(K20=0,"P0 待验证",IF(K20&lt;3,"P1 极少样本",IF(K20&lt;6,"P2 探索",IF(K20&lt;12,"P3 初步","P4 稳定候选"))))</x:f>
        <x:v>P0 待验证</x:v>
      </x:c>
      <x:c r="S20" s="70" t="str">
        <x:f>IF(O20&gt;0,"立即安全审查",IF(K20&lt;3,"样本不足",IF(AND(K20&gt;=4,M20&gt;=0.6),"停用候选",IF(AND(K20&gt;=6,M20&gt;=0.4),"优先修改",IF(AND(K20&gt;=8,L20&gt;=0.75,M20&lt;=0.15,N20=0),"保留观察",IF(AND(P20&lt;&gt;"",Q20&lt;&gt;"",ABS(P20-Q20)&gt;0.25),"疑似过拟合","继续验证"))))))</x:f>
        <x:v>样本不足</x:v>
      </x:c>
      <x:c r="T20" s="70" t="str"/>
      <x:c r="U20" s="70" t="str">
        <x:v>待验证</x:v>
      </x:c>
      <x:c r="V20" s="70" t="str"/>
      <x:c r="W20" s="70" t="str"/>
    </x:row>
    <x:row r="21">
      <x:c r="A21" s="70" t="str">
        <x:v>M5-SYNTH-154</x:v>
      </x:c>
      <x:c r="B21" s="70" t="str">
        <x:v>SYNTH</x:v>
      </x:c>
      <x:c r="C21" s="70" t="str">
        <x:v>FG0｜共享基础状态停止</x:v>
      </x:c>
      <x:c r="D21" s="70" t="str">
        <x:v>待验证</x:v>
      </x:c>
      <x:c r="E21" s="70" t="n">
        <x:f>COUNTIFS('06_规则命中'!$D$6:$D$405,A21,'06_规则命中'!$I$6:$I$405,"支持",'06_规则命中'!$N$6:$N$405,"是")</x:f>
        <x:v>0</x:v>
      </x:c>
      <x:c r="F21" s="70" t="n">
        <x:f>COUNTIFS('06_规则命中'!$D$6:$D$405,A21,'06_规则命中'!$I$6:$I$405,"基本支持",'06_规则命中'!$N$6:$N$405,"是")</x:f>
        <x:v>0</x:v>
      </x:c>
      <x:c r="G21" s="70" t="n">
        <x:f>COUNTIFS('06_规则命中'!$D$6:$D$405,A21,'06_规则命中'!$I$6:$I$405,"部分支持",'06_规则命中'!$N$6:$N$405,"是")</x:f>
        <x:v>0</x:v>
      </x:c>
      <x:c r="H21" s="70" t="n">
        <x:f>COUNTIFS('06_规则命中'!$D$6:$D$405,A21,'06_规则命中'!$I$6:$I$405,"相邻但不同",'06_规则命中'!$N$6:$N$405,"是")</x:f>
        <x:v>0</x:v>
      </x:c>
      <x:c r="I21" s="70" t="n">
        <x:f>COUNTIFS('06_规则命中'!$D$6:$D$405,A21,'06_规则命中'!$I$6:$I$405,"反例",'06_规则命中'!$N$6:$N$405,"是")</x:f>
        <x:v>0</x:v>
      </x:c>
      <x:c r="J21" s="70" t="n">
        <x:f>COUNTIFS('06_规则命中'!$D$6:$D$405,A21,'06_规则命中'!$I$6:$I$405,"不可评估",'06_规则命中'!$N$6:$N$405,"是")</x:f>
        <x:v>0</x:v>
      </x:c>
      <x:c r="K21" s="70" t="n">
        <x:f>SUM(E21:I21)</x:f>
        <x:v>0</x:v>
      </x:c>
      <x:c r="L21" s="108" t="str">
        <x:f>IFERROR((E21+0.75*F21+0.5*G21+0.25*H21)/K21,"")</x:f>
      </x:c>
      <x:c r="M21" s="108" t="str">
        <x:f>IFERROR(I21/K21,"")</x:f>
      </x:c>
      <x:c r="N21" s="70" t="n">
        <x:f>COUNTIFS('08_反例与错误'!$E$6:$E$155,A21,'08_反例与错误'!$H$6:$H$155,"强")+COUNTIFS('08_反例与错误'!$E$6:$E$155,A21,'08_反例与错误'!$H$6:$H$155,"安全")</x:f>
        <x:v>0</x:v>
      </x:c>
      <x:c r="O21" s="70" t="n">
        <x:f>COUNTIFS('06_规则命中'!$D$6:$D$405,A21,'06_规则命中'!$I$6:$I$405,"反例",'06_规则命中'!$L$6:$L$405,"是",'06_规则命中'!$N$6:$N$405,"是")</x:f>
        <x:v>0</x:v>
      </x:c>
      <x:c r="P21" s="108" t="str">
        <x:f>IFERROR(SUMIFS('06_规则命中'!$J$6:$J$405,'06_规则命中'!$D$6:$D$405,A21,'06_规则命中'!$C$6:$C$405,"开发集",'06_规则命中'!$N$6:$N$405,"是")/COUNTIFS('06_规则命中'!$D$6:$D$405,A21,'06_规则命中'!$C$6:$C$405,"开发集",'06_规则命中'!$I$6:$I$405,"&lt;&gt;不可评估",'06_规则命中'!$N$6:$N$405,"是"),"")</x:f>
      </x:c>
      <x:c r="Q21" s="108" t="str">
        <x:f>IFERROR(SUMIFS('06_规则命中'!$J$6:$J$405,'06_规则命中'!$D$6:$D$405,A21,'06_规则命中'!$C$6:$C$405,"留出集",'06_规则命中'!$N$6:$N$405,"是")/COUNTIFS('06_规则命中'!$D$6:$D$405,A21,'06_规则命中'!$C$6:$C$405,"留出集",'06_规则命中'!$I$6:$I$405,"&lt;&gt;不可评估",'06_规则命中'!$N$6:$N$405,"是"),"")</x:f>
      </x:c>
      <x:c r="R21" s="70" t="str">
        <x:f>IF(K21=0,"P0 待验证",IF(K21&lt;3,"P1 极少样本",IF(K21&lt;6,"P2 探索",IF(K21&lt;12,"P3 初步","P4 稳定候选"))))</x:f>
        <x:v>P0 待验证</x:v>
      </x:c>
      <x:c r="S21" s="70" t="str">
        <x:f>IF(O21&gt;0,"立即安全审查",IF(K21&lt;3,"样本不足",IF(AND(K21&gt;=4,M21&gt;=0.6),"停用候选",IF(AND(K21&gt;=6,M21&gt;=0.4),"优先修改",IF(AND(K21&gt;=8,L21&gt;=0.75,M21&lt;=0.15,N21=0),"保留观察",IF(AND(P21&lt;&gt;"",Q21&lt;&gt;"",ABS(P21-Q21)&gt;0.25),"疑似过拟合","继续验证"))))))</x:f>
        <x:v>样本不足</x:v>
      </x:c>
      <x:c r="T21" s="70" t="str"/>
      <x:c r="U21" s="70" t="str">
        <x:v>待验证</x:v>
      </x:c>
      <x:c r="V21" s="70" t="str"/>
      <x:c r="W21" s="70" t="str"/>
    </x:row>
    <x:row r="22">
      <x:c r="A22" s="70" t="str">
        <x:v>M5-SYNTH-155</x:v>
      </x:c>
      <x:c r="B22" s="70" t="str">
        <x:v>SYNTH</x:v>
      </x:c>
      <x:c r="C22" s="70" t="str">
        <x:v>FG0｜关键资料无法还原</x:v>
      </x:c>
      <x:c r="D22" s="70" t="str">
        <x:v>待验证</x:v>
      </x:c>
      <x:c r="E22" s="70" t="n">
        <x:f>COUNTIFS('06_规则命中'!$D$6:$D$405,A22,'06_规则命中'!$I$6:$I$405,"支持",'06_规则命中'!$N$6:$N$405,"是")</x:f>
        <x:v>0</x:v>
      </x:c>
      <x:c r="F22" s="70" t="n">
        <x:f>COUNTIFS('06_规则命中'!$D$6:$D$405,A22,'06_规则命中'!$I$6:$I$405,"基本支持",'06_规则命中'!$N$6:$N$405,"是")</x:f>
        <x:v>0</x:v>
      </x:c>
      <x:c r="G22" s="70" t="n">
        <x:f>COUNTIFS('06_规则命中'!$D$6:$D$405,A22,'06_规则命中'!$I$6:$I$405,"部分支持",'06_规则命中'!$N$6:$N$405,"是")</x:f>
        <x:v>0</x:v>
      </x:c>
      <x:c r="H22" s="70" t="n">
        <x:f>COUNTIFS('06_规则命中'!$D$6:$D$405,A22,'06_规则命中'!$I$6:$I$405,"相邻但不同",'06_规则命中'!$N$6:$N$405,"是")</x:f>
        <x:v>0</x:v>
      </x:c>
      <x:c r="I22" s="70" t="n">
        <x:f>COUNTIFS('06_规则命中'!$D$6:$D$405,A22,'06_规则命中'!$I$6:$I$405,"反例",'06_规则命中'!$N$6:$N$405,"是")</x:f>
        <x:v>0</x:v>
      </x:c>
      <x:c r="J22" s="70" t="n">
        <x:f>COUNTIFS('06_规则命中'!$D$6:$D$405,A22,'06_规则命中'!$I$6:$I$405,"不可评估",'06_规则命中'!$N$6:$N$405,"是")</x:f>
        <x:v>0</x:v>
      </x:c>
      <x:c r="K22" s="70" t="n">
        <x:f>SUM(E22:I22)</x:f>
        <x:v>0</x:v>
      </x:c>
      <x:c r="L22" s="108" t="str">
        <x:f>IFERROR((E22+0.75*F22+0.5*G22+0.25*H22)/K22,"")</x:f>
      </x:c>
      <x:c r="M22" s="108" t="str">
        <x:f>IFERROR(I22/K22,"")</x:f>
      </x:c>
      <x:c r="N22" s="70" t="n">
        <x:f>COUNTIFS('08_反例与错误'!$E$6:$E$155,A22,'08_反例与错误'!$H$6:$H$155,"强")+COUNTIFS('08_反例与错误'!$E$6:$E$155,A22,'08_反例与错误'!$H$6:$H$155,"安全")</x:f>
        <x:v>0</x:v>
      </x:c>
      <x:c r="O22" s="70" t="n">
        <x:f>COUNTIFS('06_规则命中'!$D$6:$D$405,A22,'06_规则命中'!$I$6:$I$405,"反例",'06_规则命中'!$L$6:$L$405,"是",'06_规则命中'!$N$6:$N$405,"是")</x:f>
        <x:v>0</x:v>
      </x:c>
      <x:c r="P22" s="108" t="str">
        <x:f>IFERROR(SUMIFS('06_规则命中'!$J$6:$J$405,'06_规则命中'!$D$6:$D$405,A22,'06_规则命中'!$C$6:$C$405,"开发集",'06_规则命中'!$N$6:$N$405,"是")/COUNTIFS('06_规则命中'!$D$6:$D$405,A22,'06_规则命中'!$C$6:$C$405,"开发集",'06_规则命中'!$I$6:$I$405,"&lt;&gt;不可评估",'06_规则命中'!$N$6:$N$405,"是"),"")</x:f>
      </x:c>
      <x:c r="Q22" s="108" t="str">
        <x:f>IFERROR(SUMIFS('06_规则命中'!$J$6:$J$405,'06_规则命中'!$D$6:$D$405,A22,'06_规则命中'!$C$6:$C$405,"留出集",'06_规则命中'!$N$6:$N$405,"是")/COUNTIFS('06_规则命中'!$D$6:$D$405,A22,'06_规则命中'!$C$6:$C$405,"留出集",'06_规则命中'!$I$6:$I$405,"&lt;&gt;不可评估",'06_规则命中'!$N$6:$N$405,"是"),"")</x:f>
      </x:c>
      <x:c r="R22" s="70" t="str">
        <x:f>IF(K22=0,"P0 待验证",IF(K22&lt;3,"P1 极少样本",IF(K22&lt;6,"P2 探索",IF(K22&lt;12,"P3 初步","P4 稳定候选"))))</x:f>
        <x:v>P0 待验证</x:v>
      </x:c>
      <x:c r="S22" s="70" t="str">
        <x:f>IF(O22&gt;0,"立即安全审查",IF(K22&lt;3,"样本不足",IF(AND(K22&gt;=4,M22&gt;=0.6),"停用候选",IF(AND(K22&gt;=6,M22&gt;=0.4),"优先修改",IF(AND(K22&gt;=8,L22&gt;=0.75,M22&lt;=0.15,N22=0),"保留观察",IF(AND(P22&lt;&gt;"",Q22&lt;&gt;"",ABS(P22-Q22)&gt;0.25),"疑似过拟合","继续验证"))))))</x:f>
        <x:v>样本不足</x:v>
      </x:c>
      <x:c r="T22" s="70" t="str"/>
      <x:c r="U22" s="70" t="str">
        <x:v>待验证</x:v>
      </x:c>
      <x:c r="V22" s="70" t="str"/>
      <x:c r="W22" s="70" t="str"/>
    </x:row>
    <x:row r="23">
      <x:c r="A23" s="70" t="str">
        <x:v>M5-SYNTH-156</x:v>
      </x:c>
      <x:c r="B23" s="70" t="str">
        <x:v>SYNTH</x:v>
      </x:c>
      <x:c r="C23" s="70" t="str">
        <x:v>FG0｜只有抽象标签无可观察行为</x:v>
      </x:c>
      <x:c r="D23" s="70" t="str">
        <x:v>待验证</x:v>
      </x:c>
      <x:c r="E23" s="70" t="n">
        <x:f>COUNTIFS('06_规则命中'!$D$6:$D$405,A23,'06_规则命中'!$I$6:$I$405,"支持",'06_规则命中'!$N$6:$N$405,"是")</x:f>
        <x:v>0</x:v>
      </x:c>
      <x:c r="F23" s="70" t="n">
        <x:f>COUNTIFS('06_规则命中'!$D$6:$D$405,A23,'06_规则命中'!$I$6:$I$405,"基本支持",'06_规则命中'!$N$6:$N$405,"是")</x:f>
        <x:v>0</x:v>
      </x:c>
      <x:c r="G23" s="70" t="n">
        <x:f>COUNTIFS('06_规则命中'!$D$6:$D$405,A23,'06_规则命中'!$I$6:$I$405,"部分支持",'06_规则命中'!$N$6:$N$405,"是")</x:f>
        <x:v>0</x:v>
      </x:c>
      <x:c r="H23" s="70" t="n">
        <x:f>COUNTIFS('06_规则命中'!$D$6:$D$405,A23,'06_规则命中'!$I$6:$I$405,"相邻但不同",'06_规则命中'!$N$6:$N$405,"是")</x:f>
        <x:v>0</x:v>
      </x:c>
      <x:c r="I23" s="70" t="n">
        <x:f>COUNTIFS('06_规则命中'!$D$6:$D$405,A23,'06_规则命中'!$I$6:$I$405,"反例",'06_规则命中'!$N$6:$N$405,"是")</x:f>
        <x:v>0</x:v>
      </x:c>
      <x:c r="J23" s="70" t="n">
        <x:f>COUNTIFS('06_规则命中'!$D$6:$D$405,A23,'06_规则命中'!$I$6:$I$405,"不可评估",'06_规则命中'!$N$6:$N$405,"是")</x:f>
        <x:v>0</x:v>
      </x:c>
      <x:c r="K23" s="70" t="n">
        <x:f>SUM(E23:I23)</x:f>
        <x:v>0</x:v>
      </x:c>
      <x:c r="L23" s="108" t="str">
        <x:f>IFERROR((E23+0.75*F23+0.5*G23+0.25*H23)/K23,"")</x:f>
      </x:c>
      <x:c r="M23" s="108" t="str">
        <x:f>IFERROR(I23/K23,"")</x:f>
      </x:c>
      <x:c r="N23" s="70" t="n">
        <x:f>COUNTIFS('08_反例与错误'!$E$6:$E$155,A23,'08_反例与错误'!$H$6:$H$155,"强")+COUNTIFS('08_反例与错误'!$E$6:$E$155,A23,'08_反例与错误'!$H$6:$H$155,"安全")</x:f>
        <x:v>0</x:v>
      </x:c>
      <x:c r="O23" s="70" t="n">
        <x:f>COUNTIFS('06_规则命中'!$D$6:$D$405,A23,'06_规则命中'!$I$6:$I$405,"反例",'06_规则命中'!$L$6:$L$405,"是",'06_规则命中'!$N$6:$N$405,"是")</x:f>
        <x:v>0</x:v>
      </x:c>
      <x:c r="P23" s="108" t="str">
        <x:f>IFERROR(SUMIFS('06_规则命中'!$J$6:$J$405,'06_规则命中'!$D$6:$D$405,A23,'06_规则命中'!$C$6:$C$405,"开发集",'06_规则命中'!$N$6:$N$405,"是")/COUNTIFS('06_规则命中'!$D$6:$D$405,A23,'06_规则命中'!$C$6:$C$405,"开发集",'06_规则命中'!$I$6:$I$405,"&lt;&gt;不可评估",'06_规则命中'!$N$6:$N$405,"是"),"")</x:f>
      </x:c>
      <x:c r="Q23" s="108" t="str">
        <x:f>IFERROR(SUMIFS('06_规则命中'!$J$6:$J$405,'06_规则命中'!$D$6:$D$405,A23,'06_规则命中'!$C$6:$C$405,"留出集",'06_规则命中'!$N$6:$N$405,"是")/COUNTIFS('06_规则命中'!$D$6:$D$405,A23,'06_规则命中'!$C$6:$C$405,"留出集",'06_规则命中'!$I$6:$I$405,"&lt;&gt;不可评估",'06_规则命中'!$N$6:$N$405,"是"),"")</x:f>
      </x:c>
      <x:c r="R23" s="70" t="str">
        <x:f>IF(K23=0,"P0 待验证",IF(K23&lt;3,"P1 极少样本",IF(K23&lt;6,"P2 探索",IF(K23&lt;12,"P3 初步","P4 稳定候选"))))</x:f>
        <x:v>P0 待验证</x:v>
      </x:c>
      <x:c r="S23" s="70" t="str">
        <x:f>IF(O23&gt;0,"立即安全审查",IF(K23&lt;3,"样本不足",IF(AND(K23&gt;=4,M23&gt;=0.6),"停用候选",IF(AND(K23&gt;=6,M23&gt;=0.4),"优先修改",IF(AND(K23&gt;=8,L23&gt;=0.75,M23&lt;=0.15,N23=0),"保留观察",IF(AND(P23&lt;&gt;"",Q23&lt;&gt;"",ABS(P23-Q23)&gt;0.25),"疑似过拟合","继续验证"))))))</x:f>
        <x:v>样本不足</x:v>
      </x:c>
      <x:c r="T23" s="70" t="str"/>
      <x:c r="U23" s="70" t="str">
        <x:v>待验证</x:v>
      </x:c>
      <x:c r="V23" s="70" t="str"/>
      <x:c r="W23" s="70" t="str"/>
    </x:row>
    <x:row r="24">
      <x:c r="A24" s="70" t="str">
        <x:v>M5-SYNTH-157</x:v>
      </x:c>
      <x:c r="B24" s="70" t="str">
        <x:v>SYNTH</x:v>
      </x:c>
      <x:c r="C24" s="70" t="str">
        <x:v>FG0｜安全责任被平均或淡化</x:v>
      </x:c>
      <x:c r="D24" s="70" t="str">
        <x:v>待验证</x:v>
      </x:c>
      <x:c r="E24" s="70" t="n">
        <x:f>COUNTIFS('06_规则命中'!$D$6:$D$405,A24,'06_规则命中'!$I$6:$I$405,"支持",'06_规则命中'!$N$6:$N$405,"是")</x:f>
        <x:v>0</x:v>
      </x:c>
      <x:c r="F24" s="70" t="n">
        <x:f>COUNTIFS('06_规则命中'!$D$6:$D$405,A24,'06_规则命中'!$I$6:$I$405,"基本支持",'06_规则命中'!$N$6:$N$405,"是")</x:f>
        <x:v>0</x:v>
      </x:c>
      <x:c r="G24" s="70" t="n">
        <x:f>COUNTIFS('06_规则命中'!$D$6:$D$405,A24,'06_规则命中'!$I$6:$I$405,"部分支持",'06_规则命中'!$N$6:$N$405,"是")</x:f>
        <x:v>0</x:v>
      </x:c>
      <x:c r="H24" s="70" t="n">
        <x:f>COUNTIFS('06_规则命中'!$D$6:$D$405,A24,'06_规则命中'!$I$6:$I$405,"相邻但不同",'06_规则命中'!$N$6:$N$405,"是")</x:f>
        <x:v>0</x:v>
      </x:c>
      <x:c r="I24" s="70" t="n">
        <x:f>COUNTIFS('06_规则命中'!$D$6:$D$405,A24,'06_规则命中'!$I$6:$I$405,"反例",'06_规则命中'!$N$6:$N$405,"是")</x:f>
        <x:v>0</x:v>
      </x:c>
      <x:c r="J24" s="70" t="n">
        <x:f>COUNTIFS('06_规则命中'!$D$6:$D$405,A24,'06_规则命中'!$I$6:$I$405,"不可评估",'06_规则命中'!$N$6:$N$405,"是")</x:f>
        <x:v>0</x:v>
      </x:c>
      <x:c r="K24" s="70" t="n">
        <x:f>SUM(E24:I24)</x:f>
        <x:v>0</x:v>
      </x:c>
      <x:c r="L24" s="108" t="str">
        <x:f>IFERROR((E24+0.75*F24+0.5*G24+0.25*H24)/K24,"")</x:f>
      </x:c>
      <x:c r="M24" s="108" t="str">
        <x:f>IFERROR(I24/K24,"")</x:f>
      </x:c>
      <x:c r="N24" s="70" t="n">
        <x:f>COUNTIFS('08_反例与错误'!$E$6:$E$155,A24,'08_反例与错误'!$H$6:$H$155,"强")+COUNTIFS('08_反例与错误'!$E$6:$E$155,A24,'08_反例与错误'!$H$6:$H$155,"安全")</x:f>
        <x:v>0</x:v>
      </x:c>
      <x:c r="O24" s="70" t="n">
        <x:f>COUNTIFS('06_规则命中'!$D$6:$D$405,A24,'06_规则命中'!$I$6:$I$405,"反例",'06_规则命中'!$L$6:$L$405,"是",'06_规则命中'!$N$6:$N$405,"是")</x:f>
        <x:v>0</x:v>
      </x:c>
      <x:c r="P24" s="108" t="str">
        <x:f>IFERROR(SUMIFS('06_规则命中'!$J$6:$J$405,'06_规则命中'!$D$6:$D$405,A24,'06_规则命中'!$C$6:$C$405,"开发集",'06_规则命中'!$N$6:$N$405,"是")/COUNTIFS('06_规则命中'!$D$6:$D$405,A24,'06_规则命中'!$C$6:$C$405,"开发集",'06_规则命中'!$I$6:$I$405,"&lt;&gt;不可评估",'06_规则命中'!$N$6:$N$405,"是"),"")</x:f>
      </x:c>
      <x:c r="Q24" s="108" t="str">
        <x:f>IFERROR(SUMIFS('06_规则命中'!$J$6:$J$405,'06_规则命中'!$D$6:$D$405,A24,'06_规则命中'!$C$6:$C$405,"留出集",'06_规则命中'!$N$6:$N$405,"是")/COUNTIFS('06_规则命中'!$D$6:$D$405,A24,'06_规则命中'!$C$6:$C$405,"留出集",'06_规则命中'!$I$6:$I$405,"&lt;&gt;不可评估",'06_规则命中'!$N$6:$N$405,"是"),"")</x:f>
      </x:c>
      <x:c r="R24" s="70" t="str">
        <x:f>IF(K24=0,"P0 待验证",IF(K24&lt;3,"P1 极少样本",IF(K24&lt;6,"P2 探索",IF(K24&lt;12,"P3 初步","P4 稳定候选"))))</x:f>
        <x:v>P0 待验证</x:v>
      </x:c>
      <x:c r="S24" s="70" t="str">
        <x:f>IF(O24&gt;0,"立即安全审查",IF(K24&lt;3,"样本不足",IF(AND(K24&gt;=4,M24&gt;=0.6),"停用候选",IF(AND(K24&gt;=6,M24&gt;=0.4),"优先修改",IF(AND(K24&gt;=8,L24&gt;=0.75,M24&lt;=0.15,N24=0),"保留观察",IF(AND(P24&lt;&gt;"",Q24&lt;&gt;"",ABS(P24-Q24)&gt;0.25),"疑似过拟合","继续验证"))))))</x:f>
        <x:v>样本不足</x:v>
      </x:c>
      <x:c r="T24" s="70" t="str"/>
      <x:c r="U24" s="70" t="str">
        <x:v>待验证</x:v>
      </x:c>
      <x:c r="V24" s="70" t="str"/>
      <x:c r="W24" s="70" t="str"/>
    </x:row>
    <x:row r="25">
      <x:c r="A25" s="70" t="str">
        <x:v>M5-SYNTH-158</x:v>
      </x:c>
      <x:c r="B25" s="70" t="str">
        <x:v>SYNTH</x:v>
      </x:c>
      <x:c r="C25" s="70" t="str">
        <x:v>FG0｜停止版仍可输出现实支持</x:v>
      </x:c>
      <x:c r="D25" s="70" t="str">
        <x:v>待验证</x:v>
      </x:c>
      <x:c r="E25" s="70" t="n">
        <x:f>COUNTIFS('06_规则命中'!$D$6:$D$405,A25,'06_规则命中'!$I$6:$I$405,"支持",'06_规则命中'!$N$6:$N$405,"是")</x:f>
        <x:v>0</x:v>
      </x:c>
      <x:c r="F25" s="70" t="n">
        <x:f>COUNTIFS('06_规则命中'!$D$6:$D$405,A25,'06_规则命中'!$I$6:$I$405,"基本支持",'06_规则命中'!$N$6:$N$405,"是")</x:f>
        <x:v>0</x:v>
      </x:c>
      <x:c r="G25" s="70" t="n">
        <x:f>COUNTIFS('06_规则命中'!$D$6:$D$405,A25,'06_规则命中'!$I$6:$I$405,"部分支持",'06_规则命中'!$N$6:$N$405,"是")</x:f>
        <x:v>0</x:v>
      </x:c>
      <x:c r="H25" s="70" t="n">
        <x:f>COUNTIFS('06_规则命中'!$D$6:$D$405,A25,'06_规则命中'!$I$6:$I$405,"相邻但不同",'06_规则命中'!$N$6:$N$405,"是")</x:f>
        <x:v>0</x:v>
      </x:c>
      <x:c r="I25" s="70" t="n">
        <x:f>COUNTIFS('06_规则命中'!$D$6:$D$405,A25,'06_规则命中'!$I$6:$I$405,"反例",'06_规则命中'!$N$6:$N$405,"是")</x:f>
        <x:v>0</x:v>
      </x:c>
      <x:c r="J25" s="70" t="n">
        <x:f>COUNTIFS('06_规则命中'!$D$6:$D$405,A25,'06_规则命中'!$I$6:$I$405,"不可评估",'06_规则命中'!$N$6:$N$405,"是")</x:f>
        <x:v>0</x:v>
      </x:c>
      <x:c r="K25" s="70" t="n">
        <x:f>SUM(E25:I25)</x:f>
        <x:v>0</x:v>
      </x:c>
      <x:c r="L25" s="108" t="str">
        <x:f>IFERROR((E25+0.75*F25+0.5*G25+0.25*H25)/K25,"")</x:f>
      </x:c>
      <x:c r="M25" s="108" t="str">
        <x:f>IFERROR(I25/K25,"")</x:f>
      </x:c>
      <x:c r="N25" s="70" t="n">
        <x:f>COUNTIFS('08_反例与错误'!$E$6:$E$155,A25,'08_反例与错误'!$H$6:$H$155,"强")+COUNTIFS('08_反例与错误'!$E$6:$E$155,A25,'08_反例与错误'!$H$6:$H$155,"安全")</x:f>
        <x:v>0</x:v>
      </x:c>
      <x:c r="O25" s="70" t="n">
        <x:f>COUNTIFS('06_规则命中'!$D$6:$D$405,A25,'06_规则命中'!$I$6:$I$405,"反例",'06_规则命中'!$L$6:$L$405,"是",'06_规则命中'!$N$6:$N$405,"是")</x:f>
        <x:v>0</x:v>
      </x:c>
      <x:c r="P25" s="108" t="str">
        <x:f>IFERROR(SUMIFS('06_规则命中'!$J$6:$J$405,'06_规则命中'!$D$6:$D$405,A25,'06_规则命中'!$C$6:$C$405,"开发集",'06_规则命中'!$N$6:$N$405,"是")/COUNTIFS('06_规则命中'!$D$6:$D$405,A25,'06_规则命中'!$C$6:$C$405,"开发集",'06_规则命中'!$I$6:$I$405,"&lt;&gt;不可评估",'06_规则命中'!$N$6:$N$405,"是"),"")</x:f>
      </x:c>
      <x:c r="Q25" s="108" t="str">
        <x:f>IFERROR(SUMIFS('06_规则命中'!$J$6:$J$405,'06_规则命中'!$D$6:$D$405,A25,'06_规则命中'!$C$6:$C$405,"留出集",'06_规则命中'!$N$6:$N$405,"是")/COUNTIFS('06_规则命中'!$D$6:$D$405,A25,'06_规则命中'!$C$6:$C$405,"留出集",'06_规则命中'!$I$6:$I$405,"&lt;&gt;不可评估",'06_规则命中'!$N$6:$N$405,"是"),"")</x:f>
      </x:c>
      <x:c r="R25" s="70" t="str">
        <x:f>IF(K25=0,"P0 待验证",IF(K25&lt;3,"P1 极少样本",IF(K25&lt;6,"P2 探索",IF(K25&lt;12,"P3 初步","P4 稳定候选"))))</x:f>
        <x:v>P0 待验证</x:v>
      </x:c>
      <x:c r="S25" s="70" t="str">
        <x:f>IF(O25&gt;0,"立即安全审查",IF(K25&lt;3,"样本不足",IF(AND(K25&gt;=4,M25&gt;=0.6),"停用候选",IF(AND(K25&gt;=6,M25&gt;=0.4),"优先修改",IF(AND(K25&gt;=8,L25&gt;=0.75,M25&lt;=0.15,N25=0),"保留观察",IF(AND(P25&lt;&gt;"",Q25&lt;&gt;"",ABS(P25-Q25)&gt;0.25),"疑似过拟合","继续验证"))))))</x:f>
        <x:v>样本不足</x:v>
      </x:c>
      <x:c r="T25" s="70" t="str"/>
      <x:c r="U25" s="70" t="str">
        <x:v>待验证</x:v>
      </x:c>
      <x:c r="V25" s="70" t="str"/>
      <x:c r="W25" s="70" t="str"/>
    </x:row>
    <x:row r="26">
      <x:c r="A26" s="70" t="str">
        <x:v>M5-SYNTH-171</x:v>
      </x:c>
      <x:c r="B26" s="70" t="str">
        <x:v>SYNTH</x:v>
      </x:c>
      <x:c r="C26" s="70" t="str">
        <x:v>FG2｜现实强反例可回退FG1或FG0</x:v>
      </x:c>
      <x:c r="D26" s="70" t="str">
        <x:v>待验证</x:v>
      </x:c>
      <x:c r="E26" s="70" t="n">
        <x:f>COUNTIFS('06_规则命中'!$D$6:$D$405,A26,'06_规则命中'!$I$6:$I$405,"支持",'06_规则命中'!$N$6:$N$405,"是")</x:f>
        <x:v>0</x:v>
      </x:c>
      <x:c r="F26" s="70" t="n">
        <x:f>COUNTIFS('06_规则命中'!$D$6:$D$405,A26,'06_规则命中'!$I$6:$I$405,"基本支持",'06_规则命中'!$N$6:$N$405,"是")</x:f>
        <x:v>0</x:v>
      </x:c>
      <x:c r="G26" s="70" t="n">
        <x:f>COUNTIFS('06_规则命中'!$D$6:$D$405,A26,'06_规则命中'!$I$6:$I$405,"部分支持",'06_规则命中'!$N$6:$N$405,"是")</x:f>
        <x:v>0</x:v>
      </x:c>
      <x:c r="H26" s="70" t="n">
        <x:f>COUNTIFS('06_规则命中'!$D$6:$D$405,A26,'06_规则命中'!$I$6:$I$405,"相邻但不同",'06_规则命中'!$N$6:$N$405,"是")</x:f>
        <x:v>0</x:v>
      </x:c>
      <x:c r="I26" s="70" t="n">
        <x:f>COUNTIFS('06_规则命中'!$D$6:$D$405,A26,'06_规则命中'!$I$6:$I$405,"反例",'06_规则命中'!$N$6:$N$405,"是")</x:f>
        <x:v>0</x:v>
      </x:c>
      <x:c r="J26" s="70" t="n">
        <x:f>COUNTIFS('06_规则命中'!$D$6:$D$405,A26,'06_规则命中'!$I$6:$I$405,"不可评估",'06_规则命中'!$N$6:$N$405,"是")</x:f>
        <x:v>0</x:v>
      </x:c>
      <x:c r="K26" s="70" t="n">
        <x:f>SUM(E26:I26)</x:f>
        <x:v>0</x:v>
      </x:c>
      <x:c r="L26" s="108" t="str">
        <x:f>IFERROR((E26+0.75*F26+0.5*G26+0.25*H26)/K26,"")</x:f>
      </x:c>
      <x:c r="M26" s="108" t="str">
        <x:f>IFERROR(I26/K26,"")</x:f>
      </x:c>
      <x:c r="N26" s="70" t="n">
        <x:f>COUNTIFS('08_反例与错误'!$E$6:$E$155,A26,'08_反例与错误'!$H$6:$H$155,"强")+COUNTIFS('08_反例与错误'!$E$6:$E$155,A26,'08_反例与错误'!$H$6:$H$155,"安全")</x:f>
        <x:v>0</x:v>
      </x:c>
      <x:c r="O26" s="70" t="n">
        <x:f>COUNTIFS('06_规则命中'!$D$6:$D$405,A26,'06_规则命中'!$I$6:$I$405,"反例",'06_规则命中'!$L$6:$L$405,"是",'06_规则命中'!$N$6:$N$405,"是")</x:f>
        <x:v>0</x:v>
      </x:c>
      <x:c r="P26" s="108" t="str">
        <x:f>IFERROR(SUMIFS('06_规则命中'!$J$6:$J$405,'06_规则命中'!$D$6:$D$405,A26,'06_规则命中'!$C$6:$C$405,"开发集",'06_规则命中'!$N$6:$N$405,"是")/COUNTIFS('06_规则命中'!$D$6:$D$405,A26,'06_规则命中'!$C$6:$C$405,"开发集",'06_规则命中'!$I$6:$I$405,"&lt;&gt;不可评估",'06_规则命中'!$N$6:$N$405,"是"),"")</x:f>
      </x:c>
      <x:c r="Q26" s="108" t="str">
        <x:f>IFERROR(SUMIFS('06_规则命中'!$J$6:$J$405,'06_规则命中'!$D$6:$D$405,A26,'06_规则命中'!$C$6:$C$405,"留出集",'06_规则命中'!$N$6:$N$405,"是")/COUNTIFS('06_规则命中'!$D$6:$D$405,A26,'06_规则命中'!$C$6:$C$405,"留出集",'06_规则命中'!$I$6:$I$405,"&lt;&gt;不可评估",'06_规则命中'!$N$6:$N$405,"是"),"")</x:f>
      </x:c>
      <x:c r="R26" s="70" t="str">
        <x:f>IF(K26=0,"P0 待验证",IF(K26&lt;3,"P1 极少样本",IF(K26&lt;6,"P2 探索",IF(K26&lt;12,"P3 初步","P4 稳定候选"))))</x:f>
        <x:v>P0 待验证</x:v>
      </x:c>
      <x:c r="S26" s="70" t="str">
        <x:f>IF(O26&gt;0,"立即安全审查",IF(K26&lt;3,"样本不足",IF(AND(K26&gt;=4,M26&gt;=0.6),"停用候选",IF(AND(K26&gt;=6,M26&gt;=0.4),"优先修改",IF(AND(K26&gt;=8,L26&gt;=0.75,M26&lt;=0.15,N26=0),"保留观察",IF(AND(P26&lt;&gt;"",Q26&lt;&gt;"",ABS(P26-Q26)&gt;0.25),"疑似过拟合","继续验证"))))))</x:f>
        <x:v>样本不足</x:v>
      </x:c>
      <x:c r="T26" s="70" t="str"/>
      <x:c r="U26" s="70" t="str">
        <x:v>待验证</x:v>
      </x:c>
      <x:c r="V26" s="70" t="str"/>
      <x:c r="W26" s="70" t="str"/>
    </x:row>
    <x:row r="27">
      <x:c r="A27" s="70" t="str">
        <x:v>M5-SYNTH-012</x:v>
      </x:c>
      <x:c r="B27" s="70" t="str">
        <x:v>SYNTH</x:v>
      </x:c>
      <x:c r="C27" s="70" t="str">
        <x:v>PV／XV／BV／FV／HV／GE不得互相替代</x:v>
      </x:c>
      <x:c r="D27" s="70" t="str">
        <x:v>待验证</x:v>
      </x:c>
      <x:c r="E27" s="70" t="n">
        <x:f>COUNTIFS('06_规则命中'!$D$6:$D$405,A27,'06_规则命中'!$I$6:$I$405,"支持",'06_规则命中'!$N$6:$N$405,"是")</x:f>
        <x:v>0</x:v>
      </x:c>
      <x:c r="F27" s="70" t="n">
        <x:f>COUNTIFS('06_规则命中'!$D$6:$D$405,A27,'06_规则命中'!$I$6:$I$405,"基本支持",'06_规则命中'!$N$6:$N$405,"是")</x:f>
        <x:v>0</x:v>
      </x:c>
      <x:c r="G27" s="70" t="n">
        <x:f>COUNTIFS('06_规则命中'!$D$6:$D$405,A27,'06_规则命中'!$I$6:$I$405,"部分支持",'06_规则命中'!$N$6:$N$405,"是")</x:f>
        <x:v>0</x:v>
      </x:c>
      <x:c r="H27" s="70" t="n">
        <x:f>COUNTIFS('06_规则命中'!$D$6:$D$405,A27,'06_规则命中'!$I$6:$I$405,"相邻但不同",'06_规则命中'!$N$6:$N$405,"是")</x:f>
        <x:v>0</x:v>
      </x:c>
      <x:c r="I27" s="70" t="n">
        <x:f>COUNTIFS('06_规则命中'!$D$6:$D$405,A27,'06_规则命中'!$I$6:$I$405,"反例",'06_规则命中'!$N$6:$N$405,"是")</x:f>
        <x:v>0</x:v>
      </x:c>
      <x:c r="J27" s="70" t="n">
        <x:f>COUNTIFS('06_规则命中'!$D$6:$D$405,A27,'06_规则命中'!$I$6:$I$405,"不可评估",'06_规则命中'!$N$6:$N$405,"是")</x:f>
        <x:v>0</x:v>
      </x:c>
      <x:c r="K27" s="70" t="n">
        <x:f>SUM(E27:I27)</x:f>
        <x:v>0</x:v>
      </x:c>
      <x:c r="L27" s="108" t="str">
        <x:f>IFERROR((E27+0.75*F27+0.5*G27+0.25*H27)/K27,"")</x:f>
      </x:c>
      <x:c r="M27" s="108" t="str">
        <x:f>IFERROR(I27/K27,"")</x:f>
      </x:c>
      <x:c r="N27" s="70" t="n">
        <x:f>COUNTIFS('08_反例与错误'!$E$6:$E$155,A27,'08_反例与错误'!$H$6:$H$155,"强")+COUNTIFS('08_反例与错误'!$E$6:$E$155,A27,'08_反例与错误'!$H$6:$H$155,"安全")</x:f>
        <x:v>0</x:v>
      </x:c>
      <x:c r="O27" s="70" t="n">
        <x:f>COUNTIFS('06_规则命中'!$D$6:$D$405,A27,'06_规则命中'!$I$6:$I$405,"反例",'06_规则命中'!$L$6:$L$405,"是",'06_规则命中'!$N$6:$N$405,"是")</x:f>
        <x:v>0</x:v>
      </x:c>
      <x:c r="P27" s="108" t="str">
        <x:f>IFERROR(SUMIFS('06_规则命中'!$J$6:$J$405,'06_规则命中'!$D$6:$D$405,A27,'06_规则命中'!$C$6:$C$405,"开发集",'06_规则命中'!$N$6:$N$405,"是")/COUNTIFS('06_规则命中'!$D$6:$D$405,A27,'06_规则命中'!$C$6:$C$405,"开发集",'06_规则命中'!$I$6:$I$405,"&lt;&gt;不可评估",'06_规则命中'!$N$6:$N$405,"是"),"")</x:f>
      </x:c>
      <x:c r="Q27" s="108" t="str">
        <x:f>IFERROR(SUMIFS('06_规则命中'!$J$6:$J$405,'06_规则命中'!$D$6:$D$405,A27,'06_规则命中'!$C$6:$C$405,"留出集",'06_规则命中'!$N$6:$N$405,"是")/COUNTIFS('06_规则命中'!$D$6:$D$405,A27,'06_规则命中'!$C$6:$C$405,"留出集",'06_规则命中'!$I$6:$I$405,"&lt;&gt;不可评估",'06_规则命中'!$N$6:$N$405,"是"),"")</x:f>
      </x:c>
      <x:c r="R27" s="70" t="str">
        <x:f>IF(K27=0,"P0 待验证",IF(K27&lt;3,"P1 极少样本",IF(K27&lt;6,"P2 探索",IF(K27&lt;12,"P3 初步","P4 稳定候选"))))</x:f>
        <x:v>P0 待验证</x:v>
      </x:c>
      <x:c r="S27" s="70" t="str">
        <x:f>IF(O27&gt;0,"立即安全审查",IF(K27&lt;3,"样本不足",IF(AND(K27&gt;=4,M27&gt;=0.6),"停用候选",IF(AND(K27&gt;=6,M27&gt;=0.4),"优先修改",IF(AND(K27&gt;=8,L27&gt;=0.75,M27&lt;=0.15,N27=0),"保留观察",IF(AND(P27&lt;&gt;"",Q27&lt;&gt;"",ABS(P27-Q27)&gt;0.25),"疑似过拟合","继续验证"))))))</x:f>
        <x:v>样本不足</x:v>
      </x:c>
      <x:c r="T27" s="70" t="str"/>
      <x:c r="U27" s="70" t="str">
        <x:v>待验证</x:v>
      </x:c>
      <x:c r="V27" s="70" t="str"/>
      <x:c r="W27" s="70" t="str"/>
    </x:row>
    <x:row r="28">
      <x:c r="A28" s="70" t="str">
        <x:v>M5-SYNTH-013</x:v>
      </x:c>
      <x:c r="B28" s="70" t="str">
        <x:v>SYNTH</x:v>
      </x:c>
      <x:c r="C28" s="70" t="str">
        <x:v>工程分数不得越过硬门槛</x:v>
      </x:c>
      <x:c r="D28" s="70" t="str">
        <x:v>待验证</x:v>
      </x:c>
      <x:c r="E28" s="70" t="n">
        <x:f>COUNTIFS('06_规则命中'!$D$6:$D$405,A28,'06_规则命中'!$I$6:$I$405,"支持",'06_规则命中'!$N$6:$N$405,"是")</x:f>
        <x:v>0</x:v>
      </x:c>
      <x:c r="F28" s="70" t="n">
        <x:f>COUNTIFS('06_规则命中'!$D$6:$D$405,A28,'06_规则命中'!$I$6:$I$405,"基本支持",'06_规则命中'!$N$6:$N$405,"是")</x:f>
        <x:v>0</x:v>
      </x:c>
      <x:c r="G28" s="70" t="n">
        <x:f>COUNTIFS('06_规则命中'!$D$6:$D$405,A28,'06_规则命中'!$I$6:$I$405,"部分支持",'06_规则命中'!$N$6:$N$405,"是")</x:f>
        <x:v>0</x:v>
      </x:c>
      <x:c r="H28" s="70" t="n">
        <x:f>COUNTIFS('06_规则命中'!$D$6:$D$405,A28,'06_规则命中'!$I$6:$I$405,"相邻但不同",'06_规则命中'!$N$6:$N$405,"是")</x:f>
        <x:v>0</x:v>
      </x:c>
      <x:c r="I28" s="70" t="n">
        <x:f>COUNTIFS('06_规则命中'!$D$6:$D$405,A28,'06_规则命中'!$I$6:$I$405,"反例",'06_规则命中'!$N$6:$N$405,"是")</x:f>
        <x:v>0</x:v>
      </x:c>
      <x:c r="J28" s="70" t="n">
        <x:f>COUNTIFS('06_规则命中'!$D$6:$D$405,A28,'06_规则命中'!$I$6:$I$405,"不可评估",'06_规则命中'!$N$6:$N$405,"是")</x:f>
        <x:v>0</x:v>
      </x:c>
      <x:c r="K28" s="70" t="n">
        <x:f>SUM(E28:I28)</x:f>
        <x:v>0</x:v>
      </x:c>
      <x:c r="L28" s="108" t="str">
        <x:f>IFERROR((E28+0.75*F28+0.5*G28+0.25*H28)/K28,"")</x:f>
      </x:c>
      <x:c r="M28" s="108" t="str">
        <x:f>IFERROR(I28/K28,"")</x:f>
      </x:c>
      <x:c r="N28" s="70" t="n">
        <x:f>COUNTIFS('08_反例与错误'!$E$6:$E$155,A28,'08_反例与错误'!$H$6:$H$155,"强")+COUNTIFS('08_反例与错误'!$E$6:$E$155,A28,'08_反例与错误'!$H$6:$H$155,"安全")</x:f>
        <x:v>0</x:v>
      </x:c>
      <x:c r="O28" s="70" t="n">
        <x:f>COUNTIFS('06_规则命中'!$D$6:$D$405,A28,'06_规则命中'!$I$6:$I$405,"反例",'06_规则命中'!$L$6:$L$405,"是",'06_规则命中'!$N$6:$N$405,"是")</x:f>
        <x:v>0</x:v>
      </x:c>
      <x:c r="P28" s="108" t="str">
        <x:f>IFERROR(SUMIFS('06_规则命中'!$J$6:$J$405,'06_规则命中'!$D$6:$D$405,A28,'06_规则命中'!$C$6:$C$405,"开发集",'06_规则命中'!$N$6:$N$405,"是")/COUNTIFS('06_规则命中'!$D$6:$D$405,A28,'06_规则命中'!$C$6:$C$405,"开发集",'06_规则命中'!$I$6:$I$405,"&lt;&gt;不可评估",'06_规则命中'!$N$6:$N$405,"是"),"")</x:f>
      </x:c>
      <x:c r="Q28" s="108" t="str">
        <x:f>IFERROR(SUMIFS('06_规则命中'!$J$6:$J$405,'06_规则命中'!$D$6:$D$405,A28,'06_规则命中'!$C$6:$C$405,"留出集",'06_规则命中'!$N$6:$N$405,"是")/COUNTIFS('06_规则命中'!$D$6:$D$405,A28,'06_规则命中'!$C$6:$C$405,"留出集",'06_规则命中'!$I$6:$I$405,"&lt;&gt;不可评估",'06_规则命中'!$N$6:$N$405,"是"),"")</x:f>
      </x:c>
      <x:c r="R28" s="70" t="str">
        <x:f>IF(K28=0,"P0 待验证",IF(K28&lt;3,"P1 极少样本",IF(K28&lt;6,"P2 探索",IF(K28&lt;12,"P3 初步","P4 稳定候选"))))</x:f>
        <x:v>P0 待验证</x:v>
      </x:c>
      <x:c r="S28" s="70" t="str">
        <x:f>IF(O28&gt;0,"立即安全审查",IF(K28&lt;3,"样本不足",IF(AND(K28&gt;=4,M28&gt;=0.6),"停用候选",IF(AND(K28&gt;=6,M28&gt;=0.4),"优先修改",IF(AND(K28&gt;=8,L28&gt;=0.75,M28&lt;=0.15,N28=0),"保留观察",IF(AND(P28&lt;&gt;"",Q28&lt;&gt;"",ABS(P28-Q28)&gt;0.25),"疑似过拟合","继续验证"))))))</x:f>
        <x:v>样本不足</x:v>
      </x:c>
      <x:c r="T28" s="70" t="str"/>
      <x:c r="U28" s="70" t="str">
        <x:v>待验证</x:v>
      </x:c>
      <x:c r="V28" s="70" t="str"/>
      <x:c r="W28" s="70" t="str"/>
    </x:row>
    <x:row r="29">
      <x:c r="A29" s="70" t="str">
        <x:v>M5-SYNTH-014</x:v>
      </x:c>
      <x:c r="B29" s="70" t="str">
        <x:v>SYNTH</x:v>
      </x:c>
      <x:c r="C29" s="70" t="str">
        <x:v>同一source_id只算一次基础权重</x:v>
      </x:c>
      <x:c r="D29" s="70" t="str">
        <x:v>待验证</x:v>
      </x:c>
      <x:c r="E29" s="70" t="n">
        <x:f>COUNTIFS('06_规则命中'!$D$6:$D$405,A29,'06_规则命中'!$I$6:$I$405,"支持",'06_规则命中'!$N$6:$N$405,"是")</x:f>
        <x:v>0</x:v>
      </x:c>
      <x:c r="F29" s="70" t="n">
        <x:f>COUNTIFS('06_规则命中'!$D$6:$D$405,A29,'06_规则命中'!$I$6:$I$405,"基本支持",'06_规则命中'!$N$6:$N$405,"是")</x:f>
        <x:v>0</x:v>
      </x:c>
      <x:c r="G29" s="70" t="n">
        <x:f>COUNTIFS('06_规则命中'!$D$6:$D$405,A29,'06_规则命中'!$I$6:$I$405,"部分支持",'06_规则命中'!$N$6:$N$405,"是")</x:f>
        <x:v>0</x:v>
      </x:c>
      <x:c r="H29" s="70" t="n">
        <x:f>COUNTIFS('06_规则命中'!$D$6:$D$405,A29,'06_规则命中'!$I$6:$I$405,"相邻但不同",'06_规则命中'!$N$6:$N$405,"是")</x:f>
        <x:v>0</x:v>
      </x:c>
      <x:c r="I29" s="70" t="n">
        <x:f>COUNTIFS('06_规则命中'!$D$6:$D$405,A29,'06_规则命中'!$I$6:$I$405,"反例",'06_规则命中'!$N$6:$N$405,"是")</x:f>
        <x:v>0</x:v>
      </x:c>
      <x:c r="J29" s="70" t="n">
        <x:f>COUNTIFS('06_规则命中'!$D$6:$D$405,A29,'06_规则命中'!$I$6:$I$405,"不可评估",'06_规则命中'!$N$6:$N$405,"是")</x:f>
        <x:v>0</x:v>
      </x:c>
      <x:c r="K29" s="70" t="n">
        <x:f>SUM(E29:I29)</x:f>
        <x:v>0</x:v>
      </x:c>
      <x:c r="L29" s="108" t="str">
        <x:f>IFERROR((E29+0.75*F29+0.5*G29+0.25*H29)/K29,"")</x:f>
      </x:c>
      <x:c r="M29" s="108" t="str">
        <x:f>IFERROR(I29/K29,"")</x:f>
      </x:c>
      <x:c r="N29" s="70" t="n">
        <x:f>COUNTIFS('08_反例与错误'!$E$6:$E$155,A29,'08_反例与错误'!$H$6:$H$155,"强")+COUNTIFS('08_反例与错误'!$E$6:$E$155,A29,'08_反例与错误'!$H$6:$H$155,"安全")</x:f>
        <x:v>0</x:v>
      </x:c>
      <x:c r="O29" s="70" t="n">
        <x:f>COUNTIFS('06_规则命中'!$D$6:$D$405,A29,'06_规则命中'!$I$6:$I$405,"反例",'06_规则命中'!$L$6:$L$405,"是",'06_规则命中'!$N$6:$N$405,"是")</x:f>
        <x:v>0</x:v>
      </x:c>
      <x:c r="P29" s="108" t="str">
        <x:f>IFERROR(SUMIFS('06_规则命中'!$J$6:$J$405,'06_规则命中'!$D$6:$D$405,A29,'06_规则命中'!$C$6:$C$405,"开发集",'06_规则命中'!$N$6:$N$405,"是")/COUNTIFS('06_规则命中'!$D$6:$D$405,A29,'06_规则命中'!$C$6:$C$405,"开发集",'06_规则命中'!$I$6:$I$405,"&lt;&gt;不可评估",'06_规则命中'!$N$6:$N$405,"是"),"")</x:f>
      </x:c>
      <x:c r="Q29" s="108" t="str">
        <x:f>IFERROR(SUMIFS('06_规则命中'!$J$6:$J$405,'06_规则命中'!$D$6:$D$405,A29,'06_规则命中'!$C$6:$C$405,"留出集",'06_规则命中'!$N$6:$N$405,"是")/COUNTIFS('06_规则命中'!$D$6:$D$405,A29,'06_规则命中'!$C$6:$C$405,"留出集",'06_规则命中'!$I$6:$I$405,"&lt;&gt;不可评估",'06_规则命中'!$N$6:$N$405,"是"),"")</x:f>
      </x:c>
      <x:c r="R29" s="70" t="str">
        <x:f>IF(K29=0,"P0 待验证",IF(K29&lt;3,"P1 极少样本",IF(K29&lt;6,"P2 探索",IF(K29&lt;12,"P3 初步","P4 稳定候选"))))</x:f>
        <x:v>P0 待验证</x:v>
      </x:c>
      <x:c r="S29" s="70" t="str">
        <x:f>IF(O29&gt;0,"立即安全审查",IF(K29&lt;3,"样本不足",IF(AND(K29&gt;=4,M29&gt;=0.6),"停用候选",IF(AND(K29&gt;=6,M29&gt;=0.4),"优先修改",IF(AND(K29&gt;=8,L29&gt;=0.75,M29&lt;=0.15,N29=0),"保留观察",IF(AND(P29&lt;&gt;"",Q29&lt;&gt;"",ABS(P29-Q29)&gt;0.25),"疑似过拟合","继续验证"))))))</x:f>
        <x:v>样本不足</x:v>
      </x:c>
      <x:c r="T29" s="70" t="str"/>
      <x:c r="U29" s="70" t="str">
        <x:v>待验证</x:v>
      </x:c>
      <x:c r="V29" s="70" t="str"/>
      <x:c r="W29" s="70" t="str"/>
    </x:row>
    <x:row r="30">
      <x:c r="A30" s="70" t="str">
        <x:v>M5-SYNTH-015</x:v>
      </x:c>
      <x:c r="B30" s="70" t="str">
        <x:v>SYNTH</x:v>
      </x:c>
      <x:c r="C30" s="70" t="str">
        <x:v>同一event_id只算一次现实事件</x:v>
      </x:c>
      <x:c r="D30" s="70" t="str">
        <x:v>待验证</x:v>
      </x:c>
      <x:c r="E30" s="70" t="n">
        <x:f>COUNTIFS('06_规则命中'!$D$6:$D$405,A30,'06_规则命中'!$I$6:$I$405,"支持",'06_规则命中'!$N$6:$N$405,"是")</x:f>
        <x:v>0</x:v>
      </x:c>
      <x:c r="F30" s="70" t="n">
        <x:f>COUNTIFS('06_规则命中'!$D$6:$D$405,A30,'06_规则命中'!$I$6:$I$405,"基本支持",'06_规则命中'!$N$6:$N$405,"是")</x:f>
        <x:v>0</x:v>
      </x:c>
      <x:c r="G30" s="70" t="n">
        <x:f>COUNTIFS('06_规则命中'!$D$6:$D$405,A30,'06_规则命中'!$I$6:$I$405,"部分支持",'06_规则命中'!$N$6:$N$405,"是")</x:f>
        <x:v>0</x:v>
      </x:c>
      <x:c r="H30" s="70" t="n">
        <x:f>COUNTIFS('06_规则命中'!$D$6:$D$405,A30,'06_规则命中'!$I$6:$I$405,"相邻但不同",'06_规则命中'!$N$6:$N$405,"是")</x:f>
        <x:v>0</x:v>
      </x:c>
      <x:c r="I30" s="70" t="n">
        <x:f>COUNTIFS('06_规则命中'!$D$6:$D$405,A30,'06_规则命中'!$I$6:$I$405,"反例",'06_规则命中'!$N$6:$N$405,"是")</x:f>
        <x:v>0</x:v>
      </x:c>
      <x:c r="J30" s="70" t="n">
        <x:f>COUNTIFS('06_规则命中'!$D$6:$D$405,A30,'06_规则命中'!$I$6:$I$405,"不可评估",'06_规则命中'!$N$6:$N$405,"是")</x:f>
        <x:v>0</x:v>
      </x:c>
      <x:c r="K30" s="70" t="n">
        <x:f>SUM(E30:I30)</x:f>
        <x:v>0</x:v>
      </x:c>
      <x:c r="L30" s="108" t="str">
        <x:f>IFERROR((E30+0.75*F30+0.5*G30+0.25*H30)/K30,"")</x:f>
      </x:c>
      <x:c r="M30" s="108" t="str">
        <x:f>IFERROR(I30/K30,"")</x:f>
      </x:c>
      <x:c r="N30" s="70" t="n">
        <x:f>COUNTIFS('08_反例与错误'!$E$6:$E$155,A30,'08_反例与错误'!$H$6:$H$155,"强")+COUNTIFS('08_反例与错误'!$E$6:$E$155,A30,'08_反例与错误'!$H$6:$H$155,"安全")</x:f>
        <x:v>0</x:v>
      </x:c>
      <x:c r="O30" s="70" t="n">
        <x:f>COUNTIFS('06_规则命中'!$D$6:$D$405,A30,'06_规则命中'!$I$6:$I$405,"反例",'06_规则命中'!$L$6:$L$405,"是",'06_规则命中'!$N$6:$N$405,"是")</x:f>
        <x:v>0</x:v>
      </x:c>
      <x:c r="P30" s="108" t="str">
        <x:f>IFERROR(SUMIFS('06_规则命中'!$J$6:$J$405,'06_规则命中'!$D$6:$D$405,A30,'06_规则命中'!$C$6:$C$405,"开发集",'06_规则命中'!$N$6:$N$405,"是")/COUNTIFS('06_规则命中'!$D$6:$D$405,A30,'06_规则命中'!$C$6:$C$405,"开发集",'06_规则命中'!$I$6:$I$405,"&lt;&gt;不可评估",'06_规则命中'!$N$6:$N$405,"是"),"")</x:f>
      </x:c>
      <x:c r="Q30" s="108" t="str">
        <x:f>IFERROR(SUMIFS('06_规则命中'!$J$6:$J$405,'06_规则命中'!$D$6:$D$405,A30,'06_规则命中'!$C$6:$C$405,"留出集",'06_规则命中'!$N$6:$N$405,"是")/COUNTIFS('06_规则命中'!$D$6:$D$405,A30,'06_规则命中'!$C$6:$C$405,"留出集",'06_规则命中'!$I$6:$I$405,"&lt;&gt;不可评估",'06_规则命中'!$N$6:$N$405,"是"),"")</x:f>
      </x:c>
      <x:c r="R30" s="70" t="str">
        <x:f>IF(K30=0,"P0 待验证",IF(K30&lt;3,"P1 极少样本",IF(K30&lt;6,"P2 探索",IF(K30&lt;12,"P3 初步","P4 稳定候选"))))</x:f>
        <x:v>P0 待验证</x:v>
      </x:c>
      <x:c r="S30" s="70" t="str">
        <x:f>IF(O30&gt;0,"立即安全审查",IF(K30&lt;3,"样本不足",IF(AND(K30&gt;=4,M30&gt;=0.6),"停用候选",IF(AND(K30&gt;=6,M30&gt;=0.4),"优先修改",IF(AND(K30&gt;=8,L30&gt;=0.75,M30&lt;=0.15,N30=0),"保留观察",IF(AND(P30&lt;&gt;"",Q30&lt;&gt;"",ABS(P30-Q30)&gt;0.25),"疑似过拟合","继续验证"))))))</x:f>
        <x:v>样本不足</x:v>
      </x:c>
      <x:c r="T30" s="70" t="str"/>
      <x:c r="U30" s="70" t="str">
        <x:v>待验证</x:v>
      </x:c>
      <x:c r="V30" s="70" t="str"/>
      <x:c r="W30" s="70" t="str"/>
    </x:row>
    <x:row r="31">
      <x:c r="A31" s="70" t="str">
        <x:v>M5-SYNTH-016</x:v>
      </x:c>
      <x:c r="B31" s="70" t="str">
        <x:v>SYNTH</x:v>
      </x:c>
      <x:c r="C31" s="70" t="str">
        <x:v>十类功能必须使用统一功能族</x:v>
      </x:c>
      <x:c r="D31" s="70" t="str">
        <x:v>待验证</x:v>
      </x:c>
      <x:c r="E31" s="70" t="n">
        <x:f>COUNTIFS('06_规则命中'!$D$6:$D$405,A31,'06_规则命中'!$I$6:$I$405,"支持",'06_规则命中'!$N$6:$N$405,"是")</x:f>
        <x:v>0</x:v>
      </x:c>
      <x:c r="F31" s="70" t="n">
        <x:f>COUNTIFS('06_规则命中'!$D$6:$D$405,A31,'06_规则命中'!$I$6:$I$405,"基本支持",'06_规则命中'!$N$6:$N$405,"是")</x:f>
        <x:v>0</x:v>
      </x:c>
      <x:c r="G31" s="70" t="n">
        <x:f>COUNTIFS('06_规则命中'!$D$6:$D$405,A31,'06_规则命中'!$I$6:$I$405,"部分支持",'06_规则命中'!$N$6:$N$405,"是")</x:f>
        <x:v>0</x:v>
      </x:c>
      <x:c r="H31" s="70" t="n">
        <x:f>COUNTIFS('06_规则命中'!$D$6:$D$405,A31,'06_规则命中'!$I$6:$I$405,"相邻但不同",'06_规则命中'!$N$6:$N$405,"是")</x:f>
        <x:v>0</x:v>
      </x:c>
      <x:c r="I31" s="70" t="n">
        <x:f>COUNTIFS('06_规则命中'!$D$6:$D$405,A31,'06_规则命中'!$I$6:$I$405,"反例",'06_规则命中'!$N$6:$N$405,"是")</x:f>
        <x:v>0</x:v>
      </x:c>
      <x:c r="J31" s="70" t="n">
        <x:f>COUNTIFS('06_规则命中'!$D$6:$D$405,A31,'06_规则命中'!$I$6:$I$405,"不可评估",'06_规则命中'!$N$6:$N$405,"是")</x:f>
        <x:v>0</x:v>
      </x:c>
      <x:c r="K31" s="70" t="n">
        <x:f>SUM(E31:I31)</x:f>
        <x:v>0</x:v>
      </x:c>
      <x:c r="L31" s="108" t="str">
        <x:f>IFERROR((E31+0.75*F31+0.5*G31+0.25*H31)/K31,"")</x:f>
      </x:c>
      <x:c r="M31" s="108" t="str">
        <x:f>IFERROR(I31/K31,"")</x:f>
      </x:c>
      <x:c r="N31" s="70" t="n">
        <x:f>COUNTIFS('08_反例与错误'!$E$6:$E$155,A31,'08_反例与错误'!$H$6:$H$155,"强")+COUNTIFS('08_反例与错误'!$E$6:$E$155,A31,'08_反例与错误'!$H$6:$H$155,"安全")</x:f>
        <x:v>0</x:v>
      </x:c>
      <x:c r="O31" s="70" t="n">
        <x:f>COUNTIFS('06_规则命中'!$D$6:$D$405,A31,'06_规则命中'!$I$6:$I$405,"反例",'06_规则命中'!$L$6:$L$405,"是",'06_规则命中'!$N$6:$N$405,"是")</x:f>
        <x:v>0</x:v>
      </x:c>
      <x:c r="P31" s="108" t="str">
        <x:f>IFERROR(SUMIFS('06_规则命中'!$J$6:$J$405,'06_规则命中'!$D$6:$D$405,A31,'06_规则命中'!$C$6:$C$405,"开发集",'06_规则命中'!$N$6:$N$405,"是")/COUNTIFS('06_规则命中'!$D$6:$D$405,A31,'06_规则命中'!$C$6:$C$405,"开发集",'06_规则命中'!$I$6:$I$405,"&lt;&gt;不可评估",'06_规则命中'!$N$6:$N$405,"是"),"")</x:f>
      </x:c>
      <x:c r="Q31" s="108" t="str">
        <x:f>IFERROR(SUMIFS('06_规则命中'!$J$6:$J$405,'06_规则命中'!$D$6:$D$405,A31,'06_规则命中'!$C$6:$C$405,"留出集",'06_规则命中'!$N$6:$N$405,"是")/COUNTIFS('06_规则命中'!$D$6:$D$405,A31,'06_规则命中'!$C$6:$C$405,"留出集",'06_规则命中'!$I$6:$I$405,"&lt;&gt;不可评估",'06_规则命中'!$N$6:$N$405,"是"),"")</x:f>
      </x:c>
      <x:c r="R31" s="70" t="str">
        <x:f>IF(K31=0,"P0 待验证",IF(K31&lt;3,"P1 极少样本",IF(K31&lt;6,"P2 探索",IF(K31&lt;12,"P3 初步","P4 稳定候选"))))</x:f>
        <x:v>P0 待验证</x:v>
      </x:c>
      <x:c r="S31" s="70" t="str">
        <x:f>IF(O31&gt;0,"立即安全审查",IF(K31&lt;3,"样本不足",IF(AND(K31&gt;=4,M31&gt;=0.6),"停用候选",IF(AND(K31&gt;=6,M31&gt;=0.4),"优先修改",IF(AND(K31&gt;=8,L31&gt;=0.75,M31&lt;=0.15,N31=0),"保留观察",IF(AND(P31&lt;&gt;"",Q31&lt;&gt;"",ABS(P31-Q31)&gt;0.25),"疑似过拟合","继续验证"))))))</x:f>
        <x:v>样本不足</x:v>
      </x:c>
      <x:c r="T31" s="70" t="str"/>
      <x:c r="U31" s="70" t="str">
        <x:v>待验证</x:v>
      </x:c>
      <x:c r="V31" s="70" t="str"/>
      <x:c r="W31" s="70" t="str"/>
    </x:row>
    <x:row r="32">
      <x:c r="A32" s="70" t="str">
        <x:v>M5-SYNTH-017</x:v>
      </x:c>
      <x:c r="B32" s="70" t="str">
        <x:v>SYNTH</x:v>
      </x:c>
      <x:c r="C32" s="70" t="str">
        <x:v>条件性适配必须写有效条件与失效点</x:v>
      </x:c>
      <x:c r="D32" s="70" t="str">
        <x:v>待验证</x:v>
      </x:c>
      <x:c r="E32" s="70" t="n">
        <x:f>COUNTIFS('06_规则命中'!$D$6:$D$405,A32,'06_规则命中'!$I$6:$I$405,"支持",'06_规则命中'!$N$6:$N$405,"是")</x:f>
        <x:v>0</x:v>
      </x:c>
      <x:c r="F32" s="70" t="n">
        <x:f>COUNTIFS('06_规则命中'!$D$6:$D$405,A32,'06_规则命中'!$I$6:$I$405,"基本支持",'06_规则命中'!$N$6:$N$405,"是")</x:f>
        <x:v>0</x:v>
      </x:c>
      <x:c r="G32" s="70" t="n">
        <x:f>COUNTIFS('06_规则命中'!$D$6:$D$405,A32,'06_规则命中'!$I$6:$I$405,"部分支持",'06_规则命中'!$N$6:$N$405,"是")</x:f>
        <x:v>0</x:v>
      </x:c>
      <x:c r="H32" s="70" t="n">
        <x:f>COUNTIFS('06_规则命中'!$D$6:$D$405,A32,'06_规则命中'!$I$6:$I$405,"相邻但不同",'06_规则命中'!$N$6:$N$405,"是")</x:f>
        <x:v>0</x:v>
      </x:c>
      <x:c r="I32" s="70" t="n">
        <x:f>COUNTIFS('06_规则命中'!$D$6:$D$405,A32,'06_规则命中'!$I$6:$I$405,"反例",'06_规则命中'!$N$6:$N$405,"是")</x:f>
        <x:v>0</x:v>
      </x:c>
      <x:c r="J32" s="70" t="n">
        <x:f>COUNTIFS('06_规则命中'!$D$6:$D$405,A32,'06_规则命中'!$I$6:$I$405,"不可评估",'06_规则命中'!$N$6:$N$405,"是")</x:f>
        <x:v>0</x:v>
      </x:c>
      <x:c r="K32" s="70" t="n">
        <x:f>SUM(E32:I32)</x:f>
        <x:v>0</x:v>
      </x:c>
      <x:c r="L32" s="108" t="str">
        <x:f>IFERROR((E32+0.75*F32+0.5*G32+0.25*H32)/K32,"")</x:f>
      </x:c>
      <x:c r="M32" s="108" t="str">
        <x:f>IFERROR(I32/K32,"")</x:f>
      </x:c>
      <x:c r="N32" s="70" t="n">
        <x:f>COUNTIFS('08_反例与错误'!$E$6:$E$155,A32,'08_反例与错误'!$H$6:$H$155,"强")+COUNTIFS('08_反例与错误'!$E$6:$E$155,A32,'08_反例与错误'!$H$6:$H$155,"安全")</x:f>
        <x:v>0</x:v>
      </x:c>
      <x:c r="O32" s="70" t="n">
        <x:f>COUNTIFS('06_规则命中'!$D$6:$D$405,A32,'06_规则命中'!$I$6:$I$405,"反例",'06_规则命中'!$L$6:$L$405,"是",'06_规则命中'!$N$6:$N$405,"是")</x:f>
        <x:v>0</x:v>
      </x:c>
      <x:c r="P32" s="108" t="str">
        <x:f>IFERROR(SUMIFS('06_规则命中'!$J$6:$J$405,'06_规则命中'!$D$6:$D$405,A32,'06_规则命中'!$C$6:$C$405,"开发集",'06_规则命中'!$N$6:$N$405,"是")/COUNTIFS('06_规则命中'!$D$6:$D$405,A32,'06_规则命中'!$C$6:$C$405,"开发集",'06_规则命中'!$I$6:$I$405,"&lt;&gt;不可评估",'06_规则命中'!$N$6:$N$405,"是"),"")</x:f>
      </x:c>
      <x:c r="Q32" s="108" t="str">
        <x:f>IFERROR(SUMIFS('06_规则命中'!$J$6:$J$405,'06_规则命中'!$D$6:$D$405,A32,'06_规则命中'!$C$6:$C$405,"留出集",'06_规则命中'!$N$6:$N$405,"是")/COUNTIFS('06_规则命中'!$D$6:$D$405,A32,'06_规则命中'!$C$6:$C$405,"留出集",'06_规则命中'!$I$6:$I$405,"&lt;&gt;不可评估",'06_规则命中'!$N$6:$N$405,"是"),"")</x:f>
      </x:c>
      <x:c r="R32" s="70" t="str">
        <x:f>IF(K32=0,"P0 待验证",IF(K32&lt;3,"P1 极少样本",IF(K32&lt;6,"P2 探索",IF(K32&lt;12,"P3 初步","P4 稳定候选"))))</x:f>
        <x:v>P0 待验证</x:v>
      </x:c>
      <x:c r="S32" s="70" t="str">
        <x:f>IF(O32&gt;0,"立即安全审查",IF(K32&lt;3,"样本不足",IF(AND(K32&gt;=4,M32&gt;=0.6),"停用候选",IF(AND(K32&gt;=6,M32&gt;=0.4),"优先修改",IF(AND(K32&gt;=8,L32&gt;=0.75,M32&lt;=0.15,N32=0),"保留观察",IF(AND(P32&lt;&gt;"",Q32&lt;&gt;"",ABS(P32-Q32)&gt;0.25),"疑似过拟合","继续验证"))))))</x:f>
        <x:v>样本不足</x:v>
      </x:c>
      <x:c r="T32" s="70" t="str"/>
      <x:c r="U32" s="70" t="str">
        <x:v>待验证</x:v>
      </x:c>
      <x:c r="V32" s="70" t="str"/>
      <x:c r="W32" s="70" t="str"/>
    </x:row>
    <x:row r="33">
      <x:c r="A33" s="70" t="str">
        <x:v>M5-SYNTH-074</x:v>
      </x:c>
      <x:c r="B33" s="70" t="str">
        <x:v>SYNTH</x:v>
      </x:c>
      <x:c r="C33" s="70" t="str">
        <x:v>FAM01功能族｜同源不得跨模块重复计分</x:v>
      </x:c>
      <x:c r="D33" s="70" t="str">
        <x:v>待验证</x:v>
      </x:c>
      <x:c r="E33" s="70" t="n">
        <x:f>COUNTIFS('06_规则命中'!$D$6:$D$405,A33,'06_规则命中'!$I$6:$I$405,"支持",'06_规则命中'!$N$6:$N$405,"是")</x:f>
        <x:v>0</x:v>
      </x:c>
      <x:c r="F33" s="70" t="n">
        <x:f>COUNTIFS('06_规则命中'!$D$6:$D$405,A33,'06_规则命中'!$I$6:$I$405,"基本支持",'06_规则命中'!$N$6:$N$405,"是")</x:f>
        <x:v>0</x:v>
      </x:c>
      <x:c r="G33" s="70" t="n">
        <x:f>COUNTIFS('06_规则命中'!$D$6:$D$405,A33,'06_规则命中'!$I$6:$I$405,"部分支持",'06_规则命中'!$N$6:$N$405,"是")</x:f>
        <x:v>0</x:v>
      </x:c>
      <x:c r="H33" s="70" t="n">
        <x:f>COUNTIFS('06_规则命中'!$D$6:$D$405,A33,'06_规则命中'!$I$6:$I$405,"相邻但不同",'06_规则命中'!$N$6:$N$405,"是")</x:f>
        <x:v>0</x:v>
      </x:c>
      <x:c r="I33" s="70" t="n">
        <x:f>COUNTIFS('06_规则命中'!$D$6:$D$405,A33,'06_规则命中'!$I$6:$I$405,"反例",'06_规则命中'!$N$6:$N$405,"是")</x:f>
        <x:v>0</x:v>
      </x:c>
      <x:c r="J33" s="70" t="n">
        <x:f>COUNTIFS('06_规则命中'!$D$6:$D$405,A33,'06_规则命中'!$I$6:$I$405,"不可评估",'06_规则命中'!$N$6:$N$405,"是")</x:f>
        <x:v>0</x:v>
      </x:c>
      <x:c r="K33" s="70" t="n">
        <x:f>SUM(E33:I33)</x:f>
        <x:v>0</x:v>
      </x:c>
      <x:c r="L33" s="108" t="str">
        <x:f>IFERROR((E33+0.75*F33+0.5*G33+0.25*H33)/K33,"")</x:f>
      </x:c>
      <x:c r="M33" s="108" t="str">
        <x:f>IFERROR(I33/K33,"")</x:f>
      </x:c>
      <x:c r="N33" s="70" t="n">
        <x:f>COUNTIFS('08_反例与错误'!$E$6:$E$155,A33,'08_反例与错误'!$H$6:$H$155,"强")+COUNTIFS('08_反例与错误'!$E$6:$E$155,A33,'08_反例与错误'!$H$6:$H$155,"安全")</x:f>
        <x:v>0</x:v>
      </x:c>
      <x:c r="O33" s="70" t="n">
        <x:f>COUNTIFS('06_规则命中'!$D$6:$D$405,A33,'06_规则命中'!$I$6:$I$405,"反例",'06_规则命中'!$L$6:$L$405,"是",'06_规则命中'!$N$6:$N$405,"是")</x:f>
        <x:v>0</x:v>
      </x:c>
      <x:c r="P33" s="108" t="str">
        <x:f>IFERROR(SUMIFS('06_规则命中'!$J$6:$J$405,'06_规则命中'!$D$6:$D$405,A33,'06_规则命中'!$C$6:$C$405,"开发集",'06_规则命中'!$N$6:$N$405,"是")/COUNTIFS('06_规则命中'!$D$6:$D$405,A33,'06_规则命中'!$C$6:$C$405,"开发集",'06_规则命中'!$I$6:$I$405,"&lt;&gt;不可评估",'06_规则命中'!$N$6:$N$405,"是"),"")</x:f>
      </x:c>
      <x:c r="Q33" s="108" t="str">
        <x:f>IFERROR(SUMIFS('06_规则命中'!$J$6:$J$405,'06_规则命中'!$D$6:$D$405,A33,'06_规则命中'!$C$6:$C$405,"留出集",'06_规则命中'!$N$6:$N$405,"是")/COUNTIFS('06_规则命中'!$D$6:$D$405,A33,'06_规则命中'!$C$6:$C$405,"留出集",'06_规则命中'!$I$6:$I$405,"&lt;&gt;不可评估",'06_规则命中'!$N$6:$N$405,"是"),"")</x:f>
      </x:c>
      <x:c r="R33" s="70" t="str">
        <x:f>IF(K33=0,"P0 待验证",IF(K33&lt;3,"P1 极少样本",IF(K33&lt;6,"P2 探索",IF(K33&lt;12,"P3 初步","P4 稳定候选"))))</x:f>
        <x:v>P0 待验证</x:v>
      </x:c>
      <x:c r="S33" s="70" t="str">
        <x:f>IF(O33&gt;0,"立即安全审查",IF(K33&lt;3,"样本不足",IF(AND(K33&gt;=4,M33&gt;=0.6),"停用候选",IF(AND(K33&gt;=6,M33&gt;=0.4),"优先修改",IF(AND(K33&gt;=8,L33&gt;=0.75,M33&lt;=0.15,N33=0),"保留观察",IF(AND(P33&lt;&gt;"",Q33&lt;&gt;"",ABS(P33-Q33)&gt;0.25),"疑似过拟合","继续验证"))))))</x:f>
        <x:v>样本不足</x:v>
      </x:c>
      <x:c r="T33" s="70" t="str"/>
      <x:c r="U33" s="70" t="str">
        <x:v>待验证</x:v>
      </x:c>
      <x:c r="V33" s="70" t="str"/>
      <x:c r="W33" s="70" t="str"/>
    </x:row>
    <x:row r="34">
      <x:c r="A34" s="70" t="str">
        <x:v>M5-SYNTH-076</x:v>
      </x:c>
      <x:c r="B34" s="70" t="str">
        <x:v>SYNTH</x:v>
      </x:c>
      <x:c r="C34" s="70" t="str">
        <x:v>FAM02功能族｜同源不得跨模块重复计分</x:v>
      </x:c>
      <x:c r="D34" s="70" t="str">
        <x:v>待验证</x:v>
      </x:c>
      <x:c r="E34" s="70" t="n">
        <x:f>COUNTIFS('06_规则命中'!$D$6:$D$405,A34,'06_规则命中'!$I$6:$I$405,"支持",'06_规则命中'!$N$6:$N$405,"是")</x:f>
        <x:v>0</x:v>
      </x:c>
      <x:c r="F34" s="70" t="n">
        <x:f>COUNTIFS('06_规则命中'!$D$6:$D$405,A34,'06_规则命中'!$I$6:$I$405,"基本支持",'06_规则命中'!$N$6:$N$405,"是")</x:f>
        <x:v>0</x:v>
      </x:c>
      <x:c r="G34" s="70" t="n">
        <x:f>COUNTIFS('06_规则命中'!$D$6:$D$405,A34,'06_规则命中'!$I$6:$I$405,"部分支持",'06_规则命中'!$N$6:$N$405,"是")</x:f>
        <x:v>0</x:v>
      </x:c>
      <x:c r="H34" s="70" t="n">
        <x:f>COUNTIFS('06_规则命中'!$D$6:$D$405,A34,'06_规则命中'!$I$6:$I$405,"相邻但不同",'06_规则命中'!$N$6:$N$405,"是")</x:f>
        <x:v>0</x:v>
      </x:c>
      <x:c r="I34" s="70" t="n">
        <x:f>COUNTIFS('06_规则命中'!$D$6:$D$405,A34,'06_规则命中'!$I$6:$I$405,"反例",'06_规则命中'!$N$6:$N$405,"是")</x:f>
        <x:v>0</x:v>
      </x:c>
      <x:c r="J34" s="70" t="n">
        <x:f>COUNTIFS('06_规则命中'!$D$6:$D$405,A34,'06_规则命中'!$I$6:$I$405,"不可评估",'06_规则命中'!$N$6:$N$405,"是")</x:f>
        <x:v>0</x:v>
      </x:c>
      <x:c r="K34" s="70" t="n">
        <x:f>SUM(E34:I34)</x:f>
        <x:v>0</x:v>
      </x:c>
      <x:c r="L34" s="108" t="str">
        <x:f>IFERROR((E34+0.75*F34+0.5*G34+0.25*H34)/K34,"")</x:f>
      </x:c>
      <x:c r="M34" s="108" t="str">
        <x:f>IFERROR(I34/K34,"")</x:f>
      </x:c>
      <x:c r="N34" s="70" t="n">
        <x:f>COUNTIFS('08_反例与错误'!$E$6:$E$155,A34,'08_反例与错误'!$H$6:$H$155,"强")+COUNTIFS('08_反例与错误'!$E$6:$E$155,A34,'08_反例与错误'!$H$6:$H$155,"安全")</x:f>
        <x:v>0</x:v>
      </x:c>
      <x:c r="O34" s="70" t="n">
        <x:f>COUNTIFS('06_规则命中'!$D$6:$D$405,A34,'06_规则命中'!$I$6:$I$405,"反例",'06_规则命中'!$L$6:$L$405,"是",'06_规则命中'!$N$6:$N$405,"是")</x:f>
        <x:v>0</x:v>
      </x:c>
      <x:c r="P34" s="108" t="str">
        <x:f>IFERROR(SUMIFS('06_规则命中'!$J$6:$J$405,'06_规则命中'!$D$6:$D$405,A34,'06_规则命中'!$C$6:$C$405,"开发集",'06_规则命中'!$N$6:$N$405,"是")/COUNTIFS('06_规则命中'!$D$6:$D$405,A34,'06_规则命中'!$C$6:$C$405,"开发集",'06_规则命中'!$I$6:$I$405,"&lt;&gt;不可评估",'06_规则命中'!$N$6:$N$405,"是"),"")</x:f>
      </x:c>
      <x:c r="Q34" s="108" t="str">
        <x:f>IFERROR(SUMIFS('06_规则命中'!$J$6:$J$405,'06_规则命中'!$D$6:$D$405,A34,'06_规则命中'!$C$6:$C$405,"留出集",'06_规则命中'!$N$6:$N$405,"是")/COUNTIFS('06_规则命中'!$D$6:$D$405,A34,'06_规则命中'!$C$6:$C$405,"留出集",'06_规则命中'!$I$6:$I$405,"&lt;&gt;不可评估",'06_规则命中'!$N$6:$N$405,"是"),"")</x:f>
      </x:c>
      <x:c r="R34" s="70" t="str">
        <x:f>IF(K34=0,"P0 待验证",IF(K34&lt;3,"P1 极少样本",IF(K34&lt;6,"P2 探索",IF(K34&lt;12,"P3 初步","P4 稳定候选"))))</x:f>
        <x:v>P0 待验证</x:v>
      </x:c>
      <x:c r="S34" s="70" t="str">
        <x:f>IF(O34&gt;0,"立即安全审查",IF(K34&lt;3,"样本不足",IF(AND(K34&gt;=4,M34&gt;=0.6),"停用候选",IF(AND(K34&gt;=6,M34&gt;=0.4),"优先修改",IF(AND(K34&gt;=8,L34&gt;=0.75,M34&lt;=0.15,N34=0),"保留观察",IF(AND(P34&lt;&gt;"",Q34&lt;&gt;"",ABS(P34-Q34)&gt;0.25),"疑似过拟合","继续验证"))))))</x:f>
        <x:v>样本不足</x:v>
      </x:c>
      <x:c r="T34" s="70" t="str"/>
      <x:c r="U34" s="70" t="str">
        <x:v>待验证</x:v>
      </x:c>
      <x:c r="V34" s="70" t="str"/>
      <x:c r="W34" s="70" t="str"/>
    </x:row>
    <x:row r="35">
      <x:c r="A35" s="70" t="str">
        <x:v>M5-SYNTH-078</x:v>
      </x:c>
      <x:c r="B35" s="70" t="str">
        <x:v>SYNTH</x:v>
      </x:c>
      <x:c r="C35" s="70" t="str">
        <x:v>FAM03功能族｜同源不得跨模块重复计分</x:v>
      </x:c>
      <x:c r="D35" s="70" t="str">
        <x:v>待验证</x:v>
      </x:c>
      <x:c r="E35" s="70" t="n">
        <x:f>COUNTIFS('06_规则命中'!$D$6:$D$405,A35,'06_规则命中'!$I$6:$I$405,"支持",'06_规则命中'!$N$6:$N$405,"是")</x:f>
        <x:v>0</x:v>
      </x:c>
      <x:c r="F35" s="70" t="n">
        <x:f>COUNTIFS('06_规则命中'!$D$6:$D$405,A35,'06_规则命中'!$I$6:$I$405,"基本支持",'06_规则命中'!$N$6:$N$405,"是")</x:f>
        <x:v>0</x:v>
      </x:c>
      <x:c r="G35" s="70" t="n">
        <x:f>COUNTIFS('06_规则命中'!$D$6:$D$405,A35,'06_规则命中'!$I$6:$I$405,"部分支持",'06_规则命中'!$N$6:$N$405,"是")</x:f>
        <x:v>0</x:v>
      </x:c>
      <x:c r="H35" s="70" t="n">
        <x:f>COUNTIFS('06_规则命中'!$D$6:$D$405,A35,'06_规则命中'!$I$6:$I$405,"相邻但不同",'06_规则命中'!$N$6:$N$405,"是")</x:f>
        <x:v>0</x:v>
      </x:c>
      <x:c r="I35" s="70" t="n">
        <x:f>COUNTIFS('06_规则命中'!$D$6:$D$405,A35,'06_规则命中'!$I$6:$I$405,"反例",'06_规则命中'!$N$6:$N$405,"是")</x:f>
        <x:v>0</x:v>
      </x:c>
      <x:c r="J35" s="70" t="n">
        <x:f>COUNTIFS('06_规则命中'!$D$6:$D$405,A35,'06_规则命中'!$I$6:$I$405,"不可评估",'06_规则命中'!$N$6:$N$405,"是")</x:f>
        <x:v>0</x:v>
      </x:c>
      <x:c r="K35" s="70" t="n">
        <x:f>SUM(E35:I35)</x:f>
        <x:v>0</x:v>
      </x:c>
      <x:c r="L35" s="108" t="str">
        <x:f>IFERROR((E35+0.75*F35+0.5*G35+0.25*H35)/K35,"")</x:f>
      </x:c>
      <x:c r="M35" s="108" t="str">
        <x:f>IFERROR(I35/K35,"")</x:f>
      </x:c>
      <x:c r="N35" s="70" t="n">
        <x:f>COUNTIFS('08_反例与错误'!$E$6:$E$155,A35,'08_反例与错误'!$H$6:$H$155,"强")+COUNTIFS('08_反例与错误'!$E$6:$E$155,A35,'08_反例与错误'!$H$6:$H$155,"安全")</x:f>
        <x:v>0</x:v>
      </x:c>
      <x:c r="O35" s="70" t="n">
        <x:f>COUNTIFS('06_规则命中'!$D$6:$D$405,A35,'06_规则命中'!$I$6:$I$405,"反例",'06_规则命中'!$L$6:$L$405,"是",'06_规则命中'!$N$6:$N$405,"是")</x:f>
        <x:v>0</x:v>
      </x:c>
      <x:c r="P35" s="108" t="str">
        <x:f>IFERROR(SUMIFS('06_规则命中'!$J$6:$J$405,'06_规则命中'!$D$6:$D$405,A35,'06_规则命中'!$C$6:$C$405,"开发集",'06_规则命中'!$N$6:$N$405,"是")/COUNTIFS('06_规则命中'!$D$6:$D$405,A35,'06_规则命中'!$C$6:$C$405,"开发集",'06_规则命中'!$I$6:$I$405,"&lt;&gt;不可评估",'06_规则命中'!$N$6:$N$405,"是"),"")</x:f>
      </x:c>
      <x:c r="Q35" s="108" t="str">
        <x:f>IFERROR(SUMIFS('06_规则命中'!$J$6:$J$405,'06_规则命中'!$D$6:$D$405,A35,'06_规则命中'!$C$6:$C$405,"留出集",'06_规则命中'!$N$6:$N$405,"是")/COUNTIFS('06_规则命中'!$D$6:$D$405,A35,'06_规则命中'!$C$6:$C$405,"留出集",'06_规则命中'!$I$6:$I$405,"&lt;&gt;不可评估",'06_规则命中'!$N$6:$N$405,"是"),"")</x:f>
      </x:c>
      <x:c r="R35" s="70" t="str">
        <x:f>IF(K35=0,"P0 待验证",IF(K35&lt;3,"P1 极少样本",IF(K35&lt;6,"P2 探索",IF(K35&lt;12,"P3 初步","P4 稳定候选"))))</x:f>
        <x:v>P0 待验证</x:v>
      </x:c>
      <x:c r="S35" s="70" t="str">
        <x:f>IF(O35&gt;0,"立即安全审查",IF(K35&lt;3,"样本不足",IF(AND(K35&gt;=4,M35&gt;=0.6),"停用候选",IF(AND(K35&gt;=6,M35&gt;=0.4),"优先修改",IF(AND(K35&gt;=8,L35&gt;=0.75,M35&lt;=0.15,N35=0),"保留观察",IF(AND(P35&lt;&gt;"",Q35&lt;&gt;"",ABS(P35-Q35)&gt;0.25),"疑似过拟合","继续验证"))))))</x:f>
        <x:v>样本不足</x:v>
      </x:c>
      <x:c r="T35" s="70" t="str"/>
      <x:c r="U35" s="70" t="str">
        <x:v>待验证</x:v>
      </x:c>
      <x:c r="V35" s="70" t="str"/>
      <x:c r="W35" s="70" t="str"/>
    </x:row>
    <x:row r="36">
      <x:c r="A36" s="70" t="str">
        <x:v>M5-SYNTH-080</x:v>
      </x:c>
      <x:c r="B36" s="70" t="str">
        <x:v>SYNTH</x:v>
      </x:c>
      <x:c r="C36" s="70" t="str">
        <x:v>FAM04功能族｜同源不得跨模块重复计分</x:v>
      </x:c>
      <x:c r="D36" s="70" t="str">
        <x:v>待验证</x:v>
      </x:c>
      <x:c r="E36" s="70" t="n">
        <x:f>COUNTIFS('06_规则命中'!$D$6:$D$405,A36,'06_规则命中'!$I$6:$I$405,"支持",'06_规则命中'!$N$6:$N$405,"是")</x:f>
        <x:v>0</x:v>
      </x:c>
      <x:c r="F36" s="70" t="n">
        <x:f>COUNTIFS('06_规则命中'!$D$6:$D$405,A36,'06_规则命中'!$I$6:$I$405,"基本支持",'06_规则命中'!$N$6:$N$405,"是")</x:f>
        <x:v>0</x:v>
      </x:c>
      <x:c r="G36" s="70" t="n">
        <x:f>COUNTIFS('06_规则命中'!$D$6:$D$405,A36,'06_规则命中'!$I$6:$I$405,"部分支持",'06_规则命中'!$N$6:$N$405,"是")</x:f>
        <x:v>0</x:v>
      </x:c>
      <x:c r="H36" s="70" t="n">
        <x:f>COUNTIFS('06_规则命中'!$D$6:$D$405,A36,'06_规则命中'!$I$6:$I$405,"相邻但不同",'06_规则命中'!$N$6:$N$405,"是")</x:f>
        <x:v>0</x:v>
      </x:c>
      <x:c r="I36" s="70" t="n">
        <x:f>COUNTIFS('06_规则命中'!$D$6:$D$405,A36,'06_规则命中'!$I$6:$I$405,"反例",'06_规则命中'!$N$6:$N$405,"是")</x:f>
        <x:v>0</x:v>
      </x:c>
      <x:c r="J36" s="70" t="n">
        <x:f>COUNTIFS('06_规则命中'!$D$6:$D$405,A36,'06_规则命中'!$I$6:$I$405,"不可评估",'06_规则命中'!$N$6:$N$405,"是")</x:f>
        <x:v>0</x:v>
      </x:c>
      <x:c r="K36" s="70" t="n">
        <x:f>SUM(E36:I36)</x:f>
        <x:v>0</x:v>
      </x:c>
      <x:c r="L36" s="108" t="str">
        <x:f>IFERROR((E36+0.75*F36+0.5*G36+0.25*H36)/K36,"")</x:f>
      </x:c>
      <x:c r="M36" s="108" t="str">
        <x:f>IFERROR(I36/K36,"")</x:f>
      </x:c>
      <x:c r="N36" s="70" t="n">
        <x:f>COUNTIFS('08_反例与错误'!$E$6:$E$155,A36,'08_反例与错误'!$H$6:$H$155,"强")+COUNTIFS('08_反例与错误'!$E$6:$E$155,A36,'08_反例与错误'!$H$6:$H$155,"安全")</x:f>
        <x:v>0</x:v>
      </x:c>
      <x:c r="O36" s="70" t="n">
        <x:f>COUNTIFS('06_规则命中'!$D$6:$D$405,A36,'06_规则命中'!$I$6:$I$405,"反例",'06_规则命中'!$L$6:$L$405,"是",'06_规则命中'!$N$6:$N$405,"是")</x:f>
        <x:v>0</x:v>
      </x:c>
      <x:c r="P36" s="108" t="str">
        <x:f>IFERROR(SUMIFS('06_规则命中'!$J$6:$J$405,'06_规则命中'!$D$6:$D$405,A36,'06_规则命中'!$C$6:$C$405,"开发集",'06_规则命中'!$N$6:$N$405,"是")/COUNTIFS('06_规则命中'!$D$6:$D$405,A36,'06_规则命中'!$C$6:$C$405,"开发集",'06_规则命中'!$I$6:$I$405,"&lt;&gt;不可评估",'06_规则命中'!$N$6:$N$405,"是"),"")</x:f>
      </x:c>
      <x:c r="Q36" s="108" t="str">
        <x:f>IFERROR(SUMIFS('06_规则命中'!$J$6:$J$405,'06_规则命中'!$D$6:$D$405,A36,'06_规则命中'!$C$6:$C$405,"留出集",'06_规则命中'!$N$6:$N$405,"是")/COUNTIFS('06_规则命中'!$D$6:$D$405,A36,'06_规则命中'!$C$6:$C$405,"留出集",'06_规则命中'!$I$6:$I$405,"&lt;&gt;不可评估",'06_规则命中'!$N$6:$N$405,"是"),"")</x:f>
      </x:c>
      <x:c r="R36" s="70" t="str">
        <x:f>IF(K36=0,"P0 待验证",IF(K36&lt;3,"P1 极少样本",IF(K36&lt;6,"P2 探索",IF(K36&lt;12,"P3 初步","P4 稳定候选"))))</x:f>
        <x:v>P0 待验证</x:v>
      </x:c>
      <x:c r="S36" s="70" t="str">
        <x:f>IF(O36&gt;0,"立即安全审查",IF(K36&lt;3,"样本不足",IF(AND(K36&gt;=4,M36&gt;=0.6),"停用候选",IF(AND(K36&gt;=6,M36&gt;=0.4),"优先修改",IF(AND(K36&gt;=8,L36&gt;=0.75,M36&lt;=0.15,N36=0),"保留观察",IF(AND(P36&lt;&gt;"",Q36&lt;&gt;"",ABS(P36-Q36)&gt;0.25),"疑似过拟合","继续验证"))))))</x:f>
        <x:v>样本不足</x:v>
      </x:c>
      <x:c r="T36" s="70" t="str"/>
      <x:c r="U36" s="70" t="str">
        <x:v>待验证</x:v>
      </x:c>
      <x:c r="V36" s="70" t="str"/>
      <x:c r="W36" s="70" t="str"/>
    </x:row>
    <x:row r="37">
      <x:c r="A37" s="70" t="str">
        <x:v>M5-SYNTH-082</x:v>
      </x:c>
      <x:c r="B37" s="70" t="str">
        <x:v>SYNTH</x:v>
      </x:c>
      <x:c r="C37" s="70" t="str">
        <x:v>FAM05功能族｜同源不得跨模块重复计分</x:v>
      </x:c>
      <x:c r="D37" s="70" t="str">
        <x:v>待验证</x:v>
      </x:c>
      <x:c r="E37" s="70" t="n">
        <x:f>COUNTIFS('06_规则命中'!$D$6:$D$405,A37,'06_规则命中'!$I$6:$I$405,"支持",'06_规则命中'!$N$6:$N$405,"是")</x:f>
        <x:v>0</x:v>
      </x:c>
      <x:c r="F37" s="70" t="n">
        <x:f>COUNTIFS('06_规则命中'!$D$6:$D$405,A37,'06_规则命中'!$I$6:$I$405,"基本支持",'06_规则命中'!$N$6:$N$405,"是")</x:f>
        <x:v>0</x:v>
      </x:c>
      <x:c r="G37" s="70" t="n">
        <x:f>COUNTIFS('06_规则命中'!$D$6:$D$405,A37,'06_规则命中'!$I$6:$I$405,"部分支持",'06_规则命中'!$N$6:$N$405,"是")</x:f>
        <x:v>0</x:v>
      </x:c>
      <x:c r="H37" s="70" t="n">
        <x:f>COUNTIFS('06_规则命中'!$D$6:$D$405,A37,'06_规则命中'!$I$6:$I$405,"相邻但不同",'06_规则命中'!$N$6:$N$405,"是")</x:f>
        <x:v>0</x:v>
      </x:c>
      <x:c r="I37" s="70" t="n">
        <x:f>COUNTIFS('06_规则命中'!$D$6:$D$405,A37,'06_规则命中'!$I$6:$I$405,"反例",'06_规则命中'!$N$6:$N$405,"是")</x:f>
        <x:v>0</x:v>
      </x:c>
      <x:c r="J37" s="70" t="n">
        <x:f>COUNTIFS('06_规则命中'!$D$6:$D$405,A37,'06_规则命中'!$I$6:$I$405,"不可评估",'06_规则命中'!$N$6:$N$405,"是")</x:f>
        <x:v>0</x:v>
      </x:c>
      <x:c r="K37" s="70" t="n">
        <x:f>SUM(E37:I37)</x:f>
        <x:v>0</x:v>
      </x:c>
      <x:c r="L37" s="108" t="str">
        <x:f>IFERROR((E37+0.75*F37+0.5*G37+0.25*H37)/K37,"")</x:f>
      </x:c>
      <x:c r="M37" s="108" t="str">
        <x:f>IFERROR(I37/K37,"")</x:f>
      </x:c>
      <x:c r="N37" s="70" t="n">
        <x:f>COUNTIFS('08_反例与错误'!$E$6:$E$155,A37,'08_反例与错误'!$H$6:$H$155,"强")+COUNTIFS('08_反例与错误'!$E$6:$E$155,A37,'08_反例与错误'!$H$6:$H$155,"安全")</x:f>
        <x:v>0</x:v>
      </x:c>
      <x:c r="O37" s="70" t="n">
        <x:f>COUNTIFS('06_规则命中'!$D$6:$D$405,A37,'06_规则命中'!$I$6:$I$405,"反例",'06_规则命中'!$L$6:$L$405,"是",'06_规则命中'!$N$6:$N$405,"是")</x:f>
        <x:v>0</x:v>
      </x:c>
      <x:c r="P37" s="108" t="str">
        <x:f>IFERROR(SUMIFS('06_规则命中'!$J$6:$J$405,'06_规则命中'!$D$6:$D$405,A37,'06_规则命中'!$C$6:$C$405,"开发集",'06_规则命中'!$N$6:$N$405,"是")/COUNTIFS('06_规则命中'!$D$6:$D$405,A37,'06_规则命中'!$C$6:$C$405,"开发集",'06_规则命中'!$I$6:$I$405,"&lt;&gt;不可评估",'06_规则命中'!$N$6:$N$405,"是"),"")</x:f>
      </x:c>
      <x:c r="Q37" s="108" t="str">
        <x:f>IFERROR(SUMIFS('06_规则命中'!$J$6:$J$405,'06_规则命中'!$D$6:$D$405,A37,'06_规则命中'!$C$6:$C$405,"留出集",'06_规则命中'!$N$6:$N$405,"是")/COUNTIFS('06_规则命中'!$D$6:$D$405,A37,'06_规则命中'!$C$6:$C$405,"留出集",'06_规则命中'!$I$6:$I$405,"&lt;&gt;不可评估",'06_规则命中'!$N$6:$N$405,"是"),"")</x:f>
      </x:c>
      <x:c r="R37" s="70" t="str">
        <x:f>IF(K37=0,"P0 待验证",IF(K37&lt;3,"P1 极少样本",IF(K37&lt;6,"P2 探索",IF(K37&lt;12,"P3 初步","P4 稳定候选"))))</x:f>
        <x:v>P0 待验证</x:v>
      </x:c>
      <x:c r="S37" s="70" t="str">
        <x:f>IF(O37&gt;0,"立即安全审查",IF(K37&lt;3,"样本不足",IF(AND(K37&gt;=4,M37&gt;=0.6),"停用候选",IF(AND(K37&gt;=6,M37&gt;=0.4),"优先修改",IF(AND(K37&gt;=8,L37&gt;=0.75,M37&lt;=0.15,N37=0),"保留观察",IF(AND(P37&lt;&gt;"",Q37&lt;&gt;"",ABS(P37-Q37)&gt;0.25),"疑似过拟合","继续验证"))))))</x:f>
        <x:v>样本不足</x:v>
      </x:c>
      <x:c r="T37" s="70" t="str"/>
      <x:c r="U37" s="70" t="str">
        <x:v>待验证</x:v>
      </x:c>
      <x:c r="V37" s="70" t="str"/>
      <x:c r="W37" s="70" t="str"/>
    </x:row>
    <x:row r="38">
      <x:c r="A38" s="70" t="str">
        <x:v>M5-SYNTH-084</x:v>
      </x:c>
      <x:c r="B38" s="70" t="str">
        <x:v>SYNTH</x:v>
      </x:c>
      <x:c r="C38" s="70" t="str">
        <x:v>FAM06功能族｜同源不得跨模块重复计分</x:v>
      </x:c>
      <x:c r="D38" s="70" t="str">
        <x:v>待验证</x:v>
      </x:c>
      <x:c r="E38" s="70" t="n">
        <x:f>COUNTIFS('06_规则命中'!$D$6:$D$405,A38,'06_规则命中'!$I$6:$I$405,"支持",'06_规则命中'!$N$6:$N$405,"是")</x:f>
        <x:v>0</x:v>
      </x:c>
      <x:c r="F38" s="70" t="n">
        <x:f>COUNTIFS('06_规则命中'!$D$6:$D$405,A38,'06_规则命中'!$I$6:$I$405,"基本支持",'06_规则命中'!$N$6:$N$405,"是")</x:f>
        <x:v>0</x:v>
      </x:c>
      <x:c r="G38" s="70" t="n">
        <x:f>COUNTIFS('06_规则命中'!$D$6:$D$405,A38,'06_规则命中'!$I$6:$I$405,"部分支持",'06_规则命中'!$N$6:$N$405,"是")</x:f>
        <x:v>0</x:v>
      </x:c>
      <x:c r="H38" s="70" t="n">
        <x:f>COUNTIFS('06_规则命中'!$D$6:$D$405,A38,'06_规则命中'!$I$6:$I$405,"相邻但不同",'06_规则命中'!$N$6:$N$405,"是")</x:f>
        <x:v>0</x:v>
      </x:c>
      <x:c r="I38" s="70" t="n">
        <x:f>COUNTIFS('06_规则命中'!$D$6:$D$405,A38,'06_规则命中'!$I$6:$I$405,"反例",'06_规则命中'!$N$6:$N$405,"是")</x:f>
        <x:v>0</x:v>
      </x:c>
      <x:c r="J38" s="70" t="n">
        <x:f>COUNTIFS('06_规则命中'!$D$6:$D$405,A38,'06_规则命中'!$I$6:$I$405,"不可评估",'06_规则命中'!$N$6:$N$405,"是")</x:f>
        <x:v>0</x:v>
      </x:c>
      <x:c r="K38" s="70" t="n">
        <x:f>SUM(E38:I38)</x:f>
        <x:v>0</x:v>
      </x:c>
      <x:c r="L38" s="108" t="str">
        <x:f>IFERROR((E38+0.75*F38+0.5*G38+0.25*H38)/K38,"")</x:f>
      </x:c>
      <x:c r="M38" s="108" t="str">
        <x:f>IFERROR(I38/K38,"")</x:f>
      </x:c>
      <x:c r="N38" s="70" t="n">
        <x:f>COUNTIFS('08_反例与错误'!$E$6:$E$155,A38,'08_反例与错误'!$H$6:$H$155,"强")+COUNTIFS('08_反例与错误'!$E$6:$E$155,A38,'08_反例与错误'!$H$6:$H$155,"安全")</x:f>
        <x:v>0</x:v>
      </x:c>
      <x:c r="O38" s="70" t="n">
        <x:f>COUNTIFS('06_规则命中'!$D$6:$D$405,A38,'06_规则命中'!$I$6:$I$405,"反例",'06_规则命中'!$L$6:$L$405,"是",'06_规则命中'!$N$6:$N$405,"是")</x:f>
        <x:v>0</x:v>
      </x:c>
      <x:c r="P38" s="108" t="str">
        <x:f>IFERROR(SUMIFS('06_规则命中'!$J$6:$J$405,'06_规则命中'!$D$6:$D$405,A38,'06_规则命中'!$C$6:$C$405,"开发集",'06_规则命中'!$N$6:$N$405,"是")/COUNTIFS('06_规则命中'!$D$6:$D$405,A38,'06_规则命中'!$C$6:$C$405,"开发集",'06_规则命中'!$I$6:$I$405,"&lt;&gt;不可评估",'06_规则命中'!$N$6:$N$405,"是"),"")</x:f>
      </x:c>
      <x:c r="Q38" s="108" t="str">
        <x:f>IFERROR(SUMIFS('06_规则命中'!$J$6:$J$405,'06_规则命中'!$D$6:$D$405,A38,'06_规则命中'!$C$6:$C$405,"留出集",'06_规则命中'!$N$6:$N$405,"是")/COUNTIFS('06_规则命中'!$D$6:$D$405,A38,'06_规则命中'!$C$6:$C$405,"留出集",'06_规则命中'!$I$6:$I$405,"&lt;&gt;不可评估",'06_规则命中'!$N$6:$N$405,"是"),"")</x:f>
      </x:c>
      <x:c r="R38" s="70" t="str">
        <x:f>IF(K38=0,"P0 待验证",IF(K38&lt;3,"P1 极少样本",IF(K38&lt;6,"P2 探索",IF(K38&lt;12,"P3 初步","P4 稳定候选"))))</x:f>
        <x:v>P0 待验证</x:v>
      </x:c>
      <x:c r="S38" s="70" t="str">
        <x:f>IF(O38&gt;0,"立即安全审查",IF(K38&lt;3,"样本不足",IF(AND(K38&gt;=4,M38&gt;=0.6),"停用候选",IF(AND(K38&gt;=6,M38&gt;=0.4),"优先修改",IF(AND(K38&gt;=8,L38&gt;=0.75,M38&lt;=0.15,N38=0),"保留观察",IF(AND(P38&lt;&gt;"",Q38&lt;&gt;"",ABS(P38-Q38)&gt;0.25),"疑似过拟合","继续验证"))))))</x:f>
        <x:v>样本不足</x:v>
      </x:c>
      <x:c r="T38" s="70" t="str"/>
      <x:c r="U38" s="70" t="str">
        <x:v>待验证</x:v>
      </x:c>
      <x:c r="V38" s="70" t="str"/>
      <x:c r="W38" s="70" t="str"/>
    </x:row>
    <x:row r="39">
      <x:c r="A39" s="70" t="str">
        <x:v>M5-SYNTH-086</x:v>
      </x:c>
      <x:c r="B39" s="70" t="str">
        <x:v>SYNTH</x:v>
      </x:c>
      <x:c r="C39" s="70" t="str">
        <x:v>FAM07功能族｜同源不得跨模块重复计分</x:v>
      </x:c>
      <x:c r="D39" s="70" t="str">
        <x:v>待验证</x:v>
      </x:c>
      <x:c r="E39" s="70" t="n">
        <x:f>COUNTIFS('06_规则命中'!$D$6:$D$405,A39,'06_规则命中'!$I$6:$I$405,"支持",'06_规则命中'!$N$6:$N$405,"是")</x:f>
        <x:v>0</x:v>
      </x:c>
      <x:c r="F39" s="70" t="n">
        <x:f>COUNTIFS('06_规则命中'!$D$6:$D$405,A39,'06_规则命中'!$I$6:$I$405,"基本支持",'06_规则命中'!$N$6:$N$405,"是")</x:f>
        <x:v>0</x:v>
      </x:c>
      <x:c r="G39" s="70" t="n">
        <x:f>COUNTIFS('06_规则命中'!$D$6:$D$405,A39,'06_规则命中'!$I$6:$I$405,"部分支持",'06_规则命中'!$N$6:$N$405,"是")</x:f>
        <x:v>0</x:v>
      </x:c>
      <x:c r="H39" s="70" t="n">
        <x:f>COUNTIFS('06_规则命中'!$D$6:$D$405,A39,'06_规则命中'!$I$6:$I$405,"相邻但不同",'06_规则命中'!$N$6:$N$405,"是")</x:f>
        <x:v>0</x:v>
      </x:c>
      <x:c r="I39" s="70" t="n">
        <x:f>COUNTIFS('06_规则命中'!$D$6:$D$405,A39,'06_规则命中'!$I$6:$I$405,"反例",'06_规则命中'!$N$6:$N$405,"是")</x:f>
        <x:v>0</x:v>
      </x:c>
      <x:c r="J39" s="70" t="n">
        <x:f>COUNTIFS('06_规则命中'!$D$6:$D$405,A39,'06_规则命中'!$I$6:$I$405,"不可评估",'06_规则命中'!$N$6:$N$405,"是")</x:f>
        <x:v>0</x:v>
      </x:c>
      <x:c r="K39" s="70" t="n">
        <x:f>SUM(E39:I39)</x:f>
        <x:v>0</x:v>
      </x:c>
      <x:c r="L39" s="108" t="str">
        <x:f>IFERROR((E39+0.75*F39+0.5*G39+0.25*H39)/K39,"")</x:f>
      </x:c>
      <x:c r="M39" s="108" t="str">
        <x:f>IFERROR(I39/K39,"")</x:f>
      </x:c>
      <x:c r="N39" s="70" t="n">
        <x:f>COUNTIFS('08_反例与错误'!$E$6:$E$155,A39,'08_反例与错误'!$H$6:$H$155,"强")+COUNTIFS('08_反例与错误'!$E$6:$E$155,A39,'08_反例与错误'!$H$6:$H$155,"安全")</x:f>
        <x:v>0</x:v>
      </x:c>
      <x:c r="O39" s="70" t="n">
        <x:f>COUNTIFS('06_规则命中'!$D$6:$D$405,A39,'06_规则命中'!$I$6:$I$405,"反例",'06_规则命中'!$L$6:$L$405,"是",'06_规则命中'!$N$6:$N$405,"是")</x:f>
        <x:v>0</x:v>
      </x:c>
      <x:c r="P39" s="108" t="str">
        <x:f>IFERROR(SUMIFS('06_规则命中'!$J$6:$J$405,'06_规则命中'!$D$6:$D$405,A39,'06_规则命中'!$C$6:$C$405,"开发集",'06_规则命中'!$N$6:$N$405,"是")/COUNTIFS('06_规则命中'!$D$6:$D$405,A39,'06_规则命中'!$C$6:$C$405,"开发集",'06_规则命中'!$I$6:$I$405,"&lt;&gt;不可评估",'06_规则命中'!$N$6:$N$405,"是"),"")</x:f>
      </x:c>
      <x:c r="Q39" s="108" t="str">
        <x:f>IFERROR(SUMIFS('06_规则命中'!$J$6:$J$405,'06_规则命中'!$D$6:$D$405,A39,'06_规则命中'!$C$6:$C$405,"留出集",'06_规则命中'!$N$6:$N$405,"是")/COUNTIFS('06_规则命中'!$D$6:$D$405,A39,'06_规则命中'!$C$6:$C$405,"留出集",'06_规则命中'!$I$6:$I$405,"&lt;&gt;不可评估",'06_规则命中'!$N$6:$N$405,"是"),"")</x:f>
      </x:c>
      <x:c r="R39" s="70" t="str">
        <x:f>IF(K39=0,"P0 待验证",IF(K39&lt;3,"P1 极少样本",IF(K39&lt;6,"P2 探索",IF(K39&lt;12,"P3 初步","P4 稳定候选"))))</x:f>
        <x:v>P0 待验证</x:v>
      </x:c>
      <x:c r="S39" s="70" t="str">
        <x:f>IF(O39&gt;0,"立即安全审查",IF(K39&lt;3,"样本不足",IF(AND(K39&gt;=4,M39&gt;=0.6),"停用候选",IF(AND(K39&gt;=6,M39&gt;=0.4),"优先修改",IF(AND(K39&gt;=8,L39&gt;=0.75,M39&lt;=0.15,N39=0),"保留观察",IF(AND(P39&lt;&gt;"",Q39&lt;&gt;"",ABS(P39-Q39)&gt;0.25),"疑似过拟合","继续验证"))))))</x:f>
        <x:v>样本不足</x:v>
      </x:c>
      <x:c r="T39" s="70" t="str"/>
      <x:c r="U39" s="70" t="str">
        <x:v>待验证</x:v>
      </x:c>
      <x:c r="V39" s="70" t="str"/>
      <x:c r="W39" s="70" t="str"/>
    </x:row>
    <x:row r="40">
      <x:c r="A40" s="70" t="str">
        <x:v>M5-SYNTH-088</x:v>
      </x:c>
      <x:c r="B40" s="70" t="str">
        <x:v>SYNTH</x:v>
      </x:c>
      <x:c r="C40" s="70" t="str">
        <x:v>FAM08功能族｜同源不得跨模块重复计分</x:v>
      </x:c>
      <x:c r="D40" s="70" t="str">
        <x:v>待验证</x:v>
      </x:c>
      <x:c r="E40" s="70" t="n">
        <x:f>COUNTIFS('06_规则命中'!$D$6:$D$405,A40,'06_规则命中'!$I$6:$I$405,"支持",'06_规则命中'!$N$6:$N$405,"是")</x:f>
        <x:v>0</x:v>
      </x:c>
      <x:c r="F40" s="70" t="n">
        <x:f>COUNTIFS('06_规则命中'!$D$6:$D$405,A40,'06_规则命中'!$I$6:$I$405,"基本支持",'06_规则命中'!$N$6:$N$405,"是")</x:f>
        <x:v>0</x:v>
      </x:c>
      <x:c r="G40" s="70" t="n">
        <x:f>COUNTIFS('06_规则命中'!$D$6:$D$405,A40,'06_规则命中'!$I$6:$I$405,"部分支持",'06_规则命中'!$N$6:$N$405,"是")</x:f>
        <x:v>0</x:v>
      </x:c>
      <x:c r="H40" s="70" t="n">
        <x:f>COUNTIFS('06_规则命中'!$D$6:$D$405,A40,'06_规则命中'!$I$6:$I$405,"相邻但不同",'06_规则命中'!$N$6:$N$405,"是")</x:f>
        <x:v>0</x:v>
      </x:c>
      <x:c r="I40" s="70" t="n">
        <x:f>COUNTIFS('06_规则命中'!$D$6:$D$405,A40,'06_规则命中'!$I$6:$I$405,"反例",'06_规则命中'!$N$6:$N$405,"是")</x:f>
        <x:v>0</x:v>
      </x:c>
      <x:c r="J40" s="70" t="n">
        <x:f>COUNTIFS('06_规则命中'!$D$6:$D$405,A40,'06_规则命中'!$I$6:$I$405,"不可评估",'06_规则命中'!$N$6:$N$405,"是")</x:f>
        <x:v>0</x:v>
      </x:c>
      <x:c r="K40" s="70" t="n">
        <x:f>SUM(E40:I40)</x:f>
        <x:v>0</x:v>
      </x:c>
      <x:c r="L40" s="108" t="str">
        <x:f>IFERROR((E40+0.75*F40+0.5*G40+0.25*H40)/K40,"")</x:f>
      </x:c>
      <x:c r="M40" s="108" t="str">
        <x:f>IFERROR(I40/K40,"")</x:f>
      </x:c>
      <x:c r="N40" s="70" t="n">
        <x:f>COUNTIFS('08_反例与错误'!$E$6:$E$155,A40,'08_反例与错误'!$H$6:$H$155,"强")+COUNTIFS('08_反例与错误'!$E$6:$E$155,A40,'08_反例与错误'!$H$6:$H$155,"安全")</x:f>
        <x:v>0</x:v>
      </x:c>
      <x:c r="O40" s="70" t="n">
        <x:f>COUNTIFS('06_规则命中'!$D$6:$D$405,A40,'06_规则命中'!$I$6:$I$405,"反例",'06_规则命中'!$L$6:$L$405,"是",'06_规则命中'!$N$6:$N$405,"是")</x:f>
        <x:v>0</x:v>
      </x:c>
      <x:c r="P40" s="108" t="str">
        <x:f>IFERROR(SUMIFS('06_规则命中'!$J$6:$J$405,'06_规则命中'!$D$6:$D$405,A40,'06_规则命中'!$C$6:$C$405,"开发集",'06_规则命中'!$N$6:$N$405,"是")/COUNTIFS('06_规则命中'!$D$6:$D$405,A40,'06_规则命中'!$C$6:$C$405,"开发集",'06_规则命中'!$I$6:$I$405,"&lt;&gt;不可评估",'06_规则命中'!$N$6:$N$405,"是"),"")</x:f>
      </x:c>
      <x:c r="Q40" s="108" t="str">
        <x:f>IFERROR(SUMIFS('06_规则命中'!$J$6:$J$405,'06_规则命中'!$D$6:$D$405,A40,'06_规则命中'!$C$6:$C$405,"留出集",'06_规则命中'!$N$6:$N$405,"是")/COUNTIFS('06_规则命中'!$D$6:$D$405,A40,'06_规则命中'!$C$6:$C$405,"留出集",'06_规则命中'!$I$6:$I$405,"&lt;&gt;不可评估",'06_规则命中'!$N$6:$N$405,"是"),"")</x:f>
      </x:c>
      <x:c r="R40" s="70" t="str">
        <x:f>IF(K40=0,"P0 待验证",IF(K40&lt;3,"P1 极少样本",IF(K40&lt;6,"P2 探索",IF(K40&lt;12,"P3 初步","P4 稳定候选"))))</x:f>
        <x:v>P0 待验证</x:v>
      </x:c>
      <x:c r="S40" s="70" t="str">
        <x:f>IF(O40&gt;0,"立即安全审查",IF(K40&lt;3,"样本不足",IF(AND(K40&gt;=4,M40&gt;=0.6),"停用候选",IF(AND(K40&gt;=6,M40&gt;=0.4),"优先修改",IF(AND(K40&gt;=8,L40&gt;=0.75,M40&lt;=0.15,N40=0),"保留观察",IF(AND(P40&lt;&gt;"",Q40&lt;&gt;"",ABS(P40-Q40)&gt;0.25),"疑似过拟合","继续验证"))))))</x:f>
        <x:v>样本不足</x:v>
      </x:c>
      <x:c r="T40" s="70" t="str"/>
      <x:c r="U40" s="70" t="str">
        <x:v>待验证</x:v>
      </x:c>
      <x:c r="V40" s="70" t="str"/>
      <x:c r="W40" s="70" t="str"/>
    </x:row>
    <x:row r="41">
      <x:c r="A41" s="70" t="str">
        <x:v>M5-SYNTH-090</x:v>
      </x:c>
      <x:c r="B41" s="70" t="str">
        <x:v>SYNTH</x:v>
      </x:c>
      <x:c r="C41" s="70" t="str">
        <x:v>FAM09功能族｜同源不得跨模块重复计分</x:v>
      </x:c>
      <x:c r="D41" s="70" t="str">
        <x:v>待验证</x:v>
      </x:c>
      <x:c r="E41" s="70" t="n">
        <x:f>COUNTIFS('06_规则命中'!$D$6:$D$405,A41,'06_规则命中'!$I$6:$I$405,"支持",'06_规则命中'!$N$6:$N$405,"是")</x:f>
        <x:v>0</x:v>
      </x:c>
      <x:c r="F41" s="70" t="n">
        <x:f>COUNTIFS('06_规则命中'!$D$6:$D$405,A41,'06_规则命中'!$I$6:$I$405,"基本支持",'06_规则命中'!$N$6:$N$405,"是")</x:f>
        <x:v>0</x:v>
      </x:c>
      <x:c r="G41" s="70" t="n">
        <x:f>COUNTIFS('06_规则命中'!$D$6:$D$405,A41,'06_规则命中'!$I$6:$I$405,"部分支持",'06_规则命中'!$N$6:$N$405,"是")</x:f>
        <x:v>0</x:v>
      </x:c>
      <x:c r="H41" s="70" t="n">
        <x:f>COUNTIFS('06_规则命中'!$D$6:$D$405,A41,'06_规则命中'!$I$6:$I$405,"相邻但不同",'06_规则命中'!$N$6:$N$405,"是")</x:f>
        <x:v>0</x:v>
      </x:c>
      <x:c r="I41" s="70" t="n">
        <x:f>COUNTIFS('06_规则命中'!$D$6:$D$405,A41,'06_规则命中'!$I$6:$I$405,"反例",'06_规则命中'!$N$6:$N$405,"是")</x:f>
        <x:v>0</x:v>
      </x:c>
      <x:c r="J41" s="70" t="n">
        <x:f>COUNTIFS('06_规则命中'!$D$6:$D$405,A41,'06_规则命中'!$I$6:$I$405,"不可评估",'06_规则命中'!$N$6:$N$405,"是")</x:f>
        <x:v>0</x:v>
      </x:c>
      <x:c r="K41" s="70" t="n">
        <x:f>SUM(E41:I41)</x:f>
        <x:v>0</x:v>
      </x:c>
      <x:c r="L41" s="108" t="str">
        <x:f>IFERROR((E41+0.75*F41+0.5*G41+0.25*H41)/K41,"")</x:f>
      </x:c>
      <x:c r="M41" s="108" t="str">
        <x:f>IFERROR(I41/K41,"")</x:f>
      </x:c>
      <x:c r="N41" s="70" t="n">
        <x:f>COUNTIFS('08_反例与错误'!$E$6:$E$155,A41,'08_反例与错误'!$H$6:$H$155,"强")+COUNTIFS('08_反例与错误'!$E$6:$E$155,A41,'08_反例与错误'!$H$6:$H$155,"安全")</x:f>
        <x:v>0</x:v>
      </x:c>
      <x:c r="O41" s="70" t="n">
        <x:f>COUNTIFS('06_规则命中'!$D$6:$D$405,A41,'06_规则命中'!$I$6:$I$405,"反例",'06_规则命中'!$L$6:$L$405,"是",'06_规则命中'!$N$6:$N$405,"是")</x:f>
        <x:v>0</x:v>
      </x:c>
      <x:c r="P41" s="108" t="str">
        <x:f>IFERROR(SUMIFS('06_规则命中'!$J$6:$J$405,'06_规则命中'!$D$6:$D$405,A41,'06_规则命中'!$C$6:$C$405,"开发集",'06_规则命中'!$N$6:$N$405,"是")/COUNTIFS('06_规则命中'!$D$6:$D$405,A41,'06_规则命中'!$C$6:$C$405,"开发集",'06_规则命中'!$I$6:$I$405,"&lt;&gt;不可评估",'06_规则命中'!$N$6:$N$405,"是"),"")</x:f>
      </x:c>
      <x:c r="Q41" s="108" t="str">
        <x:f>IFERROR(SUMIFS('06_规则命中'!$J$6:$J$405,'06_规则命中'!$D$6:$D$405,A41,'06_规则命中'!$C$6:$C$405,"留出集",'06_规则命中'!$N$6:$N$405,"是")/COUNTIFS('06_规则命中'!$D$6:$D$405,A41,'06_规则命中'!$C$6:$C$405,"留出集",'06_规则命中'!$I$6:$I$405,"&lt;&gt;不可评估",'06_规则命中'!$N$6:$N$405,"是"),"")</x:f>
      </x:c>
      <x:c r="R41" s="70" t="str">
        <x:f>IF(K41=0,"P0 待验证",IF(K41&lt;3,"P1 极少样本",IF(K41&lt;6,"P2 探索",IF(K41&lt;12,"P3 初步","P4 稳定候选"))))</x:f>
        <x:v>P0 待验证</x:v>
      </x:c>
      <x:c r="S41" s="70" t="str">
        <x:f>IF(O41&gt;0,"立即安全审查",IF(K41&lt;3,"样本不足",IF(AND(K41&gt;=4,M41&gt;=0.6),"停用候选",IF(AND(K41&gt;=6,M41&gt;=0.4),"优先修改",IF(AND(K41&gt;=8,L41&gt;=0.75,M41&lt;=0.15,N41=0),"保留观察",IF(AND(P41&lt;&gt;"",Q41&lt;&gt;"",ABS(P41-Q41)&gt;0.25),"疑似过拟合","继续验证"))))))</x:f>
        <x:v>样本不足</x:v>
      </x:c>
      <x:c r="T41" s="70" t="str"/>
      <x:c r="U41" s="70" t="str">
        <x:v>待验证</x:v>
      </x:c>
      <x:c r="V41" s="70" t="str"/>
      <x:c r="W41" s="70" t="str"/>
    </x:row>
    <x:row r="42">
      <x:c r="A42" s="70" t="str">
        <x:v>M5-SYNTH-092</x:v>
      </x:c>
      <x:c r="B42" s="70" t="str">
        <x:v>SYNTH</x:v>
      </x:c>
      <x:c r="C42" s="70" t="str">
        <x:v>FAM10功能族｜同源不得跨模块重复计分</x:v>
      </x:c>
      <x:c r="D42" s="70" t="str">
        <x:v>待验证</x:v>
      </x:c>
      <x:c r="E42" s="70" t="n">
        <x:f>COUNTIFS('06_规则命中'!$D$6:$D$405,A42,'06_规则命中'!$I$6:$I$405,"支持",'06_规则命中'!$N$6:$N$405,"是")</x:f>
        <x:v>0</x:v>
      </x:c>
      <x:c r="F42" s="70" t="n">
        <x:f>COUNTIFS('06_规则命中'!$D$6:$D$405,A42,'06_规则命中'!$I$6:$I$405,"基本支持",'06_规则命中'!$N$6:$N$405,"是")</x:f>
        <x:v>0</x:v>
      </x:c>
      <x:c r="G42" s="70" t="n">
        <x:f>COUNTIFS('06_规则命中'!$D$6:$D$405,A42,'06_规则命中'!$I$6:$I$405,"部分支持",'06_规则命中'!$N$6:$N$405,"是")</x:f>
        <x:v>0</x:v>
      </x:c>
      <x:c r="H42" s="70" t="n">
        <x:f>COUNTIFS('06_规则命中'!$D$6:$D$405,A42,'06_规则命中'!$I$6:$I$405,"相邻但不同",'06_规则命中'!$N$6:$N$405,"是")</x:f>
        <x:v>0</x:v>
      </x:c>
      <x:c r="I42" s="70" t="n">
        <x:f>COUNTIFS('06_规则命中'!$D$6:$D$405,A42,'06_规则命中'!$I$6:$I$405,"反例",'06_规则命中'!$N$6:$N$405,"是")</x:f>
        <x:v>0</x:v>
      </x:c>
      <x:c r="J42" s="70" t="n">
        <x:f>COUNTIFS('06_规则命中'!$D$6:$D$405,A42,'06_规则命中'!$I$6:$I$405,"不可评估",'06_规则命中'!$N$6:$N$405,"是")</x:f>
        <x:v>0</x:v>
      </x:c>
      <x:c r="K42" s="70" t="n">
        <x:f>SUM(E42:I42)</x:f>
        <x:v>0</x:v>
      </x:c>
      <x:c r="L42" s="108" t="str">
        <x:f>IFERROR((E42+0.75*F42+0.5*G42+0.25*H42)/K42,"")</x:f>
      </x:c>
      <x:c r="M42" s="108" t="str">
        <x:f>IFERROR(I42/K42,"")</x:f>
      </x:c>
      <x:c r="N42" s="70" t="n">
        <x:f>COUNTIFS('08_反例与错误'!$E$6:$E$155,A42,'08_反例与错误'!$H$6:$H$155,"强")+COUNTIFS('08_反例与错误'!$E$6:$E$155,A42,'08_反例与错误'!$H$6:$H$155,"安全")</x:f>
        <x:v>0</x:v>
      </x:c>
      <x:c r="O42" s="70" t="n">
        <x:f>COUNTIFS('06_规则命中'!$D$6:$D$405,A42,'06_规则命中'!$I$6:$I$405,"反例",'06_规则命中'!$L$6:$L$405,"是",'06_规则命中'!$N$6:$N$405,"是")</x:f>
        <x:v>0</x:v>
      </x:c>
      <x:c r="P42" s="108" t="str">
        <x:f>IFERROR(SUMIFS('06_规则命中'!$J$6:$J$405,'06_规则命中'!$D$6:$D$405,A42,'06_规则命中'!$C$6:$C$405,"开发集",'06_规则命中'!$N$6:$N$405,"是")/COUNTIFS('06_规则命中'!$D$6:$D$405,A42,'06_规则命中'!$C$6:$C$405,"开发集",'06_规则命中'!$I$6:$I$405,"&lt;&gt;不可评估",'06_规则命中'!$N$6:$N$405,"是"),"")</x:f>
      </x:c>
      <x:c r="Q42" s="108" t="str">
        <x:f>IFERROR(SUMIFS('06_规则命中'!$J$6:$J$405,'06_规则命中'!$D$6:$D$405,A42,'06_规则命中'!$C$6:$C$405,"留出集",'06_规则命中'!$N$6:$N$405,"是")/COUNTIFS('06_规则命中'!$D$6:$D$405,A42,'06_规则命中'!$C$6:$C$405,"留出集",'06_规则命中'!$I$6:$I$405,"&lt;&gt;不可评估",'06_规则命中'!$N$6:$N$405,"是"),"")</x:f>
      </x:c>
      <x:c r="R42" s="70" t="str">
        <x:f>IF(K42=0,"P0 待验证",IF(K42&lt;3,"P1 极少样本",IF(K42&lt;6,"P2 探索",IF(K42&lt;12,"P3 初步","P4 稳定候选"))))</x:f>
        <x:v>P0 待验证</x:v>
      </x:c>
      <x:c r="S42" s="70" t="str">
        <x:f>IF(O42&gt;0,"立即安全审查",IF(K42&lt;3,"样本不足",IF(AND(K42&gt;=4,M42&gt;=0.6),"停用候选",IF(AND(K42&gt;=6,M42&gt;=0.4),"优先修改",IF(AND(K42&gt;=8,L42&gt;=0.75,M42&lt;=0.15,N42=0),"保留观察",IF(AND(P42&lt;&gt;"",Q42&lt;&gt;"",ABS(P42-Q42)&gt;0.25),"疑似过拟合","继续验证"))))))</x:f>
        <x:v>样本不足</x:v>
      </x:c>
      <x:c r="T42" s="70" t="str"/>
      <x:c r="U42" s="70" t="str">
        <x:v>待验证</x:v>
      </x:c>
      <x:c r="V42" s="70" t="str"/>
      <x:c r="W42" s="70" t="str"/>
    </x:row>
    <x:row r="43">
      <x:c r="A43" s="70" t="str">
        <x:v>M5-SYNTH-113</x:v>
      </x:c>
      <x:c r="B43" s="70" t="str">
        <x:v>SYNTH</x:v>
      </x:c>
      <x:c r="C43" s="70" t="str">
        <x:v>RG01现实门槛｜正式定义</x:v>
      </x:c>
      <x:c r="D43" s="70" t="str">
        <x:v>待验证</x:v>
      </x:c>
      <x:c r="E43" s="70" t="n">
        <x:f>COUNTIFS('06_规则命中'!$D$6:$D$405,A43,'06_规则命中'!$I$6:$I$405,"支持",'06_规则命中'!$N$6:$N$405,"是")</x:f>
        <x:v>0</x:v>
      </x:c>
      <x:c r="F43" s="70" t="n">
        <x:f>COUNTIFS('06_规则命中'!$D$6:$D$405,A43,'06_规则命中'!$I$6:$I$405,"基本支持",'06_规则命中'!$N$6:$N$405,"是")</x:f>
        <x:v>0</x:v>
      </x:c>
      <x:c r="G43" s="70" t="n">
        <x:f>COUNTIFS('06_规则命中'!$D$6:$D$405,A43,'06_规则命中'!$I$6:$I$405,"部分支持",'06_规则命中'!$N$6:$N$405,"是")</x:f>
        <x:v>0</x:v>
      </x:c>
      <x:c r="H43" s="70" t="n">
        <x:f>COUNTIFS('06_规则命中'!$D$6:$D$405,A43,'06_规则命中'!$I$6:$I$405,"相邻但不同",'06_规则命中'!$N$6:$N$405,"是")</x:f>
        <x:v>0</x:v>
      </x:c>
      <x:c r="I43" s="70" t="n">
        <x:f>COUNTIFS('06_规则命中'!$D$6:$D$405,A43,'06_规则命中'!$I$6:$I$405,"反例",'06_规则命中'!$N$6:$N$405,"是")</x:f>
        <x:v>0</x:v>
      </x:c>
      <x:c r="J43" s="70" t="n">
        <x:f>COUNTIFS('06_规则命中'!$D$6:$D$405,A43,'06_规则命中'!$I$6:$I$405,"不可评估",'06_规则命中'!$N$6:$N$405,"是")</x:f>
        <x:v>0</x:v>
      </x:c>
      <x:c r="K43" s="70" t="n">
        <x:f>SUM(E43:I43)</x:f>
        <x:v>0</x:v>
      </x:c>
      <x:c r="L43" s="108" t="str">
        <x:f>IFERROR((E43+0.75*F43+0.5*G43+0.25*H43)/K43,"")</x:f>
      </x:c>
      <x:c r="M43" s="108" t="str">
        <x:f>IFERROR(I43/K43,"")</x:f>
      </x:c>
      <x:c r="N43" s="70" t="n">
        <x:f>COUNTIFS('08_反例与错误'!$E$6:$E$155,A43,'08_反例与错误'!$H$6:$H$155,"强")+COUNTIFS('08_反例与错误'!$E$6:$E$155,A43,'08_反例与错误'!$H$6:$H$155,"安全")</x:f>
        <x:v>0</x:v>
      </x:c>
      <x:c r="O43" s="70" t="n">
        <x:f>COUNTIFS('06_规则命中'!$D$6:$D$405,A43,'06_规则命中'!$I$6:$I$405,"反例",'06_规则命中'!$L$6:$L$405,"是",'06_规则命中'!$N$6:$N$405,"是")</x:f>
        <x:v>0</x:v>
      </x:c>
      <x:c r="P43" s="108" t="str">
        <x:f>IFERROR(SUMIFS('06_规则命中'!$J$6:$J$405,'06_规则命中'!$D$6:$D$405,A43,'06_规则命中'!$C$6:$C$405,"开发集",'06_规则命中'!$N$6:$N$405,"是")/COUNTIFS('06_规则命中'!$D$6:$D$405,A43,'06_规则命中'!$C$6:$C$405,"开发集",'06_规则命中'!$I$6:$I$405,"&lt;&gt;不可评估",'06_规则命中'!$N$6:$N$405,"是"),"")</x:f>
      </x:c>
      <x:c r="Q43" s="108" t="str">
        <x:f>IFERROR(SUMIFS('06_规则命中'!$J$6:$J$405,'06_规则命中'!$D$6:$D$405,A43,'06_规则命中'!$C$6:$C$405,"留出集",'06_规则命中'!$N$6:$N$405,"是")/COUNTIFS('06_规则命中'!$D$6:$D$405,A43,'06_规则命中'!$C$6:$C$405,"留出集",'06_规则命中'!$I$6:$I$405,"&lt;&gt;不可评估",'06_规则命中'!$N$6:$N$405,"是"),"")</x:f>
      </x:c>
      <x:c r="R43" s="70" t="str">
        <x:f>IF(K43=0,"P0 待验证",IF(K43&lt;3,"P1 极少样本",IF(K43&lt;6,"P2 探索",IF(K43&lt;12,"P3 初步","P4 稳定候选"))))</x:f>
        <x:v>P0 待验证</x:v>
      </x:c>
      <x:c r="S43" s="70" t="str">
        <x:f>IF(O43&gt;0,"立即安全审查",IF(K43&lt;3,"样本不足",IF(AND(K43&gt;=4,M43&gt;=0.6),"停用候选",IF(AND(K43&gt;=6,M43&gt;=0.4),"优先修改",IF(AND(K43&gt;=8,L43&gt;=0.75,M43&lt;=0.15,N43=0),"保留观察",IF(AND(P43&lt;&gt;"",Q43&lt;&gt;"",ABS(P43-Q43)&gt;0.25),"疑似过拟合","继续验证"))))))</x:f>
        <x:v>样本不足</x:v>
      </x:c>
      <x:c r="T43" s="70" t="str"/>
      <x:c r="U43" s="70" t="str">
        <x:v>待验证</x:v>
      </x:c>
      <x:c r="V43" s="70" t="str"/>
      <x:c r="W43" s="70" t="str"/>
    </x:row>
    <x:row r="44">
      <x:c r="A44" s="70" t="str">
        <x:v>M5-SYNTH-117</x:v>
      </x:c>
      <x:c r="B44" s="70" t="str">
        <x:v>SYNTH</x:v>
      </x:c>
      <x:c r="C44" s="70" t="str">
        <x:v>RG02现实门槛｜正式定义</x:v>
      </x:c>
      <x:c r="D44" s="70" t="str">
        <x:v>待验证</x:v>
      </x:c>
      <x:c r="E44" s="70" t="n">
        <x:f>COUNTIFS('06_规则命中'!$D$6:$D$405,A44,'06_规则命中'!$I$6:$I$405,"支持",'06_规则命中'!$N$6:$N$405,"是")</x:f>
        <x:v>0</x:v>
      </x:c>
      <x:c r="F44" s="70" t="n">
        <x:f>COUNTIFS('06_规则命中'!$D$6:$D$405,A44,'06_规则命中'!$I$6:$I$405,"基本支持",'06_规则命中'!$N$6:$N$405,"是")</x:f>
        <x:v>0</x:v>
      </x:c>
      <x:c r="G44" s="70" t="n">
        <x:f>COUNTIFS('06_规则命中'!$D$6:$D$405,A44,'06_规则命中'!$I$6:$I$405,"部分支持",'06_规则命中'!$N$6:$N$405,"是")</x:f>
        <x:v>0</x:v>
      </x:c>
      <x:c r="H44" s="70" t="n">
        <x:f>COUNTIFS('06_规则命中'!$D$6:$D$405,A44,'06_规则命中'!$I$6:$I$405,"相邻但不同",'06_规则命中'!$N$6:$N$405,"是")</x:f>
        <x:v>0</x:v>
      </x:c>
      <x:c r="I44" s="70" t="n">
        <x:f>COUNTIFS('06_规则命中'!$D$6:$D$405,A44,'06_规则命中'!$I$6:$I$405,"反例",'06_规则命中'!$N$6:$N$405,"是")</x:f>
        <x:v>0</x:v>
      </x:c>
      <x:c r="J44" s="70" t="n">
        <x:f>COUNTIFS('06_规则命中'!$D$6:$D$405,A44,'06_规则命中'!$I$6:$I$405,"不可评估",'06_规则命中'!$N$6:$N$405,"是")</x:f>
        <x:v>0</x:v>
      </x:c>
      <x:c r="K44" s="70" t="n">
        <x:f>SUM(E44:I44)</x:f>
        <x:v>0</x:v>
      </x:c>
      <x:c r="L44" s="108" t="str">
        <x:f>IFERROR((E44+0.75*F44+0.5*G44+0.25*H44)/K44,"")</x:f>
      </x:c>
      <x:c r="M44" s="108" t="str">
        <x:f>IFERROR(I44/K44,"")</x:f>
      </x:c>
      <x:c r="N44" s="70" t="n">
        <x:f>COUNTIFS('08_反例与错误'!$E$6:$E$155,A44,'08_反例与错误'!$H$6:$H$155,"强")+COUNTIFS('08_反例与错误'!$E$6:$E$155,A44,'08_反例与错误'!$H$6:$H$155,"安全")</x:f>
        <x:v>0</x:v>
      </x:c>
      <x:c r="O44" s="70" t="n">
        <x:f>COUNTIFS('06_规则命中'!$D$6:$D$405,A44,'06_规则命中'!$I$6:$I$405,"反例",'06_规则命中'!$L$6:$L$405,"是",'06_规则命中'!$N$6:$N$405,"是")</x:f>
        <x:v>0</x:v>
      </x:c>
      <x:c r="P44" s="108" t="str">
        <x:f>IFERROR(SUMIFS('06_规则命中'!$J$6:$J$405,'06_规则命中'!$D$6:$D$405,A44,'06_规则命中'!$C$6:$C$405,"开发集",'06_规则命中'!$N$6:$N$405,"是")/COUNTIFS('06_规则命中'!$D$6:$D$405,A44,'06_规则命中'!$C$6:$C$405,"开发集",'06_规则命中'!$I$6:$I$405,"&lt;&gt;不可评估",'06_规则命中'!$N$6:$N$405,"是"),"")</x:f>
      </x:c>
      <x:c r="Q44" s="108" t="str">
        <x:f>IFERROR(SUMIFS('06_规则命中'!$J$6:$J$405,'06_规则命中'!$D$6:$D$405,A44,'06_规则命中'!$C$6:$C$405,"留出集",'06_规则命中'!$N$6:$N$405,"是")/COUNTIFS('06_规则命中'!$D$6:$D$405,A44,'06_规则命中'!$C$6:$C$405,"留出集",'06_规则命中'!$I$6:$I$405,"&lt;&gt;不可评估",'06_规则命中'!$N$6:$N$405,"是"),"")</x:f>
      </x:c>
      <x:c r="R44" s="70" t="str">
        <x:f>IF(K44=0,"P0 待验证",IF(K44&lt;3,"P1 极少样本",IF(K44&lt;6,"P2 探索",IF(K44&lt;12,"P3 初步","P4 稳定候选"))))</x:f>
        <x:v>P0 待验证</x:v>
      </x:c>
      <x:c r="S44" s="70" t="str">
        <x:f>IF(O44&gt;0,"立即安全审查",IF(K44&lt;3,"样本不足",IF(AND(K44&gt;=4,M44&gt;=0.6),"停用候选",IF(AND(K44&gt;=6,M44&gt;=0.4),"优先修改",IF(AND(K44&gt;=8,L44&gt;=0.75,M44&lt;=0.15,N44=0),"保留观察",IF(AND(P44&lt;&gt;"",Q44&lt;&gt;"",ABS(P44-Q44)&gt;0.25),"疑似过拟合","继续验证"))))))</x:f>
        <x:v>样本不足</x:v>
      </x:c>
      <x:c r="T44" s="70" t="str"/>
      <x:c r="U44" s="70" t="str">
        <x:v>待验证</x:v>
      </x:c>
      <x:c r="V44" s="70" t="str"/>
      <x:c r="W44" s="70" t="str"/>
    </x:row>
    <x:row r="45">
      <x:c r="A45" s="70" t="str">
        <x:v>M5-SYNTH-121</x:v>
      </x:c>
      <x:c r="B45" s="70" t="str">
        <x:v>SYNTH</x:v>
      </x:c>
      <x:c r="C45" s="70" t="str">
        <x:v>RG03现实门槛｜正式定义</x:v>
      </x:c>
      <x:c r="D45" s="70" t="str">
        <x:v>待验证</x:v>
      </x:c>
      <x:c r="E45" s="70" t="n">
        <x:f>COUNTIFS('06_规则命中'!$D$6:$D$405,A45,'06_规则命中'!$I$6:$I$405,"支持",'06_规则命中'!$N$6:$N$405,"是")</x:f>
        <x:v>0</x:v>
      </x:c>
      <x:c r="F45" s="70" t="n">
        <x:f>COUNTIFS('06_规则命中'!$D$6:$D$405,A45,'06_规则命中'!$I$6:$I$405,"基本支持",'06_规则命中'!$N$6:$N$405,"是")</x:f>
        <x:v>0</x:v>
      </x:c>
      <x:c r="G45" s="70" t="n">
        <x:f>COUNTIFS('06_规则命中'!$D$6:$D$405,A45,'06_规则命中'!$I$6:$I$405,"部分支持",'06_规则命中'!$N$6:$N$405,"是")</x:f>
        <x:v>0</x:v>
      </x:c>
      <x:c r="H45" s="70" t="n">
        <x:f>COUNTIFS('06_规则命中'!$D$6:$D$405,A45,'06_规则命中'!$I$6:$I$405,"相邻但不同",'06_规则命中'!$N$6:$N$405,"是")</x:f>
        <x:v>0</x:v>
      </x:c>
      <x:c r="I45" s="70" t="n">
        <x:f>COUNTIFS('06_规则命中'!$D$6:$D$405,A45,'06_规则命中'!$I$6:$I$405,"反例",'06_规则命中'!$N$6:$N$405,"是")</x:f>
        <x:v>0</x:v>
      </x:c>
      <x:c r="J45" s="70" t="n">
        <x:f>COUNTIFS('06_规则命中'!$D$6:$D$405,A45,'06_规则命中'!$I$6:$I$405,"不可评估",'06_规则命中'!$N$6:$N$405,"是")</x:f>
        <x:v>0</x:v>
      </x:c>
      <x:c r="K45" s="70" t="n">
        <x:f>SUM(E45:I45)</x:f>
        <x:v>0</x:v>
      </x:c>
      <x:c r="L45" s="108" t="str">
        <x:f>IFERROR((E45+0.75*F45+0.5*G45+0.25*H45)/K45,"")</x:f>
      </x:c>
      <x:c r="M45" s="108" t="str">
        <x:f>IFERROR(I45/K45,"")</x:f>
      </x:c>
      <x:c r="N45" s="70" t="n">
        <x:f>COUNTIFS('08_反例与错误'!$E$6:$E$155,A45,'08_反例与错误'!$H$6:$H$155,"强")+COUNTIFS('08_反例与错误'!$E$6:$E$155,A45,'08_反例与错误'!$H$6:$H$155,"安全")</x:f>
        <x:v>0</x:v>
      </x:c>
      <x:c r="O45" s="70" t="n">
        <x:f>COUNTIFS('06_规则命中'!$D$6:$D$405,A45,'06_规则命中'!$I$6:$I$405,"反例",'06_规则命中'!$L$6:$L$405,"是",'06_规则命中'!$N$6:$N$405,"是")</x:f>
        <x:v>0</x:v>
      </x:c>
      <x:c r="P45" s="108" t="str">
        <x:f>IFERROR(SUMIFS('06_规则命中'!$J$6:$J$405,'06_规则命中'!$D$6:$D$405,A45,'06_规则命中'!$C$6:$C$405,"开发集",'06_规则命中'!$N$6:$N$405,"是")/COUNTIFS('06_规则命中'!$D$6:$D$405,A45,'06_规则命中'!$C$6:$C$405,"开发集",'06_规则命中'!$I$6:$I$405,"&lt;&gt;不可评估",'06_规则命中'!$N$6:$N$405,"是"),"")</x:f>
      </x:c>
      <x:c r="Q45" s="108" t="str">
        <x:f>IFERROR(SUMIFS('06_规则命中'!$J$6:$J$405,'06_规则命中'!$D$6:$D$405,A45,'06_规则命中'!$C$6:$C$405,"留出集",'06_规则命中'!$N$6:$N$405,"是")/COUNTIFS('06_规则命中'!$D$6:$D$405,A45,'06_规则命中'!$C$6:$C$405,"留出集",'06_规则命中'!$I$6:$I$405,"&lt;&gt;不可评估",'06_规则命中'!$N$6:$N$405,"是"),"")</x:f>
      </x:c>
      <x:c r="R45" s="70" t="str">
        <x:f>IF(K45=0,"P0 待验证",IF(K45&lt;3,"P1 极少样本",IF(K45&lt;6,"P2 探索",IF(K45&lt;12,"P3 初步","P4 稳定候选"))))</x:f>
        <x:v>P0 待验证</x:v>
      </x:c>
      <x:c r="S45" s="70" t="str">
        <x:f>IF(O45&gt;0,"立即安全审查",IF(K45&lt;3,"样本不足",IF(AND(K45&gt;=4,M45&gt;=0.6),"停用候选",IF(AND(K45&gt;=6,M45&gt;=0.4),"优先修改",IF(AND(K45&gt;=8,L45&gt;=0.75,M45&lt;=0.15,N45=0),"保留观察",IF(AND(P45&lt;&gt;"",Q45&lt;&gt;"",ABS(P45-Q45)&gt;0.25),"疑似过拟合","继续验证"))))))</x:f>
        <x:v>样本不足</x:v>
      </x:c>
      <x:c r="T45" s="70" t="str"/>
      <x:c r="U45" s="70" t="str">
        <x:v>待验证</x:v>
      </x:c>
      <x:c r="V45" s="70" t="str"/>
      <x:c r="W45" s="70" t="str"/>
    </x:row>
    <x:row r="46">
      <x:c r="A46" s="70" t="str">
        <x:v>M5-SYNTH-125</x:v>
      </x:c>
      <x:c r="B46" s="70" t="str">
        <x:v>SYNTH</x:v>
      </x:c>
      <x:c r="C46" s="70" t="str">
        <x:v>RG04现实门槛｜正式定义</x:v>
      </x:c>
      <x:c r="D46" s="70" t="str">
        <x:v>待验证</x:v>
      </x:c>
      <x:c r="E46" s="70" t="n">
        <x:f>COUNTIFS('06_规则命中'!$D$6:$D$405,A46,'06_规则命中'!$I$6:$I$405,"支持",'06_规则命中'!$N$6:$N$405,"是")</x:f>
        <x:v>0</x:v>
      </x:c>
      <x:c r="F46" s="70" t="n">
        <x:f>COUNTIFS('06_规则命中'!$D$6:$D$405,A46,'06_规则命中'!$I$6:$I$405,"基本支持",'06_规则命中'!$N$6:$N$405,"是")</x:f>
        <x:v>0</x:v>
      </x:c>
      <x:c r="G46" s="70" t="n">
        <x:f>COUNTIFS('06_规则命中'!$D$6:$D$405,A46,'06_规则命中'!$I$6:$I$405,"部分支持",'06_规则命中'!$N$6:$N$405,"是")</x:f>
        <x:v>0</x:v>
      </x:c>
      <x:c r="H46" s="70" t="n">
        <x:f>COUNTIFS('06_规则命中'!$D$6:$D$405,A46,'06_规则命中'!$I$6:$I$405,"相邻但不同",'06_规则命中'!$N$6:$N$405,"是")</x:f>
        <x:v>0</x:v>
      </x:c>
      <x:c r="I46" s="70" t="n">
        <x:f>COUNTIFS('06_规则命中'!$D$6:$D$405,A46,'06_规则命中'!$I$6:$I$405,"反例",'06_规则命中'!$N$6:$N$405,"是")</x:f>
        <x:v>0</x:v>
      </x:c>
      <x:c r="J46" s="70" t="n">
        <x:f>COUNTIFS('06_规则命中'!$D$6:$D$405,A46,'06_规则命中'!$I$6:$I$405,"不可评估",'06_规则命中'!$N$6:$N$405,"是")</x:f>
        <x:v>0</x:v>
      </x:c>
      <x:c r="K46" s="70" t="n">
        <x:f>SUM(E46:I46)</x:f>
        <x:v>0</x:v>
      </x:c>
      <x:c r="L46" s="108" t="str">
        <x:f>IFERROR((E46+0.75*F46+0.5*G46+0.25*H46)/K46,"")</x:f>
      </x:c>
      <x:c r="M46" s="108" t="str">
        <x:f>IFERROR(I46/K46,"")</x:f>
      </x:c>
      <x:c r="N46" s="70" t="n">
        <x:f>COUNTIFS('08_反例与错误'!$E$6:$E$155,A46,'08_反例与错误'!$H$6:$H$155,"强")+COUNTIFS('08_反例与错误'!$E$6:$E$155,A46,'08_反例与错误'!$H$6:$H$155,"安全")</x:f>
        <x:v>0</x:v>
      </x:c>
      <x:c r="O46" s="70" t="n">
        <x:f>COUNTIFS('06_规则命中'!$D$6:$D$405,A46,'06_规则命中'!$I$6:$I$405,"反例",'06_规则命中'!$L$6:$L$405,"是",'06_规则命中'!$N$6:$N$405,"是")</x:f>
        <x:v>0</x:v>
      </x:c>
      <x:c r="P46" s="108" t="str">
        <x:f>IFERROR(SUMIFS('06_规则命中'!$J$6:$J$405,'06_规则命中'!$D$6:$D$405,A46,'06_规则命中'!$C$6:$C$405,"开发集",'06_规则命中'!$N$6:$N$405,"是")/COUNTIFS('06_规则命中'!$D$6:$D$405,A46,'06_规则命中'!$C$6:$C$405,"开发集",'06_规则命中'!$I$6:$I$405,"&lt;&gt;不可评估",'06_规则命中'!$N$6:$N$405,"是"),"")</x:f>
      </x:c>
      <x:c r="Q46" s="108" t="str">
        <x:f>IFERROR(SUMIFS('06_规则命中'!$J$6:$J$405,'06_规则命中'!$D$6:$D$405,A46,'06_规则命中'!$C$6:$C$405,"留出集",'06_规则命中'!$N$6:$N$405,"是")/COUNTIFS('06_规则命中'!$D$6:$D$405,A46,'06_规则命中'!$C$6:$C$405,"留出集",'06_规则命中'!$I$6:$I$405,"&lt;&gt;不可评估",'06_规则命中'!$N$6:$N$405,"是"),"")</x:f>
      </x:c>
      <x:c r="R46" s="70" t="str">
        <x:f>IF(K46=0,"P0 待验证",IF(K46&lt;3,"P1 极少样本",IF(K46&lt;6,"P2 探索",IF(K46&lt;12,"P3 初步","P4 稳定候选"))))</x:f>
        <x:v>P0 待验证</x:v>
      </x:c>
      <x:c r="S46" s="70" t="str">
        <x:f>IF(O46&gt;0,"立即安全审查",IF(K46&lt;3,"样本不足",IF(AND(K46&gt;=4,M46&gt;=0.6),"停用候选",IF(AND(K46&gt;=6,M46&gt;=0.4),"优先修改",IF(AND(K46&gt;=8,L46&gt;=0.75,M46&lt;=0.15,N46=0),"保留观察",IF(AND(P46&lt;&gt;"",Q46&lt;&gt;"",ABS(P46-Q46)&gt;0.25),"疑似过拟合","继续验证"))))))</x:f>
        <x:v>样本不足</x:v>
      </x:c>
      <x:c r="T46" s="70" t="str"/>
      <x:c r="U46" s="70" t="str">
        <x:v>待验证</x:v>
      </x:c>
      <x:c r="V46" s="70" t="str"/>
      <x:c r="W46" s="70" t="str"/>
    </x:row>
    <x:row r="47">
      <x:c r="A47" s="70" t="str">
        <x:v>M5-SYNTH-129</x:v>
      </x:c>
      <x:c r="B47" s="70" t="str">
        <x:v>SYNTH</x:v>
      </x:c>
      <x:c r="C47" s="70" t="str">
        <x:v>RG05现实门槛｜正式定义</x:v>
      </x:c>
      <x:c r="D47" s="70" t="str">
        <x:v>待验证</x:v>
      </x:c>
      <x:c r="E47" s="70" t="n">
        <x:f>COUNTIFS('06_规则命中'!$D$6:$D$405,A47,'06_规则命中'!$I$6:$I$405,"支持",'06_规则命中'!$N$6:$N$405,"是")</x:f>
        <x:v>0</x:v>
      </x:c>
      <x:c r="F47" s="70" t="n">
        <x:f>COUNTIFS('06_规则命中'!$D$6:$D$405,A47,'06_规则命中'!$I$6:$I$405,"基本支持",'06_规则命中'!$N$6:$N$405,"是")</x:f>
        <x:v>0</x:v>
      </x:c>
      <x:c r="G47" s="70" t="n">
        <x:f>COUNTIFS('06_规则命中'!$D$6:$D$405,A47,'06_规则命中'!$I$6:$I$405,"部分支持",'06_规则命中'!$N$6:$N$405,"是")</x:f>
        <x:v>0</x:v>
      </x:c>
      <x:c r="H47" s="70" t="n">
        <x:f>COUNTIFS('06_规则命中'!$D$6:$D$405,A47,'06_规则命中'!$I$6:$I$405,"相邻但不同",'06_规则命中'!$N$6:$N$405,"是")</x:f>
        <x:v>0</x:v>
      </x:c>
      <x:c r="I47" s="70" t="n">
        <x:f>COUNTIFS('06_规则命中'!$D$6:$D$405,A47,'06_规则命中'!$I$6:$I$405,"反例",'06_规则命中'!$N$6:$N$405,"是")</x:f>
        <x:v>0</x:v>
      </x:c>
      <x:c r="J47" s="70" t="n">
        <x:f>COUNTIFS('06_规则命中'!$D$6:$D$405,A47,'06_规则命中'!$I$6:$I$405,"不可评估",'06_规则命中'!$N$6:$N$405,"是")</x:f>
        <x:v>0</x:v>
      </x:c>
      <x:c r="K47" s="70" t="n">
        <x:f>SUM(E47:I47)</x:f>
        <x:v>0</x:v>
      </x:c>
      <x:c r="L47" s="108" t="str">
        <x:f>IFERROR((E47+0.75*F47+0.5*G47+0.25*H47)/K47,"")</x:f>
      </x:c>
      <x:c r="M47" s="108" t="str">
        <x:f>IFERROR(I47/K47,"")</x:f>
      </x:c>
      <x:c r="N47" s="70" t="n">
        <x:f>COUNTIFS('08_反例与错误'!$E$6:$E$155,A47,'08_反例与错误'!$H$6:$H$155,"强")+COUNTIFS('08_反例与错误'!$E$6:$E$155,A47,'08_反例与错误'!$H$6:$H$155,"安全")</x:f>
        <x:v>0</x:v>
      </x:c>
      <x:c r="O47" s="70" t="n">
        <x:f>COUNTIFS('06_规则命中'!$D$6:$D$405,A47,'06_规则命中'!$I$6:$I$405,"反例",'06_规则命中'!$L$6:$L$405,"是",'06_规则命中'!$N$6:$N$405,"是")</x:f>
        <x:v>0</x:v>
      </x:c>
      <x:c r="P47" s="108" t="str">
        <x:f>IFERROR(SUMIFS('06_规则命中'!$J$6:$J$405,'06_规则命中'!$D$6:$D$405,A47,'06_规则命中'!$C$6:$C$405,"开发集",'06_规则命中'!$N$6:$N$405,"是")/COUNTIFS('06_规则命中'!$D$6:$D$405,A47,'06_规则命中'!$C$6:$C$405,"开发集",'06_规则命中'!$I$6:$I$405,"&lt;&gt;不可评估",'06_规则命中'!$N$6:$N$405,"是"),"")</x:f>
      </x:c>
      <x:c r="Q47" s="108" t="str">
        <x:f>IFERROR(SUMIFS('06_规则命中'!$J$6:$J$405,'06_规则命中'!$D$6:$D$405,A47,'06_规则命中'!$C$6:$C$405,"留出集",'06_规则命中'!$N$6:$N$405,"是")/COUNTIFS('06_规则命中'!$D$6:$D$405,A47,'06_规则命中'!$C$6:$C$405,"留出集",'06_规则命中'!$I$6:$I$405,"&lt;&gt;不可评估",'06_规则命中'!$N$6:$N$405,"是"),"")</x:f>
      </x:c>
      <x:c r="R47" s="70" t="str">
        <x:f>IF(K47=0,"P0 待验证",IF(K47&lt;3,"P1 极少样本",IF(K47&lt;6,"P2 探索",IF(K47&lt;12,"P3 初步","P4 稳定候选"))))</x:f>
        <x:v>P0 待验证</x:v>
      </x:c>
      <x:c r="S47" s="70" t="str">
        <x:f>IF(O47&gt;0,"立即安全审查",IF(K47&lt;3,"样本不足",IF(AND(K47&gt;=4,M47&gt;=0.6),"停用候选",IF(AND(K47&gt;=6,M47&gt;=0.4),"优先修改",IF(AND(K47&gt;=8,L47&gt;=0.75,M47&lt;=0.15,N47=0),"保留观察",IF(AND(P47&lt;&gt;"",Q47&lt;&gt;"",ABS(P47-Q47)&gt;0.25),"疑似过拟合","继续验证"))))))</x:f>
        <x:v>样本不足</x:v>
      </x:c>
      <x:c r="T47" s="70" t="str"/>
      <x:c r="U47" s="70" t="str">
        <x:v>待验证</x:v>
      </x:c>
      <x:c r="V47" s="70" t="str"/>
      <x:c r="W47" s="70" t="str"/>
    </x:row>
    <x:row r="48">
      <x:c r="A48" s="70" t="str">
        <x:v>M5-SYNTH-133</x:v>
      </x:c>
      <x:c r="B48" s="70" t="str">
        <x:v>SYNTH</x:v>
      </x:c>
      <x:c r="C48" s="70" t="str">
        <x:v>RG06现实门槛｜正式定义</x:v>
      </x:c>
      <x:c r="D48" s="70" t="str">
        <x:v>待验证</x:v>
      </x:c>
      <x:c r="E48" s="70" t="n">
        <x:f>COUNTIFS('06_规则命中'!$D$6:$D$405,A48,'06_规则命中'!$I$6:$I$405,"支持",'06_规则命中'!$N$6:$N$405,"是")</x:f>
        <x:v>0</x:v>
      </x:c>
      <x:c r="F48" s="70" t="n">
        <x:f>COUNTIFS('06_规则命中'!$D$6:$D$405,A48,'06_规则命中'!$I$6:$I$405,"基本支持",'06_规则命中'!$N$6:$N$405,"是")</x:f>
        <x:v>0</x:v>
      </x:c>
      <x:c r="G48" s="70" t="n">
        <x:f>COUNTIFS('06_规则命中'!$D$6:$D$405,A48,'06_规则命中'!$I$6:$I$405,"部分支持",'06_规则命中'!$N$6:$N$405,"是")</x:f>
        <x:v>0</x:v>
      </x:c>
      <x:c r="H48" s="70" t="n">
        <x:f>COUNTIFS('06_规则命中'!$D$6:$D$405,A48,'06_规则命中'!$I$6:$I$405,"相邻但不同",'06_规则命中'!$N$6:$N$405,"是")</x:f>
        <x:v>0</x:v>
      </x:c>
      <x:c r="I48" s="70" t="n">
        <x:f>COUNTIFS('06_规则命中'!$D$6:$D$405,A48,'06_规则命中'!$I$6:$I$405,"反例",'06_规则命中'!$N$6:$N$405,"是")</x:f>
        <x:v>0</x:v>
      </x:c>
      <x:c r="J48" s="70" t="n">
        <x:f>COUNTIFS('06_规则命中'!$D$6:$D$405,A48,'06_规则命中'!$I$6:$I$405,"不可评估",'06_规则命中'!$N$6:$N$405,"是")</x:f>
        <x:v>0</x:v>
      </x:c>
      <x:c r="K48" s="70" t="n">
        <x:f>SUM(E48:I48)</x:f>
        <x:v>0</x:v>
      </x:c>
      <x:c r="L48" s="108" t="str">
        <x:f>IFERROR((E48+0.75*F48+0.5*G48+0.25*H48)/K48,"")</x:f>
      </x:c>
      <x:c r="M48" s="108" t="str">
        <x:f>IFERROR(I48/K48,"")</x:f>
      </x:c>
      <x:c r="N48" s="70" t="n">
        <x:f>COUNTIFS('08_反例与错误'!$E$6:$E$155,A48,'08_反例与错误'!$H$6:$H$155,"强")+COUNTIFS('08_反例与错误'!$E$6:$E$155,A48,'08_反例与错误'!$H$6:$H$155,"安全")</x:f>
        <x:v>0</x:v>
      </x:c>
      <x:c r="O48" s="70" t="n">
        <x:f>COUNTIFS('06_规则命中'!$D$6:$D$405,A48,'06_规则命中'!$I$6:$I$405,"反例",'06_规则命中'!$L$6:$L$405,"是",'06_规则命中'!$N$6:$N$405,"是")</x:f>
        <x:v>0</x:v>
      </x:c>
      <x:c r="P48" s="108" t="str">
        <x:f>IFERROR(SUMIFS('06_规则命中'!$J$6:$J$405,'06_规则命中'!$D$6:$D$405,A48,'06_规则命中'!$C$6:$C$405,"开发集",'06_规则命中'!$N$6:$N$405,"是")/COUNTIFS('06_规则命中'!$D$6:$D$405,A48,'06_规则命中'!$C$6:$C$405,"开发集",'06_规则命中'!$I$6:$I$405,"&lt;&gt;不可评估",'06_规则命中'!$N$6:$N$405,"是"),"")</x:f>
      </x:c>
      <x:c r="Q48" s="108" t="str">
        <x:f>IFERROR(SUMIFS('06_规则命中'!$J$6:$J$405,'06_规则命中'!$D$6:$D$405,A48,'06_规则命中'!$C$6:$C$405,"留出集",'06_规则命中'!$N$6:$N$405,"是")/COUNTIFS('06_规则命中'!$D$6:$D$405,A48,'06_规则命中'!$C$6:$C$405,"留出集",'06_规则命中'!$I$6:$I$405,"&lt;&gt;不可评估",'06_规则命中'!$N$6:$N$405,"是"),"")</x:f>
      </x:c>
      <x:c r="R48" s="70" t="str">
        <x:f>IF(K48=0,"P0 待验证",IF(K48&lt;3,"P1 极少样本",IF(K48&lt;6,"P2 探索",IF(K48&lt;12,"P3 初步","P4 稳定候选"))))</x:f>
        <x:v>P0 待验证</x:v>
      </x:c>
      <x:c r="S48" s="70" t="str">
        <x:f>IF(O48&gt;0,"立即安全审查",IF(K48&lt;3,"样本不足",IF(AND(K48&gt;=4,M48&gt;=0.6),"停用候选",IF(AND(K48&gt;=6,M48&gt;=0.4),"优先修改",IF(AND(K48&gt;=8,L48&gt;=0.75,M48&lt;=0.15,N48=0),"保留观察",IF(AND(P48&lt;&gt;"",Q48&lt;&gt;"",ABS(P48-Q48)&gt;0.25),"疑似过拟合","继续验证"))))))</x:f>
        <x:v>样本不足</x:v>
      </x:c>
      <x:c r="T48" s="70" t="str"/>
      <x:c r="U48" s="70" t="str">
        <x:v>待验证</x:v>
      </x:c>
      <x:c r="V48" s="70" t="str"/>
      <x:c r="W48" s="70" t="str"/>
    </x:row>
    <x:row r="49">
      <x:c r="A49" s="70" t="str">
        <x:v>M5-SYNTH-137</x:v>
      </x:c>
      <x:c r="B49" s="70" t="str">
        <x:v>SYNTH</x:v>
      </x:c>
      <x:c r="C49" s="70" t="str">
        <x:v>RG07现实门槛｜正式定义</x:v>
      </x:c>
      <x:c r="D49" s="70" t="str">
        <x:v>待验证</x:v>
      </x:c>
      <x:c r="E49" s="70" t="n">
        <x:f>COUNTIFS('06_规则命中'!$D$6:$D$405,A49,'06_规则命中'!$I$6:$I$405,"支持",'06_规则命中'!$N$6:$N$405,"是")</x:f>
        <x:v>0</x:v>
      </x:c>
      <x:c r="F49" s="70" t="n">
        <x:f>COUNTIFS('06_规则命中'!$D$6:$D$405,A49,'06_规则命中'!$I$6:$I$405,"基本支持",'06_规则命中'!$N$6:$N$405,"是")</x:f>
        <x:v>0</x:v>
      </x:c>
      <x:c r="G49" s="70" t="n">
        <x:f>COUNTIFS('06_规则命中'!$D$6:$D$405,A49,'06_规则命中'!$I$6:$I$405,"部分支持",'06_规则命中'!$N$6:$N$405,"是")</x:f>
        <x:v>0</x:v>
      </x:c>
      <x:c r="H49" s="70" t="n">
        <x:f>COUNTIFS('06_规则命中'!$D$6:$D$405,A49,'06_规则命中'!$I$6:$I$405,"相邻但不同",'06_规则命中'!$N$6:$N$405,"是")</x:f>
        <x:v>0</x:v>
      </x:c>
      <x:c r="I49" s="70" t="n">
        <x:f>COUNTIFS('06_规则命中'!$D$6:$D$405,A49,'06_规则命中'!$I$6:$I$405,"反例",'06_规则命中'!$N$6:$N$405,"是")</x:f>
        <x:v>0</x:v>
      </x:c>
      <x:c r="J49" s="70" t="n">
        <x:f>COUNTIFS('06_规则命中'!$D$6:$D$405,A49,'06_规则命中'!$I$6:$I$405,"不可评估",'06_规则命中'!$N$6:$N$405,"是")</x:f>
        <x:v>0</x:v>
      </x:c>
      <x:c r="K49" s="70" t="n">
        <x:f>SUM(E49:I49)</x:f>
        <x:v>0</x:v>
      </x:c>
      <x:c r="L49" s="108" t="str">
        <x:f>IFERROR((E49+0.75*F49+0.5*G49+0.25*H49)/K49,"")</x:f>
      </x:c>
      <x:c r="M49" s="108" t="str">
        <x:f>IFERROR(I49/K49,"")</x:f>
      </x:c>
      <x:c r="N49" s="70" t="n">
        <x:f>COUNTIFS('08_反例与错误'!$E$6:$E$155,A49,'08_反例与错误'!$H$6:$H$155,"强")+COUNTIFS('08_反例与错误'!$E$6:$E$155,A49,'08_反例与错误'!$H$6:$H$155,"安全")</x:f>
        <x:v>0</x:v>
      </x:c>
      <x:c r="O49" s="70" t="n">
        <x:f>COUNTIFS('06_规则命中'!$D$6:$D$405,A49,'06_规则命中'!$I$6:$I$405,"反例",'06_规则命中'!$L$6:$L$405,"是",'06_规则命中'!$N$6:$N$405,"是")</x:f>
        <x:v>0</x:v>
      </x:c>
      <x:c r="P49" s="108" t="str">
        <x:f>IFERROR(SUMIFS('06_规则命中'!$J$6:$J$405,'06_规则命中'!$D$6:$D$405,A49,'06_规则命中'!$C$6:$C$405,"开发集",'06_规则命中'!$N$6:$N$405,"是")/COUNTIFS('06_规则命中'!$D$6:$D$405,A49,'06_规则命中'!$C$6:$C$405,"开发集",'06_规则命中'!$I$6:$I$405,"&lt;&gt;不可评估",'06_规则命中'!$N$6:$N$405,"是"),"")</x:f>
      </x:c>
      <x:c r="Q49" s="108" t="str">
        <x:f>IFERROR(SUMIFS('06_规则命中'!$J$6:$J$405,'06_规则命中'!$D$6:$D$405,A49,'06_规则命中'!$C$6:$C$405,"留出集",'06_规则命中'!$N$6:$N$405,"是")/COUNTIFS('06_规则命中'!$D$6:$D$405,A49,'06_规则命中'!$C$6:$C$405,"留出集",'06_规则命中'!$I$6:$I$405,"&lt;&gt;不可评估",'06_规则命中'!$N$6:$N$405,"是"),"")</x:f>
      </x:c>
      <x:c r="R49" s="70" t="str">
        <x:f>IF(K49=0,"P0 待验证",IF(K49&lt;3,"P1 极少样本",IF(K49&lt;6,"P2 探索",IF(K49&lt;12,"P3 初步","P4 稳定候选"))))</x:f>
        <x:v>P0 待验证</x:v>
      </x:c>
      <x:c r="S49" s="70" t="str">
        <x:f>IF(O49&gt;0,"立即安全审查",IF(K49&lt;3,"样本不足",IF(AND(K49&gt;=4,M49&gt;=0.6),"停用候选",IF(AND(K49&gt;=6,M49&gt;=0.4),"优先修改",IF(AND(K49&gt;=8,L49&gt;=0.75,M49&lt;=0.15,N49=0),"保留观察",IF(AND(P49&lt;&gt;"",Q49&lt;&gt;"",ABS(P49-Q49)&gt;0.25),"疑似过拟合","继续验证"))))))</x:f>
        <x:v>样本不足</x:v>
      </x:c>
      <x:c r="T49" s="70" t="str"/>
      <x:c r="U49" s="70" t="str">
        <x:v>待验证</x:v>
      </x:c>
      <x:c r="V49" s="70" t="str"/>
      <x:c r="W49" s="70" t="str"/>
    </x:row>
    <x:row r="50">
      <x:c r="A50" s="70" t="str">
        <x:v>M5-SYNTH-141</x:v>
      </x:c>
      <x:c r="B50" s="70" t="str">
        <x:v>SYNTH</x:v>
      </x:c>
      <x:c r="C50" s="70" t="str">
        <x:v>RG08现实门槛｜正式定义</x:v>
      </x:c>
      <x:c r="D50" s="70" t="str">
        <x:v>待验证</x:v>
      </x:c>
      <x:c r="E50" s="70" t="n">
        <x:f>COUNTIFS('06_规则命中'!$D$6:$D$405,A50,'06_规则命中'!$I$6:$I$405,"支持",'06_规则命中'!$N$6:$N$405,"是")</x:f>
        <x:v>0</x:v>
      </x:c>
      <x:c r="F50" s="70" t="n">
        <x:f>COUNTIFS('06_规则命中'!$D$6:$D$405,A50,'06_规则命中'!$I$6:$I$405,"基本支持",'06_规则命中'!$N$6:$N$405,"是")</x:f>
        <x:v>0</x:v>
      </x:c>
      <x:c r="G50" s="70" t="n">
        <x:f>COUNTIFS('06_规则命中'!$D$6:$D$405,A50,'06_规则命中'!$I$6:$I$405,"部分支持",'06_规则命中'!$N$6:$N$405,"是")</x:f>
        <x:v>0</x:v>
      </x:c>
      <x:c r="H50" s="70" t="n">
        <x:f>COUNTIFS('06_规则命中'!$D$6:$D$405,A50,'06_规则命中'!$I$6:$I$405,"相邻但不同",'06_规则命中'!$N$6:$N$405,"是")</x:f>
        <x:v>0</x:v>
      </x:c>
      <x:c r="I50" s="70" t="n">
        <x:f>COUNTIFS('06_规则命中'!$D$6:$D$405,A50,'06_规则命中'!$I$6:$I$405,"反例",'06_规则命中'!$N$6:$N$405,"是")</x:f>
        <x:v>0</x:v>
      </x:c>
      <x:c r="J50" s="70" t="n">
        <x:f>COUNTIFS('06_规则命中'!$D$6:$D$405,A50,'06_规则命中'!$I$6:$I$405,"不可评估",'06_规则命中'!$N$6:$N$405,"是")</x:f>
        <x:v>0</x:v>
      </x:c>
      <x:c r="K50" s="70" t="n">
        <x:f>SUM(E50:I50)</x:f>
        <x:v>0</x:v>
      </x:c>
      <x:c r="L50" s="108" t="str">
        <x:f>IFERROR((E50+0.75*F50+0.5*G50+0.25*H50)/K50,"")</x:f>
      </x:c>
      <x:c r="M50" s="108" t="str">
        <x:f>IFERROR(I50/K50,"")</x:f>
      </x:c>
      <x:c r="N50" s="70" t="n">
        <x:f>COUNTIFS('08_反例与错误'!$E$6:$E$155,A50,'08_反例与错误'!$H$6:$H$155,"强")+COUNTIFS('08_反例与错误'!$E$6:$E$155,A50,'08_反例与错误'!$H$6:$H$155,"安全")</x:f>
        <x:v>0</x:v>
      </x:c>
      <x:c r="O50" s="70" t="n">
        <x:f>COUNTIFS('06_规则命中'!$D$6:$D$405,A50,'06_规则命中'!$I$6:$I$405,"反例",'06_规则命中'!$L$6:$L$405,"是",'06_规则命中'!$N$6:$N$405,"是")</x:f>
        <x:v>0</x:v>
      </x:c>
      <x:c r="P50" s="108" t="str">
        <x:f>IFERROR(SUMIFS('06_规则命中'!$J$6:$J$405,'06_规则命中'!$D$6:$D$405,A50,'06_规则命中'!$C$6:$C$405,"开发集",'06_规则命中'!$N$6:$N$405,"是")/COUNTIFS('06_规则命中'!$D$6:$D$405,A50,'06_规则命中'!$C$6:$C$405,"开发集",'06_规则命中'!$I$6:$I$405,"&lt;&gt;不可评估",'06_规则命中'!$N$6:$N$405,"是"),"")</x:f>
      </x:c>
      <x:c r="Q50" s="108" t="str">
        <x:f>IFERROR(SUMIFS('06_规则命中'!$J$6:$J$405,'06_规则命中'!$D$6:$D$405,A50,'06_规则命中'!$C$6:$C$405,"留出集",'06_规则命中'!$N$6:$N$405,"是")/COUNTIFS('06_规则命中'!$D$6:$D$405,A50,'06_规则命中'!$C$6:$C$405,"留出集",'06_规则命中'!$I$6:$I$405,"&lt;&gt;不可评估",'06_规则命中'!$N$6:$N$405,"是"),"")</x:f>
      </x:c>
      <x:c r="R50" s="70" t="str">
        <x:f>IF(K50=0,"P0 待验证",IF(K50&lt;3,"P1 极少样本",IF(K50&lt;6,"P2 探索",IF(K50&lt;12,"P3 初步","P4 稳定候选"))))</x:f>
        <x:v>P0 待验证</x:v>
      </x:c>
      <x:c r="S50" s="70" t="str">
        <x:f>IF(O50&gt;0,"立即安全审查",IF(K50&lt;3,"样本不足",IF(AND(K50&gt;=4,M50&gt;=0.6),"停用候选",IF(AND(K50&gt;=6,M50&gt;=0.4),"优先修改",IF(AND(K50&gt;=8,L50&gt;=0.75,M50&lt;=0.15,N50=0),"保留观察",IF(AND(P50&lt;&gt;"",Q50&lt;&gt;"",ABS(P50-Q50)&gt;0.25),"疑似过拟合","继续验证"))))))</x:f>
        <x:v>样本不足</x:v>
      </x:c>
      <x:c r="T50" s="70" t="str"/>
      <x:c r="U50" s="70" t="str">
        <x:v>待验证</x:v>
      </x:c>
      <x:c r="V50" s="70" t="str"/>
      <x:c r="W50" s="70" t="str"/>
    </x:row>
    <x:row r="51">
      <x:c r="A51" s="70" t="str">
        <x:v>M5-SYNTH-193</x:v>
      </x:c>
      <x:c r="B51" s="70" t="str">
        <x:v>SYNTH</x:v>
      </x:c>
      <x:c r="C51" s="70" t="str">
        <x:v>主适配排序｜先安全与现实门槛</x:v>
      </x:c>
      <x:c r="D51" s="70" t="str">
        <x:v>待验证</x:v>
      </x:c>
      <x:c r="E51" s="70" t="n">
        <x:f>COUNTIFS('06_规则命中'!$D$6:$D$405,A51,'06_规则命中'!$I$6:$I$405,"支持",'06_规则命中'!$N$6:$N$405,"是")</x:f>
        <x:v>0</x:v>
      </x:c>
      <x:c r="F51" s="70" t="n">
        <x:f>COUNTIFS('06_规则命中'!$D$6:$D$405,A51,'06_规则命中'!$I$6:$I$405,"基本支持",'06_规则命中'!$N$6:$N$405,"是")</x:f>
        <x:v>0</x:v>
      </x:c>
      <x:c r="G51" s="70" t="n">
        <x:f>COUNTIFS('06_规则命中'!$D$6:$D$405,A51,'06_规则命中'!$I$6:$I$405,"部分支持",'06_规则命中'!$N$6:$N$405,"是")</x:f>
        <x:v>0</x:v>
      </x:c>
      <x:c r="H51" s="70" t="n">
        <x:f>COUNTIFS('06_规则命中'!$D$6:$D$405,A51,'06_规则命中'!$I$6:$I$405,"相邻但不同",'06_规则命中'!$N$6:$N$405,"是")</x:f>
        <x:v>0</x:v>
      </x:c>
      <x:c r="I51" s="70" t="n">
        <x:f>COUNTIFS('06_规则命中'!$D$6:$D$405,A51,'06_规则命中'!$I$6:$I$405,"反例",'06_规则命中'!$N$6:$N$405,"是")</x:f>
        <x:v>0</x:v>
      </x:c>
      <x:c r="J51" s="70" t="n">
        <x:f>COUNTIFS('06_规则命中'!$D$6:$D$405,A51,'06_规则命中'!$I$6:$I$405,"不可评估",'06_规则命中'!$N$6:$N$405,"是")</x:f>
        <x:v>0</x:v>
      </x:c>
      <x:c r="K51" s="70" t="n">
        <x:f>SUM(E51:I51)</x:f>
        <x:v>0</x:v>
      </x:c>
      <x:c r="L51" s="108" t="str">
        <x:f>IFERROR((E51+0.75*F51+0.5*G51+0.25*H51)/K51,"")</x:f>
      </x:c>
      <x:c r="M51" s="108" t="str">
        <x:f>IFERROR(I51/K51,"")</x:f>
      </x:c>
      <x:c r="N51" s="70" t="n">
        <x:f>COUNTIFS('08_反例与错误'!$E$6:$E$155,A51,'08_反例与错误'!$H$6:$H$155,"强")+COUNTIFS('08_反例与错误'!$E$6:$E$155,A51,'08_反例与错误'!$H$6:$H$155,"安全")</x:f>
        <x:v>0</x:v>
      </x:c>
      <x:c r="O51" s="70" t="n">
        <x:f>COUNTIFS('06_规则命中'!$D$6:$D$405,A51,'06_规则命中'!$I$6:$I$405,"反例",'06_规则命中'!$L$6:$L$405,"是",'06_规则命中'!$N$6:$N$405,"是")</x:f>
        <x:v>0</x:v>
      </x:c>
      <x:c r="P51" s="108" t="str">
        <x:f>IFERROR(SUMIFS('06_规则命中'!$J$6:$J$405,'06_规则命中'!$D$6:$D$405,A51,'06_规则命中'!$C$6:$C$405,"开发集",'06_规则命中'!$N$6:$N$405,"是")/COUNTIFS('06_规则命中'!$D$6:$D$405,A51,'06_规则命中'!$C$6:$C$405,"开发集",'06_规则命中'!$I$6:$I$405,"&lt;&gt;不可评估",'06_规则命中'!$N$6:$N$405,"是"),"")</x:f>
      </x:c>
      <x:c r="Q51" s="108" t="str">
        <x:f>IFERROR(SUMIFS('06_规则命中'!$J$6:$J$405,'06_规则命中'!$D$6:$D$405,A51,'06_规则命中'!$C$6:$C$405,"留出集",'06_规则命中'!$N$6:$N$405,"是")/COUNTIFS('06_规则命中'!$D$6:$D$405,A51,'06_规则命中'!$C$6:$C$405,"留出集",'06_规则命中'!$I$6:$I$405,"&lt;&gt;不可评估",'06_规则命中'!$N$6:$N$405,"是"),"")</x:f>
      </x:c>
      <x:c r="R51" s="70" t="str">
        <x:f>IF(K51=0,"P0 待验证",IF(K51&lt;3,"P1 极少样本",IF(K51&lt;6,"P2 探索",IF(K51&lt;12,"P3 初步","P4 稳定候选"))))</x:f>
        <x:v>P0 待验证</x:v>
      </x:c>
      <x:c r="S51" s="70" t="str">
        <x:f>IF(O51&gt;0,"立即安全审查",IF(K51&lt;3,"样本不足",IF(AND(K51&gt;=4,M51&gt;=0.6),"停用候选",IF(AND(K51&gt;=6,M51&gt;=0.4),"优先修改",IF(AND(K51&gt;=8,L51&gt;=0.75,M51&lt;=0.15,N51=0),"保留观察",IF(AND(P51&lt;&gt;"",Q51&lt;&gt;"",ABS(P51-Q51)&gt;0.25),"疑似过拟合","继续验证"))))))</x:f>
        <x:v>样本不足</x:v>
      </x:c>
      <x:c r="T51" s="70" t="str"/>
      <x:c r="U51" s="70" t="str">
        <x:v>待验证</x:v>
      </x:c>
      <x:c r="V51" s="70" t="str"/>
      <x:c r="W51" s="70" t="str"/>
    </x:row>
    <x:row r="52">
      <x:c r="A52" s="70" t="str">
        <x:v>M5-SYNTH-211</x:v>
      </x:c>
      <x:c r="B52" s="70" t="str">
        <x:v>SYNTH</x:v>
      </x:c>
      <x:c r="C52" s="70" t="str">
        <x:v>RHYTHM强／核心RG失败｜现实门槛优先</x:v>
      </x:c>
      <x:c r="D52" s="70" t="str">
        <x:v>待验证</x:v>
      </x:c>
      <x:c r="E52" s="70" t="n">
        <x:f>COUNTIFS('06_规则命中'!$D$6:$D$405,A52,'06_规则命中'!$I$6:$I$405,"支持",'06_规则命中'!$N$6:$N$405,"是")</x:f>
        <x:v>0</x:v>
      </x:c>
      <x:c r="F52" s="70" t="n">
        <x:f>COUNTIFS('06_规则命中'!$D$6:$D$405,A52,'06_规则命中'!$I$6:$I$405,"基本支持",'06_规则命中'!$N$6:$N$405,"是")</x:f>
        <x:v>0</x:v>
      </x:c>
      <x:c r="G52" s="70" t="n">
        <x:f>COUNTIFS('06_规则命中'!$D$6:$D$405,A52,'06_规则命中'!$I$6:$I$405,"部分支持",'06_规则命中'!$N$6:$N$405,"是")</x:f>
        <x:v>0</x:v>
      </x:c>
      <x:c r="H52" s="70" t="n">
        <x:f>COUNTIFS('06_规则命中'!$D$6:$D$405,A52,'06_规则命中'!$I$6:$I$405,"相邻但不同",'06_规则命中'!$N$6:$N$405,"是")</x:f>
        <x:v>0</x:v>
      </x:c>
      <x:c r="I52" s="70" t="n">
        <x:f>COUNTIFS('06_规则命中'!$D$6:$D$405,A52,'06_规则命中'!$I$6:$I$405,"反例",'06_规则命中'!$N$6:$N$405,"是")</x:f>
        <x:v>0</x:v>
      </x:c>
      <x:c r="J52" s="70" t="n">
        <x:f>COUNTIFS('06_规则命中'!$D$6:$D$405,A52,'06_规则命中'!$I$6:$I$405,"不可评估",'06_规则命中'!$N$6:$N$405,"是")</x:f>
        <x:v>0</x:v>
      </x:c>
      <x:c r="K52" s="70" t="n">
        <x:f>SUM(E52:I52)</x:f>
        <x:v>0</x:v>
      </x:c>
      <x:c r="L52" s="108" t="str">
        <x:f>IFERROR((E52+0.75*F52+0.5*G52+0.25*H52)/K52,"")</x:f>
      </x:c>
      <x:c r="M52" s="108" t="str">
        <x:f>IFERROR(I52/K52,"")</x:f>
      </x:c>
      <x:c r="N52" s="70" t="n">
        <x:f>COUNTIFS('08_反例与错误'!$E$6:$E$155,A52,'08_反例与错误'!$H$6:$H$155,"强")+COUNTIFS('08_反例与错误'!$E$6:$E$155,A52,'08_反例与错误'!$H$6:$H$155,"安全")</x:f>
        <x:v>0</x:v>
      </x:c>
      <x:c r="O52" s="70" t="n">
        <x:f>COUNTIFS('06_规则命中'!$D$6:$D$405,A52,'06_规则命中'!$I$6:$I$405,"反例",'06_规则命中'!$L$6:$L$405,"是",'06_规则命中'!$N$6:$N$405,"是")</x:f>
        <x:v>0</x:v>
      </x:c>
      <x:c r="P52" s="108" t="str">
        <x:f>IFERROR(SUMIFS('06_规则命中'!$J$6:$J$405,'06_规则命中'!$D$6:$D$405,A52,'06_规则命中'!$C$6:$C$405,"开发集",'06_规则命中'!$N$6:$N$405,"是")/COUNTIFS('06_规则命中'!$D$6:$D$405,A52,'06_规则命中'!$C$6:$C$405,"开发集",'06_规则命中'!$I$6:$I$405,"&lt;&gt;不可评估",'06_规则命中'!$N$6:$N$405,"是"),"")</x:f>
      </x:c>
      <x:c r="Q52" s="108" t="str">
        <x:f>IFERROR(SUMIFS('06_规则命中'!$J$6:$J$405,'06_规则命中'!$D$6:$D$405,A52,'06_规则命中'!$C$6:$C$405,"留出集",'06_规则命中'!$N$6:$N$405,"是")/COUNTIFS('06_规则命中'!$D$6:$D$405,A52,'06_规则命中'!$C$6:$C$405,"留出集",'06_规则命中'!$I$6:$I$405,"&lt;&gt;不可评估",'06_规则命中'!$N$6:$N$405,"是"),"")</x:f>
      </x:c>
      <x:c r="R52" s="70" t="str">
        <x:f>IF(K52=0,"P0 待验证",IF(K52&lt;3,"P1 极少样本",IF(K52&lt;6,"P2 探索",IF(K52&lt;12,"P3 初步","P4 稳定候选"))))</x:f>
        <x:v>P0 待验证</x:v>
      </x:c>
      <x:c r="S52" s="70" t="str">
        <x:f>IF(O52&gt;0,"立即安全审查",IF(K52&lt;3,"样本不足",IF(AND(K52&gt;=4,M52&gt;=0.6),"停用候选",IF(AND(K52&gt;=6,M52&gt;=0.4),"优先修改",IF(AND(K52&gt;=8,L52&gt;=0.75,M52&lt;=0.15,N52=0),"保留观察",IF(AND(P52&lt;&gt;"",Q52&lt;&gt;"",ABS(P52-Q52)&gt;0.25),"疑似过拟合","继续验证"))))))</x:f>
        <x:v>样本不足</x:v>
      </x:c>
      <x:c r="T52" s="70" t="str"/>
      <x:c r="U52" s="70" t="str">
        <x:v>待验证</x:v>
      </x:c>
      <x:c r="V52" s="70" t="str"/>
      <x:c r="W52" s="70" t="str"/>
    </x:row>
    <x:row r="53">
      <x:c r="A53" s="70" t="str">
        <x:v>M5-SYNTH-226</x:v>
      </x:c>
      <x:c r="B53" s="70" t="str">
        <x:v>SYNTH</x:v>
      </x:c>
      <x:c r="C53" s="70" t="str">
        <x:v>修复高但安全历史严重｜安全记录不被覆盖</x:v>
      </x:c>
      <x:c r="D53" s="70" t="str">
        <x:v>待验证</x:v>
      </x:c>
      <x:c r="E53" s="70" t="n">
        <x:f>COUNTIFS('06_规则命中'!$D$6:$D$405,A53,'06_规则命中'!$I$6:$I$405,"支持",'06_规则命中'!$N$6:$N$405,"是")</x:f>
        <x:v>0</x:v>
      </x:c>
      <x:c r="F53" s="70" t="n">
        <x:f>COUNTIFS('06_规则命中'!$D$6:$D$405,A53,'06_规则命中'!$I$6:$I$405,"基本支持",'06_规则命中'!$N$6:$N$405,"是")</x:f>
        <x:v>0</x:v>
      </x:c>
      <x:c r="G53" s="70" t="n">
        <x:f>COUNTIFS('06_规则命中'!$D$6:$D$405,A53,'06_规则命中'!$I$6:$I$405,"部分支持",'06_规则命中'!$N$6:$N$405,"是")</x:f>
        <x:v>0</x:v>
      </x:c>
      <x:c r="H53" s="70" t="n">
        <x:f>COUNTIFS('06_规则命中'!$D$6:$D$405,A53,'06_规则命中'!$I$6:$I$405,"相邻但不同",'06_规则命中'!$N$6:$N$405,"是")</x:f>
        <x:v>0</x:v>
      </x:c>
      <x:c r="I53" s="70" t="n">
        <x:f>COUNTIFS('06_规则命中'!$D$6:$D$405,A53,'06_规则命中'!$I$6:$I$405,"反例",'06_规则命中'!$N$6:$N$405,"是")</x:f>
        <x:v>0</x:v>
      </x:c>
      <x:c r="J53" s="70" t="n">
        <x:f>COUNTIFS('06_规则命中'!$D$6:$D$405,A53,'06_规则命中'!$I$6:$I$405,"不可评估",'06_规则命中'!$N$6:$N$405,"是")</x:f>
        <x:v>0</x:v>
      </x:c>
      <x:c r="K53" s="70" t="n">
        <x:f>SUM(E53:I53)</x:f>
        <x:v>0</x:v>
      </x:c>
      <x:c r="L53" s="108" t="str">
        <x:f>IFERROR((E53+0.75*F53+0.5*G53+0.25*H53)/K53,"")</x:f>
      </x:c>
      <x:c r="M53" s="108" t="str">
        <x:f>IFERROR(I53/K53,"")</x:f>
      </x:c>
      <x:c r="N53" s="70" t="n">
        <x:f>COUNTIFS('08_反例与错误'!$E$6:$E$155,A53,'08_反例与错误'!$H$6:$H$155,"强")+COUNTIFS('08_反例与错误'!$E$6:$E$155,A53,'08_反例与错误'!$H$6:$H$155,"安全")</x:f>
        <x:v>0</x:v>
      </x:c>
      <x:c r="O53" s="70" t="n">
        <x:f>COUNTIFS('06_规则命中'!$D$6:$D$405,A53,'06_规则命中'!$I$6:$I$405,"反例",'06_规则命中'!$L$6:$L$405,"是",'06_规则命中'!$N$6:$N$405,"是")</x:f>
        <x:v>0</x:v>
      </x:c>
      <x:c r="P53" s="108" t="str">
        <x:f>IFERROR(SUMIFS('06_规则命中'!$J$6:$J$405,'06_规则命中'!$D$6:$D$405,A53,'06_规则命中'!$C$6:$C$405,"开发集",'06_规则命中'!$N$6:$N$405,"是")/COUNTIFS('06_规则命中'!$D$6:$D$405,A53,'06_规则命中'!$C$6:$C$405,"开发集",'06_规则命中'!$I$6:$I$405,"&lt;&gt;不可评估",'06_规则命中'!$N$6:$N$405,"是"),"")</x:f>
      </x:c>
      <x:c r="Q53" s="108" t="str">
        <x:f>IFERROR(SUMIFS('06_规则命中'!$J$6:$J$405,'06_规则命中'!$D$6:$D$405,A53,'06_规则命中'!$C$6:$C$405,"留出集",'06_规则命中'!$N$6:$N$405,"是")/COUNTIFS('06_规则命中'!$D$6:$D$405,A53,'06_规则命中'!$C$6:$C$405,"留出集",'06_规则命中'!$I$6:$I$405,"&lt;&gt;不可评估",'06_规则命中'!$N$6:$N$405,"是"),"")</x:f>
      </x:c>
      <x:c r="R53" s="70" t="str">
        <x:f>IF(K53=0,"P0 待验证",IF(K53&lt;3,"P1 极少样本",IF(K53&lt;6,"P2 探索",IF(K53&lt;12,"P3 初步","P4 稳定候选"))))</x:f>
        <x:v>P0 待验证</x:v>
      </x:c>
      <x:c r="S53" s="70" t="str">
        <x:f>IF(O53&gt;0,"立即安全审查",IF(K53&lt;3,"样本不足",IF(AND(K53&gt;=4,M53&gt;=0.6),"停用候选",IF(AND(K53&gt;=6,M53&gt;=0.4),"优先修改",IF(AND(K53&gt;=8,L53&gt;=0.75,M53&lt;=0.15,N53=0),"保留观察",IF(AND(P53&lt;&gt;"",Q53&lt;&gt;"",ABS(P53-Q53)&gt;0.25),"疑似过拟合","继续验证"))))))</x:f>
        <x:v>样本不足</x:v>
      </x:c>
      <x:c r="T53" s="70" t="str"/>
      <x:c r="U53" s="70" t="str">
        <x:v>待验证</x:v>
      </x:c>
      <x:c r="V53" s="70" t="str"/>
      <x:c r="W53" s="70" t="str"/>
    </x:row>
    <x:row r="54">
      <x:c r="A54" s="70" t="str">
        <x:v>M5-SYNTH-228</x:v>
      </x:c>
      <x:c r="B54" s="70" t="str">
        <x:v>SYNTH</x:v>
      </x:c>
      <x:c r="C54" s="70" t="str">
        <x:v>同一现实门槛跨模块重复｜只由RG计一次</x:v>
      </x:c>
      <x:c r="D54" s="70" t="str">
        <x:v>待验证</x:v>
      </x:c>
      <x:c r="E54" s="70" t="n">
        <x:f>COUNTIFS('06_规则命中'!$D$6:$D$405,A54,'06_规则命中'!$I$6:$I$405,"支持",'06_规则命中'!$N$6:$N$405,"是")</x:f>
        <x:v>0</x:v>
      </x:c>
      <x:c r="F54" s="70" t="n">
        <x:f>COUNTIFS('06_规则命中'!$D$6:$D$405,A54,'06_规则命中'!$I$6:$I$405,"基本支持",'06_规则命中'!$N$6:$N$405,"是")</x:f>
        <x:v>0</x:v>
      </x:c>
      <x:c r="G54" s="70" t="n">
        <x:f>COUNTIFS('06_规则命中'!$D$6:$D$405,A54,'06_规则命中'!$I$6:$I$405,"部分支持",'06_规则命中'!$N$6:$N$405,"是")</x:f>
        <x:v>0</x:v>
      </x:c>
      <x:c r="H54" s="70" t="n">
        <x:f>COUNTIFS('06_规则命中'!$D$6:$D$405,A54,'06_规则命中'!$I$6:$I$405,"相邻但不同",'06_规则命中'!$N$6:$N$405,"是")</x:f>
        <x:v>0</x:v>
      </x:c>
      <x:c r="I54" s="70" t="n">
        <x:f>COUNTIFS('06_规则命中'!$D$6:$D$405,A54,'06_规则命中'!$I$6:$I$405,"反例",'06_规则命中'!$N$6:$N$405,"是")</x:f>
        <x:v>0</x:v>
      </x:c>
      <x:c r="J54" s="70" t="n">
        <x:f>COUNTIFS('06_规则命中'!$D$6:$D$405,A54,'06_规则命中'!$I$6:$I$405,"不可评估",'06_规则命中'!$N$6:$N$405,"是")</x:f>
        <x:v>0</x:v>
      </x:c>
      <x:c r="K54" s="70" t="n">
        <x:f>SUM(E54:I54)</x:f>
        <x:v>0</x:v>
      </x:c>
      <x:c r="L54" s="108" t="str">
        <x:f>IFERROR((E54+0.75*F54+0.5*G54+0.25*H54)/K54,"")</x:f>
      </x:c>
      <x:c r="M54" s="108" t="str">
        <x:f>IFERROR(I54/K54,"")</x:f>
      </x:c>
      <x:c r="N54" s="70" t="n">
        <x:f>COUNTIFS('08_反例与错误'!$E$6:$E$155,A54,'08_反例与错误'!$H$6:$H$155,"强")+COUNTIFS('08_反例与错误'!$E$6:$E$155,A54,'08_反例与错误'!$H$6:$H$155,"安全")</x:f>
        <x:v>0</x:v>
      </x:c>
      <x:c r="O54" s="70" t="n">
        <x:f>COUNTIFS('06_规则命中'!$D$6:$D$405,A54,'06_规则命中'!$I$6:$I$405,"反例",'06_规则命中'!$L$6:$L$405,"是",'06_规则命中'!$N$6:$N$405,"是")</x:f>
        <x:v>0</x:v>
      </x:c>
      <x:c r="P54" s="108" t="str">
        <x:f>IFERROR(SUMIFS('06_规则命中'!$J$6:$J$405,'06_规则命中'!$D$6:$D$405,A54,'06_规则命中'!$C$6:$C$405,"开发集",'06_规则命中'!$N$6:$N$405,"是")/COUNTIFS('06_规则命中'!$D$6:$D$405,A54,'06_规则命中'!$C$6:$C$405,"开发集",'06_规则命中'!$I$6:$I$405,"&lt;&gt;不可评估",'06_规则命中'!$N$6:$N$405,"是"),"")</x:f>
      </x:c>
      <x:c r="Q54" s="108" t="str">
        <x:f>IFERROR(SUMIFS('06_规则命中'!$J$6:$J$405,'06_规则命中'!$D$6:$D$405,A54,'06_规则命中'!$C$6:$C$405,"留出集",'06_规则命中'!$N$6:$N$405,"是")/COUNTIFS('06_规则命中'!$D$6:$D$405,A54,'06_规则命中'!$C$6:$C$405,"留出集",'06_规则命中'!$I$6:$I$405,"&lt;&gt;不可评估",'06_规则命中'!$N$6:$N$405,"是"),"")</x:f>
      </x:c>
      <x:c r="R54" s="70" t="str">
        <x:f>IF(K54=0,"P0 待验证",IF(K54&lt;3,"P1 极少样本",IF(K54&lt;6,"P2 探索",IF(K54&lt;12,"P3 初步","P4 稳定候选"))))</x:f>
        <x:v>P0 待验证</x:v>
      </x:c>
      <x:c r="S54" s="70" t="str">
        <x:f>IF(O54&gt;0,"立即安全审查",IF(K54&lt;3,"样本不足",IF(AND(K54&gt;=4,M54&gt;=0.6),"停用候选",IF(AND(K54&gt;=6,M54&gt;=0.4),"优先修改",IF(AND(K54&gt;=8,L54&gt;=0.75,M54&lt;=0.15,N54=0),"保留观察",IF(AND(P54&lt;&gt;"",Q54&lt;&gt;"",ABS(P54-Q54)&gt;0.25),"疑似过拟合","继续验证"))))))</x:f>
        <x:v>样本不足</x:v>
      </x:c>
      <x:c r="T54" s="70" t="str"/>
      <x:c r="U54" s="70" t="str">
        <x:v>待验证</x:v>
      </x:c>
      <x:c r="V54" s="70" t="str"/>
      <x:c r="W54" s="70" t="str"/>
    </x:row>
    <x:row r="55">
      <x:c r="A55" s="70" t="str">
        <x:v>M5-SYNTH-018</x:v>
      </x:c>
      <x:c r="B55" s="70" t="str">
        <x:v>SYNTH</x:v>
      </x:c>
      <x:c r="C55" s="70" t="str">
        <x:v>不得生成无限理想伴侣清单</x:v>
      </x:c>
      <x:c r="D55" s="70" t="str">
        <x:v>待验证</x:v>
      </x:c>
      <x:c r="E55" s="70" t="n">
        <x:f>COUNTIFS('06_规则命中'!$D$6:$D$405,A55,'06_规则命中'!$I$6:$I$405,"支持",'06_规则命中'!$N$6:$N$405,"是")</x:f>
        <x:v>0</x:v>
      </x:c>
      <x:c r="F55" s="70" t="n">
        <x:f>COUNTIFS('06_规则命中'!$D$6:$D$405,A55,'06_规则命中'!$I$6:$I$405,"基本支持",'06_规则命中'!$N$6:$N$405,"是")</x:f>
        <x:v>0</x:v>
      </x:c>
      <x:c r="G55" s="70" t="n">
        <x:f>COUNTIFS('06_规则命中'!$D$6:$D$405,A55,'06_规则命中'!$I$6:$I$405,"部分支持",'06_规则命中'!$N$6:$N$405,"是")</x:f>
        <x:v>0</x:v>
      </x:c>
      <x:c r="H55" s="70" t="n">
        <x:f>COUNTIFS('06_规则命中'!$D$6:$D$405,A55,'06_规则命中'!$I$6:$I$405,"相邻但不同",'06_规则命中'!$N$6:$N$405,"是")</x:f>
        <x:v>0</x:v>
      </x:c>
      <x:c r="I55" s="70" t="n">
        <x:f>COUNTIFS('06_规则命中'!$D$6:$D$405,A55,'06_规则命中'!$I$6:$I$405,"反例",'06_规则命中'!$N$6:$N$405,"是")</x:f>
        <x:v>0</x:v>
      </x:c>
      <x:c r="J55" s="70" t="n">
        <x:f>COUNTIFS('06_规则命中'!$D$6:$D$405,A55,'06_规则命中'!$I$6:$I$405,"不可评估",'06_规则命中'!$N$6:$N$405,"是")</x:f>
        <x:v>0</x:v>
      </x:c>
      <x:c r="K55" s="70" t="n">
        <x:f>SUM(E55:I55)</x:f>
        <x:v>0</x:v>
      </x:c>
      <x:c r="L55" s="108" t="str">
        <x:f>IFERROR((E55+0.75*F55+0.5*G55+0.25*H55)/K55,"")</x:f>
      </x:c>
      <x:c r="M55" s="108" t="str">
        <x:f>IFERROR(I55/K55,"")</x:f>
      </x:c>
      <x:c r="N55" s="70" t="n">
        <x:f>COUNTIFS('08_反例与错误'!$E$6:$E$155,A55,'08_反例与错误'!$H$6:$H$155,"强")+COUNTIFS('08_反例与错误'!$E$6:$E$155,A55,'08_反例与错误'!$H$6:$H$155,"安全")</x:f>
        <x:v>0</x:v>
      </x:c>
      <x:c r="O55" s="70" t="n">
        <x:f>COUNTIFS('06_规则命中'!$D$6:$D$405,A55,'06_规则命中'!$I$6:$I$405,"反例",'06_规则命中'!$L$6:$L$405,"是",'06_规则命中'!$N$6:$N$405,"是")</x:f>
        <x:v>0</x:v>
      </x:c>
      <x:c r="P55" s="108" t="str">
        <x:f>IFERROR(SUMIFS('06_规则命中'!$J$6:$J$405,'06_规则命中'!$D$6:$D$405,A55,'06_规则命中'!$C$6:$C$405,"开发集",'06_规则命中'!$N$6:$N$405,"是")/COUNTIFS('06_规则命中'!$D$6:$D$405,A55,'06_规则命中'!$C$6:$C$405,"开发集",'06_规则命中'!$I$6:$I$405,"&lt;&gt;不可评估",'06_规则命中'!$N$6:$N$405,"是"),"")</x:f>
      </x:c>
      <x:c r="Q55" s="108" t="str">
        <x:f>IFERROR(SUMIFS('06_规则命中'!$J$6:$J$405,'06_规则命中'!$D$6:$D$405,A55,'06_规则命中'!$C$6:$C$405,"留出集",'06_规则命中'!$N$6:$N$405,"是")/COUNTIFS('06_规则命中'!$D$6:$D$405,A55,'06_规则命中'!$C$6:$C$405,"留出集",'06_规则命中'!$I$6:$I$405,"&lt;&gt;不可评估",'06_规则命中'!$N$6:$N$405,"是"),"")</x:f>
      </x:c>
      <x:c r="R55" s="70" t="str">
        <x:f>IF(K55=0,"P0 待验证",IF(K55&lt;3,"P1 极少样本",IF(K55&lt;6,"P2 探索",IF(K55&lt;12,"P3 初步","P4 稳定候选"))))</x:f>
        <x:v>P0 待验证</x:v>
      </x:c>
      <x:c r="S55" s="70" t="str">
        <x:f>IF(O55&gt;0,"立即安全审查",IF(K55&lt;3,"样本不足",IF(AND(K55&gt;=4,M55&gt;=0.6),"停用候选",IF(AND(K55&gt;=6,M55&gt;=0.4),"优先修改",IF(AND(K55&gt;=8,L55&gt;=0.75,M55&lt;=0.15,N55=0),"保留观察",IF(AND(P55&lt;&gt;"",Q55&lt;&gt;"",ABS(P55-Q55)&gt;0.25),"疑似过拟合","继续验证"))))))</x:f>
        <x:v>样本不足</x:v>
      </x:c>
      <x:c r="T55" s="70" t="str"/>
      <x:c r="U55" s="70" t="str">
        <x:v>待验证</x:v>
      </x:c>
      <x:c r="V55" s="70" t="str"/>
      <x:c r="W55" s="70" t="str"/>
    </x:row>
    <x:row r="56">
      <x:c r="A56" s="70" t="str">
        <x:v>M5-SYNTH-019</x:v>
      </x:c>
      <x:c r="B56" s="70" t="str">
        <x:v>SYNTH</x:v>
      </x:c>
      <x:c r="C56" s="70" t="str">
        <x:v>正向标签不得绕过现实验证</x:v>
      </x:c>
      <x:c r="D56" s="70" t="str">
        <x:v>待验证</x:v>
      </x:c>
      <x:c r="E56" s="70" t="n">
        <x:f>COUNTIFS('06_规则命中'!$D$6:$D$405,A56,'06_规则命中'!$I$6:$I$405,"支持",'06_规则命中'!$N$6:$N$405,"是")</x:f>
        <x:v>0</x:v>
      </x:c>
      <x:c r="F56" s="70" t="n">
        <x:f>COUNTIFS('06_规则命中'!$D$6:$D$405,A56,'06_规则命中'!$I$6:$I$405,"基本支持",'06_规则命中'!$N$6:$N$405,"是")</x:f>
        <x:v>0</x:v>
      </x:c>
      <x:c r="G56" s="70" t="n">
        <x:f>COUNTIFS('06_规则命中'!$D$6:$D$405,A56,'06_规则命中'!$I$6:$I$405,"部分支持",'06_规则命中'!$N$6:$N$405,"是")</x:f>
        <x:v>0</x:v>
      </x:c>
      <x:c r="H56" s="70" t="n">
        <x:f>COUNTIFS('06_规则命中'!$D$6:$D$405,A56,'06_规则命中'!$I$6:$I$405,"相邻但不同",'06_规则命中'!$N$6:$N$405,"是")</x:f>
        <x:v>0</x:v>
      </x:c>
      <x:c r="I56" s="70" t="n">
        <x:f>COUNTIFS('06_规则命中'!$D$6:$D$405,A56,'06_规则命中'!$I$6:$I$405,"反例",'06_规则命中'!$N$6:$N$405,"是")</x:f>
        <x:v>0</x:v>
      </x:c>
      <x:c r="J56" s="70" t="n">
        <x:f>COUNTIFS('06_规则命中'!$D$6:$D$405,A56,'06_规则命中'!$I$6:$I$405,"不可评估",'06_规则命中'!$N$6:$N$405,"是")</x:f>
        <x:v>0</x:v>
      </x:c>
      <x:c r="K56" s="70" t="n">
        <x:f>SUM(E56:I56)</x:f>
        <x:v>0</x:v>
      </x:c>
      <x:c r="L56" s="108" t="str">
        <x:f>IFERROR((E56+0.75*F56+0.5*G56+0.25*H56)/K56,"")</x:f>
      </x:c>
      <x:c r="M56" s="108" t="str">
        <x:f>IFERROR(I56/K56,"")</x:f>
      </x:c>
      <x:c r="N56" s="70" t="n">
        <x:f>COUNTIFS('08_反例与错误'!$E$6:$E$155,A56,'08_反例与错误'!$H$6:$H$155,"强")+COUNTIFS('08_反例与错误'!$E$6:$E$155,A56,'08_反例与错误'!$H$6:$H$155,"安全")</x:f>
        <x:v>0</x:v>
      </x:c>
      <x:c r="O56" s="70" t="n">
        <x:f>COUNTIFS('06_规则命中'!$D$6:$D$405,A56,'06_规则命中'!$I$6:$I$405,"反例",'06_规则命中'!$L$6:$L$405,"是",'06_规则命中'!$N$6:$N$405,"是")</x:f>
        <x:v>0</x:v>
      </x:c>
      <x:c r="P56" s="108" t="str">
        <x:f>IFERROR(SUMIFS('06_规则命中'!$J$6:$J$405,'06_规则命中'!$D$6:$D$405,A56,'06_规则命中'!$C$6:$C$405,"开发集",'06_规则命中'!$N$6:$N$405,"是")/COUNTIFS('06_规则命中'!$D$6:$D$405,A56,'06_规则命中'!$C$6:$C$405,"开发集",'06_规则命中'!$I$6:$I$405,"&lt;&gt;不可评估",'06_规则命中'!$N$6:$N$405,"是"),"")</x:f>
      </x:c>
      <x:c r="Q56" s="108" t="str">
        <x:f>IFERROR(SUMIFS('06_规则命中'!$J$6:$J$405,'06_规则命中'!$D$6:$D$405,A56,'06_规则命中'!$C$6:$C$405,"留出集",'06_规则命中'!$N$6:$N$405,"是")/COUNTIFS('06_规则命中'!$D$6:$D$405,A56,'06_规则命中'!$C$6:$C$405,"留出集",'06_规则命中'!$I$6:$I$405,"&lt;&gt;不可评估",'06_规则命中'!$N$6:$N$405,"是"),"")</x:f>
      </x:c>
      <x:c r="R56" s="70" t="str">
        <x:f>IF(K56=0,"P0 待验证",IF(K56&lt;3,"P1 极少样本",IF(K56&lt;6,"P2 探索",IF(K56&lt;12,"P3 初步","P4 稳定候选"))))</x:f>
        <x:v>P0 待验证</x:v>
      </x:c>
      <x:c r="S56" s="70" t="str">
        <x:f>IF(O56&gt;0,"立即安全审查",IF(K56&lt;3,"样本不足",IF(AND(K56&gt;=4,M56&gt;=0.6),"停用候选",IF(AND(K56&gt;=6,M56&gt;=0.4),"优先修改",IF(AND(K56&gt;=8,L56&gt;=0.75,M56&lt;=0.15,N56=0),"保留观察",IF(AND(P56&lt;&gt;"",Q56&lt;&gt;"",ABS(P56-Q56)&gt;0.25),"疑似过拟合","继续验证"))))))</x:f>
        <x:v>样本不足</x:v>
      </x:c>
      <x:c r="T56" s="70" t="str"/>
      <x:c r="U56" s="70" t="str">
        <x:v>待验证</x:v>
      </x:c>
      <x:c r="V56" s="70" t="str"/>
      <x:c r="W56" s="70" t="str"/>
    </x:row>
    <x:row r="57">
      <x:c r="A57" s="70" t="str">
        <x:v>M5-SYNTH-020</x:v>
      </x:c>
      <x:c r="B57" s="70" t="str">
        <x:v>SYNTH</x:v>
      </x:c>
      <x:c r="C57" s="70" t="str">
        <x:v>适配结论不替用户做关系决定</x:v>
      </x:c>
      <x:c r="D57" s="70" t="str">
        <x:v>待验证</x:v>
      </x:c>
      <x:c r="E57" s="70" t="n">
        <x:f>COUNTIFS('06_规则命中'!$D$6:$D$405,A57,'06_规则命中'!$I$6:$I$405,"支持",'06_规则命中'!$N$6:$N$405,"是")</x:f>
        <x:v>0</x:v>
      </x:c>
      <x:c r="F57" s="70" t="n">
        <x:f>COUNTIFS('06_规则命中'!$D$6:$D$405,A57,'06_规则命中'!$I$6:$I$405,"基本支持",'06_规则命中'!$N$6:$N$405,"是")</x:f>
        <x:v>0</x:v>
      </x:c>
      <x:c r="G57" s="70" t="n">
        <x:f>COUNTIFS('06_规则命中'!$D$6:$D$405,A57,'06_规则命中'!$I$6:$I$405,"部分支持",'06_规则命中'!$N$6:$N$405,"是")</x:f>
        <x:v>0</x:v>
      </x:c>
      <x:c r="H57" s="70" t="n">
        <x:f>COUNTIFS('06_规则命中'!$D$6:$D$405,A57,'06_规则命中'!$I$6:$I$405,"相邻但不同",'06_规则命中'!$N$6:$N$405,"是")</x:f>
        <x:v>0</x:v>
      </x:c>
      <x:c r="I57" s="70" t="n">
        <x:f>COUNTIFS('06_规则命中'!$D$6:$D$405,A57,'06_规则命中'!$I$6:$I$405,"反例",'06_规则命中'!$N$6:$N$405,"是")</x:f>
        <x:v>0</x:v>
      </x:c>
      <x:c r="J57" s="70" t="n">
        <x:f>COUNTIFS('06_规则命中'!$D$6:$D$405,A57,'06_规则命中'!$I$6:$I$405,"不可评估",'06_规则命中'!$N$6:$N$405,"是")</x:f>
        <x:v>0</x:v>
      </x:c>
      <x:c r="K57" s="70" t="n">
        <x:f>SUM(E57:I57)</x:f>
        <x:v>0</x:v>
      </x:c>
      <x:c r="L57" s="108" t="str">
        <x:f>IFERROR((E57+0.75*F57+0.5*G57+0.25*H57)/K57,"")</x:f>
      </x:c>
      <x:c r="M57" s="108" t="str">
        <x:f>IFERROR(I57/K57,"")</x:f>
      </x:c>
      <x:c r="N57" s="70" t="n">
        <x:f>COUNTIFS('08_反例与错误'!$E$6:$E$155,A57,'08_反例与错误'!$H$6:$H$155,"强")+COUNTIFS('08_反例与错误'!$E$6:$E$155,A57,'08_反例与错误'!$H$6:$H$155,"安全")</x:f>
        <x:v>0</x:v>
      </x:c>
      <x:c r="O57" s="70" t="n">
        <x:f>COUNTIFS('06_规则命中'!$D$6:$D$405,A57,'06_规则命中'!$I$6:$I$405,"反例",'06_规则命中'!$L$6:$L$405,"是",'06_规则命中'!$N$6:$N$405,"是")</x:f>
        <x:v>0</x:v>
      </x:c>
      <x:c r="P57" s="108" t="str">
        <x:f>IFERROR(SUMIFS('06_规则命中'!$J$6:$J$405,'06_规则命中'!$D$6:$D$405,A57,'06_规则命中'!$C$6:$C$405,"开发集",'06_规则命中'!$N$6:$N$405,"是")/COUNTIFS('06_规则命中'!$D$6:$D$405,A57,'06_规则命中'!$C$6:$C$405,"开发集",'06_规则命中'!$I$6:$I$405,"&lt;&gt;不可评估",'06_规则命中'!$N$6:$N$405,"是"),"")</x:f>
      </x:c>
      <x:c r="Q57" s="108" t="str">
        <x:f>IFERROR(SUMIFS('06_规则命中'!$J$6:$J$405,'06_规则命中'!$D$6:$D$405,A57,'06_规则命中'!$C$6:$C$405,"留出集",'06_规则命中'!$N$6:$N$405,"是")/COUNTIFS('06_规则命中'!$D$6:$D$405,A57,'06_规则命中'!$C$6:$C$405,"留出集",'06_规则命中'!$I$6:$I$405,"&lt;&gt;不可评估",'06_规则命中'!$N$6:$N$405,"是"),"")</x:f>
      </x:c>
      <x:c r="R57" s="70" t="str">
        <x:f>IF(K57=0,"P0 待验证",IF(K57&lt;3,"P1 极少样本",IF(K57&lt;6,"P2 探索",IF(K57&lt;12,"P3 初步","P4 稳定候选"))))</x:f>
        <x:v>P0 待验证</x:v>
      </x:c>
      <x:c r="S57" s="70" t="str">
        <x:f>IF(O57&gt;0,"立即安全审查",IF(K57&lt;3,"样本不足",IF(AND(K57&gt;=4,M57&gt;=0.6),"停用候选",IF(AND(K57&gt;=6,M57&gt;=0.4),"优先修改",IF(AND(K57&gt;=8,L57&gt;=0.75,M57&lt;=0.15,N57=0),"保留观察",IF(AND(P57&lt;&gt;"",Q57&lt;&gt;"",ABS(P57-Q57)&gt;0.25),"疑似过拟合","继续验证"))))))</x:f>
        <x:v>样本不足</x:v>
      </x:c>
      <x:c r="T57" s="70" t="str"/>
      <x:c r="U57" s="70" t="str">
        <x:v>待验证</x:v>
      </x:c>
      <x:c r="V57" s="70" t="str"/>
      <x:c r="W57" s="70" t="str"/>
    </x:row>
    <x:row r="58">
      <x:c r="A58" s="70" t="str">
        <x:v>M5-SYNTH-021</x:v>
      </x:c>
      <x:c r="B58" s="70" t="str">
        <x:v>SYNTH</x:v>
      </x:c>
      <x:c r="C58" s="70" t="str">
        <x:v>有限报告｜字段级停止而非整份作废</x:v>
      </x:c>
      <x:c r="D58" s="70" t="str">
        <x:v>待验证</x:v>
      </x:c>
      <x:c r="E58" s="70" t="n">
        <x:f>COUNTIFS('06_规则命中'!$D$6:$D$405,A58,'06_规则命中'!$I$6:$I$405,"支持",'06_规则命中'!$N$6:$N$405,"是")</x:f>
        <x:v>0</x:v>
      </x:c>
      <x:c r="F58" s="70" t="n">
        <x:f>COUNTIFS('06_规则命中'!$D$6:$D$405,A58,'06_规则命中'!$I$6:$I$405,"基本支持",'06_规则命中'!$N$6:$N$405,"是")</x:f>
        <x:v>0</x:v>
      </x:c>
      <x:c r="G58" s="70" t="n">
        <x:f>COUNTIFS('06_规则命中'!$D$6:$D$405,A58,'06_规则命中'!$I$6:$I$405,"部分支持",'06_规则命中'!$N$6:$N$405,"是")</x:f>
        <x:v>0</x:v>
      </x:c>
      <x:c r="H58" s="70" t="n">
        <x:f>COUNTIFS('06_规则命中'!$D$6:$D$405,A58,'06_规则命中'!$I$6:$I$405,"相邻但不同",'06_规则命中'!$N$6:$N$405,"是")</x:f>
        <x:v>0</x:v>
      </x:c>
      <x:c r="I58" s="70" t="n">
        <x:f>COUNTIFS('06_规则命中'!$D$6:$D$405,A58,'06_规则命中'!$I$6:$I$405,"反例",'06_规则命中'!$N$6:$N$405,"是")</x:f>
        <x:v>0</x:v>
      </x:c>
      <x:c r="J58" s="70" t="n">
        <x:f>COUNTIFS('06_规则命中'!$D$6:$D$405,A58,'06_规则命中'!$I$6:$I$405,"不可评估",'06_规则命中'!$N$6:$N$405,"是")</x:f>
        <x:v>0</x:v>
      </x:c>
      <x:c r="K58" s="70" t="n">
        <x:f>SUM(E58:I58)</x:f>
        <x:v>0</x:v>
      </x:c>
      <x:c r="L58" s="108" t="str">
        <x:f>IFERROR((E58+0.75*F58+0.5*G58+0.25*H58)/K58,"")</x:f>
      </x:c>
      <x:c r="M58" s="108" t="str">
        <x:f>IFERROR(I58/K58,"")</x:f>
      </x:c>
      <x:c r="N58" s="70" t="n">
        <x:f>COUNTIFS('08_反例与错误'!$E$6:$E$155,A58,'08_反例与错误'!$H$6:$H$155,"强")+COUNTIFS('08_反例与错误'!$E$6:$E$155,A58,'08_反例与错误'!$H$6:$H$155,"安全")</x:f>
        <x:v>0</x:v>
      </x:c>
      <x:c r="O58" s="70" t="n">
        <x:f>COUNTIFS('06_规则命中'!$D$6:$D$405,A58,'06_规则命中'!$I$6:$I$405,"反例",'06_规则命中'!$L$6:$L$405,"是",'06_规则命中'!$N$6:$N$405,"是")</x:f>
        <x:v>0</x:v>
      </x:c>
      <x:c r="P58" s="108" t="str">
        <x:f>IFERROR(SUMIFS('06_规则命中'!$J$6:$J$405,'06_规则命中'!$D$6:$D$405,A58,'06_规则命中'!$C$6:$C$405,"开发集",'06_规则命中'!$N$6:$N$405,"是")/COUNTIFS('06_规则命中'!$D$6:$D$405,A58,'06_规则命中'!$C$6:$C$405,"开发集",'06_规则命中'!$I$6:$I$405,"&lt;&gt;不可评估",'06_规则命中'!$N$6:$N$405,"是"),"")</x:f>
      </x:c>
      <x:c r="Q58" s="108" t="str">
        <x:f>IFERROR(SUMIFS('06_规则命中'!$J$6:$J$405,'06_规则命中'!$D$6:$D$405,A58,'06_规则命中'!$C$6:$C$405,"留出集",'06_规则命中'!$N$6:$N$405,"是")/COUNTIFS('06_规则命中'!$D$6:$D$405,A58,'06_规则命中'!$C$6:$C$405,"留出集",'06_规则命中'!$I$6:$I$405,"&lt;&gt;不可评估",'06_规则命中'!$N$6:$N$405,"是"),"")</x:f>
      </x:c>
      <x:c r="R58" s="70" t="str">
        <x:f>IF(K58=0,"P0 待验证",IF(K58&lt;3,"P1 极少样本",IF(K58&lt;6,"P2 探索",IF(K58&lt;12,"P3 初步","P4 稳定候选"))))</x:f>
        <x:v>P0 待验证</x:v>
      </x:c>
      <x:c r="S58" s="70" t="str">
        <x:f>IF(O58&gt;0,"立即安全审查",IF(K58&lt;3,"样本不足",IF(AND(K58&gt;=4,M58&gt;=0.6),"停用候选",IF(AND(K58&gt;=6,M58&gt;=0.4),"优先修改",IF(AND(K58&gt;=8,L58&gt;=0.75,M58&lt;=0.15,N58=0),"保留观察",IF(AND(P58&lt;&gt;"",Q58&lt;&gt;"",ABS(P58-Q58)&gt;0.25),"疑似过拟合","继续验证"))))))</x:f>
        <x:v>样本不足</x:v>
      </x:c>
      <x:c r="T58" s="70" t="str"/>
      <x:c r="U58" s="70" t="str">
        <x:v>待验证</x:v>
      </x:c>
      <x:c r="V58" s="70" t="str"/>
      <x:c r="W58" s="70" t="str"/>
    </x:row>
    <x:row r="59">
      <x:c r="A59" s="70" t="str">
        <x:v>M5-SYNTH-022</x:v>
      </x:c>
      <x:c r="B59" s="70" t="str">
        <x:v>SYNTH</x:v>
      </x:c>
      <x:c r="C59" s="70" t="str">
        <x:v>共享基础引擎争议处理</x:v>
      </x:c>
      <x:c r="D59" s="70" t="str">
        <x:v>待验证</x:v>
      </x:c>
      <x:c r="E59" s="70" t="n">
        <x:f>COUNTIFS('06_规则命中'!$D$6:$D$405,A59,'06_规则命中'!$I$6:$I$405,"支持",'06_规则命中'!$N$6:$N$405,"是")</x:f>
        <x:v>0</x:v>
      </x:c>
      <x:c r="F59" s="70" t="n">
        <x:f>COUNTIFS('06_规则命中'!$D$6:$D$405,A59,'06_规则命中'!$I$6:$I$405,"基本支持",'06_规则命中'!$N$6:$N$405,"是")</x:f>
        <x:v>0</x:v>
      </x:c>
      <x:c r="G59" s="70" t="n">
        <x:f>COUNTIFS('06_规则命中'!$D$6:$D$405,A59,'06_规则命中'!$I$6:$I$405,"部分支持",'06_规则命中'!$N$6:$N$405,"是")</x:f>
        <x:v>0</x:v>
      </x:c>
      <x:c r="H59" s="70" t="n">
        <x:f>COUNTIFS('06_规则命中'!$D$6:$D$405,A59,'06_规则命中'!$I$6:$I$405,"相邻但不同",'06_规则命中'!$N$6:$N$405,"是")</x:f>
        <x:v>0</x:v>
      </x:c>
      <x:c r="I59" s="70" t="n">
        <x:f>COUNTIFS('06_规则命中'!$D$6:$D$405,A59,'06_规则命中'!$I$6:$I$405,"反例",'06_规则命中'!$N$6:$N$405,"是")</x:f>
        <x:v>0</x:v>
      </x:c>
      <x:c r="J59" s="70" t="n">
        <x:f>COUNTIFS('06_规则命中'!$D$6:$D$405,A59,'06_规则命中'!$I$6:$I$405,"不可评估",'06_规则命中'!$N$6:$N$405,"是")</x:f>
        <x:v>0</x:v>
      </x:c>
      <x:c r="K59" s="70" t="n">
        <x:f>SUM(E59:I59)</x:f>
        <x:v>0</x:v>
      </x:c>
      <x:c r="L59" s="108" t="str">
        <x:f>IFERROR((E59+0.75*F59+0.5*G59+0.25*H59)/K59,"")</x:f>
      </x:c>
      <x:c r="M59" s="108" t="str">
        <x:f>IFERROR(I59/K59,"")</x:f>
      </x:c>
      <x:c r="N59" s="70" t="n">
        <x:f>COUNTIFS('08_反例与错误'!$E$6:$E$155,A59,'08_反例与错误'!$H$6:$H$155,"强")+COUNTIFS('08_反例与错误'!$E$6:$E$155,A59,'08_反例与错误'!$H$6:$H$155,"安全")</x:f>
        <x:v>0</x:v>
      </x:c>
      <x:c r="O59" s="70" t="n">
        <x:f>COUNTIFS('06_规则命中'!$D$6:$D$405,A59,'06_规则命中'!$I$6:$I$405,"反例",'06_规则命中'!$L$6:$L$405,"是",'06_规则命中'!$N$6:$N$405,"是")</x:f>
        <x:v>0</x:v>
      </x:c>
      <x:c r="P59" s="108" t="str">
        <x:f>IFERROR(SUMIFS('06_规则命中'!$J$6:$J$405,'06_规则命中'!$D$6:$D$405,A59,'06_规则命中'!$C$6:$C$405,"开发集",'06_规则命中'!$N$6:$N$405,"是")/COUNTIFS('06_规则命中'!$D$6:$D$405,A59,'06_规则命中'!$C$6:$C$405,"开发集",'06_规则命中'!$I$6:$I$405,"&lt;&gt;不可评估",'06_规则命中'!$N$6:$N$405,"是"),"")</x:f>
      </x:c>
      <x:c r="Q59" s="108" t="str">
        <x:f>IFERROR(SUMIFS('06_规则命中'!$J$6:$J$405,'06_规则命中'!$D$6:$D$405,A59,'06_规则命中'!$C$6:$C$405,"留出集",'06_规则命中'!$N$6:$N$405,"是")/COUNTIFS('06_规则命中'!$D$6:$D$405,A59,'06_规则命中'!$C$6:$C$405,"留出集",'06_规则命中'!$I$6:$I$405,"&lt;&gt;不可评估",'06_规则命中'!$N$6:$N$405,"是"),"")</x:f>
      </x:c>
      <x:c r="R59" s="70" t="str">
        <x:f>IF(K59=0,"P0 待验证",IF(K59&lt;3,"P1 极少样本",IF(K59&lt;6,"P2 探索",IF(K59&lt;12,"P3 初步","P4 稳定候选"))))</x:f>
        <x:v>P0 待验证</x:v>
      </x:c>
      <x:c r="S59" s="70" t="str">
        <x:f>IF(O59&gt;0,"立即安全审查",IF(K59&lt;3,"样本不足",IF(AND(K59&gt;=4,M59&gt;=0.6),"停用候选",IF(AND(K59&gt;=6,M59&gt;=0.4),"优先修改",IF(AND(K59&gt;=8,L59&gt;=0.75,M59&lt;=0.15,N59=0),"保留观察",IF(AND(P59&lt;&gt;"",Q59&lt;&gt;"",ABS(P59-Q59)&gt;0.25),"疑似过拟合","继续验证"))))))</x:f>
        <x:v>样本不足</x:v>
      </x:c>
      <x:c r="T59" s="70" t="str"/>
      <x:c r="U59" s="70" t="str">
        <x:v>待验证</x:v>
      </x:c>
      <x:c r="V59" s="70" t="str"/>
      <x:c r="W59" s="70" t="str"/>
    </x:row>
    <x:row r="60">
      <x:c r="A60" s="70" t="str">
        <x:v>M5-SYNTH-023</x:v>
      </x:c>
      <x:c r="B60" s="70" t="str">
        <x:v>SYNTH</x:v>
      </x:c>
      <x:c r="C60" s="70" t="str">
        <x:v>M3依赖状态｜REPAIR／STATE／SYNTH待回填</x:v>
      </x:c>
      <x:c r="D60" s="70" t="str">
        <x:v>待验证</x:v>
      </x:c>
      <x:c r="E60" s="70" t="n">
        <x:f>COUNTIFS('06_规则命中'!$D$6:$D$405,A60,'06_规则命中'!$I$6:$I$405,"支持",'06_规则命中'!$N$6:$N$405,"是")</x:f>
        <x:v>0</x:v>
      </x:c>
      <x:c r="F60" s="70" t="n">
        <x:f>COUNTIFS('06_规则命中'!$D$6:$D$405,A60,'06_规则命中'!$I$6:$I$405,"基本支持",'06_规则命中'!$N$6:$N$405,"是")</x:f>
        <x:v>0</x:v>
      </x:c>
      <x:c r="G60" s="70" t="n">
        <x:f>COUNTIFS('06_规则命中'!$D$6:$D$405,A60,'06_规则命中'!$I$6:$I$405,"部分支持",'06_规则命中'!$N$6:$N$405,"是")</x:f>
        <x:v>0</x:v>
      </x:c>
      <x:c r="H60" s="70" t="n">
        <x:f>COUNTIFS('06_规则命中'!$D$6:$D$405,A60,'06_规则命中'!$I$6:$I$405,"相邻但不同",'06_规则命中'!$N$6:$N$405,"是")</x:f>
        <x:v>0</x:v>
      </x:c>
      <x:c r="I60" s="70" t="n">
        <x:f>COUNTIFS('06_规则命中'!$D$6:$D$405,A60,'06_规则命中'!$I$6:$I$405,"反例",'06_规则命中'!$N$6:$N$405,"是")</x:f>
        <x:v>0</x:v>
      </x:c>
      <x:c r="J60" s="70" t="n">
        <x:f>COUNTIFS('06_规则命中'!$D$6:$D$405,A60,'06_规则命中'!$I$6:$I$405,"不可评估",'06_规则命中'!$N$6:$N$405,"是")</x:f>
        <x:v>0</x:v>
      </x:c>
      <x:c r="K60" s="70" t="n">
        <x:f>SUM(E60:I60)</x:f>
        <x:v>0</x:v>
      </x:c>
      <x:c r="L60" s="108" t="str">
        <x:f>IFERROR((E60+0.75*F60+0.5*G60+0.25*H60)/K60,"")</x:f>
      </x:c>
      <x:c r="M60" s="108" t="str">
        <x:f>IFERROR(I60/K60,"")</x:f>
      </x:c>
      <x:c r="N60" s="70" t="n">
        <x:f>COUNTIFS('08_反例与错误'!$E$6:$E$155,A60,'08_反例与错误'!$H$6:$H$155,"强")+COUNTIFS('08_反例与错误'!$E$6:$E$155,A60,'08_反例与错误'!$H$6:$H$155,"安全")</x:f>
        <x:v>0</x:v>
      </x:c>
      <x:c r="O60" s="70" t="n">
        <x:f>COUNTIFS('06_规则命中'!$D$6:$D$405,A60,'06_规则命中'!$I$6:$I$405,"反例",'06_规则命中'!$L$6:$L$405,"是",'06_规则命中'!$N$6:$N$405,"是")</x:f>
        <x:v>0</x:v>
      </x:c>
      <x:c r="P60" s="108" t="str">
        <x:f>IFERROR(SUMIFS('06_规则命中'!$J$6:$J$405,'06_规则命中'!$D$6:$D$405,A60,'06_规则命中'!$C$6:$C$405,"开发集",'06_规则命中'!$N$6:$N$405,"是")/COUNTIFS('06_规则命中'!$D$6:$D$405,A60,'06_规则命中'!$C$6:$C$405,"开发集",'06_规则命中'!$I$6:$I$405,"&lt;&gt;不可评估",'06_规则命中'!$N$6:$N$405,"是"),"")</x:f>
      </x:c>
      <x:c r="Q60" s="108" t="str">
        <x:f>IFERROR(SUMIFS('06_规则命中'!$J$6:$J$405,'06_规则命中'!$D$6:$D$405,A60,'06_规则命中'!$C$6:$C$405,"留出集",'06_规则命中'!$N$6:$N$405,"是")/COUNTIFS('06_规则命中'!$D$6:$D$405,A60,'06_规则命中'!$C$6:$C$405,"留出集",'06_规则命中'!$I$6:$I$405,"&lt;&gt;不可评估",'06_规则命中'!$N$6:$N$405,"是"),"")</x:f>
      </x:c>
      <x:c r="R60" s="70" t="str">
        <x:f>IF(K60=0,"P0 待验证",IF(K60&lt;3,"P1 极少样本",IF(K60&lt;6,"P2 探索",IF(K60&lt;12,"P3 初步","P4 稳定候选"))))</x:f>
        <x:v>P0 待验证</x:v>
      </x:c>
      <x:c r="S60" s="70" t="str">
        <x:f>IF(O60&gt;0,"立即安全审查",IF(K60&lt;3,"样本不足",IF(AND(K60&gt;=4,M60&gt;=0.6),"停用候选",IF(AND(K60&gt;=6,M60&gt;=0.4),"优先修改",IF(AND(K60&gt;=8,L60&gt;=0.75,M60&lt;=0.15,N60=0),"保留观察",IF(AND(P60&lt;&gt;"",Q60&lt;&gt;"",ABS(P60-Q60)&gt;0.25),"疑似过拟合","继续验证"))))))</x:f>
        <x:v>样本不足</x:v>
      </x:c>
      <x:c r="T60" s="70" t="str"/>
      <x:c r="U60" s="70" t="str">
        <x:v>待验证</x:v>
      </x:c>
      <x:c r="V60" s="70" t="str"/>
      <x:c r="W60" s="70" t="str"/>
    </x:row>
    <x:row r="61">
      <x:c r="A61" s="70" t="str">
        <x:v>M5-SYNTH-024</x:v>
      </x:c>
      <x:c r="B61" s="70" t="str">
        <x:v>SYNTH</x:v>
      </x:c>
      <x:c r="C61" s="70" t="str">
        <x:v>下一阶段接口｜进入M5-CALIBRATION</x:v>
      </x:c>
      <x:c r="D61" s="70" t="str">
        <x:v>待验证</x:v>
      </x:c>
      <x:c r="E61" s="70" t="n">
        <x:f>COUNTIFS('06_规则命中'!$D$6:$D$405,A61,'06_规则命中'!$I$6:$I$405,"支持",'06_规则命中'!$N$6:$N$405,"是")</x:f>
        <x:v>0</x:v>
      </x:c>
      <x:c r="F61" s="70" t="n">
        <x:f>COUNTIFS('06_规则命中'!$D$6:$D$405,A61,'06_规则命中'!$I$6:$I$405,"基本支持",'06_规则命中'!$N$6:$N$405,"是")</x:f>
        <x:v>0</x:v>
      </x:c>
      <x:c r="G61" s="70" t="n">
        <x:f>COUNTIFS('06_规则命中'!$D$6:$D$405,A61,'06_规则命中'!$I$6:$I$405,"部分支持",'06_规则命中'!$N$6:$N$405,"是")</x:f>
        <x:v>0</x:v>
      </x:c>
      <x:c r="H61" s="70" t="n">
        <x:f>COUNTIFS('06_规则命中'!$D$6:$D$405,A61,'06_规则命中'!$I$6:$I$405,"相邻但不同",'06_规则命中'!$N$6:$N$405,"是")</x:f>
        <x:v>0</x:v>
      </x:c>
      <x:c r="I61" s="70" t="n">
        <x:f>COUNTIFS('06_规则命中'!$D$6:$D$405,A61,'06_规则命中'!$I$6:$I$405,"反例",'06_规则命中'!$N$6:$N$405,"是")</x:f>
        <x:v>0</x:v>
      </x:c>
      <x:c r="J61" s="70" t="n">
        <x:f>COUNTIFS('06_规则命中'!$D$6:$D$405,A61,'06_规则命中'!$I$6:$I$405,"不可评估",'06_规则命中'!$N$6:$N$405,"是")</x:f>
        <x:v>0</x:v>
      </x:c>
      <x:c r="K61" s="70" t="n">
        <x:f>SUM(E61:I61)</x:f>
        <x:v>0</x:v>
      </x:c>
      <x:c r="L61" s="108" t="str">
        <x:f>IFERROR((E61+0.75*F61+0.5*G61+0.25*H61)/K61,"")</x:f>
      </x:c>
      <x:c r="M61" s="108" t="str">
        <x:f>IFERROR(I61/K61,"")</x:f>
      </x:c>
      <x:c r="N61" s="70" t="n">
        <x:f>COUNTIFS('08_反例与错误'!$E$6:$E$155,A61,'08_反例与错误'!$H$6:$H$155,"强")+COUNTIFS('08_反例与错误'!$E$6:$E$155,A61,'08_反例与错误'!$H$6:$H$155,"安全")</x:f>
        <x:v>0</x:v>
      </x:c>
      <x:c r="O61" s="70" t="n">
        <x:f>COUNTIFS('06_规则命中'!$D$6:$D$405,A61,'06_规则命中'!$I$6:$I$405,"反例",'06_规则命中'!$L$6:$L$405,"是",'06_规则命中'!$N$6:$N$405,"是")</x:f>
        <x:v>0</x:v>
      </x:c>
      <x:c r="P61" s="108" t="str">
        <x:f>IFERROR(SUMIFS('06_规则命中'!$J$6:$J$405,'06_规则命中'!$D$6:$D$405,A61,'06_规则命中'!$C$6:$C$405,"开发集",'06_规则命中'!$N$6:$N$405,"是")/COUNTIFS('06_规则命中'!$D$6:$D$405,A61,'06_规则命中'!$C$6:$C$405,"开发集",'06_规则命中'!$I$6:$I$405,"&lt;&gt;不可评估",'06_规则命中'!$N$6:$N$405,"是"),"")</x:f>
      </x:c>
      <x:c r="Q61" s="108" t="str">
        <x:f>IFERROR(SUMIFS('06_规则命中'!$J$6:$J$405,'06_规则命中'!$D$6:$D$405,A61,'06_规则命中'!$C$6:$C$405,"留出集",'06_规则命中'!$N$6:$N$405,"是")/COUNTIFS('06_规则命中'!$D$6:$D$405,A61,'06_规则命中'!$C$6:$C$405,"留出集",'06_规则命中'!$I$6:$I$405,"&lt;&gt;不可评估",'06_规则命中'!$N$6:$N$405,"是"),"")</x:f>
      </x:c>
      <x:c r="R61" s="70" t="str">
        <x:f>IF(K61=0,"P0 待验证",IF(K61&lt;3,"P1 极少样本",IF(K61&lt;6,"P2 探索",IF(K61&lt;12,"P3 初步","P4 稳定候选"))))</x:f>
        <x:v>P0 待验证</x:v>
      </x:c>
      <x:c r="S61" s="70" t="str">
        <x:f>IF(O61&gt;0,"立即安全审查",IF(K61&lt;3,"样本不足",IF(AND(K61&gt;=4,M61&gt;=0.6),"停用候选",IF(AND(K61&gt;=6,M61&gt;=0.4),"优先修改",IF(AND(K61&gt;=8,L61&gt;=0.75,M61&lt;=0.15,N61=0),"保留观察",IF(AND(P61&lt;&gt;"",Q61&lt;&gt;"",ABS(P61-Q61)&gt;0.25),"疑似过拟合","继续验证"))))))</x:f>
        <x:v>样本不足</x:v>
      </x:c>
      <x:c r="T61" s="70" t="str"/>
      <x:c r="U61" s="70" t="str">
        <x:v>待验证</x:v>
      </x:c>
      <x:c r="V61" s="70" t="str"/>
      <x:c r="W61" s="70" t="str"/>
    </x:row>
    <x:row r="62">
      <x:c r="A62" s="70" t="str">
        <x:v>M5-SYNTH-025</x:v>
      </x:c>
      <x:c r="B62" s="70" t="str">
        <x:v>SYNTH</x:v>
      </x:c>
      <x:c r="C62" s="70" t="str">
        <x:v>字段权威｜report_status由SYNTH负责</x:v>
      </x:c>
      <x:c r="D62" s="70" t="str">
        <x:v>待验证</x:v>
      </x:c>
      <x:c r="E62" s="70" t="n">
        <x:f>COUNTIFS('06_规则命中'!$D$6:$D$405,A62,'06_规则命中'!$I$6:$I$405,"支持",'06_规则命中'!$N$6:$N$405,"是")</x:f>
        <x:v>0</x:v>
      </x:c>
      <x:c r="F62" s="70" t="n">
        <x:f>COUNTIFS('06_规则命中'!$D$6:$D$405,A62,'06_规则命中'!$I$6:$I$405,"基本支持",'06_规则命中'!$N$6:$N$405,"是")</x:f>
        <x:v>0</x:v>
      </x:c>
      <x:c r="G62" s="70" t="n">
        <x:f>COUNTIFS('06_规则命中'!$D$6:$D$405,A62,'06_规则命中'!$I$6:$I$405,"部分支持",'06_规则命中'!$N$6:$N$405,"是")</x:f>
        <x:v>0</x:v>
      </x:c>
      <x:c r="H62" s="70" t="n">
        <x:f>COUNTIFS('06_规则命中'!$D$6:$D$405,A62,'06_规则命中'!$I$6:$I$405,"相邻但不同",'06_规则命中'!$N$6:$N$405,"是")</x:f>
        <x:v>0</x:v>
      </x:c>
      <x:c r="I62" s="70" t="n">
        <x:f>COUNTIFS('06_规则命中'!$D$6:$D$405,A62,'06_规则命中'!$I$6:$I$405,"反例",'06_规则命中'!$N$6:$N$405,"是")</x:f>
        <x:v>0</x:v>
      </x:c>
      <x:c r="J62" s="70" t="n">
        <x:f>COUNTIFS('06_规则命中'!$D$6:$D$405,A62,'06_规则命中'!$I$6:$I$405,"不可评估",'06_规则命中'!$N$6:$N$405,"是")</x:f>
        <x:v>0</x:v>
      </x:c>
      <x:c r="K62" s="70" t="n">
        <x:f>SUM(E62:I62)</x:f>
        <x:v>0</x:v>
      </x:c>
      <x:c r="L62" s="108" t="str">
        <x:f>IFERROR((E62+0.75*F62+0.5*G62+0.25*H62)/K62,"")</x:f>
      </x:c>
      <x:c r="M62" s="108" t="str">
        <x:f>IFERROR(I62/K62,"")</x:f>
      </x:c>
      <x:c r="N62" s="70" t="n">
        <x:f>COUNTIFS('08_反例与错误'!$E$6:$E$155,A62,'08_反例与错误'!$H$6:$H$155,"强")+COUNTIFS('08_反例与错误'!$E$6:$E$155,A62,'08_反例与错误'!$H$6:$H$155,"安全")</x:f>
        <x:v>0</x:v>
      </x:c>
      <x:c r="O62" s="70" t="n">
        <x:f>COUNTIFS('06_规则命中'!$D$6:$D$405,A62,'06_规则命中'!$I$6:$I$405,"反例",'06_规则命中'!$L$6:$L$405,"是",'06_规则命中'!$N$6:$N$405,"是")</x:f>
        <x:v>0</x:v>
      </x:c>
      <x:c r="P62" s="108" t="str">
        <x:f>IFERROR(SUMIFS('06_规则命中'!$J$6:$J$405,'06_规则命中'!$D$6:$D$405,A62,'06_规则命中'!$C$6:$C$405,"开发集",'06_规则命中'!$N$6:$N$405,"是")/COUNTIFS('06_规则命中'!$D$6:$D$405,A62,'06_规则命中'!$C$6:$C$405,"开发集",'06_规则命中'!$I$6:$I$405,"&lt;&gt;不可评估",'06_规则命中'!$N$6:$N$405,"是"),"")</x:f>
      </x:c>
      <x:c r="Q62" s="108" t="str">
        <x:f>IFERROR(SUMIFS('06_规则命中'!$J$6:$J$405,'06_规则命中'!$D$6:$D$405,A62,'06_规则命中'!$C$6:$C$405,"留出集",'06_规则命中'!$N$6:$N$405,"是")/COUNTIFS('06_规则命中'!$D$6:$D$405,A62,'06_规则命中'!$C$6:$C$405,"留出集",'06_规则命中'!$I$6:$I$405,"&lt;&gt;不可评估",'06_规则命中'!$N$6:$N$405,"是"),"")</x:f>
      </x:c>
      <x:c r="R62" s="70" t="str">
        <x:f>IF(K62=0,"P0 待验证",IF(K62&lt;3,"P1 极少样本",IF(K62&lt;6,"P2 探索",IF(K62&lt;12,"P3 初步","P4 稳定候选"))))</x:f>
        <x:v>P0 待验证</x:v>
      </x:c>
      <x:c r="S62" s="70" t="str">
        <x:f>IF(O62&gt;0,"立即安全审查",IF(K62&lt;3,"样本不足",IF(AND(K62&gt;=4,M62&gt;=0.6),"停用候选",IF(AND(K62&gt;=6,M62&gt;=0.4),"优先修改",IF(AND(K62&gt;=8,L62&gt;=0.75,M62&lt;=0.15,N62=0),"保留观察",IF(AND(P62&lt;&gt;"",Q62&lt;&gt;"",ABS(P62-Q62)&gt;0.25),"疑似过拟合","继续验证"))))))</x:f>
        <x:v>样本不足</x:v>
      </x:c>
      <x:c r="T62" s="70" t="str"/>
      <x:c r="U62" s="70" t="str">
        <x:v>待验证</x:v>
      </x:c>
      <x:c r="V62" s="70" t="str"/>
      <x:c r="W62" s="70" t="str"/>
    </x:row>
    <x:row r="63">
      <x:c r="A63" s="70" t="str">
        <x:v>M5-SYNTH-026</x:v>
      </x:c>
      <x:c r="B63" s="70" t="str">
        <x:v>SYNTH</x:v>
      </x:c>
      <x:c r="C63" s="70" t="str">
        <x:v>字段权威｜safety_status由SYNTH＋现实安全门控负责</x:v>
      </x:c>
      <x:c r="D63" s="70" t="str">
        <x:v>待验证</x:v>
      </x:c>
      <x:c r="E63" s="70" t="n">
        <x:f>COUNTIFS('06_规则命中'!$D$6:$D$405,A63,'06_规则命中'!$I$6:$I$405,"支持",'06_规则命中'!$N$6:$N$405,"是")</x:f>
        <x:v>0</x:v>
      </x:c>
      <x:c r="F63" s="70" t="n">
        <x:f>COUNTIFS('06_规则命中'!$D$6:$D$405,A63,'06_规则命中'!$I$6:$I$405,"基本支持",'06_规则命中'!$N$6:$N$405,"是")</x:f>
        <x:v>0</x:v>
      </x:c>
      <x:c r="G63" s="70" t="n">
        <x:f>COUNTIFS('06_规则命中'!$D$6:$D$405,A63,'06_规则命中'!$I$6:$I$405,"部分支持",'06_规则命中'!$N$6:$N$405,"是")</x:f>
        <x:v>0</x:v>
      </x:c>
      <x:c r="H63" s="70" t="n">
        <x:f>COUNTIFS('06_规则命中'!$D$6:$D$405,A63,'06_规则命中'!$I$6:$I$405,"相邻但不同",'06_规则命中'!$N$6:$N$405,"是")</x:f>
        <x:v>0</x:v>
      </x:c>
      <x:c r="I63" s="70" t="n">
        <x:f>COUNTIFS('06_规则命中'!$D$6:$D$405,A63,'06_规则命中'!$I$6:$I$405,"反例",'06_规则命中'!$N$6:$N$405,"是")</x:f>
        <x:v>0</x:v>
      </x:c>
      <x:c r="J63" s="70" t="n">
        <x:f>COUNTIFS('06_规则命中'!$D$6:$D$405,A63,'06_规则命中'!$I$6:$I$405,"不可评估",'06_规则命中'!$N$6:$N$405,"是")</x:f>
        <x:v>0</x:v>
      </x:c>
      <x:c r="K63" s="70" t="n">
        <x:f>SUM(E63:I63)</x:f>
        <x:v>0</x:v>
      </x:c>
      <x:c r="L63" s="108" t="str">
        <x:f>IFERROR((E63+0.75*F63+0.5*G63+0.25*H63)/K63,"")</x:f>
      </x:c>
      <x:c r="M63" s="108" t="str">
        <x:f>IFERROR(I63/K63,"")</x:f>
      </x:c>
      <x:c r="N63" s="70" t="n">
        <x:f>COUNTIFS('08_反例与错误'!$E$6:$E$155,A63,'08_反例与错误'!$H$6:$H$155,"强")+COUNTIFS('08_反例与错误'!$E$6:$E$155,A63,'08_反例与错误'!$H$6:$H$155,"安全")</x:f>
        <x:v>0</x:v>
      </x:c>
      <x:c r="O63" s="70" t="n">
        <x:f>COUNTIFS('06_规则命中'!$D$6:$D$405,A63,'06_规则命中'!$I$6:$I$405,"反例",'06_规则命中'!$L$6:$L$405,"是",'06_规则命中'!$N$6:$N$405,"是")</x:f>
        <x:v>0</x:v>
      </x:c>
      <x:c r="P63" s="108" t="str">
        <x:f>IFERROR(SUMIFS('06_规则命中'!$J$6:$J$405,'06_规则命中'!$D$6:$D$405,A63,'06_规则命中'!$C$6:$C$405,"开发集",'06_规则命中'!$N$6:$N$405,"是")/COUNTIFS('06_规则命中'!$D$6:$D$405,A63,'06_规则命中'!$C$6:$C$405,"开发集",'06_规则命中'!$I$6:$I$405,"&lt;&gt;不可评估",'06_规则命中'!$N$6:$N$405,"是"),"")</x:f>
      </x:c>
      <x:c r="Q63" s="108" t="str">
        <x:f>IFERROR(SUMIFS('06_规则命中'!$J$6:$J$405,'06_规则命中'!$D$6:$D$405,A63,'06_规则命中'!$C$6:$C$405,"留出集",'06_规则命中'!$N$6:$N$405,"是")/COUNTIFS('06_规则命中'!$D$6:$D$405,A63,'06_规则命中'!$C$6:$C$405,"留出集",'06_规则命中'!$I$6:$I$405,"&lt;&gt;不可评估",'06_规则命中'!$N$6:$N$405,"是"),"")</x:f>
      </x:c>
      <x:c r="R63" s="70" t="str">
        <x:f>IF(K63=0,"P0 待验证",IF(K63&lt;3,"P1 极少样本",IF(K63&lt;6,"P2 探索",IF(K63&lt;12,"P3 初步","P4 稳定候选"))))</x:f>
        <x:v>P0 待验证</x:v>
      </x:c>
      <x:c r="S63" s="70" t="str">
        <x:f>IF(O63&gt;0,"立即安全审查",IF(K63&lt;3,"样本不足",IF(AND(K63&gt;=4,M63&gt;=0.6),"停用候选",IF(AND(K63&gt;=6,M63&gt;=0.4),"优先修改",IF(AND(K63&gt;=8,L63&gt;=0.75,M63&lt;=0.15,N63=0),"保留观察",IF(AND(P63&lt;&gt;"",Q63&lt;&gt;"",ABS(P63-Q63)&gt;0.25),"疑似过拟合","继续验证"))))))</x:f>
        <x:v>样本不足</x:v>
      </x:c>
      <x:c r="T63" s="70" t="str"/>
      <x:c r="U63" s="70" t="str">
        <x:v>待验证</x:v>
      </x:c>
      <x:c r="V63" s="70" t="str"/>
      <x:c r="W63" s="70" t="str"/>
    </x:row>
    <x:row r="64">
      <x:c r="A64" s="70" t="str">
        <x:v>M5-SYNTH-027</x:v>
      </x:c>
      <x:c r="B64" s="70" t="str">
        <x:v>SYNTH</x:v>
      </x:c>
      <x:c r="C64" s="70" t="str">
        <x:v>字段权威｜universal_floor由BASE＋现实RG01负责</x:v>
      </x:c>
      <x:c r="D64" s="70" t="str">
        <x:v>待验证</x:v>
      </x:c>
      <x:c r="E64" s="70" t="n">
        <x:f>COUNTIFS('06_规则命中'!$D$6:$D$405,A64,'06_规则命中'!$I$6:$I$405,"支持",'06_规则命中'!$N$6:$N$405,"是")</x:f>
        <x:v>0</x:v>
      </x:c>
      <x:c r="F64" s="70" t="n">
        <x:f>COUNTIFS('06_规则命中'!$D$6:$D$405,A64,'06_规则命中'!$I$6:$I$405,"基本支持",'06_规则命中'!$N$6:$N$405,"是")</x:f>
        <x:v>0</x:v>
      </x:c>
      <x:c r="G64" s="70" t="n">
        <x:f>COUNTIFS('06_规则命中'!$D$6:$D$405,A64,'06_规则命中'!$I$6:$I$405,"部分支持",'06_规则命中'!$N$6:$N$405,"是")</x:f>
        <x:v>0</x:v>
      </x:c>
      <x:c r="H64" s="70" t="n">
        <x:f>COUNTIFS('06_规则命中'!$D$6:$D$405,A64,'06_规则命中'!$I$6:$I$405,"相邻但不同",'06_规则命中'!$N$6:$N$405,"是")</x:f>
        <x:v>0</x:v>
      </x:c>
      <x:c r="I64" s="70" t="n">
        <x:f>COUNTIFS('06_规则命中'!$D$6:$D$405,A64,'06_规则命中'!$I$6:$I$405,"反例",'06_规则命中'!$N$6:$N$405,"是")</x:f>
        <x:v>0</x:v>
      </x:c>
      <x:c r="J64" s="70" t="n">
        <x:f>COUNTIFS('06_规则命中'!$D$6:$D$405,A64,'06_规则命中'!$I$6:$I$405,"不可评估",'06_规则命中'!$N$6:$N$405,"是")</x:f>
        <x:v>0</x:v>
      </x:c>
      <x:c r="K64" s="70" t="n">
        <x:f>SUM(E64:I64)</x:f>
        <x:v>0</x:v>
      </x:c>
      <x:c r="L64" s="108" t="str">
        <x:f>IFERROR((E64+0.75*F64+0.5*G64+0.25*H64)/K64,"")</x:f>
      </x:c>
      <x:c r="M64" s="108" t="str">
        <x:f>IFERROR(I64/K64,"")</x:f>
      </x:c>
      <x:c r="N64" s="70" t="n">
        <x:f>COUNTIFS('08_反例与错误'!$E$6:$E$155,A64,'08_反例与错误'!$H$6:$H$155,"强")+COUNTIFS('08_反例与错误'!$E$6:$E$155,A64,'08_反例与错误'!$H$6:$H$155,"安全")</x:f>
        <x:v>0</x:v>
      </x:c>
      <x:c r="O64" s="70" t="n">
        <x:f>COUNTIFS('06_规则命中'!$D$6:$D$405,A64,'06_规则命中'!$I$6:$I$405,"反例",'06_规则命中'!$L$6:$L$405,"是",'06_规则命中'!$N$6:$N$405,"是")</x:f>
        <x:v>0</x:v>
      </x:c>
      <x:c r="P64" s="108" t="str">
        <x:f>IFERROR(SUMIFS('06_规则命中'!$J$6:$J$405,'06_规则命中'!$D$6:$D$405,A64,'06_规则命中'!$C$6:$C$405,"开发集",'06_规则命中'!$N$6:$N$405,"是")/COUNTIFS('06_规则命中'!$D$6:$D$405,A64,'06_规则命中'!$C$6:$C$405,"开发集",'06_规则命中'!$I$6:$I$405,"&lt;&gt;不可评估",'06_规则命中'!$N$6:$N$405,"是"),"")</x:f>
      </x:c>
      <x:c r="Q64" s="108" t="str">
        <x:f>IFERROR(SUMIFS('06_规则命中'!$J$6:$J$405,'06_规则命中'!$D$6:$D$405,A64,'06_规则命中'!$C$6:$C$405,"留出集",'06_规则命中'!$N$6:$N$405,"是")/COUNTIFS('06_规则命中'!$D$6:$D$405,A64,'06_规则命中'!$C$6:$C$405,"留出集",'06_规则命中'!$I$6:$I$405,"&lt;&gt;不可评估",'06_规则命中'!$N$6:$N$405,"是"),"")</x:f>
      </x:c>
      <x:c r="R64" s="70" t="str">
        <x:f>IF(K64=0,"P0 待验证",IF(K64&lt;3,"P1 极少样本",IF(K64&lt;6,"P2 探索",IF(K64&lt;12,"P3 初步","P4 稳定候选"))))</x:f>
        <x:v>P0 待验证</x:v>
      </x:c>
      <x:c r="S64" s="70" t="str">
        <x:f>IF(O64&gt;0,"立即安全审查",IF(K64&lt;3,"样本不足",IF(AND(K64&gt;=4,M64&gt;=0.6),"停用候选",IF(AND(K64&gt;=6,M64&gt;=0.4),"优先修改",IF(AND(K64&gt;=8,L64&gt;=0.75,M64&lt;=0.15,N64=0),"保留观察",IF(AND(P64&lt;&gt;"",Q64&lt;&gt;"",ABS(P64-Q64)&gt;0.25),"疑似过拟合","继续验证"))))))</x:f>
        <x:v>样本不足</x:v>
      </x:c>
      <x:c r="T64" s="70" t="str"/>
      <x:c r="U64" s="70" t="str">
        <x:v>待验证</x:v>
      </x:c>
      <x:c r="V64" s="70" t="str"/>
      <x:c r="W64" s="70" t="str"/>
    </x:row>
    <x:row r="65">
      <x:c r="A65" s="70" t="str">
        <x:v>M5-SYNTH-028</x:v>
      </x:c>
      <x:c r="B65" s="70" t="str">
        <x:v>SYNTH</x:v>
      </x:c>
      <x:c r="C65" s="70" t="str">
        <x:v>字段权威｜primary_fit_need由BASE负责</x:v>
      </x:c>
      <x:c r="D65" s="70" t="str">
        <x:v>待验证</x:v>
      </x:c>
      <x:c r="E65" s="70" t="n">
        <x:f>COUNTIFS('06_规则命中'!$D$6:$D$405,A65,'06_规则命中'!$I$6:$I$405,"支持",'06_规则命中'!$N$6:$N$405,"是")</x:f>
        <x:v>0</x:v>
      </x:c>
      <x:c r="F65" s="70" t="n">
        <x:f>COUNTIFS('06_规则命中'!$D$6:$D$405,A65,'06_规则命中'!$I$6:$I$405,"基本支持",'06_规则命中'!$N$6:$N$405,"是")</x:f>
        <x:v>0</x:v>
      </x:c>
      <x:c r="G65" s="70" t="n">
        <x:f>COUNTIFS('06_规则命中'!$D$6:$D$405,A65,'06_规则命中'!$I$6:$I$405,"部分支持",'06_规则命中'!$N$6:$N$405,"是")</x:f>
        <x:v>0</x:v>
      </x:c>
      <x:c r="H65" s="70" t="n">
        <x:f>COUNTIFS('06_规则命中'!$D$6:$D$405,A65,'06_规则命中'!$I$6:$I$405,"相邻但不同",'06_规则命中'!$N$6:$N$405,"是")</x:f>
        <x:v>0</x:v>
      </x:c>
      <x:c r="I65" s="70" t="n">
        <x:f>COUNTIFS('06_规则命中'!$D$6:$D$405,A65,'06_规则命中'!$I$6:$I$405,"反例",'06_规则命中'!$N$6:$N$405,"是")</x:f>
        <x:v>0</x:v>
      </x:c>
      <x:c r="J65" s="70" t="n">
        <x:f>COUNTIFS('06_规则命中'!$D$6:$D$405,A65,'06_规则命中'!$I$6:$I$405,"不可评估",'06_规则命中'!$N$6:$N$405,"是")</x:f>
        <x:v>0</x:v>
      </x:c>
      <x:c r="K65" s="70" t="n">
        <x:f>SUM(E65:I65)</x:f>
        <x:v>0</x:v>
      </x:c>
      <x:c r="L65" s="108" t="str">
        <x:f>IFERROR((E65+0.75*F65+0.5*G65+0.25*H65)/K65,"")</x:f>
      </x:c>
      <x:c r="M65" s="108" t="str">
        <x:f>IFERROR(I65/K65,"")</x:f>
      </x:c>
      <x:c r="N65" s="70" t="n">
        <x:f>COUNTIFS('08_反例与错误'!$E$6:$E$155,A65,'08_反例与错误'!$H$6:$H$155,"强")+COUNTIFS('08_反例与错误'!$E$6:$E$155,A65,'08_反例与错误'!$H$6:$H$155,"安全")</x:f>
        <x:v>0</x:v>
      </x:c>
      <x:c r="O65" s="70" t="n">
        <x:f>COUNTIFS('06_规则命中'!$D$6:$D$405,A65,'06_规则命中'!$I$6:$I$405,"反例",'06_规则命中'!$L$6:$L$405,"是",'06_规则命中'!$N$6:$N$405,"是")</x:f>
        <x:v>0</x:v>
      </x:c>
      <x:c r="P65" s="108" t="str">
        <x:f>IFERROR(SUMIFS('06_规则命中'!$J$6:$J$405,'06_规则命中'!$D$6:$D$405,A65,'06_规则命中'!$C$6:$C$405,"开发集",'06_规则命中'!$N$6:$N$405,"是")/COUNTIFS('06_规则命中'!$D$6:$D$405,A65,'06_规则命中'!$C$6:$C$405,"开发集",'06_规则命中'!$I$6:$I$405,"&lt;&gt;不可评估",'06_规则命中'!$N$6:$N$405,"是"),"")</x:f>
      </x:c>
      <x:c r="Q65" s="108" t="str">
        <x:f>IFERROR(SUMIFS('06_规则命中'!$J$6:$J$405,'06_规则命中'!$D$6:$D$405,A65,'06_规则命中'!$C$6:$C$405,"留出集",'06_规则命中'!$N$6:$N$405,"是")/COUNTIFS('06_规则命中'!$D$6:$D$405,A65,'06_规则命中'!$C$6:$C$405,"留出集",'06_规则命中'!$I$6:$I$405,"&lt;&gt;不可评估",'06_规则命中'!$N$6:$N$405,"是"),"")</x:f>
      </x:c>
      <x:c r="R65" s="70" t="str">
        <x:f>IF(K65=0,"P0 待验证",IF(K65&lt;3,"P1 极少样本",IF(K65&lt;6,"P2 探索",IF(K65&lt;12,"P3 初步","P4 稳定候选"))))</x:f>
        <x:v>P0 待验证</x:v>
      </x:c>
      <x:c r="S65" s="70" t="str">
        <x:f>IF(O65&gt;0,"立即安全审查",IF(K65&lt;3,"样本不足",IF(AND(K65&gt;=4,M65&gt;=0.6),"停用候选",IF(AND(K65&gt;=6,M65&gt;=0.4),"优先修改",IF(AND(K65&gt;=8,L65&gt;=0.75,M65&lt;=0.15,N65=0),"保留观察",IF(AND(P65&lt;&gt;"",Q65&lt;&gt;"",ABS(P65-Q65)&gt;0.25),"疑似过拟合","继续验证"))))))</x:f>
        <x:v>样本不足</x:v>
      </x:c>
      <x:c r="T65" s="70" t="str"/>
      <x:c r="U65" s="70" t="str">
        <x:v>待验证</x:v>
      </x:c>
      <x:c r="V65" s="70" t="str"/>
      <x:c r="W65" s="70" t="str"/>
    </x:row>
    <x:row r="66">
      <x:c r="A66" s="70" t="str">
        <x:v>M5-SYNTH-029</x:v>
      </x:c>
      <x:c r="B66" s="70" t="str">
        <x:v>SYNTH</x:v>
      </x:c>
      <x:c r="C66" s="70" t="str">
        <x:v>字段权威｜secondary_fit_need由BASE负责</x:v>
      </x:c>
      <x:c r="D66" s="70" t="str">
        <x:v>待验证</x:v>
      </x:c>
      <x:c r="E66" s="70" t="n">
        <x:f>COUNTIFS('06_规则命中'!$D$6:$D$405,A66,'06_规则命中'!$I$6:$I$405,"支持",'06_规则命中'!$N$6:$N$405,"是")</x:f>
        <x:v>0</x:v>
      </x:c>
      <x:c r="F66" s="70" t="n">
        <x:f>COUNTIFS('06_规则命中'!$D$6:$D$405,A66,'06_规则命中'!$I$6:$I$405,"基本支持",'06_规则命中'!$N$6:$N$405,"是")</x:f>
        <x:v>0</x:v>
      </x:c>
      <x:c r="G66" s="70" t="n">
        <x:f>COUNTIFS('06_规则命中'!$D$6:$D$405,A66,'06_规则命中'!$I$6:$I$405,"部分支持",'06_规则命中'!$N$6:$N$405,"是")</x:f>
        <x:v>0</x:v>
      </x:c>
      <x:c r="H66" s="70" t="n">
        <x:f>COUNTIFS('06_规则命中'!$D$6:$D$405,A66,'06_规则命中'!$I$6:$I$405,"相邻但不同",'06_规则命中'!$N$6:$N$405,"是")</x:f>
        <x:v>0</x:v>
      </x:c>
      <x:c r="I66" s="70" t="n">
        <x:f>COUNTIFS('06_规则命中'!$D$6:$D$405,A66,'06_规则命中'!$I$6:$I$405,"反例",'06_规则命中'!$N$6:$N$405,"是")</x:f>
        <x:v>0</x:v>
      </x:c>
      <x:c r="J66" s="70" t="n">
        <x:f>COUNTIFS('06_规则命中'!$D$6:$D$405,A66,'06_规则命中'!$I$6:$I$405,"不可评估",'06_规则命中'!$N$6:$N$405,"是")</x:f>
        <x:v>0</x:v>
      </x:c>
      <x:c r="K66" s="70" t="n">
        <x:f>SUM(E66:I66)</x:f>
        <x:v>0</x:v>
      </x:c>
      <x:c r="L66" s="108" t="str">
        <x:f>IFERROR((E66+0.75*F66+0.5*G66+0.25*H66)/K66,"")</x:f>
      </x:c>
      <x:c r="M66" s="108" t="str">
        <x:f>IFERROR(I66/K66,"")</x:f>
      </x:c>
      <x:c r="N66" s="70" t="n">
        <x:f>COUNTIFS('08_反例与错误'!$E$6:$E$155,A66,'08_反例与错误'!$H$6:$H$155,"强")+COUNTIFS('08_反例与错误'!$E$6:$E$155,A66,'08_反例与错误'!$H$6:$H$155,"安全")</x:f>
        <x:v>0</x:v>
      </x:c>
      <x:c r="O66" s="70" t="n">
        <x:f>COUNTIFS('06_规则命中'!$D$6:$D$405,A66,'06_规则命中'!$I$6:$I$405,"反例",'06_规则命中'!$L$6:$L$405,"是",'06_规则命中'!$N$6:$N$405,"是")</x:f>
        <x:v>0</x:v>
      </x:c>
      <x:c r="P66" s="108" t="str">
        <x:f>IFERROR(SUMIFS('06_规则命中'!$J$6:$J$405,'06_规则命中'!$D$6:$D$405,A66,'06_规则命中'!$C$6:$C$405,"开发集",'06_规则命中'!$N$6:$N$405,"是")/COUNTIFS('06_规则命中'!$D$6:$D$405,A66,'06_规则命中'!$C$6:$C$405,"开发集",'06_规则命中'!$I$6:$I$405,"&lt;&gt;不可评估",'06_规则命中'!$N$6:$N$405,"是"),"")</x:f>
      </x:c>
      <x:c r="Q66" s="108" t="str">
        <x:f>IFERROR(SUMIFS('06_规则命中'!$J$6:$J$405,'06_规则命中'!$D$6:$D$405,A66,'06_规则命中'!$C$6:$C$405,"留出集",'06_规则命中'!$N$6:$N$405,"是")/COUNTIFS('06_规则命中'!$D$6:$D$405,A66,'06_规则命中'!$C$6:$C$405,"留出集",'06_规则命中'!$I$6:$I$405,"&lt;&gt;不可评估",'06_规则命中'!$N$6:$N$405,"是"),"")</x:f>
      </x:c>
      <x:c r="R66" s="70" t="str">
        <x:f>IF(K66=0,"P0 待验证",IF(K66&lt;3,"P1 极少样本",IF(K66&lt;6,"P2 探索",IF(K66&lt;12,"P3 初步","P4 稳定候选"))))</x:f>
        <x:v>P0 待验证</x:v>
      </x:c>
      <x:c r="S66" s="70" t="str">
        <x:f>IF(O66&gt;0,"立即安全审查",IF(K66&lt;3,"样本不足",IF(AND(K66&gt;=4,M66&gt;=0.6),"停用候选",IF(AND(K66&gt;=6,M66&gt;=0.4),"优先修改",IF(AND(K66&gt;=8,L66&gt;=0.75,M66&lt;=0.15,N66=0),"保留观察",IF(AND(P66&lt;&gt;"",Q66&lt;&gt;"",ABS(P66-Q66)&gt;0.25),"疑似过拟合","继续验证"))))))</x:f>
        <x:v>样本不足</x:v>
      </x:c>
      <x:c r="T66" s="70" t="str"/>
      <x:c r="U66" s="70" t="str">
        <x:v>待验证</x:v>
      </x:c>
      <x:c r="V66" s="70" t="str"/>
      <x:c r="W66" s="70" t="str"/>
    </x:row>
    <x:row r="67">
      <x:c r="A67" s="70" t="str">
        <x:v>M5-SYNTH-030</x:v>
      </x:c>
      <x:c r="B67" s="70" t="str">
        <x:v>SYNTH</x:v>
      </x:c>
      <x:c r="C67" s="70" t="str">
        <x:v>字段权威｜need_priority由BASE负责</x:v>
      </x:c>
      <x:c r="D67" s="70" t="str">
        <x:v>待验证</x:v>
      </x:c>
      <x:c r="E67" s="70" t="n">
        <x:f>COUNTIFS('06_规则命中'!$D$6:$D$405,A67,'06_规则命中'!$I$6:$I$405,"支持",'06_规则命中'!$N$6:$N$405,"是")</x:f>
        <x:v>0</x:v>
      </x:c>
      <x:c r="F67" s="70" t="n">
        <x:f>COUNTIFS('06_规则命中'!$D$6:$D$405,A67,'06_规则命中'!$I$6:$I$405,"基本支持",'06_规则命中'!$N$6:$N$405,"是")</x:f>
        <x:v>0</x:v>
      </x:c>
      <x:c r="G67" s="70" t="n">
        <x:f>COUNTIFS('06_规则命中'!$D$6:$D$405,A67,'06_规则命中'!$I$6:$I$405,"部分支持",'06_规则命中'!$N$6:$N$405,"是")</x:f>
        <x:v>0</x:v>
      </x:c>
      <x:c r="H67" s="70" t="n">
        <x:f>COUNTIFS('06_规则命中'!$D$6:$D$405,A67,'06_规则命中'!$I$6:$I$405,"相邻但不同",'06_规则命中'!$N$6:$N$405,"是")</x:f>
        <x:v>0</x:v>
      </x:c>
      <x:c r="I67" s="70" t="n">
        <x:f>COUNTIFS('06_规则命中'!$D$6:$D$405,A67,'06_规则命中'!$I$6:$I$405,"反例",'06_规则命中'!$N$6:$N$405,"是")</x:f>
        <x:v>0</x:v>
      </x:c>
      <x:c r="J67" s="70" t="n">
        <x:f>COUNTIFS('06_规则命中'!$D$6:$D$405,A67,'06_规则命中'!$I$6:$I$405,"不可评估",'06_规则命中'!$N$6:$N$405,"是")</x:f>
        <x:v>0</x:v>
      </x:c>
      <x:c r="K67" s="70" t="n">
        <x:f>SUM(E67:I67)</x:f>
        <x:v>0</x:v>
      </x:c>
      <x:c r="L67" s="108" t="str">
        <x:f>IFERROR((E67+0.75*F67+0.5*G67+0.25*H67)/K67,"")</x:f>
      </x:c>
      <x:c r="M67" s="108" t="str">
        <x:f>IFERROR(I67/K67,"")</x:f>
      </x:c>
      <x:c r="N67" s="70" t="n">
        <x:f>COUNTIFS('08_反例与错误'!$E$6:$E$155,A67,'08_反例与错误'!$H$6:$H$155,"强")+COUNTIFS('08_反例与错误'!$E$6:$E$155,A67,'08_反例与错误'!$H$6:$H$155,"安全")</x:f>
        <x:v>0</x:v>
      </x:c>
      <x:c r="O67" s="70" t="n">
        <x:f>COUNTIFS('06_规则命中'!$D$6:$D$405,A67,'06_规则命中'!$I$6:$I$405,"反例",'06_规则命中'!$L$6:$L$405,"是",'06_规则命中'!$N$6:$N$405,"是")</x:f>
        <x:v>0</x:v>
      </x:c>
      <x:c r="P67" s="108" t="str">
        <x:f>IFERROR(SUMIFS('06_规则命中'!$J$6:$J$405,'06_规则命中'!$D$6:$D$405,A67,'06_规则命中'!$C$6:$C$405,"开发集",'06_规则命中'!$N$6:$N$405,"是")/COUNTIFS('06_规则命中'!$D$6:$D$405,A67,'06_规则命中'!$C$6:$C$405,"开发集",'06_规则命中'!$I$6:$I$405,"&lt;&gt;不可评估",'06_规则命中'!$N$6:$N$405,"是"),"")</x:f>
      </x:c>
      <x:c r="Q67" s="108" t="str">
        <x:f>IFERROR(SUMIFS('06_规则命中'!$J$6:$J$405,'06_规则命中'!$D$6:$D$405,A67,'06_规则命中'!$C$6:$C$405,"留出集",'06_规则命中'!$N$6:$N$405,"是")/COUNTIFS('06_规则命中'!$D$6:$D$405,A67,'06_规则命中'!$C$6:$C$405,"留出集",'06_规则命中'!$I$6:$I$405,"&lt;&gt;不可评估",'06_规则命中'!$N$6:$N$405,"是"),"")</x:f>
      </x:c>
      <x:c r="R67" s="70" t="str">
        <x:f>IF(K67=0,"P0 待验证",IF(K67&lt;3,"P1 极少样本",IF(K67&lt;6,"P2 探索",IF(K67&lt;12,"P3 初步","P4 稳定候选"))))</x:f>
        <x:v>P0 待验证</x:v>
      </x:c>
      <x:c r="S67" s="70" t="str">
        <x:f>IF(O67&gt;0,"立即安全审查",IF(K67&lt;3,"样本不足",IF(AND(K67&gt;=4,M67&gt;=0.6),"停用候选",IF(AND(K67&gt;=6,M67&gt;=0.4),"优先修改",IF(AND(K67&gt;=8,L67&gt;=0.75,M67&lt;=0.15,N67=0),"保留观察",IF(AND(P67&lt;&gt;"",Q67&lt;&gt;"",ABS(P67-Q67)&gt;0.25),"疑似过拟合","继续验证"))))))</x:f>
        <x:v>样本不足</x:v>
      </x:c>
      <x:c r="T67" s="70" t="str"/>
      <x:c r="U67" s="70" t="str">
        <x:v>待验证</x:v>
      </x:c>
      <x:c r="V67" s="70" t="str"/>
      <x:c r="W67" s="70" t="str"/>
    </x:row>
    <x:row r="68">
      <x:c r="A68" s="70" t="str">
        <x:v>M5-SYNTH-031</x:v>
      </x:c>
      <x:c r="B68" s="70" t="str">
        <x:v>SYNTH</x:v>
      </x:c>
      <x:c r="C68" s="70" t="str">
        <x:v>字段权威｜flexible_preferences由BASE＋GAP负责</x:v>
      </x:c>
      <x:c r="D68" s="70" t="str">
        <x:v>待验证</x:v>
      </x:c>
      <x:c r="E68" s="70" t="n">
        <x:f>COUNTIFS('06_规则命中'!$D$6:$D$405,A68,'06_规则命中'!$I$6:$I$405,"支持",'06_规则命中'!$N$6:$N$405,"是")</x:f>
        <x:v>0</x:v>
      </x:c>
      <x:c r="F68" s="70" t="n">
        <x:f>COUNTIFS('06_规则命中'!$D$6:$D$405,A68,'06_规则命中'!$I$6:$I$405,"基本支持",'06_规则命中'!$N$6:$N$405,"是")</x:f>
        <x:v>0</x:v>
      </x:c>
      <x:c r="G68" s="70" t="n">
        <x:f>COUNTIFS('06_规则命中'!$D$6:$D$405,A68,'06_规则命中'!$I$6:$I$405,"部分支持",'06_规则命中'!$N$6:$N$405,"是")</x:f>
        <x:v>0</x:v>
      </x:c>
      <x:c r="H68" s="70" t="n">
        <x:f>COUNTIFS('06_规则命中'!$D$6:$D$405,A68,'06_规则命中'!$I$6:$I$405,"相邻但不同",'06_规则命中'!$N$6:$N$405,"是")</x:f>
        <x:v>0</x:v>
      </x:c>
      <x:c r="I68" s="70" t="n">
        <x:f>COUNTIFS('06_规则命中'!$D$6:$D$405,A68,'06_规则命中'!$I$6:$I$405,"反例",'06_规则命中'!$N$6:$N$405,"是")</x:f>
        <x:v>0</x:v>
      </x:c>
      <x:c r="J68" s="70" t="n">
        <x:f>COUNTIFS('06_规则命中'!$D$6:$D$405,A68,'06_规则命中'!$I$6:$I$405,"不可评估",'06_规则命中'!$N$6:$N$405,"是")</x:f>
        <x:v>0</x:v>
      </x:c>
      <x:c r="K68" s="70" t="n">
        <x:f>SUM(E68:I68)</x:f>
        <x:v>0</x:v>
      </x:c>
      <x:c r="L68" s="108" t="str">
        <x:f>IFERROR((E68+0.75*F68+0.5*G68+0.25*H68)/K68,"")</x:f>
      </x:c>
      <x:c r="M68" s="108" t="str">
        <x:f>IFERROR(I68/K68,"")</x:f>
      </x:c>
      <x:c r="N68" s="70" t="n">
        <x:f>COUNTIFS('08_反例与错误'!$E$6:$E$155,A68,'08_反例与错误'!$H$6:$H$155,"强")+COUNTIFS('08_反例与错误'!$E$6:$E$155,A68,'08_反例与错误'!$H$6:$H$155,"安全")</x:f>
        <x:v>0</x:v>
      </x:c>
      <x:c r="O68" s="70" t="n">
        <x:f>COUNTIFS('06_规则命中'!$D$6:$D$405,A68,'06_规则命中'!$I$6:$I$405,"反例",'06_规则命中'!$L$6:$L$405,"是",'06_规则命中'!$N$6:$N$405,"是")</x:f>
        <x:v>0</x:v>
      </x:c>
      <x:c r="P68" s="108" t="str">
        <x:f>IFERROR(SUMIFS('06_规则命中'!$J$6:$J$405,'06_规则命中'!$D$6:$D$405,A68,'06_规则命中'!$C$6:$C$405,"开发集",'06_规则命中'!$N$6:$N$405,"是")/COUNTIFS('06_规则命中'!$D$6:$D$405,A68,'06_规则命中'!$C$6:$C$405,"开发集",'06_规则命中'!$I$6:$I$405,"&lt;&gt;不可评估",'06_规则命中'!$N$6:$N$405,"是"),"")</x:f>
      </x:c>
      <x:c r="Q68" s="108" t="str">
        <x:f>IFERROR(SUMIFS('06_规则命中'!$J$6:$J$405,'06_规则命中'!$D$6:$D$405,A68,'06_规则命中'!$C$6:$C$405,"留出集",'06_规则命中'!$N$6:$N$405,"是")/COUNTIFS('06_规则命中'!$D$6:$D$405,A68,'06_规则命中'!$C$6:$C$405,"留出集",'06_规则命中'!$I$6:$I$405,"&lt;&gt;不可评估",'06_规则命中'!$N$6:$N$405,"是"),"")</x:f>
      </x:c>
      <x:c r="R68" s="70" t="str">
        <x:f>IF(K68=0,"P0 待验证",IF(K68&lt;3,"P1 极少样本",IF(K68&lt;6,"P2 探索",IF(K68&lt;12,"P3 初步","P4 稳定候选"))))</x:f>
        <x:v>P0 待验证</x:v>
      </x:c>
      <x:c r="S68" s="70" t="str">
        <x:f>IF(O68&gt;0,"立即安全审查",IF(K68&lt;3,"样本不足",IF(AND(K68&gt;=4,M68&gt;=0.6),"停用候选",IF(AND(K68&gt;=6,M68&gt;=0.4),"优先修改",IF(AND(K68&gt;=8,L68&gt;=0.75,M68&lt;=0.15,N68=0),"保留观察",IF(AND(P68&lt;&gt;"",Q68&lt;&gt;"",ABS(P68-Q68)&gt;0.25),"疑似过拟合","继续验证"))))))</x:f>
        <x:v>样本不足</x:v>
      </x:c>
      <x:c r="T68" s="70" t="str"/>
      <x:c r="U68" s="70" t="str">
        <x:v>待验证</x:v>
      </x:c>
      <x:c r="V68" s="70" t="str"/>
      <x:c r="W68" s="70" t="str"/>
    </x:row>
    <x:row r="69">
      <x:c r="A69" s="70" t="str">
        <x:v>M5-SYNTH-032</x:v>
      </x:c>
      <x:c r="B69" s="70" t="str">
        <x:v>SYNTH</x:v>
      </x:c>
      <x:c r="C69" s="70" t="str">
        <x:v>字段权威｜similarity_complement_mode由BASE＋GAP＋SYNTH负责</x:v>
      </x:c>
      <x:c r="D69" s="70" t="str">
        <x:v>待验证</x:v>
      </x:c>
      <x:c r="E69" s="70" t="n">
        <x:f>COUNTIFS('06_规则命中'!$D$6:$D$405,A69,'06_规则命中'!$I$6:$I$405,"支持",'06_规则命中'!$N$6:$N$405,"是")</x:f>
        <x:v>0</x:v>
      </x:c>
      <x:c r="F69" s="70" t="n">
        <x:f>COUNTIFS('06_规则命中'!$D$6:$D$405,A69,'06_规则命中'!$I$6:$I$405,"基本支持",'06_规则命中'!$N$6:$N$405,"是")</x:f>
        <x:v>0</x:v>
      </x:c>
      <x:c r="G69" s="70" t="n">
        <x:f>COUNTIFS('06_规则命中'!$D$6:$D$405,A69,'06_规则命中'!$I$6:$I$405,"部分支持",'06_规则命中'!$N$6:$N$405,"是")</x:f>
        <x:v>0</x:v>
      </x:c>
      <x:c r="H69" s="70" t="n">
        <x:f>COUNTIFS('06_规则命中'!$D$6:$D$405,A69,'06_规则命中'!$I$6:$I$405,"相邻但不同",'06_规则命中'!$N$6:$N$405,"是")</x:f>
        <x:v>0</x:v>
      </x:c>
      <x:c r="I69" s="70" t="n">
        <x:f>COUNTIFS('06_规则命中'!$D$6:$D$405,A69,'06_规则命中'!$I$6:$I$405,"反例",'06_规则命中'!$N$6:$N$405,"是")</x:f>
        <x:v>0</x:v>
      </x:c>
      <x:c r="J69" s="70" t="n">
        <x:f>COUNTIFS('06_规则命中'!$D$6:$D$405,A69,'06_规则命中'!$I$6:$I$405,"不可评估",'06_规则命中'!$N$6:$N$405,"是")</x:f>
        <x:v>0</x:v>
      </x:c>
      <x:c r="K69" s="70" t="n">
        <x:f>SUM(E69:I69)</x:f>
        <x:v>0</x:v>
      </x:c>
      <x:c r="L69" s="108" t="str">
        <x:f>IFERROR((E69+0.75*F69+0.5*G69+0.25*H69)/K69,"")</x:f>
      </x:c>
      <x:c r="M69" s="108" t="str">
        <x:f>IFERROR(I69/K69,"")</x:f>
      </x:c>
      <x:c r="N69" s="70" t="n">
        <x:f>COUNTIFS('08_反例与错误'!$E$6:$E$155,A69,'08_反例与错误'!$H$6:$H$155,"强")+COUNTIFS('08_反例与错误'!$E$6:$E$155,A69,'08_反例与错误'!$H$6:$H$155,"安全")</x:f>
        <x:v>0</x:v>
      </x:c>
      <x:c r="O69" s="70" t="n">
        <x:f>COUNTIFS('06_规则命中'!$D$6:$D$405,A69,'06_规则命中'!$I$6:$I$405,"反例",'06_规则命中'!$L$6:$L$405,"是",'06_规则命中'!$N$6:$N$405,"是")</x:f>
        <x:v>0</x:v>
      </x:c>
      <x:c r="P69" s="108" t="str">
        <x:f>IFERROR(SUMIFS('06_规则命中'!$J$6:$J$405,'06_规则命中'!$D$6:$D$405,A69,'06_规则命中'!$C$6:$C$405,"开发集",'06_规则命中'!$N$6:$N$405,"是")/COUNTIFS('06_规则命中'!$D$6:$D$405,A69,'06_规则命中'!$C$6:$C$405,"开发集",'06_规则命中'!$I$6:$I$405,"&lt;&gt;不可评估",'06_规则命中'!$N$6:$N$405,"是"),"")</x:f>
      </x:c>
      <x:c r="Q69" s="108" t="str">
        <x:f>IFERROR(SUMIFS('06_规则命中'!$J$6:$J$405,'06_规则命中'!$D$6:$D$405,A69,'06_规则命中'!$C$6:$C$405,"留出集",'06_规则命中'!$N$6:$N$405,"是")/COUNTIFS('06_规则命中'!$D$6:$D$405,A69,'06_规则命中'!$C$6:$C$405,"留出集",'06_规则命中'!$I$6:$I$405,"&lt;&gt;不可评估",'06_规则命中'!$N$6:$N$405,"是"),"")</x:f>
      </x:c>
      <x:c r="R69" s="70" t="str">
        <x:f>IF(K69=0,"P0 待验证",IF(K69&lt;3,"P1 极少样本",IF(K69&lt;6,"P2 探索",IF(K69&lt;12,"P3 初步","P4 稳定候选"))))</x:f>
        <x:v>P0 待验证</x:v>
      </x:c>
      <x:c r="S69" s="70" t="str">
        <x:f>IF(O69&gt;0,"立即安全审查",IF(K69&lt;3,"样本不足",IF(AND(K69&gt;=4,M69&gt;=0.6),"停用候选",IF(AND(K69&gt;=6,M69&gt;=0.4),"优先修改",IF(AND(K69&gt;=8,L69&gt;=0.75,M69&lt;=0.15,N69=0),"保留观察",IF(AND(P69&lt;&gt;"",Q69&lt;&gt;"",ABS(P69-Q69)&gt;0.25),"疑似过拟合","继续验证"))))))</x:f>
        <x:v>样本不足</x:v>
      </x:c>
      <x:c r="T69" s="70" t="str"/>
      <x:c r="U69" s="70" t="str">
        <x:v>待验证</x:v>
      </x:c>
      <x:c r="V69" s="70" t="str"/>
      <x:c r="W69" s="70" t="str"/>
    </x:row>
    <x:row r="70">
      <x:c r="A70" s="70" t="str">
        <x:v>M5-SYNTH-033</x:v>
      </x:c>
      <x:c r="B70" s="70" t="str">
        <x:v>SYNTH</x:v>
      </x:c>
      <x:c r="C70" s="70" t="str">
        <x:v>字段权威｜primary_partner_function由PARTNER负责</x:v>
      </x:c>
      <x:c r="D70" s="70" t="str">
        <x:v>待验证</x:v>
      </x:c>
      <x:c r="E70" s="70" t="n">
        <x:f>COUNTIFS('06_规则命中'!$D$6:$D$405,A70,'06_规则命中'!$I$6:$I$405,"支持",'06_规则命中'!$N$6:$N$405,"是")</x:f>
        <x:v>0</x:v>
      </x:c>
      <x:c r="F70" s="70" t="n">
        <x:f>COUNTIFS('06_规则命中'!$D$6:$D$405,A70,'06_规则命中'!$I$6:$I$405,"基本支持",'06_规则命中'!$N$6:$N$405,"是")</x:f>
        <x:v>0</x:v>
      </x:c>
      <x:c r="G70" s="70" t="n">
        <x:f>COUNTIFS('06_规则命中'!$D$6:$D$405,A70,'06_规则命中'!$I$6:$I$405,"部分支持",'06_规则命中'!$N$6:$N$405,"是")</x:f>
        <x:v>0</x:v>
      </x:c>
      <x:c r="H70" s="70" t="n">
        <x:f>COUNTIFS('06_规则命中'!$D$6:$D$405,A70,'06_规则命中'!$I$6:$I$405,"相邻但不同",'06_规则命中'!$N$6:$N$405,"是")</x:f>
        <x:v>0</x:v>
      </x:c>
      <x:c r="I70" s="70" t="n">
        <x:f>COUNTIFS('06_规则命中'!$D$6:$D$405,A70,'06_规则命中'!$I$6:$I$405,"反例",'06_规则命中'!$N$6:$N$405,"是")</x:f>
        <x:v>0</x:v>
      </x:c>
      <x:c r="J70" s="70" t="n">
        <x:f>COUNTIFS('06_规则命中'!$D$6:$D$405,A70,'06_规则命中'!$I$6:$I$405,"不可评估",'06_规则命中'!$N$6:$N$405,"是")</x:f>
        <x:v>0</x:v>
      </x:c>
      <x:c r="K70" s="70" t="n">
        <x:f>SUM(E70:I70)</x:f>
        <x:v>0</x:v>
      </x:c>
      <x:c r="L70" s="108" t="str">
        <x:f>IFERROR((E70+0.75*F70+0.5*G70+0.25*H70)/K70,"")</x:f>
      </x:c>
      <x:c r="M70" s="108" t="str">
        <x:f>IFERROR(I70/K70,"")</x:f>
      </x:c>
      <x:c r="N70" s="70" t="n">
        <x:f>COUNTIFS('08_反例与错误'!$E$6:$E$155,A70,'08_反例与错误'!$H$6:$H$155,"强")+COUNTIFS('08_反例与错误'!$E$6:$E$155,A70,'08_反例与错误'!$H$6:$H$155,"安全")</x:f>
        <x:v>0</x:v>
      </x:c>
      <x:c r="O70" s="70" t="n">
        <x:f>COUNTIFS('06_规则命中'!$D$6:$D$405,A70,'06_规则命中'!$I$6:$I$405,"反例",'06_规则命中'!$L$6:$L$405,"是",'06_规则命中'!$N$6:$N$405,"是")</x:f>
        <x:v>0</x:v>
      </x:c>
      <x:c r="P70" s="108" t="str">
        <x:f>IFERROR(SUMIFS('06_规则命中'!$J$6:$J$405,'06_规则命中'!$D$6:$D$405,A70,'06_规则命中'!$C$6:$C$405,"开发集",'06_规则命中'!$N$6:$N$405,"是")/COUNTIFS('06_规则命中'!$D$6:$D$405,A70,'06_规则命中'!$C$6:$C$405,"开发集",'06_规则命中'!$I$6:$I$405,"&lt;&gt;不可评估",'06_规则命中'!$N$6:$N$405,"是"),"")</x:f>
      </x:c>
      <x:c r="Q70" s="108" t="str">
        <x:f>IFERROR(SUMIFS('06_规则命中'!$J$6:$J$405,'06_规则命中'!$D$6:$D$405,A70,'06_规则命中'!$C$6:$C$405,"留出集",'06_规则命中'!$N$6:$N$405,"是")/COUNTIFS('06_规则命中'!$D$6:$D$405,A70,'06_规则命中'!$C$6:$C$405,"留出集",'06_规则命中'!$I$6:$I$405,"&lt;&gt;不可评估",'06_规则命中'!$N$6:$N$405,"是"),"")</x:f>
      </x:c>
      <x:c r="R70" s="70" t="str">
        <x:f>IF(K70=0,"P0 待验证",IF(K70&lt;3,"P1 极少样本",IF(K70&lt;6,"P2 探索",IF(K70&lt;12,"P3 初步","P4 稳定候选"))))</x:f>
        <x:v>P0 待验证</x:v>
      </x:c>
      <x:c r="S70" s="70" t="str">
        <x:f>IF(O70&gt;0,"立即安全审查",IF(K70&lt;3,"样本不足",IF(AND(K70&gt;=4,M70&gt;=0.6),"停用候选",IF(AND(K70&gt;=6,M70&gt;=0.4),"优先修改",IF(AND(K70&gt;=8,L70&gt;=0.75,M70&lt;=0.15,N70=0),"保留观察",IF(AND(P70&lt;&gt;"",Q70&lt;&gt;"",ABS(P70-Q70)&gt;0.25),"疑似过拟合","继续验证"))))))</x:f>
        <x:v>样本不足</x:v>
      </x:c>
      <x:c r="T70" s="70" t="str"/>
      <x:c r="U70" s="70" t="str">
        <x:v>待验证</x:v>
      </x:c>
      <x:c r="V70" s="70" t="str"/>
      <x:c r="W70" s="70" t="str"/>
    </x:row>
    <x:row r="71">
      <x:c r="A71" s="70" t="str">
        <x:v>M5-SYNTH-034</x:v>
      </x:c>
      <x:c r="B71" s="70" t="str">
        <x:v>SYNTH</x:v>
      </x:c>
      <x:c r="C71" s="70" t="str">
        <x:v>字段权威｜secondary_partner_function由PARTNER负责</x:v>
      </x:c>
      <x:c r="D71" s="70" t="str">
        <x:v>待验证</x:v>
      </x:c>
      <x:c r="E71" s="70" t="n">
        <x:f>COUNTIFS('06_规则命中'!$D$6:$D$405,A71,'06_规则命中'!$I$6:$I$405,"支持",'06_规则命中'!$N$6:$N$405,"是")</x:f>
        <x:v>0</x:v>
      </x:c>
      <x:c r="F71" s="70" t="n">
        <x:f>COUNTIFS('06_规则命中'!$D$6:$D$405,A71,'06_规则命中'!$I$6:$I$405,"基本支持",'06_规则命中'!$N$6:$N$405,"是")</x:f>
        <x:v>0</x:v>
      </x:c>
      <x:c r="G71" s="70" t="n">
        <x:f>COUNTIFS('06_规则命中'!$D$6:$D$405,A71,'06_规则命中'!$I$6:$I$405,"部分支持",'06_规则命中'!$N$6:$N$405,"是")</x:f>
        <x:v>0</x:v>
      </x:c>
      <x:c r="H71" s="70" t="n">
        <x:f>COUNTIFS('06_规则命中'!$D$6:$D$405,A71,'06_规则命中'!$I$6:$I$405,"相邻但不同",'06_规则命中'!$N$6:$N$405,"是")</x:f>
        <x:v>0</x:v>
      </x:c>
      <x:c r="I71" s="70" t="n">
        <x:f>COUNTIFS('06_规则命中'!$D$6:$D$405,A71,'06_规则命中'!$I$6:$I$405,"反例",'06_规则命中'!$N$6:$N$405,"是")</x:f>
        <x:v>0</x:v>
      </x:c>
      <x:c r="J71" s="70" t="n">
        <x:f>COUNTIFS('06_规则命中'!$D$6:$D$405,A71,'06_规则命中'!$I$6:$I$405,"不可评估",'06_规则命中'!$N$6:$N$405,"是")</x:f>
        <x:v>0</x:v>
      </x:c>
      <x:c r="K71" s="70" t="n">
        <x:f>SUM(E71:I71)</x:f>
        <x:v>0</x:v>
      </x:c>
      <x:c r="L71" s="108" t="str">
        <x:f>IFERROR((E71+0.75*F71+0.5*G71+0.25*H71)/K71,"")</x:f>
      </x:c>
      <x:c r="M71" s="108" t="str">
        <x:f>IFERROR(I71/K71,"")</x:f>
      </x:c>
      <x:c r="N71" s="70" t="n">
        <x:f>COUNTIFS('08_反例与错误'!$E$6:$E$155,A71,'08_反例与错误'!$H$6:$H$155,"强")+COUNTIFS('08_反例与错误'!$E$6:$E$155,A71,'08_反例与错误'!$H$6:$H$155,"安全")</x:f>
        <x:v>0</x:v>
      </x:c>
      <x:c r="O71" s="70" t="n">
        <x:f>COUNTIFS('06_规则命中'!$D$6:$D$405,A71,'06_规则命中'!$I$6:$I$405,"反例",'06_规则命中'!$L$6:$L$405,"是",'06_规则命中'!$N$6:$N$405,"是")</x:f>
        <x:v>0</x:v>
      </x:c>
      <x:c r="P71" s="108" t="str">
        <x:f>IFERROR(SUMIFS('06_规则命中'!$J$6:$J$405,'06_规则命中'!$D$6:$D$405,A71,'06_规则命中'!$C$6:$C$405,"开发集",'06_规则命中'!$N$6:$N$405,"是")/COUNTIFS('06_规则命中'!$D$6:$D$405,A71,'06_规则命中'!$C$6:$C$405,"开发集",'06_规则命中'!$I$6:$I$405,"&lt;&gt;不可评估",'06_规则命中'!$N$6:$N$405,"是"),"")</x:f>
      </x:c>
      <x:c r="Q71" s="108" t="str">
        <x:f>IFERROR(SUMIFS('06_规则命中'!$J$6:$J$405,'06_规则命中'!$D$6:$D$405,A71,'06_规则命中'!$C$6:$C$405,"留出集",'06_规则命中'!$N$6:$N$405,"是")/COUNTIFS('06_规则命中'!$D$6:$D$405,A71,'06_规则命中'!$C$6:$C$405,"留出集",'06_规则命中'!$I$6:$I$405,"&lt;&gt;不可评估",'06_规则命中'!$N$6:$N$405,"是"),"")</x:f>
      </x:c>
      <x:c r="R71" s="70" t="str">
        <x:f>IF(K71=0,"P0 待验证",IF(K71&lt;3,"P1 极少样本",IF(K71&lt;6,"P2 探索",IF(K71&lt;12,"P3 初步","P4 稳定候选"))))</x:f>
        <x:v>P0 待验证</x:v>
      </x:c>
      <x:c r="S71" s="70" t="str">
        <x:f>IF(O71&gt;0,"立即安全审查",IF(K71&lt;3,"样本不足",IF(AND(K71&gt;=4,M71&gt;=0.6),"停用候选",IF(AND(K71&gt;=6,M71&gt;=0.4),"优先修改",IF(AND(K71&gt;=8,L71&gt;=0.75,M71&lt;=0.15,N71=0),"保留观察",IF(AND(P71&lt;&gt;"",Q71&lt;&gt;"",ABS(P71-Q71)&gt;0.25),"疑似过拟合","继续验证"))))))</x:f>
        <x:v>样本不足</x:v>
      </x:c>
      <x:c r="T71" s="70" t="str"/>
      <x:c r="U71" s="70" t="str">
        <x:v>待验证</x:v>
      </x:c>
      <x:c r="V71" s="70" t="str"/>
      <x:c r="W71" s="70" t="str"/>
    </x:row>
    <x:row r="72">
      <x:c r="A72" s="70" t="str">
        <x:v>M5-SYNTH-035</x:v>
      </x:c>
      <x:c r="B72" s="70" t="str">
        <x:v>SYNTH</x:v>
      </x:c>
      <x:c r="C72" s="70" t="str">
        <x:v>字段权威｜partner_expression_state由PARTNER负责</x:v>
      </x:c>
      <x:c r="D72" s="70" t="str">
        <x:v>待验证</x:v>
      </x:c>
      <x:c r="E72" s="70" t="n">
        <x:f>COUNTIFS('06_规则命中'!$D$6:$D$405,A72,'06_规则命中'!$I$6:$I$405,"支持",'06_规则命中'!$N$6:$N$405,"是")</x:f>
        <x:v>0</x:v>
      </x:c>
      <x:c r="F72" s="70" t="n">
        <x:f>COUNTIFS('06_规则命中'!$D$6:$D$405,A72,'06_规则命中'!$I$6:$I$405,"基本支持",'06_规则命中'!$N$6:$N$405,"是")</x:f>
        <x:v>0</x:v>
      </x:c>
      <x:c r="G72" s="70" t="n">
        <x:f>COUNTIFS('06_规则命中'!$D$6:$D$405,A72,'06_规则命中'!$I$6:$I$405,"部分支持",'06_规则命中'!$N$6:$N$405,"是")</x:f>
        <x:v>0</x:v>
      </x:c>
      <x:c r="H72" s="70" t="n">
        <x:f>COUNTIFS('06_规则命中'!$D$6:$D$405,A72,'06_规则命中'!$I$6:$I$405,"相邻但不同",'06_规则命中'!$N$6:$N$405,"是")</x:f>
        <x:v>0</x:v>
      </x:c>
      <x:c r="I72" s="70" t="n">
        <x:f>COUNTIFS('06_规则命中'!$D$6:$D$405,A72,'06_规则命中'!$I$6:$I$405,"反例",'06_规则命中'!$N$6:$N$405,"是")</x:f>
        <x:v>0</x:v>
      </x:c>
      <x:c r="J72" s="70" t="n">
        <x:f>COUNTIFS('06_规则命中'!$D$6:$D$405,A72,'06_规则命中'!$I$6:$I$405,"不可评估",'06_规则命中'!$N$6:$N$405,"是")</x:f>
        <x:v>0</x:v>
      </x:c>
      <x:c r="K72" s="70" t="n">
        <x:f>SUM(E72:I72)</x:f>
        <x:v>0</x:v>
      </x:c>
      <x:c r="L72" s="108" t="str">
        <x:f>IFERROR((E72+0.75*F72+0.5*G72+0.25*H72)/K72,"")</x:f>
      </x:c>
      <x:c r="M72" s="108" t="str">
        <x:f>IFERROR(I72/K72,"")</x:f>
      </x:c>
      <x:c r="N72" s="70" t="n">
        <x:f>COUNTIFS('08_反例与错误'!$E$6:$E$155,A72,'08_反例与错误'!$H$6:$H$155,"强")+COUNTIFS('08_反例与错误'!$E$6:$E$155,A72,'08_反例与错误'!$H$6:$H$155,"安全")</x:f>
        <x:v>0</x:v>
      </x:c>
      <x:c r="O72" s="70" t="n">
        <x:f>COUNTIFS('06_规则命中'!$D$6:$D$405,A72,'06_规则命中'!$I$6:$I$405,"反例",'06_规则命中'!$L$6:$L$405,"是",'06_规则命中'!$N$6:$N$405,"是")</x:f>
        <x:v>0</x:v>
      </x:c>
      <x:c r="P72" s="108" t="str">
        <x:f>IFERROR(SUMIFS('06_规则命中'!$J$6:$J$405,'06_规则命中'!$D$6:$D$405,A72,'06_规则命中'!$C$6:$C$405,"开发集",'06_规则命中'!$N$6:$N$405,"是")/COUNTIFS('06_规则命中'!$D$6:$D$405,A72,'06_规则命中'!$C$6:$C$405,"开发集",'06_规则命中'!$I$6:$I$405,"&lt;&gt;不可评估",'06_规则命中'!$N$6:$N$405,"是"),"")</x:f>
      </x:c>
      <x:c r="Q72" s="108" t="str">
        <x:f>IFERROR(SUMIFS('06_规则命中'!$J$6:$J$405,'06_规则命中'!$D$6:$D$405,A72,'06_规则命中'!$C$6:$C$405,"留出集",'06_规则命中'!$N$6:$N$405,"是")/COUNTIFS('06_规则命中'!$D$6:$D$405,A72,'06_规则命中'!$C$6:$C$405,"留出集",'06_规则命中'!$I$6:$I$405,"&lt;&gt;不可评估",'06_规则命中'!$N$6:$N$405,"是"),"")</x:f>
      </x:c>
      <x:c r="R72" s="70" t="str">
        <x:f>IF(K72=0,"P0 待验证",IF(K72&lt;3,"P1 极少样本",IF(K72&lt;6,"P2 探索",IF(K72&lt;12,"P3 初步","P4 稳定候选"))))</x:f>
        <x:v>P0 待验证</x:v>
      </x:c>
      <x:c r="S72" s="70" t="str">
        <x:f>IF(O72&gt;0,"立即安全审查",IF(K72&lt;3,"样本不足",IF(AND(K72&gt;=4,M72&gt;=0.6),"停用候选",IF(AND(K72&gt;=6,M72&gt;=0.4),"优先修改",IF(AND(K72&gt;=8,L72&gt;=0.75,M72&lt;=0.15,N72=0),"保留观察",IF(AND(P72&lt;&gt;"",Q72&lt;&gt;"",ABS(P72-Q72)&gt;0.25),"疑似过拟合","继续验证"))))))</x:f>
        <x:v>样本不足</x:v>
      </x:c>
      <x:c r="T72" s="70" t="str"/>
      <x:c r="U72" s="70" t="str">
        <x:v>待验证</x:v>
      </x:c>
      <x:c r="V72" s="70" t="str"/>
      <x:c r="W72" s="70" t="str"/>
    </x:row>
    <x:row r="73">
      <x:c r="A73" s="70" t="str">
        <x:v>M5-SYNTH-036</x:v>
      </x:c>
      <x:c r="B73" s="70" t="str">
        <x:v>SYNTH</x:v>
      </x:c>
      <x:c r="C73" s="70" t="str">
        <x:v>字段权威｜partner_evidence_level由PARTNER负责</x:v>
      </x:c>
      <x:c r="D73" s="70" t="str">
        <x:v>待验证</x:v>
      </x:c>
      <x:c r="E73" s="70" t="n">
        <x:f>COUNTIFS('06_规则命中'!$D$6:$D$405,A73,'06_规则命中'!$I$6:$I$405,"支持",'06_规则命中'!$N$6:$N$405,"是")</x:f>
        <x:v>0</x:v>
      </x:c>
      <x:c r="F73" s="70" t="n">
        <x:f>COUNTIFS('06_规则命中'!$D$6:$D$405,A73,'06_规则命中'!$I$6:$I$405,"基本支持",'06_规则命中'!$N$6:$N$405,"是")</x:f>
        <x:v>0</x:v>
      </x:c>
      <x:c r="G73" s="70" t="n">
        <x:f>COUNTIFS('06_规则命中'!$D$6:$D$405,A73,'06_规则命中'!$I$6:$I$405,"部分支持",'06_规则命中'!$N$6:$N$405,"是")</x:f>
        <x:v>0</x:v>
      </x:c>
      <x:c r="H73" s="70" t="n">
        <x:f>COUNTIFS('06_规则命中'!$D$6:$D$405,A73,'06_规则命中'!$I$6:$I$405,"相邻但不同",'06_规则命中'!$N$6:$N$405,"是")</x:f>
        <x:v>0</x:v>
      </x:c>
      <x:c r="I73" s="70" t="n">
        <x:f>COUNTIFS('06_规则命中'!$D$6:$D$405,A73,'06_规则命中'!$I$6:$I$405,"反例",'06_规则命中'!$N$6:$N$405,"是")</x:f>
        <x:v>0</x:v>
      </x:c>
      <x:c r="J73" s="70" t="n">
        <x:f>COUNTIFS('06_规则命中'!$D$6:$D$405,A73,'06_规则命中'!$I$6:$I$405,"不可评估",'06_规则命中'!$N$6:$N$405,"是")</x:f>
        <x:v>0</x:v>
      </x:c>
      <x:c r="K73" s="70" t="n">
        <x:f>SUM(E73:I73)</x:f>
        <x:v>0</x:v>
      </x:c>
      <x:c r="L73" s="108" t="str">
        <x:f>IFERROR((E73+0.75*F73+0.5*G73+0.25*H73)/K73,"")</x:f>
      </x:c>
      <x:c r="M73" s="108" t="str">
        <x:f>IFERROR(I73/K73,"")</x:f>
      </x:c>
      <x:c r="N73" s="70" t="n">
        <x:f>COUNTIFS('08_反例与错误'!$E$6:$E$155,A73,'08_反例与错误'!$H$6:$H$155,"强")+COUNTIFS('08_反例与错误'!$E$6:$E$155,A73,'08_反例与错误'!$H$6:$H$155,"安全")</x:f>
        <x:v>0</x:v>
      </x:c>
      <x:c r="O73" s="70" t="n">
        <x:f>COUNTIFS('06_规则命中'!$D$6:$D$405,A73,'06_规则命中'!$I$6:$I$405,"反例",'06_规则命中'!$L$6:$L$405,"是",'06_规则命中'!$N$6:$N$405,"是")</x:f>
        <x:v>0</x:v>
      </x:c>
      <x:c r="P73" s="108" t="str">
        <x:f>IFERROR(SUMIFS('06_规则命中'!$J$6:$J$405,'06_规则命中'!$D$6:$D$405,A73,'06_规则命中'!$C$6:$C$405,"开发集",'06_规则命中'!$N$6:$N$405,"是")/COUNTIFS('06_规则命中'!$D$6:$D$405,A73,'06_规则命中'!$C$6:$C$405,"开发集",'06_规则命中'!$I$6:$I$405,"&lt;&gt;不可评估",'06_规则命中'!$N$6:$N$405,"是"),"")</x:f>
      </x:c>
      <x:c r="Q73" s="108" t="str">
        <x:f>IFERROR(SUMIFS('06_规则命中'!$J$6:$J$405,'06_规则命中'!$D$6:$D$405,A73,'06_规则命中'!$C$6:$C$405,"留出集",'06_规则命中'!$N$6:$N$405,"是")/COUNTIFS('06_规则命中'!$D$6:$D$405,A73,'06_规则命中'!$C$6:$C$405,"留出集",'06_规则命中'!$I$6:$I$405,"&lt;&gt;不可评估",'06_规则命中'!$N$6:$N$405,"是"),"")</x:f>
      </x:c>
      <x:c r="R73" s="70" t="str">
        <x:f>IF(K73=0,"P0 待验证",IF(K73&lt;3,"P1 极少样本",IF(K73&lt;6,"P2 探索",IF(K73&lt;12,"P3 初步","P4 稳定候选"))))</x:f>
        <x:v>P0 待验证</x:v>
      </x:c>
      <x:c r="S73" s="70" t="str">
        <x:f>IF(O73&gt;0,"立即安全审查",IF(K73&lt;3,"样本不足",IF(AND(K73&gt;=4,M73&gt;=0.6),"停用候选",IF(AND(K73&gt;=6,M73&gt;=0.4),"优先修改",IF(AND(K73&gt;=8,L73&gt;=0.75,M73&lt;=0.15,N73=0),"保留观察",IF(AND(P73&lt;&gt;"",Q73&lt;&gt;"",ABS(P73-Q73)&gt;0.25),"疑似过拟合","继续验证"))))))</x:f>
        <x:v>样本不足</x:v>
      </x:c>
      <x:c r="T73" s="70" t="str"/>
      <x:c r="U73" s="70" t="str">
        <x:v>待验证</x:v>
      </x:c>
      <x:c r="V73" s="70" t="str"/>
      <x:c r="W73" s="70" t="str"/>
    </x:row>
    <x:row r="74">
      <x:c r="A74" s="70" t="str">
        <x:v>M5-SYNTH-037</x:v>
      </x:c>
      <x:c r="B74" s="70" t="str">
        <x:v>SYNTH</x:v>
      </x:c>
      <x:c r="C74" s="70" t="str">
        <x:v>字段权威｜required_partner_behaviors由PARTNER＋BASE负责</x:v>
      </x:c>
      <x:c r="D74" s="70" t="str">
        <x:v>待验证</x:v>
      </x:c>
      <x:c r="E74" s="70" t="n">
        <x:f>COUNTIFS('06_规则命中'!$D$6:$D$405,A74,'06_规则命中'!$I$6:$I$405,"支持",'06_规则命中'!$N$6:$N$405,"是")</x:f>
        <x:v>0</x:v>
      </x:c>
      <x:c r="F74" s="70" t="n">
        <x:f>COUNTIFS('06_规则命中'!$D$6:$D$405,A74,'06_规则命中'!$I$6:$I$405,"基本支持",'06_规则命中'!$N$6:$N$405,"是")</x:f>
        <x:v>0</x:v>
      </x:c>
      <x:c r="G74" s="70" t="n">
        <x:f>COUNTIFS('06_规则命中'!$D$6:$D$405,A74,'06_规则命中'!$I$6:$I$405,"部分支持",'06_规则命中'!$N$6:$N$405,"是")</x:f>
        <x:v>0</x:v>
      </x:c>
      <x:c r="H74" s="70" t="n">
        <x:f>COUNTIFS('06_规则命中'!$D$6:$D$405,A74,'06_规则命中'!$I$6:$I$405,"相邻但不同",'06_规则命中'!$N$6:$N$405,"是")</x:f>
        <x:v>0</x:v>
      </x:c>
      <x:c r="I74" s="70" t="n">
        <x:f>COUNTIFS('06_规则命中'!$D$6:$D$405,A74,'06_规则命中'!$I$6:$I$405,"反例",'06_规则命中'!$N$6:$N$405,"是")</x:f>
        <x:v>0</x:v>
      </x:c>
      <x:c r="J74" s="70" t="n">
        <x:f>COUNTIFS('06_规则命中'!$D$6:$D$405,A74,'06_规则命中'!$I$6:$I$405,"不可评估",'06_规则命中'!$N$6:$N$405,"是")</x:f>
        <x:v>0</x:v>
      </x:c>
      <x:c r="K74" s="70" t="n">
        <x:f>SUM(E74:I74)</x:f>
        <x:v>0</x:v>
      </x:c>
      <x:c r="L74" s="108" t="str">
        <x:f>IFERROR((E74+0.75*F74+0.5*G74+0.25*H74)/K74,"")</x:f>
      </x:c>
      <x:c r="M74" s="108" t="str">
        <x:f>IFERROR(I74/K74,"")</x:f>
      </x:c>
      <x:c r="N74" s="70" t="n">
        <x:f>COUNTIFS('08_反例与错误'!$E$6:$E$155,A74,'08_反例与错误'!$H$6:$H$155,"强")+COUNTIFS('08_反例与错误'!$E$6:$E$155,A74,'08_反例与错误'!$H$6:$H$155,"安全")</x:f>
        <x:v>0</x:v>
      </x:c>
      <x:c r="O74" s="70" t="n">
        <x:f>COUNTIFS('06_规则命中'!$D$6:$D$405,A74,'06_规则命中'!$I$6:$I$405,"反例",'06_规则命中'!$L$6:$L$405,"是",'06_规则命中'!$N$6:$N$405,"是")</x:f>
        <x:v>0</x:v>
      </x:c>
      <x:c r="P74" s="108" t="str">
        <x:f>IFERROR(SUMIFS('06_规则命中'!$J$6:$J$405,'06_规则命中'!$D$6:$D$405,A74,'06_规则命中'!$C$6:$C$405,"开发集",'06_规则命中'!$N$6:$N$405,"是")/COUNTIFS('06_规则命中'!$D$6:$D$405,A74,'06_规则命中'!$C$6:$C$405,"开发集",'06_规则命中'!$I$6:$I$405,"&lt;&gt;不可评估",'06_规则命中'!$N$6:$N$405,"是"),"")</x:f>
      </x:c>
      <x:c r="Q74" s="108" t="str">
        <x:f>IFERROR(SUMIFS('06_规则命中'!$J$6:$J$405,'06_规则命中'!$D$6:$D$405,A74,'06_规则命中'!$C$6:$C$405,"留出集",'06_规则命中'!$N$6:$N$405,"是")/COUNTIFS('06_规则命中'!$D$6:$D$405,A74,'06_规则命中'!$C$6:$C$405,"留出集",'06_规则命中'!$I$6:$I$405,"&lt;&gt;不可评估",'06_规则命中'!$N$6:$N$405,"是"),"")</x:f>
      </x:c>
      <x:c r="R74" s="70" t="str">
        <x:f>IF(K74=0,"P0 待验证",IF(K74&lt;3,"P1 极少样本",IF(K74&lt;6,"P2 探索",IF(K74&lt;12,"P3 初步","P4 稳定候选"))))</x:f>
        <x:v>P0 待验证</x:v>
      </x:c>
      <x:c r="S74" s="70" t="str">
        <x:f>IF(O74&gt;0,"立即安全审查",IF(K74&lt;3,"样本不足",IF(AND(K74&gt;=4,M74&gt;=0.6),"停用候选",IF(AND(K74&gt;=6,M74&gt;=0.4),"优先修改",IF(AND(K74&gt;=8,L74&gt;=0.75,M74&lt;=0.15,N74=0),"保留观察",IF(AND(P74&lt;&gt;"",Q74&lt;&gt;"",ABS(P74-Q74)&gt;0.25),"疑似过拟合","继续验证"))))))</x:f>
        <x:v>样本不足</x:v>
      </x:c>
      <x:c r="T74" s="70" t="str"/>
      <x:c r="U74" s="70" t="str">
        <x:v>待验证</x:v>
      </x:c>
      <x:c r="V74" s="70" t="str"/>
      <x:c r="W74" s="70" t="str"/>
    </x:row>
    <x:row r="75">
      <x:c r="A75" s="70" t="str">
        <x:v>M5-SYNTH-038</x:v>
      </x:c>
      <x:c r="B75" s="70" t="str">
        <x:v>SYNTH</x:v>
      </x:c>
      <x:c r="C75" s="70" t="str">
        <x:v>字段权威｜pseudo_fit_warning由PARTNER负责</x:v>
      </x:c>
      <x:c r="D75" s="70" t="str">
        <x:v>待验证</x:v>
      </x:c>
      <x:c r="E75" s="70" t="n">
        <x:f>COUNTIFS('06_规则命中'!$D$6:$D$405,A75,'06_规则命中'!$I$6:$I$405,"支持",'06_规则命中'!$N$6:$N$405,"是")</x:f>
        <x:v>0</x:v>
      </x:c>
      <x:c r="F75" s="70" t="n">
        <x:f>COUNTIFS('06_规则命中'!$D$6:$D$405,A75,'06_规则命中'!$I$6:$I$405,"基本支持",'06_规则命中'!$N$6:$N$405,"是")</x:f>
        <x:v>0</x:v>
      </x:c>
      <x:c r="G75" s="70" t="n">
        <x:f>COUNTIFS('06_规则命中'!$D$6:$D$405,A75,'06_规则命中'!$I$6:$I$405,"部分支持",'06_规则命中'!$N$6:$N$405,"是")</x:f>
        <x:v>0</x:v>
      </x:c>
      <x:c r="H75" s="70" t="n">
        <x:f>COUNTIFS('06_规则命中'!$D$6:$D$405,A75,'06_规则命中'!$I$6:$I$405,"相邻但不同",'06_规则命中'!$N$6:$N$405,"是")</x:f>
        <x:v>0</x:v>
      </x:c>
      <x:c r="I75" s="70" t="n">
        <x:f>COUNTIFS('06_规则命中'!$D$6:$D$405,A75,'06_规则命中'!$I$6:$I$405,"反例",'06_规则命中'!$N$6:$N$405,"是")</x:f>
        <x:v>0</x:v>
      </x:c>
      <x:c r="J75" s="70" t="n">
        <x:f>COUNTIFS('06_规则命中'!$D$6:$D$405,A75,'06_规则命中'!$I$6:$I$405,"不可评估",'06_规则命中'!$N$6:$N$405,"是")</x:f>
        <x:v>0</x:v>
      </x:c>
      <x:c r="K75" s="70" t="n">
        <x:f>SUM(E75:I75)</x:f>
        <x:v>0</x:v>
      </x:c>
      <x:c r="L75" s="108" t="str">
        <x:f>IFERROR((E75+0.75*F75+0.5*G75+0.25*H75)/K75,"")</x:f>
      </x:c>
      <x:c r="M75" s="108" t="str">
        <x:f>IFERROR(I75/K75,"")</x:f>
      </x:c>
      <x:c r="N75" s="70" t="n">
        <x:f>COUNTIFS('08_反例与错误'!$E$6:$E$155,A75,'08_反例与错误'!$H$6:$H$155,"强")+COUNTIFS('08_反例与错误'!$E$6:$E$155,A75,'08_反例与错误'!$H$6:$H$155,"安全")</x:f>
        <x:v>0</x:v>
      </x:c>
      <x:c r="O75" s="70" t="n">
        <x:f>COUNTIFS('06_规则命中'!$D$6:$D$405,A75,'06_规则命中'!$I$6:$I$405,"反例",'06_规则命中'!$L$6:$L$405,"是",'06_规则命中'!$N$6:$N$405,"是")</x:f>
        <x:v>0</x:v>
      </x:c>
      <x:c r="P75" s="108" t="str">
        <x:f>IFERROR(SUMIFS('06_规则命中'!$J$6:$J$405,'06_规则命中'!$D$6:$D$405,A75,'06_规则命中'!$C$6:$C$405,"开发集",'06_规则命中'!$N$6:$N$405,"是")/COUNTIFS('06_规则命中'!$D$6:$D$405,A75,'06_规则命中'!$C$6:$C$405,"开发集",'06_规则命中'!$I$6:$I$405,"&lt;&gt;不可评估",'06_规则命中'!$N$6:$N$405,"是"),"")</x:f>
      </x:c>
      <x:c r="Q75" s="108" t="str">
        <x:f>IFERROR(SUMIFS('06_规则命中'!$J$6:$J$405,'06_规则命中'!$D$6:$D$405,A75,'06_规则命中'!$C$6:$C$405,"留出集",'06_规则命中'!$N$6:$N$405,"是")/COUNTIFS('06_规则命中'!$D$6:$D$405,A75,'06_规则命中'!$C$6:$C$405,"留出集",'06_规则命中'!$I$6:$I$405,"&lt;&gt;不可评估",'06_规则命中'!$N$6:$N$405,"是"),"")</x:f>
      </x:c>
      <x:c r="R75" s="70" t="str">
        <x:f>IF(K75=0,"P0 待验证",IF(K75&lt;3,"P1 极少样本",IF(K75&lt;6,"P2 探索",IF(K75&lt;12,"P3 初步","P4 稳定候选"))))</x:f>
        <x:v>P0 待验证</x:v>
      </x:c>
      <x:c r="S75" s="70" t="str">
        <x:f>IF(O75&gt;0,"立即安全审查",IF(K75&lt;3,"样本不足",IF(AND(K75&gt;=4,M75&gt;=0.6),"停用候选",IF(AND(K75&gt;=6,M75&gt;=0.4),"优先修改",IF(AND(K75&gt;=8,L75&gt;=0.75,M75&lt;=0.15,N75=0),"保留观察",IF(AND(P75&lt;&gt;"",Q75&lt;&gt;"",ABS(P75-Q75)&gt;0.25),"疑似过拟合","继续验证"))))))</x:f>
        <x:v>样本不足</x:v>
      </x:c>
      <x:c r="T75" s="70" t="str"/>
      <x:c r="U75" s="70" t="str">
        <x:v>待验证</x:v>
      </x:c>
      <x:c r="V75" s="70" t="str"/>
      <x:c r="W75" s="70" t="str"/>
    </x:row>
    <x:row r="76">
      <x:c r="A76" s="70" t="str">
        <x:v>M5-SYNTH-039</x:v>
      </x:c>
      <x:c r="B76" s="70" t="str">
        <x:v>SYNTH</x:v>
      </x:c>
      <x:c r="C76" s="70" t="str">
        <x:v>字段权威｜primary_exchange_channel由EXCHANGE负责</x:v>
      </x:c>
      <x:c r="D76" s="70" t="str">
        <x:v>待验证</x:v>
      </x:c>
      <x:c r="E76" s="70" t="n">
        <x:f>COUNTIFS('06_规则命中'!$D$6:$D$405,A76,'06_规则命中'!$I$6:$I$405,"支持",'06_规则命中'!$N$6:$N$405,"是")</x:f>
        <x:v>0</x:v>
      </x:c>
      <x:c r="F76" s="70" t="n">
        <x:f>COUNTIFS('06_规则命中'!$D$6:$D$405,A76,'06_规则命中'!$I$6:$I$405,"基本支持",'06_规则命中'!$N$6:$N$405,"是")</x:f>
        <x:v>0</x:v>
      </x:c>
      <x:c r="G76" s="70" t="n">
        <x:f>COUNTIFS('06_规则命中'!$D$6:$D$405,A76,'06_规则命中'!$I$6:$I$405,"部分支持",'06_规则命中'!$N$6:$N$405,"是")</x:f>
        <x:v>0</x:v>
      </x:c>
      <x:c r="H76" s="70" t="n">
        <x:f>COUNTIFS('06_规则命中'!$D$6:$D$405,A76,'06_规则命中'!$I$6:$I$405,"相邻但不同",'06_规则命中'!$N$6:$N$405,"是")</x:f>
        <x:v>0</x:v>
      </x:c>
      <x:c r="I76" s="70" t="n">
        <x:f>COUNTIFS('06_规则命中'!$D$6:$D$405,A76,'06_规则命中'!$I$6:$I$405,"反例",'06_规则命中'!$N$6:$N$405,"是")</x:f>
        <x:v>0</x:v>
      </x:c>
      <x:c r="J76" s="70" t="n">
        <x:f>COUNTIFS('06_规则命中'!$D$6:$D$405,A76,'06_规则命中'!$I$6:$I$405,"不可评估",'06_规则命中'!$N$6:$N$405,"是")</x:f>
        <x:v>0</x:v>
      </x:c>
      <x:c r="K76" s="70" t="n">
        <x:f>SUM(E76:I76)</x:f>
        <x:v>0</x:v>
      </x:c>
      <x:c r="L76" s="108" t="str">
        <x:f>IFERROR((E76+0.75*F76+0.5*G76+0.25*H76)/K76,"")</x:f>
      </x:c>
      <x:c r="M76" s="108" t="str">
        <x:f>IFERROR(I76/K76,"")</x:f>
      </x:c>
      <x:c r="N76" s="70" t="n">
        <x:f>COUNTIFS('08_反例与错误'!$E$6:$E$155,A76,'08_反例与错误'!$H$6:$H$155,"强")+COUNTIFS('08_反例与错误'!$E$6:$E$155,A76,'08_反例与错误'!$H$6:$H$155,"安全")</x:f>
        <x:v>0</x:v>
      </x:c>
      <x:c r="O76" s="70" t="n">
        <x:f>COUNTIFS('06_规则命中'!$D$6:$D$405,A76,'06_规则命中'!$I$6:$I$405,"反例",'06_规则命中'!$L$6:$L$405,"是",'06_规则命中'!$N$6:$N$405,"是")</x:f>
        <x:v>0</x:v>
      </x:c>
      <x:c r="P76" s="108" t="str">
        <x:f>IFERROR(SUMIFS('06_规则命中'!$J$6:$J$405,'06_规则命中'!$D$6:$D$405,A76,'06_规则命中'!$C$6:$C$405,"开发集",'06_规则命中'!$N$6:$N$405,"是")/COUNTIFS('06_规则命中'!$D$6:$D$405,A76,'06_规则命中'!$C$6:$C$405,"开发集",'06_规则命中'!$I$6:$I$405,"&lt;&gt;不可评估",'06_规则命中'!$N$6:$N$405,"是"),"")</x:f>
      </x:c>
      <x:c r="Q76" s="108" t="str">
        <x:f>IFERROR(SUMIFS('06_规则命中'!$J$6:$J$405,'06_规则命中'!$D$6:$D$405,A76,'06_规则命中'!$C$6:$C$405,"留出集",'06_规则命中'!$N$6:$N$405,"是")/COUNTIFS('06_规则命中'!$D$6:$D$405,A76,'06_规则命中'!$C$6:$C$405,"留出集",'06_规则命中'!$I$6:$I$405,"&lt;&gt;不可评估",'06_规则命中'!$N$6:$N$405,"是"),"")</x:f>
      </x:c>
      <x:c r="R76" s="70" t="str">
        <x:f>IF(K76=0,"P0 待验证",IF(K76&lt;3,"P1 极少样本",IF(K76&lt;6,"P2 探索",IF(K76&lt;12,"P3 初步","P4 稳定候选"))))</x:f>
        <x:v>P0 待验证</x:v>
      </x:c>
      <x:c r="S76" s="70" t="str">
        <x:f>IF(O76&gt;0,"立即安全审查",IF(K76&lt;3,"样本不足",IF(AND(K76&gt;=4,M76&gt;=0.6),"停用候选",IF(AND(K76&gt;=6,M76&gt;=0.4),"优先修改",IF(AND(K76&gt;=8,L76&gt;=0.75,M76&lt;=0.15,N76=0),"保留观察",IF(AND(P76&lt;&gt;"",Q76&lt;&gt;"",ABS(P76-Q76)&gt;0.25),"疑似过拟合","继续验证"))))))</x:f>
        <x:v>样本不足</x:v>
      </x:c>
      <x:c r="T76" s="70" t="str"/>
      <x:c r="U76" s="70" t="str">
        <x:v>待验证</x:v>
      </x:c>
      <x:c r="V76" s="70" t="str"/>
      <x:c r="W76" s="70" t="str"/>
    </x:row>
    <x:row r="77">
      <x:c r="A77" s="70" t="str">
        <x:v>M5-SYNTH-040</x:v>
      </x:c>
      <x:c r="B77" s="70" t="str">
        <x:v>SYNTH</x:v>
      </x:c>
      <x:c r="C77" s="70" t="str">
        <x:v>字段权威｜exchange_mode由EXCHANGE负责</x:v>
      </x:c>
      <x:c r="D77" s="70" t="str">
        <x:v>待验证</x:v>
      </x:c>
      <x:c r="E77" s="70" t="n">
        <x:f>COUNTIFS('06_规则命中'!$D$6:$D$405,A77,'06_规则命中'!$I$6:$I$405,"支持",'06_规则命中'!$N$6:$N$405,"是")</x:f>
        <x:v>0</x:v>
      </x:c>
      <x:c r="F77" s="70" t="n">
        <x:f>COUNTIFS('06_规则命中'!$D$6:$D$405,A77,'06_规则命中'!$I$6:$I$405,"基本支持",'06_规则命中'!$N$6:$N$405,"是")</x:f>
        <x:v>0</x:v>
      </x:c>
      <x:c r="G77" s="70" t="n">
        <x:f>COUNTIFS('06_规则命中'!$D$6:$D$405,A77,'06_规则命中'!$I$6:$I$405,"部分支持",'06_规则命中'!$N$6:$N$405,"是")</x:f>
        <x:v>0</x:v>
      </x:c>
      <x:c r="H77" s="70" t="n">
        <x:f>COUNTIFS('06_规则命中'!$D$6:$D$405,A77,'06_规则命中'!$I$6:$I$405,"相邻但不同",'06_规则命中'!$N$6:$N$405,"是")</x:f>
        <x:v>0</x:v>
      </x:c>
      <x:c r="I77" s="70" t="n">
        <x:f>COUNTIFS('06_规则命中'!$D$6:$D$405,A77,'06_规则命中'!$I$6:$I$405,"反例",'06_规则命中'!$N$6:$N$405,"是")</x:f>
        <x:v>0</x:v>
      </x:c>
      <x:c r="J77" s="70" t="n">
        <x:f>COUNTIFS('06_规则命中'!$D$6:$D$405,A77,'06_规则命中'!$I$6:$I$405,"不可评估",'06_规则命中'!$N$6:$N$405,"是")</x:f>
        <x:v>0</x:v>
      </x:c>
      <x:c r="K77" s="70" t="n">
        <x:f>SUM(E77:I77)</x:f>
        <x:v>0</x:v>
      </x:c>
      <x:c r="L77" s="108" t="str">
        <x:f>IFERROR((E77+0.75*F77+0.5*G77+0.25*H77)/K77,"")</x:f>
      </x:c>
      <x:c r="M77" s="108" t="str">
        <x:f>IFERROR(I77/K77,"")</x:f>
      </x:c>
      <x:c r="N77" s="70" t="n">
        <x:f>COUNTIFS('08_反例与错误'!$E$6:$E$155,A77,'08_反例与错误'!$H$6:$H$155,"强")+COUNTIFS('08_反例与错误'!$E$6:$E$155,A77,'08_反例与错误'!$H$6:$H$155,"安全")</x:f>
        <x:v>0</x:v>
      </x:c>
      <x:c r="O77" s="70" t="n">
        <x:f>COUNTIFS('06_规则命中'!$D$6:$D$405,A77,'06_规则命中'!$I$6:$I$405,"反例",'06_规则命中'!$L$6:$L$405,"是",'06_规则命中'!$N$6:$N$405,"是")</x:f>
        <x:v>0</x:v>
      </x:c>
      <x:c r="P77" s="108" t="str">
        <x:f>IFERROR(SUMIFS('06_规则命中'!$J$6:$J$405,'06_规则命中'!$D$6:$D$405,A77,'06_规则命中'!$C$6:$C$405,"开发集",'06_规则命中'!$N$6:$N$405,"是")/COUNTIFS('06_规则命中'!$D$6:$D$405,A77,'06_规则命中'!$C$6:$C$405,"开发集",'06_规则命中'!$I$6:$I$405,"&lt;&gt;不可评估",'06_规则命中'!$N$6:$N$405,"是"),"")</x:f>
      </x:c>
      <x:c r="Q77" s="108" t="str">
        <x:f>IFERROR(SUMIFS('06_规则命中'!$J$6:$J$405,'06_规则命中'!$D$6:$D$405,A77,'06_规则命中'!$C$6:$C$405,"留出集",'06_规则命中'!$N$6:$N$405,"是")/COUNTIFS('06_规则命中'!$D$6:$D$405,A77,'06_规则命中'!$C$6:$C$405,"留出集",'06_规则命中'!$I$6:$I$405,"&lt;&gt;不可评估",'06_规则命中'!$N$6:$N$405,"是"),"")</x:f>
      </x:c>
      <x:c r="R77" s="70" t="str">
        <x:f>IF(K77=0,"P0 待验证",IF(K77&lt;3,"P1 极少样本",IF(K77&lt;6,"P2 探索",IF(K77&lt;12,"P3 初步","P4 稳定候选"))))</x:f>
        <x:v>P0 待验证</x:v>
      </x:c>
      <x:c r="S77" s="70" t="str">
        <x:f>IF(O77&gt;0,"立即安全审查",IF(K77&lt;3,"样本不足",IF(AND(K77&gt;=4,M77&gt;=0.6),"停用候选",IF(AND(K77&gt;=6,M77&gt;=0.4),"优先修改",IF(AND(K77&gt;=8,L77&gt;=0.75,M77&lt;=0.15,N77=0),"保留观察",IF(AND(P77&lt;&gt;"",Q77&lt;&gt;"",ABS(P77-Q77)&gt;0.25),"疑似过拟合","继续验证"))))))</x:f>
        <x:v>样本不足</x:v>
      </x:c>
      <x:c r="T77" s="70" t="str"/>
      <x:c r="U77" s="70" t="str">
        <x:v>待验证</x:v>
      </x:c>
      <x:c r="V77" s="70" t="str"/>
      <x:c r="W77" s="70" t="str"/>
    </x:row>
    <x:row r="78">
      <x:c r="A78" s="70" t="str">
        <x:v>M5-SYNTH-041</x:v>
      </x:c>
      <x:c r="B78" s="70" t="str">
        <x:v>SYNTH</x:v>
      </x:c>
      <x:c r="C78" s="70" t="str">
        <x:v>字段权威｜exchange_state由EXCHANGE负责</x:v>
      </x:c>
      <x:c r="D78" s="70" t="str">
        <x:v>待验证</x:v>
      </x:c>
      <x:c r="E78" s="70" t="n">
        <x:f>COUNTIFS('06_规则命中'!$D$6:$D$405,A78,'06_规则命中'!$I$6:$I$405,"支持",'06_规则命中'!$N$6:$N$405,"是")</x:f>
        <x:v>0</x:v>
      </x:c>
      <x:c r="F78" s="70" t="n">
        <x:f>COUNTIFS('06_规则命中'!$D$6:$D$405,A78,'06_规则命中'!$I$6:$I$405,"基本支持",'06_规则命中'!$N$6:$N$405,"是")</x:f>
        <x:v>0</x:v>
      </x:c>
      <x:c r="G78" s="70" t="n">
        <x:f>COUNTIFS('06_规则命中'!$D$6:$D$405,A78,'06_规则命中'!$I$6:$I$405,"部分支持",'06_规则命中'!$N$6:$N$405,"是")</x:f>
        <x:v>0</x:v>
      </x:c>
      <x:c r="H78" s="70" t="n">
        <x:f>COUNTIFS('06_规则命中'!$D$6:$D$405,A78,'06_规则命中'!$I$6:$I$405,"相邻但不同",'06_规则命中'!$N$6:$N$405,"是")</x:f>
        <x:v>0</x:v>
      </x:c>
      <x:c r="I78" s="70" t="n">
        <x:f>COUNTIFS('06_规则命中'!$D$6:$D$405,A78,'06_规则命中'!$I$6:$I$405,"反例",'06_规则命中'!$N$6:$N$405,"是")</x:f>
        <x:v>0</x:v>
      </x:c>
      <x:c r="J78" s="70" t="n">
        <x:f>COUNTIFS('06_规则命中'!$D$6:$D$405,A78,'06_规则命中'!$I$6:$I$405,"不可评估",'06_规则命中'!$N$6:$N$405,"是")</x:f>
        <x:v>0</x:v>
      </x:c>
      <x:c r="K78" s="70" t="n">
        <x:f>SUM(E78:I78)</x:f>
        <x:v>0</x:v>
      </x:c>
      <x:c r="L78" s="108" t="str">
        <x:f>IFERROR((E78+0.75*F78+0.5*G78+0.25*H78)/K78,"")</x:f>
      </x:c>
      <x:c r="M78" s="108" t="str">
        <x:f>IFERROR(I78/K78,"")</x:f>
      </x:c>
      <x:c r="N78" s="70" t="n">
        <x:f>COUNTIFS('08_反例与错误'!$E$6:$E$155,A78,'08_反例与错误'!$H$6:$H$155,"强")+COUNTIFS('08_反例与错误'!$E$6:$E$155,A78,'08_反例与错误'!$H$6:$H$155,"安全")</x:f>
        <x:v>0</x:v>
      </x:c>
      <x:c r="O78" s="70" t="n">
        <x:f>COUNTIFS('06_规则命中'!$D$6:$D$405,A78,'06_规则命中'!$I$6:$I$405,"反例",'06_规则命中'!$L$6:$L$405,"是",'06_规则命中'!$N$6:$N$405,"是")</x:f>
        <x:v>0</x:v>
      </x:c>
      <x:c r="P78" s="108" t="str">
        <x:f>IFERROR(SUMIFS('06_规则命中'!$J$6:$J$405,'06_规则命中'!$D$6:$D$405,A78,'06_规则命中'!$C$6:$C$405,"开发集",'06_规则命中'!$N$6:$N$405,"是")/COUNTIFS('06_规则命中'!$D$6:$D$405,A78,'06_规则命中'!$C$6:$C$405,"开发集",'06_规则命中'!$I$6:$I$405,"&lt;&gt;不可评估",'06_规则命中'!$N$6:$N$405,"是"),"")</x:f>
      </x:c>
      <x:c r="Q78" s="108" t="str">
        <x:f>IFERROR(SUMIFS('06_规则命中'!$J$6:$J$405,'06_规则命中'!$D$6:$D$405,A78,'06_规则命中'!$C$6:$C$405,"留出集",'06_规则命中'!$N$6:$N$405,"是")/COUNTIFS('06_规则命中'!$D$6:$D$405,A78,'06_规则命中'!$C$6:$C$405,"留出集",'06_规则命中'!$I$6:$I$405,"&lt;&gt;不可评估",'06_规则命中'!$N$6:$N$405,"是"),"")</x:f>
      </x:c>
      <x:c r="R78" s="70" t="str">
        <x:f>IF(K78=0,"P0 待验证",IF(K78&lt;3,"P1 极少样本",IF(K78&lt;6,"P2 探索",IF(K78&lt;12,"P3 初步","P4 稳定候选"))))</x:f>
        <x:v>P0 待验证</x:v>
      </x:c>
      <x:c r="S78" s="70" t="str">
        <x:f>IF(O78&gt;0,"立即安全审查",IF(K78&lt;3,"样本不足",IF(AND(K78&gt;=4,M78&gt;=0.6),"停用候选",IF(AND(K78&gt;=6,M78&gt;=0.4),"优先修改",IF(AND(K78&gt;=8,L78&gt;=0.75,M78&lt;=0.15,N78=0),"保留观察",IF(AND(P78&lt;&gt;"",Q78&lt;&gt;"",ABS(P78-Q78)&gt;0.25),"疑似过拟合","继续验证"))))))</x:f>
        <x:v>样本不足</x:v>
      </x:c>
      <x:c r="T78" s="70" t="str"/>
      <x:c r="U78" s="70" t="str">
        <x:v>待验证</x:v>
      </x:c>
      <x:c r="V78" s="70" t="str"/>
      <x:c r="W78" s="70" t="str"/>
    </x:row>
    <x:row r="79">
      <x:c r="A79" s="70" t="str">
        <x:v>M5-SYNTH-042</x:v>
      </x:c>
      <x:c r="B79" s="70" t="str">
        <x:v>SYNTH</x:v>
      </x:c>
      <x:c r="C79" s="70" t="str">
        <x:v>字段权威｜exchange_evidence_level由EXCHANGE负责</x:v>
      </x:c>
      <x:c r="D79" s="70" t="str">
        <x:v>待验证</x:v>
      </x:c>
      <x:c r="E79" s="70" t="n">
        <x:f>COUNTIFS('06_规则命中'!$D$6:$D$405,A79,'06_规则命中'!$I$6:$I$405,"支持",'06_规则命中'!$N$6:$N$405,"是")</x:f>
        <x:v>0</x:v>
      </x:c>
      <x:c r="F79" s="70" t="n">
        <x:f>COUNTIFS('06_规则命中'!$D$6:$D$405,A79,'06_规则命中'!$I$6:$I$405,"基本支持",'06_规则命中'!$N$6:$N$405,"是")</x:f>
        <x:v>0</x:v>
      </x:c>
      <x:c r="G79" s="70" t="n">
        <x:f>COUNTIFS('06_规则命中'!$D$6:$D$405,A79,'06_规则命中'!$I$6:$I$405,"部分支持",'06_规则命中'!$N$6:$N$405,"是")</x:f>
        <x:v>0</x:v>
      </x:c>
      <x:c r="H79" s="70" t="n">
        <x:f>COUNTIFS('06_规则命中'!$D$6:$D$405,A79,'06_规则命中'!$I$6:$I$405,"相邻但不同",'06_规则命中'!$N$6:$N$405,"是")</x:f>
        <x:v>0</x:v>
      </x:c>
      <x:c r="I79" s="70" t="n">
        <x:f>COUNTIFS('06_规则命中'!$D$6:$D$405,A79,'06_规则命中'!$I$6:$I$405,"反例",'06_规则命中'!$N$6:$N$405,"是")</x:f>
        <x:v>0</x:v>
      </x:c>
      <x:c r="J79" s="70" t="n">
        <x:f>COUNTIFS('06_规则命中'!$D$6:$D$405,A79,'06_规则命中'!$I$6:$I$405,"不可评估",'06_规则命中'!$N$6:$N$405,"是")</x:f>
        <x:v>0</x:v>
      </x:c>
      <x:c r="K79" s="70" t="n">
        <x:f>SUM(E79:I79)</x:f>
        <x:v>0</x:v>
      </x:c>
      <x:c r="L79" s="108" t="str">
        <x:f>IFERROR((E79+0.75*F79+0.5*G79+0.25*H79)/K79,"")</x:f>
      </x:c>
      <x:c r="M79" s="108" t="str">
        <x:f>IFERROR(I79/K79,"")</x:f>
      </x:c>
      <x:c r="N79" s="70" t="n">
        <x:f>COUNTIFS('08_反例与错误'!$E$6:$E$155,A79,'08_反例与错误'!$H$6:$H$155,"强")+COUNTIFS('08_反例与错误'!$E$6:$E$155,A79,'08_反例与错误'!$H$6:$H$155,"安全")</x:f>
        <x:v>0</x:v>
      </x:c>
      <x:c r="O79" s="70" t="n">
        <x:f>COUNTIFS('06_规则命中'!$D$6:$D$405,A79,'06_规则命中'!$I$6:$I$405,"反例",'06_规则命中'!$L$6:$L$405,"是",'06_规则命中'!$N$6:$N$405,"是")</x:f>
        <x:v>0</x:v>
      </x:c>
      <x:c r="P79" s="108" t="str">
        <x:f>IFERROR(SUMIFS('06_规则命中'!$J$6:$J$405,'06_规则命中'!$D$6:$D$405,A79,'06_规则命中'!$C$6:$C$405,"开发集",'06_规则命中'!$N$6:$N$405,"是")/COUNTIFS('06_规则命中'!$D$6:$D$405,A79,'06_规则命中'!$C$6:$C$405,"开发集",'06_规则命中'!$I$6:$I$405,"&lt;&gt;不可评估",'06_规则命中'!$N$6:$N$405,"是"),"")</x:f>
      </x:c>
      <x:c r="Q79" s="108" t="str">
        <x:f>IFERROR(SUMIFS('06_规则命中'!$J$6:$J$405,'06_规则命中'!$D$6:$D$405,A79,'06_规则命中'!$C$6:$C$405,"留出集",'06_规则命中'!$N$6:$N$405,"是")/COUNTIFS('06_规则命中'!$D$6:$D$405,A79,'06_规则命中'!$C$6:$C$405,"留出集",'06_规则命中'!$I$6:$I$405,"&lt;&gt;不可评估",'06_规则命中'!$N$6:$N$405,"是"),"")</x:f>
      </x:c>
      <x:c r="R79" s="70" t="str">
        <x:f>IF(K79=0,"P0 待验证",IF(K79&lt;3,"P1 极少样本",IF(K79&lt;6,"P2 探索",IF(K79&lt;12,"P3 初步","P4 稳定候选"))))</x:f>
        <x:v>P0 待验证</x:v>
      </x:c>
      <x:c r="S79" s="70" t="str">
        <x:f>IF(O79&gt;0,"立即安全审查",IF(K79&lt;3,"样本不足",IF(AND(K79&gt;=4,M79&gt;=0.6),"停用候选",IF(AND(K79&gt;=6,M79&gt;=0.4),"优先修改",IF(AND(K79&gt;=8,L79&gt;=0.75,M79&lt;=0.15,N79=0),"保留观察",IF(AND(P79&lt;&gt;"",Q79&lt;&gt;"",ABS(P79-Q79)&gt;0.25),"疑似过拟合","继续验证"))))))</x:f>
        <x:v>样本不足</x:v>
      </x:c>
      <x:c r="T79" s="70" t="str"/>
      <x:c r="U79" s="70" t="str">
        <x:v>待验证</x:v>
      </x:c>
      <x:c r="V79" s="70" t="str"/>
      <x:c r="W79" s="70" t="str"/>
    </x:row>
    <x:row r="80">
      <x:c r="A80" s="70" t="str">
        <x:v>M5-SYNTH-043</x:v>
      </x:c>
      <x:c r="B80" s="70" t="str">
        <x:v>SYNTH</x:v>
      </x:c>
      <x:c r="C80" s="70" t="str">
        <x:v>字段权威｜exchange_path由EXCHANGE负责</x:v>
      </x:c>
      <x:c r="D80" s="70" t="str">
        <x:v>待验证</x:v>
      </x:c>
      <x:c r="E80" s="70" t="n">
        <x:f>COUNTIFS('06_规则命中'!$D$6:$D$405,A80,'06_规则命中'!$I$6:$I$405,"支持",'06_规则命中'!$N$6:$N$405,"是")</x:f>
        <x:v>0</x:v>
      </x:c>
      <x:c r="F80" s="70" t="n">
        <x:f>COUNTIFS('06_规则命中'!$D$6:$D$405,A80,'06_规则命中'!$I$6:$I$405,"基本支持",'06_规则命中'!$N$6:$N$405,"是")</x:f>
        <x:v>0</x:v>
      </x:c>
      <x:c r="G80" s="70" t="n">
        <x:f>COUNTIFS('06_规则命中'!$D$6:$D$405,A80,'06_规则命中'!$I$6:$I$405,"部分支持",'06_规则命中'!$N$6:$N$405,"是")</x:f>
        <x:v>0</x:v>
      </x:c>
      <x:c r="H80" s="70" t="n">
        <x:f>COUNTIFS('06_规则命中'!$D$6:$D$405,A80,'06_规则命中'!$I$6:$I$405,"相邻但不同",'06_规则命中'!$N$6:$N$405,"是")</x:f>
        <x:v>0</x:v>
      </x:c>
      <x:c r="I80" s="70" t="n">
        <x:f>COUNTIFS('06_规则命中'!$D$6:$D$405,A80,'06_规则命中'!$I$6:$I$405,"反例",'06_规则命中'!$N$6:$N$405,"是")</x:f>
        <x:v>0</x:v>
      </x:c>
      <x:c r="J80" s="70" t="n">
        <x:f>COUNTIFS('06_规则命中'!$D$6:$D$405,A80,'06_规则命中'!$I$6:$I$405,"不可评估",'06_规则命中'!$N$6:$N$405,"是")</x:f>
        <x:v>0</x:v>
      </x:c>
      <x:c r="K80" s="70" t="n">
        <x:f>SUM(E80:I80)</x:f>
        <x:v>0</x:v>
      </x:c>
      <x:c r="L80" s="108" t="str">
        <x:f>IFERROR((E80+0.75*F80+0.5*G80+0.25*H80)/K80,"")</x:f>
      </x:c>
      <x:c r="M80" s="108" t="str">
        <x:f>IFERROR(I80/K80,"")</x:f>
      </x:c>
      <x:c r="N80" s="70" t="n">
        <x:f>COUNTIFS('08_反例与错误'!$E$6:$E$155,A80,'08_反例与错误'!$H$6:$H$155,"强")+COUNTIFS('08_反例与错误'!$E$6:$E$155,A80,'08_反例与错误'!$H$6:$H$155,"安全")</x:f>
        <x:v>0</x:v>
      </x:c>
      <x:c r="O80" s="70" t="n">
        <x:f>COUNTIFS('06_规则命中'!$D$6:$D$405,A80,'06_规则命中'!$I$6:$I$405,"反例",'06_规则命中'!$L$6:$L$405,"是",'06_规则命中'!$N$6:$N$405,"是")</x:f>
        <x:v>0</x:v>
      </x:c>
      <x:c r="P80" s="108" t="str">
        <x:f>IFERROR(SUMIFS('06_规则命中'!$J$6:$J$405,'06_规则命中'!$D$6:$D$405,A80,'06_规则命中'!$C$6:$C$405,"开发集",'06_规则命中'!$N$6:$N$405,"是")/COUNTIFS('06_规则命中'!$D$6:$D$405,A80,'06_规则命中'!$C$6:$C$405,"开发集",'06_规则命中'!$I$6:$I$405,"&lt;&gt;不可评估",'06_规则命中'!$N$6:$N$405,"是"),"")</x:f>
      </x:c>
      <x:c r="Q80" s="108" t="str">
        <x:f>IFERROR(SUMIFS('06_规则命中'!$J$6:$J$405,'06_规则命中'!$D$6:$D$405,A80,'06_规则命中'!$C$6:$C$405,"留出集",'06_规则命中'!$N$6:$N$405,"是")/COUNTIFS('06_规则命中'!$D$6:$D$405,A80,'06_规则命中'!$C$6:$C$405,"留出集",'06_规则命中'!$I$6:$I$405,"&lt;&gt;不可评估",'06_规则命中'!$N$6:$N$405,"是"),"")</x:f>
      </x:c>
      <x:c r="R80" s="70" t="str">
        <x:f>IF(K80=0,"P0 待验证",IF(K80&lt;3,"P1 极少样本",IF(K80&lt;6,"P2 探索",IF(K80&lt;12,"P3 初步","P4 稳定候选"))))</x:f>
        <x:v>P0 待验证</x:v>
      </x:c>
      <x:c r="S80" s="70" t="str">
        <x:f>IF(O80&gt;0,"立即安全审查",IF(K80&lt;3,"样本不足",IF(AND(K80&gt;=4,M80&gt;=0.6),"停用候选",IF(AND(K80&gt;=6,M80&gt;=0.4),"优先修改",IF(AND(K80&gt;=8,L80&gt;=0.75,M80&lt;=0.15,N80=0),"保留观察",IF(AND(P80&lt;&gt;"",Q80&lt;&gt;"",ABS(P80-Q80)&gt;0.25),"疑似过拟合","继续验证"))))))</x:f>
        <x:v>样本不足</x:v>
      </x:c>
      <x:c r="T80" s="70" t="str"/>
      <x:c r="U80" s="70" t="str">
        <x:v>待验证</x:v>
      </x:c>
      <x:c r="V80" s="70" t="str"/>
      <x:c r="W80" s="70" t="str"/>
    </x:row>
    <x:row r="81">
      <x:c r="A81" s="70" t="str">
        <x:v>M5-SYNTH-044</x:v>
      </x:c>
      <x:c r="B81" s="70" t="str">
        <x:v>SYNTH</x:v>
      </x:c>
      <x:c r="C81" s="70" t="str">
        <x:v>字段权威｜primary_boundary_channel由BOUND负责</x:v>
      </x:c>
      <x:c r="D81" s="70" t="str">
        <x:v>待验证</x:v>
      </x:c>
      <x:c r="E81" s="70" t="n">
        <x:f>COUNTIFS('06_规则命中'!$D$6:$D$405,A81,'06_规则命中'!$I$6:$I$405,"支持",'06_规则命中'!$N$6:$N$405,"是")</x:f>
        <x:v>0</x:v>
      </x:c>
      <x:c r="F81" s="70" t="n">
        <x:f>COUNTIFS('06_规则命中'!$D$6:$D$405,A81,'06_规则命中'!$I$6:$I$405,"基本支持",'06_规则命中'!$N$6:$N$405,"是")</x:f>
        <x:v>0</x:v>
      </x:c>
      <x:c r="G81" s="70" t="n">
        <x:f>COUNTIFS('06_规则命中'!$D$6:$D$405,A81,'06_规则命中'!$I$6:$I$405,"部分支持",'06_规则命中'!$N$6:$N$405,"是")</x:f>
        <x:v>0</x:v>
      </x:c>
      <x:c r="H81" s="70" t="n">
        <x:f>COUNTIFS('06_规则命中'!$D$6:$D$405,A81,'06_规则命中'!$I$6:$I$405,"相邻但不同",'06_规则命中'!$N$6:$N$405,"是")</x:f>
        <x:v>0</x:v>
      </x:c>
      <x:c r="I81" s="70" t="n">
        <x:f>COUNTIFS('06_规则命中'!$D$6:$D$405,A81,'06_规则命中'!$I$6:$I$405,"反例",'06_规则命中'!$N$6:$N$405,"是")</x:f>
        <x:v>0</x:v>
      </x:c>
      <x:c r="J81" s="70" t="n">
        <x:f>COUNTIFS('06_规则命中'!$D$6:$D$405,A81,'06_规则命中'!$I$6:$I$405,"不可评估",'06_规则命中'!$N$6:$N$405,"是")</x:f>
        <x:v>0</x:v>
      </x:c>
      <x:c r="K81" s="70" t="n">
        <x:f>SUM(E81:I81)</x:f>
        <x:v>0</x:v>
      </x:c>
      <x:c r="L81" s="108" t="str">
        <x:f>IFERROR((E81+0.75*F81+0.5*G81+0.25*H81)/K81,"")</x:f>
      </x:c>
      <x:c r="M81" s="108" t="str">
        <x:f>IFERROR(I81/K81,"")</x:f>
      </x:c>
      <x:c r="N81" s="70" t="n">
        <x:f>COUNTIFS('08_反例与错误'!$E$6:$E$155,A81,'08_反例与错误'!$H$6:$H$155,"强")+COUNTIFS('08_反例与错误'!$E$6:$E$155,A81,'08_反例与错误'!$H$6:$H$155,"安全")</x:f>
        <x:v>0</x:v>
      </x:c>
      <x:c r="O81" s="70" t="n">
        <x:f>COUNTIFS('06_规则命中'!$D$6:$D$405,A81,'06_规则命中'!$I$6:$I$405,"反例",'06_规则命中'!$L$6:$L$405,"是",'06_规则命中'!$N$6:$N$405,"是")</x:f>
        <x:v>0</x:v>
      </x:c>
      <x:c r="P81" s="108" t="str">
        <x:f>IFERROR(SUMIFS('06_规则命中'!$J$6:$J$405,'06_规则命中'!$D$6:$D$405,A81,'06_规则命中'!$C$6:$C$405,"开发集",'06_规则命中'!$N$6:$N$405,"是")/COUNTIFS('06_规则命中'!$D$6:$D$405,A81,'06_规则命中'!$C$6:$C$405,"开发集",'06_规则命中'!$I$6:$I$405,"&lt;&gt;不可评估",'06_规则命中'!$N$6:$N$405,"是"),"")</x:f>
      </x:c>
      <x:c r="Q81" s="108" t="str">
        <x:f>IFERROR(SUMIFS('06_规则命中'!$J$6:$J$405,'06_规则命中'!$D$6:$D$405,A81,'06_规则命中'!$C$6:$C$405,"留出集",'06_规则命中'!$N$6:$N$405,"是")/COUNTIFS('06_规则命中'!$D$6:$D$405,A81,'06_规则命中'!$C$6:$C$405,"留出集",'06_规则命中'!$I$6:$I$405,"&lt;&gt;不可评估",'06_规则命中'!$N$6:$N$405,"是"),"")</x:f>
      </x:c>
      <x:c r="R81" s="70" t="str">
        <x:f>IF(K81=0,"P0 待验证",IF(K81&lt;3,"P1 极少样本",IF(K81&lt;6,"P2 探索",IF(K81&lt;12,"P3 初步","P4 稳定候选"))))</x:f>
        <x:v>P0 待验证</x:v>
      </x:c>
      <x:c r="S81" s="70" t="str">
        <x:f>IF(O81&gt;0,"立即安全审查",IF(K81&lt;3,"样本不足",IF(AND(K81&gt;=4,M81&gt;=0.6),"停用候选",IF(AND(K81&gt;=6,M81&gt;=0.4),"优先修改",IF(AND(K81&gt;=8,L81&gt;=0.75,M81&lt;=0.15,N81=0),"保留观察",IF(AND(P81&lt;&gt;"",Q81&lt;&gt;"",ABS(P81-Q81)&gt;0.25),"疑似过拟合","继续验证"))))))</x:f>
        <x:v>样本不足</x:v>
      </x:c>
      <x:c r="T81" s="70" t="str"/>
      <x:c r="U81" s="70" t="str">
        <x:v>待验证</x:v>
      </x:c>
      <x:c r="V81" s="70" t="str"/>
      <x:c r="W81" s="70" t="str"/>
    </x:row>
    <x:row r="82">
      <x:c r="A82" s="70" t="str">
        <x:v>M5-SYNTH-045</x:v>
      </x:c>
      <x:c r="B82" s="70" t="str">
        <x:v>SYNTH</x:v>
      </x:c>
      <x:c r="C82" s="70" t="str">
        <x:v>字段权威｜boundary_mode由BOUND负责</x:v>
      </x:c>
      <x:c r="D82" s="70" t="str">
        <x:v>待验证</x:v>
      </x:c>
      <x:c r="E82" s="70" t="n">
        <x:f>COUNTIFS('06_规则命中'!$D$6:$D$405,A82,'06_规则命中'!$I$6:$I$405,"支持",'06_规则命中'!$N$6:$N$405,"是")</x:f>
        <x:v>0</x:v>
      </x:c>
      <x:c r="F82" s="70" t="n">
        <x:f>COUNTIFS('06_规则命中'!$D$6:$D$405,A82,'06_规则命中'!$I$6:$I$405,"基本支持",'06_规则命中'!$N$6:$N$405,"是")</x:f>
        <x:v>0</x:v>
      </x:c>
      <x:c r="G82" s="70" t="n">
        <x:f>COUNTIFS('06_规则命中'!$D$6:$D$405,A82,'06_规则命中'!$I$6:$I$405,"部分支持",'06_规则命中'!$N$6:$N$405,"是")</x:f>
        <x:v>0</x:v>
      </x:c>
      <x:c r="H82" s="70" t="n">
        <x:f>COUNTIFS('06_规则命中'!$D$6:$D$405,A82,'06_规则命中'!$I$6:$I$405,"相邻但不同",'06_规则命中'!$N$6:$N$405,"是")</x:f>
        <x:v>0</x:v>
      </x:c>
      <x:c r="I82" s="70" t="n">
        <x:f>COUNTIFS('06_规则命中'!$D$6:$D$405,A82,'06_规则命中'!$I$6:$I$405,"反例",'06_规则命中'!$N$6:$N$405,"是")</x:f>
        <x:v>0</x:v>
      </x:c>
      <x:c r="J82" s="70" t="n">
        <x:f>COUNTIFS('06_规则命中'!$D$6:$D$405,A82,'06_规则命中'!$I$6:$I$405,"不可评估",'06_规则命中'!$N$6:$N$405,"是")</x:f>
        <x:v>0</x:v>
      </x:c>
      <x:c r="K82" s="70" t="n">
        <x:f>SUM(E82:I82)</x:f>
        <x:v>0</x:v>
      </x:c>
      <x:c r="L82" s="108" t="str">
        <x:f>IFERROR((E82+0.75*F82+0.5*G82+0.25*H82)/K82,"")</x:f>
      </x:c>
      <x:c r="M82" s="108" t="str">
        <x:f>IFERROR(I82/K82,"")</x:f>
      </x:c>
      <x:c r="N82" s="70" t="n">
        <x:f>COUNTIFS('08_反例与错误'!$E$6:$E$155,A82,'08_反例与错误'!$H$6:$H$155,"强")+COUNTIFS('08_反例与错误'!$E$6:$E$155,A82,'08_反例与错误'!$H$6:$H$155,"安全")</x:f>
        <x:v>0</x:v>
      </x:c>
      <x:c r="O82" s="70" t="n">
        <x:f>COUNTIFS('06_规则命中'!$D$6:$D$405,A82,'06_规则命中'!$I$6:$I$405,"反例",'06_规则命中'!$L$6:$L$405,"是",'06_规则命中'!$N$6:$N$405,"是")</x:f>
        <x:v>0</x:v>
      </x:c>
      <x:c r="P82" s="108" t="str">
        <x:f>IFERROR(SUMIFS('06_规则命中'!$J$6:$J$405,'06_规则命中'!$D$6:$D$405,A82,'06_规则命中'!$C$6:$C$405,"开发集",'06_规则命中'!$N$6:$N$405,"是")/COUNTIFS('06_规则命中'!$D$6:$D$405,A82,'06_规则命中'!$C$6:$C$405,"开发集",'06_规则命中'!$I$6:$I$405,"&lt;&gt;不可评估",'06_规则命中'!$N$6:$N$405,"是"),"")</x:f>
      </x:c>
      <x:c r="Q82" s="108" t="str">
        <x:f>IFERROR(SUMIFS('06_规则命中'!$J$6:$J$405,'06_规则命中'!$D$6:$D$405,A82,'06_规则命中'!$C$6:$C$405,"留出集",'06_规则命中'!$N$6:$N$405,"是")/COUNTIFS('06_规则命中'!$D$6:$D$405,A82,'06_规则命中'!$C$6:$C$405,"留出集",'06_规则命中'!$I$6:$I$405,"&lt;&gt;不可评估",'06_规则命中'!$N$6:$N$405,"是"),"")</x:f>
      </x:c>
      <x:c r="R82" s="70" t="str">
        <x:f>IF(K82=0,"P0 待验证",IF(K82&lt;3,"P1 极少样本",IF(K82&lt;6,"P2 探索",IF(K82&lt;12,"P3 初步","P4 稳定候选"))))</x:f>
        <x:v>P0 待验证</x:v>
      </x:c>
      <x:c r="S82" s="70" t="str">
        <x:f>IF(O82&gt;0,"立即安全审查",IF(K82&lt;3,"样本不足",IF(AND(K82&gt;=4,M82&gt;=0.6),"停用候选",IF(AND(K82&gt;=6,M82&gt;=0.4),"优先修改",IF(AND(K82&gt;=8,L82&gt;=0.75,M82&lt;=0.15,N82=0),"保留观察",IF(AND(P82&lt;&gt;"",Q82&lt;&gt;"",ABS(P82-Q82)&gt;0.25),"疑似过拟合","继续验证"))))))</x:f>
        <x:v>样本不足</x:v>
      </x:c>
      <x:c r="T82" s="70" t="str"/>
      <x:c r="U82" s="70" t="str">
        <x:v>待验证</x:v>
      </x:c>
      <x:c r="V82" s="70" t="str"/>
      <x:c r="W82" s="70" t="str"/>
    </x:row>
    <x:row r="83">
      <x:c r="A83" s="70" t="str">
        <x:v>M5-SYNTH-046</x:v>
      </x:c>
      <x:c r="B83" s="70" t="str">
        <x:v>SYNTH</x:v>
      </x:c>
      <x:c r="C83" s="70" t="str">
        <x:v>字段权威｜boundary_state由BOUND负责</x:v>
      </x:c>
      <x:c r="D83" s="70" t="str">
        <x:v>待验证</x:v>
      </x:c>
      <x:c r="E83" s="70" t="n">
        <x:f>COUNTIFS('06_规则命中'!$D$6:$D$405,A83,'06_规则命中'!$I$6:$I$405,"支持",'06_规则命中'!$N$6:$N$405,"是")</x:f>
        <x:v>0</x:v>
      </x:c>
      <x:c r="F83" s="70" t="n">
        <x:f>COUNTIFS('06_规则命中'!$D$6:$D$405,A83,'06_规则命中'!$I$6:$I$405,"基本支持",'06_规则命中'!$N$6:$N$405,"是")</x:f>
        <x:v>0</x:v>
      </x:c>
      <x:c r="G83" s="70" t="n">
        <x:f>COUNTIFS('06_规则命中'!$D$6:$D$405,A83,'06_规则命中'!$I$6:$I$405,"部分支持",'06_规则命中'!$N$6:$N$405,"是")</x:f>
        <x:v>0</x:v>
      </x:c>
      <x:c r="H83" s="70" t="n">
        <x:f>COUNTIFS('06_规则命中'!$D$6:$D$405,A83,'06_规则命中'!$I$6:$I$405,"相邻但不同",'06_规则命中'!$N$6:$N$405,"是")</x:f>
        <x:v>0</x:v>
      </x:c>
      <x:c r="I83" s="70" t="n">
        <x:f>COUNTIFS('06_规则命中'!$D$6:$D$405,A83,'06_规则命中'!$I$6:$I$405,"反例",'06_规则命中'!$N$6:$N$405,"是")</x:f>
        <x:v>0</x:v>
      </x:c>
      <x:c r="J83" s="70" t="n">
        <x:f>COUNTIFS('06_规则命中'!$D$6:$D$405,A83,'06_规则命中'!$I$6:$I$405,"不可评估",'06_规则命中'!$N$6:$N$405,"是")</x:f>
        <x:v>0</x:v>
      </x:c>
      <x:c r="K83" s="70" t="n">
        <x:f>SUM(E83:I83)</x:f>
        <x:v>0</x:v>
      </x:c>
      <x:c r="L83" s="108" t="str">
        <x:f>IFERROR((E83+0.75*F83+0.5*G83+0.25*H83)/K83,"")</x:f>
      </x:c>
      <x:c r="M83" s="108" t="str">
        <x:f>IFERROR(I83/K83,"")</x:f>
      </x:c>
      <x:c r="N83" s="70" t="n">
        <x:f>COUNTIFS('08_反例与错误'!$E$6:$E$155,A83,'08_反例与错误'!$H$6:$H$155,"强")+COUNTIFS('08_反例与错误'!$E$6:$E$155,A83,'08_反例与错误'!$H$6:$H$155,"安全")</x:f>
        <x:v>0</x:v>
      </x:c>
      <x:c r="O83" s="70" t="n">
        <x:f>COUNTIFS('06_规则命中'!$D$6:$D$405,A83,'06_规则命中'!$I$6:$I$405,"反例",'06_规则命中'!$L$6:$L$405,"是",'06_规则命中'!$N$6:$N$405,"是")</x:f>
        <x:v>0</x:v>
      </x:c>
      <x:c r="P83" s="108" t="str">
        <x:f>IFERROR(SUMIFS('06_规则命中'!$J$6:$J$405,'06_规则命中'!$D$6:$D$405,A83,'06_规则命中'!$C$6:$C$405,"开发集",'06_规则命中'!$N$6:$N$405,"是")/COUNTIFS('06_规则命中'!$D$6:$D$405,A83,'06_规则命中'!$C$6:$C$405,"开发集",'06_规则命中'!$I$6:$I$405,"&lt;&gt;不可评估",'06_规则命中'!$N$6:$N$405,"是"),"")</x:f>
      </x:c>
      <x:c r="Q83" s="108" t="str">
        <x:f>IFERROR(SUMIFS('06_规则命中'!$J$6:$J$405,'06_规则命中'!$D$6:$D$405,A83,'06_规则命中'!$C$6:$C$405,"留出集",'06_规则命中'!$N$6:$N$405,"是")/COUNTIFS('06_规则命中'!$D$6:$D$405,A83,'06_规则命中'!$C$6:$C$405,"留出集",'06_规则命中'!$I$6:$I$405,"&lt;&gt;不可评估",'06_规则命中'!$N$6:$N$405,"是"),"")</x:f>
      </x:c>
      <x:c r="R83" s="70" t="str">
        <x:f>IF(K83=0,"P0 待验证",IF(K83&lt;3,"P1 极少样本",IF(K83&lt;6,"P2 探索",IF(K83&lt;12,"P3 初步","P4 稳定候选"))))</x:f>
        <x:v>P0 待验证</x:v>
      </x:c>
      <x:c r="S83" s="70" t="str">
        <x:f>IF(O83&gt;0,"立即安全审查",IF(K83&lt;3,"样本不足",IF(AND(K83&gt;=4,M83&gt;=0.6),"停用候选",IF(AND(K83&gt;=6,M83&gt;=0.4),"优先修改",IF(AND(K83&gt;=8,L83&gt;=0.75,M83&lt;=0.15,N83=0),"保留观察",IF(AND(P83&lt;&gt;"",Q83&lt;&gt;"",ABS(P83-Q83)&gt;0.25),"疑似过拟合","继续验证"))))))</x:f>
        <x:v>样本不足</x:v>
      </x:c>
      <x:c r="T83" s="70" t="str"/>
      <x:c r="U83" s="70" t="str">
        <x:v>待验证</x:v>
      </x:c>
      <x:c r="V83" s="70" t="str"/>
      <x:c r="W83" s="70" t="str"/>
    </x:row>
    <x:row r="84">
      <x:c r="A84" s="70" t="str">
        <x:v>M5-SYNTH-047</x:v>
      </x:c>
      <x:c r="B84" s="70" t="str">
        <x:v>SYNTH</x:v>
      </x:c>
      <x:c r="C84" s="70" t="str">
        <x:v>字段权威｜boundary_evidence_level由BOUND负责</x:v>
      </x:c>
      <x:c r="D84" s="70" t="str">
        <x:v>待验证</x:v>
      </x:c>
      <x:c r="E84" s="70" t="n">
        <x:f>COUNTIFS('06_规则命中'!$D$6:$D$405,A84,'06_规则命中'!$I$6:$I$405,"支持",'06_规则命中'!$N$6:$N$405,"是")</x:f>
        <x:v>0</x:v>
      </x:c>
      <x:c r="F84" s="70" t="n">
        <x:f>COUNTIFS('06_规则命中'!$D$6:$D$405,A84,'06_规则命中'!$I$6:$I$405,"基本支持",'06_规则命中'!$N$6:$N$405,"是")</x:f>
        <x:v>0</x:v>
      </x:c>
      <x:c r="G84" s="70" t="n">
        <x:f>COUNTIFS('06_规则命中'!$D$6:$D$405,A84,'06_规则命中'!$I$6:$I$405,"部分支持",'06_规则命中'!$N$6:$N$405,"是")</x:f>
        <x:v>0</x:v>
      </x:c>
      <x:c r="H84" s="70" t="n">
        <x:f>COUNTIFS('06_规则命中'!$D$6:$D$405,A84,'06_规则命中'!$I$6:$I$405,"相邻但不同",'06_规则命中'!$N$6:$N$405,"是")</x:f>
        <x:v>0</x:v>
      </x:c>
      <x:c r="I84" s="70" t="n">
        <x:f>COUNTIFS('06_规则命中'!$D$6:$D$405,A84,'06_规则命中'!$I$6:$I$405,"反例",'06_规则命中'!$N$6:$N$405,"是")</x:f>
        <x:v>0</x:v>
      </x:c>
      <x:c r="J84" s="70" t="n">
        <x:f>COUNTIFS('06_规则命中'!$D$6:$D$405,A84,'06_规则命中'!$I$6:$I$405,"不可评估",'06_规则命中'!$N$6:$N$405,"是")</x:f>
        <x:v>0</x:v>
      </x:c>
      <x:c r="K84" s="70" t="n">
        <x:f>SUM(E84:I84)</x:f>
        <x:v>0</x:v>
      </x:c>
      <x:c r="L84" s="108" t="str">
        <x:f>IFERROR((E84+0.75*F84+0.5*G84+0.25*H84)/K84,"")</x:f>
      </x:c>
      <x:c r="M84" s="108" t="str">
        <x:f>IFERROR(I84/K84,"")</x:f>
      </x:c>
      <x:c r="N84" s="70" t="n">
        <x:f>COUNTIFS('08_反例与错误'!$E$6:$E$155,A84,'08_反例与错误'!$H$6:$H$155,"强")+COUNTIFS('08_反例与错误'!$E$6:$E$155,A84,'08_反例与错误'!$H$6:$H$155,"安全")</x:f>
        <x:v>0</x:v>
      </x:c>
      <x:c r="O84" s="70" t="n">
        <x:f>COUNTIFS('06_规则命中'!$D$6:$D$405,A84,'06_规则命中'!$I$6:$I$405,"反例",'06_规则命中'!$L$6:$L$405,"是",'06_规则命中'!$N$6:$N$405,"是")</x:f>
        <x:v>0</x:v>
      </x:c>
      <x:c r="P84" s="108" t="str">
        <x:f>IFERROR(SUMIFS('06_规则命中'!$J$6:$J$405,'06_规则命中'!$D$6:$D$405,A84,'06_规则命中'!$C$6:$C$405,"开发集",'06_规则命中'!$N$6:$N$405,"是")/COUNTIFS('06_规则命中'!$D$6:$D$405,A84,'06_规则命中'!$C$6:$C$405,"开发集",'06_规则命中'!$I$6:$I$405,"&lt;&gt;不可评估",'06_规则命中'!$N$6:$N$405,"是"),"")</x:f>
      </x:c>
      <x:c r="Q84" s="108" t="str">
        <x:f>IFERROR(SUMIFS('06_规则命中'!$J$6:$J$405,'06_规则命中'!$D$6:$D$405,A84,'06_规则命中'!$C$6:$C$405,"留出集",'06_规则命中'!$N$6:$N$405,"是")/COUNTIFS('06_规则命中'!$D$6:$D$405,A84,'06_规则命中'!$C$6:$C$405,"留出集",'06_规则命中'!$I$6:$I$405,"&lt;&gt;不可评估",'06_规则命中'!$N$6:$N$405,"是"),"")</x:f>
      </x:c>
      <x:c r="R84" s="70" t="str">
        <x:f>IF(K84=0,"P0 待验证",IF(K84&lt;3,"P1 极少样本",IF(K84&lt;6,"P2 探索",IF(K84&lt;12,"P3 初步","P4 稳定候选"))))</x:f>
        <x:v>P0 待验证</x:v>
      </x:c>
      <x:c r="S84" s="70" t="str">
        <x:f>IF(O84&gt;0,"立即安全审查",IF(K84&lt;3,"样本不足",IF(AND(K84&gt;=4,M84&gt;=0.6),"停用候选",IF(AND(K84&gt;=6,M84&gt;=0.4),"优先修改",IF(AND(K84&gt;=8,L84&gt;=0.75,M84&lt;=0.15,N84=0),"保留观察",IF(AND(P84&lt;&gt;"",Q84&lt;&gt;"",ABS(P84-Q84)&gt;0.25),"疑似过拟合","继续验证"))))))</x:f>
        <x:v>样本不足</x:v>
      </x:c>
      <x:c r="T84" s="70" t="str"/>
      <x:c r="U84" s="70" t="str">
        <x:v>待验证</x:v>
      </x:c>
      <x:c r="V84" s="70" t="str"/>
      <x:c r="W84" s="70" t="str"/>
    </x:row>
    <x:row r="85">
      <x:c r="A85" s="70" t="str">
        <x:v>M5-SYNTH-048</x:v>
      </x:c>
      <x:c r="B85" s="70" t="str">
        <x:v>SYNTH</x:v>
      </x:c>
      <x:c r="C85" s="70" t="str">
        <x:v>字段权威｜decision_governance由BOUND负责</x:v>
      </x:c>
      <x:c r="D85" s="70" t="str">
        <x:v>待验证</x:v>
      </x:c>
      <x:c r="E85" s="70" t="n">
        <x:f>COUNTIFS('06_规则命中'!$D$6:$D$405,A85,'06_规则命中'!$I$6:$I$405,"支持",'06_规则命中'!$N$6:$N$405,"是")</x:f>
        <x:v>0</x:v>
      </x:c>
      <x:c r="F85" s="70" t="n">
        <x:f>COUNTIFS('06_规则命中'!$D$6:$D$405,A85,'06_规则命中'!$I$6:$I$405,"基本支持",'06_规则命中'!$N$6:$N$405,"是")</x:f>
        <x:v>0</x:v>
      </x:c>
      <x:c r="G85" s="70" t="n">
        <x:f>COUNTIFS('06_规则命中'!$D$6:$D$405,A85,'06_规则命中'!$I$6:$I$405,"部分支持",'06_规则命中'!$N$6:$N$405,"是")</x:f>
        <x:v>0</x:v>
      </x:c>
      <x:c r="H85" s="70" t="n">
        <x:f>COUNTIFS('06_规则命中'!$D$6:$D$405,A85,'06_规则命中'!$I$6:$I$405,"相邻但不同",'06_规则命中'!$N$6:$N$405,"是")</x:f>
        <x:v>0</x:v>
      </x:c>
      <x:c r="I85" s="70" t="n">
        <x:f>COUNTIFS('06_规则命中'!$D$6:$D$405,A85,'06_规则命中'!$I$6:$I$405,"反例",'06_规则命中'!$N$6:$N$405,"是")</x:f>
        <x:v>0</x:v>
      </x:c>
      <x:c r="J85" s="70" t="n">
        <x:f>COUNTIFS('06_规则命中'!$D$6:$D$405,A85,'06_规则命中'!$I$6:$I$405,"不可评估",'06_规则命中'!$N$6:$N$405,"是")</x:f>
        <x:v>0</x:v>
      </x:c>
      <x:c r="K85" s="70" t="n">
        <x:f>SUM(E85:I85)</x:f>
        <x:v>0</x:v>
      </x:c>
      <x:c r="L85" s="108" t="str">
        <x:f>IFERROR((E85+0.75*F85+0.5*G85+0.25*H85)/K85,"")</x:f>
      </x:c>
      <x:c r="M85" s="108" t="str">
        <x:f>IFERROR(I85/K85,"")</x:f>
      </x:c>
      <x:c r="N85" s="70" t="n">
        <x:f>COUNTIFS('08_反例与错误'!$E$6:$E$155,A85,'08_反例与错误'!$H$6:$H$155,"强")+COUNTIFS('08_反例与错误'!$E$6:$E$155,A85,'08_反例与错误'!$H$6:$H$155,"安全")</x:f>
        <x:v>0</x:v>
      </x:c>
      <x:c r="O85" s="70" t="n">
        <x:f>COUNTIFS('06_规则命中'!$D$6:$D$405,A85,'06_规则命中'!$I$6:$I$405,"反例",'06_规则命中'!$L$6:$L$405,"是",'06_规则命中'!$N$6:$N$405,"是")</x:f>
        <x:v>0</x:v>
      </x:c>
      <x:c r="P85" s="108" t="str">
        <x:f>IFERROR(SUMIFS('06_规则命中'!$J$6:$J$405,'06_规则命中'!$D$6:$D$405,A85,'06_规则命中'!$C$6:$C$405,"开发集",'06_规则命中'!$N$6:$N$405,"是")/COUNTIFS('06_规则命中'!$D$6:$D$405,A85,'06_规则命中'!$C$6:$C$405,"开发集",'06_规则命中'!$I$6:$I$405,"&lt;&gt;不可评估",'06_规则命中'!$N$6:$N$405,"是"),"")</x:f>
      </x:c>
      <x:c r="Q85" s="108" t="str">
        <x:f>IFERROR(SUMIFS('06_规则命中'!$J$6:$J$405,'06_规则命中'!$D$6:$D$405,A85,'06_规则命中'!$C$6:$C$405,"留出集",'06_规则命中'!$N$6:$N$405,"是")/COUNTIFS('06_规则命中'!$D$6:$D$405,A85,'06_规则命中'!$C$6:$C$405,"留出集",'06_规则命中'!$I$6:$I$405,"&lt;&gt;不可评估",'06_规则命中'!$N$6:$N$405,"是"),"")</x:f>
      </x:c>
      <x:c r="R85" s="70" t="str">
        <x:f>IF(K85=0,"P0 待验证",IF(K85&lt;3,"P1 极少样本",IF(K85&lt;6,"P2 探索",IF(K85&lt;12,"P3 初步","P4 稳定候选"))))</x:f>
        <x:v>P0 待验证</x:v>
      </x:c>
      <x:c r="S85" s="70" t="str">
        <x:f>IF(O85&gt;0,"立即安全审查",IF(K85&lt;3,"样本不足",IF(AND(K85&gt;=4,M85&gt;=0.6),"停用候选",IF(AND(K85&gt;=6,M85&gt;=0.4),"优先修改",IF(AND(K85&gt;=8,L85&gt;=0.75,M85&lt;=0.15,N85=0),"保留观察",IF(AND(P85&lt;&gt;"",Q85&lt;&gt;"",ABS(P85-Q85)&gt;0.25),"疑似过拟合","继续验证"))))))</x:f>
        <x:v>样本不足</x:v>
      </x:c>
      <x:c r="T85" s="70" t="str"/>
      <x:c r="U85" s="70" t="str">
        <x:v>待验证</x:v>
      </x:c>
      <x:c r="V85" s="70" t="str"/>
      <x:c r="W85" s="70" t="str"/>
    </x:row>
    <x:row r="86">
      <x:c r="A86" s="70" t="str">
        <x:v>M5-SYNTH-049</x:v>
      </x:c>
      <x:c r="B86" s="70" t="str">
        <x:v>SYNTH</x:v>
      </x:c>
      <x:c r="C86" s="70" t="str">
        <x:v>字段权威｜consent_boundary由BOUND＋现实RG01／RG07负责</x:v>
      </x:c>
      <x:c r="D86" s="70" t="str">
        <x:v>待验证</x:v>
      </x:c>
      <x:c r="E86" s="70" t="n">
        <x:f>COUNTIFS('06_规则命中'!$D$6:$D$405,A86,'06_规则命中'!$I$6:$I$405,"支持",'06_规则命中'!$N$6:$N$405,"是")</x:f>
        <x:v>0</x:v>
      </x:c>
      <x:c r="F86" s="70" t="n">
        <x:f>COUNTIFS('06_规则命中'!$D$6:$D$405,A86,'06_规则命中'!$I$6:$I$405,"基本支持",'06_规则命中'!$N$6:$N$405,"是")</x:f>
        <x:v>0</x:v>
      </x:c>
      <x:c r="G86" s="70" t="n">
        <x:f>COUNTIFS('06_规则命中'!$D$6:$D$405,A86,'06_规则命中'!$I$6:$I$405,"部分支持",'06_规则命中'!$N$6:$N$405,"是")</x:f>
        <x:v>0</x:v>
      </x:c>
      <x:c r="H86" s="70" t="n">
        <x:f>COUNTIFS('06_规则命中'!$D$6:$D$405,A86,'06_规则命中'!$I$6:$I$405,"相邻但不同",'06_规则命中'!$N$6:$N$405,"是")</x:f>
        <x:v>0</x:v>
      </x:c>
      <x:c r="I86" s="70" t="n">
        <x:f>COUNTIFS('06_规则命中'!$D$6:$D$405,A86,'06_规则命中'!$I$6:$I$405,"反例",'06_规则命中'!$N$6:$N$405,"是")</x:f>
        <x:v>0</x:v>
      </x:c>
      <x:c r="J86" s="70" t="n">
        <x:f>COUNTIFS('06_规则命中'!$D$6:$D$405,A86,'06_规则命中'!$I$6:$I$405,"不可评估",'06_规则命中'!$N$6:$N$405,"是")</x:f>
        <x:v>0</x:v>
      </x:c>
      <x:c r="K86" s="70" t="n">
        <x:f>SUM(E86:I86)</x:f>
        <x:v>0</x:v>
      </x:c>
      <x:c r="L86" s="108" t="str">
        <x:f>IFERROR((E86+0.75*F86+0.5*G86+0.25*H86)/K86,"")</x:f>
      </x:c>
      <x:c r="M86" s="108" t="str">
        <x:f>IFERROR(I86/K86,"")</x:f>
      </x:c>
      <x:c r="N86" s="70" t="n">
        <x:f>COUNTIFS('08_反例与错误'!$E$6:$E$155,A86,'08_反例与错误'!$H$6:$H$155,"强")+COUNTIFS('08_反例与错误'!$E$6:$E$155,A86,'08_反例与错误'!$H$6:$H$155,"安全")</x:f>
        <x:v>0</x:v>
      </x:c>
      <x:c r="O86" s="70" t="n">
        <x:f>COUNTIFS('06_规则命中'!$D$6:$D$405,A86,'06_规则命中'!$I$6:$I$405,"反例",'06_规则命中'!$L$6:$L$405,"是",'06_规则命中'!$N$6:$N$405,"是")</x:f>
        <x:v>0</x:v>
      </x:c>
      <x:c r="P86" s="108" t="str">
        <x:f>IFERROR(SUMIFS('06_规则命中'!$J$6:$J$405,'06_规则命中'!$D$6:$D$405,A86,'06_规则命中'!$C$6:$C$405,"开发集",'06_规则命中'!$N$6:$N$405,"是")/COUNTIFS('06_规则命中'!$D$6:$D$405,A86,'06_规则命中'!$C$6:$C$405,"开发集",'06_规则命中'!$I$6:$I$405,"&lt;&gt;不可评估",'06_规则命中'!$N$6:$N$405,"是"),"")</x:f>
      </x:c>
      <x:c r="Q86" s="108" t="str">
        <x:f>IFERROR(SUMIFS('06_规则命中'!$J$6:$J$405,'06_规则命中'!$D$6:$D$405,A86,'06_规则命中'!$C$6:$C$405,"留出集",'06_规则命中'!$N$6:$N$405,"是")/COUNTIFS('06_规则命中'!$D$6:$D$405,A86,'06_规则命中'!$C$6:$C$405,"留出集",'06_规则命中'!$I$6:$I$405,"&lt;&gt;不可评估",'06_规则命中'!$N$6:$N$405,"是"),"")</x:f>
      </x:c>
      <x:c r="R86" s="70" t="str">
        <x:f>IF(K86=0,"P0 待验证",IF(K86&lt;3,"P1 极少样本",IF(K86&lt;6,"P2 探索",IF(K86&lt;12,"P3 初步","P4 稳定候选"))))</x:f>
        <x:v>P0 待验证</x:v>
      </x:c>
      <x:c r="S86" s="70" t="str">
        <x:f>IF(O86&gt;0,"立即安全审查",IF(K86&lt;3,"样本不足",IF(AND(K86&gt;=4,M86&gt;=0.6),"停用候选",IF(AND(K86&gt;=6,M86&gt;=0.4),"优先修改",IF(AND(K86&gt;=8,L86&gt;=0.75,M86&lt;=0.15,N86=0),"保留观察",IF(AND(P86&lt;&gt;"",Q86&lt;&gt;"",ABS(P86-Q86)&gt;0.25),"疑似过拟合","继续验证"))))))</x:f>
        <x:v>样本不足</x:v>
      </x:c>
      <x:c r="T86" s="70" t="str"/>
      <x:c r="U86" s="70" t="str">
        <x:v>待验证</x:v>
      </x:c>
      <x:c r="V86" s="70" t="str"/>
      <x:c r="W86" s="70" t="str"/>
    </x:row>
    <x:row r="87">
      <x:c r="A87" s="70" t="str">
        <x:v>M5-SYNTH-050</x:v>
      </x:c>
      <x:c r="B87" s="70" t="str">
        <x:v>SYNTH</x:v>
      </x:c>
      <x:c r="C87" s="70" t="str">
        <x:v>字段权威｜primary_repair_channel由REPAIR负责</x:v>
      </x:c>
      <x:c r="D87" s="70" t="str">
        <x:v>待验证</x:v>
      </x:c>
      <x:c r="E87" s="70" t="n">
        <x:f>COUNTIFS('06_规则命中'!$D$6:$D$405,A87,'06_规则命中'!$I$6:$I$405,"支持",'06_规则命中'!$N$6:$N$405,"是")</x:f>
        <x:v>0</x:v>
      </x:c>
      <x:c r="F87" s="70" t="n">
        <x:f>COUNTIFS('06_规则命中'!$D$6:$D$405,A87,'06_规则命中'!$I$6:$I$405,"基本支持",'06_规则命中'!$N$6:$N$405,"是")</x:f>
        <x:v>0</x:v>
      </x:c>
      <x:c r="G87" s="70" t="n">
        <x:f>COUNTIFS('06_规则命中'!$D$6:$D$405,A87,'06_规则命中'!$I$6:$I$405,"部分支持",'06_规则命中'!$N$6:$N$405,"是")</x:f>
        <x:v>0</x:v>
      </x:c>
      <x:c r="H87" s="70" t="n">
        <x:f>COUNTIFS('06_规则命中'!$D$6:$D$405,A87,'06_规则命中'!$I$6:$I$405,"相邻但不同",'06_规则命中'!$N$6:$N$405,"是")</x:f>
        <x:v>0</x:v>
      </x:c>
      <x:c r="I87" s="70" t="n">
        <x:f>COUNTIFS('06_规则命中'!$D$6:$D$405,A87,'06_规则命中'!$I$6:$I$405,"反例",'06_规则命中'!$N$6:$N$405,"是")</x:f>
        <x:v>0</x:v>
      </x:c>
      <x:c r="J87" s="70" t="n">
        <x:f>COUNTIFS('06_规则命中'!$D$6:$D$405,A87,'06_规则命中'!$I$6:$I$405,"不可评估",'06_规则命中'!$N$6:$N$405,"是")</x:f>
        <x:v>0</x:v>
      </x:c>
      <x:c r="K87" s="70" t="n">
        <x:f>SUM(E87:I87)</x:f>
        <x:v>0</x:v>
      </x:c>
      <x:c r="L87" s="108" t="str">
        <x:f>IFERROR((E87+0.75*F87+0.5*G87+0.25*H87)/K87,"")</x:f>
      </x:c>
      <x:c r="M87" s="108" t="str">
        <x:f>IFERROR(I87/K87,"")</x:f>
      </x:c>
      <x:c r="N87" s="70" t="n">
        <x:f>COUNTIFS('08_反例与错误'!$E$6:$E$155,A87,'08_反例与错误'!$H$6:$H$155,"强")+COUNTIFS('08_反例与错误'!$E$6:$E$155,A87,'08_反例与错误'!$H$6:$H$155,"安全")</x:f>
        <x:v>0</x:v>
      </x:c>
      <x:c r="O87" s="70" t="n">
        <x:f>COUNTIFS('06_规则命中'!$D$6:$D$405,A87,'06_规则命中'!$I$6:$I$405,"反例",'06_规则命中'!$L$6:$L$405,"是",'06_规则命中'!$N$6:$N$405,"是")</x:f>
        <x:v>0</x:v>
      </x:c>
      <x:c r="P87" s="108" t="str">
        <x:f>IFERROR(SUMIFS('06_规则命中'!$J$6:$J$405,'06_规则命中'!$D$6:$D$405,A87,'06_规则命中'!$C$6:$C$405,"开发集",'06_规则命中'!$N$6:$N$405,"是")/COUNTIFS('06_规则命中'!$D$6:$D$405,A87,'06_规则命中'!$C$6:$C$405,"开发集",'06_规则命中'!$I$6:$I$405,"&lt;&gt;不可评估",'06_规则命中'!$N$6:$N$405,"是"),"")</x:f>
      </x:c>
      <x:c r="Q87" s="108" t="str">
        <x:f>IFERROR(SUMIFS('06_规则命中'!$J$6:$J$405,'06_规则命中'!$D$6:$D$405,A87,'06_规则命中'!$C$6:$C$405,"留出集",'06_规则命中'!$N$6:$N$405,"是")/COUNTIFS('06_规则命中'!$D$6:$D$405,A87,'06_规则命中'!$C$6:$C$405,"留出集",'06_规则命中'!$I$6:$I$405,"&lt;&gt;不可评估",'06_规则命中'!$N$6:$N$405,"是"),"")</x:f>
      </x:c>
      <x:c r="R87" s="70" t="str">
        <x:f>IF(K87=0,"P0 待验证",IF(K87&lt;3,"P1 极少样本",IF(K87&lt;6,"P2 探索",IF(K87&lt;12,"P3 初步","P4 稳定候选"))))</x:f>
        <x:v>P0 待验证</x:v>
      </x:c>
      <x:c r="S87" s="70" t="str">
        <x:f>IF(O87&gt;0,"立即安全审查",IF(K87&lt;3,"样本不足",IF(AND(K87&gt;=4,M87&gt;=0.6),"停用候选",IF(AND(K87&gt;=6,M87&gt;=0.4),"优先修改",IF(AND(K87&gt;=8,L87&gt;=0.75,M87&lt;=0.15,N87=0),"保留观察",IF(AND(P87&lt;&gt;"",Q87&lt;&gt;"",ABS(P87-Q87)&gt;0.25),"疑似过拟合","继续验证"))))))</x:f>
        <x:v>样本不足</x:v>
      </x:c>
      <x:c r="T87" s="70" t="str"/>
      <x:c r="U87" s="70" t="str">
        <x:v>待验证</x:v>
      </x:c>
      <x:c r="V87" s="70" t="str"/>
      <x:c r="W87" s="70" t="str"/>
    </x:row>
    <x:row r="88">
      <x:c r="A88" s="70" t="str">
        <x:v>M5-SYNTH-051</x:v>
      </x:c>
      <x:c r="B88" s="70" t="str">
        <x:v>SYNTH</x:v>
      </x:c>
      <x:c r="C88" s="70" t="str">
        <x:v>字段权威｜repair_protocol由REPAIR负责</x:v>
      </x:c>
      <x:c r="D88" s="70" t="str">
        <x:v>待验证</x:v>
      </x:c>
      <x:c r="E88" s="70" t="n">
        <x:f>COUNTIFS('06_规则命中'!$D$6:$D$405,A88,'06_规则命中'!$I$6:$I$405,"支持",'06_规则命中'!$N$6:$N$405,"是")</x:f>
        <x:v>0</x:v>
      </x:c>
      <x:c r="F88" s="70" t="n">
        <x:f>COUNTIFS('06_规则命中'!$D$6:$D$405,A88,'06_规则命中'!$I$6:$I$405,"基本支持",'06_规则命中'!$N$6:$N$405,"是")</x:f>
        <x:v>0</x:v>
      </x:c>
      <x:c r="G88" s="70" t="n">
        <x:f>COUNTIFS('06_规则命中'!$D$6:$D$405,A88,'06_规则命中'!$I$6:$I$405,"部分支持",'06_规则命中'!$N$6:$N$405,"是")</x:f>
        <x:v>0</x:v>
      </x:c>
      <x:c r="H88" s="70" t="n">
        <x:f>COUNTIFS('06_规则命中'!$D$6:$D$405,A88,'06_规则命中'!$I$6:$I$405,"相邻但不同",'06_规则命中'!$N$6:$N$405,"是")</x:f>
        <x:v>0</x:v>
      </x:c>
      <x:c r="I88" s="70" t="n">
        <x:f>COUNTIFS('06_规则命中'!$D$6:$D$405,A88,'06_规则命中'!$I$6:$I$405,"反例",'06_规则命中'!$N$6:$N$405,"是")</x:f>
        <x:v>0</x:v>
      </x:c>
      <x:c r="J88" s="70" t="n">
        <x:f>COUNTIFS('06_规则命中'!$D$6:$D$405,A88,'06_规则命中'!$I$6:$I$405,"不可评估",'06_规则命中'!$N$6:$N$405,"是")</x:f>
        <x:v>0</x:v>
      </x:c>
      <x:c r="K88" s="70" t="n">
        <x:f>SUM(E88:I88)</x:f>
        <x:v>0</x:v>
      </x:c>
      <x:c r="L88" s="108" t="str">
        <x:f>IFERROR((E88+0.75*F88+0.5*G88+0.25*H88)/K88,"")</x:f>
      </x:c>
      <x:c r="M88" s="108" t="str">
        <x:f>IFERROR(I88/K88,"")</x:f>
      </x:c>
      <x:c r="N88" s="70" t="n">
        <x:f>COUNTIFS('08_反例与错误'!$E$6:$E$155,A88,'08_反例与错误'!$H$6:$H$155,"强")+COUNTIFS('08_反例与错误'!$E$6:$E$155,A88,'08_反例与错误'!$H$6:$H$155,"安全")</x:f>
        <x:v>0</x:v>
      </x:c>
      <x:c r="O88" s="70" t="n">
        <x:f>COUNTIFS('06_规则命中'!$D$6:$D$405,A88,'06_规则命中'!$I$6:$I$405,"反例",'06_规则命中'!$L$6:$L$405,"是",'06_规则命中'!$N$6:$N$405,"是")</x:f>
        <x:v>0</x:v>
      </x:c>
      <x:c r="P88" s="108" t="str">
        <x:f>IFERROR(SUMIFS('06_规则命中'!$J$6:$J$405,'06_规则命中'!$D$6:$D$405,A88,'06_规则命中'!$C$6:$C$405,"开发集",'06_规则命中'!$N$6:$N$405,"是")/COUNTIFS('06_规则命中'!$D$6:$D$405,A88,'06_规则命中'!$C$6:$C$405,"开发集",'06_规则命中'!$I$6:$I$405,"&lt;&gt;不可评估",'06_规则命中'!$N$6:$N$405,"是"),"")</x:f>
      </x:c>
      <x:c r="Q88" s="108" t="str">
        <x:f>IFERROR(SUMIFS('06_规则命中'!$J$6:$J$405,'06_规则命中'!$D$6:$D$405,A88,'06_规则命中'!$C$6:$C$405,"留出集",'06_规则命中'!$N$6:$N$405,"是")/COUNTIFS('06_规则命中'!$D$6:$D$405,A88,'06_规则命中'!$C$6:$C$405,"留出集",'06_规则命中'!$I$6:$I$405,"&lt;&gt;不可评估",'06_规则命中'!$N$6:$N$405,"是"),"")</x:f>
      </x:c>
      <x:c r="R88" s="70" t="str">
        <x:f>IF(K88=0,"P0 待验证",IF(K88&lt;3,"P1 极少样本",IF(K88&lt;6,"P2 探索",IF(K88&lt;12,"P3 初步","P4 稳定候选"))))</x:f>
        <x:v>P0 待验证</x:v>
      </x:c>
      <x:c r="S88" s="70" t="str">
        <x:f>IF(O88&gt;0,"立即安全审查",IF(K88&lt;3,"样本不足",IF(AND(K88&gt;=4,M88&gt;=0.6),"停用候选",IF(AND(K88&gt;=6,M88&gt;=0.4),"优先修改",IF(AND(K88&gt;=8,L88&gt;=0.75,M88&lt;=0.15,N88=0),"保留观察",IF(AND(P88&lt;&gt;"",Q88&lt;&gt;"",ABS(P88-Q88)&gt;0.25),"疑似过拟合","继续验证"))))))</x:f>
        <x:v>样本不足</x:v>
      </x:c>
      <x:c r="T88" s="70" t="str"/>
      <x:c r="U88" s="70" t="str">
        <x:v>待验证</x:v>
      </x:c>
      <x:c r="V88" s="70" t="str"/>
      <x:c r="W88" s="70" t="str"/>
    </x:row>
    <x:row r="89">
      <x:c r="A89" s="70" t="str">
        <x:v>M5-SYNTH-052</x:v>
      </x:c>
      <x:c r="B89" s="70" t="str">
        <x:v>SYNTH</x:v>
      </x:c>
      <x:c r="C89" s="70" t="str">
        <x:v>字段权威｜repair_state由REPAIR负责</x:v>
      </x:c>
      <x:c r="D89" s="70" t="str">
        <x:v>待验证</x:v>
      </x:c>
      <x:c r="E89" s="70" t="n">
        <x:f>COUNTIFS('06_规则命中'!$D$6:$D$405,A89,'06_规则命中'!$I$6:$I$405,"支持",'06_规则命中'!$N$6:$N$405,"是")</x:f>
        <x:v>0</x:v>
      </x:c>
      <x:c r="F89" s="70" t="n">
        <x:f>COUNTIFS('06_规则命中'!$D$6:$D$405,A89,'06_规则命中'!$I$6:$I$405,"基本支持",'06_规则命中'!$N$6:$N$405,"是")</x:f>
        <x:v>0</x:v>
      </x:c>
      <x:c r="G89" s="70" t="n">
        <x:f>COUNTIFS('06_规则命中'!$D$6:$D$405,A89,'06_规则命中'!$I$6:$I$405,"部分支持",'06_规则命中'!$N$6:$N$405,"是")</x:f>
        <x:v>0</x:v>
      </x:c>
      <x:c r="H89" s="70" t="n">
        <x:f>COUNTIFS('06_规则命中'!$D$6:$D$405,A89,'06_规则命中'!$I$6:$I$405,"相邻但不同",'06_规则命中'!$N$6:$N$405,"是")</x:f>
        <x:v>0</x:v>
      </x:c>
      <x:c r="I89" s="70" t="n">
        <x:f>COUNTIFS('06_规则命中'!$D$6:$D$405,A89,'06_规则命中'!$I$6:$I$405,"反例",'06_规则命中'!$N$6:$N$405,"是")</x:f>
        <x:v>0</x:v>
      </x:c>
      <x:c r="J89" s="70" t="n">
        <x:f>COUNTIFS('06_规则命中'!$D$6:$D$405,A89,'06_规则命中'!$I$6:$I$405,"不可评估",'06_规则命中'!$N$6:$N$405,"是")</x:f>
        <x:v>0</x:v>
      </x:c>
      <x:c r="K89" s="70" t="n">
        <x:f>SUM(E89:I89)</x:f>
        <x:v>0</x:v>
      </x:c>
      <x:c r="L89" s="108" t="str">
        <x:f>IFERROR((E89+0.75*F89+0.5*G89+0.25*H89)/K89,"")</x:f>
      </x:c>
      <x:c r="M89" s="108" t="str">
        <x:f>IFERROR(I89/K89,"")</x:f>
      </x:c>
      <x:c r="N89" s="70" t="n">
        <x:f>COUNTIFS('08_反例与错误'!$E$6:$E$155,A89,'08_反例与错误'!$H$6:$H$155,"强")+COUNTIFS('08_反例与错误'!$E$6:$E$155,A89,'08_反例与错误'!$H$6:$H$155,"安全")</x:f>
        <x:v>0</x:v>
      </x:c>
      <x:c r="O89" s="70" t="n">
        <x:f>COUNTIFS('06_规则命中'!$D$6:$D$405,A89,'06_规则命中'!$I$6:$I$405,"反例",'06_规则命中'!$L$6:$L$405,"是",'06_规则命中'!$N$6:$N$405,"是")</x:f>
        <x:v>0</x:v>
      </x:c>
      <x:c r="P89" s="108" t="str">
        <x:f>IFERROR(SUMIFS('06_规则命中'!$J$6:$J$405,'06_规则命中'!$D$6:$D$405,A89,'06_规则命中'!$C$6:$C$405,"开发集",'06_规则命中'!$N$6:$N$405,"是")/COUNTIFS('06_规则命中'!$D$6:$D$405,A89,'06_规则命中'!$C$6:$C$405,"开发集",'06_规则命中'!$I$6:$I$405,"&lt;&gt;不可评估",'06_规则命中'!$N$6:$N$405,"是"),"")</x:f>
      </x:c>
      <x:c r="Q89" s="108" t="str">
        <x:f>IFERROR(SUMIFS('06_规则命中'!$J$6:$J$405,'06_规则命中'!$D$6:$D$405,A89,'06_规则命中'!$C$6:$C$405,"留出集",'06_规则命中'!$N$6:$N$405,"是")/COUNTIFS('06_规则命中'!$D$6:$D$405,A89,'06_规则命中'!$C$6:$C$405,"留出集",'06_规则命中'!$I$6:$I$405,"&lt;&gt;不可评估",'06_规则命中'!$N$6:$N$405,"是"),"")</x:f>
      </x:c>
      <x:c r="R89" s="70" t="str">
        <x:f>IF(K89=0,"P0 待验证",IF(K89&lt;3,"P1 极少样本",IF(K89&lt;6,"P2 探索",IF(K89&lt;12,"P3 初步","P4 稳定候选"))))</x:f>
        <x:v>P0 待验证</x:v>
      </x:c>
      <x:c r="S89" s="70" t="str">
        <x:f>IF(O89&gt;0,"立即安全审查",IF(K89&lt;3,"样本不足",IF(AND(K89&gt;=4,M89&gt;=0.6),"停用候选",IF(AND(K89&gt;=6,M89&gt;=0.4),"优先修改",IF(AND(K89&gt;=8,L89&gt;=0.75,M89&lt;=0.15,N89=0),"保留观察",IF(AND(P89&lt;&gt;"",Q89&lt;&gt;"",ABS(P89-Q89)&gt;0.25),"疑似过拟合","继续验证"))))))</x:f>
        <x:v>样本不足</x:v>
      </x:c>
      <x:c r="T89" s="70" t="str"/>
      <x:c r="U89" s="70" t="str">
        <x:v>待验证</x:v>
      </x:c>
      <x:c r="V89" s="70" t="str"/>
      <x:c r="W89" s="70" t="str"/>
    </x:row>
    <x:row r="90">
      <x:c r="A90" s="70" t="str">
        <x:v>M5-SYNTH-053</x:v>
      </x:c>
      <x:c r="B90" s="70" t="str">
        <x:v>SYNTH</x:v>
      </x:c>
      <x:c r="C90" s="70" t="str">
        <x:v>字段权威｜repair_evidence_level由REPAIR负责</x:v>
      </x:c>
      <x:c r="D90" s="70" t="str">
        <x:v>待验证</x:v>
      </x:c>
      <x:c r="E90" s="70" t="n">
        <x:f>COUNTIFS('06_规则命中'!$D$6:$D$405,A90,'06_规则命中'!$I$6:$I$405,"支持",'06_规则命中'!$N$6:$N$405,"是")</x:f>
        <x:v>0</x:v>
      </x:c>
      <x:c r="F90" s="70" t="n">
        <x:f>COUNTIFS('06_规则命中'!$D$6:$D$405,A90,'06_规则命中'!$I$6:$I$405,"基本支持",'06_规则命中'!$N$6:$N$405,"是")</x:f>
        <x:v>0</x:v>
      </x:c>
      <x:c r="G90" s="70" t="n">
        <x:f>COUNTIFS('06_规则命中'!$D$6:$D$405,A90,'06_规则命中'!$I$6:$I$405,"部分支持",'06_规则命中'!$N$6:$N$405,"是")</x:f>
        <x:v>0</x:v>
      </x:c>
      <x:c r="H90" s="70" t="n">
        <x:f>COUNTIFS('06_规则命中'!$D$6:$D$405,A90,'06_规则命中'!$I$6:$I$405,"相邻但不同",'06_规则命中'!$N$6:$N$405,"是")</x:f>
        <x:v>0</x:v>
      </x:c>
      <x:c r="I90" s="70" t="n">
        <x:f>COUNTIFS('06_规则命中'!$D$6:$D$405,A90,'06_规则命中'!$I$6:$I$405,"反例",'06_规则命中'!$N$6:$N$405,"是")</x:f>
        <x:v>0</x:v>
      </x:c>
      <x:c r="J90" s="70" t="n">
        <x:f>COUNTIFS('06_规则命中'!$D$6:$D$405,A90,'06_规则命中'!$I$6:$I$405,"不可评估",'06_规则命中'!$N$6:$N$405,"是")</x:f>
        <x:v>0</x:v>
      </x:c>
      <x:c r="K90" s="70" t="n">
        <x:f>SUM(E90:I90)</x:f>
        <x:v>0</x:v>
      </x:c>
      <x:c r="L90" s="108" t="str">
        <x:f>IFERROR((E90+0.75*F90+0.5*G90+0.25*H90)/K90,"")</x:f>
      </x:c>
      <x:c r="M90" s="108" t="str">
        <x:f>IFERROR(I90/K90,"")</x:f>
      </x:c>
      <x:c r="N90" s="70" t="n">
        <x:f>COUNTIFS('08_反例与错误'!$E$6:$E$155,A90,'08_反例与错误'!$H$6:$H$155,"强")+COUNTIFS('08_反例与错误'!$E$6:$E$155,A90,'08_反例与错误'!$H$6:$H$155,"安全")</x:f>
        <x:v>0</x:v>
      </x:c>
      <x:c r="O90" s="70" t="n">
        <x:f>COUNTIFS('06_规则命中'!$D$6:$D$405,A90,'06_规则命中'!$I$6:$I$405,"反例",'06_规则命中'!$L$6:$L$405,"是",'06_规则命中'!$N$6:$N$405,"是")</x:f>
        <x:v>0</x:v>
      </x:c>
      <x:c r="P90" s="108" t="str">
        <x:f>IFERROR(SUMIFS('06_规则命中'!$J$6:$J$405,'06_规则命中'!$D$6:$D$405,A90,'06_规则命中'!$C$6:$C$405,"开发集",'06_规则命中'!$N$6:$N$405,"是")/COUNTIFS('06_规则命中'!$D$6:$D$405,A90,'06_规则命中'!$C$6:$C$405,"开发集",'06_规则命中'!$I$6:$I$405,"&lt;&gt;不可评估",'06_规则命中'!$N$6:$N$405,"是"),"")</x:f>
      </x:c>
      <x:c r="Q90" s="108" t="str">
        <x:f>IFERROR(SUMIFS('06_规则命中'!$J$6:$J$405,'06_规则命中'!$D$6:$D$405,A90,'06_规则命中'!$C$6:$C$405,"留出集",'06_规则命中'!$N$6:$N$405,"是")/COUNTIFS('06_规则命中'!$D$6:$D$405,A90,'06_规则命中'!$C$6:$C$405,"留出集",'06_规则命中'!$I$6:$I$405,"&lt;&gt;不可评估",'06_规则命中'!$N$6:$N$405,"是"),"")</x:f>
      </x:c>
      <x:c r="R90" s="70" t="str">
        <x:f>IF(K90=0,"P0 待验证",IF(K90&lt;3,"P1 极少样本",IF(K90&lt;6,"P2 探索",IF(K90&lt;12,"P3 初步","P4 稳定候选"))))</x:f>
        <x:v>P0 待验证</x:v>
      </x:c>
      <x:c r="S90" s="70" t="str">
        <x:f>IF(O90&gt;0,"立即安全审查",IF(K90&lt;3,"样本不足",IF(AND(K90&gt;=4,M90&gt;=0.6),"停用候选",IF(AND(K90&gt;=6,M90&gt;=0.4),"优先修改",IF(AND(K90&gt;=8,L90&gt;=0.75,M90&lt;=0.15,N90=0),"保留观察",IF(AND(P90&lt;&gt;"",Q90&lt;&gt;"",ABS(P90-Q90)&gt;0.25),"疑似过拟合","继续验证"))))))</x:f>
        <x:v>样本不足</x:v>
      </x:c>
      <x:c r="T90" s="70" t="str"/>
      <x:c r="U90" s="70" t="str">
        <x:v>待验证</x:v>
      </x:c>
      <x:c r="V90" s="70" t="str"/>
      <x:c r="W90" s="70" t="str"/>
    </x:row>
    <x:row r="91">
      <x:c r="A91" s="70" t="str">
        <x:v>M5-SYNTH-054</x:v>
      </x:c>
      <x:c r="B91" s="70" t="str">
        <x:v>SYNTH</x:v>
      </x:c>
      <x:c r="C91" s="70" t="str">
        <x:v>字段权威｜repair_completion_standard由REPAIR负责</x:v>
      </x:c>
      <x:c r="D91" s="70" t="str">
        <x:v>待验证</x:v>
      </x:c>
      <x:c r="E91" s="70" t="n">
        <x:f>COUNTIFS('06_规则命中'!$D$6:$D$405,A91,'06_规则命中'!$I$6:$I$405,"支持",'06_规则命中'!$N$6:$N$405,"是")</x:f>
        <x:v>0</x:v>
      </x:c>
      <x:c r="F91" s="70" t="n">
        <x:f>COUNTIFS('06_规则命中'!$D$6:$D$405,A91,'06_规则命中'!$I$6:$I$405,"基本支持",'06_规则命中'!$N$6:$N$405,"是")</x:f>
        <x:v>0</x:v>
      </x:c>
      <x:c r="G91" s="70" t="n">
        <x:f>COUNTIFS('06_规则命中'!$D$6:$D$405,A91,'06_规则命中'!$I$6:$I$405,"部分支持",'06_规则命中'!$N$6:$N$405,"是")</x:f>
        <x:v>0</x:v>
      </x:c>
      <x:c r="H91" s="70" t="n">
        <x:f>COUNTIFS('06_规则命中'!$D$6:$D$405,A91,'06_规则命中'!$I$6:$I$405,"相邻但不同",'06_规则命中'!$N$6:$N$405,"是")</x:f>
        <x:v>0</x:v>
      </x:c>
      <x:c r="I91" s="70" t="n">
        <x:f>COUNTIFS('06_规则命中'!$D$6:$D$405,A91,'06_规则命中'!$I$6:$I$405,"反例",'06_规则命中'!$N$6:$N$405,"是")</x:f>
        <x:v>0</x:v>
      </x:c>
      <x:c r="J91" s="70" t="n">
        <x:f>COUNTIFS('06_规则命中'!$D$6:$D$405,A91,'06_规则命中'!$I$6:$I$405,"不可评估",'06_规则命中'!$N$6:$N$405,"是")</x:f>
        <x:v>0</x:v>
      </x:c>
      <x:c r="K91" s="70" t="n">
        <x:f>SUM(E91:I91)</x:f>
        <x:v>0</x:v>
      </x:c>
      <x:c r="L91" s="108" t="str">
        <x:f>IFERROR((E91+0.75*F91+0.5*G91+0.25*H91)/K91,"")</x:f>
      </x:c>
      <x:c r="M91" s="108" t="str">
        <x:f>IFERROR(I91/K91,"")</x:f>
      </x:c>
      <x:c r="N91" s="70" t="n">
        <x:f>COUNTIFS('08_反例与错误'!$E$6:$E$155,A91,'08_反例与错误'!$H$6:$H$155,"强")+COUNTIFS('08_反例与错误'!$E$6:$E$155,A91,'08_反例与错误'!$H$6:$H$155,"安全")</x:f>
        <x:v>0</x:v>
      </x:c>
      <x:c r="O91" s="70" t="n">
        <x:f>COUNTIFS('06_规则命中'!$D$6:$D$405,A91,'06_规则命中'!$I$6:$I$405,"反例",'06_规则命中'!$L$6:$L$405,"是",'06_规则命中'!$N$6:$N$405,"是")</x:f>
        <x:v>0</x:v>
      </x:c>
      <x:c r="P91" s="108" t="str">
        <x:f>IFERROR(SUMIFS('06_规则命中'!$J$6:$J$405,'06_规则命中'!$D$6:$D$405,A91,'06_规则命中'!$C$6:$C$405,"开发集",'06_规则命中'!$N$6:$N$405,"是")/COUNTIFS('06_规则命中'!$D$6:$D$405,A91,'06_规则命中'!$C$6:$C$405,"开发集",'06_规则命中'!$I$6:$I$405,"&lt;&gt;不可评估",'06_规则命中'!$N$6:$N$405,"是"),"")</x:f>
      </x:c>
      <x:c r="Q91" s="108" t="str">
        <x:f>IFERROR(SUMIFS('06_规则命中'!$J$6:$J$405,'06_规则命中'!$D$6:$D$405,A91,'06_规则命中'!$C$6:$C$405,"留出集",'06_规则命中'!$N$6:$N$405,"是")/COUNTIFS('06_规则命中'!$D$6:$D$405,A91,'06_规则命中'!$C$6:$C$405,"留出集",'06_规则命中'!$I$6:$I$405,"&lt;&gt;不可评估",'06_规则命中'!$N$6:$N$405,"是"),"")</x:f>
      </x:c>
      <x:c r="R91" s="70" t="str">
        <x:f>IF(K91=0,"P0 待验证",IF(K91&lt;3,"P1 极少样本",IF(K91&lt;6,"P2 探索",IF(K91&lt;12,"P3 初步","P4 稳定候选"))))</x:f>
        <x:v>P0 待验证</x:v>
      </x:c>
      <x:c r="S91" s="70" t="str">
        <x:f>IF(O91&gt;0,"立即安全审查",IF(K91&lt;3,"样本不足",IF(AND(K91&gt;=4,M91&gt;=0.6),"停用候选",IF(AND(K91&gt;=6,M91&gt;=0.4),"优先修改",IF(AND(K91&gt;=8,L91&gt;=0.75,M91&lt;=0.15,N91=0),"保留观察",IF(AND(P91&lt;&gt;"",Q91&lt;&gt;"",ABS(P91-Q91)&gt;0.25),"疑似过拟合","继续验证"))))))</x:f>
        <x:v>样本不足</x:v>
      </x:c>
      <x:c r="T91" s="70" t="str"/>
      <x:c r="U91" s="70" t="str">
        <x:v>待验证</x:v>
      </x:c>
      <x:c r="V91" s="70" t="str"/>
      <x:c r="W91" s="70" t="str"/>
    </x:row>
    <x:row r="92">
      <x:c r="A92" s="70" t="str">
        <x:v>M5-SYNTH-055</x:v>
      </x:c>
      <x:c r="B92" s="70" t="str">
        <x:v>SYNTH</x:v>
      </x:c>
      <x:c r="C92" s="70" t="str">
        <x:v>字段权威｜primary_rhythm_channel由RHYTHM负责</x:v>
      </x:c>
      <x:c r="D92" s="70" t="str">
        <x:v>待验证</x:v>
      </x:c>
      <x:c r="E92" s="70" t="n">
        <x:f>COUNTIFS('06_规则命中'!$D$6:$D$405,A92,'06_规则命中'!$I$6:$I$405,"支持",'06_规则命中'!$N$6:$N$405,"是")</x:f>
        <x:v>0</x:v>
      </x:c>
      <x:c r="F92" s="70" t="n">
        <x:f>COUNTIFS('06_规则命中'!$D$6:$D$405,A92,'06_规则命中'!$I$6:$I$405,"基本支持",'06_规则命中'!$N$6:$N$405,"是")</x:f>
        <x:v>0</x:v>
      </x:c>
      <x:c r="G92" s="70" t="n">
        <x:f>COUNTIFS('06_规则命中'!$D$6:$D$405,A92,'06_规则命中'!$I$6:$I$405,"部分支持",'06_规则命中'!$N$6:$N$405,"是")</x:f>
        <x:v>0</x:v>
      </x:c>
      <x:c r="H92" s="70" t="n">
        <x:f>COUNTIFS('06_规则命中'!$D$6:$D$405,A92,'06_规则命中'!$I$6:$I$405,"相邻但不同",'06_规则命中'!$N$6:$N$405,"是")</x:f>
        <x:v>0</x:v>
      </x:c>
      <x:c r="I92" s="70" t="n">
        <x:f>COUNTIFS('06_规则命中'!$D$6:$D$405,A92,'06_规则命中'!$I$6:$I$405,"反例",'06_规则命中'!$N$6:$N$405,"是")</x:f>
        <x:v>0</x:v>
      </x:c>
      <x:c r="J92" s="70" t="n">
        <x:f>COUNTIFS('06_规则命中'!$D$6:$D$405,A92,'06_规则命中'!$I$6:$I$405,"不可评估",'06_规则命中'!$N$6:$N$405,"是")</x:f>
        <x:v>0</x:v>
      </x:c>
      <x:c r="K92" s="70" t="n">
        <x:f>SUM(E92:I92)</x:f>
        <x:v>0</x:v>
      </x:c>
      <x:c r="L92" s="108" t="str">
        <x:f>IFERROR((E92+0.75*F92+0.5*G92+0.25*H92)/K92,"")</x:f>
      </x:c>
      <x:c r="M92" s="108" t="str">
        <x:f>IFERROR(I92/K92,"")</x:f>
      </x:c>
      <x:c r="N92" s="70" t="n">
        <x:f>COUNTIFS('08_反例与错误'!$E$6:$E$155,A92,'08_反例与错误'!$H$6:$H$155,"强")+COUNTIFS('08_反例与错误'!$E$6:$E$155,A92,'08_反例与错误'!$H$6:$H$155,"安全")</x:f>
        <x:v>0</x:v>
      </x:c>
      <x:c r="O92" s="70" t="n">
        <x:f>COUNTIFS('06_规则命中'!$D$6:$D$405,A92,'06_规则命中'!$I$6:$I$405,"反例",'06_规则命中'!$L$6:$L$405,"是",'06_规则命中'!$N$6:$N$405,"是")</x:f>
        <x:v>0</x:v>
      </x:c>
      <x:c r="P92" s="108" t="str">
        <x:f>IFERROR(SUMIFS('06_规则命中'!$J$6:$J$405,'06_规则命中'!$D$6:$D$405,A92,'06_规则命中'!$C$6:$C$405,"开发集",'06_规则命中'!$N$6:$N$405,"是")/COUNTIFS('06_规则命中'!$D$6:$D$405,A92,'06_规则命中'!$C$6:$C$405,"开发集",'06_规则命中'!$I$6:$I$405,"&lt;&gt;不可评估",'06_规则命中'!$N$6:$N$405,"是"),"")</x:f>
      </x:c>
      <x:c r="Q92" s="108" t="str">
        <x:f>IFERROR(SUMIFS('06_规则命中'!$J$6:$J$405,'06_规则命中'!$D$6:$D$405,A92,'06_规则命中'!$C$6:$C$405,"留出集",'06_规则命中'!$N$6:$N$405,"是")/COUNTIFS('06_规则命中'!$D$6:$D$405,A92,'06_规则命中'!$C$6:$C$405,"留出集",'06_规则命中'!$I$6:$I$405,"&lt;&gt;不可评估",'06_规则命中'!$N$6:$N$405,"是"),"")</x:f>
      </x:c>
      <x:c r="R92" s="70" t="str">
        <x:f>IF(K92=0,"P0 待验证",IF(K92&lt;3,"P1 极少样本",IF(K92&lt;6,"P2 探索",IF(K92&lt;12,"P3 初步","P4 稳定候选"))))</x:f>
        <x:v>P0 待验证</x:v>
      </x:c>
      <x:c r="S92" s="70" t="str">
        <x:f>IF(O92&gt;0,"立即安全审查",IF(K92&lt;3,"样本不足",IF(AND(K92&gt;=4,M92&gt;=0.6),"停用候选",IF(AND(K92&gt;=6,M92&gt;=0.4),"优先修改",IF(AND(K92&gt;=8,L92&gt;=0.75,M92&lt;=0.15,N92=0),"保留观察",IF(AND(P92&lt;&gt;"",Q92&lt;&gt;"",ABS(P92-Q92)&gt;0.25),"疑似过拟合","继续验证"))))))</x:f>
        <x:v>样本不足</x:v>
      </x:c>
      <x:c r="T92" s="70" t="str"/>
      <x:c r="U92" s="70" t="str">
        <x:v>待验证</x:v>
      </x:c>
      <x:c r="V92" s="70" t="str"/>
      <x:c r="W92" s="70" t="str"/>
    </x:row>
    <x:row r="93">
      <x:c r="A93" s="70" t="str">
        <x:v>M5-SYNTH-056</x:v>
      </x:c>
      <x:c r="B93" s="70" t="str">
        <x:v>SYNTH</x:v>
      </x:c>
      <x:c r="C93" s="70" t="str">
        <x:v>字段权威｜rhythm_mode由RHYTHM负责</x:v>
      </x:c>
      <x:c r="D93" s="70" t="str">
        <x:v>待验证</x:v>
      </x:c>
      <x:c r="E93" s="70" t="n">
        <x:f>COUNTIFS('06_规则命中'!$D$6:$D$405,A93,'06_规则命中'!$I$6:$I$405,"支持",'06_规则命中'!$N$6:$N$405,"是")</x:f>
        <x:v>0</x:v>
      </x:c>
      <x:c r="F93" s="70" t="n">
        <x:f>COUNTIFS('06_规则命中'!$D$6:$D$405,A93,'06_规则命中'!$I$6:$I$405,"基本支持",'06_规则命中'!$N$6:$N$405,"是")</x:f>
        <x:v>0</x:v>
      </x:c>
      <x:c r="G93" s="70" t="n">
        <x:f>COUNTIFS('06_规则命中'!$D$6:$D$405,A93,'06_规则命中'!$I$6:$I$405,"部分支持",'06_规则命中'!$N$6:$N$405,"是")</x:f>
        <x:v>0</x:v>
      </x:c>
      <x:c r="H93" s="70" t="n">
        <x:f>COUNTIFS('06_规则命中'!$D$6:$D$405,A93,'06_规则命中'!$I$6:$I$405,"相邻但不同",'06_规则命中'!$N$6:$N$405,"是")</x:f>
        <x:v>0</x:v>
      </x:c>
      <x:c r="I93" s="70" t="n">
        <x:f>COUNTIFS('06_规则命中'!$D$6:$D$405,A93,'06_规则命中'!$I$6:$I$405,"反例",'06_规则命中'!$N$6:$N$405,"是")</x:f>
        <x:v>0</x:v>
      </x:c>
      <x:c r="J93" s="70" t="n">
        <x:f>COUNTIFS('06_规则命中'!$D$6:$D$405,A93,'06_规则命中'!$I$6:$I$405,"不可评估",'06_规则命中'!$N$6:$N$405,"是")</x:f>
        <x:v>0</x:v>
      </x:c>
      <x:c r="K93" s="70" t="n">
        <x:f>SUM(E93:I93)</x:f>
        <x:v>0</x:v>
      </x:c>
      <x:c r="L93" s="108" t="str">
        <x:f>IFERROR((E93+0.75*F93+0.5*G93+0.25*H93)/K93,"")</x:f>
      </x:c>
      <x:c r="M93" s="108" t="str">
        <x:f>IFERROR(I93/K93,"")</x:f>
      </x:c>
      <x:c r="N93" s="70" t="n">
        <x:f>COUNTIFS('08_反例与错误'!$E$6:$E$155,A93,'08_反例与错误'!$H$6:$H$155,"强")+COUNTIFS('08_反例与错误'!$E$6:$E$155,A93,'08_反例与错误'!$H$6:$H$155,"安全")</x:f>
        <x:v>0</x:v>
      </x:c>
      <x:c r="O93" s="70" t="n">
        <x:f>COUNTIFS('06_规则命中'!$D$6:$D$405,A93,'06_规则命中'!$I$6:$I$405,"反例",'06_规则命中'!$L$6:$L$405,"是",'06_规则命中'!$N$6:$N$405,"是")</x:f>
        <x:v>0</x:v>
      </x:c>
      <x:c r="P93" s="108" t="str">
        <x:f>IFERROR(SUMIFS('06_规则命中'!$J$6:$J$405,'06_规则命中'!$D$6:$D$405,A93,'06_规则命中'!$C$6:$C$405,"开发集",'06_规则命中'!$N$6:$N$405,"是")/COUNTIFS('06_规则命中'!$D$6:$D$405,A93,'06_规则命中'!$C$6:$C$405,"开发集",'06_规则命中'!$I$6:$I$405,"&lt;&gt;不可评估",'06_规则命中'!$N$6:$N$405,"是"),"")</x:f>
      </x:c>
      <x:c r="Q93" s="108" t="str">
        <x:f>IFERROR(SUMIFS('06_规则命中'!$J$6:$J$405,'06_规则命中'!$D$6:$D$405,A93,'06_规则命中'!$C$6:$C$405,"留出集",'06_规则命中'!$N$6:$N$405,"是")/COUNTIFS('06_规则命中'!$D$6:$D$405,A93,'06_规则命中'!$C$6:$C$405,"留出集",'06_规则命中'!$I$6:$I$405,"&lt;&gt;不可评估",'06_规则命中'!$N$6:$N$405,"是"),"")</x:f>
      </x:c>
      <x:c r="R93" s="70" t="str">
        <x:f>IF(K93=0,"P0 待验证",IF(K93&lt;3,"P1 极少样本",IF(K93&lt;6,"P2 探索",IF(K93&lt;12,"P3 初步","P4 稳定候选"))))</x:f>
        <x:v>P0 待验证</x:v>
      </x:c>
      <x:c r="S93" s="70" t="str">
        <x:f>IF(O93&gt;0,"立即安全审查",IF(K93&lt;3,"样本不足",IF(AND(K93&gt;=4,M93&gt;=0.6),"停用候选",IF(AND(K93&gt;=6,M93&gt;=0.4),"优先修改",IF(AND(K93&gt;=8,L93&gt;=0.75,M93&lt;=0.15,N93=0),"保留观察",IF(AND(P93&lt;&gt;"",Q93&lt;&gt;"",ABS(P93-Q93)&gt;0.25),"疑似过拟合","继续验证"))))))</x:f>
        <x:v>样本不足</x:v>
      </x:c>
      <x:c r="T93" s="70" t="str"/>
      <x:c r="U93" s="70" t="str">
        <x:v>待验证</x:v>
      </x:c>
      <x:c r="V93" s="70" t="str"/>
      <x:c r="W93" s="70" t="str"/>
    </x:row>
    <x:row r="94">
      <x:c r="A94" s="70" t="str">
        <x:v>M5-SYNTH-057</x:v>
      </x:c>
      <x:c r="B94" s="70" t="str">
        <x:v>SYNTH</x:v>
      </x:c>
      <x:c r="C94" s="70" t="str">
        <x:v>字段权威｜rhythm_state由RHYTHM负责</x:v>
      </x:c>
      <x:c r="D94" s="70" t="str">
        <x:v>待验证</x:v>
      </x:c>
      <x:c r="E94" s="70" t="n">
        <x:f>COUNTIFS('06_规则命中'!$D$6:$D$405,A94,'06_规则命中'!$I$6:$I$405,"支持",'06_规则命中'!$N$6:$N$405,"是")</x:f>
        <x:v>0</x:v>
      </x:c>
      <x:c r="F94" s="70" t="n">
        <x:f>COUNTIFS('06_规则命中'!$D$6:$D$405,A94,'06_规则命中'!$I$6:$I$405,"基本支持",'06_规则命中'!$N$6:$N$405,"是")</x:f>
        <x:v>0</x:v>
      </x:c>
      <x:c r="G94" s="70" t="n">
        <x:f>COUNTIFS('06_规则命中'!$D$6:$D$405,A94,'06_规则命中'!$I$6:$I$405,"部分支持",'06_规则命中'!$N$6:$N$405,"是")</x:f>
        <x:v>0</x:v>
      </x:c>
      <x:c r="H94" s="70" t="n">
        <x:f>COUNTIFS('06_规则命中'!$D$6:$D$405,A94,'06_规则命中'!$I$6:$I$405,"相邻但不同",'06_规则命中'!$N$6:$N$405,"是")</x:f>
        <x:v>0</x:v>
      </x:c>
      <x:c r="I94" s="70" t="n">
        <x:f>COUNTIFS('06_规则命中'!$D$6:$D$405,A94,'06_规则命中'!$I$6:$I$405,"反例",'06_规则命中'!$N$6:$N$405,"是")</x:f>
        <x:v>0</x:v>
      </x:c>
      <x:c r="J94" s="70" t="n">
        <x:f>COUNTIFS('06_规则命中'!$D$6:$D$405,A94,'06_规则命中'!$I$6:$I$405,"不可评估",'06_规则命中'!$N$6:$N$405,"是")</x:f>
        <x:v>0</x:v>
      </x:c>
      <x:c r="K94" s="70" t="n">
        <x:f>SUM(E94:I94)</x:f>
        <x:v>0</x:v>
      </x:c>
      <x:c r="L94" s="108" t="str">
        <x:f>IFERROR((E94+0.75*F94+0.5*G94+0.25*H94)/K94,"")</x:f>
      </x:c>
      <x:c r="M94" s="108" t="str">
        <x:f>IFERROR(I94/K94,"")</x:f>
      </x:c>
      <x:c r="N94" s="70" t="n">
        <x:f>COUNTIFS('08_反例与错误'!$E$6:$E$155,A94,'08_反例与错误'!$H$6:$H$155,"强")+COUNTIFS('08_反例与错误'!$E$6:$E$155,A94,'08_反例与错误'!$H$6:$H$155,"安全")</x:f>
        <x:v>0</x:v>
      </x:c>
      <x:c r="O94" s="70" t="n">
        <x:f>COUNTIFS('06_规则命中'!$D$6:$D$405,A94,'06_规则命中'!$I$6:$I$405,"反例",'06_规则命中'!$L$6:$L$405,"是",'06_规则命中'!$N$6:$N$405,"是")</x:f>
        <x:v>0</x:v>
      </x:c>
      <x:c r="P94" s="108" t="str">
        <x:f>IFERROR(SUMIFS('06_规则命中'!$J$6:$J$405,'06_规则命中'!$D$6:$D$405,A94,'06_规则命中'!$C$6:$C$405,"开发集",'06_规则命中'!$N$6:$N$405,"是")/COUNTIFS('06_规则命中'!$D$6:$D$405,A94,'06_规则命中'!$C$6:$C$405,"开发集",'06_规则命中'!$I$6:$I$405,"&lt;&gt;不可评估",'06_规则命中'!$N$6:$N$405,"是"),"")</x:f>
      </x:c>
      <x:c r="Q94" s="108" t="str">
        <x:f>IFERROR(SUMIFS('06_规则命中'!$J$6:$J$405,'06_规则命中'!$D$6:$D$405,A94,'06_规则命中'!$C$6:$C$405,"留出集",'06_规则命中'!$N$6:$N$405,"是")/COUNTIFS('06_规则命中'!$D$6:$D$405,A94,'06_规则命中'!$C$6:$C$405,"留出集",'06_规则命中'!$I$6:$I$405,"&lt;&gt;不可评估",'06_规则命中'!$N$6:$N$405,"是"),"")</x:f>
      </x:c>
      <x:c r="R94" s="70" t="str">
        <x:f>IF(K94=0,"P0 待验证",IF(K94&lt;3,"P1 极少样本",IF(K94&lt;6,"P2 探索",IF(K94&lt;12,"P3 初步","P4 稳定候选"))))</x:f>
        <x:v>P0 待验证</x:v>
      </x:c>
      <x:c r="S94" s="70" t="str">
        <x:f>IF(O94&gt;0,"立即安全审查",IF(K94&lt;3,"样本不足",IF(AND(K94&gt;=4,M94&gt;=0.6),"停用候选",IF(AND(K94&gt;=6,M94&gt;=0.4),"优先修改",IF(AND(K94&gt;=8,L94&gt;=0.75,M94&lt;=0.15,N94=0),"保留观察",IF(AND(P94&lt;&gt;"",Q94&lt;&gt;"",ABS(P94-Q94)&gt;0.25),"疑似过拟合","继续验证"))))))</x:f>
        <x:v>样本不足</x:v>
      </x:c>
      <x:c r="T94" s="70" t="str"/>
      <x:c r="U94" s="70" t="str">
        <x:v>待验证</x:v>
      </x:c>
      <x:c r="V94" s="70" t="str"/>
      <x:c r="W94" s="70" t="str"/>
    </x:row>
    <x:row r="95">
      <x:c r="A95" s="70" t="str">
        <x:v>M5-SYNTH-058</x:v>
      </x:c>
      <x:c r="B95" s="70" t="str">
        <x:v>SYNTH</x:v>
      </x:c>
      <x:c r="C95" s="70" t="str">
        <x:v>字段权威｜rhythm_evidence_level由RHYTHM负责</x:v>
      </x:c>
      <x:c r="D95" s="70" t="str">
        <x:v>待验证</x:v>
      </x:c>
      <x:c r="E95" s="70" t="n">
        <x:f>COUNTIFS('06_规则命中'!$D$6:$D$405,A95,'06_规则命中'!$I$6:$I$405,"支持",'06_规则命中'!$N$6:$N$405,"是")</x:f>
        <x:v>0</x:v>
      </x:c>
      <x:c r="F95" s="70" t="n">
        <x:f>COUNTIFS('06_规则命中'!$D$6:$D$405,A95,'06_规则命中'!$I$6:$I$405,"基本支持",'06_规则命中'!$N$6:$N$405,"是")</x:f>
        <x:v>0</x:v>
      </x:c>
      <x:c r="G95" s="70" t="n">
        <x:f>COUNTIFS('06_规则命中'!$D$6:$D$405,A95,'06_规则命中'!$I$6:$I$405,"部分支持",'06_规则命中'!$N$6:$N$405,"是")</x:f>
        <x:v>0</x:v>
      </x:c>
      <x:c r="H95" s="70" t="n">
        <x:f>COUNTIFS('06_规则命中'!$D$6:$D$405,A95,'06_规则命中'!$I$6:$I$405,"相邻但不同",'06_规则命中'!$N$6:$N$405,"是")</x:f>
        <x:v>0</x:v>
      </x:c>
      <x:c r="I95" s="70" t="n">
        <x:f>COUNTIFS('06_规则命中'!$D$6:$D$405,A95,'06_规则命中'!$I$6:$I$405,"反例",'06_规则命中'!$N$6:$N$405,"是")</x:f>
        <x:v>0</x:v>
      </x:c>
      <x:c r="J95" s="70" t="n">
        <x:f>COUNTIFS('06_规则命中'!$D$6:$D$405,A95,'06_规则命中'!$I$6:$I$405,"不可评估",'06_规则命中'!$N$6:$N$405,"是")</x:f>
        <x:v>0</x:v>
      </x:c>
      <x:c r="K95" s="70" t="n">
        <x:f>SUM(E95:I95)</x:f>
        <x:v>0</x:v>
      </x:c>
      <x:c r="L95" s="108" t="str">
        <x:f>IFERROR((E95+0.75*F95+0.5*G95+0.25*H95)/K95,"")</x:f>
      </x:c>
      <x:c r="M95" s="108" t="str">
        <x:f>IFERROR(I95/K95,"")</x:f>
      </x:c>
      <x:c r="N95" s="70" t="n">
        <x:f>COUNTIFS('08_反例与错误'!$E$6:$E$155,A95,'08_反例与错误'!$H$6:$H$155,"强")+COUNTIFS('08_反例与错误'!$E$6:$E$155,A95,'08_反例与错误'!$H$6:$H$155,"安全")</x:f>
        <x:v>0</x:v>
      </x:c>
      <x:c r="O95" s="70" t="n">
        <x:f>COUNTIFS('06_规则命中'!$D$6:$D$405,A95,'06_规则命中'!$I$6:$I$405,"反例",'06_规则命中'!$L$6:$L$405,"是",'06_规则命中'!$N$6:$N$405,"是")</x:f>
        <x:v>0</x:v>
      </x:c>
      <x:c r="P95" s="108" t="str">
        <x:f>IFERROR(SUMIFS('06_规则命中'!$J$6:$J$405,'06_规则命中'!$D$6:$D$405,A95,'06_规则命中'!$C$6:$C$405,"开发集",'06_规则命中'!$N$6:$N$405,"是")/COUNTIFS('06_规则命中'!$D$6:$D$405,A95,'06_规则命中'!$C$6:$C$405,"开发集",'06_规则命中'!$I$6:$I$405,"&lt;&gt;不可评估",'06_规则命中'!$N$6:$N$405,"是"),"")</x:f>
      </x:c>
      <x:c r="Q95" s="108" t="str">
        <x:f>IFERROR(SUMIFS('06_规则命中'!$J$6:$J$405,'06_规则命中'!$D$6:$D$405,A95,'06_规则命中'!$C$6:$C$405,"留出集",'06_规则命中'!$N$6:$N$405,"是")/COUNTIFS('06_规则命中'!$D$6:$D$405,A95,'06_规则命中'!$C$6:$C$405,"留出集",'06_规则命中'!$I$6:$I$405,"&lt;&gt;不可评估",'06_规则命中'!$N$6:$N$405,"是"),"")</x:f>
      </x:c>
      <x:c r="R95" s="70" t="str">
        <x:f>IF(K95=0,"P0 待验证",IF(K95&lt;3,"P1 极少样本",IF(K95&lt;6,"P2 探索",IF(K95&lt;12,"P3 初步","P4 稳定候选"))))</x:f>
        <x:v>P0 待验证</x:v>
      </x:c>
      <x:c r="S95" s="70" t="str">
        <x:f>IF(O95&gt;0,"立即安全审查",IF(K95&lt;3,"样本不足",IF(AND(K95&gt;=4,M95&gt;=0.6),"停用候选",IF(AND(K95&gt;=6,M95&gt;=0.4),"优先修改",IF(AND(K95&gt;=8,L95&gt;=0.75,M95&lt;=0.15,N95=0),"保留观察",IF(AND(P95&lt;&gt;"",Q95&lt;&gt;"",ABS(P95-Q95)&gt;0.25),"疑似过拟合","继续验证"))))))</x:f>
        <x:v>样本不足</x:v>
      </x:c>
      <x:c r="T95" s="70" t="str"/>
      <x:c r="U95" s="70" t="str">
        <x:v>待验证</x:v>
      </x:c>
      <x:c r="V95" s="70" t="str"/>
      <x:c r="W95" s="70" t="str"/>
    </x:row>
    <x:row r="96">
      <x:c r="A96" s="70" t="str">
        <x:v>M5-SYNTH-059</x:v>
      </x:c>
      <x:c r="B96" s="70" t="str">
        <x:v>SYNTH</x:v>
      </x:c>
      <x:c r="C96" s="70" t="str">
        <x:v>字段权威｜relationship_phase由RHYTHM负责</x:v>
      </x:c>
      <x:c r="D96" s="70" t="str">
        <x:v>待验证</x:v>
      </x:c>
      <x:c r="E96" s="70" t="n">
        <x:f>COUNTIFS('06_规则命中'!$D$6:$D$405,A96,'06_规则命中'!$I$6:$I$405,"支持",'06_规则命中'!$N$6:$N$405,"是")</x:f>
        <x:v>0</x:v>
      </x:c>
      <x:c r="F96" s="70" t="n">
        <x:f>COUNTIFS('06_规则命中'!$D$6:$D$405,A96,'06_规则命中'!$I$6:$I$405,"基本支持",'06_规则命中'!$N$6:$N$405,"是")</x:f>
        <x:v>0</x:v>
      </x:c>
      <x:c r="G96" s="70" t="n">
        <x:f>COUNTIFS('06_规则命中'!$D$6:$D$405,A96,'06_规则命中'!$I$6:$I$405,"部分支持",'06_规则命中'!$N$6:$N$405,"是")</x:f>
        <x:v>0</x:v>
      </x:c>
      <x:c r="H96" s="70" t="n">
        <x:f>COUNTIFS('06_规则命中'!$D$6:$D$405,A96,'06_规则命中'!$I$6:$I$405,"相邻但不同",'06_规则命中'!$N$6:$N$405,"是")</x:f>
        <x:v>0</x:v>
      </x:c>
      <x:c r="I96" s="70" t="n">
        <x:f>COUNTIFS('06_规则命中'!$D$6:$D$405,A96,'06_规则命中'!$I$6:$I$405,"反例",'06_规则命中'!$N$6:$N$405,"是")</x:f>
        <x:v>0</x:v>
      </x:c>
      <x:c r="J96" s="70" t="n">
        <x:f>COUNTIFS('06_规则命中'!$D$6:$D$405,A96,'06_规则命中'!$I$6:$I$405,"不可评估",'06_规则命中'!$N$6:$N$405,"是")</x:f>
        <x:v>0</x:v>
      </x:c>
      <x:c r="K96" s="70" t="n">
        <x:f>SUM(E96:I96)</x:f>
        <x:v>0</x:v>
      </x:c>
      <x:c r="L96" s="108" t="str">
        <x:f>IFERROR((E96+0.75*F96+0.5*G96+0.25*H96)/K96,"")</x:f>
      </x:c>
      <x:c r="M96" s="108" t="str">
        <x:f>IFERROR(I96/K96,"")</x:f>
      </x:c>
      <x:c r="N96" s="70" t="n">
        <x:f>COUNTIFS('08_反例与错误'!$E$6:$E$155,A96,'08_反例与错误'!$H$6:$H$155,"强")+COUNTIFS('08_反例与错误'!$E$6:$E$155,A96,'08_反例与错误'!$H$6:$H$155,"安全")</x:f>
        <x:v>0</x:v>
      </x:c>
      <x:c r="O96" s="70" t="n">
        <x:f>COUNTIFS('06_规则命中'!$D$6:$D$405,A96,'06_规则命中'!$I$6:$I$405,"反例",'06_规则命中'!$L$6:$L$405,"是",'06_规则命中'!$N$6:$N$405,"是")</x:f>
        <x:v>0</x:v>
      </x:c>
      <x:c r="P96" s="108" t="str">
        <x:f>IFERROR(SUMIFS('06_规则命中'!$J$6:$J$405,'06_规则命中'!$D$6:$D$405,A96,'06_规则命中'!$C$6:$C$405,"开发集",'06_规则命中'!$N$6:$N$405,"是")/COUNTIFS('06_规则命中'!$D$6:$D$405,A96,'06_规则命中'!$C$6:$C$405,"开发集",'06_规则命中'!$I$6:$I$405,"&lt;&gt;不可评估",'06_规则命中'!$N$6:$N$405,"是"),"")</x:f>
      </x:c>
      <x:c r="Q96" s="108" t="str">
        <x:f>IFERROR(SUMIFS('06_规则命中'!$J$6:$J$405,'06_规则命中'!$D$6:$D$405,A96,'06_规则命中'!$C$6:$C$405,"留出集",'06_规则命中'!$N$6:$N$405,"是")/COUNTIFS('06_规则命中'!$D$6:$D$405,A96,'06_规则命中'!$C$6:$C$405,"留出集",'06_规则命中'!$I$6:$I$405,"&lt;&gt;不可评估",'06_规则命中'!$N$6:$N$405,"是"),"")</x:f>
      </x:c>
      <x:c r="R96" s="70" t="str">
        <x:f>IF(K96=0,"P0 待验证",IF(K96&lt;3,"P1 极少样本",IF(K96&lt;6,"P2 探索",IF(K96&lt;12,"P3 初步","P4 稳定候选"))))</x:f>
        <x:v>P0 待验证</x:v>
      </x:c>
      <x:c r="S96" s="70" t="str">
        <x:f>IF(O96&gt;0,"立即安全审查",IF(K96&lt;3,"样本不足",IF(AND(K96&gt;=4,M96&gt;=0.6),"停用候选",IF(AND(K96&gt;=6,M96&gt;=0.4),"优先修改",IF(AND(K96&gt;=8,L96&gt;=0.75,M96&lt;=0.15,N96=0),"保留观察",IF(AND(P96&lt;&gt;"",Q96&lt;&gt;"",ABS(P96-Q96)&gt;0.25),"疑似过拟合","继续验证"))))))</x:f>
        <x:v>样本不足</x:v>
      </x:c>
      <x:c r="T96" s="70" t="str"/>
      <x:c r="U96" s="70" t="str">
        <x:v>待验证</x:v>
      </x:c>
      <x:c r="V96" s="70" t="str"/>
      <x:c r="W96" s="70" t="str"/>
    </x:row>
    <x:row r="97">
      <x:c r="A97" s="70" t="str">
        <x:v>M5-SYNTH-060</x:v>
      </x:c>
      <x:c r="B97" s="70" t="str">
        <x:v>SYNTH</x:v>
      </x:c>
      <x:c r="C97" s="70" t="str">
        <x:v>字段权威｜primary_gap由GAP负责</x:v>
      </x:c>
      <x:c r="D97" s="70" t="str">
        <x:v>待验证</x:v>
      </x:c>
      <x:c r="E97" s="70" t="n">
        <x:f>COUNTIFS('06_规则命中'!$D$6:$D$405,A97,'06_规则命中'!$I$6:$I$405,"支持",'06_规则命中'!$N$6:$N$405,"是")</x:f>
        <x:v>0</x:v>
      </x:c>
      <x:c r="F97" s="70" t="n">
        <x:f>COUNTIFS('06_规则命中'!$D$6:$D$405,A97,'06_规则命中'!$I$6:$I$405,"基本支持",'06_规则命中'!$N$6:$N$405,"是")</x:f>
        <x:v>0</x:v>
      </x:c>
      <x:c r="G97" s="70" t="n">
        <x:f>COUNTIFS('06_规则命中'!$D$6:$D$405,A97,'06_规则命中'!$I$6:$I$405,"部分支持",'06_规则命中'!$N$6:$N$405,"是")</x:f>
        <x:v>0</x:v>
      </x:c>
      <x:c r="H97" s="70" t="n">
        <x:f>COUNTIFS('06_规则命中'!$D$6:$D$405,A97,'06_规则命中'!$I$6:$I$405,"相邻但不同",'06_规则命中'!$N$6:$N$405,"是")</x:f>
        <x:v>0</x:v>
      </x:c>
      <x:c r="I97" s="70" t="n">
        <x:f>COUNTIFS('06_规则命中'!$D$6:$D$405,A97,'06_规则命中'!$I$6:$I$405,"反例",'06_规则命中'!$N$6:$N$405,"是")</x:f>
        <x:v>0</x:v>
      </x:c>
      <x:c r="J97" s="70" t="n">
        <x:f>COUNTIFS('06_规则命中'!$D$6:$D$405,A97,'06_规则命中'!$I$6:$I$405,"不可评估",'06_规则命中'!$N$6:$N$405,"是")</x:f>
        <x:v>0</x:v>
      </x:c>
      <x:c r="K97" s="70" t="n">
        <x:f>SUM(E97:I97)</x:f>
        <x:v>0</x:v>
      </x:c>
      <x:c r="L97" s="108" t="str">
        <x:f>IFERROR((E97+0.75*F97+0.5*G97+0.25*H97)/K97,"")</x:f>
      </x:c>
      <x:c r="M97" s="108" t="str">
        <x:f>IFERROR(I97/K97,"")</x:f>
      </x:c>
      <x:c r="N97" s="70" t="n">
        <x:f>COUNTIFS('08_反例与错误'!$E$6:$E$155,A97,'08_反例与错误'!$H$6:$H$155,"强")+COUNTIFS('08_反例与错误'!$E$6:$E$155,A97,'08_反例与错误'!$H$6:$H$155,"安全")</x:f>
        <x:v>0</x:v>
      </x:c>
      <x:c r="O97" s="70" t="n">
        <x:f>COUNTIFS('06_规则命中'!$D$6:$D$405,A97,'06_规则命中'!$I$6:$I$405,"反例",'06_规则命中'!$L$6:$L$405,"是",'06_规则命中'!$N$6:$N$405,"是")</x:f>
        <x:v>0</x:v>
      </x:c>
      <x:c r="P97" s="108" t="str">
        <x:f>IFERROR(SUMIFS('06_规则命中'!$J$6:$J$405,'06_规则命中'!$D$6:$D$405,A97,'06_规则命中'!$C$6:$C$405,"开发集",'06_规则命中'!$N$6:$N$405,"是")/COUNTIFS('06_规则命中'!$D$6:$D$405,A97,'06_规则命中'!$C$6:$C$405,"开发集",'06_规则命中'!$I$6:$I$405,"&lt;&gt;不可评估",'06_规则命中'!$N$6:$N$405,"是"),"")</x:f>
      </x:c>
      <x:c r="Q97" s="108" t="str">
        <x:f>IFERROR(SUMIFS('06_规则命中'!$J$6:$J$405,'06_规则命中'!$D$6:$D$405,A97,'06_规则命中'!$C$6:$C$405,"留出集",'06_规则命中'!$N$6:$N$405,"是")/COUNTIFS('06_规则命中'!$D$6:$D$405,A97,'06_规则命中'!$C$6:$C$405,"留出集",'06_规则命中'!$I$6:$I$405,"&lt;&gt;不可评估",'06_规则命中'!$N$6:$N$405,"是"),"")</x:f>
      </x:c>
      <x:c r="R97" s="70" t="str">
        <x:f>IF(K97=0,"P0 待验证",IF(K97&lt;3,"P1 极少样本",IF(K97&lt;6,"P2 探索",IF(K97&lt;12,"P3 初步","P4 稳定候选"))))</x:f>
        <x:v>P0 待验证</x:v>
      </x:c>
      <x:c r="S97" s="70" t="str">
        <x:f>IF(O97&gt;0,"立即安全审查",IF(K97&lt;3,"样本不足",IF(AND(K97&gt;=4,M97&gt;=0.6),"停用候选",IF(AND(K97&gt;=6,M97&gt;=0.4),"优先修改",IF(AND(K97&gt;=8,L97&gt;=0.75,M97&lt;=0.15,N97=0),"保留观察",IF(AND(P97&lt;&gt;"",Q97&lt;&gt;"",ABS(P97-Q97)&gt;0.25),"疑似过拟合","继续验证"))))))</x:f>
        <x:v>样本不足</x:v>
      </x:c>
      <x:c r="T97" s="70" t="str"/>
      <x:c r="U97" s="70" t="str">
        <x:v>待验证</x:v>
      </x:c>
      <x:c r="V97" s="70" t="str"/>
      <x:c r="W97" s="70" t="str"/>
    </x:row>
    <x:row r="98">
      <x:c r="A98" s="70" t="str">
        <x:v>M5-SYNTH-061</x:v>
      </x:c>
      <x:c r="B98" s="70" t="str">
        <x:v>SYNTH</x:v>
      </x:c>
      <x:c r="C98" s="70" t="str">
        <x:v>字段权威｜secondary_gap由GAP负责</x:v>
      </x:c>
      <x:c r="D98" s="70" t="str">
        <x:v>待验证</x:v>
      </x:c>
      <x:c r="E98" s="70" t="n">
        <x:f>COUNTIFS('06_规则命中'!$D$6:$D$405,A98,'06_规则命中'!$I$6:$I$405,"支持",'06_规则命中'!$N$6:$N$405,"是")</x:f>
        <x:v>0</x:v>
      </x:c>
      <x:c r="F98" s="70" t="n">
        <x:f>COUNTIFS('06_规则命中'!$D$6:$D$405,A98,'06_规则命中'!$I$6:$I$405,"基本支持",'06_规则命中'!$N$6:$N$405,"是")</x:f>
        <x:v>0</x:v>
      </x:c>
      <x:c r="G98" s="70" t="n">
        <x:f>COUNTIFS('06_规则命中'!$D$6:$D$405,A98,'06_规则命中'!$I$6:$I$405,"部分支持",'06_规则命中'!$N$6:$N$405,"是")</x:f>
        <x:v>0</x:v>
      </x:c>
      <x:c r="H98" s="70" t="n">
        <x:f>COUNTIFS('06_规则命中'!$D$6:$D$405,A98,'06_规则命中'!$I$6:$I$405,"相邻但不同",'06_规则命中'!$N$6:$N$405,"是")</x:f>
        <x:v>0</x:v>
      </x:c>
      <x:c r="I98" s="70" t="n">
        <x:f>COUNTIFS('06_规则命中'!$D$6:$D$405,A98,'06_规则命中'!$I$6:$I$405,"反例",'06_规则命中'!$N$6:$N$405,"是")</x:f>
        <x:v>0</x:v>
      </x:c>
      <x:c r="J98" s="70" t="n">
        <x:f>COUNTIFS('06_规则命中'!$D$6:$D$405,A98,'06_规则命中'!$I$6:$I$405,"不可评估",'06_规则命中'!$N$6:$N$405,"是")</x:f>
        <x:v>0</x:v>
      </x:c>
      <x:c r="K98" s="70" t="n">
        <x:f>SUM(E98:I98)</x:f>
        <x:v>0</x:v>
      </x:c>
      <x:c r="L98" s="108" t="str">
        <x:f>IFERROR((E98+0.75*F98+0.5*G98+0.25*H98)/K98,"")</x:f>
      </x:c>
      <x:c r="M98" s="108" t="str">
        <x:f>IFERROR(I98/K98,"")</x:f>
      </x:c>
      <x:c r="N98" s="70" t="n">
        <x:f>COUNTIFS('08_反例与错误'!$E$6:$E$155,A98,'08_反例与错误'!$H$6:$H$155,"强")+COUNTIFS('08_反例与错误'!$E$6:$E$155,A98,'08_反例与错误'!$H$6:$H$155,"安全")</x:f>
        <x:v>0</x:v>
      </x:c>
      <x:c r="O98" s="70" t="n">
        <x:f>COUNTIFS('06_规则命中'!$D$6:$D$405,A98,'06_规则命中'!$I$6:$I$405,"反例",'06_规则命中'!$L$6:$L$405,"是",'06_规则命中'!$N$6:$N$405,"是")</x:f>
        <x:v>0</x:v>
      </x:c>
      <x:c r="P98" s="108" t="str">
        <x:f>IFERROR(SUMIFS('06_规则命中'!$J$6:$J$405,'06_规则命中'!$D$6:$D$405,A98,'06_规则命中'!$C$6:$C$405,"开发集",'06_规则命中'!$N$6:$N$405,"是")/COUNTIFS('06_规则命中'!$D$6:$D$405,A98,'06_规则命中'!$C$6:$C$405,"开发集",'06_规则命中'!$I$6:$I$405,"&lt;&gt;不可评估",'06_规则命中'!$N$6:$N$405,"是"),"")</x:f>
      </x:c>
      <x:c r="Q98" s="108" t="str">
        <x:f>IFERROR(SUMIFS('06_规则命中'!$J$6:$J$405,'06_规则命中'!$D$6:$D$405,A98,'06_规则命中'!$C$6:$C$405,"留出集",'06_规则命中'!$N$6:$N$405,"是")/COUNTIFS('06_规则命中'!$D$6:$D$405,A98,'06_规则命中'!$C$6:$C$405,"留出集",'06_规则命中'!$I$6:$I$405,"&lt;&gt;不可评估",'06_规则命中'!$N$6:$N$405,"是"),"")</x:f>
      </x:c>
      <x:c r="R98" s="70" t="str">
        <x:f>IF(K98=0,"P0 待验证",IF(K98&lt;3,"P1 极少样本",IF(K98&lt;6,"P2 探索",IF(K98&lt;12,"P3 初步","P4 稳定候选"))))</x:f>
        <x:v>P0 待验证</x:v>
      </x:c>
      <x:c r="S98" s="70" t="str">
        <x:f>IF(O98&gt;0,"立即安全审查",IF(K98&lt;3,"样本不足",IF(AND(K98&gt;=4,M98&gt;=0.6),"停用候选",IF(AND(K98&gt;=6,M98&gt;=0.4),"优先修改",IF(AND(K98&gt;=8,L98&gt;=0.75,M98&lt;=0.15,N98=0),"保留观察",IF(AND(P98&lt;&gt;"",Q98&lt;&gt;"",ABS(P98-Q98)&gt;0.25),"疑似过拟合","继续验证"))))))</x:f>
        <x:v>样本不足</x:v>
      </x:c>
      <x:c r="T98" s="70" t="str"/>
      <x:c r="U98" s="70" t="str">
        <x:v>待验证</x:v>
      </x:c>
      <x:c r="V98" s="70" t="str"/>
      <x:c r="W98" s="70" t="str"/>
    </x:row>
    <x:row r="99">
      <x:c r="A99" s="70" t="str">
        <x:v>M5-SYNTH-062</x:v>
      </x:c>
      <x:c r="B99" s="70" t="str">
        <x:v>SYNTH</x:v>
      </x:c>
      <x:c r="C99" s="70" t="str">
        <x:v>字段权威｜gap_type由GAP负责</x:v>
      </x:c>
      <x:c r="D99" s="70" t="str">
        <x:v>待验证</x:v>
      </x:c>
      <x:c r="E99" s="70" t="n">
        <x:f>COUNTIFS('06_规则命中'!$D$6:$D$405,A99,'06_规则命中'!$I$6:$I$405,"支持",'06_规则命中'!$N$6:$N$405,"是")</x:f>
        <x:v>0</x:v>
      </x:c>
      <x:c r="F99" s="70" t="n">
        <x:f>COUNTIFS('06_规则命中'!$D$6:$D$405,A99,'06_规则命中'!$I$6:$I$405,"基本支持",'06_规则命中'!$N$6:$N$405,"是")</x:f>
        <x:v>0</x:v>
      </x:c>
      <x:c r="G99" s="70" t="n">
        <x:f>COUNTIFS('06_规则命中'!$D$6:$D$405,A99,'06_规则命中'!$I$6:$I$405,"部分支持",'06_规则命中'!$N$6:$N$405,"是")</x:f>
        <x:v>0</x:v>
      </x:c>
      <x:c r="H99" s="70" t="n">
        <x:f>COUNTIFS('06_规则命中'!$D$6:$D$405,A99,'06_规则命中'!$I$6:$I$405,"相邻但不同",'06_规则命中'!$N$6:$N$405,"是")</x:f>
        <x:v>0</x:v>
      </x:c>
      <x:c r="I99" s="70" t="n">
        <x:f>COUNTIFS('06_规则命中'!$D$6:$D$405,A99,'06_规则命中'!$I$6:$I$405,"反例",'06_规则命中'!$N$6:$N$405,"是")</x:f>
        <x:v>0</x:v>
      </x:c>
      <x:c r="J99" s="70" t="n">
        <x:f>COUNTIFS('06_规则命中'!$D$6:$D$405,A99,'06_规则命中'!$I$6:$I$405,"不可评估",'06_规则命中'!$N$6:$N$405,"是")</x:f>
        <x:v>0</x:v>
      </x:c>
      <x:c r="K99" s="70" t="n">
        <x:f>SUM(E99:I99)</x:f>
        <x:v>0</x:v>
      </x:c>
      <x:c r="L99" s="108" t="str">
        <x:f>IFERROR((E99+0.75*F99+0.5*G99+0.25*H99)/K99,"")</x:f>
      </x:c>
      <x:c r="M99" s="108" t="str">
        <x:f>IFERROR(I99/K99,"")</x:f>
      </x:c>
      <x:c r="N99" s="70" t="n">
        <x:f>COUNTIFS('08_反例与错误'!$E$6:$E$155,A99,'08_反例与错误'!$H$6:$H$155,"强")+COUNTIFS('08_反例与错误'!$E$6:$E$155,A99,'08_反例与错误'!$H$6:$H$155,"安全")</x:f>
        <x:v>0</x:v>
      </x:c>
      <x:c r="O99" s="70" t="n">
        <x:f>COUNTIFS('06_规则命中'!$D$6:$D$405,A99,'06_规则命中'!$I$6:$I$405,"反例",'06_规则命中'!$L$6:$L$405,"是",'06_规则命中'!$N$6:$N$405,"是")</x:f>
        <x:v>0</x:v>
      </x:c>
      <x:c r="P99" s="108" t="str">
        <x:f>IFERROR(SUMIFS('06_规则命中'!$J$6:$J$405,'06_规则命中'!$D$6:$D$405,A99,'06_规则命中'!$C$6:$C$405,"开发集",'06_规则命中'!$N$6:$N$405,"是")/COUNTIFS('06_规则命中'!$D$6:$D$405,A99,'06_规则命中'!$C$6:$C$405,"开发集",'06_规则命中'!$I$6:$I$405,"&lt;&gt;不可评估",'06_规则命中'!$N$6:$N$405,"是"),"")</x:f>
      </x:c>
      <x:c r="Q99" s="108" t="str">
        <x:f>IFERROR(SUMIFS('06_规则命中'!$J$6:$J$405,'06_规则命中'!$D$6:$D$405,A99,'06_规则命中'!$C$6:$C$405,"留出集",'06_规则命中'!$N$6:$N$405,"是")/COUNTIFS('06_规则命中'!$D$6:$D$405,A99,'06_规则命中'!$C$6:$C$405,"留出集",'06_规则命中'!$I$6:$I$405,"&lt;&gt;不可评估",'06_规则命中'!$N$6:$N$405,"是"),"")</x:f>
      </x:c>
      <x:c r="R99" s="70" t="str">
        <x:f>IF(K99=0,"P0 待验证",IF(K99&lt;3,"P1 极少样本",IF(K99&lt;6,"P2 探索",IF(K99&lt;12,"P3 初步","P4 稳定候选"))))</x:f>
        <x:v>P0 待验证</x:v>
      </x:c>
      <x:c r="S99" s="70" t="str">
        <x:f>IF(O99&gt;0,"立即安全审查",IF(K99&lt;3,"样本不足",IF(AND(K99&gt;=4,M99&gt;=0.6),"停用候选",IF(AND(K99&gt;=6,M99&gt;=0.4),"优先修改",IF(AND(K99&gt;=8,L99&gt;=0.75,M99&lt;=0.15,N99=0),"保留观察",IF(AND(P99&lt;&gt;"",Q99&lt;&gt;"",ABS(P99-Q99)&gt;0.25),"疑似过拟合","继续验证"))))))</x:f>
        <x:v>样本不足</x:v>
      </x:c>
      <x:c r="T99" s="70" t="str"/>
      <x:c r="U99" s="70" t="str">
        <x:v>待验证</x:v>
      </x:c>
      <x:c r="V99" s="70" t="str"/>
      <x:c r="W99" s="70" t="str"/>
    </x:row>
    <x:row r="100">
      <x:c r="A100" s="70" t="str">
        <x:v>M5-SYNTH-063</x:v>
      </x:c>
      <x:c r="B100" s="70" t="str">
        <x:v>SYNTH</x:v>
      </x:c>
      <x:c r="C100" s="70" t="str">
        <x:v>字段权威｜gap_state由GAP负责</x:v>
      </x:c>
      <x:c r="D100" s="70" t="str">
        <x:v>待验证</x:v>
      </x:c>
      <x:c r="E100" s="70" t="n">
        <x:f>COUNTIFS('06_规则命中'!$D$6:$D$405,A100,'06_规则命中'!$I$6:$I$405,"支持",'06_规则命中'!$N$6:$N$405,"是")</x:f>
        <x:v>0</x:v>
      </x:c>
      <x:c r="F100" s="70" t="n">
        <x:f>COUNTIFS('06_规则命中'!$D$6:$D$405,A100,'06_规则命中'!$I$6:$I$405,"基本支持",'06_规则命中'!$N$6:$N$405,"是")</x:f>
        <x:v>0</x:v>
      </x:c>
      <x:c r="G100" s="70" t="n">
        <x:f>COUNTIFS('06_规则命中'!$D$6:$D$405,A100,'06_规则命中'!$I$6:$I$405,"部分支持",'06_规则命中'!$N$6:$N$405,"是")</x:f>
        <x:v>0</x:v>
      </x:c>
      <x:c r="H100" s="70" t="n">
        <x:f>COUNTIFS('06_规则命中'!$D$6:$D$405,A100,'06_规则命中'!$I$6:$I$405,"相邻但不同",'06_规则命中'!$N$6:$N$405,"是")</x:f>
        <x:v>0</x:v>
      </x:c>
      <x:c r="I100" s="70" t="n">
        <x:f>COUNTIFS('06_规则命中'!$D$6:$D$405,A100,'06_规则命中'!$I$6:$I$405,"反例",'06_规则命中'!$N$6:$N$405,"是")</x:f>
        <x:v>0</x:v>
      </x:c>
      <x:c r="J100" s="70" t="n">
        <x:f>COUNTIFS('06_规则命中'!$D$6:$D$405,A100,'06_规则命中'!$I$6:$I$405,"不可评估",'06_规则命中'!$N$6:$N$405,"是")</x:f>
        <x:v>0</x:v>
      </x:c>
      <x:c r="K100" s="70" t="n">
        <x:f>SUM(E100:I100)</x:f>
        <x:v>0</x:v>
      </x:c>
      <x:c r="L100" s="108" t="str">
        <x:f>IFERROR((E100+0.75*F100+0.5*G100+0.25*H100)/K100,"")</x:f>
      </x:c>
      <x:c r="M100" s="108" t="str">
        <x:f>IFERROR(I100/K100,"")</x:f>
      </x:c>
      <x:c r="N100" s="70" t="n">
        <x:f>COUNTIFS('08_反例与错误'!$E$6:$E$155,A100,'08_反例与错误'!$H$6:$H$155,"强")+COUNTIFS('08_反例与错误'!$E$6:$E$155,A100,'08_反例与错误'!$H$6:$H$155,"安全")</x:f>
        <x:v>0</x:v>
      </x:c>
      <x:c r="O100" s="70" t="n">
        <x:f>COUNTIFS('06_规则命中'!$D$6:$D$405,A100,'06_规则命中'!$I$6:$I$405,"反例",'06_规则命中'!$L$6:$L$405,"是",'06_规则命中'!$N$6:$N$405,"是")</x:f>
        <x:v>0</x:v>
      </x:c>
      <x:c r="P100" s="108" t="str">
        <x:f>IFERROR(SUMIFS('06_规则命中'!$J$6:$J$405,'06_规则命中'!$D$6:$D$405,A100,'06_规则命中'!$C$6:$C$405,"开发集",'06_规则命中'!$N$6:$N$405,"是")/COUNTIFS('06_规则命中'!$D$6:$D$405,A100,'06_规则命中'!$C$6:$C$405,"开发集",'06_规则命中'!$I$6:$I$405,"&lt;&gt;不可评估",'06_规则命中'!$N$6:$N$405,"是"),"")</x:f>
      </x:c>
      <x:c r="Q100" s="108" t="str">
        <x:f>IFERROR(SUMIFS('06_规则命中'!$J$6:$J$405,'06_规则命中'!$D$6:$D$405,A100,'06_规则命中'!$C$6:$C$405,"留出集",'06_规则命中'!$N$6:$N$405,"是")/COUNTIFS('06_规则命中'!$D$6:$D$405,A100,'06_规则命中'!$C$6:$C$405,"留出集",'06_规则命中'!$I$6:$I$405,"&lt;&gt;不可评估",'06_规则命中'!$N$6:$N$405,"是"),"")</x:f>
      </x:c>
      <x:c r="R100" s="70" t="str">
        <x:f>IF(K100=0,"P0 待验证",IF(K100&lt;3,"P1 极少样本",IF(K100&lt;6,"P2 探索",IF(K100&lt;12,"P3 初步","P4 稳定候选"))))</x:f>
        <x:v>P0 待验证</x:v>
      </x:c>
      <x:c r="S100" s="70" t="str">
        <x:f>IF(O100&gt;0,"立即安全审查",IF(K100&lt;3,"样本不足",IF(AND(K100&gt;=4,M100&gt;=0.6),"停用候选",IF(AND(K100&gt;=6,M100&gt;=0.4),"优先修改",IF(AND(K100&gt;=8,L100&gt;=0.75,M100&lt;=0.15,N100=0),"保留观察",IF(AND(P100&lt;&gt;"",Q100&lt;&gt;"",ABS(P100-Q100)&gt;0.25),"疑似过拟合","继续验证"))))))</x:f>
        <x:v>样本不足</x:v>
      </x:c>
      <x:c r="T100" s="70" t="str"/>
      <x:c r="U100" s="70" t="str">
        <x:v>待验证</x:v>
      </x:c>
      <x:c r="V100" s="70" t="str"/>
      <x:c r="W100" s="70" t="str"/>
    </x:row>
    <x:row r="101">
      <x:c r="A101" s="70" t="str">
        <x:v>M5-SYNTH-064</x:v>
      </x:c>
      <x:c r="B101" s="70" t="str">
        <x:v>SYNTH</x:v>
      </x:c>
      <x:c r="C101" s="70" t="str">
        <x:v>字段权威｜gap_evidence_level由GAP负责</x:v>
      </x:c>
      <x:c r="D101" s="70" t="str">
        <x:v>待验证</x:v>
      </x:c>
      <x:c r="E101" s="70" t="n">
        <x:f>COUNTIFS('06_规则命中'!$D$6:$D$405,A101,'06_规则命中'!$I$6:$I$405,"支持",'06_规则命中'!$N$6:$N$405,"是")</x:f>
        <x:v>0</x:v>
      </x:c>
      <x:c r="F101" s="70" t="n">
        <x:f>COUNTIFS('06_规则命中'!$D$6:$D$405,A101,'06_规则命中'!$I$6:$I$405,"基本支持",'06_规则命中'!$N$6:$N$405,"是")</x:f>
        <x:v>0</x:v>
      </x:c>
      <x:c r="G101" s="70" t="n">
        <x:f>COUNTIFS('06_规则命中'!$D$6:$D$405,A101,'06_规则命中'!$I$6:$I$405,"部分支持",'06_规则命中'!$N$6:$N$405,"是")</x:f>
        <x:v>0</x:v>
      </x:c>
      <x:c r="H101" s="70" t="n">
        <x:f>COUNTIFS('06_规则命中'!$D$6:$D$405,A101,'06_规则命中'!$I$6:$I$405,"相邻但不同",'06_规则命中'!$N$6:$N$405,"是")</x:f>
        <x:v>0</x:v>
      </x:c>
      <x:c r="I101" s="70" t="n">
        <x:f>COUNTIFS('06_规则命中'!$D$6:$D$405,A101,'06_规则命中'!$I$6:$I$405,"反例",'06_规则命中'!$N$6:$N$405,"是")</x:f>
        <x:v>0</x:v>
      </x:c>
      <x:c r="J101" s="70" t="n">
        <x:f>COUNTIFS('06_规则命中'!$D$6:$D$405,A101,'06_规则命中'!$I$6:$I$405,"不可评估",'06_规则命中'!$N$6:$N$405,"是")</x:f>
        <x:v>0</x:v>
      </x:c>
      <x:c r="K101" s="70" t="n">
        <x:f>SUM(E101:I101)</x:f>
        <x:v>0</x:v>
      </x:c>
      <x:c r="L101" s="108" t="str">
        <x:f>IFERROR((E101+0.75*F101+0.5*G101+0.25*H101)/K101,"")</x:f>
      </x:c>
      <x:c r="M101" s="108" t="str">
        <x:f>IFERROR(I101/K101,"")</x:f>
      </x:c>
      <x:c r="N101" s="70" t="n">
        <x:f>COUNTIFS('08_反例与错误'!$E$6:$E$155,A101,'08_反例与错误'!$H$6:$H$155,"强")+COUNTIFS('08_反例与错误'!$E$6:$E$155,A101,'08_反例与错误'!$H$6:$H$155,"安全")</x:f>
        <x:v>0</x:v>
      </x:c>
      <x:c r="O101" s="70" t="n">
        <x:f>COUNTIFS('06_规则命中'!$D$6:$D$405,A101,'06_规则命中'!$I$6:$I$405,"反例",'06_规则命中'!$L$6:$L$405,"是",'06_规则命中'!$N$6:$N$405,"是")</x:f>
        <x:v>0</x:v>
      </x:c>
      <x:c r="P101" s="108" t="str">
        <x:f>IFERROR(SUMIFS('06_规则命中'!$J$6:$J$405,'06_规则命中'!$D$6:$D$405,A101,'06_规则命中'!$C$6:$C$405,"开发集",'06_规则命中'!$N$6:$N$405,"是")/COUNTIFS('06_规则命中'!$D$6:$D$405,A101,'06_规则命中'!$C$6:$C$405,"开发集",'06_规则命中'!$I$6:$I$405,"&lt;&gt;不可评估",'06_规则命中'!$N$6:$N$405,"是"),"")</x:f>
      </x:c>
      <x:c r="Q101" s="108" t="str">
        <x:f>IFERROR(SUMIFS('06_规则命中'!$J$6:$J$405,'06_规则命中'!$D$6:$D$405,A101,'06_规则命中'!$C$6:$C$405,"留出集",'06_规则命中'!$N$6:$N$405,"是")/COUNTIFS('06_规则命中'!$D$6:$D$405,A101,'06_规则命中'!$C$6:$C$405,"留出集",'06_规则命中'!$I$6:$I$405,"&lt;&gt;不可评估",'06_规则命中'!$N$6:$N$405,"是"),"")</x:f>
      </x:c>
      <x:c r="R101" s="70" t="str">
        <x:f>IF(K101=0,"P0 待验证",IF(K101&lt;3,"P1 极少样本",IF(K101&lt;6,"P2 探索",IF(K101&lt;12,"P3 初步","P4 稳定候选"))))</x:f>
        <x:v>P0 待验证</x:v>
      </x:c>
      <x:c r="S101" s="70" t="str">
        <x:f>IF(O101&gt;0,"立即安全审查",IF(K101&lt;3,"样本不足",IF(AND(K101&gt;=4,M101&gt;=0.6),"停用候选",IF(AND(K101&gt;=6,M101&gt;=0.4),"优先修改",IF(AND(K101&gt;=8,L101&gt;=0.75,M101&lt;=0.15,N101=0),"保留观察",IF(AND(P101&lt;&gt;"",Q101&lt;&gt;"",ABS(P101-Q101)&gt;0.25),"疑似过拟合","继续验证"))))))</x:f>
        <x:v>样本不足</x:v>
      </x:c>
      <x:c r="T101" s="70" t="str"/>
      <x:c r="U101" s="70" t="str">
        <x:v>待验证</x:v>
      </x:c>
      <x:c r="V101" s="70" t="str"/>
      <x:c r="W101" s="70" t="str"/>
    </x:row>
    <x:row r="102">
      <x:c r="A102" s="70" t="str">
        <x:v>M5-SYNTH-065</x:v>
      </x:c>
      <x:c r="B102" s="70" t="str">
        <x:v>SYNTH</x:v>
      </x:c>
      <x:c r="C102" s="70" t="str">
        <x:v>字段权威｜bridge_plan由GAP＋SYNTH负责</x:v>
      </x:c>
      <x:c r="D102" s="70" t="str">
        <x:v>待验证</x:v>
      </x:c>
      <x:c r="E102" s="70" t="n">
        <x:f>COUNTIFS('06_规则命中'!$D$6:$D$405,A102,'06_规则命中'!$I$6:$I$405,"支持",'06_规则命中'!$N$6:$N$405,"是")</x:f>
        <x:v>0</x:v>
      </x:c>
      <x:c r="F102" s="70" t="n">
        <x:f>COUNTIFS('06_规则命中'!$D$6:$D$405,A102,'06_规则命中'!$I$6:$I$405,"基本支持",'06_规则命中'!$N$6:$N$405,"是")</x:f>
        <x:v>0</x:v>
      </x:c>
      <x:c r="G102" s="70" t="n">
        <x:f>COUNTIFS('06_规则命中'!$D$6:$D$405,A102,'06_规则命中'!$I$6:$I$405,"部分支持",'06_规则命中'!$N$6:$N$405,"是")</x:f>
        <x:v>0</x:v>
      </x:c>
      <x:c r="H102" s="70" t="n">
        <x:f>COUNTIFS('06_规则命中'!$D$6:$D$405,A102,'06_规则命中'!$I$6:$I$405,"相邻但不同",'06_规则命中'!$N$6:$N$405,"是")</x:f>
        <x:v>0</x:v>
      </x:c>
      <x:c r="I102" s="70" t="n">
        <x:f>COUNTIFS('06_规则命中'!$D$6:$D$405,A102,'06_规则命中'!$I$6:$I$405,"反例",'06_规则命中'!$N$6:$N$405,"是")</x:f>
        <x:v>0</x:v>
      </x:c>
      <x:c r="J102" s="70" t="n">
        <x:f>COUNTIFS('06_规则命中'!$D$6:$D$405,A102,'06_规则命中'!$I$6:$I$405,"不可评估",'06_规则命中'!$N$6:$N$405,"是")</x:f>
        <x:v>0</x:v>
      </x:c>
      <x:c r="K102" s="70" t="n">
        <x:f>SUM(E102:I102)</x:f>
        <x:v>0</x:v>
      </x:c>
      <x:c r="L102" s="108" t="str">
        <x:f>IFERROR((E102+0.75*F102+0.5*G102+0.25*H102)/K102,"")</x:f>
      </x:c>
      <x:c r="M102" s="108" t="str">
        <x:f>IFERROR(I102/K102,"")</x:f>
      </x:c>
      <x:c r="N102" s="70" t="n">
        <x:f>COUNTIFS('08_反例与错误'!$E$6:$E$155,A102,'08_反例与错误'!$H$6:$H$155,"强")+COUNTIFS('08_反例与错误'!$E$6:$E$155,A102,'08_反例与错误'!$H$6:$H$155,"安全")</x:f>
        <x:v>0</x:v>
      </x:c>
      <x:c r="O102" s="70" t="n">
        <x:f>COUNTIFS('06_规则命中'!$D$6:$D$405,A102,'06_规则命中'!$I$6:$I$405,"反例",'06_规则命中'!$L$6:$L$405,"是",'06_规则命中'!$N$6:$N$405,"是")</x:f>
        <x:v>0</x:v>
      </x:c>
      <x:c r="P102" s="108" t="str">
        <x:f>IFERROR(SUMIFS('06_规则命中'!$J$6:$J$405,'06_规则命中'!$D$6:$D$405,A102,'06_规则命中'!$C$6:$C$405,"开发集",'06_规则命中'!$N$6:$N$405,"是")/COUNTIFS('06_规则命中'!$D$6:$D$405,A102,'06_规则命中'!$C$6:$C$405,"开发集",'06_规则命中'!$I$6:$I$405,"&lt;&gt;不可评估",'06_规则命中'!$N$6:$N$405,"是"),"")</x:f>
      </x:c>
      <x:c r="Q102" s="108" t="str">
        <x:f>IFERROR(SUMIFS('06_规则命中'!$J$6:$J$405,'06_规则命中'!$D$6:$D$405,A102,'06_规则命中'!$C$6:$C$405,"留出集",'06_规则命中'!$N$6:$N$405,"是")/COUNTIFS('06_规则命中'!$D$6:$D$405,A102,'06_规则命中'!$C$6:$C$405,"留出集",'06_规则命中'!$I$6:$I$405,"&lt;&gt;不可评估",'06_规则命中'!$N$6:$N$405,"是"),"")</x:f>
      </x:c>
      <x:c r="R102" s="70" t="str">
        <x:f>IF(K102=0,"P0 待验证",IF(K102&lt;3,"P1 极少样本",IF(K102&lt;6,"P2 探索",IF(K102&lt;12,"P3 初步","P4 稳定候选"))))</x:f>
        <x:v>P0 待验证</x:v>
      </x:c>
      <x:c r="S102" s="70" t="str">
        <x:f>IF(O102&gt;0,"立即安全审查",IF(K102&lt;3,"样本不足",IF(AND(K102&gt;=4,M102&gt;=0.6),"停用候选",IF(AND(K102&gt;=6,M102&gt;=0.4),"优先修改",IF(AND(K102&gt;=8,L102&gt;=0.75,M102&lt;=0.15,N102=0),"保留观察",IF(AND(P102&lt;&gt;"",Q102&lt;&gt;"",ABS(P102-Q102)&gt;0.25),"疑似过拟合","继续验证"))))))</x:f>
        <x:v>样本不足</x:v>
      </x:c>
      <x:c r="T102" s="70" t="str"/>
      <x:c r="U102" s="70" t="str">
        <x:v>待验证</x:v>
      </x:c>
      <x:c r="V102" s="70" t="str"/>
      <x:c r="W102" s="70" t="str"/>
    </x:row>
    <x:row r="103">
      <x:c r="A103" s="70" t="str">
        <x:v>M5-SYNTH-066</x:v>
      </x:c>
      <x:c r="B103" s="70" t="str">
        <x:v>SYNTH</x:v>
      </x:c>
      <x:c r="C103" s="70" t="str">
        <x:v>字段权威｜reality_gates由SYNTH＋现实资料负责</x:v>
      </x:c>
      <x:c r="D103" s="70" t="str">
        <x:v>待验证</x:v>
      </x:c>
      <x:c r="E103" s="70" t="n">
        <x:f>COUNTIFS('06_规则命中'!$D$6:$D$405,A103,'06_规则命中'!$I$6:$I$405,"支持",'06_规则命中'!$N$6:$N$405,"是")</x:f>
        <x:v>0</x:v>
      </x:c>
      <x:c r="F103" s="70" t="n">
        <x:f>COUNTIFS('06_规则命中'!$D$6:$D$405,A103,'06_规则命中'!$I$6:$I$405,"基本支持",'06_规则命中'!$N$6:$N$405,"是")</x:f>
        <x:v>0</x:v>
      </x:c>
      <x:c r="G103" s="70" t="n">
        <x:f>COUNTIFS('06_规则命中'!$D$6:$D$405,A103,'06_规则命中'!$I$6:$I$405,"部分支持",'06_规则命中'!$N$6:$N$405,"是")</x:f>
        <x:v>0</x:v>
      </x:c>
      <x:c r="H103" s="70" t="n">
        <x:f>COUNTIFS('06_规则命中'!$D$6:$D$405,A103,'06_规则命中'!$I$6:$I$405,"相邻但不同",'06_规则命中'!$N$6:$N$405,"是")</x:f>
        <x:v>0</x:v>
      </x:c>
      <x:c r="I103" s="70" t="n">
        <x:f>COUNTIFS('06_规则命中'!$D$6:$D$405,A103,'06_规则命中'!$I$6:$I$405,"反例",'06_规则命中'!$N$6:$N$405,"是")</x:f>
        <x:v>0</x:v>
      </x:c>
      <x:c r="J103" s="70" t="n">
        <x:f>COUNTIFS('06_规则命中'!$D$6:$D$405,A103,'06_规则命中'!$I$6:$I$405,"不可评估",'06_规则命中'!$N$6:$N$405,"是")</x:f>
        <x:v>0</x:v>
      </x:c>
      <x:c r="K103" s="70" t="n">
        <x:f>SUM(E103:I103)</x:f>
        <x:v>0</x:v>
      </x:c>
      <x:c r="L103" s="108" t="str">
        <x:f>IFERROR((E103+0.75*F103+0.5*G103+0.25*H103)/K103,"")</x:f>
      </x:c>
      <x:c r="M103" s="108" t="str">
        <x:f>IFERROR(I103/K103,"")</x:f>
      </x:c>
      <x:c r="N103" s="70" t="n">
        <x:f>COUNTIFS('08_反例与错误'!$E$6:$E$155,A103,'08_反例与错误'!$H$6:$H$155,"强")+COUNTIFS('08_反例与错误'!$E$6:$E$155,A103,'08_反例与错误'!$H$6:$H$155,"安全")</x:f>
        <x:v>0</x:v>
      </x:c>
      <x:c r="O103" s="70" t="n">
        <x:f>COUNTIFS('06_规则命中'!$D$6:$D$405,A103,'06_规则命中'!$I$6:$I$405,"反例",'06_规则命中'!$L$6:$L$405,"是",'06_规则命中'!$N$6:$N$405,"是")</x:f>
        <x:v>0</x:v>
      </x:c>
      <x:c r="P103" s="108" t="str">
        <x:f>IFERROR(SUMIFS('06_规则命中'!$J$6:$J$405,'06_规则命中'!$D$6:$D$405,A103,'06_规则命中'!$C$6:$C$405,"开发集",'06_规则命中'!$N$6:$N$405,"是")/COUNTIFS('06_规则命中'!$D$6:$D$405,A103,'06_规则命中'!$C$6:$C$405,"开发集",'06_规则命中'!$I$6:$I$405,"&lt;&gt;不可评估",'06_规则命中'!$N$6:$N$405,"是"),"")</x:f>
      </x:c>
      <x:c r="Q103" s="108" t="str">
        <x:f>IFERROR(SUMIFS('06_规则命中'!$J$6:$J$405,'06_规则命中'!$D$6:$D$405,A103,'06_规则命中'!$C$6:$C$405,"留出集",'06_规则命中'!$N$6:$N$405,"是")/COUNTIFS('06_规则命中'!$D$6:$D$405,A103,'06_规则命中'!$C$6:$C$405,"留出集",'06_规则命中'!$I$6:$I$405,"&lt;&gt;不可评估",'06_规则命中'!$N$6:$N$405,"是"),"")</x:f>
      </x:c>
      <x:c r="R103" s="70" t="str">
        <x:f>IF(K103=0,"P0 待验证",IF(K103&lt;3,"P1 极少样本",IF(K103&lt;6,"P2 探索",IF(K103&lt;12,"P3 初步","P4 稳定候选"))))</x:f>
        <x:v>P0 待验证</x:v>
      </x:c>
      <x:c r="S103" s="70" t="str">
        <x:f>IF(O103&gt;0,"立即安全审查",IF(K103&lt;3,"样本不足",IF(AND(K103&gt;=4,M103&gt;=0.6),"停用候选",IF(AND(K103&gt;=6,M103&gt;=0.4),"优先修改",IF(AND(K103&gt;=8,L103&gt;=0.75,M103&lt;=0.15,N103=0),"保留观察",IF(AND(P103&lt;&gt;"",Q103&lt;&gt;"",ABS(P103-Q103)&gt;0.25),"疑似过拟合","继续验证"))))))</x:f>
        <x:v>样本不足</x:v>
      </x:c>
      <x:c r="T103" s="70" t="str"/>
      <x:c r="U103" s="70" t="str">
        <x:v>待验证</x:v>
      </x:c>
      <x:c r="V103" s="70" t="str"/>
      <x:c r="W103" s="70" t="str"/>
    </x:row>
    <x:row r="104">
      <x:c r="A104" s="70" t="str">
        <x:v>M5-SYNTH-067</x:v>
      </x:c>
      <x:c r="B104" s="70" t="str">
        <x:v>SYNTH</x:v>
      </x:c>
      <x:c r="C104" s="70" t="str">
        <x:v>字段权威｜final_fit_state由SYNTH负责</x:v>
      </x:c>
      <x:c r="D104" s="70" t="str">
        <x:v>待验证</x:v>
      </x:c>
      <x:c r="E104" s="70" t="n">
        <x:f>COUNTIFS('06_规则命中'!$D$6:$D$405,A104,'06_规则命中'!$I$6:$I$405,"支持",'06_规则命中'!$N$6:$N$405,"是")</x:f>
        <x:v>0</x:v>
      </x:c>
      <x:c r="F104" s="70" t="n">
        <x:f>COUNTIFS('06_规则命中'!$D$6:$D$405,A104,'06_规则命中'!$I$6:$I$405,"基本支持",'06_规则命中'!$N$6:$N$405,"是")</x:f>
        <x:v>0</x:v>
      </x:c>
      <x:c r="G104" s="70" t="n">
        <x:f>COUNTIFS('06_规则命中'!$D$6:$D$405,A104,'06_规则命中'!$I$6:$I$405,"部分支持",'06_规则命中'!$N$6:$N$405,"是")</x:f>
        <x:v>0</x:v>
      </x:c>
      <x:c r="H104" s="70" t="n">
        <x:f>COUNTIFS('06_规则命中'!$D$6:$D$405,A104,'06_规则命中'!$I$6:$I$405,"相邻但不同",'06_规则命中'!$N$6:$N$405,"是")</x:f>
        <x:v>0</x:v>
      </x:c>
      <x:c r="I104" s="70" t="n">
        <x:f>COUNTIFS('06_规则命中'!$D$6:$D$405,A104,'06_规则命中'!$I$6:$I$405,"反例",'06_规则命中'!$N$6:$N$405,"是")</x:f>
        <x:v>0</x:v>
      </x:c>
      <x:c r="J104" s="70" t="n">
        <x:f>COUNTIFS('06_规则命中'!$D$6:$D$405,A104,'06_规则命中'!$I$6:$I$405,"不可评估",'06_规则命中'!$N$6:$N$405,"是")</x:f>
        <x:v>0</x:v>
      </x:c>
      <x:c r="K104" s="70" t="n">
        <x:f>SUM(E104:I104)</x:f>
        <x:v>0</x:v>
      </x:c>
      <x:c r="L104" s="108" t="str">
        <x:f>IFERROR((E104+0.75*F104+0.5*G104+0.25*H104)/K104,"")</x:f>
      </x:c>
      <x:c r="M104" s="108" t="str">
        <x:f>IFERROR(I104/K104,"")</x:f>
      </x:c>
      <x:c r="N104" s="70" t="n">
        <x:f>COUNTIFS('08_反例与错误'!$E$6:$E$155,A104,'08_反例与错误'!$H$6:$H$155,"强")+COUNTIFS('08_反例与错误'!$E$6:$E$155,A104,'08_反例与错误'!$H$6:$H$155,"安全")</x:f>
        <x:v>0</x:v>
      </x:c>
      <x:c r="O104" s="70" t="n">
        <x:f>COUNTIFS('06_规则命中'!$D$6:$D$405,A104,'06_规则命中'!$I$6:$I$405,"反例",'06_规则命中'!$L$6:$L$405,"是",'06_规则命中'!$N$6:$N$405,"是")</x:f>
        <x:v>0</x:v>
      </x:c>
      <x:c r="P104" s="108" t="str">
        <x:f>IFERROR(SUMIFS('06_规则命中'!$J$6:$J$405,'06_规则命中'!$D$6:$D$405,A104,'06_规则命中'!$C$6:$C$405,"开发集",'06_规则命中'!$N$6:$N$405,"是")/COUNTIFS('06_规则命中'!$D$6:$D$405,A104,'06_规则命中'!$C$6:$C$405,"开发集",'06_规则命中'!$I$6:$I$405,"&lt;&gt;不可评估",'06_规则命中'!$N$6:$N$405,"是"),"")</x:f>
      </x:c>
      <x:c r="Q104" s="108" t="str">
        <x:f>IFERROR(SUMIFS('06_规则命中'!$J$6:$J$405,'06_规则命中'!$D$6:$D$405,A104,'06_规则命中'!$C$6:$C$405,"留出集",'06_规则命中'!$N$6:$N$405,"是")/COUNTIFS('06_规则命中'!$D$6:$D$405,A104,'06_规则命中'!$C$6:$C$405,"留出集",'06_规则命中'!$I$6:$I$405,"&lt;&gt;不可评估",'06_规则命中'!$N$6:$N$405,"是"),"")</x:f>
      </x:c>
      <x:c r="R104" s="70" t="str">
        <x:f>IF(K104=0,"P0 待验证",IF(K104&lt;3,"P1 极少样本",IF(K104&lt;6,"P2 探索",IF(K104&lt;12,"P3 初步","P4 稳定候选"))))</x:f>
        <x:v>P0 待验证</x:v>
      </x:c>
      <x:c r="S104" s="70" t="str">
        <x:f>IF(O104&gt;0,"立即安全审查",IF(K104&lt;3,"样本不足",IF(AND(K104&gt;=4,M104&gt;=0.6),"停用候选",IF(AND(K104&gt;=6,M104&gt;=0.4),"优先修改",IF(AND(K104&gt;=8,L104&gt;=0.75,M104&lt;=0.15,N104=0),"保留观察",IF(AND(P104&lt;&gt;"",Q104&lt;&gt;"",ABS(P104-Q104)&gt;0.25),"疑似过拟合","继续验证"))))))</x:f>
        <x:v>样本不足</x:v>
      </x:c>
      <x:c r="T104" s="70" t="str"/>
      <x:c r="U104" s="70" t="str">
        <x:v>待验证</x:v>
      </x:c>
      <x:c r="V104" s="70" t="str"/>
      <x:c r="W104" s="70" t="str"/>
    </x:row>
    <x:row r="105">
      <x:c r="A105" s="70" t="str">
        <x:v>M5-SYNTH-068</x:v>
      </x:c>
      <x:c r="B105" s="70" t="str">
        <x:v>SYNTH</x:v>
      </x:c>
      <x:c r="C105" s="70" t="str">
        <x:v>字段权威｜fit_grade由SYNTH负责</x:v>
      </x:c>
      <x:c r="D105" s="70" t="str">
        <x:v>待验证</x:v>
      </x:c>
      <x:c r="E105" s="70" t="n">
        <x:f>COUNTIFS('06_规则命中'!$D$6:$D$405,A105,'06_规则命中'!$I$6:$I$405,"支持",'06_规则命中'!$N$6:$N$405,"是")</x:f>
        <x:v>0</x:v>
      </x:c>
      <x:c r="F105" s="70" t="n">
        <x:f>COUNTIFS('06_规则命中'!$D$6:$D$405,A105,'06_规则命中'!$I$6:$I$405,"基本支持",'06_规则命中'!$N$6:$N$405,"是")</x:f>
        <x:v>0</x:v>
      </x:c>
      <x:c r="G105" s="70" t="n">
        <x:f>COUNTIFS('06_规则命中'!$D$6:$D$405,A105,'06_规则命中'!$I$6:$I$405,"部分支持",'06_规则命中'!$N$6:$N$405,"是")</x:f>
        <x:v>0</x:v>
      </x:c>
      <x:c r="H105" s="70" t="n">
        <x:f>COUNTIFS('06_规则命中'!$D$6:$D$405,A105,'06_规则命中'!$I$6:$I$405,"相邻但不同",'06_规则命中'!$N$6:$N$405,"是")</x:f>
        <x:v>0</x:v>
      </x:c>
      <x:c r="I105" s="70" t="n">
        <x:f>COUNTIFS('06_规则命中'!$D$6:$D$405,A105,'06_规则命中'!$I$6:$I$405,"反例",'06_规则命中'!$N$6:$N$405,"是")</x:f>
        <x:v>0</x:v>
      </x:c>
      <x:c r="J105" s="70" t="n">
        <x:f>COUNTIFS('06_规则命中'!$D$6:$D$405,A105,'06_规则命中'!$I$6:$I$405,"不可评估",'06_规则命中'!$N$6:$N$405,"是")</x:f>
        <x:v>0</x:v>
      </x:c>
      <x:c r="K105" s="70" t="n">
        <x:f>SUM(E105:I105)</x:f>
        <x:v>0</x:v>
      </x:c>
      <x:c r="L105" s="108" t="str">
        <x:f>IFERROR((E105+0.75*F105+0.5*G105+0.25*H105)/K105,"")</x:f>
      </x:c>
      <x:c r="M105" s="108" t="str">
        <x:f>IFERROR(I105/K105,"")</x:f>
      </x:c>
      <x:c r="N105" s="70" t="n">
        <x:f>COUNTIFS('08_反例与错误'!$E$6:$E$155,A105,'08_反例与错误'!$H$6:$H$155,"强")+COUNTIFS('08_反例与错误'!$E$6:$E$155,A105,'08_反例与错误'!$H$6:$H$155,"安全")</x:f>
        <x:v>0</x:v>
      </x:c>
      <x:c r="O105" s="70" t="n">
        <x:f>COUNTIFS('06_规则命中'!$D$6:$D$405,A105,'06_规则命中'!$I$6:$I$405,"反例",'06_规则命中'!$L$6:$L$405,"是",'06_规则命中'!$N$6:$N$405,"是")</x:f>
        <x:v>0</x:v>
      </x:c>
      <x:c r="P105" s="108" t="str">
        <x:f>IFERROR(SUMIFS('06_规则命中'!$J$6:$J$405,'06_规则命中'!$D$6:$D$405,A105,'06_规则命中'!$C$6:$C$405,"开发集",'06_规则命中'!$N$6:$N$405,"是")/COUNTIFS('06_规则命中'!$D$6:$D$405,A105,'06_规则命中'!$C$6:$C$405,"开发集",'06_规则命中'!$I$6:$I$405,"&lt;&gt;不可评估",'06_规则命中'!$N$6:$N$405,"是"),"")</x:f>
      </x:c>
      <x:c r="Q105" s="108" t="str">
        <x:f>IFERROR(SUMIFS('06_规则命中'!$J$6:$J$405,'06_规则命中'!$D$6:$D$405,A105,'06_规则命中'!$C$6:$C$405,"留出集",'06_规则命中'!$N$6:$N$405,"是")/COUNTIFS('06_规则命中'!$D$6:$D$405,A105,'06_规则命中'!$C$6:$C$405,"留出集",'06_规则命中'!$I$6:$I$405,"&lt;&gt;不可评估",'06_规则命中'!$N$6:$N$405,"是"),"")</x:f>
      </x:c>
      <x:c r="R105" s="70" t="str">
        <x:f>IF(K105=0,"P0 待验证",IF(K105&lt;3,"P1 极少样本",IF(K105&lt;6,"P2 探索",IF(K105&lt;12,"P3 初步","P4 稳定候选"))))</x:f>
        <x:v>P0 待验证</x:v>
      </x:c>
      <x:c r="S105" s="70" t="str">
        <x:f>IF(O105&gt;0,"立即安全审查",IF(K105&lt;3,"样本不足",IF(AND(K105&gt;=4,M105&gt;=0.6),"停用候选",IF(AND(K105&gt;=6,M105&gt;=0.4),"优先修改",IF(AND(K105&gt;=8,L105&gt;=0.75,M105&lt;=0.15,N105=0),"保留观察",IF(AND(P105&lt;&gt;"",Q105&lt;&gt;"",ABS(P105-Q105)&gt;0.25),"疑似过拟合","继续验证"))))))</x:f>
        <x:v>样本不足</x:v>
      </x:c>
      <x:c r="T105" s="70" t="str"/>
      <x:c r="U105" s="70" t="str">
        <x:v>待验证</x:v>
      </x:c>
      <x:c r="V105" s="70" t="str"/>
      <x:c r="W105" s="70" t="str"/>
    </x:row>
    <x:row r="106">
      <x:c r="A106" s="70" t="str">
        <x:v>M5-SYNTH-069</x:v>
      </x:c>
      <x:c r="B106" s="70" t="str">
        <x:v>SYNTH</x:v>
      </x:c>
      <x:c r="C106" s="70" t="str">
        <x:v>字段权威｜confidence由SYNTH负责</x:v>
      </x:c>
      <x:c r="D106" s="70" t="str">
        <x:v>待验证</x:v>
      </x:c>
      <x:c r="E106" s="70" t="n">
        <x:f>COUNTIFS('06_规则命中'!$D$6:$D$405,A106,'06_规则命中'!$I$6:$I$405,"支持",'06_规则命中'!$N$6:$N$405,"是")</x:f>
        <x:v>0</x:v>
      </x:c>
      <x:c r="F106" s="70" t="n">
        <x:f>COUNTIFS('06_规则命中'!$D$6:$D$405,A106,'06_规则命中'!$I$6:$I$405,"基本支持",'06_规则命中'!$N$6:$N$405,"是")</x:f>
        <x:v>0</x:v>
      </x:c>
      <x:c r="G106" s="70" t="n">
        <x:f>COUNTIFS('06_规则命中'!$D$6:$D$405,A106,'06_规则命中'!$I$6:$I$405,"部分支持",'06_规则命中'!$N$6:$N$405,"是")</x:f>
        <x:v>0</x:v>
      </x:c>
      <x:c r="H106" s="70" t="n">
        <x:f>COUNTIFS('06_规则命中'!$D$6:$D$405,A106,'06_规则命中'!$I$6:$I$405,"相邻但不同",'06_规则命中'!$N$6:$N$405,"是")</x:f>
        <x:v>0</x:v>
      </x:c>
      <x:c r="I106" s="70" t="n">
        <x:f>COUNTIFS('06_规则命中'!$D$6:$D$405,A106,'06_规则命中'!$I$6:$I$405,"反例",'06_规则命中'!$N$6:$N$405,"是")</x:f>
        <x:v>0</x:v>
      </x:c>
      <x:c r="J106" s="70" t="n">
        <x:f>COUNTIFS('06_规则命中'!$D$6:$D$405,A106,'06_规则命中'!$I$6:$I$405,"不可评估",'06_规则命中'!$N$6:$N$405,"是")</x:f>
        <x:v>0</x:v>
      </x:c>
      <x:c r="K106" s="70" t="n">
        <x:f>SUM(E106:I106)</x:f>
        <x:v>0</x:v>
      </x:c>
      <x:c r="L106" s="108" t="str">
        <x:f>IFERROR((E106+0.75*F106+0.5*G106+0.25*H106)/K106,"")</x:f>
      </x:c>
      <x:c r="M106" s="108" t="str">
        <x:f>IFERROR(I106/K106,"")</x:f>
      </x:c>
      <x:c r="N106" s="70" t="n">
        <x:f>COUNTIFS('08_反例与错误'!$E$6:$E$155,A106,'08_反例与错误'!$H$6:$H$155,"强")+COUNTIFS('08_反例与错误'!$E$6:$E$155,A106,'08_反例与错误'!$H$6:$H$155,"安全")</x:f>
        <x:v>0</x:v>
      </x:c>
      <x:c r="O106" s="70" t="n">
        <x:f>COUNTIFS('06_规则命中'!$D$6:$D$405,A106,'06_规则命中'!$I$6:$I$405,"反例",'06_规则命中'!$L$6:$L$405,"是",'06_规则命中'!$N$6:$N$405,"是")</x:f>
        <x:v>0</x:v>
      </x:c>
      <x:c r="P106" s="108" t="str">
        <x:f>IFERROR(SUMIFS('06_规则命中'!$J$6:$J$405,'06_规则命中'!$D$6:$D$405,A106,'06_规则命中'!$C$6:$C$405,"开发集",'06_规则命中'!$N$6:$N$405,"是")/COUNTIFS('06_规则命中'!$D$6:$D$405,A106,'06_规则命中'!$C$6:$C$405,"开发集",'06_规则命中'!$I$6:$I$405,"&lt;&gt;不可评估",'06_规则命中'!$N$6:$N$405,"是"),"")</x:f>
      </x:c>
      <x:c r="Q106" s="108" t="str">
        <x:f>IFERROR(SUMIFS('06_规则命中'!$J$6:$J$405,'06_规则命中'!$D$6:$D$405,A106,'06_规则命中'!$C$6:$C$405,"留出集",'06_规则命中'!$N$6:$N$405,"是")/COUNTIFS('06_规则命中'!$D$6:$D$405,A106,'06_规则命中'!$C$6:$C$405,"留出集",'06_规则命中'!$I$6:$I$405,"&lt;&gt;不可评估",'06_规则命中'!$N$6:$N$405,"是"),"")</x:f>
      </x:c>
      <x:c r="R106" s="70" t="str">
        <x:f>IF(K106=0,"P0 待验证",IF(K106&lt;3,"P1 极少样本",IF(K106&lt;6,"P2 探索",IF(K106&lt;12,"P3 初步","P4 稳定候选"))))</x:f>
        <x:v>P0 待验证</x:v>
      </x:c>
      <x:c r="S106" s="70" t="str">
        <x:f>IF(O106&gt;0,"立即安全审查",IF(K106&lt;3,"样本不足",IF(AND(K106&gt;=4,M106&gt;=0.6),"停用候选",IF(AND(K106&gt;=6,M106&gt;=0.4),"优先修改",IF(AND(K106&gt;=8,L106&gt;=0.75,M106&lt;=0.15,N106=0),"保留观察",IF(AND(P106&lt;&gt;"",Q106&lt;&gt;"",ABS(P106-Q106)&gt;0.25),"疑似过拟合","继续验证"))))))</x:f>
        <x:v>样本不足</x:v>
      </x:c>
      <x:c r="T106" s="70" t="str"/>
      <x:c r="U106" s="70" t="str">
        <x:v>待验证</x:v>
      </x:c>
      <x:c r="V106" s="70" t="str"/>
      <x:c r="W106" s="70" t="str"/>
    </x:row>
    <x:row r="107">
      <x:c r="A107" s="70" t="str">
        <x:v>M5-SYNTH-070</x:v>
      </x:c>
      <x:c r="B107" s="70" t="str">
        <x:v>SYNTH</x:v>
      </x:c>
      <x:c r="C107" s="70" t="str">
        <x:v>字段权威｜observation_plan由SYNTH负责</x:v>
      </x:c>
      <x:c r="D107" s="70" t="str">
        <x:v>待验证</x:v>
      </x:c>
      <x:c r="E107" s="70" t="n">
        <x:f>COUNTIFS('06_规则命中'!$D$6:$D$405,A107,'06_规则命中'!$I$6:$I$405,"支持",'06_规则命中'!$N$6:$N$405,"是")</x:f>
        <x:v>0</x:v>
      </x:c>
      <x:c r="F107" s="70" t="n">
        <x:f>COUNTIFS('06_规则命中'!$D$6:$D$405,A107,'06_规则命中'!$I$6:$I$405,"基本支持",'06_规则命中'!$N$6:$N$405,"是")</x:f>
        <x:v>0</x:v>
      </x:c>
      <x:c r="G107" s="70" t="n">
        <x:f>COUNTIFS('06_规则命中'!$D$6:$D$405,A107,'06_规则命中'!$I$6:$I$405,"部分支持",'06_规则命中'!$N$6:$N$405,"是")</x:f>
        <x:v>0</x:v>
      </x:c>
      <x:c r="H107" s="70" t="n">
        <x:f>COUNTIFS('06_规则命中'!$D$6:$D$405,A107,'06_规则命中'!$I$6:$I$405,"相邻但不同",'06_规则命中'!$N$6:$N$405,"是")</x:f>
        <x:v>0</x:v>
      </x:c>
      <x:c r="I107" s="70" t="n">
        <x:f>COUNTIFS('06_规则命中'!$D$6:$D$405,A107,'06_规则命中'!$I$6:$I$405,"反例",'06_规则命中'!$N$6:$N$405,"是")</x:f>
        <x:v>0</x:v>
      </x:c>
      <x:c r="J107" s="70" t="n">
        <x:f>COUNTIFS('06_规则命中'!$D$6:$D$405,A107,'06_规则命中'!$I$6:$I$405,"不可评估",'06_规则命中'!$N$6:$N$405,"是")</x:f>
        <x:v>0</x:v>
      </x:c>
      <x:c r="K107" s="70" t="n">
        <x:f>SUM(E107:I107)</x:f>
        <x:v>0</x:v>
      </x:c>
      <x:c r="L107" s="108" t="str">
        <x:f>IFERROR((E107+0.75*F107+0.5*G107+0.25*H107)/K107,"")</x:f>
      </x:c>
      <x:c r="M107" s="108" t="str">
        <x:f>IFERROR(I107/K107,"")</x:f>
      </x:c>
      <x:c r="N107" s="70" t="n">
        <x:f>COUNTIFS('08_反例与错误'!$E$6:$E$155,A107,'08_反例与错误'!$H$6:$H$155,"强")+COUNTIFS('08_反例与错误'!$E$6:$E$155,A107,'08_反例与错误'!$H$6:$H$155,"安全")</x:f>
        <x:v>0</x:v>
      </x:c>
      <x:c r="O107" s="70" t="n">
        <x:f>COUNTIFS('06_规则命中'!$D$6:$D$405,A107,'06_规则命中'!$I$6:$I$405,"反例",'06_规则命中'!$L$6:$L$405,"是",'06_规则命中'!$N$6:$N$405,"是")</x:f>
        <x:v>0</x:v>
      </x:c>
      <x:c r="P107" s="108" t="str">
        <x:f>IFERROR(SUMIFS('06_规则命中'!$J$6:$J$405,'06_规则命中'!$D$6:$D$405,A107,'06_规则命中'!$C$6:$C$405,"开发集",'06_规则命中'!$N$6:$N$405,"是")/COUNTIFS('06_规则命中'!$D$6:$D$405,A107,'06_规则命中'!$C$6:$C$405,"开发集",'06_规则命中'!$I$6:$I$405,"&lt;&gt;不可评估",'06_规则命中'!$N$6:$N$405,"是"),"")</x:f>
      </x:c>
      <x:c r="Q107" s="108" t="str">
        <x:f>IFERROR(SUMIFS('06_规则命中'!$J$6:$J$405,'06_规则命中'!$D$6:$D$405,A107,'06_规则命中'!$C$6:$C$405,"留出集",'06_规则命中'!$N$6:$N$405,"是")/COUNTIFS('06_规则命中'!$D$6:$D$405,A107,'06_规则命中'!$C$6:$C$405,"留出集",'06_规则命中'!$I$6:$I$405,"&lt;&gt;不可评估",'06_规则命中'!$N$6:$N$405,"是"),"")</x:f>
      </x:c>
      <x:c r="R107" s="70" t="str">
        <x:f>IF(K107=0,"P0 待验证",IF(K107&lt;3,"P1 极少样本",IF(K107&lt;6,"P2 探索",IF(K107&lt;12,"P3 初步","P4 稳定候选"))))</x:f>
        <x:v>P0 待验证</x:v>
      </x:c>
      <x:c r="S107" s="70" t="str">
        <x:f>IF(O107&gt;0,"立即安全审查",IF(K107&lt;3,"样本不足",IF(AND(K107&gt;=4,M107&gt;=0.6),"停用候选",IF(AND(K107&gt;=6,M107&gt;=0.4),"优先修改",IF(AND(K107&gt;=8,L107&gt;=0.75,M107&lt;=0.15,N107=0),"保留观察",IF(AND(P107&lt;&gt;"",Q107&lt;&gt;"",ABS(P107-Q107)&gt;0.25),"疑似过拟合","继续验证"))))))</x:f>
        <x:v>样本不足</x:v>
      </x:c>
      <x:c r="T107" s="70" t="str"/>
      <x:c r="U107" s="70" t="str">
        <x:v>待验证</x:v>
      </x:c>
      <x:c r="V107" s="70" t="str"/>
      <x:c r="W107" s="70" t="str"/>
    </x:row>
    <x:row r="108">
      <x:c r="A108" s="70" t="str">
        <x:v>M5-SYNTH-071</x:v>
      </x:c>
      <x:c r="B108" s="70" t="str">
        <x:v>SYNTH</x:v>
      </x:c>
      <x:c r="C108" s="70" t="str">
        <x:v>字段权威｜provenance由SYNTH负责</x:v>
      </x:c>
      <x:c r="D108" s="70" t="str">
        <x:v>待验证</x:v>
      </x:c>
      <x:c r="E108" s="70" t="n">
        <x:f>COUNTIFS('06_规则命中'!$D$6:$D$405,A108,'06_规则命中'!$I$6:$I$405,"支持",'06_规则命中'!$N$6:$N$405,"是")</x:f>
        <x:v>0</x:v>
      </x:c>
      <x:c r="F108" s="70" t="n">
        <x:f>COUNTIFS('06_规则命中'!$D$6:$D$405,A108,'06_规则命中'!$I$6:$I$405,"基本支持",'06_规则命中'!$N$6:$N$405,"是")</x:f>
        <x:v>0</x:v>
      </x:c>
      <x:c r="G108" s="70" t="n">
        <x:f>COUNTIFS('06_规则命中'!$D$6:$D$405,A108,'06_规则命中'!$I$6:$I$405,"部分支持",'06_规则命中'!$N$6:$N$405,"是")</x:f>
        <x:v>0</x:v>
      </x:c>
      <x:c r="H108" s="70" t="n">
        <x:f>COUNTIFS('06_规则命中'!$D$6:$D$405,A108,'06_规则命中'!$I$6:$I$405,"相邻但不同",'06_规则命中'!$N$6:$N$405,"是")</x:f>
        <x:v>0</x:v>
      </x:c>
      <x:c r="I108" s="70" t="n">
        <x:f>COUNTIFS('06_规则命中'!$D$6:$D$405,A108,'06_规则命中'!$I$6:$I$405,"反例",'06_规则命中'!$N$6:$N$405,"是")</x:f>
        <x:v>0</x:v>
      </x:c>
      <x:c r="J108" s="70" t="n">
        <x:f>COUNTIFS('06_规则命中'!$D$6:$D$405,A108,'06_规则命中'!$I$6:$I$405,"不可评估",'06_规则命中'!$N$6:$N$405,"是")</x:f>
        <x:v>0</x:v>
      </x:c>
      <x:c r="K108" s="70" t="n">
        <x:f>SUM(E108:I108)</x:f>
        <x:v>0</x:v>
      </x:c>
      <x:c r="L108" s="108" t="str">
        <x:f>IFERROR((E108+0.75*F108+0.5*G108+0.25*H108)/K108,"")</x:f>
      </x:c>
      <x:c r="M108" s="108" t="str">
        <x:f>IFERROR(I108/K108,"")</x:f>
      </x:c>
      <x:c r="N108" s="70" t="n">
        <x:f>COUNTIFS('08_反例与错误'!$E$6:$E$155,A108,'08_反例与错误'!$H$6:$H$155,"强")+COUNTIFS('08_反例与错误'!$E$6:$E$155,A108,'08_反例与错误'!$H$6:$H$155,"安全")</x:f>
        <x:v>0</x:v>
      </x:c>
      <x:c r="O108" s="70" t="n">
        <x:f>COUNTIFS('06_规则命中'!$D$6:$D$405,A108,'06_规则命中'!$I$6:$I$405,"反例",'06_规则命中'!$L$6:$L$405,"是",'06_规则命中'!$N$6:$N$405,"是")</x:f>
        <x:v>0</x:v>
      </x:c>
      <x:c r="P108" s="108" t="str">
        <x:f>IFERROR(SUMIFS('06_规则命中'!$J$6:$J$405,'06_规则命中'!$D$6:$D$405,A108,'06_规则命中'!$C$6:$C$405,"开发集",'06_规则命中'!$N$6:$N$405,"是")/COUNTIFS('06_规则命中'!$D$6:$D$405,A108,'06_规则命中'!$C$6:$C$405,"开发集",'06_规则命中'!$I$6:$I$405,"&lt;&gt;不可评估",'06_规则命中'!$N$6:$N$405,"是"),"")</x:f>
      </x:c>
      <x:c r="Q108" s="108" t="str">
        <x:f>IFERROR(SUMIFS('06_规则命中'!$J$6:$J$405,'06_规则命中'!$D$6:$D$405,A108,'06_规则命中'!$C$6:$C$405,"留出集",'06_规则命中'!$N$6:$N$405,"是")/COUNTIFS('06_规则命中'!$D$6:$D$405,A108,'06_规则命中'!$C$6:$C$405,"留出集",'06_规则命中'!$I$6:$I$405,"&lt;&gt;不可评估",'06_规则命中'!$N$6:$N$405,"是"),"")</x:f>
      </x:c>
      <x:c r="R108" s="70" t="str">
        <x:f>IF(K108=0,"P0 待验证",IF(K108&lt;3,"P1 极少样本",IF(K108&lt;6,"P2 探索",IF(K108&lt;12,"P3 初步","P4 稳定候选"))))</x:f>
        <x:v>P0 待验证</x:v>
      </x:c>
      <x:c r="S108" s="70" t="str">
        <x:f>IF(O108&gt;0,"立即安全审查",IF(K108&lt;3,"样本不足",IF(AND(K108&gt;=4,M108&gt;=0.6),"停用候选",IF(AND(K108&gt;=6,M108&gt;=0.4),"优先修改",IF(AND(K108&gt;=8,L108&gt;=0.75,M108&lt;=0.15,N108=0),"保留观察",IF(AND(P108&lt;&gt;"",Q108&lt;&gt;"",ABS(P108-Q108)&gt;0.25),"疑似过拟合","继续验证"))))))</x:f>
        <x:v>样本不足</x:v>
      </x:c>
      <x:c r="T108" s="70" t="str"/>
      <x:c r="U108" s="70" t="str">
        <x:v>待验证</x:v>
      </x:c>
      <x:c r="V108" s="70" t="str"/>
      <x:c r="W108" s="70" t="str"/>
    </x:row>
    <x:row r="109">
      <x:c r="A109" s="70" t="str">
        <x:v>M5-SYNTH-072</x:v>
      </x:c>
      <x:c r="B109" s="70" t="str">
        <x:v>SYNTH</x:v>
      </x:c>
      <x:c r="C109" s="70" t="str">
        <x:v>字段权威｜report_sections由SYNTH负责</x:v>
      </x:c>
      <x:c r="D109" s="70" t="str">
        <x:v>待验证</x:v>
      </x:c>
      <x:c r="E109" s="70" t="n">
        <x:f>COUNTIFS('06_规则命中'!$D$6:$D$405,A109,'06_规则命中'!$I$6:$I$405,"支持",'06_规则命中'!$N$6:$N$405,"是")</x:f>
        <x:v>0</x:v>
      </x:c>
      <x:c r="F109" s="70" t="n">
        <x:f>COUNTIFS('06_规则命中'!$D$6:$D$405,A109,'06_规则命中'!$I$6:$I$405,"基本支持",'06_规则命中'!$N$6:$N$405,"是")</x:f>
        <x:v>0</x:v>
      </x:c>
      <x:c r="G109" s="70" t="n">
        <x:f>COUNTIFS('06_规则命中'!$D$6:$D$405,A109,'06_规则命中'!$I$6:$I$405,"部分支持",'06_规则命中'!$N$6:$N$405,"是")</x:f>
        <x:v>0</x:v>
      </x:c>
      <x:c r="H109" s="70" t="n">
        <x:f>COUNTIFS('06_规则命中'!$D$6:$D$405,A109,'06_规则命中'!$I$6:$I$405,"相邻但不同",'06_规则命中'!$N$6:$N$405,"是")</x:f>
        <x:v>0</x:v>
      </x:c>
      <x:c r="I109" s="70" t="n">
        <x:f>COUNTIFS('06_规则命中'!$D$6:$D$405,A109,'06_规则命中'!$I$6:$I$405,"反例",'06_规则命中'!$N$6:$N$405,"是")</x:f>
        <x:v>0</x:v>
      </x:c>
      <x:c r="J109" s="70" t="n">
        <x:f>COUNTIFS('06_规则命中'!$D$6:$D$405,A109,'06_规则命中'!$I$6:$I$405,"不可评估",'06_规则命中'!$N$6:$N$405,"是")</x:f>
        <x:v>0</x:v>
      </x:c>
      <x:c r="K109" s="70" t="n">
        <x:f>SUM(E109:I109)</x:f>
        <x:v>0</x:v>
      </x:c>
      <x:c r="L109" s="108" t="str">
        <x:f>IFERROR((E109+0.75*F109+0.5*G109+0.25*H109)/K109,"")</x:f>
      </x:c>
      <x:c r="M109" s="108" t="str">
        <x:f>IFERROR(I109/K109,"")</x:f>
      </x:c>
      <x:c r="N109" s="70" t="n">
        <x:f>COUNTIFS('08_反例与错误'!$E$6:$E$155,A109,'08_反例与错误'!$H$6:$H$155,"强")+COUNTIFS('08_反例与错误'!$E$6:$E$155,A109,'08_反例与错误'!$H$6:$H$155,"安全")</x:f>
        <x:v>0</x:v>
      </x:c>
      <x:c r="O109" s="70" t="n">
        <x:f>COUNTIFS('06_规则命中'!$D$6:$D$405,A109,'06_规则命中'!$I$6:$I$405,"反例",'06_规则命中'!$L$6:$L$405,"是",'06_规则命中'!$N$6:$N$405,"是")</x:f>
        <x:v>0</x:v>
      </x:c>
      <x:c r="P109" s="108" t="str">
        <x:f>IFERROR(SUMIFS('06_规则命中'!$J$6:$J$405,'06_规则命中'!$D$6:$D$405,A109,'06_规则命中'!$C$6:$C$405,"开发集",'06_规则命中'!$N$6:$N$405,"是")/COUNTIFS('06_规则命中'!$D$6:$D$405,A109,'06_规则命中'!$C$6:$C$405,"开发集",'06_规则命中'!$I$6:$I$405,"&lt;&gt;不可评估",'06_规则命中'!$N$6:$N$405,"是"),"")</x:f>
      </x:c>
      <x:c r="Q109" s="108" t="str">
        <x:f>IFERROR(SUMIFS('06_规则命中'!$J$6:$J$405,'06_规则命中'!$D$6:$D$405,A109,'06_规则命中'!$C$6:$C$405,"留出集",'06_规则命中'!$N$6:$N$405,"是")/COUNTIFS('06_规则命中'!$D$6:$D$405,A109,'06_规则命中'!$C$6:$C$405,"留出集",'06_规则命中'!$I$6:$I$405,"&lt;&gt;不可评估",'06_规则命中'!$N$6:$N$405,"是"),"")</x:f>
      </x:c>
      <x:c r="R109" s="70" t="str">
        <x:f>IF(K109=0,"P0 待验证",IF(K109&lt;3,"P1 极少样本",IF(K109&lt;6,"P2 探索",IF(K109&lt;12,"P3 初步","P4 稳定候选"))))</x:f>
        <x:v>P0 待验证</x:v>
      </x:c>
      <x:c r="S109" s="70" t="str">
        <x:f>IF(O109&gt;0,"立即安全审查",IF(K109&lt;3,"样本不足",IF(AND(K109&gt;=4,M109&gt;=0.6),"停用候选",IF(AND(K109&gt;=6,M109&gt;=0.4),"优先修改",IF(AND(K109&gt;=8,L109&gt;=0.75,M109&lt;=0.15,N109=0),"保留观察",IF(AND(P109&lt;&gt;"",Q109&lt;&gt;"",ABS(P109-Q109)&gt;0.25),"疑似过拟合","继续验证"))))))</x:f>
        <x:v>样本不足</x:v>
      </x:c>
      <x:c r="T109" s="70" t="str"/>
      <x:c r="U109" s="70" t="str">
        <x:v>待验证</x:v>
      </x:c>
      <x:c r="V109" s="70" t="str"/>
      <x:c r="W109" s="70" t="str"/>
    </x:row>
    <x:row r="110">
      <x:c r="A110" s="70" t="str">
        <x:v>M5-SYNTH-146</x:v>
      </x:c>
      <x:c r="B110" s="70" t="str">
        <x:v>SYNTH</x:v>
      </x:c>
      <x:c r="C110" s="70" t="str">
        <x:v>RG总门控｜核心方向失败最高FG2</x:v>
      </x:c>
      <x:c r="D110" s="70" t="str">
        <x:v>待验证</x:v>
      </x:c>
      <x:c r="E110" s="70" t="n">
        <x:f>COUNTIFS('06_规则命中'!$D$6:$D$405,A110,'06_规则命中'!$I$6:$I$405,"支持",'06_规则命中'!$N$6:$N$405,"是")</x:f>
        <x:v>0</x:v>
      </x:c>
      <x:c r="F110" s="70" t="n">
        <x:f>COUNTIFS('06_规则命中'!$D$6:$D$405,A110,'06_规则命中'!$I$6:$I$405,"基本支持",'06_规则命中'!$N$6:$N$405,"是")</x:f>
        <x:v>0</x:v>
      </x:c>
      <x:c r="G110" s="70" t="n">
        <x:f>COUNTIFS('06_规则命中'!$D$6:$D$405,A110,'06_规则命中'!$I$6:$I$405,"部分支持",'06_规则命中'!$N$6:$N$405,"是")</x:f>
        <x:v>0</x:v>
      </x:c>
      <x:c r="H110" s="70" t="n">
        <x:f>COUNTIFS('06_规则命中'!$D$6:$D$405,A110,'06_规则命中'!$I$6:$I$405,"相邻但不同",'06_规则命中'!$N$6:$N$405,"是")</x:f>
        <x:v>0</x:v>
      </x:c>
      <x:c r="I110" s="70" t="n">
        <x:f>COUNTIFS('06_规则命中'!$D$6:$D$405,A110,'06_规则命中'!$I$6:$I$405,"反例",'06_规则命中'!$N$6:$N$405,"是")</x:f>
        <x:v>0</x:v>
      </x:c>
      <x:c r="J110" s="70" t="n">
        <x:f>COUNTIFS('06_规则命中'!$D$6:$D$405,A110,'06_规则命中'!$I$6:$I$405,"不可评估",'06_规则命中'!$N$6:$N$405,"是")</x:f>
        <x:v>0</x:v>
      </x:c>
      <x:c r="K110" s="70" t="n">
        <x:f>SUM(E110:I110)</x:f>
        <x:v>0</x:v>
      </x:c>
      <x:c r="L110" s="108" t="str">
        <x:f>IFERROR((E110+0.75*F110+0.5*G110+0.25*H110)/K110,"")</x:f>
      </x:c>
      <x:c r="M110" s="108" t="str">
        <x:f>IFERROR(I110/K110,"")</x:f>
      </x:c>
      <x:c r="N110" s="70" t="n">
        <x:f>COUNTIFS('08_反例与错误'!$E$6:$E$155,A110,'08_反例与错误'!$H$6:$H$155,"强")+COUNTIFS('08_反例与错误'!$E$6:$E$155,A110,'08_反例与错误'!$H$6:$H$155,"安全")</x:f>
        <x:v>0</x:v>
      </x:c>
      <x:c r="O110" s="70" t="n">
        <x:f>COUNTIFS('06_规则命中'!$D$6:$D$405,A110,'06_规则命中'!$I$6:$I$405,"反例",'06_规则命中'!$L$6:$L$405,"是",'06_规则命中'!$N$6:$N$405,"是")</x:f>
        <x:v>0</x:v>
      </x:c>
      <x:c r="P110" s="108" t="str">
        <x:f>IFERROR(SUMIFS('06_规则命中'!$J$6:$J$405,'06_规则命中'!$D$6:$D$405,A110,'06_规则命中'!$C$6:$C$405,"开发集",'06_规则命中'!$N$6:$N$405,"是")/COUNTIFS('06_规则命中'!$D$6:$D$405,A110,'06_规则命中'!$C$6:$C$405,"开发集",'06_规则命中'!$I$6:$I$405,"&lt;&gt;不可评估",'06_规则命中'!$N$6:$N$405,"是"),"")</x:f>
      </x:c>
      <x:c r="Q110" s="108" t="str">
        <x:f>IFERROR(SUMIFS('06_规则命中'!$J$6:$J$405,'06_规则命中'!$D$6:$D$405,A110,'06_规则命中'!$C$6:$C$405,"留出集",'06_规则命中'!$N$6:$N$405,"是")/COUNTIFS('06_规则命中'!$D$6:$D$405,A110,'06_规则命中'!$C$6:$C$405,"留出集",'06_规则命中'!$I$6:$I$405,"&lt;&gt;不可评估",'06_规则命中'!$N$6:$N$405,"是"),"")</x:f>
      </x:c>
      <x:c r="R110" s="70" t="str">
        <x:f>IF(K110=0,"P0 待验证",IF(K110&lt;3,"P1 极少样本",IF(K110&lt;6,"P2 探索",IF(K110&lt;12,"P3 初步","P4 稳定候选"))))</x:f>
        <x:v>P0 待验证</x:v>
      </x:c>
      <x:c r="S110" s="70" t="str">
        <x:f>IF(O110&gt;0,"立即安全审查",IF(K110&lt;3,"样本不足",IF(AND(K110&gt;=4,M110&gt;=0.6),"停用候选",IF(AND(K110&gt;=6,M110&gt;=0.4),"优先修改",IF(AND(K110&gt;=8,L110&gt;=0.75,M110&lt;=0.15,N110=0),"保留观察",IF(AND(P110&lt;&gt;"",Q110&lt;&gt;"",ABS(P110-Q110)&gt;0.25),"疑似过拟合","继续验证"))))))</x:f>
        <x:v>样本不足</x:v>
      </x:c>
      <x:c r="T110" s="70" t="str"/>
      <x:c r="U110" s="70" t="str">
        <x:v>待验证</x:v>
      </x:c>
      <x:c r="V110" s="70" t="str"/>
      <x:c r="W110" s="70" t="str"/>
    </x:row>
    <x:row r="111">
      <x:c r="A111" s="70" t="str">
        <x:v>M5-SYNTH-147</x:v>
      </x:c>
      <x:c r="B111" s="70" t="str">
        <x:v>SYNTH</x:v>
      </x:c>
      <x:c r="C111" s="70" t="str">
        <x:v>RG总门控｜RG08持续失败不得FG3</x:v>
      </x:c>
      <x:c r="D111" s="70" t="str">
        <x:v>待验证</x:v>
      </x:c>
      <x:c r="E111" s="70" t="n">
        <x:f>COUNTIFS('06_规则命中'!$D$6:$D$405,A111,'06_规则命中'!$I$6:$I$405,"支持",'06_规则命中'!$N$6:$N$405,"是")</x:f>
        <x:v>0</x:v>
      </x:c>
      <x:c r="F111" s="70" t="n">
        <x:f>COUNTIFS('06_规则命中'!$D$6:$D$405,A111,'06_规则命中'!$I$6:$I$405,"基本支持",'06_规则命中'!$N$6:$N$405,"是")</x:f>
        <x:v>0</x:v>
      </x:c>
      <x:c r="G111" s="70" t="n">
        <x:f>COUNTIFS('06_规则命中'!$D$6:$D$405,A111,'06_规则命中'!$I$6:$I$405,"部分支持",'06_规则命中'!$N$6:$N$405,"是")</x:f>
        <x:v>0</x:v>
      </x:c>
      <x:c r="H111" s="70" t="n">
        <x:f>COUNTIFS('06_规则命中'!$D$6:$D$405,A111,'06_规则命中'!$I$6:$I$405,"相邻但不同",'06_规则命中'!$N$6:$N$405,"是")</x:f>
        <x:v>0</x:v>
      </x:c>
      <x:c r="I111" s="70" t="n">
        <x:f>COUNTIFS('06_规则命中'!$D$6:$D$405,A111,'06_规则命中'!$I$6:$I$405,"反例",'06_规则命中'!$N$6:$N$405,"是")</x:f>
        <x:v>0</x:v>
      </x:c>
      <x:c r="J111" s="70" t="n">
        <x:f>COUNTIFS('06_规则命中'!$D$6:$D$405,A111,'06_规则命中'!$I$6:$I$405,"不可评估",'06_规则命中'!$N$6:$N$405,"是")</x:f>
        <x:v>0</x:v>
      </x:c>
      <x:c r="K111" s="70" t="n">
        <x:f>SUM(E111:I111)</x:f>
        <x:v>0</x:v>
      </x:c>
      <x:c r="L111" s="108" t="str">
        <x:f>IFERROR((E111+0.75*F111+0.5*G111+0.25*H111)/K111,"")</x:f>
      </x:c>
      <x:c r="M111" s="108" t="str">
        <x:f>IFERROR(I111/K111,"")</x:f>
      </x:c>
      <x:c r="N111" s="70" t="n">
        <x:f>COUNTIFS('08_反例与错误'!$E$6:$E$155,A111,'08_反例与错误'!$H$6:$H$155,"强")+COUNTIFS('08_反例与错误'!$E$6:$E$155,A111,'08_反例与错误'!$H$6:$H$155,"安全")</x:f>
        <x:v>0</x:v>
      </x:c>
      <x:c r="O111" s="70" t="n">
        <x:f>COUNTIFS('06_规则命中'!$D$6:$D$405,A111,'06_规则命中'!$I$6:$I$405,"反例",'06_规则命中'!$L$6:$L$405,"是",'06_规则命中'!$N$6:$N$405,"是")</x:f>
        <x:v>0</x:v>
      </x:c>
      <x:c r="P111" s="108" t="str">
        <x:f>IFERROR(SUMIFS('06_规则命中'!$J$6:$J$405,'06_规则命中'!$D$6:$D$405,A111,'06_规则命中'!$C$6:$C$405,"开发集",'06_规则命中'!$N$6:$N$405,"是")/COUNTIFS('06_规则命中'!$D$6:$D$405,A111,'06_规则命中'!$C$6:$C$405,"开发集",'06_规则命中'!$I$6:$I$405,"&lt;&gt;不可评估",'06_规则命中'!$N$6:$N$405,"是"),"")</x:f>
      </x:c>
      <x:c r="Q111" s="108" t="str">
        <x:f>IFERROR(SUMIFS('06_规则命中'!$J$6:$J$405,'06_规则命中'!$D$6:$D$405,A111,'06_规则命中'!$C$6:$C$405,"留出集",'06_规则命中'!$N$6:$N$405,"是")/COUNTIFS('06_规则命中'!$D$6:$D$405,A111,'06_规则命中'!$C$6:$C$405,"留出集",'06_规则命中'!$I$6:$I$405,"&lt;&gt;不可评估",'06_规则命中'!$N$6:$N$405,"是"),"")</x:f>
      </x:c>
      <x:c r="R111" s="70" t="str">
        <x:f>IF(K111=0,"P0 待验证",IF(K111&lt;3,"P1 极少样本",IF(K111&lt;6,"P2 探索",IF(K111&lt;12,"P3 初步","P4 稳定候选"))))</x:f>
        <x:v>P0 待验证</x:v>
      </x:c>
      <x:c r="S111" s="70" t="str">
        <x:f>IF(O111&gt;0,"立即安全审查",IF(K111&lt;3,"样本不足",IF(AND(K111&gt;=4,M111&gt;=0.6),"停用候选",IF(AND(K111&gt;=6,M111&gt;=0.4),"优先修改",IF(AND(K111&gt;=8,L111&gt;=0.75,M111&lt;=0.15,N111=0),"保留观察",IF(AND(P111&lt;&gt;"",Q111&lt;&gt;"",ABS(P111-Q111)&gt;0.25),"疑似过拟合","继续验证"))))))</x:f>
        <x:v>样本不足</x:v>
      </x:c>
      <x:c r="T111" s="70" t="str"/>
      <x:c r="U111" s="70" t="str">
        <x:v>待验证</x:v>
      </x:c>
      <x:c r="V111" s="70" t="str"/>
      <x:c r="W111" s="70" t="str"/>
    </x:row>
    <x:row r="112">
      <x:c r="A112" s="70" t="str">
        <x:v>M5-SYNTH-148</x:v>
      </x:c>
      <x:c r="B112" s="70" t="str">
        <x:v>SYNTH</x:v>
      </x:c>
      <x:c r="C112" s="70" t="str">
        <x:v>RG总门控｜未知核心门槛限制FG2</x:v>
      </x:c>
      <x:c r="D112" s="70" t="str">
        <x:v>待验证</x:v>
      </x:c>
      <x:c r="E112" s="70" t="n">
        <x:f>COUNTIFS('06_规则命中'!$D$6:$D$405,A112,'06_规则命中'!$I$6:$I$405,"支持",'06_规则命中'!$N$6:$N$405,"是")</x:f>
        <x:v>0</x:v>
      </x:c>
      <x:c r="F112" s="70" t="n">
        <x:f>COUNTIFS('06_规则命中'!$D$6:$D$405,A112,'06_规则命中'!$I$6:$I$405,"基本支持",'06_规则命中'!$N$6:$N$405,"是")</x:f>
        <x:v>0</x:v>
      </x:c>
      <x:c r="G112" s="70" t="n">
        <x:f>COUNTIFS('06_规则命中'!$D$6:$D$405,A112,'06_规则命中'!$I$6:$I$405,"部分支持",'06_规则命中'!$N$6:$N$405,"是")</x:f>
        <x:v>0</x:v>
      </x:c>
      <x:c r="H112" s="70" t="n">
        <x:f>COUNTIFS('06_规则命中'!$D$6:$D$405,A112,'06_规则命中'!$I$6:$I$405,"相邻但不同",'06_规则命中'!$N$6:$N$405,"是")</x:f>
        <x:v>0</x:v>
      </x:c>
      <x:c r="I112" s="70" t="n">
        <x:f>COUNTIFS('06_规则命中'!$D$6:$D$405,A112,'06_规则命中'!$I$6:$I$405,"反例",'06_规则命中'!$N$6:$N$405,"是")</x:f>
        <x:v>0</x:v>
      </x:c>
      <x:c r="J112" s="70" t="n">
        <x:f>COUNTIFS('06_规则命中'!$D$6:$D$405,A112,'06_规则命中'!$I$6:$I$405,"不可评估",'06_规则命中'!$N$6:$N$405,"是")</x:f>
        <x:v>0</x:v>
      </x:c>
      <x:c r="K112" s="70" t="n">
        <x:f>SUM(E112:I112)</x:f>
        <x:v>0</x:v>
      </x:c>
      <x:c r="L112" s="108" t="str">
        <x:f>IFERROR((E112+0.75*F112+0.5*G112+0.25*H112)/K112,"")</x:f>
      </x:c>
      <x:c r="M112" s="108" t="str">
        <x:f>IFERROR(I112/K112,"")</x:f>
      </x:c>
      <x:c r="N112" s="70" t="n">
        <x:f>COUNTIFS('08_反例与错误'!$E$6:$E$155,A112,'08_反例与错误'!$H$6:$H$155,"强")+COUNTIFS('08_反例与错误'!$E$6:$E$155,A112,'08_反例与错误'!$H$6:$H$155,"安全")</x:f>
        <x:v>0</x:v>
      </x:c>
      <x:c r="O112" s="70" t="n">
        <x:f>COUNTIFS('06_规则命中'!$D$6:$D$405,A112,'06_规则命中'!$I$6:$I$405,"反例",'06_规则命中'!$L$6:$L$405,"是",'06_规则命中'!$N$6:$N$405,"是")</x:f>
        <x:v>0</x:v>
      </x:c>
      <x:c r="P112" s="108" t="str">
        <x:f>IFERROR(SUMIFS('06_规则命中'!$J$6:$J$405,'06_规则命中'!$D$6:$D$405,A112,'06_规则命中'!$C$6:$C$405,"开发集",'06_规则命中'!$N$6:$N$405,"是")/COUNTIFS('06_规则命中'!$D$6:$D$405,A112,'06_规则命中'!$C$6:$C$405,"开发集",'06_规则命中'!$I$6:$I$405,"&lt;&gt;不可评估",'06_规则命中'!$N$6:$N$405,"是"),"")</x:f>
      </x:c>
      <x:c r="Q112" s="108" t="str">
        <x:f>IFERROR(SUMIFS('06_规则命中'!$J$6:$J$405,'06_规则命中'!$D$6:$D$405,A112,'06_规则命中'!$C$6:$C$405,"留出集",'06_规则命中'!$N$6:$N$405,"是")/COUNTIFS('06_规则命中'!$D$6:$D$405,A112,'06_规则命中'!$C$6:$C$405,"留出集",'06_规则命中'!$I$6:$I$405,"&lt;&gt;不可评估",'06_规则命中'!$N$6:$N$405,"是"),"")</x:f>
      </x:c>
      <x:c r="R112" s="70" t="str">
        <x:f>IF(K112=0,"P0 待验证",IF(K112&lt;3,"P1 极少样本",IF(K112&lt;6,"P2 探索",IF(K112&lt;12,"P3 初步","P4 稳定候选"))))</x:f>
        <x:v>P0 待验证</x:v>
      </x:c>
      <x:c r="S112" s="70" t="str">
        <x:f>IF(O112&gt;0,"立即安全审查",IF(K112&lt;3,"样本不足",IF(AND(K112&gt;=4,M112&gt;=0.6),"停用候选",IF(AND(K112&gt;=6,M112&gt;=0.4),"优先修改",IF(AND(K112&gt;=8,L112&gt;=0.75,M112&lt;=0.15,N112=0),"保留观察",IF(AND(P112&lt;&gt;"",Q112&lt;&gt;"",ABS(P112-Q112)&gt;0.25),"疑似过拟合","继续验证"))))))</x:f>
        <x:v>样本不足</x:v>
      </x:c>
      <x:c r="T112" s="70" t="str"/>
      <x:c r="U112" s="70" t="str">
        <x:v>待验证</x:v>
      </x:c>
      <x:c r="V112" s="70" t="str"/>
      <x:c r="W112" s="70" t="str"/>
    </x:row>
    <x:row r="113">
      <x:c r="A113" s="70" t="str">
        <x:v>M5-SYNTH-149</x:v>
      </x:c>
      <x:c r="B113" s="70" t="str">
        <x:v>SYNTH</x:v>
      </x:c>
      <x:c r="C113" s="70" t="str">
        <x:v>RG总门控｜条件性门槛必须挂接桥接</x:v>
      </x:c>
      <x:c r="D113" s="70" t="str">
        <x:v>待验证</x:v>
      </x:c>
      <x:c r="E113" s="70" t="n">
        <x:f>COUNTIFS('06_规则命中'!$D$6:$D$405,A113,'06_规则命中'!$I$6:$I$405,"支持",'06_规则命中'!$N$6:$N$405,"是")</x:f>
        <x:v>0</x:v>
      </x:c>
      <x:c r="F113" s="70" t="n">
        <x:f>COUNTIFS('06_规则命中'!$D$6:$D$405,A113,'06_规则命中'!$I$6:$I$405,"基本支持",'06_规则命中'!$N$6:$N$405,"是")</x:f>
        <x:v>0</x:v>
      </x:c>
      <x:c r="G113" s="70" t="n">
        <x:f>COUNTIFS('06_规则命中'!$D$6:$D$405,A113,'06_规则命中'!$I$6:$I$405,"部分支持",'06_规则命中'!$N$6:$N$405,"是")</x:f>
        <x:v>0</x:v>
      </x:c>
      <x:c r="H113" s="70" t="n">
        <x:f>COUNTIFS('06_规则命中'!$D$6:$D$405,A113,'06_规则命中'!$I$6:$I$405,"相邻但不同",'06_规则命中'!$N$6:$N$405,"是")</x:f>
        <x:v>0</x:v>
      </x:c>
      <x:c r="I113" s="70" t="n">
        <x:f>COUNTIFS('06_规则命中'!$D$6:$D$405,A113,'06_规则命中'!$I$6:$I$405,"反例",'06_规则命中'!$N$6:$N$405,"是")</x:f>
        <x:v>0</x:v>
      </x:c>
      <x:c r="J113" s="70" t="n">
        <x:f>COUNTIFS('06_规则命中'!$D$6:$D$405,A113,'06_规则命中'!$I$6:$I$405,"不可评估",'06_规则命中'!$N$6:$N$405,"是")</x:f>
        <x:v>0</x:v>
      </x:c>
      <x:c r="K113" s="70" t="n">
        <x:f>SUM(E113:I113)</x:f>
        <x:v>0</x:v>
      </x:c>
      <x:c r="L113" s="108" t="str">
        <x:f>IFERROR((E113+0.75*F113+0.5*G113+0.25*H113)/K113,"")</x:f>
      </x:c>
      <x:c r="M113" s="108" t="str">
        <x:f>IFERROR(I113/K113,"")</x:f>
      </x:c>
      <x:c r="N113" s="70" t="n">
        <x:f>COUNTIFS('08_反例与错误'!$E$6:$E$155,A113,'08_反例与错误'!$H$6:$H$155,"强")+COUNTIFS('08_反例与错误'!$E$6:$E$155,A113,'08_反例与错误'!$H$6:$H$155,"安全")</x:f>
        <x:v>0</x:v>
      </x:c>
      <x:c r="O113" s="70" t="n">
        <x:f>COUNTIFS('06_规则命中'!$D$6:$D$405,A113,'06_规则命中'!$I$6:$I$405,"反例",'06_规则命中'!$L$6:$L$405,"是",'06_规则命中'!$N$6:$N$405,"是")</x:f>
        <x:v>0</x:v>
      </x:c>
      <x:c r="P113" s="108" t="str">
        <x:f>IFERROR(SUMIFS('06_规则命中'!$J$6:$J$405,'06_规则命中'!$D$6:$D$405,A113,'06_规则命中'!$C$6:$C$405,"开发集",'06_规则命中'!$N$6:$N$405,"是")/COUNTIFS('06_规则命中'!$D$6:$D$405,A113,'06_规则命中'!$C$6:$C$405,"开发集",'06_规则命中'!$I$6:$I$405,"&lt;&gt;不可评估",'06_规则命中'!$N$6:$N$405,"是"),"")</x:f>
      </x:c>
      <x:c r="Q113" s="108" t="str">
        <x:f>IFERROR(SUMIFS('06_规则命中'!$J$6:$J$405,'06_规则命中'!$D$6:$D$405,A113,'06_规则命中'!$C$6:$C$405,"留出集",'06_规则命中'!$N$6:$N$405,"是")/COUNTIFS('06_规则命中'!$D$6:$D$405,A113,'06_规则命中'!$C$6:$C$405,"留出集",'06_规则命中'!$I$6:$I$405,"&lt;&gt;不可评估",'06_规则命中'!$N$6:$N$405,"是"),"")</x:f>
      </x:c>
      <x:c r="R113" s="70" t="str">
        <x:f>IF(K113=0,"P0 待验证",IF(K113&lt;3,"P1 极少样本",IF(K113&lt;6,"P2 探索",IF(K113&lt;12,"P3 初步","P4 稳定候选"))))</x:f>
        <x:v>P0 待验证</x:v>
      </x:c>
      <x:c r="S113" s="70" t="str">
        <x:f>IF(O113&gt;0,"立即安全审查",IF(K113&lt;3,"样本不足",IF(AND(K113&gt;=4,M113&gt;=0.6),"停用候选",IF(AND(K113&gt;=6,M113&gt;=0.4),"优先修改",IF(AND(K113&gt;=8,L113&gt;=0.75,M113&lt;=0.15,N113=0),"保留观察",IF(AND(P113&lt;&gt;"",Q113&lt;&gt;"",ABS(P113-Q113)&gt;0.25),"疑似过拟合","继续验证"))))))</x:f>
        <x:v>样本不足</x:v>
      </x:c>
      <x:c r="T113" s="70" t="str"/>
      <x:c r="U113" s="70" t="str">
        <x:v>待验证</x:v>
      </x:c>
      <x:c r="V113" s="70" t="str"/>
      <x:c r="W113" s="70" t="str"/>
    </x:row>
    <x:row r="114">
      <x:c r="A114" s="70" t="str">
        <x:v>M5-SYNTH-150</x:v>
      </x:c>
      <x:c r="B114" s="70" t="str">
        <x:v>SYNTH</x:v>
      </x:c>
      <x:c r="C114" s="70" t="str">
        <x:v>RG总门控｜多个条件性门槛限制FG3</x:v>
      </x:c>
      <x:c r="D114" s="70" t="str">
        <x:v>待验证</x:v>
      </x:c>
      <x:c r="E114" s="70" t="n">
        <x:f>COUNTIFS('06_规则命中'!$D$6:$D$405,A114,'06_规则命中'!$I$6:$I$405,"支持",'06_规则命中'!$N$6:$N$405,"是")</x:f>
        <x:v>0</x:v>
      </x:c>
      <x:c r="F114" s="70" t="n">
        <x:f>COUNTIFS('06_规则命中'!$D$6:$D$405,A114,'06_规则命中'!$I$6:$I$405,"基本支持",'06_规则命中'!$N$6:$N$405,"是")</x:f>
        <x:v>0</x:v>
      </x:c>
      <x:c r="G114" s="70" t="n">
        <x:f>COUNTIFS('06_规则命中'!$D$6:$D$405,A114,'06_规则命中'!$I$6:$I$405,"部分支持",'06_规则命中'!$N$6:$N$405,"是")</x:f>
        <x:v>0</x:v>
      </x:c>
      <x:c r="H114" s="70" t="n">
        <x:f>COUNTIFS('06_规则命中'!$D$6:$D$405,A114,'06_规则命中'!$I$6:$I$405,"相邻但不同",'06_规则命中'!$N$6:$N$405,"是")</x:f>
        <x:v>0</x:v>
      </x:c>
      <x:c r="I114" s="70" t="n">
        <x:f>COUNTIFS('06_规则命中'!$D$6:$D$405,A114,'06_规则命中'!$I$6:$I$405,"反例",'06_规则命中'!$N$6:$N$405,"是")</x:f>
        <x:v>0</x:v>
      </x:c>
      <x:c r="J114" s="70" t="n">
        <x:f>COUNTIFS('06_规则命中'!$D$6:$D$405,A114,'06_规则命中'!$I$6:$I$405,"不可评估",'06_规则命中'!$N$6:$N$405,"是")</x:f>
        <x:v>0</x:v>
      </x:c>
      <x:c r="K114" s="70" t="n">
        <x:f>SUM(E114:I114)</x:f>
        <x:v>0</x:v>
      </x:c>
      <x:c r="L114" s="108" t="str">
        <x:f>IFERROR((E114+0.75*F114+0.5*G114+0.25*H114)/K114,"")</x:f>
      </x:c>
      <x:c r="M114" s="108" t="str">
        <x:f>IFERROR(I114/K114,"")</x:f>
      </x:c>
      <x:c r="N114" s="70" t="n">
        <x:f>COUNTIFS('08_反例与错误'!$E$6:$E$155,A114,'08_反例与错误'!$H$6:$H$155,"强")+COUNTIFS('08_反例与错误'!$E$6:$E$155,A114,'08_反例与错误'!$H$6:$H$155,"安全")</x:f>
        <x:v>0</x:v>
      </x:c>
      <x:c r="O114" s="70" t="n">
        <x:f>COUNTIFS('06_规则命中'!$D$6:$D$405,A114,'06_规则命中'!$I$6:$I$405,"反例",'06_规则命中'!$L$6:$L$405,"是",'06_规则命中'!$N$6:$N$405,"是")</x:f>
        <x:v>0</x:v>
      </x:c>
      <x:c r="P114" s="108" t="str">
        <x:f>IFERROR(SUMIFS('06_规则命中'!$J$6:$J$405,'06_规则命中'!$D$6:$D$405,A114,'06_规则命中'!$C$6:$C$405,"开发集",'06_规则命中'!$N$6:$N$405,"是")/COUNTIFS('06_规则命中'!$D$6:$D$405,A114,'06_规则命中'!$C$6:$C$405,"开发集",'06_规则命中'!$I$6:$I$405,"&lt;&gt;不可评估",'06_规则命中'!$N$6:$N$405,"是"),"")</x:f>
      </x:c>
      <x:c r="Q114" s="108" t="str">
        <x:f>IFERROR(SUMIFS('06_规则命中'!$J$6:$J$405,'06_规则命中'!$D$6:$D$405,A114,'06_规则命中'!$C$6:$C$405,"留出集",'06_规则命中'!$N$6:$N$405,"是")/COUNTIFS('06_规则命中'!$D$6:$D$405,A114,'06_规则命中'!$C$6:$C$405,"留出集",'06_规则命中'!$I$6:$I$405,"&lt;&gt;不可评估",'06_规则命中'!$N$6:$N$405,"是"),"")</x:f>
      </x:c>
      <x:c r="R114" s="70" t="str">
        <x:f>IF(K114=0,"P0 待验证",IF(K114&lt;3,"P1 极少样本",IF(K114&lt;6,"P2 探索",IF(K114&lt;12,"P3 初步","P4 稳定候选"))))</x:f>
        <x:v>P0 待验证</x:v>
      </x:c>
      <x:c r="S114" s="70" t="str">
        <x:f>IF(O114&gt;0,"立即安全审查",IF(K114&lt;3,"样本不足",IF(AND(K114&gt;=4,M114&gt;=0.6),"停用候选",IF(AND(K114&gt;=6,M114&gt;=0.4),"优先修改",IF(AND(K114&gt;=8,L114&gt;=0.75,M114&lt;=0.15,N114=0),"保留观察",IF(AND(P114&lt;&gt;"",Q114&lt;&gt;"",ABS(P114-Q114)&gt;0.25),"疑似过拟合","继续验证"))))))</x:f>
        <x:v>样本不足</x:v>
      </x:c>
      <x:c r="T114" s="70" t="str"/>
      <x:c r="U114" s="70" t="str">
        <x:v>待验证</x:v>
      </x:c>
      <x:c r="V114" s="70" t="str"/>
      <x:c r="W114" s="70" t="str"/>
    </x:row>
    <x:row r="115">
      <x:c r="A115" s="70" t="str">
        <x:v>M5-SYNTH-151</x:v>
      </x:c>
      <x:c r="B115" s="70" t="str">
        <x:v>SYNTH</x:v>
      </x:c>
      <x:c r="C115" s="70" t="str">
        <x:v>RG总门控｜现实事实覆盖命理高分</x:v>
      </x:c>
      <x:c r="D115" s="70" t="str">
        <x:v>待验证</x:v>
      </x:c>
      <x:c r="E115" s="70" t="n">
        <x:f>COUNTIFS('06_规则命中'!$D$6:$D$405,A115,'06_规则命中'!$I$6:$I$405,"支持",'06_规则命中'!$N$6:$N$405,"是")</x:f>
        <x:v>0</x:v>
      </x:c>
      <x:c r="F115" s="70" t="n">
        <x:f>COUNTIFS('06_规则命中'!$D$6:$D$405,A115,'06_规则命中'!$I$6:$I$405,"基本支持",'06_规则命中'!$N$6:$N$405,"是")</x:f>
        <x:v>0</x:v>
      </x:c>
      <x:c r="G115" s="70" t="n">
        <x:f>COUNTIFS('06_规则命中'!$D$6:$D$405,A115,'06_规则命中'!$I$6:$I$405,"部分支持",'06_规则命中'!$N$6:$N$405,"是")</x:f>
        <x:v>0</x:v>
      </x:c>
      <x:c r="H115" s="70" t="n">
        <x:f>COUNTIFS('06_规则命中'!$D$6:$D$405,A115,'06_规则命中'!$I$6:$I$405,"相邻但不同",'06_规则命中'!$N$6:$N$405,"是")</x:f>
        <x:v>0</x:v>
      </x:c>
      <x:c r="I115" s="70" t="n">
        <x:f>COUNTIFS('06_规则命中'!$D$6:$D$405,A115,'06_规则命中'!$I$6:$I$405,"反例",'06_规则命中'!$N$6:$N$405,"是")</x:f>
        <x:v>0</x:v>
      </x:c>
      <x:c r="J115" s="70" t="n">
        <x:f>COUNTIFS('06_规则命中'!$D$6:$D$405,A115,'06_规则命中'!$I$6:$I$405,"不可评估",'06_规则命中'!$N$6:$N$405,"是")</x:f>
        <x:v>0</x:v>
      </x:c>
      <x:c r="K115" s="70" t="n">
        <x:f>SUM(E115:I115)</x:f>
        <x:v>0</x:v>
      </x:c>
      <x:c r="L115" s="108" t="str">
        <x:f>IFERROR((E115+0.75*F115+0.5*G115+0.25*H115)/K115,"")</x:f>
      </x:c>
      <x:c r="M115" s="108" t="str">
        <x:f>IFERROR(I115/K115,"")</x:f>
      </x:c>
      <x:c r="N115" s="70" t="n">
        <x:f>COUNTIFS('08_反例与错误'!$E$6:$E$155,A115,'08_反例与错误'!$H$6:$H$155,"强")+COUNTIFS('08_反例与错误'!$E$6:$E$155,A115,'08_反例与错误'!$H$6:$H$155,"安全")</x:f>
        <x:v>0</x:v>
      </x:c>
      <x:c r="O115" s="70" t="n">
        <x:f>COUNTIFS('06_规则命中'!$D$6:$D$405,A115,'06_规则命中'!$I$6:$I$405,"反例",'06_规则命中'!$L$6:$L$405,"是",'06_规则命中'!$N$6:$N$405,"是")</x:f>
        <x:v>0</x:v>
      </x:c>
      <x:c r="P115" s="108" t="str">
        <x:f>IFERROR(SUMIFS('06_规则命中'!$J$6:$J$405,'06_规则命中'!$D$6:$D$405,A115,'06_规则命中'!$C$6:$C$405,"开发集",'06_规则命中'!$N$6:$N$405,"是")/COUNTIFS('06_规则命中'!$D$6:$D$405,A115,'06_规则命中'!$C$6:$C$405,"开发集",'06_规则命中'!$I$6:$I$405,"&lt;&gt;不可评估",'06_规则命中'!$N$6:$N$405,"是"),"")</x:f>
      </x:c>
      <x:c r="Q115" s="108" t="str">
        <x:f>IFERROR(SUMIFS('06_规则命中'!$J$6:$J$405,'06_规则命中'!$D$6:$D$405,A115,'06_规则命中'!$C$6:$C$405,"留出集",'06_规则命中'!$N$6:$N$405,"是")/COUNTIFS('06_规则命中'!$D$6:$D$405,A115,'06_规则命中'!$C$6:$C$405,"留出集",'06_规则命中'!$I$6:$I$405,"&lt;&gt;不可评估",'06_规则命中'!$N$6:$N$405,"是"),"")</x:f>
      </x:c>
      <x:c r="R115" s="70" t="str">
        <x:f>IF(K115=0,"P0 待验证",IF(K115&lt;3,"P1 极少样本",IF(K115&lt;6,"P2 探索",IF(K115&lt;12,"P3 初步","P4 稳定候选"))))</x:f>
        <x:v>P0 待验证</x:v>
      </x:c>
      <x:c r="S115" s="70" t="str">
        <x:f>IF(O115&gt;0,"立即安全审查",IF(K115&lt;3,"样本不足",IF(AND(K115&gt;=4,M115&gt;=0.6),"停用候选",IF(AND(K115&gt;=6,M115&gt;=0.4),"优先修改",IF(AND(K115&gt;=8,L115&gt;=0.75,M115&lt;=0.15,N115=0),"保留观察",IF(AND(P115&lt;&gt;"",Q115&lt;&gt;"",ABS(P115-Q115)&gt;0.25),"疑似过拟合","继续验证"))))))</x:f>
        <x:v>样本不足</x:v>
      </x:c>
      <x:c r="T115" s="70" t="str"/>
      <x:c r="U115" s="70" t="str">
        <x:v>待验证</x:v>
      </x:c>
      <x:c r="V115" s="70" t="str"/>
      <x:c r="W115" s="70" t="str"/>
    </x:row>
    <x:row r="116">
      <x:c r="A116" s="70" t="str">
        <x:v>M5-SYNTH-152</x:v>
      </x:c>
      <x:c r="B116" s="70" t="str">
        <x:v>SYNTH</x:v>
      </x:c>
      <x:c r="C116" s="70" t="str">
        <x:v>RG总门控｜现实门槛日志必填</x:v>
      </x:c>
      <x:c r="D116" s="70" t="str">
        <x:v>待验证</x:v>
      </x:c>
      <x:c r="E116" s="70" t="n">
        <x:f>COUNTIFS('06_规则命中'!$D$6:$D$405,A116,'06_规则命中'!$I$6:$I$405,"支持",'06_规则命中'!$N$6:$N$405,"是")</x:f>
        <x:v>0</x:v>
      </x:c>
      <x:c r="F116" s="70" t="n">
        <x:f>COUNTIFS('06_规则命中'!$D$6:$D$405,A116,'06_规则命中'!$I$6:$I$405,"基本支持",'06_规则命中'!$N$6:$N$405,"是")</x:f>
        <x:v>0</x:v>
      </x:c>
      <x:c r="G116" s="70" t="n">
        <x:f>COUNTIFS('06_规则命中'!$D$6:$D$405,A116,'06_规则命中'!$I$6:$I$405,"部分支持",'06_规则命中'!$N$6:$N$405,"是")</x:f>
        <x:v>0</x:v>
      </x:c>
      <x:c r="H116" s="70" t="n">
        <x:f>COUNTIFS('06_规则命中'!$D$6:$D$405,A116,'06_规则命中'!$I$6:$I$405,"相邻但不同",'06_规则命中'!$N$6:$N$405,"是")</x:f>
        <x:v>0</x:v>
      </x:c>
      <x:c r="I116" s="70" t="n">
        <x:f>COUNTIFS('06_规则命中'!$D$6:$D$405,A116,'06_规则命中'!$I$6:$I$405,"反例",'06_规则命中'!$N$6:$N$405,"是")</x:f>
        <x:v>0</x:v>
      </x:c>
      <x:c r="J116" s="70" t="n">
        <x:f>COUNTIFS('06_规则命中'!$D$6:$D$405,A116,'06_规则命中'!$I$6:$I$405,"不可评估",'06_规则命中'!$N$6:$N$405,"是")</x:f>
        <x:v>0</x:v>
      </x:c>
      <x:c r="K116" s="70" t="n">
        <x:f>SUM(E116:I116)</x:f>
        <x:v>0</x:v>
      </x:c>
      <x:c r="L116" s="108" t="str">
        <x:f>IFERROR((E116+0.75*F116+0.5*G116+0.25*H116)/K116,"")</x:f>
      </x:c>
      <x:c r="M116" s="108" t="str">
        <x:f>IFERROR(I116/K116,"")</x:f>
      </x:c>
      <x:c r="N116" s="70" t="n">
        <x:f>COUNTIFS('08_反例与错误'!$E$6:$E$155,A116,'08_反例与错误'!$H$6:$H$155,"强")+COUNTIFS('08_反例与错误'!$E$6:$E$155,A116,'08_反例与错误'!$H$6:$H$155,"安全")</x:f>
        <x:v>0</x:v>
      </x:c>
      <x:c r="O116" s="70" t="n">
        <x:f>COUNTIFS('06_规则命中'!$D$6:$D$405,A116,'06_规则命中'!$I$6:$I$405,"反例",'06_规则命中'!$L$6:$L$405,"是",'06_规则命中'!$N$6:$N$405,"是")</x:f>
        <x:v>0</x:v>
      </x:c>
      <x:c r="P116" s="108" t="str">
        <x:f>IFERROR(SUMIFS('06_规则命中'!$J$6:$J$405,'06_规则命中'!$D$6:$D$405,A116,'06_规则命中'!$C$6:$C$405,"开发集",'06_规则命中'!$N$6:$N$405,"是")/COUNTIFS('06_规则命中'!$D$6:$D$405,A116,'06_规则命中'!$C$6:$C$405,"开发集",'06_规则命中'!$I$6:$I$405,"&lt;&gt;不可评估",'06_规则命中'!$N$6:$N$405,"是"),"")</x:f>
      </x:c>
      <x:c r="Q116" s="108" t="str">
        <x:f>IFERROR(SUMIFS('06_规则命中'!$J$6:$J$405,'06_规则命中'!$D$6:$D$405,A116,'06_规则命中'!$C$6:$C$405,"留出集",'06_规则命中'!$N$6:$N$405,"是")/COUNTIFS('06_规则命中'!$D$6:$D$405,A116,'06_规则命中'!$C$6:$C$405,"留出集",'06_规则命中'!$I$6:$I$405,"&lt;&gt;不可评估",'06_规则命中'!$N$6:$N$405,"是"),"")</x:f>
      </x:c>
      <x:c r="R116" s="70" t="str">
        <x:f>IF(K116=0,"P0 待验证",IF(K116&lt;3,"P1 极少样本",IF(K116&lt;6,"P2 探索",IF(K116&lt;12,"P3 初步","P4 稳定候选"))))</x:f>
        <x:v>P0 待验证</x:v>
      </x:c>
      <x:c r="S116" s="70" t="str">
        <x:f>IF(O116&gt;0,"立即安全审查",IF(K116&lt;3,"样本不足",IF(AND(K116&gt;=4,M116&gt;=0.6),"停用候选",IF(AND(K116&gt;=6,M116&gt;=0.4),"优先修改",IF(AND(K116&gt;=8,L116&gt;=0.75,M116&lt;=0.15,N116=0),"保留观察",IF(AND(P116&lt;&gt;"",Q116&lt;&gt;"",ABS(P116-Q116)&gt;0.25),"疑似过拟合","继续验证"))))))</x:f>
        <x:v>样本不足</x:v>
      </x:c>
      <x:c r="T116" s="70" t="str"/>
      <x:c r="U116" s="70" t="str">
        <x:v>待验证</x:v>
      </x:c>
      <x:c r="V116" s="70" t="str"/>
      <x:c r="W116" s="70" t="str"/>
    </x:row>
    <x:row r="117">
      <x:c r="A117" s="70" t="str">
        <x:v>M5-SYNTH-308</x:v>
      </x:c>
      <x:c r="B117" s="70" t="str">
        <x:v>SYNTH</x:v>
      </x:c>
      <x:c r="C117" s="70" t="str">
        <x:v>停止版模板｜安全或核心门槛</x:v>
      </x:c>
      <x:c r="D117" s="70" t="str">
        <x:v>待验证</x:v>
      </x:c>
      <x:c r="E117" s="70" t="n">
        <x:f>COUNTIFS('06_规则命中'!$D$6:$D$405,A117,'06_规则命中'!$I$6:$I$405,"支持",'06_规则命中'!$N$6:$N$405,"是")</x:f>
        <x:v>0</x:v>
      </x:c>
      <x:c r="F117" s="70" t="n">
        <x:f>COUNTIFS('06_规则命中'!$D$6:$D$405,A117,'06_规则命中'!$I$6:$I$405,"基本支持",'06_规则命中'!$N$6:$N$405,"是")</x:f>
        <x:v>0</x:v>
      </x:c>
      <x:c r="G117" s="70" t="n">
        <x:f>COUNTIFS('06_规则命中'!$D$6:$D$405,A117,'06_规则命中'!$I$6:$I$405,"部分支持",'06_规则命中'!$N$6:$N$405,"是")</x:f>
        <x:v>0</x:v>
      </x:c>
      <x:c r="H117" s="70" t="n">
        <x:f>COUNTIFS('06_规则命中'!$D$6:$D$405,A117,'06_规则命中'!$I$6:$I$405,"相邻但不同",'06_规则命中'!$N$6:$N$405,"是")</x:f>
        <x:v>0</x:v>
      </x:c>
      <x:c r="I117" s="70" t="n">
        <x:f>COUNTIFS('06_规则命中'!$D$6:$D$405,A117,'06_规则命中'!$I$6:$I$405,"反例",'06_规则命中'!$N$6:$N$405,"是")</x:f>
        <x:v>0</x:v>
      </x:c>
      <x:c r="J117" s="70" t="n">
        <x:f>COUNTIFS('06_规则命中'!$D$6:$D$405,A117,'06_规则命中'!$I$6:$I$405,"不可评估",'06_规则命中'!$N$6:$N$405,"是")</x:f>
        <x:v>0</x:v>
      </x:c>
      <x:c r="K117" s="70" t="n">
        <x:f>SUM(E117:I117)</x:f>
        <x:v>0</x:v>
      </x:c>
      <x:c r="L117" s="108" t="str">
        <x:f>IFERROR((E117+0.75*F117+0.5*G117+0.25*H117)/K117,"")</x:f>
      </x:c>
      <x:c r="M117" s="108" t="str">
        <x:f>IFERROR(I117/K117,"")</x:f>
      </x:c>
      <x:c r="N117" s="70" t="n">
        <x:f>COUNTIFS('08_反例与错误'!$E$6:$E$155,A117,'08_反例与错误'!$H$6:$H$155,"强")+COUNTIFS('08_反例与错误'!$E$6:$E$155,A117,'08_反例与错误'!$H$6:$H$155,"安全")</x:f>
        <x:v>0</x:v>
      </x:c>
      <x:c r="O117" s="70" t="n">
        <x:f>COUNTIFS('06_规则命中'!$D$6:$D$405,A117,'06_规则命中'!$I$6:$I$405,"反例",'06_规则命中'!$L$6:$L$405,"是",'06_规则命中'!$N$6:$N$405,"是")</x:f>
        <x:v>0</x:v>
      </x:c>
      <x:c r="P117" s="108" t="str">
        <x:f>IFERROR(SUMIFS('06_规则命中'!$J$6:$J$405,'06_规则命中'!$D$6:$D$405,A117,'06_规则命中'!$C$6:$C$405,"开发集",'06_规则命中'!$N$6:$N$405,"是")/COUNTIFS('06_规则命中'!$D$6:$D$405,A117,'06_规则命中'!$C$6:$C$405,"开发集",'06_规则命中'!$I$6:$I$405,"&lt;&gt;不可评估",'06_规则命中'!$N$6:$N$405,"是"),"")</x:f>
      </x:c>
      <x:c r="Q117" s="108" t="str">
        <x:f>IFERROR(SUMIFS('06_规则命中'!$J$6:$J$405,'06_规则命中'!$D$6:$D$405,A117,'06_规则命中'!$C$6:$C$405,"留出集",'06_规则命中'!$N$6:$N$405,"是")/COUNTIFS('06_规则命中'!$D$6:$D$405,A117,'06_规则命中'!$C$6:$C$405,"留出集",'06_规则命中'!$I$6:$I$405,"&lt;&gt;不可评估",'06_规则命中'!$N$6:$N$405,"是"),"")</x:f>
      </x:c>
      <x:c r="R117" s="70" t="str">
        <x:f>IF(K117=0,"P0 待验证",IF(K117&lt;3,"P1 极少样本",IF(K117&lt;6,"P2 探索",IF(K117&lt;12,"P3 初步","P4 稳定候选"))))</x:f>
        <x:v>P0 待验证</x:v>
      </x:c>
      <x:c r="S117" s="70" t="str">
        <x:f>IF(O117&gt;0,"立即安全审查",IF(K117&lt;3,"样本不足",IF(AND(K117&gt;=4,M117&gt;=0.6),"停用候选",IF(AND(K117&gt;=6,M117&gt;=0.4),"优先修改",IF(AND(K117&gt;=8,L117&gt;=0.75,M117&lt;=0.15,N117=0),"保留观察",IF(AND(P117&lt;&gt;"",Q117&lt;&gt;"",ABS(P117-Q117)&gt;0.25),"疑似过拟合","继续验证"))))))</x:f>
        <x:v>样本不足</x:v>
      </x:c>
      <x:c r="T117" s="70" t="str"/>
      <x:c r="U117" s="70" t="str">
        <x:v>待验证</x:v>
      </x:c>
      <x:c r="V117" s="70" t="str"/>
      <x:c r="W117" s="70" t="str"/>
    </x:row>
    <x:row r="118">
      <x:c r="A118" s="70" t="str">
        <x:v>M5-SYNTH-311</x:v>
      </x:c>
      <x:c r="B118" s="70" t="str">
        <x:v>SYNTH</x:v>
      </x:c>
      <x:c r="C118" s="70" t="str">
        <x:v>JSON统一输出契约</x:v>
      </x:c>
      <x:c r="D118" s="70" t="str">
        <x:v>待验证</x:v>
      </x:c>
      <x:c r="E118" s="70" t="n">
        <x:f>COUNTIFS('06_规则命中'!$D$6:$D$405,A118,'06_规则命中'!$I$6:$I$405,"支持",'06_规则命中'!$N$6:$N$405,"是")</x:f>
        <x:v>0</x:v>
      </x:c>
      <x:c r="F118" s="70" t="n">
        <x:f>COUNTIFS('06_规则命中'!$D$6:$D$405,A118,'06_规则命中'!$I$6:$I$405,"基本支持",'06_规则命中'!$N$6:$N$405,"是")</x:f>
        <x:v>0</x:v>
      </x:c>
      <x:c r="G118" s="70" t="n">
        <x:f>COUNTIFS('06_规则命中'!$D$6:$D$405,A118,'06_规则命中'!$I$6:$I$405,"部分支持",'06_规则命中'!$N$6:$N$405,"是")</x:f>
        <x:v>0</x:v>
      </x:c>
      <x:c r="H118" s="70" t="n">
        <x:f>COUNTIFS('06_规则命中'!$D$6:$D$405,A118,'06_规则命中'!$I$6:$I$405,"相邻但不同",'06_规则命中'!$N$6:$N$405,"是")</x:f>
        <x:v>0</x:v>
      </x:c>
      <x:c r="I118" s="70" t="n">
        <x:f>COUNTIFS('06_规则命中'!$D$6:$D$405,A118,'06_规则命中'!$I$6:$I$405,"反例",'06_规则命中'!$N$6:$N$405,"是")</x:f>
        <x:v>0</x:v>
      </x:c>
      <x:c r="J118" s="70" t="n">
        <x:f>COUNTIFS('06_规则命中'!$D$6:$D$405,A118,'06_规则命中'!$I$6:$I$405,"不可评估",'06_规则命中'!$N$6:$N$405,"是")</x:f>
        <x:v>0</x:v>
      </x:c>
      <x:c r="K118" s="70" t="n">
        <x:f>SUM(E118:I118)</x:f>
        <x:v>0</x:v>
      </x:c>
      <x:c r="L118" s="108" t="str">
        <x:f>IFERROR((E118+0.75*F118+0.5*G118+0.25*H118)/K118,"")</x:f>
      </x:c>
      <x:c r="M118" s="108" t="str">
        <x:f>IFERROR(I118/K118,"")</x:f>
      </x:c>
      <x:c r="N118" s="70" t="n">
        <x:f>COUNTIFS('08_反例与错误'!$E$6:$E$155,A118,'08_反例与错误'!$H$6:$H$155,"强")+COUNTIFS('08_反例与错误'!$E$6:$E$155,A118,'08_反例与错误'!$H$6:$H$155,"安全")</x:f>
        <x:v>0</x:v>
      </x:c>
      <x:c r="O118" s="70" t="n">
        <x:f>COUNTIFS('06_规则命中'!$D$6:$D$405,A118,'06_规则命中'!$I$6:$I$405,"反例",'06_规则命中'!$L$6:$L$405,"是",'06_规则命中'!$N$6:$N$405,"是")</x:f>
        <x:v>0</x:v>
      </x:c>
      <x:c r="P118" s="108" t="str">
        <x:f>IFERROR(SUMIFS('06_规则命中'!$J$6:$J$405,'06_规则命中'!$D$6:$D$405,A118,'06_规则命中'!$C$6:$C$405,"开发集",'06_规则命中'!$N$6:$N$405,"是")/COUNTIFS('06_规则命中'!$D$6:$D$405,A118,'06_规则命中'!$C$6:$C$405,"开发集",'06_规则命中'!$I$6:$I$405,"&lt;&gt;不可评估",'06_规则命中'!$N$6:$N$405,"是"),"")</x:f>
      </x:c>
      <x:c r="Q118" s="108" t="str">
        <x:f>IFERROR(SUMIFS('06_规则命中'!$J$6:$J$405,'06_规则命中'!$D$6:$D$405,A118,'06_规则命中'!$C$6:$C$405,"留出集",'06_规则命中'!$N$6:$N$405,"是")/COUNTIFS('06_规则命中'!$D$6:$D$405,A118,'06_规则命中'!$C$6:$C$405,"留出集",'06_规则命中'!$I$6:$I$405,"&lt;&gt;不可评估",'06_规则命中'!$N$6:$N$405,"是"),"")</x:f>
      </x:c>
      <x:c r="R118" s="70" t="str">
        <x:f>IF(K118=0,"P0 待验证",IF(K118&lt;3,"P1 极少样本",IF(K118&lt;6,"P2 探索",IF(K118&lt;12,"P3 初步","P4 稳定候选"))))</x:f>
        <x:v>P0 待验证</x:v>
      </x:c>
      <x:c r="S118" s="70" t="str">
        <x:f>IF(O118&gt;0,"立即安全审查",IF(K118&lt;3,"样本不足",IF(AND(K118&gt;=4,M118&gt;=0.6),"停用候选",IF(AND(K118&gt;=6,M118&gt;=0.4),"优先修改",IF(AND(K118&gt;=8,L118&gt;=0.75,M118&lt;=0.15,N118=0),"保留观察",IF(AND(P118&lt;&gt;"",Q118&lt;&gt;"",ABS(P118-Q118)&gt;0.25),"疑似过拟合","继续验证"))))))</x:f>
        <x:v>样本不足</x:v>
      </x:c>
      <x:c r="T118" s="70" t="str"/>
      <x:c r="U118" s="70" t="str">
        <x:v>待验证</x:v>
      </x:c>
      <x:c r="V118" s="70" t="str"/>
      <x:c r="W118" s="70" t="str"/>
    </x:row>
    <x:row r="119">
      <x:c r="A119" s="70" t="str">
        <x:v>M5-SYNTH-312</x:v>
      </x:c>
      <x:c r="B119" s="70" t="str">
        <x:v>SYNTH</x:v>
      </x:c>
      <x:c r="C119" s="70" t="str">
        <x:v>JSON必须保留provenance与logs</x:v>
      </x:c>
      <x:c r="D119" s="70" t="str">
        <x:v>待验证</x:v>
      </x:c>
      <x:c r="E119" s="70" t="n">
        <x:f>COUNTIFS('06_规则命中'!$D$6:$D$405,A119,'06_规则命中'!$I$6:$I$405,"支持",'06_规则命中'!$N$6:$N$405,"是")</x:f>
        <x:v>0</x:v>
      </x:c>
      <x:c r="F119" s="70" t="n">
        <x:f>COUNTIFS('06_规则命中'!$D$6:$D$405,A119,'06_规则命中'!$I$6:$I$405,"基本支持",'06_规则命中'!$N$6:$N$405,"是")</x:f>
        <x:v>0</x:v>
      </x:c>
      <x:c r="G119" s="70" t="n">
        <x:f>COUNTIFS('06_规则命中'!$D$6:$D$405,A119,'06_规则命中'!$I$6:$I$405,"部分支持",'06_规则命中'!$N$6:$N$405,"是")</x:f>
        <x:v>0</x:v>
      </x:c>
      <x:c r="H119" s="70" t="n">
        <x:f>COUNTIFS('06_规则命中'!$D$6:$D$405,A119,'06_规则命中'!$I$6:$I$405,"相邻但不同",'06_规则命中'!$N$6:$N$405,"是")</x:f>
        <x:v>0</x:v>
      </x:c>
      <x:c r="I119" s="70" t="n">
        <x:f>COUNTIFS('06_规则命中'!$D$6:$D$405,A119,'06_规则命中'!$I$6:$I$405,"反例",'06_规则命中'!$N$6:$N$405,"是")</x:f>
        <x:v>0</x:v>
      </x:c>
      <x:c r="J119" s="70" t="n">
        <x:f>COUNTIFS('06_规则命中'!$D$6:$D$405,A119,'06_规则命中'!$I$6:$I$405,"不可评估",'06_规则命中'!$N$6:$N$405,"是")</x:f>
        <x:v>0</x:v>
      </x:c>
      <x:c r="K119" s="70" t="n">
        <x:f>SUM(E119:I119)</x:f>
        <x:v>0</x:v>
      </x:c>
      <x:c r="L119" s="108" t="str">
        <x:f>IFERROR((E119+0.75*F119+0.5*G119+0.25*H119)/K119,"")</x:f>
      </x:c>
      <x:c r="M119" s="108" t="str">
        <x:f>IFERROR(I119/K119,"")</x:f>
      </x:c>
      <x:c r="N119" s="70" t="n">
        <x:f>COUNTIFS('08_反例与错误'!$E$6:$E$155,A119,'08_反例与错误'!$H$6:$H$155,"强")+COUNTIFS('08_反例与错误'!$E$6:$E$155,A119,'08_反例与错误'!$H$6:$H$155,"安全")</x:f>
        <x:v>0</x:v>
      </x:c>
      <x:c r="O119" s="70" t="n">
        <x:f>COUNTIFS('06_规则命中'!$D$6:$D$405,A119,'06_规则命中'!$I$6:$I$405,"反例",'06_规则命中'!$L$6:$L$405,"是",'06_规则命中'!$N$6:$N$405,"是")</x:f>
        <x:v>0</x:v>
      </x:c>
      <x:c r="P119" s="108" t="str">
        <x:f>IFERROR(SUMIFS('06_规则命中'!$J$6:$J$405,'06_规则命中'!$D$6:$D$405,A119,'06_规则命中'!$C$6:$C$405,"开发集",'06_规则命中'!$N$6:$N$405,"是")/COUNTIFS('06_规则命中'!$D$6:$D$405,A119,'06_规则命中'!$C$6:$C$405,"开发集",'06_规则命中'!$I$6:$I$405,"&lt;&gt;不可评估",'06_规则命中'!$N$6:$N$405,"是"),"")</x:f>
      </x:c>
      <x:c r="Q119" s="108" t="str">
        <x:f>IFERROR(SUMIFS('06_规则命中'!$J$6:$J$405,'06_规则命中'!$D$6:$D$405,A119,'06_规则命中'!$C$6:$C$405,"留出集",'06_规则命中'!$N$6:$N$405,"是")/COUNTIFS('06_规则命中'!$D$6:$D$405,A119,'06_规则命中'!$C$6:$C$405,"留出集",'06_规则命中'!$I$6:$I$405,"&lt;&gt;不可评估",'06_规则命中'!$N$6:$N$405,"是"),"")</x:f>
      </x:c>
      <x:c r="R119" s="70" t="str">
        <x:f>IF(K119=0,"P0 待验证",IF(K119&lt;3,"P1 极少样本",IF(K119&lt;6,"P2 探索",IF(K119&lt;12,"P3 初步","P4 稳定候选"))))</x:f>
        <x:v>P0 待验证</x:v>
      </x:c>
      <x:c r="S119" s="70" t="str">
        <x:f>IF(O119&gt;0,"立即安全审查",IF(K119&lt;3,"样本不足",IF(AND(K119&gt;=4,M119&gt;=0.6),"停用候选",IF(AND(K119&gt;=6,M119&gt;=0.4),"优先修改",IF(AND(K119&gt;=8,L119&gt;=0.75,M119&lt;=0.15,N119=0),"保留观察",IF(AND(P119&lt;&gt;"",Q119&lt;&gt;"",ABS(P119-Q119)&gt;0.25),"疑似过拟合","继续验证"))))))</x:f>
        <x:v>样本不足</x:v>
      </x:c>
      <x:c r="T119" s="70" t="str"/>
      <x:c r="U119" s="70" t="str">
        <x:v>待验证</x:v>
      </x:c>
      <x:c r="V119" s="70" t="str"/>
      <x:c r="W119" s="70" t="str"/>
    </x:row>
    <x:row r="120">
      <x:c r="A120" s="70" t="str">
        <x:v>M5-SYNTH-317</x:v>
      </x:c>
      <x:c r="B120" s="70" t="str">
        <x:v>SYNTH</x:v>
      </x:c>
      <x:c r="C120" s="70" t="str">
        <x:v>测试场景｜边界安全停止</x:v>
      </x:c>
      <x:c r="D120" s="70" t="str">
        <x:v>待验证</x:v>
      </x:c>
      <x:c r="E120" s="70" t="n">
        <x:f>COUNTIFS('06_规则命中'!$D$6:$D$405,A120,'06_规则命中'!$I$6:$I$405,"支持",'06_规则命中'!$N$6:$N$405,"是")</x:f>
        <x:v>0</x:v>
      </x:c>
      <x:c r="F120" s="70" t="n">
        <x:f>COUNTIFS('06_规则命中'!$D$6:$D$405,A120,'06_规则命中'!$I$6:$I$405,"基本支持",'06_规则命中'!$N$6:$N$405,"是")</x:f>
        <x:v>0</x:v>
      </x:c>
      <x:c r="G120" s="70" t="n">
        <x:f>COUNTIFS('06_规则命中'!$D$6:$D$405,A120,'06_规则命中'!$I$6:$I$405,"部分支持",'06_规则命中'!$N$6:$N$405,"是")</x:f>
        <x:v>0</x:v>
      </x:c>
      <x:c r="H120" s="70" t="n">
        <x:f>COUNTIFS('06_规则命中'!$D$6:$D$405,A120,'06_规则命中'!$I$6:$I$405,"相邻但不同",'06_规则命中'!$N$6:$N$405,"是")</x:f>
        <x:v>0</x:v>
      </x:c>
      <x:c r="I120" s="70" t="n">
        <x:f>COUNTIFS('06_规则命中'!$D$6:$D$405,A120,'06_规则命中'!$I$6:$I$405,"反例",'06_规则命中'!$N$6:$N$405,"是")</x:f>
        <x:v>0</x:v>
      </x:c>
      <x:c r="J120" s="70" t="n">
        <x:f>COUNTIFS('06_规则命中'!$D$6:$D$405,A120,'06_规则命中'!$I$6:$I$405,"不可评估",'06_规则命中'!$N$6:$N$405,"是")</x:f>
        <x:v>0</x:v>
      </x:c>
      <x:c r="K120" s="70" t="n">
        <x:f>SUM(E120:I120)</x:f>
        <x:v>0</x:v>
      </x:c>
      <x:c r="L120" s="108" t="str">
        <x:f>IFERROR((E120+0.75*F120+0.5*G120+0.25*H120)/K120,"")</x:f>
      </x:c>
      <x:c r="M120" s="108" t="str">
        <x:f>IFERROR(I120/K120,"")</x:f>
      </x:c>
      <x:c r="N120" s="70" t="n">
        <x:f>COUNTIFS('08_反例与错误'!$E$6:$E$155,A120,'08_反例与错误'!$H$6:$H$155,"强")+COUNTIFS('08_反例与错误'!$E$6:$E$155,A120,'08_反例与错误'!$H$6:$H$155,"安全")</x:f>
        <x:v>0</x:v>
      </x:c>
      <x:c r="O120" s="70" t="n">
        <x:f>COUNTIFS('06_规则命中'!$D$6:$D$405,A120,'06_规则命中'!$I$6:$I$405,"反例",'06_规则命中'!$L$6:$L$405,"是",'06_规则命中'!$N$6:$N$405,"是")</x:f>
        <x:v>0</x:v>
      </x:c>
      <x:c r="P120" s="108" t="str">
        <x:f>IFERROR(SUMIFS('06_规则命中'!$J$6:$J$405,'06_规则命中'!$D$6:$D$405,A120,'06_规则命中'!$C$6:$C$405,"开发集",'06_规则命中'!$N$6:$N$405,"是")/COUNTIFS('06_规则命中'!$D$6:$D$405,A120,'06_规则命中'!$C$6:$C$405,"开发集",'06_规则命中'!$I$6:$I$405,"&lt;&gt;不可评估",'06_规则命中'!$N$6:$N$405,"是"),"")</x:f>
      </x:c>
      <x:c r="Q120" s="108" t="str">
        <x:f>IFERROR(SUMIFS('06_规则命中'!$J$6:$J$405,'06_规则命中'!$D$6:$D$405,A120,'06_规则命中'!$C$6:$C$405,"留出集",'06_规则命中'!$N$6:$N$405,"是")/COUNTIFS('06_规则命中'!$D$6:$D$405,A120,'06_规则命中'!$C$6:$C$405,"留出集",'06_规则命中'!$I$6:$I$405,"&lt;&gt;不可评估",'06_规则命中'!$N$6:$N$405,"是"),"")</x:f>
      </x:c>
      <x:c r="R120" s="70" t="str">
        <x:f>IF(K120=0,"P0 待验证",IF(K120&lt;3,"P1 极少样本",IF(K120&lt;6,"P2 探索",IF(K120&lt;12,"P3 初步","P4 稳定候选"))))</x:f>
        <x:v>P0 待验证</x:v>
      </x:c>
      <x:c r="S120" s="70" t="str">
        <x:f>IF(O120&gt;0,"立即安全审查",IF(K120&lt;3,"样本不足",IF(AND(K120&gt;=4,M120&gt;=0.6),"停用候选",IF(AND(K120&gt;=6,M120&gt;=0.4),"优先修改",IF(AND(K120&gt;=8,L120&gt;=0.75,M120&lt;=0.15,N120=0),"保留观察",IF(AND(P120&lt;&gt;"",Q120&lt;&gt;"",ABS(P120-Q120)&gt;0.25),"疑似过拟合","继续验证"))))))</x:f>
        <x:v>样本不足</x:v>
      </x:c>
      <x:c r="T120" s="70" t="str"/>
      <x:c r="U120" s="70" t="str">
        <x:v>待验证</x:v>
      </x:c>
      <x:c r="V120" s="70" t="str"/>
      <x:c r="W120" s="70" t="str"/>
    </x:row>
    <x:row r="121">
      <x:c r="A121" s="70" t="str">
        <x:v>M5-SYNTH-120</x:v>
      </x:c>
      <x:c r="B121" s="70" t="str">
        <x:v>SYNTH</x:v>
      </x:c>
      <x:c r="C121" s="70" t="str">
        <x:v>RG02现实门槛｜失败或未知</x:v>
      </x:c>
      <x:c r="D121" s="70" t="str">
        <x:v>待验证</x:v>
      </x:c>
      <x:c r="E121" s="70" t="n">
        <x:f>COUNTIFS('06_规则命中'!$D$6:$D$405,A121,'06_规则命中'!$I$6:$I$405,"支持",'06_规则命中'!$N$6:$N$405,"是")</x:f>
        <x:v>0</x:v>
      </x:c>
      <x:c r="F121" s="70" t="n">
        <x:f>COUNTIFS('06_规则命中'!$D$6:$D$405,A121,'06_规则命中'!$I$6:$I$405,"基本支持",'06_规则命中'!$N$6:$N$405,"是")</x:f>
        <x:v>0</x:v>
      </x:c>
      <x:c r="G121" s="70" t="n">
        <x:f>COUNTIFS('06_规则命中'!$D$6:$D$405,A121,'06_规则命中'!$I$6:$I$405,"部分支持",'06_规则命中'!$N$6:$N$405,"是")</x:f>
        <x:v>0</x:v>
      </x:c>
      <x:c r="H121" s="70" t="n">
        <x:f>COUNTIFS('06_规则命中'!$D$6:$D$405,A121,'06_规则命中'!$I$6:$I$405,"相邻但不同",'06_规则命中'!$N$6:$N$405,"是")</x:f>
        <x:v>0</x:v>
      </x:c>
      <x:c r="I121" s="70" t="n">
        <x:f>COUNTIFS('06_规则命中'!$D$6:$D$405,A121,'06_规则命中'!$I$6:$I$405,"反例",'06_规则命中'!$N$6:$N$405,"是")</x:f>
        <x:v>0</x:v>
      </x:c>
      <x:c r="J121" s="70" t="n">
        <x:f>COUNTIFS('06_规则命中'!$D$6:$D$405,A121,'06_规则命中'!$I$6:$I$405,"不可评估",'06_规则命中'!$N$6:$N$405,"是")</x:f>
        <x:v>0</x:v>
      </x:c>
      <x:c r="K121" s="70" t="n">
        <x:f>SUM(E121:I121)</x:f>
        <x:v>0</x:v>
      </x:c>
      <x:c r="L121" s="108" t="str">
        <x:f>IFERROR((E121+0.75*F121+0.5*G121+0.25*H121)/K121,"")</x:f>
      </x:c>
      <x:c r="M121" s="108" t="str">
        <x:f>IFERROR(I121/K121,"")</x:f>
      </x:c>
      <x:c r="N121" s="70" t="n">
        <x:f>COUNTIFS('08_反例与错误'!$E$6:$E$155,A121,'08_反例与错误'!$H$6:$H$155,"强")+COUNTIFS('08_反例与错误'!$E$6:$E$155,A121,'08_反例与错误'!$H$6:$H$155,"安全")</x:f>
        <x:v>0</x:v>
      </x:c>
      <x:c r="O121" s="70" t="n">
        <x:f>COUNTIFS('06_规则命中'!$D$6:$D$405,A121,'06_规则命中'!$I$6:$I$405,"反例",'06_规则命中'!$L$6:$L$405,"是",'06_规则命中'!$N$6:$N$405,"是")</x:f>
        <x:v>0</x:v>
      </x:c>
      <x:c r="P121" s="108" t="str">
        <x:f>IFERROR(SUMIFS('06_规则命中'!$J$6:$J$405,'06_规则命中'!$D$6:$D$405,A121,'06_规则命中'!$C$6:$C$405,"开发集",'06_规则命中'!$N$6:$N$405,"是")/COUNTIFS('06_规则命中'!$D$6:$D$405,A121,'06_规则命中'!$C$6:$C$405,"开发集",'06_规则命中'!$I$6:$I$405,"&lt;&gt;不可评估",'06_规则命中'!$N$6:$N$405,"是"),"")</x:f>
      </x:c>
      <x:c r="Q121" s="108" t="str">
        <x:f>IFERROR(SUMIFS('06_规则命中'!$J$6:$J$405,'06_规则命中'!$D$6:$D$405,A121,'06_规则命中'!$C$6:$C$405,"留出集",'06_规则命中'!$N$6:$N$405,"是")/COUNTIFS('06_规则命中'!$D$6:$D$405,A121,'06_规则命中'!$C$6:$C$405,"留出集",'06_规则命中'!$I$6:$I$405,"&lt;&gt;不可评估",'06_规则命中'!$N$6:$N$405,"是"),"")</x:f>
      </x:c>
      <x:c r="R121" s="70" t="str">
        <x:f>IF(K121=0,"P0 待验证",IF(K121&lt;3,"P1 极少样本",IF(K121&lt;6,"P2 探索",IF(K121&lt;12,"P3 初步","P4 稳定候选"))))</x:f>
        <x:v>P0 待验证</x:v>
      </x:c>
      <x:c r="S121" s="70" t="str">
        <x:f>IF(O121&gt;0,"立即安全审查",IF(K121&lt;3,"样本不足",IF(AND(K121&gt;=4,M121&gt;=0.6),"停用候选",IF(AND(K121&gt;=6,M121&gt;=0.4),"优先修改",IF(AND(K121&gt;=8,L121&gt;=0.75,M121&lt;=0.15,N121=0),"保留观察",IF(AND(P121&lt;&gt;"",Q121&lt;&gt;"",ABS(P121-Q121)&gt;0.25),"疑似过拟合","继续验证"))))))</x:f>
        <x:v>样本不足</x:v>
      </x:c>
      <x:c r="T121" s="70" t="str"/>
      <x:c r="U121" s="70" t="str">
        <x:v>待验证</x:v>
      </x:c>
      <x:c r="V121" s="70" t="str"/>
      <x:c r="W121" s="70" t="str"/>
    </x:row>
    <x:row r="122">
      <x:c r="A122" s="70" t="str">
        <x:v>M5-SYNTH-124</x:v>
      </x:c>
      <x:c r="B122" s="70" t="str">
        <x:v>SYNTH</x:v>
      </x:c>
      <x:c r="C122" s="70" t="str">
        <x:v>RG03现实门槛｜失败或未知</x:v>
      </x:c>
      <x:c r="D122" s="70" t="str">
        <x:v>待验证</x:v>
      </x:c>
      <x:c r="E122" s="70" t="n">
        <x:f>COUNTIFS('06_规则命中'!$D$6:$D$405,A122,'06_规则命中'!$I$6:$I$405,"支持",'06_规则命中'!$N$6:$N$405,"是")</x:f>
        <x:v>0</x:v>
      </x:c>
      <x:c r="F122" s="70" t="n">
        <x:f>COUNTIFS('06_规则命中'!$D$6:$D$405,A122,'06_规则命中'!$I$6:$I$405,"基本支持",'06_规则命中'!$N$6:$N$405,"是")</x:f>
        <x:v>0</x:v>
      </x:c>
      <x:c r="G122" s="70" t="n">
        <x:f>COUNTIFS('06_规则命中'!$D$6:$D$405,A122,'06_规则命中'!$I$6:$I$405,"部分支持",'06_规则命中'!$N$6:$N$405,"是")</x:f>
        <x:v>0</x:v>
      </x:c>
      <x:c r="H122" s="70" t="n">
        <x:f>COUNTIFS('06_规则命中'!$D$6:$D$405,A122,'06_规则命中'!$I$6:$I$405,"相邻但不同",'06_规则命中'!$N$6:$N$405,"是")</x:f>
        <x:v>0</x:v>
      </x:c>
      <x:c r="I122" s="70" t="n">
        <x:f>COUNTIFS('06_规则命中'!$D$6:$D$405,A122,'06_规则命中'!$I$6:$I$405,"反例",'06_规则命中'!$N$6:$N$405,"是")</x:f>
        <x:v>0</x:v>
      </x:c>
      <x:c r="J122" s="70" t="n">
        <x:f>COUNTIFS('06_规则命中'!$D$6:$D$405,A122,'06_规则命中'!$I$6:$I$405,"不可评估",'06_规则命中'!$N$6:$N$405,"是")</x:f>
        <x:v>0</x:v>
      </x:c>
      <x:c r="K122" s="70" t="n">
        <x:f>SUM(E122:I122)</x:f>
        <x:v>0</x:v>
      </x:c>
      <x:c r="L122" s="108" t="str">
        <x:f>IFERROR((E122+0.75*F122+0.5*G122+0.25*H122)/K122,"")</x:f>
      </x:c>
      <x:c r="M122" s="108" t="str">
        <x:f>IFERROR(I122/K122,"")</x:f>
      </x:c>
      <x:c r="N122" s="70" t="n">
        <x:f>COUNTIFS('08_反例与错误'!$E$6:$E$155,A122,'08_反例与错误'!$H$6:$H$155,"强")+COUNTIFS('08_反例与错误'!$E$6:$E$155,A122,'08_反例与错误'!$H$6:$H$155,"安全")</x:f>
        <x:v>0</x:v>
      </x:c>
      <x:c r="O122" s="70" t="n">
        <x:f>COUNTIFS('06_规则命中'!$D$6:$D$405,A122,'06_规则命中'!$I$6:$I$405,"反例",'06_规则命中'!$L$6:$L$405,"是",'06_规则命中'!$N$6:$N$405,"是")</x:f>
        <x:v>0</x:v>
      </x:c>
      <x:c r="P122" s="108" t="str">
        <x:f>IFERROR(SUMIFS('06_规则命中'!$J$6:$J$405,'06_规则命中'!$D$6:$D$405,A122,'06_规则命中'!$C$6:$C$405,"开发集",'06_规则命中'!$N$6:$N$405,"是")/COUNTIFS('06_规则命中'!$D$6:$D$405,A122,'06_规则命中'!$C$6:$C$405,"开发集",'06_规则命中'!$I$6:$I$405,"&lt;&gt;不可评估",'06_规则命中'!$N$6:$N$405,"是"),"")</x:f>
      </x:c>
      <x:c r="Q122" s="108" t="str">
        <x:f>IFERROR(SUMIFS('06_规则命中'!$J$6:$J$405,'06_规则命中'!$D$6:$D$405,A122,'06_规则命中'!$C$6:$C$405,"留出集",'06_规则命中'!$N$6:$N$405,"是")/COUNTIFS('06_规则命中'!$D$6:$D$405,A122,'06_规则命中'!$C$6:$C$405,"留出集",'06_规则命中'!$I$6:$I$405,"&lt;&gt;不可评估",'06_规则命中'!$N$6:$N$405,"是"),"")</x:f>
      </x:c>
      <x:c r="R122" s="70" t="str">
        <x:f>IF(K122=0,"P0 待验证",IF(K122&lt;3,"P1 极少样本",IF(K122&lt;6,"P2 探索",IF(K122&lt;12,"P3 初步","P4 稳定候选"))))</x:f>
        <x:v>P0 待验证</x:v>
      </x:c>
      <x:c r="S122" s="70" t="str">
        <x:f>IF(O122&gt;0,"立即安全审查",IF(K122&lt;3,"样本不足",IF(AND(K122&gt;=4,M122&gt;=0.6),"停用候选",IF(AND(K122&gt;=6,M122&gt;=0.4),"优先修改",IF(AND(K122&gt;=8,L122&gt;=0.75,M122&lt;=0.15,N122=0),"保留观察",IF(AND(P122&lt;&gt;"",Q122&lt;&gt;"",ABS(P122-Q122)&gt;0.25),"疑似过拟合","继续验证"))))))</x:f>
        <x:v>样本不足</x:v>
      </x:c>
      <x:c r="T122" s="70" t="str"/>
      <x:c r="U122" s="70" t="str">
        <x:v>待验证</x:v>
      </x:c>
      <x:c r="V122" s="70" t="str"/>
      <x:c r="W122" s="70" t="str"/>
    </x:row>
    <x:row r="123">
      <x:c r="A123" s="70" t="str">
        <x:v>M5-SYNTH-128</x:v>
      </x:c>
      <x:c r="B123" s="70" t="str">
        <x:v>SYNTH</x:v>
      </x:c>
      <x:c r="C123" s="70" t="str">
        <x:v>RG04现实门槛｜失败或未知</x:v>
      </x:c>
      <x:c r="D123" s="70" t="str">
        <x:v>待验证</x:v>
      </x:c>
      <x:c r="E123" s="70" t="n">
        <x:f>COUNTIFS('06_规则命中'!$D$6:$D$405,A123,'06_规则命中'!$I$6:$I$405,"支持",'06_规则命中'!$N$6:$N$405,"是")</x:f>
        <x:v>0</x:v>
      </x:c>
      <x:c r="F123" s="70" t="n">
        <x:f>COUNTIFS('06_规则命中'!$D$6:$D$405,A123,'06_规则命中'!$I$6:$I$405,"基本支持",'06_规则命中'!$N$6:$N$405,"是")</x:f>
        <x:v>0</x:v>
      </x:c>
      <x:c r="G123" s="70" t="n">
        <x:f>COUNTIFS('06_规则命中'!$D$6:$D$405,A123,'06_规则命中'!$I$6:$I$405,"部分支持",'06_规则命中'!$N$6:$N$405,"是")</x:f>
        <x:v>0</x:v>
      </x:c>
      <x:c r="H123" s="70" t="n">
        <x:f>COUNTIFS('06_规则命中'!$D$6:$D$405,A123,'06_规则命中'!$I$6:$I$405,"相邻但不同",'06_规则命中'!$N$6:$N$405,"是")</x:f>
        <x:v>0</x:v>
      </x:c>
      <x:c r="I123" s="70" t="n">
        <x:f>COUNTIFS('06_规则命中'!$D$6:$D$405,A123,'06_规则命中'!$I$6:$I$405,"反例",'06_规则命中'!$N$6:$N$405,"是")</x:f>
        <x:v>0</x:v>
      </x:c>
      <x:c r="J123" s="70" t="n">
        <x:f>COUNTIFS('06_规则命中'!$D$6:$D$405,A123,'06_规则命中'!$I$6:$I$405,"不可评估",'06_规则命中'!$N$6:$N$405,"是")</x:f>
        <x:v>0</x:v>
      </x:c>
      <x:c r="K123" s="70" t="n">
        <x:f>SUM(E123:I123)</x:f>
        <x:v>0</x:v>
      </x:c>
      <x:c r="L123" s="108" t="str">
        <x:f>IFERROR((E123+0.75*F123+0.5*G123+0.25*H123)/K123,"")</x:f>
      </x:c>
      <x:c r="M123" s="108" t="str">
        <x:f>IFERROR(I123/K123,"")</x:f>
      </x:c>
      <x:c r="N123" s="70" t="n">
        <x:f>COUNTIFS('08_反例与错误'!$E$6:$E$155,A123,'08_反例与错误'!$H$6:$H$155,"强")+COUNTIFS('08_反例与错误'!$E$6:$E$155,A123,'08_反例与错误'!$H$6:$H$155,"安全")</x:f>
        <x:v>0</x:v>
      </x:c>
      <x:c r="O123" s="70" t="n">
        <x:f>COUNTIFS('06_规则命中'!$D$6:$D$405,A123,'06_规则命中'!$I$6:$I$405,"反例",'06_规则命中'!$L$6:$L$405,"是",'06_规则命中'!$N$6:$N$405,"是")</x:f>
        <x:v>0</x:v>
      </x:c>
      <x:c r="P123" s="108" t="str">
        <x:f>IFERROR(SUMIFS('06_规则命中'!$J$6:$J$405,'06_规则命中'!$D$6:$D$405,A123,'06_规则命中'!$C$6:$C$405,"开发集",'06_规则命中'!$N$6:$N$405,"是")/COUNTIFS('06_规则命中'!$D$6:$D$405,A123,'06_规则命中'!$C$6:$C$405,"开发集",'06_规则命中'!$I$6:$I$405,"&lt;&gt;不可评估",'06_规则命中'!$N$6:$N$405,"是"),"")</x:f>
      </x:c>
      <x:c r="Q123" s="108" t="str">
        <x:f>IFERROR(SUMIFS('06_规则命中'!$J$6:$J$405,'06_规则命中'!$D$6:$D$405,A123,'06_规则命中'!$C$6:$C$405,"留出集",'06_规则命中'!$N$6:$N$405,"是")/COUNTIFS('06_规则命中'!$D$6:$D$405,A123,'06_规则命中'!$C$6:$C$405,"留出集",'06_规则命中'!$I$6:$I$405,"&lt;&gt;不可评估",'06_规则命中'!$N$6:$N$405,"是"),"")</x:f>
      </x:c>
      <x:c r="R123" s="70" t="str">
        <x:f>IF(K123=0,"P0 待验证",IF(K123&lt;3,"P1 极少样本",IF(K123&lt;6,"P2 探索",IF(K123&lt;12,"P3 初步","P4 稳定候选"))))</x:f>
        <x:v>P0 待验证</x:v>
      </x:c>
      <x:c r="S123" s="70" t="str">
        <x:f>IF(O123&gt;0,"立即安全审查",IF(K123&lt;3,"样本不足",IF(AND(K123&gt;=4,M123&gt;=0.6),"停用候选",IF(AND(K123&gt;=6,M123&gt;=0.4),"优先修改",IF(AND(K123&gt;=8,L123&gt;=0.75,M123&lt;=0.15,N123=0),"保留观察",IF(AND(P123&lt;&gt;"",Q123&lt;&gt;"",ABS(P123-Q123)&gt;0.25),"疑似过拟合","继续验证"))))))</x:f>
        <x:v>样本不足</x:v>
      </x:c>
      <x:c r="T123" s="70" t="str"/>
      <x:c r="U123" s="70" t="str">
        <x:v>待验证</x:v>
      </x:c>
      <x:c r="V123" s="70" t="str"/>
      <x:c r="W123" s="70" t="str"/>
    </x:row>
    <x:row r="124">
      <x:c r="A124" s="70" t="str">
        <x:v>M5-SYNTH-132</x:v>
      </x:c>
      <x:c r="B124" s="70" t="str">
        <x:v>SYNTH</x:v>
      </x:c>
      <x:c r="C124" s="70" t="str">
        <x:v>RG05现实门槛｜失败或未知</x:v>
      </x:c>
      <x:c r="D124" s="70" t="str">
        <x:v>待验证</x:v>
      </x:c>
      <x:c r="E124" s="70" t="n">
        <x:f>COUNTIFS('06_规则命中'!$D$6:$D$405,A124,'06_规则命中'!$I$6:$I$405,"支持",'06_规则命中'!$N$6:$N$405,"是")</x:f>
        <x:v>0</x:v>
      </x:c>
      <x:c r="F124" s="70" t="n">
        <x:f>COUNTIFS('06_规则命中'!$D$6:$D$405,A124,'06_规则命中'!$I$6:$I$405,"基本支持",'06_规则命中'!$N$6:$N$405,"是")</x:f>
        <x:v>0</x:v>
      </x:c>
      <x:c r="G124" s="70" t="n">
        <x:f>COUNTIFS('06_规则命中'!$D$6:$D$405,A124,'06_规则命中'!$I$6:$I$405,"部分支持",'06_规则命中'!$N$6:$N$405,"是")</x:f>
        <x:v>0</x:v>
      </x:c>
      <x:c r="H124" s="70" t="n">
        <x:f>COUNTIFS('06_规则命中'!$D$6:$D$405,A124,'06_规则命中'!$I$6:$I$405,"相邻但不同",'06_规则命中'!$N$6:$N$405,"是")</x:f>
        <x:v>0</x:v>
      </x:c>
      <x:c r="I124" s="70" t="n">
        <x:f>COUNTIFS('06_规则命中'!$D$6:$D$405,A124,'06_规则命中'!$I$6:$I$405,"反例",'06_规则命中'!$N$6:$N$405,"是")</x:f>
        <x:v>0</x:v>
      </x:c>
      <x:c r="J124" s="70" t="n">
        <x:f>COUNTIFS('06_规则命中'!$D$6:$D$405,A124,'06_规则命中'!$I$6:$I$405,"不可评估",'06_规则命中'!$N$6:$N$405,"是")</x:f>
        <x:v>0</x:v>
      </x:c>
      <x:c r="K124" s="70" t="n">
        <x:f>SUM(E124:I124)</x:f>
        <x:v>0</x:v>
      </x:c>
      <x:c r="L124" s="108" t="str">
        <x:f>IFERROR((E124+0.75*F124+0.5*G124+0.25*H124)/K124,"")</x:f>
      </x:c>
      <x:c r="M124" s="108" t="str">
        <x:f>IFERROR(I124/K124,"")</x:f>
      </x:c>
      <x:c r="N124" s="70" t="n">
        <x:f>COUNTIFS('08_反例与错误'!$E$6:$E$155,A124,'08_反例与错误'!$H$6:$H$155,"强")+COUNTIFS('08_反例与错误'!$E$6:$E$155,A124,'08_反例与错误'!$H$6:$H$155,"安全")</x:f>
        <x:v>0</x:v>
      </x:c>
      <x:c r="O124" s="70" t="n">
        <x:f>COUNTIFS('06_规则命中'!$D$6:$D$405,A124,'06_规则命中'!$I$6:$I$405,"反例",'06_规则命中'!$L$6:$L$405,"是",'06_规则命中'!$N$6:$N$405,"是")</x:f>
        <x:v>0</x:v>
      </x:c>
      <x:c r="P124" s="108" t="str">
        <x:f>IFERROR(SUMIFS('06_规则命中'!$J$6:$J$405,'06_规则命中'!$D$6:$D$405,A124,'06_规则命中'!$C$6:$C$405,"开发集",'06_规则命中'!$N$6:$N$405,"是")/COUNTIFS('06_规则命中'!$D$6:$D$405,A124,'06_规则命中'!$C$6:$C$405,"开发集",'06_规则命中'!$I$6:$I$405,"&lt;&gt;不可评估",'06_规则命中'!$N$6:$N$405,"是"),"")</x:f>
      </x:c>
      <x:c r="Q124" s="108" t="str">
        <x:f>IFERROR(SUMIFS('06_规则命中'!$J$6:$J$405,'06_规则命中'!$D$6:$D$405,A124,'06_规则命中'!$C$6:$C$405,"留出集",'06_规则命中'!$N$6:$N$405,"是")/COUNTIFS('06_规则命中'!$D$6:$D$405,A124,'06_规则命中'!$C$6:$C$405,"留出集",'06_规则命中'!$I$6:$I$405,"&lt;&gt;不可评估",'06_规则命中'!$N$6:$N$405,"是"),"")</x:f>
      </x:c>
      <x:c r="R124" s="70" t="str">
        <x:f>IF(K124=0,"P0 待验证",IF(K124&lt;3,"P1 极少样本",IF(K124&lt;6,"P2 探索",IF(K124&lt;12,"P3 初步","P4 稳定候选"))))</x:f>
        <x:v>P0 待验证</x:v>
      </x:c>
      <x:c r="S124" s="70" t="str">
        <x:f>IF(O124&gt;0,"立即安全审查",IF(K124&lt;3,"样本不足",IF(AND(K124&gt;=4,M124&gt;=0.6),"停用候选",IF(AND(K124&gt;=6,M124&gt;=0.4),"优先修改",IF(AND(K124&gt;=8,L124&gt;=0.75,M124&lt;=0.15,N124=0),"保留观察",IF(AND(P124&lt;&gt;"",Q124&lt;&gt;"",ABS(P124-Q124)&gt;0.25),"疑似过拟合","继续验证"))))))</x:f>
        <x:v>样本不足</x:v>
      </x:c>
      <x:c r="T124" s="70" t="str"/>
      <x:c r="U124" s="70" t="str">
        <x:v>待验证</x:v>
      </x:c>
      <x:c r="V124" s="70" t="str"/>
      <x:c r="W124" s="70" t="str"/>
    </x:row>
    <x:row r="125">
      <x:c r="A125" s="70" t="str">
        <x:v>M5-SYNTH-136</x:v>
      </x:c>
      <x:c r="B125" s="70" t="str">
        <x:v>SYNTH</x:v>
      </x:c>
      <x:c r="C125" s="70" t="str">
        <x:v>RG06现实门槛｜失败或未知</x:v>
      </x:c>
      <x:c r="D125" s="70" t="str">
        <x:v>待验证</x:v>
      </x:c>
      <x:c r="E125" s="70" t="n">
        <x:f>COUNTIFS('06_规则命中'!$D$6:$D$405,A125,'06_规则命中'!$I$6:$I$405,"支持",'06_规则命中'!$N$6:$N$405,"是")</x:f>
        <x:v>0</x:v>
      </x:c>
      <x:c r="F125" s="70" t="n">
        <x:f>COUNTIFS('06_规则命中'!$D$6:$D$405,A125,'06_规则命中'!$I$6:$I$405,"基本支持",'06_规则命中'!$N$6:$N$405,"是")</x:f>
        <x:v>0</x:v>
      </x:c>
      <x:c r="G125" s="70" t="n">
        <x:f>COUNTIFS('06_规则命中'!$D$6:$D$405,A125,'06_规则命中'!$I$6:$I$405,"部分支持",'06_规则命中'!$N$6:$N$405,"是")</x:f>
        <x:v>0</x:v>
      </x:c>
      <x:c r="H125" s="70" t="n">
        <x:f>COUNTIFS('06_规则命中'!$D$6:$D$405,A125,'06_规则命中'!$I$6:$I$405,"相邻但不同",'06_规则命中'!$N$6:$N$405,"是")</x:f>
        <x:v>0</x:v>
      </x:c>
      <x:c r="I125" s="70" t="n">
        <x:f>COUNTIFS('06_规则命中'!$D$6:$D$405,A125,'06_规则命中'!$I$6:$I$405,"反例",'06_规则命中'!$N$6:$N$405,"是")</x:f>
        <x:v>0</x:v>
      </x:c>
      <x:c r="J125" s="70" t="n">
        <x:f>COUNTIFS('06_规则命中'!$D$6:$D$405,A125,'06_规则命中'!$I$6:$I$405,"不可评估",'06_规则命中'!$N$6:$N$405,"是")</x:f>
        <x:v>0</x:v>
      </x:c>
      <x:c r="K125" s="70" t="n">
        <x:f>SUM(E125:I125)</x:f>
        <x:v>0</x:v>
      </x:c>
      <x:c r="L125" s="108" t="str">
        <x:f>IFERROR((E125+0.75*F125+0.5*G125+0.25*H125)/K125,"")</x:f>
      </x:c>
      <x:c r="M125" s="108" t="str">
        <x:f>IFERROR(I125/K125,"")</x:f>
      </x:c>
      <x:c r="N125" s="70" t="n">
        <x:f>COUNTIFS('08_反例与错误'!$E$6:$E$155,A125,'08_反例与错误'!$H$6:$H$155,"强")+COUNTIFS('08_反例与错误'!$E$6:$E$155,A125,'08_反例与错误'!$H$6:$H$155,"安全")</x:f>
        <x:v>0</x:v>
      </x:c>
      <x:c r="O125" s="70" t="n">
        <x:f>COUNTIFS('06_规则命中'!$D$6:$D$405,A125,'06_规则命中'!$I$6:$I$405,"反例",'06_规则命中'!$L$6:$L$405,"是",'06_规则命中'!$N$6:$N$405,"是")</x:f>
        <x:v>0</x:v>
      </x:c>
      <x:c r="P125" s="108" t="str">
        <x:f>IFERROR(SUMIFS('06_规则命中'!$J$6:$J$405,'06_规则命中'!$D$6:$D$405,A125,'06_规则命中'!$C$6:$C$405,"开发集",'06_规则命中'!$N$6:$N$405,"是")/COUNTIFS('06_规则命中'!$D$6:$D$405,A125,'06_规则命中'!$C$6:$C$405,"开发集",'06_规则命中'!$I$6:$I$405,"&lt;&gt;不可评估",'06_规则命中'!$N$6:$N$405,"是"),"")</x:f>
      </x:c>
      <x:c r="Q125" s="108" t="str">
        <x:f>IFERROR(SUMIFS('06_规则命中'!$J$6:$J$405,'06_规则命中'!$D$6:$D$405,A125,'06_规则命中'!$C$6:$C$405,"留出集",'06_规则命中'!$N$6:$N$405,"是")/COUNTIFS('06_规则命中'!$D$6:$D$405,A125,'06_规则命中'!$C$6:$C$405,"留出集",'06_规则命中'!$I$6:$I$405,"&lt;&gt;不可评估",'06_规则命中'!$N$6:$N$405,"是"),"")</x:f>
      </x:c>
      <x:c r="R125" s="70" t="str">
        <x:f>IF(K125=0,"P0 待验证",IF(K125&lt;3,"P1 极少样本",IF(K125&lt;6,"P2 探索",IF(K125&lt;12,"P3 初步","P4 稳定候选"))))</x:f>
        <x:v>P0 待验证</x:v>
      </x:c>
      <x:c r="S125" s="70" t="str">
        <x:f>IF(O125&gt;0,"立即安全审查",IF(K125&lt;3,"样本不足",IF(AND(K125&gt;=4,M125&gt;=0.6),"停用候选",IF(AND(K125&gt;=6,M125&gt;=0.4),"优先修改",IF(AND(K125&gt;=8,L125&gt;=0.75,M125&lt;=0.15,N125=0),"保留观察",IF(AND(P125&lt;&gt;"",Q125&lt;&gt;"",ABS(P125-Q125)&gt;0.25),"疑似过拟合","继续验证"))))))</x:f>
        <x:v>样本不足</x:v>
      </x:c>
      <x:c r="T125" s="70" t="str"/>
      <x:c r="U125" s="70" t="str">
        <x:v>待验证</x:v>
      </x:c>
      <x:c r="V125" s="70" t="str"/>
      <x:c r="W125" s="70" t="str"/>
    </x:row>
    <x:row r="126">
      <x:c r="A126" s="70" t="str">
        <x:v>M5-SYNTH-144</x:v>
      </x:c>
      <x:c r="B126" s="70" t="str">
        <x:v>SYNTH</x:v>
      </x:c>
      <x:c r="C126" s="70" t="str">
        <x:v>RG08现实门槛｜失败或未知</x:v>
      </x:c>
      <x:c r="D126" s="70" t="str">
        <x:v>待验证</x:v>
      </x:c>
      <x:c r="E126" s="70" t="n">
        <x:f>COUNTIFS('06_规则命中'!$D$6:$D$405,A126,'06_规则命中'!$I$6:$I$405,"支持",'06_规则命中'!$N$6:$N$405,"是")</x:f>
        <x:v>0</x:v>
      </x:c>
      <x:c r="F126" s="70" t="n">
        <x:f>COUNTIFS('06_规则命中'!$D$6:$D$405,A126,'06_规则命中'!$I$6:$I$405,"基本支持",'06_规则命中'!$N$6:$N$405,"是")</x:f>
        <x:v>0</x:v>
      </x:c>
      <x:c r="G126" s="70" t="n">
        <x:f>COUNTIFS('06_规则命中'!$D$6:$D$405,A126,'06_规则命中'!$I$6:$I$405,"部分支持",'06_规则命中'!$N$6:$N$405,"是")</x:f>
        <x:v>0</x:v>
      </x:c>
      <x:c r="H126" s="70" t="n">
        <x:f>COUNTIFS('06_规则命中'!$D$6:$D$405,A126,'06_规则命中'!$I$6:$I$405,"相邻但不同",'06_规则命中'!$N$6:$N$405,"是")</x:f>
        <x:v>0</x:v>
      </x:c>
      <x:c r="I126" s="70" t="n">
        <x:f>COUNTIFS('06_规则命中'!$D$6:$D$405,A126,'06_规则命中'!$I$6:$I$405,"反例",'06_规则命中'!$N$6:$N$405,"是")</x:f>
        <x:v>0</x:v>
      </x:c>
      <x:c r="J126" s="70" t="n">
        <x:f>COUNTIFS('06_规则命中'!$D$6:$D$405,A126,'06_规则命中'!$I$6:$I$405,"不可评估",'06_规则命中'!$N$6:$N$405,"是")</x:f>
        <x:v>0</x:v>
      </x:c>
      <x:c r="K126" s="70" t="n">
        <x:f>SUM(E126:I126)</x:f>
        <x:v>0</x:v>
      </x:c>
      <x:c r="L126" s="108" t="str">
        <x:f>IFERROR((E126+0.75*F126+0.5*G126+0.25*H126)/K126,"")</x:f>
      </x:c>
      <x:c r="M126" s="108" t="str">
        <x:f>IFERROR(I126/K126,"")</x:f>
      </x:c>
      <x:c r="N126" s="70" t="n">
        <x:f>COUNTIFS('08_反例与错误'!$E$6:$E$155,A126,'08_反例与错误'!$H$6:$H$155,"强")+COUNTIFS('08_反例与错误'!$E$6:$E$155,A126,'08_反例与错误'!$H$6:$H$155,"安全")</x:f>
        <x:v>0</x:v>
      </x:c>
      <x:c r="O126" s="70" t="n">
        <x:f>COUNTIFS('06_规则命中'!$D$6:$D$405,A126,'06_规则命中'!$I$6:$I$405,"反例",'06_规则命中'!$L$6:$L$405,"是",'06_规则命中'!$N$6:$N$405,"是")</x:f>
        <x:v>0</x:v>
      </x:c>
      <x:c r="P126" s="108" t="str">
        <x:f>IFERROR(SUMIFS('06_规则命中'!$J$6:$J$405,'06_规则命中'!$D$6:$D$405,A126,'06_规则命中'!$C$6:$C$405,"开发集",'06_规则命中'!$N$6:$N$405,"是")/COUNTIFS('06_规则命中'!$D$6:$D$405,A126,'06_规则命中'!$C$6:$C$405,"开发集",'06_规则命中'!$I$6:$I$405,"&lt;&gt;不可评估",'06_规则命中'!$N$6:$N$405,"是"),"")</x:f>
      </x:c>
      <x:c r="Q126" s="108" t="str">
        <x:f>IFERROR(SUMIFS('06_规则命中'!$J$6:$J$405,'06_规则命中'!$D$6:$D$405,A126,'06_规则命中'!$C$6:$C$405,"留出集",'06_规则命中'!$N$6:$N$405,"是")/COUNTIFS('06_规则命中'!$D$6:$D$405,A126,'06_规则命中'!$C$6:$C$405,"留出集",'06_规则命中'!$I$6:$I$405,"&lt;&gt;不可评估",'06_规则命中'!$N$6:$N$405,"是"),"")</x:f>
      </x:c>
      <x:c r="R126" s="70" t="str">
        <x:f>IF(K126=0,"P0 待验证",IF(K126&lt;3,"P1 极少样本",IF(K126&lt;6,"P2 探索",IF(K126&lt;12,"P3 初步","P4 稳定候选"))))</x:f>
        <x:v>P0 待验证</x:v>
      </x:c>
      <x:c r="S126" s="70" t="str">
        <x:f>IF(O126&gt;0,"立即安全审查",IF(K126&lt;3,"样本不足",IF(AND(K126&gt;=4,M126&gt;=0.6),"停用候选",IF(AND(K126&gt;=6,M126&gt;=0.4),"优先修改",IF(AND(K126&gt;=8,L126&gt;=0.75,M126&lt;=0.15,N126=0),"保留观察",IF(AND(P126&lt;&gt;"",Q126&lt;&gt;"",ABS(P126-Q126)&gt;0.25),"疑似过拟合","继续验证"))))))</x:f>
        <x:v>样本不足</x:v>
      </x:c>
      <x:c r="T126" s="70" t="str"/>
      <x:c r="U126" s="70" t="str">
        <x:v>待验证</x:v>
      </x:c>
      <x:c r="V126" s="70" t="str"/>
      <x:c r="W126" s="70" t="str"/>
    </x:row>
    <x:row r="127">
      <x:c r="A127" s="70" t="str">
        <x:v>M5-SYNTH-093</x:v>
      </x:c>
      <x:c r="B127" s="70" t="str">
        <x:v>SYNTH</x:v>
      </x:c>
      <x:c r="C127" s="70" t="str">
        <x:v>候选键标准化｜功能族＋关系任务＋对象＋情境</x:v>
      </x:c>
      <x:c r="D127" s="70" t="str">
        <x:v>待验证</x:v>
      </x:c>
      <x:c r="E127" s="70" t="n">
        <x:f>COUNTIFS('06_规则命中'!$D$6:$D$405,A127,'06_规则命中'!$I$6:$I$405,"支持",'06_规则命中'!$N$6:$N$405,"是")</x:f>
        <x:v>0</x:v>
      </x:c>
      <x:c r="F127" s="70" t="n">
        <x:f>COUNTIFS('06_规则命中'!$D$6:$D$405,A127,'06_规则命中'!$I$6:$I$405,"基本支持",'06_规则命中'!$N$6:$N$405,"是")</x:f>
        <x:v>0</x:v>
      </x:c>
      <x:c r="G127" s="70" t="n">
        <x:f>COUNTIFS('06_规则命中'!$D$6:$D$405,A127,'06_规则命中'!$I$6:$I$405,"部分支持",'06_规则命中'!$N$6:$N$405,"是")</x:f>
        <x:v>0</x:v>
      </x:c>
      <x:c r="H127" s="70" t="n">
        <x:f>COUNTIFS('06_规则命中'!$D$6:$D$405,A127,'06_规则命中'!$I$6:$I$405,"相邻但不同",'06_规则命中'!$N$6:$N$405,"是")</x:f>
        <x:v>0</x:v>
      </x:c>
      <x:c r="I127" s="70" t="n">
        <x:f>COUNTIFS('06_规则命中'!$D$6:$D$405,A127,'06_规则命中'!$I$6:$I$405,"反例",'06_规则命中'!$N$6:$N$405,"是")</x:f>
        <x:v>0</x:v>
      </x:c>
      <x:c r="J127" s="70" t="n">
        <x:f>COUNTIFS('06_规则命中'!$D$6:$D$405,A127,'06_规则命中'!$I$6:$I$405,"不可评估",'06_规则命中'!$N$6:$N$405,"是")</x:f>
        <x:v>0</x:v>
      </x:c>
      <x:c r="K127" s="70" t="n">
        <x:f>SUM(E127:I127)</x:f>
        <x:v>0</x:v>
      </x:c>
      <x:c r="L127" s="108" t="str">
        <x:f>IFERROR((E127+0.75*F127+0.5*G127+0.25*H127)/K127,"")</x:f>
      </x:c>
      <x:c r="M127" s="108" t="str">
        <x:f>IFERROR(I127/K127,"")</x:f>
      </x:c>
      <x:c r="N127" s="70" t="n">
        <x:f>COUNTIFS('08_反例与错误'!$E$6:$E$155,A127,'08_反例与错误'!$H$6:$H$155,"强")+COUNTIFS('08_反例与错误'!$E$6:$E$155,A127,'08_反例与错误'!$H$6:$H$155,"安全")</x:f>
        <x:v>0</x:v>
      </x:c>
      <x:c r="O127" s="70" t="n">
        <x:f>COUNTIFS('06_规则命中'!$D$6:$D$405,A127,'06_规则命中'!$I$6:$I$405,"反例",'06_规则命中'!$L$6:$L$405,"是",'06_规则命中'!$N$6:$N$405,"是")</x:f>
        <x:v>0</x:v>
      </x:c>
      <x:c r="P127" s="108" t="str">
        <x:f>IFERROR(SUMIFS('06_规则命中'!$J$6:$J$405,'06_规则命中'!$D$6:$D$405,A127,'06_规则命中'!$C$6:$C$405,"开发集",'06_规则命中'!$N$6:$N$405,"是")/COUNTIFS('06_规则命中'!$D$6:$D$405,A127,'06_规则命中'!$C$6:$C$405,"开发集",'06_规则命中'!$I$6:$I$405,"&lt;&gt;不可评估",'06_规则命中'!$N$6:$N$405,"是"),"")</x:f>
      </x:c>
      <x:c r="Q127" s="108" t="str">
        <x:f>IFERROR(SUMIFS('06_规则命中'!$J$6:$J$405,'06_规则命中'!$D$6:$D$405,A127,'06_规则命中'!$C$6:$C$405,"留出集",'06_规则命中'!$N$6:$N$405,"是")/COUNTIFS('06_规则命中'!$D$6:$D$405,A127,'06_规则命中'!$C$6:$C$405,"留出集",'06_规则命中'!$I$6:$I$405,"&lt;&gt;不可评估",'06_规则命中'!$N$6:$N$405,"是"),"")</x:f>
      </x:c>
      <x:c r="R127" s="70" t="str">
        <x:f>IF(K127=0,"P0 待验证",IF(K127&lt;3,"P1 极少样本",IF(K127&lt;6,"P2 探索",IF(K127&lt;12,"P3 初步","P4 稳定候选"))))</x:f>
        <x:v>P0 待验证</x:v>
      </x:c>
      <x:c r="S127" s="70" t="str">
        <x:f>IF(O127&gt;0,"立即安全审查",IF(K127&lt;3,"样本不足",IF(AND(K127&gt;=4,M127&gt;=0.6),"停用候选",IF(AND(K127&gt;=6,M127&gt;=0.4),"优先修改",IF(AND(K127&gt;=8,L127&gt;=0.75,M127&lt;=0.15,N127=0),"保留观察",IF(AND(P127&lt;&gt;"",Q127&lt;&gt;"",ABS(P127-Q127)&gt;0.25),"疑似过拟合","继续验证"))))))</x:f>
        <x:v>样本不足</x:v>
      </x:c>
      <x:c r="T127" s="70" t="str"/>
      <x:c r="U127" s="70" t="str">
        <x:v>待验证</x:v>
      </x:c>
      <x:c r="V127" s="70" t="str"/>
      <x:c r="W127" s="70" t="str"/>
    </x:row>
    <x:row r="128">
      <x:c r="A128" s="70" t="str">
        <x:v>M5-SYNTH-094</x:v>
      </x:c>
      <x:c r="B128" s="70" t="str">
        <x:v>SYNTH</x:v>
      </x:c>
      <x:c r="C128" s="70" t="str">
        <x:v>同一source_id跨七模块合并</x:v>
      </x:c>
      <x:c r="D128" s="70" t="str">
        <x:v>待验证</x:v>
      </x:c>
      <x:c r="E128" s="70" t="n">
        <x:f>COUNTIFS('06_规则命中'!$D$6:$D$405,A128,'06_规则命中'!$I$6:$I$405,"支持",'06_规则命中'!$N$6:$N$405,"是")</x:f>
        <x:v>0</x:v>
      </x:c>
      <x:c r="F128" s="70" t="n">
        <x:f>COUNTIFS('06_规则命中'!$D$6:$D$405,A128,'06_规则命中'!$I$6:$I$405,"基本支持",'06_规则命中'!$N$6:$N$405,"是")</x:f>
        <x:v>0</x:v>
      </x:c>
      <x:c r="G128" s="70" t="n">
        <x:f>COUNTIFS('06_规则命中'!$D$6:$D$405,A128,'06_规则命中'!$I$6:$I$405,"部分支持",'06_规则命中'!$N$6:$N$405,"是")</x:f>
        <x:v>0</x:v>
      </x:c>
      <x:c r="H128" s="70" t="n">
        <x:f>COUNTIFS('06_规则命中'!$D$6:$D$405,A128,'06_规则命中'!$I$6:$I$405,"相邻但不同",'06_规则命中'!$N$6:$N$405,"是")</x:f>
        <x:v>0</x:v>
      </x:c>
      <x:c r="I128" s="70" t="n">
        <x:f>COUNTIFS('06_规则命中'!$D$6:$D$405,A128,'06_规则命中'!$I$6:$I$405,"反例",'06_规则命中'!$N$6:$N$405,"是")</x:f>
        <x:v>0</x:v>
      </x:c>
      <x:c r="J128" s="70" t="n">
        <x:f>COUNTIFS('06_规则命中'!$D$6:$D$405,A128,'06_规则命中'!$I$6:$I$405,"不可评估",'06_规则命中'!$N$6:$N$405,"是")</x:f>
        <x:v>0</x:v>
      </x:c>
      <x:c r="K128" s="70" t="n">
        <x:f>SUM(E128:I128)</x:f>
        <x:v>0</x:v>
      </x:c>
      <x:c r="L128" s="108" t="str">
        <x:f>IFERROR((E128+0.75*F128+0.5*G128+0.25*H128)/K128,"")</x:f>
      </x:c>
      <x:c r="M128" s="108" t="str">
        <x:f>IFERROR(I128/K128,"")</x:f>
      </x:c>
      <x:c r="N128" s="70" t="n">
        <x:f>COUNTIFS('08_反例与错误'!$E$6:$E$155,A128,'08_反例与错误'!$H$6:$H$155,"强")+COUNTIFS('08_反例与错误'!$E$6:$E$155,A128,'08_反例与错误'!$H$6:$H$155,"安全")</x:f>
        <x:v>0</x:v>
      </x:c>
      <x:c r="O128" s="70" t="n">
        <x:f>COUNTIFS('06_规则命中'!$D$6:$D$405,A128,'06_规则命中'!$I$6:$I$405,"反例",'06_规则命中'!$L$6:$L$405,"是",'06_规则命中'!$N$6:$N$405,"是")</x:f>
        <x:v>0</x:v>
      </x:c>
      <x:c r="P128" s="108" t="str">
        <x:f>IFERROR(SUMIFS('06_规则命中'!$J$6:$J$405,'06_规则命中'!$D$6:$D$405,A128,'06_规则命中'!$C$6:$C$405,"开发集",'06_规则命中'!$N$6:$N$405,"是")/COUNTIFS('06_规则命中'!$D$6:$D$405,A128,'06_规则命中'!$C$6:$C$405,"开发集",'06_规则命中'!$I$6:$I$405,"&lt;&gt;不可评估",'06_规则命中'!$N$6:$N$405,"是"),"")</x:f>
      </x:c>
      <x:c r="Q128" s="108" t="str">
        <x:f>IFERROR(SUMIFS('06_规则命中'!$J$6:$J$405,'06_规则命中'!$D$6:$D$405,A128,'06_规则命中'!$C$6:$C$405,"留出集",'06_规则命中'!$N$6:$N$405,"是")/COUNTIFS('06_规则命中'!$D$6:$D$405,A128,'06_规则命中'!$C$6:$C$405,"留出集",'06_规则命中'!$I$6:$I$405,"&lt;&gt;不可评估",'06_规则命中'!$N$6:$N$405,"是"),"")</x:f>
      </x:c>
      <x:c r="R128" s="70" t="str">
        <x:f>IF(K128=0,"P0 待验证",IF(K128&lt;3,"P1 极少样本",IF(K128&lt;6,"P2 探索",IF(K128&lt;12,"P3 初步","P4 稳定候选"))))</x:f>
        <x:v>P0 待验证</x:v>
      </x:c>
      <x:c r="S128" s="70" t="str">
        <x:f>IF(O128&gt;0,"立即安全审查",IF(K128&lt;3,"样本不足",IF(AND(K128&gt;=4,M128&gt;=0.6),"停用候选",IF(AND(K128&gt;=6,M128&gt;=0.4),"优先修改",IF(AND(K128&gt;=8,L128&gt;=0.75,M128&lt;=0.15,N128=0),"保留观察",IF(AND(P128&lt;&gt;"",Q128&lt;&gt;"",ABS(P128-Q128)&gt;0.25),"疑似过拟合","继续验证"))))))</x:f>
        <x:v>样本不足</x:v>
      </x:c>
      <x:c r="T128" s="70" t="str"/>
      <x:c r="U128" s="70" t="str">
        <x:v>待验证</x:v>
      </x:c>
      <x:c r="V128" s="70" t="str"/>
      <x:c r="W128" s="70" t="str"/>
    </x:row>
    <x:row r="129">
      <x:c r="A129" s="70" t="str">
        <x:v>M5-SYNTH-095</x:v>
      </x:c>
      <x:c r="B129" s="70" t="str">
        <x:v>SYNTH</x:v>
      </x:c>
      <x:c r="C129" s="70" t="str">
        <x:v>同一event_id跨模块合并</x:v>
      </x:c>
      <x:c r="D129" s="70" t="str">
        <x:v>待验证</x:v>
      </x:c>
      <x:c r="E129" s="70" t="n">
        <x:f>COUNTIFS('06_规则命中'!$D$6:$D$405,A129,'06_规则命中'!$I$6:$I$405,"支持",'06_规则命中'!$N$6:$N$405,"是")</x:f>
        <x:v>0</x:v>
      </x:c>
      <x:c r="F129" s="70" t="n">
        <x:f>COUNTIFS('06_规则命中'!$D$6:$D$405,A129,'06_规则命中'!$I$6:$I$405,"基本支持",'06_规则命中'!$N$6:$N$405,"是")</x:f>
        <x:v>0</x:v>
      </x:c>
      <x:c r="G129" s="70" t="n">
        <x:f>COUNTIFS('06_规则命中'!$D$6:$D$405,A129,'06_规则命中'!$I$6:$I$405,"部分支持",'06_规则命中'!$N$6:$N$405,"是")</x:f>
        <x:v>0</x:v>
      </x:c>
      <x:c r="H129" s="70" t="n">
        <x:f>COUNTIFS('06_规则命中'!$D$6:$D$405,A129,'06_规则命中'!$I$6:$I$405,"相邻但不同",'06_规则命中'!$N$6:$N$405,"是")</x:f>
        <x:v>0</x:v>
      </x:c>
      <x:c r="I129" s="70" t="n">
        <x:f>COUNTIFS('06_规则命中'!$D$6:$D$405,A129,'06_规则命中'!$I$6:$I$405,"反例",'06_规则命中'!$N$6:$N$405,"是")</x:f>
        <x:v>0</x:v>
      </x:c>
      <x:c r="J129" s="70" t="n">
        <x:f>COUNTIFS('06_规则命中'!$D$6:$D$405,A129,'06_规则命中'!$I$6:$I$405,"不可评估",'06_规则命中'!$N$6:$N$405,"是")</x:f>
        <x:v>0</x:v>
      </x:c>
      <x:c r="K129" s="70" t="n">
        <x:f>SUM(E129:I129)</x:f>
        <x:v>0</x:v>
      </x:c>
      <x:c r="L129" s="108" t="str">
        <x:f>IFERROR((E129+0.75*F129+0.5*G129+0.25*H129)/K129,"")</x:f>
      </x:c>
      <x:c r="M129" s="108" t="str">
        <x:f>IFERROR(I129/K129,"")</x:f>
      </x:c>
      <x:c r="N129" s="70" t="n">
        <x:f>COUNTIFS('08_反例与错误'!$E$6:$E$155,A129,'08_反例与错误'!$H$6:$H$155,"强")+COUNTIFS('08_反例与错误'!$E$6:$E$155,A129,'08_反例与错误'!$H$6:$H$155,"安全")</x:f>
        <x:v>0</x:v>
      </x:c>
      <x:c r="O129" s="70" t="n">
        <x:f>COUNTIFS('06_规则命中'!$D$6:$D$405,A129,'06_规则命中'!$I$6:$I$405,"反例",'06_规则命中'!$L$6:$L$405,"是",'06_规则命中'!$N$6:$N$405,"是")</x:f>
        <x:v>0</x:v>
      </x:c>
      <x:c r="P129" s="108" t="str">
        <x:f>IFERROR(SUMIFS('06_规则命中'!$J$6:$J$405,'06_规则命中'!$D$6:$D$405,A129,'06_规则命中'!$C$6:$C$405,"开发集",'06_规则命中'!$N$6:$N$405,"是")/COUNTIFS('06_规则命中'!$D$6:$D$405,A129,'06_规则命中'!$C$6:$C$405,"开发集",'06_规则命中'!$I$6:$I$405,"&lt;&gt;不可评估",'06_规则命中'!$N$6:$N$405,"是"),"")</x:f>
      </x:c>
      <x:c r="Q129" s="108" t="str">
        <x:f>IFERROR(SUMIFS('06_规则命中'!$J$6:$J$405,'06_规则命中'!$D$6:$D$405,A129,'06_规则命中'!$C$6:$C$405,"留出集",'06_规则命中'!$N$6:$N$405,"是")/COUNTIFS('06_规则命中'!$D$6:$D$405,A129,'06_规则命中'!$C$6:$C$405,"留出集",'06_规则命中'!$I$6:$I$405,"&lt;&gt;不可评估",'06_规则命中'!$N$6:$N$405,"是"),"")</x:f>
      </x:c>
      <x:c r="R129" s="70" t="str">
        <x:f>IF(K129=0,"P0 待验证",IF(K129&lt;3,"P1 极少样本",IF(K129&lt;6,"P2 探索",IF(K129&lt;12,"P3 初步","P4 稳定候选"))))</x:f>
        <x:v>P0 待验证</x:v>
      </x:c>
      <x:c r="S129" s="70" t="str">
        <x:f>IF(O129&gt;0,"立即安全审查",IF(K129&lt;3,"样本不足",IF(AND(K129&gt;=4,M129&gt;=0.6),"停用候选",IF(AND(K129&gt;=6,M129&gt;=0.4),"优先修改",IF(AND(K129&gt;=8,L129&gt;=0.75,M129&lt;=0.15,N129=0),"保留观察",IF(AND(P129&lt;&gt;"",Q129&lt;&gt;"",ABS(P129-Q129)&gt;0.25),"疑似过拟合","继续验证"))))))</x:f>
        <x:v>样本不足</x:v>
      </x:c>
      <x:c r="T129" s="70" t="str"/>
      <x:c r="U129" s="70" t="str">
        <x:v>待验证</x:v>
      </x:c>
      <x:c r="V129" s="70" t="str"/>
      <x:c r="W129" s="70" t="str"/>
    </x:row>
    <x:row r="130">
      <x:c r="A130" s="70" t="str">
        <x:v>M5-SYNTH-096</x:v>
      </x:c>
      <x:c r="B130" s="70" t="str">
        <x:v>SYNTH</x:v>
      </x:c>
      <x:c r="C130" s="70" t="str">
        <x:v>同一具体行为多种正向措辞归一</x:v>
      </x:c>
      <x:c r="D130" s="70" t="str">
        <x:v>待验证</x:v>
      </x:c>
      <x:c r="E130" s="70" t="n">
        <x:f>COUNTIFS('06_规则命中'!$D$6:$D$405,A130,'06_规则命中'!$I$6:$I$405,"支持",'06_规则命中'!$N$6:$N$405,"是")</x:f>
        <x:v>0</x:v>
      </x:c>
      <x:c r="F130" s="70" t="n">
        <x:f>COUNTIFS('06_规则命中'!$D$6:$D$405,A130,'06_规则命中'!$I$6:$I$405,"基本支持",'06_规则命中'!$N$6:$N$405,"是")</x:f>
        <x:v>0</x:v>
      </x:c>
      <x:c r="G130" s="70" t="n">
        <x:f>COUNTIFS('06_规则命中'!$D$6:$D$405,A130,'06_规则命中'!$I$6:$I$405,"部分支持",'06_规则命中'!$N$6:$N$405,"是")</x:f>
        <x:v>0</x:v>
      </x:c>
      <x:c r="H130" s="70" t="n">
        <x:f>COUNTIFS('06_规则命中'!$D$6:$D$405,A130,'06_规则命中'!$I$6:$I$405,"相邻但不同",'06_规则命中'!$N$6:$N$405,"是")</x:f>
        <x:v>0</x:v>
      </x:c>
      <x:c r="I130" s="70" t="n">
        <x:f>COUNTIFS('06_规则命中'!$D$6:$D$405,A130,'06_规则命中'!$I$6:$I$405,"反例",'06_规则命中'!$N$6:$N$405,"是")</x:f>
        <x:v>0</x:v>
      </x:c>
      <x:c r="J130" s="70" t="n">
        <x:f>COUNTIFS('06_规则命中'!$D$6:$D$405,A130,'06_规则命中'!$I$6:$I$405,"不可评估",'06_规则命中'!$N$6:$N$405,"是")</x:f>
        <x:v>0</x:v>
      </x:c>
      <x:c r="K130" s="70" t="n">
        <x:f>SUM(E130:I130)</x:f>
        <x:v>0</x:v>
      </x:c>
      <x:c r="L130" s="108" t="str">
        <x:f>IFERROR((E130+0.75*F130+0.5*G130+0.25*H130)/K130,"")</x:f>
      </x:c>
      <x:c r="M130" s="108" t="str">
        <x:f>IFERROR(I130/K130,"")</x:f>
      </x:c>
      <x:c r="N130" s="70" t="n">
        <x:f>COUNTIFS('08_反例与错误'!$E$6:$E$155,A130,'08_反例与错误'!$H$6:$H$155,"强")+COUNTIFS('08_反例与错误'!$E$6:$E$155,A130,'08_反例与错误'!$H$6:$H$155,"安全")</x:f>
        <x:v>0</x:v>
      </x:c>
      <x:c r="O130" s="70" t="n">
        <x:f>COUNTIFS('06_规则命中'!$D$6:$D$405,A130,'06_规则命中'!$I$6:$I$405,"反例",'06_规则命中'!$L$6:$L$405,"是",'06_规则命中'!$N$6:$N$405,"是")</x:f>
        <x:v>0</x:v>
      </x:c>
      <x:c r="P130" s="108" t="str">
        <x:f>IFERROR(SUMIFS('06_规则命中'!$J$6:$J$405,'06_规则命中'!$D$6:$D$405,A130,'06_规则命中'!$C$6:$C$405,"开发集",'06_规则命中'!$N$6:$N$405,"是")/COUNTIFS('06_规则命中'!$D$6:$D$405,A130,'06_规则命中'!$C$6:$C$405,"开发集",'06_规则命中'!$I$6:$I$405,"&lt;&gt;不可评估",'06_规则命中'!$N$6:$N$405,"是"),"")</x:f>
      </x:c>
      <x:c r="Q130" s="108" t="str">
        <x:f>IFERROR(SUMIFS('06_规则命中'!$J$6:$J$405,'06_规则命中'!$D$6:$D$405,A130,'06_规则命中'!$C$6:$C$405,"留出集",'06_规则命中'!$N$6:$N$405,"是")/COUNTIFS('06_规则命中'!$D$6:$D$405,A130,'06_规则命中'!$C$6:$C$405,"留出集",'06_规则命中'!$I$6:$I$405,"&lt;&gt;不可评估",'06_规则命中'!$N$6:$N$405,"是"),"")</x:f>
      </x:c>
      <x:c r="R130" s="70" t="str">
        <x:f>IF(K130=0,"P0 待验证",IF(K130&lt;3,"P1 极少样本",IF(K130&lt;6,"P2 探索",IF(K130&lt;12,"P3 初步","P4 稳定候选"))))</x:f>
        <x:v>P0 待验证</x:v>
      </x:c>
      <x:c r="S130" s="70" t="str">
        <x:f>IF(O130&gt;0,"立即安全审查",IF(K130&lt;3,"样本不足",IF(AND(K130&gt;=4,M130&gt;=0.6),"停用候选",IF(AND(K130&gt;=6,M130&gt;=0.4),"优先修改",IF(AND(K130&gt;=8,L130&gt;=0.75,M130&lt;=0.15,N130=0),"保留观察",IF(AND(P130&lt;&gt;"",Q130&lt;&gt;"",ABS(P130-Q130)&gt;0.25),"疑似过拟合","继续验证"))))))</x:f>
        <x:v>样本不足</x:v>
      </x:c>
      <x:c r="T130" s="70" t="str"/>
      <x:c r="U130" s="70" t="str">
        <x:v>待验证</x:v>
      </x:c>
      <x:c r="V130" s="70" t="str"/>
      <x:c r="W130" s="70" t="str"/>
    </x:row>
    <x:row r="131">
      <x:c r="A131" s="70" t="str">
        <x:v>M5-SYNTH-097</x:v>
      </x:c>
      <x:c r="B131" s="70" t="str">
        <x:v>SYNTH</x:v>
      </x:c>
      <x:c r="C131" s="70" t="str">
        <x:v>同一关系任务不同代码收敛</x:v>
      </x:c>
      <x:c r="D131" s="70" t="str">
        <x:v>待验证</x:v>
      </x:c>
      <x:c r="E131" s="70" t="n">
        <x:f>COUNTIFS('06_规则命中'!$D$6:$D$405,A131,'06_规则命中'!$I$6:$I$405,"支持",'06_规则命中'!$N$6:$N$405,"是")</x:f>
        <x:v>0</x:v>
      </x:c>
      <x:c r="F131" s="70" t="n">
        <x:f>COUNTIFS('06_规则命中'!$D$6:$D$405,A131,'06_规则命中'!$I$6:$I$405,"基本支持",'06_规则命中'!$N$6:$N$405,"是")</x:f>
        <x:v>0</x:v>
      </x:c>
      <x:c r="G131" s="70" t="n">
        <x:f>COUNTIFS('06_规则命中'!$D$6:$D$405,A131,'06_规则命中'!$I$6:$I$405,"部分支持",'06_规则命中'!$N$6:$N$405,"是")</x:f>
        <x:v>0</x:v>
      </x:c>
      <x:c r="H131" s="70" t="n">
        <x:f>COUNTIFS('06_规则命中'!$D$6:$D$405,A131,'06_规则命中'!$I$6:$I$405,"相邻但不同",'06_规则命中'!$N$6:$N$405,"是")</x:f>
        <x:v>0</x:v>
      </x:c>
      <x:c r="I131" s="70" t="n">
        <x:f>COUNTIFS('06_规则命中'!$D$6:$D$405,A131,'06_规则命中'!$I$6:$I$405,"反例",'06_规则命中'!$N$6:$N$405,"是")</x:f>
        <x:v>0</x:v>
      </x:c>
      <x:c r="J131" s="70" t="n">
        <x:f>COUNTIFS('06_规则命中'!$D$6:$D$405,A131,'06_规则命中'!$I$6:$I$405,"不可评估",'06_规则命中'!$N$6:$N$405,"是")</x:f>
        <x:v>0</x:v>
      </x:c>
      <x:c r="K131" s="70" t="n">
        <x:f>SUM(E131:I131)</x:f>
        <x:v>0</x:v>
      </x:c>
      <x:c r="L131" s="108" t="str">
        <x:f>IFERROR((E131+0.75*F131+0.5*G131+0.25*H131)/K131,"")</x:f>
      </x:c>
      <x:c r="M131" s="108" t="str">
        <x:f>IFERROR(I131/K131,"")</x:f>
      </x:c>
      <x:c r="N131" s="70" t="n">
        <x:f>COUNTIFS('08_反例与错误'!$E$6:$E$155,A131,'08_反例与错误'!$H$6:$H$155,"强")+COUNTIFS('08_反例与错误'!$E$6:$E$155,A131,'08_反例与错误'!$H$6:$H$155,"安全")</x:f>
        <x:v>0</x:v>
      </x:c>
      <x:c r="O131" s="70" t="n">
        <x:f>COUNTIFS('06_规则命中'!$D$6:$D$405,A131,'06_规则命中'!$I$6:$I$405,"反例",'06_规则命中'!$L$6:$L$405,"是",'06_规则命中'!$N$6:$N$405,"是")</x:f>
        <x:v>0</x:v>
      </x:c>
      <x:c r="P131" s="108" t="str">
        <x:f>IFERROR(SUMIFS('06_规则命中'!$J$6:$J$405,'06_规则命中'!$D$6:$D$405,A131,'06_规则命中'!$C$6:$C$405,"开发集",'06_规则命中'!$N$6:$N$405,"是")/COUNTIFS('06_规则命中'!$D$6:$D$405,A131,'06_规则命中'!$C$6:$C$405,"开发集",'06_规则命中'!$I$6:$I$405,"&lt;&gt;不可评估",'06_规则命中'!$N$6:$N$405,"是"),"")</x:f>
      </x:c>
      <x:c r="Q131" s="108" t="str">
        <x:f>IFERROR(SUMIFS('06_规则命中'!$J$6:$J$405,'06_规则命中'!$D$6:$D$405,A131,'06_规则命中'!$C$6:$C$405,"留出集",'06_规则命中'!$N$6:$N$405,"是")/COUNTIFS('06_规则命中'!$D$6:$D$405,A131,'06_规则命中'!$C$6:$C$405,"留出集",'06_规则命中'!$I$6:$I$405,"&lt;&gt;不可评估",'06_规则命中'!$N$6:$N$405,"是"),"")</x:f>
      </x:c>
      <x:c r="R131" s="70" t="str">
        <x:f>IF(K131=0,"P0 待验证",IF(K131&lt;3,"P1 极少样本",IF(K131&lt;6,"P2 探索",IF(K131&lt;12,"P3 初步","P4 稳定候选"))))</x:f>
        <x:v>P0 待验证</x:v>
      </x:c>
      <x:c r="S131" s="70" t="str">
        <x:f>IF(O131&gt;0,"立即安全审查",IF(K131&lt;3,"样本不足",IF(AND(K131&gt;=4,M131&gt;=0.6),"停用候选",IF(AND(K131&gt;=6,M131&gt;=0.4),"优先修改",IF(AND(K131&gt;=8,L131&gt;=0.75,M131&lt;=0.15,N131=0),"保留观察",IF(AND(P131&lt;&gt;"",Q131&lt;&gt;"",ABS(P131-Q131)&gt;0.25),"疑似过拟合","继续验证"))))))</x:f>
        <x:v>样本不足</x:v>
      </x:c>
      <x:c r="T131" s="70" t="str"/>
      <x:c r="U131" s="70" t="str">
        <x:v>待验证</x:v>
      </x:c>
      <x:c r="V131" s="70" t="str"/>
      <x:c r="W131" s="70" t="str"/>
    </x:row>
    <x:row r="132">
      <x:c r="A132" s="70" t="str">
        <x:v>M5-SYNTH-098</x:v>
      </x:c>
      <x:c r="B132" s="70" t="str">
        <x:v>SYNTH</x:v>
      </x:c>
      <x:c r="C132" s="70" t="str">
        <x:v>具体对象与理想画像分开</x:v>
      </x:c>
      <x:c r="D132" s="70" t="str">
        <x:v>待验证</x:v>
      </x:c>
      <x:c r="E132" s="70" t="n">
        <x:f>COUNTIFS('06_规则命中'!$D$6:$D$405,A132,'06_规则命中'!$I$6:$I$405,"支持",'06_规则命中'!$N$6:$N$405,"是")</x:f>
        <x:v>0</x:v>
      </x:c>
      <x:c r="F132" s="70" t="n">
        <x:f>COUNTIFS('06_规则命中'!$D$6:$D$405,A132,'06_规则命中'!$I$6:$I$405,"基本支持",'06_规则命中'!$N$6:$N$405,"是")</x:f>
        <x:v>0</x:v>
      </x:c>
      <x:c r="G132" s="70" t="n">
        <x:f>COUNTIFS('06_规则命中'!$D$6:$D$405,A132,'06_规则命中'!$I$6:$I$405,"部分支持",'06_规则命中'!$N$6:$N$405,"是")</x:f>
        <x:v>0</x:v>
      </x:c>
      <x:c r="H132" s="70" t="n">
        <x:f>COUNTIFS('06_规则命中'!$D$6:$D$405,A132,'06_规则命中'!$I$6:$I$405,"相邻但不同",'06_规则命中'!$N$6:$N$405,"是")</x:f>
        <x:v>0</x:v>
      </x:c>
      <x:c r="I132" s="70" t="n">
        <x:f>COUNTIFS('06_规则命中'!$D$6:$D$405,A132,'06_规则命中'!$I$6:$I$405,"反例",'06_规则命中'!$N$6:$N$405,"是")</x:f>
        <x:v>0</x:v>
      </x:c>
      <x:c r="J132" s="70" t="n">
        <x:f>COUNTIFS('06_规则命中'!$D$6:$D$405,A132,'06_规则命中'!$I$6:$I$405,"不可评估",'06_规则命中'!$N$6:$N$405,"是")</x:f>
        <x:v>0</x:v>
      </x:c>
      <x:c r="K132" s="70" t="n">
        <x:f>SUM(E132:I132)</x:f>
        <x:v>0</x:v>
      </x:c>
      <x:c r="L132" s="108" t="str">
        <x:f>IFERROR((E132+0.75*F132+0.5*G132+0.25*H132)/K132,"")</x:f>
      </x:c>
      <x:c r="M132" s="108" t="str">
        <x:f>IFERROR(I132/K132,"")</x:f>
      </x:c>
      <x:c r="N132" s="70" t="n">
        <x:f>COUNTIFS('08_反例与错误'!$E$6:$E$155,A132,'08_反例与错误'!$H$6:$H$155,"强")+COUNTIFS('08_反例与错误'!$E$6:$E$155,A132,'08_反例与错误'!$H$6:$H$155,"安全")</x:f>
        <x:v>0</x:v>
      </x:c>
      <x:c r="O132" s="70" t="n">
        <x:f>COUNTIFS('06_规则命中'!$D$6:$D$405,A132,'06_规则命中'!$I$6:$I$405,"反例",'06_规则命中'!$L$6:$L$405,"是",'06_规则命中'!$N$6:$N$405,"是")</x:f>
        <x:v>0</x:v>
      </x:c>
      <x:c r="P132" s="108" t="str">
        <x:f>IFERROR(SUMIFS('06_规则命中'!$J$6:$J$405,'06_规则命中'!$D$6:$D$405,A132,'06_规则命中'!$C$6:$C$405,"开发集",'06_规则命中'!$N$6:$N$405,"是")/COUNTIFS('06_规则命中'!$D$6:$D$405,A132,'06_规则命中'!$C$6:$C$405,"开发集",'06_规则命中'!$I$6:$I$405,"&lt;&gt;不可评估",'06_规则命中'!$N$6:$N$405,"是"),"")</x:f>
      </x:c>
      <x:c r="Q132" s="108" t="str">
        <x:f>IFERROR(SUMIFS('06_规则命中'!$J$6:$J$405,'06_规则命中'!$D$6:$D$405,A132,'06_规则命中'!$C$6:$C$405,"留出集",'06_规则命中'!$N$6:$N$405,"是")/COUNTIFS('06_规则命中'!$D$6:$D$405,A132,'06_规则命中'!$C$6:$C$405,"留出集",'06_规则命中'!$I$6:$I$405,"&lt;&gt;不可评估",'06_规则命中'!$N$6:$N$405,"是"),"")</x:f>
      </x:c>
      <x:c r="R132" s="70" t="str">
        <x:f>IF(K132=0,"P0 待验证",IF(K132&lt;3,"P1 极少样本",IF(K132&lt;6,"P2 探索",IF(K132&lt;12,"P3 初步","P4 稳定候选"))))</x:f>
        <x:v>P0 待验证</x:v>
      </x:c>
      <x:c r="S132" s="70" t="str">
        <x:f>IF(O132&gt;0,"立即安全审查",IF(K132&lt;3,"样本不足",IF(AND(K132&gt;=4,M132&gt;=0.6),"停用候选",IF(AND(K132&gt;=6,M132&gt;=0.4),"优先修改",IF(AND(K132&gt;=8,L132&gt;=0.75,M132&lt;=0.15,N132=0),"保留观察",IF(AND(P132&lt;&gt;"",Q132&lt;&gt;"",ABS(P132-Q132)&gt;0.25),"疑似过拟合","继续验证"))))))</x:f>
        <x:v>样本不足</x:v>
      </x:c>
      <x:c r="T132" s="70" t="str"/>
      <x:c r="U132" s="70" t="str">
        <x:v>待验证</x:v>
      </x:c>
      <x:c r="V132" s="70" t="str"/>
      <x:c r="W132" s="70" t="str"/>
    </x:row>
    <x:row r="133">
      <x:c r="A133" s="70" t="str">
        <x:v>M5-SYNTH-099</x:v>
      </x:c>
      <x:c r="B133" s="70" t="str">
        <x:v>SYNTH</x:v>
      </x:c>
      <x:c r="C133" s="70" t="str">
        <x:v>用户需要与伴侣功能分开</x:v>
      </x:c>
      <x:c r="D133" s="70" t="str">
        <x:v>待验证</x:v>
      </x:c>
      <x:c r="E133" s="70" t="n">
        <x:f>COUNTIFS('06_规则命中'!$D$6:$D$405,A133,'06_规则命中'!$I$6:$I$405,"支持",'06_规则命中'!$N$6:$N$405,"是")</x:f>
        <x:v>0</x:v>
      </x:c>
      <x:c r="F133" s="70" t="n">
        <x:f>COUNTIFS('06_规则命中'!$D$6:$D$405,A133,'06_规则命中'!$I$6:$I$405,"基本支持",'06_规则命中'!$N$6:$N$405,"是")</x:f>
        <x:v>0</x:v>
      </x:c>
      <x:c r="G133" s="70" t="n">
        <x:f>COUNTIFS('06_规则命中'!$D$6:$D$405,A133,'06_规则命中'!$I$6:$I$405,"部分支持",'06_规则命中'!$N$6:$N$405,"是")</x:f>
        <x:v>0</x:v>
      </x:c>
      <x:c r="H133" s="70" t="n">
        <x:f>COUNTIFS('06_规则命中'!$D$6:$D$405,A133,'06_规则命中'!$I$6:$I$405,"相邻但不同",'06_规则命中'!$N$6:$N$405,"是")</x:f>
        <x:v>0</x:v>
      </x:c>
      <x:c r="I133" s="70" t="n">
        <x:f>COUNTIFS('06_规则命中'!$D$6:$D$405,A133,'06_规则命中'!$I$6:$I$405,"反例",'06_规则命中'!$N$6:$N$405,"是")</x:f>
        <x:v>0</x:v>
      </x:c>
      <x:c r="J133" s="70" t="n">
        <x:f>COUNTIFS('06_规则命中'!$D$6:$D$405,A133,'06_规则命中'!$I$6:$I$405,"不可评估",'06_规则命中'!$N$6:$N$405,"是")</x:f>
        <x:v>0</x:v>
      </x:c>
      <x:c r="K133" s="70" t="n">
        <x:f>SUM(E133:I133)</x:f>
        <x:v>0</x:v>
      </x:c>
      <x:c r="L133" s="108" t="str">
        <x:f>IFERROR((E133+0.75*F133+0.5*G133+0.25*H133)/K133,"")</x:f>
      </x:c>
      <x:c r="M133" s="108" t="str">
        <x:f>IFERROR(I133/K133,"")</x:f>
      </x:c>
      <x:c r="N133" s="70" t="n">
        <x:f>COUNTIFS('08_反例与错误'!$E$6:$E$155,A133,'08_反例与错误'!$H$6:$H$155,"强")+COUNTIFS('08_反例与错误'!$E$6:$E$155,A133,'08_反例与错误'!$H$6:$H$155,"安全")</x:f>
        <x:v>0</x:v>
      </x:c>
      <x:c r="O133" s="70" t="n">
        <x:f>COUNTIFS('06_规则命中'!$D$6:$D$405,A133,'06_规则命中'!$I$6:$I$405,"反例",'06_规则命中'!$L$6:$L$405,"是",'06_规则命中'!$N$6:$N$405,"是")</x:f>
        <x:v>0</x:v>
      </x:c>
      <x:c r="P133" s="108" t="str">
        <x:f>IFERROR(SUMIFS('06_规则命中'!$J$6:$J$405,'06_规则命中'!$D$6:$D$405,A133,'06_规则命中'!$C$6:$C$405,"开发集",'06_规则命中'!$N$6:$N$405,"是")/COUNTIFS('06_规则命中'!$D$6:$D$405,A133,'06_规则命中'!$C$6:$C$405,"开发集",'06_规则命中'!$I$6:$I$405,"&lt;&gt;不可评估",'06_规则命中'!$N$6:$N$405,"是"),"")</x:f>
      </x:c>
      <x:c r="Q133" s="108" t="str">
        <x:f>IFERROR(SUMIFS('06_规则命中'!$J$6:$J$405,'06_规则命中'!$D$6:$D$405,A133,'06_规则命中'!$C$6:$C$405,"留出集",'06_规则命中'!$N$6:$N$405,"是")/COUNTIFS('06_规则命中'!$D$6:$D$405,A133,'06_规则命中'!$C$6:$C$405,"留出集",'06_规则命中'!$I$6:$I$405,"&lt;&gt;不可评估",'06_规则命中'!$N$6:$N$405,"是"),"")</x:f>
      </x:c>
      <x:c r="R133" s="70" t="str">
        <x:f>IF(K133=0,"P0 待验证",IF(K133&lt;3,"P1 极少样本",IF(K133&lt;6,"P2 探索",IF(K133&lt;12,"P3 初步","P4 稳定候选"))))</x:f>
        <x:v>P0 待验证</x:v>
      </x:c>
      <x:c r="S133" s="70" t="str">
        <x:f>IF(O133&gt;0,"立即安全审查",IF(K133&lt;3,"样本不足",IF(AND(K133&gt;=4,M133&gt;=0.6),"停用候选",IF(AND(K133&gt;=6,M133&gt;=0.4),"优先修改",IF(AND(K133&gt;=8,L133&gt;=0.75,M133&lt;=0.15,N133=0),"保留观察",IF(AND(P133&lt;&gt;"",Q133&lt;&gt;"",ABS(P133-Q133)&gt;0.25),"疑似过拟合","继续验证"))))))</x:f>
        <x:v>样本不足</x:v>
      </x:c>
      <x:c r="T133" s="70" t="str"/>
      <x:c r="U133" s="70" t="str">
        <x:v>待验证</x:v>
      </x:c>
      <x:c r="V133" s="70" t="str"/>
      <x:c r="W133" s="70" t="str"/>
    </x:row>
    <x:row r="134">
      <x:c r="A134" s="70" t="str">
        <x:v>M5-SYNTH-100</x:v>
      </x:c>
      <x:c r="B134" s="70" t="str">
        <x:v>SYNTH</x:v>
      </x:c>
      <x:c r="C134" s="70" t="str">
        <x:v>伴侣个人能力与双人交换分开</x:v>
      </x:c>
      <x:c r="D134" s="70" t="str">
        <x:v>待验证</x:v>
      </x:c>
      <x:c r="E134" s="70" t="n">
        <x:f>COUNTIFS('06_规则命中'!$D$6:$D$405,A134,'06_规则命中'!$I$6:$I$405,"支持",'06_规则命中'!$N$6:$N$405,"是")</x:f>
        <x:v>0</x:v>
      </x:c>
      <x:c r="F134" s="70" t="n">
        <x:f>COUNTIFS('06_规则命中'!$D$6:$D$405,A134,'06_规则命中'!$I$6:$I$405,"基本支持",'06_规则命中'!$N$6:$N$405,"是")</x:f>
        <x:v>0</x:v>
      </x:c>
      <x:c r="G134" s="70" t="n">
        <x:f>COUNTIFS('06_规则命中'!$D$6:$D$405,A134,'06_规则命中'!$I$6:$I$405,"部分支持",'06_规则命中'!$N$6:$N$405,"是")</x:f>
        <x:v>0</x:v>
      </x:c>
      <x:c r="H134" s="70" t="n">
        <x:f>COUNTIFS('06_规则命中'!$D$6:$D$405,A134,'06_规则命中'!$I$6:$I$405,"相邻但不同",'06_规则命中'!$N$6:$N$405,"是")</x:f>
        <x:v>0</x:v>
      </x:c>
      <x:c r="I134" s="70" t="n">
        <x:f>COUNTIFS('06_规则命中'!$D$6:$D$405,A134,'06_规则命中'!$I$6:$I$405,"反例",'06_规则命中'!$N$6:$N$405,"是")</x:f>
        <x:v>0</x:v>
      </x:c>
      <x:c r="J134" s="70" t="n">
        <x:f>COUNTIFS('06_规则命中'!$D$6:$D$405,A134,'06_规则命中'!$I$6:$I$405,"不可评估",'06_规则命中'!$N$6:$N$405,"是")</x:f>
        <x:v>0</x:v>
      </x:c>
      <x:c r="K134" s="70" t="n">
        <x:f>SUM(E134:I134)</x:f>
        <x:v>0</x:v>
      </x:c>
      <x:c r="L134" s="108" t="str">
        <x:f>IFERROR((E134+0.75*F134+0.5*G134+0.25*H134)/K134,"")</x:f>
      </x:c>
      <x:c r="M134" s="108" t="str">
        <x:f>IFERROR(I134/K134,"")</x:f>
      </x:c>
      <x:c r="N134" s="70" t="n">
        <x:f>COUNTIFS('08_反例与错误'!$E$6:$E$155,A134,'08_反例与错误'!$H$6:$H$155,"强")+COUNTIFS('08_反例与错误'!$E$6:$E$155,A134,'08_反例与错误'!$H$6:$H$155,"安全")</x:f>
        <x:v>0</x:v>
      </x:c>
      <x:c r="O134" s="70" t="n">
        <x:f>COUNTIFS('06_规则命中'!$D$6:$D$405,A134,'06_规则命中'!$I$6:$I$405,"反例",'06_规则命中'!$L$6:$L$405,"是",'06_规则命中'!$N$6:$N$405,"是")</x:f>
        <x:v>0</x:v>
      </x:c>
      <x:c r="P134" s="108" t="str">
        <x:f>IFERROR(SUMIFS('06_规则命中'!$J$6:$J$405,'06_规则命中'!$D$6:$D$405,A134,'06_规则命中'!$C$6:$C$405,"开发集",'06_规则命中'!$N$6:$N$405,"是")/COUNTIFS('06_规则命中'!$D$6:$D$405,A134,'06_规则命中'!$C$6:$C$405,"开发集",'06_规则命中'!$I$6:$I$405,"&lt;&gt;不可评估",'06_规则命中'!$N$6:$N$405,"是"),"")</x:f>
      </x:c>
      <x:c r="Q134" s="108" t="str">
        <x:f>IFERROR(SUMIFS('06_规则命中'!$J$6:$J$405,'06_规则命中'!$D$6:$D$405,A134,'06_规则命中'!$C$6:$C$405,"留出集",'06_规则命中'!$N$6:$N$405,"是")/COUNTIFS('06_规则命中'!$D$6:$D$405,A134,'06_规则命中'!$C$6:$C$405,"留出集",'06_规则命中'!$I$6:$I$405,"&lt;&gt;不可评估",'06_规则命中'!$N$6:$N$405,"是"),"")</x:f>
      </x:c>
      <x:c r="R134" s="70" t="str">
        <x:f>IF(K134=0,"P0 待验证",IF(K134&lt;3,"P1 极少样本",IF(K134&lt;6,"P2 探索",IF(K134&lt;12,"P3 初步","P4 稳定候选"))))</x:f>
        <x:v>P0 待验证</x:v>
      </x:c>
      <x:c r="S134" s="70" t="str">
        <x:f>IF(O134&gt;0,"立即安全审查",IF(K134&lt;3,"样本不足",IF(AND(K134&gt;=4,M134&gt;=0.6),"停用候选",IF(AND(K134&gt;=6,M134&gt;=0.4),"优先修改",IF(AND(K134&gt;=8,L134&gt;=0.75,M134&lt;=0.15,N134=0),"保留观察",IF(AND(P134&lt;&gt;"",Q134&lt;&gt;"",ABS(P134-Q134)&gt;0.25),"疑似过拟合","继续验证"))))))</x:f>
        <x:v>样本不足</x:v>
      </x:c>
      <x:c r="T134" s="70" t="str"/>
      <x:c r="U134" s="70" t="str">
        <x:v>待验证</x:v>
      </x:c>
      <x:c r="V134" s="70" t="str"/>
      <x:c r="W134" s="70" t="str"/>
    </x:row>
    <x:row r="135">
      <x:c r="A135" s="70" t="str">
        <x:v>M5-SYNTH-101</x:v>
      </x:c>
      <x:c r="B135" s="70" t="str">
        <x:v>SYNTH</x:v>
      </x:c>
      <x:c r="C135" s="70" t="str">
        <x:v>交换成熟与边界成熟分开</x:v>
      </x:c>
      <x:c r="D135" s="70" t="str">
        <x:v>待验证</x:v>
      </x:c>
      <x:c r="E135" s="70" t="n">
        <x:f>COUNTIFS('06_规则命中'!$D$6:$D$405,A135,'06_规则命中'!$I$6:$I$405,"支持",'06_规则命中'!$N$6:$N$405,"是")</x:f>
        <x:v>0</x:v>
      </x:c>
      <x:c r="F135" s="70" t="n">
        <x:f>COUNTIFS('06_规则命中'!$D$6:$D$405,A135,'06_规则命中'!$I$6:$I$405,"基本支持",'06_规则命中'!$N$6:$N$405,"是")</x:f>
        <x:v>0</x:v>
      </x:c>
      <x:c r="G135" s="70" t="n">
        <x:f>COUNTIFS('06_规则命中'!$D$6:$D$405,A135,'06_规则命中'!$I$6:$I$405,"部分支持",'06_规则命中'!$N$6:$N$405,"是")</x:f>
        <x:v>0</x:v>
      </x:c>
      <x:c r="H135" s="70" t="n">
        <x:f>COUNTIFS('06_规则命中'!$D$6:$D$405,A135,'06_规则命中'!$I$6:$I$405,"相邻但不同",'06_规则命中'!$N$6:$N$405,"是")</x:f>
        <x:v>0</x:v>
      </x:c>
      <x:c r="I135" s="70" t="n">
        <x:f>COUNTIFS('06_规则命中'!$D$6:$D$405,A135,'06_规则命中'!$I$6:$I$405,"反例",'06_规则命中'!$N$6:$N$405,"是")</x:f>
        <x:v>0</x:v>
      </x:c>
      <x:c r="J135" s="70" t="n">
        <x:f>COUNTIFS('06_规则命中'!$D$6:$D$405,A135,'06_规则命中'!$I$6:$I$405,"不可评估",'06_规则命中'!$N$6:$N$405,"是")</x:f>
        <x:v>0</x:v>
      </x:c>
      <x:c r="K135" s="70" t="n">
        <x:f>SUM(E135:I135)</x:f>
        <x:v>0</x:v>
      </x:c>
      <x:c r="L135" s="108" t="str">
        <x:f>IFERROR((E135+0.75*F135+0.5*G135+0.25*H135)/K135,"")</x:f>
      </x:c>
      <x:c r="M135" s="108" t="str">
        <x:f>IFERROR(I135/K135,"")</x:f>
      </x:c>
      <x:c r="N135" s="70" t="n">
        <x:f>COUNTIFS('08_反例与错误'!$E$6:$E$155,A135,'08_反例与错误'!$H$6:$H$155,"强")+COUNTIFS('08_反例与错误'!$E$6:$E$155,A135,'08_反例与错误'!$H$6:$H$155,"安全")</x:f>
        <x:v>0</x:v>
      </x:c>
      <x:c r="O135" s="70" t="n">
        <x:f>COUNTIFS('06_规则命中'!$D$6:$D$405,A135,'06_规则命中'!$I$6:$I$405,"反例",'06_规则命中'!$L$6:$L$405,"是",'06_规则命中'!$N$6:$N$405,"是")</x:f>
        <x:v>0</x:v>
      </x:c>
      <x:c r="P135" s="108" t="str">
        <x:f>IFERROR(SUMIFS('06_规则命中'!$J$6:$J$405,'06_规则命中'!$D$6:$D$405,A135,'06_规则命中'!$C$6:$C$405,"开发集",'06_规则命中'!$N$6:$N$405,"是")/COUNTIFS('06_规则命中'!$D$6:$D$405,A135,'06_规则命中'!$C$6:$C$405,"开发集",'06_规则命中'!$I$6:$I$405,"&lt;&gt;不可评估",'06_规则命中'!$N$6:$N$405,"是"),"")</x:f>
      </x:c>
      <x:c r="Q135" s="108" t="str">
        <x:f>IFERROR(SUMIFS('06_规则命中'!$J$6:$J$405,'06_规则命中'!$D$6:$D$405,A135,'06_规则命中'!$C$6:$C$405,"留出集",'06_规则命中'!$N$6:$N$405,"是")/COUNTIFS('06_规则命中'!$D$6:$D$405,A135,'06_规则命中'!$C$6:$C$405,"留出集",'06_规则命中'!$I$6:$I$405,"&lt;&gt;不可评估",'06_规则命中'!$N$6:$N$405,"是"),"")</x:f>
      </x:c>
      <x:c r="R135" s="70" t="str">
        <x:f>IF(K135=0,"P0 待验证",IF(K135&lt;3,"P1 极少样本",IF(K135&lt;6,"P2 探索",IF(K135&lt;12,"P3 初步","P4 稳定候选"))))</x:f>
        <x:v>P0 待验证</x:v>
      </x:c>
      <x:c r="S135" s="70" t="str">
        <x:f>IF(O135&gt;0,"立即安全审查",IF(K135&lt;3,"样本不足",IF(AND(K135&gt;=4,M135&gt;=0.6),"停用候选",IF(AND(K135&gt;=6,M135&gt;=0.4),"优先修改",IF(AND(K135&gt;=8,L135&gt;=0.75,M135&lt;=0.15,N135=0),"保留观察",IF(AND(P135&lt;&gt;"",Q135&lt;&gt;"",ABS(P135-Q135)&gt;0.25),"疑似过拟合","继续验证"))))))</x:f>
        <x:v>样本不足</x:v>
      </x:c>
      <x:c r="T135" s="70" t="str"/>
      <x:c r="U135" s="70" t="str">
        <x:v>待验证</x:v>
      </x:c>
      <x:c r="V135" s="70" t="str"/>
      <x:c r="W135" s="70" t="str"/>
    </x:row>
    <x:row r="136">
      <x:c r="A136" s="70" t="str">
        <x:v>M5-SYNTH-102</x:v>
      </x:c>
      <x:c r="B136" s="70" t="str">
        <x:v>SYNTH</x:v>
      </x:c>
      <x:c r="C136" s="70" t="str">
        <x:v>边界成熟与修复成熟分开</x:v>
      </x:c>
      <x:c r="D136" s="70" t="str">
        <x:v>待验证</x:v>
      </x:c>
      <x:c r="E136" s="70" t="n">
        <x:f>COUNTIFS('06_规则命中'!$D$6:$D$405,A136,'06_规则命中'!$I$6:$I$405,"支持",'06_规则命中'!$N$6:$N$405,"是")</x:f>
        <x:v>0</x:v>
      </x:c>
      <x:c r="F136" s="70" t="n">
        <x:f>COUNTIFS('06_规则命中'!$D$6:$D$405,A136,'06_规则命中'!$I$6:$I$405,"基本支持",'06_规则命中'!$N$6:$N$405,"是")</x:f>
        <x:v>0</x:v>
      </x:c>
      <x:c r="G136" s="70" t="n">
        <x:f>COUNTIFS('06_规则命中'!$D$6:$D$405,A136,'06_规则命中'!$I$6:$I$405,"部分支持",'06_规则命中'!$N$6:$N$405,"是")</x:f>
        <x:v>0</x:v>
      </x:c>
      <x:c r="H136" s="70" t="n">
        <x:f>COUNTIFS('06_规则命中'!$D$6:$D$405,A136,'06_规则命中'!$I$6:$I$405,"相邻但不同",'06_规则命中'!$N$6:$N$405,"是")</x:f>
        <x:v>0</x:v>
      </x:c>
      <x:c r="I136" s="70" t="n">
        <x:f>COUNTIFS('06_规则命中'!$D$6:$D$405,A136,'06_规则命中'!$I$6:$I$405,"反例",'06_规则命中'!$N$6:$N$405,"是")</x:f>
        <x:v>0</x:v>
      </x:c>
      <x:c r="J136" s="70" t="n">
        <x:f>COUNTIFS('06_规则命中'!$D$6:$D$405,A136,'06_规则命中'!$I$6:$I$405,"不可评估",'06_规则命中'!$N$6:$N$405,"是")</x:f>
        <x:v>0</x:v>
      </x:c>
      <x:c r="K136" s="70" t="n">
        <x:f>SUM(E136:I136)</x:f>
        <x:v>0</x:v>
      </x:c>
      <x:c r="L136" s="108" t="str">
        <x:f>IFERROR((E136+0.75*F136+0.5*G136+0.25*H136)/K136,"")</x:f>
      </x:c>
      <x:c r="M136" s="108" t="str">
        <x:f>IFERROR(I136/K136,"")</x:f>
      </x:c>
      <x:c r="N136" s="70" t="n">
        <x:f>COUNTIFS('08_反例与错误'!$E$6:$E$155,A136,'08_反例与错误'!$H$6:$H$155,"强")+COUNTIFS('08_反例与错误'!$E$6:$E$155,A136,'08_反例与错误'!$H$6:$H$155,"安全")</x:f>
        <x:v>0</x:v>
      </x:c>
      <x:c r="O136" s="70" t="n">
        <x:f>COUNTIFS('06_规则命中'!$D$6:$D$405,A136,'06_规则命中'!$I$6:$I$405,"反例",'06_规则命中'!$L$6:$L$405,"是",'06_规则命中'!$N$6:$N$405,"是")</x:f>
        <x:v>0</x:v>
      </x:c>
      <x:c r="P136" s="108" t="str">
        <x:f>IFERROR(SUMIFS('06_规则命中'!$J$6:$J$405,'06_规则命中'!$D$6:$D$405,A136,'06_规则命中'!$C$6:$C$405,"开发集",'06_规则命中'!$N$6:$N$405,"是")/COUNTIFS('06_规则命中'!$D$6:$D$405,A136,'06_规则命中'!$C$6:$C$405,"开发集",'06_规则命中'!$I$6:$I$405,"&lt;&gt;不可评估",'06_规则命中'!$N$6:$N$405,"是"),"")</x:f>
      </x:c>
      <x:c r="Q136" s="108" t="str">
        <x:f>IFERROR(SUMIFS('06_规则命中'!$J$6:$J$405,'06_规则命中'!$D$6:$D$405,A136,'06_规则命中'!$C$6:$C$405,"留出集",'06_规则命中'!$N$6:$N$405,"是")/COUNTIFS('06_规则命中'!$D$6:$D$405,A136,'06_规则命中'!$C$6:$C$405,"留出集",'06_规则命中'!$I$6:$I$405,"&lt;&gt;不可评估",'06_规则命中'!$N$6:$N$405,"是"),"")</x:f>
      </x:c>
      <x:c r="R136" s="70" t="str">
        <x:f>IF(K136=0,"P0 待验证",IF(K136&lt;3,"P1 极少样本",IF(K136&lt;6,"P2 探索",IF(K136&lt;12,"P3 初步","P4 稳定候选"))))</x:f>
        <x:v>P0 待验证</x:v>
      </x:c>
      <x:c r="S136" s="70" t="str">
        <x:f>IF(O136&gt;0,"立即安全审查",IF(K136&lt;3,"样本不足",IF(AND(K136&gt;=4,M136&gt;=0.6),"停用候选",IF(AND(K136&gt;=6,M136&gt;=0.4),"优先修改",IF(AND(K136&gt;=8,L136&gt;=0.75,M136&lt;=0.15,N136=0),"保留观察",IF(AND(P136&lt;&gt;"",Q136&lt;&gt;"",ABS(P136-Q136)&gt;0.25),"疑似过拟合","继续验证"))))))</x:f>
        <x:v>样本不足</x:v>
      </x:c>
      <x:c r="T136" s="70" t="str"/>
      <x:c r="U136" s="70" t="str">
        <x:v>待验证</x:v>
      </x:c>
      <x:c r="V136" s="70" t="str"/>
      <x:c r="W136" s="70" t="str"/>
    </x:row>
    <x:row r="137">
      <x:c r="A137" s="70" t="str">
        <x:v>M5-SYNTH-103</x:v>
      </x:c>
      <x:c r="B137" s="70" t="str">
        <x:v>SYNTH</x:v>
      </x:c>
      <x:c r="C137" s="70" t="str">
        <x:v>修复成熟与节奏成熟分开</x:v>
      </x:c>
      <x:c r="D137" s="70" t="str">
        <x:v>待验证</x:v>
      </x:c>
      <x:c r="E137" s="70" t="n">
        <x:f>COUNTIFS('06_规则命中'!$D$6:$D$405,A137,'06_规则命中'!$I$6:$I$405,"支持",'06_规则命中'!$N$6:$N$405,"是")</x:f>
        <x:v>0</x:v>
      </x:c>
      <x:c r="F137" s="70" t="n">
        <x:f>COUNTIFS('06_规则命中'!$D$6:$D$405,A137,'06_规则命中'!$I$6:$I$405,"基本支持",'06_规则命中'!$N$6:$N$405,"是")</x:f>
        <x:v>0</x:v>
      </x:c>
      <x:c r="G137" s="70" t="n">
        <x:f>COUNTIFS('06_规则命中'!$D$6:$D$405,A137,'06_规则命中'!$I$6:$I$405,"部分支持",'06_规则命中'!$N$6:$N$405,"是")</x:f>
        <x:v>0</x:v>
      </x:c>
      <x:c r="H137" s="70" t="n">
        <x:f>COUNTIFS('06_规则命中'!$D$6:$D$405,A137,'06_规则命中'!$I$6:$I$405,"相邻但不同",'06_规则命中'!$N$6:$N$405,"是")</x:f>
        <x:v>0</x:v>
      </x:c>
      <x:c r="I137" s="70" t="n">
        <x:f>COUNTIFS('06_规则命中'!$D$6:$D$405,A137,'06_规则命中'!$I$6:$I$405,"反例",'06_规则命中'!$N$6:$N$405,"是")</x:f>
        <x:v>0</x:v>
      </x:c>
      <x:c r="J137" s="70" t="n">
        <x:f>COUNTIFS('06_规则命中'!$D$6:$D$405,A137,'06_规则命中'!$I$6:$I$405,"不可评估",'06_规则命中'!$N$6:$N$405,"是")</x:f>
        <x:v>0</x:v>
      </x:c>
      <x:c r="K137" s="70" t="n">
        <x:f>SUM(E137:I137)</x:f>
        <x:v>0</x:v>
      </x:c>
      <x:c r="L137" s="108" t="str">
        <x:f>IFERROR((E137+0.75*F137+0.5*G137+0.25*H137)/K137,"")</x:f>
      </x:c>
      <x:c r="M137" s="108" t="str">
        <x:f>IFERROR(I137/K137,"")</x:f>
      </x:c>
      <x:c r="N137" s="70" t="n">
        <x:f>COUNTIFS('08_反例与错误'!$E$6:$E$155,A137,'08_反例与错误'!$H$6:$H$155,"强")+COUNTIFS('08_反例与错误'!$E$6:$E$155,A137,'08_反例与错误'!$H$6:$H$155,"安全")</x:f>
        <x:v>0</x:v>
      </x:c>
      <x:c r="O137" s="70" t="n">
        <x:f>COUNTIFS('06_规则命中'!$D$6:$D$405,A137,'06_规则命中'!$I$6:$I$405,"反例",'06_规则命中'!$L$6:$L$405,"是",'06_规则命中'!$N$6:$N$405,"是")</x:f>
        <x:v>0</x:v>
      </x:c>
      <x:c r="P137" s="108" t="str">
        <x:f>IFERROR(SUMIFS('06_规则命中'!$J$6:$J$405,'06_规则命中'!$D$6:$D$405,A137,'06_规则命中'!$C$6:$C$405,"开发集",'06_规则命中'!$N$6:$N$405,"是")/COUNTIFS('06_规则命中'!$D$6:$D$405,A137,'06_规则命中'!$C$6:$C$405,"开发集",'06_规则命中'!$I$6:$I$405,"&lt;&gt;不可评估",'06_规则命中'!$N$6:$N$405,"是"),"")</x:f>
      </x:c>
      <x:c r="Q137" s="108" t="str">
        <x:f>IFERROR(SUMIFS('06_规则命中'!$J$6:$J$405,'06_规则命中'!$D$6:$D$405,A137,'06_规则命中'!$C$6:$C$405,"留出集",'06_规则命中'!$N$6:$N$405,"是")/COUNTIFS('06_规则命中'!$D$6:$D$405,A137,'06_规则命中'!$C$6:$C$405,"留出集",'06_规则命中'!$I$6:$I$405,"&lt;&gt;不可评估",'06_规则命中'!$N$6:$N$405,"是"),"")</x:f>
      </x:c>
      <x:c r="R137" s="70" t="str">
        <x:f>IF(K137=0,"P0 待验证",IF(K137&lt;3,"P1 极少样本",IF(K137&lt;6,"P2 探索",IF(K137&lt;12,"P3 初步","P4 稳定候选"))))</x:f>
        <x:v>P0 待验证</x:v>
      </x:c>
      <x:c r="S137" s="70" t="str">
        <x:f>IF(O137&gt;0,"立即安全审查",IF(K137&lt;3,"样本不足",IF(AND(K137&gt;=4,M137&gt;=0.6),"停用候选",IF(AND(K137&gt;=6,M137&gt;=0.4),"优先修改",IF(AND(K137&gt;=8,L137&gt;=0.75,M137&lt;=0.15,N137=0),"保留观察",IF(AND(P137&lt;&gt;"",Q137&lt;&gt;"",ABS(P137-Q137)&gt;0.25),"疑似过拟合","继续验证"))))))</x:f>
        <x:v>样本不足</x:v>
      </x:c>
      <x:c r="T137" s="70" t="str"/>
      <x:c r="U137" s="70" t="str">
        <x:v>待验证</x:v>
      </x:c>
      <x:c r="V137" s="70" t="str"/>
      <x:c r="W137" s="70" t="str"/>
    </x:row>
    <x:row r="138">
      <x:c r="A138" s="70" t="str">
        <x:v>M5-SYNTH-104</x:v>
      </x:c>
      <x:c r="B138" s="70" t="str">
        <x:v>SYNTH</x:v>
      </x:c>
      <x:c r="C138" s="70" t="str">
        <x:v>GAP上下游链条收敛</x:v>
      </x:c>
      <x:c r="D138" s="70" t="str">
        <x:v>待验证</x:v>
      </x:c>
      <x:c r="E138" s="70" t="n">
        <x:f>COUNTIFS('06_规则命中'!$D$6:$D$405,A138,'06_规则命中'!$I$6:$I$405,"支持",'06_规则命中'!$N$6:$N$405,"是")</x:f>
        <x:v>0</x:v>
      </x:c>
      <x:c r="F138" s="70" t="n">
        <x:f>COUNTIFS('06_规则命中'!$D$6:$D$405,A138,'06_规则命中'!$I$6:$I$405,"基本支持",'06_规则命中'!$N$6:$N$405,"是")</x:f>
        <x:v>0</x:v>
      </x:c>
      <x:c r="G138" s="70" t="n">
        <x:f>COUNTIFS('06_规则命中'!$D$6:$D$405,A138,'06_规则命中'!$I$6:$I$405,"部分支持",'06_规则命中'!$N$6:$N$405,"是")</x:f>
        <x:v>0</x:v>
      </x:c>
      <x:c r="H138" s="70" t="n">
        <x:f>COUNTIFS('06_规则命中'!$D$6:$D$405,A138,'06_规则命中'!$I$6:$I$405,"相邻但不同",'06_规则命中'!$N$6:$N$405,"是")</x:f>
        <x:v>0</x:v>
      </x:c>
      <x:c r="I138" s="70" t="n">
        <x:f>COUNTIFS('06_规则命中'!$D$6:$D$405,A138,'06_规则命中'!$I$6:$I$405,"反例",'06_规则命中'!$N$6:$N$405,"是")</x:f>
        <x:v>0</x:v>
      </x:c>
      <x:c r="J138" s="70" t="n">
        <x:f>COUNTIFS('06_规则命中'!$D$6:$D$405,A138,'06_规则命中'!$I$6:$I$405,"不可评估",'06_规则命中'!$N$6:$N$405,"是")</x:f>
        <x:v>0</x:v>
      </x:c>
      <x:c r="K138" s="70" t="n">
        <x:f>SUM(E138:I138)</x:f>
        <x:v>0</x:v>
      </x:c>
      <x:c r="L138" s="108" t="str">
        <x:f>IFERROR((E138+0.75*F138+0.5*G138+0.25*H138)/K138,"")</x:f>
      </x:c>
      <x:c r="M138" s="108" t="str">
        <x:f>IFERROR(I138/K138,"")</x:f>
      </x:c>
      <x:c r="N138" s="70" t="n">
        <x:f>COUNTIFS('08_反例与错误'!$E$6:$E$155,A138,'08_反例与错误'!$H$6:$H$155,"强")+COUNTIFS('08_反例与错误'!$E$6:$E$155,A138,'08_反例与错误'!$H$6:$H$155,"安全")</x:f>
        <x:v>0</x:v>
      </x:c>
      <x:c r="O138" s="70" t="n">
        <x:f>COUNTIFS('06_规则命中'!$D$6:$D$405,A138,'06_规则命中'!$I$6:$I$405,"反例",'06_规则命中'!$L$6:$L$405,"是",'06_规则命中'!$N$6:$N$405,"是")</x:f>
        <x:v>0</x:v>
      </x:c>
      <x:c r="P138" s="108" t="str">
        <x:f>IFERROR(SUMIFS('06_规则命中'!$J$6:$J$405,'06_规则命中'!$D$6:$D$405,A138,'06_规则命中'!$C$6:$C$405,"开发集",'06_规则命中'!$N$6:$N$405,"是")/COUNTIFS('06_规则命中'!$D$6:$D$405,A138,'06_规则命中'!$C$6:$C$405,"开发集",'06_规则命中'!$I$6:$I$405,"&lt;&gt;不可评估",'06_规则命中'!$N$6:$N$405,"是"),"")</x:f>
      </x:c>
      <x:c r="Q138" s="108" t="str">
        <x:f>IFERROR(SUMIFS('06_规则命中'!$J$6:$J$405,'06_规则命中'!$D$6:$D$405,A138,'06_规则命中'!$C$6:$C$405,"留出集",'06_规则命中'!$N$6:$N$405,"是")/COUNTIFS('06_规则命中'!$D$6:$D$405,A138,'06_规则命中'!$C$6:$C$405,"留出集",'06_规则命中'!$I$6:$I$405,"&lt;&gt;不可评估",'06_规则命中'!$N$6:$N$405,"是"),"")</x:f>
      </x:c>
      <x:c r="R138" s="70" t="str">
        <x:f>IF(K138=0,"P0 待验证",IF(K138&lt;3,"P1 极少样本",IF(K138&lt;6,"P2 探索",IF(K138&lt;12,"P3 初步","P4 稳定候选"))))</x:f>
        <x:v>P0 待验证</x:v>
      </x:c>
      <x:c r="S138" s="70" t="str">
        <x:f>IF(O138&gt;0,"立即安全审查",IF(K138&lt;3,"样本不足",IF(AND(K138&gt;=4,M138&gt;=0.6),"停用候选",IF(AND(K138&gt;=6,M138&gt;=0.4),"优先修改",IF(AND(K138&gt;=8,L138&gt;=0.75,M138&lt;=0.15,N138=0),"保留观察",IF(AND(P138&lt;&gt;"",Q138&lt;&gt;"",ABS(P138-Q138)&gt;0.25),"疑似过拟合","继续验证"))))))</x:f>
        <x:v>样本不足</x:v>
      </x:c>
      <x:c r="T138" s="70" t="str"/>
      <x:c r="U138" s="70" t="str">
        <x:v>待验证</x:v>
      </x:c>
      <x:c r="V138" s="70" t="str"/>
      <x:c r="W138" s="70" t="str"/>
    </x:row>
    <x:row r="139">
      <x:c r="A139" s="70" t="str">
        <x:v>M5-SYNTH-105</x:v>
      </x:c>
      <x:c r="B139" s="70" t="str">
        <x:v>SYNTH</x:v>
      </x:c>
      <x:c r="C139" s="70" t="str">
        <x:v>真合化替换｜原功能基础分清零</x:v>
      </x:c>
      <x:c r="D139" s="70" t="str">
        <x:v>待验证</x:v>
      </x:c>
      <x:c r="E139" s="70" t="n">
        <x:f>COUNTIFS('06_规则命中'!$D$6:$D$405,A139,'06_规则命中'!$I$6:$I$405,"支持",'06_规则命中'!$N$6:$N$405,"是")</x:f>
        <x:v>0</x:v>
      </x:c>
      <x:c r="F139" s="70" t="n">
        <x:f>COUNTIFS('06_规则命中'!$D$6:$D$405,A139,'06_规则命中'!$I$6:$I$405,"基本支持",'06_规则命中'!$N$6:$N$405,"是")</x:f>
        <x:v>0</x:v>
      </x:c>
      <x:c r="G139" s="70" t="n">
        <x:f>COUNTIFS('06_规则命中'!$D$6:$D$405,A139,'06_规则命中'!$I$6:$I$405,"部分支持",'06_规则命中'!$N$6:$N$405,"是")</x:f>
        <x:v>0</x:v>
      </x:c>
      <x:c r="H139" s="70" t="n">
        <x:f>COUNTIFS('06_规则命中'!$D$6:$D$405,A139,'06_规则命中'!$I$6:$I$405,"相邻但不同",'06_规则命中'!$N$6:$N$405,"是")</x:f>
        <x:v>0</x:v>
      </x:c>
      <x:c r="I139" s="70" t="n">
        <x:f>COUNTIFS('06_规则命中'!$D$6:$D$405,A139,'06_规则命中'!$I$6:$I$405,"反例",'06_规则命中'!$N$6:$N$405,"是")</x:f>
        <x:v>0</x:v>
      </x:c>
      <x:c r="J139" s="70" t="n">
        <x:f>COUNTIFS('06_规则命中'!$D$6:$D$405,A139,'06_规则命中'!$I$6:$I$405,"不可评估",'06_规则命中'!$N$6:$N$405,"是")</x:f>
        <x:v>0</x:v>
      </x:c>
      <x:c r="K139" s="70" t="n">
        <x:f>SUM(E139:I139)</x:f>
        <x:v>0</x:v>
      </x:c>
      <x:c r="L139" s="108" t="str">
        <x:f>IFERROR((E139+0.75*F139+0.5*G139+0.25*H139)/K139,"")</x:f>
      </x:c>
      <x:c r="M139" s="108" t="str">
        <x:f>IFERROR(I139/K139,"")</x:f>
      </x:c>
      <x:c r="N139" s="70" t="n">
        <x:f>COUNTIFS('08_反例与错误'!$E$6:$E$155,A139,'08_反例与错误'!$H$6:$H$155,"强")+COUNTIFS('08_反例与错误'!$E$6:$E$155,A139,'08_反例与错误'!$H$6:$H$155,"安全")</x:f>
        <x:v>0</x:v>
      </x:c>
      <x:c r="O139" s="70" t="n">
        <x:f>COUNTIFS('06_规则命中'!$D$6:$D$405,A139,'06_规则命中'!$I$6:$I$405,"反例",'06_规则命中'!$L$6:$L$405,"是",'06_规则命中'!$N$6:$N$405,"是")</x:f>
        <x:v>0</x:v>
      </x:c>
      <x:c r="P139" s="108" t="str">
        <x:f>IFERROR(SUMIFS('06_规则命中'!$J$6:$J$405,'06_规则命中'!$D$6:$D$405,A139,'06_规则命中'!$C$6:$C$405,"开发集",'06_规则命中'!$N$6:$N$405,"是")/COUNTIFS('06_规则命中'!$D$6:$D$405,A139,'06_规则命中'!$C$6:$C$405,"开发集",'06_规则命中'!$I$6:$I$405,"&lt;&gt;不可评估",'06_规则命中'!$N$6:$N$405,"是"),"")</x:f>
      </x:c>
      <x:c r="Q139" s="108" t="str">
        <x:f>IFERROR(SUMIFS('06_规则命中'!$J$6:$J$405,'06_规则命中'!$D$6:$D$405,A139,'06_规则命中'!$C$6:$C$405,"留出集",'06_规则命中'!$N$6:$N$405,"是")/COUNTIFS('06_规则命中'!$D$6:$D$405,A139,'06_规则命中'!$C$6:$C$405,"留出集",'06_规则命中'!$I$6:$I$405,"&lt;&gt;不可评估",'06_规则命中'!$N$6:$N$405,"是"),"")</x:f>
      </x:c>
      <x:c r="R139" s="70" t="str">
        <x:f>IF(K139=0,"P0 待验证",IF(K139&lt;3,"P1 极少样本",IF(K139&lt;6,"P2 探索",IF(K139&lt;12,"P3 初步","P4 稳定候选"))))</x:f>
        <x:v>P0 待验证</x:v>
      </x:c>
      <x:c r="S139" s="70" t="str">
        <x:f>IF(O139&gt;0,"立即安全审查",IF(K139&lt;3,"样本不足",IF(AND(K139&gt;=4,M139&gt;=0.6),"停用候选",IF(AND(K139&gt;=6,M139&gt;=0.4),"优先修改",IF(AND(K139&gt;=8,L139&gt;=0.75,M139&lt;=0.15,N139=0),"保留观察",IF(AND(P139&lt;&gt;"",Q139&lt;&gt;"",ABS(P139-Q139)&gt;0.25),"疑似过拟合","继续验证"))))))</x:f>
        <x:v>样本不足</x:v>
      </x:c>
      <x:c r="T139" s="70" t="str"/>
      <x:c r="U139" s="70" t="str">
        <x:v>待验证</x:v>
      </x:c>
      <x:c r="V139" s="70" t="str"/>
      <x:c r="W139" s="70" t="str"/>
    </x:row>
    <x:row r="140">
      <x:c r="A140" s="70" t="str">
        <x:v>M5-SYNTH-106</x:v>
      </x:c>
      <x:c r="B140" s="70" t="str">
        <x:v>SYNTH</x:v>
      </x:c>
      <x:c r="C140" s="70" t="str">
        <x:v>合而不化｜保留原功能只加动态修正</x:v>
      </x:c>
      <x:c r="D140" s="70" t="str">
        <x:v>待验证</x:v>
      </x:c>
      <x:c r="E140" s="70" t="n">
        <x:f>COUNTIFS('06_规则命中'!$D$6:$D$405,A140,'06_规则命中'!$I$6:$I$405,"支持",'06_规则命中'!$N$6:$N$405,"是")</x:f>
        <x:v>0</x:v>
      </x:c>
      <x:c r="F140" s="70" t="n">
        <x:f>COUNTIFS('06_规则命中'!$D$6:$D$405,A140,'06_规则命中'!$I$6:$I$405,"基本支持",'06_规则命中'!$N$6:$N$405,"是")</x:f>
        <x:v>0</x:v>
      </x:c>
      <x:c r="G140" s="70" t="n">
        <x:f>COUNTIFS('06_规则命中'!$D$6:$D$405,A140,'06_规则命中'!$I$6:$I$405,"部分支持",'06_规则命中'!$N$6:$N$405,"是")</x:f>
        <x:v>0</x:v>
      </x:c>
      <x:c r="H140" s="70" t="n">
        <x:f>COUNTIFS('06_规则命中'!$D$6:$D$405,A140,'06_规则命中'!$I$6:$I$405,"相邻但不同",'06_规则命中'!$N$6:$N$405,"是")</x:f>
        <x:v>0</x:v>
      </x:c>
      <x:c r="I140" s="70" t="n">
        <x:f>COUNTIFS('06_规则命中'!$D$6:$D$405,A140,'06_规则命中'!$I$6:$I$405,"反例",'06_规则命中'!$N$6:$N$405,"是")</x:f>
        <x:v>0</x:v>
      </x:c>
      <x:c r="J140" s="70" t="n">
        <x:f>COUNTIFS('06_规则命中'!$D$6:$D$405,A140,'06_规则命中'!$I$6:$I$405,"不可评估",'06_规则命中'!$N$6:$N$405,"是")</x:f>
        <x:v>0</x:v>
      </x:c>
      <x:c r="K140" s="70" t="n">
        <x:f>SUM(E140:I140)</x:f>
        <x:v>0</x:v>
      </x:c>
      <x:c r="L140" s="108" t="str">
        <x:f>IFERROR((E140+0.75*F140+0.5*G140+0.25*H140)/K140,"")</x:f>
      </x:c>
      <x:c r="M140" s="108" t="str">
        <x:f>IFERROR(I140/K140,"")</x:f>
      </x:c>
      <x:c r="N140" s="70" t="n">
        <x:f>COUNTIFS('08_反例与错误'!$E$6:$E$155,A140,'08_反例与错误'!$H$6:$H$155,"强")+COUNTIFS('08_反例与错误'!$E$6:$E$155,A140,'08_反例与错误'!$H$6:$H$155,"安全")</x:f>
        <x:v>0</x:v>
      </x:c>
      <x:c r="O140" s="70" t="n">
        <x:f>COUNTIFS('06_规则命中'!$D$6:$D$405,A140,'06_规则命中'!$I$6:$I$405,"反例",'06_规则命中'!$L$6:$L$405,"是",'06_规则命中'!$N$6:$N$405,"是")</x:f>
        <x:v>0</x:v>
      </x:c>
      <x:c r="P140" s="108" t="str">
        <x:f>IFERROR(SUMIFS('06_规则命中'!$J$6:$J$405,'06_规则命中'!$D$6:$D$405,A140,'06_规则命中'!$C$6:$C$405,"开发集",'06_规则命中'!$N$6:$N$405,"是")/COUNTIFS('06_规则命中'!$D$6:$D$405,A140,'06_规则命中'!$C$6:$C$405,"开发集",'06_规则命中'!$I$6:$I$405,"&lt;&gt;不可评估",'06_规则命中'!$N$6:$N$405,"是"),"")</x:f>
      </x:c>
      <x:c r="Q140" s="108" t="str">
        <x:f>IFERROR(SUMIFS('06_规则命中'!$J$6:$J$405,'06_规则命中'!$D$6:$D$405,A140,'06_规则命中'!$C$6:$C$405,"留出集",'06_规则命中'!$N$6:$N$405,"是")/COUNTIFS('06_规则命中'!$D$6:$D$405,A140,'06_规则命中'!$C$6:$C$405,"留出集",'06_规则命中'!$I$6:$I$405,"&lt;&gt;不可评估",'06_规则命中'!$N$6:$N$405,"是"),"")</x:f>
      </x:c>
      <x:c r="R140" s="70" t="str">
        <x:f>IF(K140=0,"P0 待验证",IF(K140&lt;3,"P1 极少样本",IF(K140&lt;6,"P2 探索",IF(K140&lt;12,"P3 初步","P4 稳定候选"))))</x:f>
        <x:v>P0 待验证</x:v>
      </x:c>
      <x:c r="S140" s="70" t="str">
        <x:f>IF(O140&gt;0,"立即安全审查",IF(K140&lt;3,"样本不足",IF(AND(K140&gt;=4,M140&gt;=0.6),"停用候选",IF(AND(K140&gt;=6,M140&gt;=0.4),"优先修改",IF(AND(K140&gt;=8,L140&gt;=0.75,M140&lt;=0.15,N140=0),"保留观察",IF(AND(P140&lt;&gt;"",Q140&lt;&gt;"",ABS(P140-Q140)&gt;0.25),"疑似过拟合","继续验证"))))))</x:f>
        <x:v>样本不足</x:v>
      </x:c>
      <x:c r="T140" s="70" t="str"/>
      <x:c r="U140" s="70" t="str">
        <x:v>待验证</x:v>
      </x:c>
      <x:c r="V140" s="70" t="str"/>
      <x:c r="W140" s="70" t="str"/>
    </x:row>
    <x:row r="141">
      <x:c r="A141" s="70" t="str">
        <x:v>M5-SYNTH-107</x:v>
      </x:c>
      <x:c r="B141" s="70" t="str">
        <x:v>SYNTH</x:v>
      </x:c>
      <x:c r="C141" s="70" t="str">
        <x:v>潜在资源与现实已调用分开</x:v>
      </x:c>
      <x:c r="D141" s="70" t="str">
        <x:v>待验证</x:v>
      </x:c>
      <x:c r="E141" s="70" t="n">
        <x:f>COUNTIFS('06_规则命中'!$D$6:$D$405,A141,'06_规则命中'!$I$6:$I$405,"支持",'06_规则命中'!$N$6:$N$405,"是")</x:f>
        <x:v>0</x:v>
      </x:c>
      <x:c r="F141" s="70" t="n">
        <x:f>COUNTIFS('06_规则命中'!$D$6:$D$405,A141,'06_规则命中'!$I$6:$I$405,"基本支持",'06_规则命中'!$N$6:$N$405,"是")</x:f>
        <x:v>0</x:v>
      </x:c>
      <x:c r="G141" s="70" t="n">
        <x:f>COUNTIFS('06_规则命中'!$D$6:$D$405,A141,'06_规则命中'!$I$6:$I$405,"部分支持",'06_规则命中'!$N$6:$N$405,"是")</x:f>
        <x:v>0</x:v>
      </x:c>
      <x:c r="H141" s="70" t="n">
        <x:f>COUNTIFS('06_规则命中'!$D$6:$D$405,A141,'06_规则命中'!$I$6:$I$405,"相邻但不同",'06_规则命中'!$N$6:$N$405,"是")</x:f>
        <x:v>0</x:v>
      </x:c>
      <x:c r="I141" s="70" t="n">
        <x:f>COUNTIFS('06_规则命中'!$D$6:$D$405,A141,'06_规则命中'!$I$6:$I$405,"反例",'06_规则命中'!$N$6:$N$405,"是")</x:f>
        <x:v>0</x:v>
      </x:c>
      <x:c r="J141" s="70" t="n">
        <x:f>COUNTIFS('06_规则命中'!$D$6:$D$405,A141,'06_规则命中'!$I$6:$I$405,"不可评估",'06_规则命中'!$N$6:$N$405,"是")</x:f>
        <x:v>0</x:v>
      </x:c>
      <x:c r="K141" s="70" t="n">
        <x:f>SUM(E141:I141)</x:f>
        <x:v>0</x:v>
      </x:c>
      <x:c r="L141" s="108" t="str">
        <x:f>IFERROR((E141+0.75*F141+0.5*G141+0.25*H141)/K141,"")</x:f>
      </x:c>
      <x:c r="M141" s="108" t="str">
        <x:f>IFERROR(I141/K141,"")</x:f>
      </x:c>
      <x:c r="N141" s="70" t="n">
        <x:f>COUNTIFS('08_反例与错误'!$E$6:$E$155,A141,'08_反例与错误'!$H$6:$H$155,"强")+COUNTIFS('08_反例与错误'!$E$6:$E$155,A141,'08_反例与错误'!$H$6:$H$155,"安全")</x:f>
        <x:v>0</x:v>
      </x:c>
      <x:c r="O141" s="70" t="n">
        <x:f>COUNTIFS('06_规则命中'!$D$6:$D$405,A141,'06_规则命中'!$I$6:$I$405,"反例",'06_规则命中'!$L$6:$L$405,"是",'06_规则命中'!$N$6:$N$405,"是")</x:f>
        <x:v>0</x:v>
      </x:c>
      <x:c r="P141" s="108" t="str">
        <x:f>IFERROR(SUMIFS('06_规则命中'!$J$6:$J$405,'06_规则命中'!$D$6:$D$405,A141,'06_规则命中'!$C$6:$C$405,"开发集",'06_规则命中'!$N$6:$N$405,"是")/COUNTIFS('06_规则命中'!$D$6:$D$405,A141,'06_规则命中'!$C$6:$C$405,"开发集",'06_规则命中'!$I$6:$I$405,"&lt;&gt;不可评估",'06_规则命中'!$N$6:$N$405,"是"),"")</x:f>
      </x:c>
      <x:c r="Q141" s="108" t="str">
        <x:f>IFERROR(SUMIFS('06_规则命中'!$J$6:$J$405,'06_规则命中'!$D$6:$D$405,A141,'06_规则命中'!$C$6:$C$405,"留出集",'06_规则命中'!$N$6:$N$405,"是")/COUNTIFS('06_规则命中'!$D$6:$D$405,A141,'06_规则命中'!$C$6:$C$405,"留出集",'06_规则命中'!$I$6:$I$405,"&lt;&gt;不可评估",'06_规则命中'!$N$6:$N$405,"是"),"")</x:f>
      </x:c>
      <x:c r="R141" s="70" t="str">
        <x:f>IF(K141=0,"P0 待验证",IF(K141&lt;3,"P1 极少样本",IF(K141&lt;6,"P2 探索",IF(K141&lt;12,"P3 初步","P4 稳定候选"))))</x:f>
        <x:v>P0 待验证</x:v>
      </x:c>
      <x:c r="S141" s="70" t="str">
        <x:f>IF(O141&gt;0,"立即安全审查",IF(K141&lt;3,"样本不足",IF(AND(K141&gt;=4,M141&gt;=0.6),"停用候选",IF(AND(K141&gt;=6,M141&gt;=0.4),"优先修改",IF(AND(K141&gt;=8,L141&gt;=0.75,M141&lt;=0.15,N141=0),"保留观察",IF(AND(P141&lt;&gt;"",Q141&lt;&gt;"",ABS(P141-Q141)&gt;0.25),"疑似过拟合","继续验证"))))))</x:f>
        <x:v>样本不足</x:v>
      </x:c>
      <x:c r="T141" s="70" t="str"/>
      <x:c r="U141" s="70" t="str">
        <x:v>待验证</x:v>
      </x:c>
      <x:c r="V141" s="70" t="str"/>
      <x:c r="W141" s="70" t="str"/>
    </x:row>
    <x:row r="142">
      <x:c r="A142" s="70" t="str">
        <x:v>M5-SYNTH-108</x:v>
      </x:c>
      <x:c r="B142" s="70" t="str">
        <x:v>SYNTH</x:v>
      </x:c>
      <x:c r="C142" s="70" t="str">
        <x:v>历史模式与当前状态分开</x:v>
      </x:c>
      <x:c r="D142" s="70" t="str">
        <x:v>待验证</x:v>
      </x:c>
      <x:c r="E142" s="70" t="n">
        <x:f>COUNTIFS('06_规则命中'!$D$6:$D$405,A142,'06_规则命中'!$I$6:$I$405,"支持",'06_规则命中'!$N$6:$N$405,"是")</x:f>
        <x:v>0</x:v>
      </x:c>
      <x:c r="F142" s="70" t="n">
        <x:f>COUNTIFS('06_规则命中'!$D$6:$D$405,A142,'06_规则命中'!$I$6:$I$405,"基本支持",'06_规则命中'!$N$6:$N$405,"是")</x:f>
        <x:v>0</x:v>
      </x:c>
      <x:c r="G142" s="70" t="n">
        <x:f>COUNTIFS('06_规则命中'!$D$6:$D$405,A142,'06_规则命中'!$I$6:$I$405,"部分支持",'06_规则命中'!$N$6:$N$405,"是")</x:f>
        <x:v>0</x:v>
      </x:c>
      <x:c r="H142" s="70" t="n">
        <x:f>COUNTIFS('06_规则命中'!$D$6:$D$405,A142,'06_规则命中'!$I$6:$I$405,"相邻但不同",'06_规则命中'!$N$6:$N$405,"是")</x:f>
        <x:v>0</x:v>
      </x:c>
      <x:c r="I142" s="70" t="n">
        <x:f>COUNTIFS('06_规则命中'!$D$6:$D$405,A142,'06_规则命中'!$I$6:$I$405,"反例",'06_规则命中'!$N$6:$N$405,"是")</x:f>
        <x:v>0</x:v>
      </x:c>
      <x:c r="J142" s="70" t="n">
        <x:f>COUNTIFS('06_规则命中'!$D$6:$D$405,A142,'06_规则命中'!$I$6:$I$405,"不可评估",'06_规则命中'!$N$6:$N$405,"是")</x:f>
        <x:v>0</x:v>
      </x:c>
      <x:c r="K142" s="70" t="n">
        <x:f>SUM(E142:I142)</x:f>
        <x:v>0</x:v>
      </x:c>
      <x:c r="L142" s="108" t="str">
        <x:f>IFERROR((E142+0.75*F142+0.5*G142+0.25*H142)/K142,"")</x:f>
      </x:c>
      <x:c r="M142" s="108" t="str">
        <x:f>IFERROR(I142/K142,"")</x:f>
      </x:c>
      <x:c r="N142" s="70" t="n">
        <x:f>COUNTIFS('08_反例与错误'!$E$6:$E$155,A142,'08_反例与错误'!$H$6:$H$155,"强")+COUNTIFS('08_反例与错误'!$E$6:$E$155,A142,'08_反例与错误'!$H$6:$H$155,"安全")</x:f>
        <x:v>0</x:v>
      </x:c>
      <x:c r="O142" s="70" t="n">
        <x:f>COUNTIFS('06_规则命中'!$D$6:$D$405,A142,'06_规则命中'!$I$6:$I$405,"反例",'06_规则命中'!$L$6:$L$405,"是",'06_规则命中'!$N$6:$N$405,"是")</x:f>
        <x:v>0</x:v>
      </x:c>
      <x:c r="P142" s="108" t="str">
        <x:f>IFERROR(SUMIFS('06_规则命中'!$J$6:$J$405,'06_规则命中'!$D$6:$D$405,A142,'06_规则命中'!$C$6:$C$405,"开发集",'06_规则命中'!$N$6:$N$405,"是")/COUNTIFS('06_规则命中'!$D$6:$D$405,A142,'06_规则命中'!$C$6:$C$405,"开发集",'06_规则命中'!$I$6:$I$405,"&lt;&gt;不可评估",'06_规则命中'!$N$6:$N$405,"是"),"")</x:f>
      </x:c>
      <x:c r="Q142" s="108" t="str">
        <x:f>IFERROR(SUMIFS('06_规则命中'!$J$6:$J$405,'06_规则命中'!$D$6:$D$405,A142,'06_规则命中'!$C$6:$C$405,"留出集",'06_规则命中'!$N$6:$N$405,"是")/COUNTIFS('06_规则命中'!$D$6:$D$405,A142,'06_规则命中'!$C$6:$C$405,"留出集",'06_规则命中'!$I$6:$I$405,"&lt;&gt;不可评估",'06_规则命中'!$N$6:$N$405,"是"),"")</x:f>
      </x:c>
      <x:c r="R142" s="70" t="str">
        <x:f>IF(K142=0,"P0 待验证",IF(K142&lt;3,"P1 极少样本",IF(K142&lt;6,"P2 探索",IF(K142&lt;12,"P3 初步","P4 稳定候选"))))</x:f>
        <x:v>P0 待验证</x:v>
      </x:c>
      <x:c r="S142" s="70" t="str">
        <x:f>IF(O142&gt;0,"立即安全审查",IF(K142&lt;3,"样本不足",IF(AND(K142&gt;=4,M142&gt;=0.6),"停用候选",IF(AND(K142&gt;=6,M142&gt;=0.4),"优先修改",IF(AND(K142&gt;=8,L142&gt;=0.75,M142&lt;=0.15,N142=0),"保留观察",IF(AND(P142&lt;&gt;"",Q142&lt;&gt;"",ABS(P142-Q142)&gt;0.25),"疑似过拟合","继续验证"))))))</x:f>
        <x:v>样本不足</x:v>
      </x:c>
      <x:c r="T142" s="70" t="str"/>
      <x:c r="U142" s="70" t="str">
        <x:v>待验证</x:v>
      </x:c>
      <x:c r="V142" s="70" t="str"/>
      <x:c r="W142" s="70" t="str"/>
    </x:row>
    <x:row r="143">
      <x:c r="A143" s="70" t="str">
        <x:v>M5-SYNTH-109</x:v>
      </x:c>
      <x:c r="B143" s="70" t="str">
        <x:v>SYNTH</x:v>
      </x:c>
      <x:c r="C143" s="70" t="str">
        <x:v>同一对象不同情境按event_id判断独立性</x:v>
      </x:c>
      <x:c r="D143" s="70" t="str">
        <x:v>待验证</x:v>
      </x:c>
      <x:c r="E143" s="70" t="n">
        <x:f>COUNTIFS('06_规则命中'!$D$6:$D$405,A143,'06_规则命中'!$I$6:$I$405,"支持",'06_规则命中'!$N$6:$N$405,"是")</x:f>
        <x:v>0</x:v>
      </x:c>
      <x:c r="F143" s="70" t="n">
        <x:f>COUNTIFS('06_规则命中'!$D$6:$D$405,A143,'06_规则命中'!$I$6:$I$405,"基本支持",'06_规则命中'!$N$6:$N$405,"是")</x:f>
        <x:v>0</x:v>
      </x:c>
      <x:c r="G143" s="70" t="n">
        <x:f>COUNTIFS('06_规则命中'!$D$6:$D$405,A143,'06_规则命中'!$I$6:$I$405,"部分支持",'06_规则命中'!$N$6:$N$405,"是")</x:f>
        <x:v>0</x:v>
      </x:c>
      <x:c r="H143" s="70" t="n">
        <x:f>COUNTIFS('06_规则命中'!$D$6:$D$405,A143,'06_规则命中'!$I$6:$I$405,"相邻但不同",'06_规则命中'!$N$6:$N$405,"是")</x:f>
        <x:v>0</x:v>
      </x:c>
      <x:c r="I143" s="70" t="n">
        <x:f>COUNTIFS('06_规则命中'!$D$6:$D$405,A143,'06_规则命中'!$I$6:$I$405,"反例",'06_规则命中'!$N$6:$N$405,"是")</x:f>
        <x:v>0</x:v>
      </x:c>
      <x:c r="J143" s="70" t="n">
        <x:f>COUNTIFS('06_规则命中'!$D$6:$D$405,A143,'06_规则命中'!$I$6:$I$405,"不可评估",'06_规则命中'!$N$6:$N$405,"是")</x:f>
        <x:v>0</x:v>
      </x:c>
      <x:c r="K143" s="70" t="n">
        <x:f>SUM(E143:I143)</x:f>
        <x:v>0</x:v>
      </x:c>
      <x:c r="L143" s="108" t="str">
        <x:f>IFERROR((E143+0.75*F143+0.5*G143+0.25*H143)/K143,"")</x:f>
      </x:c>
      <x:c r="M143" s="108" t="str">
        <x:f>IFERROR(I143/K143,"")</x:f>
      </x:c>
      <x:c r="N143" s="70" t="n">
        <x:f>COUNTIFS('08_反例与错误'!$E$6:$E$155,A143,'08_反例与错误'!$H$6:$H$155,"强")+COUNTIFS('08_反例与错误'!$E$6:$E$155,A143,'08_反例与错误'!$H$6:$H$155,"安全")</x:f>
        <x:v>0</x:v>
      </x:c>
      <x:c r="O143" s="70" t="n">
        <x:f>COUNTIFS('06_规则命中'!$D$6:$D$405,A143,'06_规则命中'!$I$6:$I$405,"反例",'06_规则命中'!$L$6:$L$405,"是",'06_规则命中'!$N$6:$N$405,"是")</x:f>
        <x:v>0</x:v>
      </x:c>
      <x:c r="P143" s="108" t="str">
        <x:f>IFERROR(SUMIFS('06_规则命中'!$J$6:$J$405,'06_规则命中'!$D$6:$D$405,A143,'06_规则命中'!$C$6:$C$405,"开发集",'06_规则命中'!$N$6:$N$405,"是")/COUNTIFS('06_规则命中'!$D$6:$D$405,A143,'06_规则命中'!$C$6:$C$405,"开发集",'06_规则命中'!$I$6:$I$405,"&lt;&gt;不可评估",'06_规则命中'!$N$6:$N$405,"是"),"")</x:f>
      </x:c>
      <x:c r="Q143" s="108" t="str">
        <x:f>IFERROR(SUMIFS('06_规则命中'!$J$6:$J$405,'06_规则命中'!$D$6:$D$405,A143,'06_规则命中'!$C$6:$C$405,"留出集",'06_规则命中'!$N$6:$N$405,"是")/COUNTIFS('06_规则命中'!$D$6:$D$405,A143,'06_规则命中'!$C$6:$C$405,"留出集",'06_规则命中'!$I$6:$I$405,"&lt;&gt;不可评估",'06_规则命中'!$N$6:$N$405,"是"),"")</x:f>
      </x:c>
      <x:c r="R143" s="70" t="str">
        <x:f>IF(K143=0,"P0 待验证",IF(K143&lt;3,"P1 极少样本",IF(K143&lt;6,"P2 探索",IF(K143&lt;12,"P3 初步","P4 稳定候选"))))</x:f>
        <x:v>P0 待验证</x:v>
      </x:c>
      <x:c r="S143" s="70" t="str">
        <x:f>IF(O143&gt;0,"立即安全审查",IF(K143&lt;3,"样本不足",IF(AND(K143&gt;=4,M143&gt;=0.6),"停用候选",IF(AND(K143&gt;=6,M143&gt;=0.4),"优先修改",IF(AND(K143&gt;=8,L143&gt;=0.75,M143&lt;=0.15,N143=0),"保留观察",IF(AND(P143&lt;&gt;"",Q143&lt;&gt;"",ABS(P143-Q143)&gt;0.25),"疑似过拟合","继续验证"))))))</x:f>
        <x:v>样本不足</x:v>
      </x:c>
      <x:c r="T143" s="70" t="str"/>
      <x:c r="U143" s="70" t="str">
        <x:v>待验证</x:v>
      </x:c>
      <x:c r="V143" s="70" t="str"/>
      <x:c r="W143" s="70" t="str"/>
    </x:row>
    <x:row r="144">
      <x:c r="A144" s="70" t="str">
        <x:v>M5-SYNTH-110</x:v>
      </x:c>
      <x:c r="B144" s="70" t="str">
        <x:v>SYNTH</x:v>
      </x:c>
      <x:c r="C144" s="70" t="str">
        <x:v>不同对象相似行为可支持跨情境但不证明当前对象</x:v>
      </x:c>
      <x:c r="D144" s="70" t="str">
        <x:v>待验证</x:v>
      </x:c>
      <x:c r="E144" s="70" t="n">
        <x:f>COUNTIFS('06_规则命中'!$D$6:$D$405,A144,'06_规则命中'!$I$6:$I$405,"支持",'06_规则命中'!$N$6:$N$405,"是")</x:f>
        <x:v>0</x:v>
      </x:c>
      <x:c r="F144" s="70" t="n">
        <x:f>COUNTIFS('06_规则命中'!$D$6:$D$405,A144,'06_规则命中'!$I$6:$I$405,"基本支持",'06_规则命中'!$N$6:$N$405,"是")</x:f>
        <x:v>0</x:v>
      </x:c>
      <x:c r="G144" s="70" t="n">
        <x:f>COUNTIFS('06_规则命中'!$D$6:$D$405,A144,'06_规则命中'!$I$6:$I$405,"部分支持",'06_规则命中'!$N$6:$N$405,"是")</x:f>
        <x:v>0</x:v>
      </x:c>
      <x:c r="H144" s="70" t="n">
        <x:f>COUNTIFS('06_规则命中'!$D$6:$D$405,A144,'06_规则命中'!$I$6:$I$405,"相邻但不同",'06_规则命中'!$N$6:$N$405,"是")</x:f>
        <x:v>0</x:v>
      </x:c>
      <x:c r="I144" s="70" t="n">
        <x:f>COUNTIFS('06_规则命中'!$D$6:$D$405,A144,'06_规则命中'!$I$6:$I$405,"反例",'06_规则命中'!$N$6:$N$405,"是")</x:f>
        <x:v>0</x:v>
      </x:c>
      <x:c r="J144" s="70" t="n">
        <x:f>COUNTIFS('06_规则命中'!$D$6:$D$405,A144,'06_规则命中'!$I$6:$I$405,"不可评估",'06_规则命中'!$N$6:$N$405,"是")</x:f>
        <x:v>0</x:v>
      </x:c>
      <x:c r="K144" s="70" t="n">
        <x:f>SUM(E144:I144)</x:f>
        <x:v>0</x:v>
      </x:c>
      <x:c r="L144" s="108" t="str">
        <x:f>IFERROR((E144+0.75*F144+0.5*G144+0.25*H144)/K144,"")</x:f>
      </x:c>
      <x:c r="M144" s="108" t="str">
        <x:f>IFERROR(I144/K144,"")</x:f>
      </x:c>
      <x:c r="N144" s="70" t="n">
        <x:f>COUNTIFS('08_反例与错误'!$E$6:$E$155,A144,'08_反例与错误'!$H$6:$H$155,"强")+COUNTIFS('08_反例与错误'!$E$6:$E$155,A144,'08_反例与错误'!$H$6:$H$155,"安全")</x:f>
        <x:v>0</x:v>
      </x:c>
      <x:c r="O144" s="70" t="n">
        <x:f>COUNTIFS('06_规则命中'!$D$6:$D$405,A144,'06_规则命中'!$I$6:$I$405,"反例",'06_规则命中'!$L$6:$L$405,"是",'06_规则命中'!$N$6:$N$405,"是")</x:f>
        <x:v>0</x:v>
      </x:c>
      <x:c r="P144" s="108" t="str">
        <x:f>IFERROR(SUMIFS('06_规则命中'!$J$6:$J$405,'06_规则命中'!$D$6:$D$405,A144,'06_规则命中'!$C$6:$C$405,"开发集",'06_规则命中'!$N$6:$N$405,"是")/COUNTIFS('06_规则命中'!$D$6:$D$405,A144,'06_规则命中'!$C$6:$C$405,"开发集",'06_规则命中'!$I$6:$I$405,"&lt;&gt;不可评估",'06_规则命中'!$N$6:$N$405,"是"),"")</x:f>
      </x:c>
      <x:c r="Q144" s="108" t="str">
        <x:f>IFERROR(SUMIFS('06_规则命中'!$J$6:$J$405,'06_规则命中'!$D$6:$D$405,A144,'06_规则命中'!$C$6:$C$405,"留出集",'06_规则命中'!$N$6:$N$405,"是")/COUNTIFS('06_规则命中'!$D$6:$D$405,A144,'06_规则命中'!$C$6:$C$405,"留出集",'06_规则命中'!$I$6:$I$405,"&lt;&gt;不可评估",'06_规则命中'!$N$6:$N$405,"是"),"")</x:f>
      </x:c>
      <x:c r="R144" s="70" t="str">
        <x:f>IF(K144=0,"P0 待验证",IF(K144&lt;3,"P1 极少样本",IF(K144&lt;6,"P2 探索",IF(K144&lt;12,"P3 初步","P4 稳定候选"))))</x:f>
        <x:v>P0 待验证</x:v>
      </x:c>
      <x:c r="S144" s="70" t="str">
        <x:f>IF(O144&gt;0,"立即安全审查",IF(K144&lt;3,"样本不足",IF(AND(K144&gt;=4,M144&gt;=0.6),"停用候选",IF(AND(K144&gt;=6,M144&gt;=0.4),"优先修改",IF(AND(K144&gt;=8,L144&gt;=0.75,M144&lt;=0.15,N144=0),"保留观察",IF(AND(P144&lt;&gt;"",Q144&lt;&gt;"",ABS(P144-Q144)&gt;0.25),"疑似过拟合","继续验证"))))))</x:f>
        <x:v>样本不足</x:v>
      </x:c>
      <x:c r="T144" s="70" t="str"/>
      <x:c r="U144" s="70" t="str">
        <x:v>待验证</x:v>
      </x:c>
      <x:c r="V144" s="70" t="str"/>
      <x:c r="W144" s="70" t="str"/>
    </x:row>
    <x:row r="145">
      <x:c r="A145" s="70" t="str">
        <x:v>M5-SYNTH-111</x:v>
      </x:c>
      <x:c r="B145" s="70" t="str">
        <x:v>SYNTH</x:v>
      </x:c>
      <x:c r="C145" s="70" t="str">
        <x:v>缺失字段显式为空｜不得自动补默认值</x:v>
      </x:c>
      <x:c r="D145" s="70" t="str">
        <x:v>待验证</x:v>
      </x:c>
      <x:c r="E145" s="70" t="n">
        <x:f>COUNTIFS('06_规则命中'!$D$6:$D$405,A145,'06_规则命中'!$I$6:$I$405,"支持",'06_规则命中'!$N$6:$N$405,"是")</x:f>
        <x:v>0</x:v>
      </x:c>
      <x:c r="F145" s="70" t="n">
        <x:f>COUNTIFS('06_规则命中'!$D$6:$D$405,A145,'06_规则命中'!$I$6:$I$405,"基本支持",'06_规则命中'!$N$6:$N$405,"是")</x:f>
        <x:v>0</x:v>
      </x:c>
      <x:c r="G145" s="70" t="n">
        <x:f>COUNTIFS('06_规则命中'!$D$6:$D$405,A145,'06_规则命中'!$I$6:$I$405,"部分支持",'06_规则命中'!$N$6:$N$405,"是")</x:f>
        <x:v>0</x:v>
      </x:c>
      <x:c r="H145" s="70" t="n">
        <x:f>COUNTIFS('06_规则命中'!$D$6:$D$405,A145,'06_规则命中'!$I$6:$I$405,"相邻但不同",'06_规则命中'!$N$6:$N$405,"是")</x:f>
        <x:v>0</x:v>
      </x:c>
      <x:c r="I145" s="70" t="n">
        <x:f>COUNTIFS('06_规则命中'!$D$6:$D$405,A145,'06_规则命中'!$I$6:$I$405,"反例",'06_规则命中'!$N$6:$N$405,"是")</x:f>
        <x:v>0</x:v>
      </x:c>
      <x:c r="J145" s="70" t="n">
        <x:f>COUNTIFS('06_规则命中'!$D$6:$D$405,A145,'06_规则命中'!$I$6:$I$405,"不可评估",'06_规则命中'!$N$6:$N$405,"是")</x:f>
        <x:v>0</x:v>
      </x:c>
      <x:c r="K145" s="70" t="n">
        <x:f>SUM(E145:I145)</x:f>
        <x:v>0</x:v>
      </x:c>
      <x:c r="L145" s="108" t="str">
        <x:f>IFERROR((E145+0.75*F145+0.5*G145+0.25*H145)/K145,"")</x:f>
      </x:c>
      <x:c r="M145" s="108" t="str">
        <x:f>IFERROR(I145/K145,"")</x:f>
      </x:c>
      <x:c r="N145" s="70" t="n">
        <x:f>COUNTIFS('08_反例与错误'!$E$6:$E$155,A145,'08_反例与错误'!$H$6:$H$155,"强")+COUNTIFS('08_反例与错误'!$E$6:$E$155,A145,'08_反例与错误'!$H$6:$H$155,"安全")</x:f>
        <x:v>0</x:v>
      </x:c>
      <x:c r="O145" s="70" t="n">
        <x:f>COUNTIFS('06_规则命中'!$D$6:$D$405,A145,'06_规则命中'!$I$6:$I$405,"反例",'06_规则命中'!$L$6:$L$405,"是",'06_规则命中'!$N$6:$N$405,"是")</x:f>
        <x:v>0</x:v>
      </x:c>
      <x:c r="P145" s="108" t="str">
        <x:f>IFERROR(SUMIFS('06_规则命中'!$J$6:$J$405,'06_规则命中'!$D$6:$D$405,A145,'06_规则命中'!$C$6:$C$405,"开发集",'06_规则命中'!$N$6:$N$405,"是")/COUNTIFS('06_规则命中'!$D$6:$D$405,A145,'06_规则命中'!$C$6:$C$405,"开发集",'06_规则命中'!$I$6:$I$405,"&lt;&gt;不可评估",'06_规则命中'!$N$6:$N$405,"是"),"")</x:f>
      </x:c>
      <x:c r="Q145" s="108" t="str">
        <x:f>IFERROR(SUMIFS('06_规则命中'!$J$6:$J$405,'06_规则命中'!$D$6:$D$405,A145,'06_规则命中'!$C$6:$C$405,"留出集",'06_规则命中'!$N$6:$N$405,"是")/COUNTIFS('06_规则命中'!$D$6:$D$405,A145,'06_规则命中'!$C$6:$C$405,"留出集",'06_规则命中'!$I$6:$I$405,"&lt;&gt;不可评估",'06_规则命中'!$N$6:$N$405,"是"),"")</x:f>
      </x:c>
      <x:c r="R145" s="70" t="str">
        <x:f>IF(K145=0,"P0 待验证",IF(K145&lt;3,"P1 极少样本",IF(K145&lt;6,"P2 探索",IF(K145&lt;12,"P3 初步","P4 稳定候选"))))</x:f>
        <x:v>P0 待验证</x:v>
      </x:c>
      <x:c r="S145" s="70" t="str">
        <x:f>IF(O145&gt;0,"立即安全审查",IF(K145&lt;3,"样本不足",IF(AND(K145&gt;=4,M145&gt;=0.6),"停用候选",IF(AND(K145&gt;=6,M145&gt;=0.4),"优先修改",IF(AND(K145&gt;=8,L145&gt;=0.75,M145&lt;=0.15,N145=0),"保留观察",IF(AND(P145&lt;&gt;"",Q145&lt;&gt;"",ABS(P145-Q145)&gt;0.25),"疑似过拟合","继续验证"))))))</x:f>
        <x:v>样本不足</x:v>
      </x:c>
      <x:c r="T145" s="70" t="str"/>
      <x:c r="U145" s="70" t="str">
        <x:v>待验证</x:v>
      </x:c>
      <x:c r="V145" s="70" t="str"/>
      <x:c r="W145" s="70" t="str"/>
    </x:row>
    <x:row r="146">
      <x:c r="A146" s="70" t="str">
        <x:v>M5-SYNTH-112</x:v>
      </x:c>
      <x:c r="B146" s="70" t="str">
        <x:v>SYNTH</x:v>
      </x:c>
      <x:c r="C146" s="70" t="str">
        <x:v>去重日志必填｜每个合并、剔除与回退可追溯</x:v>
      </x:c>
      <x:c r="D146" s="70" t="str">
        <x:v>待验证</x:v>
      </x:c>
      <x:c r="E146" s="70" t="n">
        <x:f>COUNTIFS('06_规则命中'!$D$6:$D$405,A146,'06_规则命中'!$I$6:$I$405,"支持",'06_规则命中'!$N$6:$N$405,"是")</x:f>
        <x:v>0</x:v>
      </x:c>
      <x:c r="F146" s="70" t="n">
        <x:f>COUNTIFS('06_规则命中'!$D$6:$D$405,A146,'06_规则命中'!$I$6:$I$405,"基本支持",'06_规则命中'!$N$6:$N$405,"是")</x:f>
        <x:v>0</x:v>
      </x:c>
      <x:c r="G146" s="70" t="n">
        <x:f>COUNTIFS('06_规则命中'!$D$6:$D$405,A146,'06_规则命中'!$I$6:$I$405,"部分支持",'06_规则命中'!$N$6:$N$405,"是")</x:f>
        <x:v>0</x:v>
      </x:c>
      <x:c r="H146" s="70" t="n">
        <x:f>COUNTIFS('06_规则命中'!$D$6:$D$405,A146,'06_规则命中'!$I$6:$I$405,"相邻但不同",'06_规则命中'!$N$6:$N$405,"是")</x:f>
        <x:v>0</x:v>
      </x:c>
      <x:c r="I146" s="70" t="n">
        <x:f>COUNTIFS('06_规则命中'!$D$6:$D$405,A146,'06_规则命中'!$I$6:$I$405,"反例",'06_规则命中'!$N$6:$N$405,"是")</x:f>
        <x:v>0</x:v>
      </x:c>
      <x:c r="J146" s="70" t="n">
        <x:f>COUNTIFS('06_规则命中'!$D$6:$D$405,A146,'06_规则命中'!$I$6:$I$405,"不可评估",'06_规则命中'!$N$6:$N$405,"是")</x:f>
        <x:v>0</x:v>
      </x:c>
      <x:c r="K146" s="70" t="n">
        <x:f>SUM(E146:I146)</x:f>
        <x:v>0</x:v>
      </x:c>
      <x:c r="L146" s="108" t="str">
        <x:f>IFERROR((E146+0.75*F146+0.5*G146+0.25*H146)/K146,"")</x:f>
      </x:c>
      <x:c r="M146" s="108" t="str">
        <x:f>IFERROR(I146/K146,"")</x:f>
      </x:c>
      <x:c r="N146" s="70" t="n">
        <x:f>COUNTIFS('08_反例与错误'!$E$6:$E$155,A146,'08_反例与错误'!$H$6:$H$155,"强")+COUNTIFS('08_反例与错误'!$E$6:$E$155,A146,'08_反例与错误'!$H$6:$H$155,"安全")</x:f>
        <x:v>0</x:v>
      </x:c>
      <x:c r="O146" s="70" t="n">
        <x:f>COUNTIFS('06_规则命中'!$D$6:$D$405,A146,'06_规则命中'!$I$6:$I$405,"反例",'06_规则命中'!$L$6:$L$405,"是",'06_规则命中'!$N$6:$N$405,"是")</x:f>
        <x:v>0</x:v>
      </x:c>
      <x:c r="P146" s="108" t="str">
        <x:f>IFERROR(SUMIFS('06_规则命中'!$J$6:$J$405,'06_规则命中'!$D$6:$D$405,A146,'06_规则命中'!$C$6:$C$405,"开发集",'06_规则命中'!$N$6:$N$405,"是")/COUNTIFS('06_规则命中'!$D$6:$D$405,A146,'06_规则命中'!$C$6:$C$405,"开发集",'06_规则命中'!$I$6:$I$405,"&lt;&gt;不可评估",'06_规则命中'!$N$6:$N$405,"是"),"")</x:f>
      </x:c>
      <x:c r="Q146" s="108" t="str">
        <x:f>IFERROR(SUMIFS('06_规则命中'!$J$6:$J$405,'06_规则命中'!$D$6:$D$405,A146,'06_规则命中'!$C$6:$C$405,"留出集",'06_规则命中'!$N$6:$N$405,"是")/COUNTIFS('06_规则命中'!$D$6:$D$405,A146,'06_规则命中'!$C$6:$C$405,"留出集",'06_规则命中'!$I$6:$I$405,"&lt;&gt;不可评估",'06_规则命中'!$N$6:$N$405,"是"),"")</x:f>
      </x:c>
      <x:c r="R146" s="70" t="str">
        <x:f>IF(K146=0,"P0 待验证",IF(K146&lt;3,"P1 极少样本",IF(K146&lt;6,"P2 探索",IF(K146&lt;12,"P3 初步","P4 稳定候选"))))</x:f>
        <x:v>P0 待验证</x:v>
      </x:c>
      <x:c r="S146" s="70" t="str">
        <x:f>IF(O146&gt;0,"立即安全审查",IF(K146&lt;3,"样本不足",IF(AND(K146&gt;=4,M146&gt;=0.6),"停用候选",IF(AND(K146&gt;=6,M146&gt;=0.4),"优先修改",IF(AND(K146&gt;=8,L146&gt;=0.75,M146&lt;=0.15,N146=0),"保留观察",IF(AND(P146&lt;&gt;"",Q146&lt;&gt;"",ABS(P146-Q146)&gt;0.25),"疑似过拟合","继续验证"))))))</x:f>
        <x:v>样本不足</x:v>
      </x:c>
      <x:c r="T146" s="70" t="str"/>
      <x:c r="U146" s="70" t="str">
        <x:v>待验证</x:v>
      </x:c>
      <x:c r="V146" s="70" t="str"/>
      <x:c r="W146" s="70" t="str"/>
    </x:row>
    <x:row r="147">
      <x:c r="A147" s="70" t="str">
        <x:v>M5-SYNTH-233</x:v>
      </x:c>
      <x:c r="B147" s="70" t="str">
        <x:v>SYNTH</x:v>
      </x:c>
      <x:c r="C147" s="70" t="str">
        <x:v>AF01适配总状态｜定义</x:v>
      </x:c>
      <x:c r="D147" s="70" t="str">
        <x:v>待验证</x:v>
      </x:c>
      <x:c r="E147" s="70" t="n">
        <x:f>COUNTIFS('06_规则命中'!$D$6:$D$405,A147,'06_规则命中'!$I$6:$I$405,"支持",'06_规则命中'!$N$6:$N$405,"是")</x:f>
        <x:v>0</x:v>
      </x:c>
      <x:c r="F147" s="70" t="n">
        <x:f>COUNTIFS('06_规则命中'!$D$6:$D$405,A147,'06_规则命中'!$I$6:$I$405,"基本支持",'06_规则命中'!$N$6:$N$405,"是")</x:f>
        <x:v>0</x:v>
      </x:c>
      <x:c r="G147" s="70" t="n">
        <x:f>COUNTIFS('06_规则命中'!$D$6:$D$405,A147,'06_规则命中'!$I$6:$I$405,"部分支持",'06_规则命中'!$N$6:$N$405,"是")</x:f>
        <x:v>0</x:v>
      </x:c>
      <x:c r="H147" s="70" t="n">
        <x:f>COUNTIFS('06_规则命中'!$D$6:$D$405,A147,'06_规则命中'!$I$6:$I$405,"相邻但不同",'06_规则命中'!$N$6:$N$405,"是")</x:f>
        <x:v>0</x:v>
      </x:c>
      <x:c r="I147" s="70" t="n">
        <x:f>COUNTIFS('06_规则命中'!$D$6:$D$405,A147,'06_规则命中'!$I$6:$I$405,"反例",'06_规则命中'!$N$6:$N$405,"是")</x:f>
        <x:v>0</x:v>
      </x:c>
      <x:c r="J147" s="70" t="n">
        <x:f>COUNTIFS('06_规则命中'!$D$6:$D$405,A147,'06_规则命中'!$I$6:$I$405,"不可评估",'06_规则命中'!$N$6:$N$405,"是")</x:f>
        <x:v>0</x:v>
      </x:c>
      <x:c r="K147" s="70" t="n">
        <x:f>SUM(E147:I147)</x:f>
        <x:v>0</x:v>
      </x:c>
      <x:c r="L147" s="108" t="str">
        <x:f>IFERROR((E147+0.75*F147+0.5*G147+0.25*H147)/K147,"")</x:f>
      </x:c>
      <x:c r="M147" s="108" t="str">
        <x:f>IFERROR(I147/K147,"")</x:f>
      </x:c>
      <x:c r="N147" s="70" t="n">
        <x:f>COUNTIFS('08_反例与错误'!$E$6:$E$155,A147,'08_反例与错误'!$H$6:$H$155,"强")+COUNTIFS('08_反例与错误'!$E$6:$E$155,A147,'08_反例与错误'!$H$6:$H$155,"安全")</x:f>
        <x:v>0</x:v>
      </x:c>
      <x:c r="O147" s="70" t="n">
        <x:f>COUNTIFS('06_规则命中'!$D$6:$D$405,A147,'06_规则命中'!$I$6:$I$405,"反例",'06_规则命中'!$L$6:$L$405,"是",'06_规则命中'!$N$6:$N$405,"是")</x:f>
        <x:v>0</x:v>
      </x:c>
      <x:c r="P147" s="108" t="str">
        <x:f>IFERROR(SUMIFS('06_规则命中'!$J$6:$J$405,'06_规则命中'!$D$6:$D$405,A147,'06_规则命中'!$C$6:$C$405,"开发集",'06_规则命中'!$N$6:$N$405,"是")/COUNTIFS('06_规则命中'!$D$6:$D$405,A147,'06_规则命中'!$C$6:$C$405,"开发集",'06_规则命中'!$I$6:$I$405,"&lt;&gt;不可评估",'06_规则命中'!$N$6:$N$405,"是"),"")</x:f>
      </x:c>
      <x:c r="Q147" s="108" t="str">
        <x:f>IFERROR(SUMIFS('06_规则命中'!$J$6:$J$405,'06_规则命中'!$D$6:$D$405,A147,'06_规则命中'!$C$6:$C$405,"留出集",'06_规则命中'!$N$6:$N$405,"是")/COUNTIFS('06_规则命中'!$D$6:$D$405,A147,'06_规则命中'!$C$6:$C$405,"留出集",'06_规则命中'!$I$6:$I$405,"&lt;&gt;不可评估",'06_规则命中'!$N$6:$N$405,"是"),"")</x:f>
      </x:c>
      <x:c r="R147" s="70" t="str">
        <x:f>IF(K147=0,"P0 待验证",IF(K147&lt;3,"P1 极少样本",IF(K147&lt;6,"P2 探索",IF(K147&lt;12,"P3 初步","P4 稳定候选"))))</x:f>
        <x:v>P0 待验证</x:v>
      </x:c>
      <x:c r="S147" s="70" t="str">
        <x:f>IF(O147&gt;0,"立即安全审查",IF(K147&lt;3,"样本不足",IF(AND(K147&gt;=4,M147&gt;=0.6),"停用候选",IF(AND(K147&gt;=6,M147&gt;=0.4),"优先修改",IF(AND(K147&gt;=8,L147&gt;=0.75,M147&lt;=0.15,N147=0),"保留观察",IF(AND(P147&lt;&gt;"",Q147&lt;&gt;"",ABS(P147-Q147)&gt;0.25),"疑似过拟合","继续验证"))))))</x:f>
        <x:v>样本不足</x:v>
      </x:c>
      <x:c r="T147" s="70" t="str"/>
      <x:c r="U147" s="70" t="str">
        <x:v>待验证</x:v>
      </x:c>
      <x:c r="V147" s="70" t="str"/>
      <x:c r="W147" s="70" t="str"/>
    </x:row>
    <x:row r="148">
      <x:c r="A148" s="70" t="str">
        <x:v>M5-SYNTH-236</x:v>
      </x:c>
      <x:c r="B148" s="70" t="str">
        <x:v>SYNTH</x:v>
      </x:c>
      <x:c r="C148" s="70" t="str">
        <x:v>AF02适配总状态｜定义</x:v>
      </x:c>
      <x:c r="D148" s="70" t="str">
        <x:v>待验证</x:v>
      </x:c>
      <x:c r="E148" s="70" t="n">
        <x:f>COUNTIFS('06_规则命中'!$D$6:$D$405,A148,'06_规则命中'!$I$6:$I$405,"支持",'06_规则命中'!$N$6:$N$405,"是")</x:f>
        <x:v>0</x:v>
      </x:c>
      <x:c r="F148" s="70" t="n">
        <x:f>COUNTIFS('06_规则命中'!$D$6:$D$405,A148,'06_规则命中'!$I$6:$I$405,"基本支持",'06_规则命中'!$N$6:$N$405,"是")</x:f>
        <x:v>0</x:v>
      </x:c>
      <x:c r="G148" s="70" t="n">
        <x:f>COUNTIFS('06_规则命中'!$D$6:$D$405,A148,'06_规则命中'!$I$6:$I$405,"部分支持",'06_规则命中'!$N$6:$N$405,"是")</x:f>
        <x:v>0</x:v>
      </x:c>
      <x:c r="H148" s="70" t="n">
        <x:f>COUNTIFS('06_规则命中'!$D$6:$D$405,A148,'06_规则命中'!$I$6:$I$405,"相邻但不同",'06_规则命中'!$N$6:$N$405,"是")</x:f>
        <x:v>0</x:v>
      </x:c>
      <x:c r="I148" s="70" t="n">
        <x:f>COUNTIFS('06_规则命中'!$D$6:$D$405,A148,'06_规则命中'!$I$6:$I$405,"反例",'06_规则命中'!$N$6:$N$405,"是")</x:f>
        <x:v>0</x:v>
      </x:c>
      <x:c r="J148" s="70" t="n">
        <x:f>COUNTIFS('06_规则命中'!$D$6:$D$405,A148,'06_规则命中'!$I$6:$I$405,"不可评估",'06_规则命中'!$N$6:$N$405,"是")</x:f>
        <x:v>0</x:v>
      </x:c>
      <x:c r="K148" s="70" t="n">
        <x:f>SUM(E148:I148)</x:f>
        <x:v>0</x:v>
      </x:c>
      <x:c r="L148" s="108" t="str">
        <x:f>IFERROR((E148+0.75*F148+0.5*G148+0.25*H148)/K148,"")</x:f>
      </x:c>
      <x:c r="M148" s="108" t="str">
        <x:f>IFERROR(I148/K148,"")</x:f>
      </x:c>
      <x:c r="N148" s="70" t="n">
        <x:f>COUNTIFS('08_反例与错误'!$E$6:$E$155,A148,'08_反例与错误'!$H$6:$H$155,"强")+COUNTIFS('08_反例与错误'!$E$6:$E$155,A148,'08_反例与错误'!$H$6:$H$155,"安全")</x:f>
        <x:v>0</x:v>
      </x:c>
      <x:c r="O148" s="70" t="n">
        <x:f>COUNTIFS('06_规则命中'!$D$6:$D$405,A148,'06_规则命中'!$I$6:$I$405,"反例",'06_规则命中'!$L$6:$L$405,"是",'06_规则命中'!$N$6:$N$405,"是")</x:f>
        <x:v>0</x:v>
      </x:c>
      <x:c r="P148" s="108" t="str">
        <x:f>IFERROR(SUMIFS('06_规则命中'!$J$6:$J$405,'06_规则命中'!$D$6:$D$405,A148,'06_规则命中'!$C$6:$C$405,"开发集",'06_规则命中'!$N$6:$N$405,"是")/COUNTIFS('06_规则命中'!$D$6:$D$405,A148,'06_规则命中'!$C$6:$C$405,"开发集",'06_规则命中'!$I$6:$I$405,"&lt;&gt;不可评估",'06_规则命中'!$N$6:$N$405,"是"),"")</x:f>
      </x:c>
      <x:c r="Q148" s="108" t="str">
        <x:f>IFERROR(SUMIFS('06_规则命中'!$J$6:$J$405,'06_规则命中'!$D$6:$D$405,A148,'06_规则命中'!$C$6:$C$405,"留出集",'06_规则命中'!$N$6:$N$405,"是")/COUNTIFS('06_规则命中'!$D$6:$D$405,A148,'06_规则命中'!$C$6:$C$405,"留出集",'06_规则命中'!$I$6:$I$405,"&lt;&gt;不可评估",'06_规则命中'!$N$6:$N$405,"是"),"")</x:f>
      </x:c>
      <x:c r="R148" s="70" t="str">
        <x:f>IF(K148=0,"P0 待验证",IF(K148&lt;3,"P1 极少样本",IF(K148&lt;6,"P2 探索",IF(K148&lt;12,"P3 初步","P4 稳定候选"))))</x:f>
        <x:v>P0 待验证</x:v>
      </x:c>
      <x:c r="S148" s="70" t="str">
        <x:f>IF(O148&gt;0,"立即安全审查",IF(K148&lt;3,"样本不足",IF(AND(K148&gt;=4,M148&gt;=0.6),"停用候选",IF(AND(K148&gt;=6,M148&gt;=0.4),"优先修改",IF(AND(K148&gt;=8,L148&gt;=0.75,M148&lt;=0.15,N148=0),"保留观察",IF(AND(P148&lt;&gt;"",Q148&lt;&gt;"",ABS(P148-Q148)&gt;0.25),"疑似过拟合","继续验证"))))))</x:f>
        <x:v>样本不足</x:v>
      </x:c>
      <x:c r="T148" s="70" t="str"/>
      <x:c r="U148" s="70" t="str">
        <x:v>待验证</x:v>
      </x:c>
      <x:c r="V148" s="70" t="str"/>
      <x:c r="W148" s="70" t="str"/>
    </x:row>
    <x:row r="149">
      <x:c r="A149" s="70" t="str">
        <x:v>M5-SYNTH-239</x:v>
      </x:c>
      <x:c r="B149" s="70" t="str">
        <x:v>SYNTH</x:v>
      </x:c>
      <x:c r="C149" s="70" t="str">
        <x:v>AF03适配总状态｜定义</x:v>
      </x:c>
      <x:c r="D149" s="70" t="str">
        <x:v>待验证</x:v>
      </x:c>
      <x:c r="E149" s="70" t="n">
        <x:f>COUNTIFS('06_规则命中'!$D$6:$D$405,A149,'06_规则命中'!$I$6:$I$405,"支持",'06_规则命中'!$N$6:$N$405,"是")</x:f>
        <x:v>0</x:v>
      </x:c>
      <x:c r="F149" s="70" t="n">
        <x:f>COUNTIFS('06_规则命中'!$D$6:$D$405,A149,'06_规则命中'!$I$6:$I$405,"基本支持",'06_规则命中'!$N$6:$N$405,"是")</x:f>
        <x:v>0</x:v>
      </x:c>
      <x:c r="G149" s="70" t="n">
        <x:f>COUNTIFS('06_规则命中'!$D$6:$D$405,A149,'06_规则命中'!$I$6:$I$405,"部分支持",'06_规则命中'!$N$6:$N$405,"是")</x:f>
        <x:v>0</x:v>
      </x:c>
      <x:c r="H149" s="70" t="n">
        <x:f>COUNTIFS('06_规则命中'!$D$6:$D$405,A149,'06_规则命中'!$I$6:$I$405,"相邻但不同",'06_规则命中'!$N$6:$N$405,"是")</x:f>
        <x:v>0</x:v>
      </x:c>
      <x:c r="I149" s="70" t="n">
        <x:f>COUNTIFS('06_规则命中'!$D$6:$D$405,A149,'06_规则命中'!$I$6:$I$405,"反例",'06_规则命中'!$N$6:$N$405,"是")</x:f>
        <x:v>0</x:v>
      </x:c>
      <x:c r="J149" s="70" t="n">
        <x:f>COUNTIFS('06_规则命中'!$D$6:$D$405,A149,'06_规则命中'!$I$6:$I$405,"不可评估",'06_规则命中'!$N$6:$N$405,"是")</x:f>
        <x:v>0</x:v>
      </x:c>
      <x:c r="K149" s="70" t="n">
        <x:f>SUM(E149:I149)</x:f>
        <x:v>0</x:v>
      </x:c>
      <x:c r="L149" s="108" t="str">
        <x:f>IFERROR((E149+0.75*F149+0.5*G149+0.25*H149)/K149,"")</x:f>
      </x:c>
      <x:c r="M149" s="108" t="str">
        <x:f>IFERROR(I149/K149,"")</x:f>
      </x:c>
      <x:c r="N149" s="70" t="n">
        <x:f>COUNTIFS('08_反例与错误'!$E$6:$E$155,A149,'08_反例与错误'!$H$6:$H$155,"强")+COUNTIFS('08_反例与错误'!$E$6:$E$155,A149,'08_反例与错误'!$H$6:$H$155,"安全")</x:f>
        <x:v>0</x:v>
      </x:c>
      <x:c r="O149" s="70" t="n">
        <x:f>COUNTIFS('06_规则命中'!$D$6:$D$405,A149,'06_规则命中'!$I$6:$I$405,"反例",'06_规则命中'!$L$6:$L$405,"是",'06_规则命中'!$N$6:$N$405,"是")</x:f>
        <x:v>0</x:v>
      </x:c>
      <x:c r="P149" s="108" t="str">
        <x:f>IFERROR(SUMIFS('06_规则命中'!$J$6:$J$405,'06_规则命中'!$D$6:$D$405,A149,'06_规则命中'!$C$6:$C$405,"开发集",'06_规则命中'!$N$6:$N$405,"是")/COUNTIFS('06_规则命中'!$D$6:$D$405,A149,'06_规则命中'!$C$6:$C$405,"开发集",'06_规则命中'!$I$6:$I$405,"&lt;&gt;不可评估",'06_规则命中'!$N$6:$N$405,"是"),"")</x:f>
      </x:c>
      <x:c r="Q149" s="108" t="str">
        <x:f>IFERROR(SUMIFS('06_规则命中'!$J$6:$J$405,'06_规则命中'!$D$6:$D$405,A149,'06_规则命中'!$C$6:$C$405,"留出集",'06_规则命中'!$N$6:$N$405,"是")/COUNTIFS('06_规则命中'!$D$6:$D$405,A149,'06_规则命中'!$C$6:$C$405,"留出集",'06_规则命中'!$I$6:$I$405,"&lt;&gt;不可评估",'06_规则命中'!$N$6:$N$405,"是"),"")</x:f>
      </x:c>
      <x:c r="R149" s="70" t="str">
        <x:f>IF(K149=0,"P0 待验证",IF(K149&lt;3,"P1 极少样本",IF(K149&lt;6,"P2 探索",IF(K149&lt;12,"P3 初步","P4 稳定候选"))))</x:f>
        <x:v>P0 待验证</x:v>
      </x:c>
      <x:c r="S149" s="70" t="str">
        <x:f>IF(O149&gt;0,"立即安全审查",IF(K149&lt;3,"样本不足",IF(AND(K149&gt;=4,M149&gt;=0.6),"停用候选",IF(AND(K149&gt;=6,M149&gt;=0.4),"优先修改",IF(AND(K149&gt;=8,L149&gt;=0.75,M149&lt;=0.15,N149=0),"保留观察",IF(AND(P149&lt;&gt;"",Q149&lt;&gt;"",ABS(P149-Q149)&gt;0.25),"疑似过拟合","继续验证"))))))</x:f>
        <x:v>样本不足</x:v>
      </x:c>
      <x:c r="T149" s="70" t="str"/>
      <x:c r="U149" s="70" t="str">
        <x:v>待验证</x:v>
      </x:c>
      <x:c r="V149" s="70" t="str"/>
      <x:c r="W149" s="70" t="str"/>
    </x:row>
    <x:row r="150">
      <x:c r="A150" s="70" t="str">
        <x:v>M5-SYNTH-242</x:v>
      </x:c>
      <x:c r="B150" s="70" t="str">
        <x:v>SYNTH</x:v>
      </x:c>
      <x:c r="C150" s="70" t="str">
        <x:v>AF04适配总状态｜定义</x:v>
      </x:c>
      <x:c r="D150" s="70" t="str">
        <x:v>待验证</x:v>
      </x:c>
      <x:c r="E150" s="70" t="n">
        <x:f>COUNTIFS('06_规则命中'!$D$6:$D$405,A150,'06_规则命中'!$I$6:$I$405,"支持",'06_规则命中'!$N$6:$N$405,"是")</x:f>
        <x:v>0</x:v>
      </x:c>
      <x:c r="F150" s="70" t="n">
        <x:f>COUNTIFS('06_规则命中'!$D$6:$D$405,A150,'06_规则命中'!$I$6:$I$405,"基本支持",'06_规则命中'!$N$6:$N$405,"是")</x:f>
        <x:v>0</x:v>
      </x:c>
      <x:c r="G150" s="70" t="n">
        <x:f>COUNTIFS('06_规则命中'!$D$6:$D$405,A150,'06_规则命中'!$I$6:$I$405,"部分支持",'06_规则命中'!$N$6:$N$405,"是")</x:f>
        <x:v>0</x:v>
      </x:c>
      <x:c r="H150" s="70" t="n">
        <x:f>COUNTIFS('06_规则命中'!$D$6:$D$405,A150,'06_规则命中'!$I$6:$I$405,"相邻但不同",'06_规则命中'!$N$6:$N$405,"是")</x:f>
        <x:v>0</x:v>
      </x:c>
      <x:c r="I150" s="70" t="n">
        <x:f>COUNTIFS('06_规则命中'!$D$6:$D$405,A150,'06_规则命中'!$I$6:$I$405,"反例",'06_规则命中'!$N$6:$N$405,"是")</x:f>
        <x:v>0</x:v>
      </x:c>
      <x:c r="J150" s="70" t="n">
        <x:f>COUNTIFS('06_规则命中'!$D$6:$D$405,A150,'06_规则命中'!$I$6:$I$405,"不可评估",'06_规则命中'!$N$6:$N$405,"是")</x:f>
        <x:v>0</x:v>
      </x:c>
      <x:c r="K150" s="70" t="n">
        <x:f>SUM(E150:I150)</x:f>
        <x:v>0</x:v>
      </x:c>
      <x:c r="L150" s="108" t="str">
        <x:f>IFERROR((E150+0.75*F150+0.5*G150+0.25*H150)/K150,"")</x:f>
      </x:c>
      <x:c r="M150" s="108" t="str">
        <x:f>IFERROR(I150/K150,"")</x:f>
      </x:c>
      <x:c r="N150" s="70" t="n">
        <x:f>COUNTIFS('08_反例与错误'!$E$6:$E$155,A150,'08_反例与错误'!$H$6:$H$155,"强")+COUNTIFS('08_反例与错误'!$E$6:$E$155,A150,'08_反例与错误'!$H$6:$H$155,"安全")</x:f>
        <x:v>0</x:v>
      </x:c>
      <x:c r="O150" s="70" t="n">
        <x:f>COUNTIFS('06_规则命中'!$D$6:$D$405,A150,'06_规则命中'!$I$6:$I$405,"反例",'06_规则命中'!$L$6:$L$405,"是",'06_规则命中'!$N$6:$N$405,"是")</x:f>
        <x:v>0</x:v>
      </x:c>
      <x:c r="P150" s="108" t="str">
        <x:f>IFERROR(SUMIFS('06_规则命中'!$J$6:$J$405,'06_规则命中'!$D$6:$D$405,A150,'06_规则命中'!$C$6:$C$405,"开发集",'06_规则命中'!$N$6:$N$405,"是")/COUNTIFS('06_规则命中'!$D$6:$D$405,A150,'06_规则命中'!$C$6:$C$405,"开发集",'06_规则命中'!$I$6:$I$405,"&lt;&gt;不可评估",'06_规则命中'!$N$6:$N$405,"是"),"")</x:f>
      </x:c>
      <x:c r="Q150" s="108" t="str">
        <x:f>IFERROR(SUMIFS('06_规则命中'!$J$6:$J$405,'06_规则命中'!$D$6:$D$405,A150,'06_规则命中'!$C$6:$C$405,"留出集",'06_规则命中'!$N$6:$N$405,"是")/COUNTIFS('06_规则命中'!$D$6:$D$405,A150,'06_规则命中'!$C$6:$C$405,"留出集",'06_规则命中'!$I$6:$I$405,"&lt;&gt;不可评估",'06_规则命中'!$N$6:$N$405,"是"),"")</x:f>
      </x:c>
      <x:c r="R150" s="70" t="str">
        <x:f>IF(K150=0,"P0 待验证",IF(K150&lt;3,"P1 极少样本",IF(K150&lt;6,"P2 探索",IF(K150&lt;12,"P3 初步","P4 稳定候选"))))</x:f>
        <x:v>P0 待验证</x:v>
      </x:c>
      <x:c r="S150" s="70" t="str">
        <x:f>IF(O150&gt;0,"立即安全审查",IF(K150&lt;3,"样本不足",IF(AND(K150&gt;=4,M150&gt;=0.6),"停用候选",IF(AND(K150&gt;=6,M150&gt;=0.4),"优先修改",IF(AND(K150&gt;=8,L150&gt;=0.75,M150&lt;=0.15,N150=0),"保留观察",IF(AND(P150&lt;&gt;"",Q150&lt;&gt;"",ABS(P150-Q150)&gt;0.25),"疑似过拟合","继续验证"))))))</x:f>
        <x:v>样本不足</x:v>
      </x:c>
      <x:c r="T150" s="70" t="str"/>
      <x:c r="U150" s="70" t="str">
        <x:v>待验证</x:v>
      </x:c>
      <x:c r="V150" s="70" t="str"/>
      <x:c r="W150" s="70" t="str"/>
    </x:row>
    <x:row r="151">
      <x:c r="A151" s="70" t="str">
        <x:v>M5-SYNTH-245</x:v>
      </x:c>
      <x:c r="B151" s="70" t="str">
        <x:v>SYNTH</x:v>
      </x:c>
      <x:c r="C151" s="70" t="str">
        <x:v>AF05适配总状态｜定义</x:v>
      </x:c>
      <x:c r="D151" s="70" t="str">
        <x:v>待验证</x:v>
      </x:c>
      <x:c r="E151" s="70" t="n">
        <x:f>COUNTIFS('06_规则命中'!$D$6:$D$405,A151,'06_规则命中'!$I$6:$I$405,"支持",'06_规则命中'!$N$6:$N$405,"是")</x:f>
        <x:v>0</x:v>
      </x:c>
      <x:c r="F151" s="70" t="n">
        <x:f>COUNTIFS('06_规则命中'!$D$6:$D$405,A151,'06_规则命中'!$I$6:$I$405,"基本支持",'06_规则命中'!$N$6:$N$405,"是")</x:f>
        <x:v>0</x:v>
      </x:c>
      <x:c r="G151" s="70" t="n">
        <x:f>COUNTIFS('06_规则命中'!$D$6:$D$405,A151,'06_规则命中'!$I$6:$I$405,"部分支持",'06_规则命中'!$N$6:$N$405,"是")</x:f>
        <x:v>0</x:v>
      </x:c>
      <x:c r="H151" s="70" t="n">
        <x:f>COUNTIFS('06_规则命中'!$D$6:$D$405,A151,'06_规则命中'!$I$6:$I$405,"相邻但不同",'06_规则命中'!$N$6:$N$405,"是")</x:f>
        <x:v>0</x:v>
      </x:c>
      <x:c r="I151" s="70" t="n">
        <x:f>COUNTIFS('06_规则命中'!$D$6:$D$405,A151,'06_规则命中'!$I$6:$I$405,"反例",'06_规则命中'!$N$6:$N$405,"是")</x:f>
        <x:v>0</x:v>
      </x:c>
      <x:c r="J151" s="70" t="n">
        <x:f>COUNTIFS('06_规则命中'!$D$6:$D$405,A151,'06_规则命中'!$I$6:$I$405,"不可评估",'06_规则命中'!$N$6:$N$405,"是")</x:f>
        <x:v>0</x:v>
      </x:c>
      <x:c r="K151" s="70" t="n">
        <x:f>SUM(E151:I151)</x:f>
        <x:v>0</x:v>
      </x:c>
      <x:c r="L151" s="108" t="str">
        <x:f>IFERROR((E151+0.75*F151+0.5*G151+0.25*H151)/K151,"")</x:f>
      </x:c>
      <x:c r="M151" s="108" t="str">
        <x:f>IFERROR(I151/K151,"")</x:f>
      </x:c>
      <x:c r="N151" s="70" t="n">
        <x:f>COUNTIFS('08_反例与错误'!$E$6:$E$155,A151,'08_反例与错误'!$H$6:$H$155,"强")+COUNTIFS('08_反例与错误'!$E$6:$E$155,A151,'08_反例与错误'!$H$6:$H$155,"安全")</x:f>
        <x:v>0</x:v>
      </x:c>
      <x:c r="O151" s="70" t="n">
        <x:f>COUNTIFS('06_规则命中'!$D$6:$D$405,A151,'06_规则命中'!$I$6:$I$405,"反例",'06_规则命中'!$L$6:$L$405,"是",'06_规则命中'!$N$6:$N$405,"是")</x:f>
        <x:v>0</x:v>
      </x:c>
      <x:c r="P151" s="108" t="str">
        <x:f>IFERROR(SUMIFS('06_规则命中'!$J$6:$J$405,'06_规则命中'!$D$6:$D$405,A151,'06_规则命中'!$C$6:$C$405,"开发集",'06_规则命中'!$N$6:$N$405,"是")/COUNTIFS('06_规则命中'!$D$6:$D$405,A151,'06_规则命中'!$C$6:$C$405,"开发集",'06_规则命中'!$I$6:$I$405,"&lt;&gt;不可评估",'06_规则命中'!$N$6:$N$405,"是"),"")</x:f>
      </x:c>
      <x:c r="Q151" s="108" t="str">
        <x:f>IFERROR(SUMIFS('06_规则命中'!$J$6:$J$405,'06_规则命中'!$D$6:$D$405,A151,'06_规则命中'!$C$6:$C$405,"留出集",'06_规则命中'!$N$6:$N$405,"是")/COUNTIFS('06_规则命中'!$D$6:$D$405,A151,'06_规则命中'!$C$6:$C$405,"留出集",'06_规则命中'!$I$6:$I$405,"&lt;&gt;不可评估",'06_规则命中'!$N$6:$N$405,"是"),"")</x:f>
      </x:c>
      <x:c r="R151" s="70" t="str">
        <x:f>IF(K151=0,"P0 待验证",IF(K151&lt;3,"P1 极少样本",IF(K151&lt;6,"P2 探索",IF(K151&lt;12,"P3 初步","P4 稳定候选"))))</x:f>
        <x:v>P0 待验证</x:v>
      </x:c>
      <x:c r="S151" s="70" t="str">
        <x:f>IF(O151&gt;0,"立即安全审查",IF(K151&lt;3,"样本不足",IF(AND(K151&gt;=4,M151&gt;=0.6),"停用候选",IF(AND(K151&gt;=6,M151&gt;=0.4),"优先修改",IF(AND(K151&gt;=8,L151&gt;=0.75,M151&lt;=0.15,N151=0),"保留观察",IF(AND(P151&lt;&gt;"",Q151&lt;&gt;"",ABS(P151-Q151)&gt;0.25),"疑似过拟合","继续验证"))))))</x:f>
        <x:v>样本不足</x:v>
      </x:c>
      <x:c r="T151" s="70" t="str"/>
      <x:c r="U151" s="70" t="str">
        <x:v>待验证</x:v>
      </x:c>
      <x:c r="V151" s="70" t="str"/>
      <x:c r="W151" s="70" t="str"/>
    </x:row>
    <x:row r="152">
      <x:c r="A152" s="70" t="str">
        <x:v>M5-SYNTH-248</x:v>
      </x:c>
      <x:c r="B152" s="70" t="str">
        <x:v>SYNTH</x:v>
      </x:c>
      <x:c r="C152" s="70" t="str">
        <x:v>AF06适配总状态｜定义</x:v>
      </x:c>
      <x:c r="D152" s="70" t="str">
        <x:v>待验证</x:v>
      </x:c>
      <x:c r="E152" s="70" t="n">
        <x:f>COUNTIFS('06_规则命中'!$D$6:$D$405,A152,'06_规则命中'!$I$6:$I$405,"支持",'06_规则命中'!$N$6:$N$405,"是")</x:f>
        <x:v>0</x:v>
      </x:c>
      <x:c r="F152" s="70" t="n">
        <x:f>COUNTIFS('06_规则命中'!$D$6:$D$405,A152,'06_规则命中'!$I$6:$I$405,"基本支持",'06_规则命中'!$N$6:$N$405,"是")</x:f>
        <x:v>0</x:v>
      </x:c>
      <x:c r="G152" s="70" t="n">
        <x:f>COUNTIFS('06_规则命中'!$D$6:$D$405,A152,'06_规则命中'!$I$6:$I$405,"部分支持",'06_规则命中'!$N$6:$N$405,"是")</x:f>
        <x:v>0</x:v>
      </x:c>
      <x:c r="H152" s="70" t="n">
        <x:f>COUNTIFS('06_规则命中'!$D$6:$D$405,A152,'06_规则命中'!$I$6:$I$405,"相邻但不同",'06_规则命中'!$N$6:$N$405,"是")</x:f>
        <x:v>0</x:v>
      </x:c>
      <x:c r="I152" s="70" t="n">
        <x:f>COUNTIFS('06_规则命中'!$D$6:$D$405,A152,'06_规则命中'!$I$6:$I$405,"反例",'06_规则命中'!$N$6:$N$405,"是")</x:f>
        <x:v>0</x:v>
      </x:c>
      <x:c r="J152" s="70" t="n">
        <x:f>COUNTIFS('06_规则命中'!$D$6:$D$405,A152,'06_规则命中'!$I$6:$I$405,"不可评估",'06_规则命中'!$N$6:$N$405,"是")</x:f>
        <x:v>0</x:v>
      </x:c>
      <x:c r="K152" s="70" t="n">
        <x:f>SUM(E152:I152)</x:f>
        <x:v>0</x:v>
      </x:c>
      <x:c r="L152" s="108" t="str">
        <x:f>IFERROR((E152+0.75*F152+0.5*G152+0.25*H152)/K152,"")</x:f>
      </x:c>
      <x:c r="M152" s="108" t="str">
        <x:f>IFERROR(I152/K152,"")</x:f>
      </x:c>
      <x:c r="N152" s="70" t="n">
        <x:f>COUNTIFS('08_反例与错误'!$E$6:$E$155,A152,'08_反例与错误'!$H$6:$H$155,"强")+COUNTIFS('08_反例与错误'!$E$6:$E$155,A152,'08_反例与错误'!$H$6:$H$155,"安全")</x:f>
        <x:v>0</x:v>
      </x:c>
      <x:c r="O152" s="70" t="n">
        <x:f>COUNTIFS('06_规则命中'!$D$6:$D$405,A152,'06_规则命中'!$I$6:$I$405,"反例",'06_规则命中'!$L$6:$L$405,"是",'06_规则命中'!$N$6:$N$405,"是")</x:f>
        <x:v>0</x:v>
      </x:c>
      <x:c r="P152" s="108" t="str">
        <x:f>IFERROR(SUMIFS('06_规则命中'!$J$6:$J$405,'06_规则命中'!$D$6:$D$405,A152,'06_规则命中'!$C$6:$C$405,"开发集",'06_规则命中'!$N$6:$N$405,"是")/COUNTIFS('06_规则命中'!$D$6:$D$405,A152,'06_规则命中'!$C$6:$C$405,"开发集",'06_规则命中'!$I$6:$I$405,"&lt;&gt;不可评估",'06_规则命中'!$N$6:$N$405,"是"),"")</x:f>
      </x:c>
      <x:c r="Q152" s="108" t="str">
        <x:f>IFERROR(SUMIFS('06_规则命中'!$J$6:$J$405,'06_规则命中'!$D$6:$D$405,A152,'06_规则命中'!$C$6:$C$405,"留出集",'06_规则命中'!$N$6:$N$405,"是")/COUNTIFS('06_规则命中'!$D$6:$D$405,A152,'06_规则命中'!$C$6:$C$405,"留出集",'06_规则命中'!$I$6:$I$405,"&lt;&gt;不可评估",'06_规则命中'!$N$6:$N$405,"是"),"")</x:f>
      </x:c>
      <x:c r="R152" s="70" t="str">
        <x:f>IF(K152=0,"P0 待验证",IF(K152&lt;3,"P1 极少样本",IF(K152&lt;6,"P2 探索",IF(K152&lt;12,"P3 初步","P4 稳定候选"))))</x:f>
        <x:v>P0 待验证</x:v>
      </x:c>
      <x:c r="S152" s="70" t="str">
        <x:f>IF(O152&gt;0,"立即安全审查",IF(K152&lt;3,"样本不足",IF(AND(K152&gt;=4,M152&gt;=0.6),"停用候选",IF(AND(K152&gt;=6,M152&gt;=0.4),"优先修改",IF(AND(K152&gt;=8,L152&gt;=0.75,M152&lt;=0.15,N152=0),"保留观察",IF(AND(P152&lt;&gt;"",Q152&lt;&gt;"",ABS(P152-Q152)&gt;0.25),"疑似过拟合","继续验证"))))))</x:f>
        <x:v>样本不足</x:v>
      </x:c>
      <x:c r="T152" s="70" t="str"/>
      <x:c r="U152" s="70" t="str">
        <x:v>待验证</x:v>
      </x:c>
      <x:c r="V152" s="70" t="str"/>
      <x:c r="W152" s="70" t="str"/>
    </x:row>
    <x:row r="153">
      <x:c r="A153" s="70" t="str">
        <x:v>M5-SYNTH-251</x:v>
      </x:c>
      <x:c r="B153" s="70" t="str">
        <x:v>SYNTH</x:v>
      </x:c>
      <x:c r="C153" s="70" t="str">
        <x:v>AF07适配总状态｜定义</x:v>
      </x:c>
      <x:c r="D153" s="70" t="str">
        <x:v>待验证</x:v>
      </x:c>
      <x:c r="E153" s="70" t="n">
        <x:f>COUNTIFS('06_规则命中'!$D$6:$D$405,A153,'06_规则命中'!$I$6:$I$405,"支持",'06_规则命中'!$N$6:$N$405,"是")</x:f>
        <x:v>0</x:v>
      </x:c>
      <x:c r="F153" s="70" t="n">
        <x:f>COUNTIFS('06_规则命中'!$D$6:$D$405,A153,'06_规则命中'!$I$6:$I$405,"基本支持",'06_规则命中'!$N$6:$N$405,"是")</x:f>
        <x:v>0</x:v>
      </x:c>
      <x:c r="G153" s="70" t="n">
        <x:f>COUNTIFS('06_规则命中'!$D$6:$D$405,A153,'06_规则命中'!$I$6:$I$405,"部分支持",'06_规则命中'!$N$6:$N$405,"是")</x:f>
        <x:v>0</x:v>
      </x:c>
      <x:c r="H153" s="70" t="n">
        <x:f>COUNTIFS('06_规则命中'!$D$6:$D$405,A153,'06_规则命中'!$I$6:$I$405,"相邻但不同",'06_规则命中'!$N$6:$N$405,"是")</x:f>
        <x:v>0</x:v>
      </x:c>
      <x:c r="I153" s="70" t="n">
        <x:f>COUNTIFS('06_规则命中'!$D$6:$D$405,A153,'06_规则命中'!$I$6:$I$405,"反例",'06_规则命中'!$N$6:$N$405,"是")</x:f>
        <x:v>0</x:v>
      </x:c>
      <x:c r="J153" s="70" t="n">
        <x:f>COUNTIFS('06_规则命中'!$D$6:$D$405,A153,'06_规则命中'!$I$6:$I$405,"不可评估",'06_规则命中'!$N$6:$N$405,"是")</x:f>
        <x:v>0</x:v>
      </x:c>
      <x:c r="K153" s="70" t="n">
        <x:f>SUM(E153:I153)</x:f>
        <x:v>0</x:v>
      </x:c>
      <x:c r="L153" s="108" t="str">
        <x:f>IFERROR((E153+0.75*F153+0.5*G153+0.25*H153)/K153,"")</x:f>
      </x:c>
      <x:c r="M153" s="108" t="str">
        <x:f>IFERROR(I153/K153,"")</x:f>
      </x:c>
      <x:c r="N153" s="70" t="n">
        <x:f>COUNTIFS('08_反例与错误'!$E$6:$E$155,A153,'08_反例与错误'!$H$6:$H$155,"强")+COUNTIFS('08_反例与错误'!$E$6:$E$155,A153,'08_反例与错误'!$H$6:$H$155,"安全")</x:f>
        <x:v>0</x:v>
      </x:c>
      <x:c r="O153" s="70" t="n">
        <x:f>COUNTIFS('06_规则命中'!$D$6:$D$405,A153,'06_规则命中'!$I$6:$I$405,"反例",'06_规则命中'!$L$6:$L$405,"是",'06_规则命中'!$N$6:$N$405,"是")</x:f>
        <x:v>0</x:v>
      </x:c>
      <x:c r="P153" s="108" t="str">
        <x:f>IFERROR(SUMIFS('06_规则命中'!$J$6:$J$405,'06_规则命中'!$D$6:$D$405,A153,'06_规则命中'!$C$6:$C$405,"开发集",'06_规则命中'!$N$6:$N$405,"是")/COUNTIFS('06_规则命中'!$D$6:$D$405,A153,'06_规则命中'!$C$6:$C$405,"开发集",'06_规则命中'!$I$6:$I$405,"&lt;&gt;不可评估",'06_规则命中'!$N$6:$N$405,"是"),"")</x:f>
      </x:c>
      <x:c r="Q153" s="108" t="str">
        <x:f>IFERROR(SUMIFS('06_规则命中'!$J$6:$J$405,'06_规则命中'!$D$6:$D$405,A153,'06_规则命中'!$C$6:$C$405,"留出集",'06_规则命中'!$N$6:$N$405,"是")/COUNTIFS('06_规则命中'!$D$6:$D$405,A153,'06_规则命中'!$C$6:$C$405,"留出集",'06_规则命中'!$I$6:$I$405,"&lt;&gt;不可评估",'06_规则命中'!$N$6:$N$405,"是"),"")</x:f>
      </x:c>
      <x:c r="R153" s="70" t="str">
        <x:f>IF(K153=0,"P0 待验证",IF(K153&lt;3,"P1 极少样本",IF(K153&lt;6,"P2 探索",IF(K153&lt;12,"P3 初步","P4 稳定候选"))))</x:f>
        <x:v>P0 待验证</x:v>
      </x:c>
      <x:c r="S153" s="70" t="str">
        <x:f>IF(O153&gt;0,"立即安全审查",IF(K153&lt;3,"样本不足",IF(AND(K153&gt;=4,M153&gt;=0.6),"停用候选",IF(AND(K153&gt;=6,M153&gt;=0.4),"优先修改",IF(AND(K153&gt;=8,L153&gt;=0.75,M153&lt;=0.15,N153=0),"保留观察",IF(AND(P153&lt;&gt;"",Q153&lt;&gt;"",ABS(P153-Q153)&gt;0.25),"疑似过拟合","继续验证"))))))</x:f>
        <x:v>样本不足</x:v>
      </x:c>
      <x:c r="T153" s="70" t="str"/>
      <x:c r="U153" s="70" t="str">
        <x:v>待验证</x:v>
      </x:c>
      <x:c r="V153" s="70" t="str"/>
      <x:c r="W153" s="70" t="str"/>
    </x:row>
    <x:row r="154">
      <x:c r="A154" s="70" t="str">
        <x:v>M5-SYNTH-254</x:v>
      </x:c>
      <x:c r="B154" s="70" t="str">
        <x:v>SYNTH</x:v>
      </x:c>
      <x:c r="C154" s="70" t="str">
        <x:v>AF08适配总状态｜定义</x:v>
      </x:c>
      <x:c r="D154" s="70" t="str">
        <x:v>待验证</x:v>
      </x:c>
      <x:c r="E154" s="70" t="n">
        <x:f>COUNTIFS('06_规则命中'!$D$6:$D$405,A154,'06_规则命中'!$I$6:$I$405,"支持",'06_规则命中'!$N$6:$N$405,"是")</x:f>
        <x:v>0</x:v>
      </x:c>
      <x:c r="F154" s="70" t="n">
        <x:f>COUNTIFS('06_规则命中'!$D$6:$D$405,A154,'06_规则命中'!$I$6:$I$405,"基本支持",'06_规则命中'!$N$6:$N$405,"是")</x:f>
        <x:v>0</x:v>
      </x:c>
      <x:c r="G154" s="70" t="n">
        <x:f>COUNTIFS('06_规则命中'!$D$6:$D$405,A154,'06_规则命中'!$I$6:$I$405,"部分支持",'06_规则命中'!$N$6:$N$405,"是")</x:f>
        <x:v>0</x:v>
      </x:c>
      <x:c r="H154" s="70" t="n">
        <x:f>COUNTIFS('06_规则命中'!$D$6:$D$405,A154,'06_规则命中'!$I$6:$I$405,"相邻但不同",'06_规则命中'!$N$6:$N$405,"是")</x:f>
        <x:v>0</x:v>
      </x:c>
      <x:c r="I154" s="70" t="n">
        <x:f>COUNTIFS('06_规则命中'!$D$6:$D$405,A154,'06_规则命中'!$I$6:$I$405,"反例",'06_规则命中'!$N$6:$N$405,"是")</x:f>
        <x:v>0</x:v>
      </x:c>
      <x:c r="J154" s="70" t="n">
        <x:f>COUNTIFS('06_规则命中'!$D$6:$D$405,A154,'06_规则命中'!$I$6:$I$405,"不可评估",'06_规则命中'!$N$6:$N$405,"是")</x:f>
        <x:v>0</x:v>
      </x:c>
      <x:c r="K154" s="70" t="n">
        <x:f>SUM(E154:I154)</x:f>
        <x:v>0</x:v>
      </x:c>
      <x:c r="L154" s="108" t="str">
        <x:f>IFERROR((E154+0.75*F154+0.5*G154+0.25*H154)/K154,"")</x:f>
      </x:c>
      <x:c r="M154" s="108" t="str">
        <x:f>IFERROR(I154/K154,"")</x:f>
      </x:c>
      <x:c r="N154" s="70" t="n">
        <x:f>COUNTIFS('08_反例与错误'!$E$6:$E$155,A154,'08_反例与错误'!$H$6:$H$155,"强")+COUNTIFS('08_反例与错误'!$E$6:$E$155,A154,'08_反例与错误'!$H$6:$H$155,"安全")</x:f>
        <x:v>0</x:v>
      </x:c>
      <x:c r="O154" s="70" t="n">
        <x:f>COUNTIFS('06_规则命中'!$D$6:$D$405,A154,'06_规则命中'!$I$6:$I$405,"反例",'06_规则命中'!$L$6:$L$405,"是",'06_规则命中'!$N$6:$N$405,"是")</x:f>
        <x:v>0</x:v>
      </x:c>
      <x:c r="P154" s="108" t="str">
        <x:f>IFERROR(SUMIFS('06_规则命中'!$J$6:$J$405,'06_规则命中'!$D$6:$D$405,A154,'06_规则命中'!$C$6:$C$405,"开发集",'06_规则命中'!$N$6:$N$405,"是")/COUNTIFS('06_规则命中'!$D$6:$D$405,A154,'06_规则命中'!$C$6:$C$405,"开发集",'06_规则命中'!$I$6:$I$405,"&lt;&gt;不可评估",'06_规则命中'!$N$6:$N$405,"是"),"")</x:f>
      </x:c>
      <x:c r="Q154" s="108" t="str">
        <x:f>IFERROR(SUMIFS('06_规则命中'!$J$6:$J$405,'06_规则命中'!$D$6:$D$405,A154,'06_规则命中'!$C$6:$C$405,"留出集",'06_规则命中'!$N$6:$N$405,"是")/COUNTIFS('06_规则命中'!$D$6:$D$405,A154,'06_规则命中'!$C$6:$C$405,"留出集",'06_规则命中'!$I$6:$I$405,"&lt;&gt;不可评估",'06_规则命中'!$N$6:$N$405,"是"),"")</x:f>
      </x:c>
      <x:c r="R154" s="70" t="str">
        <x:f>IF(K154=0,"P0 待验证",IF(K154&lt;3,"P1 极少样本",IF(K154&lt;6,"P2 探索",IF(K154&lt;12,"P3 初步","P4 稳定候选"))))</x:f>
        <x:v>P0 待验证</x:v>
      </x:c>
      <x:c r="S154" s="70" t="str">
        <x:f>IF(O154&gt;0,"立即安全审查",IF(K154&lt;3,"样本不足",IF(AND(K154&gt;=4,M154&gt;=0.6),"停用候选",IF(AND(K154&gt;=6,M154&gt;=0.4),"优先修改",IF(AND(K154&gt;=8,L154&gt;=0.75,M154&lt;=0.15,N154=0),"保留观察",IF(AND(P154&lt;&gt;"",Q154&lt;&gt;"",ABS(P154-Q154)&gt;0.25),"疑似过拟合","继续验证"))))))</x:f>
        <x:v>样本不足</x:v>
      </x:c>
      <x:c r="T154" s="70" t="str"/>
      <x:c r="U154" s="70" t="str">
        <x:v>待验证</x:v>
      </x:c>
      <x:c r="V154" s="70" t="str"/>
      <x:c r="W154" s="70" t="str"/>
    </x:row>
    <x:row r="155">
      <x:c r="A155" s="107" t="str">
        <x:v>M5-SYNTH-257</x:v>
      </x:c>
      <x:c r="B155" s="107" t="str">
        <x:v>SYNTH</x:v>
      </x:c>
      <x:c r="C155" s="107" t="str">
        <x:v>AF09适配总状态｜定义</x:v>
      </x:c>
      <x:c r="D155" s="107" t="str">
        <x:v>待验证</x:v>
      </x:c>
      <x:c r="E155" s="107" t="n">
        <x:f>COUNTIFS('06_规则命中'!$D$6:$D$405,A155,'06_规则命中'!$I$6:$I$405,"支持",'06_规则命中'!$N$6:$N$405,"是")</x:f>
        <x:v>0</x:v>
      </x:c>
      <x:c r="F155" s="107" t="n">
        <x:f>COUNTIFS('06_规则命中'!$D$6:$D$405,A155,'06_规则命中'!$I$6:$I$405,"基本支持",'06_规则命中'!$N$6:$N$405,"是")</x:f>
        <x:v>0</x:v>
      </x:c>
      <x:c r="G155" s="107" t="n">
        <x:f>COUNTIFS('06_规则命中'!$D$6:$D$405,A155,'06_规则命中'!$I$6:$I$405,"部分支持",'06_规则命中'!$N$6:$N$405,"是")</x:f>
        <x:v>0</x:v>
      </x:c>
      <x:c r="H155" s="107" t="n">
        <x:f>COUNTIFS('06_规则命中'!$D$6:$D$405,A155,'06_规则命中'!$I$6:$I$405,"相邻但不同",'06_规则命中'!$N$6:$N$405,"是")</x:f>
        <x:v>0</x:v>
      </x:c>
      <x:c r="I155" s="107" t="n">
        <x:f>COUNTIFS('06_规则命中'!$D$6:$D$405,A155,'06_规则命中'!$I$6:$I$405,"反例",'06_规则命中'!$N$6:$N$405,"是")</x:f>
        <x:v>0</x:v>
      </x:c>
      <x:c r="J155" s="107" t="n">
        <x:f>COUNTIFS('06_规则命中'!$D$6:$D$405,A155,'06_规则命中'!$I$6:$I$405,"不可评估",'06_规则命中'!$N$6:$N$405,"是")</x:f>
        <x:v>0</x:v>
      </x:c>
      <x:c r="K155" s="107" t="n">
        <x:f>SUM(E155:I155)</x:f>
        <x:v>0</x:v>
      </x:c>
      <x:c r="L155" s="109" t="str">
        <x:f>IFERROR((E155+0.75*F155+0.5*G155+0.25*H155)/K155,"")</x:f>
      </x:c>
      <x:c r="M155" s="109" t="str">
        <x:f>IFERROR(I155/K155,"")</x:f>
      </x:c>
      <x:c r="N155" s="107" t="n">
        <x:f>COUNTIFS('08_反例与错误'!$E$6:$E$155,A155,'08_反例与错误'!$H$6:$H$155,"强")+COUNTIFS('08_反例与错误'!$E$6:$E$155,A155,'08_反例与错误'!$H$6:$H$155,"安全")</x:f>
        <x:v>0</x:v>
      </x:c>
      <x:c r="O155" s="107" t="n">
        <x:f>COUNTIFS('06_规则命中'!$D$6:$D$405,A155,'06_规则命中'!$I$6:$I$405,"反例",'06_规则命中'!$L$6:$L$405,"是",'06_规则命中'!$N$6:$N$405,"是")</x:f>
        <x:v>0</x:v>
      </x:c>
      <x:c r="P155" s="109" t="str">
        <x:f>IFERROR(SUMIFS('06_规则命中'!$J$6:$J$405,'06_规则命中'!$D$6:$D$405,A155,'06_规则命中'!$C$6:$C$405,"开发集",'06_规则命中'!$N$6:$N$405,"是")/COUNTIFS('06_规则命中'!$D$6:$D$405,A155,'06_规则命中'!$C$6:$C$405,"开发集",'06_规则命中'!$I$6:$I$405,"&lt;&gt;不可评估",'06_规则命中'!$N$6:$N$405,"是"),"")</x:f>
      </x:c>
      <x:c r="Q155" s="109" t="str">
        <x:f>IFERROR(SUMIFS('06_规则命中'!$J$6:$J$405,'06_规则命中'!$D$6:$D$405,A155,'06_规则命中'!$C$6:$C$405,"留出集",'06_规则命中'!$N$6:$N$405,"是")/COUNTIFS('06_规则命中'!$D$6:$D$405,A155,'06_规则命中'!$C$6:$C$405,"留出集",'06_规则命中'!$I$6:$I$405,"&lt;&gt;不可评估",'06_规则命中'!$N$6:$N$405,"是"),"")</x:f>
      </x:c>
      <x:c r="R155" s="107" t="str">
        <x:f>IF(K155=0,"P0 待验证",IF(K155&lt;3,"P1 极少样本",IF(K155&lt;6,"P2 探索",IF(K155&lt;12,"P3 初步","P4 稳定候选"))))</x:f>
        <x:v>P0 待验证</x:v>
      </x:c>
      <x:c r="S155" s="107" t="str">
        <x:f>IF(O155&gt;0,"立即安全审查",IF(K155&lt;3,"样本不足",IF(AND(K155&gt;=4,M155&gt;=0.6),"停用候选",IF(AND(K155&gt;=6,M155&gt;=0.4),"优先修改",IF(AND(K155&gt;=8,L155&gt;=0.75,M155&lt;=0.15,N155=0),"保留观察",IF(AND(P155&lt;&gt;"",Q155&lt;&gt;"",ABS(P155-Q155)&gt;0.25),"疑似过拟合","继续验证"))))))</x:f>
        <x:v>样本不足</x:v>
      </x:c>
      <x:c r="T155" s="107" t="str"/>
      <x:c r="U155" s="107" t="str">
        <x:v>待验证</x:v>
      </x:c>
      <x:c r="V155" s="107" t="str"/>
      <x:c r="W155" s="107" t="str"/>
    </x:row>
  </x:sheetData>
  <x:mergeCells>
    <x:mergeCell ref="A1:W2"/>
    <x:mergeCell ref="A3:W3"/>
  </x:mergeCells>
  <x:dataValidations count="2">
    <x:dataValidation type="list" sqref="T6:T155">
      <x:formula1>"保留,继续验证,修改,拆分,合并,降权,停用候选,停用,安全审查,暂不决定"</x:formula1>
    </x:dataValidation>
    <x:dataValidation type="list" sqref="U6:U155">
      <x:formula1>"待验证,样本不足,探索中,初步支持,稳定支持候选,需修改,停用候选,停用,安全审查"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15557af2b8405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76" hidden="0" customWidth="1"/>
    <x:col min="4" max="4" width="62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48" hidden="0" customWidth="1"/>
    <x:col min="11" max="11" width="52" hidden="0" customWidth="1"/>
    <x:col min="12" max="12" width="52" hidden="0" customWidth="1"/>
    <x:col min="13" max="13" width="52" hidden="0" customWidth="1"/>
    <x:col min="14" max="14" width="18" hidden="0" customWidth="1"/>
    <x:col min="15" max="15" width="16" hidden="0" customWidth="1"/>
    <x:col min="16" max="16" width="44" hidden="0" customWidth="1"/>
  </x:cols>
  <x:sheetData>
    <x:row r="1">
      <x:c r="A1" s="94" t="str">
        <x:v>强反例、安全漏判、错误类型与修改方向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  <x:c r="M1" s="94"/>
      <x:c r="N1" s="94"/>
      <x:c r="O1" s="94"/>
      <x:c r="P1" s="94"/>
    </x:row>
    <x:row r="2">
      <x:c r="A2" s="94"/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  <x:c r="O2" s="94"/>
      <x:c r="P2" s="94"/>
    </x:row>
    <x:row r="3">
      <x:c r="A3" s="99" t="str">
        <x:v>每个反例都必须写清预测、现实、失败原因与处理方向。</x:v>
      </x:c>
      <x:c r="B3" s="99"/>
      <x:c r="C3" s="99"/>
      <x:c r="D3" s="99"/>
      <x:c r="E3" s="99"/>
      <x:c r="F3" s="99"/>
      <x:c r="G3" s="99"/>
      <x:c r="H3" s="99"/>
      <x:c r="I3" s="99"/>
      <x:c r="J3" s="99"/>
      <x:c r="K3" s="99"/>
      <x:c r="L3" s="99"/>
      <x:c r="M3" s="99"/>
      <x:c r="N3" s="99"/>
      <x:c r="O3" s="99"/>
      <x:c r="P3" s="99"/>
    </x:row>
    <x:row r="5">
      <x:c r="A5" s="104" t="str">
        <x:v>counter_id</x:v>
      </x:c>
      <x:c r="B5" s="104" t="str">
        <x:v>case_id</x:v>
      </x:c>
      <x:c r="C5" s="104" t="str">
        <x:v>set_split</x:v>
      </x:c>
      <x:c r="D5" s="104" t="str">
        <x:v>event_id</x:v>
      </x:c>
      <x:c r="E5" s="104" t="str">
        <x:v>rule_id</x:v>
      </x:c>
      <x:c r="F5" s="104" t="str">
        <x:v>模块</x:v>
      </x:c>
      <x:c r="G5" s="104" t="str">
        <x:v>反例类型</x:v>
      </x:c>
      <x:c r="H5" s="104" t="str">
        <x:v>强度</x:v>
      </x:c>
      <x:c r="I5" s="104" t="str">
        <x:v>情境</x:v>
      </x:c>
      <x:c r="J5" s="104" t="str">
        <x:v>原预测</x:v>
      </x:c>
      <x:c r="K5" s="104" t="str">
        <x:v>现实事实</x:v>
      </x:c>
      <x:c r="L5" s="104" t="str">
        <x:v>失败原因</x:v>
      </x:c>
      <x:c r="M5" s="104" t="str">
        <x:v>建议修改</x:v>
      </x:c>
      <x:c r="N5" s="104" t="str">
        <x:v>状态</x:v>
      </x:c>
      <x:c r="O5" s="104" t="str">
        <x:v>复核者</x:v>
      </x:c>
      <x:c r="P5" s="104" t="str">
        <x:v>备注</x:v>
      </x:c>
    </x:row>
    <x:row r="6">
      <x:c r="A6" s="70" t="str">
        <x:v>M5CE-0001</x:v>
      </x:c>
      <x:c r="B6" s="70" t="str"/>
      <x:c r="C6" s="70" t="str">
        <x:f>IFERROR(VLOOKUP(B6,'02_案例与预测'!$A$6:$E$65,5,FALSE),"")</x:f>
      </x:c>
      <x:c r="D6" s="70" t="str"/>
      <x:c r="E6" s="70" t="str"/>
      <x:c r="F6" s="70" t="str"/>
      <x:c r="G6" s="70" t="str"/>
      <x:c r="H6" s="70" t="str">
        <x:v>弱</x:v>
      </x:c>
      <x:c r="I6" s="70" t="str"/>
      <x:c r="J6" s="70" t="str"/>
      <x:c r="K6" s="70" t="str"/>
      <x:c r="L6" s="70" t="str"/>
      <x:c r="M6" s="70" t="str"/>
      <x:c r="N6" s="70" t="str">
        <x:v>待复核</x:v>
      </x:c>
      <x:c r="O6" s="70" t="str"/>
      <x:c r="P6" s="70" t="str"/>
    </x:row>
    <x:row r="7">
      <x:c r="A7" s="70" t="str">
        <x:v>M5CE-0002</x:v>
      </x:c>
      <x:c r="B7" s="70" t="str"/>
      <x:c r="C7" s="70" t="str">
        <x:f>IFERROR(VLOOKUP(B7,'02_案例与预测'!$A$6:$E$65,5,FALSE),"")</x:f>
      </x:c>
      <x:c r="D7" s="70" t="str"/>
      <x:c r="E7" s="70" t="str"/>
      <x:c r="F7" s="70" t="str"/>
      <x:c r="G7" s="70" t="str"/>
      <x:c r="H7" s="70" t="str">
        <x:v>弱</x:v>
      </x:c>
      <x:c r="I7" s="70" t="str"/>
      <x:c r="J7" s="70" t="str"/>
      <x:c r="K7" s="70" t="str"/>
      <x:c r="L7" s="70" t="str"/>
      <x:c r="M7" s="70" t="str"/>
      <x:c r="N7" s="70" t="str">
        <x:v>待复核</x:v>
      </x:c>
      <x:c r="O7" s="70" t="str"/>
      <x:c r="P7" s="70" t="str"/>
    </x:row>
    <x:row r="8">
      <x:c r="A8" s="70" t="str">
        <x:v>M5CE-0003</x:v>
      </x:c>
      <x:c r="B8" s="70" t="str"/>
      <x:c r="C8" s="70" t="str">
        <x:f>IFERROR(VLOOKUP(B8,'02_案例与预测'!$A$6:$E$65,5,FALSE),"")</x:f>
      </x:c>
      <x:c r="D8" s="70" t="str"/>
      <x:c r="E8" s="70" t="str"/>
      <x:c r="F8" s="70" t="str"/>
      <x:c r="G8" s="70" t="str"/>
      <x:c r="H8" s="70" t="str">
        <x:v>弱</x:v>
      </x:c>
      <x:c r="I8" s="70" t="str"/>
      <x:c r="J8" s="70" t="str"/>
      <x:c r="K8" s="70" t="str"/>
      <x:c r="L8" s="70" t="str"/>
      <x:c r="M8" s="70" t="str"/>
      <x:c r="N8" s="70" t="str">
        <x:v>待复核</x:v>
      </x:c>
      <x:c r="O8" s="70" t="str"/>
      <x:c r="P8" s="70" t="str"/>
    </x:row>
    <x:row r="9">
      <x:c r="A9" s="70" t="str">
        <x:v>M5CE-0004</x:v>
      </x:c>
      <x:c r="B9" s="70" t="str"/>
      <x:c r="C9" s="70" t="str">
        <x:f>IFERROR(VLOOKUP(B9,'02_案例与预测'!$A$6:$E$65,5,FALSE),"")</x:f>
      </x:c>
      <x:c r="D9" s="70" t="str"/>
      <x:c r="E9" s="70" t="str"/>
      <x:c r="F9" s="70" t="str"/>
      <x:c r="G9" s="70" t="str"/>
      <x:c r="H9" s="70" t="str">
        <x:v>弱</x:v>
      </x:c>
      <x:c r="I9" s="70" t="str"/>
      <x:c r="J9" s="70" t="str"/>
      <x:c r="K9" s="70" t="str"/>
      <x:c r="L9" s="70" t="str"/>
      <x:c r="M9" s="70" t="str"/>
      <x:c r="N9" s="70" t="str">
        <x:v>待复核</x:v>
      </x:c>
      <x:c r="O9" s="70" t="str"/>
      <x:c r="P9" s="70" t="str"/>
    </x:row>
    <x:row r="10">
      <x:c r="A10" s="70" t="str">
        <x:v>M5CE-0005</x:v>
      </x:c>
      <x:c r="B10" s="70" t="str"/>
      <x:c r="C10" s="70" t="str">
        <x:f>IFERROR(VLOOKUP(B10,'02_案例与预测'!$A$6:$E$65,5,FALSE),"")</x:f>
      </x:c>
      <x:c r="D10" s="70" t="str"/>
      <x:c r="E10" s="70" t="str"/>
      <x:c r="F10" s="70" t="str"/>
      <x:c r="G10" s="70" t="str"/>
      <x:c r="H10" s="70" t="str">
        <x:v>弱</x:v>
      </x:c>
      <x:c r="I10" s="70" t="str"/>
      <x:c r="J10" s="70" t="str"/>
      <x:c r="K10" s="70" t="str"/>
      <x:c r="L10" s="70" t="str"/>
      <x:c r="M10" s="70" t="str"/>
      <x:c r="N10" s="70" t="str">
        <x:v>待复核</x:v>
      </x:c>
      <x:c r="O10" s="70" t="str"/>
      <x:c r="P10" s="70" t="str"/>
    </x:row>
    <x:row r="11">
      <x:c r="A11" s="70" t="str">
        <x:v>M5CE-0006</x:v>
      </x:c>
      <x:c r="B11" s="70" t="str"/>
      <x:c r="C11" s="70" t="str">
        <x:f>IFERROR(VLOOKUP(B11,'02_案例与预测'!$A$6:$E$65,5,FALSE),"")</x:f>
      </x:c>
      <x:c r="D11" s="70" t="str"/>
      <x:c r="E11" s="70" t="str"/>
      <x:c r="F11" s="70" t="str"/>
      <x:c r="G11" s="70" t="str"/>
      <x:c r="H11" s="70" t="str">
        <x:v>弱</x:v>
      </x:c>
      <x:c r="I11" s="70" t="str"/>
      <x:c r="J11" s="70" t="str"/>
      <x:c r="K11" s="70" t="str"/>
      <x:c r="L11" s="70" t="str"/>
      <x:c r="M11" s="70" t="str"/>
      <x:c r="N11" s="70" t="str">
        <x:v>待复核</x:v>
      </x:c>
      <x:c r="O11" s="70" t="str"/>
      <x:c r="P11" s="70" t="str"/>
    </x:row>
    <x:row r="12">
      <x:c r="A12" s="70" t="str">
        <x:v>M5CE-0007</x:v>
      </x:c>
      <x:c r="B12" s="70" t="str"/>
      <x:c r="C12" s="70" t="str">
        <x:f>IFERROR(VLOOKUP(B12,'02_案例与预测'!$A$6:$E$65,5,FALSE),"")</x:f>
      </x:c>
      <x:c r="D12" s="70" t="str"/>
      <x:c r="E12" s="70" t="str"/>
      <x:c r="F12" s="70" t="str"/>
      <x:c r="G12" s="70" t="str"/>
      <x:c r="H12" s="70" t="str">
        <x:v>弱</x:v>
      </x:c>
      <x:c r="I12" s="70" t="str"/>
      <x:c r="J12" s="70" t="str"/>
      <x:c r="K12" s="70" t="str"/>
      <x:c r="L12" s="70" t="str"/>
      <x:c r="M12" s="70" t="str"/>
      <x:c r="N12" s="70" t="str">
        <x:v>待复核</x:v>
      </x:c>
      <x:c r="O12" s="70" t="str"/>
      <x:c r="P12" s="70" t="str"/>
    </x:row>
    <x:row r="13">
      <x:c r="A13" s="70" t="str">
        <x:v>M5CE-0008</x:v>
      </x:c>
      <x:c r="B13" s="70" t="str"/>
      <x:c r="C13" s="70" t="str">
        <x:f>IFERROR(VLOOKUP(B13,'02_案例与预测'!$A$6:$E$65,5,FALSE),"")</x:f>
      </x:c>
      <x:c r="D13" s="70" t="str"/>
      <x:c r="E13" s="70" t="str"/>
      <x:c r="F13" s="70" t="str"/>
      <x:c r="G13" s="70" t="str"/>
      <x:c r="H13" s="70" t="str">
        <x:v>弱</x:v>
      </x:c>
      <x:c r="I13" s="70" t="str"/>
      <x:c r="J13" s="70" t="str"/>
      <x:c r="K13" s="70" t="str"/>
      <x:c r="L13" s="70" t="str"/>
      <x:c r="M13" s="70" t="str"/>
      <x:c r="N13" s="70" t="str">
        <x:v>待复核</x:v>
      </x:c>
      <x:c r="O13" s="70" t="str"/>
      <x:c r="P13" s="70" t="str"/>
    </x:row>
    <x:row r="14">
      <x:c r="A14" s="70" t="str">
        <x:v>M5CE-0009</x:v>
      </x:c>
      <x:c r="B14" s="70" t="str"/>
      <x:c r="C14" s="70" t="str">
        <x:f>IFERROR(VLOOKUP(B14,'02_案例与预测'!$A$6:$E$65,5,FALSE),"")</x:f>
      </x:c>
      <x:c r="D14" s="70" t="str"/>
      <x:c r="E14" s="70" t="str"/>
      <x:c r="F14" s="70" t="str"/>
      <x:c r="G14" s="70" t="str"/>
      <x:c r="H14" s="70" t="str">
        <x:v>弱</x:v>
      </x:c>
      <x:c r="I14" s="70" t="str"/>
      <x:c r="J14" s="70" t="str"/>
      <x:c r="K14" s="70" t="str"/>
      <x:c r="L14" s="70" t="str"/>
      <x:c r="M14" s="70" t="str"/>
      <x:c r="N14" s="70" t="str">
        <x:v>待复核</x:v>
      </x:c>
      <x:c r="O14" s="70" t="str"/>
      <x:c r="P14" s="70" t="str"/>
    </x:row>
    <x:row r="15">
      <x:c r="A15" s="70" t="str">
        <x:v>M5CE-0010</x:v>
      </x:c>
      <x:c r="B15" s="70" t="str"/>
      <x:c r="C15" s="70" t="str">
        <x:f>IFERROR(VLOOKUP(B15,'02_案例与预测'!$A$6:$E$65,5,FALSE),"")</x:f>
      </x:c>
      <x:c r="D15" s="70" t="str"/>
      <x:c r="E15" s="70" t="str"/>
      <x:c r="F15" s="70" t="str"/>
      <x:c r="G15" s="70" t="str"/>
      <x:c r="H15" s="70" t="str">
        <x:v>弱</x:v>
      </x:c>
      <x:c r="I15" s="70" t="str"/>
      <x:c r="J15" s="70" t="str"/>
      <x:c r="K15" s="70" t="str"/>
      <x:c r="L15" s="70" t="str"/>
      <x:c r="M15" s="70" t="str"/>
      <x:c r="N15" s="70" t="str">
        <x:v>待复核</x:v>
      </x:c>
      <x:c r="O15" s="70" t="str"/>
      <x:c r="P15" s="70" t="str"/>
    </x:row>
    <x:row r="16">
      <x:c r="A16" s="70" t="str">
        <x:v>M5CE-0011</x:v>
      </x:c>
      <x:c r="B16" s="70" t="str"/>
      <x:c r="C16" s="70" t="str">
        <x:f>IFERROR(VLOOKUP(B16,'02_案例与预测'!$A$6:$E$65,5,FALSE),"")</x:f>
      </x:c>
      <x:c r="D16" s="70" t="str"/>
      <x:c r="E16" s="70" t="str"/>
      <x:c r="F16" s="70" t="str"/>
      <x:c r="G16" s="70" t="str"/>
      <x:c r="H16" s="70" t="str">
        <x:v>弱</x:v>
      </x:c>
      <x:c r="I16" s="70" t="str"/>
      <x:c r="J16" s="70" t="str"/>
      <x:c r="K16" s="70" t="str"/>
      <x:c r="L16" s="70" t="str"/>
      <x:c r="M16" s="70" t="str"/>
      <x:c r="N16" s="70" t="str">
        <x:v>待复核</x:v>
      </x:c>
      <x:c r="O16" s="70" t="str"/>
      <x:c r="P16" s="70" t="str"/>
    </x:row>
    <x:row r="17">
      <x:c r="A17" s="70" t="str">
        <x:v>M5CE-0012</x:v>
      </x:c>
      <x:c r="B17" s="70" t="str"/>
      <x:c r="C17" s="70" t="str">
        <x:f>IFERROR(VLOOKUP(B17,'02_案例与预测'!$A$6:$E$65,5,FALSE),"")</x:f>
      </x:c>
      <x:c r="D17" s="70" t="str"/>
      <x:c r="E17" s="70" t="str"/>
      <x:c r="F17" s="70" t="str"/>
      <x:c r="G17" s="70" t="str"/>
      <x:c r="H17" s="70" t="str">
        <x:v>弱</x:v>
      </x:c>
      <x:c r="I17" s="70" t="str"/>
      <x:c r="J17" s="70" t="str"/>
      <x:c r="K17" s="70" t="str"/>
      <x:c r="L17" s="70" t="str"/>
      <x:c r="M17" s="70" t="str"/>
      <x:c r="N17" s="70" t="str">
        <x:v>待复核</x:v>
      </x:c>
      <x:c r="O17" s="70" t="str"/>
      <x:c r="P17" s="70" t="str"/>
    </x:row>
    <x:row r="18">
      <x:c r="A18" s="70" t="str">
        <x:v>M5CE-0013</x:v>
      </x:c>
      <x:c r="B18" s="70" t="str"/>
      <x:c r="C18" s="70" t="str">
        <x:f>IFERROR(VLOOKUP(B18,'02_案例与预测'!$A$6:$E$65,5,FALSE),"")</x:f>
      </x:c>
      <x:c r="D18" s="70" t="str"/>
      <x:c r="E18" s="70" t="str"/>
      <x:c r="F18" s="70" t="str"/>
      <x:c r="G18" s="70" t="str"/>
      <x:c r="H18" s="70" t="str">
        <x:v>弱</x:v>
      </x:c>
      <x:c r="I18" s="70" t="str"/>
      <x:c r="J18" s="70" t="str"/>
      <x:c r="K18" s="70" t="str"/>
      <x:c r="L18" s="70" t="str"/>
      <x:c r="M18" s="70" t="str"/>
      <x:c r="N18" s="70" t="str">
        <x:v>待复核</x:v>
      </x:c>
      <x:c r="O18" s="70" t="str"/>
      <x:c r="P18" s="70" t="str"/>
    </x:row>
    <x:row r="19">
      <x:c r="A19" s="70" t="str">
        <x:v>M5CE-0014</x:v>
      </x:c>
      <x:c r="B19" s="70" t="str"/>
      <x:c r="C19" s="70" t="str">
        <x:f>IFERROR(VLOOKUP(B19,'02_案例与预测'!$A$6:$E$65,5,FALSE),"")</x:f>
      </x:c>
      <x:c r="D19" s="70" t="str"/>
      <x:c r="E19" s="70" t="str"/>
      <x:c r="F19" s="70" t="str"/>
      <x:c r="G19" s="70" t="str"/>
      <x:c r="H19" s="70" t="str">
        <x:v>弱</x:v>
      </x:c>
      <x:c r="I19" s="70" t="str"/>
      <x:c r="J19" s="70" t="str"/>
      <x:c r="K19" s="70" t="str"/>
      <x:c r="L19" s="70" t="str"/>
      <x:c r="M19" s="70" t="str"/>
      <x:c r="N19" s="70" t="str">
        <x:v>待复核</x:v>
      </x:c>
      <x:c r="O19" s="70" t="str"/>
      <x:c r="P19" s="70" t="str"/>
    </x:row>
    <x:row r="20">
      <x:c r="A20" s="70" t="str">
        <x:v>M5CE-0015</x:v>
      </x:c>
      <x:c r="B20" s="70" t="str"/>
      <x:c r="C20" s="70" t="str">
        <x:f>IFERROR(VLOOKUP(B20,'02_案例与预测'!$A$6:$E$65,5,FALSE),"")</x:f>
      </x:c>
      <x:c r="D20" s="70" t="str"/>
      <x:c r="E20" s="70" t="str"/>
      <x:c r="F20" s="70" t="str"/>
      <x:c r="G20" s="70" t="str"/>
      <x:c r="H20" s="70" t="str">
        <x:v>弱</x:v>
      </x:c>
      <x:c r="I20" s="70" t="str"/>
      <x:c r="J20" s="70" t="str"/>
      <x:c r="K20" s="70" t="str"/>
      <x:c r="L20" s="70" t="str"/>
      <x:c r="M20" s="70" t="str"/>
      <x:c r="N20" s="70" t="str">
        <x:v>待复核</x:v>
      </x:c>
      <x:c r="O20" s="70" t="str"/>
      <x:c r="P20" s="70" t="str"/>
    </x:row>
    <x:row r="21">
      <x:c r="A21" s="70" t="str">
        <x:v>M5CE-0016</x:v>
      </x:c>
      <x:c r="B21" s="70" t="str"/>
      <x:c r="C21" s="70" t="str">
        <x:f>IFERROR(VLOOKUP(B21,'02_案例与预测'!$A$6:$E$65,5,FALSE),"")</x:f>
      </x:c>
      <x:c r="D21" s="70" t="str"/>
      <x:c r="E21" s="70" t="str"/>
      <x:c r="F21" s="70" t="str"/>
      <x:c r="G21" s="70" t="str"/>
      <x:c r="H21" s="70" t="str">
        <x:v>弱</x:v>
      </x:c>
      <x:c r="I21" s="70" t="str"/>
      <x:c r="J21" s="70" t="str"/>
      <x:c r="K21" s="70" t="str"/>
      <x:c r="L21" s="70" t="str"/>
      <x:c r="M21" s="70" t="str"/>
      <x:c r="N21" s="70" t="str">
        <x:v>待复核</x:v>
      </x:c>
      <x:c r="O21" s="70" t="str"/>
      <x:c r="P21" s="70" t="str"/>
    </x:row>
    <x:row r="22">
      <x:c r="A22" s="70" t="str">
        <x:v>M5CE-0017</x:v>
      </x:c>
      <x:c r="B22" s="70" t="str"/>
      <x:c r="C22" s="70" t="str">
        <x:f>IFERROR(VLOOKUP(B22,'02_案例与预测'!$A$6:$E$65,5,FALSE),"")</x:f>
      </x:c>
      <x:c r="D22" s="70" t="str"/>
      <x:c r="E22" s="70" t="str"/>
      <x:c r="F22" s="70" t="str"/>
      <x:c r="G22" s="70" t="str"/>
      <x:c r="H22" s="70" t="str">
        <x:v>弱</x:v>
      </x:c>
      <x:c r="I22" s="70" t="str"/>
      <x:c r="J22" s="70" t="str"/>
      <x:c r="K22" s="70" t="str"/>
      <x:c r="L22" s="70" t="str"/>
      <x:c r="M22" s="70" t="str"/>
      <x:c r="N22" s="70" t="str">
        <x:v>待复核</x:v>
      </x:c>
      <x:c r="O22" s="70" t="str"/>
      <x:c r="P22" s="70" t="str"/>
    </x:row>
    <x:row r="23">
      <x:c r="A23" s="70" t="str">
        <x:v>M5CE-0018</x:v>
      </x:c>
      <x:c r="B23" s="70" t="str"/>
      <x:c r="C23" s="70" t="str">
        <x:f>IFERROR(VLOOKUP(B23,'02_案例与预测'!$A$6:$E$65,5,FALSE),"")</x:f>
      </x:c>
      <x:c r="D23" s="70" t="str"/>
      <x:c r="E23" s="70" t="str"/>
      <x:c r="F23" s="70" t="str"/>
      <x:c r="G23" s="70" t="str"/>
      <x:c r="H23" s="70" t="str">
        <x:v>弱</x:v>
      </x:c>
      <x:c r="I23" s="70" t="str"/>
      <x:c r="J23" s="70" t="str"/>
      <x:c r="K23" s="70" t="str"/>
      <x:c r="L23" s="70" t="str"/>
      <x:c r="M23" s="70" t="str"/>
      <x:c r="N23" s="70" t="str">
        <x:v>待复核</x:v>
      </x:c>
      <x:c r="O23" s="70" t="str"/>
      <x:c r="P23" s="70" t="str"/>
    </x:row>
    <x:row r="24">
      <x:c r="A24" s="70" t="str">
        <x:v>M5CE-0019</x:v>
      </x:c>
      <x:c r="B24" s="70" t="str"/>
      <x:c r="C24" s="70" t="str">
        <x:f>IFERROR(VLOOKUP(B24,'02_案例与预测'!$A$6:$E$65,5,FALSE),"")</x:f>
      </x:c>
      <x:c r="D24" s="70" t="str"/>
      <x:c r="E24" s="70" t="str"/>
      <x:c r="F24" s="70" t="str"/>
      <x:c r="G24" s="70" t="str"/>
      <x:c r="H24" s="70" t="str">
        <x:v>弱</x:v>
      </x:c>
      <x:c r="I24" s="70" t="str"/>
      <x:c r="J24" s="70" t="str"/>
      <x:c r="K24" s="70" t="str"/>
      <x:c r="L24" s="70" t="str"/>
      <x:c r="M24" s="70" t="str"/>
      <x:c r="N24" s="70" t="str">
        <x:v>待复核</x:v>
      </x:c>
      <x:c r="O24" s="70" t="str"/>
      <x:c r="P24" s="70" t="str"/>
    </x:row>
    <x:row r="25">
      <x:c r="A25" s="70" t="str">
        <x:v>M5CE-0020</x:v>
      </x:c>
      <x:c r="B25" s="70" t="str"/>
      <x:c r="C25" s="70" t="str">
        <x:f>IFERROR(VLOOKUP(B25,'02_案例与预测'!$A$6:$E$65,5,FALSE),"")</x:f>
      </x:c>
      <x:c r="D25" s="70" t="str"/>
      <x:c r="E25" s="70" t="str"/>
      <x:c r="F25" s="70" t="str"/>
      <x:c r="G25" s="70" t="str"/>
      <x:c r="H25" s="70" t="str">
        <x:v>弱</x:v>
      </x:c>
      <x:c r="I25" s="70" t="str"/>
      <x:c r="J25" s="70" t="str"/>
      <x:c r="K25" s="70" t="str"/>
      <x:c r="L25" s="70" t="str"/>
      <x:c r="M25" s="70" t="str"/>
      <x:c r="N25" s="70" t="str">
        <x:v>待复核</x:v>
      </x:c>
      <x:c r="O25" s="70" t="str"/>
      <x:c r="P25" s="70" t="str"/>
    </x:row>
    <x:row r="26">
      <x:c r="A26" s="70" t="str">
        <x:v>M5CE-0021</x:v>
      </x:c>
      <x:c r="B26" s="70" t="str"/>
      <x:c r="C26" s="70" t="str">
        <x:f>IFERROR(VLOOKUP(B26,'02_案例与预测'!$A$6:$E$65,5,FALSE),"")</x:f>
      </x:c>
      <x:c r="D26" s="70" t="str"/>
      <x:c r="E26" s="70" t="str"/>
      <x:c r="F26" s="70" t="str"/>
      <x:c r="G26" s="70" t="str"/>
      <x:c r="H26" s="70" t="str">
        <x:v>弱</x:v>
      </x:c>
      <x:c r="I26" s="70" t="str"/>
      <x:c r="J26" s="70" t="str"/>
      <x:c r="K26" s="70" t="str"/>
      <x:c r="L26" s="70" t="str"/>
      <x:c r="M26" s="70" t="str"/>
      <x:c r="N26" s="70" t="str">
        <x:v>待复核</x:v>
      </x:c>
      <x:c r="O26" s="70" t="str"/>
      <x:c r="P26" s="70" t="str"/>
    </x:row>
    <x:row r="27">
      <x:c r="A27" s="70" t="str">
        <x:v>M5CE-0022</x:v>
      </x:c>
      <x:c r="B27" s="70" t="str"/>
      <x:c r="C27" s="70" t="str">
        <x:f>IFERROR(VLOOKUP(B27,'02_案例与预测'!$A$6:$E$65,5,FALSE),"")</x:f>
      </x:c>
      <x:c r="D27" s="70" t="str"/>
      <x:c r="E27" s="70" t="str"/>
      <x:c r="F27" s="70" t="str"/>
      <x:c r="G27" s="70" t="str"/>
      <x:c r="H27" s="70" t="str">
        <x:v>弱</x:v>
      </x:c>
      <x:c r="I27" s="70" t="str"/>
      <x:c r="J27" s="70" t="str"/>
      <x:c r="K27" s="70" t="str"/>
      <x:c r="L27" s="70" t="str"/>
      <x:c r="M27" s="70" t="str"/>
      <x:c r="N27" s="70" t="str">
        <x:v>待复核</x:v>
      </x:c>
      <x:c r="O27" s="70" t="str"/>
      <x:c r="P27" s="70" t="str"/>
    </x:row>
    <x:row r="28">
      <x:c r="A28" s="70" t="str">
        <x:v>M5CE-0023</x:v>
      </x:c>
      <x:c r="B28" s="70" t="str"/>
      <x:c r="C28" s="70" t="str">
        <x:f>IFERROR(VLOOKUP(B28,'02_案例与预测'!$A$6:$E$65,5,FALSE),"")</x:f>
      </x:c>
      <x:c r="D28" s="70" t="str"/>
      <x:c r="E28" s="70" t="str"/>
      <x:c r="F28" s="70" t="str"/>
      <x:c r="G28" s="70" t="str"/>
      <x:c r="H28" s="70" t="str">
        <x:v>弱</x:v>
      </x:c>
      <x:c r="I28" s="70" t="str"/>
      <x:c r="J28" s="70" t="str"/>
      <x:c r="K28" s="70" t="str"/>
      <x:c r="L28" s="70" t="str"/>
      <x:c r="M28" s="70" t="str"/>
      <x:c r="N28" s="70" t="str">
        <x:v>待复核</x:v>
      </x:c>
      <x:c r="O28" s="70" t="str"/>
      <x:c r="P28" s="70" t="str"/>
    </x:row>
    <x:row r="29">
      <x:c r="A29" s="70" t="str">
        <x:v>M5CE-0024</x:v>
      </x:c>
      <x:c r="B29" s="70" t="str"/>
      <x:c r="C29" s="70" t="str">
        <x:f>IFERROR(VLOOKUP(B29,'02_案例与预测'!$A$6:$E$65,5,FALSE),"")</x:f>
      </x:c>
      <x:c r="D29" s="70" t="str"/>
      <x:c r="E29" s="70" t="str"/>
      <x:c r="F29" s="70" t="str"/>
      <x:c r="G29" s="70" t="str"/>
      <x:c r="H29" s="70" t="str">
        <x:v>弱</x:v>
      </x:c>
      <x:c r="I29" s="70" t="str"/>
      <x:c r="J29" s="70" t="str"/>
      <x:c r="K29" s="70" t="str"/>
      <x:c r="L29" s="70" t="str"/>
      <x:c r="M29" s="70" t="str"/>
      <x:c r="N29" s="70" t="str">
        <x:v>待复核</x:v>
      </x:c>
      <x:c r="O29" s="70" t="str"/>
      <x:c r="P29" s="70" t="str"/>
    </x:row>
    <x:row r="30">
      <x:c r="A30" s="70" t="str">
        <x:v>M5CE-0025</x:v>
      </x:c>
      <x:c r="B30" s="70" t="str"/>
      <x:c r="C30" s="70" t="str">
        <x:f>IFERROR(VLOOKUP(B30,'02_案例与预测'!$A$6:$E$65,5,FALSE),"")</x:f>
      </x:c>
      <x:c r="D30" s="70" t="str"/>
      <x:c r="E30" s="70" t="str"/>
      <x:c r="F30" s="70" t="str"/>
      <x:c r="G30" s="70" t="str"/>
      <x:c r="H30" s="70" t="str">
        <x:v>弱</x:v>
      </x:c>
      <x:c r="I30" s="70" t="str"/>
      <x:c r="J30" s="70" t="str"/>
      <x:c r="K30" s="70" t="str"/>
      <x:c r="L30" s="70" t="str"/>
      <x:c r="M30" s="70" t="str"/>
      <x:c r="N30" s="70" t="str">
        <x:v>待复核</x:v>
      </x:c>
      <x:c r="O30" s="70" t="str"/>
      <x:c r="P30" s="70" t="str"/>
    </x:row>
    <x:row r="31">
      <x:c r="A31" s="70" t="str">
        <x:v>M5CE-0026</x:v>
      </x:c>
      <x:c r="B31" s="70" t="str"/>
      <x:c r="C31" s="70" t="str">
        <x:f>IFERROR(VLOOKUP(B31,'02_案例与预测'!$A$6:$E$65,5,FALSE),"")</x:f>
      </x:c>
      <x:c r="D31" s="70" t="str"/>
      <x:c r="E31" s="70" t="str"/>
      <x:c r="F31" s="70" t="str"/>
      <x:c r="G31" s="70" t="str"/>
      <x:c r="H31" s="70" t="str">
        <x:v>弱</x:v>
      </x:c>
      <x:c r="I31" s="70" t="str"/>
      <x:c r="J31" s="70" t="str"/>
      <x:c r="K31" s="70" t="str"/>
      <x:c r="L31" s="70" t="str"/>
      <x:c r="M31" s="70" t="str"/>
      <x:c r="N31" s="70" t="str">
        <x:v>待复核</x:v>
      </x:c>
      <x:c r="O31" s="70" t="str"/>
      <x:c r="P31" s="70" t="str"/>
    </x:row>
    <x:row r="32">
      <x:c r="A32" s="70" t="str">
        <x:v>M5CE-0027</x:v>
      </x:c>
      <x:c r="B32" s="70" t="str"/>
      <x:c r="C32" s="70" t="str">
        <x:f>IFERROR(VLOOKUP(B32,'02_案例与预测'!$A$6:$E$65,5,FALSE),"")</x:f>
      </x:c>
      <x:c r="D32" s="70" t="str"/>
      <x:c r="E32" s="70" t="str"/>
      <x:c r="F32" s="70" t="str"/>
      <x:c r="G32" s="70" t="str"/>
      <x:c r="H32" s="70" t="str">
        <x:v>弱</x:v>
      </x:c>
      <x:c r="I32" s="70" t="str"/>
      <x:c r="J32" s="70" t="str"/>
      <x:c r="K32" s="70" t="str"/>
      <x:c r="L32" s="70" t="str"/>
      <x:c r="M32" s="70" t="str"/>
      <x:c r="N32" s="70" t="str">
        <x:v>待复核</x:v>
      </x:c>
      <x:c r="O32" s="70" t="str"/>
      <x:c r="P32" s="70" t="str"/>
    </x:row>
    <x:row r="33">
      <x:c r="A33" s="70" t="str">
        <x:v>M5CE-0028</x:v>
      </x:c>
      <x:c r="B33" s="70" t="str"/>
      <x:c r="C33" s="70" t="str">
        <x:f>IFERROR(VLOOKUP(B33,'02_案例与预测'!$A$6:$E$65,5,FALSE),"")</x:f>
      </x:c>
      <x:c r="D33" s="70" t="str"/>
      <x:c r="E33" s="70" t="str"/>
      <x:c r="F33" s="70" t="str"/>
      <x:c r="G33" s="70" t="str"/>
      <x:c r="H33" s="70" t="str">
        <x:v>弱</x:v>
      </x:c>
      <x:c r="I33" s="70" t="str"/>
      <x:c r="J33" s="70" t="str"/>
      <x:c r="K33" s="70" t="str"/>
      <x:c r="L33" s="70" t="str"/>
      <x:c r="M33" s="70" t="str"/>
      <x:c r="N33" s="70" t="str">
        <x:v>待复核</x:v>
      </x:c>
      <x:c r="O33" s="70" t="str"/>
      <x:c r="P33" s="70" t="str"/>
    </x:row>
    <x:row r="34">
      <x:c r="A34" s="70" t="str">
        <x:v>M5CE-0029</x:v>
      </x:c>
      <x:c r="B34" s="70" t="str"/>
      <x:c r="C34" s="70" t="str">
        <x:f>IFERROR(VLOOKUP(B34,'02_案例与预测'!$A$6:$E$65,5,FALSE),"")</x:f>
      </x:c>
      <x:c r="D34" s="70" t="str"/>
      <x:c r="E34" s="70" t="str"/>
      <x:c r="F34" s="70" t="str"/>
      <x:c r="G34" s="70" t="str"/>
      <x:c r="H34" s="70" t="str">
        <x:v>弱</x:v>
      </x:c>
      <x:c r="I34" s="70" t="str"/>
      <x:c r="J34" s="70" t="str"/>
      <x:c r="K34" s="70" t="str"/>
      <x:c r="L34" s="70" t="str"/>
      <x:c r="M34" s="70" t="str"/>
      <x:c r="N34" s="70" t="str">
        <x:v>待复核</x:v>
      </x:c>
      <x:c r="O34" s="70" t="str"/>
      <x:c r="P34" s="70" t="str"/>
    </x:row>
    <x:row r="35">
      <x:c r="A35" s="70" t="str">
        <x:v>M5CE-0030</x:v>
      </x:c>
      <x:c r="B35" s="70" t="str"/>
      <x:c r="C35" s="70" t="str">
        <x:f>IFERROR(VLOOKUP(B35,'02_案例与预测'!$A$6:$E$65,5,FALSE),"")</x:f>
      </x:c>
      <x:c r="D35" s="70" t="str"/>
      <x:c r="E35" s="70" t="str"/>
      <x:c r="F35" s="70" t="str"/>
      <x:c r="G35" s="70" t="str"/>
      <x:c r="H35" s="70" t="str">
        <x:v>弱</x:v>
      </x:c>
      <x:c r="I35" s="70" t="str"/>
      <x:c r="J35" s="70" t="str"/>
      <x:c r="K35" s="70" t="str"/>
      <x:c r="L35" s="70" t="str"/>
      <x:c r="M35" s="70" t="str"/>
      <x:c r="N35" s="70" t="str">
        <x:v>待复核</x:v>
      </x:c>
      <x:c r="O35" s="70" t="str"/>
      <x:c r="P35" s="70" t="str"/>
    </x:row>
    <x:row r="36">
      <x:c r="A36" s="70" t="str">
        <x:v>M5CE-0031</x:v>
      </x:c>
      <x:c r="B36" s="70" t="str"/>
      <x:c r="C36" s="70" t="str">
        <x:f>IFERROR(VLOOKUP(B36,'02_案例与预测'!$A$6:$E$65,5,FALSE),"")</x:f>
      </x:c>
      <x:c r="D36" s="70" t="str"/>
      <x:c r="E36" s="70" t="str"/>
      <x:c r="F36" s="70" t="str"/>
      <x:c r="G36" s="70" t="str"/>
      <x:c r="H36" s="70" t="str">
        <x:v>弱</x:v>
      </x:c>
      <x:c r="I36" s="70" t="str"/>
      <x:c r="J36" s="70" t="str"/>
      <x:c r="K36" s="70" t="str"/>
      <x:c r="L36" s="70" t="str"/>
      <x:c r="M36" s="70" t="str"/>
      <x:c r="N36" s="70" t="str">
        <x:v>待复核</x:v>
      </x:c>
      <x:c r="O36" s="70" t="str"/>
      <x:c r="P36" s="70" t="str"/>
    </x:row>
    <x:row r="37">
      <x:c r="A37" s="70" t="str">
        <x:v>M5CE-0032</x:v>
      </x:c>
      <x:c r="B37" s="70" t="str"/>
      <x:c r="C37" s="70" t="str">
        <x:f>IFERROR(VLOOKUP(B37,'02_案例与预测'!$A$6:$E$65,5,FALSE),"")</x:f>
      </x:c>
      <x:c r="D37" s="70" t="str"/>
      <x:c r="E37" s="70" t="str"/>
      <x:c r="F37" s="70" t="str"/>
      <x:c r="G37" s="70" t="str"/>
      <x:c r="H37" s="70" t="str">
        <x:v>弱</x:v>
      </x:c>
      <x:c r="I37" s="70" t="str"/>
      <x:c r="J37" s="70" t="str"/>
      <x:c r="K37" s="70" t="str"/>
      <x:c r="L37" s="70" t="str"/>
      <x:c r="M37" s="70" t="str"/>
      <x:c r="N37" s="70" t="str">
        <x:v>待复核</x:v>
      </x:c>
      <x:c r="O37" s="70" t="str"/>
      <x:c r="P37" s="70" t="str"/>
    </x:row>
    <x:row r="38">
      <x:c r="A38" s="70" t="str">
        <x:v>M5CE-0033</x:v>
      </x:c>
      <x:c r="B38" s="70" t="str"/>
      <x:c r="C38" s="70" t="str">
        <x:f>IFERROR(VLOOKUP(B38,'02_案例与预测'!$A$6:$E$65,5,FALSE),"")</x:f>
      </x:c>
      <x:c r="D38" s="70" t="str"/>
      <x:c r="E38" s="70" t="str"/>
      <x:c r="F38" s="70" t="str"/>
      <x:c r="G38" s="70" t="str"/>
      <x:c r="H38" s="70" t="str">
        <x:v>弱</x:v>
      </x:c>
      <x:c r="I38" s="70" t="str"/>
      <x:c r="J38" s="70" t="str"/>
      <x:c r="K38" s="70" t="str"/>
      <x:c r="L38" s="70" t="str"/>
      <x:c r="M38" s="70" t="str"/>
      <x:c r="N38" s="70" t="str">
        <x:v>待复核</x:v>
      </x:c>
      <x:c r="O38" s="70" t="str"/>
      <x:c r="P38" s="70" t="str"/>
    </x:row>
    <x:row r="39">
      <x:c r="A39" s="70" t="str">
        <x:v>M5CE-0034</x:v>
      </x:c>
      <x:c r="B39" s="70" t="str"/>
      <x:c r="C39" s="70" t="str">
        <x:f>IFERROR(VLOOKUP(B39,'02_案例与预测'!$A$6:$E$65,5,FALSE),"")</x:f>
      </x:c>
      <x:c r="D39" s="70" t="str"/>
      <x:c r="E39" s="70" t="str"/>
      <x:c r="F39" s="70" t="str"/>
      <x:c r="G39" s="70" t="str"/>
      <x:c r="H39" s="70" t="str">
        <x:v>弱</x:v>
      </x:c>
      <x:c r="I39" s="70" t="str"/>
      <x:c r="J39" s="70" t="str"/>
      <x:c r="K39" s="70" t="str"/>
      <x:c r="L39" s="70" t="str"/>
      <x:c r="M39" s="70" t="str"/>
      <x:c r="N39" s="70" t="str">
        <x:v>待复核</x:v>
      </x:c>
      <x:c r="O39" s="70" t="str"/>
      <x:c r="P39" s="70" t="str"/>
    </x:row>
    <x:row r="40">
      <x:c r="A40" s="70" t="str">
        <x:v>M5CE-0035</x:v>
      </x:c>
      <x:c r="B40" s="70" t="str"/>
      <x:c r="C40" s="70" t="str">
        <x:f>IFERROR(VLOOKUP(B40,'02_案例与预测'!$A$6:$E$65,5,FALSE),"")</x:f>
      </x:c>
      <x:c r="D40" s="70" t="str"/>
      <x:c r="E40" s="70" t="str"/>
      <x:c r="F40" s="70" t="str"/>
      <x:c r="G40" s="70" t="str"/>
      <x:c r="H40" s="70" t="str">
        <x:v>弱</x:v>
      </x:c>
      <x:c r="I40" s="70" t="str"/>
      <x:c r="J40" s="70" t="str"/>
      <x:c r="K40" s="70" t="str"/>
      <x:c r="L40" s="70" t="str"/>
      <x:c r="M40" s="70" t="str"/>
      <x:c r="N40" s="70" t="str">
        <x:v>待复核</x:v>
      </x:c>
      <x:c r="O40" s="70" t="str"/>
      <x:c r="P40" s="70" t="str"/>
    </x:row>
    <x:row r="41">
      <x:c r="A41" s="70" t="str">
        <x:v>M5CE-0036</x:v>
      </x:c>
      <x:c r="B41" s="70" t="str"/>
      <x:c r="C41" s="70" t="str">
        <x:f>IFERROR(VLOOKUP(B41,'02_案例与预测'!$A$6:$E$65,5,FALSE),"")</x:f>
      </x:c>
      <x:c r="D41" s="70" t="str"/>
      <x:c r="E41" s="70" t="str"/>
      <x:c r="F41" s="70" t="str"/>
      <x:c r="G41" s="70" t="str"/>
      <x:c r="H41" s="70" t="str">
        <x:v>弱</x:v>
      </x:c>
      <x:c r="I41" s="70" t="str"/>
      <x:c r="J41" s="70" t="str"/>
      <x:c r="K41" s="70" t="str"/>
      <x:c r="L41" s="70" t="str"/>
      <x:c r="M41" s="70" t="str"/>
      <x:c r="N41" s="70" t="str">
        <x:v>待复核</x:v>
      </x:c>
      <x:c r="O41" s="70" t="str"/>
      <x:c r="P41" s="70" t="str"/>
    </x:row>
    <x:row r="42">
      <x:c r="A42" s="70" t="str">
        <x:v>M5CE-0037</x:v>
      </x:c>
      <x:c r="B42" s="70" t="str"/>
      <x:c r="C42" s="70" t="str">
        <x:f>IFERROR(VLOOKUP(B42,'02_案例与预测'!$A$6:$E$65,5,FALSE),"")</x:f>
      </x:c>
      <x:c r="D42" s="70" t="str"/>
      <x:c r="E42" s="70" t="str"/>
      <x:c r="F42" s="70" t="str"/>
      <x:c r="G42" s="70" t="str"/>
      <x:c r="H42" s="70" t="str">
        <x:v>弱</x:v>
      </x:c>
      <x:c r="I42" s="70" t="str"/>
      <x:c r="J42" s="70" t="str"/>
      <x:c r="K42" s="70" t="str"/>
      <x:c r="L42" s="70" t="str"/>
      <x:c r="M42" s="70" t="str"/>
      <x:c r="N42" s="70" t="str">
        <x:v>待复核</x:v>
      </x:c>
      <x:c r="O42" s="70" t="str"/>
      <x:c r="P42" s="70" t="str"/>
    </x:row>
    <x:row r="43">
      <x:c r="A43" s="70" t="str">
        <x:v>M5CE-0038</x:v>
      </x:c>
      <x:c r="B43" s="70" t="str"/>
      <x:c r="C43" s="70" t="str">
        <x:f>IFERROR(VLOOKUP(B43,'02_案例与预测'!$A$6:$E$65,5,FALSE),"")</x:f>
      </x:c>
      <x:c r="D43" s="70" t="str"/>
      <x:c r="E43" s="70" t="str"/>
      <x:c r="F43" s="70" t="str"/>
      <x:c r="G43" s="70" t="str"/>
      <x:c r="H43" s="70" t="str">
        <x:v>弱</x:v>
      </x:c>
      <x:c r="I43" s="70" t="str"/>
      <x:c r="J43" s="70" t="str"/>
      <x:c r="K43" s="70" t="str"/>
      <x:c r="L43" s="70" t="str"/>
      <x:c r="M43" s="70" t="str"/>
      <x:c r="N43" s="70" t="str">
        <x:v>待复核</x:v>
      </x:c>
      <x:c r="O43" s="70" t="str"/>
      <x:c r="P43" s="70" t="str"/>
    </x:row>
    <x:row r="44">
      <x:c r="A44" s="70" t="str">
        <x:v>M5CE-0039</x:v>
      </x:c>
      <x:c r="B44" s="70" t="str"/>
      <x:c r="C44" s="70" t="str">
        <x:f>IFERROR(VLOOKUP(B44,'02_案例与预测'!$A$6:$E$65,5,FALSE),"")</x:f>
      </x:c>
      <x:c r="D44" s="70" t="str"/>
      <x:c r="E44" s="70" t="str"/>
      <x:c r="F44" s="70" t="str"/>
      <x:c r="G44" s="70" t="str"/>
      <x:c r="H44" s="70" t="str">
        <x:v>弱</x:v>
      </x:c>
      <x:c r="I44" s="70" t="str"/>
      <x:c r="J44" s="70" t="str"/>
      <x:c r="K44" s="70" t="str"/>
      <x:c r="L44" s="70" t="str"/>
      <x:c r="M44" s="70" t="str"/>
      <x:c r="N44" s="70" t="str">
        <x:v>待复核</x:v>
      </x:c>
      <x:c r="O44" s="70" t="str"/>
      <x:c r="P44" s="70" t="str"/>
    </x:row>
    <x:row r="45">
      <x:c r="A45" s="70" t="str">
        <x:v>M5CE-0040</x:v>
      </x:c>
      <x:c r="B45" s="70" t="str"/>
      <x:c r="C45" s="70" t="str">
        <x:f>IFERROR(VLOOKUP(B45,'02_案例与预测'!$A$6:$E$65,5,FALSE),"")</x:f>
      </x:c>
      <x:c r="D45" s="70" t="str"/>
      <x:c r="E45" s="70" t="str"/>
      <x:c r="F45" s="70" t="str"/>
      <x:c r="G45" s="70" t="str"/>
      <x:c r="H45" s="70" t="str">
        <x:v>弱</x:v>
      </x:c>
      <x:c r="I45" s="70" t="str"/>
      <x:c r="J45" s="70" t="str"/>
      <x:c r="K45" s="70" t="str"/>
      <x:c r="L45" s="70" t="str"/>
      <x:c r="M45" s="70" t="str"/>
      <x:c r="N45" s="70" t="str">
        <x:v>待复核</x:v>
      </x:c>
      <x:c r="O45" s="70" t="str"/>
      <x:c r="P45" s="70" t="str"/>
    </x:row>
    <x:row r="46">
      <x:c r="A46" s="70" t="str">
        <x:v>M5CE-0041</x:v>
      </x:c>
      <x:c r="B46" s="70" t="str"/>
      <x:c r="C46" s="70" t="str">
        <x:f>IFERROR(VLOOKUP(B46,'02_案例与预测'!$A$6:$E$65,5,FALSE),"")</x:f>
      </x:c>
      <x:c r="D46" s="70" t="str"/>
      <x:c r="E46" s="70" t="str"/>
      <x:c r="F46" s="70" t="str"/>
      <x:c r="G46" s="70" t="str"/>
      <x:c r="H46" s="70" t="str">
        <x:v>弱</x:v>
      </x:c>
      <x:c r="I46" s="70" t="str"/>
      <x:c r="J46" s="70" t="str"/>
      <x:c r="K46" s="70" t="str"/>
      <x:c r="L46" s="70" t="str"/>
      <x:c r="M46" s="70" t="str"/>
      <x:c r="N46" s="70" t="str">
        <x:v>待复核</x:v>
      </x:c>
      <x:c r="O46" s="70" t="str"/>
      <x:c r="P46" s="70" t="str"/>
    </x:row>
    <x:row r="47">
      <x:c r="A47" s="70" t="str">
        <x:v>M5CE-0042</x:v>
      </x:c>
      <x:c r="B47" s="70" t="str"/>
      <x:c r="C47" s="70" t="str">
        <x:f>IFERROR(VLOOKUP(B47,'02_案例与预测'!$A$6:$E$65,5,FALSE),"")</x:f>
      </x:c>
      <x:c r="D47" s="70" t="str"/>
      <x:c r="E47" s="70" t="str"/>
      <x:c r="F47" s="70" t="str"/>
      <x:c r="G47" s="70" t="str"/>
      <x:c r="H47" s="70" t="str">
        <x:v>弱</x:v>
      </x:c>
      <x:c r="I47" s="70" t="str"/>
      <x:c r="J47" s="70" t="str"/>
      <x:c r="K47" s="70" t="str"/>
      <x:c r="L47" s="70" t="str"/>
      <x:c r="M47" s="70" t="str"/>
      <x:c r="N47" s="70" t="str">
        <x:v>待复核</x:v>
      </x:c>
      <x:c r="O47" s="70" t="str"/>
      <x:c r="P47" s="70" t="str"/>
    </x:row>
    <x:row r="48">
      <x:c r="A48" s="70" t="str">
        <x:v>M5CE-0043</x:v>
      </x:c>
      <x:c r="B48" s="70" t="str"/>
      <x:c r="C48" s="70" t="str">
        <x:f>IFERROR(VLOOKUP(B48,'02_案例与预测'!$A$6:$E$65,5,FALSE),"")</x:f>
      </x:c>
      <x:c r="D48" s="70" t="str"/>
      <x:c r="E48" s="70" t="str"/>
      <x:c r="F48" s="70" t="str"/>
      <x:c r="G48" s="70" t="str"/>
      <x:c r="H48" s="70" t="str">
        <x:v>弱</x:v>
      </x:c>
      <x:c r="I48" s="70" t="str"/>
      <x:c r="J48" s="70" t="str"/>
      <x:c r="K48" s="70" t="str"/>
      <x:c r="L48" s="70" t="str"/>
      <x:c r="M48" s="70" t="str"/>
      <x:c r="N48" s="70" t="str">
        <x:v>待复核</x:v>
      </x:c>
      <x:c r="O48" s="70" t="str"/>
      <x:c r="P48" s="70" t="str"/>
    </x:row>
    <x:row r="49">
      <x:c r="A49" s="70" t="str">
        <x:v>M5CE-0044</x:v>
      </x:c>
      <x:c r="B49" s="70" t="str"/>
      <x:c r="C49" s="70" t="str">
        <x:f>IFERROR(VLOOKUP(B49,'02_案例与预测'!$A$6:$E$65,5,FALSE),"")</x:f>
      </x:c>
      <x:c r="D49" s="70" t="str"/>
      <x:c r="E49" s="70" t="str"/>
      <x:c r="F49" s="70" t="str"/>
      <x:c r="G49" s="70" t="str"/>
      <x:c r="H49" s="70" t="str">
        <x:v>弱</x:v>
      </x:c>
      <x:c r="I49" s="70" t="str"/>
      <x:c r="J49" s="70" t="str"/>
      <x:c r="K49" s="70" t="str"/>
      <x:c r="L49" s="70" t="str"/>
      <x:c r="M49" s="70" t="str"/>
      <x:c r="N49" s="70" t="str">
        <x:v>待复核</x:v>
      </x:c>
      <x:c r="O49" s="70" t="str"/>
      <x:c r="P49" s="70" t="str"/>
    </x:row>
    <x:row r="50">
      <x:c r="A50" s="70" t="str">
        <x:v>M5CE-0045</x:v>
      </x:c>
      <x:c r="B50" s="70" t="str"/>
      <x:c r="C50" s="70" t="str">
        <x:f>IFERROR(VLOOKUP(B50,'02_案例与预测'!$A$6:$E$65,5,FALSE),"")</x:f>
      </x:c>
      <x:c r="D50" s="70" t="str"/>
      <x:c r="E50" s="70" t="str"/>
      <x:c r="F50" s="70" t="str"/>
      <x:c r="G50" s="70" t="str"/>
      <x:c r="H50" s="70" t="str">
        <x:v>弱</x:v>
      </x:c>
      <x:c r="I50" s="70" t="str"/>
      <x:c r="J50" s="70" t="str"/>
      <x:c r="K50" s="70" t="str"/>
      <x:c r="L50" s="70" t="str"/>
      <x:c r="M50" s="70" t="str"/>
      <x:c r="N50" s="70" t="str">
        <x:v>待复核</x:v>
      </x:c>
      <x:c r="O50" s="70" t="str"/>
      <x:c r="P50" s="70" t="str"/>
    </x:row>
    <x:row r="51">
      <x:c r="A51" s="70" t="str">
        <x:v>M5CE-0046</x:v>
      </x:c>
      <x:c r="B51" s="70" t="str"/>
      <x:c r="C51" s="70" t="str">
        <x:f>IFERROR(VLOOKUP(B51,'02_案例与预测'!$A$6:$E$65,5,FALSE),"")</x:f>
      </x:c>
      <x:c r="D51" s="70" t="str"/>
      <x:c r="E51" s="70" t="str"/>
      <x:c r="F51" s="70" t="str"/>
      <x:c r="G51" s="70" t="str"/>
      <x:c r="H51" s="70" t="str">
        <x:v>弱</x:v>
      </x:c>
      <x:c r="I51" s="70" t="str"/>
      <x:c r="J51" s="70" t="str"/>
      <x:c r="K51" s="70" t="str"/>
      <x:c r="L51" s="70" t="str"/>
      <x:c r="M51" s="70" t="str"/>
      <x:c r="N51" s="70" t="str">
        <x:v>待复核</x:v>
      </x:c>
      <x:c r="O51" s="70" t="str"/>
      <x:c r="P51" s="70" t="str"/>
    </x:row>
    <x:row r="52">
      <x:c r="A52" s="70" t="str">
        <x:v>M5CE-0047</x:v>
      </x:c>
      <x:c r="B52" s="70" t="str"/>
      <x:c r="C52" s="70" t="str">
        <x:f>IFERROR(VLOOKUP(B52,'02_案例与预测'!$A$6:$E$65,5,FALSE),"")</x:f>
      </x:c>
      <x:c r="D52" s="70" t="str"/>
      <x:c r="E52" s="70" t="str"/>
      <x:c r="F52" s="70" t="str"/>
      <x:c r="G52" s="70" t="str"/>
      <x:c r="H52" s="70" t="str">
        <x:v>弱</x:v>
      </x:c>
      <x:c r="I52" s="70" t="str"/>
      <x:c r="J52" s="70" t="str"/>
      <x:c r="K52" s="70" t="str"/>
      <x:c r="L52" s="70" t="str"/>
      <x:c r="M52" s="70" t="str"/>
      <x:c r="N52" s="70" t="str">
        <x:v>待复核</x:v>
      </x:c>
      <x:c r="O52" s="70" t="str"/>
      <x:c r="P52" s="70" t="str"/>
    </x:row>
    <x:row r="53">
      <x:c r="A53" s="70" t="str">
        <x:v>M5CE-0048</x:v>
      </x:c>
      <x:c r="B53" s="70" t="str"/>
      <x:c r="C53" s="70" t="str">
        <x:f>IFERROR(VLOOKUP(B53,'02_案例与预测'!$A$6:$E$65,5,FALSE),"")</x:f>
      </x:c>
      <x:c r="D53" s="70" t="str"/>
      <x:c r="E53" s="70" t="str"/>
      <x:c r="F53" s="70" t="str"/>
      <x:c r="G53" s="70" t="str"/>
      <x:c r="H53" s="70" t="str">
        <x:v>弱</x:v>
      </x:c>
      <x:c r="I53" s="70" t="str"/>
      <x:c r="J53" s="70" t="str"/>
      <x:c r="K53" s="70" t="str"/>
      <x:c r="L53" s="70" t="str"/>
      <x:c r="M53" s="70" t="str"/>
      <x:c r="N53" s="70" t="str">
        <x:v>待复核</x:v>
      </x:c>
      <x:c r="O53" s="70" t="str"/>
      <x:c r="P53" s="70" t="str"/>
    </x:row>
    <x:row r="54">
      <x:c r="A54" s="70" t="str">
        <x:v>M5CE-0049</x:v>
      </x:c>
      <x:c r="B54" s="70" t="str"/>
      <x:c r="C54" s="70" t="str">
        <x:f>IFERROR(VLOOKUP(B54,'02_案例与预测'!$A$6:$E$65,5,FALSE),"")</x:f>
      </x:c>
      <x:c r="D54" s="70" t="str"/>
      <x:c r="E54" s="70" t="str"/>
      <x:c r="F54" s="70" t="str"/>
      <x:c r="G54" s="70" t="str"/>
      <x:c r="H54" s="70" t="str">
        <x:v>弱</x:v>
      </x:c>
      <x:c r="I54" s="70" t="str"/>
      <x:c r="J54" s="70" t="str"/>
      <x:c r="K54" s="70" t="str"/>
      <x:c r="L54" s="70" t="str"/>
      <x:c r="M54" s="70" t="str"/>
      <x:c r="N54" s="70" t="str">
        <x:v>待复核</x:v>
      </x:c>
      <x:c r="O54" s="70" t="str"/>
      <x:c r="P54" s="70" t="str"/>
    </x:row>
    <x:row r="55">
      <x:c r="A55" s="70" t="str">
        <x:v>M5CE-0050</x:v>
      </x:c>
      <x:c r="B55" s="70" t="str"/>
      <x:c r="C55" s="70" t="str">
        <x:f>IFERROR(VLOOKUP(B55,'02_案例与预测'!$A$6:$E$65,5,FALSE),"")</x:f>
      </x:c>
      <x:c r="D55" s="70" t="str"/>
      <x:c r="E55" s="70" t="str"/>
      <x:c r="F55" s="70" t="str"/>
      <x:c r="G55" s="70" t="str"/>
      <x:c r="H55" s="70" t="str">
        <x:v>弱</x:v>
      </x:c>
      <x:c r="I55" s="70" t="str"/>
      <x:c r="J55" s="70" t="str"/>
      <x:c r="K55" s="70" t="str"/>
      <x:c r="L55" s="70" t="str"/>
      <x:c r="M55" s="70" t="str"/>
      <x:c r="N55" s="70" t="str">
        <x:v>待复核</x:v>
      </x:c>
      <x:c r="O55" s="70" t="str"/>
      <x:c r="P55" s="70" t="str"/>
    </x:row>
    <x:row r="56">
      <x:c r="A56" s="70" t="str">
        <x:v>M5CE-0051</x:v>
      </x:c>
      <x:c r="B56" s="70" t="str"/>
      <x:c r="C56" s="70" t="str">
        <x:f>IFERROR(VLOOKUP(B56,'02_案例与预测'!$A$6:$E$65,5,FALSE),"")</x:f>
      </x:c>
      <x:c r="D56" s="70" t="str"/>
      <x:c r="E56" s="70" t="str"/>
      <x:c r="F56" s="70" t="str"/>
      <x:c r="G56" s="70" t="str"/>
      <x:c r="H56" s="70" t="str">
        <x:v>弱</x:v>
      </x:c>
      <x:c r="I56" s="70" t="str"/>
      <x:c r="J56" s="70" t="str"/>
      <x:c r="K56" s="70" t="str"/>
      <x:c r="L56" s="70" t="str"/>
      <x:c r="M56" s="70" t="str"/>
      <x:c r="N56" s="70" t="str">
        <x:v>待复核</x:v>
      </x:c>
      <x:c r="O56" s="70" t="str"/>
      <x:c r="P56" s="70" t="str"/>
    </x:row>
    <x:row r="57">
      <x:c r="A57" s="70" t="str">
        <x:v>M5CE-0052</x:v>
      </x:c>
      <x:c r="B57" s="70" t="str"/>
      <x:c r="C57" s="70" t="str">
        <x:f>IFERROR(VLOOKUP(B57,'02_案例与预测'!$A$6:$E$65,5,FALSE),"")</x:f>
      </x:c>
      <x:c r="D57" s="70" t="str"/>
      <x:c r="E57" s="70" t="str"/>
      <x:c r="F57" s="70" t="str"/>
      <x:c r="G57" s="70" t="str"/>
      <x:c r="H57" s="70" t="str">
        <x:v>弱</x:v>
      </x:c>
      <x:c r="I57" s="70" t="str"/>
      <x:c r="J57" s="70" t="str"/>
      <x:c r="K57" s="70" t="str"/>
      <x:c r="L57" s="70" t="str"/>
      <x:c r="M57" s="70" t="str"/>
      <x:c r="N57" s="70" t="str">
        <x:v>待复核</x:v>
      </x:c>
      <x:c r="O57" s="70" t="str"/>
      <x:c r="P57" s="70" t="str"/>
    </x:row>
    <x:row r="58">
      <x:c r="A58" s="70" t="str">
        <x:v>M5CE-0053</x:v>
      </x:c>
      <x:c r="B58" s="70" t="str"/>
      <x:c r="C58" s="70" t="str">
        <x:f>IFERROR(VLOOKUP(B58,'02_案例与预测'!$A$6:$E$65,5,FALSE),"")</x:f>
      </x:c>
      <x:c r="D58" s="70" t="str"/>
      <x:c r="E58" s="70" t="str"/>
      <x:c r="F58" s="70" t="str"/>
      <x:c r="G58" s="70" t="str"/>
      <x:c r="H58" s="70" t="str">
        <x:v>弱</x:v>
      </x:c>
      <x:c r="I58" s="70" t="str"/>
      <x:c r="J58" s="70" t="str"/>
      <x:c r="K58" s="70" t="str"/>
      <x:c r="L58" s="70" t="str"/>
      <x:c r="M58" s="70" t="str"/>
      <x:c r="N58" s="70" t="str">
        <x:v>待复核</x:v>
      </x:c>
      <x:c r="O58" s="70" t="str"/>
      <x:c r="P58" s="70" t="str"/>
    </x:row>
    <x:row r="59">
      <x:c r="A59" s="70" t="str">
        <x:v>M5CE-0054</x:v>
      </x:c>
      <x:c r="B59" s="70" t="str"/>
      <x:c r="C59" s="70" t="str">
        <x:f>IFERROR(VLOOKUP(B59,'02_案例与预测'!$A$6:$E$65,5,FALSE),"")</x:f>
      </x:c>
      <x:c r="D59" s="70" t="str"/>
      <x:c r="E59" s="70" t="str"/>
      <x:c r="F59" s="70" t="str"/>
      <x:c r="G59" s="70" t="str"/>
      <x:c r="H59" s="70" t="str">
        <x:v>弱</x:v>
      </x:c>
      <x:c r="I59" s="70" t="str"/>
      <x:c r="J59" s="70" t="str"/>
      <x:c r="K59" s="70" t="str"/>
      <x:c r="L59" s="70" t="str"/>
      <x:c r="M59" s="70" t="str"/>
      <x:c r="N59" s="70" t="str">
        <x:v>待复核</x:v>
      </x:c>
      <x:c r="O59" s="70" t="str"/>
      <x:c r="P59" s="70" t="str"/>
    </x:row>
    <x:row r="60">
      <x:c r="A60" s="70" t="str">
        <x:v>M5CE-0055</x:v>
      </x:c>
      <x:c r="B60" s="70" t="str"/>
      <x:c r="C60" s="70" t="str">
        <x:f>IFERROR(VLOOKUP(B60,'02_案例与预测'!$A$6:$E$65,5,FALSE),"")</x:f>
      </x:c>
      <x:c r="D60" s="70" t="str"/>
      <x:c r="E60" s="70" t="str"/>
      <x:c r="F60" s="70" t="str"/>
      <x:c r="G60" s="70" t="str"/>
      <x:c r="H60" s="70" t="str">
        <x:v>弱</x:v>
      </x:c>
      <x:c r="I60" s="70" t="str"/>
      <x:c r="J60" s="70" t="str"/>
      <x:c r="K60" s="70" t="str"/>
      <x:c r="L60" s="70" t="str"/>
      <x:c r="M60" s="70" t="str"/>
      <x:c r="N60" s="70" t="str">
        <x:v>待复核</x:v>
      </x:c>
      <x:c r="O60" s="70" t="str"/>
      <x:c r="P60" s="70" t="str"/>
    </x:row>
    <x:row r="61">
      <x:c r="A61" s="70" t="str">
        <x:v>M5CE-0056</x:v>
      </x:c>
      <x:c r="B61" s="70" t="str"/>
      <x:c r="C61" s="70" t="str">
        <x:f>IFERROR(VLOOKUP(B61,'02_案例与预测'!$A$6:$E$65,5,FALSE),"")</x:f>
      </x:c>
      <x:c r="D61" s="70" t="str"/>
      <x:c r="E61" s="70" t="str"/>
      <x:c r="F61" s="70" t="str"/>
      <x:c r="G61" s="70" t="str"/>
      <x:c r="H61" s="70" t="str">
        <x:v>弱</x:v>
      </x:c>
      <x:c r="I61" s="70" t="str"/>
      <x:c r="J61" s="70" t="str"/>
      <x:c r="K61" s="70" t="str"/>
      <x:c r="L61" s="70" t="str"/>
      <x:c r="M61" s="70" t="str"/>
      <x:c r="N61" s="70" t="str">
        <x:v>待复核</x:v>
      </x:c>
      <x:c r="O61" s="70" t="str"/>
      <x:c r="P61" s="70" t="str"/>
    </x:row>
    <x:row r="62">
      <x:c r="A62" s="70" t="str">
        <x:v>M5CE-0057</x:v>
      </x:c>
      <x:c r="B62" s="70" t="str"/>
      <x:c r="C62" s="70" t="str">
        <x:f>IFERROR(VLOOKUP(B62,'02_案例与预测'!$A$6:$E$65,5,FALSE),"")</x:f>
      </x:c>
      <x:c r="D62" s="70" t="str"/>
      <x:c r="E62" s="70" t="str"/>
      <x:c r="F62" s="70" t="str"/>
      <x:c r="G62" s="70" t="str"/>
      <x:c r="H62" s="70" t="str">
        <x:v>弱</x:v>
      </x:c>
      <x:c r="I62" s="70" t="str"/>
      <x:c r="J62" s="70" t="str"/>
      <x:c r="K62" s="70" t="str"/>
      <x:c r="L62" s="70" t="str"/>
      <x:c r="M62" s="70" t="str"/>
      <x:c r="N62" s="70" t="str">
        <x:v>待复核</x:v>
      </x:c>
      <x:c r="O62" s="70" t="str"/>
      <x:c r="P62" s="70" t="str"/>
    </x:row>
    <x:row r="63">
      <x:c r="A63" s="70" t="str">
        <x:v>M5CE-0058</x:v>
      </x:c>
      <x:c r="B63" s="70" t="str"/>
      <x:c r="C63" s="70" t="str">
        <x:f>IFERROR(VLOOKUP(B63,'02_案例与预测'!$A$6:$E$65,5,FALSE),"")</x:f>
      </x:c>
      <x:c r="D63" s="70" t="str"/>
      <x:c r="E63" s="70" t="str"/>
      <x:c r="F63" s="70" t="str"/>
      <x:c r="G63" s="70" t="str"/>
      <x:c r="H63" s="70" t="str">
        <x:v>弱</x:v>
      </x:c>
      <x:c r="I63" s="70" t="str"/>
      <x:c r="J63" s="70" t="str"/>
      <x:c r="K63" s="70" t="str"/>
      <x:c r="L63" s="70" t="str"/>
      <x:c r="M63" s="70" t="str"/>
      <x:c r="N63" s="70" t="str">
        <x:v>待复核</x:v>
      </x:c>
      <x:c r="O63" s="70" t="str"/>
      <x:c r="P63" s="70" t="str"/>
    </x:row>
    <x:row r="64">
      <x:c r="A64" s="70" t="str">
        <x:v>M5CE-0059</x:v>
      </x:c>
      <x:c r="B64" s="70" t="str"/>
      <x:c r="C64" s="70" t="str">
        <x:f>IFERROR(VLOOKUP(B64,'02_案例与预测'!$A$6:$E$65,5,FALSE),"")</x:f>
      </x:c>
      <x:c r="D64" s="70" t="str"/>
      <x:c r="E64" s="70" t="str"/>
      <x:c r="F64" s="70" t="str"/>
      <x:c r="G64" s="70" t="str"/>
      <x:c r="H64" s="70" t="str">
        <x:v>弱</x:v>
      </x:c>
      <x:c r="I64" s="70" t="str"/>
      <x:c r="J64" s="70" t="str"/>
      <x:c r="K64" s="70" t="str"/>
      <x:c r="L64" s="70" t="str"/>
      <x:c r="M64" s="70" t="str"/>
      <x:c r="N64" s="70" t="str">
        <x:v>待复核</x:v>
      </x:c>
      <x:c r="O64" s="70" t="str"/>
      <x:c r="P64" s="70" t="str"/>
    </x:row>
    <x:row r="65">
      <x:c r="A65" s="70" t="str">
        <x:v>M5CE-0060</x:v>
      </x:c>
      <x:c r="B65" s="70" t="str"/>
      <x:c r="C65" s="70" t="str">
        <x:f>IFERROR(VLOOKUP(B65,'02_案例与预测'!$A$6:$E$65,5,FALSE),"")</x:f>
      </x:c>
      <x:c r="D65" s="70" t="str"/>
      <x:c r="E65" s="70" t="str"/>
      <x:c r="F65" s="70" t="str"/>
      <x:c r="G65" s="70" t="str"/>
      <x:c r="H65" s="70" t="str">
        <x:v>弱</x:v>
      </x:c>
      <x:c r="I65" s="70" t="str"/>
      <x:c r="J65" s="70" t="str"/>
      <x:c r="K65" s="70" t="str"/>
      <x:c r="L65" s="70" t="str"/>
      <x:c r="M65" s="70" t="str"/>
      <x:c r="N65" s="70" t="str">
        <x:v>待复核</x:v>
      </x:c>
      <x:c r="O65" s="70" t="str"/>
      <x:c r="P65" s="70" t="str"/>
    </x:row>
    <x:row r="66">
      <x:c r="A66" s="70" t="str">
        <x:v>M5CE-0061</x:v>
      </x:c>
      <x:c r="B66" s="70" t="str"/>
      <x:c r="C66" s="70" t="str">
        <x:f>IFERROR(VLOOKUP(B66,'02_案例与预测'!$A$6:$E$65,5,FALSE),"")</x:f>
      </x:c>
      <x:c r="D66" s="70" t="str"/>
      <x:c r="E66" s="70" t="str"/>
      <x:c r="F66" s="70" t="str"/>
      <x:c r="G66" s="70" t="str"/>
      <x:c r="H66" s="70" t="str">
        <x:v>弱</x:v>
      </x:c>
      <x:c r="I66" s="70" t="str"/>
      <x:c r="J66" s="70" t="str"/>
      <x:c r="K66" s="70" t="str"/>
      <x:c r="L66" s="70" t="str"/>
      <x:c r="M66" s="70" t="str"/>
      <x:c r="N66" s="70" t="str">
        <x:v>待复核</x:v>
      </x:c>
      <x:c r="O66" s="70" t="str"/>
      <x:c r="P66" s="70" t="str"/>
    </x:row>
    <x:row r="67">
      <x:c r="A67" s="70" t="str">
        <x:v>M5CE-0062</x:v>
      </x:c>
      <x:c r="B67" s="70" t="str"/>
      <x:c r="C67" s="70" t="str">
        <x:f>IFERROR(VLOOKUP(B67,'02_案例与预测'!$A$6:$E$65,5,FALSE),"")</x:f>
      </x:c>
      <x:c r="D67" s="70" t="str"/>
      <x:c r="E67" s="70" t="str"/>
      <x:c r="F67" s="70" t="str"/>
      <x:c r="G67" s="70" t="str"/>
      <x:c r="H67" s="70" t="str">
        <x:v>弱</x:v>
      </x:c>
      <x:c r="I67" s="70" t="str"/>
      <x:c r="J67" s="70" t="str"/>
      <x:c r="K67" s="70" t="str"/>
      <x:c r="L67" s="70" t="str"/>
      <x:c r="M67" s="70" t="str"/>
      <x:c r="N67" s="70" t="str">
        <x:v>待复核</x:v>
      </x:c>
      <x:c r="O67" s="70" t="str"/>
      <x:c r="P67" s="70" t="str"/>
    </x:row>
    <x:row r="68">
      <x:c r="A68" s="70" t="str">
        <x:v>M5CE-0063</x:v>
      </x:c>
      <x:c r="B68" s="70" t="str"/>
      <x:c r="C68" s="70" t="str">
        <x:f>IFERROR(VLOOKUP(B68,'02_案例与预测'!$A$6:$E$65,5,FALSE),"")</x:f>
      </x:c>
      <x:c r="D68" s="70" t="str"/>
      <x:c r="E68" s="70" t="str"/>
      <x:c r="F68" s="70" t="str"/>
      <x:c r="G68" s="70" t="str"/>
      <x:c r="H68" s="70" t="str">
        <x:v>弱</x:v>
      </x:c>
      <x:c r="I68" s="70" t="str"/>
      <x:c r="J68" s="70" t="str"/>
      <x:c r="K68" s="70" t="str"/>
      <x:c r="L68" s="70" t="str"/>
      <x:c r="M68" s="70" t="str"/>
      <x:c r="N68" s="70" t="str">
        <x:v>待复核</x:v>
      </x:c>
      <x:c r="O68" s="70" t="str"/>
      <x:c r="P68" s="70" t="str"/>
    </x:row>
    <x:row r="69">
      <x:c r="A69" s="70" t="str">
        <x:v>M5CE-0064</x:v>
      </x:c>
      <x:c r="B69" s="70" t="str"/>
      <x:c r="C69" s="70" t="str">
        <x:f>IFERROR(VLOOKUP(B69,'02_案例与预测'!$A$6:$E$65,5,FALSE),"")</x:f>
      </x:c>
      <x:c r="D69" s="70" t="str"/>
      <x:c r="E69" s="70" t="str"/>
      <x:c r="F69" s="70" t="str"/>
      <x:c r="G69" s="70" t="str"/>
      <x:c r="H69" s="70" t="str">
        <x:v>弱</x:v>
      </x:c>
      <x:c r="I69" s="70" t="str"/>
      <x:c r="J69" s="70" t="str"/>
      <x:c r="K69" s="70" t="str"/>
      <x:c r="L69" s="70" t="str"/>
      <x:c r="M69" s="70" t="str"/>
      <x:c r="N69" s="70" t="str">
        <x:v>待复核</x:v>
      </x:c>
      <x:c r="O69" s="70" t="str"/>
      <x:c r="P69" s="70" t="str"/>
    </x:row>
    <x:row r="70">
      <x:c r="A70" s="70" t="str">
        <x:v>M5CE-0065</x:v>
      </x:c>
      <x:c r="B70" s="70" t="str"/>
      <x:c r="C70" s="70" t="str">
        <x:f>IFERROR(VLOOKUP(B70,'02_案例与预测'!$A$6:$E$65,5,FALSE),"")</x:f>
      </x:c>
      <x:c r="D70" s="70" t="str"/>
      <x:c r="E70" s="70" t="str"/>
      <x:c r="F70" s="70" t="str"/>
      <x:c r="G70" s="70" t="str"/>
      <x:c r="H70" s="70" t="str">
        <x:v>弱</x:v>
      </x:c>
      <x:c r="I70" s="70" t="str"/>
      <x:c r="J70" s="70" t="str"/>
      <x:c r="K70" s="70" t="str"/>
      <x:c r="L70" s="70" t="str"/>
      <x:c r="M70" s="70" t="str"/>
      <x:c r="N70" s="70" t="str">
        <x:v>待复核</x:v>
      </x:c>
      <x:c r="O70" s="70" t="str"/>
      <x:c r="P70" s="70" t="str"/>
    </x:row>
    <x:row r="71">
      <x:c r="A71" s="70" t="str">
        <x:v>M5CE-0066</x:v>
      </x:c>
      <x:c r="B71" s="70" t="str"/>
      <x:c r="C71" s="70" t="str">
        <x:f>IFERROR(VLOOKUP(B71,'02_案例与预测'!$A$6:$E$65,5,FALSE),"")</x:f>
      </x:c>
      <x:c r="D71" s="70" t="str"/>
      <x:c r="E71" s="70" t="str"/>
      <x:c r="F71" s="70" t="str"/>
      <x:c r="G71" s="70" t="str"/>
      <x:c r="H71" s="70" t="str">
        <x:v>弱</x:v>
      </x:c>
      <x:c r="I71" s="70" t="str"/>
      <x:c r="J71" s="70" t="str"/>
      <x:c r="K71" s="70" t="str"/>
      <x:c r="L71" s="70" t="str"/>
      <x:c r="M71" s="70" t="str"/>
      <x:c r="N71" s="70" t="str">
        <x:v>待复核</x:v>
      </x:c>
      <x:c r="O71" s="70" t="str"/>
      <x:c r="P71" s="70" t="str"/>
    </x:row>
    <x:row r="72">
      <x:c r="A72" s="70" t="str">
        <x:v>M5CE-0067</x:v>
      </x:c>
      <x:c r="B72" s="70" t="str"/>
      <x:c r="C72" s="70" t="str">
        <x:f>IFERROR(VLOOKUP(B72,'02_案例与预测'!$A$6:$E$65,5,FALSE),"")</x:f>
      </x:c>
      <x:c r="D72" s="70" t="str"/>
      <x:c r="E72" s="70" t="str"/>
      <x:c r="F72" s="70" t="str"/>
      <x:c r="G72" s="70" t="str"/>
      <x:c r="H72" s="70" t="str">
        <x:v>弱</x:v>
      </x:c>
      <x:c r="I72" s="70" t="str"/>
      <x:c r="J72" s="70" t="str"/>
      <x:c r="K72" s="70" t="str"/>
      <x:c r="L72" s="70" t="str"/>
      <x:c r="M72" s="70" t="str"/>
      <x:c r="N72" s="70" t="str">
        <x:v>待复核</x:v>
      </x:c>
      <x:c r="O72" s="70" t="str"/>
      <x:c r="P72" s="70" t="str"/>
    </x:row>
    <x:row r="73">
      <x:c r="A73" s="70" t="str">
        <x:v>M5CE-0068</x:v>
      </x:c>
      <x:c r="B73" s="70" t="str"/>
      <x:c r="C73" s="70" t="str">
        <x:f>IFERROR(VLOOKUP(B73,'02_案例与预测'!$A$6:$E$65,5,FALSE),"")</x:f>
      </x:c>
      <x:c r="D73" s="70" t="str"/>
      <x:c r="E73" s="70" t="str"/>
      <x:c r="F73" s="70" t="str"/>
      <x:c r="G73" s="70" t="str"/>
      <x:c r="H73" s="70" t="str">
        <x:v>弱</x:v>
      </x:c>
      <x:c r="I73" s="70" t="str"/>
      <x:c r="J73" s="70" t="str"/>
      <x:c r="K73" s="70" t="str"/>
      <x:c r="L73" s="70" t="str"/>
      <x:c r="M73" s="70" t="str"/>
      <x:c r="N73" s="70" t="str">
        <x:v>待复核</x:v>
      </x:c>
      <x:c r="O73" s="70" t="str"/>
      <x:c r="P73" s="70" t="str"/>
    </x:row>
    <x:row r="74">
      <x:c r="A74" s="70" t="str">
        <x:v>M5CE-0069</x:v>
      </x:c>
      <x:c r="B74" s="70" t="str"/>
      <x:c r="C74" s="70" t="str">
        <x:f>IFERROR(VLOOKUP(B74,'02_案例与预测'!$A$6:$E$65,5,FALSE),"")</x:f>
      </x:c>
      <x:c r="D74" s="70" t="str"/>
      <x:c r="E74" s="70" t="str"/>
      <x:c r="F74" s="70" t="str"/>
      <x:c r="G74" s="70" t="str"/>
      <x:c r="H74" s="70" t="str">
        <x:v>弱</x:v>
      </x:c>
      <x:c r="I74" s="70" t="str"/>
      <x:c r="J74" s="70" t="str"/>
      <x:c r="K74" s="70" t="str"/>
      <x:c r="L74" s="70" t="str"/>
      <x:c r="M74" s="70" t="str"/>
      <x:c r="N74" s="70" t="str">
        <x:v>待复核</x:v>
      </x:c>
      <x:c r="O74" s="70" t="str"/>
      <x:c r="P74" s="70" t="str"/>
    </x:row>
    <x:row r="75">
      <x:c r="A75" s="70" t="str">
        <x:v>M5CE-0070</x:v>
      </x:c>
      <x:c r="B75" s="70" t="str"/>
      <x:c r="C75" s="70" t="str">
        <x:f>IFERROR(VLOOKUP(B75,'02_案例与预测'!$A$6:$E$65,5,FALSE),"")</x:f>
      </x:c>
      <x:c r="D75" s="70" t="str"/>
      <x:c r="E75" s="70" t="str"/>
      <x:c r="F75" s="70" t="str"/>
      <x:c r="G75" s="70" t="str"/>
      <x:c r="H75" s="70" t="str">
        <x:v>弱</x:v>
      </x:c>
      <x:c r="I75" s="70" t="str"/>
      <x:c r="J75" s="70" t="str"/>
      <x:c r="K75" s="70" t="str"/>
      <x:c r="L75" s="70" t="str"/>
      <x:c r="M75" s="70" t="str"/>
      <x:c r="N75" s="70" t="str">
        <x:v>待复核</x:v>
      </x:c>
      <x:c r="O75" s="70" t="str"/>
      <x:c r="P75" s="70" t="str"/>
    </x:row>
    <x:row r="76">
      <x:c r="A76" s="70" t="str">
        <x:v>M5CE-0071</x:v>
      </x:c>
      <x:c r="B76" s="70" t="str"/>
      <x:c r="C76" s="70" t="str">
        <x:f>IFERROR(VLOOKUP(B76,'02_案例与预测'!$A$6:$E$65,5,FALSE),"")</x:f>
      </x:c>
      <x:c r="D76" s="70" t="str"/>
      <x:c r="E76" s="70" t="str"/>
      <x:c r="F76" s="70" t="str"/>
      <x:c r="G76" s="70" t="str"/>
      <x:c r="H76" s="70" t="str">
        <x:v>弱</x:v>
      </x:c>
      <x:c r="I76" s="70" t="str"/>
      <x:c r="J76" s="70" t="str"/>
      <x:c r="K76" s="70" t="str"/>
      <x:c r="L76" s="70" t="str"/>
      <x:c r="M76" s="70" t="str"/>
      <x:c r="N76" s="70" t="str">
        <x:v>待复核</x:v>
      </x:c>
      <x:c r="O76" s="70" t="str"/>
      <x:c r="P76" s="70" t="str"/>
    </x:row>
    <x:row r="77">
      <x:c r="A77" s="70" t="str">
        <x:v>M5CE-0072</x:v>
      </x:c>
      <x:c r="B77" s="70" t="str"/>
      <x:c r="C77" s="70" t="str">
        <x:f>IFERROR(VLOOKUP(B77,'02_案例与预测'!$A$6:$E$65,5,FALSE),"")</x:f>
      </x:c>
      <x:c r="D77" s="70" t="str"/>
      <x:c r="E77" s="70" t="str"/>
      <x:c r="F77" s="70" t="str"/>
      <x:c r="G77" s="70" t="str"/>
      <x:c r="H77" s="70" t="str">
        <x:v>弱</x:v>
      </x:c>
      <x:c r="I77" s="70" t="str"/>
      <x:c r="J77" s="70" t="str"/>
      <x:c r="K77" s="70" t="str"/>
      <x:c r="L77" s="70" t="str"/>
      <x:c r="M77" s="70" t="str"/>
      <x:c r="N77" s="70" t="str">
        <x:v>待复核</x:v>
      </x:c>
      <x:c r="O77" s="70" t="str"/>
      <x:c r="P77" s="70" t="str"/>
    </x:row>
    <x:row r="78">
      <x:c r="A78" s="70" t="str">
        <x:v>M5CE-0073</x:v>
      </x:c>
      <x:c r="B78" s="70" t="str"/>
      <x:c r="C78" s="70" t="str">
        <x:f>IFERROR(VLOOKUP(B78,'02_案例与预测'!$A$6:$E$65,5,FALSE),"")</x:f>
      </x:c>
      <x:c r="D78" s="70" t="str"/>
      <x:c r="E78" s="70" t="str"/>
      <x:c r="F78" s="70" t="str"/>
      <x:c r="G78" s="70" t="str"/>
      <x:c r="H78" s="70" t="str">
        <x:v>弱</x:v>
      </x:c>
      <x:c r="I78" s="70" t="str"/>
      <x:c r="J78" s="70" t="str"/>
      <x:c r="K78" s="70" t="str"/>
      <x:c r="L78" s="70" t="str"/>
      <x:c r="M78" s="70" t="str"/>
      <x:c r="N78" s="70" t="str">
        <x:v>待复核</x:v>
      </x:c>
      <x:c r="O78" s="70" t="str"/>
      <x:c r="P78" s="70" t="str"/>
    </x:row>
    <x:row r="79">
      <x:c r="A79" s="70" t="str">
        <x:v>M5CE-0074</x:v>
      </x:c>
      <x:c r="B79" s="70" t="str"/>
      <x:c r="C79" s="70" t="str">
        <x:f>IFERROR(VLOOKUP(B79,'02_案例与预测'!$A$6:$E$65,5,FALSE),"")</x:f>
      </x:c>
      <x:c r="D79" s="70" t="str"/>
      <x:c r="E79" s="70" t="str"/>
      <x:c r="F79" s="70" t="str"/>
      <x:c r="G79" s="70" t="str"/>
      <x:c r="H79" s="70" t="str">
        <x:v>弱</x:v>
      </x:c>
      <x:c r="I79" s="70" t="str"/>
      <x:c r="J79" s="70" t="str"/>
      <x:c r="K79" s="70" t="str"/>
      <x:c r="L79" s="70" t="str"/>
      <x:c r="M79" s="70" t="str"/>
      <x:c r="N79" s="70" t="str">
        <x:v>待复核</x:v>
      </x:c>
      <x:c r="O79" s="70" t="str"/>
      <x:c r="P79" s="70" t="str"/>
    </x:row>
    <x:row r="80">
      <x:c r="A80" s="70" t="str">
        <x:v>M5CE-0075</x:v>
      </x:c>
      <x:c r="B80" s="70" t="str"/>
      <x:c r="C80" s="70" t="str">
        <x:f>IFERROR(VLOOKUP(B80,'02_案例与预测'!$A$6:$E$65,5,FALSE),"")</x:f>
      </x:c>
      <x:c r="D80" s="70" t="str"/>
      <x:c r="E80" s="70" t="str"/>
      <x:c r="F80" s="70" t="str"/>
      <x:c r="G80" s="70" t="str"/>
      <x:c r="H80" s="70" t="str">
        <x:v>弱</x:v>
      </x:c>
      <x:c r="I80" s="70" t="str"/>
      <x:c r="J80" s="70" t="str"/>
      <x:c r="K80" s="70" t="str"/>
      <x:c r="L80" s="70" t="str"/>
      <x:c r="M80" s="70" t="str"/>
      <x:c r="N80" s="70" t="str">
        <x:v>待复核</x:v>
      </x:c>
      <x:c r="O80" s="70" t="str"/>
      <x:c r="P80" s="70" t="str"/>
    </x:row>
    <x:row r="81">
      <x:c r="A81" s="70" t="str">
        <x:v>M5CE-0076</x:v>
      </x:c>
      <x:c r="B81" s="70" t="str"/>
      <x:c r="C81" s="70" t="str">
        <x:f>IFERROR(VLOOKUP(B81,'02_案例与预测'!$A$6:$E$65,5,FALSE),"")</x:f>
      </x:c>
      <x:c r="D81" s="70" t="str"/>
      <x:c r="E81" s="70" t="str"/>
      <x:c r="F81" s="70" t="str"/>
      <x:c r="G81" s="70" t="str"/>
      <x:c r="H81" s="70" t="str">
        <x:v>弱</x:v>
      </x:c>
      <x:c r="I81" s="70" t="str"/>
      <x:c r="J81" s="70" t="str"/>
      <x:c r="K81" s="70" t="str"/>
      <x:c r="L81" s="70" t="str"/>
      <x:c r="M81" s="70" t="str"/>
      <x:c r="N81" s="70" t="str">
        <x:v>待复核</x:v>
      </x:c>
      <x:c r="O81" s="70" t="str"/>
      <x:c r="P81" s="70" t="str"/>
    </x:row>
    <x:row r="82">
      <x:c r="A82" s="70" t="str">
        <x:v>M5CE-0077</x:v>
      </x:c>
      <x:c r="B82" s="70" t="str"/>
      <x:c r="C82" s="70" t="str">
        <x:f>IFERROR(VLOOKUP(B82,'02_案例与预测'!$A$6:$E$65,5,FALSE),"")</x:f>
      </x:c>
      <x:c r="D82" s="70" t="str"/>
      <x:c r="E82" s="70" t="str"/>
      <x:c r="F82" s="70" t="str"/>
      <x:c r="G82" s="70" t="str"/>
      <x:c r="H82" s="70" t="str">
        <x:v>弱</x:v>
      </x:c>
      <x:c r="I82" s="70" t="str"/>
      <x:c r="J82" s="70" t="str"/>
      <x:c r="K82" s="70" t="str"/>
      <x:c r="L82" s="70" t="str"/>
      <x:c r="M82" s="70" t="str"/>
      <x:c r="N82" s="70" t="str">
        <x:v>待复核</x:v>
      </x:c>
      <x:c r="O82" s="70" t="str"/>
      <x:c r="P82" s="70" t="str"/>
    </x:row>
    <x:row r="83">
      <x:c r="A83" s="70" t="str">
        <x:v>M5CE-0078</x:v>
      </x:c>
      <x:c r="B83" s="70" t="str"/>
      <x:c r="C83" s="70" t="str">
        <x:f>IFERROR(VLOOKUP(B83,'02_案例与预测'!$A$6:$E$65,5,FALSE),"")</x:f>
      </x:c>
      <x:c r="D83" s="70" t="str"/>
      <x:c r="E83" s="70" t="str"/>
      <x:c r="F83" s="70" t="str"/>
      <x:c r="G83" s="70" t="str"/>
      <x:c r="H83" s="70" t="str">
        <x:v>弱</x:v>
      </x:c>
      <x:c r="I83" s="70" t="str"/>
      <x:c r="J83" s="70" t="str"/>
      <x:c r="K83" s="70" t="str"/>
      <x:c r="L83" s="70" t="str"/>
      <x:c r="M83" s="70" t="str"/>
      <x:c r="N83" s="70" t="str">
        <x:v>待复核</x:v>
      </x:c>
      <x:c r="O83" s="70" t="str"/>
      <x:c r="P83" s="70" t="str"/>
    </x:row>
    <x:row r="84">
      <x:c r="A84" s="70" t="str">
        <x:v>M5CE-0079</x:v>
      </x:c>
      <x:c r="B84" s="70" t="str"/>
      <x:c r="C84" s="70" t="str">
        <x:f>IFERROR(VLOOKUP(B84,'02_案例与预测'!$A$6:$E$65,5,FALSE),"")</x:f>
      </x:c>
      <x:c r="D84" s="70" t="str"/>
      <x:c r="E84" s="70" t="str"/>
      <x:c r="F84" s="70" t="str"/>
      <x:c r="G84" s="70" t="str"/>
      <x:c r="H84" s="70" t="str">
        <x:v>弱</x:v>
      </x:c>
      <x:c r="I84" s="70" t="str"/>
      <x:c r="J84" s="70" t="str"/>
      <x:c r="K84" s="70" t="str"/>
      <x:c r="L84" s="70" t="str"/>
      <x:c r="M84" s="70" t="str"/>
      <x:c r="N84" s="70" t="str">
        <x:v>待复核</x:v>
      </x:c>
      <x:c r="O84" s="70" t="str"/>
      <x:c r="P84" s="70" t="str"/>
    </x:row>
    <x:row r="85">
      <x:c r="A85" s="70" t="str">
        <x:v>M5CE-0080</x:v>
      </x:c>
      <x:c r="B85" s="70" t="str"/>
      <x:c r="C85" s="70" t="str">
        <x:f>IFERROR(VLOOKUP(B85,'02_案例与预测'!$A$6:$E$65,5,FALSE),"")</x:f>
      </x:c>
      <x:c r="D85" s="70" t="str"/>
      <x:c r="E85" s="70" t="str"/>
      <x:c r="F85" s="70" t="str"/>
      <x:c r="G85" s="70" t="str"/>
      <x:c r="H85" s="70" t="str">
        <x:v>弱</x:v>
      </x:c>
      <x:c r="I85" s="70" t="str"/>
      <x:c r="J85" s="70" t="str"/>
      <x:c r="K85" s="70" t="str"/>
      <x:c r="L85" s="70" t="str"/>
      <x:c r="M85" s="70" t="str"/>
      <x:c r="N85" s="70" t="str">
        <x:v>待复核</x:v>
      </x:c>
      <x:c r="O85" s="70" t="str"/>
      <x:c r="P85" s="70" t="str"/>
    </x:row>
    <x:row r="86">
      <x:c r="A86" s="70" t="str">
        <x:v>M5CE-0081</x:v>
      </x:c>
      <x:c r="B86" s="70" t="str"/>
      <x:c r="C86" s="70" t="str">
        <x:f>IFERROR(VLOOKUP(B86,'02_案例与预测'!$A$6:$E$65,5,FALSE),"")</x:f>
      </x:c>
      <x:c r="D86" s="70" t="str"/>
      <x:c r="E86" s="70" t="str"/>
      <x:c r="F86" s="70" t="str"/>
      <x:c r="G86" s="70" t="str"/>
      <x:c r="H86" s="70" t="str">
        <x:v>弱</x:v>
      </x:c>
      <x:c r="I86" s="70" t="str"/>
      <x:c r="J86" s="70" t="str"/>
      <x:c r="K86" s="70" t="str"/>
      <x:c r="L86" s="70" t="str"/>
      <x:c r="M86" s="70" t="str"/>
      <x:c r="N86" s="70" t="str">
        <x:v>待复核</x:v>
      </x:c>
      <x:c r="O86" s="70" t="str"/>
      <x:c r="P86" s="70" t="str"/>
    </x:row>
    <x:row r="87">
      <x:c r="A87" s="70" t="str">
        <x:v>M5CE-0082</x:v>
      </x:c>
      <x:c r="B87" s="70" t="str"/>
      <x:c r="C87" s="70" t="str">
        <x:f>IFERROR(VLOOKUP(B87,'02_案例与预测'!$A$6:$E$65,5,FALSE),"")</x:f>
      </x:c>
      <x:c r="D87" s="70" t="str"/>
      <x:c r="E87" s="70" t="str"/>
      <x:c r="F87" s="70" t="str"/>
      <x:c r="G87" s="70" t="str"/>
      <x:c r="H87" s="70" t="str">
        <x:v>弱</x:v>
      </x:c>
      <x:c r="I87" s="70" t="str"/>
      <x:c r="J87" s="70" t="str"/>
      <x:c r="K87" s="70" t="str"/>
      <x:c r="L87" s="70" t="str"/>
      <x:c r="M87" s="70" t="str"/>
      <x:c r="N87" s="70" t="str">
        <x:v>待复核</x:v>
      </x:c>
      <x:c r="O87" s="70" t="str"/>
      <x:c r="P87" s="70" t="str"/>
    </x:row>
    <x:row r="88">
      <x:c r="A88" s="70" t="str">
        <x:v>M5CE-0083</x:v>
      </x:c>
      <x:c r="B88" s="70" t="str"/>
      <x:c r="C88" s="70" t="str">
        <x:f>IFERROR(VLOOKUP(B88,'02_案例与预测'!$A$6:$E$65,5,FALSE),"")</x:f>
      </x:c>
      <x:c r="D88" s="70" t="str"/>
      <x:c r="E88" s="70" t="str"/>
      <x:c r="F88" s="70" t="str"/>
      <x:c r="G88" s="70" t="str"/>
      <x:c r="H88" s="70" t="str">
        <x:v>弱</x:v>
      </x:c>
      <x:c r="I88" s="70" t="str"/>
      <x:c r="J88" s="70" t="str"/>
      <x:c r="K88" s="70" t="str"/>
      <x:c r="L88" s="70" t="str"/>
      <x:c r="M88" s="70" t="str"/>
      <x:c r="N88" s="70" t="str">
        <x:v>待复核</x:v>
      </x:c>
      <x:c r="O88" s="70" t="str"/>
      <x:c r="P88" s="70" t="str"/>
    </x:row>
    <x:row r="89">
      <x:c r="A89" s="70" t="str">
        <x:v>M5CE-0084</x:v>
      </x:c>
      <x:c r="B89" s="70" t="str"/>
      <x:c r="C89" s="70" t="str">
        <x:f>IFERROR(VLOOKUP(B89,'02_案例与预测'!$A$6:$E$65,5,FALSE),"")</x:f>
      </x:c>
      <x:c r="D89" s="70" t="str"/>
      <x:c r="E89" s="70" t="str"/>
      <x:c r="F89" s="70" t="str"/>
      <x:c r="G89" s="70" t="str"/>
      <x:c r="H89" s="70" t="str">
        <x:v>弱</x:v>
      </x:c>
      <x:c r="I89" s="70" t="str"/>
      <x:c r="J89" s="70" t="str"/>
      <x:c r="K89" s="70" t="str"/>
      <x:c r="L89" s="70" t="str"/>
      <x:c r="M89" s="70" t="str"/>
      <x:c r="N89" s="70" t="str">
        <x:v>待复核</x:v>
      </x:c>
      <x:c r="O89" s="70" t="str"/>
      <x:c r="P89" s="70" t="str"/>
    </x:row>
    <x:row r="90">
      <x:c r="A90" s="70" t="str">
        <x:v>M5CE-0085</x:v>
      </x:c>
      <x:c r="B90" s="70" t="str"/>
      <x:c r="C90" s="70" t="str">
        <x:f>IFERROR(VLOOKUP(B90,'02_案例与预测'!$A$6:$E$65,5,FALSE),"")</x:f>
      </x:c>
      <x:c r="D90" s="70" t="str"/>
      <x:c r="E90" s="70" t="str"/>
      <x:c r="F90" s="70" t="str"/>
      <x:c r="G90" s="70" t="str"/>
      <x:c r="H90" s="70" t="str">
        <x:v>弱</x:v>
      </x:c>
      <x:c r="I90" s="70" t="str"/>
      <x:c r="J90" s="70" t="str"/>
      <x:c r="K90" s="70" t="str"/>
      <x:c r="L90" s="70" t="str"/>
      <x:c r="M90" s="70" t="str"/>
      <x:c r="N90" s="70" t="str">
        <x:v>待复核</x:v>
      </x:c>
      <x:c r="O90" s="70" t="str"/>
      <x:c r="P90" s="70" t="str"/>
    </x:row>
    <x:row r="91">
      <x:c r="A91" s="70" t="str">
        <x:v>M5CE-0086</x:v>
      </x:c>
      <x:c r="B91" s="70" t="str"/>
      <x:c r="C91" s="70" t="str">
        <x:f>IFERROR(VLOOKUP(B91,'02_案例与预测'!$A$6:$E$65,5,FALSE),"")</x:f>
      </x:c>
      <x:c r="D91" s="70" t="str"/>
      <x:c r="E91" s="70" t="str"/>
      <x:c r="F91" s="70" t="str"/>
      <x:c r="G91" s="70" t="str"/>
      <x:c r="H91" s="70" t="str">
        <x:v>弱</x:v>
      </x:c>
      <x:c r="I91" s="70" t="str"/>
      <x:c r="J91" s="70" t="str"/>
      <x:c r="K91" s="70" t="str"/>
      <x:c r="L91" s="70" t="str"/>
      <x:c r="M91" s="70" t="str"/>
      <x:c r="N91" s="70" t="str">
        <x:v>待复核</x:v>
      </x:c>
      <x:c r="O91" s="70" t="str"/>
      <x:c r="P91" s="70" t="str"/>
    </x:row>
    <x:row r="92">
      <x:c r="A92" s="70" t="str">
        <x:v>M5CE-0087</x:v>
      </x:c>
      <x:c r="B92" s="70" t="str"/>
      <x:c r="C92" s="70" t="str">
        <x:f>IFERROR(VLOOKUP(B92,'02_案例与预测'!$A$6:$E$65,5,FALSE),"")</x:f>
      </x:c>
      <x:c r="D92" s="70" t="str"/>
      <x:c r="E92" s="70" t="str"/>
      <x:c r="F92" s="70" t="str"/>
      <x:c r="G92" s="70" t="str"/>
      <x:c r="H92" s="70" t="str">
        <x:v>弱</x:v>
      </x:c>
      <x:c r="I92" s="70" t="str"/>
      <x:c r="J92" s="70" t="str"/>
      <x:c r="K92" s="70" t="str"/>
      <x:c r="L92" s="70" t="str"/>
      <x:c r="M92" s="70" t="str"/>
      <x:c r="N92" s="70" t="str">
        <x:v>待复核</x:v>
      </x:c>
      <x:c r="O92" s="70" t="str"/>
      <x:c r="P92" s="70" t="str"/>
    </x:row>
    <x:row r="93">
      <x:c r="A93" s="70" t="str">
        <x:v>M5CE-0088</x:v>
      </x:c>
      <x:c r="B93" s="70" t="str"/>
      <x:c r="C93" s="70" t="str">
        <x:f>IFERROR(VLOOKUP(B93,'02_案例与预测'!$A$6:$E$65,5,FALSE),"")</x:f>
      </x:c>
      <x:c r="D93" s="70" t="str"/>
      <x:c r="E93" s="70" t="str"/>
      <x:c r="F93" s="70" t="str"/>
      <x:c r="G93" s="70" t="str"/>
      <x:c r="H93" s="70" t="str">
        <x:v>弱</x:v>
      </x:c>
      <x:c r="I93" s="70" t="str"/>
      <x:c r="J93" s="70" t="str"/>
      <x:c r="K93" s="70" t="str"/>
      <x:c r="L93" s="70" t="str"/>
      <x:c r="M93" s="70" t="str"/>
      <x:c r="N93" s="70" t="str">
        <x:v>待复核</x:v>
      </x:c>
      <x:c r="O93" s="70" t="str"/>
      <x:c r="P93" s="70" t="str"/>
    </x:row>
    <x:row r="94">
      <x:c r="A94" s="70" t="str">
        <x:v>M5CE-0089</x:v>
      </x:c>
      <x:c r="B94" s="70" t="str"/>
      <x:c r="C94" s="70" t="str">
        <x:f>IFERROR(VLOOKUP(B94,'02_案例与预测'!$A$6:$E$65,5,FALSE),"")</x:f>
      </x:c>
      <x:c r="D94" s="70" t="str"/>
      <x:c r="E94" s="70" t="str"/>
      <x:c r="F94" s="70" t="str"/>
      <x:c r="G94" s="70" t="str"/>
      <x:c r="H94" s="70" t="str">
        <x:v>弱</x:v>
      </x:c>
      <x:c r="I94" s="70" t="str"/>
      <x:c r="J94" s="70" t="str"/>
      <x:c r="K94" s="70" t="str"/>
      <x:c r="L94" s="70" t="str"/>
      <x:c r="M94" s="70" t="str"/>
      <x:c r="N94" s="70" t="str">
        <x:v>待复核</x:v>
      </x:c>
      <x:c r="O94" s="70" t="str"/>
      <x:c r="P94" s="70" t="str"/>
    </x:row>
    <x:row r="95">
      <x:c r="A95" s="70" t="str">
        <x:v>M5CE-0090</x:v>
      </x:c>
      <x:c r="B95" s="70" t="str"/>
      <x:c r="C95" s="70" t="str">
        <x:f>IFERROR(VLOOKUP(B95,'02_案例与预测'!$A$6:$E$65,5,FALSE),"")</x:f>
      </x:c>
      <x:c r="D95" s="70" t="str"/>
      <x:c r="E95" s="70" t="str"/>
      <x:c r="F95" s="70" t="str"/>
      <x:c r="G95" s="70" t="str"/>
      <x:c r="H95" s="70" t="str">
        <x:v>弱</x:v>
      </x:c>
      <x:c r="I95" s="70" t="str"/>
      <x:c r="J95" s="70" t="str"/>
      <x:c r="K95" s="70" t="str"/>
      <x:c r="L95" s="70" t="str"/>
      <x:c r="M95" s="70" t="str"/>
      <x:c r="N95" s="70" t="str">
        <x:v>待复核</x:v>
      </x:c>
      <x:c r="O95" s="70" t="str"/>
      <x:c r="P95" s="70" t="str"/>
    </x:row>
    <x:row r="96">
      <x:c r="A96" s="70" t="str">
        <x:v>M5CE-0091</x:v>
      </x:c>
      <x:c r="B96" s="70" t="str"/>
      <x:c r="C96" s="70" t="str">
        <x:f>IFERROR(VLOOKUP(B96,'02_案例与预测'!$A$6:$E$65,5,FALSE),"")</x:f>
      </x:c>
      <x:c r="D96" s="70" t="str"/>
      <x:c r="E96" s="70" t="str"/>
      <x:c r="F96" s="70" t="str"/>
      <x:c r="G96" s="70" t="str"/>
      <x:c r="H96" s="70" t="str">
        <x:v>弱</x:v>
      </x:c>
      <x:c r="I96" s="70" t="str"/>
      <x:c r="J96" s="70" t="str"/>
      <x:c r="K96" s="70" t="str"/>
      <x:c r="L96" s="70" t="str"/>
      <x:c r="M96" s="70" t="str"/>
      <x:c r="N96" s="70" t="str">
        <x:v>待复核</x:v>
      </x:c>
      <x:c r="O96" s="70" t="str"/>
      <x:c r="P96" s="70" t="str"/>
    </x:row>
    <x:row r="97">
      <x:c r="A97" s="70" t="str">
        <x:v>M5CE-0092</x:v>
      </x:c>
      <x:c r="B97" s="70" t="str"/>
      <x:c r="C97" s="70" t="str">
        <x:f>IFERROR(VLOOKUP(B97,'02_案例与预测'!$A$6:$E$65,5,FALSE),"")</x:f>
      </x:c>
      <x:c r="D97" s="70" t="str"/>
      <x:c r="E97" s="70" t="str"/>
      <x:c r="F97" s="70" t="str"/>
      <x:c r="G97" s="70" t="str"/>
      <x:c r="H97" s="70" t="str">
        <x:v>弱</x:v>
      </x:c>
      <x:c r="I97" s="70" t="str"/>
      <x:c r="J97" s="70" t="str"/>
      <x:c r="K97" s="70" t="str"/>
      <x:c r="L97" s="70" t="str"/>
      <x:c r="M97" s="70" t="str"/>
      <x:c r="N97" s="70" t="str">
        <x:v>待复核</x:v>
      </x:c>
      <x:c r="O97" s="70" t="str"/>
      <x:c r="P97" s="70" t="str"/>
    </x:row>
    <x:row r="98">
      <x:c r="A98" s="70" t="str">
        <x:v>M5CE-0093</x:v>
      </x:c>
      <x:c r="B98" s="70" t="str"/>
      <x:c r="C98" s="70" t="str">
        <x:f>IFERROR(VLOOKUP(B98,'02_案例与预测'!$A$6:$E$65,5,FALSE),"")</x:f>
      </x:c>
      <x:c r="D98" s="70" t="str"/>
      <x:c r="E98" s="70" t="str"/>
      <x:c r="F98" s="70" t="str"/>
      <x:c r="G98" s="70" t="str"/>
      <x:c r="H98" s="70" t="str">
        <x:v>弱</x:v>
      </x:c>
      <x:c r="I98" s="70" t="str"/>
      <x:c r="J98" s="70" t="str"/>
      <x:c r="K98" s="70" t="str"/>
      <x:c r="L98" s="70" t="str"/>
      <x:c r="M98" s="70" t="str"/>
      <x:c r="N98" s="70" t="str">
        <x:v>待复核</x:v>
      </x:c>
      <x:c r="O98" s="70" t="str"/>
      <x:c r="P98" s="70" t="str"/>
    </x:row>
    <x:row r="99">
      <x:c r="A99" s="70" t="str">
        <x:v>M5CE-0094</x:v>
      </x:c>
      <x:c r="B99" s="70" t="str"/>
      <x:c r="C99" s="70" t="str">
        <x:f>IFERROR(VLOOKUP(B99,'02_案例与预测'!$A$6:$E$65,5,FALSE),"")</x:f>
      </x:c>
      <x:c r="D99" s="70" t="str"/>
      <x:c r="E99" s="70" t="str"/>
      <x:c r="F99" s="70" t="str"/>
      <x:c r="G99" s="70" t="str"/>
      <x:c r="H99" s="70" t="str">
        <x:v>弱</x:v>
      </x:c>
      <x:c r="I99" s="70" t="str"/>
      <x:c r="J99" s="70" t="str"/>
      <x:c r="K99" s="70" t="str"/>
      <x:c r="L99" s="70" t="str"/>
      <x:c r="M99" s="70" t="str"/>
      <x:c r="N99" s="70" t="str">
        <x:v>待复核</x:v>
      </x:c>
      <x:c r="O99" s="70" t="str"/>
      <x:c r="P99" s="70" t="str"/>
    </x:row>
    <x:row r="100">
      <x:c r="A100" s="70" t="str">
        <x:v>M5CE-0095</x:v>
      </x:c>
      <x:c r="B100" s="70" t="str"/>
      <x:c r="C100" s="70" t="str">
        <x:f>IFERROR(VLOOKUP(B100,'02_案例与预测'!$A$6:$E$65,5,FALSE),"")</x:f>
      </x:c>
      <x:c r="D100" s="70" t="str"/>
      <x:c r="E100" s="70" t="str"/>
      <x:c r="F100" s="70" t="str"/>
      <x:c r="G100" s="70" t="str"/>
      <x:c r="H100" s="70" t="str">
        <x:v>弱</x:v>
      </x:c>
      <x:c r="I100" s="70" t="str"/>
      <x:c r="J100" s="70" t="str"/>
      <x:c r="K100" s="70" t="str"/>
      <x:c r="L100" s="70" t="str"/>
      <x:c r="M100" s="70" t="str"/>
      <x:c r="N100" s="70" t="str">
        <x:v>待复核</x:v>
      </x:c>
      <x:c r="O100" s="70" t="str"/>
      <x:c r="P100" s="70" t="str"/>
    </x:row>
    <x:row r="101">
      <x:c r="A101" s="70" t="str">
        <x:v>M5CE-0096</x:v>
      </x:c>
      <x:c r="B101" s="70" t="str"/>
      <x:c r="C101" s="70" t="str">
        <x:f>IFERROR(VLOOKUP(B101,'02_案例与预测'!$A$6:$E$65,5,FALSE),"")</x:f>
      </x:c>
      <x:c r="D101" s="70" t="str"/>
      <x:c r="E101" s="70" t="str"/>
      <x:c r="F101" s="70" t="str"/>
      <x:c r="G101" s="70" t="str"/>
      <x:c r="H101" s="70" t="str">
        <x:v>弱</x:v>
      </x:c>
      <x:c r="I101" s="70" t="str"/>
      <x:c r="J101" s="70" t="str"/>
      <x:c r="K101" s="70" t="str"/>
      <x:c r="L101" s="70" t="str"/>
      <x:c r="M101" s="70" t="str"/>
      <x:c r="N101" s="70" t="str">
        <x:v>待复核</x:v>
      </x:c>
      <x:c r="O101" s="70" t="str"/>
      <x:c r="P101" s="70" t="str"/>
    </x:row>
    <x:row r="102">
      <x:c r="A102" s="70" t="str">
        <x:v>M5CE-0097</x:v>
      </x:c>
      <x:c r="B102" s="70" t="str"/>
      <x:c r="C102" s="70" t="str">
        <x:f>IFERROR(VLOOKUP(B102,'02_案例与预测'!$A$6:$E$65,5,FALSE),"")</x:f>
      </x:c>
      <x:c r="D102" s="70" t="str"/>
      <x:c r="E102" s="70" t="str"/>
      <x:c r="F102" s="70" t="str"/>
      <x:c r="G102" s="70" t="str"/>
      <x:c r="H102" s="70" t="str">
        <x:v>弱</x:v>
      </x:c>
      <x:c r="I102" s="70" t="str"/>
      <x:c r="J102" s="70" t="str"/>
      <x:c r="K102" s="70" t="str"/>
      <x:c r="L102" s="70" t="str"/>
      <x:c r="M102" s="70" t="str"/>
      <x:c r="N102" s="70" t="str">
        <x:v>待复核</x:v>
      </x:c>
      <x:c r="O102" s="70" t="str"/>
      <x:c r="P102" s="70" t="str"/>
    </x:row>
    <x:row r="103">
      <x:c r="A103" s="70" t="str">
        <x:v>M5CE-0098</x:v>
      </x:c>
      <x:c r="B103" s="70" t="str"/>
      <x:c r="C103" s="70" t="str">
        <x:f>IFERROR(VLOOKUP(B103,'02_案例与预测'!$A$6:$E$65,5,FALSE),"")</x:f>
      </x:c>
      <x:c r="D103" s="70" t="str"/>
      <x:c r="E103" s="70" t="str"/>
      <x:c r="F103" s="70" t="str"/>
      <x:c r="G103" s="70" t="str"/>
      <x:c r="H103" s="70" t="str">
        <x:v>弱</x:v>
      </x:c>
      <x:c r="I103" s="70" t="str"/>
      <x:c r="J103" s="70" t="str"/>
      <x:c r="K103" s="70" t="str"/>
      <x:c r="L103" s="70" t="str"/>
      <x:c r="M103" s="70" t="str"/>
      <x:c r="N103" s="70" t="str">
        <x:v>待复核</x:v>
      </x:c>
      <x:c r="O103" s="70" t="str"/>
      <x:c r="P103" s="70" t="str"/>
    </x:row>
    <x:row r="104">
      <x:c r="A104" s="70" t="str">
        <x:v>M5CE-0099</x:v>
      </x:c>
      <x:c r="B104" s="70" t="str"/>
      <x:c r="C104" s="70" t="str">
        <x:f>IFERROR(VLOOKUP(B104,'02_案例与预测'!$A$6:$E$65,5,FALSE),"")</x:f>
      </x:c>
      <x:c r="D104" s="70" t="str"/>
      <x:c r="E104" s="70" t="str"/>
      <x:c r="F104" s="70" t="str"/>
      <x:c r="G104" s="70" t="str"/>
      <x:c r="H104" s="70" t="str">
        <x:v>弱</x:v>
      </x:c>
      <x:c r="I104" s="70" t="str"/>
      <x:c r="J104" s="70" t="str"/>
      <x:c r="K104" s="70" t="str"/>
      <x:c r="L104" s="70" t="str"/>
      <x:c r="M104" s="70" t="str"/>
      <x:c r="N104" s="70" t="str">
        <x:v>待复核</x:v>
      </x:c>
      <x:c r="O104" s="70" t="str"/>
      <x:c r="P104" s="70" t="str"/>
    </x:row>
    <x:row r="105">
      <x:c r="A105" s="70" t="str">
        <x:v>M5CE-0100</x:v>
      </x:c>
      <x:c r="B105" s="70" t="str"/>
      <x:c r="C105" s="70" t="str">
        <x:f>IFERROR(VLOOKUP(B105,'02_案例与预测'!$A$6:$E$65,5,FALSE),"")</x:f>
      </x:c>
      <x:c r="D105" s="70" t="str"/>
      <x:c r="E105" s="70" t="str"/>
      <x:c r="F105" s="70" t="str"/>
      <x:c r="G105" s="70" t="str"/>
      <x:c r="H105" s="70" t="str">
        <x:v>弱</x:v>
      </x:c>
      <x:c r="I105" s="70" t="str"/>
      <x:c r="J105" s="70" t="str"/>
      <x:c r="K105" s="70" t="str"/>
      <x:c r="L105" s="70" t="str"/>
      <x:c r="M105" s="70" t="str"/>
      <x:c r="N105" s="70" t="str">
        <x:v>待复核</x:v>
      </x:c>
      <x:c r="O105" s="70" t="str"/>
      <x:c r="P105" s="70" t="str"/>
    </x:row>
    <x:row r="106">
      <x:c r="A106" s="70" t="str">
        <x:v>M5CE-0101</x:v>
      </x:c>
      <x:c r="B106" s="70" t="str"/>
      <x:c r="C106" s="70" t="str">
        <x:f>IFERROR(VLOOKUP(B106,'02_案例与预测'!$A$6:$E$65,5,FALSE),"")</x:f>
      </x:c>
      <x:c r="D106" s="70" t="str"/>
      <x:c r="E106" s="70" t="str"/>
      <x:c r="F106" s="70" t="str"/>
      <x:c r="G106" s="70" t="str"/>
      <x:c r="H106" s="70" t="str">
        <x:v>弱</x:v>
      </x:c>
      <x:c r="I106" s="70" t="str"/>
      <x:c r="J106" s="70" t="str"/>
      <x:c r="K106" s="70" t="str"/>
      <x:c r="L106" s="70" t="str"/>
      <x:c r="M106" s="70" t="str"/>
      <x:c r="N106" s="70" t="str">
        <x:v>待复核</x:v>
      </x:c>
      <x:c r="O106" s="70" t="str"/>
      <x:c r="P106" s="70" t="str"/>
    </x:row>
    <x:row r="107">
      <x:c r="A107" s="70" t="str">
        <x:v>M5CE-0102</x:v>
      </x:c>
      <x:c r="B107" s="70" t="str"/>
      <x:c r="C107" s="70" t="str">
        <x:f>IFERROR(VLOOKUP(B107,'02_案例与预测'!$A$6:$E$65,5,FALSE),"")</x:f>
      </x:c>
      <x:c r="D107" s="70" t="str"/>
      <x:c r="E107" s="70" t="str"/>
      <x:c r="F107" s="70" t="str"/>
      <x:c r="G107" s="70" t="str"/>
      <x:c r="H107" s="70" t="str">
        <x:v>弱</x:v>
      </x:c>
      <x:c r="I107" s="70" t="str"/>
      <x:c r="J107" s="70" t="str"/>
      <x:c r="K107" s="70" t="str"/>
      <x:c r="L107" s="70" t="str"/>
      <x:c r="M107" s="70" t="str"/>
      <x:c r="N107" s="70" t="str">
        <x:v>待复核</x:v>
      </x:c>
      <x:c r="O107" s="70" t="str"/>
      <x:c r="P107" s="70" t="str"/>
    </x:row>
    <x:row r="108">
      <x:c r="A108" s="70" t="str">
        <x:v>M5CE-0103</x:v>
      </x:c>
      <x:c r="B108" s="70" t="str"/>
      <x:c r="C108" s="70" t="str">
        <x:f>IFERROR(VLOOKUP(B108,'02_案例与预测'!$A$6:$E$65,5,FALSE),"")</x:f>
      </x:c>
      <x:c r="D108" s="70" t="str"/>
      <x:c r="E108" s="70" t="str"/>
      <x:c r="F108" s="70" t="str"/>
      <x:c r="G108" s="70" t="str"/>
      <x:c r="H108" s="70" t="str">
        <x:v>弱</x:v>
      </x:c>
      <x:c r="I108" s="70" t="str"/>
      <x:c r="J108" s="70" t="str"/>
      <x:c r="K108" s="70" t="str"/>
      <x:c r="L108" s="70" t="str"/>
      <x:c r="M108" s="70" t="str"/>
      <x:c r="N108" s="70" t="str">
        <x:v>待复核</x:v>
      </x:c>
      <x:c r="O108" s="70" t="str"/>
      <x:c r="P108" s="70" t="str"/>
    </x:row>
    <x:row r="109">
      <x:c r="A109" s="70" t="str">
        <x:v>M5CE-0104</x:v>
      </x:c>
      <x:c r="B109" s="70" t="str"/>
      <x:c r="C109" s="70" t="str">
        <x:f>IFERROR(VLOOKUP(B109,'02_案例与预测'!$A$6:$E$65,5,FALSE),"")</x:f>
      </x:c>
      <x:c r="D109" s="70" t="str"/>
      <x:c r="E109" s="70" t="str"/>
      <x:c r="F109" s="70" t="str"/>
      <x:c r="G109" s="70" t="str"/>
      <x:c r="H109" s="70" t="str">
        <x:v>弱</x:v>
      </x:c>
      <x:c r="I109" s="70" t="str"/>
      <x:c r="J109" s="70" t="str"/>
      <x:c r="K109" s="70" t="str"/>
      <x:c r="L109" s="70" t="str"/>
      <x:c r="M109" s="70" t="str"/>
      <x:c r="N109" s="70" t="str">
        <x:v>待复核</x:v>
      </x:c>
      <x:c r="O109" s="70" t="str"/>
      <x:c r="P109" s="70" t="str"/>
    </x:row>
    <x:row r="110">
      <x:c r="A110" s="70" t="str">
        <x:v>M5CE-0105</x:v>
      </x:c>
      <x:c r="B110" s="70" t="str"/>
      <x:c r="C110" s="70" t="str">
        <x:f>IFERROR(VLOOKUP(B110,'02_案例与预测'!$A$6:$E$65,5,FALSE),"")</x:f>
      </x:c>
      <x:c r="D110" s="70" t="str"/>
      <x:c r="E110" s="70" t="str"/>
      <x:c r="F110" s="70" t="str"/>
      <x:c r="G110" s="70" t="str"/>
      <x:c r="H110" s="70" t="str">
        <x:v>弱</x:v>
      </x:c>
      <x:c r="I110" s="70" t="str"/>
      <x:c r="J110" s="70" t="str"/>
      <x:c r="K110" s="70" t="str"/>
      <x:c r="L110" s="70" t="str"/>
      <x:c r="M110" s="70" t="str"/>
      <x:c r="N110" s="70" t="str">
        <x:v>待复核</x:v>
      </x:c>
      <x:c r="O110" s="70" t="str"/>
      <x:c r="P110" s="70" t="str"/>
    </x:row>
    <x:row r="111">
      <x:c r="A111" s="70" t="str">
        <x:v>M5CE-0106</x:v>
      </x:c>
      <x:c r="B111" s="70" t="str"/>
      <x:c r="C111" s="70" t="str">
        <x:f>IFERROR(VLOOKUP(B111,'02_案例与预测'!$A$6:$E$65,5,FALSE),"")</x:f>
      </x:c>
      <x:c r="D111" s="70" t="str"/>
      <x:c r="E111" s="70" t="str"/>
      <x:c r="F111" s="70" t="str"/>
      <x:c r="G111" s="70" t="str"/>
      <x:c r="H111" s="70" t="str">
        <x:v>弱</x:v>
      </x:c>
      <x:c r="I111" s="70" t="str"/>
      <x:c r="J111" s="70" t="str"/>
      <x:c r="K111" s="70" t="str"/>
      <x:c r="L111" s="70" t="str"/>
      <x:c r="M111" s="70" t="str"/>
      <x:c r="N111" s="70" t="str">
        <x:v>待复核</x:v>
      </x:c>
      <x:c r="O111" s="70" t="str"/>
      <x:c r="P111" s="70" t="str"/>
    </x:row>
    <x:row r="112">
      <x:c r="A112" s="70" t="str">
        <x:v>M5CE-0107</x:v>
      </x:c>
      <x:c r="B112" s="70" t="str"/>
      <x:c r="C112" s="70" t="str">
        <x:f>IFERROR(VLOOKUP(B112,'02_案例与预测'!$A$6:$E$65,5,FALSE),"")</x:f>
      </x:c>
      <x:c r="D112" s="70" t="str"/>
      <x:c r="E112" s="70" t="str"/>
      <x:c r="F112" s="70" t="str"/>
      <x:c r="G112" s="70" t="str"/>
      <x:c r="H112" s="70" t="str">
        <x:v>弱</x:v>
      </x:c>
      <x:c r="I112" s="70" t="str"/>
      <x:c r="J112" s="70" t="str"/>
      <x:c r="K112" s="70" t="str"/>
      <x:c r="L112" s="70" t="str"/>
      <x:c r="M112" s="70" t="str"/>
      <x:c r="N112" s="70" t="str">
        <x:v>待复核</x:v>
      </x:c>
      <x:c r="O112" s="70" t="str"/>
      <x:c r="P112" s="70" t="str"/>
    </x:row>
    <x:row r="113">
      <x:c r="A113" s="70" t="str">
        <x:v>M5CE-0108</x:v>
      </x:c>
      <x:c r="B113" s="70" t="str"/>
      <x:c r="C113" s="70" t="str">
        <x:f>IFERROR(VLOOKUP(B113,'02_案例与预测'!$A$6:$E$65,5,FALSE),"")</x:f>
      </x:c>
      <x:c r="D113" s="70" t="str"/>
      <x:c r="E113" s="70" t="str"/>
      <x:c r="F113" s="70" t="str"/>
      <x:c r="G113" s="70" t="str"/>
      <x:c r="H113" s="70" t="str">
        <x:v>弱</x:v>
      </x:c>
      <x:c r="I113" s="70" t="str"/>
      <x:c r="J113" s="70" t="str"/>
      <x:c r="K113" s="70" t="str"/>
      <x:c r="L113" s="70" t="str"/>
      <x:c r="M113" s="70" t="str"/>
      <x:c r="N113" s="70" t="str">
        <x:v>待复核</x:v>
      </x:c>
      <x:c r="O113" s="70" t="str"/>
      <x:c r="P113" s="70" t="str"/>
    </x:row>
    <x:row r="114">
      <x:c r="A114" s="70" t="str">
        <x:v>M5CE-0109</x:v>
      </x:c>
      <x:c r="B114" s="70" t="str"/>
      <x:c r="C114" s="70" t="str">
        <x:f>IFERROR(VLOOKUP(B114,'02_案例与预测'!$A$6:$E$65,5,FALSE),"")</x:f>
      </x:c>
      <x:c r="D114" s="70" t="str"/>
      <x:c r="E114" s="70" t="str"/>
      <x:c r="F114" s="70" t="str"/>
      <x:c r="G114" s="70" t="str"/>
      <x:c r="H114" s="70" t="str">
        <x:v>弱</x:v>
      </x:c>
      <x:c r="I114" s="70" t="str"/>
      <x:c r="J114" s="70" t="str"/>
      <x:c r="K114" s="70" t="str"/>
      <x:c r="L114" s="70" t="str"/>
      <x:c r="M114" s="70" t="str"/>
      <x:c r="N114" s="70" t="str">
        <x:v>待复核</x:v>
      </x:c>
      <x:c r="O114" s="70" t="str"/>
      <x:c r="P114" s="70" t="str"/>
    </x:row>
    <x:row r="115">
      <x:c r="A115" s="70" t="str">
        <x:v>M5CE-0110</x:v>
      </x:c>
      <x:c r="B115" s="70" t="str"/>
      <x:c r="C115" s="70" t="str">
        <x:f>IFERROR(VLOOKUP(B115,'02_案例与预测'!$A$6:$E$65,5,FALSE),"")</x:f>
      </x:c>
      <x:c r="D115" s="70" t="str"/>
      <x:c r="E115" s="70" t="str"/>
      <x:c r="F115" s="70" t="str"/>
      <x:c r="G115" s="70" t="str"/>
      <x:c r="H115" s="70" t="str">
        <x:v>弱</x:v>
      </x:c>
      <x:c r="I115" s="70" t="str"/>
      <x:c r="J115" s="70" t="str"/>
      <x:c r="K115" s="70" t="str"/>
      <x:c r="L115" s="70" t="str"/>
      <x:c r="M115" s="70" t="str"/>
      <x:c r="N115" s="70" t="str">
        <x:v>待复核</x:v>
      </x:c>
      <x:c r="O115" s="70" t="str"/>
      <x:c r="P115" s="70" t="str"/>
    </x:row>
    <x:row r="116">
      <x:c r="A116" s="70" t="str">
        <x:v>M5CE-0111</x:v>
      </x:c>
      <x:c r="B116" s="70" t="str"/>
      <x:c r="C116" s="70" t="str">
        <x:f>IFERROR(VLOOKUP(B116,'02_案例与预测'!$A$6:$E$65,5,FALSE),"")</x:f>
      </x:c>
      <x:c r="D116" s="70" t="str"/>
      <x:c r="E116" s="70" t="str"/>
      <x:c r="F116" s="70" t="str"/>
      <x:c r="G116" s="70" t="str"/>
      <x:c r="H116" s="70" t="str">
        <x:v>弱</x:v>
      </x:c>
      <x:c r="I116" s="70" t="str"/>
      <x:c r="J116" s="70" t="str"/>
      <x:c r="K116" s="70" t="str"/>
      <x:c r="L116" s="70" t="str"/>
      <x:c r="M116" s="70" t="str"/>
      <x:c r="N116" s="70" t="str">
        <x:v>待复核</x:v>
      </x:c>
      <x:c r="O116" s="70" t="str"/>
      <x:c r="P116" s="70" t="str"/>
    </x:row>
    <x:row r="117">
      <x:c r="A117" s="70" t="str">
        <x:v>M5CE-0112</x:v>
      </x:c>
      <x:c r="B117" s="70" t="str"/>
      <x:c r="C117" s="70" t="str">
        <x:f>IFERROR(VLOOKUP(B117,'02_案例与预测'!$A$6:$E$65,5,FALSE),"")</x:f>
      </x:c>
      <x:c r="D117" s="70" t="str"/>
      <x:c r="E117" s="70" t="str"/>
      <x:c r="F117" s="70" t="str"/>
      <x:c r="G117" s="70" t="str"/>
      <x:c r="H117" s="70" t="str">
        <x:v>弱</x:v>
      </x:c>
      <x:c r="I117" s="70" t="str"/>
      <x:c r="J117" s="70" t="str"/>
      <x:c r="K117" s="70" t="str"/>
      <x:c r="L117" s="70" t="str"/>
      <x:c r="M117" s="70" t="str"/>
      <x:c r="N117" s="70" t="str">
        <x:v>待复核</x:v>
      </x:c>
      <x:c r="O117" s="70" t="str"/>
      <x:c r="P117" s="70" t="str"/>
    </x:row>
    <x:row r="118">
      <x:c r="A118" s="70" t="str">
        <x:v>M5CE-0113</x:v>
      </x:c>
      <x:c r="B118" s="70" t="str"/>
      <x:c r="C118" s="70" t="str">
        <x:f>IFERROR(VLOOKUP(B118,'02_案例与预测'!$A$6:$E$65,5,FALSE),"")</x:f>
      </x:c>
      <x:c r="D118" s="70" t="str"/>
      <x:c r="E118" s="70" t="str"/>
      <x:c r="F118" s="70" t="str"/>
      <x:c r="G118" s="70" t="str"/>
      <x:c r="H118" s="70" t="str">
        <x:v>弱</x:v>
      </x:c>
      <x:c r="I118" s="70" t="str"/>
      <x:c r="J118" s="70" t="str"/>
      <x:c r="K118" s="70" t="str"/>
      <x:c r="L118" s="70" t="str"/>
      <x:c r="M118" s="70" t="str"/>
      <x:c r="N118" s="70" t="str">
        <x:v>待复核</x:v>
      </x:c>
      <x:c r="O118" s="70" t="str"/>
      <x:c r="P118" s="70" t="str"/>
    </x:row>
    <x:row r="119">
      <x:c r="A119" s="70" t="str">
        <x:v>M5CE-0114</x:v>
      </x:c>
      <x:c r="B119" s="70" t="str"/>
      <x:c r="C119" s="70" t="str">
        <x:f>IFERROR(VLOOKUP(B119,'02_案例与预测'!$A$6:$E$65,5,FALSE),"")</x:f>
      </x:c>
      <x:c r="D119" s="70" t="str"/>
      <x:c r="E119" s="70" t="str"/>
      <x:c r="F119" s="70" t="str"/>
      <x:c r="G119" s="70" t="str"/>
      <x:c r="H119" s="70" t="str">
        <x:v>弱</x:v>
      </x:c>
      <x:c r="I119" s="70" t="str"/>
      <x:c r="J119" s="70" t="str"/>
      <x:c r="K119" s="70" t="str"/>
      <x:c r="L119" s="70" t="str"/>
      <x:c r="M119" s="70" t="str"/>
      <x:c r="N119" s="70" t="str">
        <x:v>待复核</x:v>
      </x:c>
      <x:c r="O119" s="70" t="str"/>
      <x:c r="P119" s="70" t="str"/>
    </x:row>
    <x:row r="120">
      <x:c r="A120" s="70" t="str">
        <x:v>M5CE-0115</x:v>
      </x:c>
      <x:c r="B120" s="70" t="str"/>
      <x:c r="C120" s="70" t="str">
        <x:f>IFERROR(VLOOKUP(B120,'02_案例与预测'!$A$6:$E$65,5,FALSE),"")</x:f>
      </x:c>
      <x:c r="D120" s="70" t="str"/>
      <x:c r="E120" s="70" t="str"/>
      <x:c r="F120" s="70" t="str"/>
      <x:c r="G120" s="70" t="str"/>
      <x:c r="H120" s="70" t="str">
        <x:v>弱</x:v>
      </x:c>
      <x:c r="I120" s="70" t="str"/>
      <x:c r="J120" s="70" t="str"/>
      <x:c r="K120" s="70" t="str"/>
      <x:c r="L120" s="70" t="str"/>
      <x:c r="M120" s="70" t="str"/>
      <x:c r="N120" s="70" t="str">
        <x:v>待复核</x:v>
      </x:c>
      <x:c r="O120" s="70" t="str"/>
      <x:c r="P120" s="70" t="str"/>
    </x:row>
    <x:row r="121">
      <x:c r="A121" s="70" t="str">
        <x:v>M5CE-0116</x:v>
      </x:c>
      <x:c r="B121" s="70" t="str"/>
      <x:c r="C121" s="70" t="str">
        <x:f>IFERROR(VLOOKUP(B121,'02_案例与预测'!$A$6:$E$65,5,FALSE),"")</x:f>
      </x:c>
      <x:c r="D121" s="70" t="str"/>
      <x:c r="E121" s="70" t="str"/>
      <x:c r="F121" s="70" t="str"/>
      <x:c r="G121" s="70" t="str"/>
      <x:c r="H121" s="70" t="str">
        <x:v>弱</x:v>
      </x:c>
      <x:c r="I121" s="70" t="str"/>
      <x:c r="J121" s="70" t="str"/>
      <x:c r="K121" s="70" t="str"/>
      <x:c r="L121" s="70" t="str"/>
      <x:c r="M121" s="70" t="str"/>
      <x:c r="N121" s="70" t="str">
        <x:v>待复核</x:v>
      </x:c>
      <x:c r="O121" s="70" t="str"/>
      <x:c r="P121" s="70" t="str"/>
    </x:row>
    <x:row r="122">
      <x:c r="A122" s="70" t="str">
        <x:v>M5CE-0117</x:v>
      </x:c>
      <x:c r="B122" s="70" t="str"/>
      <x:c r="C122" s="70" t="str">
        <x:f>IFERROR(VLOOKUP(B122,'02_案例与预测'!$A$6:$E$65,5,FALSE),"")</x:f>
      </x:c>
      <x:c r="D122" s="70" t="str"/>
      <x:c r="E122" s="70" t="str"/>
      <x:c r="F122" s="70" t="str"/>
      <x:c r="G122" s="70" t="str"/>
      <x:c r="H122" s="70" t="str">
        <x:v>弱</x:v>
      </x:c>
      <x:c r="I122" s="70" t="str"/>
      <x:c r="J122" s="70" t="str"/>
      <x:c r="K122" s="70" t="str"/>
      <x:c r="L122" s="70" t="str"/>
      <x:c r="M122" s="70" t="str"/>
      <x:c r="N122" s="70" t="str">
        <x:v>待复核</x:v>
      </x:c>
      <x:c r="O122" s="70" t="str"/>
      <x:c r="P122" s="70" t="str"/>
    </x:row>
    <x:row r="123">
      <x:c r="A123" s="70" t="str">
        <x:v>M5CE-0118</x:v>
      </x:c>
      <x:c r="B123" s="70" t="str"/>
      <x:c r="C123" s="70" t="str">
        <x:f>IFERROR(VLOOKUP(B123,'02_案例与预测'!$A$6:$E$65,5,FALSE),"")</x:f>
      </x:c>
      <x:c r="D123" s="70" t="str"/>
      <x:c r="E123" s="70" t="str"/>
      <x:c r="F123" s="70" t="str"/>
      <x:c r="G123" s="70" t="str"/>
      <x:c r="H123" s="70" t="str">
        <x:v>弱</x:v>
      </x:c>
      <x:c r="I123" s="70" t="str"/>
      <x:c r="J123" s="70" t="str"/>
      <x:c r="K123" s="70" t="str"/>
      <x:c r="L123" s="70" t="str"/>
      <x:c r="M123" s="70" t="str"/>
      <x:c r="N123" s="70" t="str">
        <x:v>待复核</x:v>
      </x:c>
      <x:c r="O123" s="70" t="str"/>
      <x:c r="P123" s="70" t="str"/>
    </x:row>
    <x:row r="124">
      <x:c r="A124" s="70" t="str">
        <x:v>M5CE-0119</x:v>
      </x:c>
      <x:c r="B124" s="70" t="str"/>
      <x:c r="C124" s="70" t="str">
        <x:f>IFERROR(VLOOKUP(B124,'02_案例与预测'!$A$6:$E$65,5,FALSE),"")</x:f>
      </x:c>
      <x:c r="D124" s="70" t="str"/>
      <x:c r="E124" s="70" t="str"/>
      <x:c r="F124" s="70" t="str"/>
      <x:c r="G124" s="70" t="str"/>
      <x:c r="H124" s="70" t="str">
        <x:v>弱</x:v>
      </x:c>
      <x:c r="I124" s="70" t="str"/>
      <x:c r="J124" s="70" t="str"/>
      <x:c r="K124" s="70" t="str"/>
      <x:c r="L124" s="70" t="str"/>
      <x:c r="M124" s="70" t="str"/>
      <x:c r="N124" s="70" t="str">
        <x:v>待复核</x:v>
      </x:c>
      <x:c r="O124" s="70" t="str"/>
      <x:c r="P124" s="70" t="str"/>
    </x:row>
    <x:row r="125">
      <x:c r="A125" s="70" t="str">
        <x:v>M5CE-0120</x:v>
      </x:c>
      <x:c r="B125" s="70" t="str"/>
      <x:c r="C125" s="70" t="str">
        <x:f>IFERROR(VLOOKUP(B125,'02_案例与预测'!$A$6:$E$65,5,FALSE),"")</x:f>
      </x:c>
      <x:c r="D125" s="70" t="str"/>
      <x:c r="E125" s="70" t="str"/>
      <x:c r="F125" s="70" t="str"/>
      <x:c r="G125" s="70" t="str"/>
      <x:c r="H125" s="70" t="str">
        <x:v>弱</x:v>
      </x:c>
      <x:c r="I125" s="70" t="str"/>
      <x:c r="J125" s="70" t="str"/>
      <x:c r="K125" s="70" t="str"/>
      <x:c r="L125" s="70" t="str"/>
      <x:c r="M125" s="70" t="str"/>
      <x:c r="N125" s="70" t="str">
        <x:v>待复核</x:v>
      </x:c>
      <x:c r="O125" s="70" t="str"/>
      <x:c r="P125" s="70" t="str"/>
    </x:row>
    <x:row r="126">
      <x:c r="A126" s="70" t="str">
        <x:v>M5CE-0121</x:v>
      </x:c>
      <x:c r="B126" s="70" t="str"/>
      <x:c r="C126" s="70" t="str">
        <x:f>IFERROR(VLOOKUP(B126,'02_案例与预测'!$A$6:$E$65,5,FALSE),"")</x:f>
      </x:c>
      <x:c r="D126" s="70" t="str"/>
      <x:c r="E126" s="70" t="str"/>
      <x:c r="F126" s="70" t="str"/>
      <x:c r="G126" s="70" t="str"/>
      <x:c r="H126" s="70" t="str">
        <x:v>弱</x:v>
      </x:c>
      <x:c r="I126" s="70" t="str"/>
      <x:c r="J126" s="70" t="str"/>
      <x:c r="K126" s="70" t="str"/>
      <x:c r="L126" s="70" t="str"/>
      <x:c r="M126" s="70" t="str"/>
      <x:c r="N126" s="70" t="str">
        <x:v>待复核</x:v>
      </x:c>
      <x:c r="O126" s="70" t="str"/>
      <x:c r="P126" s="70" t="str"/>
    </x:row>
    <x:row r="127">
      <x:c r="A127" s="70" t="str">
        <x:v>M5CE-0122</x:v>
      </x:c>
      <x:c r="B127" s="70" t="str"/>
      <x:c r="C127" s="70" t="str">
        <x:f>IFERROR(VLOOKUP(B127,'02_案例与预测'!$A$6:$E$65,5,FALSE),"")</x:f>
      </x:c>
      <x:c r="D127" s="70" t="str"/>
      <x:c r="E127" s="70" t="str"/>
      <x:c r="F127" s="70" t="str"/>
      <x:c r="G127" s="70" t="str"/>
      <x:c r="H127" s="70" t="str">
        <x:v>弱</x:v>
      </x:c>
      <x:c r="I127" s="70" t="str"/>
      <x:c r="J127" s="70" t="str"/>
      <x:c r="K127" s="70" t="str"/>
      <x:c r="L127" s="70" t="str"/>
      <x:c r="M127" s="70" t="str"/>
      <x:c r="N127" s="70" t="str">
        <x:v>待复核</x:v>
      </x:c>
      <x:c r="O127" s="70" t="str"/>
      <x:c r="P127" s="70" t="str"/>
    </x:row>
    <x:row r="128">
      <x:c r="A128" s="70" t="str">
        <x:v>M5CE-0123</x:v>
      </x:c>
      <x:c r="B128" s="70" t="str"/>
      <x:c r="C128" s="70" t="str">
        <x:f>IFERROR(VLOOKUP(B128,'02_案例与预测'!$A$6:$E$65,5,FALSE),"")</x:f>
      </x:c>
      <x:c r="D128" s="70" t="str"/>
      <x:c r="E128" s="70" t="str"/>
      <x:c r="F128" s="70" t="str"/>
      <x:c r="G128" s="70" t="str"/>
      <x:c r="H128" s="70" t="str">
        <x:v>弱</x:v>
      </x:c>
      <x:c r="I128" s="70" t="str"/>
      <x:c r="J128" s="70" t="str"/>
      <x:c r="K128" s="70" t="str"/>
      <x:c r="L128" s="70" t="str"/>
      <x:c r="M128" s="70" t="str"/>
      <x:c r="N128" s="70" t="str">
        <x:v>待复核</x:v>
      </x:c>
      <x:c r="O128" s="70" t="str"/>
      <x:c r="P128" s="70" t="str"/>
    </x:row>
    <x:row r="129">
      <x:c r="A129" s="70" t="str">
        <x:v>M5CE-0124</x:v>
      </x:c>
      <x:c r="B129" s="70" t="str"/>
      <x:c r="C129" s="70" t="str">
        <x:f>IFERROR(VLOOKUP(B129,'02_案例与预测'!$A$6:$E$65,5,FALSE),"")</x:f>
      </x:c>
      <x:c r="D129" s="70" t="str"/>
      <x:c r="E129" s="70" t="str"/>
      <x:c r="F129" s="70" t="str"/>
      <x:c r="G129" s="70" t="str"/>
      <x:c r="H129" s="70" t="str">
        <x:v>弱</x:v>
      </x:c>
      <x:c r="I129" s="70" t="str"/>
      <x:c r="J129" s="70" t="str"/>
      <x:c r="K129" s="70" t="str"/>
      <x:c r="L129" s="70" t="str"/>
      <x:c r="M129" s="70" t="str"/>
      <x:c r="N129" s="70" t="str">
        <x:v>待复核</x:v>
      </x:c>
      <x:c r="O129" s="70" t="str"/>
      <x:c r="P129" s="70" t="str"/>
    </x:row>
    <x:row r="130">
      <x:c r="A130" s="70" t="str">
        <x:v>M5CE-0125</x:v>
      </x:c>
      <x:c r="B130" s="70" t="str"/>
      <x:c r="C130" s="70" t="str">
        <x:f>IFERROR(VLOOKUP(B130,'02_案例与预测'!$A$6:$E$65,5,FALSE),"")</x:f>
      </x:c>
      <x:c r="D130" s="70" t="str"/>
      <x:c r="E130" s="70" t="str"/>
      <x:c r="F130" s="70" t="str"/>
      <x:c r="G130" s="70" t="str"/>
      <x:c r="H130" s="70" t="str">
        <x:v>弱</x:v>
      </x:c>
      <x:c r="I130" s="70" t="str"/>
      <x:c r="J130" s="70" t="str"/>
      <x:c r="K130" s="70" t="str"/>
      <x:c r="L130" s="70" t="str"/>
      <x:c r="M130" s="70" t="str"/>
      <x:c r="N130" s="70" t="str">
        <x:v>待复核</x:v>
      </x:c>
      <x:c r="O130" s="70" t="str"/>
      <x:c r="P130" s="70" t="str"/>
    </x:row>
    <x:row r="131">
      <x:c r="A131" s="70" t="str">
        <x:v>M5CE-0126</x:v>
      </x:c>
      <x:c r="B131" s="70" t="str"/>
      <x:c r="C131" s="70" t="str">
        <x:f>IFERROR(VLOOKUP(B131,'02_案例与预测'!$A$6:$E$65,5,FALSE),"")</x:f>
      </x:c>
      <x:c r="D131" s="70" t="str"/>
      <x:c r="E131" s="70" t="str"/>
      <x:c r="F131" s="70" t="str"/>
      <x:c r="G131" s="70" t="str"/>
      <x:c r="H131" s="70" t="str">
        <x:v>弱</x:v>
      </x:c>
      <x:c r="I131" s="70" t="str"/>
      <x:c r="J131" s="70" t="str"/>
      <x:c r="K131" s="70" t="str"/>
      <x:c r="L131" s="70" t="str"/>
      <x:c r="M131" s="70" t="str"/>
      <x:c r="N131" s="70" t="str">
        <x:v>待复核</x:v>
      </x:c>
      <x:c r="O131" s="70" t="str"/>
      <x:c r="P131" s="70" t="str"/>
    </x:row>
    <x:row r="132">
      <x:c r="A132" s="70" t="str">
        <x:v>M5CE-0127</x:v>
      </x:c>
      <x:c r="B132" s="70" t="str"/>
      <x:c r="C132" s="70" t="str">
        <x:f>IFERROR(VLOOKUP(B132,'02_案例与预测'!$A$6:$E$65,5,FALSE),"")</x:f>
      </x:c>
      <x:c r="D132" s="70" t="str"/>
      <x:c r="E132" s="70" t="str"/>
      <x:c r="F132" s="70" t="str"/>
      <x:c r="G132" s="70" t="str"/>
      <x:c r="H132" s="70" t="str">
        <x:v>弱</x:v>
      </x:c>
      <x:c r="I132" s="70" t="str"/>
      <x:c r="J132" s="70" t="str"/>
      <x:c r="K132" s="70" t="str"/>
      <x:c r="L132" s="70" t="str"/>
      <x:c r="M132" s="70" t="str"/>
      <x:c r="N132" s="70" t="str">
        <x:v>待复核</x:v>
      </x:c>
      <x:c r="O132" s="70" t="str"/>
      <x:c r="P132" s="70" t="str"/>
    </x:row>
    <x:row r="133">
      <x:c r="A133" s="70" t="str">
        <x:v>M5CE-0128</x:v>
      </x:c>
      <x:c r="B133" s="70" t="str"/>
      <x:c r="C133" s="70" t="str">
        <x:f>IFERROR(VLOOKUP(B133,'02_案例与预测'!$A$6:$E$65,5,FALSE),"")</x:f>
      </x:c>
      <x:c r="D133" s="70" t="str"/>
      <x:c r="E133" s="70" t="str"/>
      <x:c r="F133" s="70" t="str"/>
      <x:c r="G133" s="70" t="str"/>
      <x:c r="H133" s="70" t="str">
        <x:v>弱</x:v>
      </x:c>
      <x:c r="I133" s="70" t="str"/>
      <x:c r="J133" s="70" t="str"/>
      <x:c r="K133" s="70" t="str"/>
      <x:c r="L133" s="70" t="str"/>
      <x:c r="M133" s="70" t="str"/>
      <x:c r="N133" s="70" t="str">
        <x:v>待复核</x:v>
      </x:c>
      <x:c r="O133" s="70" t="str"/>
      <x:c r="P133" s="70" t="str"/>
    </x:row>
    <x:row r="134">
      <x:c r="A134" s="70" t="str">
        <x:v>M5CE-0129</x:v>
      </x:c>
      <x:c r="B134" s="70" t="str"/>
      <x:c r="C134" s="70" t="str">
        <x:f>IFERROR(VLOOKUP(B134,'02_案例与预测'!$A$6:$E$65,5,FALSE),"")</x:f>
      </x:c>
      <x:c r="D134" s="70" t="str"/>
      <x:c r="E134" s="70" t="str"/>
      <x:c r="F134" s="70" t="str"/>
      <x:c r="G134" s="70" t="str"/>
      <x:c r="H134" s="70" t="str">
        <x:v>弱</x:v>
      </x:c>
      <x:c r="I134" s="70" t="str"/>
      <x:c r="J134" s="70" t="str"/>
      <x:c r="K134" s="70" t="str"/>
      <x:c r="L134" s="70" t="str"/>
      <x:c r="M134" s="70" t="str"/>
      <x:c r="N134" s="70" t="str">
        <x:v>待复核</x:v>
      </x:c>
      <x:c r="O134" s="70" t="str"/>
      <x:c r="P134" s="70" t="str"/>
    </x:row>
    <x:row r="135">
      <x:c r="A135" s="70" t="str">
        <x:v>M5CE-0130</x:v>
      </x:c>
      <x:c r="B135" s="70" t="str"/>
      <x:c r="C135" s="70" t="str">
        <x:f>IFERROR(VLOOKUP(B135,'02_案例与预测'!$A$6:$E$65,5,FALSE),"")</x:f>
      </x:c>
      <x:c r="D135" s="70" t="str"/>
      <x:c r="E135" s="70" t="str"/>
      <x:c r="F135" s="70" t="str"/>
      <x:c r="G135" s="70" t="str"/>
      <x:c r="H135" s="70" t="str">
        <x:v>弱</x:v>
      </x:c>
      <x:c r="I135" s="70" t="str"/>
      <x:c r="J135" s="70" t="str"/>
      <x:c r="K135" s="70" t="str"/>
      <x:c r="L135" s="70" t="str"/>
      <x:c r="M135" s="70" t="str"/>
      <x:c r="N135" s="70" t="str">
        <x:v>待复核</x:v>
      </x:c>
      <x:c r="O135" s="70" t="str"/>
      <x:c r="P135" s="70" t="str"/>
    </x:row>
    <x:row r="136">
      <x:c r="A136" s="70" t="str">
        <x:v>M5CE-0131</x:v>
      </x:c>
      <x:c r="B136" s="70" t="str"/>
      <x:c r="C136" s="70" t="str">
        <x:f>IFERROR(VLOOKUP(B136,'02_案例与预测'!$A$6:$E$65,5,FALSE),"")</x:f>
      </x:c>
      <x:c r="D136" s="70" t="str"/>
      <x:c r="E136" s="70" t="str"/>
      <x:c r="F136" s="70" t="str"/>
      <x:c r="G136" s="70" t="str"/>
      <x:c r="H136" s="70" t="str">
        <x:v>弱</x:v>
      </x:c>
      <x:c r="I136" s="70" t="str"/>
      <x:c r="J136" s="70" t="str"/>
      <x:c r="K136" s="70" t="str"/>
      <x:c r="L136" s="70" t="str"/>
      <x:c r="M136" s="70" t="str"/>
      <x:c r="N136" s="70" t="str">
        <x:v>待复核</x:v>
      </x:c>
      <x:c r="O136" s="70" t="str"/>
      <x:c r="P136" s="70" t="str"/>
    </x:row>
    <x:row r="137">
      <x:c r="A137" s="70" t="str">
        <x:v>M5CE-0132</x:v>
      </x:c>
      <x:c r="B137" s="70" t="str"/>
      <x:c r="C137" s="70" t="str">
        <x:f>IFERROR(VLOOKUP(B137,'02_案例与预测'!$A$6:$E$65,5,FALSE),"")</x:f>
      </x:c>
      <x:c r="D137" s="70" t="str"/>
      <x:c r="E137" s="70" t="str"/>
      <x:c r="F137" s="70" t="str"/>
      <x:c r="G137" s="70" t="str"/>
      <x:c r="H137" s="70" t="str">
        <x:v>弱</x:v>
      </x:c>
      <x:c r="I137" s="70" t="str"/>
      <x:c r="J137" s="70" t="str"/>
      <x:c r="K137" s="70" t="str"/>
      <x:c r="L137" s="70" t="str"/>
      <x:c r="M137" s="70" t="str"/>
      <x:c r="N137" s="70" t="str">
        <x:v>待复核</x:v>
      </x:c>
      <x:c r="O137" s="70" t="str"/>
      <x:c r="P137" s="70" t="str"/>
    </x:row>
    <x:row r="138">
      <x:c r="A138" s="70" t="str">
        <x:v>M5CE-0133</x:v>
      </x:c>
      <x:c r="B138" s="70" t="str"/>
      <x:c r="C138" s="70" t="str">
        <x:f>IFERROR(VLOOKUP(B138,'02_案例与预测'!$A$6:$E$65,5,FALSE),"")</x:f>
      </x:c>
      <x:c r="D138" s="70" t="str"/>
      <x:c r="E138" s="70" t="str"/>
      <x:c r="F138" s="70" t="str"/>
      <x:c r="G138" s="70" t="str"/>
      <x:c r="H138" s="70" t="str">
        <x:v>弱</x:v>
      </x:c>
      <x:c r="I138" s="70" t="str"/>
      <x:c r="J138" s="70" t="str"/>
      <x:c r="K138" s="70" t="str"/>
      <x:c r="L138" s="70" t="str"/>
      <x:c r="M138" s="70" t="str"/>
      <x:c r="N138" s="70" t="str">
        <x:v>待复核</x:v>
      </x:c>
      <x:c r="O138" s="70" t="str"/>
      <x:c r="P138" s="70" t="str"/>
    </x:row>
    <x:row r="139">
      <x:c r="A139" s="70" t="str">
        <x:v>M5CE-0134</x:v>
      </x:c>
      <x:c r="B139" s="70" t="str"/>
      <x:c r="C139" s="70" t="str">
        <x:f>IFERROR(VLOOKUP(B139,'02_案例与预测'!$A$6:$E$65,5,FALSE),"")</x:f>
      </x:c>
      <x:c r="D139" s="70" t="str"/>
      <x:c r="E139" s="70" t="str"/>
      <x:c r="F139" s="70" t="str"/>
      <x:c r="G139" s="70" t="str"/>
      <x:c r="H139" s="70" t="str">
        <x:v>弱</x:v>
      </x:c>
      <x:c r="I139" s="70" t="str"/>
      <x:c r="J139" s="70" t="str"/>
      <x:c r="K139" s="70" t="str"/>
      <x:c r="L139" s="70" t="str"/>
      <x:c r="M139" s="70" t="str"/>
      <x:c r="N139" s="70" t="str">
        <x:v>待复核</x:v>
      </x:c>
      <x:c r="O139" s="70" t="str"/>
      <x:c r="P139" s="70" t="str"/>
    </x:row>
    <x:row r="140">
      <x:c r="A140" s="70" t="str">
        <x:v>M5CE-0135</x:v>
      </x:c>
      <x:c r="B140" s="70" t="str"/>
      <x:c r="C140" s="70" t="str">
        <x:f>IFERROR(VLOOKUP(B140,'02_案例与预测'!$A$6:$E$65,5,FALSE),"")</x:f>
      </x:c>
      <x:c r="D140" s="70" t="str"/>
      <x:c r="E140" s="70" t="str"/>
      <x:c r="F140" s="70" t="str"/>
      <x:c r="G140" s="70" t="str"/>
      <x:c r="H140" s="70" t="str">
        <x:v>弱</x:v>
      </x:c>
      <x:c r="I140" s="70" t="str"/>
      <x:c r="J140" s="70" t="str"/>
      <x:c r="K140" s="70" t="str"/>
      <x:c r="L140" s="70" t="str"/>
      <x:c r="M140" s="70" t="str"/>
      <x:c r="N140" s="70" t="str">
        <x:v>待复核</x:v>
      </x:c>
      <x:c r="O140" s="70" t="str"/>
      <x:c r="P140" s="70" t="str"/>
    </x:row>
    <x:row r="141">
      <x:c r="A141" s="70" t="str">
        <x:v>M5CE-0136</x:v>
      </x:c>
      <x:c r="B141" s="70" t="str"/>
      <x:c r="C141" s="70" t="str">
        <x:f>IFERROR(VLOOKUP(B141,'02_案例与预测'!$A$6:$E$65,5,FALSE),"")</x:f>
      </x:c>
      <x:c r="D141" s="70" t="str"/>
      <x:c r="E141" s="70" t="str"/>
      <x:c r="F141" s="70" t="str"/>
      <x:c r="G141" s="70" t="str"/>
      <x:c r="H141" s="70" t="str">
        <x:v>弱</x:v>
      </x:c>
      <x:c r="I141" s="70" t="str"/>
      <x:c r="J141" s="70" t="str"/>
      <x:c r="K141" s="70" t="str"/>
      <x:c r="L141" s="70" t="str"/>
      <x:c r="M141" s="70" t="str"/>
      <x:c r="N141" s="70" t="str">
        <x:v>待复核</x:v>
      </x:c>
      <x:c r="O141" s="70" t="str"/>
      <x:c r="P141" s="70" t="str"/>
    </x:row>
    <x:row r="142">
      <x:c r="A142" s="70" t="str">
        <x:v>M5CE-0137</x:v>
      </x:c>
      <x:c r="B142" s="70" t="str"/>
      <x:c r="C142" s="70" t="str">
        <x:f>IFERROR(VLOOKUP(B142,'02_案例与预测'!$A$6:$E$65,5,FALSE),"")</x:f>
      </x:c>
      <x:c r="D142" s="70" t="str"/>
      <x:c r="E142" s="70" t="str"/>
      <x:c r="F142" s="70" t="str"/>
      <x:c r="G142" s="70" t="str"/>
      <x:c r="H142" s="70" t="str">
        <x:v>弱</x:v>
      </x:c>
      <x:c r="I142" s="70" t="str"/>
      <x:c r="J142" s="70" t="str"/>
      <x:c r="K142" s="70" t="str"/>
      <x:c r="L142" s="70" t="str"/>
      <x:c r="M142" s="70" t="str"/>
      <x:c r="N142" s="70" t="str">
        <x:v>待复核</x:v>
      </x:c>
      <x:c r="O142" s="70" t="str"/>
      <x:c r="P142" s="70" t="str"/>
    </x:row>
    <x:row r="143">
      <x:c r="A143" s="70" t="str">
        <x:v>M5CE-0138</x:v>
      </x:c>
      <x:c r="B143" s="70" t="str"/>
      <x:c r="C143" s="70" t="str">
        <x:f>IFERROR(VLOOKUP(B143,'02_案例与预测'!$A$6:$E$65,5,FALSE),"")</x:f>
      </x:c>
      <x:c r="D143" s="70" t="str"/>
      <x:c r="E143" s="70" t="str"/>
      <x:c r="F143" s="70" t="str"/>
      <x:c r="G143" s="70" t="str"/>
      <x:c r="H143" s="70" t="str">
        <x:v>弱</x:v>
      </x:c>
      <x:c r="I143" s="70" t="str"/>
      <x:c r="J143" s="70" t="str"/>
      <x:c r="K143" s="70" t="str"/>
      <x:c r="L143" s="70" t="str"/>
      <x:c r="M143" s="70" t="str"/>
      <x:c r="N143" s="70" t="str">
        <x:v>待复核</x:v>
      </x:c>
      <x:c r="O143" s="70" t="str"/>
      <x:c r="P143" s="70" t="str"/>
    </x:row>
    <x:row r="144">
      <x:c r="A144" s="70" t="str">
        <x:v>M5CE-0139</x:v>
      </x:c>
      <x:c r="B144" s="70" t="str"/>
      <x:c r="C144" s="70" t="str">
        <x:f>IFERROR(VLOOKUP(B144,'02_案例与预测'!$A$6:$E$65,5,FALSE),"")</x:f>
      </x:c>
      <x:c r="D144" s="70" t="str"/>
      <x:c r="E144" s="70" t="str"/>
      <x:c r="F144" s="70" t="str"/>
      <x:c r="G144" s="70" t="str"/>
      <x:c r="H144" s="70" t="str">
        <x:v>弱</x:v>
      </x:c>
      <x:c r="I144" s="70" t="str"/>
      <x:c r="J144" s="70" t="str"/>
      <x:c r="K144" s="70" t="str"/>
      <x:c r="L144" s="70" t="str"/>
      <x:c r="M144" s="70" t="str"/>
      <x:c r="N144" s="70" t="str">
        <x:v>待复核</x:v>
      </x:c>
      <x:c r="O144" s="70" t="str"/>
      <x:c r="P144" s="70" t="str"/>
    </x:row>
    <x:row r="145">
      <x:c r="A145" s="70" t="str">
        <x:v>M5CE-0140</x:v>
      </x:c>
      <x:c r="B145" s="70" t="str"/>
      <x:c r="C145" s="70" t="str">
        <x:f>IFERROR(VLOOKUP(B145,'02_案例与预测'!$A$6:$E$65,5,FALSE),"")</x:f>
      </x:c>
      <x:c r="D145" s="70" t="str"/>
      <x:c r="E145" s="70" t="str"/>
      <x:c r="F145" s="70" t="str"/>
      <x:c r="G145" s="70" t="str"/>
      <x:c r="H145" s="70" t="str">
        <x:v>弱</x:v>
      </x:c>
      <x:c r="I145" s="70" t="str"/>
      <x:c r="J145" s="70" t="str"/>
      <x:c r="K145" s="70" t="str"/>
      <x:c r="L145" s="70" t="str"/>
      <x:c r="M145" s="70" t="str"/>
      <x:c r="N145" s="70" t="str">
        <x:v>待复核</x:v>
      </x:c>
      <x:c r="O145" s="70" t="str"/>
      <x:c r="P145" s="70" t="str"/>
    </x:row>
    <x:row r="146">
      <x:c r="A146" s="70" t="str">
        <x:v>M5CE-0141</x:v>
      </x:c>
      <x:c r="B146" s="70" t="str"/>
      <x:c r="C146" s="70" t="str">
        <x:f>IFERROR(VLOOKUP(B146,'02_案例与预测'!$A$6:$E$65,5,FALSE),"")</x:f>
      </x:c>
      <x:c r="D146" s="70" t="str"/>
      <x:c r="E146" s="70" t="str"/>
      <x:c r="F146" s="70" t="str"/>
      <x:c r="G146" s="70" t="str"/>
      <x:c r="H146" s="70" t="str">
        <x:v>弱</x:v>
      </x:c>
      <x:c r="I146" s="70" t="str"/>
      <x:c r="J146" s="70" t="str"/>
      <x:c r="K146" s="70" t="str"/>
      <x:c r="L146" s="70" t="str"/>
      <x:c r="M146" s="70" t="str"/>
      <x:c r="N146" s="70" t="str">
        <x:v>待复核</x:v>
      </x:c>
      <x:c r="O146" s="70" t="str"/>
      <x:c r="P146" s="70" t="str"/>
    </x:row>
    <x:row r="147">
      <x:c r="A147" s="70" t="str">
        <x:v>M5CE-0142</x:v>
      </x:c>
      <x:c r="B147" s="70" t="str"/>
      <x:c r="C147" s="70" t="str">
        <x:f>IFERROR(VLOOKUP(B147,'02_案例与预测'!$A$6:$E$65,5,FALSE),"")</x:f>
      </x:c>
      <x:c r="D147" s="70" t="str"/>
      <x:c r="E147" s="70" t="str"/>
      <x:c r="F147" s="70" t="str"/>
      <x:c r="G147" s="70" t="str"/>
      <x:c r="H147" s="70" t="str">
        <x:v>弱</x:v>
      </x:c>
      <x:c r="I147" s="70" t="str"/>
      <x:c r="J147" s="70" t="str"/>
      <x:c r="K147" s="70" t="str"/>
      <x:c r="L147" s="70" t="str"/>
      <x:c r="M147" s="70" t="str"/>
      <x:c r="N147" s="70" t="str">
        <x:v>待复核</x:v>
      </x:c>
      <x:c r="O147" s="70" t="str"/>
      <x:c r="P147" s="70" t="str"/>
    </x:row>
    <x:row r="148">
      <x:c r="A148" s="70" t="str">
        <x:v>M5CE-0143</x:v>
      </x:c>
      <x:c r="B148" s="70" t="str"/>
      <x:c r="C148" s="70" t="str">
        <x:f>IFERROR(VLOOKUP(B148,'02_案例与预测'!$A$6:$E$65,5,FALSE),"")</x:f>
      </x:c>
      <x:c r="D148" s="70" t="str"/>
      <x:c r="E148" s="70" t="str"/>
      <x:c r="F148" s="70" t="str"/>
      <x:c r="G148" s="70" t="str"/>
      <x:c r="H148" s="70" t="str">
        <x:v>弱</x:v>
      </x:c>
      <x:c r="I148" s="70" t="str"/>
      <x:c r="J148" s="70" t="str"/>
      <x:c r="K148" s="70" t="str"/>
      <x:c r="L148" s="70" t="str"/>
      <x:c r="M148" s="70" t="str"/>
      <x:c r="N148" s="70" t="str">
        <x:v>待复核</x:v>
      </x:c>
      <x:c r="O148" s="70" t="str"/>
      <x:c r="P148" s="70" t="str"/>
    </x:row>
    <x:row r="149">
      <x:c r="A149" s="70" t="str">
        <x:v>M5CE-0144</x:v>
      </x:c>
      <x:c r="B149" s="70" t="str"/>
      <x:c r="C149" s="70" t="str">
        <x:f>IFERROR(VLOOKUP(B149,'02_案例与预测'!$A$6:$E$65,5,FALSE),"")</x:f>
      </x:c>
      <x:c r="D149" s="70" t="str"/>
      <x:c r="E149" s="70" t="str"/>
      <x:c r="F149" s="70" t="str"/>
      <x:c r="G149" s="70" t="str"/>
      <x:c r="H149" s="70" t="str">
        <x:v>弱</x:v>
      </x:c>
      <x:c r="I149" s="70" t="str"/>
      <x:c r="J149" s="70" t="str"/>
      <x:c r="K149" s="70" t="str"/>
      <x:c r="L149" s="70" t="str"/>
      <x:c r="M149" s="70" t="str"/>
      <x:c r="N149" s="70" t="str">
        <x:v>待复核</x:v>
      </x:c>
      <x:c r="O149" s="70" t="str"/>
      <x:c r="P149" s="70" t="str"/>
    </x:row>
    <x:row r="150">
      <x:c r="A150" s="70" t="str">
        <x:v>M5CE-0145</x:v>
      </x:c>
      <x:c r="B150" s="70" t="str"/>
      <x:c r="C150" s="70" t="str">
        <x:f>IFERROR(VLOOKUP(B150,'02_案例与预测'!$A$6:$E$65,5,FALSE),"")</x:f>
      </x:c>
      <x:c r="D150" s="70" t="str"/>
      <x:c r="E150" s="70" t="str"/>
      <x:c r="F150" s="70" t="str"/>
      <x:c r="G150" s="70" t="str"/>
      <x:c r="H150" s="70" t="str">
        <x:v>弱</x:v>
      </x:c>
      <x:c r="I150" s="70" t="str"/>
      <x:c r="J150" s="70" t="str"/>
      <x:c r="K150" s="70" t="str"/>
      <x:c r="L150" s="70" t="str"/>
      <x:c r="M150" s="70" t="str"/>
      <x:c r="N150" s="70" t="str">
        <x:v>待复核</x:v>
      </x:c>
      <x:c r="O150" s="70" t="str"/>
      <x:c r="P150" s="70" t="str"/>
    </x:row>
    <x:row r="151">
      <x:c r="A151" s="70" t="str">
        <x:v>M5CE-0146</x:v>
      </x:c>
      <x:c r="B151" s="70" t="str"/>
      <x:c r="C151" s="70" t="str">
        <x:f>IFERROR(VLOOKUP(B151,'02_案例与预测'!$A$6:$E$65,5,FALSE),"")</x:f>
      </x:c>
      <x:c r="D151" s="70" t="str"/>
      <x:c r="E151" s="70" t="str"/>
      <x:c r="F151" s="70" t="str"/>
      <x:c r="G151" s="70" t="str"/>
      <x:c r="H151" s="70" t="str">
        <x:v>弱</x:v>
      </x:c>
      <x:c r="I151" s="70" t="str"/>
      <x:c r="J151" s="70" t="str"/>
      <x:c r="K151" s="70" t="str"/>
      <x:c r="L151" s="70" t="str"/>
      <x:c r="M151" s="70" t="str"/>
      <x:c r="N151" s="70" t="str">
        <x:v>待复核</x:v>
      </x:c>
      <x:c r="O151" s="70" t="str"/>
      <x:c r="P151" s="70" t="str"/>
    </x:row>
    <x:row r="152">
      <x:c r="A152" s="70" t="str">
        <x:v>M5CE-0147</x:v>
      </x:c>
      <x:c r="B152" s="70" t="str"/>
      <x:c r="C152" s="70" t="str">
        <x:f>IFERROR(VLOOKUP(B152,'02_案例与预测'!$A$6:$E$65,5,FALSE),"")</x:f>
      </x:c>
      <x:c r="D152" s="70" t="str"/>
      <x:c r="E152" s="70" t="str"/>
      <x:c r="F152" s="70" t="str"/>
      <x:c r="G152" s="70" t="str"/>
      <x:c r="H152" s="70" t="str">
        <x:v>弱</x:v>
      </x:c>
      <x:c r="I152" s="70" t="str"/>
      <x:c r="J152" s="70" t="str"/>
      <x:c r="K152" s="70" t="str"/>
      <x:c r="L152" s="70" t="str"/>
      <x:c r="M152" s="70" t="str"/>
      <x:c r="N152" s="70" t="str">
        <x:v>待复核</x:v>
      </x:c>
      <x:c r="O152" s="70" t="str"/>
      <x:c r="P152" s="70" t="str"/>
    </x:row>
    <x:row r="153">
      <x:c r="A153" s="70" t="str">
        <x:v>M5CE-0148</x:v>
      </x:c>
      <x:c r="B153" s="70" t="str"/>
      <x:c r="C153" s="70" t="str">
        <x:f>IFERROR(VLOOKUP(B153,'02_案例与预测'!$A$6:$E$65,5,FALSE),"")</x:f>
      </x:c>
      <x:c r="D153" s="70" t="str"/>
      <x:c r="E153" s="70" t="str"/>
      <x:c r="F153" s="70" t="str"/>
      <x:c r="G153" s="70" t="str"/>
      <x:c r="H153" s="70" t="str">
        <x:v>弱</x:v>
      </x:c>
      <x:c r="I153" s="70" t="str"/>
      <x:c r="J153" s="70" t="str"/>
      <x:c r="K153" s="70" t="str"/>
      <x:c r="L153" s="70" t="str"/>
      <x:c r="M153" s="70" t="str"/>
      <x:c r="N153" s="70" t="str">
        <x:v>待复核</x:v>
      </x:c>
      <x:c r="O153" s="70" t="str"/>
      <x:c r="P153" s="70" t="str"/>
    </x:row>
    <x:row r="154">
      <x:c r="A154" s="70" t="str">
        <x:v>M5CE-0149</x:v>
      </x:c>
      <x:c r="B154" s="70" t="str"/>
      <x:c r="C154" s="70" t="str">
        <x:f>IFERROR(VLOOKUP(B154,'02_案例与预测'!$A$6:$E$65,5,FALSE),"")</x:f>
      </x:c>
      <x:c r="D154" s="70" t="str"/>
      <x:c r="E154" s="70" t="str"/>
      <x:c r="F154" s="70" t="str"/>
      <x:c r="G154" s="70" t="str"/>
      <x:c r="H154" s="70" t="str">
        <x:v>弱</x:v>
      </x:c>
      <x:c r="I154" s="70" t="str"/>
      <x:c r="J154" s="70" t="str"/>
      <x:c r="K154" s="70" t="str"/>
      <x:c r="L154" s="70" t="str"/>
      <x:c r="M154" s="70" t="str"/>
      <x:c r="N154" s="70" t="str">
        <x:v>待复核</x:v>
      </x:c>
      <x:c r="O154" s="70" t="str"/>
      <x:c r="P154" s="70" t="str"/>
    </x:row>
    <x:row r="155">
      <x:c r="A155" s="107" t="str">
        <x:v>M5CE-0150</x:v>
      </x:c>
      <x:c r="B155" s="107" t="str"/>
      <x:c r="C155" s="107" t="str">
        <x:f>IFERROR(VLOOKUP(B155,'02_案例与预测'!$A$6:$E$65,5,FALSE),"")</x:f>
      </x:c>
      <x:c r="D155" s="107" t="str"/>
      <x:c r="E155" s="107" t="str"/>
      <x:c r="F155" s="107" t="str"/>
      <x:c r="G155" s="107" t="str"/>
      <x:c r="H155" s="107" t="str">
        <x:v>弱</x:v>
      </x:c>
      <x:c r="I155" s="107" t="str"/>
      <x:c r="J155" s="107" t="str"/>
      <x:c r="K155" s="107" t="str"/>
      <x:c r="L155" s="107" t="str"/>
      <x:c r="M155" s="107" t="str"/>
      <x:c r="N155" s="107" t="str">
        <x:v>待复核</x:v>
      </x:c>
      <x:c r="O155" s="107" t="str"/>
      <x:c r="P155" s="107" t="str"/>
    </x:row>
    <x:row r="160">
      <x:c r="A160" s="104" t="str">
        <x:v>代码</x:v>
      </x:c>
      <x:c r="B160" s="104" t="str">
        <x:v>错误类型</x:v>
      </x:c>
      <x:c r="C160" s="104" t="str">
        <x:v>定义</x:v>
      </x:c>
      <x:c r="D160" s="104" t="str">
        <x:v>处理方向</x:v>
      </x:c>
    </x:row>
    <x:row r="161">
      <x:c r="A161" s="70" t="str">
        <x:v>ER01</x:v>
      </x:c>
      <x:c r="B161" s="70" t="str">
        <x:v>证据越级</x:v>
      </x:c>
      <x:c r="C161" s="70" t="str">
        <x:v>预测层级高于现实可支持层级</x:v>
      </x:c>
      <x:c r="D161" s="70" t="str">
        <x:v>降FG／降置信，检查发布门槛</x:v>
      </x:c>
    </x:row>
    <x:row r="162">
      <x:c r="A162" s="70" t="str">
        <x:v>ER02</x:v>
      </x:c>
      <x:c r="B162" s="70" t="str">
        <x:v>假阳性</x:v>
      </x:c>
      <x:c r="C162" s="70" t="str">
        <x:v>预测存在或成熟，现实明确不支持</x:v>
      </x:c>
      <x:c r="D162" s="70" t="str">
        <x:v>检查必要条件与伪适配排除</x:v>
      </x:c>
    </x:row>
    <x:row r="163">
      <x:c r="A163" s="70" t="str">
        <x:v>ER03</x:v>
      </x:c>
      <x:c r="B163" s="70" t="str">
        <x:v>假阴性</x:v>
      </x:c>
      <x:c r="C163" s="70" t="str">
        <x:v>预测未识别，现实重复存在</x:v>
      </x:c>
      <x:c r="D163" s="70" t="str">
        <x:v>检查权重不足、字段遗漏或停止过早</x:v>
      </x:c>
    </x:row>
    <x:row r="164">
      <x:c r="A164" s="70" t="str">
        <x:v>ER04</x:v>
      </x:c>
      <x:c r="B164" s="70" t="str">
        <x:v>功能族错类</x:v>
      </x:c>
      <x:c r="C164" s="70" t="str">
        <x:v>关系任务识别到错误FAM或功能</x:v>
      </x:c>
      <x:c r="D164" s="70" t="str">
        <x:v>修改映射或拆分条件</x:v>
      </x:c>
    </x:row>
    <x:row r="165">
      <x:c r="A165" s="70" t="str">
        <x:v>ER05</x:v>
      </x:c>
      <x:c r="B165" s="70" t="str">
        <x:v>主次优先错误</x:v>
      </x:c>
      <x:c r="C165" s="70" t="str">
        <x:v>功能存在，但排成错误主次</x:v>
      </x:c>
      <x:c r="D165" s="70" t="str">
        <x:v>调整优先级与否决代价</x:v>
      </x:c>
    </x:row>
    <x:row r="166">
      <x:c r="A166" s="70" t="str">
        <x:v>ER06</x:v>
      </x:c>
      <x:c r="B166" s="70" t="str">
        <x:v>状态／阶段错判</x:v>
      </x:c>
      <x:c r="C166" s="70" t="str">
        <x:v>把平稳、压力、恢复或条件性混为一体</x:v>
      </x:c>
      <x:c r="D166" s="70" t="str">
        <x:v>增加情境与阶段字段</x:v>
      </x:c>
    </x:row>
    <x:row r="167">
      <x:c r="A167" s="70" t="str">
        <x:v>ER07</x:v>
      </x:c>
      <x:c r="B167" s="70" t="str">
        <x:v>阶段永久化</x:v>
      </x:c>
      <x:c r="C167" s="70" t="str">
        <x:v>把短期热恋、忙碌、异地或修复期写成长期</x:v>
      </x:c>
      <x:c r="D167" s="70" t="str">
        <x:v>增加结束条件与跨阶段证据</x:v>
      </x:c>
    </x:row>
    <x:row r="168">
      <x:c r="A168" s="70" t="str">
        <x:v>ER08</x:v>
      </x:c>
      <x:c r="B168" s="70" t="str">
        <x:v>同源重复</x:v>
      </x:c>
      <x:c r="C168" s="70" t="str">
        <x:v>同一source_id被当成多份证据</x:v>
      </x:c>
      <x:c r="D168" s="70" t="str">
        <x:v>执行去重并回退等级</x:v>
      </x:c>
    </x:row>
    <x:row r="169">
      <x:c r="A169" s="70" t="str">
        <x:v>ER09</x:v>
      </x:c>
      <x:c r="B169" s="70" t="str">
        <x:v>事件重复</x:v>
      </x:c>
      <x:c r="C169" s="70" t="str">
        <x:v>同一event_id换措辞后被当成多次</x:v>
      </x:c>
      <x:c r="D169" s="70" t="str">
        <x:v>合并事件，重算证据层</x:v>
      </x:c>
    </x:row>
    <x:row r="170">
      <x:c r="A170" s="70" t="str">
        <x:v>ER10</x:v>
      </x:c>
      <x:c r="B170" s="70" t="str">
        <x:v>伪适配未排除</x:v>
      </x:c>
      <x:c r="C170" s="70" t="str">
        <x:v>显眼行为被误判为成熟功能</x:v>
      </x:c>
      <x:c r="D170" s="70" t="str">
        <x:v>加强PM／EB／GB／JR／HB排除</x:v>
      </x:c>
    </x:row>
    <x:row r="171">
      <x:c r="A171" s="70" t="str">
        <x:v>ER11</x:v>
      </x:c>
      <x:c r="B171" s="70" t="str">
        <x:v>现实门槛漏判</x:v>
      </x:c>
      <x:c r="C171" s="70" t="str">
        <x:v>核心RG未评估或被结构分覆盖</x:v>
      </x:c>
      <x:c r="D171" s="70" t="str">
        <x:v>RG优先，降级或停止</x:v>
      </x:c>
    </x:row>
    <x:row r="172">
      <x:c r="A172" s="70" t="str">
        <x:v>ER12</x:v>
      </x:c>
      <x:c r="B172" s="70" t="str">
        <x:v>安全门槛漏判</x:v>
      </x:c>
      <x:c r="C172" s="70" t="str">
        <x:v>控制、强迫、监控或身体越界未停止</x:v>
      </x:c>
      <x:c r="D172" s="70" t="str">
        <x:v>立即安全审查，FG0／AF09</x:v>
      </x:c>
    </x:row>
    <x:row r="173">
      <x:c r="A173" s="70" t="str">
        <x:v>ER13</x:v>
      </x:c>
      <x:c r="B173" s="70" t="str">
        <x:v>语言过度</x:v>
      </x:c>
      <x:c r="C173" s="70" t="str">
        <x:v>使用一定、必然、正缘、完全适合等</x:v>
      </x:c>
      <x:c r="D173" s="70" t="str">
        <x:v>改成候选、条件和观察任务</x:v>
      </x:c>
    </x:row>
    <x:row r="174">
      <x:c r="A174" s="70" t="str">
        <x:v>ER14</x:v>
      </x:c>
      <x:c r="B174" s="70" t="str">
        <x:v>不可证伪</x:v>
      </x:c>
      <x:c r="C174" s="70" t="str">
        <x:v>预测过宽，任何现实都能解释为命中</x:v>
      </x:c>
      <x:c r="D174" s="70" t="str">
        <x:v>重写为场景、行为和停止条件</x:v>
      </x:c>
    </x:row>
    <x:row r="175">
      <x:c r="A175" s="70" t="str">
        <x:v>ER15</x:v>
      </x:c>
      <x:c r="B175" s="70" t="str">
        <x:v>缺失资料误判</x:v>
      </x:c>
      <x:c r="C175" s="70" t="str">
        <x:v>把unknown／未发生当成反例或零分</x:v>
      </x:c>
      <x:c r="D175" s="70" t="str">
        <x:v>改为不可评估，限制FG</x:v>
      </x:c>
    </x:row>
    <x:row r="176">
      <x:c r="A176" s="70" t="str">
        <x:v>ER16</x:v>
      </x:c>
      <x:c r="B176" s="70" t="str">
        <x:v>历史当前混淆</x:v>
      </x:c>
      <x:c r="C176" s="70" t="str">
        <x:v>用过去对象或旧阶段直接判断当前对象</x:v>
      </x:c>
      <x:c r="D176" s="70" t="str">
        <x:v>分开case_id、event_id和阶段</x:v>
      </x:c>
    </x:row>
    <x:row r="177">
      <x:c r="A177" s="70" t="str">
        <x:v>ER17</x:v>
      </x:c>
      <x:c r="B177" s="70" t="str">
        <x:v>权威字段冲突</x:v>
      </x:c>
      <x:c r="C177" s="70" t="str">
        <x:v>低权威模块覆盖主权威字段</x:v>
      </x:c>
      <x:c r="D177" s="70" t="str">
        <x:v>按字段权威矩阵重裁决</x:v>
      </x:c>
    </x:row>
    <x:row r="178">
      <x:c r="A178" s="107" t="str">
        <x:v>ER18</x:v>
      </x:c>
      <x:c r="B178" s="107" t="str">
        <x:v>阈值失准</x:v>
      </x:c>
      <x:c r="C178" s="107" t="str">
        <x:v>阈值系统性过度发布或漏判</x:v>
      </x:c>
      <x:c r="D178" s="107" t="str">
        <x:v>开发集提候选，留出集验证</x:v>
      </x:c>
    </x:row>
    <x:row r="182">
      <x:c r="A182" s="104" t="str">
        <x:v>代码</x:v>
      </x:c>
      <x:c r="B182" s="104" t="str">
        <x:v>反例类型</x:v>
      </x:c>
    </x:row>
    <x:row r="183">
      <x:c r="A183" s="70" t="str">
        <x:v>CE01</x:v>
      </x:c>
      <x:c r="B183" s="70" t="str">
        <x:v>结构命中但现实不出现</x:v>
      </x:c>
    </x:row>
    <x:row r="184">
      <x:c r="A184" s="70" t="str">
        <x:v>CE02</x:v>
      </x:c>
      <x:c r="B184" s="70" t="str">
        <x:v>功能强但角色错位</x:v>
      </x:c>
    </x:row>
    <x:row r="185">
      <x:c r="A185" s="70" t="str">
        <x:v>CE03</x:v>
      </x:c>
      <x:c r="B185" s="70" t="str">
        <x:v>伪适配／假阳性</x:v>
      </x:c>
    </x:row>
    <x:row r="186">
      <x:c r="A186" s="70" t="str">
        <x:v>CE04</x:v>
      </x:c>
      <x:c r="B186" s="70" t="str">
        <x:v>短期高光、长期不持续</x:v>
      </x:c>
    </x:row>
    <x:row r="187">
      <x:c r="A187" s="70" t="str">
        <x:v>CE05</x:v>
      </x:c>
      <x:c r="B187" s="70" t="str">
        <x:v>阶段性表现</x:v>
      </x:c>
    </x:row>
    <x:row r="188">
      <x:c r="A188" s="70" t="str">
        <x:v>CE06</x:v>
      </x:c>
      <x:c r="B188" s="70" t="str">
        <x:v>现实门槛覆盖</x:v>
      </x:c>
    </x:row>
    <x:row r="189">
      <x:c r="A189" s="70" t="str">
        <x:v>CE07</x:v>
      </x:c>
      <x:c r="B189" s="70" t="str">
        <x:v>保护存在但未调用</x:v>
      </x:c>
    </x:row>
    <x:row r="190">
      <x:c r="A190" s="70" t="str">
        <x:v>CE08</x:v>
      </x:c>
      <x:c r="B190" s="70" t="str">
        <x:v>安全漏判</x:v>
      </x:c>
    </x:row>
    <x:row r="191">
      <x:c r="A191" s="70" t="str">
        <x:v>CE09</x:v>
      </x:c>
      <x:c r="B191" s="70" t="str">
        <x:v>资料缺失误作反例</x:v>
      </x:c>
    </x:row>
    <x:row r="192">
      <x:c r="A192" s="70" t="str">
        <x:v>CE10</x:v>
      </x:c>
      <x:c r="B192" s="70" t="str">
        <x:v>语言不可证伪</x:v>
      </x:c>
    </x:row>
    <x:row r="193">
      <x:c r="A193" s="70" t="str">
        <x:v>CE11</x:v>
      </x:c>
      <x:c r="B193" s="70" t="str">
        <x:v>同源／同事件重复</x:v>
      </x:c>
    </x:row>
    <x:row r="194">
      <x:c r="A194" s="107" t="str">
        <x:v>CE12</x:v>
      </x:c>
      <x:c r="B194" s="107" t="str">
        <x:v>开发集有效、留出集失效</x:v>
      </x:c>
    </x:row>
  </x:sheetData>
  <x:mergeCells>
    <x:mergeCell ref="A1:P2"/>
    <x:mergeCell ref="A3:P3"/>
  </x:mergeCells>
  <x:conditionalFormatting sqref="H6:H155">
    <x:cfRule type="expression" dxfId="5" priority="1">
      <x:formula>$H6="强"</x:formula>
    </x:cfRule>
    <x:cfRule type="expression" dxfId="6" priority="2">
      <x:formula>$H6="安全"</x:formula>
    </x:cfRule>
  </x:conditionalFormatting>
  <x:dataValidations count="4">
    <x:dataValidation type="list" sqref="F6:F155">
      <x:formula1>"BASE,PARTNER,EXCHANGE,BOUND,REPAIR,RHYTHM,GAP,SYNTH"</x:formula1>
    </x:dataValidation>
    <x:dataValidation type="list" sqref="G6:G155">
      <x:formula1>"CE01,CE02,CE03,CE04,CE05,CE06,CE07,CE08,CE09,CE10,CE11,CE12"</x:formula1>
    </x:dataValidation>
    <x:dataValidation type="list" sqref="H6:H155">
      <x:formula1>"弱,中,强,安全"</x:formula1>
    </x:dataValidation>
    <x:dataValidation type="list" sqref="N6:N155">
      <x:formula1>"待复核,已确认,已解释,已进入修改,不纳入"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c39e4b7d357c447b"/>
    <x:tablePart xmlns:r="http://schemas.openxmlformats.org/officeDocument/2006/relationships" r:id="R2d1cae90094e4691"/>
    <x:tablePart xmlns:r="http://schemas.openxmlformats.org/officeDocument/2006/relationships" r:id="R5d1e889fb2ea475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4" hidden="0" customWidth="1"/>
    <x:col min="4" max="4" width="18" hidden="0" customWidth="1"/>
    <x:col min="5" max="5" width="14" hidden="0" customWidth="1"/>
    <x:col min="6" max="6" width="14" hidden="0" customWidth="1"/>
    <x:col min="7" max="7" width="32" hidden="0" customWidth="1"/>
    <x:col min="8" max="8" width="18" hidden="0" customWidth="1"/>
    <x:col min="9" max="9" width="14" hidden="0" customWidth="1"/>
    <x:col min="10" max="10" width="14" hidden="0" customWidth="1"/>
    <x:col min="11" max="11" width="32" hidden="0" customWidth="1"/>
    <x:col min="12" max="12" width="14" hidden="0" customWidth="1"/>
    <x:col min="13" max="13" width="38" hidden="0" customWidth="1"/>
    <x:col min="14" max="14" width="18" hidden="0" customWidth="1"/>
  </x:cols>
  <x:sheetData>
    <x:row r="1">
      <x:c r="A1" s="115" t="str">
        <x:v>当前阈值、硬门槛与32类回归测试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</x:row>
    <x:row r="2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3">
      <x:c r="A3" s="120" t="str">
        <x:v>硬门槛不能通过调低分数绕过；数值阈值只在开发集提出候选、留出集确认。</x:v>
      </x:c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  <x:c r="N3" s="120"/>
    </x:row>
    <x:row r="5">
      <x:c r="A5" s="125" t="str">
        <x:v>threshold_id</x:v>
      </x:c>
      <x:c r="B5" s="125" t="str">
        <x:v>模块</x:v>
      </x:c>
      <x:c r="C5" s="125" t="str">
        <x:v>对象</x:v>
      </x:c>
      <x:c r="D5" s="125" t="str">
        <x:v>当前阈值／条件</x:v>
      </x:c>
      <x:c r="E5" s="125" t="str">
        <x:v>不可降低硬条件</x:v>
      </x:c>
      <x:c r="F5" s="125" t="str">
        <x:v>hard_lock</x:v>
      </x:c>
      <x:c r="G5" s="125" t="str">
        <x:v>开发可评</x:v>
      </x:c>
      <x:c r="H5" s="125" t="str">
        <x:v>开发越级／反例</x:v>
      </x:c>
      <x:c r="I5" s="125" t="str">
        <x:v>留出可评</x:v>
      </x:c>
      <x:c r="J5" s="125" t="str">
        <x:v>留出越级／反例</x:v>
      </x:c>
      <x:c r="K5" s="125" t="str">
        <x:v>候选新值</x:v>
      </x:c>
      <x:c r="L5" s="125" t="str">
        <x:v>人工决定</x:v>
      </x:c>
      <x:c r="M5" s="125" t="str">
        <x:v>状态</x:v>
      </x:c>
      <x:c r="N5" s="125" t="str">
        <x:v>备注</x:v>
      </x:c>
    </x:row>
    <x:row r="6">
      <x:c r="A6" s="70" t="str">
        <x:v>TH01</x:v>
      </x:c>
      <x:c r="B6" s="70" t="str">
        <x:v>BASE</x:v>
      </x:c>
      <x:c r="C6" s="70" t="str">
        <x:v>主需求</x:v>
      </x:c>
      <x:c r="D6" s="70" t="str">
        <x:v>净分≥36，领先≥8，至少两类独立来源</x:v>
      </x:c>
      <x:c r="E6" s="70" t="str">
        <x:v>来源独立</x:v>
      </x:c>
      <x:c r="F6" s="70" t="str">
        <x:v>否</x:v>
      </x:c>
      <x:c r="G6" s="70" t="n">
        <x:v>0</x:v>
      </x:c>
      <x:c r="H6" s="70" t="n">
        <x:v>0</x:v>
      </x:c>
      <x:c r="I6" s="70" t="n">
        <x:v>0</x:v>
      </x:c>
      <x:c r="J6" s="70" t="n">
        <x:v>0</x:v>
      </x:c>
      <x:c r="K6" s="70" t="str"/>
      <x:c r="L6" s="70" t="str"/>
      <x:c r="M6" s="70" t="str">
        <x:v>待校准</x:v>
      </x:c>
      <x:c r="N6" s="70" t="str"/>
    </x:row>
    <x:row r="7">
      <x:c r="A7" s="70" t="str">
        <x:v>TH02</x:v>
      </x:c>
      <x:c r="B7" s="70" t="str">
        <x:v>BASE</x:v>
      </x:c>
      <x:c r="C7" s="70" t="str">
        <x:v>次需求</x:v>
      </x:c>
      <x:c r="D7" s="70" t="str">
        <x:v>净分≥24，功能独立</x:v>
      </x:c>
      <x:c r="E7" s="70" t="str">
        <x:v>功能独立</x:v>
      </x:c>
      <x:c r="F7" s="70" t="str">
        <x:v>否</x:v>
      </x:c>
      <x:c r="G7" s="70" t="n">
        <x:v>0</x:v>
      </x:c>
      <x:c r="H7" s="70" t="n">
        <x:v>0</x:v>
      </x:c>
      <x:c r="I7" s="70" t="n">
        <x:v>0</x:v>
      </x:c>
      <x:c r="J7" s="70" t="n">
        <x:v>0</x:v>
      </x:c>
      <x:c r="K7" s="70" t="str"/>
      <x:c r="L7" s="70" t="str"/>
      <x:c r="M7" s="70" t="str">
        <x:v>待校准</x:v>
      </x:c>
      <x:c r="N7" s="70" t="str"/>
    </x:row>
    <x:row r="8">
      <x:c r="A8" s="70" t="str">
        <x:v>TH03</x:v>
      </x:c>
      <x:c r="B8" s="70" t="str">
        <x:v>PARTNER</x:v>
      </x:c>
      <x:c r="C8" s="70" t="str">
        <x:v>主伴侣功能</x:v>
      </x:c>
      <x:c r="D8" s="70" t="str">
        <x:v>净分≥38，领先≥8，至少两类独立来源</x:v>
      </x:c>
      <x:c r="E8" s="70" t="str">
        <x:v>现实对象证据另行限制</x:v>
      </x:c>
      <x:c r="F8" s="70" t="str">
        <x:v>否</x:v>
      </x:c>
      <x:c r="G8" s="70" t="n">
        <x:v>0</x:v>
      </x:c>
      <x:c r="H8" s="70" t="n">
        <x:v>0</x:v>
      </x:c>
      <x:c r="I8" s="70" t="n">
        <x:v>0</x:v>
      </x:c>
      <x:c r="J8" s="70" t="n">
        <x:v>0</x:v>
      </x:c>
      <x:c r="K8" s="70" t="str"/>
      <x:c r="L8" s="70" t="str"/>
      <x:c r="M8" s="70" t="str">
        <x:v>待校准</x:v>
      </x:c>
      <x:c r="N8" s="70" t="str"/>
    </x:row>
    <x:row r="9">
      <x:c r="A9" s="70" t="str">
        <x:v>TH04</x:v>
      </x:c>
      <x:c r="B9" s="70" t="str">
        <x:v>PARTNER</x:v>
      </x:c>
      <x:c r="C9" s="70" t="str">
        <x:v>PS01成熟</x:v>
      </x:c>
      <x:c r="D9" s="70" t="str">
        <x:v>PV4以上＋PO关键项至少两项</x:v>
      </x:c>
      <x:c r="E9" s="70" t="str">
        <x:v>PV层级</x:v>
      </x:c>
      <x:c r="F9" s="70" t="str">
        <x:v>是</x:v>
      </x:c>
      <x:c r="G9" s="70" t="n">
        <x:v>0</x:v>
      </x:c>
      <x:c r="H9" s="70" t="n">
        <x:v>0</x:v>
      </x:c>
      <x:c r="I9" s="70" t="n">
        <x:v>0</x:v>
      </x:c>
      <x:c r="J9" s="70" t="n">
        <x:v>0</x:v>
      </x:c>
      <x:c r="K9" s="70" t="str"/>
      <x:c r="L9" s="70" t="str"/>
      <x:c r="M9" s="70" t="str">
        <x:v>待校准</x:v>
      </x:c>
      <x:c r="N9" s="70" t="str"/>
    </x:row>
    <x:row r="10">
      <x:c r="A10" s="70" t="str">
        <x:v>TH05</x:v>
      </x:c>
      <x:c r="B10" s="70" t="str">
        <x:v>EXCHANGE</x:v>
      </x:c>
      <x:c r="C10" s="70" t="str">
        <x:v>主交换通道</x:v>
      </x:c>
      <x:c r="D10" s="70" t="str">
        <x:v>净分≥40，领先≥8</x:v>
      </x:c>
      <x:c r="E10" s="70" t="str">
        <x:v>至少一项双人现实证据</x:v>
      </x:c>
      <x:c r="F10" s="70" t="str">
        <x:v>否</x:v>
      </x:c>
      <x:c r="G10" s="70" t="n">
        <x:v>0</x:v>
      </x:c>
      <x:c r="H10" s="70" t="n">
        <x:v>0</x:v>
      </x:c>
      <x:c r="I10" s="70" t="n">
        <x:v>0</x:v>
      </x:c>
      <x:c r="J10" s="70" t="n">
        <x:v>0</x:v>
      </x:c>
      <x:c r="K10" s="70" t="str"/>
      <x:c r="L10" s="70" t="str"/>
      <x:c r="M10" s="70" t="str">
        <x:v>待校准</x:v>
      </x:c>
      <x:c r="N10" s="70" t="str"/>
    </x:row>
    <x:row r="11">
      <x:c r="A11" s="70" t="str">
        <x:v>TH06</x:v>
      </x:c>
      <x:c r="B11" s="70" t="str">
        <x:v>EXCHANGE</x:v>
      </x:c>
      <x:c r="C11" s="70" t="str">
        <x:v>XR01稳定双向</x:v>
      </x:c>
      <x:c r="D11" s="70" t="str">
        <x:v>XV4以上＋关键ED至少三项</x:v>
      </x:c>
      <x:c r="E11" s="70" t="str">
        <x:v>XV4</x:v>
      </x:c>
      <x:c r="F11" s="70" t="str">
        <x:v>是</x:v>
      </x:c>
      <x:c r="G11" s="70" t="n">
        <x:v>0</x:v>
      </x:c>
      <x:c r="H11" s="70" t="n">
        <x:v>0</x:v>
      </x:c>
      <x:c r="I11" s="70" t="n">
        <x:v>0</x:v>
      </x:c>
      <x:c r="J11" s="70" t="n">
        <x:v>0</x:v>
      </x:c>
      <x:c r="K11" s="70" t="str"/>
      <x:c r="L11" s="70" t="str"/>
      <x:c r="M11" s="70" t="str">
        <x:v>待校准</x:v>
      </x:c>
      <x:c r="N11" s="70" t="str"/>
    </x:row>
    <x:row r="12">
      <x:c r="A12" s="70" t="str">
        <x:v>TH07</x:v>
      </x:c>
      <x:c r="B12" s="70" t="str">
        <x:v>BOUND</x:v>
      </x:c>
      <x:c r="C12" s="70" t="str">
        <x:v>主边界通道</x:v>
      </x:c>
      <x:c r="D12" s="70" t="str">
        <x:v>净分≥42，领先≥8</x:v>
      </x:c>
      <x:c r="E12" s="70" t="str">
        <x:v>安全和同意优先</x:v>
      </x:c>
      <x:c r="F12" s="70" t="str">
        <x:v>否</x:v>
      </x:c>
      <x:c r="G12" s="70" t="n">
        <x:v>0</x:v>
      </x:c>
      <x:c r="H12" s="70" t="n">
        <x:v>0</x:v>
      </x:c>
      <x:c r="I12" s="70" t="n">
        <x:v>0</x:v>
      </x:c>
      <x:c r="J12" s="70" t="n">
        <x:v>0</x:v>
      </x:c>
      <x:c r="K12" s="70" t="str"/>
      <x:c r="L12" s="70" t="str"/>
      <x:c r="M12" s="70" t="str">
        <x:v>待校准</x:v>
      </x:c>
      <x:c r="N12" s="70" t="str"/>
    </x:row>
    <x:row r="13">
      <x:c r="A13" s="70" t="str">
        <x:v>TH08</x:v>
      </x:c>
      <x:c r="B13" s="70" t="str">
        <x:v>BOUND</x:v>
      </x:c>
      <x:c r="C13" s="70" t="str">
        <x:v>BS01稳定双向</x:v>
      </x:c>
      <x:c r="D13" s="70" t="str">
        <x:v>BV4以上＋关键BO至少三项</x:v>
      </x:c>
      <x:c r="E13" s="70" t="str">
        <x:v>BV4</x:v>
      </x:c>
      <x:c r="F13" s="70" t="str">
        <x:v>是</x:v>
      </x:c>
      <x:c r="G13" s="70" t="n">
        <x:v>0</x:v>
      </x:c>
      <x:c r="H13" s="70" t="n">
        <x:v>0</x:v>
      </x:c>
      <x:c r="I13" s="70" t="n">
        <x:v>0</x:v>
      </x:c>
      <x:c r="J13" s="70" t="n">
        <x:v>0</x:v>
      </x:c>
      <x:c r="K13" s="70" t="str"/>
      <x:c r="L13" s="70" t="str"/>
      <x:c r="M13" s="70" t="str">
        <x:v>待校准</x:v>
      </x:c>
      <x:c r="N13" s="70" t="str"/>
    </x:row>
    <x:row r="14">
      <x:c r="A14" s="70" t="str">
        <x:v>TH09</x:v>
      </x:c>
      <x:c r="B14" s="70" t="str">
        <x:v>REPAIR</x:v>
      </x:c>
      <x:c r="C14" s="70" t="str">
        <x:v>主修复通道</x:v>
      </x:c>
      <x:c r="D14" s="70" t="str">
        <x:v>净分≥44，领先≥8</x:v>
      </x:c>
      <x:c r="E14" s="70" t="str">
        <x:v>责任与反馈另行限制</x:v>
      </x:c>
      <x:c r="F14" s="70" t="str">
        <x:v>否</x:v>
      </x:c>
      <x:c r="G14" s="70" t="n">
        <x:v>0</x:v>
      </x:c>
      <x:c r="H14" s="70" t="n">
        <x:v>0</x:v>
      </x:c>
      <x:c r="I14" s="70" t="n">
        <x:v>0</x:v>
      </x:c>
      <x:c r="J14" s="70" t="n">
        <x:v>0</x:v>
      </x:c>
      <x:c r="K14" s="70" t="str"/>
      <x:c r="L14" s="70" t="str"/>
      <x:c r="M14" s="70" t="str">
        <x:v>待校准</x:v>
      </x:c>
      <x:c r="N14" s="70" t="str"/>
    </x:row>
    <x:row r="15">
      <x:c r="A15" s="70" t="str">
        <x:v>TH10</x:v>
      </x:c>
      <x:c r="B15" s="70" t="str">
        <x:v>REPAIR</x:v>
      </x:c>
      <x:c r="C15" s="70" t="str">
        <x:v>RT01稳定双向</x:v>
      </x:c>
      <x:c r="D15" s="70" t="str">
        <x:v>FV4以上＋RO关键项至少四项</x:v>
      </x:c>
      <x:c r="E15" s="70" t="str">
        <x:v>RO07与RO10</x:v>
      </x:c>
      <x:c r="F15" s="70" t="str">
        <x:v>是</x:v>
      </x:c>
      <x:c r="G15" s="70" t="n">
        <x:v>0</x:v>
      </x:c>
      <x:c r="H15" s="70" t="n">
        <x:v>0</x:v>
      </x:c>
      <x:c r="I15" s="70" t="n">
        <x:v>0</x:v>
      </x:c>
      <x:c r="J15" s="70" t="n">
        <x:v>0</x:v>
      </x:c>
      <x:c r="K15" s="70" t="str"/>
      <x:c r="L15" s="70" t="str"/>
      <x:c r="M15" s="70" t="str">
        <x:v>待校准</x:v>
      </x:c>
      <x:c r="N15" s="70" t="str"/>
    </x:row>
    <x:row r="16">
      <x:c r="A16" s="70" t="str">
        <x:v>TH11</x:v>
      </x:c>
      <x:c r="B16" s="70" t="str">
        <x:v>RHYTHM</x:v>
      </x:c>
      <x:c r="C16" s="70" t="str">
        <x:v>主节奏通道</x:v>
      </x:c>
      <x:c r="D16" s="70" t="str">
        <x:v>净分≥46，领先≥8</x:v>
      </x:c>
      <x:c r="E16" s="70" t="str">
        <x:v>跨阶段资料</x:v>
      </x:c>
      <x:c r="F16" s="70" t="str">
        <x:v>否</x:v>
      </x:c>
      <x:c r="G16" s="70" t="n">
        <x:v>0</x:v>
      </x:c>
      <x:c r="H16" s="70" t="n">
        <x:v>0</x:v>
      </x:c>
      <x:c r="I16" s="70" t="n">
        <x:v>0</x:v>
      </x:c>
      <x:c r="J16" s="70" t="n">
        <x:v>0</x:v>
      </x:c>
      <x:c r="K16" s="70" t="str"/>
      <x:c r="L16" s="70" t="str"/>
      <x:c r="M16" s="70" t="str">
        <x:v>待校准</x:v>
      </x:c>
      <x:c r="N16" s="70" t="str"/>
    </x:row>
    <x:row r="17">
      <x:c r="A17" s="70" t="str">
        <x:v>TH12</x:v>
      </x:c>
      <x:c r="B17" s="70" t="str">
        <x:v>RHYTHM</x:v>
      </x:c>
      <x:c r="C17" s="70" t="str">
        <x:v>HS01稳定协同</x:v>
      </x:c>
      <x:c r="D17" s="70" t="str">
        <x:v>HV4以上＋关键HO至少四项</x:v>
      </x:c>
      <x:c r="E17" s="70" t="str">
        <x:v>HV4</x:v>
      </x:c>
      <x:c r="F17" s="70" t="str">
        <x:v>是</x:v>
      </x:c>
      <x:c r="G17" s="70" t="n">
        <x:v>0</x:v>
      </x:c>
      <x:c r="H17" s="70" t="n">
        <x:v>0</x:v>
      </x:c>
      <x:c r="I17" s="70" t="n">
        <x:v>0</x:v>
      </x:c>
      <x:c r="J17" s="70" t="n">
        <x:v>0</x:v>
      </x:c>
      <x:c r="K17" s="70" t="str"/>
      <x:c r="L17" s="70" t="str"/>
      <x:c r="M17" s="70" t="str">
        <x:v>待校准</x:v>
      </x:c>
      <x:c r="N17" s="70" t="str"/>
    </x:row>
    <x:row r="18">
      <x:c r="A18" s="70" t="str">
        <x:v>TH13</x:v>
      </x:c>
      <x:c r="B18" s="70" t="str">
        <x:v>GAP</x:v>
      </x:c>
      <x:c r="C18" s="70" t="str">
        <x:v>GT类型</x:v>
      </x:c>
      <x:c r="D18" s="70" t="str">
        <x:v>一个AX＋两个GO＋独立来源</x:v>
      </x:c>
      <x:c r="E18" s="70" t="str">
        <x:v>GE边界</x:v>
      </x:c>
      <x:c r="F18" s="70" t="str">
        <x:v>否</x:v>
      </x:c>
      <x:c r="G18" s="70" t="n">
        <x:v>0</x:v>
      </x:c>
      <x:c r="H18" s="70" t="n">
        <x:v>0</x:v>
      </x:c>
      <x:c r="I18" s="70" t="n">
        <x:v>0</x:v>
      </x:c>
      <x:c r="J18" s="70" t="n">
        <x:v>0</x:v>
      </x:c>
      <x:c r="K18" s="70" t="str"/>
      <x:c r="L18" s="70" t="str"/>
      <x:c r="M18" s="70" t="str">
        <x:v>待校准</x:v>
      </x:c>
      <x:c r="N18" s="70" t="str"/>
    </x:row>
    <x:row r="19">
      <x:c r="A19" s="70" t="str">
        <x:v>TH14</x:v>
      </x:c>
      <x:c r="B19" s="70" t="str">
        <x:v>GAP</x:v>
      </x:c>
      <x:c r="C19" s="70" t="str">
        <x:v>桥接有效</x:v>
      </x:c>
      <x:c r="D19" s="70" t="str">
        <x:v>具体行为＋双方参与＋反馈＋复核＋现实启动</x:v>
      </x:c>
      <x:c r="E19" s="70" t="str">
        <x:v>不得只凭计划</x:v>
      </x:c>
      <x:c r="F19" s="70" t="str">
        <x:v>是</x:v>
      </x:c>
      <x:c r="G19" s="70" t="n">
        <x:v>0</x:v>
      </x:c>
      <x:c r="H19" s="70" t="n">
        <x:v>0</x:v>
      </x:c>
      <x:c r="I19" s="70" t="n">
        <x:v>0</x:v>
      </x:c>
      <x:c r="J19" s="70" t="n">
        <x:v>0</x:v>
      </x:c>
      <x:c r="K19" s="70" t="str"/>
      <x:c r="L19" s="70" t="str"/>
      <x:c r="M19" s="70" t="str">
        <x:v>待校准</x:v>
      </x:c>
      <x:c r="N19" s="70" t="str"/>
    </x:row>
    <x:row r="20">
      <x:c r="A20" s="70" t="str">
        <x:v>TH15</x:v>
      </x:c>
      <x:c r="B20" s="70" t="str">
        <x:v>SYNTH</x:v>
      </x:c>
      <x:c r="C20" s="70" t="str">
        <x:v>FG1</x:v>
      </x:c>
      <x:c r="D20" s="70" t="str">
        <x:v>PR1主需要明确</x:v>
      </x:c>
      <x:c r="E20" s="70" t="str">
        <x:v>无对象可成立</x:v>
      </x:c>
      <x:c r="F20" s="70" t="str">
        <x:v>是</x:v>
      </x:c>
      <x:c r="G20" s="70" t="n">
        <x:v>0</x:v>
      </x:c>
      <x:c r="H20" s="70" t="n">
        <x:v>0</x:v>
      </x:c>
      <x:c r="I20" s="70" t="n">
        <x:v>0</x:v>
      </x:c>
      <x:c r="J20" s="70" t="n">
        <x:v>0</x:v>
      </x:c>
      <x:c r="K20" s="70" t="str"/>
      <x:c r="L20" s="70" t="str"/>
      <x:c r="M20" s="70" t="str">
        <x:v>待校准</x:v>
      </x:c>
      <x:c r="N20" s="70" t="str"/>
    </x:row>
    <x:row r="21">
      <x:c r="A21" s="70" t="str">
        <x:v>TH16</x:v>
      </x:c>
      <x:c r="B21" s="70" t="str">
        <x:v>SYNTH</x:v>
      </x:c>
      <x:c r="C21" s="70" t="str">
        <x:v>FG2上限</x:v>
      </x:c>
      <x:c r="D21" s="70" t="str">
        <x:v>只有命盘或浅层对象资料</x:v>
      </x:c>
      <x:c r="E21" s="70" t="str">
        <x:v>不得升FG3</x:v>
      </x:c>
      <x:c r="F21" s="70" t="str">
        <x:v>是</x:v>
      </x:c>
      <x:c r="G21" s="70" t="n">
        <x:v>0</x:v>
      </x:c>
      <x:c r="H21" s="70" t="n">
        <x:v>0</x:v>
      </x:c>
      <x:c r="I21" s="70" t="n">
        <x:v>0</x:v>
      </x:c>
      <x:c r="J21" s="70" t="n">
        <x:v>0</x:v>
      </x:c>
      <x:c r="K21" s="70" t="str"/>
      <x:c r="L21" s="70" t="str"/>
      <x:c r="M21" s="70" t="str">
        <x:v>待校准</x:v>
      </x:c>
      <x:c r="N21" s="70" t="str"/>
    </x:row>
    <x:row r="22">
      <x:c r="A22" s="70" t="str">
        <x:v>TH17</x:v>
      </x:c>
      <x:c r="B22" s="70" t="str">
        <x:v>SYNTH</x:v>
      </x:c>
      <x:c r="C22" s="70" t="str">
        <x:v>FG3</x:v>
      </x:c>
      <x:c r="D22" s="70" t="str">
        <x:v>PV4＋多个现实模块重复＋RG01通过</x:v>
      </x:c>
      <x:c r="E22" s="70" t="str">
        <x:v>核心RG无fail</x:v>
      </x:c>
      <x:c r="F22" s="70" t="str">
        <x:v>是</x:v>
      </x:c>
      <x:c r="G22" s="70" t="n">
        <x:v>0</x:v>
      </x:c>
      <x:c r="H22" s="70" t="n">
        <x:v>0</x:v>
      </x:c>
      <x:c r="I22" s="70" t="n">
        <x:v>0</x:v>
      </x:c>
      <x:c r="J22" s="70" t="n">
        <x:v>0</x:v>
      </x:c>
      <x:c r="K22" s="70" t="str"/>
      <x:c r="L22" s="70" t="str"/>
      <x:c r="M22" s="70" t="str">
        <x:v>待校准</x:v>
      </x:c>
      <x:c r="N22" s="70" t="str"/>
    </x:row>
    <x:row r="23">
      <x:c r="A23" s="70" t="str">
        <x:v>TH18</x:v>
      </x:c>
      <x:c r="B23" s="70" t="str">
        <x:v>SYNTH</x:v>
      </x:c>
      <x:c r="C23" s="70" t="str">
        <x:v>FG4</x:v>
      </x:c>
      <x:c r="D23" s="70" t="str">
        <x:v>压力／修复／转折＋RG全评估＋反例审查</x:v>
      </x:c>
      <x:c r="E23" s="70" t="str">
        <x:v>安全面pass</x:v>
      </x:c>
      <x:c r="F23" s="70" t="str">
        <x:v>是</x:v>
      </x:c>
      <x:c r="G23" s="70" t="n">
        <x:v>0</x:v>
      </x:c>
      <x:c r="H23" s="70" t="n">
        <x:v>0</x:v>
      </x:c>
      <x:c r="I23" s="70" t="n">
        <x:v>0</x:v>
      </x:c>
      <x:c r="J23" s="70" t="n">
        <x:v>0</x:v>
      </x:c>
      <x:c r="K23" s="70" t="str"/>
      <x:c r="L23" s="70" t="str"/>
      <x:c r="M23" s="70" t="str">
        <x:v>待校准</x:v>
      </x:c>
      <x:c r="N23" s="70" t="str"/>
    </x:row>
    <x:row r="24">
      <x:c r="A24" s="70" t="str">
        <x:v>TH19</x:v>
      </x:c>
      <x:c r="B24" s="70" t="str">
        <x:v>SYNTH</x:v>
      </x:c>
      <x:c r="C24" s="70" t="str">
        <x:v>核心RG未知</x:v>
      </x:c>
      <x:c r="D24" s="70" t="str">
        <x:v>具体对象最高FG2</x:v>
      </x:c>
      <x:c r="E24" s="70" t="str">
        <x:v>RG01/02/03/06/07</x:v>
      </x:c>
      <x:c r="F24" s="70" t="str">
        <x:v>是</x:v>
      </x:c>
      <x:c r="G24" s="70" t="n">
        <x:v>0</x:v>
      </x:c>
      <x:c r="H24" s="70" t="n">
        <x:v>0</x:v>
      </x:c>
      <x:c r="I24" s="70" t="n">
        <x:v>0</x:v>
      </x:c>
      <x:c r="J24" s="70" t="n">
        <x:v>0</x:v>
      </x:c>
      <x:c r="K24" s="70" t="str"/>
      <x:c r="L24" s="70" t="str"/>
      <x:c r="M24" s="70" t="str">
        <x:v>待校准</x:v>
      </x:c>
      <x:c r="N24" s="70" t="str"/>
    </x:row>
    <x:row r="25">
      <x:c r="A25" s="70" t="str">
        <x:v>TH20</x:v>
      </x:c>
      <x:c r="B25" s="70" t="str">
        <x:v>SYNTH</x:v>
      </x:c>
      <x:c r="C25" s="70" t="str">
        <x:v>多个conditional</x:v>
      </x:c>
      <x:c r="D25" s="70" t="str">
        <x:v>最高FG3，优先AF04</x:v>
      </x:c>
      <x:c r="E25" s="70" t="str">
        <x:v>必须有桥接</x:v>
      </x:c>
      <x:c r="F25" s="70" t="str">
        <x:v>是</x:v>
      </x:c>
      <x:c r="G25" s="70" t="n">
        <x:v>0</x:v>
      </x:c>
      <x:c r="H25" s="70" t="n">
        <x:v>0</x:v>
      </x:c>
      <x:c r="I25" s="70" t="n">
        <x:v>0</x:v>
      </x:c>
      <x:c r="J25" s="70" t="n">
        <x:v>0</x:v>
      </x:c>
      <x:c r="K25" s="70" t="str"/>
      <x:c r="L25" s="70" t="str"/>
      <x:c r="M25" s="70" t="str">
        <x:v>待校准</x:v>
      </x:c>
      <x:c r="N25" s="70" t="str"/>
    </x:row>
    <x:row r="26">
      <x:c r="A26" s="70" t="str">
        <x:v>TH21</x:v>
      </x:c>
      <x:c r="B26" s="70" t="str">
        <x:v>SYNTH</x:v>
      </x:c>
      <x:c r="C26" s="70" t="str">
        <x:v>FB3</x:v>
      </x:c>
      <x:c r="D26" s="70" t="str">
        <x:v>一次现实事件有效</x:v>
      </x:c>
      <x:c r="E26" s="70" t="str">
        <x:v>不得写稳定</x:v>
      </x:c>
      <x:c r="F26" s="70" t="str">
        <x:v>是</x:v>
      </x:c>
      <x:c r="G26" s="70" t="n">
        <x:v>0</x:v>
      </x:c>
      <x:c r="H26" s="70" t="n">
        <x:v>0</x:v>
      </x:c>
      <x:c r="I26" s="70" t="n">
        <x:v>0</x:v>
      </x:c>
      <x:c r="J26" s="70" t="n">
        <x:v>0</x:v>
      </x:c>
      <x:c r="K26" s="70" t="str"/>
      <x:c r="L26" s="70" t="str"/>
      <x:c r="M26" s="70" t="str">
        <x:v>待校准</x:v>
      </x:c>
      <x:c r="N26" s="70" t="str"/>
    </x:row>
    <x:row r="27">
      <x:c r="A27" s="70" t="str">
        <x:v>TH22</x:v>
      </x:c>
      <x:c r="B27" s="70" t="str">
        <x:v>SYNTH</x:v>
      </x:c>
      <x:c r="C27" s="70" t="str">
        <x:v>FB4</x:v>
      </x:c>
      <x:c r="D27" s="70" t="str">
        <x:v>至少两个不同场景有效</x:v>
      </x:c>
      <x:c r="E27" s="70" t="str">
        <x:v>可支持FG3/FG4</x:v>
      </x:c>
      <x:c r="F27" s="70" t="str">
        <x:v>是</x:v>
      </x:c>
      <x:c r="G27" s="70" t="n">
        <x:v>0</x:v>
      </x:c>
      <x:c r="H27" s="70" t="n">
        <x:v>0</x:v>
      </x:c>
      <x:c r="I27" s="70" t="n">
        <x:v>0</x:v>
      </x:c>
      <x:c r="J27" s="70" t="n">
        <x:v>0</x:v>
      </x:c>
      <x:c r="K27" s="70" t="str"/>
      <x:c r="L27" s="70" t="str"/>
      <x:c r="M27" s="70" t="str">
        <x:v>待校准</x:v>
      </x:c>
      <x:c r="N27" s="70" t="str"/>
    </x:row>
    <x:row r="28">
      <x:c r="A28" s="70" t="str">
        <x:v>TH23</x:v>
      </x:c>
      <x:c r="B28" s="70" t="str">
        <x:v>SYNTH</x:v>
      </x:c>
      <x:c r="C28" s="70" t="str">
        <x:v>高置信</x:v>
      </x:c>
      <x:c r="D28" s="70" t="str">
        <x:v>FG3/FG4＋核心字段完整＋反例审查</x:v>
      </x:c>
      <x:c r="E28" s="70" t="str">
        <x:v>字段级置信优先</x:v>
      </x:c>
      <x:c r="F28" s="70" t="str">
        <x:v>是</x:v>
      </x:c>
      <x:c r="G28" s="70" t="n">
        <x:v>0</x:v>
      </x:c>
      <x:c r="H28" s="70" t="n">
        <x:v>0</x:v>
      </x:c>
      <x:c r="I28" s="70" t="n">
        <x:v>0</x:v>
      </x:c>
      <x:c r="J28" s="70" t="n">
        <x:v>0</x:v>
      </x:c>
      <x:c r="K28" s="70" t="str"/>
      <x:c r="L28" s="70" t="str"/>
      <x:c r="M28" s="70" t="str">
        <x:v>待校准</x:v>
      </x:c>
      <x:c r="N28" s="70" t="str"/>
    </x:row>
    <x:row r="29">
      <x:c r="A29" s="70" t="str">
        <x:v>TH24</x:v>
      </x:c>
      <x:c r="B29" s="70" t="str">
        <x:v>SYNTH</x:v>
      </x:c>
      <x:c r="C29" s="70" t="str">
        <x:v>规则保留观察</x:v>
      </x:c>
      <x:c r="D29" s="70" t="str">
        <x:v>可评≥8、一致度≥0.75、反例率≤0.15、无强反例</x:v>
      </x:c>
      <x:c r="E29" s="70" t="str">
        <x:v>工程筛查</x:v>
      </x:c>
      <x:c r="F29" s="70" t="str">
        <x:v>否</x:v>
      </x:c>
      <x:c r="G29" s="70" t="n">
        <x:v>0</x:v>
      </x:c>
      <x:c r="H29" s="70" t="n">
        <x:v>0</x:v>
      </x:c>
      <x:c r="I29" s="70" t="n">
        <x:v>0</x:v>
      </x:c>
      <x:c r="J29" s="70" t="n">
        <x:v>0</x:v>
      </x:c>
      <x:c r="K29" s="70" t="str"/>
      <x:c r="L29" s="70" t="str"/>
      <x:c r="M29" s="70" t="str">
        <x:v>待校准</x:v>
      </x:c>
      <x:c r="N29" s="70" t="str"/>
    </x:row>
    <x:row r="30">
      <x:c r="A30" s="128" t="str">
        <x:v>TH25</x:v>
      </x:c>
      <x:c r="B30" s="128" t="str">
        <x:v>SYNTH</x:v>
      </x:c>
      <x:c r="C30" s="128" t="str">
        <x:v>规则优先修改</x:v>
      </x:c>
      <x:c r="D30" s="128" t="str">
        <x:v>可评≥6且反例率≥0.40</x:v>
      </x:c>
      <x:c r="E30" s="128" t="str">
        <x:v>留出集必须复核</x:v>
      </x:c>
      <x:c r="F30" s="128" t="str">
        <x:v>否</x:v>
      </x:c>
      <x:c r="G30" s="128" t="n">
        <x:v>0</x:v>
      </x:c>
      <x:c r="H30" s="128" t="n">
        <x:v>0</x:v>
      </x:c>
      <x:c r="I30" s="128" t="n">
        <x:v>0</x:v>
      </x:c>
      <x:c r="J30" s="128" t="n">
        <x:v>0</x:v>
      </x:c>
      <x:c r="K30" s="128" t="str"/>
      <x:c r="L30" s="128" t="str"/>
      <x:c r="M30" s="128" t="str">
        <x:v>待校准</x:v>
      </x:c>
      <x:c r="N30" s="128" t="str"/>
    </x:row>
    <x:row r="34">
      <x:c r="A34" s="125" t="str">
        <x:v>测试ID</x:v>
      </x:c>
      <x:c r="B34" s="125" t="str">
        <x:v>类别</x:v>
      </x:c>
      <x:c r="C34" s="125" t="str">
        <x:v>输入情境</x:v>
      </x:c>
      <x:c r="D34" s="125" t="str">
        <x:v>期望status</x:v>
      </x:c>
      <x:c r="E34" s="125" t="str">
        <x:v>期望AF</x:v>
      </x:c>
      <x:c r="F34" s="125" t="str">
        <x:v>期望FG</x:v>
      </x:c>
      <x:c r="G34" s="125" t="str">
        <x:v>期望关键输出</x:v>
      </x:c>
      <x:c r="H34" s="125" t="str">
        <x:v>实际status</x:v>
      </x:c>
      <x:c r="I34" s="125" t="str">
        <x:v>实际AF</x:v>
      </x:c>
      <x:c r="J34" s="125" t="str">
        <x:v>实际FG</x:v>
      </x:c>
      <x:c r="K34" s="125" t="str">
        <x:v>实际关键输出</x:v>
      </x:c>
      <x:c r="L34" s="125" t="str">
        <x:v>结果</x:v>
      </x:c>
      <x:c r="M34" s="125" t="str">
        <x:v>备注</x:v>
      </x:c>
      <x:c r="N34" s="125" t="str">
        <x:v>变更版本</x:v>
      </x:c>
    </x:row>
    <x:row r="35">
      <x:c r="A35" s="70" t="str">
        <x:v>T01</x:v>
      </x:c>
      <x:c r="B35" s="70" t="str">
        <x:v>无对象</x:v>
      </x:c>
      <x:c r="C35" s="70" t="str">
        <x:v>只有命盘与M1—M4结果</x:v>
      </x:c>
      <x:c r="D35" s="70" t="str">
        <x:v>limited</x:v>
      </x:c>
      <x:c r="E35" s="70" t="str">
        <x:v>AF01</x:v>
      </x:c>
      <x:c r="F35" s="70" t="str">
        <x:v>FG1</x:v>
      </x:c>
      <x:c r="G35" s="70" t="str">
        <x:v>不评价具体对象</x:v>
      </x:c>
      <x:c r="H35" s="70" t="str"/>
      <x:c r="I35" s="70" t="str"/>
      <x:c r="J35" s="70" t="str"/>
      <x:c r="K35" s="70" t="str"/>
      <x:c r="L35" s="70" t="str">
        <x:f>IF(AND(H35="",I35="",J35="",K35=""),"待运行",IF(AND(H35=D35,I35=E35,J35=F35,K35=G35),"通过","失败"))</x:f>
        <x:v>待运行</x:v>
      </x:c>
      <x:c r="M35" s="70" t="str"/>
      <x:c r="N35" s="70" t="str"/>
    </x:row>
    <x:row r="36">
      <x:c r="A36" s="70" t="str">
        <x:v>T02</x:v>
      </x:c>
      <x:c r="B36" s="70" t="str">
        <x:v>结构候选</x:v>
      </x:c>
      <x:c r="C36" s="70" t="str">
        <x:v>无对象但结构观察完整</x:v>
      </x:c>
      <x:c r="D36" s="70" t="str">
        <x:v>limited</x:v>
      </x:c>
      <x:c r="E36" s="70" t="str">
        <x:v>AF01</x:v>
      </x:c>
      <x:c r="F36" s="70" t="str">
        <x:v>FG1</x:v>
      </x:c>
      <x:c r="G36" s="70" t="str">
        <x:v>只有命盘不升FG3</x:v>
      </x:c>
      <x:c r="H36" s="70" t="str"/>
      <x:c r="I36" s="70" t="str"/>
      <x:c r="J36" s="70" t="str"/>
      <x:c r="K36" s="70" t="str"/>
      <x:c r="L36" s="70" t="str">
        <x:f>IF(AND(H36="",I36="",J36="",K36=""),"待运行",IF(AND(H36=D36,I36=E36,J36=F36,K36=G36),"通过","失败"))</x:f>
        <x:v>待运行</x:v>
      </x:c>
      <x:c r="M36" s="70" t="str"/>
      <x:c r="N36" s="70" t="str"/>
    </x:row>
    <x:row r="37">
      <x:c r="A37" s="70" t="str">
        <x:v>T03</x:v>
      </x:c>
      <x:c r="B37" s="70" t="str">
        <x:v>高心动低适配</x:v>
      </x:c>
      <x:c r="C37" s="70" t="str">
        <x:v>M1高，现实结构弱</x:v>
      </x:c>
      <x:c r="D37" s="70" t="str">
        <x:v>limited</x:v>
      </x:c>
      <x:c r="E37" s="70" t="str">
        <x:v>AF02</x:v>
      </x:c>
      <x:c r="F37" s="70" t="str">
        <x:v>FG2</x:v>
      </x:c>
      <x:c r="G37" s="70" t="str">
        <x:v>吸引不加分</x:v>
      </x:c>
      <x:c r="H37" s="70" t="str"/>
      <x:c r="I37" s="70" t="str"/>
      <x:c r="J37" s="70" t="str"/>
      <x:c r="K37" s="70" t="str"/>
      <x:c r="L37" s="70" t="str">
        <x:f>IF(AND(H37="",I37="",J37="",K37=""),"待运行",IF(AND(H37=D37,I37=E37,J37=F37,K37=G37),"通过","失败"))</x:f>
        <x:v>待运行</x:v>
      </x:c>
      <x:c r="M37" s="70" t="str"/>
      <x:c r="N37" s="70" t="str"/>
    </x:row>
    <x:row r="38">
      <x:c r="A38" s="70" t="str">
        <x:v>T04</x:v>
      </x:c>
      <x:c r="B38" s="70" t="str">
        <x:v>低心动高适配</x:v>
      </x:c>
      <x:c r="C38" s="70" t="str">
        <x:v>现实多领域匹配，吸引不足</x:v>
      </x:c>
      <x:c r="D38" s="70" t="str">
        <x:v>complete</x:v>
      </x:c>
      <x:c r="E38" s="70" t="str">
        <x:v>AF05</x:v>
      </x:c>
      <x:c r="F38" s="70" t="str">
        <x:v>FG3</x:v>
      </x:c>
      <x:c r="G38" s="70" t="str">
        <x:v>不建议勉强选择</x:v>
      </x:c>
      <x:c r="H38" s="70" t="str"/>
      <x:c r="I38" s="70" t="str"/>
      <x:c r="J38" s="70" t="str"/>
      <x:c r="K38" s="70" t="str"/>
      <x:c r="L38" s="70" t="str">
        <x:f>IF(AND(H38="",I38="",J38="",K38=""),"待运行",IF(AND(H38=D38,I38=E38,J38=F38,K38=G38),"通过","失败"))</x:f>
        <x:v>待运行</x:v>
      </x:c>
      <x:c r="M38" s="70" t="str"/>
      <x:c r="N38" s="70" t="str"/>
    </x:row>
    <x:row r="39">
      <x:c r="A39" s="70" t="str">
        <x:v>T05</x:v>
      </x:c>
      <x:c r="B39" s="70" t="str">
        <x:v>准入越级</x:v>
      </x:c>
      <x:c r="C39" s="70" t="str">
        <x:v>M2通过，长期能力未验证</x:v>
      </x:c>
      <x:c r="D39" s="70" t="str">
        <x:v>limited</x:v>
      </x:c>
      <x:c r="E39" s="70" t="str">
        <x:v>AF02</x:v>
      </x:c>
      <x:c r="F39" s="70" t="str">
        <x:v>FG2</x:v>
      </x:c>
      <x:c r="G39" s="70" t="str">
        <x:v>准入不等于适配</x:v>
      </x:c>
      <x:c r="H39" s="70" t="str"/>
      <x:c r="I39" s="70" t="str"/>
      <x:c r="J39" s="70" t="str"/>
      <x:c r="K39" s="70" t="str"/>
      <x:c r="L39" s="70" t="str">
        <x:f>IF(AND(H39="",I39="",J39="",K39=""),"待运行",IF(AND(H39=D39,I39=E39,J39=F39,K39=G39),"通过","失败"))</x:f>
        <x:v>待运行</x:v>
      </x:c>
      <x:c r="M39" s="70" t="str"/>
      <x:c r="N39" s="70" t="str"/>
    </x:row>
    <x:row r="40">
      <x:c r="A40" s="70" t="str">
        <x:v>T06</x:v>
      </x:c>
      <x:c r="B40" s="70" t="str">
        <x:v>对象强交换弱</x:v>
      </x:c>
      <x:c r="C40" s="70" t="str">
        <x:v>PV5，XV1</x:v>
      </x:c>
      <x:c r="D40" s="70" t="str">
        <x:v>limited</x:v>
      </x:c>
      <x:c r="E40" s="70" t="str">
        <x:v>AF03</x:v>
      </x:c>
      <x:c r="F40" s="70" t="str">
        <x:v>FG2</x:v>
      </x:c>
      <x:c r="G40" s="70" t="str">
        <x:v>个人能力不等于互惠</x:v>
      </x:c>
      <x:c r="H40" s="70" t="str"/>
      <x:c r="I40" s="70" t="str"/>
      <x:c r="J40" s="70" t="str"/>
      <x:c r="K40" s="70" t="str"/>
      <x:c r="L40" s="70" t="str">
        <x:f>IF(AND(H40="",I40="",J40="",K40=""),"待运行",IF(AND(H40=D40,I40=E40,J40=F40,K40=G40),"通过","失败"))</x:f>
        <x:v>待运行</x:v>
      </x:c>
      <x:c r="M40" s="70" t="str"/>
      <x:c r="N40" s="70" t="str"/>
    </x:row>
    <x:row r="41">
      <x:c r="A41" s="70" t="str">
        <x:v>T07</x:v>
      </x:c>
      <x:c r="B41" s="70" t="str">
        <x:v>交换强边界弱</x:v>
      </x:c>
      <x:c r="C41" s="70" t="str">
        <x:v>XV4，BV1</x:v>
      </x:c>
      <x:c r="D41" s="70" t="str">
        <x:v>limited</x:v>
      </x:c>
      <x:c r="E41" s="70" t="str">
        <x:v>AF03</x:v>
      </x:c>
      <x:c r="F41" s="70" t="str">
        <x:v>FG3</x:v>
      </x:c>
      <x:c r="G41" s="70" t="str">
        <x:v>边界优先</x:v>
      </x:c>
      <x:c r="H41" s="70" t="str"/>
      <x:c r="I41" s="70" t="str"/>
      <x:c r="J41" s="70" t="str"/>
      <x:c r="K41" s="70" t="str"/>
      <x:c r="L41" s="70" t="str">
        <x:f>IF(AND(H41="",I41="",J41="",K41=""),"待运行",IF(AND(H41=D41,I41=E41,J41=F41,K41=G41),"通过","失败"))</x:f>
        <x:v>待运行</x:v>
      </x:c>
      <x:c r="M41" s="70" t="str"/>
      <x:c r="N41" s="70" t="str"/>
    </x:row>
    <x:row r="42">
      <x:c r="A42" s="70" t="str">
        <x:v>T08</x:v>
      </x:c>
      <x:c r="B42" s="70" t="str">
        <x:v>安全停止</x:v>
      </x:c>
      <x:c r="C42" s="70" t="str">
        <x:v>RG01 fail</x:v>
      </x:c>
      <x:c r="D42" s="70" t="str">
        <x:v>stop</x:v>
      </x:c>
      <x:c r="E42" s="70" t="str">
        <x:v>AF09</x:v>
      </x:c>
      <x:c r="F42" s="70" t="str">
        <x:v>FG0</x:v>
      </x:c>
      <x:c r="G42" s="70" t="str">
        <x:v>安全覆盖全部</x:v>
      </x:c>
      <x:c r="H42" s="70" t="str"/>
      <x:c r="I42" s="70" t="str"/>
      <x:c r="J42" s="70" t="str"/>
      <x:c r="K42" s="70" t="str"/>
      <x:c r="L42" s="70" t="str">
        <x:f>IF(AND(H42="",I42="",J42="",K42=""),"待运行",IF(AND(H42=D42,I42=E42,J42=F42,K42=G42),"通过","失败"))</x:f>
        <x:v>待运行</x:v>
      </x:c>
      <x:c r="M42" s="70" t="str"/>
      <x:c r="N42" s="70" t="str"/>
    </x:row>
    <x:row r="43">
      <x:c r="A43" s="70" t="str">
        <x:v>T09</x:v>
      </x:c>
      <x:c r="B43" s="70" t="str">
        <x:v>核心目标冲突</x:v>
      </x:c>
      <x:c r="C43" s="70" t="str">
        <x:v>RG03或RG06 fail</x:v>
      </x:c>
      <x:c r="D43" s="70" t="str">
        <x:v>limited</x:v>
      </x:c>
      <x:c r="E43" s="70" t="str">
        <x:v>AF08</x:v>
      </x:c>
      <x:c r="F43" s="70" t="str">
        <x:v>FG2</x:v>
      </x:c>
      <x:c r="G43" s="70" t="str">
        <x:v>核心门槛不匹配</x:v>
      </x:c>
      <x:c r="H43" s="70" t="str"/>
      <x:c r="I43" s="70" t="str"/>
      <x:c r="J43" s="70" t="str"/>
      <x:c r="K43" s="70" t="str"/>
      <x:c r="L43" s="70" t="str">
        <x:f>IF(AND(H43="",I43="",J43="",K43=""),"待运行",IF(AND(H43=D43,I43=E43,J43=F43,K43=G43),"通过","失败"))</x:f>
        <x:v>待运行</x:v>
      </x:c>
      <x:c r="M43" s="70" t="str"/>
      <x:c r="N43" s="70" t="str"/>
    </x:row>
    <x:row r="44">
      <x:c r="A44" s="70" t="str">
        <x:v>T10</x:v>
      </x:c>
      <x:c r="B44" s="70" t="str">
        <x:v>单条件适配</x:v>
      </x:c>
      <x:c r="C44" s="70" t="str">
        <x:v>一个RG conditional且桥接重复有效</x:v>
      </x:c>
      <x:c r="D44" s="70" t="str">
        <x:v>complete</x:v>
      </x:c>
      <x:c r="E44" s="70" t="str">
        <x:v>AF04</x:v>
      </x:c>
      <x:c r="F44" s="70" t="str">
        <x:v>FG3</x:v>
      </x:c>
      <x:c r="G44" s="70" t="str">
        <x:v>写失效点</x:v>
      </x:c>
      <x:c r="H44" s="70" t="str"/>
      <x:c r="I44" s="70" t="str"/>
      <x:c r="J44" s="70" t="str"/>
      <x:c r="K44" s="70" t="str"/>
      <x:c r="L44" s="70" t="str">
        <x:f>IF(AND(H44="",I44="",J44="",K44=""),"待运行",IF(AND(H44=D44,I44=E44,J44=F44,K44=G44),"通过","失败"))</x:f>
        <x:v>待运行</x:v>
      </x:c>
      <x:c r="M44" s="70" t="str"/>
      <x:c r="N44" s="70" t="str"/>
    </x:row>
    <x:row r="45">
      <x:c r="A45" s="70" t="str">
        <x:v>T11</x:v>
      </x:c>
      <x:c r="B45" s="70" t="str">
        <x:v>多条件适配</x:v>
      </x:c>
      <x:c r="C45" s="70" t="str">
        <x:v>两个以上RG conditional</x:v>
      </x:c>
      <x:c r="D45" s="70" t="str">
        <x:v>limited</x:v>
      </x:c>
      <x:c r="E45" s="70" t="str">
        <x:v>AF04</x:v>
      </x:c>
      <x:c r="F45" s="70" t="str">
        <x:v>FG3</x:v>
      </x:c>
      <x:c r="G45" s="70" t="str">
        <x:v>不得FG4</x:v>
      </x:c>
      <x:c r="H45" s="70" t="str"/>
      <x:c r="I45" s="70" t="str"/>
      <x:c r="J45" s="70" t="str"/>
      <x:c r="K45" s="70" t="str"/>
      <x:c r="L45" s="70" t="str">
        <x:f>IF(AND(H45="",I45="",J45="",K45=""),"待运行",IF(AND(H45=D45,I45=E45,J45=F45,K45=G45),"通过","失败"))</x:f>
        <x:v>待运行</x:v>
      </x:c>
      <x:c r="M45" s="70" t="str"/>
      <x:c r="N45" s="70" t="str"/>
    </x:row>
    <x:row r="46">
      <x:c r="A46" s="70" t="str">
        <x:v>T12</x:v>
      </x:c>
      <x:c r="B46" s="70" t="str">
        <x:v>核心门槛未知</x:v>
      </x:c>
      <x:c r="C46" s="70" t="str">
        <x:v>核心RG unknown</x:v>
      </x:c>
      <x:c r="D46" s="70" t="str">
        <x:v>limited</x:v>
      </x:c>
      <x:c r="E46" s="70" t="str">
        <x:v>AF02</x:v>
      </x:c>
      <x:c r="F46" s="70" t="str">
        <x:v>FG2</x:v>
      </x:c>
      <x:c r="G46" s="70" t="str">
        <x:v>优先补RG</x:v>
      </x:c>
      <x:c r="H46" s="70" t="str"/>
      <x:c r="I46" s="70" t="str"/>
      <x:c r="J46" s="70" t="str"/>
      <x:c r="K46" s="70" t="str"/>
      <x:c r="L46" s="70" t="str">
        <x:f>IF(AND(H46="",I46="",J46="",K46=""),"待运行",IF(AND(H46=D46,I46=E46,J46=F46,K46=G46),"通过","失败"))</x:f>
        <x:v>待运行</x:v>
      </x:c>
      <x:c r="M46" s="70" t="str"/>
      <x:c r="N46" s="70" t="str"/>
    </x:row>
    <x:row r="47">
      <x:c r="A47" s="70" t="str">
        <x:v>T13</x:v>
      </x:c>
      <x:c r="B47" s="70" t="str">
        <x:v>未发生修复事件</x:v>
      </x:c>
      <x:c r="C47" s="70" t="str">
        <x:v>其他模块强，FV0</x:v>
      </x:c>
      <x:c r="D47" s="70" t="str">
        <x:v>complete</x:v>
      </x:c>
      <x:c r="E47" s="70" t="str">
        <x:v>AF05</x:v>
      </x:c>
      <x:c r="F47" s="70" t="str">
        <x:v>FG3</x:v>
      </x:c>
      <x:c r="G47" s="70" t="str">
        <x:v>修复标未评估</x:v>
      </x:c>
      <x:c r="H47" s="70" t="str"/>
      <x:c r="I47" s="70" t="str"/>
      <x:c r="J47" s="70" t="str"/>
      <x:c r="K47" s="70" t="str"/>
      <x:c r="L47" s="70" t="str">
        <x:f>IF(AND(H47="",I47="",J47="",K47=""),"待运行",IF(AND(H47=D47,I47=E47,J47=F47,K47=G47),"通过","失败"))</x:f>
        <x:v>待运行</x:v>
      </x:c>
      <x:c r="M47" s="70" t="str"/>
      <x:c r="N47" s="70" t="str"/>
    </x:row>
    <x:row r="48">
      <x:c r="A48" s="70" t="str">
        <x:v>T14</x:v>
      </x:c>
      <x:c r="B48" s="70" t="str">
        <x:v>一次修复成功</x:v>
      </x:c>
      <x:c r="C48" s="70" t="str">
        <x:v>FV2—FV4</x:v>
      </x:c>
      <x:c r="D48" s="70" t="str">
        <x:v>complete</x:v>
      </x:c>
      <x:c r="E48" s="70" t="str">
        <x:v>AF06</x:v>
      </x:c>
      <x:c r="F48" s="70" t="str">
        <x:v>FG3</x:v>
      </x:c>
      <x:c r="G48" s="70" t="str">
        <x:v>不得FG4</x:v>
      </x:c>
      <x:c r="H48" s="70" t="str"/>
      <x:c r="I48" s="70" t="str"/>
      <x:c r="J48" s="70" t="str"/>
      <x:c r="K48" s="70" t="str"/>
      <x:c r="L48" s="70" t="str">
        <x:f>IF(AND(H48="",I48="",J48="",K48=""),"待运行",IF(AND(H48=D48,I48=E48,J48=F48,K48=G48),"通过","失败"))</x:f>
        <x:v>待运行</x:v>
      </x:c>
      <x:c r="M48" s="70" t="str"/>
      <x:c r="N48" s="70" t="str"/>
    </x:row>
    <x:row r="49">
      <x:c r="A49" s="70" t="str">
        <x:v>T15</x:v>
      </x:c>
      <x:c r="B49" s="70" t="str">
        <x:v>跨状态稳定</x:v>
      </x:c>
      <x:c r="C49" s="70" t="str">
        <x:v>压力、修复、转折、RG全通过</x:v>
      </x:c>
      <x:c r="D49" s="70" t="str">
        <x:v>complete</x:v>
      </x:c>
      <x:c r="E49" s="70" t="str">
        <x:v>AF07</x:v>
      </x:c>
      <x:c r="F49" s="70" t="str">
        <x:v>FG4</x:v>
      </x:c>
      <x:c r="G49" s="70" t="str">
        <x:v>跨状态稳定</x:v>
      </x:c>
      <x:c r="H49" s="70" t="str"/>
      <x:c r="I49" s="70" t="str"/>
      <x:c r="J49" s="70" t="str"/>
      <x:c r="K49" s="70" t="str"/>
      <x:c r="L49" s="70" t="str">
        <x:f>IF(AND(H49="",I49="",J49="",K49=""),"待运行",IF(AND(H49=D49,I49=E49,J49=F49,K49=G49),"通过","失败"))</x:f>
        <x:v>待运行</x:v>
      </x:c>
      <x:c r="M49" s="70" t="str"/>
      <x:c r="N49" s="70" t="str"/>
    </x:row>
    <x:row r="50">
      <x:c r="A50" s="70" t="str">
        <x:v>T16</x:v>
      </x:c>
      <x:c r="B50" s="70" t="str">
        <x:v>source去重</x:v>
      </x:c>
      <x:c r="C50" s="70" t="str">
        <x:v>同一事实跨模块</x:v>
      </x:c>
      <x:c r="D50" s="70" t="str">
        <x:v>limited</x:v>
      </x:c>
      <x:c r="E50" s="70" t="str">
        <x:v>AF01</x:v>
      </x:c>
      <x:c r="F50" s="70" t="str">
        <x:v>FG1</x:v>
      </x:c>
      <x:c r="G50" s="70" t="str">
        <x:v>基础分只计一次</x:v>
      </x:c>
      <x:c r="H50" s="70" t="str"/>
      <x:c r="I50" s="70" t="str"/>
      <x:c r="J50" s="70" t="str"/>
      <x:c r="K50" s="70" t="str"/>
      <x:c r="L50" s="70" t="str">
        <x:f>IF(AND(H50="",I50="",J50="",K50=""),"待运行",IF(AND(H50=D50,I50=E50,J50=F50,K50=G50),"通过","失败"))</x:f>
        <x:v>待运行</x:v>
      </x:c>
      <x:c r="M50" s="70" t="str"/>
      <x:c r="N50" s="70" t="str"/>
    </x:row>
    <x:row r="51">
      <x:c r="A51" s="70" t="str">
        <x:v>T17</x:v>
      </x:c>
      <x:c r="B51" s="70" t="str">
        <x:v>event去重</x:v>
      </x:c>
      <x:c r="C51" s="70" t="str">
        <x:v>同一事件支持多个profile</x:v>
      </x:c>
      <x:c r="D51" s="70" t="str">
        <x:v>limited</x:v>
      </x:c>
      <x:c r="E51" s="70" t="str">
        <x:v>AF02</x:v>
      </x:c>
      <x:c r="F51" s="70" t="str">
        <x:v>FG2</x:v>
      </x:c>
      <x:c r="G51" s="70" t="str">
        <x:v>事件数只计一次</x:v>
      </x:c>
      <x:c r="H51" s="70" t="str"/>
      <x:c r="I51" s="70" t="str"/>
      <x:c r="J51" s="70" t="str"/>
      <x:c r="K51" s="70" t="str"/>
      <x:c r="L51" s="70" t="str">
        <x:f>IF(AND(H51="",I51="",J51="",K51=""),"待运行",IF(AND(H51=D51,I51=E51,J51=F51,K51=G51),"通过","失败"))</x:f>
        <x:v>待运行</x:v>
      </x:c>
      <x:c r="M51" s="70" t="str"/>
      <x:c r="N51" s="70" t="str"/>
    </x:row>
    <x:row r="52">
      <x:c r="A52" s="70" t="str">
        <x:v>T18</x:v>
      </x:c>
      <x:c r="B52" s="70" t="str">
        <x:v>真合化</x:v>
      </x:c>
      <x:c r="C52" s="70" t="str">
        <x:v>原功能与化神并存</x:v>
      </x:c>
      <x:c r="D52" s="70" t="str">
        <x:v>limited</x:v>
      </x:c>
      <x:c r="E52" s="70" t="str">
        <x:v>AF01</x:v>
      </x:c>
      <x:c r="F52" s="70" t="str">
        <x:v>FG1</x:v>
      </x:c>
      <x:c r="G52" s="70" t="str">
        <x:v>原功能清零</x:v>
      </x:c>
      <x:c r="H52" s="70" t="str"/>
      <x:c r="I52" s="70" t="str"/>
      <x:c r="J52" s="70" t="str"/>
      <x:c r="K52" s="70" t="str"/>
      <x:c r="L52" s="70" t="str">
        <x:f>IF(AND(H52="",I52="",J52="",K52=""),"待运行",IF(AND(H52=D52,I52=E52,J52=F52,K52=G52),"通过","失败"))</x:f>
        <x:v>待运行</x:v>
      </x:c>
      <x:c r="M52" s="70" t="str"/>
      <x:c r="N52" s="70" t="str"/>
    </x:row>
    <x:row r="53">
      <x:c r="A53" s="70" t="str">
        <x:v>T19</x:v>
      </x:c>
      <x:c r="B53" s="70" t="str">
        <x:v>合而不化</x:v>
      </x:c>
      <x:c r="C53" s="70" t="str">
        <x:v>合而不化</x:v>
      </x:c>
      <x:c r="D53" s="70" t="str">
        <x:v>limited</x:v>
      </x:c>
      <x:c r="E53" s="70" t="str">
        <x:v>AF01</x:v>
      </x:c>
      <x:c r="F53" s="70" t="str">
        <x:v>FG1</x:v>
      </x:c>
      <x:c r="G53" s="70" t="str">
        <x:v>保留原功能</x:v>
      </x:c>
      <x:c r="H53" s="70" t="str"/>
      <x:c r="I53" s="70" t="str"/>
      <x:c r="J53" s="70" t="str"/>
      <x:c r="K53" s="70" t="str"/>
      <x:c r="L53" s="70" t="str">
        <x:f>IF(AND(H53="",I53="",J53="",K53=""),"待运行",IF(AND(H53=D53,I53=E53,J53=F53,K53=G53),"通过","失败"))</x:f>
        <x:v>待运行</x:v>
      </x:c>
      <x:c r="M53" s="70" t="str"/>
      <x:c r="N53" s="70" t="str"/>
    </x:row>
    <x:row r="54">
      <x:c r="A54" s="70" t="str">
        <x:v>T20</x:v>
      </x:c>
      <x:c r="B54" s="70" t="str">
        <x:v>功能族收敛</x:v>
      </x:c>
      <x:c r="C54" s="70" t="str">
        <x:v>FN04/EC04/BC04/RC04/HC04同源</x:v>
      </x:c>
      <x:c r="D54" s="70" t="str">
        <x:v>limited</x:v>
      </x:c>
      <x:c r="E54" s="70" t="str">
        <x:v>AF01</x:v>
      </x:c>
      <x:c r="F54" s="70" t="str">
        <x:v>FG1</x:v>
      </x:c>
      <x:c r="G54" s="70" t="str">
        <x:v>合成FAM04链</x:v>
      </x:c>
      <x:c r="H54" s="70" t="str"/>
      <x:c r="I54" s="70" t="str"/>
      <x:c r="J54" s="70" t="str"/>
      <x:c r="K54" s="70" t="str"/>
      <x:c r="L54" s="70" t="str">
        <x:f>IF(AND(H54="",I54="",J54="",K54=""),"待运行",IF(AND(H54=D54,I54=E54,J54=F54,K54=G54),"通过","失败"))</x:f>
        <x:v>待运行</x:v>
      </x:c>
      <x:c r="M54" s="70" t="str"/>
      <x:c r="N54" s="70" t="str"/>
    </x:row>
    <x:row r="55">
      <x:c r="A55" s="70" t="str">
        <x:v>T21</x:v>
      </x:c>
      <x:c r="B55" s="70" t="str">
        <x:v>两个独立需要</x:v>
      </x:c>
      <x:c r="C55" s="70" t="str">
        <x:v>两个PR1独立</x:v>
      </x:c>
      <x:c r="D55" s="70" t="str">
        <x:v>limited</x:v>
      </x:c>
      <x:c r="E55" s="70" t="str">
        <x:v>AF01</x:v>
      </x:c>
      <x:c r="F55" s="70" t="str">
        <x:v>FG1</x:v>
      </x:c>
      <x:c r="G55" s="70" t="str">
        <x:v>一主一次</x:v>
      </x:c>
      <x:c r="H55" s="70" t="str"/>
      <x:c r="I55" s="70" t="str"/>
      <x:c r="J55" s="70" t="str"/>
      <x:c r="K55" s="70" t="str"/>
      <x:c r="L55" s="70" t="str">
        <x:f>IF(AND(H55="",I55="",J55="",K55=""),"待运行",IF(AND(H55=D55,I55=E55,J55=F55,K55=G55),"通过","失败"))</x:f>
        <x:v>待运行</x:v>
      </x:c>
      <x:c r="M55" s="70" t="str"/>
      <x:c r="N55" s="70" t="str"/>
    </x:row>
    <x:row r="56">
      <x:c r="A56" s="70" t="str">
        <x:v>T22</x:v>
      </x:c>
      <x:c r="B56" s="70" t="str">
        <x:v>两个独立差异</x:v>
      </x:c>
      <x:c r="C56" s="70" t="str">
        <x:v>两个GT独立</x:v>
      </x:c>
      <x:c r="D56" s="70" t="str">
        <x:v>limited</x:v>
      </x:c>
      <x:c r="E56" s="70" t="str">
        <x:v>AF03</x:v>
      </x:c>
      <x:c r="F56" s="70" t="str">
        <x:v>FG2</x:v>
      </x:c>
      <x:c r="G56" s="70" t="str">
        <x:v>一主一次差异</x:v>
      </x:c>
      <x:c r="H56" s="70" t="str"/>
      <x:c r="I56" s="70" t="str"/>
      <x:c r="J56" s="70" t="str"/>
      <x:c r="K56" s="70" t="str"/>
      <x:c r="L56" s="70" t="str">
        <x:f>IF(AND(H56="",I56="",J56="",K56=""),"待运行",IF(AND(H56=D56,I56=E56,J56=F56,K56=G56),"通过","失败"))</x:f>
        <x:v>待运行</x:v>
      </x:c>
      <x:c r="M56" s="70" t="str"/>
      <x:c r="N56" s="70" t="str"/>
    </x:row>
    <x:row r="57">
      <x:c r="A57" s="70" t="str">
        <x:v>T23</x:v>
      </x:c>
      <x:c r="B57" s="70" t="str">
        <x:v>牺牲式桥接</x:v>
      </x:c>
      <x:c r="C57" s="70" t="str">
        <x:v>桥接要求长期失去自主</x:v>
      </x:c>
      <x:c r="D57" s="70" t="str">
        <x:v>stop</x:v>
      </x:c>
      <x:c r="E57" s="70" t="str">
        <x:v>AF09</x:v>
      </x:c>
      <x:c r="F57" s="70" t="str">
        <x:v>FG0</x:v>
      </x:c>
      <x:c r="G57" s="70" t="str">
        <x:v>FB0停止</x:v>
      </x:c>
      <x:c r="H57" s="70" t="str"/>
      <x:c r="I57" s="70" t="str"/>
      <x:c r="J57" s="70" t="str"/>
      <x:c r="K57" s="70" t="str"/>
      <x:c r="L57" s="70" t="str">
        <x:f>IF(AND(H57="",I57="",J57="",K57=""),"待运行",IF(AND(H57=D57,I57=E57,J57=F57,K57=G57),"通过","失败"))</x:f>
        <x:v>待运行</x:v>
      </x:c>
      <x:c r="M57" s="70" t="str"/>
      <x:c r="N57" s="70" t="str"/>
    </x:row>
    <x:row r="58">
      <x:c r="A58" s="70" t="str">
        <x:v>T24</x:v>
      </x:c>
      <x:c r="B58" s="70" t="str">
        <x:v>桥接计划</x:v>
      </x:c>
      <x:c r="C58" s="70" t="str">
        <x:v>有BP无现实启动</x:v>
      </x:c>
      <x:c r="D58" s="70" t="str">
        <x:v>limited</x:v>
      </x:c>
      <x:c r="E58" s="70" t="str">
        <x:v>AF04</x:v>
      </x:c>
      <x:c r="F58" s="70" t="str">
        <x:v>FG2</x:v>
      </x:c>
      <x:c r="G58" s="70" t="str">
        <x:v>FB1</x:v>
      </x:c>
      <x:c r="H58" s="70" t="str"/>
      <x:c r="I58" s="70" t="str"/>
      <x:c r="J58" s="70" t="str"/>
      <x:c r="K58" s="70" t="str"/>
      <x:c r="L58" s="70" t="str">
        <x:f>IF(AND(H58="",I58="",J58="",K58=""),"待运行",IF(AND(H58=D58,I58=E58,J58=F58,K58=G58),"通过","失败"))</x:f>
        <x:v>待运行</x:v>
      </x:c>
      <x:c r="M58" s="70" t="str"/>
      <x:c r="N58" s="70" t="str"/>
    </x:row>
    <x:row r="59">
      <x:c r="A59" s="70" t="str">
        <x:v>T25</x:v>
      </x:c>
      <x:c r="B59" s="70" t="str">
        <x:v>单次桥接</x:v>
      </x:c>
      <x:c r="C59" s="70" t="str">
        <x:v>一次事件改变风险链</x:v>
      </x:c>
      <x:c r="D59" s="70" t="str">
        <x:v>limited</x:v>
      </x:c>
      <x:c r="E59" s="70" t="str">
        <x:v>AF04</x:v>
      </x:c>
      <x:c r="F59" s="70" t="str">
        <x:v>FG3</x:v>
      </x:c>
      <x:c r="G59" s="70" t="str">
        <x:v>FB3</x:v>
      </x:c>
      <x:c r="H59" s="70" t="str"/>
      <x:c r="I59" s="70" t="str"/>
      <x:c r="J59" s="70" t="str"/>
      <x:c r="K59" s="70" t="str"/>
      <x:c r="L59" s="70" t="str">
        <x:f>IF(AND(H59="",I59="",J59="",K59=""),"待运行",IF(AND(H59=D59,I59=E59,J59=F59,K59=G59),"通过","失败"))</x:f>
        <x:v>待运行</x:v>
      </x:c>
      <x:c r="M59" s="70" t="str"/>
      <x:c r="N59" s="70" t="str"/>
    </x:row>
    <x:row r="60">
      <x:c r="A60" s="70" t="str">
        <x:v>T26</x:v>
      </x:c>
      <x:c r="B60" s="70" t="str">
        <x:v>重复桥接</x:v>
      </x:c>
      <x:c r="C60" s="70" t="str">
        <x:v>两个场景重复有效</x:v>
      </x:c>
      <x:c r="D60" s="70" t="str">
        <x:v>complete</x:v>
      </x:c>
      <x:c r="E60" s="70" t="str">
        <x:v>AF05</x:v>
      </x:c>
      <x:c r="F60" s="70" t="str">
        <x:v>FG3</x:v>
      </x:c>
      <x:c r="G60" s="70" t="str">
        <x:v>FB4</x:v>
      </x:c>
      <x:c r="H60" s="70" t="str"/>
      <x:c r="I60" s="70" t="str"/>
      <x:c r="J60" s="70" t="str"/>
      <x:c r="K60" s="70" t="str"/>
      <x:c r="L60" s="70" t="str">
        <x:f>IF(AND(H60="",I60="",J60="",K60=""),"待运行",IF(AND(H60=D60,I60=E60,J60=F60,K60=G60),"通过","失败"))</x:f>
        <x:v>待运行</x:v>
      </x:c>
      <x:c r="M60" s="70" t="str"/>
      <x:c r="N60" s="70" t="str"/>
    </x:row>
    <x:row r="61">
      <x:c r="A61" s="70" t="str">
        <x:v>T27</x:v>
      </x:c>
      <x:c r="B61" s="70" t="str">
        <x:v>节奏强RG失败</x:v>
      </x:c>
      <x:c r="C61" s="70" t="str">
        <x:v>HS01/HV5但RG03 fail</x:v>
      </x:c>
      <x:c r="D61" s="70" t="str">
        <x:v>limited</x:v>
      </x:c>
      <x:c r="E61" s="70" t="str">
        <x:v>AF08</x:v>
      </x:c>
      <x:c r="F61" s="70" t="str">
        <x:v>FG2</x:v>
      </x:c>
      <x:c r="G61" s="70" t="str">
        <x:v>现实门槛优先</x:v>
      </x:c>
      <x:c r="H61" s="70" t="str"/>
      <x:c r="I61" s="70" t="str"/>
      <x:c r="J61" s="70" t="str"/>
      <x:c r="K61" s="70" t="str"/>
      <x:c r="L61" s="70" t="str">
        <x:f>IF(AND(H61="",I61="",J61="",K61=""),"待运行",IF(AND(H61=D61,I61=E61,J61=F61,K61=G61),"通过","失败"))</x:f>
        <x:v>待运行</x:v>
      </x:c>
      <x:c r="M61" s="70" t="str"/>
      <x:c r="N61" s="70" t="str"/>
    </x:row>
    <x:row r="62">
      <x:c r="A62" s="70" t="str">
        <x:v>T28</x:v>
      </x:c>
      <x:c r="B62" s="70" t="str">
        <x:v>修复强节奏弱</x:v>
      </x:c>
      <x:c r="C62" s="70" t="str">
        <x:v>RT01/FV5但HS07</x:v>
      </x:c>
      <x:c r="D62" s="70" t="str">
        <x:v>complete</x:v>
      </x:c>
      <x:c r="E62" s="70" t="str">
        <x:v>AF06</x:v>
      </x:c>
      <x:c r="F62" s="70" t="str">
        <x:v>FG3</x:v>
      </x:c>
      <x:c r="G62" s="70" t="str">
        <x:v>残余节奏风险</x:v>
      </x:c>
      <x:c r="H62" s="70" t="str"/>
      <x:c r="I62" s="70" t="str"/>
      <x:c r="J62" s="70" t="str"/>
      <x:c r="K62" s="70" t="str"/>
      <x:c r="L62" s="70" t="str">
        <x:f>IF(AND(H62="",I62="",J62="",K62=""),"待运行",IF(AND(H62=D62,I62=E62,J62=F62,K62=G62),"通过","失败"))</x:f>
        <x:v>待运行</x:v>
      </x:c>
      <x:c r="M62" s="70" t="str"/>
      <x:c r="N62" s="70" t="str"/>
    </x:row>
    <x:row r="63">
      <x:c r="A63" s="70" t="str">
        <x:v>T29</x:v>
      </x:c>
      <x:c r="B63" s="70" t="str">
        <x:v>历史与当前冲突</x:v>
      </x:c>
      <x:c r="C63" s="70" t="str">
        <x:v>历史失败，当前对象跨场景相反</x:v>
      </x:c>
      <x:c r="D63" s="70" t="str">
        <x:v>complete</x:v>
      </x:c>
      <x:c r="E63" s="70" t="str">
        <x:v>AF05</x:v>
      </x:c>
      <x:c r="F63" s="70" t="str">
        <x:v>FG3</x:v>
      </x:c>
      <x:c r="G63" s="70" t="str">
        <x:v>当前按当前证据</x:v>
      </x:c>
      <x:c r="H63" s="70" t="str"/>
      <x:c r="I63" s="70" t="str"/>
      <x:c r="J63" s="70" t="str"/>
      <x:c r="K63" s="70" t="str"/>
      <x:c r="L63" s="70" t="str">
        <x:f>IF(AND(H63="",I63="",J63="",K63=""),"待运行",IF(AND(H63=D63,I63=E63,J63=F63,K63=G63),"通过","失败"))</x:f>
        <x:v>待运行</x:v>
      </x:c>
      <x:c r="M63" s="70" t="str"/>
      <x:c r="N63" s="70" t="str"/>
    </x:row>
    <x:row r="64">
      <x:c r="A64" s="70" t="str">
        <x:v>T30</x:v>
      </x:c>
      <x:c r="B64" s="70" t="str">
        <x:v>单方资料</x:v>
      </x:c>
      <x:c r="C64" s="70" t="str">
        <x:v>只有用户对对象概括</x:v>
      </x:c>
      <x:c r="D64" s="70" t="str">
        <x:v>limited</x:v>
      </x:c>
      <x:c r="E64" s="70" t="str">
        <x:v>AF02</x:v>
      </x:c>
      <x:c r="F64" s="70" t="str">
        <x:v>FG2</x:v>
      </x:c>
      <x:c r="G64" s="70" t="str">
        <x:v>置信度降级</x:v>
      </x:c>
      <x:c r="H64" s="70" t="str"/>
      <x:c r="I64" s="70" t="str"/>
      <x:c r="J64" s="70" t="str"/>
      <x:c r="K64" s="70" t="str"/>
      <x:c r="L64" s="70" t="str">
        <x:f>IF(AND(H64="",I64="",J64="",K64=""),"待运行",IF(AND(H64=D64,I64=E64,J64=F64,K64=G64),"通过","失败"))</x:f>
        <x:v>待运行</x:v>
      </x:c>
      <x:c r="M64" s="70" t="str"/>
      <x:c r="N64" s="70" t="str"/>
    </x:row>
    <x:row r="65">
      <x:c r="A65" s="70" t="str">
        <x:v>T31</x:v>
      </x:c>
      <x:c r="B65" s="70" t="str">
        <x:v>M3依赖</x:v>
      </x:c>
      <x:c r="C65" s="70" t="str">
        <x:v>依赖未完成M3-STATE/REPAIR</x:v>
      </x:c>
      <x:c r="D65" s="70" t="str">
        <x:v>limited</x:v>
      </x:c>
      <x:c r="E65" s="70" t="str">
        <x:v>AF03</x:v>
      </x:c>
      <x:c r="F65" s="70" t="str">
        <x:v>FG2</x:v>
      </x:c>
      <x:c r="G65" s="70" t="str">
        <x:v>provisional降权</x:v>
      </x:c>
      <x:c r="H65" s="70" t="str"/>
      <x:c r="I65" s="70" t="str"/>
      <x:c r="J65" s="70" t="str"/>
      <x:c r="K65" s="70" t="str"/>
      <x:c r="L65" s="70" t="str">
        <x:f>IF(AND(H65="",I65="",J65="",K65=""),"待运行",IF(AND(H65=D65,I65=E65,J65=F65,K65=G65),"通过","失败"))</x:f>
        <x:v>待运行</x:v>
      </x:c>
      <x:c r="M65" s="70" t="str"/>
      <x:c r="N65" s="70" t="str"/>
    </x:row>
    <x:row r="66">
      <x:c r="A66" s="128" t="str">
        <x:v>T32</x:v>
      </x:c>
      <x:c r="B66" s="128" t="str">
        <x:v>安全历史短期改善</x:v>
      </x:c>
      <x:c r="C66" s="128" t="str">
        <x:v>严重安全历史＋短期收敛</x:v>
      </x:c>
      <x:c r="D66" s="128" t="str">
        <x:v>stop</x:v>
      </x:c>
      <x:c r="E66" s="128" t="str">
        <x:v>AF09</x:v>
      </x:c>
      <x:c r="F66" s="128" t="str">
        <x:v>FG0</x:v>
      </x:c>
      <x:c r="G66" s="128" t="str">
        <x:v>安全历史不清零</x:v>
      </x:c>
      <x:c r="H66" s="128" t="str"/>
      <x:c r="I66" s="128" t="str"/>
      <x:c r="J66" s="128" t="str"/>
      <x:c r="K66" s="128" t="str"/>
      <x:c r="L66" s="128" t="str">
        <x:f>IF(AND(H66="",I66="",J66="",K66=""),"待运行",IF(AND(H66=D66,I66=E66,J66=F66,K66=G66),"通过","失败"))</x:f>
        <x:v>待运行</x:v>
      </x:c>
      <x:c r="M66" s="128" t="str"/>
      <x:c r="N66" s="128" t="str"/>
    </x:row>
  </x:sheetData>
  <x:mergeCells>
    <x:mergeCell ref="A1:N2"/>
    <x:mergeCell ref="A3:N3"/>
  </x:mergeCells>
  <x:conditionalFormatting sqref="L35:L66">
    <x:cfRule type="expression" dxfId="7" priority="1">
      <x:formula>$L35="通过"</x:formula>
    </x:cfRule>
    <x:cfRule type="expression" dxfId="8" priority="2">
      <x:formula>$L35="失败"</x:formula>
    </x:cfRule>
    <x:cfRule type="expression" dxfId="9" priority="3">
      <x:formula>$L35="待运行"</x:formula>
    </x:cfRule>
  </x:conditionalFormatting>
  <x:dataValidations count="6">
    <x:dataValidation type="list" sqref="F6:F30">
      <x:formula1>"是,否"</x:formula1>
    </x:dataValidation>
    <x:dataValidation type="list" sqref="L6:L30">
      <x:formula1>"维持,上调,下调,改为条件门槛,拆分,暂不决定"</x:formula1>
    </x:dataValidation>
    <x:dataValidation type="list" sqref="M6:M30">
      <x:formula1>"待校准,开发集候选,留出集通过,留出集失败,冻结"</x:formula1>
    </x:dataValidation>
    <x:dataValidation type="list" sqref="H35:H66">
      <x:formula1>"complete,limited,stop"</x:formula1>
    </x:dataValidation>
    <x:dataValidation type="list" sqref="I35:I66">
      <x:formula1>"AF01,AF02,AF03,AF04,AF05,AF06,AF07,AF08,AF09"</x:formula1>
    </x:dataValidation>
    <x:dataValidation type="list" sqref="J35:J66">
      <x:formula1>"FG0,FG1,FG2,FG3,FG4"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bc88ca7c3214a68"/>
    <x:tablePart xmlns:r="http://schemas.openxmlformats.org/officeDocument/2006/relationships" r:id="R47c41a9d9d764ce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4" max="4" width="18" hidden="0" customWidth="1"/>
    <x:col min="5" max="5" width="24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6" hidden="0" customWidth="1"/>
    <x:col min="13" max="13" width="14" hidden="0" customWidth="1"/>
    <x:col min="14" max="14" width="14" hidden="0" customWidth="1"/>
    <x:col min="15" max="15" width="16" hidden="0" customWidth="1"/>
    <x:col min="16" max="16" width="16" hidden="0" customWidth="1"/>
    <x:col min="3" max="3" width="16" hidden="0" customWidth="1"/>
  </x:cols>
  <x:sheetData>
    <x:row r="1">
      <x:c r="A1" s="133" t="str">
        <x:v>M5-CALIBRATION 模块表现与样本看板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  <x:c r="M1" s="133"/>
      <x:c r="N1" s="133"/>
      <x:c r="O1" s="133"/>
      <x:c r="P1" s="133"/>
    </x:row>
    <x:row r="2">
      <x:c r="A2" s="133"/>
      <x:c r="B2" s="133"/>
      <x:c r="C2" s="133"/>
      <x:c r="D2" s="133"/>
      <x:c r="E2" s="133"/>
      <x:c r="F2" s="133"/>
      <x:c r="G2" s="133"/>
      <x:c r="H2" s="133"/>
      <x:c r="I2" s="133"/>
      <x:c r="J2" s="133"/>
      <x:c r="K2" s="133"/>
      <x:c r="L2" s="133"/>
      <x:c r="M2" s="133"/>
      <x:c r="N2" s="133"/>
      <x:c r="O2" s="133"/>
      <x:c r="P2" s="133"/>
    </x:row>
    <x:row r="3">
      <x:c r="A3" s="138" t="str">
        <x:v>显示覆盖、一致度、证据越级和安全漏判；不代表科学准确率。</x:v>
      </x:c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</x:row>
    <x:row r="5">
      <x:c r="A5" s="143" t="str">
        <x:v>核心指标</x:v>
      </x:c>
      <x:c r="B5" s="143" t="str">
        <x:v>当前值</x:v>
      </x:c>
      <x:c r="D5" s="143" t="str">
        <x:v>模块</x:v>
      </x:c>
      <x:c r="E5" s="143" t="str">
        <x:v>预测总数</x:v>
      </x:c>
      <x:c r="F5" s="143" t="str">
        <x:v>可评数</x:v>
      </x:c>
      <x:c r="G5" s="143" t="str">
        <x:v>完全支持</x:v>
      </x:c>
      <x:c r="H5" s="143" t="str">
        <x:v>基本支持</x:v>
      </x:c>
      <x:c r="I5" s="143" t="str">
        <x:v>部分支持</x:v>
      </x:c>
      <x:c r="J5" s="143" t="str">
        <x:v>相邻不同</x:v>
      </x:c>
      <x:c r="K5" s="143" t="str">
        <x:v>反例</x:v>
      </x:c>
      <x:c r="L5" s="143" t="str">
        <x:v>加权一致度</x:v>
      </x:c>
      <x:c r="M5" s="143" t="str">
        <x:v>证据越级</x:v>
      </x:c>
      <x:c r="N5" s="143" t="str">
        <x:v>安全漏判</x:v>
      </x:c>
      <x:c r="O5" s="143" t="str">
        <x:v>开发一致度</x:v>
      </x:c>
      <x:c r="P5" s="143" t="str">
        <x:v>留出一致度</x:v>
      </x:c>
    </x:row>
    <x:row r="6">
      <x:c r="A6" s="70" t="str">
        <x:v>预测已冻结</x:v>
      </x:c>
      <x:c r="B6" s="70" t="n">
        <x:f>COUNTIF('02_案例与预测'!$L$6:$L$65,"是")</x:f>
        <x:v>0</x:v>
      </x:c>
      <x:c r="D6" s="68" t="str">
        <x:v>BASE</x:v>
      </x:c>
      <x:c r="E6" s="68" t="n">
        <x:f>COUNTIF('05_字段核验'!$D$6:$D$305,D6)</x:f>
        <x:v>0</x:v>
      </x:c>
      <x:c r="F6" s="68" t="n">
        <x:f>COUNTIFS('05_字段核验'!$D$6:$D$305,D6,'05_字段核验'!$L$6:$L$305,"&lt;&gt;不可评估",'05_字段核验'!$V$6:$V$305,"是")</x:f>
        <x:v>0</x:v>
      </x:c>
      <x:c r="G6" s="68" t="n">
        <x:f>COUNTIFS('05_字段核验'!$D$6:$D$305,D6,'05_字段核验'!$L$6:$L$305,"完全支持",'05_字段核验'!$V$6:$V$305,"是")</x:f>
        <x:v>0</x:v>
      </x:c>
      <x:c r="H6" s="68" t="n">
        <x:f>COUNTIFS('05_字段核验'!$D$6:$D$305,D6,'05_字段核验'!$L$6:$L$305,"基本支持",'05_字段核验'!$V$6:$V$305,"是")</x:f>
        <x:v>0</x:v>
      </x:c>
      <x:c r="I6" s="68" t="n">
        <x:f>COUNTIFS('05_字段核验'!$D$6:$D$305,D6,'05_字段核验'!$L$6:$L$305,"部分支持",'05_字段核验'!$V$6:$V$305,"是")</x:f>
        <x:v>0</x:v>
      </x:c>
      <x:c r="J6" s="68" t="n">
        <x:f>COUNTIFS('05_字段核验'!$D$6:$D$305,D6,'05_字段核验'!$L$6:$L$305,"相邻但不同",'05_字段核验'!$V$6:$V$305,"是")</x:f>
        <x:v>0</x:v>
      </x:c>
      <x:c r="K6" s="68" t="n">
        <x:f>COUNTIFS('05_字段核验'!$D$6:$D$305,D6,'05_字段核验'!$L$6:$L$305,"反例",'05_字段核验'!$V$6:$V$305,"是")</x:f>
        <x:v>0</x:v>
      </x:c>
      <x:c r="L6" s="147" t="str">
        <x:f>IFERROR(SUMIFS('05_字段核验'!$M$6:$M$305,'05_字段核验'!$D$6:$D$305,D6,'05_字段核验'!$V$6:$V$305,"是")/F6,"")</x:f>
      </x:c>
      <x:c r="M6" s="68" t="n">
        <x:f>COUNTIFS('05_字段核验'!$D$6:$D$305,D6,'05_字段核验'!$Q$6:$Q$305,"是",'05_字段核验'!$V$6:$V$305,"是")</x:f>
        <x:v>0</x:v>
      </x:c>
      <x:c r="N6" s="68" t="n">
        <x:f>COUNTIFS('05_字段核验'!$D$6:$D$305,D6,'05_字段核验'!$R$6:$R$305,"是",'05_字段核验'!$V$6:$V$305,"是")</x:f>
        <x:v>0</x:v>
      </x:c>
      <x:c r="O6" s="147" t="str">
        <x:f>IFERROR(SUMIFS('05_字段核验'!$M$6:$M$305,'05_字段核验'!$D$6:$D$305,D6,'05_字段核验'!$C$6:$C$305,"开发集",'05_字段核验'!$V$6:$V$305,"是")/COUNTIFS('05_字段核验'!$D$6:$D$305,D6,'05_字段核验'!$C$6:$C$305,"开发集",'05_字段核验'!$L$6:$L$305,"&lt;&gt;不可评估",'05_字段核验'!$V$6:$V$305,"是"),"")</x:f>
      </x:c>
      <x:c r="P6" s="147" t="str">
        <x:f>IFERROR(SUMIFS('05_字段核验'!$M$6:$M$305,'05_字段核验'!$D$6:$D$305,D6,'05_字段核验'!$C$6:$C$305,"留出集",'05_字段核验'!$V$6:$V$305,"是")/COUNTIFS('05_字段核验'!$D$6:$D$305,D6,'05_字段核验'!$C$6:$C$305,"留出集",'05_字段核验'!$L$6:$L$305,"&lt;&gt;不可评估",'05_字段核验'!$V$6:$V$305,"是"),"")</x:f>
      </x:c>
    </x:row>
    <x:row r="7">
      <x:c r="A7" s="70" t="str">
        <x:v>一般统计案例</x:v>
      </x:c>
      <x:c r="B7" s="70" t="n">
        <x:f>COUNTIF('02_案例与预测'!$R$6:$R$65,"是")</x:f>
        <x:v>0</x:v>
      </x:c>
      <x:c r="D7" s="68" t="str">
        <x:v>PARTNER</x:v>
      </x:c>
      <x:c r="E7" s="68" t="n">
        <x:f>COUNTIF('05_字段核验'!$D$6:$D$305,D7)</x:f>
        <x:v>0</x:v>
      </x:c>
      <x:c r="F7" s="68" t="n">
        <x:f>COUNTIFS('05_字段核验'!$D$6:$D$305,D7,'05_字段核验'!$L$6:$L$305,"&lt;&gt;不可评估",'05_字段核验'!$V$6:$V$305,"是")</x:f>
        <x:v>0</x:v>
      </x:c>
      <x:c r="G7" s="68" t="n">
        <x:f>COUNTIFS('05_字段核验'!$D$6:$D$305,D7,'05_字段核验'!$L$6:$L$305,"完全支持",'05_字段核验'!$V$6:$V$305,"是")</x:f>
        <x:v>0</x:v>
      </x:c>
      <x:c r="H7" s="68" t="n">
        <x:f>COUNTIFS('05_字段核验'!$D$6:$D$305,D7,'05_字段核验'!$L$6:$L$305,"基本支持",'05_字段核验'!$V$6:$V$305,"是")</x:f>
        <x:v>0</x:v>
      </x:c>
      <x:c r="I7" s="68" t="n">
        <x:f>COUNTIFS('05_字段核验'!$D$6:$D$305,D7,'05_字段核验'!$L$6:$L$305,"部分支持",'05_字段核验'!$V$6:$V$305,"是")</x:f>
        <x:v>0</x:v>
      </x:c>
      <x:c r="J7" s="68" t="n">
        <x:f>COUNTIFS('05_字段核验'!$D$6:$D$305,D7,'05_字段核验'!$L$6:$L$305,"相邻但不同",'05_字段核验'!$V$6:$V$305,"是")</x:f>
        <x:v>0</x:v>
      </x:c>
      <x:c r="K7" s="68" t="n">
        <x:f>COUNTIFS('05_字段核验'!$D$6:$D$305,D7,'05_字段核验'!$L$6:$L$305,"反例",'05_字段核验'!$V$6:$V$305,"是")</x:f>
        <x:v>0</x:v>
      </x:c>
      <x:c r="L7" s="147" t="str">
        <x:f>IFERROR(SUMIFS('05_字段核验'!$M$6:$M$305,'05_字段核验'!$D$6:$D$305,D7,'05_字段核验'!$V$6:$V$305,"是")/F7,"")</x:f>
      </x:c>
      <x:c r="M7" s="68" t="n">
        <x:f>COUNTIFS('05_字段核验'!$D$6:$D$305,D7,'05_字段核验'!$Q$6:$Q$305,"是",'05_字段核验'!$V$6:$V$305,"是")</x:f>
        <x:v>0</x:v>
      </x:c>
      <x:c r="N7" s="68" t="n">
        <x:f>COUNTIFS('05_字段核验'!$D$6:$D$305,D7,'05_字段核验'!$R$6:$R$305,"是",'05_字段核验'!$V$6:$V$305,"是")</x:f>
        <x:v>0</x:v>
      </x:c>
      <x:c r="O7" s="147" t="str">
        <x:f>IFERROR(SUMIFS('05_字段核验'!$M$6:$M$305,'05_字段核验'!$D$6:$D$305,D7,'05_字段核验'!$C$6:$C$305,"开发集",'05_字段核验'!$V$6:$V$305,"是")/COUNTIFS('05_字段核验'!$D$6:$D$305,D7,'05_字段核验'!$C$6:$C$305,"开发集",'05_字段核验'!$L$6:$L$305,"&lt;&gt;不可评估",'05_字段核验'!$V$6:$V$305,"是"),"")</x:f>
      </x:c>
      <x:c r="P7" s="147" t="str">
        <x:f>IFERROR(SUMIFS('05_字段核验'!$M$6:$M$305,'05_字段核验'!$D$6:$D$305,D7,'05_字段核验'!$C$6:$C$305,"留出集",'05_字段核验'!$V$6:$V$305,"是")/COUNTIFS('05_字段核验'!$D$6:$D$305,D7,'05_字段核验'!$C$6:$C$305,"留出集",'05_字段核验'!$L$6:$L$305,"&lt;&gt;不可评估",'05_字段核验'!$V$6:$V$305,"是"),"")</x:f>
      </x:c>
    </x:row>
    <x:row r="8">
      <x:c r="A8" s="70" t="str">
        <x:v>安全审查案例</x:v>
      </x:c>
      <x:c r="B8" s="70" t="n">
        <x:f>COUNTIF('02_案例与预测'!$S$6:$S$65,"是")</x:f>
        <x:v>0</x:v>
      </x:c>
      <x:c r="D8" s="68" t="str">
        <x:v>EXCHANGE</x:v>
      </x:c>
      <x:c r="E8" s="68" t="n">
        <x:f>COUNTIF('05_字段核验'!$D$6:$D$305,D8)</x:f>
        <x:v>0</x:v>
      </x:c>
      <x:c r="F8" s="68" t="n">
        <x:f>COUNTIFS('05_字段核验'!$D$6:$D$305,D8,'05_字段核验'!$L$6:$L$305,"&lt;&gt;不可评估",'05_字段核验'!$V$6:$V$305,"是")</x:f>
        <x:v>0</x:v>
      </x:c>
      <x:c r="G8" s="68" t="n">
        <x:f>COUNTIFS('05_字段核验'!$D$6:$D$305,D8,'05_字段核验'!$L$6:$L$305,"完全支持",'05_字段核验'!$V$6:$V$305,"是")</x:f>
        <x:v>0</x:v>
      </x:c>
      <x:c r="H8" s="68" t="n">
        <x:f>COUNTIFS('05_字段核验'!$D$6:$D$305,D8,'05_字段核验'!$L$6:$L$305,"基本支持",'05_字段核验'!$V$6:$V$305,"是")</x:f>
        <x:v>0</x:v>
      </x:c>
      <x:c r="I8" s="68" t="n">
        <x:f>COUNTIFS('05_字段核验'!$D$6:$D$305,D8,'05_字段核验'!$L$6:$L$305,"部分支持",'05_字段核验'!$V$6:$V$305,"是")</x:f>
        <x:v>0</x:v>
      </x:c>
      <x:c r="J8" s="68" t="n">
        <x:f>COUNTIFS('05_字段核验'!$D$6:$D$305,D8,'05_字段核验'!$L$6:$L$305,"相邻但不同",'05_字段核验'!$V$6:$V$305,"是")</x:f>
        <x:v>0</x:v>
      </x:c>
      <x:c r="K8" s="68" t="n">
        <x:f>COUNTIFS('05_字段核验'!$D$6:$D$305,D8,'05_字段核验'!$L$6:$L$305,"反例",'05_字段核验'!$V$6:$V$305,"是")</x:f>
        <x:v>0</x:v>
      </x:c>
      <x:c r="L8" s="147" t="str">
        <x:f>IFERROR(SUMIFS('05_字段核验'!$M$6:$M$305,'05_字段核验'!$D$6:$D$305,D8,'05_字段核验'!$V$6:$V$305,"是")/F8,"")</x:f>
      </x:c>
      <x:c r="M8" s="68" t="n">
        <x:f>COUNTIFS('05_字段核验'!$D$6:$D$305,D8,'05_字段核验'!$Q$6:$Q$305,"是",'05_字段核验'!$V$6:$V$305,"是")</x:f>
        <x:v>0</x:v>
      </x:c>
      <x:c r="N8" s="68" t="n">
        <x:f>COUNTIFS('05_字段核验'!$D$6:$D$305,D8,'05_字段核验'!$R$6:$R$305,"是",'05_字段核验'!$V$6:$V$305,"是")</x:f>
        <x:v>0</x:v>
      </x:c>
      <x:c r="O8" s="147" t="str">
        <x:f>IFERROR(SUMIFS('05_字段核验'!$M$6:$M$305,'05_字段核验'!$D$6:$D$305,D8,'05_字段核验'!$C$6:$C$305,"开发集",'05_字段核验'!$V$6:$V$305,"是")/COUNTIFS('05_字段核验'!$D$6:$D$305,D8,'05_字段核验'!$C$6:$C$305,"开发集",'05_字段核验'!$L$6:$L$305,"&lt;&gt;不可评估",'05_字段核验'!$V$6:$V$305,"是"),"")</x:f>
      </x:c>
      <x:c r="P8" s="147" t="str">
        <x:f>IFERROR(SUMIFS('05_字段核验'!$M$6:$M$305,'05_字段核验'!$D$6:$D$305,D8,'05_字段核验'!$C$6:$C$305,"留出集",'05_字段核验'!$V$6:$V$305,"是")/COUNTIFS('05_字段核验'!$D$6:$D$305,D8,'05_字段核验'!$C$6:$C$305,"留出集",'05_字段核验'!$L$6:$L$305,"&lt;&gt;不可评估",'05_字段核验'!$V$6:$V$305,"是"),"")</x:f>
      </x:c>
    </x:row>
    <x:row r="9">
      <x:c r="A9" s="70" t="str">
        <x:v>已纳入事件</x:v>
      </x:c>
      <x:c r="B9" s="70" t="n">
        <x:f>COUNTIF('03_关系事件'!$S$6:$S$305,"是")</x:f>
        <x:v>0</x:v>
      </x:c>
      <x:c r="D9" s="68" t="str">
        <x:v>BOUND</x:v>
      </x:c>
      <x:c r="E9" s="68" t="n">
        <x:f>COUNTIF('05_字段核验'!$D$6:$D$305,D9)</x:f>
        <x:v>0</x:v>
      </x:c>
      <x:c r="F9" s="68" t="n">
        <x:f>COUNTIFS('05_字段核验'!$D$6:$D$305,D9,'05_字段核验'!$L$6:$L$305,"&lt;&gt;不可评估",'05_字段核验'!$V$6:$V$305,"是")</x:f>
        <x:v>0</x:v>
      </x:c>
      <x:c r="G9" s="68" t="n">
        <x:f>COUNTIFS('05_字段核验'!$D$6:$D$305,D9,'05_字段核验'!$L$6:$L$305,"完全支持",'05_字段核验'!$V$6:$V$305,"是")</x:f>
        <x:v>0</x:v>
      </x:c>
      <x:c r="H9" s="68" t="n">
        <x:f>COUNTIFS('05_字段核验'!$D$6:$D$305,D9,'05_字段核验'!$L$6:$L$305,"基本支持",'05_字段核验'!$V$6:$V$305,"是")</x:f>
        <x:v>0</x:v>
      </x:c>
      <x:c r="I9" s="68" t="n">
        <x:f>COUNTIFS('05_字段核验'!$D$6:$D$305,D9,'05_字段核验'!$L$6:$L$305,"部分支持",'05_字段核验'!$V$6:$V$305,"是")</x:f>
        <x:v>0</x:v>
      </x:c>
      <x:c r="J9" s="68" t="n">
        <x:f>COUNTIFS('05_字段核验'!$D$6:$D$305,D9,'05_字段核验'!$L$6:$L$305,"相邻但不同",'05_字段核验'!$V$6:$V$305,"是")</x:f>
        <x:v>0</x:v>
      </x:c>
      <x:c r="K9" s="68" t="n">
        <x:f>COUNTIFS('05_字段核验'!$D$6:$D$305,D9,'05_字段核验'!$L$6:$L$305,"反例",'05_字段核验'!$V$6:$V$305,"是")</x:f>
        <x:v>0</x:v>
      </x:c>
      <x:c r="L9" s="147" t="str">
        <x:f>IFERROR(SUMIFS('05_字段核验'!$M$6:$M$305,'05_字段核验'!$D$6:$D$305,D9,'05_字段核验'!$V$6:$V$305,"是")/F9,"")</x:f>
      </x:c>
      <x:c r="M9" s="68" t="n">
        <x:f>COUNTIFS('05_字段核验'!$D$6:$D$305,D9,'05_字段核验'!$Q$6:$Q$305,"是",'05_字段核验'!$V$6:$V$305,"是")</x:f>
        <x:v>0</x:v>
      </x:c>
      <x:c r="N9" s="68" t="n">
        <x:f>COUNTIFS('05_字段核验'!$D$6:$D$305,D9,'05_字段核验'!$R$6:$R$305,"是",'05_字段核验'!$V$6:$V$305,"是")</x:f>
        <x:v>0</x:v>
      </x:c>
      <x:c r="O9" s="147" t="str">
        <x:f>IFERROR(SUMIFS('05_字段核验'!$M$6:$M$305,'05_字段核验'!$D$6:$D$305,D9,'05_字段核验'!$C$6:$C$305,"开发集",'05_字段核验'!$V$6:$V$305,"是")/COUNTIFS('05_字段核验'!$D$6:$D$305,D9,'05_字段核验'!$C$6:$C$305,"开发集",'05_字段核验'!$L$6:$L$305,"&lt;&gt;不可评估",'05_字段核验'!$V$6:$V$305,"是"),"")</x:f>
      </x:c>
      <x:c r="P9" s="147" t="str">
        <x:f>IFERROR(SUMIFS('05_字段核验'!$M$6:$M$305,'05_字段核验'!$D$6:$D$305,D9,'05_字段核验'!$C$6:$C$305,"留出集",'05_字段核验'!$V$6:$V$305,"是")/COUNTIFS('05_字段核验'!$D$6:$D$305,D9,'05_字段核验'!$C$6:$C$305,"留出集",'05_字段核验'!$L$6:$L$305,"&lt;&gt;不可评估",'05_字段核验'!$V$6:$V$305,"是"),"")</x:f>
      </x:c>
    </x:row>
    <x:row r="10">
      <x:c r="A10" s="70" t="str">
        <x:v>已纳入字段核验</x:v>
      </x:c>
      <x:c r="B10" s="70" t="n">
        <x:f>COUNTIF('05_字段核验'!$V$6:$V$305,"是")</x:f>
        <x:v>0</x:v>
      </x:c>
      <x:c r="D10" s="68" t="str">
        <x:v>REPAIR</x:v>
      </x:c>
      <x:c r="E10" s="68" t="n">
        <x:f>COUNTIF('05_字段核验'!$D$6:$D$305,D10)</x:f>
        <x:v>0</x:v>
      </x:c>
      <x:c r="F10" s="68" t="n">
        <x:f>COUNTIFS('05_字段核验'!$D$6:$D$305,D10,'05_字段核验'!$L$6:$L$305,"&lt;&gt;不可评估",'05_字段核验'!$V$6:$V$305,"是")</x:f>
        <x:v>0</x:v>
      </x:c>
      <x:c r="G10" s="68" t="n">
        <x:f>COUNTIFS('05_字段核验'!$D$6:$D$305,D10,'05_字段核验'!$L$6:$L$305,"完全支持",'05_字段核验'!$V$6:$V$305,"是")</x:f>
        <x:v>0</x:v>
      </x:c>
      <x:c r="H10" s="68" t="n">
        <x:f>COUNTIFS('05_字段核验'!$D$6:$D$305,D10,'05_字段核验'!$L$6:$L$305,"基本支持",'05_字段核验'!$V$6:$V$305,"是")</x:f>
        <x:v>0</x:v>
      </x:c>
      <x:c r="I10" s="68" t="n">
        <x:f>COUNTIFS('05_字段核验'!$D$6:$D$305,D10,'05_字段核验'!$L$6:$L$305,"部分支持",'05_字段核验'!$V$6:$V$305,"是")</x:f>
        <x:v>0</x:v>
      </x:c>
      <x:c r="J10" s="68" t="n">
        <x:f>COUNTIFS('05_字段核验'!$D$6:$D$305,D10,'05_字段核验'!$L$6:$L$305,"相邻但不同",'05_字段核验'!$V$6:$V$305,"是")</x:f>
        <x:v>0</x:v>
      </x:c>
      <x:c r="K10" s="68" t="n">
        <x:f>COUNTIFS('05_字段核验'!$D$6:$D$305,D10,'05_字段核验'!$L$6:$L$305,"反例",'05_字段核验'!$V$6:$V$305,"是")</x:f>
        <x:v>0</x:v>
      </x:c>
      <x:c r="L10" s="147" t="str">
        <x:f>IFERROR(SUMIFS('05_字段核验'!$M$6:$M$305,'05_字段核验'!$D$6:$D$305,D10,'05_字段核验'!$V$6:$V$305,"是")/F10,"")</x:f>
      </x:c>
      <x:c r="M10" s="68" t="n">
        <x:f>COUNTIFS('05_字段核验'!$D$6:$D$305,D10,'05_字段核验'!$Q$6:$Q$305,"是",'05_字段核验'!$V$6:$V$305,"是")</x:f>
        <x:v>0</x:v>
      </x:c>
      <x:c r="N10" s="68" t="n">
        <x:f>COUNTIFS('05_字段核验'!$D$6:$D$305,D10,'05_字段核验'!$R$6:$R$305,"是",'05_字段核验'!$V$6:$V$305,"是")</x:f>
        <x:v>0</x:v>
      </x:c>
      <x:c r="O10" s="147" t="str">
        <x:f>IFERROR(SUMIFS('05_字段核验'!$M$6:$M$305,'05_字段核验'!$D$6:$D$305,D10,'05_字段核验'!$C$6:$C$305,"开发集",'05_字段核验'!$V$6:$V$305,"是")/COUNTIFS('05_字段核验'!$D$6:$D$305,D10,'05_字段核验'!$C$6:$C$305,"开发集",'05_字段核验'!$L$6:$L$305,"&lt;&gt;不可评估",'05_字段核验'!$V$6:$V$305,"是"),"")</x:f>
      </x:c>
      <x:c r="P10" s="147" t="str">
        <x:f>IFERROR(SUMIFS('05_字段核验'!$M$6:$M$305,'05_字段核验'!$D$6:$D$305,D10,'05_字段核验'!$C$6:$C$305,"留出集",'05_字段核验'!$V$6:$V$305,"是")/COUNTIFS('05_字段核验'!$D$6:$D$305,D10,'05_字段核验'!$C$6:$C$305,"留出集",'05_字段核验'!$L$6:$L$305,"&lt;&gt;不可评估",'05_字段核验'!$V$6:$V$305,"是"),"")</x:f>
      </x:c>
    </x:row>
    <x:row r="11">
      <x:c r="A11" s="70" t="str">
        <x:v>已纳入规则命中</x:v>
      </x:c>
      <x:c r="B11" s="70" t="n">
        <x:f>COUNTIF('06_规则命中'!$N$6:$N$405,"是")</x:f>
        <x:v>0</x:v>
      </x:c>
      <x:c r="D11" s="68" t="str">
        <x:v>RHYTHM</x:v>
      </x:c>
      <x:c r="E11" s="68" t="n">
        <x:f>COUNTIF('05_字段核验'!$D$6:$D$305,D11)</x:f>
        <x:v>0</x:v>
      </x:c>
      <x:c r="F11" s="68" t="n">
        <x:f>COUNTIFS('05_字段核验'!$D$6:$D$305,D11,'05_字段核验'!$L$6:$L$305,"&lt;&gt;不可评估",'05_字段核验'!$V$6:$V$305,"是")</x:f>
        <x:v>0</x:v>
      </x:c>
      <x:c r="G11" s="68" t="n">
        <x:f>COUNTIFS('05_字段核验'!$D$6:$D$305,D11,'05_字段核验'!$L$6:$L$305,"完全支持",'05_字段核验'!$V$6:$V$305,"是")</x:f>
        <x:v>0</x:v>
      </x:c>
      <x:c r="H11" s="68" t="n">
        <x:f>COUNTIFS('05_字段核验'!$D$6:$D$305,D11,'05_字段核验'!$L$6:$L$305,"基本支持",'05_字段核验'!$V$6:$V$305,"是")</x:f>
        <x:v>0</x:v>
      </x:c>
      <x:c r="I11" s="68" t="n">
        <x:f>COUNTIFS('05_字段核验'!$D$6:$D$305,D11,'05_字段核验'!$L$6:$L$305,"部分支持",'05_字段核验'!$V$6:$V$305,"是")</x:f>
        <x:v>0</x:v>
      </x:c>
      <x:c r="J11" s="68" t="n">
        <x:f>COUNTIFS('05_字段核验'!$D$6:$D$305,D11,'05_字段核验'!$L$6:$L$305,"相邻但不同",'05_字段核验'!$V$6:$V$305,"是")</x:f>
        <x:v>0</x:v>
      </x:c>
      <x:c r="K11" s="68" t="n">
        <x:f>COUNTIFS('05_字段核验'!$D$6:$D$305,D11,'05_字段核验'!$L$6:$L$305,"反例",'05_字段核验'!$V$6:$V$305,"是")</x:f>
        <x:v>0</x:v>
      </x:c>
      <x:c r="L11" s="147" t="str">
        <x:f>IFERROR(SUMIFS('05_字段核验'!$M$6:$M$305,'05_字段核验'!$D$6:$D$305,D11,'05_字段核验'!$V$6:$V$305,"是")/F11,"")</x:f>
      </x:c>
      <x:c r="M11" s="68" t="n">
        <x:f>COUNTIFS('05_字段核验'!$D$6:$D$305,D11,'05_字段核验'!$Q$6:$Q$305,"是",'05_字段核验'!$V$6:$V$305,"是")</x:f>
        <x:v>0</x:v>
      </x:c>
      <x:c r="N11" s="68" t="n">
        <x:f>COUNTIFS('05_字段核验'!$D$6:$D$305,D11,'05_字段核验'!$R$6:$R$305,"是",'05_字段核验'!$V$6:$V$305,"是")</x:f>
        <x:v>0</x:v>
      </x:c>
      <x:c r="O11" s="147" t="str">
        <x:f>IFERROR(SUMIFS('05_字段核验'!$M$6:$M$305,'05_字段核验'!$D$6:$D$305,D11,'05_字段核验'!$C$6:$C$305,"开发集",'05_字段核验'!$V$6:$V$305,"是")/COUNTIFS('05_字段核验'!$D$6:$D$305,D11,'05_字段核验'!$C$6:$C$305,"开发集",'05_字段核验'!$L$6:$L$305,"&lt;&gt;不可评估",'05_字段核验'!$V$6:$V$305,"是"),"")</x:f>
      </x:c>
      <x:c r="P11" s="147" t="str">
        <x:f>IFERROR(SUMIFS('05_字段核验'!$M$6:$M$305,'05_字段核验'!$D$6:$D$305,D11,'05_字段核验'!$C$6:$C$305,"留出集",'05_字段核验'!$V$6:$V$305,"是")/COUNTIFS('05_字段核验'!$D$6:$D$305,D11,'05_字段核验'!$C$6:$C$305,"留出集",'05_字段核验'!$L$6:$L$305,"&lt;&gt;不可评估",'05_字段核验'!$V$6:$V$305,"是"),"")</x:f>
      </x:c>
    </x:row>
    <x:row r="12">
      <x:c r="A12" s="70" t="str">
        <x:v>已确认反例</x:v>
      </x:c>
      <x:c r="B12" s="70" t="n">
        <x:f>COUNTIF('08_反例与错误'!$N$6:$N$155,"已确认")</x:f>
        <x:v>0</x:v>
      </x:c>
      <x:c r="D12" s="68" t="str">
        <x:v>GAP</x:v>
      </x:c>
      <x:c r="E12" s="68" t="n">
        <x:f>COUNTIF('05_字段核验'!$D$6:$D$305,D12)</x:f>
        <x:v>0</x:v>
      </x:c>
      <x:c r="F12" s="68" t="n">
        <x:f>COUNTIFS('05_字段核验'!$D$6:$D$305,D12,'05_字段核验'!$L$6:$L$305,"&lt;&gt;不可评估",'05_字段核验'!$V$6:$V$305,"是")</x:f>
        <x:v>0</x:v>
      </x:c>
      <x:c r="G12" s="68" t="n">
        <x:f>COUNTIFS('05_字段核验'!$D$6:$D$305,D12,'05_字段核验'!$L$6:$L$305,"完全支持",'05_字段核验'!$V$6:$V$305,"是")</x:f>
        <x:v>0</x:v>
      </x:c>
      <x:c r="H12" s="68" t="n">
        <x:f>COUNTIFS('05_字段核验'!$D$6:$D$305,D12,'05_字段核验'!$L$6:$L$305,"基本支持",'05_字段核验'!$V$6:$V$305,"是")</x:f>
        <x:v>0</x:v>
      </x:c>
      <x:c r="I12" s="68" t="n">
        <x:f>COUNTIFS('05_字段核验'!$D$6:$D$305,D12,'05_字段核验'!$L$6:$L$305,"部分支持",'05_字段核验'!$V$6:$V$305,"是")</x:f>
        <x:v>0</x:v>
      </x:c>
      <x:c r="J12" s="68" t="n">
        <x:f>COUNTIFS('05_字段核验'!$D$6:$D$305,D12,'05_字段核验'!$L$6:$L$305,"相邻但不同",'05_字段核验'!$V$6:$V$305,"是")</x:f>
        <x:v>0</x:v>
      </x:c>
      <x:c r="K12" s="68" t="n">
        <x:f>COUNTIFS('05_字段核验'!$D$6:$D$305,D12,'05_字段核验'!$L$6:$L$305,"反例",'05_字段核验'!$V$6:$V$305,"是")</x:f>
        <x:v>0</x:v>
      </x:c>
      <x:c r="L12" s="147" t="str">
        <x:f>IFERROR(SUMIFS('05_字段核验'!$M$6:$M$305,'05_字段核验'!$D$6:$D$305,D12,'05_字段核验'!$V$6:$V$305,"是")/F12,"")</x:f>
      </x:c>
      <x:c r="M12" s="68" t="n">
        <x:f>COUNTIFS('05_字段核验'!$D$6:$D$305,D12,'05_字段核验'!$Q$6:$Q$305,"是",'05_字段核验'!$V$6:$V$305,"是")</x:f>
        <x:v>0</x:v>
      </x:c>
      <x:c r="N12" s="68" t="n">
        <x:f>COUNTIFS('05_字段核验'!$D$6:$D$305,D12,'05_字段核验'!$R$6:$R$305,"是",'05_字段核验'!$V$6:$V$305,"是")</x:f>
        <x:v>0</x:v>
      </x:c>
      <x:c r="O12" s="147" t="str">
        <x:f>IFERROR(SUMIFS('05_字段核验'!$M$6:$M$305,'05_字段核验'!$D$6:$D$305,D12,'05_字段核验'!$C$6:$C$305,"开发集",'05_字段核验'!$V$6:$V$305,"是")/COUNTIFS('05_字段核验'!$D$6:$D$305,D12,'05_字段核验'!$C$6:$C$305,"开发集",'05_字段核验'!$L$6:$L$305,"&lt;&gt;不可评估",'05_字段核验'!$V$6:$V$305,"是"),"")</x:f>
      </x:c>
      <x:c r="P12" s="147" t="str">
        <x:f>IFERROR(SUMIFS('05_字段核验'!$M$6:$M$305,'05_字段核验'!$D$6:$D$305,D12,'05_字段核验'!$C$6:$C$305,"留出集",'05_字段核验'!$V$6:$V$305,"是")/COUNTIFS('05_字段核验'!$D$6:$D$305,D12,'05_字段核验'!$C$6:$C$305,"留出集",'05_字段核验'!$L$6:$L$305,"&lt;&gt;不可评估",'05_字段核验'!$V$6:$V$305,"是"),"")</x:f>
      </x:c>
    </x:row>
    <x:row r="13">
      <x:c r="A13" s="70" t="str">
        <x:v>强／安全反例</x:v>
      </x:c>
      <x:c r="B13" s="70" t="n">
        <x:f>COUNTIF('08_反例与错误'!$H$6:$H$155,"强")+COUNTIF('08_反例与错误'!$H$6:$H$155,"安全")</x:f>
        <x:v>0</x:v>
      </x:c>
      <x:c r="D13" s="68" t="str">
        <x:v>SYNTH</x:v>
      </x:c>
      <x:c r="E13" s="68" t="n">
        <x:f>COUNTIF('05_字段核验'!$D$6:$D$305,D13)</x:f>
        <x:v>0</x:v>
      </x:c>
      <x:c r="F13" s="68" t="n">
        <x:f>COUNTIFS('05_字段核验'!$D$6:$D$305,D13,'05_字段核验'!$L$6:$L$305,"&lt;&gt;不可评估",'05_字段核验'!$V$6:$V$305,"是")</x:f>
        <x:v>0</x:v>
      </x:c>
      <x:c r="G13" s="68" t="n">
        <x:f>COUNTIFS('05_字段核验'!$D$6:$D$305,D13,'05_字段核验'!$L$6:$L$305,"完全支持",'05_字段核验'!$V$6:$V$305,"是")</x:f>
        <x:v>0</x:v>
      </x:c>
      <x:c r="H13" s="68" t="n">
        <x:f>COUNTIFS('05_字段核验'!$D$6:$D$305,D13,'05_字段核验'!$L$6:$L$305,"基本支持",'05_字段核验'!$V$6:$V$305,"是")</x:f>
        <x:v>0</x:v>
      </x:c>
      <x:c r="I13" s="68" t="n">
        <x:f>COUNTIFS('05_字段核验'!$D$6:$D$305,D13,'05_字段核验'!$L$6:$L$305,"部分支持",'05_字段核验'!$V$6:$V$305,"是")</x:f>
        <x:v>0</x:v>
      </x:c>
      <x:c r="J13" s="68" t="n">
        <x:f>COUNTIFS('05_字段核验'!$D$6:$D$305,D13,'05_字段核验'!$L$6:$L$305,"相邻但不同",'05_字段核验'!$V$6:$V$305,"是")</x:f>
        <x:v>0</x:v>
      </x:c>
      <x:c r="K13" s="68" t="n">
        <x:f>COUNTIFS('05_字段核验'!$D$6:$D$305,D13,'05_字段核验'!$L$6:$L$305,"反例",'05_字段核验'!$V$6:$V$305,"是")</x:f>
        <x:v>0</x:v>
      </x:c>
      <x:c r="L13" s="147" t="str">
        <x:f>IFERROR(SUMIFS('05_字段核验'!$M$6:$M$305,'05_字段核验'!$D$6:$D$305,D13,'05_字段核验'!$V$6:$V$305,"是")/F13,"")</x:f>
      </x:c>
      <x:c r="M13" s="68" t="n">
        <x:f>COUNTIFS('05_字段核验'!$D$6:$D$305,D13,'05_字段核验'!$Q$6:$Q$305,"是",'05_字段核验'!$V$6:$V$305,"是")</x:f>
        <x:v>0</x:v>
      </x:c>
      <x:c r="N13" s="68" t="n">
        <x:f>COUNTIFS('05_字段核验'!$D$6:$D$305,D13,'05_字段核验'!$R$6:$R$305,"是",'05_字段核验'!$V$6:$V$305,"是")</x:f>
        <x:v>0</x:v>
      </x:c>
      <x:c r="O13" s="147" t="str">
        <x:f>IFERROR(SUMIFS('05_字段核验'!$M$6:$M$305,'05_字段核验'!$D$6:$D$305,D13,'05_字段核验'!$C$6:$C$305,"开发集",'05_字段核验'!$V$6:$V$305,"是")/COUNTIFS('05_字段核验'!$D$6:$D$305,D13,'05_字段核验'!$C$6:$C$305,"开发集",'05_字段核验'!$L$6:$L$305,"&lt;&gt;不可评估",'05_字段核验'!$V$6:$V$305,"是"),"")</x:f>
      </x:c>
      <x:c r="P13" s="147" t="str">
        <x:f>IFERROR(SUMIFS('05_字段核验'!$M$6:$M$305,'05_字段核验'!$D$6:$D$305,D13,'05_字段核验'!$C$6:$C$305,"留出集",'05_字段核验'!$V$6:$V$305,"是")/COUNTIFS('05_字段核验'!$D$6:$D$305,D13,'05_字段核验'!$C$6:$C$305,"留出集",'05_字段核验'!$L$6:$L$305,"&lt;&gt;不可评估",'05_字段核验'!$V$6:$V$305,"是"),"")</x:f>
      </x:c>
    </x:row>
    <x:row r="14">
      <x:c r="A14" s="70" t="str">
        <x:v>安全漏判</x:v>
      </x:c>
      <x:c r="B14" s="70" t="n">
        <x:f>COUNTIF('05_字段核验'!$R$6:$R$305,"是")</x:f>
        <x:v>0</x:v>
      </x:c>
      <x:c r="D14" s="68" t="str">
        <x:v>RG</x:v>
      </x:c>
      <x:c r="E14" s="68" t="n">
        <x:f>COUNTIF('05_字段核验'!$D$6:$D$305,D14)</x:f>
        <x:v>0</x:v>
      </x:c>
      <x:c r="F14" s="68" t="n">
        <x:f>COUNTIFS('05_字段核验'!$D$6:$D$305,D14,'05_字段核验'!$L$6:$L$305,"&lt;&gt;不可评估",'05_字段核验'!$V$6:$V$305,"是")</x:f>
        <x:v>0</x:v>
      </x:c>
      <x:c r="G14" s="68" t="n">
        <x:f>COUNTIFS('05_字段核验'!$D$6:$D$305,D14,'05_字段核验'!$L$6:$L$305,"完全支持",'05_字段核验'!$V$6:$V$305,"是")</x:f>
        <x:v>0</x:v>
      </x:c>
      <x:c r="H14" s="68" t="n">
        <x:f>COUNTIFS('05_字段核验'!$D$6:$D$305,D14,'05_字段核验'!$L$6:$L$305,"基本支持",'05_字段核验'!$V$6:$V$305,"是")</x:f>
        <x:v>0</x:v>
      </x:c>
      <x:c r="I14" s="68" t="n">
        <x:f>COUNTIFS('05_字段核验'!$D$6:$D$305,D14,'05_字段核验'!$L$6:$L$305,"部分支持",'05_字段核验'!$V$6:$V$305,"是")</x:f>
        <x:v>0</x:v>
      </x:c>
      <x:c r="J14" s="68" t="n">
        <x:f>COUNTIFS('05_字段核验'!$D$6:$D$305,D14,'05_字段核验'!$L$6:$L$305,"相邻但不同",'05_字段核验'!$V$6:$V$305,"是")</x:f>
        <x:v>0</x:v>
      </x:c>
      <x:c r="K14" s="68" t="n">
        <x:f>COUNTIFS('05_字段核验'!$D$6:$D$305,D14,'05_字段核验'!$L$6:$L$305,"反例",'05_字段核验'!$V$6:$V$305,"是")</x:f>
        <x:v>0</x:v>
      </x:c>
      <x:c r="L14" s="147" t="str">
        <x:f>IFERROR(SUMIFS('05_字段核验'!$M$6:$M$305,'05_字段核验'!$D$6:$D$305,D14,'05_字段核验'!$V$6:$V$305,"是")/F14,"")</x:f>
      </x:c>
      <x:c r="M14" s="68" t="n">
        <x:f>COUNTIFS('05_字段核验'!$D$6:$D$305,D14,'05_字段核验'!$Q$6:$Q$305,"是",'05_字段核验'!$V$6:$V$305,"是")</x:f>
        <x:v>0</x:v>
      </x:c>
      <x:c r="N14" s="68" t="n">
        <x:f>COUNTIFS('05_字段核验'!$D$6:$D$305,D14,'05_字段核验'!$R$6:$R$305,"是",'05_字段核验'!$V$6:$V$305,"是")</x:f>
        <x:v>0</x:v>
      </x:c>
      <x:c r="O14" s="147" t="str">
        <x:f>IFERROR(SUMIFS('05_字段核验'!$M$6:$M$305,'05_字段核验'!$D$6:$D$305,D14,'05_字段核验'!$C$6:$C$305,"开发集",'05_字段核验'!$V$6:$V$305,"是")/COUNTIFS('05_字段核验'!$D$6:$D$305,D14,'05_字段核验'!$C$6:$C$305,"开发集",'05_字段核验'!$L$6:$L$305,"&lt;&gt;不可评估",'05_字段核验'!$V$6:$V$305,"是"),"")</x:f>
      </x:c>
      <x:c r="P14" s="147" t="str">
        <x:f>IFERROR(SUMIFS('05_字段核验'!$M$6:$M$305,'05_字段核验'!$D$6:$D$305,D14,'05_字段核验'!$C$6:$C$305,"留出集",'05_字段核验'!$V$6:$V$305,"是")/COUNTIFS('05_字段核验'!$D$6:$D$305,D14,'05_字段核验'!$C$6:$C$305,"留出集",'05_字段核验'!$L$6:$L$305,"&lt;&gt;不可评估",'05_字段核验'!$V$6:$V$305,"是"),"")</x:f>
      </x:c>
    </x:row>
    <x:row r="15">
      <x:c r="A15" s="146" t="str">
        <x:v>回归测试通过</x:v>
      </x:c>
      <x:c r="B15" s="146" t="n">
        <x:f>COUNTIF('09_阈值与结构测试'!$L$35:$L$66,"通过")</x:f>
        <x:v>0</x:v>
      </x:c>
      <x:c r="D15" s="145" t="str">
        <x:v>REPORT</x:v>
      </x:c>
      <x:c r="E15" s="145" t="n">
        <x:f>COUNTIF('05_字段核验'!$D$6:$D$305,D15)</x:f>
        <x:v>0</x:v>
      </x:c>
      <x:c r="F15" s="145" t="n">
        <x:f>COUNTIFS('05_字段核验'!$D$6:$D$305,D15,'05_字段核验'!$L$6:$L$305,"&lt;&gt;不可评估",'05_字段核验'!$V$6:$V$305,"是")</x:f>
        <x:v>0</x:v>
      </x:c>
      <x:c r="G15" s="145" t="n">
        <x:f>COUNTIFS('05_字段核验'!$D$6:$D$305,D15,'05_字段核验'!$L$6:$L$305,"完全支持",'05_字段核验'!$V$6:$V$305,"是")</x:f>
        <x:v>0</x:v>
      </x:c>
      <x:c r="H15" s="145" t="n">
        <x:f>COUNTIFS('05_字段核验'!$D$6:$D$305,D15,'05_字段核验'!$L$6:$L$305,"基本支持",'05_字段核验'!$V$6:$V$305,"是")</x:f>
        <x:v>0</x:v>
      </x:c>
      <x:c r="I15" s="145" t="n">
        <x:f>COUNTIFS('05_字段核验'!$D$6:$D$305,D15,'05_字段核验'!$L$6:$L$305,"部分支持",'05_字段核验'!$V$6:$V$305,"是")</x:f>
        <x:v>0</x:v>
      </x:c>
      <x:c r="J15" s="145" t="n">
        <x:f>COUNTIFS('05_字段核验'!$D$6:$D$305,D15,'05_字段核验'!$L$6:$L$305,"相邻但不同",'05_字段核验'!$V$6:$V$305,"是")</x:f>
        <x:v>0</x:v>
      </x:c>
      <x:c r="K15" s="145" t="n">
        <x:f>COUNTIFS('05_字段核验'!$D$6:$D$305,D15,'05_字段核验'!$L$6:$L$305,"反例",'05_字段核验'!$V$6:$V$305,"是")</x:f>
        <x:v>0</x:v>
      </x:c>
      <x:c r="L15" s="148" t="str">
        <x:f>IFERROR(SUMIFS('05_字段核验'!$M$6:$M$305,'05_字段核验'!$D$6:$D$305,D15,'05_字段核验'!$V$6:$V$305,"是")/F15,"")</x:f>
      </x:c>
      <x:c r="M15" s="145" t="n">
        <x:f>COUNTIFS('05_字段核验'!$D$6:$D$305,D15,'05_字段核验'!$Q$6:$Q$305,"是",'05_字段核验'!$V$6:$V$305,"是")</x:f>
        <x:v>0</x:v>
      </x:c>
      <x:c r="N15" s="145" t="n">
        <x:f>COUNTIFS('05_字段核验'!$D$6:$D$305,D15,'05_字段核验'!$R$6:$R$305,"是",'05_字段核验'!$V$6:$V$305,"是")</x:f>
        <x:v>0</x:v>
      </x:c>
      <x:c r="O15" s="148" t="str">
        <x:f>IFERROR(SUMIFS('05_字段核验'!$M$6:$M$305,'05_字段核验'!$D$6:$D$305,D15,'05_字段核验'!$C$6:$C$305,"开发集",'05_字段核验'!$V$6:$V$305,"是")/COUNTIFS('05_字段核验'!$D$6:$D$305,D15,'05_字段核验'!$C$6:$C$305,"开发集",'05_字段核验'!$L$6:$L$305,"&lt;&gt;不可评估",'05_字段核验'!$V$6:$V$305,"是"),"")</x:f>
      </x:c>
      <x:c r="P15" s="148" t="str">
        <x:f>IFERROR(SUMIFS('05_字段核验'!$M$6:$M$305,'05_字段核验'!$D$6:$D$305,D15,'05_字段核验'!$C$6:$C$305,"留出集",'05_字段核验'!$V$6:$V$305,"是")/COUNTIFS('05_字段核验'!$D$6:$D$305,D15,'05_字段核验'!$C$6:$C$305,"留出集",'05_字段核验'!$L$6:$L$305,"&lt;&gt;不可评估",'05_字段核验'!$V$6:$V$305,"是"),"")</x:f>
      </x:c>
    </x:row>
    <x:row r="19">
      <x:c r="A19" s="143" t="str">
        <x:v>关系阶段</x:v>
      </x:c>
      <x:c r="B19" s="143" t="str">
        <x:v>当前数</x:v>
      </x:c>
      <x:c r="C19" s="143" t="str">
        <x:v>C2建议最低</x:v>
      </x:c>
      <x:c r="E19" s="151" t="str">
        <x:v>案例类型</x:v>
      </x:c>
      <x:c r="F19" s="151" t="str">
        <x:v>当前数</x:v>
      </x:c>
    </x:row>
    <x:row r="20">
      <x:c r="A20" s="70" t="str">
        <x:v>初识／约会</x:v>
      </x:c>
      <x:c r="B20" s="70" t="n">
        <x:f>COUNTIF('02_案例与预测'!$F$6:$F$65,"初识／约会")</x:f>
        <x:v>0</x:v>
      </x:c>
      <x:c r="C20" s="70" t="n">
        <x:v>4</x:v>
      </x:c>
      <x:c r="E20" s="153" t="str">
        <x:v>正向</x:v>
      </x:c>
      <x:c r="F20" s="153" t="n">
        <x:f>COUNTIF('02_案例与预测'!$G$6:$G$65,"正向")</x:f>
        <x:v>0</x:v>
      </x:c>
    </x:row>
    <x:row r="21">
      <x:c r="A21" s="70" t="str">
        <x:v>稳定交往</x:v>
      </x:c>
      <x:c r="B21" s="70" t="n">
        <x:f>COUNTIF('02_案例与预测'!$F$6:$F$65,"稳定交往")</x:f>
        <x:v>0</x:v>
      </x:c>
      <x:c r="C21" s="70" t="n">
        <x:v>4</x:v>
      </x:c>
      <x:c r="E21" s="153" t="str">
        <x:v>混合</x:v>
      </x:c>
      <x:c r="F21" s="153" t="n">
        <x:f>COUNTIF('02_案例与预测'!$G$6:$G$65,"混合")</x:f>
        <x:v>0</x:v>
      </x:c>
    </x:row>
    <x:row r="22">
      <x:c r="A22" s="70" t="str">
        <x:v>异地／高负荷</x:v>
      </x:c>
      <x:c r="B22" s="70" t="n">
        <x:f>COUNTIF('02_案例与预测'!$F$6:$F$65,"异地／高负荷")</x:f>
        <x:v>0</x:v>
      </x:c>
      <x:c r="C22" s="70" t="n">
        <x:v>4</x:v>
      </x:c>
      <x:c r="E22" s="153" t="str">
        <x:v>反例</x:v>
      </x:c>
      <x:c r="F22" s="153" t="n">
        <x:f>COUNTIF('02_案例与预测'!$G$6:$G$65,"反例")</x:f>
        <x:v>0</x:v>
      </x:c>
    </x:row>
    <x:row r="23">
      <x:c r="A23" s="70" t="str">
        <x:v>同居／婚姻</x:v>
      </x:c>
      <x:c r="B23" s="70" t="n">
        <x:f>COUNTIF('02_案例与预测'!$F$6:$F$65,"同居／婚姻")</x:f>
        <x:v>0</x:v>
      </x:c>
      <x:c r="C23" s="70" t="n">
        <x:v>4</x:v>
      </x:c>
      <x:c r="E23" s="154" t="str">
        <x:v>安全停止</x:v>
      </x:c>
      <x:c r="F23" s="154" t="n">
        <x:f>COUNTIF('02_案例与预测'!$G$6:$G$65,"安全停止")</x:f>
        <x:v>0</x:v>
      </x:c>
    </x:row>
    <x:row r="24">
      <x:c r="A24" s="70" t="str">
        <x:v>修复期</x:v>
      </x:c>
      <x:c r="B24" s="70" t="n">
        <x:f>COUNTIF('02_案例与预测'!$F$6:$F$65,"修复期")</x:f>
        <x:v>0</x:v>
      </x:c>
      <x:c r="C24" s="70" t="n">
        <x:v>4</x:v>
      </x:c>
    </x:row>
    <x:row r="25">
      <x:c r="A25" s="146" t="str">
        <x:v>关系已结束</x:v>
      </x:c>
      <x:c r="B25" s="146" t="n">
        <x:f>COUNTIF('02_案例与预测'!$F$6:$F$65,"关系已结束")</x:f>
        <x:v>0</x:v>
      </x:c>
      <x:c r="C25" s="146" t="n">
        <x:v>4</x:v>
      </x:c>
    </x:row>
    <x:row r="28">
      <x:c r="A28" s="143" t="str">
        <x:v>发布检查</x:v>
      </x:c>
      <x:c r="B28" s="143" t="str">
        <x:v>当前值</x:v>
      </x:c>
      <x:c r="C28" s="143" t="str">
        <x:v>C2门槛</x:v>
      </x:c>
      <x:c r="D28" s="143" t="str">
        <x:v>状态</x:v>
      </x:c>
    </x:row>
    <x:row r="29">
      <x:c r="A29" s="70" t="str">
        <x:v>32项回归测试</x:v>
      </x:c>
      <x:c r="B29" s="70" t="n">
        <x:f>COUNTIF('09_阈值与结构测试'!$L$35:$L$66,"通过")</x:f>
        <x:v>0</x:v>
      </x:c>
      <x:c r="C29" s="70" t="n">
        <x:v>32</x:v>
      </x:c>
      <x:c r="D29" s="70" t="str">
        <x:f>IF(B29&gt;=C29,"通过","未通过")</x:f>
        <x:v>未通过</x:v>
      </x:c>
    </x:row>
    <x:row r="30">
      <x:c r="A30" s="70" t="str">
        <x:v>一般统计案例</x:v>
      </x:c>
      <x:c r="B30" s="70" t="n">
        <x:f>COUNTIF('02_案例与预测'!$R$6:$R$65,"是")</x:f>
        <x:v>0</x:v>
      </x:c>
      <x:c r="C30" s="70" t="n">
        <x:v>20</x:v>
      </x:c>
      <x:c r="D30" s="70" t="str">
        <x:f>IF(B30&gt;=C30,"通过","未通过")</x:f>
        <x:v>未通过</x:v>
      </x:c>
    </x:row>
    <x:row r="31">
      <x:c r="A31" s="70" t="str">
        <x:v>留出案例</x:v>
      </x:c>
      <x:c r="B31" s="70" t="n">
        <x:f>COUNTIFS('02_案例与预测'!$E$6:$E$65,"留出集",'02_案例与预测'!$R$6:$R$65,"是")</x:f>
        <x:v>0</x:v>
      </x:c>
      <x:c r="C31" s="70" t="n">
        <x:v>6</x:v>
      </x:c>
      <x:c r="D31" s="70" t="str">
        <x:f>IF(B31&gt;=C31,"通过","未通过")</x:f>
        <x:v>未通过</x:v>
      </x:c>
    </x:row>
    <x:row r="32">
      <x:c r="A32" s="70" t="str">
        <x:v>反例／混合案例</x:v>
      </x:c>
      <x:c r="B32" s="70" t="n">
        <x:f>COUNTIF('02_案例与预测'!$G$6:$G$65,"反例")+COUNTIF('02_案例与预测'!$G$6:$G$65,"混合")</x:f>
        <x:v>0</x:v>
      </x:c>
      <x:c r="C32" s="70" t="n">
        <x:v>6</x:v>
      </x:c>
      <x:c r="D32" s="70" t="str">
        <x:f>IF(B32&gt;=C32,"通过","未通过")</x:f>
        <x:v>未通过</x:v>
      </x:c>
    </x:row>
    <x:row r="33">
      <x:c r="A33" s="70" t="str">
        <x:v>安全漏判</x:v>
      </x:c>
      <x:c r="B33" s="70" t="n">
        <x:f>COUNTIF('05_字段核验'!$R$6:$R$305,"是")</x:f>
        <x:v>0</x:v>
      </x:c>
      <x:c r="C33" s="70" t="n">
        <x:v>0</x:v>
      </x:c>
      <x:c r="D33" s="70" t="str">
        <x:f>IF(B33=C33,"通过","未通过")</x:f>
        <x:v>通过</x:v>
      </x:c>
    </x:row>
    <x:row r="34">
      <x:c r="A34" s="146" t="str">
        <x:v>未解决安全反例</x:v>
      </x:c>
      <x:c r="B34" s="146" t="n">
        <x:f>COUNTIFS('08_反例与错误'!$H$6:$H$155,"安全",'08_反例与错误'!$N$6:$N$155,"&lt;&gt;已解释")</x:f>
        <x:v>0</x:v>
      </x:c>
      <x:c r="C34" s="146" t="n">
        <x:v>0</x:v>
      </x:c>
      <x:c r="D34" s="146" t="str">
        <x:f>IF(B34=C34,"通过","未通过")</x:f>
        <x:v>通过</x:v>
      </x:c>
    </x:row>
  </x:sheetData>
  <x:mergeCells>
    <x:mergeCell ref="A1:P2"/>
    <x:mergeCell ref="A3:P3"/>
  </x:mergeCells>
  <x:conditionalFormatting sqref="D29:D34">
    <x:cfRule type="expression" dxfId="10" priority="1">
      <x:formula>$D29="通过"</x:formula>
    </x:cfRule>
    <x:cfRule type="expression" dxfId="11" priority="2">
      <x:formula>$D29="未通过"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4898f482159347ba"/>
    <x:tablePart xmlns:r="http://schemas.openxmlformats.org/officeDocument/2006/relationships" r:id="R3f291f638afc4cd5"/>
    <x:tablePart xmlns:r="http://schemas.openxmlformats.org/officeDocument/2006/relationships" r:id="Raa50c4032d354db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58" hidden="0" customWidth="1"/>
    <x:col min="5" max="5" width="22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68" hidden="0" customWidth="1"/>
    <x:col min="11" max="11" width="16" hidden="0" customWidth="1"/>
    <x:col min="12" max="12" width="18" hidden="0" customWidth="1"/>
    <x:col min="13" max="13" width="44" hidden="0" customWidth="1"/>
  </x:cols>
  <x:sheetData>
    <x:row r="1">
      <x:c r="A1" s="163" t="str">
        <x:v>用户语言清晰度、绝对化风险与证据边界校准</x:v>
      </x:c>
      <x:c r="B1" s="163"/>
      <x:c r="C1" s="163"/>
      <x:c r="D1" s="163"/>
      <x:c r="E1" s="163"/>
      <x:c r="F1" s="163"/>
      <x:c r="G1" s="163"/>
      <x:c r="H1" s="163"/>
      <x:c r="I1" s="163"/>
      <x:c r="J1" s="163"/>
      <x:c r="K1" s="163"/>
      <x:c r="L1" s="163"/>
      <x:c r="M1" s="163"/>
    </x:row>
    <x:row r="2">
      <x:c r="A2" s="163"/>
      <x:c r="B2" s="163"/>
      <x:c r="C2" s="163"/>
      <x:c r="D2" s="163"/>
      <x:c r="E2" s="163"/>
      <x:c r="F2" s="163"/>
      <x:c r="G2" s="163"/>
      <x:c r="H2" s="163"/>
      <x:c r="I2" s="163"/>
      <x:c r="J2" s="163"/>
      <x:c r="K2" s="163"/>
      <x:c r="L2" s="163"/>
      <x:c r="M2" s="163"/>
    </x:row>
    <x:row r="3">
      <x:c r="A3" s="168" t="str">
        <x:v>语言准确不只看“听起来像”，还要看能否理解、能否核验、是否超过证据。</x:v>
      </x:c>
      <x:c r="B3" s="168"/>
      <x:c r="C3" s="168"/>
      <x:c r="D3" s="168"/>
      <x:c r="E3" s="168"/>
      <x:c r="F3" s="168"/>
      <x:c r="G3" s="168"/>
      <x:c r="H3" s="168"/>
      <x:c r="I3" s="168"/>
      <x:c r="J3" s="168"/>
      <x:c r="K3" s="168"/>
      <x:c r="L3" s="168"/>
      <x:c r="M3" s="168"/>
    </x:row>
    <x:row r="5">
      <x:c r="A5" s="173" t="str">
        <x:v>language_id</x:v>
      </x:c>
      <x:c r="B5" s="173" t="str">
        <x:v>case_id</x:v>
      </x:c>
      <x:c r="C5" s="173" t="str">
        <x:v>模块</x:v>
      </x:c>
      <x:c r="D5" s="173" t="str">
        <x:v>原句</x:v>
      </x:c>
      <x:c r="E5" s="173" t="str">
        <x:v>问题类型</x:v>
      </x:c>
      <x:c r="F5" s="173" t="str">
        <x:v>绝对化风险</x:v>
      </x:c>
      <x:c r="G5" s="173" t="str">
        <x:v>易懂度1-5</x:v>
      </x:c>
      <x:c r="H5" s="173" t="str">
        <x:v>证据匹配1-5</x:v>
      </x:c>
      <x:c r="I5" s="173" t="str">
        <x:v>情绪可接受1-5</x:v>
      </x:c>
      <x:c r="J5" s="173" t="str">
        <x:v>建议改写</x:v>
      </x:c>
      <x:c r="K5" s="173" t="str">
        <x:v>复核者</x:v>
      </x:c>
      <x:c r="L5" s="173" t="str">
        <x:v>状态</x:v>
      </x:c>
      <x:c r="M5" s="173" t="str">
        <x:v>备注</x:v>
      </x:c>
    </x:row>
    <x:row r="6">
      <x:c r="A6" s="70" t="str">
        <x:v>M5L-001</x:v>
      </x:c>
      <x:c r="B6" s="70" t="str"/>
      <x:c r="C6" s="70" t="str">
        <x:v>跨模块</x:v>
      </x:c>
      <x:c r="D6" s="70" t="str">
        <x:v>你注定会被强势的人吸引</x:v>
      </x:c>
      <x:c r="E6" s="70" t="str">
        <x:v>绝对化／越级</x:v>
      </x:c>
      <x:c r="F6" s="70" t="str">
        <x:v>高</x:v>
      </x:c>
      <x:c r="G6" s="70" t="str"/>
      <x:c r="H6" s="70" t="str"/>
      <x:c r="I6" s="70" t="str"/>
      <x:c r="J6" s="70" t="str">
        <x:v>你更容易注意到有决断力或行动感的人，但是否长期适配要看边界和现实行为。</x:v>
      </x:c>
      <x:c r="K6" s="70" t="str"/>
      <x:c r="L6" s="70" t="str">
        <x:v>待复核</x:v>
      </x:c>
      <x:c r="M6" s="70" t="str">
        <x:v>预置语言样本</x:v>
      </x:c>
    </x:row>
    <x:row r="7">
      <x:c r="A7" s="70" t="str">
        <x:v>M5L-002</x:v>
      </x:c>
      <x:c r="B7" s="70" t="str"/>
      <x:c r="C7" s="70" t="str">
        <x:v>跨模块</x:v>
      </x:c>
      <x:c r="D7" s="70" t="str">
        <x:v>这个人就是你的正缘</x:v>
      </x:c>
      <x:c r="E7" s="70" t="str">
        <x:v>绝对化／越级</x:v>
      </x:c>
      <x:c r="F7" s="70" t="str">
        <x:v>高</x:v>
      </x:c>
      <x:c r="G7" s="70" t="str"/>
      <x:c r="H7" s="70" t="str"/>
      <x:c r="I7" s="70" t="str"/>
      <x:c r="J7" s="70" t="str">
        <x:v>现有资料最多支持他在某些关系功能上值得继续验证，不能据此确定唯一正缘。</x:v>
      </x:c>
      <x:c r="K7" s="70" t="str"/>
      <x:c r="L7" s="70" t="str">
        <x:v>待复核</x:v>
      </x:c>
      <x:c r="M7" s="70" t="str">
        <x:v>预置语言样本</x:v>
      </x:c>
    </x:row>
    <x:row r="8">
      <x:c r="A8" s="70" t="str">
        <x:v>M5L-003</x:v>
      </x:c>
      <x:c r="B8" s="70" t="str"/>
      <x:c r="C8" s="70" t="str">
        <x:v>跨模块</x:v>
      </x:c>
      <x:c r="D8" s="70" t="str">
        <x:v>你们八字很合</x:v>
      </x:c>
      <x:c r="E8" s="70" t="str">
        <x:v>绝对化／越级</x:v>
      </x:c>
      <x:c r="F8" s="70" t="str">
        <x:v>高</x:v>
      </x:c>
      <x:c r="G8" s="70" t="str"/>
      <x:c r="H8" s="70" t="str"/>
      <x:c r="I8" s="70" t="str"/>
      <x:c r="J8" s="70" t="str">
        <x:v>你们在____功能与____现实行为上出现匹配，仍需核验____门槛。</x:v>
      </x:c>
      <x:c r="K8" s="70" t="str"/>
      <x:c r="L8" s="70" t="str">
        <x:v>待复核</x:v>
      </x:c>
      <x:c r="M8" s="70" t="str">
        <x:v>预置语言样本</x:v>
      </x:c>
    </x:row>
    <x:row r="9">
      <x:c r="A9" s="70" t="str">
        <x:v>M5L-004</x:v>
      </x:c>
      <x:c r="B9" s="70" t="str"/>
      <x:c r="C9" s="70" t="str">
        <x:v>跨模块</x:v>
      </x:c>
      <x:c r="D9" s="70" t="str">
        <x:v>你们不适合</x:v>
      </x:c>
      <x:c r="E9" s="70" t="str">
        <x:v>绝对化／越级</x:v>
      </x:c>
      <x:c r="F9" s="70" t="str">
        <x:v>高</x:v>
      </x:c>
      <x:c r="G9" s="70" t="str"/>
      <x:c r="H9" s="70" t="str"/>
      <x:c r="I9" s="70" t="str"/>
      <x:c r="J9" s="70" t="str">
        <x:v>目前在____核心现实门槛上未通过／尚未形成可执行结构。</x:v>
      </x:c>
      <x:c r="K9" s="70" t="str"/>
      <x:c r="L9" s="70" t="str">
        <x:v>待复核</x:v>
      </x:c>
      <x:c r="M9" s="70" t="str">
        <x:v>预置语言样本</x:v>
      </x:c>
    </x:row>
    <x:row r="10">
      <x:c r="A10" s="70" t="str">
        <x:v>M5L-005</x:v>
      </x:c>
      <x:c r="B10" s="70" t="str"/>
      <x:c r="C10" s="70" t="str">
        <x:v>跨模块</x:v>
      </x:c>
      <x:c r="D10" s="70" t="str">
        <x:v>对方一定很负责</x:v>
      </x:c>
      <x:c r="E10" s="70" t="str">
        <x:v>绝对化／越级</x:v>
      </x:c>
      <x:c r="F10" s="70" t="str">
        <x:v>高</x:v>
      </x:c>
      <x:c r="G10" s="70" t="str"/>
      <x:c r="H10" s="70" t="str"/>
      <x:c r="I10" s="70" t="str"/>
      <x:c r="J10" s="70" t="str">
        <x:v>需要观察他在失约、压力和成本增加时是否仍承担并调整。</x:v>
      </x:c>
      <x:c r="K10" s="70" t="str"/>
      <x:c r="L10" s="70" t="str">
        <x:v>待复核</x:v>
      </x:c>
      <x:c r="M10" s="70" t="str">
        <x:v>预置语言样本</x:v>
      </x:c>
    </x:row>
    <x:row r="11">
      <x:c r="A11" s="70" t="str">
        <x:v>M5L-006</x:v>
      </x:c>
      <x:c r="B11" s="70" t="str"/>
      <x:c r="C11" s="70" t="str">
        <x:v>跨模块</x:v>
      </x:c>
      <x:c r="D11" s="70" t="str">
        <x:v>你必须找一个能管住你的人</x:v>
      </x:c>
      <x:c r="E11" s="70" t="str">
        <x:v>绝对化／越级</x:v>
      </x:c>
      <x:c r="F11" s="70" t="str">
        <x:v>高</x:v>
      </x:c>
      <x:c r="G11" s="70" t="str"/>
      <x:c r="H11" s="70" t="str"/>
      <x:c r="I11" s="70" t="str"/>
      <x:c r="J11" s="70" t="str">
        <x:v>你更需要一种能限制过用、保留自主并完成反馈的关系结构。</x:v>
      </x:c>
      <x:c r="K11" s="70" t="str"/>
      <x:c r="L11" s="70" t="str">
        <x:v>待复核</x:v>
      </x:c>
      <x:c r="M11" s="70" t="str">
        <x:v>预置语言样本</x:v>
      </x:c>
    </x:row>
    <x:row r="12">
      <x:c r="A12" s="70" t="str">
        <x:v>M5L-007</x:v>
      </x:c>
      <x:c r="B12" s="70" t="str"/>
      <x:c r="C12" s="70" t="str">
        <x:v>跨模块</x:v>
      </x:c>
      <x:c r="D12" s="70" t="str">
        <x:v>你适合找和你相反的人</x:v>
      </x:c>
      <x:c r="E12" s="70" t="str">
        <x:v>绝对化／越级</x:v>
      </x:c>
      <x:c r="F12" s="70" t="str">
        <x:v>高</x:v>
      </x:c>
      <x:c r="G12" s="70" t="str"/>
      <x:c r="H12" s="70" t="str"/>
      <x:c r="I12" s="70" t="str"/>
      <x:c r="J12" s="70" t="str">
        <x:v>适配不等于找相反人格，而是看哪些功能同频、哪些需要接力或制衡。</x:v>
      </x:c>
      <x:c r="K12" s="70" t="str"/>
      <x:c r="L12" s="70" t="str">
        <x:v>待复核</x:v>
      </x:c>
      <x:c r="M12" s="70" t="str">
        <x:v>预置语言样本</x:v>
      </x:c>
    </x:row>
    <x:row r="13">
      <x:c r="A13" s="70" t="str">
        <x:v>M5L-008</x:v>
      </x:c>
      <x:c r="B13" s="70" t="str"/>
      <x:c r="C13" s="70" t="str">
        <x:v>跨模块</x:v>
      </x:c>
      <x:c r="D13" s="70" t="str">
        <x:v>你以后会晚婚</x:v>
      </x:c>
      <x:c r="E13" s="70" t="str">
        <x:v>绝对化／越级</x:v>
      </x:c>
      <x:c r="F13" s="70" t="str">
        <x:v>高</x:v>
      </x:c>
      <x:c r="G13" s="70" t="str"/>
      <x:c r="H13" s="70" t="str"/>
      <x:c r="I13" s="70" t="str"/>
      <x:c r="J13" s="70" t="str">
        <x:v>本模块不推断具体婚期，只说明进入和长期推进需要怎样的证据与现实准备。</x:v>
      </x:c>
      <x:c r="K13" s="70" t="str"/>
      <x:c r="L13" s="70" t="str">
        <x:v>待复核</x:v>
      </x:c>
      <x:c r="M13" s="70" t="str">
        <x:v>预置语言样本</x:v>
      </x:c>
    </x:row>
    <x:row r="14">
      <x:c r="A14" s="70" t="str">
        <x:v>M5L-009</x:v>
      </x:c>
      <x:c r="B14" s="70" t="str"/>
      <x:c r="C14" s="70" t="str">
        <x:v>跨模块</x:v>
      </x:c>
      <x:c r="D14" s="70" t="str">
        <x:v>他很成熟</x:v>
      </x:c>
      <x:c r="E14" s="70" t="str">
        <x:v>绝对化／越级</x:v>
      </x:c>
      <x:c r="F14" s="70" t="str">
        <x:v>高</x:v>
      </x:c>
      <x:c r="G14" s="70" t="str"/>
      <x:c r="H14" s="70" t="str"/>
      <x:c r="I14" s="70" t="str"/>
      <x:c r="J14" s="70" t="str">
        <x:v>成熟需要转成可观察行为：____、____、____。</x:v>
      </x:c>
      <x:c r="K14" s="70" t="str"/>
      <x:c r="L14" s="70" t="str">
        <x:v>待复核</x:v>
      </x:c>
      <x:c r="M14" s="70" t="str">
        <x:v>预置语言样本</x:v>
      </x:c>
    </x:row>
    <x:row r="15">
      <x:c r="A15" s="70" t="str">
        <x:v>M5L-010</x:v>
      </x:c>
      <x:c r="B15" s="70" t="str"/>
      <x:c r="C15" s="70" t="str">
        <x:v>跨模块</x:v>
      </x:c>
      <x:c r="D15" s="70" t="str">
        <x:v>你们会长久</x:v>
      </x:c>
      <x:c r="E15" s="70" t="str">
        <x:v>绝对化／越级</x:v>
      </x:c>
      <x:c r="F15" s="70" t="str">
        <x:v>高</x:v>
      </x:c>
      <x:c r="G15" s="70" t="str"/>
      <x:c r="H15" s="70" t="str"/>
      <x:c r="I15" s="70" t="str"/>
      <x:c r="J15" s="70" t="str">
        <x:v>现有证据支持到FG____，是否长期稳定仍需压力、修复和转折资料。</x:v>
      </x:c>
      <x:c r="K15" s="70" t="str"/>
      <x:c r="L15" s="70" t="str">
        <x:v>待复核</x:v>
      </x:c>
      <x:c r="M15" s="70" t="str">
        <x:v>预置语言样本</x:v>
      </x:c>
    </x:row>
    <x:row r="16">
      <x:c r="A16" s="70" t="str">
        <x:v>M5L-011</x:v>
      </x:c>
      <x:c r="B16" s="70" t="str"/>
      <x:c r="C16" s="70" t="str">
        <x:v>跨模块</x:v>
      </x:c>
      <x:c r="D16" s="70" t="str">
        <x:v>他不联系就是不爱</x:v>
      </x:c>
      <x:c r="E16" s="70" t="str">
        <x:v>绝对化／越级</x:v>
      </x:c>
      <x:c r="F16" s="70" t="str">
        <x:v>高</x:v>
      </x:c>
      <x:c r="G16" s="70" t="str"/>
      <x:c r="H16" s="70" t="str"/>
      <x:c r="I16" s="70" t="str"/>
      <x:c r="J16" s="70" t="str">
        <x:v>联系频率不直接等于爱意，需要看可预测性、关系方向和实际投入。</x:v>
      </x:c>
      <x:c r="K16" s="70" t="str"/>
      <x:c r="L16" s="70" t="str">
        <x:v>待复核</x:v>
      </x:c>
      <x:c r="M16" s="70" t="str">
        <x:v>预置语言样本</x:v>
      </x:c>
    </x:row>
    <x:row r="17">
      <x:c r="A17" s="70" t="str">
        <x:v>M5L-012</x:v>
      </x:c>
      <x:c r="B17" s="70" t="str"/>
      <x:c r="C17" s="70" t="str">
        <x:v>跨模块</x:v>
      </x:c>
      <x:c r="D17" s="70" t="str">
        <x:v>他对你好就是适合</x:v>
      </x:c>
      <x:c r="E17" s="70" t="str">
        <x:v>绝对化／越级</x:v>
      </x:c>
      <x:c r="F17" s="70" t="str">
        <x:v>高</x:v>
      </x:c>
      <x:c r="G17" s="70" t="str"/>
      <x:c r="H17" s="70" t="str"/>
      <x:c r="I17" s="70" t="str"/>
      <x:c r="J17" s="70" t="str">
        <x:v>付出是一个信号，还要看双向交换、边界、修复和现实目标。</x:v>
      </x:c>
      <x:c r="K17" s="70" t="str"/>
      <x:c r="L17" s="70" t="str">
        <x:v>待复核</x:v>
      </x:c>
      <x:c r="M17" s="70" t="str">
        <x:v>预置语言样本</x:v>
      </x:c>
    </x:row>
    <x:row r="18">
      <x:c r="A18" s="70" t="str">
        <x:v>M5L-013</x:v>
      </x:c>
      <x:c r="B18" s="70" t="str"/>
      <x:c r="C18" s="70" t="str">
        <x:v>跨模块</x:v>
      </x:c>
      <x:c r="D18" s="70" t="str">
        <x:v>你们互补，所以冲突没关系</x:v>
      </x:c>
      <x:c r="E18" s="70" t="str">
        <x:v>绝对化／越级</x:v>
      </x:c>
      <x:c r="F18" s="70" t="str">
        <x:v>高</x:v>
      </x:c>
      <x:c r="G18" s="70" t="str"/>
      <x:c r="H18" s="70" t="str"/>
      <x:c r="I18" s="70" t="str"/>
      <x:c r="J18" s="70" t="str">
        <x:v>互补只有在双方同意、可接收、可重订且不产生长期单方负荷时才成立。</x:v>
      </x:c>
      <x:c r="K18" s="70" t="str"/>
      <x:c r="L18" s="70" t="str">
        <x:v>待复核</x:v>
      </x:c>
      <x:c r="M18" s="70" t="str">
        <x:v>预置语言样本</x:v>
      </x:c>
    </x:row>
    <x:row r="19">
      <x:c r="A19" s="70" t="str">
        <x:v>M5L-014</x:v>
      </x:c>
      <x:c r="B19" s="70" t="str"/>
      <x:c r="C19" s="70" t="str">
        <x:v>跨模块</x:v>
      </x:c>
      <x:c r="D19" s="70" t="str">
        <x:v>只要沟通就能解决</x:v>
      </x:c>
      <x:c r="E19" s="70" t="str">
        <x:v>绝对化／越级</x:v>
      </x:c>
      <x:c r="F19" s="70" t="str">
        <x:v>高</x:v>
      </x:c>
      <x:c r="G19" s="70" t="str"/>
      <x:c r="H19" s="70" t="str"/>
      <x:c r="I19" s="70" t="str"/>
      <x:c r="J19" s="70" t="str">
        <x:v>有些差异可协商，有些核心现实门槛不能用沟通技巧替代。</x:v>
      </x:c>
      <x:c r="K19" s="70" t="str"/>
      <x:c r="L19" s="70" t="str">
        <x:v>待复核</x:v>
      </x:c>
      <x:c r="M19" s="70" t="str">
        <x:v>预置语言样本</x:v>
      </x:c>
    </x:row>
    <x:row r="20">
      <x:c r="A20" s="70" t="str">
        <x:v>M5L-015</x:v>
      </x:c>
      <x:c r="B20" s="70" t="str"/>
      <x:c r="C20" s="70" t="str">
        <x:v>跨模块</x:v>
      </x:c>
      <x:c r="D20" s="70" t="str">
        <x:v>他能改，只是需要时间</x:v>
      </x:c>
      <x:c r="E20" s="70" t="str">
        <x:v>绝对化／越级</x:v>
      </x:c>
      <x:c r="F20" s="70" t="str">
        <x:v>高</x:v>
      </x:c>
      <x:c r="G20" s="70" t="str"/>
      <x:c r="H20" s="70" t="str"/>
      <x:c r="I20" s="70" t="str"/>
      <x:c r="J20" s="70" t="str">
        <x:v>需要明确改变行为、反馈、时间点和复发处理，不能只靠等待。</x:v>
      </x:c>
      <x:c r="K20" s="70" t="str"/>
      <x:c r="L20" s="70" t="str">
        <x:v>待复核</x:v>
      </x:c>
      <x:c r="M20" s="70" t="str">
        <x:v>预置语言样本</x:v>
      </x:c>
    </x:row>
    <x:row r="21">
      <x:c r="A21" s="70" t="str">
        <x:v>M5L-016</x:v>
      </x:c>
      <x:c r="B21" s="70" t="str"/>
      <x:c r="C21" s="70" t="str">
        <x:v>跨模块</x:v>
      </x:c>
      <x:c r="D21" s="70" t="str">
        <x:v>你太敏感了</x:v>
      </x:c>
      <x:c r="E21" s="70" t="str">
        <x:v>绝对化／越级</x:v>
      </x:c>
      <x:c r="F21" s="70" t="str">
        <x:v>高</x:v>
      </x:c>
      <x:c r="G21" s="70" t="str"/>
      <x:c r="H21" s="70" t="str"/>
      <x:c r="I21" s="70" t="str"/>
      <x:c r="J21" s="70" t="str">
        <x:v>这里先区分实际事件、影响、边界和双方责任，不用人格标签否定感受。</x:v>
      </x:c>
      <x:c r="K21" s="70" t="str"/>
      <x:c r="L21" s="70" t="str">
        <x:v>待复核</x:v>
      </x:c>
      <x:c r="M21" s="70" t="str">
        <x:v>预置语言样本</x:v>
      </x:c>
    </x:row>
    <x:row r="22">
      <x:c r="A22" s="70" t="str">
        <x:v>M5L-017</x:v>
      </x:c>
      <x:c r="B22" s="70" t="str"/>
      <x:c r="C22" s="70" t="str">
        <x:v>跨模块</x:v>
      </x:c>
      <x:c r="D22" s="70" t="str">
        <x:v>你就是容易遇到渣男</x:v>
      </x:c>
      <x:c r="E22" s="70" t="str">
        <x:v>绝对化／越级</x:v>
      </x:c>
      <x:c r="F22" s="70" t="str">
        <x:v>高</x:v>
      </x:c>
      <x:c r="G22" s="70" t="str"/>
      <x:c r="H22" s="70" t="str"/>
      <x:c r="I22" s="70" t="str"/>
      <x:c r="J22" s="70" t="str">
        <x:v>模型只能识别容易高估的信号和筛选缺口，不能给你或他人贴固定人格标签。</x:v>
      </x:c>
      <x:c r="K22" s="70" t="str"/>
      <x:c r="L22" s="70" t="str">
        <x:v>待复核</x:v>
      </x:c>
      <x:c r="M22" s="70" t="str">
        <x:v>预置语言样本</x:v>
      </x:c>
    </x:row>
    <x:row r="23">
      <x:c r="A23" s="70" t="str">
        <x:v>M5L-018</x:v>
      </x:c>
      <x:c r="B23" s="70" t="str"/>
      <x:c r="C23" s="70" t="str">
        <x:v>跨模块</x:v>
      </x:c>
      <x:c r="D23" s="70" t="str">
        <x:v>这个配置婚姻一定不好</x:v>
      </x:c>
      <x:c r="E23" s="70" t="str">
        <x:v>绝对化／越级</x:v>
      </x:c>
      <x:c r="F23" s="70" t="str">
        <x:v>高</x:v>
      </x:c>
      <x:c r="G23" s="70" t="str"/>
      <x:c r="H23" s="70" t="str"/>
      <x:c r="I23" s="70" t="str"/>
      <x:c r="J23" s="70" t="str">
        <x:v>命盘结构只能提示需要观察的关系任务，不能替代具体对象和现实条件。</x:v>
      </x:c>
      <x:c r="K23" s="70" t="str"/>
      <x:c r="L23" s="70" t="str">
        <x:v>待复核</x:v>
      </x:c>
      <x:c r="M23" s="70" t="str">
        <x:v>预置语言样本</x:v>
      </x:c>
    </x:row>
    <x:row r="24">
      <x:c r="A24" s="70" t="str">
        <x:v>M5L-019</x:v>
      </x:c>
      <x:c r="B24" s="70" t="str"/>
      <x:c r="C24" s="70" t="str">
        <x:v>跨模块</x:v>
      </x:c>
      <x:c r="D24" s="70" t="str">
        <x:v>只要找喜用神的人就行</x:v>
      </x:c>
      <x:c r="E24" s="70" t="str">
        <x:v>绝对化／越级</x:v>
      </x:c>
      <x:c r="F24" s="70" t="str">
        <x:v>高</x:v>
      </x:c>
      <x:c r="G24" s="70" t="str"/>
      <x:c r="H24" s="70" t="str"/>
      <x:c r="I24" s="70" t="str"/>
      <x:c r="J24" s="70" t="str">
        <x:v>喜忌只修正功能承载，不能直接变成理想伴侣五行或出生条件。</x:v>
      </x:c>
      <x:c r="K24" s="70" t="str"/>
      <x:c r="L24" s="70" t="str">
        <x:v>待复核</x:v>
      </x:c>
      <x:c r="M24" s="70" t="str">
        <x:v>预置语言样本</x:v>
      </x:c>
    </x:row>
    <x:row r="25">
      <x:c r="A25" s="70" t="str">
        <x:v>M5L-020</x:v>
      </x:c>
      <x:c r="B25" s="70" t="str"/>
      <x:c r="C25" s="70" t="str">
        <x:v>跨模块</x:v>
      </x:c>
      <x:c r="D25" s="70" t="str">
        <x:v>你应该原谅他</x:v>
      </x:c>
      <x:c r="E25" s="70" t="str">
        <x:v>绝对化／越级</x:v>
      </x:c>
      <x:c r="F25" s="70" t="str">
        <x:v>高</x:v>
      </x:c>
      <x:c r="G25" s="70" t="str"/>
      <x:c r="H25" s="70" t="str"/>
      <x:c r="I25" s="70" t="str"/>
      <x:c r="J25" s="70" t="str">
        <x:v>修复分析不创造原谅、复合或继续关系的义务。</x:v>
      </x:c>
      <x:c r="K25" s="70" t="str"/>
      <x:c r="L25" s="70" t="str">
        <x:v>待复核</x:v>
      </x:c>
      <x:c r="M25" s="70" t="str">
        <x:v>预置语言样本</x:v>
      </x:c>
    </x:row>
    <x:row r="26">
      <x:c r="A26" s="70" t="str">
        <x:v>M5L-021</x:v>
      </x:c>
      <x:c r="B26" s="70" t="str"/>
      <x:c r="C26" s="70" t="str"/>
      <x:c r="D26" s="70" t="str"/>
      <x:c r="E26" s="70" t="str"/>
      <x:c r="F26" s="70" t="str"/>
      <x:c r="G26" s="70" t="str"/>
      <x:c r="H26" s="70" t="str"/>
      <x:c r="I26" s="70" t="str"/>
      <x:c r="J26" s="70" t="str"/>
      <x:c r="K26" s="70" t="str"/>
      <x:c r="L26" s="70" t="str">
        <x:v>待录入</x:v>
      </x:c>
      <x:c r="M26" s="70" t="str"/>
    </x:row>
    <x:row r="27">
      <x:c r="A27" s="70" t="str">
        <x:v>M5L-022</x:v>
      </x:c>
      <x:c r="B27" s="70" t="str"/>
      <x:c r="C27" s="70" t="str"/>
      <x:c r="D27" s="70" t="str"/>
      <x:c r="E27" s="70" t="str"/>
      <x:c r="F27" s="70" t="str"/>
      <x:c r="G27" s="70" t="str"/>
      <x:c r="H27" s="70" t="str"/>
      <x:c r="I27" s="70" t="str"/>
      <x:c r="J27" s="70" t="str"/>
      <x:c r="K27" s="70" t="str"/>
      <x:c r="L27" s="70" t="str">
        <x:v>待录入</x:v>
      </x:c>
      <x:c r="M27" s="70" t="str"/>
    </x:row>
    <x:row r="28">
      <x:c r="A28" s="70" t="str">
        <x:v>M5L-023</x:v>
      </x:c>
      <x:c r="B28" s="70" t="str"/>
      <x:c r="C28" s="70" t="str"/>
      <x:c r="D28" s="70" t="str"/>
      <x:c r="E28" s="70" t="str"/>
      <x:c r="F28" s="70" t="str"/>
      <x:c r="G28" s="70" t="str"/>
      <x:c r="H28" s="70" t="str"/>
      <x:c r="I28" s="70" t="str"/>
      <x:c r="J28" s="70" t="str"/>
      <x:c r="K28" s="70" t="str"/>
      <x:c r="L28" s="70" t="str">
        <x:v>待录入</x:v>
      </x:c>
      <x:c r="M28" s="70" t="str"/>
    </x:row>
    <x:row r="29">
      <x:c r="A29" s="70" t="str">
        <x:v>M5L-024</x:v>
      </x:c>
      <x:c r="B29" s="70" t="str"/>
      <x:c r="C29" s="70" t="str"/>
      <x:c r="D29" s="70" t="str"/>
      <x:c r="E29" s="70" t="str"/>
      <x:c r="F29" s="70" t="str"/>
      <x:c r="G29" s="70" t="str"/>
      <x:c r="H29" s="70" t="str"/>
      <x:c r="I29" s="70" t="str"/>
      <x:c r="J29" s="70" t="str"/>
      <x:c r="K29" s="70" t="str"/>
      <x:c r="L29" s="70" t="str">
        <x:v>待录入</x:v>
      </x:c>
      <x:c r="M29" s="70" t="str"/>
    </x:row>
    <x:row r="30">
      <x:c r="A30" s="70" t="str">
        <x:v>M5L-025</x:v>
      </x:c>
      <x:c r="B30" s="70" t="str"/>
      <x:c r="C30" s="70" t="str"/>
      <x:c r="D30" s="70" t="str"/>
      <x:c r="E30" s="70" t="str"/>
      <x:c r="F30" s="70" t="str"/>
      <x:c r="G30" s="70" t="str"/>
      <x:c r="H30" s="70" t="str"/>
      <x:c r="I30" s="70" t="str"/>
      <x:c r="J30" s="70" t="str"/>
      <x:c r="K30" s="70" t="str"/>
      <x:c r="L30" s="70" t="str">
        <x:v>待录入</x:v>
      </x:c>
      <x:c r="M30" s="70" t="str"/>
    </x:row>
    <x:row r="31">
      <x:c r="A31" s="70" t="str">
        <x:v>M5L-026</x:v>
      </x:c>
      <x:c r="B31" s="70" t="str"/>
      <x:c r="C31" s="70" t="str"/>
      <x:c r="D31" s="70" t="str"/>
      <x:c r="E31" s="70" t="str"/>
      <x:c r="F31" s="70" t="str"/>
      <x:c r="G31" s="70" t="str"/>
      <x:c r="H31" s="70" t="str"/>
      <x:c r="I31" s="70" t="str"/>
      <x:c r="J31" s="70" t="str"/>
      <x:c r="K31" s="70" t="str"/>
      <x:c r="L31" s="70" t="str">
        <x:v>待录入</x:v>
      </x:c>
      <x:c r="M31" s="70" t="str"/>
    </x:row>
    <x:row r="32">
      <x:c r="A32" s="70" t="str">
        <x:v>M5L-027</x:v>
      </x:c>
      <x:c r="B32" s="70" t="str"/>
      <x:c r="C32" s="70" t="str"/>
      <x:c r="D32" s="70" t="str"/>
      <x:c r="E32" s="70" t="str"/>
      <x:c r="F32" s="70" t="str"/>
      <x:c r="G32" s="70" t="str"/>
      <x:c r="H32" s="70" t="str"/>
      <x:c r="I32" s="70" t="str"/>
      <x:c r="J32" s="70" t="str"/>
      <x:c r="K32" s="70" t="str"/>
      <x:c r="L32" s="70" t="str">
        <x:v>待录入</x:v>
      </x:c>
      <x:c r="M32" s="70" t="str"/>
    </x:row>
    <x:row r="33">
      <x:c r="A33" s="70" t="str">
        <x:v>M5L-028</x:v>
      </x:c>
      <x:c r="B33" s="70" t="str"/>
      <x:c r="C33" s="70" t="str"/>
      <x:c r="D33" s="70" t="str"/>
      <x:c r="E33" s="70" t="str"/>
      <x:c r="F33" s="70" t="str"/>
      <x:c r="G33" s="70" t="str"/>
      <x:c r="H33" s="70" t="str"/>
      <x:c r="I33" s="70" t="str"/>
      <x:c r="J33" s="70" t="str"/>
      <x:c r="K33" s="70" t="str"/>
      <x:c r="L33" s="70" t="str">
        <x:v>待录入</x:v>
      </x:c>
      <x:c r="M33" s="70" t="str"/>
    </x:row>
    <x:row r="34">
      <x:c r="A34" s="70" t="str">
        <x:v>M5L-029</x:v>
      </x:c>
      <x:c r="B34" s="70" t="str"/>
      <x:c r="C34" s="70" t="str"/>
      <x:c r="D34" s="70" t="str"/>
      <x:c r="E34" s="70" t="str"/>
      <x:c r="F34" s="70" t="str"/>
      <x:c r="G34" s="70" t="str"/>
      <x:c r="H34" s="70" t="str"/>
      <x:c r="I34" s="70" t="str"/>
      <x:c r="J34" s="70" t="str"/>
      <x:c r="K34" s="70" t="str"/>
      <x:c r="L34" s="70" t="str">
        <x:v>待录入</x:v>
      </x:c>
      <x:c r="M34" s="70" t="str"/>
    </x:row>
    <x:row r="35">
      <x:c r="A35" s="70" t="str">
        <x:v>M5L-030</x:v>
      </x:c>
      <x:c r="B35" s="70" t="str"/>
      <x:c r="C35" s="70" t="str"/>
      <x:c r="D35" s="70" t="str"/>
      <x:c r="E35" s="70" t="str"/>
      <x:c r="F35" s="70" t="str"/>
      <x:c r="G35" s="70" t="str"/>
      <x:c r="H35" s="70" t="str"/>
      <x:c r="I35" s="70" t="str"/>
      <x:c r="J35" s="70" t="str"/>
      <x:c r="K35" s="70" t="str"/>
      <x:c r="L35" s="70" t="str">
        <x:v>待录入</x:v>
      </x:c>
      <x:c r="M35" s="70" t="str"/>
    </x:row>
    <x:row r="36">
      <x:c r="A36" s="70" t="str">
        <x:v>M5L-031</x:v>
      </x:c>
      <x:c r="B36" s="70" t="str"/>
      <x:c r="C36" s="70" t="str"/>
      <x:c r="D36" s="70" t="str"/>
      <x:c r="E36" s="70" t="str"/>
      <x:c r="F36" s="70" t="str"/>
      <x:c r="G36" s="70" t="str"/>
      <x:c r="H36" s="70" t="str"/>
      <x:c r="I36" s="70" t="str"/>
      <x:c r="J36" s="70" t="str"/>
      <x:c r="K36" s="70" t="str"/>
      <x:c r="L36" s="70" t="str">
        <x:v>待录入</x:v>
      </x:c>
      <x:c r="M36" s="70" t="str"/>
    </x:row>
    <x:row r="37">
      <x:c r="A37" s="70" t="str">
        <x:v>M5L-032</x:v>
      </x:c>
      <x:c r="B37" s="70" t="str"/>
      <x:c r="C37" s="70" t="str"/>
      <x:c r="D37" s="70" t="str"/>
      <x:c r="E37" s="70" t="str"/>
      <x:c r="F37" s="70" t="str"/>
      <x:c r="G37" s="70" t="str"/>
      <x:c r="H37" s="70" t="str"/>
      <x:c r="I37" s="70" t="str"/>
      <x:c r="J37" s="70" t="str"/>
      <x:c r="K37" s="70" t="str"/>
      <x:c r="L37" s="70" t="str">
        <x:v>待录入</x:v>
      </x:c>
      <x:c r="M37" s="70" t="str"/>
    </x:row>
    <x:row r="38">
      <x:c r="A38" s="70" t="str">
        <x:v>M5L-033</x:v>
      </x:c>
      <x:c r="B38" s="70" t="str"/>
      <x:c r="C38" s="70" t="str"/>
      <x:c r="D38" s="70" t="str"/>
      <x:c r="E38" s="70" t="str"/>
      <x:c r="F38" s="70" t="str"/>
      <x:c r="G38" s="70" t="str"/>
      <x:c r="H38" s="70" t="str"/>
      <x:c r="I38" s="70" t="str"/>
      <x:c r="J38" s="70" t="str"/>
      <x:c r="K38" s="70" t="str"/>
      <x:c r="L38" s="70" t="str">
        <x:v>待录入</x:v>
      </x:c>
      <x:c r="M38" s="70" t="str"/>
    </x:row>
    <x:row r="39">
      <x:c r="A39" s="70" t="str">
        <x:v>M5L-034</x:v>
      </x:c>
      <x:c r="B39" s="70" t="str"/>
      <x:c r="C39" s="70" t="str"/>
      <x:c r="D39" s="70" t="str"/>
      <x:c r="E39" s="70" t="str"/>
      <x:c r="F39" s="70" t="str"/>
      <x:c r="G39" s="70" t="str"/>
      <x:c r="H39" s="70" t="str"/>
      <x:c r="I39" s="70" t="str"/>
      <x:c r="J39" s="70" t="str"/>
      <x:c r="K39" s="70" t="str"/>
      <x:c r="L39" s="70" t="str">
        <x:v>待录入</x:v>
      </x:c>
      <x:c r="M39" s="70" t="str"/>
    </x:row>
    <x:row r="40">
      <x:c r="A40" s="70" t="str">
        <x:v>M5L-035</x:v>
      </x:c>
      <x:c r="B40" s="70" t="str"/>
      <x:c r="C40" s="70" t="str"/>
      <x:c r="D40" s="70" t="str"/>
      <x:c r="E40" s="70" t="str"/>
      <x:c r="F40" s="70" t="str"/>
      <x:c r="G40" s="70" t="str"/>
      <x:c r="H40" s="70" t="str"/>
      <x:c r="I40" s="70" t="str"/>
      <x:c r="J40" s="70" t="str"/>
      <x:c r="K40" s="70" t="str"/>
      <x:c r="L40" s="70" t="str">
        <x:v>待录入</x:v>
      </x:c>
      <x:c r="M40" s="70" t="str"/>
    </x:row>
    <x:row r="41">
      <x:c r="A41" s="70" t="str">
        <x:v>M5L-036</x:v>
      </x:c>
      <x:c r="B41" s="70" t="str"/>
      <x:c r="C41" s="70" t="str"/>
      <x:c r="D41" s="70" t="str"/>
      <x:c r="E41" s="70" t="str"/>
      <x:c r="F41" s="70" t="str"/>
      <x:c r="G41" s="70" t="str"/>
      <x:c r="H41" s="70" t="str"/>
      <x:c r="I41" s="70" t="str"/>
      <x:c r="J41" s="70" t="str"/>
      <x:c r="K41" s="70" t="str"/>
      <x:c r="L41" s="70" t="str">
        <x:v>待录入</x:v>
      </x:c>
      <x:c r="M41" s="70" t="str"/>
    </x:row>
    <x:row r="42">
      <x:c r="A42" s="70" t="str">
        <x:v>M5L-037</x:v>
      </x:c>
      <x:c r="B42" s="70" t="str"/>
      <x:c r="C42" s="70" t="str"/>
      <x:c r="D42" s="70" t="str"/>
      <x:c r="E42" s="70" t="str"/>
      <x:c r="F42" s="70" t="str"/>
      <x:c r="G42" s="70" t="str"/>
      <x:c r="H42" s="70" t="str"/>
      <x:c r="I42" s="70" t="str"/>
      <x:c r="J42" s="70" t="str"/>
      <x:c r="K42" s="70" t="str"/>
      <x:c r="L42" s="70" t="str">
        <x:v>待录入</x:v>
      </x:c>
      <x:c r="M42" s="70" t="str"/>
    </x:row>
    <x:row r="43">
      <x:c r="A43" s="70" t="str">
        <x:v>M5L-038</x:v>
      </x:c>
      <x:c r="B43" s="70" t="str"/>
      <x:c r="C43" s="70" t="str"/>
      <x:c r="D43" s="70" t="str"/>
      <x:c r="E43" s="70" t="str"/>
      <x:c r="F43" s="70" t="str"/>
      <x:c r="G43" s="70" t="str"/>
      <x:c r="H43" s="70" t="str"/>
      <x:c r="I43" s="70" t="str"/>
      <x:c r="J43" s="70" t="str"/>
      <x:c r="K43" s="70" t="str"/>
      <x:c r="L43" s="70" t="str">
        <x:v>待录入</x:v>
      </x:c>
      <x:c r="M43" s="70" t="str"/>
    </x:row>
    <x:row r="44">
      <x:c r="A44" s="70" t="str">
        <x:v>M5L-039</x:v>
      </x:c>
      <x:c r="B44" s="70" t="str"/>
      <x:c r="C44" s="70" t="str"/>
      <x:c r="D44" s="70" t="str"/>
      <x:c r="E44" s="70" t="str"/>
      <x:c r="F44" s="70" t="str"/>
      <x:c r="G44" s="70" t="str"/>
      <x:c r="H44" s="70" t="str"/>
      <x:c r="I44" s="70" t="str"/>
      <x:c r="J44" s="70" t="str"/>
      <x:c r="K44" s="70" t="str"/>
      <x:c r="L44" s="70" t="str">
        <x:v>待录入</x:v>
      </x:c>
      <x:c r="M44" s="70" t="str"/>
    </x:row>
    <x:row r="45">
      <x:c r="A45" s="70" t="str">
        <x:v>M5L-040</x:v>
      </x:c>
      <x:c r="B45" s="70" t="str"/>
      <x:c r="C45" s="70" t="str"/>
      <x:c r="D45" s="70" t="str"/>
      <x:c r="E45" s="70" t="str"/>
      <x:c r="F45" s="70" t="str"/>
      <x:c r="G45" s="70" t="str"/>
      <x:c r="H45" s="70" t="str"/>
      <x:c r="I45" s="70" t="str"/>
      <x:c r="J45" s="70" t="str"/>
      <x:c r="K45" s="70" t="str"/>
      <x:c r="L45" s="70" t="str">
        <x:v>待录入</x:v>
      </x:c>
      <x:c r="M45" s="70" t="str"/>
    </x:row>
    <x:row r="46">
      <x:c r="A46" s="70" t="str">
        <x:v>M5L-041</x:v>
      </x:c>
      <x:c r="B46" s="70" t="str"/>
      <x:c r="C46" s="70" t="str"/>
      <x:c r="D46" s="70" t="str"/>
      <x:c r="E46" s="70" t="str"/>
      <x:c r="F46" s="70" t="str"/>
      <x:c r="G46" s="70" t="str"/>
      <x:c r="H46" s="70" t="str"/>
      <x:c r="I46" s="70" t="str"/>
      <x:c r="J46" s="70" t="str"/>
      <x:c r="K46" s="70" t="str"/>
      <x:c r="L46" s="70" t="str">
        <x:v>待录入</x:v>
      </x:c>
      <x:c r="M46" s="70" t="str"/>
    </x:row>
    <x:row r="47">
      <x:c r="A47" s="70" t="str">
        <x:v>M5L-042</x:v>
      </x:c>
      <x:c r="B47" s="70" t="str"/>
      <x:c r="C47" s="70" t="str"/>
      <x:c r="D47" s="70" t="str"/>
      <x:c r="E47" s="70" t="str"/>
      <x:c r="F47" s="70" t="str"/>
      <x:c r="G47" s="70" t="str"/>
      <x:c r="H47" s="70" t="str"/>
      <x:c r="I47" s="70" t="str"/>
      <x:c r="J47" s="70" t="str"/>
      <x:c r="K47" s="70" t="str"/>
      <x:c r="L47" s="70" t="str">
        <x:v>待录入</x:v>
      </x:c>
      <x:c r="M47" s="70" t="str"/>
    </x:row>
    <x:row r="48">
      <x:c r="A48" s="70" t="str">
        <x:v>M5L-043</x:v>
      </x:c>
      <x:c r="B48" s="70" t="str"/>
      <x:c r="C48" s="70" t="str"/>
      <x:c r="D48" s="70" t="str"/>
      <x:c r="E48" s="70" t="str"/>
      <x:c r="F48" s="70" t="str"/>
      <x:c r="G48" s="70" t="str"/>
      <x:c r="H48" s="70" t="str"/>
      <x:c r="I48" s="70" t="str"/>
      <x:c r="J48" s="70" t="str"/>
      <x:c r="K48" s="70" t="str"/>
      <x:c r="L48" s="70" t="str">
        <x:v>待录入</x:v>
      </x:c>
      <x:c r="M48" s="70" t="str"/>
    </x:row>
    <x:row r="49">
      <x:c r="A49" s="70" t="str">
        <x:v>M5L-044</x:v>
      </x:c>
      <x:c r="B49" s="70" t="str"/>
      <x:c r="C49" s="70" t="str"/>
      <x:c r="D49" s="70" t="str"/>
      <x:c r="E49" s="70" t="str"/>
      <x:c r="F49" s="70" t="str"/>
      <x:c r="G49" s="70" t="str"/>
      <x:c r="H49" s="70" t="str"/>
      <x:c r="I49" s="70" t="str"/>
      <x:c r="J49" s="70" t="str"/>
      <x:c r="K49" s="70" t="str"/>
      <x:c r="L49" s="70" t="str">
        <x:v>待录入</x:v>
      </x:c>
      <x:c r="M49" s="70" t="str"/>
    </x:row>
    <x:row r="50">
      <x:c r="A50" s="70" t="str">
        <x:v>M5L-045</x:v>
      </x:c>
      <x:c r="B50" s="70" t="str"/>
      <x:c r="C50" s="70" t="str"/>
      <x:c r="D50" s="70" t="str"/>
      <x:c r="E50" s="70" t="str"/>
      <x:c r="F50" s="70" t="str"/>
      <x:c r="G50" s="70" t="str"/>
      <x:c r="H50" s="70" t="str"/>
      <x:c r="I50" s="70" t="str"/>
      <x:c r="J50" s="70" t="str"/>
      <x:c r="K50" s="70" t="str"/>
      <x:c r="L50" s="70" t="str">
        <x:v>待录入</x:v>
      </x:c>
      <x:c r="M50" s="70" t="str"/>
    </x:row>
    <x:row r="51">
      <x:c r="A51" s="70" t="str">
        <x:v>M5L-046</x:v>
      </x:c>
      <x:c r="B51" s="70" t="str"/>
      <x:c r="C51" s="70" t="str"/>
      <x:c r="D51" s="70" t="str"/>
      <x:c r="E51" s="70" t="str"/>
      <x:c r="F51" s="70" t="str"/>
      <x:c r="G51" s="70" t="str"/>
      <x:c r="H51" s="70" t="str"/>
      <x:c r="I51" s="70" t="str"/>
      <x:c r="J51" s="70" t="str"/>
      <x:c r="K51" s="70" t="str"/>
      <x:c r="L51" s="70" t="str">
        <x:v>待录入</x:v>
      </x:c>
      <x:c r="M51" s="70" t="str"/>
    </x:row>
    <x:row r="52">
      <x:c r="A52" s="70" t="str">
        <x:v>M5L-047</x:v>
      </x:c>
      <x:c r="B52" s="70" t="str"/>
      <x:c r="C52" s="70" t="str"/>
      <x:c r="D52" s="70" t="str"/>
      <x:c r="E52" s="70" t="str"/>
      <x:c r="F52" s="70" t="str"/>
      <x:c r="G52" s="70" t="str"/>
      <x:c r="H52" s="70" t="str"/>
      <x:c r="I52" s="70" t="str"/>
      <x:c r="J52" s="70" t="str"/>
      <x:c r="K52" s="70" t="str"/>
      <x:c r="L52" s="70" t="str">
        <x:v>待录入</x:v>
      </x:c>
      <x:c r="M52" s="70" t="str"/>
    </x:row>
    <x:row r="53">
      <x:c r="A53" s="70" t="str">
        <x:v>M5L-048</x:v>
      </x:c>
      <x:c r="B53" s="70" t="str"/>
      <x:c r="C53" s="70" t="str"/>
      <x:c r="D53" s="70" t="str"/>
      <x:c r="E53" s="70" t="str"/>
      <x:c r="F53" s="70" t="str"/>
      <x:c r="G53" s="70" t="str"/>
      <x:c r="H53" s="70" t="str"/>
      <x:c r="I53" s="70" t="str"/>
      <x:c r="J53" s="70" t="str"/>
      <x:c r="K53" s="70" t="str"/>
      <x:c r="L53" s="70" t="str">
        <x:v>待录入</x:v>
      </x:c>
      <x:c r="M53" s="70" t="str"/>
    </x:row>
    <x:row r="54">
      <x:c r="A54" s="70" t="str">
        <x:v>M5L-049</x:v>
      </x:c>
      <x:c r="B54" s="70" t="str"/>
      <x:c r="C54" s="70" t="str"/>
      <x:c r="D54" s="70" t="str"/>
      <x:c r="E54" s="70" t="str"/>
      <x:c r="F54" s="70" t="str"/>
      <x:c r="G54" s="70" t="str"/>
      <x:c r="H54" s="70" t="str"/>
      <x:c r="I54" s="70" t="str"/>
      <x:c r="J54" s="70" t="str"/>
      <x:c r="K54" s="70" t="str"/>
      <x:c r="L54" s="70" t="str">
        <x:v>待录入</x:v>
      </x:c>
      <x:c r="M54" s="70" t="str"/>
    </x:row>
    <x:row r="55">
      <x:c r="A55" s="70" t="str">
        <x:v>M5L-050</x:v>
      </x:c>
      <x:c r="B55" s="70" t="str"/>
      <x:c r="C55" s="70" t="str"/>
      <x:c r="D55" s="70" t="str"/>
      <x:c r="E55" s="70" t="str"/>
      <x:c r="F55" s="70" t="str"/>
      <x:c r="G55" s="70" t="str"/>
      <x:c r="H55" s="70" t="str"/>
      <x:c r="I55" s="70" t="str"/>
      <x:c r="J55" s="70" t="str"/>
      <x:c r="K55" s="70" t="str"/>
      <x:c r="L55" s="70" t="str">
        <x:v>待录入</x:v>
      </x:c>
      <x:c r="M55" s="70" t="str"/>
    </x:row>
    <x:row r="56">
      <x:c r="A56" s="70" t="str">
        <x:v>M5L-051</x:v>
      </x:c>
      <x:c r="B56" s="70" t="str"/>
      <x:c r="C56" s="70" t="str"/>
      <x:c r="D56" s="70" t="str"/>
      <x:c r="E56" s="70" t="str"/>
      <x:c r="F56" s="70" t="str"/>
      <x:c r="G56" s="70" t="str"/>
      <x:c r="H56" s="70" t="str"/>
      <x:c r="I56" s="70" t="str"/>
      <x:c r="J56" s="70" t="str"/>
      <x:c r="K56" s="70" t="str"/>
      <x:c r="L56" s="70" t="str">
        <x:v>待录入</x:v>
      </x:c>
      <x:c r="M56" s="70" t="str"/>
    </x:row>
    <x:row r="57">
      <x:c r="A57" s="70" t="str">
        <x:v>M5L-052</x:v>
      </x:c>
      <x:c r="B57" s="70" t="str"/>
      <x:c r="C57" s="70" t="str"/>
      <x:c r="D57" s="70" t="str"/>
      <x:c r="E57" s="70" t="str"/>
      <x:c r="F57" s="70" t="str"/>
      <x:c r="G57" s="70" t="str"/>
      <x:c r="H57" s="70" t="str"/>
      <x:c r="I57" s="70" t="str"/>
      <x:c r="J57" s="70" t="str"/>
      <x:c r="K57" s="70" t="str"/>
      <x:c r="L57" s="70" t="str">
        <x:v>待录入</x:v>
      </x:c>
      <x:c r="M57" s="70" t="str"/>
    </x:row>
    <x:row r="58">
      <x:c r="A58" s="70" t="str">
        <x:v>M5L-053</x:v>
      </x:c>
      <x:c r="B58" s="70" t="str"/>
      <x:c r="C58" s="70" t="str"/>
      <x:c r="D58" s="70" t="str"/>
      <x:c r="E58" s="70" t="str"/>
      <x:c r="F58" s="70" t="str"/>
      <x:c r="G58" s="70" t="str"/>
      <x:c r="H58" s="70" t="str"/>
      <x:c r="I58" s="70" t="str"/>
      <x:c r="J58" s="70" t="str"/>
      <x:c r="K58" s="70" t="str"/>
      <x:c r="L58" s="70" t="str">
        <x:v>待录入</x:v>
      </x:c>
      <x:c r="M58" s="70" t="str"/>
    </x:row>
    <x:row r="59">
      <x:c r="A59" s="70" t="str">
        <x:v>M5L-054</x:v>
      </x:c>
      <x:c r="B59" s="70" t="str"/>
      <x:c r="C59" s="70" t="str"/>
      <x:c r="D59" s="70" t="str"/>
      <x:c r="E59" s="70" t="str"/>
      <x:c r="F59" s="70" t="str"/>
      <x:c r="G59" s="70" t="str"/>
      <x:c r="H59" s="70" t="str"/>
      <x:c r="I59" s="70" t="str"/>
      <x:c r="J59" s="70" t="str"/>
      <x:c r="K59" s="70" t="str"/>
      <x:c r="L59" s="70" t="str">
        <x:v>待录入</x:v>
      </x:c>
      <x:c r="M59" s="70" t="str"/>
    </x:row>
    <x:row r="60">
      <x:c r="A60" s="70" t="str">
        <x:v>M5L-055</x:v>
      </x:c>
      <x:c r="B60" s="70" t="str"/>
      <x:c r="C60" s="70" t="str"/>
      <x:c r="D60" s="70" t="str"/>
      <x:c r="E60" s="70" t="str"/>
      <x:c r="F60" s="70" t="str"/>
      <x:c r="G60" s="70" t="str"/>
      <x:c r="H60" s="70" t="str"/>
      <x:c r="I60" s="70" t="str"/>
      <x:c r="J60" s="70" t="str"/>
      <x:c r="K60" s="70" t="str"/>
      <x:c r="L60" s="70" t="str">
        <x:v>待录入</x:v>
      </x:c>
      <x:c r="M60" s="70" t="str"/>
    </x:row>
    <x:row r="61">
      <x:c r="A61" s="70" t="str">
        <x:v>M5L-056</x:v>
      </x:c>
      <x:c r="B61" s="70" t="str"/>
      <x:c r="C61" s="70" t="str"/>
      <x:c r="D61" s="70" t="str"/>
      <x:c r="E61" s="70" t="str"/>
      <x:c r="F61" s="70" t="str"/>
      <x:c r="G61" s="70" t="str"/>
      <x:c r="H61" s="70" t="str"/>
      <x:c r="I61" s="70" t="str"/>
      <x:c r="J61" s="70" t="str"/>
      <x:c r="K61" s="70" t="str"/>
      <x:c r="L61" s="70" t="str">
        <x:v>待录入</x:v>
      </x:c>
      <x:c r="M61" s="70" t="str"/>
    </x:row>
    <x:row r="62">
      <x:c r="A62" s="70" t="str">
        <x:v>M5L-057</x:v>
      </x:c>
      <x:c r="B62" s="70" t="str"/>
      <x:c r="C62" s="70" t="str"/>
      <x:c r="D62" s="70" t="str"/>
      <x:c r="E62" s="70" t="str"/>
      <x:c r="F62" s="70" t="str"/>
      <x:c r="G62" s="70" t="str"/>
      <x:c r="H62" s="70" t="str"/>
      <x:c r="I62" s="70" t="str"/>
      <x:c r="J62" s="70" t="str"/>
      <x:c r="K62" s="70" t="str"/>
      <x:c r="L62" s="70" t="str">
        <x:v>待录入</x:v>
      </x:c>
      <x:c r="M62" s="70" t="str"/>
    </x:row>
    <x:row r="63">
      <x:c r="A63" s="70" t="str">
        <x:v>M5L-058</x:v>
      </x:c>
      <x:c r="B63" s="70" t="str"/>
      <x:c r="C63" s="70" t="str"/>
      <x:c r="D63" s="70" t="str"/>
      <x:c r="E63" s="70" t="str"/>
      <x:c r="F63" s="70" t="str"/>
      <x:c r="G63" s="70" t="str"/>
      <x:c r="H63" s="70" t="str"/>
      <x:c r="I63" s="70" t="str"/>
      <x:c r="J63" s="70" t="str"/>
      <x:c r="K63" s="70" t="str"/>
      <x:c r="L63" s="70" t="str">
        <x:v>待录入</x:v>
      </x:c>
      <x:c r="M63" s="70" t="str"/>
    </x:row>
    <x:row r="64">
      <x:c r="A64" s="70" t="str">
        <x:v>M5L-059</x:v>
      </x:c>
      <x:c r="B64" s="70" t="str"/>
      <x:c r="C64" s="70" t="str"/>
      <x:c r="D64" s="70" t="str"/>
      <x:c r="E64" s="70" t="str"/>
      <x:c r="F64" s="70" t="str"/>
      <x:c r="G64" s="70" t="str"/>
      <x:c r="H64" s="70" t="str"/>
      <x:c r="I64" s="70" t="str"/>
      <x:c r="J64" s="70" t="str"/>
      <x:c r="K64" s="70" t="str"/>
      <x:c r="L64" s="70" t="str">
        <x:v>待录入</x:v>
      </x:c>
      <x:c r="M64" s="70" t="str"/>
    </x:row>
    <x:row r="65">
      <x:c r="A65" s="70" t="str">
        <x:v>M5L-060</x:v>
      </x:c>
      <x:c r="B65" s="70" t="str"/>
      <x:c r="C65" s="70" t="str"/>
      <x:c r="D65" s="70" t="str"/>
      <x:c r="E65" s="70" t="str"/>
      <x:c r="F65" s="70" t="str"/>
      <x:c r="G65" s="70" t="str"/>
      <x:c r="H65" s="70" t="str"/>
      <x:c r="I65" s="70" t="str"/>
      <x:c r="J65" s="70" t="str"/>
      <x:c r="K65" s="70" t="str"/>
      <x:c r="L65" s="70" t="str">
        <x:v>待录入</x:v>
      </x:c>
      <x:c r="M65" s="70" t="str"/>
    </x:row>
    <x:row r="66">
      <x:c r="A66" s="70" t="str">
        <x:v>M5L-061</x:v>
      </x:c>
      <x:c r="B66" s="70" t="str"/>
      <x:c r="C66" s="70" t="str"/>
      <x:c r="D66" s="70" t="str"/>
      <x:c r="E66" s="70" t="str"/>
      <x:c r="F66" s="70" t="str"/>
      <x:c r="G66" s="70" t="str"/>
      <x:c r="H66" s="70" t="str"/>
      <x:c r="I66" s="70" t="str"/>
      <x:c r="J66" s="70" t="str"/>
      <x:c r="K66" s="70" t="str"/>
      <x:c r="L66" s="70" t="str">
        <x:v>待录入</x:v>
      </x:c>
      <x:c r="M66" s="70" t="str"/>
    </x:row>
    <x:row r="67">
      <x:c r="A67" s="70" t="str">
        <x:v>M5L-062</x:v>
      </x:c>
      <x:c r="B67" s="70" t="str"/>
      <x:c r="C67" s="70" t="str"/>
      <x:c r="D67" s="70" t="str"/>
      <x:c r="E67" s="70" t="str"/>
      <x:c r="F67" s="70" t="str"/>
      <x:c r="G67" s="70" t="str"/>
      <x:c r="H67" s="70" t="str"/>
      <x:c r="I67" s="70" t="str"/>
      <x:c r="J67" s="70" t="str"/>
      <x:c r="K67" s="70" t="str"/>
      <x:c r="L67" s="70" t="str">
        <x:v>待录入</x:v>
      </x:c>
      <x:c r="M67" s="70" t="str"/>
    </x:row>
    <x:row r="68">
      <x:c r="A68" s="70" t="str">
        <x:v>M5L-063</x:v>
      </x:c>
      <x:c r="B68" s="70" t="str"/>
      <x:c r="C68" s="70" t="str"/>
      <x:c r="D68" s="70" t="str"/>
      <x:c r="E68" s="70" t="str"/>
      <x:c r="F68" s="70" t="str"/>
      <x:c r="G68" s="70" t="str"/>
      <x:c r="H68" s="70" t="str"/>
      <x:c r="I68" s="70" t="str"/>
      <x:c r="J68" s="70" t="str"/>
      <x:c r="K68" s="70" t="str"/>
      <x:c r="L68" s="70" t="str">
        <x:v>待录入</x:v>
      </x:c>
      <x:c r="M68" s="70" t="str"/>
    </x:row>
    <x:row r="69">
      <x:c r="A69" s="70" t="str">
        <x:v>M5L-064</x:v>
      </x:c>
      <x:c r="B69" s="70" t="str"/>
      <x:c r="C69" s="70" t="str"/>
      <x:c r="D69" s="70" t="str"/>
      <x:c r="E69" s="70" t="str"/>
      <x:c r="F69" s="70" t="str"/>
      <x:c r="G69" s="70" t="str"/>
      <x:c r="H69" s="70" t="str"/>
      <x:c r="I69" s="70" t="str"/>
      <x:c r="J69" s="70" t="str"/>
      <x:c r="K69" s="70" t="str"/>
      <x:c r="L69" s="70" t="str">
        <x:v>待录入</x:v>
      </x:c>
      <x:c r="M69" s="70" t="str"/>
    </x:row>
    <x:row r="70">
      <x:c r="A70" s="70" t="str">
        <x:v>M5L-065</x:v>
      </x:c>
      <x:c r="B70" s="70" t="str"/>
      <x:c r="C70" s="70" t="str"/>
      <x:c r="D70" s="70" t="str"/>
      <x:c r="E70" s="70" t="str"/>
      <x:c r="F70" s="70" t="str"/>
      <x:c r="G70" s="70" t="str"/>
      <x:c r="H70" s="70" t="str"/>
      <x:c r="I70" s="70" t="str"/>
      <x:c r="J70" s="70" t="str"/>
      <x:c r="K70" s="70" t="str"/>
      <x:c r="L70" s="70" t="str">
        <x:v>待录入</x:v>
      </x:c>
      <x:c r="M70" s="70" t="str"/>
    </x:row>
    <x:row r="71">
      <x:c r="A71" s="70" t="str">
        <x:v>M5L-066</x:v>
      </x:c>
      <x:c r="B71" s="70" t="str"/>
      <x:c r="C71" s="70" t="str"/>
      <x:c r="D71" s="70" t="str"/>
      <x:c r="E71" s="70" t="str"/>
      <x:c r="F71" s="70" t="str"/>
      <x:c r="G71" s="70" t="str"/>
      <x:c r="H71" s="70" t="str"/>
      <x:c r="I71" s="70" t="str"/>
      <x:c r="J71" s="70" t="str"/>
      <x:c r="K71" s="70" t="str"/>
      <x:c r="L71" s="70" t="str">
        <x:v>待录入</x:v>
      </x:c>
      <x:c r="M71" s="70" t="str"/>
    </x:row>
    <x:row r="72">
      <x:c r="A72" s="70" t="str">
        <x:v>M5L-067</x:v>
      </x:c>
      <x:c r="B72" s="70" t="str"/>
      <x:c r="C72" s="70" t="str"/>
      <x:c r="D72" s="70" t="str"/>
      <x:c r="E72" s="70" t="str"/>
      <x:c r="F72" s="70" t="str"/>
      <x:c r="G72" s="70" t="str"/>
      <x:c r="H72" s="70" t="str"/>
      <x:c r="I72" s="70" t="str"/>
      <x:c r="J72" s="70" t="str"/>
      <x:c r="K72" s="70" t="str"/>
      <x:c r="L72" s="70" t="str">
        <x:v>待录入</x:v>
      </x:c>
      <x:c r="M72" s="70" t="str"/>
    </x:row>
    <x:row r="73">
      <x:c r="A73" s="70" t="str">
        <x:v>M5L-068</x:v>
      </x:c>
      <x:c r="B73" s="70" t="str"/>
      <x:c r="C73" s="70" t="str"/>
      <x:c r="D73" s="70" t="str"/>
      <x:c r="E73" s="70" t="str"/>
      <x:c r="F73" s="70" t="str"/>
      <x:c r="G73" s="70" t="str"/>
      <x:c r="H73" s="70" t="str"/>
      <x:c r="I73" s="70" t="str"/>
      <x:c r="J73" s="70" t="str"/>
      <x:c r="K73" s="70" t="str"/>
      <x:c r="L73" s="70" t="str">
        <x:v>待录入</x:v>
      </x:c>
      <x:c r="M73" s="70" t="str"/>
    </x:row>
    <x:row r="74">
      <x:c r="A74" s="70" t="str">
        <x:v>M5L-069</x:v>
      </x:c>
      <x:c r="B74" s="70" t="str"/>
      <x:c r="C74" s="70" t="str"/>
      <x:c r="D74" s="70" t="str"/>
      <x:c r="E74" s="70" t="str"/>
      <x:c r="F74" s="70" t="str"/>
      <x:c r="G74" s="70" t="str"/>
      <x:c r="H74" s="70" t="str"/>
      <x:c r="I74" s="70" t="str"/>
      <x:c r="J74" s="70" t="str"/>
      <x:c r="K74" s="70" t="str"/>
      <x:c r="L74" s="70" t="str">
        <x:v>待录入</x:v>
      </x:c>
      <x:c r="M74" s="70" t="str"/>
    </x:row>
    <x:row r="75">
      <x:c r="A75" s="70" t="str">
        <x:v>M5L-070</x:v>
      </x:c>
      <x:c r="B75" s="70" t="str"/>
      <x:c r="C75" s="70" t="str"/>
      <x:c r="D75" s="70" t="str"/>
      <x:c r="E75" s="70" t="str"/>
      <x:c r="F75" s="70" t="str"/>
      <x:c r="G75" s="70" t="str"/>
      <x:c r="H75" s="70" t="str"/>
      <x:c r="I75" s="70" t="str"/>
      <x:c r="J75" s="70" t="str"/>
      <x:c r="K75" s="70" t="str"/>
      <x:c r="L75" s="70" t="str">
        <x:v>待录入</x:v>
      </x:c>
      <x:c r="M75" s="70" t="str"/>
    </x:row>
    <x:row r="76">
      <x:c r="A76" s="70" t="str">
        <x:v>M5L-071</x:v>
      </x:c>
      <x:c r="B76" s="70" t="str"/>
      <x:c r="C76" s="70" t="str"/>
      <x:c r="D76" s="70" t="str"/>
      <x:c r="E76" s="70" t="str"/>
      <x:c r="F76" s="70" t="str"/>
      <x:c r="G76" s="70" t="str"/>
      <x:c r="H76" s="70" t="str"/>
      <x:c r="I76" s="70" t="str"/>
      <x:c r="J76" s="70" t="str"/>
      <x:c r="K76" s="70" t="str"/>
      <x:c r="L76" s="70" t="str">
        <x:v>待录入</x:v>
      </x:c>
      <x:c r="M76" s="70" t="str"/>
    </x:row>
    <x:row r="77">
      <x:c r="A77" s="70" t="str">
        <x:v>M5L-072</x:v>
      </x:c>
      <x:c r="B77" s="70" t="str"/>
      <x:c r="C77" s="70" t="str"/>
      <x:c r="D77" s="70" t="str"/>
      <x:c r="E77" s="70" t="str"/>
      <x:c r="F77" s="70" t="str"/>
      <x:c r="G77" s="70" t="str"/>
      <x:c r="H77" s="70" t="str"/>
      <x:c r="I77" s="70" t="str"/>
      <x:c r="J77" s="70" t="str"/>
      <x:c r="K77" s="70" t="str"/>
      <x:c r="L77" s="70" t="str">
        <x:v>待录入</x:v>
      </x:c>
      <x:c r="M77" s="70" t="str"/>
    </x:row>
    <x:row r="78">
      <x:c r="A78" s="70" t="str">
        <x:v>M5L-073</x:v>
      </x:c>
      <x:c r="B78" s="70" t="str"/>
      <x:c r="C78" s="70" t="str"/>
      <x:c r="D78" s="70" t="str"/>
      <x:c r="E78" s="70" t="str"/>
      <x:c r="F78" s="70" t="str"/>
      <x:c r="G78" s="70" t="str"/>
      <x:c r="H78" s="70" t="str"/>
      <x:c r="I78" s="70" t="str"/>
      <x:c r="J78" s="70" t="str"/>
      <x:c r="K78" s="70" t="str"/>
      <x:c r="L78" s="70" t="str">
        <x:v>待录入</x:v>
      </x:c>
      <x:c r="M78" s="70" t="str"/>
    </x:row>
    <x:row r="79">
      <x:c r="A79" s="70" t="str">
        <x:v>M5L-074</x:v>
      </x:c>
      <x:c r="B79" s="70" t="str"/>
      <x:c r="C79" s="70" t="str"/>
      <x:c r="D79" s="70" t="str"/>
      <x:c r="E79" s="70" t="str"/>
      <x:c r="F79" s="70" t="str"/>
      <x:c r="G79" s="70" t="str"/>
      <x:c r="H79" s="70" t="str"/>
      <x:c r="I79" s="70" t="str"/>
      <x:c r="J79" s="70" t="str"/>
      <x:c r="K79" s="70" t="str"/>
      <x:c r="L79" s="70" t="str">
        <x:v>待录入</x:v>
      </x:c>
      <x:c r="M79" s="70" t="str"/>
    </x:row>
    <x:row r="80">
      <x:c r="A80" s="70" t="str">
        <x:v>M5L-075</x:v>
      </x:c>
      <x:c r="B80" s="70" t="str"/>
      <x:c r="C80" s="70" t="str"/>
      <x:c r="D80" s="70" t="str"/>
      <x:c r="E80" s="70" t="str"/>
      <x:c r="F80" s="70" t="str"/>
      <x:c r="G80" s="70" t="str"/>
      <x:c r="H80" s="70" t="str"/>
      <x:c r="I80" s="70" t="str"/>
      <x:c r="J80" s="70" t="str"/>
      <x:c r="K80" s="70" t="str"/>
      <x:c r="L80" s="70" t="str">
        <x:v>待录入</x:v>
      </x:c>
      <x:c r="M80" s="70" t="str"/>
    </x:row>
    <x:row r="81">
      <x:c r="A81" s="70" t="str">
        <x:v>M5L-076</x:v>
      </x:c>
      <x:c r="B81" s="70" t="str"/>
      <x:c r="C81" s="70" t="str"/>
      <x:c r="D81" s="70" t="str"/>
      <x:c r="E81" s="70" t="str"/>
      <x:c r="F81" s="70" t="str"/>
      <x:c r="G81" s="70" t="str"/>
      <x:c r="H81" s="70" t="str"/>
      <x:c r="I81" s="70" t="str"/>
      <x:c r="J81" s="70" t="str"/>
      <x:c r="K81" s="70" t="str"/>
      <x:c r="L81" s="70" t="str">
        <x:v>待录入</x:v>
      </x:c>
      <x:c r="M81" s="70" t="str"/>
    </x:row>
    <x:row r="82">
      <x:c r="A82" s="70" t="str">
        <x:v>M5L-077</x:v>
      </x:c>
      <x:c r="B82" s="70" t="str"/>
      <x:c r="C82" s="70" t="str"/>
      <x:c r="D82" s="70" t="str"/>
      <x:c r="E82" s="70" t="str"/>
      <x:c r="F82" s="70" t="str"/>
      <x:c r="G82" s="70" t="str"/>
      <x:c r="H82" s="70" t="str"/>
      <x:c r="I82" s="70" t="str"/>
      <x:c r="J82" s="70" t="str"/>
      <x:c r="K82" s="70" t="str"/>
      <x:c r="L82" s="70" t="str">
        <x:v>待录入</x:v>
      </x:c>
      <x:c r="M82" s="70" t="str"/>
    </x:row>
    <x:row r="83">
      <x:c r="A83" s="70" t="str">
        <x:v>M5L-078</x:v>
      </x:c>
      <x:c r="B83" s="70" t="str"/>
      <x:c r="C83" s="70" t="str"/>
      <x:c r="D83" s="70" t="str"/>
      <x:c r="E83" s="70" t="str"/>
      <x:c r="F83" s="70" t="str"/>
      <x:c r="G83" s="70" t="str"/>
      <x:c r="H83" s="70" t="str"/>
      <x:c r="I83" s="70" t="str"/>
      <x:c r="J83" s="70" t="str"/>
      <x:c r="K83" s="70" t="str"/>
      <x:c r="L83" s="70" t="str">
        <x:v>待录入</x:v>
      </x:c>
      <x:c r="M83" s="70" t="str"/>
    </x:row>
    <x:row r="84">
      <x:c r="A84" s="70" t="str">
        <x:v>M5L-079</x:v>
      </x:c>
      <x:c r="B84" s="70" t="str"/>
      <x:c r="C84" s="70" t="str"/>
      <x:c r="D84" s="70" t="str"/>
      <x:c r="E84" s="70" t="str"/>
      <x:c r="F84" s="70" t="str"/>
      <x:c r="G84" s="70" t="str"/>
      <x:c r="H84" s="70" t="str"/>
      <x:c r="I84" s="70" t="str"/>
      <x:c r="J84" s="70" t="str"/>
      <x:c r="K84" s="70" t="str"/>
      <x:c r="L84" s="70" t="str">
        <x:v>待录入</x:v>
      </x:c>
      <x:c r="M84" s="70" t="str"/>
    </x:row>
    <x:row r="85">
      <x:c r="A85" s="70" t="str">
        <x:v>M5L-080</x:v>
      </x:c>
      <x:c r="B85" s="70" t="str"/>
      <x:c r="C85" s="70" t="str"/>
      <x:c r="D85" s="70" t="str"/>
      <x:c r="E85" s="70" t="str"/>
      <x:c r="F85" s="70" t="str"/>
      <x:c r="G85" s="70" t="str"/>
      <x:c r="H85" s="70" t="str"/>
      <x:c r="I85" s="70" t="str"/>
      <x:c r="J85" s="70" t="str"/>
      <x:c r="K85" s="70" t="str"/>
      <x:c r="L85" s="70" t="str">
        <x:v>待录入</x:v>
      </x:c>
      <x:c r="M85" s="70" t="str"/>
    </x:row>
    <x:row r="86">
      <x:c r="A86" s="70" t="str">
        <x:v>M5L-081</x:v>
      </x:c>
      <x:c r="B86" s="70" t="str"/>
      <x:c r="C86" s="70" t="str"/>
      <x:c r="D86" s="70" t="str"/>
      <x:c r="E86" s="70" t="str"/>
      <x:c r="F86" s="70" t="str"/>
      <x:c r="G86" s="70" t="str"/>
      <x:c r="H86" s="70" t="str"/>
      <x:c r="I86" s="70" t="str"/>
      <x:c r="J86" s="70" t="str"/>
      <x:c r="K86" s="70" t="str"/>
      <x:c r="L86" s="70" t="str">
        <x:v>待录入</x:v>
      </x:c>
      <x:c r="M86" s="70" t="str"/>
    </x:row>
    <x:row r="87">
      <x:c r="A87" s="70" t="str">
        <x:v>M5L-082</x:v>
      </x:c>
      <x:c r="B87" s="70" t="str"/>
      <x:c r="C87" s="70" t="str"/>
      <x:c r="D87" s="70" t="str"/>
      <x:c r="E87" s="70" t="str"/>
      <x:c r="F87" s="70" t="str"/>
      <x:c r="G87" s="70" t="str"/>
      <x:c r="H87" s="70" t="str"/>
      <x:c r="I87" s="70" t="str"/>
      <x:c r="J87" s="70" t="str"/>
      <x:c r="K87" s="70" t="str"/>
      <x:c r="L87" s="70" t="str">
        <x:v>待录入</x:v>
      </x:c>
      <x:c r="M87" s="70" t="str"/>
    </x:row>
    <x:row r="88">
      <x:c r="A88" s="70" t="str">
        <x:v>M5L-083</x:v>
      </x:c>
      <x:c r="B88" s="70" t="str"/>
      <x:c r="C88" s="70" t="str"/>
      <x:c r="D88" s="70" t="str"/>
      <x:c r="E88" s="70" t="str"/>
      <x:c r="F88" s="70" t="str"/>
      <x:c r="G88" s="70" t="str"/>
      <x:c r="H88" s="70" t="str"/>
      <x:c r="I88" s="70" t="str"/>
      <x:c r="J88" s="70" t="str"/>
      <x:c r="K88" s="70" t="str"/>
      <x:c r="L88" s="70" t="str">
        <x:v>待录入</x:v>
      </x:c>
      <x:c r="M88" s="70" t="str"/>
    </x:row>
    <x:row r="89">
      <x:c r="A89" s="70" t="str">
        <x:v>M5L-084</x:v>
      </x:c>
      <x:c r="B89" s="70" t="str"/>
      <x:c r="C89" s="70" t="str"/>
      <x:c r="D89" s="70" t="str"/>
      <x:c r="E89" s="70" t="str"/>
      <x:c r="F89" s="70" t="str"/>
      <x:c r="G89" s="70" t="str"/>
      <x:c r="H89" s="70" t="str"/>
      <x:c r="I89" s="70" t="str"/>
      <x:c r="J89" s="70" t="str"/>
      <x:c r="K89" s="70" t="str"/>
      <x:c r="L89" s="70" t="str">
        <x:v>待录入</x:v>
      </x:c>
      <x:c r="M89" s="70" t="str"/>
    </x:row>
    <x:row r="90">
      <x:c r="A90" s="70" t="str">
        <x:v>M5L-085</x:v>
      </x:c>
      <x:c r="B90" s="70" t="str"/>
      <x:c r="C90" s="70" t="str"/>
      <x:c r="D90" s="70" t="str"/>
      <x:c r="E90" s="70" t="str"/>
      <x:c r="F90" s="70" t="str"/>
      <x:c r="G90" s="70" t="str"/>
      <x:c r="H90" s="70" t="str"/>
      <x:c r="I90" s="70" t="str"/>
      <x:c r="J90" s="70" t="str"/>
      <x:c r="K90" s="70" t="str"/>
      <x:c r="L90" s="70" t="str">
        <x:v>待录入</x:v>
      </x:c>
      <x:c r="M90" s="70" t="str"/>
    </x:row>
    <x:row r="91">
      <x:c r="A91" s="70" t="str">
        <x:v>M5L-086</x:v>
      </x:c>
      <x:c r="B91" s="70" t="str"/>
      <x:c r="C91" s="70" t="str"/>
      <x:c r="D91" s="70" t="str"/>
      <x:c r="E91" s="70" t="str"/>
      <x:c r="F91" s="70" t="str"/>
      <x:c r="G91" s="70" t="str"/>
      <x:c r="H91" s="70" t="str"/>
      <x:c r="I91" s="70" t="str"/>
      <x:c r="J91" s="70" t="str"/>
      <x:c r="K91" s="70" t="str"/>
      <x:c r="L91" s="70" t="str">
        <x:v>待录入</x:v>
      </x:c>
      <x:c r="M91" s="70" t="str"/>
    </x:row>
    <x:row r="92">
      <x:c r="A92" s="70" t="str">
        <x:v>M5L-087</x:v>
      </x:c>
      <x:c r="B92" s="70" t="str"/>
      <x:c r="C92" s="70" t="str"/>
      <x:c r="D92" s="70" t="str"/>
      <x:c r="E92" s="70" t="str"/>
      <x:c r="F92" s="70" t="str"/>
      <x:c r="G92" s="70" t="str"/>
      <x:c r="H92" s="70" t="str"/>
      <x:c r="I92" s="70" t="str"/>
      <x:c r="J92" s="70" t="str"/>
      <x:c r="K92" s="70" t="str"/>
      <x:c r="L92" s="70" t="str">
        <x:v>待录入</x:v>
      </x:c>
      <x:c r="M92" s="70" t="str"/>
    </x:row>
    <x:row r="93">
      <x:c r="A93" s="70" t="str">
        <x:v>M5L-088</x:v>
      </x:c>
      <x:c r="B93" s="70" t="str"/>
      <x:c r="C93" s="70" t="str"/>
      <x:c r="D93" s="70" t="str"/>
      <x:c r="E93" s="70" t="str"/>
      <x:c r="F93" s="70" t="str"/>
      <x:c r="G93" s="70" t="str"/>
      <x:c r="H93" s="70" t="str"/>
      <x:c r="I93" s="70" t="str"/>
      <x:c r="J93" s="70" t="str"/>
      <x:c r="K93" s="70" t="str"/>
      <x:c r="L93" s="70" t="str">
        <x:v>待录入</x:v>
      </x:c>
      <x:c r="M93" s="70" t="str"/>
    </x:row>
    <x:row r="94">
      <x:c r="A94" s="70" t="str">
        <x:v>M5L-089</x:v>
      </x:c>
      <x:c r="B94" s="70" t="str"/>
      <x:c r="C94" s="70" t="str"/>
      <x:c r="D94" s="70" t="str"/>
      <x:c r="E94" s="70" t="str"/>
      <x:c r="F94" s="70" t="str"/>
      <x:c r="G94" s="70" t="str"/>
      <x:c r="H94" s="70" t="str"/>
      <x:c r="I94" s="70" t="str"/>
      <x:c r="J94" s="70" t="str"/>
      <x:c r="K94" s="70" t="str"/>
      <x:c r="L94" s="70" t="str">
        <x:v>待录入</x:v>
      </x:c>
      <x:c r="M94" s="70" t="str"/>
    </x:row>
    <x:row r="95">
      <x:c r="A95" s="70" t="str">
        <x:v>M5L-090</x:v>
      </x:c>
      <x:c r="B95" s="70" t="str"/>
      <x:c r="C95" s="70" t="str"/>
      <x:c r="D95" s="70" t="str"/>
      <x:c r="E95" s="70" t="str"/>
      <x:c r="F95" s="70" t="str"/>
      <x:c r="G95" s="70" t="str"/>
      <x:c r="H95" s="70" t="str"/>
      <x:c r="I95" s="70" t="str"/>
      <x:c r="J95" s="70" t="str"/>
      <x:c r="K95" s="70" t="str"/>
      <x:c r="L95" s="70" t="str">
        <x:v>待录入</x:v>
      </x:c>
      <x:c r="M95" s="70" t="str"/>
    </x:row>
    <x:row r="96">
      <x:c r="A96" s="70" t="str">
        <x:v>M5L-091</x:v>
      </x:c>
      <x:c r="B96" s="70" t="str"/>
      <x:c r="C96" s="70" t="str"/>
      <x:c r="D96" s="70" t="str"/>
      <x:c r="E96" s="70" t="str"/>
      <x:c r="F96" s="70" t="str"/>
      <x:c r="G96" s="70" t="str"/>
      <x:c r="H96" s="70" t="str"/>
      <x:c r="I96" s="70" t="str"/>
      <x:c r="J96" s="70" t="str"/>
      <x:c r="K96" s="70" t="str"/>
      <x:c r="L96" s="70" t="str">
        <x:v>待录入</x:v>
      </x:c>
      <x:c r="M96" s="70" t="str"/>
    </x:row>
    <x:row r="97">
      <x:c r="A97" s="70" t="str">
        <x:v>M5L-092</x:v>
      </x:c>
      <x:c r="B97" s="70" t="str"/>
      <x:c r="C97" s="70" t="str"/>
      <x:c r="D97" s="70" t="str"/>
      <x:c r="E97" s="70" t="str"/>
      <x:c r="F97" s="70" t="str"/>
      <x:c r="G97" s="70" t="str"/>
      <x:c r="H97" s="70" t="str"/>
      <x:c r="I97" s="70" t="str"/>
      <x:c r="J97" s="70" t="str"/>
      <x:c r="K97" s="70" t="str"/>
      <x:c r="L97" s="70" t="str">
        <x:v>待录入</x:v>
      </x:c>
      <x:c r="M97" s="70" t="str"/>
    </x:row>
    <x:row r="98">
      <x:c r="A98" s="70" t="str">
        <x:v>M5L-093</x:v>
      </x:c>
      <x:c r="B98" s="70" t="str"/>
      <x:c r="C98" s="70" t="str"/>
      <x:c r="D98" s="70" t="str"/>
      <x:c r="E98" s="70" t="str"/>
      <x:c r="F98" s="70" t="str"/>
      <x:c r="G98" s="70" t="str"/>
      <x:c r="H98" s="70" t="str"/>
      <x:c r="I98" s="70" t="str"/>
      <x:c r="J98" s="70" t="str"/>
      <x:c r="K98" s="70" t="str"/>
      <x:c r="L98" s="70" t="str">
        <x:v>待录入</x:v>
      </x:c>
      <x:c r="M98" s="70" t="str"/>
    </x:row>
    <x:row r="99">
      <x:c r="A99" s="70" t="str">
        <x:v>M5L-094</x:v>
      </x:c>
      <x:c r="B99" s="70" t="str"/>
      <x:c r="C99" s="70" t="str"/>
      <x:c r="D99" s="70" t="str"/>
      <x:c r="E99" s="70" t="str"/>
      <x:c r="F99" s="70" t="str"/>
      <x:c r="G99" s="70" t="str"/>
      <x:c r="H99" s="70" t="str"/>
      <x:c r="I99" s="70" t="str"/>
      <x:c r="J99" s="70" t="str"/>
      <x:c r="K99" s="70" t="str"/>
      <x:c r="L99" s="70" t="str">
        <x:v>待录入</x:v>
      </x:c>
      <x:c r="M99" s="70" t="str"/>
    </x:row>
    <x:row r="100">
      <x:c r="A100" s="70" t="str">
        <x:v>M5L-095</x:v>
      </x:c>
      <x:c r="B100" s="70" t="str"/>
      <x:c r="C100" s="70" t="str"/>
      <x:c r="D100" s="70" t="str"/>
      <x:c r="E100" s="70" t="str"/>
      <x:c r="F100" s="70" t="str"/>
      <x:c r="G100" s="70" t="str"/>
      <x:c r="H100" s="70" t="str"/>
      <x:c r="I100" s="70" t="str"/>
      <x:c r="J100" s="70" t="str"/>
      <x:c r="K100" s="70" t="str"/>
      <x:c r="L100" s="70" t="str">
        <x:v>待录入</x:v>
      </x:c>
      <x:c r="M100" s="70" t="str"/>
    </x:row>
    <x:row r="101">
      <x:c r="A101" s="70" t="str">
        <x:v>M5L-096</x:v>
      </x:c>
      <x:c r="B101" s="70" t="str"/>
      <x:c r="C101" s="70" t="str"/>
      <x:c r="D101" s="70" t="str"/>
      <x:c r="E101" s="70" t="str"/>
      <x:c r="F101" s="70" t="str"/>
      <x:c r="G101" s="70" t="str"/>
      <x:c r="H101" s="70" t="str"/>
      <x:c r="I101" s="70" t="str"/>
      <x:c r="J101" s="70" t="str"/>
      <x:c r="K101" s="70" t="str"/>
      <x:c r="L101" s="70" t="str">
        <x:v>待录入</x:v>
      </x:c>
      <x:c r="M101" s="70" t="str"/>
    </x:row>
    <x:row r="102">
      <x:c r="A102" s="70" t="str">
        <x:v>M5L-097</x:v>
      </x:c>
      <x:c r="B102" s="70" t="str"/>
      <x:c r="C102" s="70" t="str"/>
      <x:c r="D102" s="70" t="str"/>
      <x:c r="E102" s="70" t="str"/>
      <x:c r="F102" s="70" t="str"/>
      <x:c r="G102" s="70" t="str"/>
      <x:c r="H102" s="70" t="str"/>
      <x:c r="I102" s="70" t="str"/>
      <x:c r="J102" s="70" t="str"/>
      <x:c r="K102" s="70" t="str"/>
      <x:c r="L102" s="70" t="str">
        <x:v>待录入</x:v>
      </x:c>
      <x:c r="M102" s="70" t="str"/>
    </x:row>
    <x:row r="103">
      <x:c r="A103" s="70" t="str">
        <x:v>M5L-098</x:v>
      </x:c>
      <x:c r="B103" s="70" t="str"/>
      <x:c r="C103" s="70" t="str"/>
      <x:c r="D103" s="70" t="str"/>
      <x:c r="E103" s="70" t="str"/>
      <x:c r="F103" s="70" t="str"/>
      <x:c r="G103" s="70" t="str"/>
      <x:c r="H103" s="70" t="str"/>
      <x:c r="I103" s="70" t="str"/>
      <x:c r="J103" s="70" t="str"/>
      <x:c r="K103" s="70" t="str"/>
      <x:c r="L103" s="70" t="str">
        <x:v>待录入</x:v>
      </x:c>
      <x:c r="M103" s="70" t="str"/>
    </x:row>
    <x:row r="104">
      <x:c r="A104" s="70" t="str">
        <x:v>M5L-099</x:v>
      </x:c>
      <x:c r="B104" s="70" t="str"/>
      <x:c r="C104" s="70" t="str"/>
      <x:c r="D104" s="70" t="str"/>
      <x:c r="E104" s="70" t="str"/>
      <x:c r="F104" s="70" t="str"/>
      <x:c r="G104" s="70" t="str"/>
      <x:c r="H104" s="70" t="str"/>
      <x:c r="I104" s="70" t="str"/>
      <x:c r="J104" s="70" t="str"/>
      <x:c r="K104" s="70" t="str"/>
      <x:c r="L104" s="70" t="str">
        <x:v>待录入</x:v>
      </x:c>
      <x:c r="M104" s="70" t="str"/>
    </x:row>
    <x:row r="105">
      <x:c r="A105" s="176" t="str">
        <x:v>M5L-100</x:v>
      </x:c>
      <x:c r="B105" s="176" t="str"/>
      <x:c r="C105" s="176" t="str"/>
      <x:c r="D105" s="176" t="str"/>
      <x:c r="E105" s="176" t="str"/>
      <x:c r="F105" s="176" t="str"/>
      <x:c r="G105" s="176" t="str"/>
      <x:c r="H105" s="176" t="str"/>
      <x:c r="I105" s="176" t="str"/>
      <x:c r="J105" s="176" t="str"/>
      <x:c r="K105" s="176" t="str"/>
      <x:c r="L105" s="176" t="str">
        <x:v>待录入</x:v>
      </x:c>
      <x:c r="M105" s="176" t="str"/>
    </x:row>
  </x:sheetData>
  <x:mergeCells>
    <x:mergeCell ref="A1:M2"/>
    <x:mergeCell ref="A3:M3"/>
  </x:mergeCells>
  <x:conditionalFormatting sqref="F6:F105">
    <x:cfRule type="expression" dxfId="12" priority="1">
      <x:formula>$F6="高"</x:formula>
    </x:cfRule>
  </x:conditionalFormatting>
  <x:dataValidations count="7">
    <x:dataValidation type="list" sqref="C6:C105">
      <x:formula1>"BASE,PARTNER,EXCHANGE,BOUND,REPAIR,RHYTHM,GAP,SYNTH,REPORT,跨模块"</x:formula1>
    </x:dataValidation>
    <x:dataValidation type="list" sqref="E6:E105">
      <x:formula1>"绝对化／越级,过于笼统,不可证伪,人格化,决定论,缺少现实门槛,技术词过多,情绪伤害风险,边界不清"</x:formula1>
    </x:dataValidation>
    <x:dataValidation type="list" sqref="F6:F105">
      <x:formula1>"高,中,低"</x:formula1>
    </x:dataValidation>
    <x:dataValidation type="list" sqref="G6:G105">
      <x:formula1>"1,2,3,4,5"</x:formula1>
    </x:dataValidation>
    <x:dataValidation type="list" sqref="H6:H105">
      <x:formula1>"1,2,3,4,5"</x:formula1>
    </x:dataValidation>
    <x:dataValidation type="list" sqref="I6:I105">
      <x:formula1>"1,2,3,4,5"</x:formula1>
    </x:dataValidation>
    <x:dataValidation type="list" sqref="L6:L105">
      <x:formula1>"待录入,待复核,保留,已改写,停用"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29b035bd064c0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20" hidden="0" customWidth="1"/>
    <x:col min="4" max="4" width="18" hidden="0" customWidth="1"/>
    <x:col min="5" max="5" width="24" hidden="0" customWidth="1"/>
    <x:col min="6" max="6" width="50" hidden="0" customWidth="1"/>
    <x:col min="7" max="7" width="50" hidden="0" customWidth="1"/>
    <x:col min="8" max="8" width="54" hidden="0" customWidth="1"/>
    <x:col min="9" max="9" width="28" hidden="0" customWidth="1"/>
    <x:col min="10" max="10" width="28" hidden="0" customWidth="1"/>
    <x:col min="11" max="11" width="22" hidden="0" customWidth="1"/>
    <x:col min="12" max="12" width="22" hidden="0" customWidth="1"/>
    <x:col min="13" max="13" width="18" hidden="0" customWidth="1"/>
    <x:col min="14" max="14" width="20" hidden="0" customWidth="1"/>
    <x:col min="15" max="15" width="18" hidden="0" customWidth="1"/>
    <x:col min="16" max="16" width="16" hidden="0" customWidth="1"/>
    <x:col min="17" max="17" width="16" hidden="0" customWidth="1"/>
    <x:col min="18" max="18" width="18" hidden="0" customWidth="1"/>
  </x:cols>
  <x:sheetData>
    <x:row r="1">
      <x:c r="A1" s="181" t="str">
        <x:v>规则、阈值与语言变更申请及版本发布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</x:row>
    <x:row r="2">
      <x:c r="A2" s="181"/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</x:row>
    <x:row r="3">
      <x:c r="A3" s="186" t="str">
        <x:v>没有case_id、开发结果、留出结果和回归测试的修改，不得进入下一版总规则库。</x:v>
      </x:c>
      <x:c r="B3" s="186"/>
      <x:c r="C3" s="186"/>
      <x:c r="D3" s="186"/>
      <x:c r="E3" s="186"/>
      <x:c r="F3" s="186"/>
      <x:c r="G3" s="186"/>
      <x:c r="H3" s="186"/>
      <x:c r="I3" s="186"/>
      <x:c r="J3" s="186"/>
      <x:c r="K3" s="186"/>
      <x:c r="L3" s="186"/>
      <x:c r="M3" s="186"/>
      <x:c r="N3" s="186"/>
      <x:c r="O3" s="186"/>
      <x:c r="P3" s="186"/>
      <x:c r="Q3" s="186"/>
      <x:c r="R3" s="186"/>
    </x:row>
    <x:row r="5">
      <x:c r="A5" s="191" t="str">
        <x:v>版本对象</x:v>
      </x:c>
      <x:c r="B5" s="191" t="str">
        <x:v>版本</x:v>
      </x:c>
      <x:c r="C5" s="191" t="str">
        <x:v>状态</x:v>
      </x:c>
      <x:c r="D5" s="191" t="str">
        <x:v>说明</x:v>
      </x:c>
    </x:row>
    <x:row r="6">
      <x:c r="A6" s="70" t="str">
        <x:v>baseline_model</x:v>
      </x:c>
      <x:c r="B6" s="70" t="str">
        <x:v>0.9</x:v>
      </x:c>
      <x:c r="C6" s="70" t="str">
        <x:v>冻结</x:v>
      </x:c>
      <x:c r="D6" s="70" t="str">
        <x:v>M5关系适配总规则库V0.9</x:v>
      </x:c>
    </x:row>
    <x:row r="7">
      <x:c r="A7" s="70" t="str">
        <x:v>calibration_workbench</x:v>
      </x:c>
      <x:c r="B7" s="70" t="str">
        <x:v>0.10</x:v>
      </x:c>
      <x:c r="C7" s="70" t="str">
        <x:v>当前</x:v>
      </x:c>
      <x:c r="D7" s="70" t="str">
        <x:v>真实案例校准方法与工作台</x:v>
      </x:c>
    </x:row>
    <x:row r="8">
      <x:c r="A8" s="70" t="str">
        <x:v>next_candidate</x:v>
      </x:c>
      <x:c r="B8" s="70" t="str">
        <x:v>待定</x:v>
      </x:c>
      <x:c r="C8" s="70" t="str">
        <x:v>未创建</x:v>
      </x:c>
      <x:c r="D8" s="70" t="str">
        <x:v>完成留出集与回归测试后生成</x:v>
      </x:c>
    </x:row>
    <x:row r="9">
      <x:c r="A9" s="194" t="str">
        <x:v>M3依赖</x:v>
      </x:c>
      <x:c r="B9" s="194" t="str">
        <x:v>REPAIR／STATE／SYNTH</x:v>
      </x:c>
      <x:c r="C9" s="194" t="str">
        <x:v>待回填</x:v>
      </x:c>
      <x:c r="D9" s="194" t="str">
        <x:v>相关M5结论继续provisional</x:v>
      </x:c>
    </x:row>
    <x:row r="13">
      <x:c r="A13" s="191" t="str">
        <x:v>change_id</x:v>
      </x:c>
      <x:c r="B13" s="191" t="str">
        <x:v>rule_id／对象</x:v>
      </x:c>
      <x:c r="C13" s="191" t="str">
        <x:v>模块</x:v>
      </x:c>
      <x:c r="D13" s="191" t="str">
        <x:v>变更类型</x:v>
      </x:c>
      <x:c r="E13" s="191" t="str">
        <x:v>字段／阈值</x:v>
      </x:c>
      <x:c r="F13" s="191" t="str">
        <x:v>旧内容</x:v>
      </x:c>
      <x:c r="G13" s="191" t="str">
        <x:v>候选新内容</x:v>
      </x:c>
      <x:c r="H13" s="191" t="str">
        <x:v>变更原因</x:v>
      </x:c>
      <x:c r="I13" s="191" t="str">
        <x:v>支持案例</x:v>
      </x:c>
      <x:c r="J13" s="191" t="str">
        <x:v>反例案例</x:v>
      </x:c>
      <x:c r="K13" s="191" t="str">
        <x:v>开发集结果</x:v>
      </x:c>
      <x:c r="L13" s="191" t="str">
        <x:v>留出集结果</x:v>
      </x:c>
      <x:c r="M13" s="191" t="str">
        <x:v>安全风险</x:v>
      </x:c>
      <x:c r="N13" s="191" t="str">
        <x:v>人工决定</x:v>
      </x:c>
      <x:c r="O13" s="191" t="str">
        <x:v>生效版本</x:v>
      </x:c>
      <x:c r="P13" s="191" t="str">
        <x:v>日期</x:v>
      </x:c>
      <x:c r="Q13" s="191" t="str">
        <x:v>复核者</x:v>
      </x:c>
      <x:c r="R13" s="191" t="str">
        <x:v>状态</x:v>
      </x:c>
    </x:row>
    <x:row r="14">
      <x:c r="A14" s="70" t="str">
        <x:v>M5CH-001</x:v>
      </x:c>
      <x:c r="B14" s="70" t="str"/>
      <x:c r="C14" s="70" t="str"/>
      <x:c r="D14" s="70" t="str"/>
      <x:c r="E14" s="70" t="str"/>
      <x:c r="F14" s="70" t="str"/>
      <x:c r="G14" s="70" t="str"/>
      <x:c r="H14" s="70" t="str"/>
      <x:c r="I14" s="70" t="str"/>
      <x:c r="J14" s="70" t="str"/>
      <x:c r="K14" s="70" t="str"/>
      <x:c r="L14" s="70" t="str"/>
      <x:c r="M14" s="70" t="str">
        <x:v>无</x:v>
      </x:c>
      <x:c r="N14" s="70" t="str"/>
      <x:c r="O14" s="70" t="str"/>
      <x:c r="P14" s="70" t="str"/>
      <x:c r="Q14" s="70" t="str"/>
      <x:c r="R14" s="70" t="str">
        <x:v>待提出</x:v>
      </x:c>
    </x:row>
    <x:row r="15">
      <x:c r="A15" s="70" t="str">
        <x:v>M5CH-002</x:v>
      </x:c>
      <x:c r="B15" s="70" t="str"/>
      <x:c r="C15" s="70" t="str"/>
      <x:c r="D15" s="70" t="str"/>
      <x:c r="E15" s="70" t="str"/>
      <x:c r="F15" s="70" t="str"/>
      <x:c r="G15" s="70" t="str"/>
      <x:c r="H15" s="70" t="str"/>
      <x:c r="I15" s="70" t="str"/>
      <x:c r="J15" s="70" t="str"/>
      <x:c r="K15" s="70" t="str"/>
      <x:c r="L15" s="70" t="str"/>
      <x:c r="M15" s="70" t="str">
        <x:v>无</x:v>
      </x:c>
      <x:c r="N15" s="70" t="str"/>
      <x:c r="O15" s="70" t="str"/>
      <x:c r="P15" s="70" t="str"/>
      <x:c r="Q15" s="70" t="str"/>
      <x:c r="R15" s="70" t="str">
        <x:v>待提出</x:v>
      </x:c>
    </x:row>
    <x:row r="16">
      <x:c r="A16" s="70" t="str">
        <x:v>M5CH-003</x:v>
      </x:c>
      <x:c r="B16" s="70" t="str"/>
      <x:c r="C16" s="70" t="str"/>
      <x:c r="D16" s="70" t="str"/>
      <x:c r="E16" s="70" t="str"/>
      <x:c r="F16" s="70" t="str"/>
      <x:c r="G16" s="70" t="str"/>
      <x:c r="H16" s="70" t="str"/>
      <x:c r="I16" s="70" t="str"/>
      <x:c r="J16" s="70" t="str"/>
      <x:c r="K16" s="70" t="str"/>
      <x:c r="L16" s="70" t="str"/>
      <x:c r="M16" s="70" t="str">
        <x:v>无</x:v>
      </x:c>
      <x:c r="N16" s="70" t="str"/>
      <x:c r="O16" s="70" t="str"/>
      <x:c r="P16" s="70" t="str"/>
      <x:c r="Q16" s="70" t="str"/>
      <x:c r="R16" s="70" t="str">
        <x:v>待提出</x:v>
      </x:c>
    </x:row>
    <x:row r="17">
      <x:c r="A17" s="70" t="str">
        <x:v>M5CH-004</x:v>
      </x:c>
      <x:c r="B17" s="70" t="str"/>
      <x:c r="C17" s="70" t="str"/>
      <x:c r="D17" s="70" t="str"/>
      <x:c r="E17" s="70" t="str"/>
      <x:c r="F17" s="70" t="str"/>
      <x:c r="G17" s="70" t="str"/>
      <x:c r="H17" s="70" t="str"/>
      <x:c r="I17" s="70" t="str"/>
      <x:c r="J17" s="70" t="str"/>
      <x:c r="K17" s="70" t="str"/>
      <x:c r="L17" s="70" t="str"/>
      <x:c r="M17" s="70" t="str">
        <x:v>无</x:v>
      </x:c>
      <x:c r="N17" s="70" t="str"/>
      <x:c r="O17" s="70" t="str"/>
      <x:c r="P17" s="70" t="str"/>
      <x:c r="Q17" s="70" t="str"/>
      <x:c r="R17" s="70" t="str">
        <x:v>待提出</x:v>
      </x:c>
    </x:row>
    <x:row r="18">
      <x:c r="A18" s="70" t="str">
        <x:v>M5CH-005</x:v>
      </x:c>
      <x:c r="B18" s="70" t="str"/>
      <x:c r="C18" s="70" t="str"/>
      <x:c r="D18" s="70" t="str"/>
      <x:c r="E18" s="70" t="str"/>
      <x:c r="F18" s="70" t="str"/>
      <x:c r="G18" s="70" t="str"/>
      <x:c r="H18" s="70" t="str"/>
      <x:c r="I18" s="70" t="str"/>
      <x:c r="J18" s="70" t="str"/>
      <x:c r="K18" s="70" t="str"/>
      <x:c r="L18" s="70" t="str"/>
      <x:c r="M18" s="70" t="str">
        <x:v>无</x:v>
      </x:c>
      <x:c r="N18" s="70" t="str"/>
      <x:c r="O18" s="70" t="str"/>
      <x:c r="P18" s="70" t="str"/>
      <x:c r="Q18" s="70" t="str"/>
      <x:c r="R18" s="70" t="str">
        <x:v>待提出</x:v>
      </x:c>
    </x:row>
    <x:row r="19">
      <x:c r="A19" s="70" t="str">
        <x:v>M5CH-006</x:v>
      </x:c>
      <x:c r="B19" s="70" t="str"/>
      <x:c r="C19" s="70" t="str"/>
      <x:c r="D19" s="70" t="str"/>
      <x:c r="E19" s="70" t="str"/>
      <x:c r="F19" s="70" t="str"/>
      <x:c r="G19" s="70" t="str"/>
      <x:c r="H19" s="70" t="str"/>
      <x:c r="I19" s="70" t="str"/>
      <x:c r="J19" s="70" t="str"/>
      <x:c r="K19" s="70" t="str"/>
      <x:c r="L19" s="70" t="str"/>
      <x:c r="M19" s="70" t="str">
        <x:v>无</x:v>
      </x:c>
      <x:c r="N19" s="70" t="str"/>
      <x:c r="O19" s="70" t="str"/>
      <x:c r="P19" s="70" t="str"/>
      <x:c r="Q19" s="70" t="str"/>
      <x:c r="R19" s="70" t="str">
        <x:v>待提出</x:v>
      </x:c>
    </x:row>
    <x:row r="20">
      <x:c r="A20" s="70" t="str">
        <x:v>M5CH-007</x:v>
      </x:c>
      <x:c r="B20" s="70" t="str"/>
      <x:c r="C20" s="70" t="str"/>
      <x:c r="D20" s="70" t="str"/>
      <x:c r="E20" s="70" t="str"/>
      <x:c r="F20" s="70" t="str"/>
      <x:c r="G20" s="70" t="str"/>
      <x:c r="H20" s="70" t="str"/>
      <x:c r="I20" s="70" t="str"/>
      <x:c r="J20" s="70" t="str"/>
      <x:c r="K20" s="70" t="str"/>
      <x:c r="L20" s="70" t="str"/>
      <x:c r="M20" s="70" t="str">
        <x:v>无</x:v>
      </x:c>
      <x:c r="N20" s="70" t="str"/>
      <x:c r="O20" s="70" t="str"/>
      <x:c r="P20" s="70" t="str"/>
      <x:c r="Q20" s="70" t="str"/>
      <x:c r="R20" s="70" t="str">
        <x:v>待提出</x:v>
      </x:c>
    </x:row>
    <x:row r="21">
      <x:c r="A21" s="70" t="str">
        <x:v>M5CH-008</x:v>
      </x:c>
      <x:c r="B21" s="70" t="str"/>
      <x:c r="C21" s="70" t="str"/>
      <x:c r="D21" s="70" t="str"/>
      <x:c r="E21" s="70" t="str"/>
      <x:c r="F21" s="70" t="str"/>
      <x:c r="G21" s="70" t="str"/>
      <x:c r="H21" s="70" t="str"/>
      <x:c r="I21" s="70" t="str"/>
      <x:c r="J21" s="70" t="str"/>
      <x:c r="K21" s="70" t="str"/>
      <x:c r="L21" s="70" t="str"/>
      <x:c r="M21" s="70" t="str">
        <x:v>无</x:v>
      </x:c>
      <x:c r="N21" s="70" t="str"/>
      <x:c r="O21" s="70" t="str"/>
      <x:c r="P21" s="70" t="str"/>
      <x:c r="Q21" s="70" t="str"/>
      <x:c r="R21" s="70" t="str">
        <x:v>待提出</x:v>
      </x:c>
    </x:row>
    <x:row r="22">
      <x:c r="A22" s="70" t="str">
        <x:v>M5CH-009</x:v>
      </x:c>
      <x:c r="B22" s="70" t="str"/>
      <x:c r="C22" s="70" t="str"/>
      <x:c r="D22" s="70" t="str"/>
      <x:c r="E22" s="70" t="str"/>
      <x:c r="F22" s="70" t="str"/>
      <x:c r="G22" s="70" t="str"/>
      <x:c r="H22" s="70" t="str"/>
      <x:c r="I22" s="70" t="str"/>
      <x:c r="J22" s="70" t="str"/>
      <x:c r="K22" s="70" t="str"/>
      <x:c r="L22" s="70" t="str"/>
      <x:c r="M22" s="70" t="str">
        <x:v>无</x:v>
      </x:c>
      <x:c r="N22" s="70" t="str"/>
      <x:c r="O22" s="70" t="str"/>
      <x:c r="P22" s="70" t="str"/>
      <x:c r="Q22" s="70" t="str"/>
      <x:c r="R22" s="70" t="str">
        <x:v>待提出</x:v>
      </x:c>
    </x:row>
    <x:row r="23">
      <x:c r="A23" s="70" t="str">
        <x:v>M5CH-010</x:v>
      </x:c>
      <x:c r="B23" s="70" t="str"/>
      <x:c r="C23" s="70" t="str"/>
      <x:c r="D23" s="70" t="str"/>
      <x:c r="E23" s="70" t="str"/>
      <x:c r="F23" s="70" t="str"/>
      <x:c r="G23" s="70" t="str"/>
      <x:c r="H23" s="70" t="str"/>
      <x:c r="I23" s="70" t="str"/>
      <x:c r="J23" s="70" t="str"/>
      <x:c r="K23" s="70" t="str"/>
      <x:c r="L23" s="70" t="str"/>
      <x:c r="M23" s="70" t="str">
        <x:v>无</x:v>
      </x:c>
      <x:c r="N23" s="70" t="str"/>
      <x:c r="O23" s="70" t="str"/>
      <x:c r="P23" s="70" t="str"/>
      <x:c r="Q23" s="70" t="str"/>
      <x:c r="R23" s="70" t="str">
        <x:v>待提出</x:v>
      </x:c>
    </x:row>
    <x:row r="24">
      <x:c r="A24" s="70" t="str">
        <x:v>M5CH-011</x:v>
      </x:c>
      <x:c r="B24" s="70" t="str"/>
      <x:c r="C24" s="70" t="str"/>
      <x:c r="D24" s="70" t="str"/>
      <x:c r="E24" s="70" t="str"/>
      <x:c r="F24" s="70" t="str"/>
      <x:c r="G24" s="70" t="str"/>
      <x:c r="H24" s="70" t="str"/>
      <x:c r="I24" s="70" t="str"/>
      <x:c r="J24" s="70" t="str"/>
      <x:c r="K24" s="70" t="str"/>
      <x:c r="L24" s="70" t="str"/>
      <x:c r="M24" s="70" t="str">
        <x:v>无</x:v>
      </x:c>
      <x:c r="N24" s="70" t="str"/>
      <x:c r="O24" s="70" t="str"/>
      <x:c r="P24" s="70" t="str"/>
      <x:c r="Q24" s="70" t="str"/>
      <x:c r="R24" s="70" t="str">
        <x:v>待提出</x:v>
      </x:c>
    </x:row>
    <x:row r="25">
      <x:c r="A25" s="70" t="str">
        <x:v>M5CH-012</x:v>
      </x:c>
      <x:c r="B25" s="70" t="str"/>
      <x:c r="C25" s="70" t="str"/>
      <x:c r="D25" s="70" t="str"/>
      <x:c r="E25" s="70" t="str"/>
      <x:c r="F25" s="70" t="str"/>
      <x:c r="G25" s="70" t="str"/>
      <x:c r="H25" s="70" t="str"/>
      <x:c r="I25" s="70" t="str"/>
      <x:c r="J25" s="70" t="str"/>
      <x:c r="K25" s="70" t="str"/>
      <x:c r="L25" s="70" t="str"/>
      <x:c r="M25" s="70" t="str">
        <x:v>无</x:v>
      </x:c>
      <x:c r="N25" s="70" t="str"/>
      <x:c r="O25" s="70" t="str"/>
      <x:c r="P25" s="70" t="str"/>
      <x:c r="Q25" s="70" t="str"/>
      <x:c r="R25" s="70" t="str">
        <x:v>待提出</x:v>
      </x:c>
    </x:row>
    <x:row r="26">
      <x:c r="A26" s="70" t="str">
        <x:v>M5CH-013</x:v>
      </x:c>
      <x:c r="B26" s="70" t="str"/>
      <x:c r="C26" s="70" t="str"/>
      <x:c r="D26" s="70" t="str"/>
      <x:c r="E26" s="70" t="str"/>
      <x:c r="F26" s="70" t="str"/>
      <x:c r="G26" s="70" t="str"/>
      <x:c r="H26" s="70" t="str"/>
      <x:c r="I26" s="70" t="str"/>
      <x:c r="J26" s="70" t="str"/>
      <x:c r="K26" s="70" t="str"/>
      <x:c r="L26" s="70" t="str"/>
      <x:c r="M26" s="70" t="str">
        <x:v>无</x:v>
      </x:c>
      <x:c r="N26" s="70" t="str"/>
      <x:c r="O26" s="70" t="str"/>
      <x:c r="P26" s="70" t="str"/>
      <x:c r="Q26" s="70" t="str"/>
      <x:c r="R26" s="70" t="str">
        <x:v>待提出</x:v>
      </x:c>
    </x:row>
    <x:row r="27">
      <x:c r="A27" s="70" t="str">
        <x:v>M5CH-014</x:v>
      </x:c>
      <x:c r="B27" s="70" t="str"/>
      <x:c r="C27" s="70" t="str"/>
      <x:c r="D27" s="70" t="str"/>
      <x:c r="E27" s="70" t="str"/>
      <x:c r="F27" s="70" t="str"/>
      <x:c r="G27" s="70" t="str"/>
      <x:c r="H27" s="70" t="str"/>
      <x:c r="I27" s="70" t="str"/>
      <x:c r="J27" s="70" t="str"/>
      <x:c r="K27" s="70" t="str"/>
      <x:c r="L27" s="70" t="str"/>
      <x:c r="M27" s="70" t="str">
        <x:v>无</x:v>
      </x:c>
      <x:c r="N27" s="70" t="str"/>
      <x:c r="O27" s="70" t="str"/>
      <x:c r="P27" s="70" t="str"/>
      <x:c r="Q27" s="70" t="str"/>
      <x:c r="R27" s="70" t="str">
        <x:v>待提出</x:v>
      </x:c>
    </x:row>
    <x:row r="28">
      <x:c r="A28" s="70" t="str">
        <x:v>M5CH-015</x:v>
      </x:c>
      <x:c r="B28" s="70" t="str"/>
      <x:c r="C28" s="70" t="str"/>
      <x:c r="D28" s="70" t="str"/>
      <x:c r="E28" s="70" t="str"/>
      <x:c r="F28" s="70" t="str"/>
      <x:c r="G28" s="70" t="str"/>
      <x:c r="H28" s="70" t="str"/>
      <x:c r="I28" s="70" t="str"/>
      <x:c r="J28" s="70" t="str"/>
      <x:c r="K28" s="70" t="str"/>
      <x:c r="L28" s="70" t="str"/>
      <x:c r="M28" s="70" t="str">
        <x:v>无</x:v>
      </x:c>
      <x:c r="N28" s="70" t="str"/>
      <x:c r="O28" s="70" t="str"/>
      <x:c r="P28" s="70" t="str"/>
      <x:c r="Q28" s="70" t="str"/>
      <x:c r="R28" s="70" t="str">
        <x:v>待提出</x:v>
      </x:c>
    </x:row>
    <x:row r="29">
      <x:c r="A29" s="70" t="str">
        <x:v>M5CH-016</x:v>
      </x:c>
      <x:c r="B29" s="70" t="str"/>
      <x:c r="C29" s="70" t="str"/>
      <x:c r="D29" s="70" t="str"/>
      <x:c r="E29" s="70" t="str"/>
      <x:c r="F29" s="70" t="str"/>
      <x:c r="G29" s="70" t="str"/>
      <x:c r="H29" s="70" t="str"/>
      <x:c r="I29" s="70" t="str"/>
      <x:c r="J29" s="70" t="str"/>
      <x:c r="K29" s="70" t="str"/>
      <x:c r="L29" s="70" t="str"/>
      <x:c r="M29" s="70" t="str">
        <x:v>无</x:v>
      </x:c>
      <x:c r="N29" s="70" t="str"/>
      <x:c r="O29" s="70" t="str"/>
      <x:c r="P29" s="70" t="str"/>
      <x:c r="Q29" s="70" t="str"/>
      <x:c r="R29" s="70" t="str">
        <x:v>待提出</x:v>
      </x:c>
    </x:row>
    <x:row r="30">
      <x:c r="A30" s="70" t="str">
        <x:v>M5CH-017</x:v>
      </x:c>
      <x:c r="B30" s="70" t="str"/>
      <x:c r="C30" s="70" t="str"/>
      <x:c r="D30" s="70" t="str"/>
      <x:c r="E30" s="70" t="str"/>
      <x:c r="F30" s="70" t="str"/>
      <x:c r="G30" s="70" t="str"/>
      <x:c r="H30" s="70" t="str"/>
      <x:c r="I30" s="70" t="str"/>
      <x:c r="J30" s="70" t="str"/>
      <x:c r="K30" s="70" t="str"/>
      <x:c r="L30" s="70" t="str"/>
      <x:c r="M30" s="70" t="str">
        <x:v>无</x:v>
      </x:c>
      <x:c r="N30" s="70" t="str"/>
      <x:c r="O30" s="70" t="str"/>
      <x:c r="P30" s="70" t="str"/>
      <x:c r="Q30" s="70" t="str"/>
      <x:c r="R30" s="70" t="str">
        <x:v>待提出</x:v>
      </x:c>
    </x:row>
    <x:row r="31">
      <x:c r="A31" s="70" t="str">
        <x:v>M5CH-018</x:v>
      </x:c>
      <x:c r="B31" s="70" t="str"/>
      <x:c r="C31" s="70" t="str"/>
      <x:c r="D31" s="70" t="str"/>
      <x:c r="E31" s="70" t="str"/>
      <x:c r="F31" s="70" t="str"/>
      <x:c r="G31" s="70" t="str"/>
      <x:c r="H31" s="70" t="str"/>
      <x:c r="I31" s="70" t="str"/>
      <x:c r="J31" s="70" t="str"/>
      <x:c r="K31" s="70" t="str"/>
      <x:c r="L31" s="70" t="str"/>
      <x:c r="M31" s="70" t="str">
        <x:v>无</x:v>
      </x:c>
      <x:c r="N31" s="70" t="str"/>
      <x:c r="O31" s="70" t="str"/>
      <x:c r="P31" s="70" t="str"/>
      <x:c r="Q31" s="70" t="str"/>
      <x:c r="R31" s="70" t="str">
        <x:v>待提出</x:v>
      </x:c>
    </x:row>
    <x:row r="32">
      <x:c r="A32" s="70" t="str">
        <x:v>M5CH-019</x:v>
      </x:c>
      <x:c r="B32" s="70" t="str"/>
      <x:c r="C32" s="70" t="str"/>
      <x:c r="D32" s="70" t="str"/>
      <x:c r="E32" s="70" t="str"/>
      <x:c r="F32" s="70" t="str"/>
      <x:c r="G32" s="70" t="str"/>
      <x:c r="H32" s="70" t="str"/>
      <x:c r="I32" s="70" t="str"/>
      <x:c r="J32" s="70" t="str"/>
      <x:c r="K32" s="70" t="str"/>
      <x:c r="L32" s="70" t="str"/>
      <x:c r="M32" s="70" t="str">
        <x:v>无</x:v>
      </x:c>
      <x:c r="N32" s="70" t="str"/>
      <x:c r="O32" s="70" t="str"/>
      <x:c r="P32" s="70" t="str"/>
      <x:c r="Q32" s="70" t="str"/>
      <x:c r="R32" s="70" t="str">
        <x:v>待提出</x:v>
      </x:c>
    </x:row>
    <x:row r="33">
      <x:c r="A33" s="70" t="str">
        <x:v>M5CH-020</x:v>
      </x:c>
      <x:c r="B33" s="70" t="str"/>
      <x:c r="C33" s="70" t="str"/>
      <x:c r="D33" s="70" t="str"/>
      <x:c r="E33" s="70" t="str"/>
      <x:c r="F33" s="70" t="str"/>
      <x:c r="G33" s="70" t="str"/>
      <x:c r="H33" s="70" t="str"/>
      <x:c r="I33" s="70" t="str"/>
      <x:c r="J33" s="70" t="str"/>
      <x:c r="K33" s="70" t="str"/>
      <x:c r="L33" s="70" t="str"/>
      <x:c r="M33" s="70" t="str">
        <x:v>无</x:v>
      </x:c>
      <x:c r="N33" s="70" t="str"/>
      <x:c r="O33" s="70" t="str"/>
      <x:c r="P33" s="70" t="str"/>
      <x:c r="Q33" s="70" t="str"/>
      <x:c r="R33" s="70" t="str">
        <x:v>待提出</x:v>
      </x:c>
    </x:row>
    <x:row r="34">
      <x:c r="A34" s="70" t="str">
        <x:v>M5CH-021</x:v>
      </x:c>
      <x:c r="B34" s="70" t="str"/>
      <x:c r="C34" s="70" t="str"/>
      <x:c r="D34" s="70" t="str"/>
      <x:c r="E34" s="70" t="str"/>
      <x:c r="F34" s="70" t="str"/>
      <x:c r="G34" s="70" t="str"/>
      <x:c r="H34" s="70" t="str"/>
      <x:c r="I34" s="70" t="str"/>
      <x:c r="J34" s="70" t="str"/>
      <x:c r="K34" s="70" t="str"/>
      <x:c r="L34" s="70" t="str"/>
      <x:c r="M34" s="70" t="str">
        <x:v>无</x:v>
      </x:c>
      <x:c r="N34" s="70" t="str"/>
      <x:c r="O34" s="70" t="str"/>
      <x:c r="P34" s="70" t="str"/>
      <x:c r="Q34" s="70" t="str"/>
      <x:c r="R34" s="70" t="str">
        <x:v>待提出</x:v>
      </x:c>
    </x:row>
    <x:row r="35">
      <x:c r="A35" s="70" t="str">
        <x:v>M5CH-022</x:v>
      </x:c>
      <x:c r="B35" s="70" t="str"/>
      <x:c r="C35" s="70" t="str"/>
      <x:c r="D35" s="70" t="str"/>
      <x:c r="E35" s="70" t="str"/>
      <x:c r="F35" s="70" t="str"/>
      <x:c r="G35" s="70" t="str"/>
      <x:c r="H35" s="70" t="str"/>
      <x:c r="I35" s="70" t="str"/>
      <x:c r="J35" s="70" t="str"/>
      <x:c r="K35" s="70" t="str"/>
      <x:c r="L35" s="70" t="str"/>
      <x:c r="M35" s="70" t="str">
        <x:v>无</x:v>
      </x:c>
      <x:c r="N35" s="70" t="str"/>
      <x:c r="O35" s="70" t="str"/>
      <x:c r="P35" s="70" t="str"/>
      <x:c r="Q35" s="70" t="str"/>
      <x:c r="R35" s="70" t="str">
        <x:v>待提出</x:v>
      </x:c>
    </x:row>
    <x:row r="36">
      <x:c r="A36" s="70" t="str">
        <x:v>M5CH-023</x:v>
      </x:c>
      <x:c r="B36" s="70" t="str"/>
      <x:c r="C36" s="70" t="str"/>
      <x:c r="D36" s="70" t="str"/>
      <x:c r="E36" s="70" t="str"/>
      <x:c r="F36" s="70" t="str"/>
      <x:c r="G36" s="70" t="str"/>
      <x:c r="H36" s="70" t="str"/>
      <x:c r="I36" s="70" t="str"/>
      <x:c r="J36" s="70" t="str"/>
      <x:c r="K36" s="70" t="str"/>
      <x:c r="L36" s="70" t="str"/>
      <x:c r="M36" s="70" t="str">
        <x:v>无</x:v>
      </x:c>
      <x:c r="N36" s="70" t="str"/>
      <x:c r="O36" s="70" t="str"/>
      <x:c r="P36" s="70" t="str"/>
      <x:c r="Q36" s="70" t="str"/>
      <x:c r="R36" s="70" t="str">
        <x:v>待提出</x:v>
      </x:c>
    </x:row>
    <x:row r="37">
      <x:c r="A37" s="70" t="str">
        <x:v>M5CH-024</x:v>
      </x:c>
      <x:c r="B37" s="70" t="str"/>
      <x:c r="C37" s="70" t="str"/>
      <x:c r="D37" s="70" t="str"/>
      <x:c r="E37" s="70" t="str"/>
      <x:c r="F37" s="70" t="str"/>
      <x:c r="G37" s="70" t="str"/>
      <x:c r="H37" s="70" t="str"/>
      <x:c r="I37" s="70" t="str"/>
      <x:c r="J37" s="70" t="str"/>
      <x:c r="K37" s="70" t="str"/>
      <x:c r="L37" s="70" t="str"/>
      <x:c r="M37" s="70" t="str">
        <x:v>无</x:v>
      </x:c>
      <x:c r="N37" s="70" t="str"/>
      <x:c r="O37" s="70" t="str"/>
      <x:c r="P37" s="70" t="str"/>
      <x:c r="Q37" s="70" t="str"/>
      <x:c r="R37" s="70" t="str">
        <x:v>待提出</x:v>
      </x:c>
    </x:row>
    <x:row r="38">
      <x:c r="A38" s="70" t="str">
        <x:v>M5CH-025</x:v>
      </x:c>
      <x:c r="B38" s="70" t="str"/>
      <x:c r="C38" s="70" t="str"/>
      <x:c r="D38" s="70" t="str"/>
      <x:c r="E38" s="70" t="str"/>
      <x:c r="F38" s="70" t="str"/>
      <x:c r="G38" s="70" t="str"/>
      <x:c r="H38" s="70" t="str"/>
      <x:c r="I38" s="70" t="str"/>
      <x:c r="J38" s="70" t="str"/>
      <x:c r="K38" s="70" t="str"/>
      <x:c r="L38" s="70" t="str"/>
      <x:c r="M38" s="70" t="str">
        <x:v>无</x:v>
      </x:c>
      <x:c r="N38" s="70" t="str"/>
      <x:c r="O38" s="70" t="str"/>
      <x:c r="P38" s="70" t="str"/>
      <x:c r="Q38" s="70" t="str"/>
      <x:c r="R38" s="70" t="str">
        <x:v>待提出</x:v>
      </x:c>
    </x:row>
    <x:row r="39">
      <x:c r="A39" s="70" t="str">
        <x:v>M5CH-026</x:v>
      </x:c>
      <x:c r="B39" s="70" t="str"/>
      <x:c r="C39" s="70" t="str"/>
      <x:c r="D39" s="70" t="str"/>
      <x:c r="E39" s="70" t="str"/>
      <x:c r="F39" s="70" t="str"/>
      <x:c r="G39" s="70" t="str"/>
      <x:c r="H39" s="70" t="str"/>
      <x:c r="I39" s="70" t="str"/>
      <x:c r="J39" s="70" t="str"/>
      <x:c r="K39" s="70" t="str"/>
      <x:c r="L39" s="70" t="str"/>
      <x:c r="M39" s="70" t="str">
        <x:v>无</x:v>
      </x:c>
      <x:c r="N39" s="70" t="str"/>
      <x:c r="O39" s="70" t="str"/>
      <x:c r="P39" s="70" t="str"/>
      <x:c r="Q39" s="70" t="str"/>
      <x:c r="R39" s="70" t="str">
        <x:v>待提出</x:v>
      </x:c>
    </x:row>
    <x:row r="40">
      <x:c r="A40" s="70" t="str">
        <x:v>M5CH-027</x:v>
      </x:c>
      <x:c r="B40" s="70" t="str"/>
      <x:c r="C40" s="70" t="str"/>
      <x:c r="D40" s="70" t="str"/>
      <x:c r="E40" s="70" t="str"/>
      <x:c r="F40" s="70" t="str"/>
      <x:c r="G40" s="70" t="str"/>
      <x:c r="H40" s="70" t="str"/>
      <x:c r="I40" s="70" t="str"/>
      <x:c r="J40" s="70" t="str"/>
      <x:c r="K40" s="70" t="str"/>
      <x:c r="L40" s="70" t="str"/>
      <x:c r="M40" s="70" t="str">
        <x:v>无</x:v>
      </x:c>
      <x:c r="N40" s="70" t="str"/>
      <x:c r="O40" s="70" t="str"/>
      <x:c r="P40" s="70" t="str"/>
      <x:c r="Q40" s="70" t="str"/>
      <x:c r="R40" s="70" t="str">
        <x:v>待提出</x:v>
      </x:c>
    </x:row>
    <x:row r="41">
      <x:c r="A41" s="70" t="str">
        <x:v>M5CH-028</x:v>
      </x:c>
      <x:c r="B41" s="70" t="str"/>
      <x:c r="C41" s="70" t="str"/>
      <x:c r="D41" s="70" t="str"/>
      <x:c r="E41" s="70" t="str"/>
      <x:c r="F41" s="70" t="str"/>
      <x:c r="G41" s="70" t="str"/>
      <x:c r="H41" s="70" t="str"/>
      <x:c r="I41" s="70" t="str"/>
      <x:c r="J41" s="70" t="str"/>
      <x:c r="K41" s="70" t="str"/>
      <x:c r="L41" s="70" t="str"/>
      <x:c r="M41" s="70" t="str">
        <x:v>无</x:v>
      </x:c>
      <x:c r="N41" s="70" t="str"/>
      <x:c r="O41" s="70" t="str"/>
      <x:c r="P41" s="70" t="str"/>
      <x:c r="Q41" s="70" t="str"/>
      <x:c r="R41" s="70" t="str">
        <x:v>待提出</x:v>
      </x:c>
    </x:row>
    <x:row r="42">
      <x:c r="A42" s="70" t="str">
        <x:v>M5CH-029</x:v>
      </x:c>
      <x:c r="B42" s="70" t="str"/>
      <x:c r="C42" s="70" t="str"/>
      <x:c r="D42" s="70" t="str"/>
      <x:c r="E42" s="70" t="str"/>
      <x:c r="F42" s="70" t="str"/>
      <x:c r="G42" s="70" t="str"/>
      <x:c r="H42" s="70" t="str"/>
      <x:c r="I42" s="70" t="str"/>
      <x:c r="J42" s="70" t="str"/>
      <x:c r="K42" s="70" t="str"/>
      <x:c r="L42" s="70" t="str"/>
      <x:c r="M42" s="70" t="str">
        <x:v>无</x:v>
      </x:c>
      <x:c r="N42" s="70" t="str"/>
      <x:c r="O42" s="70" t="str"/>
      <x:c r="P42" s="70" t="str"/>
      <x:c r="Q42" s="70" t="str"/>
      <x:c r="R42" s="70" t="str">
        <x:v>待提出</x:v>
      </x:c>
    </x:row>
    <x:row r="43">
      <x:c r="A43" s="70" t="str">
        <x:v>M5CH-030</x:v>
      </x:c>
      <x:c r="B43" s="70" t="str"/>
      <x:c r="C43" s="70" t="str"/>
      <x:c r="D43" s="70" t="str"/>
      <x:c r="E43" s="70" t="str"/>
      <x:c r="F43" s="70" t="str"/>
      <x:c r="G43" s="70" t="str"/>
      <x:c r="H43" s="70" t="str"/>
      <x:c r="I43" s="70" t="str"/>
      <x:c r="J43" s="70" t="str"/>
      <x:c r="K43" s="70" t="str"/>
      <x:c r="L43" s="70" t="str"/>
      <x:c r="M43" s="70" t="str">
        <x:v>无</x:v>
      </x:c>
      <x:c r="N43" s="70" t="str"/>
      <x:c r="O43" s="70" t="str"/>
      <x:c r="P43" s="70" t="str"/>
      <x:c r="Q43" s="70" t="str"/>
      <x:c r="R43" s="70" t="str">
        <x:v>待提出</x:v>
      </x:c>
    </x:row>
    <x:row r="44">
      <x:c r="A44" s="70" t="str">
        <x:v>M5CH-031</x:v>
      </x:c>
      <x:c r="B44" s="70" t="str"/>
      <x:c r="C44" s="70" t="str"/>
      <x:c r="D44" s="70" t="str"/>
      <x:c r="E44" s="70" t="str"/>
      <x:c r="F44" s="70" t="str"/>
      <x:c r="G44" s="70" t="str"/>
      <x:c r="H44" s="70" t="str"/>
      <x:c r="I44" s="70" t="str"/>
      <x:c r="J44" s="70" t="str"/>
      <x:c r="K44" s="70" t="str"/>
      <x:c r="L44" s="70" t="str"/>
      <x:c r="M44" s="70" t="str">
        <x:v>无</x:v>
      </x:c>
      <x:c r="N44" s="70" t="str"/>
      <x:c r="O44" s="70" t="str"/>
      <x:c r="P44" s="70" t="str"/>
      <x:c r="Q44" s="70" t="str"/>
      <x:c r="R44" s="70" t="str">
        <x:v>待提出</x:v>
      </x:c>
    </x:row>
    <x:row r="45">
      <x:c r="A45" s="70" t="str">
        <x:v>M5CH-032</x:v>
      </x:c>
      <x:c r="B45" s="70" t="str"/>
      <x:c r="C45" s="70" t="str"/>
      <x:c r="D45" s="70" t="str"/>
      <x:c r="E45" s="70" t="str"/>
      <x:c r="F45" s="70" t="str"/>
      <x:c r="G45" s="70" t="str"/>
      <x:c r="H45" s="70" t="str"/>
      <x:c r="I45" s="70" t="str"/>
      <x:c r="J45" s="70" t="str"/>
      <x:c r="K45" s="70" t="str"/>
      <x:c r="L45" s="70" t="str"/>
      <x:c r="M45" s="70" t="str">
        <x:v>无</x:v>
      </x:c>
      <x:c r="N45" s="70" t="str"/>
      <x:c r="O45" s="70" t="str"/>
      <x:c r="P45" s="70" t="str"/>
      <x:c r="Q45" s="70" t="str"/>
      <x:c r="R45" s="70" t="str">
        <x:v>待提出</x:v>
      </x:c>
    </x:row>
    <x:row r="46">
      <x:c r="A46" s="70" t="str">
        <x:v>M5CH-033</x:v>
      </x:c>
      <x:c r="B46" s="70" t="str"/>
      <x:c r="C46" s="70" t="str"/>
      <x:c r="D46" s="70" t="str"/>
      <x:c r="E46" s="70" t="str"/>
      <x:c r="F46" s="70" t="str"/>
      <x:c r="G46" s="70" t="str"/>
      <x:c r="H46" s="70" t="str"/>
      <x:c r="I46" s="70" t="str"/>
      <x:c r="J46" s="70" t="str"/>
      <x:c r="K46" s="70" t="str"/>
      <x:c r="L46" s="70" t="str"/>
      <x:c r="M46" s="70" t="str">
        <x:v>无</x:v>
      </x:c>
      <x:c r="N46" s="70" t="str"/>
      <x:c r="O46" s="70" t="str"/>
      <x:c r="P46" s="70" t="str"/>
      <x:c r="Q46" s="70" t="str"/>
      <x:c r="R46" s="70" t="str">
        <x:v>待提出</x:v>
      </x:c>
    </x:row>
    <x:row r="47">
      <x:c r="A47" s="70" t="str">
        <x:v>M5CH-034</x:v>
      </x:c>
      <x:c r="B47" s="70" t="str"/>
      <x:c r="C47" s="70" t="str"/>
      <x:c r="D47" s="70" t="str"/>
      <x:c r="E47" s="70" t="str"/>
      <x:c r="F47" s="70" t="str"/>
      <x:c r="G47" s="70" t="str"/>
      <x:c r="H47" s="70" t="str"/>
      <x:c r="I47" s="70" t="str"/>
      <x:c r="J47" s="70" t="str"/>
      <x:c r="K47" s="70" t="str"/>
      <x:c r="L47" s="70" t="str"/>
      <x:c r="M47" s="70" t="str">
        <x:v>无</x:v>
      </x:c>
      <x:c r="N47" s="70" t="str"/>
      <x:c r="O47" s="70" t="str"/>
      <x:c r="P47" s="70" t="str"/>
      <x:c r="Q47" s="70" t="str"/>
      <x:c r="R47" s="70" t="str">
        <x:v>待提出</x:v>
      </x:c>
    </x:row>
    <x:row r="48">
      <x:c r="A48" s="70" t="str">
        <x:v>M5CH-035</x:v>
      </x:c>
      <x:c r="B48" s="70" t="str"/>
      <x:c r="C48" s="70" t="str"/>
      <x:c r="D48" s="70" t="str"/>
      <x:c r="E48" s="70" t="str"/>
      <x:c r="F48" s="70" t="str"/>
      <x:c r="G48" s="70" t="str"/>
      <x:c r="H48" s="70" t="str"/>
      <x:c r="I48" s="70" t="str"/>
      <x:c r="J48" s="70" t="str"/>
      <x:c r="K48" s="70" t="str"/>
      <x:c r="L48" s="70" t="str"/>
      <x:c r="M48" s="70" t="str">
        <x:v>无</x:v>
      </x:c>
      <x:c r="N48" s="70" t="str"/>
      <x:c r="O48" s="70" t="str"/>
      <x:c r="P48" s="70" t="str"/>
      <x:c r="Q48" s="70" t="str"/>
      <x:c r="R48" s="70" t="str">
        <x:v>待提出</x:v>
      </x:c>
    </x:row>
    <x:row r="49">
      <x:c r="A49" s="70" t="str">
        <x:v>M5CH-036</x:v>
      </x:c>
      <x:c r="B49" s="70" t="str"/>
      <x:c r="C49" s="70" t="str"/>
      <x:c r="D49" s="70" t="str"/>
      <x:c r="E49" s="70" t="str"/>
      <x:c r="F49" s="70" t="str"/>
      <x:c r="G49" s="70" t="str"/>
      <x:c r="H49" s="70" t="str"/>
      <x:c r="I49" s="70" t="str"/>
      <x:c r="J49" s="70" t="str"/>
      <x:c r="K49" s="70" t="str"/>
      <x:c r="L49" s="70" t="str"/>
      <x:c r="M49" s="70" t="str">
        <x:v>无</x:v>
      </x:c>
      <x:c r="N49" s="70" t="str"/>
      <x:c r="O49" s="70" t="str"/>
      <x:c r="P49" s="70" t="str"/>
      <x:c r="Q49" s="70" t="str"/>
      <x:c r="R49" s="70" t="str">
        <x:v>待提出</x:v>
      </x:c>
    </x:row>
    <x:row r="50">
      <x:c r="A50" s="70" t="str">
        <x:v>M5CH-037</x:v>
      </x:c>
      <x:c r="B50" s="70" t="str"/>
      <x:c r="C50" s="70" t="str"/>
      <x:c r="D50" s="70" t="str"/>
      <x:c r="E50" s="70" t="str"/>
      <x:c r="F50" s="70" t="str"/>
      <x:c r="G50" s="70" t="str"/>
      <x:c r="H50" s="70" t="str"/>
      <x:c r="I50" s="70" t="str"/>
      <x:c r="J50" s="70" t="str"/>
      <x:c r="K50" s="70" t="str"/>
      <x:c r="L50" s="70" t="str"/>
      <x:c r="M50" s="70" t="str">
        <x:v>无</x:v>
      </x:c>
      <x:c r="N50" s="70" t="str"/>
      <x:c r="O50" s="70" t="str"/>
      <x:c r="P50" s="70" t="str"/>
      <x:c r="Q50" s="70" t="str"/>
      <x:c r="R50" s="70" t="str">
        <x:v>待提出</x:v>
      </x:c>
    </x:row>
    <x:row r="51">
      <x:c r="A51" s="70" t="str">
        <x:v>M5CH-038</x:v>
      </x:c>
      <x:c r="B51" s="70" t="str"/>
      <x:c r="C51" s="70" t="str"/>
      <x:c r="D51" s="70" t="str"/>
      <x:c r="E51" s="70" t="str"/>
      <x:c r="F51" s="70" t="str"/>
      <x:c r="G51" s="70" t="str"/>
      <x:c r="H51" s="70" t="str"/>
      <x:c r="I51" s="70" t="str"/>
      <x:c r="J51" s="70" t="str"/>
      <x:c r="K51" s="70" t="str"/>
      <x:c r="L51" s="70" t="str"/>
      <x:c r="M51" s="70" t="str">
        <x:v>无</x:v>
      </x:c>
      <x:c r="N51" s="70" t="str"/>
      <x:c r="O51" s="70" t="str"/>
      <x:c r="P51" s="70" t="str"/>
      <x:c r="Q51" s="70" t="str"/>
      <x:c r="R51" s="70" t="str">
        <x:v>待提出</x:v>
      </x:c>
    </x:row>
    <x:row r="52">
      <x:c r="A52" s="70" t="str">
        <x:v>M5CH-039</x:v>
      </x:c>
      <x:c r="B52" s="70" t="str"/>
      <x:c r="C52" s="70" t="str"/>
      <x:c r="D52" s="70" t="str"/>
      <x:c r="E52" s="70" t="str"/>
      <x:c r="F52" s="70" t="str"/>
      <x:c r="G52" s="70" t="str"/>
      <x:c r="H52" s="70" t="str"/>
      <x:c r="I52" s="70" t="str"/>
      <x:c r="J52" s="70" t="str"/>
      <x:c r="K52" s="70" t="str"/>
      <x:c r="L52" s="70" t="str"/>
      <x:c r="M52" s="70" t="str">
        <x:v>无</x:v>
      </x:c>
      <x:c r="N52" s="70" t="str"/>
      <x:c r="O52" s="70" t="str"/>
      <x:c r="P52" s="70" t="str"/>
      <x:c r="Q52" s="70" t="str"/>
      <x:c r="R52" s="70" t="str">
        <x:v>待提出</x:v>
      </x:c>
    </x:row>
    <x:row r="53">
      <x:c r="A53" s="70" t="str">
        <x:v>M5CH-040</x:v>
      </x:c>
      <x:c r="B53" s="70" t="str"/>
      <x:c r="C53" s="70" t="str"/>
      <x:c r="D53" s="70" t="str"/>
      <x:c r="E53" s="70" t="str"/>
      <x:c r="F53" s="70" t="str"/>
      <x:c r="G53" s="70" t="str"/>
      <x:c r="H53" s="70" t="str"/>
      <x:c r="I53" s="70" t="str"/>
      <x:c r="J53" s="70" t="str"/>
      <x:c r="K53" s="70" t="str"/>
      <x:c r="L53" s="70" t="str"/>
      <x:c r="M53" s="70" t="str">
        <x:v>无</x:v>
      </x:c>
      <x:c r="N53" s="70" t="str"/>
      <x:c r="O53" s="70" t="str"/>
      <x:c r="P53" s="70" t="str"/>
      <x:c r="Q53" s="70" t="str"/>
      <x:c r="R53" s="70" t="str">
        <x:v>待提出</x:v>
      </x:c>
    </x:row>
    <x:row r="54">
      <x:c r="A54" s="70" t="str">
        <x:v>M5CH-041</x:v>
      </x:c>
      <x:c r="B54" s="70" t="str"/>
      <x:c r="C54" s="70" t="str"/>
      <x:c r="D54" s="70" t="str"/>
      <x:c r="E54" s="70" t="str"/>
      <x:c r="F54" s="70" t="str"/>
      <x:c r="G54" s="70" t="str"/>
      <x:c r="H54" s="70" t="str"/>
      <x:c r="I54" s="70" t="str"/>
      <x:c r="J54" s="70" t="str"/>
      <x:c r="K54" s="70" t="str"/>
      <x:c r="L54" s="70" t="str"/>
      <x:c r="M54" s="70" t="str">
        <x:v>无</x:v>
      </x:c>
      <x:c r="N54" s="70" t="str"/>
      <x:c r="O54" s="70" t="str"/>
      <x:c r="P54" s="70" t="str"/>
      <x:c r="Q54" s="70" t="str"/>
      <x:c r="R54" s="70" t="str">
        <x:v>待提出</x:v>
      </x:c>
    </x:row>
    <x:row r="55">
      <x:c r="A55" s="70" t="str">
        <x:v>M5CH-042</x:v>
      </x:c>
      <x:c r="B55" s="70" t="str"/>
      <x:c r="C55" s="70" t="str"/>
      <x:c r="D55" s="70" t="str"/>
      <x:c r="E55" s="70" t="str"/>
      <x:c r="F55" s="70" t="str"/>
      <x:c r="G55" s="70" t="str"/>
      <x:c r="H55" s="70" t="str"/>
      <x:c r="I55" s="70" t="str"/>
      <x:c r="J55" s="70" t="str"/>
      <x:c r="K55" s="70" t="str"/>
      <x:c r="L55" s="70" t="str"/>
      <x:c r="M55" s="70" t="str">
        <x:v>无</x:v>
      </x:c>
      <x:c r="N55" s="70" t="str"/>
      <x:c r="O55" s="70" t="str"/>
      <x:c r="P55" s="70" t="str"/>
      <x:c r="Q55" s="70" t="str"/>
      <x:c r="R55" s="70" t="str">
        <x:v>待提出</x:v>
      </x:c>
    </x:row>
    <x:row r="56">
      <x:c r="A56" s="70" t="str">
        <x:v>M5CH-043</x:v>
      </x:c>
      <x:c r="B56" s="70" t="str"/>
      <x:c r="C56" s="70" t="str"/>
      <x:c r="D56" s="70" t="str"/>
      <x:c r="E56" s="70" t="str"/>
      <x:c r="F56" s="70" t="str"/>
      <x:c r="G56" s="70" t="str"/>
      <x:c r="H56" s="70" t="str"/>
      <x:c r="I56" s="70" t="str"/>
      <x:c r="J56" s="70" t="str"/>
      <x:c r="K56" s="70" t="str"/>
      <x:c r="L56" s="70" t="str"/>
      <x:c r="M56" s="70" t="str">
        <x:v>无</x:v>
      </x:c>
      <x:c r="N56" s="70" t="str"/>
      <x:c r="O56" s="70" t="str"/>
      <x:c r="P56" s="70" t="str"/>
      <x:c r="Q56" s="70" t="str"/>
      <x:c r="R56" s="70" t="str">
        <x:v>待提出</x:v>
      </x:c>
    </x:row>
    <x:row r="57">
      <x:c r="A57" s="70" t="str">
        <x:v>M5CH-044</x:v>
      </x:c>
      <x:c r="B57" s="70" t="str"/>
      <x:c r="C57" s="70" t="str"/>
      <x:c r="D57" s="70" t="str"/>
      <x:c r="E57" s="70" t="str"/>
      <x:c r="F57" s="70" t="str"/>
      <x:c r="G57" s="70" t="str"/>
      <x:c r="H57" s="70" t="str"/>
      <x:c r="I57" s="70" t="str"/>
      <x:c r="J57" s="70" t="str"/>
      <x:c r="K57" s="70" t="str"/>
      <x:c r="L57" s="70" t="str"/>
      <x:c r="M57" s="70" t="str">
        <x:v>无</x:v>
      </x:c>
      <x:c r="N57" s="70" t="str"/>
      <x:c r="O57" s="70" t="str"/>
      <x:c r="P57" s="70" t="str"/>
      <x:c r="Q57" s="70" t="str"/>
      <x:c r="R57" s="70" t="str">
        <x:v>待提出</x:v>
      </x:c>
    </x:row>
    <x:row r="58">
      <x:c r="A58" s="70" t="str">
        <x:v>M5CH-045</x:v>
      </x:c>
      <x:c r="B58" s="70" t="str"/>
      <x:c r="C58" s="70" t="str"/>
      <x:c r="D58" s="70" t="str"/>
      <x:c r="E58" s="70" t="str"/>
      <x:c r="F58" s="70" t="str"/>
      <x:c r="G58" s="70" t="str"/>
      <x:c r="H58" s="70" t="str"/>
      <x:c r="I58" s="70" t="str"/>
      <x:c r="J58" s="70" t="str"/>
      <x:c r="K58" s="70" t="str"/>
      <x:c r="L58" s="70" t="str"/>
      <x:c r="M58" s="70" t="str">
        <x:v>无</x:v>
      </x:c>
      <x:c r="N58" s="70" t="str"/>
      <x:c r="O58" s="70" t="str"/>
      <x:c r="P58" s="70" t="str"/>
      <x:c r="Q58" s="70" t="str"/>
      <x:c r="R58" s="70" t="str">
        <x:v>待提出</x:v>
      </x:c>
    </x:row>
    <x:row r="59">
      <x:c r="A59" s="70" t="str">
        <x:v>M5CH-046</x:v>
      </x:c>
      <x:c r="B59" s="70" t="str"/>
      <x:c r="C59" s="70" t="str"/>
      <x:c r="D59" s="70" t="str"/>
      <x:c r="E59" s="70" t="str"/>
      <x:c r="F59" s="70" t="str"/>
      <x:c r="G59" s="70" t="str"/>
      <x:c r="H59" s="70" t="str"/>
      <x:c r="I59" s="70" t="str"/>
      <x:c r="J59" s="70" t="str"/>
      <x:c r="K59" s="70" t="str"/>
      <x:c r="L59" s="70" t="str"/>
      <x:c r="M59" s="70" t="str">
        <x:v>无</x:v>
      </x:c>
      <x:c r="N59" s="70" t="str"/>
      <x:c r="O59" s="70" t="str"/>
      <x:c r="P59" s="70" t="str"/>
      <x:c r="Q59" s="70" t="str"/>
      <x:c r="R59" s="70" t="str">
        <x:v>待提出</x:v>
      </x:c>
    </x:row>
    <x:row r="60">
      <x:c r="A60" s="70" t="str">
        <x:v>M5CH-047</x:v>
      </x:c>
      <x:c r="B60" s="70" t="str"/>
      <x:c r="C60" s="70" t="str"/>
      <x:c r="D60" s="70" t="str"/>
      <x:c r="E60" s="70" t="str"/>
      <x:c r="F60" s="70" t="str"/>
      <x:c r="G60" s="70" t="str"/>
      <x:c r="H60" s="70" t="str"/>
      <x:c r="I60" s="70" t="str"/>
      <x:c r="J60" s="70" t="str"/>
      <x:c r="K60" s="70" t="str"/>
      <x:c r="L60" s="70" t="str"/>
      <x:c r="M60" s="70" t="str">
        <x:v>无</x:v>
      </x:c>
      <x:c r="N60" s="70" t="str"/>
      <x:c r="O60" s="70" t="str"/>
      <x:c r="P60" s="70" t="str"/>
      <x:c r="Q60" s="70" t="str"/>
      <x:c r="R60" s="70" t="str">
        <x:v>待提出</x:v>
      </x:c>
    </x:row>
    <x:row r="61">
      <x:c r="A61" s="70" t="str">
        <x:v>M5CH-048</x:v>
      </x:c>
      <x:c r="B61" s="70" t="str"/>
      <x:c r="C61" s="70" t="str"/>
      <x:c r="D61" s="70" t="str"/>
      <x:c r="E61" s="70" t="str"/>
      <x:c r="F61" s="70" t="str"/>
      <x:c r="G61" s="70" t="str"/>
      <x:c r="H61" s="70" t="str"/>
      <x:c r="I61" s="70" t="str"/>
      <x:c r="J61" s="70" t="str"/>
      <x:c r="K61" s="70" t="str"/>
      <x:c r="L61" s="70" t="str"/>
      <x:c r="M61" s="70" t="str">
        <x:v>无</x:v>
      </x:c>
      <x:c r="N61" s="70" t="str"/>
      <x:c r="O61" s="70" t="str"/>
      <x:c r="P61" s="70" t="str"/>
      <x:c r="Q61" s="70" t="str"/>
      <x:c r="R61" s="70" t="str">
        <x:v>待提出</x:v>
      </x:c>
    </x:row>
    <x:row r="62">
      <x:c r="A62" s="70" t="str">
        <x:v>M5CH-049</x:v>
      </x:c>
      <x:c r="B62" s="70" t="str"/>
      <x:c r="C62" s="70" t="str"/>
      <x:c r="D62" s="70" t="str"/>
      <x:c r="E62" s="70" t="str"/>
      <x:c r="F62" s="70" t="str"/>
      <x:c r="G62" s="70" t="str"/>
      <x:c r="H62" s="70" t="str"/>
      <x:c r="I62" s="70" t="str"/>
      <x:c r="J62" s="70" t="str"/>
      <x:c r="K62" s="70" t="str"/>
      <x:c r="L62" s="70" t="str"/>
      <x:c r="M62" s="70" t="str">
        <x:v>无</x:v>
      </x:c>
      <x:c r="N62" s="70" t="str"/>
      <x:c r="O62" s="70" t="str"/>
      <x:c r="P62" s="70" t="str"/>
      <x:c r="Q62" s="70" t="str"/>
      <x:c r="R62" s="70" t="str">
        <x:v>待提出</x:v>
      </x:c>
    </x:row>
    <x:row r="63">
      <x:c r="A63" s="70" t="str">
        <x:v>M5CH-050</x:v>
      </x:c>
      <x:c r="B63" s="70" t="str"/>
      <x:c r="C63" s="70" t="str"/>
      <x:c r="D63" s="70" t="str"/>
      <x:c r="E63" s="70" t="str"/>
      <x:c r="F63" s="70" t="str"/>
      <x:c r="G63" s="70" t="str"/>
      <x:c r="H63" s="70" t="str"/>
      <x:c r="I63" s="70" t="str"/>
      <x:c r="J63" s="70" t="str"/>
      <x:c r="K63" s="70" t="str"/>
      <x:c r="L63" s="70" t="str"/>
      <x:c r="M63" s="70" t="str">
        <x:v>无</x:v>
      </x:c>
      <x:c r="N63" s="70" t="str"/>
      <x:c r="O63" s="70" t="str"/>
      <x:c r="P63" s="70" t="str"/>
      <x:c r="Q63" s="70" t="str"/>
      <x:c r="R63" s="70" t="str">
        <x:v>待提出</x:v>
      </x:c>
    </x:row>
    <x:row r="64">
      <x:c r="A64" s="70" t="str">
        <x:v>M5CH-051</x:v>
      </x:c>
      <x:c r="B64" s="70" t="str"/>
      <x:c r="C64" s="70" t="str"/>
      <x:c r="D64" s="70" t="str"/>
      <x:c r="E64" s="70" t="str"/>
      <x:c r="F64" s="70" t="str"/>
      <x:c r="G64" s="70" t="str"/>
      <x:c r="H64" s="70" t="str"/>
      <x:c r="I64" s="70" t="str"/>
      <x:c r="J64" s="70" t="str"/>
      <x:c r="K64" s="70" t="str"/>
      <x:c r="L64" s="70" t="str"/>
      <x:c r="M64" s="70" t="str">
        <x:v>无</x:v>
      </x:c>
      <x:c r="N64" s="70" t="str"/>
      <x:c r="O64" s="70" t="str"/>
      <x:c r="P64" s="70" t="str"/>
      <x:c r="Q64" s="70" t="str"/>
      <x:c r="R64" s="70" t="str">
        <x:v>待提出</x:v>
      </x:c>
    </x:row>
    <x:row r="65">
      <x:c r="A65" s="70" t="str">
        <x:v>M5CH-052</x:v>
      </x:c>
      <x:c r="B65" s="70" t="str"/>
      <x:c r="C65" s="70" t="str"/>
      <x:c r="D65" s="70" t="str"/>
      <x:c r="E65" s="70" t="str"/>
      <x:c r="F65" s="70" t="str"/>
      <x:c r="G65" s="70" t="str"/>
      <x:c r="H65" s="70" t="str"/>
      <x:c r="I65" s="70" t="str"/>
      <x:c r="J65" s="70" t="str"/>
      <x:c r="K65" s="70" t="str"/>
      <x:c r="L65" s="70" t="str"/>
      <x:c r="M65" s="70" t="str">
        <x:v>无</x:v>
      </x:c>
      <x:c r="N65" s="70" t="str"/>
      <x:c r="O65" s="70" t="str"/>
      <x:c r="P65" s="70" t="str"/>
      <x:c r="Q65" s="70" t="str"/>
      <x:c r="R65" s="70" t="str">
        <x:v>待提出</x:v>
      </x:c>
    </x:row>
    <x:row r="66">
      <x:c r="A66" s="70" t="str">
        <x:v>M5CH-053</x:v>
      </x:c>
      <x:c r="B66" s="70" t="str"/>
      <x:c r="C66" s="70" t="str"/>
      <x:c r="D66" s="70" t="str"/>
      <x:c r="E66" s="70" t="str"/>
      <x:c r="F66" s="70" t="str"/>
      <x:c r="G66" s="70" t="str"/>
      <x:c r="H66" s="70" t="str"/>
      <x:c r="I66" s="70" t="str"/>
      <x:c r="J66" s="70" t="str"/>
      <x:c r="K66" s="70" t="str"/>
      <x:c r="L66" s="70" t="str"/>
      <x:c r="M66" s="70" t="str">
        <x:v>无</x:v>
      </x:c>
      <x:c r="N66" s="70" t="str"/>
      <x:c r="O66" s="70" t="str"/>
      <x:c r="P66" s="70" t="str"/>
      <x:c r="Q66" s="70" t="str"/>
      <x:c r="R66" s="70" t="str">
        <x:v>待提出</x:v>
      </x:c>
    </x:row>
    <x:row r="67">
      <x:c r="A67" s="70" t="str">
        <x:v>M5CH-054</x:v>
      </x:c>
      <x:c r="B67" s="70" t="str"/>
      <x:c r="C67" s="70" t="str"/>
      <x:c r="D67" s="70" t="str"/>
      <x:c r="E67" s="70" t="str"/>
      <x:c r="F67" s="70" t="str"/>
      <x:c r="G67" s="70" t="str"/>
      <x:c r="H67" s="70" t="str"/>
      <x:c r="I67" s="70" t="str"/>
      <x:c r="J67" s="70" t="str"/>
      <x:c r="K67" s="70" t="str"/>
      <x:c r="L67" s="70" t="str"/>
      <x:c r="M67" s="70" t="str">
        <x:v>无</x:v>
      </x:c>
      <x:c r="N67" s="70" t="str"/>
      <x:c r="O67" s="70" t="str"/>
      <x:c r="P67" s="70" t="str"/>
      <x:c r="Q67" s="70" t="str"/>
      <x:c r="R67" s="70" t="str">
        <x:v>待提出</x:v>
      </x:c>
    </x:row>
    <x:row r="68">
      <x:c r="A68" s="70" t="str">
        <x:v>M5CH-055</x:v>
      </x:c>
      <x:c r="B68" s="70" t="str"/>
      <x:c r="C68" s="70" t="str"/>
      <x:c r="D68" s="70" t="str"/>
      <x:c r="E68" s="70" t="str"/>
      <x:c r="F68" s="70" t="str"/>
      <x:c r="G68" s="70" t="str"/>
      <x:c r="H68" s="70" t="str"/>
      <x:c r="I68" s="70" t="str"/>
      <x:c r="J68" s="70" t="str"/>
      <x:c r="K68" s="70" t="str"/>
      <x:c r="L68" s="70" t="str"/>
      <x:c r="M68" s="70" t="str">
        <x:v>无</x:v>
      </x:c>
      <x:c r="N68" s="70" t="str"/>
      <x:c r="O68" s="70" t="str"/>
      <x:c r="P68" s="70" t="str"/>
      <x:c r="Q68" s="70" t="str"/>
      <x:c r="R68" s="70" t="str">
        <x:v>待提出</x:v>
      </x:c>
    </x:row>
    <x:row r="69">
      <x:c r="A69" s="70" t="str">
        <x:v>M5CH-056</x:v>
      </x:c>
      <x:c r="B69" s="70" t="str"/>
      <x:c r="C69" s="70" t="str"/>
      <x:c r="D69" s="70" t="str"/>
      <x:c r="E69" s="70" t="str"/>
      <x:c r="F69" s="70" t="str"/>
      <x:c r="G69" s="70" t="str"/>
      <x:c r="H69" s="70" t="str"/>
      <x:c r="I69" s="70" t="str"/>
      <x:c r="J69" s="70" t="str"/>
      <x:c r="K69" s="70" t="str"/>
      <x:c r="L69" s="70" t="str"/>
      <x:c r="M69" s="70" t="str">
        <x:v>无</x:v>
      </x:c>
      <x:c r="N69" s="70" t="str"/>
      <x:c r="O69" s="70" t="str"/>
      <x:c r="P69" s="70" t="str"/>
      <x:c r="Q69" s="70" t="str"/>
      <x:c r="R69" s="70" t="str">
        <x:v>待提出</x:v>
      </x:c>
    </x:row>
    <x:row r="70">
      <x:c r="A70" s="70" t="str">
        <x:v>M5CH-057</x:v>
      </x:c>
      <x:c r="B70" s="70" t="str"/>
      <x:c r="C70" s="70" t="str"/>
      <x:c r="D70" s="70" t="str"/>
      <x:c r="E70" s="70" t="str"/>
      <x:c r="F70" s="70" t="str"/>
      <x:c r="G70" s="70" t="str"/>
      <x:c r="H70" s="70" t="str"/>
      <x:c r="I70" s="70" t="str"/>
      <x:c r="J70" s="70" t="str"/>
      <x:c r="K70" s="70" t="str"/>
      <x:c r="L70" s="70" t="str"/>
      <x:c r="M70" s="70" t="str">
        <x:v>无</x:v>
      </x:c>
      <x:c r="N70" s="70" t="str"/>
      <x:c r="O70" s="70" t="str"/>
      <x:c r="P70" s="70" t="str"/>
      <x:c r="Q70" s="70" t="str"/>
      <x:c r="R70" s="70" t="str">
        <x:v>待提出</x:v>
      </x:c>
    </x:row>
    <x:row r="71">
      <x:c r="A71" s="70" t="str">
        <x:v>M5CH-058</x:v>
      </x:c>
      <x:c r="B71" s="70" t="str"/>
      <x:c r="C71" s="70" t="str"/>
      <x:c r="D71" s="70" t="str"/>
      <x:c r="E71" s="70" t="str"/>
      <x:c r="F71" s="70" t="str"/>
      <x:c r="G71" s="70" t="str"/>
      <x:c r="H71" s="70" t="str"/>
      <x:c r="I71" s="70" t="str"/>
      <x:c r="J71" s="70" t="str"/>
      <x:c r="K71" s="70" t="str"/>
      <x:c r="L71" s="70" t="str"/>
      <x:c r="M71" s="70" t="str">
        <x:v>无</x:v>
      </x:c>
      <x:c r="N71" s="70" t="str"/>
      <x:c r="O71" s="70" t="str"/>
      <x:c r="P71" s="70" t="str"/>
      <x:c r="Q71" s="70" t="str"/>
      <x:c r="R71" s="70" t="str">
        <x:v>待提出</x:v>
      </x:c>
    </x:row>
    <x:row r="72">
      <x:c r="A72" s="70" t="str">
        <x:v>M5CH-059</x:v>
      </x:c>
      <x:c r="B72" s="70" t="str"/>
      <x:c r="C72" s="70" t="str"/>
      <x:c r="D72" s="70" t="str"/>
      <x:c r="E72" s="70" t="str"/>
      <x:c r="F72" s="70" t="str"/>
      <x:c r="G72" s="70" t="str"/>
      <x:c r="H72" s="70" t="str"/>
      <x:c r="I72" s="70" t="str"/>
      <x:c r="J72" s="70" t="str"/>
      <x:c r="K72" s="70" t="str"/>
      <x:c r="L72" s="70" t="str"/>
      <x:c r="M72" s="70" t="str">
        <x:v>无</x:v>
      </x:c>
      <x:c r="N72" s="70" t="str"/>
      <x:c r="O72" s="70" t="str"/>
      <x:c r="P72" s="70" t="str"/>
      <x:c r="Q72" s="70" t="str"/>
      <x:c r="R72" s="70" t="str">
        <x:v>待提出</x:v>
      </x:c>
    </x:row>
    <x:row r="73">
      <x:c r="A73" s="70" t="str">
        <x:v>M5CH-060</x:v>
      </x:c>
      <x:c r="B73" s="70" t="str"/>
      <x:c r="C73" s="70" t="str"/>
      <x:c r="D73" s="70" t="str"/>
      <x:c r="E73" s="70" t="str"/>
      <x:c r="F73" s="70" t="str"/>
      <x:c r="G73" s="70" t="str"/>
      <x:c r="H73" s="70" t="str"/>
      <x:c r="I73" s="70" t="str"/>
      <x:c r="J73" s="70" t="str"/>
      <x:c r="K73" s="70" t="str"/>
      <x:c r="L73" s="70" t="str"/>
      <x:c r="M73" s="70" t="str">
        <x:v>无</x:v>
      </x:c>
      <x:c r="N73" s="70" t="str"/>
      <x:c r="O73" s="70" t="str"/>
      <x:c r="P73" s="70" t="str"/>
      <x:c r="Q73" s="70" t="str"/>
      <x:c r="R73" s="70" t="str">
        <x:v>待提出</x:v>
      </x:c>
    </x:row>
    <x:row r="74">
      <x:c r="A74" s="70" t="str">
        <x:v>M5CH-061</x:v>
      </x:c>
      <x:c r="B74" s="70" t="str"/>
      <x:c r="C74" s="70" t="str"/>
      <x:c r="D74" s="70" t="str"/>
      <x:c r="E74" s="70" t="str"/>
      <x:c r="F74" s="70" t="str"/>
      <x:c r="G74" s="70" t="str"/>
      <x:c r="H74" s="70" t="str"/>
      <x:c r="I74" s="70" t="str"/>
      <x:c r="J74" s="70" t="str"/>
      <x:c r="K74" s="70" t="str"/>
      <x:c r="L74" s="70" t="str"/>
      <x:c r="M74" s="70" t="str">
        <x:v>无</x:v>
      </x:c>
      <x:c r="N74" s="70" t="str"/>
      <x:c r="O74" s="70" t="str"/>
      <x:c r="P74" s="70" t="str"/>
      <x:c r="Q74" s="70" t="str"/>
      <x:c r="R74" s="70" t="str">
        <x:v>待提出</x:v>
      </x:c>
    </x:row>
    <x:row r="75">
      <x:c r="A75" s="70" t="str">
        <x:v>M5CH-062</x:v>
      </x:c>
      <x:c r="B75" s="70" t="str"/>
      <x:c r="C75" s="70" t="str"/>
      <x:c r="D75" s="70" t="str"/>
      <x:c r="E75" s="70" t="str"/>
      <x:c r="F75" s="70" t="str"/>
      <x:c r="G75" s="70" t="str"/>
      <x:c r="H75" s="70" t="str"/>
      <x:c r="I75" s="70" t="str"/>
      <x:c r="J75" s="70" t="str"/>
      <x:c r="K75" s="70" t="str"/>
      <x:c r="L75" s="70" t="str"/>
      <x:c r="M75" s="70" t="str">
        <x:v>无</x:v>
      </x:c>
      <x:c r="N75" s="70" t="str"/>
      <x:c r="O75" s="70" t="str"/>
      <x:c r="P75" s="70" t="str"/>
      <x:c r="Q75" s="70" t="str"/>
      <x:c r="R75" s="70" t="str">
        <x:v>待提出</x:v>
      </x:c>
    </x:row>
    <x:row r="76">
      <x:c r="A76" s="70" t="str">
        <x:v>M5CH-063</x:v>
      </x:c>
      <x:c r="B76" s="70" t="str"/>
      <x:c r="C76" s="70" t="str"/>
      <x:c r="D76" s="70" t="str"/>
      <x:c r="E76" s="70" t="str"/>
      <x:c r="F76" s="70" t="str"/>
      <x:c r="G76" s="70" t="str"/>
      <x:c r="H76" s="70" t="str"/>
      <x:c r="I76" s="70" t="str"/>
      <x:c r="J76" s="70" t="str"/>
      <x:c r="K76" s="70" t="str"/>
      <x:c r="L76" s="70" t="str"/>
      <x:c r="M76" s="70" t="str">
        <x:v>无</x:v>
      </x:c>
      <x:c r="N76" s="70" t="str"/>
      <x:c r="O76" s="70" t="str"/>
      <x:c r="P76" s="70" t="str"/>
      <x:c r="Q76" s="70" t="str"/>
      <x:c r="R76" s="70" t="str">
        <x:v>待提出</x:v>
      </x:c>
    </x:row>
    <x:row r="77">
      <x:c r="A77" s="70" t="str">
        <x:v>M5CH-064</x:v>
      </x:c>
      <x:c r="B77" s="70" t="str"/>
      <x:c r="C77" s="70" t="str"/>
      <x:c r="D77" s="70" t="str"/>
      <x:c r="E77" s="70" t="str"/>
      <x:c r="F77" s="70" t="str"/>
      <x:c r="G77" s="70" t="str"/>
      <x:c r="H77" s="70" t="str"/>
      <x:c r="I77" s="70" t="str"/>
      <x:c r="J77" s="70" t="str"/>
      <x:c r="K77" s="70" t="str"/>
      <x:c r="L77" s="70" t="str"/>
      <x:c r="M77" s="70" t="str">
        <x:v>无</x:v>
      </x:c>
      <x:c r="N77" s="70" t="str"/>
      <x:c r="O77" s="70" t="str"/>
      <x:c r="P77" s="70" t="str"/>
      <x:c r="Q77" s="70" t="str"/>
      <x:c r="R77" s="70" t="str">
        <x:v>待提出</x:v>
      </x:c>
    </x:row>
    <x:row r="78">
      <x:c r="A78" s="70" t="str">
        <x:v>M5CH-065</x:v>
      </x:c>
      <x:c r="B78" s="70" t="str"/>
      <x:c r="C78" s="70" t="str"/>
      <x:c r="D78" s="70" t="str"/>
      <x:c r="E78" s="70" t="str"/>
      <x:c r="F78" s="70" t="str"/>
      <x:c r="G78" s="70" t="str"/>
      <x:c r="H78" s="70" t="str"/>
      <x:c r="I78" s="70" t="str"/>
      <x:c r="J78" s="70" t="str"/>
      <x:c r="K78" s="70" t="str"/>
      <x:c r="L78" s="70" t="str"/>
      <x:c r="M78" s="70" t="str">
        <x:v>无</x:v>
      </x:c>
      <x:c r="N78" s="70" t="str"/>
      <x:c r="O78" s="70" t="str"/>
      <x:c r="P78" s="70" t="str"/>
      <x:c r="Q78" s="70" t="str"/>
      <x:c r="R78" s="70" t="str">
        <x:v>待提出</x:v>
      </x:c>
    </x:row>
    <x:row r="79">
      <x:c r="A79" s="70" t="str">
        <x:v>M5CH-066</x:v>
      </x:c>
      <x:c r="B79" s="70" t="str"/>
      <x:c r="C79" s="70" t="str"/>
      <x:c r="D79" s="70" t="str"/>
      <x:c r="E79" s="70" t="str"/>
      <x:c r="F79" s="70" t="str"/>
      <x:c r="G79" s="70" t="str"/>
      <x:c r="H79" s="70" t="str"/>
      <x:c r="I79" s="70" t="str"/>
      <x:c r="J79" s="70" t="str"/>
      <x:c r="K79" s="70" t="str"/>
      <x:c r="L79" s="70" t="str"/>
      <x:c r="M79" s="70" t="str">
        <x:v>无</x:v>
      </x:c>
      <x:c r="N79" s="70" t="str"/>
      <x:c r="O79" s="70" t="str"/>
      <x:c r="P79" s="70" t="str"/>
      <x:c r="Q79" s="70" t="str"/>
      <x:c r="R79" s="70" t="str">
        <x:v>待提出</x:v>
      </x:c>
    </x:row>
    <x:row r="80">
      <x:c r="A80" s="70" t="str">
        <x:v>M5CH-067</x:v>
      </x:c>
      <x:c r="B80" s="70" t="str"/>
      <x:c r="C80" s="70" t="str"/>
      <x:c r="D80" s="70" t="str"/>
      <x:c r="E80" s="70" t="str"/>
      <x:c r="F80" s="70" t="str"/>
      <x:c r="G80" s="70" t="str"/>
      <x:c r="H80" s="70" t="str"/>
      <x:c r="I80" s="70" t="str"/>
      <x:c r="J80" s="70" t="str"/>
      <x:c r="K80" s="70" t="str"/>
      <x:c r="L80" s="70" t="str"/>
      <x:c r="M80" s="70" t="str">
        <x:v>无</x:v>
      </x:c>
      <x:c r="N80" s="70" t="str"/>
      <x:c r="O80" s="70" t="str"/>
      <x:c r="P80" s="70" t="str"/>
      <x:c r="Q80" s="70" t="str"/>
      <x:c r="R80" s="70" t="str">
        <x:v>待提出</x:v>
      </x:c>
    </x:row>
    <x:row r="81">
      <x:c r="A81" s="70" t="str">
        <x:v>M5CH-068</x:v>
      </x:c>
      <x:c r="B81" s="70" t="str"/>
      <x:c r="C81" s="70" t="str"/>
      <x:c r="D81" s="70" t="str"/>
      <x:c r="E81" s="70" t="str"/>
      <x:c r="F81" s="70" t="str"/>
      <x:c r="G81" s="70" t="str"/>
      <x:c r="H81" s="70" t="str"/>
      <x:c r="I81" s="70" t="str"/>
      <x:c r="J81" s="70" t="str"/>
      <x:c r="K81" s="70" t="str"/>
      <x:c r="L81" s="70" t="str"/>
      <x:c r="M81" s="70" t="str">
        <x:v>无</x:v>
      </x:c>
      <x:c r="N81" s="70" t="str"/>
      <x:c r="O81" s="70" t="str"/>
      <x:c r="P81" s="70" t="str"/>
      <x:c r="Q81" s="70" t="str"/>
      <x:c r="R81" s="70" t="str">
        <x:v>待提出</x:v>
      </x:c>
    </x:row>
    <x:row r="82">
      <x:c r="A82" s="70" t="str">
        <x:v>M5CH-069</x:v>
      </x:c>
      <x:c r="B82" s="70" t="str"/>
      <x:c r="C82" s="70" t="str"/>
      <x:c r="D82" s="70" t="str"/>
      <x:c r="E82" s="70" t="str"/>
      <x:c r="F82" s="70" t="str"/>
      <x:c r="G82" s="70" t="str"/>
      <x:c r="H82" s="70" t="str"/>
      <x:c r="I82" s="70" t="str"/>
      <x:c r="J82" s="70" t="str"/>
      <x:c r="K82" s="70" t="str"/>
      <x:c r="L82" s="70" t="str"/>
      <x:c r="M82" s="70" t="str">
        <x:v>无</x:v>
      </x:c>
      <x:c r="N82" s="70" t="str"/>
      <x:c r="O82" s="70" t="str"/>
      <x:c r="P82" s="70" t="str"/>
      <x:c r="Q82" s="70" t="str"/>
      <x:c r="R82" s="70" t="str">
        <x:v>待提出</x:v>
      </x:c>
    </x:row>
    <x:row r="83">
      <x:c r="A83" s="70" t="str">
        <x:v>M5CH-070</x:v>
      </x:c>
      <x:c r="B83" s="70" t="str"/>
      <x:c r="C83" s="70" t="str"/>
      <x:c r="D83" s="70" t="str"/>
      <x:c r="E83" s="70" t="str"/>
      <x:c r="F83" s="70" t="str"/>
      <x:c r="G83" s="70" t="str"/>
      <x:c r="H83" s="70" t="str"/>
      <x:c r="I83" s="70" t="str"/>
      <x:c r="J83" s="70" t="str"/>
      <x:c r="K83" s="70" t="str"/>
      <x:c r="L83" s="70" t="str"/>
      <x:c r="M83" s="70" t="str">
        <x:v>无</x:v>
      </x:c>
      <x:c r="N83" s="70" t="str"/>
      <x:c r="O83" s="70" t="str"/>
      <x:c r="P83" s="70" t="str"/>
      <x:c r="Q83" s="70" t="str"/>
      <x:c r="R83" s="70" t="str">
        <x:v>待提出</x:v>
      </x:c>
    </x:row>
    <x:row r="84">
      <x:c r="A84" s="70" t="str">
        <x:v>M5CH-071</x:v>
      </x:c>
      <x:c r="B84" s="70" t="str"/>
      <x:c r="C84" s="70" t="str"/>
      <x:c r="D84" s="70" t="str"/>
      <x:c r="E84" s="70" t="str"/>
      <x:c r="F84" s="70" t="str"/>
      <x:c r="G84" s="70" t="str"/>
      <x:c r="H84" s="70" t="str"/>
      <x:c r="I84" s="70" t="str"/>
      <x:c r="J84" s="70" t="str"/>
      <x:c r="K84" s="70" t="str"/>
      <x:c r="L84" s="70" t="str"/>
      <x:c r="M84" s="70" t="str">
        <x:v>无</x:v>
      </x:c>
      <x:c r="N84" s="70" t="str"/>
      <x:c r="O84" s="70" t="str"/>
      <x:c r="P84" s="70" t="str"/>
      <x:c r="Q84" s="70" t="str"/>
      <x:c r="R84" s="70" t="str">
        <x:v>待提出</x:v>
      </x:c>
    </x:row>
    <x:row r="85">
      <x:c r="A85" s="70" t="str">
        <x:v>M5CH-072</x:v>
      </x:c>
      <x:c r="B85" s="70" t="str"/>
      <x:c r="C85" s="70" t="str"/>
      <x:c r="D85" s="70" t="str"/>
      <x:c r="E85" s="70" t="str"/>
      <x:c r="F85" s="70" t="str"/>
      <x:c r="G85" s="70" t="str"/>
      <x:c r="H85" s="70" t="str"/>
      <x:c r="I85" s="70" t="str"/>
      <x:c r="J85" s="70" t="str"/>
      <x:c r="K85" s="70" t="str"/>
      <x:c r="L85" s="70" t="str"/>
      <x:c r="M85" s="70" t="str">
        <x:v>无</x:v>
      </x:c>
      <x:c r="N85" s="70" t="str"/>
      <x:c r="O85" s="70" t="str"/>
      <x:c r="P85" s="70" t="str"/>
      <x:c r="Q85" s="70" t="str"/>
      <x:c r="R85" s="70" t="str">
        <x:v>待提出</x:v>
      </x:c>
    </x:row>
    <x:row r="86">
      <x:c r="A86" s="70" t="str">
        <x:v>M5CH-073</x:v>
      </x:c>
      <x:c r="B86" s="70" t="str"/>
      <x:c r="C86" s="70" t="str"/>
      <x:c r="D86" s="70" t="str"/>
      <x:c r="E86" s="70" t="str"/>
      <x:c r="F86" s="70" t="str"/>
      <x:c r="G86" s="70" t="str"/>
      <x:c r="H86" s="70" t="str"/>
      <x:c r="I86" s="70" t="str"/>
      <x:c r="J86" s="70" t="str"/>
      <x:c r="K86" s="70" t="str"/>
      <x:c r="L86" s="70" t="str"/>
      <x:c r="M86" s="70" t="str">
        <x:v>无</x:v>
      </x:c>
      <x:c r="N86" s="70" t="str"/>
      <x:c r="O86" s="70" t="str"/>
      <x:c r="P86" s="70" t="str"/>
      <x:c r="Q86" s="70" t="str"/>
      <x:c r="R86" s="70" t="str">
        <x:v>待提出</x:v>
      </x:c>
    </x:row>
    <x:row r="87">
      <x:c r="A87" s="70" t="str">
        <x:v>M5CH-074</x:v>
      </x:c>
      <x:c r="B87" s="70" t="str"/>
      <x:c r="C87" s="70" t="str"/>
      <x:c r="D87" s="70" t="str"/>
      <x:c r="E87" s="70" t="str"/>
      <x:c r="F87" s="70" t="str"/>
      <x:c r="G87" s="70" t="str"/>
      <x:c r="H87" s="70" t="str"/>
      <x:c r="I87" s="70" t="str"/>
      <x:c r="J87" s="70" t="str"/>
      <x:c r="K87" s="70" t="str"/>
      <x:c r="L87" s="70" t="str"/>
      <x:c r="M87" s="70" t="str">
        <x:v>无</x:v>
      </x:c>
      <x:c r="N87" s="70" t="str"/>
      <x:c r="O87" s="70" t="str"/>
      <x:c r="P87" s="70" t="str"/>
      <x:c r="Q87" s="70" t="str"/>
      <x:c r="R87" s="70" t="str">
        <x:v>待提出</x:v>
      </x:c>
    </x:row>
    <x:row r="88">
      <x:c r="A88" s="70" t="str">
        <x:v>M5CH-075</x:v>
      </x:c>
      <x:c r="B88" s="70" t="str"/>
      <x:c r="C88" s="70" t="str"/>
      <x:c r="D88" s="70" t="str"/>
      <x:c r="E88" s="70" t="str"/>
      <x:c r="F88" s="70" t="str"/>
      <x:c r="G88" s="70" t="str"/>
      <x:c r="H88" s="70" t="str"/>
      <x:c r="I88" s="70" t="str"/>
      <x:c r="J88" s="70" t="str"/>
      <x:c r="K88" s="70" t="str"/>
      <x:c r="L88" s="70" t="str"/>
      <x:c r="M88" s="70" t="str">
        <x:v>无</x:v>
      </x:c>
      <x:c r="N88" s="70" t="str"/>
      <x:c r="O88" s="70" t="str"/>
      <x:c r="P88" s="70" t="str"/>
      <x:c r="Q88" s="70" t="str"/>
      <x:c r="R88" s="70" t="str">
        <x:v>待提出</x:v>
      </x:c>
    </x:row>
    <x:row r="89">
      <x:c r="A89" s="70" t="str">
        <x:v>M5CH-076</x:v>
      </x:c>
      <x:c r="B89" s="70" t="str"/>
      <x:c r="C89" s="70" t="str"/>
      <x:c r="D89" s="70" t="str"/>
      <x:c r="E89" s="70" t="str"/>
      <x:c r="F89" s="70" t="str"/>
      <x:c r="G89" s="70" t="str"/>
      <x:c r="H89" s="70" t="str"/>
      <x:c r="I89" s="70" t="str"/>
      <x:c r="J89" s="70" t="str"/>
      <x:c r="K89" s="70" t="str"/>
      <x:c r="L89" s="70" t="str"/>
      <x:c r="M89" s="70" t="str">
        <x:v>无</x:v>
      </x:c>
      <x:c r="N89" s="70" t="str"/>
      <x:c r="O89" s="70" t="str"/>
      <x:c r="P89" s="70" t="str"/>
      <x:c r="Q89" s="70" t="str"/>
      <x:c r="R89" s="70" t="str">
        <x:v>待提出</x:v>
      </x:c>
    </x:row>
    <x:row r="90">
      <x:c r="A90" s="70" t="str">
        <x:v>M5CH-077</x:v>
      </x:c>
      <x:c r="B90" s="70" t="str"/>
      <x:c r="C90" s="70" t="str"/>
      <x:c r="D90" s="70" t="str"/>
      <x:c r="E90" s="70" t="str"/>
      <x:c r="F90" s="70" t="str"/>
      <x:c r="G90" s="70" t="str"/>
      <x:c r="H90" s="70" t="str"/>
      <x:c r="I90" s="70" t="str"/>
      <x:c r="J90" s="70" t="str"/>
      <x:c r="K90" s="70" t="str"/>
      <x:c r="L90" s="70" t="str"/>
      <x:c r="M90" s="70" t="str">
        <x:v>无</x:v>
      </x:c>
      <x:c r="N90" s="70" t="str"/>
      <x:c r="O90" s="70" t="str"/>
      <x:c r="P90" s="70" t="str"/>
      <x:c r="Q90" s="70" t="str"/>
      <x:c r="R90" s="70" t="str">
        <x:v>待提出</x:v>
      </x:c>
    </x:row>
    <x:row r="91">
      <x:c r="A91" s="70" t="str">
        <x:v>M5CH-078</x:v>
      </x:c>
      <x:c r="B91" s="70" t="str"/>
      <x:c r="C91" s="70" t="str"/>
      <x:c r="D91" s="70" t="str"/>
      <x:c r="E91" s="70" t="str"/>
      <x:c r="F91" s="70" t="str"/>
      <x:c r="G91" s="70" t="str"/>
      <x:c r="H91" s="70" t="str"/>
      <x:c r="I91" s="70" t="str"/>
      <x:c r="J91" s="70" t="str"/>
      <x:c r="K91" s="70" t="str"/>
      <x:c r="L91" s="70" t="str"/>
      <x:c r="M91" s="70" t="str">
        <x:v>无</x:v>
      </x:c>
      <x:c r="N91" s="70" t="str"/>
      <x:c r="O91" s="70" t="str"/>
      <x:c r="P91" s="70" t="str"/>
      <x:c r="Q91" s="70" t="str"/>
      <x:c r="R91" s="70" t="str">
        <x:v>待提出</x:v>
      </x:c>
    </x:row>
    <x:row r="92">
      <x:c r="A92" s="70" t="str">
        <x:v>M5CH-079</x:v>
      </x:c>
      <x:c r="B92" s="70" t="str"/>
      <x:c r="C92" s="70" t="str"/>
      <x:c r="D92" s="70" t="str"/>
      <x:c r="E92" s="70" t="str"/>
      <x:c r="F92" s="70" t="str"/>
      <x:c r="G92" s="70" t="str"/>
      <x:c r="H92" s="70" t="str"/>
      <x:c r="I92" s="70" t="str"/>
      <x:c r="J92" s="70" t="str"/>
      <x:c r="K92" s="70" t="str"/>
      <x:c r="L92" s="70" t="str"/>
      <x:c r="M92" s="70" t="str">
        <x:v>无</x:v>
      </x:c>
      <x:c r="N92" s="70" t="str"/>
      <x:c r="O92" s="70" t="str"/>
      <x:c r="P92" s="70" t="str"/>
      <x:c r="Q92" s="70" t="str"/>
      <x:c r="R92" s="70" t="str">
        <x:v>待提出</x:v>
      </x:c>
    </x:row>
    <x:row r="93">
      <x:c r="A93" s="70" t="str">
        <x:v>M5CH-080</x:v>
      </x:c>
      <x:c r="B93" s="70" t="str"/>
      <x:c r="C93" s="70" t="str"/>
      <x:c r="D93" s="70" t="str"/>
      <x:c r="E93" s="70" t="str"/>
      <x:c r="F93" s="70" t="str"/>
      <x:c r="G93" s="70" t="str"/>
      <x:c r="H93" s="70" t="str"/>
      <x:c r="I93" s="70" t="str"/>
      <x:c r="J93" s="70" t="str"/>
      <x:c r="K93" s="70" t="str"/>
      <x:c r="L93" s="70" t="str"/>
      <x:c r="M93" s="70" t="str">
        <x:v>无</x:v>
      </x:c>
      <x:c r="N93" s="70" t="str"/>
      <x:c r="O93" s="70" t="str"/>
      <x:c r="P93" s="70" t="str"/>
      <x:c r="Q93" s="70" t="str"/>
      <x:c r="R93" s="70" t="str">
        <x:v>待提出</x:v>
      </x:c>
    </x:row>
    <x:row r="94">
      <x:c r="A94" s="70" t="str">
        <x:v>M5CH-081</x:v>
      </x:c>
      <x:c r="B94" s="70" t="str"/>
      <x:c r="C94" s="70" t="str"/>
      <x:c r="D94" s="70" t="str"/>
      <x:c r="E94" s="70" t="str"/>
      <x:c r="F94" s="70" t="str"/>
      <x:c r="G94" s="70" t="str"/>
      <x:c r="H94" s="70" t="str"/>
      <x:c r="I94" s="70" t="str"/>
      <x:c r="J94" s="70" t="str"/>
      <x:c r="K94" s="70" t="str"/>
      <x:c r="L94" s="70" t="str"/>
      <x:c r="M94" s="70" t="str">
        <x:v>无</x:v>
      </x:c>
      <x:c r="N94" s="70" t="str"/>
      <x:c r="O94" s="70" t="str"/>
      <x:c r="P94" s="70" t="str"/>
      <x:c r="Q94" s="70" t="str"/>
      <x:c r="R94" s="70" t="str">
        <x:v>待提出</x:v>
      </x:c>
    </x:row>
    <x:row r="95">
      <x:c r="A95" s="70" t="str">
        <x:v>M5CH-082</x:v>
      </x:c>
      <x:c r="B95" s="70" t="str"/>
      <x:c r="C95" s="70" t="str"/>
      <x:c r="D95" s="70" t="str"/>
      <x:c r="E95" s="70" t="str"/>
      <x:c r="F95" s="70" t="str"/>
      <x:c r="G95" s="70" t="str"/>
      <x:c r="H95" s="70" t="str"/>
      <x:c r="I95" s="70" t="str"/>
      <x:c r="J95" s="70" t="str"/>
      <x:c r="K95" s="70" t="str"/>
      <x:c r="L95" s="70" t="str"/>
      <x:c r="M95" s="70" t="str">
        <x:v>无</x:v>
      </x:c>
      <x:c r="N95" s="70" t="str"/>
      <x:c r="O95" s="70" t="str"/>
      <x:c r="P95" s="70" t="str"/>
      <x:c r="Q95" s="70" t="str"/>
      <x:c r="R95" s="70" t="str">
        <x:v>待提出</x:v>
      </x:c>
    </x:row>
    <x:row r="96">
      <x:c r="A96" s="70" t="str">
        <x:v>M5CH-083</x:v>
      </x:c>
      <x:c r="B96" s="70" t="str"/>
      <x:c r="C96" s="70" t="str"/>
      <x:c r="D96" s="70" t="str"/>
      <x:c r="E96" s="70" t="str"/>
      <x:c r="F96" s="70" t="str"/>
      <x:c r="G96" s="70" t="str"/>
      <x:c r="H96" s="70" t="str"/>
      <x:c r="I96" s="70" t="str"/>
      <x:c r="J96" s="70" t="str"/>
      <x:c r="K96" s="70" t="str"/>
      <x:c r="L96" s="70" t="str"/>
      <x:c r="M96" s="70" t="str">
        <x:v>无</x:v>
      </x:c>
      <x:c r="N96" s="70" t="str"/>
      <x:c r="O96" s="70" t="str"/>
      <x:c r="P96" s="70" t="str"/>
      <x:c r="Q96" s="70" t="str"/>
      <x:c r="R96" s="70" t="str">
        <x:v>待提出</x:v>
      </x:c>
    </x:row>
    <x:row r="97">
      <x:c r="A97" s="70" t="str">
        <x:v>M5CH-084</x:v>
      </x:c>
      <x:c r="B97" s="70" t="str"/>
      <x:c r="C97" s="70" t="str"/>
      <x:c r="D97" s="70" t="str"/>
      <x:c r="E97" s="70" t="str"/>
      <x:c r="F97" s="70" t="str"/>
      <x:c r="G97" s="70" t="str"/>
      <x:c r="H97" s="70" t="str"/>
      <x:c r="I97" s="70" t="str"/>
      <x:c r="J97" s="70" t="str"/>
      <x:c r="K97" s="70" t="str"/>
      <x:c r="L97" s="70" t="str"/>
      <x:c r="M97" s="70" t="str">
        <x:v>无</x:v>
      </x:c>
      <x:c r="N97" s="70" t="str"/>
      <x:c r="O97" s="70" t="str"/>
      <x:c r="P97" s="70" t="str"/>
      <x:c r="Q97" s="70" t="str"/>
      <x:c r="R97" s="70" t="str">
        <x:v>待提出</x:v>
      </x:c>
    </x:row>
    <x:row r="98">
      <x:c r="A98" s="70" t="str">
        <x:v>M5CH-085</x:v>
      </x:c>
      <x:c r="B98" s="70" t="str"/>
      <x:c r="C98" s="70" t="str"/>
      <x:c r="D98" s="70" t="str"/>
      <x:c r="E98" s="70" t="str"/>
      <x:c r="F98" s="70" t="str"/>
      <x:c r="G98" s="70" t="str"/>
      <x:c r="H98" s="70" t="str"/>
      <x:c r="I98" s="70" t="str"/>
      <x:c r="J98" s="70" t="str"/>
      <x:c r="K98" s="70" t="str"/>
      <x:c r="L98" s="70" t="str"/>
      <x:c r="M98" s="70" t="str">
        <x:v>无</x:v>
      </x:c>
      <x:c r="N98" s="70" t="str"/>
      <x:c r="O98" s="70" t="str"/>
      <x:c r="P98" s="70" t="str"/>
      <x:c r="Q98" s="70" t="str"/>
      <x:c r="R98" s="70" t="str">
        <x:v>待提出</x:v>
      </x:c>
    </x:row>
    <x:row r="99">
      <x:c r="A99" s="70" t="str">
        <x:v>M5CH-086</x:v>
      </x:c>
      <x:c r="B99" s="70" t="str"/>
      <x:c r="C99" s="70" t="str"/>
      <x:c r="D99" s="70" t="str"/>
      <x:c r="E99" s="70" t="str"/>
      <x:c r="F99" s="70" t="str"/>
      <x:c r="G99" s="70" t="str"/>
      <x:c r="H99" s="70" t="str"/>
      <x:c r="I99" s="70" t="str"/>
      <x:c r="J99" s="70" t="str"/>
      <x:c r="K99" s="70" t="str"/>
      <x:c r="L99" s="70" t="str"/>
      <x:c r="M99" s="70" t="str">
        <x:v>无</x:v>
      </x:c>
      <x:c r="N99" s="70" t="str"/>
      <x:c r="O99" s="70" t="str"/>
      <x:c r="P99" s="70" t="str"/>
      <x:c r="Q99" s="70" t="str"/>
      <x:c r="R99" s="70" t="str">
        <x:v>待提出</x:v>
      </x:c>
    </x:row>
    <x:row r="100">
      <x:c r="A100" s="70" t="str">
        <x:v>M5CH-087</x:v>
      </x:c>
      <x:c r="B100" s="70" t="str"/>
      <x:c r="C100" s="70" t="str"/>
      <x:c r="D100" s="70" t="str"/>
      <x:c r="E100" s="70" t="str"/>
      <x:c r="F100" s="70" t="str"/>
      <x:c r="G100" s="70" t="str"/>
      <x:c r="H100" s="70" t="str"/>
      <x:c r="I100" s="70" t="str"/>
      <x:c r="J100" s="70" t="str"/>
      <x:c r="K100" s="70" t="str"/>
      <x:c r="L100" s="70" t="str"/>
      <x:c r="M100" s="70" t="str">
        <x:v>无</x:v>
      </x:c>
      <x:c r="N100" s="70" t="str"/>
      <x:c r="O100" s="70" t="str"/>
      <x:c r="P100" s="70" t="str"/>
      <x:c r="Q100" s="70" t="str"/>
      <x:c r="R100" s="70" t="str">
        <x:v>待提出</x:v>
      </x:c>
    </x:row>
    <x:row r="101">
      <x:c r="A101" s="70" t="str">
        <x:v>M5CH-088</x:v>
      </x:c>
      <x:c r="B101" s="70" t="str"/>
      <x:c r="C101" s="70" t="str"/>
      <x:c r="D101" s="70" t="str"/>
      <x:c r="E101" s="70" t="str"/>
      <x:c r="F101" s="70" t="str"/>
      <x:c r="G101" s="70" t="str"/>
      <x:c r="H101" s="70" t="str"/>
      <x:c r="I101" s="70" t="str"/>
      <x:c r="J101" s="70" t="str"/>
      <x:c r="K101" s="70" t="str"/>
      <x:c r="L101" s="70" t="str"/>
      <x:c r="M101" s="70" t="str">
        <x:v>无</x:v>
      </x:c>
      <x:c r="N101" s="70" t="str"/>
      <x:c r="O101" s="70" t="str"/>
      <x:c r="P101" s="70" t="str"/>
      <x:c r="Q101" s="70" t="str"/>
      <x:c r="R101" s="70" t="str">
        <x:v>待提出</x:v>
      </x:c>
    </x:row>
    <x:row r="102">
      <x:c r="A102" s="70" t="str">
        <x:v>M5CH-089</x:v>
      </x:c>
      <x:c r="B102" s="70" t="str"/>
      <x:c r="C102" s="70" t="str"/>
      <x:c r="D102" s="70" t="str"/>
      <x:c r="E102" s="70" t="str"/>
      <x:c r="F102" s="70" t="str"/>
      <x:c r="G102" s="70" t="str"/>
      <x:c r="H102" s="70" t="str"/>
      <x:c r="I102" s="70" t="str"/>
      <x:c r="J102" s="70" t="str"/>
      <x:c r="K102" s="70" t="str"/>
      <x:c r="L102" s="70" t="str"/>
      <x:c r="M102" s="70" t="str">
        <x:v>无</x:v>
      </x:c>
      <x:c r="N102" s="70" t="str"/>
      <x:c r="O102" s="70" t="str"/>
      <x:c r="P102" s="70" t="str"/>
      <x:c r="Q102" s="70" t="str"/>
      <x:c r="R102" s="70" t="str">
        <x:v>待提出</x:v>
      </x:c>
    </x:row>
    <x:row r="103">
      <x:c r="A103" s="70" t="str">
        <x:v>M5CH-090</x:v>
      </x:c>
      <x:c r="B103" s="70" t="str"/>
      <x:c r="C103" s="70" t="str"/>
      <x:c r="D103" s="70" t="str"/>
      <x:c r="E103" s="70" t="str"/>
      <x:c r="F103" s="70" t="str"/>
      <x:c r="G103" s="70" t="str"/>
      <x:c r="H103" s="70" t="str"/>
      <x:c r="I103" s="70" t="str"/>
      <x:c r="J103" s="70" t="str"/>
      <x:c r="K103" s="70" t="str"/>
      <x:c r="L103" s="70" t="str"/>
      <x:c r="M103" s="70" t="str">
        <x:v>无</x:v>
      </x:c>
      <x:c r="N103" s="70" t="str"/>
      <x:c r="O103" s="70" t="str"/>
      <x:c r="P103" s="70" t="str"/>
      <x:c r="Q103" s="70" t="str"/>
      <x:c r="R103" s="70" t="str">
        <x:v>待提出</x:v>
      </x:c>
    </x:row>
    <x:row r="104">
      <x:c r="A104" s="70" t="str">
        <x:v>M5CH-091</x:v>
      </x:c>
      <x:c r="B104" s="70" t="str"/>
      <x:c r="C104" s="70" t="str"/>
      <x:c r="D104" s="70" t="str"/>
      <x:c r="E104" s="70" t="str"/>
      <x:c r="F104" s="70" t="str"/>
      <x:c r="G104" s="70" t="str"/>
      <x:c r="H104" s="70" t="str"/>
      <x:c r="I104" s="70" t="str"/>
      <x:c r="J104" s="70" t="str"/>
      <x:c r="K104" s="70" t="str"/>
      <x:c r="L104" s="70" t="str"/>
      <x:c r="M104" s="70" t="str">
        <x:v>无</x:v>
      </x:c>
      <x:c r="N104" s="70" t="str"/>
      <x:c r="O104" s="70" t="str"/>
      <x:c r="P104" s="70" t="str"/>
      <x:c r="Q104" s="70" t="str"/>
      <x:c r="R104" s="70" t="str">
        <x:v>待提出</x:v>
      </x:c>
    </x:row>
    <x:row r="105">
      <x:c r="A105" s="70" t="str">
        <x:v>M5CH-092</x:v>
      </x:c>
      <x:c r="B105" s="70" t="str"/>
      <x:c r="C105" s="70" t="str"/>
      <x:c r="D105" s="70" t="str"/>
      <x:c r="E105" s="70" t="str"/>
      <x:c r="F105" s="70" t="str"/>
      <x:c r="G105" s="70" t="str"/>
      <x:c r="H105" s="70" t="str"/>
      <x:c r="I105" s="70" t="str"/>
      <x:c r="J105" s="70" t="str"/>
      <x:c r="K105" s="70" t="str"/>
      <x:c r="L105" s="70" t="str"/>
      <x:c r="M105" s="70" t="str">
        <x:v>无</x:v>
      </x:c>
      <x:c r="N105" s="70" t="str"/>
      <x:c r="O105" s="70" t="str"/>
      <x:c r="P105" s="70" t="str"/>
      <x:c r="Q105" s="70" t="str"/>
      <x:c r="R105" s="70" t="str">
        <x:v>待提出</x:v>
      </x:c>
    </x:row>
    <x:row r="106">
      <x:c r="A106" s="70" t="str">
        <x:v>M5CH-093</x:v>
      </x:c>
      <x:c r="B106" s="70" t="str"/>
      <x:c r="C106" s="70" t="str"/>
      <x:c r="D106" s="70" t="str"/>
      <x:c r="E106" s="70" t="str"/>
      <x:c r="F106" s="70" t="str"/>
      <x:c r="G106" s="70" t="str"/>
      <x:c r="H106" s="70" t="str"/>
      <x:c r="I106" s="70" t="str"/>
      <x:c r="J106" s="70" t="str"/>
      <x:c r="K106" s="70" t="str"/>
      <x:c r="L106" s="70" t="str"/>
      <x:c r="M106" s="70" t="str">
        <x:v>无</x:v>
      </x:c>
      <x:c r="N106" s="70" t="str"/>
      <x:c r="O106" s="70" t="str"/>
      <x:c r="P106" s="70" t="str"/>
      <x:c r="Q106" s="70" t="str"/>
      <x:c r="R106" s="70" t="str">
        <x:v>待提出</x:v>
      </x:c>
    </x:row>
    <x:row r="107">
      <x:c r="A107" s="70" t="str">
        <x:v>M5CH-094</x:v>
      </x:c>
      <x:c r="B107" s="70" t="str"/>
      <x:c r="C107" s="70" t="str"/>
      <x:c r="D107" s="70" t="str"/>
      <x:c r="E107" s="70" t="str"/>
      <x:c r="F107" s="70" t="str"/>
      <x:c r="G107" s="70" t="str"/>
      <x:c r="H107" s="70" t="str"/>
      <x:c r="I107" s="70" t="str"/>
      <x:c r="J107" s="70" t="str"/>
      <x:c r="K107" s="70" t="str"/>
      <x:c r="L107" s="70" t="str"/>
      <x:c r="M107" s="70" t="str">
        <x:v>无</x:v>
      </x:c>
      <x:c r="N107" s="70" t="str"/>
      <x:c r="O107" s="70" t="str"/>
      <x:c r="P107" s="70" t="str"/>
      <x:c r="Q107" s="70" t="str"/>
      <x:c r="R107" s="70" t="str">
        <x:v>待提出</x:v>
      </x:c>
    </x:row>
    <x:row r="108">
      <x:c r="A108" s="70" t="str">
        <x:v>M5CH-095</x:v>
      </x:c>
      <x:c r="B108" s="70" t="str"/>
      <x:c r="C108" s="70" t="str"/>
      <x:c r="D108" s="70" t="str"/>
      <x:c r="E108" s="70" t="str"/>
      <x:c r="F108" s="70" t="str"/>
      <x:c r="G108" s="70" t="str"/>
      <x:c r="H108" s="70" t="str"/>
      <x:c r="I108" s="70" t="str"/>
      <x:c r="J108" s="70" t="str"/>
      <x:c r="K108" s="70" t="str"/>
      <x:c r="L108" s="70" t="str"/>
      <x:c r="M108" s="70" t="str">
        <x:v>无</x:v>
      </x:c>
      <x:c r="N108" s="70" t="str"/>
      <x:c r="O108" s="70" t="str"/>
      <x:c r="P108" s="70" t="str"/>
      <x:c r="Q108" s="70" t="str"/>
      <x:c r="R108" s="70" t="str">
        <x:v>待提出</x:v>
      </x:c>
    </x:row>
    <x:row r="109">
      <x:c r="A109" s="70" t="str">
        <x:v>M5CH-096</x:v>
      </x:c>
      <x:c r="B109" s="70" t="str"/>
      <x:c r="C109" s="70" t="str"/>
      <x:c r="D109" s="70" t="str"/>
      <x:c r="E109" s="70" t="str"/>
      <x:c r="F109" s="70" t="str"/>
      <x:c r="G109" s="70" t="str"/>
      <x:c r="H109" s="70" t="str"/>
      <x:c r="I109" s="70" t="str"/>
      <x:c r="J109" s="70" t="str"/>
      <x:c r="K109" s="70" t="str"/>
      <x:c r="L109" s="70" t="str"/>
      <x:c r="M109" s="70" t="str">
        <x:v>无</x:v>
      </x:c>
      <x:c r="N109" s="70" t="str"/>
      <x:c r="O109" s="70" t="str"/>
      <x:c r="P109" s="70" t="str"/>
      <x:c r="Q109" s="70" t="str"/>
      <x:c r="R109" s="70" t="str">
        <x:v>待提出</x:v>
      </x:c>
    </x:row>
    <x:row r="110">
      <x:c r="A110" s="70" t="str">
        <x:v>M5CH-097</x:v>
      </x:c>
      <x:c r="B110" s="70" t="str"/>
      <x:c r="C110" s="70" t="str"/>
      <x:c r="D110" s="70" t="str"/>
      <x:c r="E110" s="70" t="str"/>
      <x:c r="F110" s="70" t="str"/>
      <x:c r="G110" s="70" t="str"/>
      <x:c r="H110" s="70" t="str"/>
      <x:c r="I110" s="70" t="str"/>
      <x:c r="J110" s="70" t="str"/>
      <x:c r="K110" s="70" t="str"/>
      <x:c r="L110" s="70" t="str"/>
      <x:c r="M110" s="70" t="str">
        <x:v>无</x:v>
      </x:c>
      <x:c r="N110" s="70" t="str"/>
      <x:c r="O110" s="70" t="str"/>
      <x:c r="P110" s="70" t="str"/>
      <x:c r="Q110" s="70" t="str"/>
      <x:c r="R110" s="70" t="str">
        <x:v>待提出</x:v>
      </x:c>
    </x:row>
    <x:row r="111">
      <x:c r="A111" s="70" t="str">
        <x:v>M5CH-098</x:v>
      </x:c>
      <x:c r="B111" s="70" t="str"/>
      <x:c r="C111" s="70" t="str"/>
      <x:c r="D111" s="70" t="str"/>
      <x:c r="E111" s="70" t="str"/>
      <x:c r="F111" s="70" t="str"/>
      <x:c r="G111" s="70" t="str"/>
      <x:c r="H111" s="70" t="str"/>
      <x:c r="I111" s="70" t="str"/>
      <x:c r="J111" s="70" t="str"/>
      <x:c r="K111" s="70" t="str"/>
      <x:c r="L111" s="70" t="str"/>
      <x:c r="M111" s="70" t="str">
        <x:v>无</x:v>
      </x:c>
      <x:c r="N111" s="70" t="str"/>
      <x:c r="O111" s="70" t="str"/>
      <x:c r="P111" s="70" t="str"/>
      <x:c r="Q111" s="70" t="str"/>
      <x:c r="R111" s="70" t="str">
        <x:v>待提出</x:v>
      </x:c>
    </x:row>
    <x:row r="112">
      <x:c r="A112" s="70" t="str">
        <x:v>M5CH-099</x:v>
      </x:c>
      <x:c r="B112" s="70" t="str"/>
      <x:c r="C112" s="70" t="str"/>
      <x:c r="D112" s="70" t="str"/>
      <x:c r="E112" s="70" t="str"/>
      <x:c r="F112" s="70" t="str"/>
      <x:c r="G112" s="70" t="str"/>
      <x:c r="H112" s="70" t="str"/>
      <x:c r="I112" s="70" t="str"/>
      <x:c r="J112" s="70" t="str"/>
      <x:c r="K112" s="70" t="str"/>
      <x:c r="L112" s="70" t="str"/>
      <x:c r="M112" s="70" t="str">
        <x:v>无</x:v>
      </x:c>
      <x:c r="N112" s="70" t="str"/>
      <x:c r="O112" s="70" t="str"/>
      <x:c r="P112" s="70" t="str"/>
      <x:c r="Q112" s="70" t="str"/>
      <x:c r="R112" s="70" t="str">
        <x:v>待提出</x:v>
      </x:c>
    </x:row>
    <x:row r="113">
      <x:c r="A113" s="194" t="str">
        <x:v>M5CH-100</x:v>
      </x:c>
      <x:c r="B113" s="194" t="str"/>
      <x:c r="C113" s="194" t="str"/>
      <x:c r="D113" s="194" t="str"/>
      <x:c r="E113" s="194" t="str"/>
      <x:c r="F113" s="194" t="str"/>
      <x:c r="G113" s="194" t="str"/>
      <x:c r="H113" s="194" t="str"/>
      <x:c r="I113" s="194" t="str"/>
      <x:c r="J113" s="194" t="str"/>
      <x:c r="K113" s="194" t="str"/>
      <x:c r="L113" s="194" t="str"/>
      <x:c r="M113" s="194" t="str">
        <x:v>无</x:v>
      </x:c>
      <x:c r="N113" s="194" t="str"/>
      <x:c r="O113" s="194" t="str"/>
      <x:c r="P113" s="194" t="str"/>
      <x:c r="Q113" s="194" t="str"/>
      <x:c r="R113" s="194" t="str">
        <x:v>待提出</x:v>
      </x:c>
    </x:row>
    <x:row r="117">
      <x:c r="A117" s="191" t="str">
        <x:v>发布检查</x:v>
      </x:c>
      <x:c r="B117" s="191" t="str">
        <x:v>当前值</x:v>
      </x:c>
      <x:c r="C117" s="191" t="str">
        <x:v>门槛／要求</x:v>
      </x:c>
      <x:c r="D117" s="191" t="str">
        <x:v>状态</x:v>
      </x:c>
    </x:row>
    <x:row r="118">
      <x:c r="A118" s="70" t="str">
        <x:v>基线哈希未改变</x:v>
      </x:c>
      <x:c r="B118" s="70" t="str">
        <x:v>人工核对</x:v>
      </x:c>
      <x:c r="C118" s="70" t="str">
        <x:v>必须</x:v>
      </x:c>
      <x:c r="D118" s="70" t="str">
        <x:v>人工核对</x:v>
      </x:c>
    </x:row>
    <x:row r="119">
      <x:c r="A119" s="70" t="str">
        <x:v>32项回归测试全部通过</x:v>
      </x:c>
      <x:c r="B119" s="70" t="n">
        <x:f>COUNTIF('09_阈值与结构测试'!$L$35:$L$66,"通过")</x:f>
        <x:v>0</x:v>
      </x:c>
      <x:c r="C119" s="70" t="n">
        <x:v>32</x:v>
      </x:c>
      <x:c r="D119" s="70" t="str">
        <x:f>IF(B119&gt;=C119,"通过","未通过")</x:f>
        <x:v>未通过</x:v>
      </x:c>
    </x:row>
    <x:row r="120">
      <x:c r="A120" s="70" t="str">
        <x:v>一般统计案例达到试点</x:v>
      </x:c>
      <x:c r="B120" s="70" t="n">
        <x:f>COUNTIF('02_案例与预测'!$R$6:$R$65,"是")</x:f>
        <x:v>0</x:v>
      </x:c>
      <x:c r="C120" s="70" t="n">
        <x:v>20</x:v>
      </x:c>
      <x:c r="D120" s="70" t="str">
        <x:f>IF(B120&gt;=C120,"通过","未通过")</x:f>
        <x:v>未通过</x:v>
      </x:c>
    </x:row>
    <x:row r="121">
      <x:c r="A121" s="70" t="str">
        <x:v>留出案例达到最低</x:v>
      </x:c>
      <x:c r="B121" s="70" t="n">
        <x:f>COUNTIFS('02_案例与预测'!$E$6:$E$65,"留出集",'02_案例与预测'!$R$6:$R$65,"是")</x:f>
        <x:v>0</x:v>
      </x:c>
      <x:c r="C121" s="70" t="n">
        <x:v>6</x:v>
      </x:c>
      <x:c r="D121" s="70" t="str">
        <x:f>IF(B121&gt;=C121,"通过","未通过")</x:f>
        <x:v>未通过</x:v>
      </x:c>
    </x:row>
    <x:row r="122">
      <x:c r="A122" s="70" t="str">
        <x:v>安全漏判为零</x:v>
      </x:c>
      <x:c r="B122" s="70" t="n">
        <x:f>COUNTIF('05_字段核验'!$R$6:$R$305,"是")</x:f>
        <x:v>0</x:v>
      </x:c>
      <x:c r="C122" s="70" t="n">
        <x:v>0</x:v>
      </x:c>
      <x:c r="D122" s="70" t="str">
        <x:f>IF(B122=C122,"通过","未通过")</x:f>
        <x:v>通过</x:v>
      </x:c>
    </x:row>
    <x:row r="123">
      <x:c r="A123" s="70" t="str">
        <x:v>安全反例全部处理</x:v>
      </x:c>
      <x:c r="B123" s="70" t="n">
        <x:f>COUNTIFS('08_反例与错误'!$H$6:$H$155,"安全",'08_反例与错误'!$N$6:$N$155,"&lt;&gt;已解释")</x:f>
        <x:v>0</x:v>
      </x:c>
      <x:c r="C123" s="70" t="n">
        <x:v>0</x:v>
      </x:c>
      <x:c r="D123" s="70" t="str">
        <x:f>IF(B123=C123,"通过","未通过")</x:f>
        <x:v>通过</x:v>
      </x:c>
    </x:row>
    <x:row r="124">
      <x:c r="A124" s="194" t="str">
        <x:v>没有待留出变更</x:v>
      </x:c>
      <x:c r="B124" s="194" t="n">
        <x:f>COUNTIFS($R$14:$R$113,"待留出集")+COUNTIFS($R$14:$R$113,"开发集候选")</x:f>
        <x:v>0</x:v>
      </x:c>
      <x:c r="C124" s="194" t="n">
        <x:v>0</x:v>
      </x:c>
      <x:c r="D124" s="194" t="str">
        <x:f>IF(B124=C124,"通过","未通过")</x:f>
        <x:v>通过</x:v>
      </x:c>
    </x:row>
  </x:sheetData>
  <x:mergeCells>
    <x:mergeCell ref="A1:R2"/>
    <x:mergeCell ref="A3:R3"/>
  </x:mergeCells>
  <x:conditionalFormatting sqref="D118:D124">
    <x:cfRule type="expression" dxfId="13" priority="1">
      <x:formula>$D118="通过"</x:formula>
    </x:cfRule>
    <x:cfRule type="expression" dxfId="14" priority="2">
      <x:formula>$D118="未通过"</x:formula>
    </x:cfRule>
  </x:conditionalFormatting>
  <x:dataValidations count="5">
    <x:dataValidation type="list" sqref="C14:C113">
      <x:formula1>"BASE,PARTNER,EXCHANGE,BOUND,REPAIR,RHYTHM,GAP,SYNTH,REPORT,跨模块"</x:formula1>
    </x:dataValidation>
    <x:dataValidation type="list" sqref="D14:D113">
      <x:formula1>"文字优化,必要条件修改,排除条件修改,权重修改,阈值修改,规则拆分,规则合并,降权,停用,恢复"</x:formula1>
    </x:dataValidation>
    <x:dataValidation type="list" sqref="M14:M113">
      <x:formula1>"无,低,中,高,安全关键"</x:formula1>
    </x:dataValidation>
    <x:dataValidation type="list" sqref="N14:N113">
      <x:formula1>"采纳,拒绝,继续验证,留出集复核,安全审查"</x:formula1>
    </x:dataValidation>
    <x:dataValidation type="list" sqref="R14:R113">
      <x:formula1>"待提出,开发集候选,待回归测试,待留出集,留出集通过,留出集失败,已发布,已拒绝"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05f54a4604254c39"/>
    <x:tablePart xmlns:r="http://schemas.openxmlformats.org/officeDocument/2006/relationships" r:id="R2694107a044248cf"/>
    <x:tablePart xmlns:r="http://schemas.openxmlformats.org/officeDocument/2006/relationships" r:id="Ra86c103dc86e450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92" hidden="0" customWidth="1"/>
    <x:col min="4" max="4" width="34" hidden="0" customWidth="1"/>
    <x:col min="5" max="5" width="46" hidden="0" customWidth="1"/>
  </x:cols>
  <x:sheetData>
    <x:row r="1">
      <x:c r="A1" s="199" t="str">
        <x:v>可复制到问卷工具的匿名案例采集题</x:v>
      </x:c>
      <x:c r="B1" s="199"/>
      <x:c r="C1" s="199"/>
      <x:c r="D1" s="199"/>
      <x:c r="E1" s="199"/>
      <x:c r="F1" s="199"/>
    </x:row>
    <x:row r="2">
      <x:c r="A2" s="199"/>
      <x:c r="B2" s="199"/>
      <x:c r="C2" s="199"/>
      <x:c r="D2" s="199"/>
      <x:c r="E2" s="199"/>
      <x:c r="F2" s="199"/>
    </x:row>
    <x:row r="3">
      <x:c r="A3" s="204" t="str">
        <x:v>不需要姓名、单位、联系方式或完整聊天原文；只收集关系判断所需的必要事实。</x:v>
      </x:c>
      <x:c r="B3" s="204"/>
      <x:c r="C3" s="204"/>
      <x:c r="D3" s="204"/>
      <x:c r="E3" s="204"/>
      <x:c r="F3" s="204"/>
    </x:row>
    <x:row r="5">
      <x:c r="A5" s="209" t="str">
        <x:v>题号</x:v>
      </x:c>
      <x:c r="B5" s="209" t="str">
        <x:v>分区</x:v>
      </x:c>
      <x:c r="C5" s="209" t="str">
        <x:v>题目</x:v>
      </x:c>
      <x:c r="D5" s="209" t="str">
        <x:v>映射字段／模块</x:v>
      </x:c>
      <x:c r="E5" s="209" t="str">
        <x:v>填写边界</x:v>
      </x:c>
    </x:row>
    <x:row r="6">
      <x:c r="A6" s="70" t="str">
        <x:v>A01</x:v>
      </x:c>
      <x:c r="B6" s="70" t="str">
        <x:v>同意与隐私</x:v>
      </x:c>
      <x:c r="C6" s="70" t="str">
        <x:v>是否同意将本案例以匿名方式用于模型校准？</x:v>
      </x:c>
      <x:c r="D6" s="70" t="str">
        <x:v>数据同意</x:v>
      </x:c>
      <x:c r="E6" s="70" t="str">
        <x:v>不同意则不录入</x:v>
      </x:c>
    </x:row>
    <x:row r="7">
      <x:c r="A7" s="70" t="str">
        <x:v>A02</x:v>
      </x:c>
      <x:c r="B7" s="70" t="str">
        <x:v>同意与隐私</x:v>
      </x:c>
      <x:c r="C7" s="70" t="str">
        <x:v>请为案例自取匿名代号，不填写真实姓名。</x:v>
      </x:c>
      <x:c r="D7" s="70" t="str">
        <x:v>匿名代号</x:v>
      </x:c>
      <x:c r="E7" s="70" t="str">
        <x:v>不得包含可识别信息</x:v>
      </x:c>
    </x:row>
    <x:row r="8">
      <x:c r="A8" s="70" t="str">
        <x:v>A03</x:v>
      </x:c>
      <x:c r="B8" s="70" t="str">
        <x:v>基本背景</x:v>
      </x:c>
      <x:c r="C8" s="70" t="str">
        <x:v>关系阶段更接近哪一类？</x:v>
      </x:c>
      <x:c r="D8" s="70" t="str">
        <x:v>关系阶段</x:v>
      </x:c>
      <x:c r="E8" s="70" t="str">
        <x:v>初识／稳定／异地高负荷／同居婚姻／修复／结束</x:v>
      </x:c>
    </x:row>
    <x:row r="9">
      <x:c r="A9" s="70" t="str">
        <x:v>A04</x:v>
      </x:c>
      <x:c r="B9" s="70" t="str">
        <x:v>基本背景</x:v>
      </x:c>
      <x:c r="C9" s="70" t="str">
        <x:v>这段关系目前是否仍在继续？</x:v>
      </x:c>
      <x:c r="D9" s="70" t="str">
        <x:v>案例状态</x:v>
      </x:c>
      <x:c r="E9" s="70" t="str">
        <x:v>只记录状态，不推测原因</x:v>
      </x:c>
    </x:row>
    <x:row r="10">
      <x:c r="A10" s="70" t="str">
        <x:v>A05</x:v>
      </x:c>
      <x:c r="B10" s="70" t="str">
        <x:v>基本背景</x:v>
      </x:c>
      <x:c r="C10" s="70" t="str">
        <x:v>资料主要来自哪些来源？</x:v>
      </x:c>
      <x:c r="D10" s="70" t="str">
        <x:v>资料来源</x:v>
      </x:c>
      <x:c r="E10" s="70" t="str">
        <x:v>单方详细／双方反馈／记录／客观安排／多来源</x:v>
      </x:c>
    </x:row>
    <x:row r="11">
      <x:c r="A11" s="70" t="str">
        <x:v>B01</x:v>
      </x:c>
      <x:c r="B11" s="70" t="str">
        <x:v>日常行为</x:v>
      </x:c>
      <x:c r="C11" s="70" t="str">
        <x:v>描述一个最能代表对方平时如何回应、承担或支持你的具体事件。</x:v>
      </x:c>
      <x:c r="D11" s="70" t="str">
        <x:v>PARTNER／EXCHANGE</x:v>
      </x:c>
      <x:c r="E11" s="70" t="str">
        <x:v>写发生了什么，不写人格标签</x:v>
      </x:c>
    </x:row>
    <x:row r="12">
      <x:c r="A12" s="70" t="str">
        <x:v>B02</x:v>
      </x:c>
      <x:c r="B12" s="70" t="str">
        <x:v>日常行为</x:v>
      </x:c>
      <x:c r="C12" s="70" t="str">
        <x:v>在该事件中，你提出什么需要？对方具体做了什么？</x:v>
      </x:c>
      <x:c r="D12" s="70" t="str">
        <x:v>EXCHANGE</x:v>
      </x:c>
      <x:c r="E12" s="70" t="str">
        <x:v>区分请求、回应、接收和回馈</x:v>
      </x:c>
    </x:row>
    <x:row r="13">
      <x:c r="A13" s="70" t="str">
        <x:v>B03</x:v>
      </x:c>
      <x:c r="B13" s="70" t="str">
        <x:v>日常行为</x:v>
      </x:c>
      <x:c r="C13" s="70" t="str">
        <x:v>类似行为是否在其他场景重复？请再举一个不同表现或反例。</x:v>
      </x:c>
      <x:c r="D13" s="70" t="str">
        <x:v>PV／XV／反例</x:v>
      </x:c>
      <x:c r="E13" s="70" t="str">
        <x:v>主动找反例</x:v>
      </x:c>
    </x:row>
    <x:row r="14">
      <x:c r="A14" s="70" t="str">
        <x:v>C01</x:v>
      </x:c>
      <x:c r="B14" s="70" t="str">
        <x:v>边界决定</x:v>
      </x:c>
      <x:c r="C14" s="70" t="str">
        <x:v>描述一次双方意见不同或需共同决定的事件。谁获得信息、参与决定、可以暂停？</x:v>
      </x:c>
      <x:c r="D14" s="70" t="str">
        <x:v>BOUND</x:v>
      </x:c>
      <x:c r="E14" s="70" t="str">
        <x:v>记录决定过程</x:v>
      </x:c>
    </x:row>
    <x:row r="15">
      <x:c r="A15" s="70" t="str">
        <x:v>C02</x:v>
      </x:c>
      <x:c r="B15" s="70" t="str">
        <x:v>边界决定</x:v>
      </x:c>
      <x:c r="C15" s="70" t="str">
        <x:v>你拒绝、撤回或改变主意时，对方具体怎样回应？</x:v>
      </x:c>
      <x:c r="D15" s="70" t="str">
        <x:v>RG01／RG07／BV</x:v>
      </x:c>
      <x:c r="E15" s="70" t="str">
        <x:v>安全优先</x:v>
      </x:c>
    </x:row>
    <x:row r="16">
      <x:c r="A16" s="70" t="str">
        <x:v>C03</x:v>
      </x:c>
      <x:c r="B16" s="70" t="str">
        <x:v>边界决定</x:v>
      </x:c>
      <x:c r="C16" s="70" t="str">
        <x:v>金钱、隐私、手机、位置、朋友、个人时间或家庭介入中，哪些规则清楚？</x:v>
      </x:c>
      <x:c r="D16" s="70" t="str">
        <x:v>BOUND／RG05／RG07</x:v>
      </x:c>
      <x:c r="E16" s="70" t="str">
        <x:v>不需提供隐私内容</x:v>
      </x:c>
    </x:row>
    <x:row r="17">
      <x:c r="A17" s="70" t="str">
        <x:v>D01</x:v>
      </x:c>
      <x:c r="B17" s="70" t="str">
        <x:v>冲突修复</x:v>
      </x:c>
      <x:c r="C17" s="70" t="str">
        <x:v>描述一次较完整的分歧：事实、影响和责任分别是什么？</x:v>
      </x:c>
      <x:c r="D17" s="70" t="str">
        <x:v>REPAIR</x:v>
      </x:c>
      <x:c r="E17" s="70" t="str">
        <x:v>事实与影响分开</x:v>
      </x:c>
    </x:row>
    <x:row r="18">
      <x:c r="A18" s="70" t="str">
        <x:v>D02</x:v>
      </x:c>
      <x:c r="B18" s="70" t="str">
        <x:v>冲突修复</x:v>
      </x:c>
      <x:c r="C18" s="70" t="str">
        <x:v>道歉、解释、补救、边界重订和后续改变发生了哪些？</x:v>
      </x:c>
      <x:c r="D18" s="70" t="str">
        <x:v>RO05—RO10</x:v>
      </x:c>
      <x:c r="E18" s="70" t="str">
        <x:v>未发生则写无</x:v>
      </x:c>
    </x:row>
    <x:row r="19">
      <x:c r="A19" s="70" t="str">
        <x:v>D03</x:v>
      </x:c>
      <x:c r="B19" s="70" t="str">
        <x:v>冲突修复</x:v>
      </x:c>
      <x:c r="C19" s="70" t="str">
        <x:v>接收方能否说“无效、不够或不接受”？方案是否调整？</x:v>
      </x:c>
      <x:c r="D19" s="70" t="str">
        <x:v>RO07</x:v>
      </x:c>
      <x:c r="E19" s="70" t="str">
        <x:v>双向闭环硬门槛</x:v>
      </x:c>
    </x:row>
    <x:row r="20">
      <x:c r="A20" s="70" t="str">
        <x:v>D04</x:v>
      </x:c>
      <x:c r="B20" s="70" t="str">
        <x:v>冲突修复</x:v>
      </x:c>
      <x:c r="C20" s="70" t="str">
        <x:v>类似问题是否复发？旧方案是否升级？</x:v>
      </x:c>
      <x:c r="D20" s="70" t="str">
        <x:v>FV6／FV7</x:v>
      </x:c>
      <x:c r="E20" s="70" t="str">
        <x:v>用于持续兑现</x:v>
      </x:c>
    </x:row>
    <x:row r="21">
      <x:c r="A21" s="70" t="str">
        <x:v>E01</x:v>
      </x:c>
      <x:c r="B21" s="70" t="str">
        <x:v>节奏负荷</x:v>
      </x:c>
      <x:c r="C21" s="70" t="str">
        <x:v>平时联系、见面、共同时间和个人时间怎样安排？</x:v>
      </x:c>
      <x:c r="D21" s="70" t="str">
        <x:v>RHYTHM</x:v>
      </x:c>
      <x:c r="E21" s="70" t="str">
        <x:v>可预测性高于绝对频率</x:v>
      </x:c>
    </x:row>
    <x:row r="22">
      <x:c r="A22" s="70" t="str">
        <x:v>E02</x:v>
      </x:c>
      <x:c r="B22" s="70" t="str">
        <x:v>节奏负荷</x:v>
      </x:c>
      <x:c r="C22" s="70" t="str">
        <x:v>工作、金钱、家庭、健康或距离压力增加时，节奏如何变化？</x:v>
      </x:c>
      <x:c r="D22" s="70" t="str">
        <x:v>HV5／PH04</x:v>
      </x:c>
      <x:c r="E22" s="70" t="str">
        <x:v>阶段性与永久性分开</x:v>
      </x:c>
    </x:row>
    <x:row r="23">
      <x:c r="A23" s="70" t="str">
        <x:v>E03</x:v>
      </x:c>
      <x:c r="B23" s="70" t="str">
        <x:v>节奏负荷</x:v>
      </x:c>
      <x:c r="C23" s="70" t="str">
        <x:v>压力结束后，是否恢复联系、共同时间、亲密和计划？</x:v>
      </x:c>
      <x:c r="D23" s="70" t="str">
        <x:v>HV6／HO08</x:v>
      </x:c>
      <x:c r="E23" s="70" t="str">
        <x:v>分阶段记录</x:v>
      </x:c>
    </x:row>
    <x:row r="24">
      <x:c r="A24" s="70" t="str">
        <x:v>F01</x:v>
      </x:c>
      <x:c r="B24" s="70" t="str">
        <x:v>现实门槛</x:v>
      </x:c>
      <x:c r="C24" s="70" t="str">
        <x:v>双方对关系定义、排他性和长期承诺是否一致？</x:v>
      </x:c>
      <x:c r="D24" s="70" t="str">
        <x:v>RG02</x:v>
      </x:c>
      <x:c r="E24" s="70" t="str">
        <x:v>pass／conditional／fail／unknown</x:v>
      </x:c>
    </x:row>
    <x:row r="25">
      <x:c r="A25" s="70" t="str">
        <x:v>F02</x:v>
      </x:c>
      <x:c r="B25" s="70" t="str">
        <x:v>现实门槛</x:v>
      </x:c>
      <x:c r="C25" s="70" t="str">
        <x:v>生活方式、职业、地域和长期人生目标是否一致或可协调？</x:v>
      </x:c>
      <x:c r="D25" s="70" t="str">
        <x:v>RG03／RG04</x:v>
      </x:c>
      <x:c r="E25" s="70" t="str">
        <x:v>写具体条件</x:v>
      </x:c>
    </x:row>
    <x:row r="26">
      <x:c r="A26" s="70" t="str">
        <x:v>F03</x:v>
      </x:c>
      <x:c r="B26" s="70" t="str">
        <x:v>现实门槛</x:v>
      </x:c>
      <x:c r="C26" s="70" t="str">
        <x:v>金钱、债务、家务、工作和照护责任是否透明、可协商？</x:v>
      </x:c>
      <x:c r="D26" s="70" t="str">
        <x:v>RG05</x:v>
      </x:c>
      <x:c r="E26" s="70" t="str">
        <x:v>记录实际分工</x:v>
      </x:c>
    </x:row>
    <x:row r="27">
      <x:c r="A27" s="70" t="str">
        <x:v>F04</x:v>
      </x:c>
      <x:c r="B27" s="70" t="str">
        <x:v>现实门槛</x:v>
      </x:c>
      <x:c r="C27" s="70" t="str">
        <x:v>婚姻、生育、子女、养老和原生家庭责任是否一致？</x:v>
      </x:c>
      <x:c r="D27" s="70" t="str">
        <x:v>RG06</x:v>
      </x:c>
      <x:c r="E27" s="70" t="str">
        <x:v>核心方向冲突单独记录</x:v>
      </x:c>
    </x:row>
    <x:row r="28">
      <x:c r="A28" s="70" t="str">
        <x:v>F05</x:v>
      </x:c>
      <x:c r="B28" s="70" t="str">
        <x:v>现实门槛</x:v>
      </x:c>
      <x:c r="C28" s="70" t="str">
        <x:v>身体、性、健康、医疗、隐私和公开边界是否得到同意？</x:v>
      </x:c>
      <x:c r="D28" s="70" t="str">
        <x:v>RG07</x:v>
      </x:c>
      <x:c r="E28" s="70" t="str">
        <x:v>安全失败立即停止普通分析</x:v>
      </x:c>
    </x:row>
    <x:row r="29">
      <x:c r="A29" s="70" t="str">
        <x:v>F06</x:v>
      </x:c>
      <x:c r="B29" s="70" t="str">
        <x:v>现实门槛</x:v>
      </x:c>
      <x:c r="C29" s="70" t="str">
        <x:v>出现问题时，双方是否愿意承担、反馈、改变和回访？</x:v>
      </x:c>
      <x:c r="D29" s="70" t="str">
        <x:v>RG08</x:v>
      </x:c>
      <x:c r="E29" s="70" t="str">
        <x:v>持续拒绝修复不进入FG3</x:v>
      </x:c>
    </x:row>
    <x:row r="30">
      <x:c r="A30" s="70" t="str">
        <x:v>G01</x:v>
      </x:c>
      <x:c r="B30" s="70" t="str">
        <x:v>总体反馈</x:v>
      </x:c>
      <x:c r="C30" s="70" t="str">
        <x:v>原分析中最准确的一点是什么？请用现实事件说明。</x:v>
      </x:c>
      <x:c r="D30" s="70" t="str">
        <x:v>支持案例</x:v>
      </x:c>
      <x:c r="E30" s="70" t="str">
        <x:v>不能只写“很准”</x:v>
      </x:c>
    </x:row>
    <x:row r="31">
      <x:c r="A31" s="70" t="str">
        <x:v>G02</x:v>
      </x:c>
      <x:c r="B31" s="70" t="str">
        <x:v>总体反馈</x:v>
      </x:c>
      <x:c r="C31" s="70" t="str">
        <x:v>原分析中最不准确或长期没有出现的一点是什么？</x:v>
      </x:c>
      <x:c r="D31" s="70" t="str">
        <x:v>反例</x:v>
      </x:c>
      <x:c r="E31" s="70" t="str">
        <x:v>反例优先</x:v>
      </x:c>
    </x:row>
    <x:row r="32">
      <x:c r="A32" s="70" t="str">
        <x:v>G03</x:v>
      </x:c>
      <x:c r="B32" s="70" t="str">
        <x:v>总体反馈</x:v>
      </x:c>
      <x:c r="C32" s="70" t="str">
        <x:v>哪些表述容易理解？哪些太笼统、绝对或让人误解？</x:v>
      </x:c>
      <x:c r="D32" s="70" t="str">
        <x:v>语言校准</x:v>
      </x:c>
      <x:c r="E32" s="70" t="str">
        <x:v>用于改写</x:v>
      </x:c>
    </x:row>
    <x:row r="33">
      <x:c r="A33" s="212" t="str">
        <x:v>G04</x:v>
      </x:c>
      <x:c r="B33" s="212" t="str">
        <x:v>总体反馈</x:v>
      </x:c>
      <x:c r="C33" s="212" t="str">
        <x:v>是否有任何内容不愿用于统计？</x:v>
      </x:c>
      <x:c r="D33" s="212" t="str">
        <x:v>隐私排除</x:v>
      </x:c>
      <x:c r="E33" s="212" t="str">
        <x:v>可随时撤回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74725128cb3e423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18" hidden="0" customWidth="1"/>
    <x:col min="10" max="10" width="18" hidden="0" customWidth="1"/>
    <x:col min="11" max="11" width="16" hidden="0" customWidth="1"/>
    <x:col min="12" max="12" width="22" hidden="0" customWidth="1"/>
    <x:col min="13" max="13" width="22" hidden="0" customWidth="1"/>
    <x:col min="14" max="14" width="16" hidden="0" customWidth="1"/>
    <x:col min="15" max="15" width="12" hidden="0" customWidth="1"/>
    <x:col min="16" max="16" width="10" hidden="0" customWidth="1"/>
  </x:cols>
  <x:sheetData>
    <x:row r="1">
      <x:c r="A1" s="199" t="str">
        <x:v>M5-CALIBRATION 下拉值与字段词典</x:v>
      </x:c>
      <x:c r="B1" s="199"/>
      <x:c r="C1" s="199"/>
      <x:c r="D1" s="199"/>
      <x:c r="E1" s="199"/>
      <x:c r="F1" s="199"/>
      <x:c r="G1" s="199"/>
      <x:c r="H1" s="199"/>
      <x:c r="I1" s="199"/>
      <x:c r="J1" s="199"/>
      <x:c r="K1" s="199"/>
      <x:c r="L1" s="199"/>
      <x:c r="M1" s="199"/>
      <x:c r="N1" s="199"/>
      <x:c r="O1" s="199"/>
      <x:c r="P1" s="199"/>
      <x:c r="Q1" s="199"/>
    </x:row>
    <x:row r="2">
      <x:c r="A2" s="199"/>
      <x:c r="B2" s="199"/>
      <x:c r="C2" s="199"/>
      <x:c r="D2" s="199"/>
      <x:c r="E2" s="199"/>
      <x:c r="F2" s="199"/>
      <x:c r="G2" s="199"/>
      <x:c r="H2" s="199"/>
      <x:c r="I2" s="199"/>
      <x:c r="J2" s="199"/>
      <x:c r="K2" s="199"/>
      <x:c r="L2" s="199"/>
      <x:c r="M2" s="199"/>
      <x:c r="N2" s="199"/>
      <x:c r="O2" s="199"/>
      <x:c r="P2" s="199"/>
      <x:c r="Q2" s="199"/>
    </x:row>
    <x:row r="3">
      <x:c r="A3" s="204" t="str">
        <x:v>供人工录入、数据验证和后续程序导入统一使用。</x:v>
      </x:c>
      <x:c r="B3" s="204"/>
      <x:c r="C3" s="204"/>
      <x:c r="D3" s="204"/>
      <x:c r="E3" s="204"/>
      <x:c r="F3" s="204"/>
      <x:c r="G3" s="204"/>
      <x:c r="H3" s="204"/>
      <x:c r="I3" s="204"/>
      <x:c r="J3" s="204"/>
      <x:c r="K3" s="204"/>
      <x:c r="L3" s="204"/>
      <x:c r="M3" s="204"/>
      <x:c r="N3" s="204"/>
      <x:c r="O3" s="204"/>
      <x:c r="P3" s="204"/>
      <x:c r="Q3" s="204"/>
    </x:row>
    <x:row r="5">
      <x:c r="A5" s="209" t="str">
        <x:v>set_split</x:v>
      </x:c>
      <x:c r="B5" s="209" t="str">
        <x:v>relationship_stage</x:v>
      </x:c>
      <x:c r="C5" s="209" t="str">
        <x:v>case_type</x:v>
      </x:c>
      <x:c r="D5" s="209" t="str">
        <x:v>case_status</x:v>
      </x:c>
      <x:c r="E5" s="209" t="str">
        <x:v>safety_state</x:v>
      </x:c>
      <x:c r="F5" s="209" t="str">
        <x:v>match_level</x:v>
      </x:c>
      <x:c r="G5" s="209" t="str">
        <x:v>rule_outcome</x:v>
      </x:c>
      <x:c r="H5" s="209" t="str">
        <x:v>severity</x:v>
      </x:c>
      <x:c r="I5" s="209" t="str">
        <x:v>counter_strength</x:v>
      </x:c>
      <x:c r="J5" s="209" t="str">
        <x:v>RG_status</x:v>
      </x:c>
      <x:c r="K5" s="209" t="str">
        <x:v>confidence</x:v>
      </x:c>
      <x:c r="L5" s="209" t="str">
        <x:v>change_status</x:v>
      </x:c>
      <x:c r="M5" s="209" t="str">
        <x:v>rule_status</x:v>
      </x:c>
      <x:c r="N5" s="209" t="str">
        <x:v>module</x:v>
      </x:c>
      <x:c r="O5" s="209" t="str">
        <x:v>AF</x:v>
      </x:c>
      <x:c r="P5" s="209" t="str">
        <x:v>FG</x:v>
      </x:c>
    </x:row>
    <x:row r="6">
      <x:c r="A6" s="70" t="str">
        <x:v>开发集</x:v>
      </x:c>
      <x:c r="B6" s="70" t="str">
        <x:v>初识／约会</x:v>
      </x:c>
      <x:c r="C6" s="70" t="str">
        <x:v>正向</x:v>
      </x:c>
      <x:c r="D6" s="70" t="str">
        <x:v>待录入</x:v>
      </x:c>
      <x:c r="E6" s="70" t="str">
        <x:v>通过</x:v>
      </x:c>
      <x:c r="F6" s="70" t="str">
        <x:v>完全支持</x:v>
      </x:c>
      <x:c r="G6" s="70" t="str">
        <x:v>支持</x:v>
      </x:c>
      <x:c r="H6" s="70" t="str">
        <x:v>安全</x:v>
      </x:c>
      <x:c r="I6" s="70" t="str">
        <x:v>无</x:v>
      </x:c>
      <x:c r="J6" s="70" t="str">
        <x:v>pass</x:v>
      </x:c>
      <x:c r="K6" s="70" t="str">
        <x:v>高</x:v>
      </x:c>
      <x:c r="L6" s="70" t="str">
        <x:v>待提出</x:v>
      </x:c>
      <x:c r="M6" s="70" t="str">
        <x:v>待验证</x:v>
      </x:c>
      <x:c r="N6" s="70" t="str">
        <x:v>BASE</x:v>
      </x:c>
      <x:c r="O6" s="70" t="str">
        <x:v>AF01</x:v>
      </x:c>
      <x:c r="P6" s="70" t="str">
        <x:v>FG0</x:v>
      </x:c>
    </x:row>
    <x:row r="7">
      <x:c r="A7" s="70" t="str">
        <x:v>留出集</x:v>
      </x:c>
      <x:c r="B7" s="70" t="str">
        <x:v>稳定交往</x:v>
      </x:c>
      <x:c r="C7" s="70" t="str">
        <x:v>混合</x:v>
      </x:c>
      <x:c r="D7" s="70" t="str">
        <x:v>预测待冻结</x:v>
      </x:c>
      <x:c r="E7" s="70" t="str">
        <x:v>需核验</x:v>
      </x:c>
      <x:c r="F7" s="70" t="str">
        <x:v>基本支持</x:v>
      </x:c>
      <x:c r="G7" s="70" t="str">
        <x:v>基本支持</x:v>
      </x:c>
      <x:c r="H7" s="70" t="str">
        <x:v>核心</x:v>
      </x:c>
      <x:c r="I7" s="70" t="str">
        <x:v>弱</x:v>
      </x:c>
      <x:c r="J7" s="70" t="str">
        <x:v>conditional</x:v>
      </x:c>
      <x:c r="K7" s="70" t="str">
        <x:v>中高</x:v>
      </x:c>
      <x:c r="L7" s="70" t="str">
        <x:v>开发集候选</x:v>
      </x:c>
      <x:c r="M7" s="70" t="str">
        <x:v>样本不足</x:v>
      </x:c>
      <x:c r="N7" s="70" t="str">
        <x:v>PARTNER</x:v>
      </x:c>
      <x:c r="O7" s="70" t="str">
        <x:v>AF02</x:v>
      </x:c>
      <x:c r="P7" s="70" t="str">
        <x:v>FG1</x:v>
      </x:c>
    </x:row>
    <x:row r="8">
      <x:c r="A8" s="70" t="str">
        <x:v>不纳入</x:v>
      </x:c>
      <x:c r="B8" s="70" t="str">
        <x:v>异地／高负荷</x:v>
      </x:c>
      <x:c r="C8" s="70" t="str">
        <x:v>反例</x:v>
      </x:c>
      <x:c r="D8" s="70" t="str">
        <x:v>反馈待收集</x:v>
      </x:c>
      <x:c r="E8" s="70" t="str">
        <x:v>安全停止</x:v>
      </x:c>
      <x:c r="F8" s="70" t="str">
        <x:v>部分支持</x:v>
      </x:c>
      <x:c r="G8" s="70" t="str">
        <x:v>部分支持</x:v>
      </x:c>
      <x:c r="H8" s="70" t="str">
        <x:v>重大</x:v>
      </x:c>
      <x:c r="I8" s="70" t="str">
        <x:v>中</x:v>
      </x:c>
      <x:c r="J8" s="70" t="str">
        <x:v>fail</x:v>
      </x:c>
      <x:c r="K8" s="70" t="str">
        <x:v>中</x:v>
      </x:c>
      <x:c r="L8" s="70" t="str">
        <x:v>待回归测试</x:v>
      </x:c>
      <x:c r="M8" s="70" t="str">
        <x:v>探索中</x:v>
      </x:c>
      <x:c r="N8" s="70" t="str">
        <x:v>EXCHANGE</x:v>
      </x:c>
      <x:c r="O8" s="70" t="str">
        <x:v>AF03</x:v>
      </x:c>
      <x:c r="P8" s="70" t="str">
        <x:v>FG2</x:v>
      </x:c>
    </x:row>
    <x:row r="9">
      <x:c r="A9" s="70" t="str"/>
      <x:c r="B9" s="70" t="str">
        <x:v>同居／婚姻</x:v>
      </x:c>
      <x:c r="C9" s="70" t="str">
        <x:v>安全停止</x:v>
      </x:c>
      <x:c r="D9" s="70" t="str">
        <x:v>待标注</x:v>
      </x:c>
      <x:c r="E9" s="70" t="str"/>
      <x:c r="F9" s="70" t="str">
        <x:v>相邻但不同</x:v>
      </x:c>
      <x:c r="G9" s="70" t="str">
        <x:v>相邻但不同</x:v>
      </x:c>
      <x:c r="H9" s="70" t="str">
        <x:v>一般</x:v>
      </x:c>
      <x:c r="I9" s="70" t="str">
        <x:v>强</x:v>
      </x:c>
      <x:c r="J9" s="70" t="str">
        <x:v>unknown</x:v>
      </x:c>
      <x:c r="K9" s="70" t="str">
        <x:v>中低</x:v>
      </x:c>
      <x:c r="L9" s="70" t="str">
        <x:v>待留出集</x:v>
      </x:c>
      <x:c r="M9" s="70" t="str">
        <x:v>初步支持</x:v>
      </x:c>
      <x:c r="N9" s="70" t="str">
        <x:v>BOUND</x:v>
      </x:c>
      <x:c r="O9" s="70" t="str">
        <x:v>AF04</x:v>
      </x:c>
      <x:c r="P9" s="70" t="str">
        <x:v>FG3</x:v>
      </x:c>
    </x:row>
    <x:row r="10">
      <x:c r="A10" s="70" t="str"/>
      <x:c r="B10" s="70" t="str">
        <x:v>修复期</x:v>
      </x:c>
      <x:c r="C10" s="70" t="str">
        <x:v>资料练习</x:v>
      </x:c>
      <x:c r="D10" s="70" t="str">
        <x:v>待复核</x:v>
      </x:c>
      <x:c r="E10" s="70" t="str"/>
      <x:c r="F10" s="70" t="str">
        <x:v>反例</x:v>
      </x:c>
      <x:c r="G10" s="70" t="str">
        <x:v>反例</x:v>
      </x:c>
      <x:c r="H10" s="70" t="str">
        <x:v>轻微</x:v>
      </x:c>
      <x:c r="I10" s="70" t="str">
        <x:v>安全</x:v>
      </x:c>
      <x:c r="J10" s="70" t="str">
        <x:v>not_assessed</x:v>
      </x:c>
      <x:c r="K10" s="70" t="str">
        <x:v>低</x:v>
      </x:c>
      <x:c r="L10" s="70" t="str">
        <x:v>留出集通过</x:v>
      </x:c>
      <x:c r="M10" s="70" t="str">
        <x:v>稳定支持候选</x:v>
      </x:c>
      <x:c r="N10" s="70" t="str">
        <x:v>REPAIR</x:v>
      </x:c>
      <x:c r="O10" s="70" t="str">
        <x:v>AF05</x:v>
      </x:c>
      <x:c r="P10" s="70" t="str">
        <x:v>FG4</x:v>
      </x:c>
    </x:row>
    <x:row r="11">
      <x:c r="A11" s="70" t="str"/>
      <x:c r="B11" s="70" t="str">
        <x:v>关系已结束</x:v>
      </x:c>
      <x:c r="C11" s="70" t="str"/>
      <x:c r="D11" s="70" t="str">
        <x:v>已评估</x:v>
      </x:c>
      <x:c r="E11" s="70" t="str"/>
      <x:c r="F11" s="70" t="str">
        <x:v>不可评估</x:v>
      </x:c>
      <x:c r="G11" s="70" t="str">
        <x:v>不可评估</x:v>
      </x:c>
      <x:c r="H11" s="70" t="str"/>
      <x:c r="I11" s="70" t="str"/>
      <x:c r="J11" s="70" t="str"/>
      <x:c r="K11" s="70" t="str">
        <x:v>不适用</x:v>
      </x:c>
      <x:c r="L11" s="70" t="str">
        <x:v>留出集失败</x:v>
      </x:c>
      <x:c r="M11" s="70" t="str">
        <x:v>需修改</x:v>
      </x:c>
      <x:c r="N11" s="70" t="str">
        <x:v>RHYTHM</x:v>
      </x:c>
      <x:c r="O11" s="70" t="str">
        <x:v>AF06</x:v>
      </x:c>
      <x:c r="P11" s="70" t="str"/>
    </x:row>
    <x:row r="12">
      <x:c r="A12" s="70" t="str"/>
      <x:c r="B12" s="70" t="str">
        <x:v>其他</x:v>
      </x:c>
      <x:c r="C12" s="70" t="str"/>
      <x:c r="D12" s="70" t="str">
        <x:v>暂不纳入</x:v>
      </x:c>
      <x:c r="E12" s="70" t="str"/>
      <x:c r="F12" s="70" t="str"/>
      <x:c r="G12" s="70" t="str"/>
      <x:c r="H12" s="70" t="str"/>
      <x:c r="I12" s="70" t="str"/>
      <x:c r="J12" s="70" t="str"/>
      <x:c r="K12" s="70" t="str"/>
      <x:c r="L12" s="70" t="str">
        <x:v>已发布</x:v>
      </x:c>
      <x:c r="M12" s="70" t="str">
        <x:v>停用候选</x:v>
      </x:c>
      <x:c r="N12" s="70" t="str">
        <x:v>GAP</x:v>
      </x:c>
      <x:c r="O12" s="70" t="str">
        <x:v>AF07</x:v>
      </x:c>
      <x:c r="P12" s="70" t="str"/>
    </x:row>
    <x:row r="13">
      <x:c r="A13" s="70" t="str"/>
      <x:c r="B13" s="70" t="str"/>
      <x:c r="C13" s="70" t="str"/>
      <x:c r="D13" s="70" t="str">
        <x:v>安全停止</x:v>
      </x:c>
      <x:c r="E13" s="70" t="str"/>
      <x:c r="F13" s="70" t="str"/>
      <x:c r="G13" s="70" t="str"/>
      <x:c r="H13" s="70" t="str"/>
      <x:c r="I13" s="70" t="str"/>
      <x:c r="J13" s="70" t="str"/>
      <x:c r="K13" s="70" t="str"/>
      <x:c r="L13" s="70" t="str">
        <x:v>已拒绝</x:v>
      </x:c>
      <x:c r="M13" s="70" t="str">
        <x:v>停用</x:v>
      </x:c>
      <x:c r="N13" s="70" t="str">
        <x:v>SYNTH</x:v>
      </x:c>
      <x:c r="O13" s="70" t="str">
        <x:v>AF08</x:v>
      </x:c>
      <x:c r="P13" s="70" t="str"/>
    </x:row>
    <x:row r="14">
      <x:c r="A14" s="70" t="str"/>
      <x:c r="B14" s="70" t="str"/>
      <x:c r="C14" s="70" t="str"/>
      <x:c r="D14" s="70" t="str"/>
      <x:c r="E14" s="70" t="str"/>
      <x:c r="F14" s="70" t="str"/>
      <x:c r="G14" s="70" t="str"/>
      <x:c r="H14" s="70" t="str"/>
      <x:c r="I14" s="70" t="str"/>
      <x:c r="J14" s="70" t="str"/>
      <x:c r="K14" s="70" t="str"/>
      <x:c r="L14" s="70" t="str"/>
      <x:c r="M14" s="70" t="str">
        <x:v>安全审查</x:v>
      </x:c>
      <x:c r="N14" s="70" t="str">
        <x:v>RG</x:v>
      </x:c>
      <x:c r="O14" s="70" t="str">
        <x:v>AF09</x:v>
      </x:c>
      <x:c r="P14" s="70" t="str"/>
    </x:row>
    <x:row r="15">
      <x:c r="A15" s="212" t="str"/>
      <x:c r="B15" s="212" t="str"/>
      <x:c r="C15" s="212" t="str"/>
      <x:c r="D15" s="212" t="str"/>
      <x:c r="E15" s="212" t="str"/>
      <x:c r="F15" s="212" t="str"/>
      <x:c r="G15" s="212" t="str"/>
      <x:c r="H15" s="212" t="str"/>
      <x:c r="I15" s="212" t="str"/>
      <x:c r="J15" s="212" t="str"/>
      <x:c r="K15" s="212" t="str"/>
      <x:c r="L15" s="212" t="str"/>
      <x:c r="M15" s="212" t="str"/>
      <x:c r="N15" s="212" t="str">
        <x:v>REPORT</x:v>
      </x:c>
      <x:c r="O15" s="212" t="str"/>
      <x:c r="P15" s="212" t="str"/>
    </x:row>
    <x:row r="20">
      <x:c r="A20" s="209" t="str">
        <x:v>字段</x:v>
      </x:c>
      <x:c r="B20" s="209" t="str">
        <x:v>定义</x:v>
      </x:c>
    </x:row>
    <x:row r="21">
      <x:c r="A21" s="70" t="str">
        <x:v>case_id</x:v>
      </x:c>
      <x:c r="B21" s="70" t="str">
        <x:v>匿名案例唯一编号</x:v>
      </x:c>
    </x:row>
    <x:row r="22">
      <x:c r="A22" s="70" t="str">
        <x:v>event_id</x:v>
      </x:c>
      <x:c r="B22" s="70" t="str">
        <x:v>关系事件唯一编号</x:v>
      </x:c>
    </x:row>
    <x:row r="23">
      <x:c r="A23" s="70" t="str">
        <x:v>eval_id</x:v>
      </x:c>
      <x:c r="B23" s="70" t="str">
        <x:v>字段核验唯一编号</x:v>
      </x:c>
    </x:row>
    <x:row r="24">
      <x:c r="A24" s="70" t="str">
        <x:v>rule_id</x:v>
      </x:c>
      <x:c r="B24" s="70" t="str">
        <x:v>V0.9规则唯一编号</x:v>
      </x:c>
    </x:row>
    <x:row r="25">
      <x:c r="A25" s="70" t="str">
        <x:v>set_split</x:v>
      </x:c>
      <x:c r="B25" s="70" t="str">
        <x:v>开发集、留出集或不纳入</x:v>
      </x:c>
    </x:row>
    <x:row r="26">
      <x:c r="A26" s="70" t="str">
        <x:v>prediction_frozen</x:v>
      </x:c>
      <x:c r="B26" s="70" t="str">
        <x:v>反馈前是否已冻结预测</x:v>
      </x:c>
    </x:row>
    <x:row r="27">
      <x:c r="A27" s="70" t="str">
        <x:v>gold_value</x:v>
      </x:c>
      <x:c r="B27" s="70" t="str">
        <x:v>独立现实金标准</x:v>
      </x:c>
    </x:row>
    <x:row r="28">
      <x:c r="A28" s="70" t="str">
        <x:v>match_level</x:v>
      </x:c>
      <x:c r="B28" s="70" t="str">
        <x:v>预测与金标准的一致层级</x:v>
      </x:c>
    </x:row>
    <x:row r="29">
      <x:c r="A29" s="70" t="str">
        <x:v>evidence_overreach</x:v>
      </x:c>
      <x:c r="B29" s="70" t="str">
        <x:v>预测证据层是否高于现实层</x:v>
      </x:c>
    </x:row>
    <x:row r="30">
      <x:c r="A30" s="70" t="str">
        <x:v>safety_miss</x:v>
      </x:c>
      <x:c r="B30" s="70" t="str">
        <x:v>是否漏掉安全停止</x:v>
      </x:c>
    </x:row>
    <x:row r="31">
      <x:c r="A31" s="70" t="str">
        <x:v>counterexample_strength</x:v>
      </x:c>
      <x:c r="B31" s="70" t="str">
        <x:v>弱、中、强或安全级反例</x:v>
      </x:c>
    </x:row>
    <x:row r="32">
      <x:c r="A32" s="70" t="str">
        <x:v>weighted_consistency</x:v>
      </x:c>
      <x:c r="B32" s="70" t="str">
        <x:v>完全1、基本0.75、部分0.5、相邻0.25、反例0</x:v>
      </x:c>
    </x:row>
    <x:row r="33">
      <x:c r="A33" s="70" t="str">
        <x:v>development_score</x:v>
      </x:c>
      <x:c r="B33" s="70" t="str">
        <x:v>开发集一致度</x:v>
      </x:c>
    </x:row>
    <x:row r="34">
      <x:c r="A34" s="70" t="str">
        <x:v>holdout_score</x:v>
      </x:c>
      <x:c r="B34" s="70" t="str">
        <x:v>留出集一致度</x:v>
      </x:c>
    </x:row>
    <x:row r="35">
      <x:c r="A35" s="70" t="str">
        <x:v>change_id</x:v>
      </x:c>
      <x:c r="B35" s="70" t="str">
        <x:v>所有修改的唯一编号</x:v>
      </x:c>
    </x:row>
    <x:row r="36">
      <x:c r="A36" s="212" t="str">
        <x:v>baseline_hash</x:v>
      </x:c>
      <x:c r="B36" s="212" t="str">
        <x:v>冻结基线的SHA-256</x:v>
      </x:c>
    </x:row>
  </x:sheetData>
  <x:mergeCells>
    <x:mergeCell ref="A1:Q2"/>
    <x:mergeCell ref="A3:Q3"/>
  </x:mergeCells>
  <x:pageMargins left="0.7" right="0.7" top="0.75" bottom="0.75" header="0.3" footer="0.3"/>
  <x:tableParts count="2">
    <x:tablePart xmlns:r="http://schemas.openxmlformats.org/officeDocument/2006/relationships" r:id="R5ffc317bd6a942d5"/>
    <x:tablePart xmlns:r="http://schemas.openxmlformats.org/officeDocument/2006/relationships" r:id="Rb2198bb40dd74ac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4" hidden="0" customWidth="1"/>
    <x:col min="3" max="3" width="76" hidden="0" customWidth="1"/>
    <x:col min="4" max="4" width="44" hidden="0" customWidth="1"/>
  </x:cols>
  <x:sheetData>
    <x:row r="1">
      <x:c r="A1" s="199" t="str">
        <x:v>现实金标准、盲复核与统计口径</x:v>
      </x:c>
      <x:c r="B1" s="199"/>
      <x:c r="C1" s="199"/>
      <x:c r="D1" s="199"/>
      <x:c r="E1" s="199"/>
      <x:c r="F1" s="199"/>
    </x:row>
    <x:row r="2">
      <x:c r="A2" s="199"/>
      <x:c r="B2" s="199"/>
      <x:c r="C2" s="199"/>
      <x:c r="D2" s="199"/>
      <x:c r="E2" s="199"/>
      <x:c r="F2" s="199"/>
    </x:row>
    <x:row r="3">
      <x:c r="A3" s="204" t="str">
        <x:v>先标现实，再看预测；未知与未发生不计为模型错误。</x:v>
      </x:c>
      <x:c r="B3" s="204"/>
      <x:c r="C3" s="204"/>
      <x:c r="D3" s="204"/>
      <x:c r="E3" s="204"/>
      <x:c r="F3" s="204"/>
    </x:row>
    <x:row r="5">
      <x:c r="A5" s="209" t="str">
        <x:v>匹配等级</x:v>
      </x:c>
      <x:c r="B5" s="209" t="str">
        <x:v>匹配分</x:v>
      </x:c>
      <x:c r="C5" s="209" t="str">
        <x:v>定义</x:v>
      </x:c>
      <x:c r="D5" s="209" t="str">
        <x:v>统计处理</x:v>
      </x:c>
    </x:row>
    <x:row r="6">
      <x:c r="A6" s="70" t="str">
        <x:v>完全支持</x:v>
      </x:c>
      <x:c r="B6" s="70" t="n">
        <x:v>1</x:v>
      </x:c>
      <x:c r="C6" s="70" t="str">
        <x:v>核心功能、状态和优先级相同</x:v>
      </x:c>
      <x:c r="D6" s="70" t="str">
        <x:v>计入可评</x:v>
      </x:c>
    </x:row>
    <x:row r="7">
      <x:c r="A7" s="70" t="str">
        <x:v>基本支持</x:v>
      </x:c>
      <x:c r="B7" s="70" t="n">
        <x:v>0.75</x:v>
      </x:c>
      <x:c r="C7" s="70" t="str">
        <x:v>核心方向正确，细节或强度略有差异</x:v>
      </x:c>
      <x:c r="D7" s="70" t="str">
        <x:v>计入可评</x:v>
      </x:c>
    </x:row>
    <x:row r="8">
      <x:c r="A8" s="70" t="str">
        <x:v>部分支持</x:v>
      </x:c>
      <x:c r="B8" s="70" t="n">
        <x:v>0.5</x:v>
      </x:c>
      <x:c r="C8" s="70" t="str">
        <x:v>只支持一部分，或仅在明确条件下成立</x:v>
      </x:c>
      <x:c r="D8" s="70" t="str">
        <x:v>计入可评</x:v>
      </x:c>
    </x:row>
    <x:row r="9">
      <x:c r="A9" s="70" t="str">
        <x:v>相邻但不同</x:v>
      </x:c>
      <x:c r="B9" s="70" t="n">
        <x:v>0.25</x:v>
      </x:c>
      <x:c r="C9" s="70" t="str">
        <x:v>同一功能族或相关任务，但主次／角色不对</x:v>
      </x:c>
      <x:c r="D9" s="70" t="str">
        <x:v>计入可评</x:v>
      </x:c>
    </x:row>
    <x:row r="10">
      <x:c r="A10" s="70" t="str">
        <x:v>反例</x:v>
      </x:c>
      <x:c r="B10" s="70" t="n">
        <x:v>0</x:v>
      </x:c>
      <x:c r="C10" s="70" t="str">
        <x:v>现实与预测核心方向相反，或明确长期未出现</x:v>
      </x:c>
      <x:c r="D10" s="70" t="str">
        <x:v>计入可评</x:v>
      </x:c>
    </x:row>
    <x:row r="11">
      <x:c r="A11" s="212" t="str">
        <x:v>不可评估</x:v>
      </x:c>
      <x:c r="B11" s="212" t="str"/>
      <x:c r="C11" s="212" t="str">
        <x:v>资料不足、场景未发生、字段不适用或不可证伪</x:v>
      </x:c>
      <x:c r="D11" s="212" t="str">
        <x:v>不计入一致度</x:v>
      </x:c>
    </x:row>
    <x:row r="14">
      <x:c r="A14" s="209" t="str">
        <x:v>层级</x:v>
      </x:c>
      <x:c r="B14" s="209" t="str">
        <x:v>名称</x:v>
      </x:c>
      <x:c r="C14" s="209" t="str">
        <x:v>最低资料</x:v>
      </x:c>
      <x:c r="D14" s="209" t="str">
        <x:v>用途</x:v>
      </x:c>
    </x:row>
    <x:row r="15">
      <x:c r="A15" s="70" t="str">
        <x:v>G0</x:v>
      </x:c>
      <x:c r="B15" s="70" t="str">
        <x:v>无资料</x:v>
      </x:c>
      <x:c r="C15" s="70" t="str">
        <x:v>没有具体事件</x:v>
      </x:c>
      <x:c r="D15" s="70" t="str">
        <x:v>unknown／not_assessed</x:v>
      </x:c>
    </x:row>
    <x:row r="16">
      <x:c r="A16" s="70" t="str">
        <x:v>G1</x:v>
      </x:c>
      <x:c r="B16" s="70" t="str">
        <x:v>单方抽象</x:v>
      </x:c>
      <x:c r="C16" s="70" t="str">
        <x:v>只有人格或关系概括</x:v>
      </x:c>
      <x:c r="D16" s="70" t="str">
        <x:v>低置信，不支持高等级</x:v>
      </x:c>
    </x:row>
    <x:row r="17">
      <x:c r="A17" s="70" t="str">
        <x:v>G2</x:v>
      </x:c>
      <x:c r="B17" s="70" t="str">
        <x:v>单方详细事件</x:v>
      </x:c>
      <x:c r="C17" s="70" t="str">
        <x:v>有时间、情境、双方行为和结果</x:v>
      </x:c>
      <x:c r="D17" s="70" t="str">
        <x:v>可用于单次核验</x:v>
      </x:c>
    </x:row>
    <x:row r="18">
      <x:c r="A18" s="70" t="str">
        <x:v>G3</x:v>
      </x:c>
      <x:c r="B18" s="70" t="str">
        <x:v>双方反馈／客观记录</x:v>
      </x:c>
      <x:c r="C18" s="70" t="str">
        <x:v>可互相核对的讨论、安排或记录</x:v>
      </x:c>
      <x:c r="D18" s="70" t="str">
        <x:v>中高置信</x:v>
      </x:c>
    </x:row>
    <x:row r="19">
      <x:c r="A19" s="70" t="str">
        <x:v>G4</x:v>
      </x:c>
      <x:c r="B19" s="70" t="str">
        <x:v>跨场景重复</x:v>
      </x:c>
      <x:c r="C19" s="70" t="str">
        <x:v>两个不同情境出现相似行为</x:v>
      </x:c>
      <x:c r="D19" s="70" t="str">
        <x:v>支持重复层</x:v>
      </x:c>
    </x:row>
    <x:row r="20">
      <x:c r="A20" s="70" t="str">
        <x:v>G5</x:v>
      </x:c>
      <x:c r="B20" s="70" t="str">
        <x:v>压力／代价</x:v>
      </x:c>
      <x:c r="C20" s="70" t="str">
        <x:v>高压或现实成本下仍出现</x:v>
      </x:c>
      <x:c r="D20" s="70" t="str">
        <x:v>支持高等级</x:v>
      </x:c>
    </x:row>
    <x:row r="21">
      <x:c r="A21" s="70" t="str">
        <x:v>G6</x:v>
      </x:c>
      <x:c r="B21" s="70" t="str">
        <x:v>修复／恢复</x:v>
      </x:c>
      <x:c r="C21" s="70" t="str">
        <x:v>问题后有反馈、调整与持续变化</x:v>
      </x:c>
      <x:c r="D21" s="70" t="str">
        <x:v>支持FV／HV高层</x:v>
      </x:c>
    </x:row>
    <x:row r="22">
      <x:c r="A22" s="212" t="str">
        <x:v>G7</x:v>
      </x:c>
      <x:c r="B22" s="212" t="str">
        <x:v>反例与转折检验</x:v>
      </x:c>
      <x:c r="C22" s="212" t="str">
        <x:v>主动找反例，重大变化后仍成立</x:v>
      </x:c>
      <x:c r="D22" s="212" t="str">
        <x:v>最高现实核验层</x:v>
      </x:c>
    </x:row>
    <x:row r="26">
      <x:c r="A26" s="209" t="str">
        <x:v>环节</x:v>
      </x:c>
      <x:c r="B26" s="209" t="str">
        <x:v>执行标准</x:v>
      </x:c>
    </x:row>
    <x:row r="27">
      <x:c r="A27" s="70" t="str">
        <x:v>预测冻结</x:v>
      </x:c>
      <x:c r="B27" s="70" t="str">
        <x:v>必须在查看完整反馈前完成；未冻结案例只能用于流程练习。</x:v>
      </x:c>
    </x:row>
    <x:row r="28">
      <x:c r="A28" s="70" t="str">
        <x:v>第一轮标注</x:v>
      </x:c>
      <x:c r="B28" s="70" t="str">
        <x:v>只看现实事件，不看预测代码。</x:v>
      </x:c>
    </x:row>
    <x:row r="29">
      <x:c r="A29" s="70" t="str">
        <x:v>第二轮盲复核</x:v>
      </x:c>
      <x:c r="B29" s="70" t="str">
        <x:v>由第二人复核，或同一分析者至少间隔7天重标。</x:v>
      </x:c>
    </x:row>
    <x:row r="30">
      <x:c r="A30" s="70" t="str">
        <x:v>分歧处理</x:v>
      </x:c>
      <x:c r="B30" s="70" t="str">
        <x:v>回到事实与event_id，不通过讨论预测来决定金标准。</x:v>
      </x:c>
    </x:row>
    <x:row r="31">
      <x:c r="A31" s="70" t="str">
        <x:v>安全事实</x:v>
      </x:c>
      <x:c r="B31" s="70" t="str">
        <x:v>安全漏判单独计数，不能被一般支持率抵消。</x:v>
      </x:c>
    </x:row>
    <x:row r="32">
      <x:c r="A32" s="70" t="str">
        <x:v>未知处理</x:v>
      </x:c>
      <x:c r="B32" s="70" t="str">
        <x:v>场景未发生、资料不足或不适用时标不可评估。</x:v>
      </x:c>
    </x:row>
    <x:row r="33">
      <x:c r="A33" s="70" t="str">
        <x:v>纳入一般统计</x:v>
      </x:c>
      <x:c r="B33" s="70" t="str">
        <x:v>预测冻结＋反馈完整＋非安全停止＋字段可评。</x:v>
      </x:c>
    </x:row>
    <x:row r="34">
      <x:c r="A34" s="212" t="str">
        <x:v>纳入安全审查</x:v>
      </x:c>
      <x:c r="B34" s="212" t="str">
        <x:v>只要预测冻结且存在安全事实，即使不纳入一般统计也必须审查。</x:v>
      </x:c>
    </x:row>
  </x:sheetData>
  <x:mergeCells>
    <x:mergeCell ref="A1:F2"/>
    <x:mergeCell ref="A3:F3"/>
  </x:mergeCells>
  <x:pageMargins left="0.7" right="0.7" top="0.75" bottom="0.75" header="0.3" footer="0.3"/>
  <x:tableParts count="3">
    <x:tablePart xmlns:r="http://schemas.openxmlformats.org/officeDocument/2006/relationships" r:id="R2cdbaad525074fa5"/>
    <x:tablePart xmlns:r="http://schemas.openxmlformats.org/officeDocument/2006/relationships" r:id="Rc7d0b3cf9d6b469d"/>
    <x:tablePart xmlns:r="http://schemas.openxmlformats.org/officeDocument/2006/relationships" r:id="R8bad36a9f3d84b56"/>
  </x:tableParts>
</x:worksheet>
</file>