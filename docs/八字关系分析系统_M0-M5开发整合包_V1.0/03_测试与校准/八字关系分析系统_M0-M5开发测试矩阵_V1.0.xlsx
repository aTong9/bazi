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0a9bd6058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测试导航" sheetId="1" r:id="R0e8af436b86e45b3"/>
    <x:sheet xmlns:r="http://schemas.openxmlformats.org/officeDocument/2006/relationships" name="01_M0原生M20" sheetId="2" r:id="Rafe7af0398a64907"/>
    <x:sheet xmlns:r="http://schemas.openxmlformats.org/officeDocument/2006/relationships" name="02_M0单元测试" sheetId="3" r:id="Rd98284be7d87464b"/>
    <x:sheet xmlns:r="http://schemas.openxmlformats.org/officeDocument/2006/relationships" name="03_接口契约测试" sheetId="4" r:id="R89f414a1436a4f4a"/>
    <x:sheet xmlns:r="http://schemas.openxmlformats.org/officeDocument/2006/relationships" name="04_M1-M5模块测试" sheetId="5" r:id="R746a271a9986412d"/>
    <x:sheet xmlns:r="http://schemas.openxmlformats.org/officeDocument/2006/relationships" name="05_冲突安全测试" sheetId="6" r:id="Rd31cacf3e24b453a"/>
    <x:sheet xmlns:r="http://schemas.openxmlformats.org/officeDocument/2006/relationships" name="06_JSON数据测试" sheetId="7" r:id="R3ed5b4776d69497e"/>
    <x:sheet xmlns:r="http://schemas.openxmlformats.org/officeDocument/2006/relationships" name="07_报告语言测试" sheetId="8" r:id="R6de9db63495f4ce3"/>
    <x:sheet xmlns:r="http://schemas.openxmlformats.org/officeDocument/2006/relationships" name="08_性能稳定性" sheetId="9" r:id="R4bab4c08dfa14d5c"/>
    <x:sheet xmlns:r="http://schemas.openxmlformats.org/officeDocument/2006/relationships" name="09_32项回归" sheetId="10" r:id="Rf111ee4b50cf483d"/>
    <x:sheet xmlns:r="http://schemas.openxmlformats.org/officeDocument/2006/relationships" name="10_执行记录" sheetId="11" r:id="R89e56a3404dd4fd8"/>
    <x:sheet xmlns:r="http://schemas.openxmlformats.org/officeDocument/2006/relationships" name="11_测试看板" sheetId="12" r:id="Rfc9fbabf560a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</x:fills>
  <x:borders count="6">
    <x:border/>
    <x:border/>
    <x:border/>
    <x:border/>
    <x:border/>
    <x:border>
      <x:bottom/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0" xfId="0" applyNumberFormat="1" applyFont="1" applyFill="1" applyBorder="0"/>
    <x:xf numFmtId="0" fontId="4" fillId="0" borderId="4" xfId="0" applyNumberFormat="1" applyFont="1" applyFill="1" applyBorder="1"/>
    <x:xf numFmtId="0" fontId="4" fillId="0" xfId="0" applyNumberFormat="1" applyFont="1" applyFill="1" applyBorder="0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1c48f45a14f19" /><Relationship Type="http://schemas.openxmlformats.org/officeDocument/2006/relationships/theme" Target="/xl/theme/theme1.xml" Id="R6bc7632c9a704f82" /><Relationship Type="http://schemas.openxmlformats.org/officeDocument/2006/relationships/sharedStrings" Target="/xl/sharedStrings.xml" Id="Rfa6a8555d17f4060" /><Relationship Type="http://schemas.openxmlformats.org/officeDocument/2006/relationships/worksheet" Target="/xl/worksheets/sheet1.xml" Id="R0e8af436b86e45b3" /><Relationship Type="http://schemas.openxmlformats.org/officeDocument/2006/relationships/worksheet" Target="/xl/worksheets/sheet2.xml" Id="Rafe7af0398a64907" /><Relationship Type="http://schemas.openxmlformats.org/officeDocument/2006/relationships/worksheet" Target="/xl/worksheets/sheet3.xml" Id="Rd98284be7d87464b" /><Relationship Type="http://schemas.openxmlformats.org/officeDocument/2006/relationships/worksheet" Target="/xl/worksheets/sheet4.xml" Id="R89f414a1436a4f4a" /><Relationship Type="http://schemas.openxmlformats.org/officeDocument/2006/relationships/worksheet" Target="/xl/worksheets/sheet5.xml" Id="R746a271a9986412d" /><Relationship Type="http://schemas.openxmlformats.org/officeDocument/2006/relationships/worksheet" Target="/xl/worksheets/sheet6.xml" Id="Rd31cacf3e24b453a" /><Relationship Type="http://schemas.openxmlformats.org/officeDocument/2006/relationships/worksheet" Target="/xl/worksheets/sheet7.xml" Id="R3ed5b4776d69497e" /><Relationship Type="http://schemas.openxmlformats.org/officeDocument/2006/relationships/worksheet" Target="/xl/worksheets/sheet8.xml" Id="R6de9db63495f4ce3" /><Relationship Type="http://schemas.openxmlformats.org/officeDocument/2006/relationships/worksheet" Target="/xl/worksheets/sheet9.xml" Id="R4bab4c08dfa14d5c" /><Relationship Type="http://schemas.openxmlformats.org/officeDocument/2006/relationships/worksheet" Target="/xl/worksheets/sheet10.xml" Id="Rf111ee4b50cf483d" /><Relationship Type="http://schemas.openxmlformats.org/officeDocument/2006/relationships/worksheet" Target="/xl/worksheets/sheet11.xml" Id="R89e56a3404dd4fd8" /><Relationship Type="http://schemas.openxmlformats.org/officeDocument/2006/relationships/worksheet" Target="/xl/worksheets/sheet12.xml" Id="Rfc9fbabf560a4d4e" /></Relationships>
</file>

<file path=xl/tables/table1.xml><?xml version="1.0" encoding="utf-8"?>
<x:table xmlns:x="http://schemas.openxmlformats.org/spreadsheetml/2006/main" id="1" name="TestGuide" displayName="TestGuide" ref="A5:C10" headerRowCount="1" totalsRowCount="0" totalsRowShown="0">
  <x:tableColumns count="3">
    <x:tableColumn id="1" name="测试层"/>
    <x:tableColumn id="2" name="用途"/>
    <x:tableColumn id="3" name="执行阶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atus" displayName="TestStatus" ref="A15:B21" headerRowCount="1" totalsRowCount="0" totalsRowShown="0">
  <x:tableColumns count="2">
    <x:tableColumn id="1" name="状态"/>
    <x:tableColumn id="2" name="定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0Native" displayName="M0Native" ref="A1:Q151" headerRowCount="1" totalsRowCount="0" totalsRowShown="0">
  <x:tableColumns count="17">
    <x:tableColumn id="1" name="Case_ID"/>
    <x:tableColumn id="2" name="案例名称"/>
    <x:tableColumn id="3" name="测试类型"/>
    <x:tableColumn id="4" name="目标模块"/>
    <x:tableColumn id="5" name="目标Rule_ID"/>
    <x:tableColumn id="6" name="四柱"/>
    <x:tableColumn id="7" name="性别"/>
    <x:tableColumn id="8" name="历法／时区"/>
    <x:tableColumn id="9" name="输入事实"/>
    <x:tableColumn id="10" name="预期识别"/>
    <x:tableColumn id="11" name="预期效应"/>
    <x:tableColumn id="12" name="预期结构"/>
    <x:tableColumn id="13" name="预期综合"/>
    <x:tableColumn id="14" name="原测试结果"/>
    <x:tableColumn id="15" name="复测结果"/>
    <x:tableColumn id="16" name="适用版本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0Unit" displayName="M0Unit" ref="A1:J43" headerRowCount="1" totalsRowCount="0" totalsRowShown="0">
  <x:tableColumns count="10">
    <x:tableColumn id="1" name="test_id"/>
    <x:tableColumn id="2" name="模块"/>
    <x:tableColumn id="3" name="类别"/>
    <x:tableColumn id="4" name="优先级"/>
    <x:tableColumn id="5" name="前置／情境"/>
    <x:tableColumn id="6" name="输入"/>
    <x:tableColumn id="7" name="预期结果"/>
    <x:tableColumn id="8" name="禁止行为"/>
    <x:tableColumn id="9" name="来源规则"/>
    <x:tableColumn id="10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faceSuite" displayName="InterfaceSuite" ref="A1:H31" headerRowCount="1" totalsRowCount="0" totalsRowShown="0">
  <x:tableColumns count="8">
    <x:tableColumn id="1" name="test_id"/>
    <x:tableColumn id="2" name="接口"/>
    <x:tableColumn id="3" name="类别"/>
    <x:tableColumn id="4" name="优先级"/>
    <x:tableColumn id="5" name="输入／情境"/>
    <x:tableColumn id="6" name="预期结果"/>
    <x:tableColumn id="7" name="禁止行为"/>
    <x:tableColumn id="8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pperSuite" displayName="UpperSuite" ref="A1:J59" headerRowCount="1" totalsRowCount="0" totalsRowShown="0">
  <x:tableColumns count="10">
    <x:tableColumn id="1" name="test_id"/>
    <x:tableColumn id="2" name="模块ID"/>
    <x:tableColumn id="3" name="类型"/>
    <x:tableColumn id="4" name="优先级"/>
    <x:tableColumn id="5" name="上游"/>
    <x:tableColumn id="6" name="输入情境"/>
    <x:tableColumn id="7" name="预期输出"/>
    <x:tableColumn id="8" name="禁止行为"/>
    <x:tableColumn id="9" name="示例规则"/>
    <x:tableColumn id="10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flictSafety" displayName="ConflictSafety" ref="A1:I36" headerRowCount="1" totalsRowCount="0" totalsRowShown="0">
  <x:tableColumns count="9">
    <x:tableColumn id="1" name="test_id"/>
    <x:tableColumn id="2" name="conflict_id"/>
    <x:tableColumn id="3" name="主题"/>
    <x:tableColumn id="4" name="优先级"/>
    <x:tableColumn id="5" name="冲突来源"/>
    <x:tableColumn id="6" name="预期裁决"/>
    <x:tableColumn id="7" name="禁止行为"/>
    <x:tableColumn id="8" name="裁决状态"/>
    <x:tableColumn id="9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JsonTests" displayName="JsonTests" ref="A1:G26" headerRowCount="1" totalsRowCount="0" totalsRowShown="0">
  <x:tableColumns count="7">
    <x:tableColumn id="1" name="test_id"/>
    <x:tableColumn id="2" name="类别"/>
    <x:tableColumn id="3" name="优先级"/>
    <x:tableColumn id="4" name="输入情境"/>
    <x:tableColumn id="5" name="预期结果"/>
    <x:tableColumn id="6" name="关键断言"/>
    <x:tableColumn id="7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portTests" displayName="ReportTests" ref="A1:F21" headerRowCount="1" totalsRowCount="0" totalsRowShown="0">
  <x:tableColumns count="6">
    <x:tableColumn id="1" name="test_id"/>
    <x:tableColumn id="2" name="风险类别"/>
    <x:tableColumn id="3" name="优先级"/>
    <x:tableColumn id="4" name="原始输出"/>
    <x:tableColumn id="5" name="预期处理"/>
    <x:tableColumn id="6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rformanceSuite" displayName="PerformanceSuite" ref="A1:F16" headerRowCount="1" totalsRowCount="0" totalsRowShown="0">
  <x:tableColumns count="6">
    <x:tableColumn id="1" name="test_id"/>
    <x:tableColumn id="2" name="类别"/>
    <x:tableColumn id="3" name="优先级"/>
    <x:tableColumn id="4" name="测试情境"/>
    <x:tableColumn id="5" name="预期结果"/>
    <x:tableColumn id="6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ression32" displayName="Regression32" ref="A1:G33" headerRowCount="1" totalsRowCount="0" totalsRowShown="0">
  <x:tableColumns count="7">
    <x:tableColumn id="1" name="测试ID"/>
    <x:tableColumn id="2" name="类别"/>
    <x:tableColumn id="3" name="输入情境"/>
    <x:tableColumn id="4" name="期望status"/>
    <x:tableColumn id="5" name="期望AF"/>
    <x:tableColumn id="6" name="期望FG"/>
    <x:tableColumn id="7" name="期望关键输出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estExecution" displayName="TestExecution" ref="A1:O201" headerRowCount="1" totalsRowCount="0" totalsRowShown="0">
  <x:tableColumns count="15">
    <x:tableColumn id="1" name="run_id"/>
    <x:tableColumn id="2" name="test_id"/>
    <x:tableColumn id="3" name="测试套件"/>
    <x:tableColumn id="4" name="运行日期"/>
    <x:tableColumn id="5" name="运行者"/>
    <x:tableColumn id="6" name="代码版本"/>
    <x:tableColumn id="7" name="规则版本"/>
    <x:tableColumn id="8" name="输入fixture"/>
    <x:tableColumn id="9" name="预期摘要"/>
    <x:tableColumn id="10" name="实际摘要"/>
    <x:tableColumn id="11" name="状态"/>
    <x:tableColumn id="12" name="严重度"/>
    <x:tableColumn id="13" name="bug_id"/>
    <x:tableColumn id="14" name="复测状态"/>
    <x:tableColumn id="15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estKPI" displayName="TestKPI" ref="A5:B13" headerRowCount="1" totalsRowCount="0" totalsRowShown="0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3c18ab6b54323" /><Relationship Type="http://schemas.openxmlformats.org/officeDocument/2006/relationships/table" Target="/xl/tables/table2.xml" Id="R3fad9638721c44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6c18119b1364d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b38c6bb8763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319085633274f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5ab90d88c0094f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b520eb85f6c44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8b63603a87044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d6b5de870ee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79700da675f4f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a1030b6f365f4e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1e648994eabe49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79d98d81ea02421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4" hidden="0" customWidth="1"/>
    <x:col min="3" max="3" width="40" hidden="0" customWidth="1"/>
  </x:cols>
  <x:sheetData>
    <x:row r="1">
      <x:c r="A1" s="6" t="str">
        <x:v>M0-M5开发测试矩阵 V1.0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覆盖原生M20、M0单元、接口、上层模块、冲突安全、JSON、报告、性能和回归。</x:v>
      </x:c>
      <x:c r="B3" s="16"/>
      <x:c r="C3" s="16"/>
      <x:c r="D3" s="16"/>
      <x:c r="E3" s="16"/>
      <x:c r="F3" s="16"/>
      <x:c r="G3" s="16"/>
      <x:c r="H3" s="16"/>
    </x:row>
    <x:row r="5">
      <x:c r="A5" s="26" t="str">
        <x:v>测试层</x:v>
      </x:c>
      <x:c r="B5" s="26" t="str">
        <x:v>用途</x:v>
      </x:c>
      <x:c r="C5" s="26" t="str">
        <x:v>执行阶段</x:v>
      </x:c>
    </x:row>
    <x:row r="6">
      <x:c r="A6" s="36" t="str">
        <x:v>M0原生M20</x:v>
      </x:c>
      <x:c r="B6" s="36" t="str">
        <x:v>复用150条已有正例、反例、边界和回归案例</x:v>
      </x:c>
      <x:c r="C6" s="36" t="str">
        <x:v>M0实现</x:v>
      </x:c>
    </x:row>
    <x:row r="7">
      <x:c r="A7" s="36" t="str">
        <x:v>M0单元</x:v>
      </x:c>
      <x:c r="B7" s="36" t="str">
        <x:v>四层推理、M19输出和静动态边界</x:v>
      </x:c>
      <x:c r="C7" s="36" t="str">
        <x:v>M0实现</x:v>
      </x:c>
    </x:row>
    <x:row r="8">
      <x:c r="A8" s="36" t="str">
        <x:v>接口契约</x:v>
      </x:c>
      <x:c r="B8" s="36" t="str">
        <x:v>M0-M5字段权威、依赖和去重</x:v>
      </x:c>
      <x:c r="C8" s="36" t="str">
        <x:v>编排层</x:v>
      </x:c>
    </x:row>
    <x:row r="9">
      <x:c r="A9" s="36" t="str">
        <x:v>M1-M5模块</x:v>
      </x:c>
      <x:c r="B9" s="36" t="str">
        <x:v>29个模块正向与边界契约</x:v>
      </x:c>
      <x:c r="C9" s="36" t="str">
        <x:v>上层实现</x:v>
      </x:c>
    </x:row>
    <x:row r="10">
      <x:c r="A10" s="37" t="str">
        <x:v>后续套件</x:v>
      </x:c>
      <x:c r="B10" s="37" t="str">
        <x:v>冲突安全、JSON、报告、性能和32项回归</x:v>
      </x:c>
      <x:c r="C10" s="37" t="str">
        <x:v>发布前</x:v>
      </x:c>
    </x:row>
    <x:row r="15">
      <x:c r="A15" s="26" t="str">
        <x:v>状态</x:v>
      </x:c>
      <x:c r="B15" s="26" t="str">
        <x:v>定义</x:v>
      </x:c>
    </x:row>
    <x:row r="16">
      <x:c r="A16" s="36" t="str">
        <x:v>待运行</x:v>
      </x:c>
      <x:c r="B16" s="36" t="str">
        <x:v>尚未执行</x:v>
      </x:c>
    </x:row>
    <x:row r="17">
      <x:c r="A17" s="36" t="str">
        <x:v>通过</x:v>
      </x:c>
      <x:c r="B17" s="36" t="str">
        <x:v>实际与预期一致</x:v>
      </x:c>
    </x:row>
    <x:row r="18">
      <x:c r="A18" s="36" t="str">
        <x:v>失败</x:v>
      </x:c>
      <x:c r="B18" s="36" t="str">
        <x:v>出现明确偏差</x:v>
      </x:c>
    </x:row>
    <x:row r="19">
      <x:c r="A19" s="36" t="str">
        <x:v>阻塞</x:v>
      </x:c>
      <x:c r="B19" s="36" t="str">
        <x:v>依赖未完成或数据缺失</x:v>
      </x:c>
    </x:row>
    <x:row r="20">
      <x:c r="A20" s="36" t="str">
        <x:v>不适用</x:v>
      </x:c>
      <x:c r="B20" s="36" t="str">
        <x:v>当前模式不适用</x:v>
      </x:c>
    </x:row>
    <x:row r="21">
      <x:c r="A21" s="37" t="str">
        <x:v>待复核</x:v>
      </x:c>
      <x:c r="B21" s="37" t="str">
        <x:v>结果有争议</x:v>
      </x:c>
    </x:row>
  </x:sheetData>
  <x:mergeCells>
    <x:mergeCell ref="A1:H2"/>
    <x:mergeCell ref="A3:H3"/>
  </x:mergeCells>
  <x:pageMargins left="0.7" right="0.7" top="0.75" bottom="0.75" header="0.3" footer="0.3"/>
  <x:tableParts count="2">
    <x:tablePart xmlns:r="http://schemas.openxmlformats.org/officeDocument/2006/relationships" r:id="Re783c18ab6b54323"/>
    <x:tablePart xmlns:r="http://schemas.openxmlformats.org/officeDocument/2006/relationships" r:id="R3fad9638721c44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20" hidden="0" customWidth="1"/>
    <x:col min="5" max="5" width="26" hidden="0" customWidth="1"/>
    <x:col min="6" max="6" width="20" hidden="0" customWidth="1"/>
    <x:col min="7" max="7" width="12" hidden="0" customWidth="1"/>
    <x:col min="8" max="8" width="20" hidden="0" customWidth="1"/>
    <x:col min="9" max="9" width="54" hidden="0" customWidth="1"/>
    <x:col min="10" max="10" width="48" hidden="0" customWidth="1"/>
    <x:col min="11" max="11" width="48" hidden="0" customWidth="1"/>
    <x:col min="12" max="12" width="48" hidden="0" customWidth="1"/>
    <x:col min="13" max="13" width="54" hidden="0" customWidth="1"/>
    <x:col min="14" max="14" width="16" hidden="0" customWidth="1"/>
    <x:col min="15" max="15" width="16" hidden="0" customWidth="1"/>
    <x:col min="16" max="16" width="16" hidden="0" customWidth="1"/>
    <x:col min="17" max="17" width="40" hidden="0" customWidth="1"/>
  </x:cols>
  <x:sheetData>
    <x:row r="1">
      <x:c r="A1" s="26" t="str">
        <x:v>Case_ID</x:v>
      </x:c>
      <x:c r="B1" s="26" t="str">
        <x:v>案例名称</x:v>
      </x:c>
      <x:c r="C1" s="26" t="str">
        <x:v>测试类型</x:v>
      </x:c>
      <x:c r="D1" s="26" t="str">
        <x:v>目标模块</x:v>
      </x:c>
      <x:c r="E1" s="26" t="str">
        <x:v>目标Rule_ID</x:v>
      </x:c>
      <x:c r="F1" s="26" t="str">
        <x:v>四柱</x:v>
      </x:c>
      <x:c r="G1" s="26" t="str">
        <x:v>性别</x:v>
      </x:c>
      <x:c r="H1" s="26" t="str">
        <x:v>历法／时区</x:v>
      </x:c>
      <x:c r="I1" s="26" t="str">
        <x:v>输入事实</x:v>
      </x:c>
      <x:c r="J1" s="26" t="str">
        <x:v>预期识别</x:v>
      </x:c>
      <x:c r="K1" s="26" t="str">
        <x:v>预期效应</x:v>
      </x:c>
      <x:c r="L1" s="26" t="str">
        <x:v>预期结构</x:v>
      </x:c>
      <x:c r="M1" s="26" t="str">
        <x:v>预期综合</x:v>
      </x:c>
      <x:c r="N1" s="26" t="str">
        <x:v>原测试结果</x:v>
      </x:c>
      <x:c r="O1" s="26" t="str">
        <x:v>复测结果</x:v>
      </x:c>
      <x:c r="P1" s="26" t="str">
        <x:v>适用版本</x:v>
      </x:c>
      <x:c r="Q1" s="26" t="str">
        <x:v>备注</x:v>
      </x:c>
    </x:row>
    <x:row r="2">
      <x:c r="A2" s="36" t="str">
        <x:v>M20-BASE-0001-V1.0</x:v>
      </x:c>
      <x:c r="B2" s="36" t="str">
        <x:v>阳支与藏干阴阳必须分开</x:v>
      </x:c>
      <x:c r="C2" s="36" t="str">
        <x:v>正例</x:v>
      </x:c>
      <x:c r="D2" s="36" t="str">
        <x:v>M02</x:v>
      </x:c>
      <x:c r="E2" s="36" t="str">
        <x:v>M02-META-0039-V1.0</x:v>
      </x:c>
      <x:c r="F2" s="36" t="str">
        <x:v>甲子 丙寅 戊辰 庚午</x:v>
      </x:c>
      <x:c r="G2" s="36" t="str">
        <x:v>未知/不适用</x:v>
      </x:c>
      <x:c r="H2" s="36" t="str">
        <x:v>合成命例；不用于历法排盘；月令按月支与输入事实假设</x:v>
      </x:c>
      <x:c r="I2" s="36" t="str">
        <x:v>年支为子；子按地支阴阳属阳支，藏干仅癸，癸为阴水。</x:v>
      </x:c>
      <x:c r="J2" s="36" t="str">
        <x:v>识别子为阳支；癸为阴水藏干，两个维度独立记录。</x:v>
      </x:c>
      <x:c r="K2" s="36" t="str">
        <x:v>不涉及力量增减；只建立基础映射。</x:v>
      </x:c>
      <x:c r="L2" s="36" t="str">
        <x:v>后续十神映射使用癸自身阴阳，不以子为阳支替代。</x:v>
      </x:c>
      <x:c r="M2" s="36" t="str">
        <x:v>子支阳、藏癸阴的分层识别成立。</x:v>
      </x:c>
      <x:c r="N2" s="36" t="str">
        <x:v>通过</x:v>
      </x:c>
      <x:c r="O2" s="36" t="str">
        <x:v>未测试</x:v>
      </x:c>
      <x:c r="P2" s="36" t="str">
        <x:v>V1.7</x:v>
      </x:c>
      <x:c r="Q2" s="36" t="str">
        <x:v>合成命例仅用于规则单元/集成测试，不替代真实命例外部验证。</x:v>
      </x:c>
    </x:row>
    <x:row r="3">
      <x:c r="A3" s="36" t="str">
        <x:v>M20-BASE-0002-V1.0</x:v>
      </x:c>
      <x:c r="B3" s="36" t="str">
        <x:v>同一庚干对甲日主映射七杀</x:v>
      </x:c>
      <x:c r="C3" s="36" t="str">
        <x:v>正例</x:v>
      </x:c>
      <x:c r="D3" s="36" t="str">
        <x:v>M02</x:v>
      </x:c>
      <x:c r="E3" s="36" t="str">
        <x:v>M02-SS-0034-V1.0</x:v>
      </x:c>
      <x:c r="F3" s="36" t="str">
        <x:v>庚子 乙卯 甲辰 丙午</x:v>
      </x:c>
      <x:c r="G3" s="36" t="str">
        <x:v>未知/不适用</x:v>
      </x:c>
      <x:c r="H3" s="36" t="str">
        <x:v>合成命例；不用于历法排盘；月令按月支与输入事实假设</x:v>
      </x:c>
      <x:c r="I3" s="36" t="str">
        <x:v>日主甲木；年干庚金与甲同为阳性，庚克甲。</x:v>
      </x:c>
      <x:c r="J3" s="36" t="str">
        <x:v>庚相对甲日主映射为七杀。</x:v>
      </x:c>
      <x:c r="K3" s="36" t="str">
        <x:v>七杀存在性成立；旺衰功能另转M10。</x:v>
      </x:c>
      <x:c r="L3" s="36" t="str">
        <x:v>不得把庚固定标为正官；本例应输出七杀。</x:v>
      </x:c>
      <x:c r="M3" s="36" t="str">
        <x:v>庚对甲日主为七杀。</x:v>
      </x:c>
      <x:c r="N3" s="36" t="str">
        <x:v>通过</x:v>
      </x:c>
      <x:c r="O3" s="36" t="str">
        <x:v>未测试</x:v>
      </x:c>
      <x:c r="P3" s="36" t="str">
        <x:v>V1.7</x:v>
      </x:c>
      <x:c r="Q3" s="36" t="str">
        <x:v>合成命例仅用于规则单元/集成测试，不替代真实命例外部验证。</x:v>
      </x:c>
    </x:row>
    <x:row r="4">
      <x:c r="A4" s="36" t="str">
        <x:v>M20-BASE-0003-V1.0</x:v>
      </x:c>
      <x:c r="B4" s="36" t="str">
        <x:v>同一庚干对乙日主映射正官</x:v>
      </x:c>
      <x:c r="C4" s="36" t="str">
        <x:v>正例</x:v>
      </x:c>
      <x:c r="D4" s="36" t="str">
        <x:v>M02</x:v>
      </x:c>
      <x:c r="E4" s="36" t="str">
        <x:v>M02-SS-0035-V1.0</x:v>
      </x:c>
      <x:c r="F4" s="36" t="str">
        <x:v>庚子 甲寅 乙辰 丙午</x:v>
      </x:c>
      <x:c r="G4" s="36" t="str">
        <x:v>未知/不适用</x:v>
      </x:c>
      <x:c r="H4" s="36" t="str">
        <x:v>合成命例；不用于历法排盘；月令按月支与输入事实假设</x:v>
      </x:c>
      <x:c r="I4" s="36" t="str">
        <x:v>日主乙木；庚金克乙木，阴阳相异。</x:v>
      </x:c>
      <x:c r="J4" s="36" t="str">
        <x:v>庚相对乙日主映射为正官。</x:v>
      </x:c>
      <x:c r="K4" s="36" t="str">
        <x:v>正官存在性成立；力量和功能另判。</x:v>
      </x:c>
      <x:c r="L4" s="36" t="str">
        <x:v>证明十神是相对关系，不是天干固定标签。</x:v>
      </x:c>
      <x:c r="M4" s="36" t="str">
        <x:v>庚对乙日主为正官。</x:v>
      </x:c>
      <x:c r="N4" s="36" t="str">
        <x:v>通过</x:v>
      </x:c>
      <x:c r="O4" s="36" t="str">
        <x:v>未测试</x:v>
      </x:c>
      <x:c r="P4" s="36" t="str">
        <x:v>V1.7</x:v>
      </x:c>
      <x:c r="Q4" s="36" t="str">
        <x:v>合成命例仅用于规则单元/集成测试，不替代真实命例外部验证。</x:v>
      </x:c>
    </x:row>
    <x:row r="5">
      <x:c r="A5" s="36" t="str">
        <x:v>M20-BASE-0004-V1.0</x:v>
      </x:c>
      <x:c r="B5" s="36" t="str">
        <x:v>藏干存在不等于已经透干</x:v>
      </x:c>
      <x:c r="C5" s="36" t="str">
        <x:v>反例</x:v>
      </x:c>
      <x:c r="D5" s="36" t="str">
        <x:v>M02</x:v>
      </x:c>
      <x:c r="E5" s="36" t="str">
        <x:v>M02-META-0038-V1.0</x:v>
      </x:c>
      <x:c r="F5" s="36" t="str">
        <x:v>甲子 乙丑 丙寅 丁卯</x:v>
      </x:c>
      <x:c r="G5" s="36" t="str">
        <x:v>未知/不适用</x:v>
      </x:c>
      <x:c r="H5" s="36" t="str">
        <x:v>合成命例；不用于历法排盘；月令按月支与输入事实假设</x:v>
      </x:c>
      <x:c r="I5" s="36" t="str">
        <x:v>丑中藏己、癸、辛；四柱天干无己、癸、辛。</x:v>
      </x:c>
      <x:c r="J5" s="36" t="str">
        <x:v>三枚藏干均登记存在，但透干状态均为否。</x:v>
      </x:c>
      <x:c r="K5" s="36" t="str">
        <x:v>藏干可提供隐性根源或十神节点，不能按显性透干调用。</x:v>
      </x:c>
      <x:c r="L5" s="36" t="str">
        <x:v>不得因丑藏辛便说辛金已经透出。</x:v>
      </x:c>
      <x:c r="M5" s="36" t="str">
        <x:v>藏干存在与透干分离；辛癸己均未透。</x:v>
      </x:c>
      <x:c r="N5" s="36" t="str">
        <x:v>通过</x:v>
      </x:c>
      <x:c r="O5" s="36" t="str">
        <x:v>未测试</x:v>
      </x:c>
      <x:c r="P5" s="36" t="str">
        <x:v>V1.7</x:v>
      </x:c>
      <x:c r="Q5" s="36" t="str">
        <x:v>合成命例仅用于规则单元/集成测试，不替代真实命例外部验证。</x:v>
      </x:c>
    </x:row>
    <x:row r="6">
      <x:c r="A6" s="36" t="str">
        <x:v>M20-BASE-0005-V1.0</x:v>
      </x:c>
      <x:c r="B6" s="36" t="str">
        <x:v>交节一分钟边界不得直接定月令</x:v>
      </x:c>
      <x:c r="C6" s="36" t="str">
        <x:v>边界案例</x:v>
      </x:c>
      <x:c r="D6" s="36" t="str">
        <x:v>M03</x:v>
      </x:c>
      <x:c r="E6" s="36" t="str">
        <x:v>M03-PROC-0019-V1.0</x:v>
      </x:c>
      <x:c r="F6" s="36" t="str">
        <x:v>边界双盘：甲子 丙寅/丁卯 戊辰 庚午</x:v>
      </x:c>
      <x:c r="G6" s="36" t="str">
        <x:v>未知/不适用</x:v>
      </x:c>
      <x:c r="H6" s="36" t="str">
        <x:v>合成命例；不用于历法排盘；月令按月支与输入事实假设</x:v>
      </x:c>
      <x:c r="I6" s="36" t="str">
        <x:v>出生时刻距离惊蛰交节约1分钟；时区和精确交节时刻尚未核准。</x:v>
      </x:c>
      <x:c r="J6" s="36" t="str">
        <x:v>月令只能列寅月/卯月双候选，禁止先定。</x:v>
      </x:c>
      <x:c r="K6" s="36" t="str">
        <x:v>根气、旺衰、调候和格局均需双盘保留。</x:v>
      </x:c>
      <x:c r="L6" s="36" t="str">
        <x:v>资料未核准前，不输出唯一日主旺衰、格局和喜忌。</x:v>
      </x:c>
      <x:c r="M6" s="36" t="str">
        <x:v>交节边界需精确核验；当前只允许双盘候选。</x:v>
      </x:c>
      <x:c r="N6" s="36" t="str">
        <x:v>部分通过</x:v>
      </x:c>
      <x:c r="O6" s="36" t="str">
        <x:v>待复核</x:v>
      </x:c>
      <x:c r="P6" s="36" t="str">
        <x:v>V1.7</x:v>
      </x:c>
      <x:c r="Q6" s="36" t="str">
        <x:v>合成命例仅用于规则单元/集成测试，不替代真实命例外部验证。</x:v>
      </x:c>
    </x:row>
    <x:row r="7">
      <x:c r="A7" s="36" t="str">
        <x:v>M20-BASE-0006-V1.0</x:v>
      </x:c>
      <x:c r="B7" s="36" t="str">
        <x:v>本气同干默认强根</x:v>
      </x:c>
      <x:c r="C7" s="36" t="str">
        <x:v>正例</x:v>
      </x:c>
      <x:c r="D7" s="36" t="str">
        <x:v>M03</x:v>
      </x:c>
      <x:c r="E7" s="36" t="str">
        <x:v>M03-RTLV-0034-V1.0</x:v>
      </x:c>
      <x:c r="F7" s="36" t="str">
        <x:v>庚子 戊寅 甲辰 丙午</x:v>
      </x:c>
      <x:c r="G7" s="36" t="str">
        <x:v>未知/不适用</x:v>
      </x:c>
      <x:c r="H7" s="36" t="str">
        <x:v>合成命例；不用于历法排盘；月令按月支与输入事实假设</x:v>
      </x:c>
      <x:c r="I7" s="36" t="str">
        <x:v>日主甲木；月支寅本气甲，与日主同干。</x:v>
      </x:c>
      <x:c r="J7" s="36" t="str">
        <x:v>识别甲在寅有本气直接根。</x:v>
      </x:c>
      <x:c r="K7" s="36" t="str">
        <x:v>原始根级起点为强根；有效性仍需合冲和季令修正。</x:v>
      </x:c>
      <x:c r="L7" s="36" t="str">
        <x:v>不能仅由强根直接推出日主最终身旺。</x:v>
      </x:c>
      <x:c r="M7" s="36" t="str">
        <x:v>甲在寅有本气直接强根。</x:v>
      </x:c>
      <x:c r="N7" s="36" t="str">
        <x:v>通过</x:v>
      </x:c>
      <x:c r="O7" s="36" t="str">
        <x:v>未测试</x:v>
      </x:c>
      <x:c r="P7" s="36" t="str">
        <x:v>V1.7</x:v>
      </x:c>
      <x:c r="Q7" s="36" t="str">
        <x:v>合成命例仅用于规则单元/集成测试，不替代真实命例外部验证。</x:v>
      </x:c>
    </x:row>
    <x:row r="8">
      <x:c r="A8" s="36" t="str">
        <x:v>M20-BASE-0007-V1.0</x:v>
      </x:c>
      <x:c r="B8" s="36" t="str">
        <x:v>余气同干只列弱根</x:v>
      </x:c>
      <x:c r="C8" s="36" t="str">
        <x:v>正例</x:v>
      </x:c>
      <x:c r="D8" s="36" t="str">
        <x:v>M03</x:v>
      </x:c>
      <x:c r="E8" s="36" t="str">
        <x:v>M03-RTLV-0036-V1.0</x:v>
      </x:c>
      <x:c r="F8" s="36" t="str">
        <x:v>壬子 戊辰 癸酉 甲寅</x:v>
      </x:c>
      <x:c r="G8" s="36" t="str">
        <x:v>未知/不适用</x:v>
      </x:c>
      <x:c r="H8" s="36" t="str">
        <x:v>合成命例；不用于历法排盘；月令按月支与输入事实假设</x:v>
      </x:c>
      <x:c r="I8" s="36" t="str">
        <x:v>日主癸水；辰藏戊、乙、癸，癸为余气。</x:v>
      </x:c>
      <x:c r="J8" s="36" t="str">
        <x:v>识别癸在辰有余气直接根。</x:v>
      </x:c>
      <x:c r="K8" s="36" t="str">
        <x:v>原始根级起点为弱根，主要用于否定完全无根。</x:v>
      </x:c>
      <x:c r="L8" s="36" t="str">
        <x:v>不得把辰中余气癸与子中本气癸等权。</x:v>
      </x:c>
      <x:c r="M8" s="36" t="str">
        <x:v>癸在辰仅有余气弱根。</x:v>
      </x:c>
      <x:c r="N8" s="36" t="str">
        <x:v>通过</x:v>
      </x:c>
      <x:c r="O8" s="36" t="str">
        <x:v>未测试</x:v>
      </x:c>
      <x:c r="P8" s="36" t="str">
        <x:v>V1.7</x:v>
      </x:c>
      <x:c r="Q8" s="36" t="str">
        <x:v>合成命例仅用于规则单元/集成测试，不替代真实命例外部验证。</x:v>
      </x:c>
    </x:row>
    <x:row r="9">
      <x:c r="A9" s="36" t="str">
        <x:v>M20-BASE-0008-V1.0</x:v>
      </x:c>
      <x:c r="B9" s="36" t="str">
        <x:v>同五行异阴阳属于同类根而非直接根</x:v>
      </x:c>
      <x:c r="C9" s="36" t="str">
        <x:v>边界案例</x:v>
      </x:c>
      <x:c r="D9" s="36" t="str">
        <x:v>M03</x:v>
      </x:c>
      <x:c r="E9" s="36" t="str">
        <x:v>M03-RTLV-0037-V1.0；M03-RTLV-0038-V1.0</x:v>
      </x:c>
      <x:c r="F9" s="36" t="str">
        <x:v>庚子 乙卯 甲辰 丙午</x:v>
      </x:c>
      <x:c r="G9" s="36" t="str">
        <x:v>未知/不适用</x:v>
      </x:c>
      <x:c r="H9" s="36" t="str">
        <x:v>合成命例；不用于历法排盘；月令按月支与输入事实假设</x:v>
      </x:c>
      <x:c r="I9" s="36" t="str">
        <x:v>日主甲木；月支卯本气乙木，与甲同五行但阴阳不同。</x:v>
      </x:c>
      <x:c r="J9" s="36" t="str">
        <x:v>识别卯为甲木的同类根，不标甲的直接同干根。</x:v>
      </x:c>
      <x:c r="K9" s="36" t="str">
        <x:v>同类根提供得地支持，但强度不得照搬本气直接根。</x:v>
      </x:c>
      <x:c r="L9" s="36" t="str">
        <x:v>输出必须同时写明“木根存在”与“甲无同干直接根”。</x:v>
      </x:c>
      <x:c r="M9" s="36" t="str">
        <x:v>卯对甲提供同类根，不是甲的直接根。</x:v>
      </x:c>
      <x:c r="N9" s="36" t="str">
        <x:v>通过</x:v>
      </x:c>
      <x:c r="O9" s="36" t="str">
        <x:v>未测试</x:v>
      </x:c>
      <x:c r="P9" s="36" t="str">
        <x:v>V1.7</x:v>
      </x:c>
      <x:c r="Q9" s="36" t="str">
        <x:v>合成命例仅用于规则单元/集成测试，不替代真实命例外部验证。</x:v>
      </x:c>
    </x:row>
    <x:row r="10">
      <x:c r="A10" s="36" t="str">
        <x:v>M20-BASE-0009-V1.0</x:v>
      </x:c>
      <x:c r="B10" s="36" t="str">
        <x:v>有根不等于最终身旺</x:v>
      </x:c>
      <x:c r="C10" s="36" t="str">
        <x:v>反例</x:v>
      </x:c>
      <x:c r="D10" s="36" t="str">
        <x:v>M03</x:v>
      </x:c>
      <x:c r="E10" s="36" t="str">
        <x:v>M03-EDGE-0059-V1.0</x:v>
      </x:c>
      <x:c r="F10" s="36" t="str">
        <x:v>庚申 壬申 甲寅 戊辰</x:v>
      </x:c>
      <x:c r="G10" s="36" t="str">
        <x:v>未知/不适用</x:v>
      </x:c>
      <x:c r="H10" s="36" t="str">
        <x:v>合成命例；不用于历法排盘；月令按月支与输入事实假设</x:v>
      </x:c>
      <x:c r="I10" s="36" t="str">
        <x:v>甲日主有寅本气根；但申月金当令，庚壬申金水及财杀压力需综合。</x:v>
      </x:c>
      <x:c r="J10" s="36" t="str">
        <x:v>识别甲有根，不得删除。</x:v>
      </x:c>
      <x:c r="K10" s="36" t="str">
        <x:v>有根只证明得地；最终旺衰需比较季令、印比、官杀财食。</x:v>
      </x:c>
      <x:c r="L10" s="36" t="str">
        <x:v>本例不能仅凭寅根判甲木身旺。</x:v>
      </x:c>
      <x:c r="M10" s="36" t="str">
        <x:v>甲有根，但“有根＝身旺”的推导被否决。</x:v>
      </x:c>
      <x:c r="N10" s="36" t="str">
        <x:v>通过</x:v>
      </x:c>
      <x:c r="O10" s="36" t="str">
        <x:v>未测试</x:v>
      </x:c>
      <x:c r="P10" s="36" t="str">
        <x:v>V1.7</x:v>
      </x:c>
      <x:c r="Q10" s="36" t="str">
        <x:v>合成命例仅用于规则单元/集成测试，不替代真实命例外部验证。</x:v>
      </x:c>
    </x:row>
    <x:row r="11">
      <x:c r="A11" s="36" t="str">
        <x:v>M20-BASE-0010-V1.0</x:v>
      </x:c>
      <x:c r="B11" s="36" t="str">
        <x:v>无直接根不等于最终身弱</x:v>
      </x:c>
      <x:c r="C11" s="36" t="str">
        <x:v>反例</x:v>
      </x:c>
      <x:c r="D11" s="36" t="str">
        <x:v>M03</x:v>
      </x:c>
      <x:c r="E11" s="36" t="str">
        <x:v>M03-EDGE-0058-V1.0</x:v>
      </x:c>
      <x:c r="F11" s="36" t="str">
        <x:v>壬子 癸丑 甲午 乙酉</x:v>
      </x:c>
      <x:c r="G11" s="36" t="str">
        <x:v>未知/不适用</x:v>
      </x:c>
      <x:c r="H11" s="36" t="str">
        <x:v>合成命例；不用于历法排盘；月令按月支与输入事实假设</x:v>
      </x:c>
      <x:c r="I11" s="36" t="str">
        <x:v>甲日主地支无甲同干根；天干壬癸印、乙劫财均能提供生扶。</x:v>
      </x:c>
      <x:c r="J11" s="36" t="str">
        <x:v>识别甲无直接根，同时保留印比有效生扶。</x:v>
      </x:c>
      <x:c r="K11" s="36" t="str">
        <x:v>无根是得地不足，不足以单独判身弱。</x:v>
      </x:c>
      <x:c r="L11" s="36" t="str">
        <x:v>最终旺衰仍需M09比较扶身侧与财官食伤负荷。</x:v>
      </x:c>
      <x:c r="M11" s="36" t="str">
        <x:v>无直接根不能自动推出甲木身弱。</x:v>
      </x:c>
      <x:c r="N11" s="36" t="str">
        <x:v>通过</x:v>
      </x:c>
      <x:c r="O11" s="36" t="str">
        <x:v>未测试</x:v>
      </x:c>
      <x:c r="P11" s="36" t="str">
        <x:v>V1.7</x:v>
      </x:c>
      <x:c r="Q11" s="36" t="str">
        <x:v>合成命例仅用于规则单元/集成测试，不替代真实命例外部验证。</x:v>
      </x:c>
    </x:row>
    <x:row r="12">
      <x:c r="A12" s="36" t="str">
        <x:v>M20-REL-0011-V1.0</x:v>
      </x:c>
      <x:c r="B12" s="36" t="str">
        <x:v>甲己天干五合识别</x:v>
      </x:c>
      <x:c r="C12" s="36" t="str">
        <x:v>正例</x:v>
      </x:c>
      <x:c r="D12" s="36" t="str">
        <x:v>M04</x:v>
      </x:c>
      <x:c r="E12" s="36" t="str">
        <x:v>M04-HE-0001-V1.0</x:v>
      </x:c>
      <x:c r="F12" s="36" t="str">
        <x:v>甲子 己丑 丙寅 丁卯</x:v>
      </x:c>
      <x:c r="G12" s="36" t="str">
        <x:v>未知/不适用</x:v>
      </x:c>
      <x:c r="H12" s="36" t="str">
        <x:v>合成命例；不用于历法排盘；月令按月支与输入事实假设</x:v>
      </x:c>
      <x:c r="I12" s="36" t="str">
        <x:v>甲、己明干同时出现；只测试识别层，不预设化神。</x:v>
      </x:c>
      <x:c r="J12" s="36" t="str">
        <x:v>甲己合候选成立，记录柱位和关系实例。</x:v>
      </x:c>
      <x:c r="K12" s="36" t="str">
        <x:v>识别层不裁定合绊、合住或合化。</x:v>
      </x:c>
      <x:c r="L12" s="36" t="str">
        <x:v>后续转M06检验实际效应。</x:v>
      </x:c>
      <x:c r="M12" s="36" t="str">
        <x:v>甲己合候选被正确识别。</x:v>
      </x:c>
      <x:c r="N12" s="36" t="str">
        <x:v>通过</x:v>
      </x:c>
      <x:c r="O12" s="36" t="str">
        <x:v>未测试</x:v>
      </x:c>
      <x:c r="P12" s="36" t="str">
        <x:v>V1.7</x:v>
      </x:c>
      <x:c r="Q12" s="36" t="str">
        <x:v>合成命例仅用于规则单元/集成测试，不替代真实命例外部验证。</x:v>
      </x:c>
    </x:row>
    <x:row r="13">
      <x:c r="A13" s="36" t="str">
        <x:v>M20-REL-0012-V1.0</x:v>
      </x:c>
      <x:c r="B13" s="36" t="str">
        <x:v>乙庚天干五合识别</x:v>
      </x:c>
      <x:c r="C13" s="36" t="str">
        <x:v>正例</x:v>
      </x:c>
      <x:c r="D13" s="36" t="str">
        <x:v>M04</x:v>
      </x:c>
      <x:c r="E13" s="36" t="str">
        <x:v>M04-HE-0002-V1.0</x:v>
      </x:c>
      <x:c r="F13" s="36" t="str">
        <x:v>乙子 庚丑 丙寅 丁卯</x:v>
      </x:c>
      <x:c r="G13" s="36" t="str">
        <x:v>未知/不适用</x:v>
      </x:c>
      <x:c r="H13" s="36" t="str">
        <x:v>合成命例；不用于历法排盘；月令按月支与输入事实假设</x:v>
      </x:c>
      <x:c r="I13" s="36" t="str">
        <x:v>乙、庚明干同时出现；只测试识别层，不预设化神。</x:v>
      </x:c>
      <x:c r="J13" s="36" t="str">
        <x:v>乙庚合候选成立，记录柱位和关系实例。</x:v>
      </x:c>
      <x:c r="K13" s="36" t="str">
        <x:v>识别层不裁定合绊、合住或合化。</x:v>
      </x:c>
      <x:c r="L13" s="36" t="str">
        <x:v>后续转M06检验实际效应。</x:v>
      </x:c>
      <x:c r="M13" s="36" t="str">
        <x:v>乙庚合候选被正确识别。</x:v>
      </x:c>
      <x:c r="N13" s="36" t="str">
        <x:v>通过</x:v>
      </x:c>
      <x:c r="O13" s="36" t="str">
        <x:v>未测试</x:v>
      </x:c>
      <x:c r="P13" s="36" t="str">
        <x:v>V1.7</x:v>
      </x:c>
      <x:c r="Q13" s="36" t="str">
        <x:v>合成命例仅用于规则单元/集成测试，不替代真实命例外部验证。</x:v>
      </x:c>
    </x:row>
    <x:row r="14">
      <x:c r="A14" s="36" t="str">
        <x:v>M20-REL-0013-V1.0</x:v>
      </x:c>
      <x:c r="B14" s="36" t="str">
        <x:v>丙辛天干五合识别</x:v>
      </x:c>
      <x:c r="C14" s="36" t="str">
        <x:v>正例</x:v>
      </x:c>
      <x:c r="D14" s="36" t="str">
        <x:v>M04</x:v>
      </x:c>
      <x:c r="E14" s="36" t="str">
        <x:v>M04-HE-0003-V1.0</x:v>
      </x:c>
      <x:c r="F14" s="36" t="str">
        <x:v>丙子 辛丑 甲寅 丁卯</x:v>
      </x:c>
      <x:c r="G14" s="36" t="str">
        <x:v>未知/不适用</x:v>
      </x:c>
      <x:c r="H14" s="36" t="str">
        <x:v>合成命例；不用于历法排盘；月令按月支与输入事实假设</x:v>
      </x:c>
      <x:c r="I14" s="36" t="str">
        <x:v>丙、辛明干同时出现；只测试识别层，不预设化神。</x:v>
      </x:c>
      <x:c r="J14" s="36" t="str">
        <x:v>丙辛合候选成立，记录柱位和关系实例。</x:v>
      </x:c>
      <x:c r="K14" s="36" t="str">
        <x:v>识别层不裁定合绊、合住或合化。</x:v>
      </x:c>
      <x:c r="L14" s="36" t="str">
        <x:v>后续转M06检验实际效应。</x:v>
      </x:c>
      <x:c r="M14" s="36" t="str">
        <x:v>丙辛合候选被正确识别。</x:v>
      </x:c>
      <x:c r="N14" s="36" t="str">
        <x:v>通过</x:v>
      </x:c>
      <x:c r="O14" s="36" t="str">
        <x:v>未测试</x:v>
      </x:c>
      <x:c r="P14" s="36" t="str">
        <x:v>V1.7</x:v>
      </x:c>
      <x:c r="Q14" s="36" t="str">
        <x:v>合成命例仅用于规则单元/集成测试，不替代真实命例外部验证。</x:v>
      </x:c>
    </x:row>
    <x:row r="15">
      <x:c r="A15" s="36" t="str">
        <x:v>M20-REL-0014-V1.0</x:v>
      </x:c>
      <x:c r="B15" s="36" t="str">
        <x:v>丁壬天干五合识别</x:v>
      </x:c>
      <x:c r="C15" s="36" t="str">
        <x:v>正例</x:v>
      </x:c>
      <x:c r="D15" s="36" t="str">
        <x:v>M04</x:v>
      </x:c>
      <x:c r="E15" s="36" t="str">
        <x:v>M04-HE-0004-V1.0</x:v>
      </x:c>
      <x:c r="F15" s="36" t="str">
        <x:v>丁子 壬丑 甲寅 丙卯</x:v>
      </x:c>
      <x:c r="G15" s="36" t="str">
        <x:v>未知/不适用</x:v>
      </x:c>
      <x:c r="H15" s="36" t="str">
        <x:v>合成命例；不用于历法排盘；月令按月支与输入事实假设</x:v>
      </x:c>
      <x:c r="I15" s="36" t="str">
        <x:v>丁、壬明干同时出现；只测试识别层，不预设化神。</x:v>
      </x:c>
      <x:c r="J15" s="36" t="str">
        <x:v>丁壬合候选成立，记录柱位和关系实例。</x:v>
      </x:c>
      <x:c r="K15" s="36" t="str">
        <x:v>识别层不裁定合绊、合住或合化。</x:v>
      </x:c>
      <x:c r="L15" s="36" t="str">
        <x:v>后续转M06检验实际效应。</x:v>
      </x:c>
      <x:c r="M15" s="36" t="str">
        <x:v>丁壬合候选被正确识别。</x:v>
      </x:c>
      <x:c r="N15" s="36" t="str">
        <x:v>通过</x:v>
      </x:c>
      <x:c r="O15" s="36" t="str">
        <x:v>未测试</x:v>
      </x:c>
      <x:c r="P15" s="36" t="str">
        <x:v>V1.7</x:v>
      </x:c>
      <x:c r="Q15" s="36" t="str">
        <x:v>合成命例仅用于规则单元/集成测试，不替代真实命例外部验证。</x:v>
      </x:c>
    </x:row>
    <x:row r="16">
      <x:c r="A16" s="36" t="str">
        <x:v>M20-REL-0015-V1.0</x:v>
      </x:c>
      <x:c r="B16" s="36" t="str">
        <x:v>戊癸天干五合识别</x:v>
      </x:c>
      <x:c r="C16" s="36" t="str">
        <x:v>正例</x:v>
      </x:c>
      <x:c r="D16" s="36" t="str">
        <x:v>M04</x:v>
      </x:c>
      <x:c r="E16" s="36" t="str">
        <x:v>M04-HE-0005-V1.0</x:v>
      </x:c>
      <x:c r="F16" s="36" t="str">
        <x:v>戊子 癸丑 甲寅 丙卯</x:v>
      </x:c>
      <x:c r="G16" s="36" t="str">
        <x:v>未知/不适用</x:v>
      </x:c>
      <x:c r="H16" s="36" t="str">
        <x:v>合成命例；不用于历法排盘；月令按月支与输入事实假设</x:v>
      </x:c>
      <x:c r="I16" s="36" t="str">
        <x:v>戊、癸明干同时出现；只测试识别层，不预设化神。</x:v>
      </x:c>
      <x:c r="J16" s="36" t="str">
        <x:v>戊癸合候选成立，记录柱位和关系实例。</x:v>
      </x:c>
      <x:c r="K16" s="36" t="str">
        <x:v>识别层不裁定合绊、合住或合化。</x:v>
      </x:c>
      <x:c r="L16" s="36" t="str">
        <x:v>后续转M06检验实际效应。</x:v>
      </x:c>
      <x:c r="M16" s="36" t="str">
        <x:v>戊癸合候选被正确识别。</x:v>
      </x:c>
      <x:c r="N16" s="36" t="str">
        <x:v>通过</x:v>
      </x:c>
      <x:c r="O16" s="36" t="str">
        <x:v>未测试</x:v>
      </x:c>
      <x:c r="P16" s="36" t="str">
        <x:v>V1.7</x:v>
      </x:c>
      <x:c r="Q16" s="36" t="str">
        <x:v>合成命例仅用于规则单元/集成测试，不替代真实命例外部验证。</x:v>
      </x:c>
    </x:row>
    <x:row r="17">
      <x:c r="A17" s="36" t="str">
        <x:v>M20-REL-0016-V1.0</x:v>
      </x:c>
      <x:c r="B17" s="36" t="str">
        <x:v>藏干不能替代明干建立甲己合</x:v>
      </x:c>
      <x:c r="C17" s="36" t="str">
        <x:v>反例</x:v>
      </x:c>
      <x:c r="D17" s="36" t="str">
        <x:v>M04</x:v>
      </x:c>
      <x:c r="E17" s="36" t="str">
        <x:v>M04-BOUND-0047-V1.0</x:v>
      </x:c>
      <x:c r="F17" s="36" t="str">
        <x:v>甲子 乙丑 丙寅 丁卯</x:v>
      </x:c>
      <x:c r="G17" s="36" t="str">
        <x:v>未知/不适用</x:v>
      </x:c>
      <x:c r="H17" s="36" t="str">
        <x:v>合成命例；不用于历法排盘；月令按月支与输入事实假设</x:v>
      </x:c>
      <x:c r="I17" s="36" t="str">
        <x:v>甲为年干；己仅藏于丑中，四柱天干无己。</x:v>
      </x:c>
      <x:c r="J17" s="36" t="str">
        <x:v>不识别甲己天干五合。</x:v>
      </x:c>
      <x:c r="K17" s="36" t="str">
        <x:v>丑中己仍保留藏干存在，但不能形成明干合。</x:v>
      </x:c>
      <x:c r="L17" s="36" t="str">
        <x:v>甲己合候选被否决。</x:v>
      </x:c>
      <x:c r="M17" s="36" t="str">
        <x:v>仅藏己不能与明甲建立天干五合。</x:v>
      </x:c>
      <x:c r="N17" s="36" t="str">
        <x:v>通过</x:v>
      </x:c>
      <x:c r="O17" s="36" t="str">
        <x:v>未测试</x:v>
      </x:c>
      <x:c r="P17" s="36" t="str">
        <x:v>V1.7</x:v>
      </x:c>
      <x:c r="Q17" s="36" t="str">
        <x:v>合成命例仅用于规则单元/集成测试，不替代真实命例外部验证。</x:v>
      </x:c>
    </x:row>
    <x:row r="18">
      <x:c r="A18" s="36" t="str">
        <x:v>M20-REL-0017-V1.0</x:v>
      </x:c>
      <x:c r="B18" s="36" t="str">
        <x:v>一己两甲生成争合候选</x:v>
      </x:c>
      <x:c r="C18" s="36" t="str">
        <x:v>边界案例</x:v>
      </x:c>
      <x:c r="D18" s="36" t="str">
        <x:v>M04</x:v>
      </x:c>
      <x:c r="E18" s="36" t="str">
        <x:v>M04-ZHENG-0037-V1.0；M04-ZHENG-0042-V1.0</x:v>
      </x:c>
      <x:c r="F18" s="36" t="str">
        <x:v>甲子 己丑 甲寅 丁卯</x:v>
      </x:c>
      <x:c r="G18" s="36" t="str">
        <x:v>未知/不适用</x:v>
      </x:c>
      <x:c r="H18" s="36" t="str">
        <x:v>合成命例；不用于历法排盘；月令按月支与输入事实假设</x:v>
      </x:c>
      <x:c r="I18" s="36" t="str">
        <x:v>年干甲、月干己、日干甲；己分别与两甲形成固定配对。</x:v>
      </x:c>
      <x:c r="J18" s="36" t="str">
        <x:v>登记年甲—月己、日甲—月己两个独立合实例，并生成争合候选。</x:v>
      </x:c>
      <x:c r="K18" s="36" t="str">
        <x:v>识别层不判哪一甲合得更牢。</x:v>
      </x:c>
      <x:c r="L18" s="36" t="str">
        <x:v>M06应下调单一合关系稳定性。</x:v>
      </x:c>
      <x:c r="M18" s="36" t="str">
        <x:v>甲己争合候选与两个柱位实例均被保留。</x:v>
      </x:c>
      <x:c r="N18" s="36" t="str">
        <x:v>通过</x:v>
      </x:c>
      <x:c r="O18" s="36" t="str">
        <x:v>未测试</x:v>
      </x:c>
      <x:c r="P18" s="36" t="str">
        <x:v>V1.7</x:v>
      </x:c>
      <x:c r="Q18" s="36" t="str">
        <x:v>合成命例仅用于规则单元/集成测试，不替代真实命例外部验证。</x:v>
      </x:c>
    </x:row>
    <x:row r="19">
      <x:c r="A19" s="36" t="str">
        <x:v>M20-REL-0018-V1.0</x:v>
      </x:c>
      <x:c r="B19" s="36" t="str">
        <x:v>甲己合与甲克己需同时列出</x:v>
      </x:c>
      <x:c r="C19" s="36" t="str">
        <x:v>边界案例</x:v>
      </x:c>
      <x:c r="D19" s="36" t="str">
        <x:v>M04</x:v>
      </x:c>
      <x:c r="E19" s="36" t="str">
        <x:v>M04-OVER-0046-V1.0</x:v>
      </x:c>
      <x:c r="F19" s="36" t="str">
        <x:v>甲子 己丑 丙寅 丁卯</x:v>
      </x:c>
      <x:c r="G19" s="36" t="str">
        <x:v>未知/不适用</x:v>
      </x:c>
      <x:c r="H19" s="36" t="str">
        <x:v>合成命例；不用于历法排盘；月令按月支与输入事实假设</x:v>
      </x:c>
      <x:c r="I19" s="36" t="str">
        <x:v>甲与己既是五合固定配对，又存在甲木克己土的生克路径。</x:v>
      </x:c>
      <x:c r="J19" s="36" t="str">
        <x:v>独立登记甲己合和甲克己两个关系。</x:v>
      </x:c>
      <x:c r="K19" s="36" t="str">
        <x:v>效应层再判断合意、合绊与克制净效应。</x:v>
      </x:c>
      <x:c r="L19" s="36" t="str">
        <x:v>不得因合而删除克，也不得因克而删除合。</x:v>
      </x:c>
      <x:c r="M19" s="36" t="str">
        <x:v>甲己合克并见被正确拆分。</x:v>
      </x:c>
      <x:c r="N19" s="36" t="str">
        <x:v>通过</x:v>
      </x:c>
      <x:c r="O19" s="36" t="str">
        <x:v>未测试</x:v>
      </x:c>
      <x:c r="P19" s="36" t="str">
        <x:v>V1.7</x:v>
      </x:c>
      <x:c r="Q19" s="36" t="str">
        <x:v>合成命例仅用于规则单元/集成测试，不替代真实命例外部验证。</x:v>
      </x:c>
    </x:row>
    <x:row r="20">
      <x:c r="A20" s="36" t="str">
        <x:v>M20-REL-0019-V1.0</x:v>
      </x:c>
      <x:c r="B20" s="36" t="str">
        <x:v>子丑六合客观识别</x:v>
      </x:c>
      <x:c r="C20" s="36" t="str">
        <x:v>正例</x:v>
      </x:c>
      <x:c r="D20" s="36" t="str">
        <x:v>M05</x:v>
      </x:c>
      <x:c r="E20" s="36" t="str">
        <x:v>M05-LIUHE-0001-V1.0；M05-BOUND-0074-V1.0</x:v>
      </x:c>
      <x:c r="F20" s="36" t="str">
        <x:v>甲子 乙丑 丙寅 丁卯</x:v>
      </x:c>
      <x:c r="G20" s="36" t="str">
        <x:v>未知/不适用</x:v>
      </x:c>
      <x:c r="H20" s="36" t="str">
        <x:v>合成命例；不用于历法排盘；月令按月支与输入事实假设</x:v>
      </x:c>
      <x:c r="I20" s="36" t="str">
        <x:v>原局地支同时见子、丑。</x:v>
      </x:c>
      <x:c r="J20" s="36" t="str">
        <x:v>识别子丑六合并记录柱位。</x:v>
      </x:c>
      <x:c r="K20" s="36" t="str">
        <x:v>不预设合化、合住或双方减力。</x:v>
      </x:c>
      <x:c r="L20" s="36" t="str">
        <x:v>六合仅进入M06效应判断。</x:v>
      </x:c>
      <x:c r="M20" s="36" t="str">
        <x:v>子丑六合成立，但合化未被越级认定。</x:v>
      </x:c>
      <x:c r="N20" s="36" t="str">
        <x:v>通过</x:v>
      </x:c>
      <x:c r="O20" s="36" t="str">
        <x:v>未测试</x:v>
      </x:c>
      <x:c r="P20" s="36" t="str">
        <x:v>V1.7</x:v>
      </x:c>
      <x:c r="Q20" s="36" t="str">
        <x:v>合成命例仅用于规则单元/集成测试，不替代真实命例外部验证。</x:v>
      </x:c>
    </x:row>
    <x:row r="21">
      <x:c r="A21" s="36" t="str">
        <x:v>M20-REL-0020-V1.0</x:v>
      </x:c>
      <x:c r="B21" s="36" t="str">
        <x:v>申子辰三合结构完整识别</x:v>
      </x:c>
      <x:c r="C21" s="36" t="str">
        <x:v>正例</x:v>
      </x:c>
      <x:c r="D21" s="36" t="str">
        <x:v>M05</x:v>
      </x:c>
      <x:c r="E21" s="36" t="str">
        <x:v>M05-SANHE-0007-V1.0；M05-BOUND-0075-V1.0</x:v>
      </x:c>
      <x:c r="F21" s="36" t="str">
        <x:v>庚申 壬子 甲辰 丙午</x:v>
      </x:c>
      <x:c r="G21" s="36" t="str">
        <x:v>未知/不适用</x:v>
      </x:c>
      <x:c r="H21" s="36" t="str">
        <x:v>合成命例；不用于历法排盘；月令按月支与输入事实假设</x:v>
      </x:c>
      <x:c r="I21" s="36" t="str">
        <x:v>原局地支申、子、辰三支齐全。</x:v>
      </x:c>
      <x:c r="J21" s="36" t="str">
        <x:v>识别申子辰三合结构完整。</x:v>
      </x:c>
      <x:c r="K21" s="36" t="str">
        <x:v>完整结构不等于水局已经成局。</x:v>
      </x:c>
      <x:c r="L21" s="36" t="str">
        <x:v>转M06检查中神、月令、透干、破局和全局气势。</x:v>
      </x:c>
      <x:c r="M21" s="36" t="str">
        <x:v>三合完整被识别，成局结论被保留待审。</x:v>
      </x:c>
      <x:c r="N21" s="36" t="str">
        <x:v>通过</x:v>
      </x:c>
      <x:c r="O21" s="36" t="str">
        <x:v>未测试</x:v>
      </x:c>
      <x:c r="P21" s="36" t="str">
        <x:v>V1.7</x:v>
      </x:c>
      <x:c r="Q21" s="36" t="str">
        <x:v>合成命例仅用于规则单元/集成测试，不替代真实命例外部验证。</x:v>
      </x:c>
    </x:row>
    <x:row r="22">
      <x:c r="A22" s="36" t="str">
        <x:v>M20-REL-0021-V1.0</x:v>
      </x:c>
      <x:c r="B22" s="36" t="str">
        <x:v>申子属于半合而非完整三合</x:v>
      </x:c>
      <x:c r="C22" s="36" t="str">
        <x:v>正例</x:v>
      </x:c>
      <x:c r="D22" s="36" t="str">
        <x:v>M05</x:v>
      </x:c>
      <x:c r="E22" s="36" t="str">
        <x:v>M05-BANHE-0011-V1.0；M05-BOUND-0070-V1.0</x:v>
      </x:c>
      <x:c r="F22" s="36" t="str">
        <x:v>庚申 壬子 甲午 丙寅</x:v>
      </x:c>
      <x:c r="G22" s="36" t="str">
        <x:v>未知/不适用</x:v>
      </x:c>
      <x:c r="H22" s="36" t="str">
        <x:v>合成命例；不用于历法排盘；月令按月支与输入事实假设</x:v>
      </x:c>
      <x:c r="I22" s="36" t="str">
        <x:v>地支见申、子，不见辰。</x:v>
      </x:c>
      <x:c r="J22" s="36" t="str">
        <x:v>识别申子半合，不识别申子辰三合完整。</x:v>
      </x:c>
      <x:c r="K22" s="36" t="str">
        <x:v>半合效应另转M06，不能套完整局气。</x:v>
      </x:c>
      <x:c r="L22" s="36" t="str">
        <x:v>结构状态为局部候选。</x:v>
      </x:c>
      <x:c r="M22" s="36" t="str">
        <x:v>申子半合成立，完整三合被否决。</x:v>
      </x:c>
      <x:c r="N22" s="36" t="str">
        <x:v>通过</x:v>
      </x:c>
      <x:c r="O22" s="36" t="str">
        <x:v>未测试</x:v>
      </x:c>
      <x:c r="P22" s="36" t="str">
        <x:v>V1.7</x:v>
      </x:c>
      <x:c r="Q22" s="36" t="str">
        <x:v>合成命例仅用于规则单元/集成测试，不替代真实命例外部验证。</x:v>
      </x:c>
    </x:row>
    <x:row r="23">
      <x:c r="A23" s="36" t="str">
        <x:v>M20-REL-0022-V1.0</x:v>
      </x:c>
      <x:c r="B23" s="36" t="str">
        <x:v>申辰无子属于拱合而非半合</x:v>
      </x:c>
      <x:c r="C23" s="36" t="str">
        <x:v>边界案例</x:v>
      </x:c>
      <x:c r="D23" s="36" t="str">
        <x:v>M05</x:v>
      </x:c>
      <x:c r="E23" s="36" t="str">
        <x:v>M05-GONGHE-0019-V1.0；M05-BOUND-0087-V1.0</x:v>
      </x:c>
      <x:c r="F23" s="36" t="str">
        <x:v>庚申 戊辰 甲午 丙寅</x:v>
      </x:c>
      <x:c r="G23" s="36" t="str">
        <x:v>未知/不适用</x:v>
      </x:c>
      <x:c r="H23" s="36" t="str">
        <x:v>合成命例；不用于历法排盘；月令按月支与输入事实假设</x:v>
      </x:c>
      <x:c r="I23" s="36" t="str">
        <x:v>三合两端申、辰齐全，中神子缺失。</x:v>
      </x:c>
      <x:c r="J23" s="36" t="str">
        <x:v>识别申辰拱合，不标半合。</x:v>
      </x:c>
      <x:c r="K23" s="36" t="str">
        <x:v>只生成拱水候选，岁运补子另作动态判断。</x:v>
      </x:c>
      <x:c r="L23" s="36" t="str">
        <x:v>原局不能按申子辰水局处理。</x:v>
      </x:c>
      <x:c r="M23" s="36" t="str">
        <x:v>申辰被正确分类为拱合。</x:v>
      </x:c>
      <x:c r="N23" s="36" t="str">
        <x:v>通过</x:v>
      </x:c>
      <x:c r="O23" s="36" t="str">
        <x:v>未测试</x:v>
      </x:c>
      <x:c r="P23" s="36" t="str">
        <x:v>V1.7</x:v>
      </x:c>
      <x:c r="Q23" s="36" t="str">
        <x:v>合成命例仅用于规则单元/集成测试，不替代真实命例外部验证。</x:v>
      </x:c>
    </x:row>
    <x:row r="24">
      <x:c r="A24" s="36" t="str">
        <x:v>M20-REL-0023-V1.0</x:v>
      </x:c>
      <x:c r="B24" s="36" t="str">
        <x:v>寅卯辰三会结构完整识别</x:v>
      </x:c>
      <x:c r="C24" s="36" t="str">
        <x:v>正例</x:v>
      </x:c>
      <x:c r="D24" s="36" t="str">
        <x:v>M05</x:v>
      </x:c>
      <x:c r="E24" s="36" t="str">
        <x:v>M05-SANHUI-0024-V1.0；M05-BOUND-0076-V1.0</x:v>
      </x:c>
      <x:c r="F24" s="36" t="str">
        <x:v>甲寅 乙卯 丙辰 丁午</x:v>
      </x:c>
      <x:c r="G24" s="36" t="str">
        <x:v>未知/不适用</x:v>
      </x:c>
      <x:c r="H24" s="36" t="str">
        <x:v>合成命例；不用于历法排盘；月令按月支与输入事实假设</x:v>
      </x:c>
      <x:c r="I24" s="36" t="str">
        <x:v>地支寅、卯、辰齐全。</x:v>
      </x:c>
      <x:c r="J24" s="36" t="str">
        <x:v>识别寅卯辰三会结构完整。</x:v>
      </x:c>
      <x:c r="K24" s="36" t="str">
        <x:v>完整不等于木方局已经成势。</x:v>
      </x:c>
      <x:c r="L24" s="36" t="str">
        <x:v>转M06判断得令、透干、根气和破坏因素。</x:v>
      </x:c>
      <x:c r="M24" s="36" t="str">
        <x:v>三会完整被识别，成局效应未越级。</x:v>
      </x:c>
      <x:c r="N24" s="36" t="str">
        <x:v>通过</x:v>
      </x:c>
      <x:c r="O24" s="36" t="str">
        <x:v>未测试</x:v>
      </x:c>
      <x:c r="P24" s="36" t="str">
        <x:v>V1.7</x:v>
      </x:c>
      <x:c r="Q24" s="36" t="str">
        <x:v>合成命例仅用于规则单元/集成测试，不替代真实命例外部验证。</x:v>
      </x:c>
    </x:row>
    <x:row r="25">
      <x:c r="A25" s="36" t="str">
        <x:v>M20-REL-0024-V1.0</x:v>
      </x:c>
      <x:c r="B25" s="36" t="str">
        <x:v>寅申六冲客观识别</x:v>
      </x:c>
      <x:c r="C25" s="36" t="str">
        <x:v>正例</x:v>
      </x:c>
      <x:c r="D25" s="36" t="str">
        <x:v>M05</x:v>
      </x:c>
      <x:c r="E25" s="36" t="str">
        <x:v>M05-CHONG-0029-V1.0；M05-BOUND-0077-V1.0</x:v>
      </x:c>
      <x:c r="F25" s="36" t="str">
        <x:v>庚申 戊寅 甲辰 丙午</x:v>
      </x:c>
      <x:c r="G25" s="36" t="str">
        <x:v>未知/不适用</x:v>
      </x:c>
      <x:c r="H25" s="36" t="str">
        <x:v>合成命例；不用于历法排盘；月令按月支与输入事实假设</x:v>
      </x:c>
      <x:c r="I25" s="36" t="str">
        <x:v>地支同时见寅、申。</x:v>
      </x:c>
      <x:c r="J25" s="36" t="str">
        <x:v>识别寅申冲并记录柱位。</x:v>
      </x:c>
      <x:c r="K25" s="36" t="str">
        <x:v>不预设冲散、冲去或拔根。</x:v>
      </x:c>
      <x:c r="L25" s="36" t="str">
        <x:v>实际双方增减和根气影响转M06。</x:v>
      </x:c>
      <x:c r="M25" s="36" t="str">
        <x:v>寅申冲成立，力量后果未越级。</x:v>
      </x:c>
      <x:c r="N25" s="36" t="str">
        <x:v>通过</x:v>
      </x:c>
      <x:c r="O25" s="36" t="str">
        <x:v>未测试</x:v>
      </x:c>
      <x:c r="P25" s="36" t="str">
        <x:v>V1.7</x:v>
      </x:c>
      <x:c r="Q25" s="36" t="str">
        <x:v>合成命例仅用于规则单元/集成测试，不替代真实命例外部验证。</x:v>
      </x:c>
    </x:row>
    <x:row r="26">
      <x:c r="A26" s="36" t="str">
        <x:v>M20-REL-0025-V1.0</x:v>
      </x:c>
      <x:c r="B26" s="36" t="str">
        <x:v>寅巳申三刑结构完整识别</x:v>
      </x:c>
      <x:c r="C26" s="36" t="str">
        <x:v>正例</x:v>
      </x:c>
      <x:c r="D26" s="36" t="str">
        <x:v>M05</x:v>
      </x:c>
      <x:c r="E26" s="36" t="str">
        <x:v>M05-XING-0036-V1.0；M05-BOUND-0078-V1.0</x:v>
      </x:c>
      <x:c r="F26" s="36" t="str">
        <x:v>甲寅 丁巳 戊申 庚子</x:v>
      </x:c>
      <x:c r="G26" s="36" t="str">
        <x:v>未知/不适用</x:v>
      </x:c>
      <x:c r="H26" s="36" t="str">
        <x:v>合成命例；不用于历法排盘；月令按月支与输入事实假设</x:v>
      </x:c>
      <x:c r="I26" s="36" t="str">
        <x:v>寅、巳、申三支齐全。</x:v>
      </x:c>
      <x:c r="J26" s="36" t="str">
        <x:v>识别完整三刑，同时保留其他重叠关系候选。</x:v>
      </x:c>
      <x:c r="K26" s="36" t="str">
        <x:v>不预设三支同步减力。</x:v>
      </x:c>
      <x:c r="L26" s="36" t="str">
        <x:v>M06逐支判断刑动、刑伤和重叠效应。</x:v>
      </x:c>
      <x:c r="M26" s="36" t="str">
        <x:v>完整三刑被识别，固定减力被否决。</x:v>
      </x:c>
      <x:c r="N26" s="36" t="str">
        <x:v>通过</x:v>
      </x:c>
      <x:c r="O26" s="36" t="str">
        <x:v>未测试</x:v>
      </x:c>
      <x:c r="P26" s="36" t="str">
        <x:v>V1.7</x:v>
      </x:c>
      <x:c r="Q26" s="36" t="str">
        <x:v>合成命例仅用于规则单元/集成测试，不替代真实命例外部验证。</x:v>
      </x:c>
    </x:row>
    <x:row r="27">
      <x:c r="A27" s="36" t="str">
        <x:v>M20-REL-0026-V1.0</x:v>
      </x:c>
      <x:c r="B27" s="36" t="str">
        <x:v>寅巳两支不得标完整三刑</x:v>
      </x:c>
      <x:c r="C27" s="36" t="str">
        <x:v>反例</x:v>
      </x:c>
      <x:c r="D27" s="36" t="str">
        <x:v>M05</x:v>
      </x:c>
      <x:c r="E27" s="36" t="str">
        <x:v>M05-BOUND-0070-V1.0</x:v>
      </x:c>
      <x:c r="F27" s="36" t="str">
        <x:v>甲寅 丁巳 戊午 庚子</x:v>
      </x:c>
      <x:c r="G27" s="36" t="str">
        <x:v>未知/不适用</x:v>
      </x:c>
      <x:c r="H27" s="36" t="str">
        <x:v>合成命例；不用于历法排盘；月令按月支与输入事实假设</x:v>
      </x:c>
      <x:c r="I27" s="36" t="str">
        <x:v>原局有寅、巳，无申。</x:v>
      </x:c>
      <x:c r="J27" s="36" t="str">
        <x:v>只识别寅巳局部刑与寅巳害，不标寅巳申完整三刑。</x:v>
      </x:c>
      <x:c r="K27" s="36" t="str">
        <x:v>局部关系效应另判。</x:v>
      </x:c>
      <x:c r="L27" s="36" t="str">
        <x:v>岁运未来补申不能提前写入原局。</x:v>
      </x:c>
      <x:c r="M27" s="36" t="str">
        <x:v>缺申时完整三刑被正确否决。</x:v>
      </x:c>
      <x:c r="N27" s="36" t="str">
        <x:v>通过</x:v>
      </x:c>
      <x:c r="O27" s="36" t="str">
        <x:v>未测试</x:v>
      </x:c>
      <x:c r="P27" s="36" t="str">
        <x:v>V1.7</x:v>
      </x:c>
      <x:c r="Q27" s="36" t="str">
        <x:v>合成命例仅用于规则单元/集成测试，不替代真实命例外部验证。</x:v>
      </x:c>
    </x:row>
    <x:row r="28">
      <x:c r="A28" s="36" t="str">
        <x:v>M20-REL-0027-V1.0</x:v>
      </x:c>
      <x:c r="B28" s="36" t="str">
        <x:v>巳申合刑破三重关系独立识别</x:v>
      </x:c>
      <x:c r="C28" s="36" t="str">
        <x:v>边界案例</x:v>
      </x:c>
      <x:c r="D28" s="36" t="str">
        <x:v>M05</x:v>
      </x:c>
      <x:c r="E28" s="36" t="str">
        <x:v>M05-OVER-0081-V1.0</x:v>
      </x:c>
      <x:c r="F28" s="36" t="str">
        <x:v>甲子 丁巳 戊申 庚寅</x:v>
      </x:c>
      <x:c r="G28" s="36" t="str">
        <x:v>未知/不适用</x:v>
      </x:c>
      <x:c r="H28" s="36" t="str">
        <x:v>合成命例；不用于历法排盘；月令按月支与输入事实假设</x:v>
      </x:c>
      <x:c r="I28" s="36" t="str">
        <x:v>地支巳、申同现。</x:v>
      </x:c>
      <x:c r="J28" s="36" t="str">
        <x:v>同时登记巳申六合、巳申刑、巳申破。</x:v>
      </x:c>
      <x:c r="K28" s="36" t="str">
        <x:v>识别层不先定哪一种关系优先。</x:v>
      </x:c>
      <x:c r="L28" s="36" t="str">
        <x:v>M06分别判断主效应、次效应和共享节点容量。</x:v>
      </x:c>
      <x:c r="M28" s="36" t="str">
        <x:v>巳申三重关系均被保留。</x:v>
      </x:c>
      <x:c r="N28" s="36" t="str">
        <x:v>通过</x:v>
      </x:c>
      <x:c r="O28" s="36" t="str">
        <x:v>未测试</x:v>
      </x:c>
      <x:c r="P28" s="36" t="str">
        <x:v>V1.7</x:v>
      </x:c>
      <x:c r="Q28" s="36" t="str">
        <x:v>合成命例仅用于规则单元/集成测试，不替代真实命例外部验证。</x:v>
      </x:c>
    </x:row>
    <x:row r="29">
      <x:c r="A29" s="36" t="str">
        <x:v>M20-REL-0028-V1.0</x:v>
      </x:c>
      <x:c r="B29" s="36" t="str">
        <x:v>重复寅不能替代缺失申补全三刑</x:v>
      </x:c>
      <x:c r="C29" s="36" t="str">
        <x:v>反例</x:v>
      </x:c>
      <x:c r="D29" s="36" t="str">
        <x:v>M05</x:v>
      </x:c>
      <x:c r="E29" s="36" t="str">
        <x:v>M05-BOUND-0089-V1.0</x:v>
      </x:c>
      <x:c r="F29" s="36" t="str">
        <x:v>甲寅 乙寅 丙巳 丁午</x:v>
      </x:c>
      <x:c r="G29" s="36" t="str">
        <x:v>未知/不适用</x:v>
      </x:c>
      <x:c r="H29" s="36" t="str">
        <x:v>合成命例；不用于历法排盘；月令按月支与输入事实假设</x:v>
      </x:c>
      <x:c r="I29" s="36" t="str">
        <x:v>地支有两个寅和一个巳，但无申。</x:v>
      </x:c>
      <x:c r="J29" s="36" t="str">
        <x:v>识别两个寅节点及寅巳局部刑害；不识别完整三刑。</x:v>
      </x:c>
      <x:c r="K29" s="36" t="str">
        <x:v>重复同支不能充当另一缺失成员。</x:v>
      </x:c>
      <x:c r="L29" s="36" t="str">
        <x:v>原局完整寅巳申三刑被否决。</x:v>
      </x:c>
      <x:c r="M29" s="36" t="str">
        <x:v>重复寅未被错误当作申。</x:v>
      </x:c>
      <x:c r="N29" s="36" t="str">
        <x:v>通过</x:v>
      </x:c>
      <x:c r="O29" s="36" t="str">
        <x:v>未测试</x:v>
      </x:c>
      <x:c r="P29" s="36" t="str">
        <x:v>V1.7</x:v>
      </x:c>
      <x:c r="Q29" s="36" t="str">
        <x:v>合成命例仅用于规则单元/集成测试，不替代真实命例外部验证。</x:v>
      </x:c>
    </x:row>
    <x:row r="30">
      <x:c r="A30" s="36" t="str">
        <x:v>M20-EFFECT-0029-V1.0</x:v>
      </x:c>
      <x:c r="B30" s="36" t="str">
        <x:v>甲己有合意但不满足合化</x:v>
      </x:c>
      <x:c r="C30" s="36" t="str">
        <x:v>边界案例</x:v>
      </x:c>
      <x:c r="D30" s="36" t="str">
        <x:v>M06</x:v>
      </x:c>
      <x:c r="E30" s="36" t="str">
        <x:v>M06-TGHE-0001-V1.0；M06-TGHUA-0011-V1.0</x:v>
      </x:c>
      <x:c r="F30" s="36" t="str">
        <x:v>庚申 己未 甲寅 丁卯</x:v>
      </x:c>
      <x:c r="G30" s="36" t="str">
        <x:v>未知/不适用</x:v>
      </x:c>
      <x:c r="H30" s="36" t="str">
        <x:v>合成命例；不用于历法排盘；月令按月支与输入事实假设</x:v>
      </x:c>
      <x:c r="I30" s="36" t="str">
        <x:v>甲己明干相合；甲在寅卯有强根，木气不愿弃本；土化神未形成全局主势。</x:v>
      </x:c>
      <x:c r="J30" s="36" t="str">
        <x:v>M04识别甲己合候选。</x:v>
      </x:c>
      <x:c r="K30" s="36" t="str">
        <x:v>先判合意/牵引，合化四项门槛不齐。</x:v>
      </x:c>
      <x:c r="L30" s="36" t="str">
        <x:v>甲己仍按原五行参与后续力量，可能合绊但不改性。</x:v>
      </x:c>
      <x:c r="M30" s="36" t="str">
        <x:v>甲己有合意，合化不成立。</x:v>
      </x:c>
      <x:c r="N30" s="36" t="str">
        <x:v>通过</x:v>
      </x:c>
      <x:c r="O30" s="36" t="str">
        <x:v>未测试</x:v>
      </x:c>
      <x:c r="P30" s="36" t="str">
        <x:v>V1.7</x:v>
      </x:c>
      <x:c r="Q30" s="36" t="str">
        <x:v>合成命例仅用于规则单元/集成测试，不替代真实命例外部验证。</x:v>
      </x:c>
    </x:row>
    <x:row r="31">
      <x:c r="A31" s="36" t="str">
        <x:v>M20-EFFECT-0030-V1.0</x:v>
      </x:c>
      <x:c r="B31" s="36" t="str">
        <x:v>一强一弱时弱干更易受合绊</x:v>
      </x:c>
      <x:c r="C31" s="36" t="str">
        <x:v>正例</x:v>
      </x:c>
      <x:c r="D31" s="36" t="str">
        <x:v>M06</x:v>
      </x:c>
      <x:c r="E31" s="36" t="str">
        <x:v>M06-TGHE-0005-V1.0</x:v>
      </x:c>
      <x:c r="F31" s="36" t="str">
        <x:v>甲寅 己酉 甲子 丙午</x:v>
      </x:c>
      <x:c r="G31" s="36" t="str">
        <x:v>未知/不适用</x:v>
      </x:c>
      <x:c r="H31" s="36" t="str">
        <x:v>合成命例；不用于历法排盘；月令按月支与输入事实假设</x:v>
      </x:c>
      <x:c r="I31" s="36" t="str">
        <x:v>甲得寅根、同党强；己失令无根且孤立；两干相合。</x:v>
      </x:c>
      <x:c r="J31" s="36" t="str">
        <x:v>识别甲己合。</x:v>
      </x:c>
      <x:c r="K31" s="36" t="str">
        <x:v>己更易被牵制，原主动克耗功能明显下降；甲保留主要本气。</x:v>
      </x:c>
      <x:c r="L31" s="36" t="str">
        <x:v>有效力量修正以己功能受限为主，不作双方等量扣减。</x:v>
      </x:c>
      <x:c r="M31" s="36" t="str">
        <x:v>弱己受合绊强于甲，逐对象效应成立。</x:v>
      </x:c>
      <x:c r="N31" s="36" t="str">
        <x:v>通过</x:v>
      </x:c>
      <x:c r="O31" s="36" t="str">
        <x:v>未测试</x:v>
      </x:c>
      <x:c r="P31" s="36" t="str">
        <x:v>V1.7</x:v>
      </x:c>
      <x:c r="Q31" s="36" t="str">
        <x:v>合成命例仅用于规则单元/集成测试，不替代真实命例外部验证。</x:v>
      </x:c>
    </x:row>
    <x:row r="32">
      <x:c r="A32" s="36" t="str">
        <x:v>M20-EFFECT-0031-V1.0</x:v>
      </x:c>
      <x:c r="B32" s="36" t="str">
        <x:v>甲己化土满足联合门槛</x:v>
      </x:c>
      <x:c r="C32" s="36" t="str">
        <x:v>正例</x:v>
      </x:c>
      <x:c r="D32" s="36" t="str">
        <x:v>M06</x:v>
      </x:c>
      <x:c r="E32" s="36" t="str">
        <x:v>M06-TGHUA-0011-V1.0</x:v>
      </x:c>
      <x:c r="F32" s="36" t="str">
        <x:v>戊辰 己丑 甲戌 丁未</x:v>
      </x:c>
      <x:c r="G32" s="36" t="str">
        <x:v>未知/不适用</x:v>
      </x:c>
      <x:c r="H32" s="36" t="str">
        <x:v>合成命例；不用于历法排盘；月令按月支与输入事实假设</x:v>
      </x:c>
      <x:c r="I32" s="36" t="str">
        <x:v>甲己相合；辰丑戌未土势集中；甲无寅卯亥强根；化神土有根有势；无争合强破。</x:v>
      </x:c>
      <x:c r="J32" s="36" t="str">
        <x:v>识别甲己合化候选。</x:v>
      </x:c>
      <x:c r="K32" s="36" t="str">
        <x:v>化神得势、原气不自立、无关键破化，判实质合化。</x:v>
      </x:c>
      <x:c r="L32" s="36" t="str">
        <x:v>M08按土重分配力量，甲木原十神功能不再全额调用。</x:v>
      </x:c>
      <x:c r="M32" s="36" t="str">
        <x:v>甲己化土成立，需按化神重算。</x:v>
      </x:c>
      <x:c r="N32" s="36" t="str">
        <x:v>通过</x:v>
      </x:c>
      <x:c r="O32" s="36" t="str">
        <x:v>未测试</x:v>
      </x:c>
      <x:c r="P32" s="36" t="str">
        <x:v>V1.7</x:v>
      </x:c>
      <x:c r="Q32" s="36" t="str">
        <x:v>合成命例仅用于规则单元/集成测试，不替代真实命例外部验证。</x:v>
      </x:c>
    </x:row>
    <x:row r="33">
      <x:c r="A33" s="36" t="str">
        <x:v>M20-EFFECT-0032-V1.0</x:v>
      </x:c>
      <x:c r="B33" s="36" t="str">
        <x:v>争合降低单一化神归属</x:v>
      </x:c>
      <x:c r="C33" s="36" t="str">
        <x:v>边界案例</x:v>
      </x:c>
      <x:c r="D33" s="36" t="str">
        <x:v>M06</x:v>
      </x:c>
      <x:c r="E33" s="36" t="str">
        <x:v>M06-TGHE-0010-V1.0；M06-TGHUA-0020-V1.0</x:v>
      </x:c>
      <x:c r="F33" s="36" t="str">
        <x:v>甲寅 己丑 甲辰 戊戌</x:v>
      </x:c>
      <x:c r="G33" s="36" t="str">
        <x:v>未知/不适用</x:v>
      </x:c>
      <x:c r="H33" s="36" t="str">
        <x:v>合成命例；不用于历法排盘；月令按月支与输入事实假设</x:v>
      </x:c>
      <x:c r="I33" s="36" t="str">
        <x:v>两甲争一己；虽土多，但两甲均有根或同党，合神归属不专。</x:v>
      </x:c>
      <x:c r="J33" s="36" t="str">
        <x:v>识别两个甲己合实例与争合候选。</x:v>
      </x:c>
      <x:c r="K33" s="36" t="str">
        <x:v>争合削弱单一合关系稳定性，并破坏化神归属。</x:v>
      </x:c>
      <x:c r="L33" s="36" t="str">
        <x:v>不得仅凭土多宣布甲己真化。</x:v>
      </x:c>
      <x:c r="M33" s="36" t="str">
        <x:v>争合使合化降级为合意/合绊候选。</x:v>
      </x:c>
      <x:c r="N33" s="36" t="str">
        <x:v>通过</x:v>
      </x:c>
      <x:c r="O33" s="36" t="str">
        <x:v>未测试</x:v>
      </x:c>
      <x:c r="P33" s="36" t="str">
        <x:v>V1.7</x:v>
      </x:c>
      <x:c r="Q33" s="36" t="str">
        <x:v>合成命例仅用于规则单元/集成测试，不替代真实命例外部验证。</x:v>
      </x:c>
    </x:row>
    <x:row r="34">
      <x:c r="A34" s="36" t="str">
        <x:v>M20-EFFECT-0033-V1.0</x:v>
      </x:c>
      <x:c r="B34" s="36" t="str">
        <x:v>六合双方均强时优先合绊不判消失</x:v>
      </x:c>
      <x:c r="C34" s="36" t="str">
        <x:v>正例</x:v>
      </x:c>
      <x:c r="D34" s="36" t="str">
        <x:v>M06</x:v>
      </x:c>
      <x:c r="E34" s="36" t="str">
        <x:v>M06-LIUHE-0034-V1.0</x:v>
      </x:c>
      <x:c r="F34" s="36" t="str">
        <x:v>壬子 己丑 癸亥 戊辰</x:v>
      </x:c>
      <x:c r="G34" s="36" t="str">
        <x:v>未知/不适用</x:v>
      </x:c>
      <x:c r="H34" s="36" t="str">
        <x:v>合成命例；不用于历法排盘；月令按月支与输入事实假设</x:v>
      </x:c>
      <x:c r="I34" s="36" t="str">
        <x:v>子水得亥子根势；丑土得辰丑同党；子丑六合双方都有有效力量。</x:v>
      </x:c>
      <x:c r="J34" s="36" t="str">
        <x:v>识别子丑六合。</x:v>
      </x:c>
      <x:c r="K34" s="36" t="str">
        <x:v>双方相互牵制、连接路径改变，但均保留本气。</x:v>
      </x:c>
      <x:c r="L34" s="36" t="str">
        <x:v>水土功能受限而非任一地支归零。</x:v>
      </x:c>
      <x:c r="M34" s="36" t="str">
        <x:v>强强六合以合绊为主，不判消失。</x:v>
      </x:c>
      <x:c r="N34" s="36" t="str">
        <x:v>通过</x:v>
      </x:c>
      <x:c r="O34" s="36" t="str">
        <x:v>未测试</x:v>
      </x:c>
      <x:c r="P34" s="36" t="str">
        <x:v>V1.7</x:v>
      </x:c>
      <x:c r="Q34" s="36" t="str">
        <x:v>合成命例仅用于规则单元/集成测试，不替代真实命例外部验证。</x:v>
      </x:c>
    </x:row>
    <x:row r="35">
      <x:c r="A35" s="36" t="str">
        <x:v>M20-EFFECT-0034-V1.0</x:v>
      </x:c>
      <x:c r="B35" s="36" t="str">
        <x:v>六冲至少引动但不自动减力</x:v>
      </x:c>
      <x:c r="C35" s="36" t="str">
        <x:v>回归测试</x:v>
      </x:c>
      <x:c r="D35" s="36" t="str">
        <x:v>M06</x:v>
      </x:c>
      <x:c r="E35" s="36" t="str">
        <x:v>M06-CHONG-0065-V1.0</x:v>
      </x:c>
      <x:c r="F35" s="36" t="str">
        <x:v>庚申 戊寅 甲辰 丙午</x:v>
      </x:c>
      <x:c r="G35" s="36" t="str">
        <x:v>未知/不适用</x:v>
      </x:c>
      <x:c r="H35" s="36" t="str">
        <x:v>合成命例；不用于历法排盘；月令按月支与输入事实假设</x:v>
      </x:c>
      <x:c r="I35" s="36" t="str">
        <x:v>寅申冲成立；双方强弱尚未完成比较。</x:v>
      </x:c>
      <x:c r="J35" s="36" t="str">
        <x:v>识别寅申冲。</x:v>
      </x:c>
      <x:c r="K35" s="36" t="str">
        <x:v>最低效应为双方被引动，不能直接写双方减力。</x:v>
      </x:c>
      <x:c r="L35" s="36" t="str">
        <x:v>根气和有效旺衰须等M08综合。</x:v>
      </x:c>
      <x:c r="M35" s="36" t="str">
        <x:v>六冲先判冲动，自动减力被否决。</x:v>
      </x:c>
      <x:c r="N35" s="36" t="str">
        <x:v>通过</x:v>
      </x:c>
      <x:c r="O35" s="36" t="str">
        <x:v>通过</x:v>
      </x:c>
      <x:c r="P35" s="36" t="str">
        <x:v>V1.7</x:v>
      </x:c>
      <x:c r="Q35" s="36" t="str">
        <x:v>合成命例仅用于规则单元/集成测试，不替代真实命例外部验证。</x:v>
      </x:c>
    </x:row>
    <x:row r="36">
      <x:c r="A36" s="36" t="str">
        <x:v>M20-EFFECT-0035-V1.0</x:v>
      </x:c>
      <x:c r="B36" s="36" t="str">
        <x:v>旺申冲孤弱寅可实质损根</x:v>
      </x:c>
      <x:c r="C36" s="36" t="str">
        <x:v>正例</x:v>
      </x:c>
      <x:c r="D36" s="36" t="str">
        <x:v>M06</x:v>
      </x:c>
      <x:c r="E36" s="36" t="str">
        <x:v>M06-CHONG-0066-V1.0；M06-CHONG-0071-V1.0</x:v>
      </x:c>
      <x:c r="F36" s="36" t="str">
        <x:v>庚申 壬申 甲寅 辛酉</x:v>
      </x:c>
      <x:c r="G36" s="36" t="str">
        <x:v>未知/不适用</x:v>
      </x:c>
      <x:c r="H36" s="36" t="str">
        <x:v>合成命例；不用于历法排盘；月令按月支与输入事实假设</x:v>
      </x:c>
      <x:c r="I36" s="36" t="str">
        <x:v>申酉金得令成势；寅为甲木唯一根，失令、无木援，受双申强冲。</x:v>
      </x:c>
      <x:c r="J36" s="36" t="str">
        <x:v>识别寅申冲及唯一根事实。</x:v>
      </x:c>
      <x:c r="K36" s="36" t="str">
        <x:v>旺金冲孤弱寅，寅根可判明显受损，申金保持主势。</x:v>
      </x:c>
      <x:c r="L36" s="36" t="str">
        <x:v>M08下调甲木有效根气，但仍保留原始根存在记录。</x:v>
      </x:c>
      <x:c r="M36" s="36" t="str">
        <x:v>孤弱寅被强冲，唯一根实质受损。</x:v>
      </x:c>
      <x:c r="N36" s="36" t="str">
        <x:v>通过</x:v>
      </x:c>
      <x:c r="O36" s="36" t="str">
        <x:v>未测试</x:v>
      </x:c>
      <x:c r="P36" s="36" t="str">
        <x:v>V1.7</x:v>
      </x:c>
      <x:c r="Q36" s="36" t="str">
        <x:v>合成命例仅用于规则单元/集成测试，不替代真实命例外部验证。</x:v>
      </x:c>
    </x:row>
    <x:row r="37">
      <x:c r="A37" s="36" t="str">
        <x:v>M20-EFFECT-0036-V1.0</x:v>
      </x:c>
      <x:c r="B37" s="36" t="str">
        <x:v>弱申冲旺寅时旺寅多被激发</x:v>
      </x:c>
      <x:c r="C37" s="36" t="str">
        <x:v>正例</x:v>
      </x:c>
      <x:c r="D37" s="36" t="str">
        <x:v>M06</x:v>
      </x:c>
      <x:c r="E37" s="36" t="str">
        <x:v>M06-CHONG-0067-V1.0</x:v>
      </x:c>
      <x:c r="F37" s="36" t="str">
        <x:v>甲寅 乙卯 丙申 丁亥</x:v>
      </x:c>
      <x:c r="G37" s="36" t="str">
        <x:v>未知/不适用</x:v>
      </x:c>
      <x:c r="H37" s="36" t="str">
        <x:v>合成命例；不用于历法排盘；月令按月支与输入事实假设</x:v>
      </x:c>
      <x:c r="I37" s="36" t="str">
        <x:v>寅卯木得令成势；申金失令孤弱；寅申冲。</x:v>
      </x:c>
      <x:c r="J37" s="36" t="str">
        <x:v>识别寅申冲。</x:v>
      </x:c>
      <x:c r="K37" s="36" t="str">
        <x:v>旺寅被冲动并增强外显，弱申受制更明显。</x:v>
      </x:c>
      <x:c r="L37" s="36" t="str">
        <x:v>不得以冲关系对寅申等量扣减。</x:v>
      </x:c>
      <x:c r="M37" s="36" t="str">
        <x:v>弱申冲旺寅，寅以激发为主。</x:v>
      </x:c>
      <x:c r="N37" s="36" t="str">
        <x:v>通过</x:v>
      </x:c>
      <x:c r="O37" s="36" t="str">
        <x:v>未测试</x:v>
      </x:c>
      <x:c r="P37" s="36" t="str">
        <x:v>V1.7</x:v>
      </x:c>
      <x:c r="Q37" s="36" t="str">
        <x:v>合成命例仅用于规则单元/集成测试，不替代真实命例外部验证。</x:v>
      </x:c>
    </x:row>
    <x:row r="38">
      <x:c r="A38" s="36" t="str">
        <x:v>M20-EFFECT-0037-V1.0</x:v>
      </x:c>
      <x:c r="B38" s="36" t="str">
        <x:v>辰戌冲只生成开库候选</x:v>
      </x:c>
      <x:c r="C38" s="36" t="str">
        <x:v>边界案例</x:v>
      </x:c>
      <x:c r="D38" s="36" t="str">
        <x:v>M06</x:v>
      </x:c>
      <x:c r="E38" s="36" t="str">
        <x:v>M06-CHONG-0078-V1.0</x:v>
      </x:c>
      <x:c r="F38" s="36" t="str">
        <x:v>甲辰 丙戌 戊午 庚申</x:v>
      </x:c>
      <x:c r="G38" s="36" t="str">
        <x:v>未知/不适用</x:v>
      </x:c>
      <x:c r="H38" s="36" t="str">
        <x:v>合成命例；不用于历法排盘；月令按月支与输入事实假设</x:v>
      </x:c>
      <x:c r="I38" s="36" t="str">
        <x:v>地支辰戌相冲；尚未证明库中之物有用、透达和终点承接。</x:v>
      </x:c>
      <x:c r="J38" s="36" t="str">
        <x:v>识别辰戌冲。</x:v>
      </x:c>
      <x:c r="K38" s="36" t="str">
        <x:v>生成开库候选，同时保留冲坏/库气扰动可能。</x:v>
      </x:c>
      <x:c r="L38" s="36" t="str">
        <x:v>不能自动输出“开库得用”。</x:v>
      </x:c>
      <x:c r="M38" s="36" t="str">
        <x:v>辰戌冲仅生成开库候选。</x:v>
      </x:c>
      <x:c r="N38" s="36" t="str">
        <x:v>通过</x:v>
      </x:c>
      <x:c r="O38" s="36" t="str">
        <x:v>未测试</x:v>
      </x:c>
      <x:c r="P38" s="36" t="str">
        <x:v>V1.7</x:v>
      </x:c>
      <x:c r="Q38" s="36" t="str">
        <x:v>合成命例仅用于规则单元/集成测试，不替代真实命例外部验证。</x:v>
      </x:c>
    </x:row>
    <x:row r="39">
      <x:c r="A39" s="36" t="str">
        <x:v>M20-EFFECT-0038-V1.0</x:v>
      </x:c>
      <x:c r="B39" s="36" t="str">
        <x:v>有库物、透达和承接时开库可成立</x:v>
      </x:c>
      <x:c r="C39" s="36" t="str">
        <x:v>正例</x:v>
      </x:c>
      <x:c r="D39" s="36" t="str">
        <x:v>M06</x:v>
      </x:c>
      <x:c r="E39" s="36" t="str">
        <x:v>M06-CHONG-0079-V1.0</x:v>
      </x:c>
      <x:c r="F39" s="36" t="str">
        <x:v>壬辰 丙戌 癸亥 甲寅</x:v>
      </x:c>
      <x:c r="G39" s="36" t="str">
        <x:v>未知/不适用</x:v>
      </x:c>
      <x:c r="H39" s="36" t="str">
        <x:v>合成命例；不用于历法排盘；月令按月支与输入事实假设</x:v>
      </x:c>
      <x:c r="I39" s="36" t="str">
        <x:v>辰戌冲；辰中癸水与日主同类，癸壬透出，亥为水根；冲力适中，水有承接路径。</x:v>
      </x:c>
      <x:c r="J39" s="36" t="str">
        <x:v>识别辰戌冲与开库候选。</x:v>
      </x:c>
      <x:c r="K39" s="36" t="str">
        <x:v>库中水气有用、有透达、有根承接，开库效应可成立；仍需防土战副作用。</x:v>
      </x:c>
      <x:c r="L39" s="36" t="str">
        <x:v>M08可上调水的可调用性，但不把辰戌全部化水。</x:v>
      </x:c>
      <x:c r="M39" s="36" t="str">
        <x:v>开库条件满足，水气得到释放。</x:v>
      </x:c>
      <x:c r="N39" s="36" t="str">
        <x:v>通过</x:v>
      </x:c>
      <x:c r="O39" s="36" t="str">
        <x:v>未测试</x:v>
      </x:c>
      <x:c r="P39" s="36" t="str">
        <x:v>V1.7</x:v>
      </x:c>
      <x:c r="Q39" s="36" t="str">
        <x:v>合成命例仅用于规则单元/集成测试，不替代真实命例外部验证。</x:v>
      </x:c>
    </x:row>
    <x:row r="40">
      <x:c r="A40" s="36" t="str">
        <x:v>M20-EFFECT-0039-V1.0</x:v>
      </x:c>
      <x:c r="B40" s="36" t="str">
        <x:v>三刑只生成刑动刑伤候选</x:v>
      </x:c>
      <x:c r="C40" s="36" t="str">
        <x:v>回归测试</x:v>
      </x:c>
      <x:c r="D40" s="36" t="str">
        <x:v>M06</x:v>
      </x:c>
      <x:c r="E40" s="36" t="str">
        <x:v>M06-XING-0083-V1.0</x:v>
      </x:c>
      <x:c r="F40" s="36" t="str">
        <x:v>甲寅 丁巳 戊申 庚子</x:v>
      </x:c>
      <x:c r="G40" s="36" t="str">
        <x:v>未知/不适用</x:v>
      </x:c>
      <x:c r="H40" s="36" t="str">
        <x:v>合成命例；不用于历法排盘；月令按月支与输入事实假设</x:v>
      </x:c>
      <x:c r="I40" s="36" t="str">
        <x:v>寅巳申三刑完整；各支得令、根气、透干尚不相同。</x:v>
      </x:c>
      <x:c r="J40" s="36" t="str">
        <x:v>识别完整三刑。</x:v>
      </x:c>
      <x:c r="K40" s="36" t="str">
        <x:v>逐支生成刑动/刑伤候选，不使用统一扣分。</x:v>
      </x:c>
      <x:c r="L40" s="36" t="str">
        <x:v>M08分别修正木火金，不得写三支同步减弱。</x:v>
      </x:c>
      <x:c r="M40" s="36" t="str">
        <x:v>三刑固定减力逻辑被否决。</x:v>
      </x:c>
      <x:c r="N40" s="36" t="str">
        <x:v>通过</x:v>
      </x:c>
      <x:c r="O40" s="36" t="str">
        <x:v>通过</x:v>
      </x:c>
      <x:c r="P40" s="36" t="str">
        <x:v>V1.7</x:v>
      </x:c>
      <x:c r="Q40" s="36" t="str">
        <x:v>合成命例仅用于规则单元/集成测试，不替代真实命例外部验证。</x:v>
      </x:c>
    </x:row>
    <x:row r="41">
      <x:c r="A41" s="36" t="str">
        <x:v>M20-EFFECT-0040-V1.0</x:v>
      </x:c>
      <x:c r="B41" s="36" t="str">
        <x:v>寅巳申完整三刑应保留全部重叠效应</x:v>
      </x:c>
      <x:c r="C41" s="36" t="str">
        <x:v>正例</x:v>
      </x:c>
      <x:c r="D41" s="36" t="str">
        <x:v>M06</x:v>
      </x:c>
      <x:c r="E41" s="36" t="str">
        <x:v>M06-XING-0084-V1.0；M06-XING-0085-V1.0</x:v>
      </x:c>
      <x:c r="F41" s="36" t="str">
        <x:v>甲寅 丁巳 戊申 庚亥</x:v>
      </x:c>
      <x:c r="G41" s="36" t="str">
        <x:v>未知/不适用</x:v>
      </x:c>
      <x:c r="H41" s="36" t="str">
        <x:v>合成命例；不用于历法排盘；月令按月支与输入事实假设</x:v>
      </x:c>
      <x:c r="I41" s="36" t="str">
        <x:v>寅巳申齐全；另有寅申冲、寅巳害、巳申合破。</x:v>
      </x:c>
      <x:c r="J41" s="36" t="str">
        <x:v>识别完整三刑及全部重叠关系。</x:v>
      </x:c>
      <x:c r="K41" s="36" t="str">
        <x:v>结构复杂度和作用竞争上升，主次由月令根气和透干决定。</x:v>
      </x:c>
      <x:c r="L41" s="36" t="str">
        <x:v>不能用“三刑”一个标签覆盖冲合害破。</x:v>
      </x:c>
      <x:c r="M41" s="36" t="str">
        <x:v>完整三刑被拆成逐支、多关系效应。</x:v>
      </x:c>
      <x:c r="N41" s="36" t="str">
        <x:v>通过</x:v>
      </x:c>
      <x:c r="O41" s="36" t="str">
        <x:v>未测试</x:v>
      </x:c>
      <x:c r="P41" s="36" t="str">
        <x:v>V1.7</x:v>
      </x:c>
      <x:c r="Q41" s="36" t="str">
        <x:v>合成命例仅用于规则单元/集成测试，不替代真实命例外部验证。</x:v>
      </x:c>
    </x:row>
    <x:row r="42">
      <x:c r="A42" s="36" t="str">
        <x:v>M20-EFFECT-0041-V1.0</x:v>
      </x:c>
      <x:c r="B42" s="36" t="str">
        <x:v>巳申合刑破必须拆分三种效应</x:v>
      </x:c>
      <x:c r="C42" s="36" t="str">
        <x:v>正例</x:v>
      </x:c>
      <x:c r="D42" s="36" t="str">
        <x:v>M06</x:v>
      </x:c>
      <x:c r="E42" s="36" t="str">
        <x:v>M06-OVER-0105-V1.0</x:v>
      </x:c>
      <x:c r="F42" s="36" t="str">
        <x:v>甲寅 丁巳 戊申 庚子</x:v>
      </x:c>
      <x:c r="G42" s="36" t="str">
        <x:v>未知/不适用</x:v>
      </x:c>
      <x:c r="H42" s="36" t="str">
        <x:v>合成命例；不用于历法排盘；月令按月支与输入事实假设</x:v>
      </x:c>
      <x:c r="I42" s="36" t="str">
        <x:v>巳申同时为六合、刑、破，共享同一对地支。</x:v>
      </x:c>
      <x:c r="J42" s="36" t="str">
        <x:v>识别三种关系实例。</x:v>
      </x:c>
      <x:c r="K42" s="36" t="str">
        <x:v>分别评估牵引、刑动和连接松动；同一节点容量不得重复全额调用。</x:v>
      </x:c>
      <x:c r="L42" s="36" t="str">
        <x:v>输出主效应与次效应，不删除任何候选。</x:v>
      </x:c>
      <x:c r="M42" s="36" t="str">
        <x:v>巳申三重效应被独立保留并统一裁决。</x:v>
      </x:c>
      <x:c r="N42" s="36" t="str">
        <x:v>通过</x:v>
      </x:c>
      <x:c r="O42" s="36" t="str">
        <x:v>未测试</x:v>
      </x:c>
      <x:c r="P42" s="36" t="str">
        <x:v>V1.7</x:v>
      </x:c>
      <x:c r="Q42" s="36" t="str">
        <x:v>合成命例仅用于规则单元/集成测试，不替代真实命例外部验证。</x:v>
      </x:c>
    </x:row>
    <x:row r="43">
      <x:c r="A43" s="36" t="str">
        <x:v>M20-EFFECT-0042-V1.0</x:v>
      </x:c>
      <x:c r="B43" s="36" t="str">
        <x:v>关系效应层不得直接定喜忌用神</x:v>
      </x:c>
      <x:c r="C43" s="36" t="str">
        <x:v>反例</x:v>
      </x:c>
      <x:c r="D43" s="36" t="str">
        <x:v>M06</x:v>
      </x:c>
      <x:c r="E43" s="36" t="str">
        <x:v>M06-BOUND-0120-V1.0</x:v>
      </x:c>
      <x:c r="F43" s="36" t="str">
        <x:v>庚申 戊寅 甲辰 丙午</x:v>
      </x:c>
      <x:c r="G43" s="36" t="str">
        <x:v>未知/不适用</x:v>
      </x:c>
      <x:c r="H43" s="36" t="str">
        <x:v>合成命例；不用于历法排盘；月令按月支与输入事实假设</x:v>
      </x:c>
      <x:c r="I43" s="36" t="str">
        <x:v>寅申冲效应已识别，但日主旺衰、格局、调候、病药尚未完成。</x:v>
      </x:c>
      <x:c r="J43" s="36" t="str">
        <x:v>识别寅申冲。</x:v>
      </x:c>
      <x:c r="K43" s="36" t="str">
        <x:v>只能输出冲动、强弱与根气/流通修正。</x:v>
      </x:c>
      <x:c r="L43" s="36" t="str">
        <x:v>禁止从“寅被冲”直接跳到喜金或忌金。</x:v>
      </x:c>
      <x:c r="M43" s="36" t="str">
        <x:v>M06停留在效应修正，不越级定喜忌。</x:v>
      </x:c>
      <x:c r="N43" s="36" t="str">
        <x:v>通过</x:v>
      </x:c>
      <x:c r="O43" s="36" t="str">
        <x:v>未测试</x:v>
      </x:c>
      <x:c r="P43" s="36" t="str">
        <x:v>V1.7</x:v>
      </x:c>
      <x:c r="Q43" s="36" t="str">
        <x:v>合成命例仅用于规则单元/集成测试，不替代真实命例外部验证。</x:v>
      </x:c>
    </x:row>
    <x:row r="44">
      <x:c r="A44" s="36" t="str">
        <x:v>M20-WANG-0043-V1.0</x:v>
      </x:c>
      <x:c r="B44" s="36" t="str">
        <x:v>月令本气同类构成强季令支持</x:v>
      </x:c>
      <x:c r="C44" s="36" t="str">
        <x:v>正例</x:v>
      </x:c>
      <x:c r="D44" s="36" t="str">
        <x:v>M07</x:v>
      </x:c>
      <x:c r="E44" s="36" t="str">
        <x:v>M07-SEAS-0001-V1.0</x:v>
      </x:c>
      <x:c r="F44" s="36" t="str">
        <x:v>甲寅 乙卯 丙辰 丁午</x:v>
      </x:c>
      <x:c r="G44" s="36" t="str">
        <x:v>未知/不适用</x:v>
      </x:c>
      <x:c r="H44" s="36" t="str">
        <x:v>合成命例；不用于历法排盘；月令按月支与输入事实假设</x:v>
      </x:c>
      <x:c r="I44" s="36" t="str">
        <x:v>测试木五行；卯月本气木，寅卯又有木根。</x:v>
      </x:c>
      <x:c r="J44" s="36" t="str">
        <x:v>月令本气同类被识别为最高等级季令支持。</x:v>
      </x:c>
      <x:c r="K44" s="36" t="str">
        <x:v>木原始力量获得强正向季令证据。</x:v>
      </x:c>
      <x:c r="L44" s="36" t="str">
        <x:v>仍需根气、透干、生源和后续效应综合。</x:v>
      </x:c>
      <x:c r="M44" s="36" t="str">
        <x:v>木获得强季令支持，但未越级定最终喜忌。</x:v>
      </x:c>
      <x:c r="N44" s="36" t="str">
        <x:v>通过</x:v>
      </x:c>
      <x:c r="O44" s="36" t="str">
        <x:v>未测试</x:v>
      </x:c>
      <x:c r="P44" s="36" t="str">
        <x:v>V1.7</x:v>
      </x:c>
      <x:c r="Q44" s="36" t="str">
        <x:v>合成命例仅用于规则单元/集成测试，不替代真实命例外部验证。</x:v>
      </x:c>
    </x:row>
    <x:row r="45">
      <x:c r="A45" s="36" t="str">
        <x:v>M20-WANG-0044-V1.0</x:v>
      </x:c>
      <x:c r="B45" s="36" t="str">
        <x:v>同党数量不能覆盖失令无根反证</x:v>
      </x:c>
      <x:c r="C45" s="36" t="str">
        <x:v>反例</x:v>
      </x:c>
      <x:c r="D45" s="36" t="str">
        <x:v>M07</x:v>
      </x:c>
      <x:c r="E45" s="36" t="str">
        <x:v>M07-ALLY-0056-V1.0</x:v>
      </x:c>
      <x:c r="F45" s="36" t="str">
        <x:v>甲申 乙酉 甲午 乙丑</x:v>
      </x:c>
      <x:c r="G45" s="36" t="str">
        <x:v>未知/不适用</x:v>
      </x:c>
      <x:c r="H45" s="36" t="str">
        <x:v>合成命例；不用于历法排盘；月令按月支与输入事实假设</x:v>
      </x:c>
      <x:c r="I45" s="36" t="str">
        <x:v>天干四木同党明显，但生于酉月，地支无木根，水生源弱。</x:v>
      </x:c>
      <x:c r="J45" s="36" t="str">
        <x:v>识别多枚木同党。</x:v>
      </x:c>
      <x:c r="K45" s="36" t="str">
        <x:v>同党数量采用边际递减，不能覆盖失令、无根、无源。</x:v>
      </x:c>
      <x:c r="L45" s="36" t="str">
        <x:v>木只列数量优势，不得仅凭四透判旺。</x:v>
      </x:c>
      <x:c r="M45" s="36" t="str">
        <x:v>多透木不等于木原始必旺。</x:v>
      </x:c>
      <x:c r="N45" s="36" t="str">
        <x:v>通过</x:v>
      </x:c>
      <x:c r="O45" s="36" t="str">
        <x:v>未测试</x:v>
      </x:c>
      <x:c r="P45" s="36" t="str">
        <x:v>V1.7</x:v>
      </x:c>
      <x:c r="Q45" s="36" t="str">
        <x:v>合成命例仅用于规则单元/集成测试，不替代真实命例外部验证。</x:v>
      </x:c>
    </x:row>
    <x:row r="46">
      <x:c r="A46" s="36" t="str">
        <x:v>M20-WANG-0045-V1.0</x:v>
      </x:c>
      <x:c r="B46" s="36" t="str">
        <x:v>弱生源不能无限抬高目标五行</x:v>
      </x:c>
      <x:c r="C46" s="36" t="str">
        <x:v>边界案例</x:v>
      </x:c>
      <x:c r="D46" s="36" t="str">
        <x:v>M07</x:v>
      </x:c>
      <x:c r="E46" s="36" t="str">
        <x:v>M07-SOURCE-0046-V1.0</x:v>
      </x:c>
      <x:c r="F46" s="36" t="str">
        <x:v>庚酉 辛丑 甲午 癸未</x:v>
      </x:c>
      <x:c r="G46" s="36" t="str">
        <x:v>未知/不适用</x:v>
      </x:c>
      <x:c r="H46" s="36" t="str">
        <x:v>合成命例；不用于历法排盘；月令按月支与输入事实假设</x:v>
      </x:c>
      <x:c r="I46" s="36" t="str">
        <x:v>甲木只有一枚癸水生源；癸无根、受旺土金制耗。</x:v>
      </x:c>
      <x:c r="J46" s="36" t="str">
        <x:v>识别癸可生甲的名义路径。</x:v>
      </x:c>
      <x:c r="K46" s="36" t="str">
        <x:v>生源支持以上限为癸自身弱级，不能按“有水生木”满额加权。</x:v>
      </x:c>
      <x:c r="L46" s="36" t="str">
        <x:v>甲木原始力量仅获得低等级生源证据。</x:v>
      </x:c>
      <x:c r="M46" s="36" t="str">
        <x:v>弱癸只能弱生甲，生源上限规则成立。</x:v>
      </x:c>
      <x:c r="N46" s="36" t="str">
        <x:v>通过</x:v>
      </x:c>
      <x:c r="O46" s="36" t="str">
        <x:v>未测试</x:v>
      </x:c>
      <x:c r="P46" s="36" t="str">
        <x:v>V1.7</x:v>
      </x:c>
      <x:c r="Q46" s="36" t="str">
        <x:v>合成命例仅用于规则单元/集成测试，不替代真实命例外部验证。</x:v>
      </x:c>
    </x:row>
    <x:row r="47">
      <x:c r="A47" s="36" t="str">
        <x:v>M20-WANG-0046-V1.0</x:v>
      </x:c>
      <x:c r="B47" s="36" t="str">
        <x:v>得令多根透干汇合形成成势候选</x:v>
      </x:c>
      <x:c r="C47" s="36" t="str">
        <x:v>正例</x:v>
      </x:c>
      <x:c r="D47" s="36" t="str">
        <x:v>M07</x:v>
      </x:c>
      <x:c r="E47" s="36" t="str">
        <x:v>M07-MOMENT-0057-V1.0</x:v>
      </x:c>
      <x:c r="F47" s="36" t="str">
        <x:v>甲寅 乙卯 甲辰 壬亥</x:v>
      </x:c>
      <x:c r="G47" s="36" t="str">
        <x:v>未知/不适用</x:v>
      </x:c>
      <x:c r="H47" s="36" t="str">
        <x:v>合成命例；不用于历法排盘；月令按月支与输入事实假设</x:v>
      </x:c>
      <x:c r="I47" s="36" t="str">
        <x:v>木得卯令，寅卯辰亥提供多根/同党，甲乙透干，壬水生木。</x:v>
      </x:c>
      <x:c r="J47" s="36" t="str">
        <x:v>识别季令、根气、透干、生源多类独立证据。</x:v>
      </x:c>
      <x:c r="K47" s="36" t="str">
        <x:v>木形成明显成势候选。</x:v>
      </x:c>
      <x:c r="L47" s="36" t="str">
        <x:v>M08再检查合冲制化后决定有效成势。</x:v>
      </x:c>
      <x:c r="M47" s="36" t="str">
        <x:v>木原始层成势候选成立。</x:v>
      </x:c>
      <x:c r="N47" s="36" t="str">
        <x:v>通过</x:v>
      </x:c>
      <x:c r="O47" s="36" t="str">
        <x:v>未测试</x:v>
      </x:c>
      <x:c r="P47" s="36" t="str">
        <x:v>V1.7</x:v>
      </x:c>
      <x:c r="Q47" s="36" t="str">
        <x:v>合成命例仅用于规则单元/集成测试，不替代真实命例外部验证。</x:v>
      </x:c>
    </x:row>
    <x:row r="48">
      <x:c r="A48" s="36" t="str">
        <x:v>M20-WANG-0047-V1.0</x:v>
      </x:c>
      <x:c r="B48" s="36" t="str">
        <x:v>唯一强根未被实质破坏时仍保留承载</x:v>
      </x:c>
      <x:c r="C48" s="36" t="str">
        <x:v>回归测试</x:v>
      </x:c>
      <x:c r="D48" s="36" t="str">
        <x:v>M08</x:v>
      </x:c>
      <x:c r="E48" s="36" t="str">
        <x:v>M08-ROOT-0001-V1.0</x:v>
      </x:c>
      <x:c r="F48" s="36" t="str">
        <x:v>庚申 戊寅 甲辰 丙午</x:v>
      </x:c>
      <x:c r="G48" s="36" t="str">
        <x:v>未知/不适用</x:v>
      </x:c>
      <x:c r="H48" s="36" t="str">
        <x:v>合成命例；不用于历法排盘；月令按月支与输入事实假设</x:v>
      </x:c>
      <x:c r="I48" s="36" t="str">
        <x:v>甲木唯一寅根受申冲；寅有根源和透干支持，M06仅判冲动/受制，未判冲散。</x:v>
      </x:c>
      <x:c r="J48" s="36" t="str">
        <x:v>原始层识别寅本气根。</x:v>
      </x:c>
      <x:c r="K48" s="36" t="str">
        <x:v>有效层仍保留主要承载，只作条件性下调。</x:v>
      </x:c>
      <x:c r="L48" s="36" t="str">
        <x:v>不能把甲木直接判无根。</x:v>
      </x:c>
      <x:c r="M48" s="36" t="str">
        <x:v>唯一寅根未被实质破坏，承载仍保留。</x:v>
      </x:c>
      <x:c r="N48" s="36" t="str">
        <x:v>通过</x:v>
      </x:c>
      <x:c r="O48" s="36" t="str">
        <x:v>通过</x:v>
      </x:c>
      <x:c r="P48" s="36" t="str">
        <x:v>V1.7</x:v>
      </x:c>
      <x:c r="Q48" s="36" t="str">
        <x:v>合成命例仅用于规则单元/集成测试，不替代真实命例外部验证。</x:v>
      </x:c>
    </x:row>
    <x:row r="49">
      <x:c r="A49" s="36" t="str">
        <x:v>M20-WANG-0048-V1.0</x:v>
      </x:c>
      <x:c r="B49" s="36" t="str">
        <x:v>透干被合绊只下调显露功能不删除本体</x:v>
      </x:c>
      <x:c r="C49" s="36" t="str">
        <x:v>正例</x:v>
      </x:c>
      <x:c r="D49" s="36" t="str">
        <x:v>M08</x:v>
      </x:c>
      <x:c r="E49" s="36" t="str">
        <x:v>M08-STEM-0030-V1.0</x:v>
      </x:c>
      <x:c r="F49" s="36" t="str">
        <x:v>甲寅 己丑 甲辰 丙午</x:v>
      </x:c>
      <x:c r="G49" s="36" t="str">
        <x:v>未知/不适用</x:v>
      </x:c>
      <x:c r="H49" s="36" t="str">
        <x:v>合成命例；不用于历法排盘；月令按月支与输入事实假设</x:v>
      </x:c>
      <x:c r="I49" s="36" t="str">
        <x:v>甲己相合；甲另有寅根与日干同党。</x:v>
      </x:c>
      <x:c r="J49" s="36" t="str">
        <x:v>识别甲透干、甲己合。</x:v>
      </x:c>
      <x:c r="K49" s="36" t="str">
        <x:v>甲的显露和主动作用受合绊，但木本体及根气仍存在。</x:v>
      </x:c>
      <x:c r="L49" s="36" t="str">
        <x:v>有效力量按功能受限修正，不归零。</x:v>
      </x:c>
      <x:c r="M49" s="36" t="str">
        <x:v>被合绊的甲仍保留木本体与根气。</x:v>
      </x:c>
      <x:c r="N49" s="36" t="str">
        <x:v>通过</x:v>
      </x:c>
      <x:c r="O49" s="36" t="str">
        <x:v>未测试</x:v>
      </x:c>
      <x:c r="P49" s="36" t="str">
        <x:v>V1.7</x:v>
      </x:c>
      <x:c r="Q49" s="36" t="str">
        <x:v>合成命例仅用于规则单元/集成测试，不替代真实命例外部验证。</x:v>
      </x:c>
    </x:row>
    <x:row r="50">
      <x:c r="A50" s="36" t="str">
        <x:v>M20-WANG-0049-V1.0</x:v>
      </x:c>
      <x:c r="B50" s="36" t="str">
        <x:v>关键桥梁被合绊会降低流通效率</x:v>
      </x:c>
      <x:c r="C50" s="36" t="str">
        <x:v>正例</x:v>
      </x:c>
      <x:c r="D50" s="36" t="str">
        <x:v>M08</x:v>
      </x:c>
      <x:c r="E50" s="36" t="str">
        <x:v>M08-FLOW-0097-V1.0</x:v>
      </x:c>
      <x:c r="F50" s="36" t="str">
        <x:v>庚申 癸丑 甲寅 己巳</x:v>
      </x:c>
      <x:c r="G50" s="36" t="str">
        <x:v>未知/不适用</x:v>
      </x:c>
      <x:c r="H50" s="36" t="str">
        <x:v>合成命例；不用于历法排盘；月令按月支与输入事实假设</x:v>
      </x:c>
      <x:c r="I50" s="36" t="str">
        <x:v>金→水→木为候选路径；癸水与戊己土作用并受子丑/干合类牵制，桥梁水功能下降。</x:v>
      </x:c>
      <x:c r="J50" s="36" t="str">
        <x:v>识别金水木路径与水桥梁受限事实。</x:v>
      </x:c>
      <x:c r="K50" s="36" t="str">
        <x:v>流通效率下调，但水的五行存在性不删除。</x:v>
      </x:c>
      <x:c r="L50" s="36" t="str">
        <x:v>M12将水标为受限桥梁/卡点。</x:v>
      </x:c>
      <x:c r="M50" s="36" t="str">
        <x:v>桥梁受合绊或强克时流通效率下降。</x:v>
      </x:c>
      <x:c r="N50" s="36" t="str">
        <x:v>通过</x:v>
      </x:c>
      <x:c r="O50" s="36" t="str">
        <x:v>未测试</x:v>
      </x:c>
      <x:c r="P50" s="36" t="str">
        <x:v>V1.7</x:v>
      </x:c>
      <x:c r="Q50" s="36" t="str">
        <x:v>合成命例仅用于规则单元/集成测试，不替代真实命例外部验证。</x:v>
      </x:c>
    </x:row>
    <x:row r="51">
      <x:c r="A51" s="36" t="str">
        <x:v>M20-WANG-0050-V1.0</x:v>
      </x:c>
      <x:c r="B51" s="36" t="str">
        <x:v>固定百分比不能替代有效旺衰裁决</x:v>
      </x:c>
      <x:c r="C51" s="36" t="str">
        <x:v>反例</x:v>
      </x:c>
      <x:c r="D51" s="36" t="str">
        <x:v>M08</x:v>
      </x:c>
      <x:c r="E51" s="36" t="str">
        <x:v>M08-BOUND-0109-V1.0</x:v>
      </x:c>
      <x:c r="F51" s="36" t="str">
        <x:v>甲寅 丁巳 戊申 庚子</x:v>
      </x:c>
      <x:c r="G51" s="36" t="str">
        <x:v>未知/不适用</x:v>
      </x:c>
      <x:c r="H51" s="36" t="str">
        <x:v>合成命例；不用于历法排盘；月令按月支与输入事实假设</x:v>
      </x:c>
      <x:c r="I51" s="36" t="str">
        <x:v>三刑、冲、合、破多重关系并存，若每种关系固定扣20%会重复调用同一节点。</x:v>
      </x:c>
      <x:c r="J51" s="36" t="str">
        <x:v>识别全部关系和共享节点。</x:v>
      </x:c>
      <x:c r="K51" s="36" t="str">
        <x:v>必须逐对象、逐路径比较，禁止固定百分比相加。</x:v>
      </x:c>
      <x:c r="L51" s="36" t="str">
        <x:v>有效旺衰以证据和净效应输出。</x:v>
      </x:c>
      <x:c r="M51" s="36" t="str">
        <x:v>固定百分比扣分法被否决。</x:v>
      </x:c>
      <x:c r="N51" s="36" t="str">
        <x:v>通过</x:v>
      </x:c>
      <x:c r="O51" s="36" t="str">
        <x:v>未测试</x:v>
      </x:c>
      <x:c r="P51" s="36" t="str">
        <x:v>V1.7</x:v>
      </x:c>
      <x:c r="Q51" s="36" t="str">
        <x:v>合成命例仅用于规则单元/集成测试，不替代真实命例外部验证。</x:v>
      </x:c>
    </x:row>
    <x:row r="52">
      <x:c r="A52" s="36" t="str">
        <x:v>M20-WANG-0051-V1.0</x:v>
      </x:c>
      <x:c r="B52" s="36" t="str">
        <x:v>得令但无有效根不能自动判身旺</x:v>
      </x:c>
      <x:c r="C52" s="36" t="str">
        <x:v>边界案例</x:v>
      </x:c>
      <x:c r="D52" s="36" t="str">
        <x:v>M09</x:v>
      </x:c>
      <x:c r="E52" s="36" t="str">
        <x:v>M09-LING-0004-V1.0</x:v>
      </x:c>
      <x:c r="F52" s="36" t="str">
        <x:v>丙午 丁巳 丙子 壬申</x:v>
      </x:c>
      <x:c r="G52" s="36" t="str">
        <x:v>未知/不适用</x:v>
      </x:c>
      <x:c r="H52" s="36" t="str">
        <x:v>合成命例；不用于历法排盘；月令按月支与输入事实假设</x:v>
      </x:c>
      <x:c r="I52" s="36" t="str">
        <x:v>丙火生巳月得令；地支火根受子水冲，天干壬水有根，火的持续承载需核查。</x:v>
      </x:c>
      <x:c r="J52" s="36" t="str">
        <x:v>识别日主得令。</x:v>
      </x:c>
      <x:c r="K52" s="36" t="str">
        <x:v>得令为强证据，但无稳定有效根或受强制时不能单独定旺。</x:v>
      </x:c>
      <x:c r="L52" s="36" t="str">
        <x:v>输出需保留“得令强、根与制约弱”的边界状态。</x:v>
      </x:c>
      <x:c r="M52" s="36" t="str">
        <x:v>丙火得令但承载未稳，不自动判旺。</x:v>
      </x:c>
      <x:c r="N52" s="36" t="str">
        <x:v>通过</x:v>
      </x:c>
      <x:c r="O52" s="36" t="str">
        <x:v>未测试</x:v>
      </x:c>
      <x:c r="P52" s="36" t="str">
        <x:v>V1.7</x:v>
      </x:c>
      <x:c r="Q52" s="36" t="str">
        <x:v>合成命例仅用于规则单元/集成测试，不替代真实命例外部验证。</x:v>
      </x:c>
    </x:row>
    <x:row r="53">
      <x:c r="A53" s="36" t="str">
        <x:v>M20-WANG-0052-V1.0</x:v>
      </x:c>
      <x:c r="B53" s="36" t="str">
        <x:v>失令但根深印比成势可反转季节劣势</x:v>
      </x:c>
      <x:c r="C53" s="36" t="str">
        <x:v>正例</x:v>
      </x:c>
      <x:c r="D53" s="36" t="str">
        <x:v>M09</x:v>
      </x:c>
      <x:c r="E53" s="36" t="str">
        <x:v>M09-LING-0005-V1.0</x:v>
      </x:c>
      <x:c r="F53" s="36" t="str">
        <x:v>甲寅 乙卯 甲申 壬亥</x:v>
      </x:c>
      <x:c r="G53" s="36" t="str">
        <x:v>未知/不适用</x:v>
      </x:c>
      <x:c r="H53" s="36" t="str">
        <x:v>合成命例；不用于历法排盘；月令按月支与输入事实假设</x:v>
      </x:c>
      <x:c r="I53" s="36" t="str">
        <x:v>甲木生申月失令；但寅卯多根，甲乙同党，壬亥印生有力。</x:v>
      </x:c>
      <x:c r="J53" s="36" t="str">
        <x:v>识别失令与多重扶身证据。</x:v>
      </x:c>
      <x:c r="K53" s="36" t="str">
        <x:v>根深、印比成势可以反转季节劣势。</x:v>
      </x:c>
      <x:c r="L53" s="36" t="str">
        <x:v>日主可达到中和偏旺或旺，不能因申月固定判弱。</x:v>
      </x:c>
      <x:c r="M53" s="36" t="str">
        <x:v>失令木因根印比成势反转为偏强。</x:v>
      </x:c>
      <x:c r="N53" s="36" t="str">
        <x:v>通过</x:v>
      </x:c>
      <x:c r="O53" s="36" t="str">
        <x:v>未测试</x:v>
      </x:c>
      <x:c r="P53" s="36" t="str">
        <x:v>V1.7</x:v>
      </x:c>
      <x:c r="Q53" s="36" t="str">
        <x:v>合成命例仅用于规则单元/集成测试，不替代真实命例外部验证。</x:v>
      </x:c>
    </x:row>
    <x:row r="54">
      <x:c r="A54" s="36" t="str">
        <x:v>M20-WANG-0053-V1.0</x:v>
      </x:c>
      <x:c r="B54" s="36" t="str">
        <x:v>印多不自动等于日主身旺</x:v>
      </x:c>
      <x:c r="C54" s="36" t="str">
        <x:v>反例</x:v>
      </x:c>
      <x:c r="D54" s="36" t="str">
        <x:v>M09</x:v>
      </x:c>
      <x:c r="E54" s="36" t="str">
        <x:v>M09-SHENG-0040-V1.0</x:v>
      </x:c>
      <x:c r="F54" s="36" t="str">
        <x:v>壬子 癸丑 甲午 壬申</x:v>
      </x:c>
      <x:c r="G54" s="36" t="str">
        <x:v>未知/不适用</x:v>
      </x:c>
      <x:c r="H54" s="36" t="str">
        <x:v>合成命例；不用于历法排盘；月令按月支与输入事实假设</x:v>
      </x:c>
      <x:c r="I54" s="36" t="str">
        <x:v>天干三水印星，但部分无根、受丑土与午火制耗；甲木无直接根。</x:v>
      </x:c>
      <x:c r="J54" s="36" t="str">
        <x:v>识别印星数量多。</x:v>
      </x:c>
      <x:c r="K54" s="36" t="str">
        <x:v>需检查印自身有效性和能否真正生日主。</x:v>
      </x:c>
      <x:c r="L54" s="36" t="str">
        <x:v>不能按印星个数直接判甲身旺。</x:v>
      </x:c>
      <x:c r="M54" s="36" t="str">
        <x:v>印多仅是数量事实，身旺结论被否决。</x:v>
      </x:c>
      <x:c r="N54" s="36" t="str">
        <x:v>通过</x:v>
      </x:c>
      <x:c r="O54" s="36" t="str">
        <x:v>未测试</x:v>
      </x:c>
      <x:c r="P54" s="36" t="str">
        <x:v>V1.7</x:v>
      </x:c>
      <x:c r="Q54" s="36" t="str">
        <x:v>合成命例仅用于规则单元/集成测试，不替代真实命例外部验证。</x:v>
      </x:c>
    </x:row>
    <x:row r="55">
      <x:c r="A55" s="36" t="str">
        <x:v>M20-WANG-0054-V1.0</x:v>
      </x:c>
      <x:c r="B55" s="36" t="str">
        <x:v>财官食伤多不自动等于日主身弱</x:v>
      </x:c>
      <x:c r="C55" s="36" t="str">
        <x:v>反例</x:v>
      </x:c>
      <x:c r="D55" s="36" t="str">
        <x:v>M09</x:v>
      </x:c>
      <x:c r="E55" s="36" t="str">
        <x:v>M09-HAO-0062-V1.0</x:v>
      </x:c>
      <x:c r="F55" s="36" t="str">
        <x:v>戊辰 庚申 甲寅 壬子</x:v>
      </x:c>
      <x:c r="G55" s="36" t="str">
        <x:v>未知/不适用</x:v>
      </x:c>
      <x:c r="H55" s="36" t="str">
        <x:v>合成命例；不用于历法排盘；月令按月支与输入事实假设</x:v>
      </x:c>
      <x:c r="I55" s="36" t="str">
        <x:v>甲日主同时见财戊、杀庚、食神丙藏；但有寅强根、壬子印生。</x:v>
      </x:c>
      <x:c r="J55" s="36" t="str">
        <x:v>识别负荷端十神较多。</x:v>
      </x:c>
      <x:c r="K55" s="36" t="str">
        <x:v>负荷须按有效功能和日主承载比较，不能按数量定弱。</x:v>
      </x:c>
      <x:c r="L55" s="36" t="str">
        <x:v>日主可能中和或中和偏弱，不能直接判弱。</x:v>
      </x:c>
      <x:c r="M55" s="36" t="str">
        <x:v>财官食伤多不构成身弱充分条件。</x:v>
      </x:c>
      <x:c r="N55" s="36" t="str">
        <x:v>通过</x:v>
      </x:c>
      <x:c r="O55" s="36" t="str">
        <x:v>未测试</x:v>
      </x:c>
      <x:c r="P55" s="36" t="str">
        <x:v>V1.7</x:v>
      </x:c>
      <x:c r="Q55" s="36" t="str">
        <x:v>合成命例仅用于规则单元/集成测试，不替代真实命例外部验证。</x:v>
      </x:c>
    </x:row>
    <x:row r="56">
      <x:c r="A56" s="36" t="str">
        <x:v>M20-WANG-0055-V1.0</x:v>
      </x:c>
      <x:c r="B56" s="36" t="str">
        <x:v>极弱要求扶身侧近乎失效</x:v>
      </x:c>
      <x:c r="C56" s="36" t="str">
        <x:v>正例</x:v>
      </x:c>
      <x:c r="D56" s="36" t="str">
        <x:v>M09</x:v>
      </x:c>
      <x:c r="E56" s="36" t="str">
        <x:v>M09-GRADE-0073-V1.0；M09-BOUND-0084-V1.0</x:v>
      </x:c>
      <x:c r="F56" s="36" t="str">
        <x:v>庚申 辛酉 甲午 戊戌</x:v>
      </x:c>
      <x:c r="G56" s="36" t="str">
        <x:v>未知/不适用</x:v>
      </x:c>
      <x:c r="H56" s="36" t="str">
        <x:v>合成命例；不用于历法排盘；月令按月支与输入事实假设</x:v>
      </x:c>
      <x:c r="I56" s="36" t="str">
        <x:v>甲木失令，无木根、无水印、无比劫；金官杀成势，土财耗，火泄。</x:v>
      </x:c>
      <x:c r="J56" s="36" t="str">
        <x:v>识别扶身侧近乎无效，负荷侧单向主导。</x:v>
      </x:c>
      <x:c r="K56" s="36" t="str">
        <x:v>日主可判极弱。</x:v>
      </x:c>
      <x:c r="L56" s="36" t="str">
        <x:v>M09只生成从格候选，不能在此直接确认从格。</x:v>
      </x:c>
      <x:c r="M56" s="36" t="str">
        <x:v>甲木达到极弱门槛，但从格仍转M14/M15。</x:v>
      </x:c>
      <x:c r="N56" s="36" t="str">
        <x:v>通过</x:v>
      </x:c>
      <x:c r="O56" s="36" t="str">
        <x:v>未测试</x:v>
      </x:c>
      <x:c r="P56" s="36" t="str">
        <x:v>V1.7</x:v>
      </x:c>
      <x:c r="Q56" s="36" t="str">
        <x:v>合成命例仅用于规则单元/集成测试，不替代真实命例外部验证。</x:v>
      </x:c>
    </x:row>
    <x:row r="57">
      <x:c r="A57" s="36" t="str">
        <x:v>M20-WANG-0056-V1.0</x:v>
      </x:c>
      <x:c r="B57" s="36" t="str">
        <x:v>极旺要求扶身侧高度集中且无有效制衡</x:v>
      </x:c>
      <x:c r="C57" s="36" t="str">
        <x:v>正例</x:v>
      </x:c>
      <x:c r="D57" s="36" t="str">
        <x:v>M09</x:v>
      </x:c>
      <x:c r="E57" s="36" t="str">
        <x:v>M09-GRADE-0079-V1.0；M09-BOUND-0084-V1.0</x:v>
      </x:c>
      <x:c r="F57" s="36" t="str">
        <x:v>甲寅 乙卯 甲辰 壬亥</x:v>
      </x:c>
      <x:c r="G57" s="36" t="str">
        <x:v>未知/不适用</x:v>
      </x:c>
      <x:c r="H57" s="36" t="str">
        <x:v>合成命例；不用于历法排盘；月令按月支与输入事实假设</x:v>
      </x:c>
      <x:c r="I57" s="36" t="str">
        <x:v>甲木得令，多根，同党透干，壬亥印生；金官杀无力，财食不足制泄。</x:v>
      </x:c>
      <x:c r="J57" s="36" t="str">
        <x:v>识别扶身侧高度集中。</x:v>
      </x:c>
      <x:c r="K57" s="36" t="str">
        <x:v>日主可判极旺。</x:v>
      </x:c>
      <x:c r="L57" s="36" t="str">
        <x:v>M09只生成从旺/专旺候选，最终特殊格局转M14/M15。</x:v>
      </x:c>
      <x:c r="M57" s="36" t="str">
        <x:v>甲木达到极旺门槛，但特殊格局未在M09越级确认。</x:v>
      </x:c>
      <x:c r="N57" s="36" t="str">
        <x:v>通过</x:v>
      </x:c>
      <x:c r="O57" s="36" t="str">
        <x:v>未测试</x:v>
      </x:c>
      <x:c r="P57" s="36" t="str">
        <x:v>V1.7</x:v>
      </x:c>
      <x:c r="Q57" s="36" t="str">
        <x:v>合成命例仅用于规则单元/集成测试，不替代真实命例外部验证。</x:v>
      </x:c>
    </x:row>
    <x:row r="58">
      <x:c r="A58" s="36" t="str">
        <x:v>M20-TEN-0057-V1.0</x:v>
      </x:c>
      <x:c r="B58" s="36" t="str">
        <x:v>七杀透干属于显性存在</x:v>
      </x:c>
      <x:c r="C58" s="36" t="str">
        <x:v>正例</x:v>
      </x:c>
      <x:c r="D58" s="36" t="str">
        <x:v>M10</x:v>
      </x:c>
      <x:c r="E58" s="36" t="str">
        <x:v>M10-PRES-0001-V1.0</x:v>
      </x:c>
      <x:c r="F58" s="36" t="str">
        <x:v>庚申 癸丑 甲寅 丙午</x:v>
      </x:c>
      <x:c r="G58" s="36" t="str">
        <x:v>未知/不适用</x:v>
      </x:c>
      <x:c r="H58" s="36" t="str">
        <x:v>合成命例；不用于历法排盘；月令按月支与输入事实假设</x:v>
      </x:c>
      <x:c r="I58" s="36" t="str">
        <x:v>甲日主；年干庚为七杀，明透于天干。</x:v>
      </x:c>
      <x:c r="J58" s="36" t="str">
        <x:v>七杀按透干方式明确存在。</x:v>
      </x:c>
      <x:c r="K58" s="36" t="str">
        <x:v>力量继承金的M08结果，功能另审制化。</x:v>
      </x:c>
      <x:c r="L58" s="36" t="str">
        <x:v>不得由“透七杀”直接推出七杀旺或为害。</x:v>
      </x:c>
      <x:c r="M58" s="36" t="str">
        <x:v>七杀显性存在成立，旺衰与喜忌未越级。</x:v>
      </x:c>
      <x:c r="N58" s="36" t="str">
        <x:v>通过</x:v>
      </x:c>
      <x:c r="O58" s="36" t="str">
        <x:v>未测试</x:v>
      </x:c>
      <x:c r="P58" s="36" t="str">
        <x:v>V1.7</x:v>
      </x:c>
      <x:c r="Q58" s="36" t="str">
        <x:v>合成命例仅用于规则单元/集成测试，不替代真实命例外部验证。</x:v>
      </x:c>
    </x:row>
    <x:row r="59">
      <x:c r="A59" s="36" t="str">
        <x:v>M20-TEN-0058-V1.0</x:v>
      </x:c>
      <x:c r="B59" s="36" t="str">
        <x:v>正官藏而不透仍属于原局存在</x:v>
      </x:c>
      <x:c r="C59" s="36" t="str">
        <x:v>正例</x:v>
      </x:c>
      <x:c r="D59" s="36" t="str">
        <x:v>M10</x:v>
      </x:c>
      <x:c r="E59" s="36" t="str">
        <x:v>M10-PRES-0008-V1.0</x:v>
      </x:c>
      <x:c r="F59" s="36" t="str">
        <x:v>甲子 己丑 甲寅 丙午</x:v>
      </x:c>
      <x:c r="G59" s="36" t="str">
        <x:v>未知/不适用</x:v>
      </x:c>
      <x:c r="H59" s="36" t="str">
        <x:v>合成命例；不用于历法排盘；月令按月支与输入事实假设</x:v>
      </x:c>
      <x:c r="I59" s="36" t="str">
        <x:v>甲日主；丑中藏辛为正官，天干无辛。</x:v>
      </x:c>
      <x:c r="J59" s="36" t="str">
        <x:v>正官按藏支方式存在，透干状态为否。</x:v>
      </x:c>
      <x:c r="K59" s="36" t="str">
        <x:v>官星显性作用较弱，但不能写完全不现。</x:v>
      </x:c>
      <x:c r="L59" s="36" t="str">
        <x:v>正官存在性与透达性分开。</x:v>
      </x:c>
      <x:c r="M59" s="36" t="str">
        <x:v>藏辛正官存在，但未透干。</x:v>
      </x:c>
      <x:c r="N59" s="36" t="str">
        <x:v>通过</x:v>
      </x:c>
      <x:c r="O59" s="36" t="str">
        <x:v>未测试</x:v>
      </x:c>
      <x:c r="P59" s="36" t="str">
        <x:v>V1.7</x:v>
      </x:c>
      <x:c r="Q59" s="36" t="str">
        <x:v>合成命例仅用于规则单元/集成测试，不替代真实命例外部验证。</x:v>
      </x:c>
    </x:row>
    <x:row r="60">
      <x:c r="A60" s="36" t="str">
        <x:v>M20-TEN-0059-V1.0</x:v>
      </x:c>
      <x:c r="B60" s="36" t="str">
        <x:v>多枚七杀节点不按次数线性计旺</x:v>
      </x:c>
      <x:c r="C60" s="36" t="str">
        <x:v>反例</x:v>
      </x:c>
      <x:c r="D60" s="36" t="str">
        <x:v>M10</x:v>
      </x:c>
      <x:c r="E60" s="36" t="str">
        <x:v>M10-POWER-0015-V1.0</x:v>
      </x:c>
      <x:c r="F60" s="36" t="str">
        <x:v>庚申 庚申 甲寅 辛酉</x:v>
      </x:c>
      <x:c r="G60" s="36" t="str">
        <x:v>未知/不适用</x:v>
      </x:c>
      <x:c r="H60" s="36" t="str">
        <x:v>合成命例；不用于历法排盘；月令按月支与输入事实假设</x:v>
      </x:c>
      <x:c r="I60" s="36" t="str">
        <x:v>甲日主；两个庚干、两个申金节点，另有辛酉正官。</x:v>
      </x:c>
      <x:c r="J60" s="36" t="str">
        <x:v>识别多个独立官杀节点。</x:v>
      </x:c>
      <x:c r="K60" s="36" t="str">
        <x:v>按季令、根气、透达和共享节点汇总，不按出现三次就固定三级加分。</x:v>
      </x:c>
      <x:c r="L60" s="36" t="str">
        <x:v>七杀可旺，但结论来自有效节点质量而非次数。</x:v>
      </x:c>
      <x:c r="M60" s="36" t="str">
        <x:v>多节点官杀采用独立汇总，不线性计数。</x:v>
      </x:c>
      <x:c r="N60" s="36" t="str">
        <x:v>通过</x:v>
      </x:c>
      <x:c r="O60" s="36" t="str">
        <x:v>未测试</x:v>
      </x:c>
      <x:c r="P60" s="36" t="str">
        <x:v>V1.7</x:v>
      </x:c>
      <x:c r="Q60" s="36" t="str">
        <x:v>合成命例仅用于规则单元/集成测试，不替代真实命例外部验证。</x:v>
      </x:c>
    </x:row>
    <x:row r="61">
      <x:c r="A61" s="36" t="str">
        <x:v>M20-TEN-0060-V1.0</x:v>
      </x:c>
      <x:c r="B61" s="36" t="str">
        <x:v>七杀主导而正官失效不按严重混杂</x:v>
      </x:c>
      <x:c r="C61" s="36" t="str">
        <x:v>边界案例</x:v>
      </x:c>
      <x:c r="D61" s="36" t="str">
        <x:v>M10</x:v>
      </x:c>
      <x:c r="E61" s="36" t="str">
        <x:v>M10-PURE-0026-V1.0</x:v>
      </x:c>
      <x:c r="F61" s="36" t="str">
        <x:v>庚申 癸丑 甲寅 辛未</x:v>
      </x:c>
      <x:c r="G61" s="36" t="str">
        <x:v>未知/不适用</x:v>
      </x:c>
      <x:c r="H61" s="36" t="str">
        <x:v>合成命例；不用于历法排盘；月令按月支与输入事实假设</x:v>
      </x:c>
      <x:c r="I61" s="36" t="str">
        <x:v>七杀庚申得令有根；正官辛虽透但无根、受丙丁火制且功能弱。</x:v>
      </x:c>
      <x:c r="J61" s="36" t="str">
        <x:v>官杀并见，生成有杂候选。</x:v>
      </x:c>
      <x:c r="K61" s="36" t="str">
        <x:v>因七杀有效主导、正官失效，清纯度可判较清而非严重混杂。</x:v>
      </x:c>
      <x:c r="L61" s="36" t="str">
        <x:v>后续组合以七杀为主轴。</x:v>
      </x:c>
      <x:c r="M61" s="36" t="str">
        <x:v>官杀有杂但主从清楚，不按严重混杂。</x:v>
      </x:c>
      <x:c r="N61" s="36" t="str">
        <x:v>通过</x:v>
      </x:c>
      <x:c r="O61" s="36" t="str">
        <x:v>未测试</x:v>
      </x:c>
      <x:c r="P61" s="36" t="str">
        <x:v>V1.7</x:v>
      </x:c>
      <x:c r="Q61" s="36" t="str">
        <x:v>合成命例仅用于规则单元/集成测试，不替代真实命例外部验证。</x:v>
      </x:c>
    </x:row>
    <x:row r="62">
      <x:c r="A62" s="36" t="str">
        <x:v>M20-TEN-0061-V1.0</x:v>
      </x:c>
      <x:c r="B62" s="36" t="str">
        <x:v>有效比肩首先提供同类扶身</x:v>
      </x:c>
      <x:c r="C62" s="36" t="str">
        <x:v>正例</x:v>
      </x:c>
      <x:c r="D62" s="36" t="str">
        <x:v>M10</x:v>
      </x:c>
      <x:c r="E62" s="36" t="str">
        <x:v>M10-BIJIE-0033-V1.0</x:v>
      </x:c>
      <x:c r="F62" s="36" t="str">
        <x:v>壬子 庚申 甲寅 甲辰</x:v>
      </x:c>
      <x:c r="G62" s="36" t="str">
        <x:v>未知/不适用</x:v>
      </x:c>
      <x:c r="H62" s="36" t="str">
        <x:v>合成命例；不用于历法排盘；月令按月支与输入事实假设</x:v>
      </x:c>
      <x:c r="I62" s="36" t="str">
        <x:v>甲日主偏弱；时干甲有寅根并未受重制。</x:v>
      </x:c>
      <x:c r="J62" s="36" t="str">
        <x:v>比肩显性存在且有效。</x:v>
      </x:c>
      <x:c r="K62" s="36" t="str">
        <x:v>比肩增强同类承载，并帮助分担庚杀压力。</x:v>
      </x:c>
      <x:c r="L62" s="36" t="str">
        <x:v>比肩是否最终为喜仍需结合财星与格局。</x:v>
      </x:c>
      <x:c r="M62" s="36" t="str">
        <x:v>有效甲比肩提供扶身功能。</x:v>
      </x:c>
      <x:c r="N62" s="36" t="str">
        <x:v>通过</x:v>
      </x:c>
      <x:c r="O62" s="36" t="str">
        <x:v>未测试</x:v>
      </x:c>
      <x:c r="P62" s="36" t="str">
        <x:v>V1.7</x:v>
      </x:c>
      <x:c r="Q62" s="36" t="str">
        <x:v>合成命例仅用于规则单元/集成测试，不替代真实命例外部验证。</x:v>
      </x:c>
    </x:row>
    <x:row r="63">
      <x:c r="A63" s="36" t="str">
        <x:v>M20-TEN-0062-V1.0</x:v>
      </x:c>
      <x:c r="B63" s="36" t="str">
        <x:v>劫财同时扶身并分财</x:v>
      </x:c>
      <x:c r="C63" s="36" t="str">
        <x:v>边界案例</x:v>
      </x:c>
      <x:c r="D63" s="36" t="str">
        <x:v>M10</x:v>
      </x:c>
      <x:c r="E63" s="36" t="str">
        <x:v>M10-BIJIE-0034-V1.0；M10-BIJIE-0042-V1.0</x:v>
      </x:c>
      <x:c r="F63" s="36" t="str">
        <x:v>乙卯 戊辰 甲申 己未</x:v>
      </x:c>
      <x:c r="G63" s="36" t="str">
        <x:v>未知/不适用</x:v>
      </x:c>
      <x:c r="H63" s="36" t="str">
        <x:v>合成命例；不用于历法排盘；月令按月支与输入事实假设</x:v>
      </x:c>
      <x:c r="I63" s="36" t="str">
        <x:v>甲日主；乙木为劫财有卯根；戊己财星同时有效。</x:v>
      </x:c>
      <x:c r="J63" s="36" t="str">
        <x:v>劫财与财星均存在。</x:v>
      </x:c>
      <x:c r="K63" s="36" t="str">
        <x:v>乙一方面扶甲，一方面克制/竞争财星。</x:v>
      </x:c>
      <x:c r="L63" s="36" t="str">
        <x:v>必须同时记录扶身收益和分财副作用，不能只写吉或凶。</x:v>
      </x:c>
      <x:c r="M63" s="36" t="str">
        <x:v>劫财双重功能成立，喜忌保持条件性。</x:v>
      </x:c>
      <x:c r="N63" s="36" t="str">
        <x:v>通过</x:v>
      </x:c>
      <x:c r="O63" s="36" t="str">
        <x:v>未测试</x:v>
      </x:c>
      <x:c r="P63" s="36" t="str">
        <x:v>V1.7</x:v>
      </x:c>
      <x:c r="Q63" s="36" t="str">
        <x:v>合成命例仅用于规则单元/集成测试，不替代真实命例外部验证。</x:v>
      </x:c>
    </x:row>
    <x:row r="64">
      <x:c r="A64" s="36" t="str">
        <x:v>M20-TEN-0063-V1.0</x:v>
      </x:c>
      <x:c r="B64" s="36" t="str">
        <x:v>偏印制食必须有真实克制路径</x:v>
      </x:c>
      <x:c r="C64" s="36" t="str">
        <x:v>正例</x:v>
      </x:c>
      <x:c r="D64" s="36" t="str">
        <x:v>M10</x:v>
      </x:c>
      <x:c r="E64" s="36" t="str">
        <x:v>M10-YIN-0046-V1.0</x:v>
      </x:c>
      <x:c r="F64" s="36" t="str">
        <x:v>壬子 丙午 甲寅 庚申</x:v>
      </x:c>
      <x:c r="G64" s="36" t="str">
        <x:v>未知/不适用</x:v>
      </x:c>
      <x:c r="H64" s="36" t="str">
        <x:v>合成命例；不用于历法排盘；月令按月支与输入事实假设</x:v>
      </x:c>
      <x:c r="I64" s="36" t="str">
        <x:v>甲日主；壬为偏印、丙为食神；壬有子根，丙有午根，水火直接相制。</x:v>
      </x:c>
      <x:c r="J64" s="36" t="str">
        <x:v>偏印与食神均有效存在。</x:v>
      </x:c>
      <x:c r="K64" s="36" t="str">
        <x:v>偏印对食神形成真实制约，食神功能下调。</x:v>
      </x:c>
      <x:c r="L64" s="36" t="str">
        <x:v>可生成枭神夺食候选，但是否病态取决于食神是否关键。</x:v>
      </x:c>
      <x:c r="M64" s="36" t="str">
        <x:v>偏印制食路径真实成立。</x:v>
      </x:c>
      <x:c r="N64" s="36" t="str">
        <x:v>通过</x:v>
      </x:c>
      <x:c r="O64" s="36" t="str">
        <x:v>未测试</x:v>
      </x:c>
      <x:c r="P64" s="36" t="str">
        <x:v>V1.7</x:v>
      </x:c>
      <x:c r="Q64" s="36" t="str">
        <x:v>合成命例仅用于规则单元/集成测试，不替代真实命例外部验证。</x:v>
      </x:c>
    </x:row>
    <x:row r="65">
      <x:c r="A65" s="36" t="str">
        <x:v>M20-TEN-0064-V1.0</x:v>
      </x:c>
      <x:c r="B65" s="36" t="str">
        <x:v>食神制杀力量匹配时明显成立</x:v>
      </x:c>
      <x:c r="C65" s="36" t="str">
        <x:v>正例</x:v>
      </x:c>
      <x:c r="D65" s="36" t="str">
        <x:v>M11</x:v>
      </x:c>
      <x:c r="E65" s="36" t="str">
        <x:v>M11-SHIZHI-0011-V1.0；M11-SHIZHI-0012-V1.0；M11-SHIZHI-0020-V1.0</x:v>
      </x:c>
      <x:c r="F65" s="36" t="str">
        <x:v>丙午 庚申 甲寅 壬子</x:v>
      </x:c>
      <x:c r="G65" s="36" t="str">
        <x:v>未知/不适用</x:v>
      </x:c>
      <x:c r="H65" s="36" t="str">
        <x:v>合成命例；不用于历法排盘；月令按月支与输入事实假设</x:v>
      </x:c>
      <x:c r="I65" s="36" t="str">
        <x:v>甲日主；庚七杀得申根，丙食神得午根；食神可直接制庚，日主有寅根与壬印承载。</x:v>
      </x:c>
      <x:c r="J65" s="36" t="str">
        <x:v>食神、七杀均有效。</x:v>
      </x:c>
      <x:c r="K65" s="36" t="str">
        <x:v>食制杀路径清晰，力量不过与不及，无强枭夺食。</x:v>
      </x:c>
      <x:c r="L65" s="36" t="str">
        <x:v>食神制杀可判明显成立。</x:v>
      </x:c>
      <x:c r="M65" s="36" t="str">
        <x:v>食神制杀明显成立。</x:v>
      </x:c>
      <x:c r="N65" s="36" t="str">
        <x:v>通过</x:v>
      </x:c>
      <x:c r="O65" s="36" t="str">
        <x:v>未测试</x:v>
      </x:c>
      <x:c r="P65" s="36" t="str">
        <x:v>V1.7</x:v>
      </x:c>
      <x:c r="Q65" s="36" t="str">
        <x:v>合成命例仅用于规则单元/集成测试，不替代真实命例外部验证。</x:v>
      </x:c>
    </x:row>
    <x:row r="66">
      <x:c r="A66" s="36" t="str">
        <x:v>M20-TEN-0065-V1.0</x:v>
      </x:c>
      <x:c r="B66" s="36" t="str">
        <x:v>强枭夺食破坏食神制杀</x:v>
      </x:c>
      <x:c r="C66" s="36" t="str">
        <x:v>反例</x:v>
      </x:c>
      <x:c r="D66" s="36" t="str">
        <x:v>M11</x:v>
      </x:c>
      <x:c r="E66" s="36" t="str">
        <x:v>M11-SHIZHI-0016-V1.0</x:v>
      </x:c>
      <x:c r="F66" s="36" t="str">
        <x:v>壬子 丙午 甲寅 庚申</x:v>
      </x:c>
      <x:c r="G66" s="36" t="str">
        <x:v>未知/不适用</x:v>
      </x:c>
      <x:c r="H66" s="36" t="str">
        <x:v>合成命例；不用于历法排盘；月令按月支与输入事实假设</x:v>
      </x:c>
      <x:c r="I66" s="36" t="str">
        <x:v>食神丙本可制庚杀；偏印壬得子根并直接强制丙。</x:v>
      </x:c>
      <x:c r="J66" s="36" t="str">
        <x:v>识别食神制杀候选与偏印制食。</x:v>
      </x:c>
      <x:c r="K66" s="36" t="str">
        <x:v>食神功能受限，制杀能力显著下降。</x:v>
      </x:c>
      <x:c r="L66" s="36" t="str">
        <x:v>完整食神制杀不成立或降为弱成立。</x:v>
      </x:c>
      <x:c r="M66" s="36" t="str">
        <x:v>枭夺食构成食神制杀的关键破坏。</x:v>
      </x:c>
      <x:c r="N66" s="36" t="str">
        <x:v>通过</x:v>
      </x:c>
      <x:c r="O66" s="36" t="str">
        <x:v>未测试</x:v>
      </x:c>
      <x:c r="P66" s="36" t="str">
        <x:v>V1.7</x:v>
      </x:c>
      <x:c r="Q66" s="36" t="str">
        <x:v>合成命例仅用于规则单元/集成测试，不替代真实命例外部验证。</x:v>
      </x:c>
    </x:row>
    <x:row r="67">
      <x:c r="A67" s="36" t="str">
        <x:v>M20-TEN-0066-V1.0</x:v>
      </x:c>
      <x:c r="B67" s="36" t="str">
        <x:v>杀印相生链连续且比例协调</x:v>
      </x:c>
      <x:c r="C67" s="36" t="str">
        <x:v>正例</x:v>
      </x:c>
      <x:c r="D67" s="36" t="str">
        <x:v>M11</x:v>
      </x:c>
      <x:c r="E67" s="36" t="str">
        <x:v>M11-SHAYIN-0021-V1.0；M11-SHAYIN-0022-V1.0；M11-SHAYIN-0028-V1.0</x:v>
      </x:c>
      <x:c r="F67" s="36" t="str">
        <x:v>庚申 壬子 甲寅 乙卯</x:v>
      </x:c>
      <x:c r="G67" s="36" t="str">
        <x:v>未知/不适用</x:v>
      </x:c>
      <x:c r="H67" s="36" t="str">
        <x:v>合成命例；不用于历法排盘；月令按月支与输入事实假设</x:v>
      </x:c>
      <x:c r="I67" s="36" t="str">
        <x:v>甲日主；庚七杀有申根，壬偏印有子根；金生水，水生木；甲有寅根。</x:v>
      </x:c>
      <x:c r="J67" s="36" t="str">
        <x:v>七杀、印星、日主承接均有效。</x:v>
      </x:c>
      <x:c r="K67" s="36" t="str">
        <x:v>杀→印→身两段连续，比例协调，无财坏印。</x:v>
      </x:c>
      <x:c r="L67" s="36" t="str">
        <x:v>杀印相生明显成立。</x:v>
      </x:c>
      <x:c r="M67" s="36" t="str">
        <x:v>杀印相生链连续且稳定。</x:v>
      </x:c>
      <x:c r="N67" s="36" t="str">
        <x:v>通过</x:v>
      </x:c>
      <x:c r="O67" s="36" t="str">
        <x:v>未测试</x:v>
      </x:c>
      <x:c r="P67" s="36" t="str">
        <x:v>V1.7</x:v>
      </x:c>
      <x:c r="Q67" s="36" t="str">
        <x:v>合成命例仅用于规则单元/集成测试，不替代真实命例外部验证。</x:v>
      </x:c>
    </x:row>
    <x:row r="68">
      <x:c r="A68" s="36" t="str">
        <x:v>M20-TEN-0067-V1.0</x:v>
      </x:c>
      <x:c r="B68" s="36" t="str">
        <x:v>官印相生链连续可增强组合</x:v>
      </x:c>
      <x:c r="C68" s="36" t="str">
        <x:v>正例</x:v>
      </x:c>
      <x:c r="D68" s="36" t="str">
        <x:v>M11</x:v>
      </x:c>
      <x:c r="E68" s="36" t="str">
        <x:v>M11-GUANYIN-0029-V1.0；M11-GUANYIN-0030-V1.0；M11-GUANYIN-0035-V1.0</x:v>
      </x:c>
      <x:c r="F68" s="36" t="str">
        <x:v>辛酉 癸亥 甲寅 乙卯</x:v>
      </x:c>
      <x:c r="G68" s="36" t="str">
        <x:v>未知/不适用</x:v>
      </x:c>
      <x:c r="H68" s="36" t="str">
        <x:v>合成命例；不用于历法排盘；月令按月支与输入事实假设</x:v>
      </x:c>
      <x:c r="I68" s="36" t="str">
        <x:v>甲日主；辛正官得酉根，癸正印得亥根；金生水，水生木。</x:v>
      </x:c>
      <x:c r="J68" s="36" t="str">
        <x:v>正官和正印均有效。</x:v>
      </x:c>
      <x:c r="K68" s="36" t="str">
        <x:v>官→印→身完整，官印较清，无财破印。</x:v>
      </x:c>
      <x:c r="L68" s="36" t="str">
        <x:v>官印相生组合增强并明显成立。</x:v>
      </x:c>
      <x:c r="M68" s="36" t="str">
        <x:v>官印相生稳定成立。</x:v>
      </x:c>
      <x:c r="N68" s="36" t="str">
        <x:v>通过</x:v>
      </x:c>
      <x:c r="O68" s="36" t="str">
        <x:v>未测试</x:v>
      </x:c>
      <x:c r="P68" s="36" t="str">
        <x:v>V1.7</x:v>
      </x:c>
      <x:c r="Q68" s="36" t="str">
        <x:v>合成命例仅用于规则单元/集成测试，不替代真实命例外部验证。</x:v>
      </x:c>
    </x:row>
    <x:row r="69">
      <x:c r="A69" s="36" t="str">
        <x:v>M20-TEN-0068-V1.0</x:v>
      </x:c>
      <x:c r="B69" s="36" t="str">
        <x:v>伤官配印力量协调时明显成立</x:v>
      </x:c>
      <x:c r="C69" s="36" t="str">
        <x:v>正例</x:v>
      </x:c>
      <x:c r="D69" s="36" t="str">
        <x:v>M11</x:v>
      </x:c>
      <x:c r="E69" s="36" t="str">
        <x:v>M11-SHANGYIN-0037-V1.0；M11-SHANGYIN-0038-V1.0；M11-SHANGYIN-0045-V1.0</x:v>
      </x:c>
      <x:c r="F69" s="36" t="str">
        <x:v>丁巳 癸亥 甲寅 乙卯</x:v>
      </x:c>
      <x:c r="G69" s="36" t="str">
        <x:v>未知/不适用</x:v>
      </x:c>
      <x:c r="H69" s="36" t="str">
        <x:v>合成命例；不用于历法排盘；月令按月支与输入事实假设</x:v>
      </x:c>
      <x:c r="I69" s="36" t="str">
        <x:v>甲日主；丁伤官有巳根，癸正印有亥根；印能制伤，日主有寅卯承载。</x:v>
      </x:c>
      <x:c r="J69" s="36" t="str">
        <x:v>伤官、印星均真实有效。</x:v>
      </x:c>
      <x:c r="K69" s="36" t="str">
        <x:v>印制伤不过度，无财坏印，制化比例协调。</x:v>
      </x:c>
      <x:c r="L69" s="36" t="str">
        <x:v>伤官配印明显成立。</x:v>
      </x:c>
      <x:c r="M69" s="36" t="str">
        <x:v>伤官配印稳定成立。</x:v>
      </x:c>
      <x:c r="N69" s="36" t="str">
        <x:v>通过</x:v>
      </x:c>
      <x:c r="O69" s="36" t="str">
        <x:v>未测试</x:v>
      </x:c>
      <x:c r="P69" s="36" t="str">
        <x:v>V1.7</x:v>
      </x:c>
      <x:c r="Q69" s="36" t="str">
        <x:v>合成命例仅用于规则单元/集成测试，不替代真实命例外部验证。</x:v>
      </x:c>
    </x:row>
    <x:row r="70">
      <x:c r="A70" s="36" t="str">
        <x:v>M20-TEN-0069-V1.0</x:v>
      </x:c>
      <x:c r="B70" s="36" t="str">
        <x:v>伤官有效且财星承接形成伤官生财</x:v>
      </x:c>
      <x:c r="C70" s="36" t="str">
        <x:v>正例</x:v>
      </x:c>
      <x:c r="D70" s="36" t="str">
        <x:v>M11</x:v>
      </x:c>
      <x:c r="E70" s="36" t="str">
        <x:v>M11-SHENGCAI-0048-V1.0；M11-SHENGCAI-0056-V1.0</x:v>
      </x:c>
      <x:c r="F70" s="36" t="str">
        <x:v>丁巳 戊辰 甲寅 己未</x:v>
      </x:c>
      <x:c r="G70" s="36" t="str">
        <x:v>未知/不适用</x:v>
      </x:c>
      <x:c r="H70" s="36" t="str">
        <x:v>合成命例；不用于历法排盘；月令按月支与输入事实假设</x:v>
      </x:c>
      <x:c r="I70" s="36" t="str">
        <x:v>甲日主；丁伤官有巳根，戊己财星有辰未根；火生土路径连续。</x:v>
      </x:c>
      <x:c r="J70" s="36" t="str">
        <x:v>伤官、财星均有效。</x:v>
      </x:c>
      <x:c r="K70" s="36" t="str">
        <x:v>伤官→财星链连续，财能承接，日主有寅根供给。</x:v>
      </x:c>
      <x:c r="L70" s="36" t="str">
        <x:v>伤官生财明显成立。</x:v>
      </x:c>
      <x:c r="M70" s="36" t="str">
        <x:v>伤官生财链稳定成立。</x:v>
      </x:c>
      <x:c r="N70" s="36" t="str">
        <x:v>通过</x:v>
      </x:c>
      <x:c r="O70" s="36" t="str">
        <x:v>未测试</x:v>
      </x:c>
      <x:c r="P70" s="36" t="str">
        <x:v>V1.7</x:v>
      </x:c>
      <x:c r="Q70" s="36" t="str">
        <x:v>合成命例仅用于规则单元/集成测试，不替代真实命例外部验证。</x:v>
      </x:c>
    </x:row>
    <x:row r="71">
      <x:c r="A71" s="36" t="str">
        <x:v>M20-TEN-0070-V1.0</x:v>
      </x:c>
      <x:c r="B71" s="36" t="str">
        <x:v>财星有效并生正官形成财官相生</x:v>
      </x:c>
      <x:c r="C71" s="36" t="str">
        <x:v>正例</x:v>
      </x:c>
      <x:c r="D71" s="36" t="str">
        <x:v>M11</x:v>
      </x:c>
      <x:c r="E71" s="36" t="str">
        <x:v>M11-CAIGUAN-0057-V1.0</x:v>
      </x:c>
      <x:c r="F71" s="36" t="str">
        <x:v>己未 辛酉 甲寅 癸亥</x:v>
      </x:c>
      <x:c r="G71" s="36" t="str">
        <x:v>未知/不适用</x:v>
      </x:c>
      <x:c r="H71" s="36" t="str">
        <x:v>合成命例；不用于历法排盘；月令按月支与输入事实假设</x:v>
      </x:c>
      <x:c r="I71" s="36" t="str">
        <x:v>甲日主；己正财有未根，辛正官有酉根；土生金。</x:v>
      </x:c>
      <x:c r="J71" s="36" t="str">
        <x:v>财、官均有效。</x:v>
      </x:c>
      <x:c r="K71" s="36" t="str">
        <x:v>财→官路径成立，官能承接。</x:v>
      </x:c>
      <x:c r="L71" s="36" t="str">
        <x:v>财官相生组合成立，是否成格另转M14/M15。</x:v>
      </x:c>
      <x:c r="M71" s="36" t="str">
        <x:v>财生官路径成立。</x:v>
      </x:c>
      <x:c r="N71" s="36" t="str">
        <x:v>通过</x:v>
      </x:c>
      <x:c r="O71" s="36" t="str">
        <x:v>未测试</x:v>
      </x:c>
      <x:c r="P71" s="36" t="str">
        <x:v>V1.7</x:v>
      </x:c>
      <x:c r="Q71" s="36" t="str">
        <x:v>合成命例仅用于规则单元/集成测试，不替代真实命例外部验证。</x:v>
      </x:c>
    </x:row>
    <x:row r="72">
      <x:c r="A72" s="36" t="str">
        <x:v>M20-TEN-0071-V1.0</x:v>
      </x:c>
      <x:c r="B72" s="36" t="str">
        <x:v>伤官见官必须双方有效且直接克制</x:v>
      </x:c>
      <x:c r="C72" s="36" t="str">
        <x:v>正例</x:v>
      </x:c>
      <x:c r="D72" s="36" t="str">
        <x:v>M11</x:v>
      </x:c>
      <x:c r="E72" s="36" t="str">
        <x:v>M11-CONFLICT-0083-V1.0</x:v>
      </x:c>
      <x:c r="F72" s="36" t="str">
        <x:v>丁巳 辛酉 甲寅 癸亥</x:v>
      </x:c>
      <x:c r="G72" s="36" t="str">
        <x:v>未知/不适用</x:v>
      </x:c>
      <x:c r="H72" s="36" t="str">
        <x:v>合成命例；不用于历法排盘；月令按月支与输入事实假设</x:v>
      </x:c>
      <x:c r="I72" s="36" t="str">
        <x:v>甲日主；丁伤官得巳根，辛正官得酉根；火克金。</x:v>
      </x:c>
      <x:c r="J72" s="36" t="str">
        <x:v>伤官、正官均有效。</x:v>
      </x:c>
      <x:c r="K72" s="36" t="str">
        <x:v>伤官直接克官，形成真实冲突候选。</x:v>
      </x:c>
      <x:c r="L72" s="36" t="str">
        <x:v>伤官见官成立，但不能越级推出具体事件。</x:v>
      </x:c>
      <x:c r="M72" s="36" t="str">
        <x:v>伤官见官结构成立。</x:v>
      </x:c>
      <x:c r="N72" s="36" t="str">
        <x:v>通过</x:v>
      </x:c>
      <x:c r="O72" s="36" t="str">
        <x:v>未测试</x:v>
      </x:c>
      <x:c r="P72" s="36" t="str">
        <x:v>V1.7</x:v>
      </x:c>
      <x:c r="Q72" s="36" t="str">
        <x:v>合成命例仅用于规则单元/集成测试，不替代真实命例外部验证。</x:v>
      </x:c>
    </x:row>
    <x:row r="73">
      <x:c r="A73" s="36" t="str">
        <x:v>M20-TEN-0072-V1.0</x:v>
      </x:c>
      <x:c r="B73" s="36" t="str">
        <x:v>官杀双强主从不清才判混杂</x:v>
      </x:c>
      <x:c r="C73" s="36" t="str">
        <x:v>正例</x:v>
      </x:c>
      <x:c r="D73" s="36" t="str">
        <x:v>M11</x:v>
      </x:c>
      <x:c r="E73" s="36" t="str">
        <x:v>M11-CONFLICT-0090-V1.0</x:v>
      </x:c>
      <x:c r="F73" s="36" t="str">
        <x:v>庚申 辛酉 甲寅 癸亥</x:v>
      </x:c>
      <x:c r="G73" s="36" t="str">
        <x:v>未知/不适用</x:v>
      </x:c>
      <x:c r="H73" s="36" t="str">
        <x:v>合成命例；不用于历法排盘；月令按月支与输入事实假设</x:v>
      </x:c>
      <x:c r="I73" s="36" t="str">
        <x:v>甲日主；庚七杀、辛正官均透且各有申酉根，均直接制身。</x:v>
      </x:c>
      <x:c r="J73" s="36" t="str">
        <x:v>官杀均有效。</x:v>
      </x:c>
      <x:c r="K73" s="36" t="str">
        <x:v>双方主从不清，制身路径并行。</x:v>
      </x:c>
      <x:c r="L73" s="36" t="str">
        <x:v>官杀混杂成立，清纯度下降。</x:v>
      </x:c>
      <x:c r="M73" s="36" t="str">
        <x:v>官杀双强且主从不清，混杂成立。</x:v>
      </x:c>
      <x:c r="N73" s="36" t="str">
        <x:v>通过</x:v>
      </x:c>
      <x:c r="O73" s="36" t="str">
        <x:v>未测试</x:v>
      </x:c>
      <x:c r="P73" s="36" t="str">
        <x:v>V1.7</x:v>
      </x:c>
      <x:c r="Q73" s="36" t="str">
        <x:v>合成命例仅用于规则单元/集成测试，不替代真实命例外部验证。</x:v>
      </x:c>
    </x:row>
    <x:row r="74">
      <x:c r="A74" s="36" t="str">
        <x:v>M20-TEN-0073-V1.0</x:v>
      </x:c>
      <x:c r="B74" s="36" t="str">
        <x:v>制去一方可形成官杀清化</x:v>
      </x:c>
      <x:c r="C74" s="36" t="str">
        <x:v>正例</x:v>
      </x:c>
      <x:c r="D74" s="36" t="str">
        <x:v>M11</x:v>
      </x:c>
      <x:c r="E74" s="36" t="str">
        <x:v>M11-CONFLICT-0092-V1.0</x:v>
      </x:c>
      <x:c r="F74" s="36" t="str">
        <x:v>庚申 辛酉 甲寅 丁巳</x:v>
      </x:c>
      <x:c r="G74" s="36" t="str">
        <x:v>未知/不适用</x:v>
      </x:c>
      <x:c r="H74" s="36" t="str">
        <x:v>合成命例；不用于历法排盘；月令按月支与输入事实假设</x:v>
      </x:c>
      <x:c r="I74" s="36" t="str">
        <x:v>官杀并见；丁伤官有巳根并强制辛正官，庚七杀保持有效。</x:v>
      </x:c>
      <x:c r="J74" s="36" t="str">
        <x:v>识别官杀混杂候选及伤官制官。</x:v>
      </x:c>
      <x:c r="K74" s="36" t="str">
        <x:v>辛官功能显著下降，庚杀成为主导。</x:v>
      </x:c>
      <x:c r="L74" s="36" t="str">
        <x:v>可形成去官留杀的清化候选。</x:v>
      </x:c>
      <x:c r="M74" s="36" t="str">
        <x:v>官杀由混杂转为去官留杀的清化结构。</x:v>
      </x:c>
      <x:c r="N74" s="36" t="str">
        <x:v>通过</x:v>
      </x:c>
      <x:c r="O74" s="36" t="str">
        <x:v>未测试</x:v>
      </x:c>
      <x:c r="P74" s="36" t="str">
        <x:v>V1.7</x:v>
      </x:c>
      <x:c r="Q74" s="36" t="str">
        <x:v>合成命例仅用于规则单元/集成测试，不替代真实命例外部验证。</x:v>
      </x:c>
    </x:row>
    <x:row r="75">
      <x:c r="A75" s="36" t="str">
        <x:v>M20-TEN-0074-V1.0</x:v>
      </x:c>
      <x:c r="B75" s="36" t="str">
        <x:v>官印相生组合成立不等于正官格成立</x:v>
      </x:c>
      <x:c r="C75" s="36" t="str">
        <x:v>反例</x:v>
      </x:c>
      <x:c r="D75" s="36" t="str">
        <x:v>M11</x:v>
      </x:c>
      <x:c r="E75" s="36" t="str">
        <x:v>M11-GUANYIN-0036-V1.0；M11-GEN-0009-V1.0</x:v>
      </x:c>
      <x:c r="F75" s="36" t="str">
        <x:v>辛酉 癸亥 甲寅 丙午</x:v>
      </x:c>
      <x:c r="G75" s="36" t="str">
        <x:v>未知/不适用</x:v>
      </x:c>
      <x:c r="H75" s="36" t="str">
        <x:v>合成命例；不用于历法排盘；月令按月支与输入事实假设</x:v>
      </x:c>
      <x:c r="I75" s="36" t="str">
        <x:v>辛官、癸印链成立；但月令亥为印星主气，正官不具月令主导来源。</x:v>
      </x:c>
      <x:c r="J75" s="36" t="str">
        <x:v>官印相生组合可成立。</x:v>
      </x:c>
      <x:c r="K75" s="36" t="str">
        <x:v>局部官印链有效。</x:v>
      </x:c>
      <x:c r="L75" s="36" t="str">
        <x:v>不能仅凭组合直接宣布正官格；格局候选需M14月令审查。</x:v>
      </x:c>
      <x:c r="M75" s="36" t="str">
        <x:v>官印组合成立，但正官格未被越级确认。</x:v>
      </x:c>
      <x:c r="N75" s="36" t="str">
        <x:v>通过</x:v>
      </x:c>
      <x:c r="O75" s="36" t="str">
        <x:v>未测试</x:v>
      </x:c>
      <x:c r="P75" s="36" t="str">
        <x:v>V1.7</x:v>
      </x:c>
      <x:c r="Q75" s="36" t="str">
        <x:v>合成命例仅用于规则单元/集成测试，不替代真实命例外部验证。</x:v>
      </x:c>
    </x:row>
    <x:row r="76">
      <x:c r="A76" s="36" t="str">
        <x:v>M20-FLOW-0075-V1.0</x:v>
      </x:c>
      <x:c r="B76" s="36" t="str">
        <x:v>流通必须使用起点桥梁终点模型</x:v>
      </x:c>
      <x:c r="C76" s="36" t="str">
        <x:v>正例</x:v>
      </x:c>
      <x:c r="D76" s="36" t="str">
        <x:v>M12</x:v>
      </x:c>
      <x:c r="E76" s="36" t="str">
        <x:v>M12-GEN-0001-V1.0</x:v>
      </x:c>
      <x:c r="F76" s="36" t="str">
        <x:v>庚申 壬子 甲寅 丙午</x:v>
      </x:c>
      <x:c r="G76" s="36" t="str">
        <x:v>未知/不适用</x:v>
      </x:c>
      <x:c r="H76" s="36" t="str">
        <x:v>合成命例；不用于历法排盘；月令按月支与输入事实假设</x:v>
      </x:c>
      <x:c r="I76" s="36" t="str">
        <x:v>金可生水，水可生木；需分别判断庚申、壬子、甲寅的有效力量。</x:v>
      </x:c>
      <x:c r="J76" s="36" t="str">
        <x:v>识别金→水→木候选路径。</x:v>
      </x:c>
      <x:c r="K76" s="36" t="str">
        <x:v>按起点庚金、桥梁壬水、终点甲木逐项评估。</x:v>
      </x:c>
      <x:c r="L76" s="36" t="str">
        <x:v>只有三节点均有效，才可判路径通畅。</x:v>
      </x:c>
      <x:c r="M76" s="36" t="str">
        <x:v>金→水→木路径按三节点模型成立。</x:v>
      </x:c>
      <x:c r="N76" s="36" t="str">
        <x:v>通过</x:v>
      </x:c>
      <x:c r="O76" s="36" t="str">
        <x:v>未测试</x:v>
      </x:c>
      <x:c r="P76" s="36" t="str">
        <x:v>V1.7</x:v>
      </x:c>
      <x:c r="Q76" s="36" t="str">
        <x:v>合成命例仅用于规则单元/集成测试，不替代真实命例外部验证。</x:v>
      </x:c>
    </x:row>
    <x:row r="77">
      <x:c r="A77" s="36" t="str">
        <x:v>M20-FLOW-0076-V1.0</x:v>
      </x:c>
      <x:c r="B77" s="36" t="str">
        <x:v>五行齐全但桥梁受制仍可不流通</x:v>
      </x:c>
      <x:c r="C77" s="36" t="str">
        <x:v>反例</x:v>
      </x:c>
      <x:c r="D77" s="36" t="str">
        <x:v>M12</x:v>
      </x:c>
      <x:c r="E77" s="36" t="str">
        <x:v>M12-GEN-0002-V1.0；M12-BRIDGE-0022-V1.0</x:v>
      </x:c>
      <x:c r="F77" s="36" t="str">
        <x:v>甲寅 丙午 戊辰 庚申</x:v>
      </x:c>
      <x:c r="G77" s="36" t="str">
        <x:v>未知/不适用</x:v>
      </x:c>
      <x:c r="H77" s="36" t="str">
        <x:v>合成命例；不用于历法排盘；月令按月支与输入事实假设</x:v>
      </x:c>
      <x:c r="I77" s="36" t="str">
        <x:v>木火土金四行齐全，水藏弱；金木存在对战，水桥梁弱且受土制。</x:v>
      </x:c>
      <x:c r="J77" s="36" t="str">
        <x:v>识别五行表面较齐和金木冲突。</x:v>
      </x:c>
      <x:c r="K77" s="36" t="str">
        <x:v>水桥梁不能稳定泄金生木。</x:v>
      </x:c>
      <x:c r="L77" s="36" t="str">
        <x:v>五行齐全不等于流通通畅，主路径仍局部阻塞。</x:v>
      </x:c>
      <x:c r="M77" s="36" t="str">
        <x:v>五行齐全但关键水桥失效，流通不畅。</x:v>
      </x:c>
      <x:c r="N77" s="36" t="str">
        <x:v>通过</x:v>
      </x:c>
      <x:c r="O77" s="36" t="str">
        <x:v>未测试</x:v>
      </x:c>
      <x:c r="P77" s="36" t="str">
        <x:v>V1.7</x:v>
      </x:c>
      <x:c r="Q77" s="36" t="str">
        <x:v>合成命例仅用于规则单元/集成测试，不替代真实命例外部验证。</x:v>
      </x:c>
    </x:row>
    <x:row r="78">
      <x:c r="A78" s="36" t="str">
        <x:v>M20-FLOW-0077-V1.0</x:v>
      </x:c>
      <x:c r="B78" s="36" t="str">
        <x:v>缺火但主路径不需要火时不构成卡点</x:v>
      </x:c>
      <x:c r="C78" s="36" t="str">
        <x:v>反例</x:v>
      </x:c>
      <x:c r="D78" s="36" t="str">
        <x:v>M12</x:v>
      </x:c>
      <x:c r="E78" s="36" t="str">
        <x:v>M12-GEN-0003-V1.0；M12-BOUND-0087-V1.0</x:v>
      </x:c>
      <x:c r="F78" s="36" t="str">
        <x:v>庚申 壬子 甲寅 戊辰</x:v>
      </x:c>
      <x:c r="G78" s="36" t="str">
        <x:v>未知/不适用</x:v>
      </x:c>
      <x:c r="H78" s="36" t="str">
        <x:v>合成命例；不用于历法排盘；月令按月支与输入事实假设</x:v>
      </x:c>
      <x:c r="I78" s="36" t="str">
        <x:v>原局明藏火均弱或不现；当前主路径为金→水→木，火不是必要桥梁。</x:v>
      </x:c>
      <x:c r="J78" s="36" t="str">
        <x:v>记录火缺失事实。</x:v>
      </x:c>
      <x:c r="K78" s="36" t="str">
        <x:v>火缺失不切断当前主路径。</x:v>
      </x:c>
      <x:c r="L78" s="36" t="str">
        <x:v>不得因缺火直接列火为通关或用神。</x:v>
      </x:c>
      <x:c r="M78" s="36" t="str">
        <x:v>缺火但不构成当前流通卡点。</x:v>
      </x:c>
      <x:c r="N78" s="36" t="str">
        <x:v>通过</x:v>
      </x:c>
      <x:c r="O78" s="36" t="str">
        <x:v>未测试</x:v>
      </x:c>
      <x:c r="P78" s="36" t="str">
        <x:v>V1.7</x:v>
      </x:c>
      <x:c r="Q78" s="36" t="str">
        <x:v>合成命例仅用于规则单元/集成测试，不替代真实命例外部验证。</x:v>
      </x:c>
    </x:row>
    <x:row r="79">
      <x:c r="A79" s="36" t="str">
        <x:v>M20-FLOW-0078-V1.0</x:v>
      </x:c>
      <x:c r="B79" s="36" t="str">
        <x:v>不可替代水桥缺失形成真正缺桥</x:v>
      </x:c>
      <x:c r="C79" s="36" t="str">
        <x:v>正例</x:v>
      </x:c>
      <x:c r="D79" s="36" t="str">
        <x:v>M12</x:v>
      </x:c>
      <x:c r="E79" s="36" t="str">
        <x:v>M12-BLOCK-0039-V1.0；M12-WUXING-0060-V1.0</x:v>
      </x:c>
      <x:c r="F79" s="36" t="str">
        <x:v>庚申 戊辰 甲寅 丁午</x:v>
      </x:c>
      <x:c r="G79" s="36" t="str">
        <x:v>未知/不适用</x:v>
      </x:c>
      <x:c r="H79" s="36" t="str">
        <x:v>合成命例；不用于历法排盘；月令按月支与输入事实假设</x:v>
      </x:c>
      <x:c r="I79" s="36" t="str">
        <x:v>金木两强相战；原局无有效水，其他五行不能同时泄金生木。</x:v>
      </x:c>
      <x:c r="J79" s="36" t="str">
        <x:v>识别金木相战与水桥缺失。</x:v>
      </x:c>
      <x:c r="K79" s="36" t="str">
        <x:v>水是不可替代通关桥梁。</x:v>
      </x:c>
      <x:c r="L79" s="36" t="str">
        <x:v>主卡点为缺水桥，水只生成通关候选，喜忌仍转M17/M18。</x:v>
      </x:c>
      <x:c r="M79" s="36" t="str">
        <x:v>金木相战缺水桥，真正缺桥成立。</x:v>
      </x:c>
      <x:c r="N79" s="36" t="str">
        <x:v>通过</x:v>
      </x:c>
      <x:c r="O79" s="36" t="str">
        <x:v>未测试</x:v>
      </x:c>
      <x:c r="P79" s="36" t="str">
        <x:v>V1.7</x:v>
      </x:c>
      <x:c r="Q79" s="36" t="str">
        <x:v>合成命例仅用于规则单元/集成测试，不替代真实命例外部验证。</x:v>
      </x:c>
    </x:row>
    <x:row r="80">
      <x:c r="A80" s="36" t="str">
        <x:v>M20-FLOW-0079-V1.0</x:v>
      </x:c>
      <x:c r="B80" s="36" t="str">
        <x:v>桥梁太弱只能形成弱通路</x:v>
      </x:c>
      <x:c r="C80" s="36" t="str">
        <x:v>边界案例</x:v>
      </x:c>
      <x:c r="D80" s="36" t="str">
        <x:v>M12</x:v>
      </x:c>
      <x:c r="E80" s="36" t="str">
        <x:v>M12-BRIDGE-0021-V1.0；M12-BLOCK-0040-V1.0</x:v>
      </x:c>
      <x:c r="F80" s="36" t="str">
        <x:v>庚申 癸丑 甲寅 丙午</x:v>
      </x:c>
      <x:c r="G80" s="36" t="str">
        <x:v>未知/不适用</x:v>
      </x:c>
      <x:c r="H80" s="36" t="str">
        <x:v>合成命例；不用于历法排盘；月令按月支与输入事实假设</x:v>
      </x:c>
      <x:c r="I80" s="36" t="str">
        <x:v>金木相战；癸水仅弱透、无强根并受丑土制。</x:v>
      </x:c>
      <x:c r="J80" s="36" t="str">
        <x:v>识别水桥存在。</x:v>
      </x:c>
      <x:c r="K80" s="36" t="str">
        <x:v>水能部分泄金生木，但承载和持续性不足。</x:v>
      </x:c>
      <x:c r="L80" s="36" t="str">
        <x:v>路径判局部阻塞，水只能列弱通关候选。</x:v>
      </x:c>
      <x:c r="M80" s="36" t="str">
        <x:v>水桥存在但太弱，仅形成弱通路。</x:v>
      </x:c>
      <x:c r="N80" s="36" t="str">
        <x:v>通过</x:v>
      </x:c>
      <x:c r="O80" s="36" t="str">
        <x:v>未测试</x:v>
      </x:c>
      <x:c r="P80" s="36" t="str">
        <x:v>V1.7</x:v>
      </x:c>
      <x:c r="Q80" s="36" t="str">
        <x:v>合成命例仅用于规则单元/集成测试，不替代真实命例外部验证。</x:v>
      </x:c>
    </x:row>
    <x:row r="81">
      <x:c r="A81" s="36" t="str">
        <x:v>M20-FLOW-0080-V1.0</x:v>
      </x:c>
      <x:c r="B81" s="36" t="str">
        <x:v>桥梁被强克形成外部截断</x:v>
      </x:c>
      <x:c r="C81" s="36" t="str">
        <x:v>正例</x:v>
      </x:c>
      <x:c r="D81" s="36" t="str">
        <x:v>M12</x:v>
      </x:c>
      <x:c r="E81" s="36" t="str">
        <x:v>M12-BRIDGE-0022-V1.0；M12-BLOCK-0041-V1.0</x:v>
      </x:c>
      <x:c r="F81" s="36" t="str">
        <x:v>庚申 壬子 甲寅 戊戌</x:v>
      </x:c>
      <x:c r="G81" s="36" t="str">
        <x:v>未知/不适用</x:v>
      </x:c>
      <x:c r="H81" s="36" t="str">
        <x:v>合成命例；不用于历法排盘；月令按月支与输入事实假设</x:v>
      </x:c>
      <x:c r="I81" s="36" t="str">
        <x:v>金→水→木候选；戊戌土成势并强克壬子水。</x:v>
      </x:c>
      <x:c r="J81" s="36" t="str">
        <x:v>识别壬水桥梁及土克水。</x:v>
      </x:c>
      <x:c r="K81" s="36" t="str">
        <x:v>桥梁有效力显著下降，金水木链被截断。</x:v>
      </x:c>
      <x:c r="L81" s="36" t="str">
        <x:v>主卡点定位为桥梁被克。</x:v>
      </x:c>
      <x:c r="M81" s="36" t="str">
        <x:v>土强克水造成金水木路径外部截断。</x:v>
      </x:c>
      <x:c r="N81" s="36" t="str">
        <x:v>通过</x:v>
      </x:c>
      <x:c r="O81" s="36" t="str">
        <x:v>未测试</x:v>
      </x:c>
      <x:c r="P81" s="36" t="str">
        <x:v>V1.7</x:v>
      </x:c>
      <x:c r="Q81" s="36" t="str">
        <x:v>合成命例仅用于规则单元/集成测试，不替代真实命例外部验证。</x:v>
      </x:c>
    </x:row>
    <x:row r="82">
      <x:c r="A82" s="36" t="str">
        <x:v>M20-FLOW-0081-V1.0</x:v>
      </x:c>
      <x:c r="B82" s="36" t="str">
        <x:v>终点极弱时路径无有效落点</x:v>
      </x:c>
      <x:c r="C82" s="36" t="str">
        <x:v>正例</x:v>
      </x:c>
      <x:c r="D82" s="36" t="str">
        <x:v>M12</x:v>
      </x:c>
      <x:c r="E82" s="36" t="str">
        <x:v>M12-END-0032-V1.0；M12-BLOCK-0044-V1.0</x:v>
      </x:c>
      <x:c r="F82" s="36" t="str">
        <x:v>庚申 壬子 甲午 戊戌</x:v>
      </x:c>
      <x:c r="G82" s="36" t="str">
        <x:v>未知/不适用</x:v>
      </x:c>
      <x:c r="H82" s="36" t="str">
        <x:v>合成命例；不用于历法排盘；月令按月支与输入事实假设</x:v>
      </x:c>
      <x:c r="I82" s="36" t="str">
        <x:v>庚金和壬水有效；甲木无根、受金土制，终点木极弱。</x:v>
      </x:c>
      <x:c r="J82" s="36" t="str">
        <x:v>识别金→水→木候选。</x:v>
      </x:c>
      <x:c r="K82" s="36" t="str">
        <x:v>上游与桥梁存在，但木无法稳定承接。</x:v>
      </x:c>
      <x:c r="L82" s="36" t="str">
        <x:v>路径判无有效落点，不能只增强上游。</x:v>
      </x:c>
      <x:c r="M82" s="36" t="str">
        <x:v>木终点极弱，金水木链无稳定落点。</x:v>
      </x:c>
      <x:c r="N82" s="36" t="str">
        <x:v>通过</x:v>
      </x:c>
      <x:c r="O82" s="36" t="str">
        <x:v>未测试</x:v>
      </x:c>
      <x:c r="P82" s="36" t="str">
        <x:v>V1.7</x:v>
      </x:c>
      <x:c r="Q82" s="36" t="str">
        <x:v>合成命例仅用于规则单元/集成测试，不替代真实命例外部验证。</x:v>
      </x:c>
    </x:row>
    <x:row r="83">
      <x:c r="A83" s="36" t="str">
        <x:v>M20-FLOW-0082-V1.0</x:v>
      </x:c>
      <x:c r="B83" s="36" t="str">
        <x:v>金木两强相战以水双向通关</x:v>
      </x:c>
      <x:c r="C83" s="36" t="str">
        <x:v>正例</x:v>
      </x:c>
      <x:c r="D83" s="36" t="str">
        <x:v>M12</x:v>
      </x:c>
      <x:c r="E83" s="36" t="str">
        <x:v>M12-WUXING-0060-V1.0；M12-TONGGUAN-0075-V1.0</x:v>
      </x:c>
      <x:c r="F83" s="36" t="str">
        <x:v>庚申 壬子 甲寅 乙卯</x:v>
      </x:c>
      <x:c r="G83" s="36" t="str">
        <x:v>未知/不适用</x:v>
      </x:c>
      <x:c r="H83" s="36" t="str">
        <x:v>合成命例；不用于历法排盘；月令按月支与输入事实假设</x:v>
      </x:c>
      <x:c r="I83" s="36" t="str">
        <x:v>庚申金有力，寅卯甲乙木有力，壬子水有根；水既泄金又生木。</x:v>
      </x:c>
      <x:c r="J83" s="36" t="str">
        <x:v>识别金木两强及水桥。</x:v>
      </x:c>
      <x:c r="K83" s="36" t="str">
        <x:v>水满足双向通关条件。</x:v>
      </x:c>
      <x:c r="L83" s="36" t="str">
        <x:v>流通可由明显阻断改善为基本通畅。</x:v>
      </x:c>
      <x:c r="M83" s="36" t="str">
        <x:v>水有效泄金生木，金木通关成立。</x:v>
      </x:c>
      <x:c r="N83" s="36" t="str">
        <x:v>通过</x:v>
      </x:c>
      <x:c r="O83" s="36" t="str">
        <x:v>未测试</x:v>
      </x:c>
      <x:c r="P83" s="36" t="str">
        <x:v>V1.7</x:v>
      </x:c>
      <x:c r="Q83" s="36" t="str">
        <x:v>合成命例仅用于规则单元/集成测试，不替代真实命例外部验证。</x:v>
      </x:c>
    </x:row>
    <x:row r="84">
      <x:c r="A84" s="36" t="str">
        <x:v>M20-FLOW-0083-V1.0</x:v>
      </x:c>
      <x:c r="B84" s="36" t="str">
        <x:v>长链末端有效力量递减</x:v>
      </x:c>
      <x:c r="C84" s="36" t="str">
        <x:v>边界案例</x:v>
      </x:c>
      <x:c r="D84" s="36" t="str">
        <x:v>M12</x:v>
      </x:c>
      <x:c r="E84" s="36" t="str">
        <x:v>M12-GEN-0005-V1.0；M12-BLOCK-0049-V1.0</x:v>
      </x:c>
      <x:c r="F84" s="36" t="str">
        <x:v>戊辰 庚申 壬子 甲寅</x:v>
      </x:c>
      <x:c r="G84" s="36" t="str">
        <x:v>未知/不适用</x:v>
      </x:c>
      <x:c r="H84" s="36" t="str">
        <x:v>合成命例；不用于历法排盘；月令按月支与输入事实假设</x:v>
      </x:c>
      <x:c r="I84" s="36" t="str">
        <x:v>土→金→水→木四段连续，但每个中间节点都有自身承载成本。</x:v>
      </x:c>
      <x:c r="J84" s="36" t="str">
        <x:v>识别完整长链。</x:v>
      </x:c>
      <x:c r="K84" s="36" t="str">
        <x:v>末端木获得的支持低于一段直接生扶，需检查最弱桥梁。</x:v>
      </x:c>
      <x:c r="L84" s="36" t="str">
        <x:v>不能把长链各段生扶按满额累加。</x:v>
      </x:c>
      <x:c r="M84" s="36" t="str">
        <x:v>土金水木链存在，但末端支持递减。</x:v>
      </x:c>
      <x:c r="N84" s="36" t="str">
        <x:v>通过</x:v>
      </x:c>
      <x:c r="O84" s="36" t="str">
        <x:v>未测试</x:v>
      </x:c>
      <x:c r="P84" s="36" t="str">
        <x:v>V1.7</x:v>
      </x:c>
      <x:c r="Q84" s="36" t="str">
        <x:v>合成命例仅用于规则单元/集成测试，不替代真实命例外部验证。</x:v>
      </x:c>
    </x:row>
    <x:row r="85">
      <x:c r="A85" s="36" t="str">
        <x:v>M20-FLOW-0084-V1.0</x:v>
      </x:c>
      <x:c r="B85" s="36" t="str">
        <x:v>内部相生循环无外泄形成回流壅塞</x:v>
      </x:c>
      <x:c r="C85" s="36" t="str">
        <x:v>正例</x:v>
      </x:c>
      <x:c r="D85" s="36" t="str">
        <x:v>M12</x:v>
      </x:c>
      <x:c r="E85" s="36" t="str">
        <x:v>M12-BLOCK-0050-V1.0；M12-BOUND-0088-V1.0</x:v>
      </x:c>
      <x:c r="F85" s="36" t="str">
        <x:v>壬子 癸亥 甲寅 乙卯</x:v>
      </x:c>
      <x:c r="G85" s="36" t="str">
        <x:v>未知/不适用</x:v>
      </x:c>
      <x:c r="H85" s="36" t="str">
        <x:v>合成命例；不用于历法排盘；月令按月支与输入事实假设</x:v>
      </x:c>
      <x:c r="I85" s="36" t="str">
        <x:v>水生木、木同党聚集；无有效火土金作为外泄终点。</x:v>
      </x:c>
      <x:c r="J85" s="36" t="str">
        <x:v>识别水木内部循环。</x:v>
      </x:c>
      <x:c r="K85" s="36" t="str">
        <x:v>力量在印比集团内回流聚集，流通功能不足。</x:v>
      </x:c>
      <x:c r="L85" s="36" t="str">
        <x:v>水木仍判旺强，不能因不流通改判弱。</x:v>
      </x:c>
      <x:c r="M85" s="36" t="str">
        <x:v>水木内部循环形成回流壅塞。</x:v>
      </x:c>
      <x:c r="N85" s="36" t="str">
        <x:v>通过</x:v>
      </x:c>
      <x:c r="O85" s="36" t="str">
        <x:v>未测试</x:v>
      </x:c>
      <x:c r="P85" s="36" t="str">
        <x:v>V1.7</x:v>
      </x:c>
      <x:c r="Q85" s="36" t="str">
        <x:v>合成命例仅用于规则单元/集成测试，不替代真实命例外部验证。</x:v>
      </x:c>
    </x:row>
    <x:row r="86">
      <x:c r="A86" s="36" t="str">
        <x:v>M20-CLIMATE-0085-V1.0</x:v>
      </x:c>
      <x:c r="B86" s="36" t="str">
        <x:v>冬月有强火时不自动判极寒</x:v>
      </x:c>
      <x:c r="C86" s="36" t="str">
        <x:v>反例</x:v>
      </x:c>
      <x:c r="D86" s="36" t="str">
        <x:v>M13</x:v>
      </x:c>
      <x:c r="E86" s="36" t="str">
        <x:v>M13-BOUND-0065-V1.0；M13-TEMP-0021-V1.0</x:v>
      </x:c>
      <x:c r="F86" s="36" t="str">
        <x:v>丙午 丁巳 甲子 乙卯</x:v>
      </x:c>
      <x:c r="G86" s="36" t="str">
        <x:v>未知/不适用</x:v>
      </x:c>
      <x:c r="H86" s="36" t="str">
        <x:v>合成命例；不用于历法排盘；月令按月支与输入事实假设</x:v>
      </x:c>
      <x:c r="I86" s="36" t="str">
        <x:v>子月提供极寒基准；丙丁透干，巳午有根成势，木又生火。</x:v>
      </x:c>
      <x:c r="J86" s="36" t="str">
        <x:v>月令先给寒基准。</x:v>
      </x:c>
      <x:c r="K86" s="36" t="str">
        <x:v>强火显著升温，可修正到偏寒、平衡或偏暖。</x:v>
      </x:c>
      <x:c r="L86" s="36" t="str">
        <x:v>不得只因子月直接判极寒。</x:v>
      </x:c>
      <x:c r="M86" s="36" t="str">
        <x:v>冬月经强火修正后不属自动极寒。</x:v>
      </x:c>
      <x:c r="N86" s="36" t="str">
        <x:v>通过</x:v>
      </x:c>
      <x:c r="O86" s="36" t="str">
        <x:v>未测试</x:v>
      </x:c>
      <x:c r="P86" s="36" t="str">
        <x:v>V1.7</x:v>
      </x:c>
      <x:c r="Q86" s="36" t="str">
        <x:v>合成命例仅用于规则单元/集成测试，不替代真实命例外部验证。</x:v>
      </x:c>
    </x:row>
    <x:row r="87">
      <x:c r="A87" s="36" t="str">
        <x:v>M20-CLIMATE-0086-V1.0</x:v>
      </x:c>
      <x:c r="B87" s="36" t="str">
        <x:v>夏月有强水时不自动判极热</x:v>
      </x:c>
      <x:c r="C87" s="36" t="str">
        <x:v>反例</x:v>
      </x:c>
      <x:c r="D87" s="36" t="str">
        <x:v>M13</x:v>
      </x:c>
      <x:c r="E87" s="36" t="str">
        <x:v>M13-BOUND-0066-V1.0；M13-TEMP-0023-V1.0</x:v>
      </x:c>
      <x:c r="F87" s="36" t="str">
        <x:v>壬子 癸亥 丙午 庚申</x:v>
      </x:c>
      <x:c r="G87" s="36" t="str">
        <x:v>未知/不适用</x:v>
      </x:c>
      <x:c r="H87" s="36" t="str">
        <x:v>合成命例；不用于历法排盘；月令按月支与输入事实假设</x:v>
      </x:c>
      <x:c r="I87" s="36" t="str">
        <x:v>午月为极热基准；壬癸透、亥子有根，水势强。</x:v>
      </x:c>
      <x:c r="J87" s="36" t="str">
        <x:v>识别夏季热基准和强水降温证据。</x:v>
      </x:c>
      <x:c r="K87" s="36" t="str">
        <x:v>温度可由极热修正为偏暖或接近平衡。</x:v>
      </x:c>
      <x:c r="L87" s="36" t="str">
        <x:v>不得只因午月固定判极热。</x:v>
      </x:c>
      <x:c r="M87" s="36" t="str">
        <x:v>夏月经强水修正后不自动极热。</x:v>
      </x:c>
      <x:c r="N87" s="36" t="str">
        <x:v>通过</x:v>
      </x:c>
      <x:c r="O87" s="36" t="str">
        <x:v>未测试</x:v>
      </x:c>
      <x:c r="P87" s="36" t="str">
        <x:v>V1.7</x:v>
      </x:c>
      <x:c r="Q87" s="36" t="str">
        <x:v>合成命例仅用于规则单元/集成测试，不替代真实命例外部验证。</x:v>
      </x:c>
    </x:row>
    <x:row r="88">
      <x:c r="A88" s="36" t="str">
        <x:v>M20-CLIMATE-0087-V1.0</x:v>
      </x:c>
      <x:c r="B88" s="36" t="str">
        <x:v>寒湿必须双轴同时成立</x:v>
      </x:c>
      <x:c r="C88" s="36" t="str">
        <x:v>正例</x:v>
      </x:c>
      <x:c r="D88" s="36" t="str">
        <x:v>M13</x:v>
      </x:c>
      <x:c r="E88" s="36" t="str">
        <x:v>M13-COMBO-0041-V1.0；M13-HUMID-0031-V1.0</x:v>
      </x:c>
      <x:c r="F88" s="36" t="str">
        <x:v>壬子 癸亥 戊丑 甲辰</x:v>
      </x:c>
      <x:c r="G88" s="36" t="str">
        <x:v>未知/不适用</x:v>
      </x:c>
      <x:c r="H88" s="36" t="str">
        <x:v>合成命例；不用于历法排盘；月令按月支与输入事实假设</x:v>
      </x:c>
      <x:c r="I88" s="36" t="str">
        <x:v>亥子水旺，丑辰湿土有力，火弱不现。</x:v>
      </x:c>
      <x:c r="J88" s="36" t="str">
        <x:v>温度轴偏寒，湿度轴偏湿或极湿。</x:v>
      </x:c>
      <x:c r="K88" s="36" t="str">
        <x:v>寒与湿共同造成水湿壅滞。</x:v>
      </x:c>
      <x:c r="L88" s="36" t="str">
        <x:v>可生成火暖湿、木疏湿候选。</x:v>
      </x:c>
      <x:c r="M88" s="36" t="str">
        <x:v>寒湿双轴状态成立。</x:v>
      </x:c>
      <x:c r="N88" s="36" t="str">
        <x:v>通过</x:v>
      </x:c>
      <x:c r="O88" s="36" t="str">
        <x:v>未测试</x:v>
      </x:c>
      <x:c r="P88" s="36" t="str">
        <x:v>V1.7</x:v>
      </x:c>
      <x:c r="Q88" s="36" t="str">
        <x:v>合成命例仅用于规则单元/集成测试，不替代真实命例外部验证。</x:v>
      </x:c>
    </x:row>
    <x:row r="89">
      <x:c r="A89" s="36" t="str">
        <x:v>M20-CLIMATE-0088-V1.0</x:v>
      </x:c>
      <x:c r="B89" s="36" t="str">
        <x:v>寒燥不能只用火或只用水</x:v>
      </x:c>
      <x:c r="C89" s="36" t="str">
        <x:v>边界案例</x:v>
      </x:c>
      <x:c r="D89" s="36" t="str">
        <x:v>M13</x:v>
      </x:c>
      <x:c r="E89" s="36" t="str">
        <x:v>M13-COMBO-0042-V1.0</x:v>
      </x:c>
      <x:c r="F89" s="36" t="str">
        <x:v>辛酉 庚戌 癸丑 丁巳</x:v>
      </x:c>
      <x:c r="G89" s="36" t="str">
        <x:v>未知/不适用</x:v>
      </x:c>
      <x:c r="H89" s="36" t="str">
        <x:v>合成命例；不用于历法排盘；月令按月支与输入事实假设</x:v>
      </x:c>
      <x:c r="I89" s="36" t="str">
        <x:v>秋冬交界偏寒；戌燥土、金燥明显；水虽有癸丑但润力有限。</x:v>
      </x:c>
      <x:c r="J89" s="36" t="str">
        <x:v>温度轴偏寒，湿度轴偏燥。</x:v>
      </x:c>
      <x:c r="K89" s="36" t="str">
        <x:v>火能暖但会增燥，水能润但会增寒。</x:v>
      </x:c>
      <x:c r="L89" s="36" t="str">
        <x:v>调候需火水主辅并控制比例。</x:v>
      </x:c>
      <x:c r="M89" s="36" t="str">
        <x:v>寒燥状态成立，火水不能无序同增。</x:v>
      </x:c>
      <x:c r="N89" s="36" t="str">
        <x:v>通过</x:v>
      </x:c>
      <x:c r="O89" s="36" t="str">
        <x:v>未测试</x:v>
      </x:c>
      <x:c r="P89" s="36" t="str">
        <x:v>V1.7</x:v>
      </x:c>
      <x:c r="Q89" s="36" t="str">
        <x:v>合成命例仅用于规则单元/集成测试，不替代真实命例外部验证。</x:v>
      </x:c>
    </x:row>
    <x:row r="90">
      <x:c r="A90" s="36" t="str">
        <x:v>M20-CLIMATE-0089-V1.0</x:v>
      </x:c>
      <x:c r="B90" s="36" t="str">
        <x:v>暖湿应优先疏湿而非继续强火</x:v>
      </x:c>
      <x:c r="C90" s="36" t="str">
        <x:v>正例</x:v>
      </x:c>
      <x:c r="D90" s="36" t="str">
        <x:v>M13</x:v>
      </x:c>
      <x:c r="E90" s="36" t="str">
        <x:v>M13-COMBO-0043-V1.0；M13-HUMID-0038-V1.0</x:v>
      </x:c>
      <x:c r="F90" s="36" t="str">
        <x:v>丙午 戊辰 甲寅 癸丑</x:v>
      </x:c>
      <x:c r="G90" s="36" t="str">
        <x:v>未知/不适用</x:v>
      </x:c>
      <x:c r="H90" s="36" t="str">
        <x:v>合成命例；不用于历法排盘；月令按月支与输入事实假设</x:v>
      </x:c>
      <x:c r="I90" s="36" t="str">
        <x:v>火使温度偏暖；辰丑湿土与癸水使湿度偏湿；木有生发条件。</x:v>
      </x:c>
      <x:c r="J90" s="36" t="str">
        <x:v>识别暖湿双轴。</x:v>
      </x:c>
      <x:c r="K90" s="36" t="str">
        <x:v>木可疏湿土，强火继续增加会过热。</x:v>
      </x:c>
      <x:c r="L90" s="36" t="str">
        <x:v>木列疏湿候选，火只能适度辅助。</x:v>
      </x:c>
      <x:c r="M90" s="36" t="str">
        <x:v>暖湿以木疏湿为主。</x:v>
      </x:c>
      <x:c r="N90" s="36" t="str">
        <x:v>通过</x:v>
      </x:c>
      <x:c r="O90" s="36" t="str">
        <x:v>未测试</x:v>
      </x:c>
      <x:c r="P90" s="36" t="str">
        <x:v>V1.7</x:v>
      </x:c>
      <x:c r="Q90" s="36" t="str">
        <x:v>合成命例仅用于规则单元/集成测试，不替代真实命例外部验证。</x:v>
      </x:c>
    </x:row>
    <x:row r="91">
      <x:c r="A91" s="36" t="str">
        <x:v>M20-CLIMATE-0090-V1.0</x:v>
      </x:c>
      <x:c r="B91" s="36" t="str">
        <x:v>暖燥并重时水可降温润燥</x:v>
      </x:c>
      <x:c r="C91" s="36" t="str">
        <x:v>正例</x:v>
      </x:c>
      <x:c r="D91" s="36" t="str">
        <x:v>M13</x:v>
      </x:c>
      <x:c r="E91" s="36" t="str">
        <x:v>M13-COMBO-0044-V1.0；M13-HUMID-0035-V1.0</x:v>
      </x:c>
      <x:c r="F91" s="36" t="str">
        <x:v>丙午 丁巳 戊戌 甲寅</x:v>
      </x:c>
      <x:c r="G91" s="36" t="str">
        <x:v>未知/不适用</x:v>
      </x:c>
      <x:c r="H91" s="36" t="str">
        <x:v>合成命例；不用于历法排盘；月令按月支与输入事实假设</x:v>
      </x:c>
      <x:c r="I91" s="36" t="str">
        <x:v>巳午火旺，戌燥土有力，水不现。</x:v>
      </x:c>
      <x:c r="J91" s="36" t="str">
        <x:v>温度轴偏暖/极热，湿度轴偏燥/极燥。</x:v>
      </x:c>
      <x:c r="K91" s="36" t="str">
        <x:v>热燥叠加，木水失养。</x:v>
      </x:c>
      <x:c r="L91" s="36" t="str">
        <x:v>水成为降温润燥候选，但需检查格局冲突。</x:v>
      </x:c>
      <x:c r="M91" s="36" t="str">
        <x:v>暖燥状态成立，水为主要调候候选。</x:v>
      </x:c>
      <x:c r="N91" s="36" t="str">
        <x:v>通过</x:v>
      </x:c>
      <x:c r="O91" s="36" t="str">
        <x:v>未测试</x:v>
      </x:c>
      <x:c r="P91" s="36" t="str">
        <x:v>V1.7</x:v>
      </x:c>
      <x:c r="Q91" s="36" t="str">
        <x:v>合成命例仅用于规则单元/集成测试，不替代真实命例外部验证。</x:v>
      </x:c>
    </x:row>
    <x:row r="92">
      <x:c r="A92" s="36" t="str">
        <x:v>M20-CLIMATE-0091-V1.0</x:v>
      </x:c>
      <x:c r="B92" s="36" t="str">
        <x:v>调候火虽出现但无根时有效性低</x:v>
      </x:c>
      <x:c r="C92" s="36" t="str">
        <x:v>边界案例</x:v>
      </x:c>
      <x:c r="D92" s="36" t="str">
        <x:v>M13</x:v>
      </x:c>
      <x:c r="E92" s="36" t="str">
        <x:v>M13-EFFECT-0050-V1.0；M13-TEMP-0022-V1.0</x:v>
      </x:c>
      <x:c r="F92" s="36" t="str">
        <x:v>丙申 壬子 甲辰 癸亥</x:v>
      </x:c>
      <x:c r="G92" s="36" t="str">
        <x:v>未知/不适用</x:v>
      </x:c>
      <x:c r="H92" s="36" t="str">
        <x:v>合成命例；不用于历法排盘；月令按月支与输入事实假设</x:v>
      </x:c>
      <x:c r="I92" s="36" t="str">
        <x:v>子月寒水成势；丙火孤透、无巳午根，又受壬癸水制。</x:v>
      </x:c>
      <x:c r="J92" s="36" t="str">
        <x:v>识别火存在。</x:v>
      </x:c>
      <x:c r="K92" s="36" t="str">
        <x:v>火的调候有效性受限，不能改变极寒/偏寒主状态。</x:v>
      </x:c>
      <x:c r="L92" s="36" t="str">
        <x:v>输出“有火但无力”，不得写已调候。</x:v>
      </x:c>
      <x:c r="M92" s="36" t="str">
        <x:v>名义有丙火，但暖局药力不足。</x:v>
      </x:c>
      <x:c r="N92" s="36" t="str">
        <x:v>通过</x:v>
      </x:c>
      <x:c r="O92" s="36" t="str">
        <x:v>未测试</x:v>
      </x:c>
      <x:c r="P92" s="36" t="str">
        <x:v>V1.7</x:v>
      </x:c>
      <x:c r="Q92" s="36" t="str">
        <x:v>合成命例仅用于规则单元/集成测试，不替代真实命例外部验证。</x:v>
      </x:c>
    </x:row>
    <x:row r="93">
      <x:c r="A93" s="36" t="str">
        <x:v>M20-CLIMATE-0092-V1.0</x:v>
      </x:c>
      <x:c r="B93" s="36" t="str">
        <x:v>调候水过强会由润燥转湿病</x:v>
      </x:c>
      <x:c r="C93" s="36" t="str">
        <x:v>边界案例</x:v>
      </x:c>
      <x:c r="D93" s="36" t="str">
        <x:v>M13</x:v>
      </x:c>
      <x:c r="E93" s="36" t="str">
        <x:v>M13-HUMID-0036-V1.0；M13-EFFECT-0055-V1.0</x:v>
      </x:c>
      <x:c r="F93" s="36" t="str">
        <x:v>壬子 癸亥 丙午 戊戌</x:v>
      </x:c>
      <x:c r="G93" s="36" t="str">
        <x:v>未知/不适用</x:v>
      </x:c>
      <x:c r="H93" s="36" t="str">
        <x:v>合成命例；不用于历法排盘；月令按月支与输入事实假设</x:v>
      </x:c>
      <x:c r="I93" s="36" t="str">
        <x:v>原局有燥热，需要水；但壬癸亥子水已经旺强。</x:v>
      </x:c>
      <x:c r="J93" s="36" t="str">
        <x:v>识别水可润燥。</x:v>
      </x:c>
      <x:c r="K93" s="36" t="str">
        <x:v>继续增水会越过平衡，转为寒湿或水火相战。</x:v>
      </x:c>
      <x:c r="L93" s="36" t="str">
        <x:v>水只能条件性使用，不是越多越好。</x:v>
      </x:c>
      <x:c r="M93" s="36" t="str">
        <x:v>调候水过量会由药转病。</x:v>
      </x:c>
      <x:c r="N93" s="36" t="str">
        <x:v>通过</x:v>
      </x:c>
      <x:c r="O93" s="36" t="str">
        <x:v>未测试</x:v>
      </x:c>
      <x:c r="P93" s="36" t="str">
        <x:v>V1.7</x:v>
      </x:c>
      <x:c r="Q93" s="36" t="str">
        <x:v>合成命例仅用于规则单元/集成测试，不替代真实命例外部验证。</x:v>
      </x:c>
    </x:row>
    <x:row r="94">
      <x:c r="A94" s="36" t="str">
        <x:v>M20-CLIMATE-0093-V1.0</x:v>
      </x:c>
      <x:c r="B94" s="36" t="str">
        <x:v>调候火与扶抑方向冲突时必须条件化</x:v>
      </x:c>
      <x:c r="C94" s="36" t="str">
        <x:v>边界案例</x:v>
      </x:c>
      <x:c r="D94" s="36" t="str">
        <x:v>M13</x:v>
      </x:c>
      <x:c r="E94" s="36" t="str">
        <x:v>M13-CONFLICT-0058-V1.0</x:v>
      </x:c>
      <x:c r="F94" s="36" t="str">
        <x:v>丙午 丁巳 癸亥 壬子</x:v>
      </x:c>
      <x:c r="G94" s="36" t="str">
        <x:v>未知/不适用</x:v>
      </x:c>
      <x:c r="H94" s="36" t="str">
        <x:v>合成命例；不用于历法排盘；月令按月支与输入事实假设</x:v>
      </x:c>
      <x:c r="I94" s="36" t="str">
        <x:v>癸水日主偏弱且冬寒需火暖；但火对癸为财，继续耗身。</x:v>
      </x:c>
      <x:c r="J94" s="36" t="str">
        <x:v>识别火的调候收益和耗身副作用。</x:v>
      </x:c>
      <x:c r="K94" s="36" t="str">
        <x:v>调候与扶抑方向冲突。</x:v>
      </x:c>
      <x:c r="L94" s="36" t="str">
        <x:v>火只能按最小有效强度列条件性候选，并需印比保护。</x:v>
      </x:c>
      <x:c r="M94" s="36" t="str">
        <x:v>火暖局但耗弱水，定位必须条件化。</x:v>
      </x:c>
      <x:c r="N94" s="36" t="str">
        <x:v>通过</x:v>
      </x:c>
      <x:c r="O94" s="36" t="str">
        <x:v>未测试</x:v>
      </x:c>
      <x:c r="P94" s="36" t="str">
        <x:v>V1.7</x:v>
      </x:c>
      <x:c r="Q94" s="36" t="str">
        <x:v>合成命例仅用于规则单元/集成测试，不替代真实命例外部验证。</x:v>
      </x:c>
    </x:row>
    <x:row r="95">
      <x:c r="A95" s="36" t="str">
        <x:v>M20-CLIMATE-0094-V1.0</x:v>
      </x:c>
      <x:c r="B95" s="36" t="str">
        <x:v>双轴平衡时不立调候主病</x:v>
      </x:c>
      <x:c r="C95" s="36" t="str">
        <x:v>正例</x:v>
      </x:c>
      <x:c r="D95" s="36" t="str">
        <x:v>M13</x:v>
      </x:c>
      <x:c r="E95" s="36" t="str">
        <x:v>M13-GEN-0006-V1.0；M13-TEMP-0029-V1.0；M13-HUMID-0039-V1.0</x:v>
      </x:c>
      <x:c r="F95" s="36" t="str">
        <x:v>壬子 丙午 甲寅 庚申</x:v>
      </x:c>
      <x:c r="G95" s="36" t="str">
        <x:v>未知/不适用</x:v>
      </x:c>
      <x:c r="H95" s="36" t="str">
        <x:v>合成命例；不用于历法排盘；月令按月支与输入事实假设</x:v>
      </x:c>
      <x:c r="I95" s="36" t="str">
        <x:v>水火各有根且相对制衡，湿土燥土均未成势，流通无寒凝燥枯。</x:v>
      </x:c>
      <x:c r="J95" s="36" t="str">
        <x:v>温度与湿度分别评估。</x:v>
      </x:c>
      <x:c r="K95" s="36" t="str">
        <x:v>双轴接近平衡，无实际气候型功能障碍。</x:v>
      </x:c>
      <x:c r="L95" s="36" t="str">
        <x:v>调候维度退出主用排序。</x:v>
      </x:c>
      <x:c r="M95" s="36" t="str">
        <x:v>寒暖燥湿平衡，不立调候病。</x:v>
      </x:c>
      <x:c r="N95" s="36" t="str">
        <x:v>通过</x:v>
      </x:c>
      <x:c r="O95" s="36" t="str">
        <x:v>未测试</x:v>
      </x:c>
      <x:c r="P95" s="36" t="str">
        <x:v>V1.7</x:v>
      </x:c>
      <x:c r="Q95" s="36" t="str">
        <x:v>合成命例仅用于规则单元/集成测试，不替代真实命例外部验证。</x:v>
      </x:c>
    </x:row>
    <x:row r="96">
      <x:c r="A96" s="36" t="str">
        <x:v>M20-PATTERN-0095-V1.0</x:v>
      </x:c>
      <x:c r="B96" s="36" t="str">
        <x:v>酉月正官有根并得印承接形成正官格</x:v>
      </x:c>
      <x:c r="C96" s="36" t="str">
        <x:v>正例</x:v>
      </x:c>
      <x:c r="D96" s="36" t="str">
        <x:v>M14</x:v>
      </x:c>
      <x:c r="E96" s="36" t="str">
        <x:v>M14-GUAN-0009-V1.0；M15-GUAN-0011-V1.0</x:v>
      </x:c>
      <x:c r="F96" s="36" t="str">
        <x:v>己未 辛酉 甲寅 癸亥</x:v>
      </x:c>
      <x:c r="G96" s="36" t="str">
        <x:v>未知/不适用</x:v>
      </x:c>
      <x:c r="H96" s="36" t="str">
        <x:v>合成命例；不用于历法排盘；月令按月支与输入事实假设</x:v>
      </x:c>
      <x:c r="I96" s="36" t="str">
        <x:v>甲日主；酉月辛金正官当令，辛透有酉根；癸亥正印承官生日主，甲有寅根。</x:v>
      </x:c>
      <x:c r="J96" s="36" t="str">
        <x:v>M14生成正官格第一候选。</x:v>
      </x:c>
      <x:c r="K96" s="36" t="str">
        <x:v>官印链有效，日主能承官，无伤官重克。</x:v>
      </x:c>
      <x:c r="L96" s="36" t="str">
        <x:v>M15判正官格基本成立或较清成立。</x:v>
      </x:c>
      <x:c r="M96" s="36" t="str">
        <x:v>正官格成立，官印相生为主要成格证据。</x:v>
      </x:c>
      <x:c r="N96" s="36" t="str">
        <x:v>通过</x:v>
      </x:c>
      <x:c r="O96" s="36" t="str">
        <x:v>未测试</x:v>
      </x:c>
      <x:c r="P96" s="36" t="str">
        <x:v>V1.7</x:v>
      </x:c>
      <x:c r="Q96" s="36" t="str">
        <x:v>合成命例仅用于规则单元/集成测试，不替代真实命例外部验证。</x:v>
      </x:c>
    </x:row>
    <x:row r="97">
      <x:c r="A97" s="36" t="str">
        <x:v>M20-PATTERN-0096-V1.0</x:v>
      </x:c>
      <x:c r="B97" s="36" t="str">
        <x:v>伤官见官无救应使正官格严重破格</x:v>
      </x:c>
      <x:c r="C97" s="36" t="str">
        <x:v>反例</x:v>
      </x:c>
      <x:c r="D97" s="36" t="str">
        <x:v>M14</x:v>
      </x:c>
      <x:c r="E97" s="36" t="str">
        <x:v>M14-GUAN-0013-V1.0；M15-GUAN-0014-V1.0</x:v>
      </x:c>
      <x:c r="F97" s="36" t="str">
        <x:v>丁巳 辛酉 甲寅 戊辰</x:v>
      </x:c>
      <x:c r="G97" s="36" t="str">
        <x:v>未知/不适用</x:v>
      </x:c>
      <x:c r="H97" s="36" t="str">
        <x:v>合成命例；不用于历法排盘；月令按月支与输入事实假设</x:v>
      </x:c>
      <x:c r="I97" s="36" t="str">
        <x:v>酉月正官得令；丁伤官得巳根直接克辛；无有力印星制伤，财通关不足。</x:v>
      </x:c>
      <x:c r="J97" s="36" t="str">
        <x:v>正官格候选生成。</x:v>
      </x:c>
      <x:c r="K97" s="36" t="str">
        <x:v>伤官重克正官，官星主导功能受损。</x:v>
      </x:c>
      <x:c r="L97" s="36" t="str">
        <x:v>正官格成立但有严重破格；若官失效则不成立。</x:v>
      </x:c>
      <x:c r="M97" s="36" t="str">
        <x:v>伤官见官无救应构成正官格严重破格。</x:v>
      </x:c>
      <x:c r="N97" s="36" t="str">
        <x:v>通过</x:v>
      </x:c>
      <x:c r="O97" s="36" t="str">
        <x:v>未测试</x:v>
      </x:c>
      <x:c r="P97" s="36" t="str">
        <x:v>V1.7</x:v>
      </x:c>
      <x:c r="Q97" s="36" t="str">
        <x:v>合成命例仅用于规则单元/集成测试，不替代真实命例外部验证。</x:v>
      </x:c>
    </x:row>
    <x:row r="98">
      <x:c r="A98" s="36" t="str">
        <x:v>M20-PATTERN-0097-V1.0</x:v>
      </x:c>
      <x:c r="B98" s="36" t="str">
        <x:v>申月七杀有权且食神制杀适中</x:v>
      </x:c>
      <x:c r="C98" s="36" t="str">
        <x:v>正例</x:v>
      </x:c>
      <x:c r="D98" s="36" t="str">
        <x:v>M14</x:v>
      </x:c>
      <x:c r="E98" s="36" t="str">
        <x:v>M14-SHA-0015-V1.0；M15-SHA-0020-V1.0</x:v>
      </x:c>
      <x:c r="F98" s="36" t="str">
        <x:v>丙午 庚申 甲寅 壬子</x:v>
      </x:c>
      <x:c r="G98" s="36" t="str">
        <x:v>未知/不适用</x:v>
      </x:c>
      <x:c r="H98" s="36" t="str">
        <x:v>合成命例；不用于历法排盘；月令按月支与输入事实假设</x:v>
      </x:c>
      <x:c r="I98" s="36" t="str">
        <x:v>申月庚七杀得令有根；丙食神有午根可制庚；甲有寅根和壬印承载。</x:v>
      </x:c>
      <x:c r="J98" s="36" t="str">
        <x:v>M14生成七杀格候选。</x:v>
      </x:c>
      <x:c r="K98" s="36" t="str">
        <x:v>食神制杀路径清晰，比例适中。</x:v>
      </x:c>
      <x:c r="L98" s="36" t="str">
        <x:v>M15判七杀格清纯成立或明显成立。</x:v>
      </x:c>
      <x:c r="M98" s="36" t="str">
        <x:v>七杀格以食神制杀成格。</x:v>
      </x:c>
      <x:c r="N98" s="36" t="str">
        <x:v>通过</x:v>
      </x:c>
      <x:c r="O98" s="36" t="str">
        <x:v>未测试</x:v>
      </x:c>
      <x:c r="P98" s="36" t="str">
        <x:v>V1.7</x:v>
      </x:c>
      <x:c r="Q98" s="36" t="str">
        <x:v>合成命例仅用于规则单元/集成测试，不替代真实命例外部验证。</x:v>
      </x:c>
    </x:row>
    <x:row r="99">
      <x:c r="A99" s="36" t="str">
        <x:v>M20-PATTERN-0098-V1.0</x:v>
      </x:c>
      <x:c r="B99" s="36" t="str">
        <x:v>亥月印格被强财破坏</x:v>
      </x:c>
      <x:c r="C99" s="36" t="str">
        <x:v>反例</x:v>
      </x:c>
      <x:c r="D99" s="36" t="str">
        <x:v>M14</x:v>
      </x:c>
      <x:c r="E99" s="36" t="str">
        <x:v>M14-YIN-0021-V1.0；M15-YIN-0030-V1.0</x:v>
      </x:c>
      <x:c r="F99" s="36" t="str">
        <x:v>己未 癸亥 甲寅 戊辰</x:v>
      </x:c>
      <x:c r="G99" s="36" t="str">
        <x:v>未知/不适用</x:v>
      </x:c>
      <x:c r="H99" s="36" t="str">
        <x:v>合成命例；不用于历法排盘；月令按月支与输入事实假设</x:v>
      </x:c>
      <x:c r="I99" s="36" t="str">
        <x:v>亥月癸正印有月令和根；戊己财星在辰未有根并克印。</x:v>
      </x:c>
      <x:c r="J99" s="36" t="str">
        <x:v>M14生成正印格候选。</x:v>
      </x:c>
      <x:c r="K99" s="36" t="str">
        <x:v>财星直接损伤关键印星，生身和格局功能下降。</x:v>
      </x:c>
      <x:c r="L99" s="36" t="str">
        <x:v>印格成立但严重破格；印失效时不成立。</x:v>
      </x:c>
      <x:c r="M99" s="36" t="str">
        <x:v>财坏关键印星构成印格严重破格。</x:v>
      </x:c>
      <x:c r="N99" s="36" t="str">
        <x:v>通过</x:v>
      </x:c>
      <x:c r="O99" s="36" t="str">
        <x:v>未测试</x:v>
      </x:c>
      <x:c r="P99" s="36" t="str">
        <x:v>V1.7</x:v>
      </x:c>
      <x:c r="Q99" s="36" t="str">
        <x:v>合成命例仅用于规则单元/集成测试，不替代真实命例外部验证。</x:v>
      </x:c>
    </x:row>
    <x:row r="100">
      <x:c r="A100" s="36" t="str">
        <x:v>M20-PATTERN-0099-V1.0</x:v>
      </x:c>
      <x:c r="B100" s="36" t="str">
        <x:v>未月财格遭强劫财破坏</x:v>
      </x:c>
      <x:c r="C100" s="36" t="str">
        <x:v>反例</x:v>
      </x:c>
      <x:c r="D100" s="36" t="str">
        <x:v>M14</x:v>
      </x:c>
      <x:c r="E100" s="36" t="str">
        <x:v>M14-CAI-0027-V1.0；M15-CAI-0039-V1.0</x:v>
      </x:c>
      <x:c r="F100" s="36" t="str">
        <x:v>乙卯 己未 甲寅 丙午</x:v>
      </x:c>
      <x:c r="G100" s="36" t="str">
        <x:v>未知/不适用</x:v>
      </x:c>
      <x:c r="H100" s="36" t="str">
        <x:v>合成命例；不用于历法排盘；月令按月支与输入事实假设</x:v>
      </x:c>
      <x:c r="I100" s="36" t="str">
        <x:v>未月己正财有根；乙劫财得卯根、甲又有寅根，比劫成势。</x:v>
      </x:c>
      <x:c r="J100" s="36" t="str">
        <x:v>M14生成正财格候选。</x:v>
      </x:c>
      <x:c r="K100" s="36" t="str">
        <x:v>比劫强制财星，财作为格神和终点受损。</x:v>
      </x:c>
      <x:c r="L100" s="36" t="str">
        <x:v>财格成立但有严重破格，需官杀制比或其他救应。</x:v>
      </x:c>
      <x:c r="M100" s="36" t="str">
        <x:v>比劫夺财破坏财格核心。</x:v>
      </x:c>
      <x:c r="N100" s="36" t="str">
        <x:v>通过</x:v>
      </x:c>
      <x:c r="O100" s="36" t="str">
        <x:v>未测试</x:v>
      </x:c>
      <x:c r="P100" s="36" t="str">
        <x:v>V1.7</x:v>
      </x:c>
      <x:c r="Q100" s="36" t="str">
        <x:v>合成命例仅用于规则单元/集成测试，不替代真实命例外部验证。</x:v>
      </x:c>
    </x:row>
    <x:row r="101">
      <x:c r="A101" s="36" t="str">
        <x:v>M20-PATTERN-0100-V1.0</x:v>
      </x:c>
      <x:c r="B101" s="36" t="str">
        <x:v>午月食神格遭枭神夺食</x:v>
      </x:c>
      <x:c r="C101" s="36" t="str">
        <x:v>反例</x:v>
      </x:c>
      <x:c r="D101" s="36" t="str">
        <x:v>M14</x:v>
      </x:c>
      <x:c r="E101" s="36" t="str">
        <x:v>M14-SHISHANG-0033-V1.0；M15-SHISHANG-0046-V1.0</x:v>
      </x:c>
      <x:c r="F101" s="36" t="str">
        <x:v>壬子 丙午 甲寅 庚申</x:v>
      </x:c>
      <x:c r="G101" s="36" t="str">
        <x:v>未知/不适用</x:v>
      </x:c>
      <x:c r="H101" s="36" t="str">
        <x:v>合成命例；不用于历法排盘；月令按月支与输入事实假设</x:v>
      </x:c>
      <x:c r="I101" s="36" t="str">
        <x:v>午月丙食神当令；壬偏印有子根并强克丙；食神又承担制杀。</x:v>
      </x:c>
      <x:c r="J101" s="36" t="str">
        <x:v>M14生成食神格候选。</x:v>
      </x:c>
      <x:c r="K101" s="36" t="str">
        <x:v>偏印重夺食，泄秀和制杀均受损。</x:v>
      </x:c>
      <x:c r="L101" s="36" t="str">
        <x:v>食神格严重破格；有财制枭方可救。</x:v>
      </x:c>
      <x:c r="M101" s="36" t="str">
        <x:v>枭神夺食构成食神格严重破格。</x:v>
      </x:c>
      <x:c r="N101" s="36" t="str">
        <x:v>通过</x:v>
      </x:c>
      <x:c r="O101" s="36" t="str">
        <x:v>未测试</x:v>
      </x:c>
      <x:c r="P101" s="36" t="str">
        <x:v>V1.7</x:v>
      </x:c>
      <x:c r="Q101" s="36" t="str">
        <x:v>合成命例仅用于规则单元/集成测试，不替代真实命例外部验证。</x:v>
      </x:c>
    </x:row>
    <x:row r="102">
      <x:c r="A102" s="36" t="str">
        <x:v>M20-PATTERN-0101-V1.0</x:v>
      </x:c>
      <x:c r="B102" s="36" t="str">
        <x:v>巳月伤官格配印比例适中</x:v>
      </x:c>
      <x:c r="C102" s="36" t="str">
        <x:v>正例</x:v>
      </x:c>
      <x:c r="D102" s="36" t="str">
        <x:v>M14</x:v>
      </x:c>
      <x:c r="E102" s="36" t="str">
        <x:v>M14-SHISHANG-0037-V1.0；M15-SHISHANG-0050-V1.0</x:v>
      </x:c>
      <x:c r="F102" s="36" t="str">
        <x:v>癸亥 丁巳 甲寅 乙卯</x:v>
      </x:c>
      <x:c r="G102" s="36" t="str">
        <x:v>未知/不适用</x:v>
      </x:c>
      <x:c r="H102" s="36" t="str">
        <x:v>合成命例；不用于历法排盘；月令按月支与输入事实假设</x:v>
      </x:c>
      <x:c r="I102" s="36" t="str">
        <x:v>巳月丁伤官得令有根；癸印有亥根，能制伤且生日主；无财重破印。</x:v>
      </x:c>
      <x:c r="J102" s="36" t="str">
        <x:v>M14生成伤官格候选。</x:v>
      </x:c>
      <x:c r="K102" s="36" t="str">
        <x:v>伤官配印明显成立，印不至制伤过度。</x:v>
      </x:c>
      <x:c r="L102" s="36" t="str">
        <x:v>伤官格清纯增强。</x:v>
      </x:c>
      <x:c r="M102" s="36" t="str">
        <x:v>伤官格以配印路线成立。</x:v>
      </x:c>
      <x:c r="N102" s="36" t="str">
        <x:v>通过</x:v>
      </x:c>
      <x:c r="O102" s="36" t="str">
        <x:v>未测试</x:v>
      </x:c>
      <x:c r="P102" s="36" t="str">
        <x:v>V1.7</x:v>
      </x:c>
      <x:c r="Q102" s="36" t="str">
        <x:v>合成命例仅用于规则单元/集成测试，不替代真实命例外部验证。</x:v>
      </x:c>
    </x:row>
    <x:row r="103">
      <x:c r="A103" s="36" t="str">
        <x:v>M20-PATTERN-0102-V1.0</x:v>
      </x:c>
      <x:c r="B103" s="36" t="str">
        <x:v>寅月甲日生成建禄候选但需出口</x:v>
      </x:c>
      <x:c r="C103" s="36" t="str">
        <x:v>边界案例</x:v>
      </x:c>
      <x:c r="D103" s="36" t="str">
        <x:v>M14</x:v>
      </x:c>
      <x:c r="E103" s="36" t="str">
        <x:v>M14-JIANREN-0041-V1.0；M15-JIANREN-0053-V1.0</x:v>
      </x:c>
      <x:c r="F103" s="36" t="str">
        <x:v>庚申 甲寅 甲辰 丙午</x:v>
      </x:c>
      <x:c r="G103" s="36" t="str">
        <x:v>未知/不适用</x:v>
      </x:c>
      <x:c r="H103" s="36" t="str">
        <x:v>合成命例；不用于历法排盘；月令按月支与输入事实假设</x:v>
      </x:c>
      <x:c r="I103" s="36" t="str">
        <x:v>甲日主临寅月禄地；比肩透，丙食神有午根，庚杀有申根。</x:v>
      </x:c>
      <x:c r="J103" s="36" t="str">
        <x:v>M14生成建禄候选。</x:v>
      </x:c>
      <x:c r="K103" s="36" t="str">
        <x:v>建禄只证明强身基础，需比较食伤泄秀和官杀制衡。</x:v>
      </x:c>
      <x:c r="L103" s="36" t="str">
        <x:v>有有效出口才形成较完整建禄结构，不凭禄地直接判高层次。</x:v>
      </x:c>
      <x:c r="M103" s="36" t="str">
        <x:v>建禄候选成立，最终运行依赖制泄出口。</x:v>
      </x:c>
      <x:c r="N103" s="36" t="str">
        <x:v>通过</x:v>
      </x:c>
      <x:c r="O103" s="36" t="str">
        <x:v>未测试</x:v>
      </x:c>
      <x:c r="P103" s="36" t="str">
        <x:v>V1.7</x:v>
      </x:c>
      <x:c r="Q103" s="36" t="str">
        <x:v>合成命例仅用于规则单元/集成测试，不替代真实命例外部验证。</x:v>
      </x:c>
    </x:row>
    <x:row r="104">
      <x:c r="A104" s="36" t="str">
        <x:v>M20-PATTERN-0103-V1.0</x:v>
      </x:c>
      <x:c r="B104" s="36" t="str">
        <x:v>卯月甲日羊刃与七杀制衡</x:v>
      </x:c>
      <x:c r="C104" s="36" t="str">
        <x:v>正例</x:v>
      </x:c>
      <x:c r="D104" s="36" t="str">
        <x:v>M14</x:v>
      </x:c>
      <x:c r="E104" s="36" t="str">
        <x:v>M14-JIANREN-0045-V1.0；M15-JIANREN-0058-V1.0</x:v>
      </x:c>
      <x:c r="F104" s="36" t="str">
        <x:v>庚申 乙卯 甲寅 壬子</x:v>
      </x:c>
      <x:c r="G104" s="36" t="str">
        <x:v>未知/不适用</x:v>
      </x:c>
      <x:c r="H104" s="36" t="str">
        <x:v>合成命例；不用于历法排盘；月令按月支与输入事实假设</x:v>
      </x:c>
      <x:c r="I104" s="36" t="str">
        <x:v>甲日主卯月羊刃得令，寅卯木势强；庚七杀有申根，壬印可承杀。</x:v>
      </x:c>
      <x:c r="J104" s="36" t="str">
        <x:v>M14生成羊刃候选。</x:v>
      </x:c>
      <x:c r="K104" s="36" t="str">
        <x:v>七杀有权制刃，日主有承载，比例适中。</x:v>
      </x:c>
      <x:c r="L104" s="36" t="str">
        <x:v>羊刃驾杀可判清纯增强。</x:v>
      </x:c>
      <x:c r="M104" s="36" t="str">
        <x:v>羊刃格以七杀制刃稳定运行。</x:v>
      </x:c>
      <x:c r="N104" s="36" t="str">
        <x:v>通过</x:v>
      </x:c>
      <x:c r="O104" s="36" t="str">
        <x:v>未测试</x:v>
      </x:c>
      <x:c r="P104" s="36" t="str">
        <x:v>V1.7</x:v>
      </x:c>
      <x:c r="Q104" s="36" t="str">
        <x:v>合成命例仅用于规则单元/集成测试，不替代真实命例外部验证。</x:v>
      </x:c>
    </x:row>
    <x:row r="105">
      <x:c r="A105" s="36" t="str">
        <x:v>M20-PATTERN-0104-V1.0</x:v>
      </x:c>
      <x:c r="B105" s="36" t="str">
        <x:v>财势绝对主导且日主无依形成从财格</x:v>
      </x:c>
      <x:c r="C105" s="36" t="str">
        <x:v>正例</x:v>
      </x:c>
      <x:c r="D105" s="36" t="str">
        <x:v>M14</x:v>
      </x:c>
      <x:c r="E105" s="36" t="str">
        <x:v>M14-CONG-0050-V1.0；M15-CONG-0062-V1.0</x:v>
      </x:c>
      <x:c r="F105" s="36" t="str">
        <x:v>戊辰 己未 甲申 戊戌</x:v>
      </x:c>
      <x:c r="G105" s="36" t="str">
        <x:v>未知/不适用</x:v>
      </x:c>
      <x:c r="H105" s="36" t="str">
        <x:v>合成命例；不用于历法排盘；月令按月支与输入事实假设</x:v>
      </x:c>
      <x:c r="I105" s="36" t="str">
        <x:v>甲日主失令、无木根、无水印、无比劫；辰未戌土财成势，申金顺财生官。</x:v>
      </x:c>
      <x:c r="J105" s="36" t="str">
        <x:v>M14生成从财格候选。</x:v>
      </x:c>
      <x:c r="K105" s="36" t="str">
        <x:v>日主无依，财势绝对主导，无有效反从。</x:v>
      </x:c>
      <x:c r="L105" s="36" t="str">
        <x:v>M15判从财格特殊格局严格成立。</x:v>
      </x:c>
      <x:c r="M105" s="36" t="str">
        <x:v>从财格严格成立，普通印比扶身不得套用。</x:v>
      </x:c>
      <x:c r="N105" s="36" t="str">
        <x:v>通过</x:v>
      </x:c>
      <x:c r="O105" s="36" t="str">
        <x:v>未测试</x:v>
      </x:c>
      <x:c r="P105" s="36" t="str">
        <x:v>V1.7</x:v>
      </x:c>
      <x:c r="Q105" s="36" t="str">
        <x:v>合成命例仅用于规则单元/集成测试，不替代真实命例外部验证。</x:v>
      </x:c>
    </x:row>
    <x:row r="106">
      <x:c r="A106" s="36" t="str">
        <x:v>M20-PATTERN-0105-V1.0</x:v>
      </x:c>
      <x:c r="B106" s="36" t="str">
        <x:v>残余同类根存在时只能列假从</x:v>
      </x:c>
      <x:c r="C106" s="36" t="str">
        <x:v>边界案例</x:v>
      </x:c>
      <x:c r="D106" s="36" t="str">
        <x:v>M14</x:v>
      </x:c>
      <x:c r="E106" s="36" t="str">
        <x:v>M14-CONG-0056-V1.0；M15-CONG-0069-V1.0</x:v>
      </x:c>
      <x:c r="F106" s="36" t="str">
        <x:v>戊辰 己未 甲申 庚戌</x:v>
      </x:c>
      <x:c r="G106" s="36" t="str">
        <x:v>未知/不适用</x:v>
      </x:c>
      <x:c r="H106" s="36" t="str">
        <x:v>合成命例；不用于历法排盘；月令按月支与输入事实假设</x:v>
      </x:c>
      <x:c r="I106" s="36" t="str">
        <x:v>财杀主势明显；辰中乙为同类残根，日主仍有微弱反向证据。</x:v>
      </x:c>
      <x:c r="J106" s="36" t="str">
        <x:v>M14只能生成假从候选。</x:v>
      </x:c>
      <x:c r="K106" s="36" t="str">
        <x:v>主势近从，但无依硬门槛未完全满足。</x:v>
      </x:c>
      <x:c r="L106" s="36" t="str">
        <x:v>M15最多判成立但有破或待定，不得写真从。</x:v>
      </x:c>
      <x:c r="M106" s="36" t="str">
        <x:v>假从候选成立但不能升级为真从。</x:v>
      </x:c>
      <x:c r="N106" s="36" t="str">
        <x:v>部分通过</x:v>
      </x:c>
      <x:c r="O106" s="36" t="str">
        <x:v>待复核</x:v>
      </x:c>
      <x:c r="P106" s="36" t="str">
        <x:v>V1.7</x:v>
      </x:c>
      <x:c r="Q106" s="36" t="str">
        <x:v>合成命例仅用于规则单元/集成测试，不替代真实命例外部验证。</x:v>
      </x:c>
    </x:row>
    <x:row r="107">
      <x:c r="A107" s="36" t="str">
        <x:v>M20-PATTERN-0106-V1.0</x:v>
      </x:c>
      <x:c r="B107" s="36" t="str">
        <x:v>甲己真化需化神得势且甲无强根</x:v>
      </x:c>
      <x:c r="C107" s="36" t="str">
        <x:v>正例</x:v>
      </x:c>
      <x:c r="D107" s="36" t="str">
        <x:v>M14</x:v>
      </x:c>
      <x:c r="E107" s="36" t="str">
        <x:v>M14-HUAQI-0059-V1.0；M15-HUAQI-0071-V1.0</x:v>
      </x:c>
      <x:c r="F107" s="36" t="str">
        <x:v>戊辰 己丑 甲戌 丁未</x:v>
      </x:c>
      <x:c r="G107" s="36" t="str">
        <x:v>未知/不适用</x:v>
      </x:c>
      <x:c r="H107" s="36" t="str">
        <x:v>合成命例；不用于历法排盘；月令按月支与输入事实假设</x:v>
      </x:c>
      <x:c r="I107" s="36" t="str">
        <x:v>甲己相合；辰丑戌未土势覆盖全局；甲无寅卯亥强根；无争合和强逆木。</x:v>
      </x:c>
      <x:c r="J107" s="36" t="str">
        <x:v>M14生成甲己化土格候选。</x:v>
      </x:c>
      <x:c r="K107" s="36" t="str">
        <x:v>M06/M08确认力量向土重分配，原气不自立。</x:v>
      </x:c>
      <x:c r="L107" s="36" t="str">
        <x:v>M15可判真化严格成立。</x:v>
      </x:c>
      <x:c r="M107" s="36" t="str">
        <x:v>甲己化土格严格成立。</x:v>
      </x:c>
      <x:c r="N107" s="36" t="str">
        <x:v>通过</x:v>
      </x:c>
      <x:c r="O107" s="36" t="str">
        <x:v>未测试</x:v>
      </x:c>
      <x:c r="P107" s="36" t="str">
        <x:v>V1.7</x:v>
      </x:c>
      <x:c r="Q107" s="36" t="str">
        <x:v>合成命例仅用于规则单元/集成测试，不替代真实命例外部验证。</x:v>
      </x:c>
    </x:row>
    <x:row r="108">
      <x:c r="A108" s="36" t="str">
        <x:v>M20-PATTERN-0107-V1.0</x:v>
      </x:c>
      <x:c r="B108" s="36" t="str">
        <x:v>木一气成势且逆金无效形成专旺候选</x:v>
      </x:c>
      <x:c r="C108" s="36" t="str">
        <x:v>正例</x:v>
      </x:c>
      <x:c r="D108" s="36" t="str">
        <x:v>M14</x:v>
      </x:c>
      <x:c r="E108" s="36" t="str">
        <x:v>M14-ZHUAN-0065-V1.0；M15-ZHUAN-0079-V1.0</x:v>
      </x:c>
      <x:c r="F108" s="36" t="str">
        <x:v>甲寅 乙卯 甲辰 壬亥</x:v>
      </x:c>
      <x:c r="G108" s="36" t="str">
        <x:v>未知/不适用</x:v>
      </x:c>
      <x:c r="H108" s="36" t="str">
        <x:v>合成命例；不用于历法排盘；月令按月支与输入事实假设</x:v>
      </x:c>
      <x:c r="I108" s="36" t="str">
        <x:v>甲木得卯令，多根同党，壬亥生木；无有效金克，杂气不足改势。</x:v>
      </x:c>
      <x:c r="J108" s="36" t="str">
        <x:v>M14生成木专旺/曲直候选。</x:v>
      </x:c>
      <x:c r="K108" s="36" t="str">
        <x:v>木一气主导，逆神无效。</x:v>
      </x:c>
      <x:c r="L108" s="36" t="str">
        <x:v>M15可判专旺格严格成立。</x:v>
      </x:c>
      <x:c r="M108" s="36" t="str">
        <x:v>木专旺严格成立，普通强金克木逻辑让位顺势。</x:v>
      </x:c>
      <x:c r="N108" s="36" t="str">
        <x:v>通过</x:v>
      </x:c>
      <x:c r="O108" s="36" t="str">
        <x:v>未测试</x:v>
      </x:c>
      <x:c r="P108" s="36" t="str">
        <x:v>V1.7</x:v>
      </x:c>
      <x:c r="Q108" s="36" t="str">
        <x:v>合成命例仅用于规则单元/集成测试，不替代真实命例外部验证。</x:v>
      </x:c>
    </x:row>
    <x:row r="109">
      <x:c r="A109" s="36" t="str">
        <x:v>M20-PATTERN-0108-V1.0</x:v>
      </x:c>
      <x:c r="B109" s="36" t="str">
        <x:v>局部官印组合不能替代候选成格审查</x:v>
      </x:c>
      <x:c r="C109" s="36" t="str">
        <x:v>反例</x:v>
      </x:c>
      <x:c r="D109" s="36" t="str">
        <x:v>M14</x:v>
      </x:c>
      <x:c r="E109" s="36" t="str">
        <x:v>M14-GEN-0001-V1.0；M15-GEN-0001-V1.0</x:v>
      </x:c>
      <x:c r="F109" s="36" t="str">
        <x:v>辛酉 癸亥 甲寅 丙午</x:v>
      </x:c>
      <x:c r="G109" s="36" t="str">
        <x:v>未知/不适用</x:v>
      </x:c>
      <x:c r="H109" s="36" t="str">
        <x:v>合成命例；不用于历法排盘；月令按月支与输入事实假设</x:v>
      </x:c>
      <x:c r="I109" s="36" t="str">
        <x:v>官印相生组合成立；月令亥印主气，正官非月令主轴；格局候选需并列比较。</x:v>
      </x:c>
      <x:c r="J109" s="36" t="str">
        <x:v>M14生成印格优先候选与正官次候选。</x:v>
      </x:c>
      <x:c r="K109" s="36" t="str">
        <x:v>局部官印链支持结构，但不能直接定正官格。</x:v>
      </x:c>
      <x:c r="L109" s="36" t="str">
        <x:v>只有通过M15核心成格条件者才进入最终格局。</x:v>
      </x:c>
      <x:c r="M109" s="36" t="str">
        <x:v>组合成立未越级替代格局候选与成格审查。</x:v>
      </x:c>
      <x:c r="N109" s="36" t="str">
        <x:v>通过</x:v>
      </x:c>
      <x:c r="O109" s="36" t="str">
        <x:v>未测试</x:v>
      </x:c>
      <x:c r="P109" s="36" t="str">
        <x:v>V1.7</x:v>
      </x:c>
      <x:c r="Q109" s="36" t="str">
        <x:v>合成命例仅用于规则单元/集成测试，不替代真实命例外部验证。</x:v>
      </x:c>
    </x:row>
    <x:row r="110">
      <x:c r="A110" s="36" t="str">
        <x:v>M20-MED-0109-V1.0</x:v>
      </x:c>
      <x:c r="B110" s="36" t="str">
        <x:v>官杀压力表象背后的根本病应先定位</x:v>
      </x:c>
      <x:c r="C110" s="36" t="str">
        <x:v>正例</x:v>
      </x:c>
      <x:c r="D110" s="36" t="str">
        <x:v>M16</x:v>
      </x:c>
      <x:c r="E110" s="36" t="str">
        <x:v>M16-GEN-0001-V1.0</x:v>
      </x:c>
      <x:c r="F110" s="36" t="str">
        <x:v>庚申 己未 甲寅 癸亥</x:v>
      </x:c>
      <x:c r="G110" s="36" t="str">
        <x:v>未知/不适用</x:v>
      </x:c>
      <x:c r="H110" s="36" t="str">
        <x:v>合成命例；不用于历法排盘；月令按月支与输入事实假设</x:v>
      </x:c>
      <x:c r="I110" s="36" t="str">
        <x:v>甲日主受庚杀压力；癸印本可化杀，但己财克癸使印功能下降。</x:v>
      </x:c>
      <x:c r="J110" s="36" t="str">
        <x:v>识别杀压、印化杀和财坏印三层事实。</x:v>
      </x:c>
      <x:c r="K110" s="36" t="str">
        <x:v>表层为官杀压力，根因是财坏印导致化杀链中断。</x:v>
      </x:c>
      <x:c r="L110" s="36" t="str">
        <x:v>主药应直接修复财坏印，而不是只看杀旺。</x:v>
      </x:c>
      <x:c r="M110" s="36" t="str">
        <x:v>根本病优先于官杀旺的表层症状。</x:v>
      </x:c>
      <x:c r="N110" s="36" t="str">
        <x:v>通过</x:v>
      </x:c>
      <x:c r="O110" s="36" t="str">
        <x:v>未测试</x:v>
      </x:c>
      <x:c r="P110" s="36" t="str">
        <x:v>V1.7</x:v>
      </x:c>
      <x:c r="Q110" s="36" t="str">
        <x:v>合成命例仅用于规则单元/集成测试，不替代真实命例外部验证。</x:v>
      </x:c>
    </x:row>
    <x:row r="111">
      <x:c r="A111" s="36" t="str">
        <x:v>M20-MED-0110-V1.0</x:v>
      </x:c>
      <x:c r="B111" s="36" t="str">
        <x:v>日主无根无印比形成基础承载病</x:v>
      </x:c>
      <x:c r="C111" s="36" t="str">
        <x:v>正例</x:v>
      </x:c>
      <x:c r="D111" s="36" t="str">
        <x:v>M16</x:v>
      </x:c>
      <x:c r="E111" s="36" t="str">
        <x:v>M16-WEAK-0009-V1.0</x:v>
      </x:c>
      <x:c r="F111" s="36" t="str">
        <x:v>庚申 辛酉 甲午 戊戌</x:v>
      </x:c>
      <x:c r="G111" s="36" t="str">
        <x:v>未知/不适用</x:v>
      </x:c>
      <x:c r="H111" s="36" t="str">
        <x:v>合成命例；不用于历法排盘；月令按月支与输入事实假设</x:v>
      </x:c>
      <x:c r="I111" s="36" t="str">
        <x:v>甲日主无木根、无水印、无比劫；官杀财食负荷持续。</x:v>
      </x:c>
      <x:c r="J111" s="36" t="str">
        <x:v>识别日主极弱且非从格条件待审。</x:v>
      </x:c>
      <x:c r="K111" s="36" t="str">
        <x:v>基础承载不足构成旺衰病。</x:v>
      </x:c>
      <x:c r="L111" s="36" t="str">
        <x:v>主药候选为印比；若从格严格成立则须重审。</x:v>
      </x:c>
      <x:c r="M111" s="36" t="str">
        <x:v>身弱无依病成立。</x:v>
      </x:c>
      <x:c r="N111" s="36" t="str">
        <x:v>通过</x:v>
      </x:c>
      <x:c r="O111" s="36" t="str">
        <x:v>未测试</x:v>
      </x:c>
      <x:c r="P111" s="36" t="str">
        <x:v>V1.7</x:v>
      </x:c>
      <x:c r="Q111" s="36" t="str">
        <x:v>合成命例仅用于规则单元/集成测试，不替代真实命例外部验证。</x:v>
      </x:c>
    </x:row>
    <x:row r="112">
      <x:c r="A112" s="36" t="str">
        <x:v>M20-MED-0111-V1.0</x:v>
      </x:c>
      <x:c r="B112" s="36" t="str">
        <x:v>旺而流通良好且承担格局功能不立旺病</x:v>
      </x:c>
      <x:c r="C112" s="36" t="str">
        <x:v>反例</x:v>
      </x:c>
      <x:c r="D112" s="36" t="str">
        <x:v>M16</x:v>
      </x:c>
      <x:c r="E112" s="36" t="str">
        <x:v>M16-STRONG-0021-V1.0</x:v>
      </x:c>
      <x:c r="F112" s="36" t="str">
        <x:v>甲寅 丙午 戊辰 庚申</x:v>
      </x:c>
      <x:c r="G112" s="36" t="str">
        <x:v>未知/不适用</x:v>
      </x:c>
      <x:c r="H112" s="36" t="str">
        <x:v>合成命例；不用于历法排盘；月令按月支与输入事实假设</x:v>
      </x:c>
      <x:c r="I112" s="36" t="str">
        <x:v>木火土金连续生化，木虽旺但有火泄、土承、金终点；格局需要木作为源头。</x:v>
      </x:c>
      <x:c r="J112" s="36" t="str">
        <x:v>识别木旺。</x:v>
      </x:c>
      <x:c r="K112" s="36" t="str">
        <x:v>旺势有稳定出口和格局职责。</x:v>
      </x:c>
      <x:c r="L112" s="36" t="str">
        <x:v>不立木旺病，不指定强抑木药。</x:v>
      </x:c>
      <x:c r="M112" s="36" t="str">
        <x:v>木旺而有用，不作为病。</x:v>
      </x:c>
      <x:c r="N112" s="36" t="str">
        <x:v>通过</x:v>
      </x:c>
      <x:c r="O112" s="36" t="str">
        <x:v>未测试</x:v>
      </x:c>
      <x:c r="P112" s="36" t="str">
        <x:v>V1.7</x:v>
      </x:c>
      <x:c r="Q112" s="36" t="str">
        <x:v>合成命例仅用于规则单元/集成测试，不替代真实命例外部验证。</x:v>
      </x:c>
    </x:row>
    <x:row r="113">
      <x:c r="A113" s="36" t="str">
        <x:v>M20-MED-0112-V1.0</x:v>
      </x:c>
      <x:c r="B113" s="36" t="str">
        <x:v>不可替代水桥缺失构成流通病</x:v>
      </x:c>
      <x:c r="C113" s="36" t="str">
        <x:v>正例</x:v>
      </x:c>
      <x:c r="D113" s="36" t="str">
        <x:v>M16</x:v>
      </x:c>
      <x:c r="E113" s="36" t="str">
        <x:v>M16-FLOW-0025-V1.0</x:v>
      </x:c>
      <x:c r="F113" s="36" t="str">
        <x:v>庚申 戊辰 甲寅 丁午</x:v>
      </x:c>
      <x:c r="G113" s="36" t="str">
        <x:v>未知/不适用</x:v>
      </x:c>
      <x:c r="H113" s="36" t="str">
        <x:v>合成命例；不用于历法排盘；月令按月支与输入事实假设</x:v>
      </x:c>
      <x:c r="I113" s="36" t="str">
        <x:v>金木两强相战，无有效水桥，其他路径不能同时泄金生木。</x:v>
      </x:c>
      <x:c r="J113" s="36" t="str">
        <x:v>M12确认真正缺桥。</x:v>
      </x:c>
      <x:c r="K113" s="36" t="str">
        <x:v>病位在金木之间的水桥梁。</x:v>
      </x:c>
      <x:c r="L113" s="36" t="str">
        <x:v>主药候选为水，仍需审寒湿和格局副作用。</x:v>
      </x:c>
      <x:c r="M113" s="36" t="str">
        <x:v>缺水桥构成流通病。</x:v>
      </x:c>
      <x:c r="N113" s="36" t="str">
        <x:v>通过</x:v>
      </x:c>
      <x:c r="O113" s="36" t="str">
        <x:v>未测试</x:v>
      </x:c>
      <x:c r="P113" s="36" t="str">
        <x:v>V1.7</x:v>
      </x:c>
      <x:c r="Q113" s="36" t="str">
        <x:v>合成命例仅用于规则单元/集成测试，不替代真实命例外部验证。</x:v>
      </x:c>
    </x:row>
    <x:row r="114">
      <x:c r="A114" s="36" t="str">
        <x:v>M20-MED-0113-V1.0</x:v>
      </x:c>
      <x:c r="B114" s="36" t="str">
        <x:v>七杀无制无化形成直接攻身病</x:v>
      </x:c>
      <x:c r="C114" s="36" t="str">
        <x:v>正例</x:v>
      </x:c>
      <x:c r="D114" s="36" t="str">
        <x:v>M16</x:v>
      </x:c>
      <x:c r="E114" s="36" t="str">
        <x:v>M16-CONTROL-0039-V1.0</x:v>
      </x:c>
      <x:c r="F114" s="36" t="str">
        <x:v>庚申 辛酉 甲午 戊戌</x:v>
      </x:c>
      <x:c r="G114" s="36" t="str">
        <x:v>未知/不适用</x:v>
      </x:c>
      <x:c r="H114" s="36" t="str">
        <x:v>合成命例；不用于历法排盘；月令按月支与输入事实假设</x:v>
      </x:c>
      <x:c r="I114" s="36" t="str">
        <x:v>七杀庚有申根；日主甲无根；食神弱、印星不现，不能制化。</x:v>
      </x:c>
      <x:c r="J114" s="36" t="str">
        <x:v>识别杀有权、身无承载。</x:v>
      </x:c>
      <x:c r="K114" s="36" t="str">
        <x:v>七杀压力直接落身。</x:v>
      </x:c>
      <x:c r="L114" s="36" t="str">
        <x:v>主药需在印化杀或食制杀中择一，但本例先补承载更直接。</x:v>
      </x:c>
      <x:c r="M114" s="36" t="str">
        <x:v>杀无制无化病成立。</x:v>
      </x:c>
      <x:c r="N114" s="36" t="str">
        <x:v>通过</x:v>
      </x:c>
      <x:c r="O114" s="36" t="str">
        <x:v>未测试</x:v>
      </x:c>
      <x:c r="P114" s="36" t="str">
        <x:v>V1.7</x:v>
      </x:c>
      <x:c r="Q114" s="36" t="str">
        <x:v>合成命例仅用于规则单元/集成测试，不替代真实命例外部验证。</x:v>
      </x:c>
    </x:row>
    <x:row r="115">
      <x:c r="A115" s="36" t="str">
        <x:v>M20-MED-0114-V1.0</x:v>
      </x:c>
      <x:c r="B115" s="36" t="str">
        <x:v>财坏印是杀印链中断的直接病因</x:v>
      </x:c>
      <x:c r="C115" s="36" t="str">
        <x:v>正例</x:v>
      </x:c>
      <x:c r="D115" s="36" t="str">
        <x:v>M16</x:v>
      </x:c>
      <x:c r="E115" s="36" t="str">
        <x:v>M16-CONTROL-0046-V1.0</x:v>
      </x:c>
      <x:c r="F115" s="36" t="str">
        <x:v>庚申 己未 甲寅 癸亥</x:v>
      </x:c>
      <x:c r="G115" s="36" t="str">
        <x:v>未知/不适用</x:v>
      </x:c>
      <x:c r="H115" s="36" t="str">
        <x:v>合成命例；不用于历法排盘；月令按月支与输入事实假设</x:v>
      </x:c>
      <x:c r="I115" s="36" t="str">
        <x:v>庚杀生癸印，癸印生日主；己财有未根并克癸印。</x:v>
      </x:c>
      <x:c r="J115" s="36" t="str">
        <x:v>识别杀印链与财克印。</x:v>
      </x:c>
      <x:c r="K115" s="36" t="str">
        <x:v>财星破坏关键印桥，日主承载和化杀同时下降。</x:v>
      </x:c>
      <x:c r="L115" s="36" t="str">
        <x:v>主药候选为比劫制财护印，印为辅助恢复。</x:v>
      </x:c>
      <x:c r="M115" s="36" t="str">
        <x:v>财坏印构成根本制化病。</x:v>
      </x:c>
      <x:c r="N115" s="36" t="str">
        <x:v>通过</x:v>
      </x:c>
      <x:c r="O115" s="36" t="str">
        <x:v>未测试</x:v>
      </x:c>
      <x:c r="P115" s="36" t="str">
        <x:v>V1.7</x:v>
      </x:c>
      <x:c r="Q115" s="36" t="str">
        <x:v>合成命例仅用于规则单元/集成测试，不替代真实命例外部验证。</x:v>
      </x:c>
    </x:row>
    <x:row r="116">
      <x:c r="A116" s="36" t="str">
        <x:v>M20-MED-0115-V1.0</x:v>
      </x:c>
      <x:c r="B116" s="36" t="str">
        <x:v>寒湿并重且阻断流通形成调候主病</x:v>
      </x:c>
      <x:c r="C116" s="36" t="str">
        <x:v>正例</x:v>
      </x:c>
      <x:c r="D116" s="36" t="str">
        <x:v>M16</x:v>
      </x:c>
      <x:c r="E116" s="36" t="str">
        <x:v>M16-CLIMATE-0068-V1.0</x:v>
      </x:c>
      <x:c r="F116" s="36" t="str">
        <x:v>壬子 癸亥 戊丑 甲辰</x:v>
      </x:c>
      <x:c r="G116" s="36" t="str">
        <x:v>未知/不适用</x:v>
      </x:c>
      <x:c r="H116" s="36" t="str">
        <x:v>合成命例；不用于历法排盘；月令按月支与输入事实假设</x:v>
      </x:c>
      <x:c r="I116" s="36" t="str">
        <x:v>寒水与湿土成势，火不现，木火生化和湿土流动均受阻。</x:v>
      </x:c>
      <x:c r="J116" s="36" t="str">
        <x:v>M13判寒湿，M12出现寒凝湿滞卡点。</x:v>
      </x:c>
      <x:c r="K116" s="36" t="str">
        <x:v>寒湿是多个功能障碍的共同根因。</x:v>
      </x:c>
      <x:c r="L116" s="36" t="str">
        <x:v>火为主药、木为辅助候选。</x:v>
      </x:c>
      <x:c r="M116" s="36" t="str">
        <x:v>寒湿调候病成立。</x:v>
      </x:c>
      <x:c r="N116" s="36" t="str">
        <x:v>通过</x:v>
      </x:c>
      <x:c r="O116" s="36" t="str">
        <x:v>未测试</x:v>
      </x:c>
      <x:c r="P116" s="36" t="str">
        <x:v>V1.7</x:v>
      </x:c>
      <x:c r="Q116" s="36" t="str">
        <x:v>合成命例仅用于规则单元/集成测试，不替代真实命例外部验证。</x:v>
      </x:c>
    </x:row>
    <x:row r="117">
      <x:c r="A117" s="36" t="str">
        <x:v>M20-MED-0116-V1.0</x:v>
      </x:c>
      <x:c r="B117" s="36" t="str">
        <x:v>一药同时暖局与通关时优先级提高</x:v>
      </x:c>
      <x:c r="C117" s="36" t="str">
        <x:v>正例</x:v>
      </x:c>
      <x:c r="D117" s="36" t="str">
        <x:v>M16</x:v>
      </x:c>
      <x:c r="E117" s="36" t="str">
        <x:v>M16-MED-0078-V1.0</x:v>
      </x:c>
      <x:c r="F117" s="36" t="str">
        <x:v>庚申 戊辰 甲寅 丁午</x:v>
      </x:c>
      <x:c r="G117" s="36" t="str">
        <x:v>未知/不适用</x:v>
      </x:c>
      <x:c r="H117" s="36" t="str">
        <x:v>合成命例；不用于历法排盘；月令按月支与输入事实假设</x:v>
      </x:c>
      <x:c r="I117" s="36" t="str">
        <x:v>命局偏寒，金木相战缺桥；假设水通关会更寒，而火可暖局并泄木生土形成替代主路径。</x:v>
      </x:c>
      <x:c r="J117" s="36" t="str">
        <x:v>识别多个病位和候选药路。</x:v>
      </x:c>
      <x:c r="K117" s="36" t="str">
        <x:v>同一火若能同时改善气候与主要流通，形成一药多效。</x:v>
      </x:c>
      <x:c r="L117" s="36" t="str">
        <x:v>火可提高为主药候选，但需核查是否真正覆盖金木冲突。</x:v>
      </x:c>
      <x:c r="M117" s="36" t="str">
        <x:v>一药多效可提高优先级，仍需M18净收益裁决。</x:v>
      </x:c>
      <x:c r="N117" s="36" t="str">
        <x:v>部分通过</x:v>
      </x:c>
      <x:c r="O117" s="36" t="str">
        <x:v>待复核</x:v>
      </x:c>
      <x:c r="P117" s="36" t="str">
        <x:v>V1.7</x:v>
      </x:c>
      <x:c r="Q117" s="36" t="str">
        <x:v>合成命例仅用于规则单元/集成测试，不替代真实命例外部验证。</x:v>
      </x:c>
    </x:row>
    <x:row r="118">
      <x:c r="A118" s="36" t="str">
        <x:v>M20-MED-0117-V1.0</x:v>
      </x:c>
      <x:c r="B118" s="36" t="str">
        <x:v>药力过量会由暖局转为热燥新病</x:v>
      </x:c>
      <x:c r="C118" s="36" t="str">
        <x:v>边界案例</x:v>
      </x:c>
      <x:c r="D118" s="36" t="str">
        <x:v>M16</x:v>
      </x:c>
      <x:c r="E118" s="36" t="str">
        <x:v>M16-DOSE-0091-V1.0</x:v>
      </x:c>
      <x:c r="F118" s="36" t="str">
        <x:v>丙午 丁巳 癸亥 壬子</x:v>
      </x:c>
      <x:c r="G118" s="36" t="str">
        <x:v>未知/不适用</x:v>
      </x:c>
      <x:c r="H118" s="36" t="str">
        <x:v>合成命例；不用于历法排盘；月令按月支与输入事实假设</x:v>
      </x:c>
      <x:c r="I118" s="36" t="str">
        <x:v>原局冬寒需要适量火；假设继续强化巳午丙丁，温度越过平衡并耗水。</x:v>
      </x:c>
      <x:c r="J118" s="36" t="str">
        <x:v>识别火为调候药。</x:v>
      </x:c>
      <x:c r="K118" s="36" t="str">
        <x:v>适量暖局，过量形成极热燥并加重癸水承载。</x:v>
      </x:c>
      <x:c r="L118" s="36" t="str">
        <x:v>火的定位随剂量由喜转条件性忌。</x:v>
      </x:c>
      <x:c r="M118" s="36" t="str">
        <x:v>药过平衡点形成反向新病。</x:v>
      </x:c>
      <x:c r="N118" s="36" t="str">
        <x:v>通过</x:v>
      </x:c>
      <x:c r="O118" s="36" t="str">
        <x:v>未测试</x:v>
      </x:c>
      <x:c r="P118" s="36" t="str">
        <x:v>V1.7</x:v>
      </x:c>
      <x:c r="Q118" s="36" t="str">
        <x:v>合成命例仅用于规则单元/集成测试，不替代真实命例外部验证。</x:v>
      </x:c>
    </x:row>
    <x:row r="119">
      <x:c r="A119" s="36" t="str">
        <x:v>M20-MED-0118-V1.0</x:v>
      </x:c>
      <x:c r="B119" s="36" t="str">
        <x:v>双轴平衡且结构正常时不立调候病</x:v>
      </x:c>
      <x:c r="C119" s="36" t="str">
        <x:v>反例</x:v>
      </x:c>
      <x:c r="D119" s="36" t="str">
        <x:v>M16</x:v>
      </x:c>
      <x:c r="E119" s="36" t="str">
        <x:v>M16-CLIMATE-0076-V1.0</x:v>
      </x:c>
      <x:c r="F119" s="36" t="str">
        <x:v>壬子 丙午 甲寅 庚申</x:v>
      </x:c>
      <x:c r="G119" s="36" t="str">
        <x:v>未知/不适用</x:v>
      </x:c>
      <x:c r="H119" s="36" t="str">
        <x:v>合成命例；不用于历法排盘；月令按月支与输入事实假设</x:v>
      </x:c>
      <x:c r="I119" s="36" t="str">
        <x:v>水火有根相制，双轴平衡；M12无寒凝燥枯卡点。</x:v>
      </x:c>
      <x:c r="J119" s="36" t="str">
        <x:v>识别气候平衡。</x:v>
      </x:c>
      <x:c r="K119" s="36" t="str">
        <x:v>无实际调候功能障碍。</x:v>
      </x:c>
      <x:c r="L119" s="36" t="str">
        <x:v>不得为了完整病药列表强行设调候主药。</x:v>
      </x:c>
      <x:c r="M119" s="36" t="str">
        <x:v>寒暖燥湿平衡，不立调候病。</x:v>
      </x:c>
      <x:c r="N119" s="36" t="str">
        <x:v>通过</x:v>
      </x:c>
      <x:c r="O119" s="36" t="str">
        <x:v>未测试</x:v>
      </x:c>
      <x:c r="P119" s="36" t="str">
        <x:v>V1.7</x:v>
      </x:c>
      <x:c r="Q119" s="36" t="str">
        <x:v>合成命例仅用于规则单元/集成测试，不替代真实命例外部验证。</x:v>
      </x:c>
    </x:row>
    <x:row r="120">
      <x:c r="A120" s="36" t="str">
        <x:v>M20-USE-0119-V1.0</x:v>
      </x:c>
      <x:c r="B120" s="36" t="str">
        <x:v>候选五行必须逐项进入五维矩阵</x:v>
      </x:c>
      <x:c r="C120" s="36" t="str">
        <x:v>正例</x:v>
      </x:c>
      <x:c r="D120" s="36" t="str">
        <x:v>M17</x:v>
      </x:c>
      <x:c r="E120" s="36" t="str">
        <x:v>M17-GEN-0001-V1.0</x:v>
      </x:c>
      <x:c r="F120" s="36" t="str">
        <x:v>庚申 己未 甲寅 癸亥</x:v>
      </x:c>
      <x:c r="G120" s="36" t="str">
        <x:v>未知/不适用</x:v>
      </x:c>
      <x:c r="H120" s="36" t="str">
        <x:v>合成命例；不用于历法排盘；月令按月支与输入事实假设</x:v>
      </x:c>
      <x:c r="I120" s="36" t="str">
        <x:v>候选木、火、土、金、水分别对日主、格局、流通、调候和财坏印病产生不同作用。</x:v>
      </x:c>
      <x:c r="J120" s="36" t="str">
        <x:v>识别五个维度的输入结论。</x:v>
      </x:c>
      <x:c r="K120" s="36" t="str">
        <x:v>逐五行记录收益、副作用和条件。</x:v>
      </x:c>
      <x:c r="L120" s="36" t="str">
        <x:v>不允许仅凭身弱或调候单项直接定主用。</x:v>
      </x:c>
      <x:c r="M120" s="36" t="str">
        <x:v>五维用神矩阵被完整调用。</x:v>
      </x:c>
      <x:c r="N120" s="36" t="str">
        <x:v>通过</x:v>
      </x:c>
      <x:c r="O120" s="36" t="str">
        <x:v>未测试</x:v>
      </x:c>
      <x:c r="P120" s="36" t="str">
        <x:v>V1.7</x:v>
      </x:c>
      <x:c r="Q120" s="36" t="str">
        <x:v>合成命例仅用于规则单元/集成测试，不替代真实命例外部验证。</x:v>
      </x:c>
    </x:row>
    <x:row r="121">
      <x:c r="A121" s="36" t="str">
        <x:v>M20-USE-0120-V1.0</x:v>
      </x:c>
      <x:c r="B121" s="36" t="str">
        <x:v>只有调候一维有利不能直接升主用</x:v>
      </x:c>
      <x:c r="C121" s="36" t="str">
        <x:v>反例</x:v>
      </x:c>
      <x:c r="D121" s="36" t="str">
        <x:v>M17</x:v>
      </x:c>
      <x:c r="E121" s="36" t="str">
        <x:v>M17-GEN-0002-V1.0</x:v>
      </x:c>
      <x:c r="F121" s="36" t="str">
        <x:v>丙申 壬子 甲辰 癸亥</x:v>
      </x:c>
      <x:c r="G121" s="36" t="str">
        <x:v>未知/不适用</x:v>
      </x:c>
      <x:c r="H121" s="36" t="str">
        <x:v>合成命例；不用于历法排盘；月令按月支与输入事实假设</x:v>
      </x:c>
      <x:c r="I121" s="36" t="str">
        <x:v>火可暖寒局；但火无根、会泄弱甲木，且可能伤印格。</x:v>
      </x:c>
      <x:c r="J121" s="36" t="str">
        <x:v>识别火的调候正向。</x:v>
      </x:c>
      <x:c r="K121" s="36" t="str">
        <x:v>其他维度未支持或存在反向证据。</x:v>
      </x:c>
      <x:c r="L121" s="36" t="str">
        <x:v>火最多列条件性喜神，不能列无条件主用。</x:v>
      </x:c>
      <x:c r="M121" s="36" t="str">
        <x:v>单一调候收益未被越级升级。</x:v>
      </x:c>
      <x:c r="N121" s="36" t="str">
        <x:v>通过</x:v>
      </x:c>
      <x:c r="O121" s="36" t="str">
        <x:v>未测试</x:v>
      </x:c>
      <x:c r="P121" s="36" t="str">
        <x:v>V1.7</x:v>
      </x:c>
      <x:c r="Q121" s="36" t="str">
        <x:v>合成命例仅用于规则单元/集成测试，不替代真实命例外部验证。</x:v>
      </x:c>
    </x:row>
    <x:row r="122">
      <x:c r="A122" s="36" t="str">
        <x:v>M20-USE-0121-V1.0</x:v>
      </x:c>
      <x:c r="B122" s="36" t="str">
        <x:v>病药与格局同向可升级主用候选</x:v>
      </x:c>
      <x:c r="C122" s="36" t="str">
        <x:v>正例</x:v>
      </x:c>
      <x:c r="D122" s="36" t="str">
        <x:v>M17</x:v>
      </x:c>
      <x:c r="E122" s="36" t="str">
        <x:v>M17-GEN-0004-V1.0；M18-MED-0042-V1.0</x:v>
      </x:c>
      <x:c r="F122" s="36" t="str">
        <x:v>庚申 己未 甲寅 癸亥</x:v>
      </x:c>
      <x:c r="G122" s="36" t="str">
        <x:v>未知/不适用</x:v>
      </x:c>
      <x:c r="H122" s="36" t="str">
        <x:v>合成命例；不用于历法排盘；月令按月支与输入事实假设</x:v>
      </x:c>
      <x:c r="I122" s="36" t="str">
        <x:v>七杀格依赖印化杀；根本病为财坏印；比劫可制财护印并扶身。</x:v>
      </x:c>
      <x:c r="J122" s="36" t="str">
        <x:v>识别格局病、病药和扶抑多维同向。</x:v>
      </x:c>
      <x:c r="K122" s="36" t="str">
        <x:v>比劫同时救格、治病、扶身。</x:v>
      </x:c>
      <x:c r="L122" s="36" t="str">
        <x:v>经硬约束和副作用审查后可列主用候选。</x:v>
      </x:c>
      <x:c r="M122" s="36" t="str">
        <x:v>比劫因病格同向升级为主用候选。</x:v>
      </x:c>
      <x:c r="N122" s="36" t="str">
        <x:v>通过</x:v>
      </x:c>
      <x:c r="O122" s="36" t="str">
        <x:v>未测试</x:v>
      </x:c>
      <x:c r="P122" s="36" t="str">
        <x:v>V1.7</x:v>
      </x:c>
      <x:c r="Q122" s="36" t="str">
        <x:v>合成命例仅用于规则单元/集成测试，不替代真实命例外部验证。</x:v>
      </x:c>
    </x:row>
    <x:row r="123">
      <x:c r="A123" s="36" t="str">
        <x:v>M20-USE-0122-V1.0</x:v>
      </x:c>
      <x:c r="B123" s="36" t="str">
        <x:v>真从格成立时普通扶身候选必须让位</x:v>
      </x:c>
      <x:c r="C123" s="36" t="str">
        <x:v>正例</x:v>
      </x:c>
      <x:c r="D123" s="36" t="str">
        <x:v>M18</x:v>
      </x:c>
      <x:c r="E123" s="36" t="str">
        <x:v>M18-SPECIAL-0009-V1.0；M18-SPECIAL-0014-V1.0</x:v>
      </x:c>
      <x:c r="F123" s="36" t="str">
        <x:v>戊辰 己未 甲申 戊戌</x:v>
      </x:c>
      <x:c r="G123" s="36" t="str">
        <x:v>未知/不适用</x:v>
      </x:c>
      <x:c r="H123" s="36" t="str">
        <x:v>合成命例；不用于历法排盘；月令按月支与输入事实假设</x:v>
      </x:c>
      <x:c r="I123" s="36" t="str">
        <x:v>M15确认从财格严格成立；印比扶身会使甲木重新自立。</x:v>
      </x:c>
      <x:c r="J123" s="36" t="str">
        <x:v>识别特殊格局硬约束。</x:v>
      </x:c>
      <x:c r="K123" s="36" t="str">
        <x:v>顺财势方案优先，普通印比扶身构成破从。</x:v>
      </x:c>
      <x:c r="L123" s="36" t="str">
        <x:v>财及顺势五行列用，印比列忌或仇。</x:v>
      </x:c>
      <x:c r="M123" s="36" t="str">
        <x:v>严格从财格压过普通身弱扶身逻辑。</x:v>
      </x:c>
      <x:c r="N123" s="36" t="str">
        <x:v>通过</x:v>
      </x:c>
      <x:c r="O123" s="36" t="str">
        <x:v>未测试</x:v>
      </x:c>
      <x:c r="P123" s="36" t="str">
        <x:v>V1.7</x:v>
      </x:c>
      <x:c r="Q123" s="36" t="str">
        <x:v>合成命例仅用于规则单元/集成测试，不替代真实命例外部验证。</x:v>
      </x:c>
    </x:row>
    <x:row r="124">
      <x:c r="A124" s="36" t="str">
        <x:v>M20-USE-0123-V1.0</x:v>
      </x:c>
      <x:c r="B124" s="36" t="str">
        <x:v>局部扶抑有利但伤核心格局必须降级</x:v>
      </x:c>
      <x:c r="C124" s="36" t="str">
        <x:v>边界案例</x:v>
      </x:c>
      <x:c r="D124" s="36" t="str">
        <x:v>M17</x:v>
      </x:c>
      <x:c r="E124" s="36" t="str">
        <x:v>M17-GEN-0006-V1.0；M18-PATTERN-0017-V1.0</x:v>
      </x:c>
      <x:c r="F124" s="36" t="str">
        <x:v>丁巳 辛酉 甲寅 癸亥</x:v>
      </x:c>
      <x:c r="G124" s="36" t="str">
        <x:v>未知/不适用</x:v>
      </x:c>
      <x:c r="H124" s="36" t="str">
        <x:v>合成命例；不用于历法排盘；月令按月支与输入事实假设</x:v>
      </x:c>
      <x:c r="I124" s="36" t="str">
        <x:v>甲日主偏旺，丁伤官可泄身；但辛正官为核心格神，丁直接伤官见官。</x:v>
      </x:c>
      <x:c r="J124" s="36" t="str">
        <x:v>识别泄身收益和破官格损害。</x:v>
      </x:c>
      <x:c r="K124" s="36" t="str">
        <x:v>根本破格风险高于一般扶抑收益。</x:v>
      </x:c>
      <x:c r="L124" s="36" t="str">
        <x:v>丁火由泄身候选降为条件性忌神或不采用。</x:v>
      </x:c>
      <x:c r="M124" s="36" t="str">
        <x:v>伤格副作用使局部有利五行降级。</x:v>
      </x:c>
      <x:c r="N124" s="36" t="str">
        <x:v>通过</x:v>
      </x:c>
      <x:c r="O124" s="36" t="str">
        <x:v>未测试</x:v>
      </x:c>
      <x:c r="P124" s="36" t="str">
        <x:v>V1.7</x:v>
      </x:c>
      <x:c r="Q124" s="36" t="str">
        <x:v>合成命例仅用于规则单元/集成测试，不替代真实命例外部验证。</x:v>
      </x:c>
    </x:row>
    <x:row r="125">
      <x:c r="A125" s="36" t="str">
        <x:v>M20-USE-0124-V1.0</x:v>
      </x:c>
      <x:c r="B125" s="36" t="str">
        <x:v>适量有利过量转害时定位条件性喜神</x:v>
      </x:c>
      <x:c r="C125" s="36" t="str">
        <x:v>正例</x:v>
      </x:c>
      <x:c r="D125" s="36" t="str">
        <x:v>M18</x:v>
      </x:c>
      <x:c r="E125" s="36" t="str">
        <x:v>M18-RANK-0072-V1.0；M18-DOSE-0062-V1.0</x:v>
      </x:c>
      <x:c r="F125" s="36" t="str">
        <x:v>丙午 癸亥 甲寅 壬子</x:v>
      </x:c>
      <x:c r="G125" s="36" t="str">
        <x:v>未知/不适用</x:v>
      </x:c>
      <x:c r="H125" s="36" t="str">
        <x:v>合成命例；不用于历法排盘；月令按月支与输入事实假设</x:v>
      </x:c>
      <x:c r="I125" s="36" t="str">
        <x:v>火可暖寒湿，但过强会耗水、泄甲并转热燥。</x:v>
      </x:c>
      <x:c r="J125" s="36" t="str">
        <x:v>识别火的双向剂量作用。</x:v>
      </x:c>
      <x:c r="K125" s="36" t="str">
        <x:v>火在最小有效强度内有利，越界转害。</x:v>
      </x:c>
      <x:c r="L125" s="36" t="str">
        <x:v>综合定位为条件性喜神，必须写明转忌阈值。</x:v>
      </x:c>
      <x:c r="M125" s="36" t="str">
        <x:v>火被正确定位为剂量型条件性喜神。</x:v>
      </x:c>
      <x:c r="N125" s="36" t="str">
        <x:v>通过</x:v>
      </x:c>
      <x:c r="O125" s="36" t="str">
        <x:v>未测试</x:v>
      </x:c>
      <x:c r="P125" s="36" t="str">
        <x:v>V1.7</x:v>
      </x:c>
      <x:c r="Q125" s="36" t="str">
        <x:v>合成命例仅用于规则单元/集成测试，不替代真实命例外部验证。</x:v>
      </x:c>
    </x:row>
    <x:row r="126">
      <x:c r="A126" s="36" t="str">
        <x:v>M20-USE-0125-V1.0</x:v>
      </x:c>
      <x:c r="B126" s="36" t="str">
        <x:v>生助忌神并克制主用者定位仇神</x:v>
      </x:c>
      <x:c r="C126" s="36" t="str">
        <x:v>正例</x:v>
      </x:c>
      <x:c r="D126" s="36" t="str">
        <x:v>M18</x:v>
      </x:c>
      <x:c r="E126" s="36" t="str">
        <x:v>M18-RANK-0076-V1.0；M18-MED-0049-V1.0</x:v>
      </x:c>
      <x:c r="F126" s="36" t="str">
        <x:v>庚申 戊戌 甲寅 壬子</x:v>
      </x:c>
      <x:c r="G126" s="36" t="str">
        <x:v>未知/不适用</x:v>
      </x:c>
      <x:c r="H126" s="36" t="str">
        <x:v>合成命例；不用于历法排盘；月令按月支与输入事实假设</x:v>
      </x:c>
      <x:c r="I126" s="36" t="str">
        <x:v>主病为土克水桥，水为主用；火生土并耗水，火本身不是直接病位。</x:v>
      </x:c>
      <x:c r="J126" s="36" t="str">
        <x:v>识别土为直接忌神、火为间接助害者。</x:v>
      </x:c>
      <x:c r="K126" s="36" t="str">
        <x:v>火通过生土、耗水削弱主用。</x:v>
      </x:c>
      <x:c r="L126" s="36" t="str">
        <x:v>火定位仇神而非直接忌神。</x:v>
      </x:c>
      <x:c r="M126" s="36" t="str">
        <x:v>间接生忌克用链成立，火为仇神。</x:v>
      </x:c>
      <x:c r="N126" s="36" t="str">
        <x:v>通过</x:v>
      </x:c>
      <x:c r="O126" s="36" t="str">
        <x:v>未测试</x:v>
      </x:c>
      <x:c r="P126" s="36" t="str">
        <x:v>V1.7</x:v>
      </x:c>
      <x:c r="Q126" s="36" t="str">
        <x:v>合成命例仅用于规则单元/集成测试，不替代真实命例外部验证。</x:v>
      </x:c>
    </x:row>
    <x:row r="127">
      <x:c r="A127" s="36" t="str">
        <x:v>M20-USE-0126-V1.0</x:v>
      </x:c>
      <x:c r="B127" s="36" t="str">
        <x:v>直接短药路优先于依赖多层弱桥的长药路</x:v>
      </x:c>
      <x:c r="C127" s="36" t="str">
        <x:v>正例</x:v>
      </x:c>
      <x:c r="D127" s="36" t="str">
        <x:v>M18</x:v>
      </x:c>
      <x:c r="E127" s="36" t="str">
        <x:v>M18-GEN-0007-V1.0</x:v>
      </x:c>
      <x:c r="F127" s="36" t="str">
        <x:v>庚申 戊戌 甲寅 壬子</x:v>
      </x:c>
      <x:c r="G127" s="36" t="str">
        <x:v>未知/不适用</x:v>
      </x:c>
      <x:c r="H127" s="36" t="str">
        <x:v>合成命例；不用于历法排盘；月令按月支与输入事实假设</x:v>
      </x:c>
      <x:c r="I127" s="36" t="str">
        <x:v>病位为土强克水；候选A比劫直接制财土，候选B经火土金水长链间接恢复水。</x:v>
      </x:c>
      <x:c r="J127" s="36" t="str">
        <x:v>识别两条理论药路。</x:v>
      </x:c>
      <x:c r="K127" s="36" t="str">
        <x:v>A路径更短直接且桥梁更少。</x:v>
      </x:c>
      <x:c r="L127" s="36" t="str">
        <x:v>若副作用相近，A优先列主药，B降替代。</x:v>
      </x:c>
      <x:c r="M127" s="36" t="str">
        <x:v>直接药路优先于不稳定长链。</x:v>
      </x:c>
      <x:c r="N127" s="36" t="str">
        <x:v>通过</x:v>
      </x:c>
      <x:c r="O127" s="36" t="str">
        <x:v>未测试</x:v>
      </x:c>
      <x:c r="P127" s="36" t="str">
        <x:v>V1.7</x:v>
      </x:c>
      <x:c r="Q127" s="36" t="str">
        <x:v>合成命例仅用于规则单元/集成测试，不替代真实命例外部验证。</x:v>
      </x:c>
    </x:row>
    <x:row r="128">
      <x:c r="A128" s="36" t="str">
        <x:v>M20-USE-0127-V1.0</x:v>
      </x:c>
      <x:c r="B128" s="36" t="str">
        <x:v>达到最小有效剂量前不具备主用资格</x:v>
      </x:c>
      <x:c r="C128" s="36" t="str">
        <x:v>边界案例</x:v>
      </x:c>
      <x:c r="D128" s="36" t="str">
        <x:v>M18</x:v>
      </x:c>
      <x:c r="E128" s="36" t="str">
        <x:v>M18-DOSE-0061-V1.0</x:v>
      </x:c>
      <x:c r="F128" s="36" t="str">
        <x:v>丙申 壬子 甲辰 癸亥</x:v>
      </x:c>
      <x:c r="G128" s="36" t="str">
        <x:v>未知/不适用</x:v>
      </x:c>
      <x:c r="H128" s="36" t="str">
        <x:v>合成命例；不用于历法排盘；月令按月支与输入事实假设</x:v>
      </x:c>
      <x:c r="I128" s="36" t="str">
        <x:v>火方向能暖寒局，但孤透无根、受水制，不能改变主病。</x:v>
      </x:c>
      <x:c r="J128" s="36" t="str">
        <x:v>识别火的理论药理。</x:v>
      </x:c>
      <x:c r="K128" s="36" t="str">
        <x:v>药力未达到最小有效门槛。</x:v>
      </x:c>
      <x:c r="L128" s="36" t="str">
        <x:v>火降为条件性候选，需木生火或巳午根后再评。</x:v>
      </x:c>
      <x:c r="M128" s="36" t="str">
        <x:v>方向正确但药力不足，不能列主用。</x:v>
      </x:c>
      <x:c r="N128" s="36" t="str">
        <x:v>通过</x:v>
      </x:c>
      <x:c r="O128" s="36" t="str">
        <x:v>未测试</x:v>
      </x:c>
      <x:c r="P128" s="36" t="str">
        <x:v>V1.7</x:v>
      </x:c>
      <x:c r="Q128" s="36" t="str">
        <x:v>合成命例仅用于规则单元/集成测试，不替代真实命例外部验证。</x:v>
      </x:c>
    </x:row>
    <x:row r="129">
      <x:c r="A129" s="36" t="str">
        <x:v>M20-USE-0128-V1.0</x:v>
      </x:c>
      <x:c r="B129" s="36" t="str">
        <x:v>冲突裁决不采用固定总分或固定模块顺序</x:v>
      </x:c>
      <x:c r="C129" s="36" t="str">
        <x:v>反例</x:v>
      </x:c>
      <x:c r="D129" s="36" t="str">
        <x:v>M18</x:v>
      </x:c>
      <x:c r="E129" s="36" t="str">
        <x:v>M18-BOUND-0078-V1.0；M17-GEN-0010-V1.0</x:v>
      </x:c>
      <x:c r="F129" s="36" t="str">
        <x:v>庚申 己未 甲寅 癸亥</x:v>
      </x:c>
      <x:c r="G129" s="36" t="str">
        <x:v>未知/不适用</x:v>
      </x:c>
      <x:c r="H129" s="36" t="str">
        <x:v>合成命例；不用于历法排盘；月令按月支与输入事实假设</x:v>
      </x:c>
      <x:c r="I129" s="36" t="str">
        <x:v>扶抑、格局、病药和调候给出不同方向；若机械按模块各加1分会掩盖财坏印根本病。</x:v>
      </x:c>
      <x:c r="J129" s="36" t="str">
        <x:v>识别多维冲突。</x:v>
      </x:c>
      <x:c r="K129" s="36" t="str">
        <x:v>按硬约束、根本病、主路径、直接药路和副作用裁决。</x:v>
      </x:c>
      <x:c r="L129" s="36" t="str">
        <x:v>禁止用固定总分或‘格局永远第一’口诀。</x:v>
      </x:c>
      <x:c r="M129" s="36" t="str">
        <x:v>条件优先级替代机械总分。</x:v>
      </x:c>
      <x:c r="N129" s="36" t="str">
        <x:v>通过</x:v>
      </x:c>
      <x:c r="O129" s="36" t="str">
        <x:v>未测试</x:v>
      </x:c>
      <x:c r="P129" s="36" t="str">
        <x:v>V1.7</x:v>
      </x:c>
      <x:c r="Q129" s="36" t="str">
        <x:v>合成命例仅用于规则单元/集成测试，不替代真实命例外部验证。</x:v>
      </x:c>
    </x:row>
    <x:row r="130">
      <x:c r="A130" s="36" t="str">
        <x:v>M20-OUTPUT-0129-V1.0</x:v>
      </x:c>
      <x:c r="B130" s="36" t="str">
        <x:v>出生资料不完整时触发输出质量闸门</x:v>
      </x:c>
      <x:c r="C130" s="36" t="str">
        <x:v>反例</x:v>
      </x:c>
      <x:c r="D130" s="36" t="str">
        <x:v>M19</x:v>
      </x:c>
      <x:c r="E130" s="36" t="str">
        <x:v>M19-META-0001-V1.0</x:v>
      </x:c>
      <x:c r="F130" s="36" t="str">
        <x:v>待定四柱：出生时刻接近交节，时区未知</x:v>
      </x:c>
      <x:c r="G130" s="36" t="str">
        <x:v>未知/不适用</x:v>
      </x:c>
      <x:c r="H130" s="36" t="str">
        <x:v>资料不完整；用于M19空值与质量闸门测试</x:v>
      </x:c>
      <x:c r="I130" s="36" t="str">
        <x:v>时区、精确出生时刻和交节时刻均缺失，月令可能跨寅卯。</x:v>
      </x:c>
      <x:c r="J130" s="36" t="str">
        <x:v>输入完整度判不通过，只能保留双盘。</x:v>
      </x:c>
      <x:c r="K130" s="36" t="str">
        <x:v>下游旺衰、格局、病药和喜忌均停止唯一化。</x:v>
      </x:c>
      <x:c r="L130" s="36" t="str">
        <x:v>用户版只能说明待核查范围，禁止输出确定喜忌。</x:v>
      </x:c>
      <x:c r="M130" s="36" t="str">
        <x:v>输入闸门阻止了不可靠的唯一结论。</x:v>
      </x:c>
      <x:c r="N130" s="36" t="str">
        <x:v>通过</x:v>
      </x:c>
      <x:c r="O130" s="36" t="str">
        <x:v>未测试</x:v>
      </x:c>
      <x:c r="P130" s="36" t="str">
        <x:v>V1.7</x:v>
      </x:c>
      <x:c r="Q130" s="36" t="str">
        <x:v>合成命例仅用于规则单元/集成测试，不替代真实命例外部验证。</x:v>
      </x:c>
    </x:row>
    <x:row r="131">
      <x:c r="A131" s="36" t="str">
        <x:v>M20-OUTPUT-0130-V1.0</x:v>
      </x:c>
      <x:c r="B131" s="36" t="str">
        <x:v>内部四柱映射不应原样堆给用户</x:v>
      </x:c>
      <x:c r="C131" s="36" t="str">
        <x:v>正例</x:v>
      </x:c>
      <x:c r="D131" s="36" t="str">
        <x:v>M19</x:v>
      </x:c>
      <x:c r="E131" s="36" t="str">
        <x:v>M19-BASE-0005-V1.0；M19-META-0002-V1.0</x:v>
      </x:c>
      <x:c r="F131" s="36" t="str">
        <x:v>庚申 癸亥 甲寅 丙午</x:v>
      </x:c>
      <x:c r="G131" s="36" t="str">
        <x:v>未知/不适用</x:v>
      </x:c>
      <x:c r="H131" s="36" t="str">
        <x:v>合成命例；不用于历法排盘；月令按月支与输入事实假设</x:v>
      </x:c>
      <x:c r="I131" s="36" t="str">
        <x:v>内部需要逐柱记录藏干、十神和Rule_ID；用户只需要与结论直接相关的结构解释。</x:v>
      </x:c>
      <x:c r="J131" s="36" t="str">
        <x:v>内部映射表完整保留。</x:v>
      </x:c>
      <x:c r="K131" s="36" t="str">
        <x:v>分析师版保留关键十神功能。</x:v>
      </x:c>
      <x:c r="L131" s="36" t="str">
        <x:v>用户版改写为主导功能和核心原因，不展示整表和Rule_ID。</x:v>
      </x:c>
      <x:c r="M131" s="36" t="str">
        <x:v>三层输出成功分离内部推理与用户表达。</x:v>
      </x:c>
      <x:c r="N131" s="36" t="str">
        <x:v>通过</x:v>
      </x:c>
      <x:c r="O131" s="36" t="str">
        <x:v>未测试</x:v>
      </x:c>
      <x:c r="P131" s="36" t="str">
        <x:v>V1.7</x:v>
      </x:c>
      <x:c r="Q131" s="36" t="str">
        <x:v>合成命例仅用于规则单元/集成测试，不替代真实命例外部验证。</x:v>
      </x:c>
    </x:row>
    <x:row r="132">
      <x:c r="A132" s="36" t="str">
        <x:v>M20-OUTPUT-0131-V1.0</x:v>
      </x:c>
      <x:c r="B132" s="36" t="str">
        <x:v>没有成立组合时必须输出明确空值语句</x:v>
      </x:c>
      <x:c r="C132" s="36" t="str">
        <x:v>正例</x:v>
      </x:c>
      <x:c r="D132" s="36" t="str">
        <x:v>M19</x:v>
      </x:c>
      <x:c r="E132" s="36" t="str">
        <x:v>M19-COMBO-0022-V1.0；M19-COMBO-0023-V1.0</x:v>
      </x:c>
      <x:c r="F132" s="36" t="str">
        <x:v>甲子 乙丑 丙寅 丁卯</x:v>
      </x:c>
      <x:c r="G132" s="36" t="str">
        <x:v>未知/不适用</x:v>
      </x:c>
      <x:c r="H132" s="36" t="str">
        <x:v>合成命例；不用于历法排盘；月令按月支与输入事实假设</x:v>
      </x:c>
      <x:c r="I132" s="36" t="str">
        <x:v>M11未发现达到弱成立的稳定十神组合。</x:v>
      </x:c>
      <x:c r="J132" s="36" t="str">
        <x:v>组合清单为空。</x:v>
      </x:c>
      <x:c r="K132" s="36" t="str">
        <x:v>不以空白代替无结果。</x:v>
      </x:c>
      <x:c r="L132" s="36" t="str">
        <x:v>输出“未见可稳定成立的十神组合”；被否决候选另列原因。</x:v>
      </x:c>
      <x:c r="M132" s="36" t="str">
        <x:v>M19空值处理按规范输出，无静默缺失。</x:v>
      </x:c>
      <x:c r="N132" s="36" t="str">
        <x:v>通过</x:v>
      </x:c>
      <x:c r="O132" s="36" t="str">
        <x:v>未测试</x:v>
      </x:c>
      <x:c r="P132" s="36" t="str">
        <x:v>V1.7</x:v>
      </x:c>
      <x:c r="Q132" s="36" t="str">
        <x:v>合成命例仅用于规则单元/集成测试，不替代真实命例外部验证。</x:v>
      </x:c>
    </x:row>
    <x:row r="133">
      <x:c r="A133" s="36" t="str">
        <x:v>M20-OUTPUT-0132-V1.0</x:v>
      </x:c>
      <x:c r="B133" s="36" t="str">
        <x:v>日主边界结论必须解释为何非相邻等级</x:v>
      </x:c>
      <x:c r="C133" s="36" t="str">
        <x:v>边界案例</x:v>
      </x:c>
      <x:c r="D133" s="36" t="str">
        <x:v>M19</x:v>
      </x:c>
      <x:c r="E133" s="36" t="str">
        <x:v>M19-DM-0017-V1.0</x:v>
      </x:c>
      <x:c r="F133" s="36" t="str">
        <x:v>庚申 壬子 甲寅 戊辰</x:v>
      </x:c>
      <x:c r="G133" s="36" t="str">
        <x:v>未知/不适用</x:v>
      </x:c>
      <x:c r="H133" s="36" t="str">
        <x:v>合成命例；不用于历法排盘；月令按月支与输入事实假设</x:v>
      </x:c>
      <x:c r="I133" s="36" t="str">
        <x:v>扶身侧与负荷侧接近，结论落在中和偏弱边界。</x:v>
      </x:c>
      <x:c r="J133" s="36" t="str">
        <x:v>输出主结论及正反证据。</x:v>
      </x:c>
      <x:c r="K133" s="36" t="str">
        <x:v>必须说明为何未判中和、为何未判弱。</x:v>
      </x:c>
      <x:c r="L133" s="36" t="str">
        <x:v>置信度随边界证据下降，不只写“身弱”。</x:v>
      </x:c>
      <x:c r="M133" s="36" t="str">
        <x:v>相邻等级排除和置信度字段完整输出。</x:v>
      </x:c>
      <x:c r="N133" s="36" t="str">
        <x:v>通过</x:v>
      </x:c>
      <x:c r="O133" s="36" t="str">
        <x:v>未测试</x:v>
      </x:c>
      <x:c r="P133" s="36" t="str">
        <x:v>V1.7</x:v>
      </x:c>
      <x:c r="Q133" s="36" t="str">
        <x:v>合成命例仅用于规则单元/集成测试，不替代真实命例外部验证。</x:v>
      </x:c>
    </x:row>
    <x:row r="134">
      <x:c r="A134" s="36" t="str">
        <x:v>M20-OUTPUT-0133-V1.0</x:v>
      </x:c>
      <x:c r="B134" s="36" t="str">
        <x:v>最终摘要不得越级断岁运和具体事件</x:v>
      </x:c>
      <x:c r="C134" s="36" t="str">
        <x:v>反例</x:v>
      </x:c>
      <x:c r="D134" s="36" t="str">
        <x:v>M19</x:v>
      </x:c>
      <x:c r="E134" s="36" t="str">
        <x:v>M19-USE-0045-V1.0；M19-META-0002-V1.0</x:v>
      </x:c>
      <x:c r="F134" s="36" t="str">
        <x:v>己未 庚申 甲寅 癸亥</x:v>
      </x:c>
      <x:c r="G134" s="36" t="str">
        <x:v>未知/不适用</x:v>
      </x:c>
      <x:c r="H134" s="36" t="str">
        <x:v>合成命例；不用于历法排盘；月令按月支与输入事实假设</x:v>
      </x:c>
      <x:c r="I134" s="36" t="str">
        <x:v>M02—M18已完成原局结构；用户未提供大运流年。</x:v>
      </x:c>
      <x:c r="J134" s="36" t="str">
        <x:v>输出原局主势、格局、病药和喜忌。</x:v>
      </x:c>
      <x:c r="K134" s="36" t="str">
        <x:v>不生成某年婚姻、财富、疾病或职业事件。</x:v>
      </x:c>
      <x:c r="L134" s="36" t="str">
        <x:v>摘要明确静态边界，并把动态问题转D0。</x:v>
      </x:c>
      <x:c r="M134" s="36" t="str">
        <x:v>最终摘要保持原局边界，不越级断事。</x:v>
      </x:c>
      <x:c r="N134" s="36" t="str">
        <x:v>通过</x:v>
      </x:c>
      <x:c r="O134" s="36" t="str">
        <x:v>未测试</x:v>
      </x:c>
      <x:c r="P134" s="36" t="str">
        <x:v>V1.7</x:v>
      </x:c>
      <x:c r="Q134" s="36" t="str">
        <x:v>合成命例仅用于规则单元/集成测试，不替代真实命例外部验证。</x:v>
      </x:c>
    </x:row>
    <x:row r="135">
      <x:c r="A135" s="36" t="str">
        <x:v>M20-INTEGRATION-0134-V1.0</x:v>
      </x:c>
      <x:c r="B135" s="36" t="str">
        <x:v>申月甲木七杀格中财坏印的完整链</x:v>
      </x:c>
      <x:c r="C135" s="36" t="str">
        <x:v>综合案例</x:v>
      </x:c>
      <x:c r="D135" s="36" t="str">
        <x:v>M15</x:v>
      </x:c>
      <x:c r="E135" s="36" t="str">
        <x:v>M15-SHA-0021-V1.0；M16-CONTROL-0046-V1.0；M17-BINGYAO-0055-V1.0；M19-USE-0045-V1.0</x:v>
      </x:c>
      <x:c r="F135" s="36" t="str">
        <x:v>己未 庚申 甲寅 癸亥</x:v>
      </x:c>
      <x:c r="G135" s="36" t="str">
        <x:v>未知/不适用</x:v>
      </x:c>
      <x:c r="H135" s="36" t="str">
        <x:v>合成命例；不用于历法排盘；月令按月支与输入事实假设</x:v>
      </x:c>
      <x:c r="I135" s="36" t="str">
        <x:v>甲日主申月；庚杀得令，癸印有亥根，己财有未根克癸，甲有寅根。</x:v>
      </x:c>
      <x:c r="J135" s="36" t="str">
        <x:v>识别七杀、正印、正财及申寅冲；杀印链和财坏印同时存在。</x:v>
      </x:c>
      <x:c r="K135" s="36" t="str">
        <x:v>寅根受冲但未归零；财克印使化杀功能下降。</x:v>
      </x:c>
      <x:c r="L135" s="36" t="str">
        <x:v>日主中和偏弱；七杀格成立但有破有救；根本病为财坏印。</x:v>
      </x:c>
      <x:c r="M135" s="36" t="str">
        <x:v>主用木比劫制财并扶身，辅助水印恢复化杀；土为忌，结论置信度较高。</x:v>
      </x:c>
      <x:c r="N135" s="36" t="str">
        <x:v>通过</x:v>
      </x:c>
      <x:c r="O135" s="36" t="str">
        <x:v>未测试</x:v>
      </x:c>
      <x:c r="P135" s="36" t="str">
        <x:v>V1.7</x:v>
      </x:c>
      <x:c r="Q135" s="36" t="str">
        <x:v>合成命例仅用于规则单元/集成测试，不替代真实命例外部验证。</x:v>
      </x:c>
    </x:row>
    <x:row r="136">
      <x:c r="A136" s="36" t="str">
        <x:v>M20-INTEGRATION-0135-V1.0</x:v>
      </x:c>
      <x:c r="B136" s="36" t="str">
        <x:v>子月丁火寒湿官杀并见的主辅用神</x:v>
      </x:c>
      <x:c r="C136" s="36" t="str">
        <x:v>综合案例</x:v>
      </x:c>
      <x:c r="D136" s="36" t="str">
        <x:v>M13</x:v>
      </x:c>
      <x:c r="E136" s="36" t="str">
        <x:v>M13-COMBO-0041-V1.0；M16-CLIMATE-0068-V1.0；M18-CLIMATE-0029-V1.0；M19-USE-0045-V1.0</x:v>
      </x:c>
      <x:c r="F136" s="36" t="str">
        <x:v>甲寅 壬子 丁巳 癸亥</x:v>
      </x:c>
      <x:c r="G136" s="36" t="str">
        <x:v>未知/不适用</x:v>
      </x:c>
      <x:c r="H136" s="36" t="str">
        <x:v>合成命例；不用于历法排盘；月令按月支与输入事实假设</x:v>
      </x:c>
      <x:c r="I136" s="36" t="str">
        <x:v>丁火子月；亥子水旺，壬癸官杀并见；丁有巳根，甲印可生火。</x:v>
      </x:c>
      <x:c r="J136" s="36" t="str">
        <x:v>识别偏寒偏湿、官杀压力、甲印和巳火根。</x:v>
      </x:c>
      <x:c r="K136" s="36" t="str">
        <x:v>水火对战，木为印源和水火桥梁；火能暖局但需防耗印。</x:v>
      </x:c>
      <x:c r="L136" s="36" t="str">
        <x:v>日主中和偏弱；寒湿是主病，官杀混杂为次病。</x:v>
      </x:c>
      <x:c r="M136" s="36" t="str">
        <x:v>主用火取最小有效强度暖局，辅助木生火并疏湿；水为条件性忌神。</x:v>
      </x:c>
      <x:c r="N136" s="36" t="str">
        <x:v>通过</x:v>
      </x:c>
      <x:c r="O136" s="36" t="str">
        <x:v>未测试</x:v>
      </x:c>
      <x:c r="P136" s="36" t="str">
        <x:v>V1.7</x:v>
      </x:c>
      <x:c r="Q136" s="36" t="str">
        <x:v>合成命例仅用于规则单元/集成测试，不替代真实命例外部验证。</x:v>
      </x:c>
    </x:row>
    <x:row r="137">
      <x:c r="A137" s="36" t="str">
        <x:v>M20-INTEGRATION-0136-V1.0</x:v>
      </x:c>
      <x:c r="B137" s="36" t="str">
        <x:v>午月庚金七杀受食神制的清晰结构</x:v>
      </x:c>
      <x:c r="C137" s="36" t="str">
        <x:v>综合案例</x:v>
      </x:c>
      <x:c r="D137" s="36" t="str">
        <x:v>M11</x:v>
      </x:c>
      <x:c r="E137" s="36" t="str">
        <x:v>M11-SHIZHI-0020-V1.0；M15-SHA-0020-V1.0；M17-GEJU-0024-V1.0；M19-USE-0045-V1.0</x:v>
      </x:c>
      <x:c r="F137" s="36" t="str">
        <x:v>壬子 丙午 庚申 甲寅</x:v>
      </x:c>
      <x:c r="G137" s="36" t="str">
        <x:v>未知/不适用</x:v>
      </x:c>
      <x:c r="H137" s="36" t="str">
        <x:v>合成命例；不用于历法排盘；月令按月支与输入事实假设</x:v>
      </x:c>
      <x:c r="I137" s="36" t="str">
        <x:v>庚日主午月；丙七杀当令，壬食神有子根，庚有申根，甲财有寅根。</x:v>
      </x:c>
      <x:c r="J137" s="36" t="str">
        <x:v>识别七杀格候选、食神制杀和食神生财接口。</x:v>
      </x:c>
      <x:c r="K137" s="36" t="str">
        <x:v>壬水制丙火，力量匹配；日主有申根承载。</x:v>
      </x:c>
      <x:c r="L137" s="36" t="str">
        <x:v>七杀格清纯成立，主轴为食神制杀，气候偏暖但水可调节。</x:v>
      </x:c>
      <x:c r="M137" s="36" t="str">
        <x:v>主用水食神制杀兼降温，辅助金比劫护身；火不宜再增。</x:v>
      </x:c>
      <x:c r="N137" s="36" t="str">
        <x:v>通过</x:v>
      </x:c>
      <x:c r="O137" s="36" t="str">
        <x:v>未测试</x:v>
      </x:c>
      <x:c r="P137" s="36" t="str">
        <x:v>V1.7</x:v>
      </x:c>
      <x:c r="Q137" s="36" t="str">
        <x:v>合成命例仅用于规则单元/集成测试，不替代真实命例外部验证。</x:v>
      </x:c>
    </x:row>
    <x:row r="138">
      <x:c r="A138" s="36" t="str">
        <x:v>M20-INTEGRATION-0137-V1.0</x:v>
      </x:c>
      <x:c r="B138" s="36" t="str">
        <x:v>酉月正官格伤官见官但有印救</x:v>
      </x:c>
      <x:c r="C138" s="36" t="str">
        <x:v>综合案例</x:v>
      </x:c>
      <x:c r="D138" s="36" t="str">
        <x:v>M15</x:v>
      </x:c>
      <x:c r="E138" s="36" t="str">
        <x:v>M15-GUAN-0014-V1.0；M15-GUAN-0015-V1.0；M18-PATTERN-0019-V1.0；M19-USE-0045-V1.0</x:v>
      </x:c>
      <x:c r="F138" s="36" t="str">
        <x:v>丁巳 辛酉 甲寅 癸亥</x:v>
      </x:c>
      <x:c r="G138" s="36" t="str">
        <x:v>未知/不适用</x:v>
      </x:c>
      <x:c r="H138" s="36" t="str">
        <x:v>合成命例；不用于历法排盘；月令按月支与输入事实假设</x:v>
      </x:c>
      <x:c r="I138" s="36" t="str">
        <x:v>甲日主酉月；辛官得令，丁伤官有巳根克辛，癸印有亥根制丁并生甲。</x:v>
      </x:c>
      <x:c r="J138" s="36" t="str">
        <x:v>识别正官格、伤官见官和印制伤救应。</x:v>
      </x:c>
      <x:c r="K138" s="36" t="str">
        <x:v>官受伤，印直接制伤并恢复官星；甲有寅根。</x:v>
      </x:c>
      <x:c r="L138" s="36" t="str">
        <x:v>正官格有破有救，根本病为伤官克官，救应明显有效。</x:v>
      </x:c>
      <x:c r="M138" s="36" t="str">
        <x:v>主用水印制伤护官，辅助金维护官星；火为条件性忌神。</x:v>
      </x:c>
      <x:c r="N138" s="36" t="str">
        <x:v>通过</x:v>
      </x:c>
      <x:c r="O138" s="36" t="str">
        <x:v>未测试</x:v>
      </x:c>
      <x:c r="P138" s="36" t="str">
        <x:v>V1.7</x:v>
      </x:c>
      <x:c r="Q138" s="36" t="str">
        <x:v>合成命例仅用于规则单元/集成测试，不替代真实命例外部验证。</x:v>
      </x:c>
    </x:row>
    <x:row r="139">
      <x:c r="A139" s="36" t="str">
        <x:v>M20-INTEGRATION-0138-V1.0</x:v>
      </x:c>
      <x:c r="B139" s="36" t="str">
        <x:v>午月甲木食神生财的连续主轴</x:v>
      </x:c>
      <x:c r="C139" s="36" t="str">
        <x:v>综合案例</x:v>
      </x:c>
      <x:c r="D139" s="36" t="str">
        <x:v>M11</x:v>
      </x:c>
      <x:c r="E139" s="36" t="str">
        <x:v>M11-SHENGCAI-0056-V1.0；M15-SHISHANG-0044-V1.0；M17-GEJU-0027-V1.0；M19-USE-0045-V1.0</x:v>
      </x:c>
      <x:c r="F139" s="36" t="str">
        <x:v>乙卯 丙午 甲寅 戊辰</x:v>
      </x:c>
      <x:c r="G139" s="36" t="str">
        <x:v>未知/不适用</x:v>
      </x:c>
      <x:c r="H139" s="36" t="str">
        <x:v>合成命例；不用于历法排盘；月令按月支与输入事实假设</x:v>
      </x:c>
      <x:c r="I139" s="36" t="str">
        <x:v>甲日主有寅卯强根；午月丙食神当令，戊财有辰根。</x:v>
      </x:c>
      <x:c r="J139" s="36" t="str">
        <x:v>识别身旺、食神格候选和食神生财完整链。</x:v>
      </x:c>
      <x:c r="K139" s="36" t="str">
        <x:v>木→火→土连续，财终点可承接；无强枭夺食。</x:v>
      </x:c>
      <x:c r="L139" s="36" t="str">
        <x:v>食神格清纯成立，日主中和偏旺，主病较轻。</x:v>
      </x:c>
      <x:c r="M139" s="36" t="str">
        <x:v>主用火食神泄秀生财，辅助土承财；水印过强会制食，列条件性忌神。</x:v>
      </x:c>
      <x:c r="N139" s="36" t="str">
        <x:v>通过</x:v>
      </x:c>
      <x:c r="O139" s="36" t="str">
        <x:v>未测试</x:v>
      </x:c>
      <x:c r="P139" s="36" t="str">
        <x:v>V1.7</x:v>
      </x:c>
      <x:c r="Q139" s="36" t="str">
        <x:v>合成命例仅用于规则单元/集成测试，不替代真实命例外部验证。</x:v>
      </x:c>
    </x:row>
    <x:row r="140">
      <x:c r="A140" s="36" t="str">
        <x:v>M20-INTEGRATION-0139-V1.0</x:v>
      </x:c>
      <x:c r="B140" s="36" t="str">
        <x:v>木一气专旺的全库顺势输出</x:v>
      </x:c>
      <x:c r="C140" s="36" t="str">
        <x:v>综合案例</x:v>
      </x:c>
      <x:c r="D140" s="36" t="str">
        <x:v>M15</x:v>
      </x:c>
      <x:c r="E140" s="36" t="str">
        <x:v>M15-ZHUAN-0079-V1.0；M18-SPECIAL-0016-V1.0；M17-GEJU-0033-V1.0；M19-USE-0045-V1.0</x:v>
      </x:c>
      <x:c r="F140" s="36" t="str">
        <x:v>甲寅 乙卯 甲辰 壬亥</x:v>
      </x:c>
      <x:c r="G140" s="36" t="str">
        <x:v>未知/不适用</x:v>
      </x:c>
      <x:c r="H140" s="36" t="str">
        <x:v>合成命例；不用于历法排盘；月令按月支与输入事实假设</x:v>
      </x:c>
      <x:c r="I140" s="36" t="str">
        <x:v>甲木卯月，多根同党，壬亥生木，无有效金逆神。</x:v>
      </x:c>
      <x:c r="J140" s="36" t="str">
        <x:v>识别木极旺、寅卯辰会木候选和曲直/专旺结构。</x:v>
      </x:c>
      <x:c r="K140" s="36" t="str">
        <x:v>全局顺木势，水木主路径通畅；普通金克木会破专。</x:v>
      </x:c>
      <x:c r="L140" s="36" t="str">
        <x:v>木专旺格严格成立，普通身旺用官杀逻辑让位。</x:v>
      </x:c>
      <x:c r="M140" s="36" t="str">
        <x:v>主用木维护主势，水为辅助生木；金为忌，生金助逆者为条件性仇神。</x:v>
      </x:c>
      <x:c r="N140" s="36" t="str">
        <x:v>通过</x:v>
      </x:c>
      <x:c r="O140" s="36" t="str">
        <x:v>未测试</x:v>
      </x:c>
      <x:c r="P140" s="36" t="str">
        <x:v>V1.7</x:v>
      </x:c>
      <x:c r="Q140" s="36" t="str">
        <x:v>合成命例仅用于规则单元/集成测试，不替代真实命例外部验证。</x:v>
      </x:c>
    </x:row>
    <x:row r="141">
      <x:c r="A141" s="36" t="str">
        <x:v>M20-INTEGRATION-0140-V1.0</x:v>
      </x:c>
      <x:c r="B141" s="36" t="str">
        <x:v>甲木从财格的顺势喜忌输出</x:v>
      </x:c>
      <x:c r="C141" s="36" t="str">
        <x:v>综合案例</x:v>
      </x:c>
      <x:c r="D141" s="36" t="str">
        <x:v>M15</x:v>
      </x:c>
      <x:c r="E141" s="36" t="str">
        <x:v>M15-CONG-0062-V1.0；M18-SPECIAL-0014-V1.0；M17-GEJU-0031-V1.0；M19-USE-0045-V1.0</x:v>
      </x:c>
      <x:c r="F141" s="36" t="str">
        <x:v>戊辰 己未 甲申 戊戌</x:v>
      </x:c>
      <x:c r="G141" s="36" t="str">
        <x:v>未知/不适用</x:v>
      </x:c>
      <x:c r="H141" s="36" t="str">
        <x:v>合成命例；不用于历法排盘；月令按月支与输入事实假设</x:v>
      </x:c>
      <x:c r="I141" s="36" t="str">
        <x:v>甲日主无木根无印比；辰未戌土财成势，申金顺财生官。</x:v>
      </x:c>
      <x:c r="J141" s="36" t="str">
        <x:v>识别日主极弱、财势绝对主导和从财候选。</x:v>
      </x:c>
      <x:c r="K141" s="36" t="str">
        <x:v>无有效反从，流通顺财→官。</x:v>
      </x:c>
      <x:c r="L141" s="36" t="str">
        <x:v>从财格严格成立；普通身弱不是病。</x:v>
      </x:c>
      <x:c r="M141" s="36" t="str">
        <x:v>主用土顺财势，火生财为喜，金为辅助顺财生官；水木印比为忌。</x:v>
      </x:c>
      <x:c r="N141" s="36" t="str">
        <x:v>通过</x:v>
      </x:c>
      <x:c r="O141" s="36" t="str">
        <x:v>未测试</x:v>
      </x:c>
      <x:c r="P141" s="36" t="str">
        <x:v>V1.7</x:v>
      </x:c>
      <x:c r="Q141" s="36" t="str">
        <x:v>合成命例仅用于规则单元/集成测试，不替代真实命例外部验证。</x:v>
      </x:c>
    </x:row>
    <x:row r="142">
      <x:c r="A142" s="36" t="str">
        <x:v>M20-INTEGRATION-0141-V1.0</x:v>
      </x:c>
      <x:c r="B142" s="36" t="str">
        <x:v>假从边界应保留双重结构与条件性结论</x:v>
      </x:c>
      <x:c r="C142" s="36" t="str">
        <x:v>综合案例</x:v>
      </x:c>
      <x:c r="D142" s="36" t="str">
        <x:v>M14</x:v>
      </x:c>
      <x:c r="E142" s="36" t="str">
        <x:v>M14-CONG-0056-V1.0；M15-CONG-0069-V1.0；M18-SPECIAL-0010-V1.0；M19-USE-0045-V1.0</x:v>
      </x:c>
      <x:c r="F142" s="36" t="str">
        <x:v>戊辰 己未 甲申 庚戌</x:v>
      </x:c>
      <x:c r="G142" s="36" t="str">
        <x:v>未知/不适用</x:v>
      </x:c>
      <x:c r="H142" s="36" t="str">
        <x:v>合成命例；不用于历法排盘；月令按月支与输入事实假设</x:v>
      </x:c>
      <x:c r="I142" s="36" t="str">
        <x:v>财杀主势明显；辰中乙为同类残根，甲仍可能保留低效自立。</x:v>
      </x:c>
      <x:c r="J142" s="36" t="str">
        <x:v>识别从势/从财候选与残根反证。</x:v>
      </x:c>
      <x:c r="K142" s="36" t="str">
        <x:v>大势近从，但真从无依硬门槛不足。</x:v>
      </x:c>
      <x:c r="L142" s="36" t="str">
        <x:v>假从成立但有破或待定；普通财多身弱逻辑不能完全取消。</x:v>
      </x:c>
      <x:c r="M142" s="36" t="str">
        <x:v>土金顺势与水木扶身均只能条件性表达，最终置信度中等。</x:v>
      </x:c>
      <x:c r="N142" s="36" t="str">
        <x:v>部分通过</x:v>
      </x:c>
      <x:c r="O142" s="36" t="str">
        <x:v>待复核</x:v>
      </x:c>
      <x:c r="P142" s="36" t="str">
        <x:v>V1.7</x:v>
      </x:c>
      <x:c r="Q142" s="36" t="str">
        <x:v>合成命例仅用于规则单元/集成测试，不替代真实命例外部验证。</x:v>
      </x:c>
    </x:row>
    <x:row r="143">
      <x:c r="A143" s="36" t="str">
        <x:v>M20-INTEGRATION-0142-V1.0</x:v>
      </x:c>
      <x:c r="B143" s="36" t="str">
        <x:v>金木双强有水桥的通关用神综合裁决</x:v>
      </x:c>
      <x:c r="C143" s="36" t="str">
        <x:v>综合案例</x:v>
      </x:c>
      <x:c r="D143" s="36" t="str">
        <x:v>M12</x:v>
      </x:c>
      <x:c r="E143" s="36" t="str">
        <x:v>M12-WUXING-0060-V1.0；M17-TONGGUAN-0040-V1.0；M18-FLOW-0039-V1.0；M19-USE-0045-V1.0</x:v>
      </x:c>
      <x:c r="F143" s="36" t="str">
        <x:v>庚申 壬子 甲寅 乙卯</x:v>
      </x:c>
      <x:c r="G143" s="36" t="str">
        <x:v>未知/不适用</x:v>
      </x:c>
      <x:c r="H143" s="36" t="str">
        <x:v>合成命例；不用于历法排盘；月令按月支与输入事实假设</x:v>
      </x:c>
      <x:c r="I143" s="36" t="str">
        <x:v>申金有力，寅卯甲乙木有力，壬子水有根；温度不极寒。</x:v>
      </x:c>
      <x:c r="J143" s="36" t="str">
        <x:v>识别金木两强、水桥有效。</x:v>
      </x:c>
      <x:c r="K143" s="36" t="str">
        <x:v>水泄金生木，路径短且稳定；日主甲也得印生。</x:v>
      </x:c>
      <x:c r="L143" s="36" t="str">
        <x:v>主卡点由金木对战转为基本通畅，无核心格局被水破坏。</x:v>
      </x:c>
      <x:c r="M143" s="36" t="str">
        <x:v>水因通关、扶身和病药同向升级为主用；木为喜，金为条件性忌。</x:v>
      </x:c>
      <x:c r="N143" s="36" t="str">
        <x:v>通过</x:v>
      </x:c>
      <x:c r="O143" s="36" t="str">
        <x:v>未测试</x:v>
      </x:c>
      <x:c r="P143" s="36" t="str">
        <x:v>V1.7</x:v>
      </x:c>
      <x:c r="Q143" s="36" t="str">
        <x:v>合成命例仅用于规则单元/集成测试，不替代真实命例外部验证。</x:v>
      </x:c>
    </x:row>
    <x:row r="144">
      <x:c r="A144" s="36" t="str">
        <x:v>M20-INTEGRATION-0143-V1.0</x:v>
      </x:c>
      <x:c r="B144" s="36" t="str">
        <x:v>水火双强缺木桥但木会加热的条件裁决</x:v>
      </x:c>
      <x:c r="C144" s="36" t="str">
        <x:v>综合案例</x:v>
      </x:c>
      <x:c r="D144" s="36" t="str">
        <x:v>M12</x:v>
      </x:c>
      <x:c r="E144" s="36" t="str">
        <x:v>M12-WUXING-0063-V1.0；M13-CONFLICT-0063-V1.0；M18-FLOW-0036-V1.0；M19-USE-0045-V1.0</x:v>
      </x:c>
      <x:c r="F144" s="36" t="str">
        <x:v>丙午 丁巳 癸亥 壬子</x:v>
      </x:c>
      <x:c r="G144" s="36" t="str">
        <x:v>未知/不适用</x:v>
      </x:c>
      <x:c r="H144" s="36" t="str">
        <x:v>合成命例；不用于历法排盘；月令按月支与输入事实假设</x:v>
      </x:c>
      <x:c r="I144" s="36" t="str">
        <x:v>巳午火旺，亥子壬癸水旺，木不现；温度偏暖，水火直接相战。</x:v>
      </x:c>
      <x:c r="J144" s="36" t="str">
        <x:v>识别水火两强与木桥缺失。</x:v>
      </x:c>
      <x:c r="K144" s="36" t="str">
        <x:v>木理论可泄水生火，但会继续增强已旺火势，调候副作用明显。</x:v>
      </x:c>
      <x:c r="L144" s="36" t="str">
        <x:v>木通关候选需降级；优先寻找限量木与水火强度控制的兼容方案。</x:v>
      </x:c>
      <x:c r="M144" s="36" t="str">
        <x:v>木仅列条件性喜神，成立条件是不过度生火；无单一无条件主用。</x:v>
      </x:c>
      <x:c r="N144" s="36" t="str">
        <x:v>通过</x:v>
      </x:c>
      <x:c r="O144" s="36" t="str">
        <x:v>未测试</x:v>
      </x:c>
      <x:c r="P144" s="36" t="str">
        <x:v>V1.7</x:v>
      </x:c>
      <x:c r="Q144" s="36" t="str">
        <x:v>合成命例仅用于规则单元/集成测试，不替代真实命例外部验证。</x:v>
      </x:c>
    </x:row>
    <x:row r="145">
      <x:c r="A145" s="36" t="str">
        <x:v>M20-REGRESSION-0144-V1.0</x:v>
      </x:c>
      <x:c r="B145" s="36" t="str">
        <x:v>回归：寅巳申三刑不自动判巳火减弱</x:v>
      </x:c>
      <x:c r="C145" s="36" t="str">
        <x:v>回归测试</x:v>
      </x:c>
      <x:c r="D145" s="36" t="str">
        <x:v>M05</x:v>
      </x:c>
      <x:c r="E145" s="36" t="str">
        <x:v>M05-XING-0036-V1.0；M06-XING-0084-V1.0；M08-BOUND-0109-V1.0</x:v>
      </x:c>
      <x:c r="F145" s="36" t="str">
        <x:v>甲寅 丁巳 戊申 丙午</x:v>
      </x:c>
      <x:c r="G145" s="36" t="str">
        <x:v>未知/不适用</x:v>
      </x:c>
      <x:c r="H145" s="36" t="str">
        <x:v>合成命例；不用于历法排盘；月令按月支与输入事实假设</x:v>
      </x:c>
      <x:c r="I145" s="36" t="str">
        <x:v>寅巳申三刑完整；巳火得午援、丙丁透，火有根有源。</x:v>
      </x:c>
      <x:c r="J145" s="36" t="str">
        <x:v>识别完整三刑及重叠冲合害破。</x:v>
      </x:c>
      <x:c r="K145" s="36" t="str">
        <x:v>逐支判断；巳火可能刑动但不因三刑自动减力。</x:v>
      </x:c>
      <x:c r="L145" s="36" t="str">
        <x:v>火有效力量由得令根源与实际受制综合，禁止固定扣分。</x:v>
      </x:c>
      <x:c r="M145" s="36" t="str">
        <x:v>巳火未被自动下调，历史错误回归通过。</x:v>
      </x:c>
      <x:c r="N145" s="36" t="str">
        <x:v>通过</x:v>
      </x:c>
      <x:c r="O145" s="36" t="str">
        <x:v>通过</x:v>
      </x:c>
      <x:c r="P145" s="36" t="str">
        <x:v>V1.7</x:v>
      </x:c>
      <x:c r="Q145" s="36" t="str">
        <x:v>合成命例仅用于规则单元/集成测试，不替代真实命例外部验证。</x:v>
      </x:c>
    </x:row>
    <x:row r="146">
      <x:c r="A146" s="36" t="str">
        <x:v>M20-REGRESSION-0145-V1.0</x:v>
      </x:c>
      <x:c r="B146" s="36" t="str">
        <x:v>回归：相冲不等于根气归零</x:v>
      </x:c>
      <x:c r="C146" s="36" t="str">
        <x:v>回归测试</x:v>
      </x:c>
      <x:c r="D146" s="36" t="str">
        <x:v>M06</x:v>
      </x:c>
      <x:c r="E146" s="36" t="str">
        <x:v>M06-CHONG-0065-V1.0；M08-ROOT-0001-V1.0</x:v>
      </x:c>
      <x:c r="F146" s="36" t="str">
        <x:v>庚申 戊寅 甲辰 丙午</x:v>
      </x:c>
      <x:c r="G146" s="36" t="str">
        <x:v>未知/不适用</x:v>
      </x:c>
      <x:c r="H146" s="36" t="str">
        <x:v>合成命例；不用于历法排盘；月令按月支与输入事实假设</x:v>
      </x:c>
      <x:c r="I146" s="36" t="str">
        <x:v>甲木寅根受申冲；寅有透干和生源，M06未判冲散。</x:v>
      </x:c>
      <x:c r="J146" s="36" t="str">
        <x:v>识别寅申冲和寅本气根。</x:v>
      </x:c>
      <x:c r="K146" s="36" t="str">
        <x:v>寅被引动受制，但根气仍保留。</x:v>
      </x:c>
      <x:c r="L146" s="36" t="str">
        <x:v>甲木不能因一冲直接判无根。</x:v>
      </x:c>
      <x:c r="M146" s="36" t="str">
        <x:v>受冲根未归零，历史错误回归通过。</x:v>
      </x:c>
      <x:c r="N146" s="36" t="str">
        <x:v>通过</x:v>
      </x:c>
      <x:c r="O146" s="36" t="str">
        <x:v>通过</x:v>
      </x:c>
      <x:c r="P146" s="36" t="str">
        <x:v>V1.7</x:v>
      </x:c>
      <x:c r="Q146" s="36" t="str">
        <x:v>合成命例仅用于规则单元/集成测试，不替代真实命例外部验证。</x:v>
      </x:c>
    </x:row>
    <x:row r="147">
      <x:c r="A147" s="36" t="str">
        <x:v>M20-REGRESSION-0146-V1.0</x:v>
      </x:c>
      <x:c r="B147" s="36" t="str">
        <x:v>回归：最弱五行不自动成为喜神</x:v>
      </x:c>
      <x:c r="C147" s="36" t="str">
        <x:v>回归测试</x:v>
      </x:c>
      <x:c r="D147" s="36" t="str">
        <x:v>M07</x:v>
      </x:c>
      <x:c r="E147" s="36" t="str">
        <x:v>M07-BOUND-0079-V1.0；M17-BOUND-0093-V1.0</x:v>
      </x:c>
      <x:c r="F147" s="36" t="str">
        <x:v>庚申 辛酉 甲寅 丙午</x:v>
      </x:c>
      <x:c r="G147" s="36" t="str">
        <x:v>未知/不适用</x:v>
      </x:c>
      <x:c r="H147" s="36" t="str">
        <x:v>合成命例；不用于历法排盘；月令按月支与输入事实假设</x:v>
      </x:c>
      <x:c r="I147" s="36" t="str">
        <x:v>水为全局最弱或不现，但主结构未必需要水，补水可能加寒或破火食神。</x:v>
      </x:c>
      <x:c r="J147" s="36" t="str">
        <x:v>记录水弱事实。</x:v>
      </x:c>
      <x:c r="K147" s="36" t="str">
        <x:v>检查水是否为桥梁、调候或药神；若均否则不列喜。</x:v>
      </x:c>
      <x:c r="L147" s="36" t="str">
        <x:v>水可定位中性而非因最弱自动喜。</x:v>
      </x:c>
      <x:c r="M147" s="36" t="str">
        <x:v>弱五行未被自动判喜，回归通过。</x:v>
      </x:c>
      <x:c r="N147" s="36" t="str">
        <x:v>通过</x:v>
      </x:c>
      <x:c r="O147" s="36" t="str">
        <x:v>通过</x:v>
      </x:c>
      <x:c r="P147" s="36" t="str">
        <x:v>V1.7</x:v>
      </x:c>
      <x:c r="Q147" s="36" t="str">
        <x:v>合成命例仅用于规则单元/集成测试，不替代真实命例外部验证。</x:v>
      </x:c>
    </x:row>
    <x:row r="148">
      <x:c r="A148" s="36" t="str">
        <x:v>M20-REGRESSION-0147-V1.0</x:v>
      </x:c>
      <x:c r="B148" s="36" t="str">
        <x:v>回归：格局候选不等于最终成格</x:v>
      </x:c>
      <x:c r="C148" s="36" t="str">
        <x:v>回归测试</x:v>
      </x:c>
      <x:c r="D148" s="36" t="str">
        <x:v>M14</x:v>
      </x:c>
      <x:c r="E148" s="36" t="str">
        <x:v>M14-GEN-0001-V1.0；M15-GEN-0001-V1.0</x:v>
      </x:c>
      <x:c r="F148" s="36" t="str">
        <x:v>辛酉 癸亥 甲寅 丙午</x:v>
      </x:c>
      <x:c r="G148" s="36" t="str">
        <x:v>未知/不适用</x:v>
      </x:c>
      <x:c r="H148" s="36" t="str">
        <x:v>合成命例；不用于历法排盘；月令按月支与输入事实假设</x:v>
      </x:c>
      <x:c r="I148" s="36" t="str">
        <x:v>官印组合存在，正官和印格均可能生成候选。</x:v>
      </x:c>
      <x:c r="J148" s="36" t="str">
        <x:v>M14并列候选并排序。</x:v>
      </x:c>
      <x:c r="K148" s="36" t="str">
        <x:v>M15审月令、格神和主导性后确定最终格局。</x:v>
      </x:c>
      <x:c r="L148" s="36" t="str">
        <x:v>不得把第一眼候选直接写成清纯成格。</x:v>
      </x:c>
      <x:c r="M148" s="36" t="str">
        <x:v>候选与成格分层回归通过。</x:v>
      </x:c>
      <x:c r="N148" s="36" t="str">
        <x:v>通过</x:v>
      </x:c>
      <x:c r="O148" s="36" t="str">
        <x:v>通过</x:v>
      </x:c>
      <x:c r="P148" s="36" t="str">
        <x:v>V1.7</x:v>
      </x:c>
      <x:c r="Q148" s="36" t="str">
        <x:v>合成命例仅用于规则单元/集成测试，不替代真实命例外部验证。</x:v>
      </x:c>
    </x:row>
    <x:row r="149">
      <x:c r="A149" s="36" t="str">
        <x:v>M20-REGRESSION-0148-V1.0</x:v>
      </x:c>
      <x:c r="B149" s="36" t="str">
        <x:v>回归：药神有利不等于越多越好</x:v>
      </x:c>
      <x:c r="C149" s="36" t="str">
        <x:v>回归测试</x:v>
      </x:c>
      <x:c r="D149" s="36" t="str">
        <x:v>M16</x:v>
      </x:c>
      <x:c r="E149" s="36" t="str">
        <x:v>M16-DOSE-0091-V1.0；M18-DOSE-0062-V1.0</x:v>
      </x:c>
      <x:c r="F149" s="36" t="str">
        <x:v>丙午 丁巳 癸亥 壬子</x:v>
      </x:c>
      <x:c r="G149" s="36" t="str">
        <x:v>未知/不适用</x:v>
      </x:c>
      <x:c r="H149" s="36" t="str">
        <x:v>合成命例；不用于历法排盘；月令按月支与输入事实假设</x:v>
      </x:c>
      <x:c r="I149" s="36" t="str">
        <x:v>火可暖寒或调节水势，但火继续增强会耗水并形成热燥。</x:v>
      </x:c>
      <x:c r="J149" s="36" t="str">
        <x:v>识别火的正向药理。</x:v>
      </x:c>
      <x:c r="K149" s="36" t="str">
        <x:v>按最小有效剂量使用，越界后转反向病。</x:v>
      </x:c>
      <x:c r="L149" s="36" t="str">
        <x:v>火由喜神转条件性忌神的剂量边界被保留。</x:v>
      </x:c>
      <x:c r="M149" s="36" t="str">
        <x:v>药过转忌规则回归通过。</x:v>
      </x:c>
      <x:c r="N149" s="36" t="str">
        <x:v>通过</x:v>
      </x:c>
      <x:c r="O149" s="36" t="str">
        <x:v>通过</x:v>
      </x:c>
      <x:c r="P149" s="36" t="str">
        <x:v>V1.7</x:v>
      </x:c>
      <x:c r="Q149" s="36" t="str">
        <x:v>合成命例仅用于规则单元/集成测试，不替代真实命例外部验证。</x:v>
      </x:c>
    </x:row>
    <x:row r="150">
      <x:c r="A150" s="36" t="str">
        <x:v>M20-DISPUTE-0149-V1.0</x:v>
      </x:c>
      <x:c r="B150" s="36" t="str">
        <x:v>争议：阴干羊刃映射与是否取刃格</x:v>
      </x:c>
      <x:c r="C150" s="36" t="str">
        <x:v>争议测试</x:v>
      </x:c>
      <x:c r="D150" s="36" t="str">
        <x:v>M14</x:v>
      </x:c>
      <x:c r="E150" s="36" t="str">
        <x:v>M14-JIANREN-0048-V1.0</x:v>
      </x:c>
      <x:c r="F150" s="36" t="str">
        <x:v>辛酉 乙卯 乙巳 庚申</x:v>
      </x:c>
      <x:c r="G150" s="36" t="str">
        <x:v>未知/不适用</x:v>
      </x:c>
      <x:c r="H150" s="36" t="str">
        <x:v>合成命例；不用于历法排盘；月令按月支与输入事实假设</x:v>
      </x:c>
      <x:c r="I150" s="36" t="str">
        <x:v>日主乙木；涉及阴干羊刃地取法，不同流派对是否以寅/卯等取刃及是否入格存在分歧。</x:v>
      </x:c>
      <x:c r="J150" s="36" t="str">
        <x:v>只在选定流派口径下生成候选。</x:v>
      </x:c>
      <x:c r="K150" s="36" t="str">
        <x:v>不得将争议映射作为跨流派硬规则。</x:v>
      </x:c>
      <x:c r="L150" s="36" t="str">
        <x:v>当前结论标待定，转M21登记观点、依据和影响范围。</x:v>
      </x:c>
      <x:c r="M150" s="36" t="str">
        <x:v>阴干羊刃不作无条件共识，等待流派治理。</x:v>
      </x:c>
      <x:c r="N150" s="36" t="str">
        <x:v>待复核</x:v>
      </x:c>
      <x:c r="O150" s="36" t="str">
        <x:v>待复核</x:v>
      </x:c>
      <x:c r="P150" s="36" t="str">
        <x:v>V1.7</x:v>
      </x:c>
      <x:c r="Q150" s="36" t="str">
        <x:v>合成命例仅用于规则单元/集成测试，不替代真实命例外部验证。</x:v>
      </x:c>
    </x:row>
    <x:row r="151">
      <x:c r="A151" s="37" t="str">
        <x:v>M20-DISPUTE-0150-V1.0</x:v>
      </x:c>
      <x:c r="B151" s="37" t="str">
        <x:v>争议：四季土月湿燥标签与权重</x:v>
      </x:c>
      <x:c r="C151" s="37" t="str">
        <x:v>争议测试</x:v>
      </x:c>
      <x:c r="D151" s="37" t="str">
        <x:v>M13</x:v>
      </x:c>
      <x:c r="E151" s="37" t="str">
        <x:v>M13-BOUND-0068-V1.0</x:v>
      </x:c>
      <x:c r="F151" s="37" t="str">
        <x:v>戊辰 己未 庚戌 癸丑</x:v>
      </x:c>
      <x:c r="G151" s="37" t="str">
        <x:v>未知/不适用</x:v>
      </x:c>
      <x:c r="H151" s="37" t="str">
        <x:v>合成命例；不用于历法排盘；月令按月支与输入事实假设</x:v>
      </x:c>
      <x:c r="I151" s="37" t="str">
        <x:v>辰丑常称湿土、未戌常称燥土，但四支同现且受火水、月令、合冲影响。</x:v>
      </x:c>
      <x:c r="J151" s="37" t="str">
        <x:v>先识别各土支基础属性。</x:v>
      </x:c>
      <x:c r="K151" s="37" t="str">
        <x:v>实际湿燥必须由全局水火、季令和关系效应修正。</x:v>
      </x:c>
      <x:c r="L151" s="37" t="str">
        <x:v>不得用固定湿燥标签直接定调候；权重需M21与真实案例回归。</x:v>
      </x:c>
      <x:c r="M151" s="37" t="str">
        <x:v>四季土湿燥结论保持条件性并转争议治理。</x:v>
      </x:c>
      <x:c r="N151" s="37" t="str">
        <x:v>待复核</x:v>
      </x:c>
      <x:c r="O151" s="37" t="str">
        <x:v>待复核</x:v>
      </x:c>
      <x:c r="P151" s="37" t="str">
        <x:v>V1.7</x:v>
      </x:c>
      <x:c r="Q151" s="37" t="str">
        <x:v>合成命例仅用于规则单元/集成测试，不替代真实命例外部验证。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16c18119b1364d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50" hidden="0" customWidth="1"/>
    <x:col min="6" max="6" width="48" hidden="0" customWidth="1"/>
    <x:col min="7" max="7" width="58" hidden="0" customWidth="1"/>
    <x:col min="8" max="8" width="58" hidden="0" customWidth="1"/>
    <x:col min="9" max="9" width="34" hidden="0" customWidth="1"/>
    <x:col min="10" max="10" width="16" hidden="0" customWidth="1"/>
  </x:cols>
  <x:sheetData>
    <x:row r="1">
      <x:c r="A1" s="26" t="str">
        <x:v>test_id</x:v>
      </x:c>
      <x:c r="B1" s="26" t="str">
        <x:v>模块</x:v>
      </x:c>
      <x:c r="C1" s="26" t="str">
        <x:v>类别</x:v>
      </x:c>
      <x:c r="D1" s="26" t="str">
        <x:v>优先级</x:v>
      </x:c>
      <x:c r="E1" s="26" t="str">
        <x:v>前置／情境</x:v>
      </x:c>
      <x:c r="F1" s="26" t="str">
        <x:v>输入</x:v>
      </x:c>
      <x:c r="G1" s="26" t="str">
        <x:v>预期结果</x:v>
      </x:c>
      <x:c r="H1" s="26" t="str">
        <x:v>禁止行为</x:v>
      </x:c>
      <x:c r="I1" s="26" t="str">
        <x:v>来源规则</x:v>
      </x:c>
      <x:c r="J1" s="26" t="str">
        <x:v>状态</x:v>
      </x:c>
    </x:row>
    <x:row r="2">
      <x:c r="A2" s="36" t="str">
        <x:v>M0-POS-M02</x:v>
      </x:c>
      <x:c r="B2" s="36" t="str">
        <x:v>M0.M02</x:v>
      </x:c>
      <x:c r="C2" s="36" t="str">
        <x:v>正向</x:v>
      </x:c>
      <x:c r="D2" s="36" t="str">
        <x:v>P1</x:v>
      </x:c>
      <x:c r="E2" s="36" t="str">
        <x:v>保存不可再拆分的基础映射：天干地支、阴阳五行、藏干层级、季节属性与十神映射前提。此表是全库的事实底座。</x:v>
      </x:c>
      <x:c r="F2" s="36" t="str">
        <x:v>满足M02主要必要条件</x:v>
      </x:c>
      <x:c r="G2" s="36" t="str">
        <x:v>输出：统一干支、藏干、五行与十神映射，并保留rule_id、正反证据和置信度</x:v>
      </x:c>
      <x:c r="H2" s="36" t="str">
        <x:v>不得越级到下游最终价值判断</x:v>
      </x:c>
      <x:c r="I2" s="36" t="str">
        <x:v>M02模块规则</x:v>
      </x:c>
      <x:c r="J2" s="36" t="str">
        <x:v>待运行</x:v>
      </x:c>
    </x:row>
    <x:row r="3">
      <x:c r="A3" s="36" t="str">
        <x:v>M0-BND-M02</x:v>
      </x:c>
      <x:c r="B3" s="36" t="str">
        <x:v>M0.M02</x:v>
      </x:c>
      <x:c r="C3" s="36" t="str">
        <x:v>边界</x:v>
      </x:c>
      <x:c r="D3" s="36" t="str">
        <x:v>P0</x:v>
      </x:c>
      <x:c r="E3" s="36" t="str">
        <x:v>保存不可再拆分的基础映射：天干地支、阴阳五行、藏干层级、季节属性与十神映射前提。此表是全库的事实底座。</x:v>
      </x:c>
      <x:c r="F3" s="36" t="str">
        <x:v>关键条件缺失、否决条件成立或证据接近</x:v>
      </x:c>
      <x:c r="G3" s="36" t="str">
        <x:v>输出unknown／conditional／并列候选，并说明停止或降级</x:v>
      </x:c>
      <x:c r="H3" s="36" t="str">
        <x:v>不得强行唯一化或填默认值</x:v>
      </x:c>
      <x:c r="I3" s="36" t="str">
        <x:v>M02边界规则</x:v>
      </x:c>
      <x:c r="J3" s="36" t="str">
        <x:v>待运行</x:v>
      </x:c>
    </x:row>
    <x:row r="4">
      <x:c r="A4" s="36" t="str">
        <x:v>M0-POS-M03</x:v>
      </x:c>
      <x:c r="B4" s="36" t="str">
        <x:v>M0.M03</x:v>
      </x:c>
      <x:c r="C4" s="36" t="str">
        <x:v>正向</x:v>
      </x:c>
      <x:c r="D4" s="36" t="str">
        <x:v>P1</x:v>
      </x:c>
      <x:c r="E4" s="36" t="str">
        <x:v>定义月令司权、得令、得地、通根及根气等级。每条规则必须说明它只是证据，还是足以构成否决或硬约束。</x:v>
      </x:c>
      <x:c r="F4" s="36" t="str">
        <x:v>满足M03主要必要条件</x:v>
      </x:c>
      <x:c r="G4" s="36" t="str">
        <x:v>输出：月令支持度、根气类型与证据权重，并保留rule_id、正反证据和置信度</x:v>
      </x:c>
      <x:c r="H4" s="36" t="str">
        <x:v>不得越级到下游最终价值判断</x:v>
      </x:c>
      <x:c r="I4" s="36" t="str">
        <x:v>M03模块规则</x:v>
      </x:c>
      <x:c r="J4" s="36" t="str">
        <x:v>待运行</x:v>
      </x:c>
    </x:row>
    <x:row r="5">
      <x:c r="A5" s="36" t="str">
        <x:v>M0-BND-M03</x:v>
      </x:c>
      <x:c r="B5" s="36" t="str">
        <x:v>M0.M03</x:v>
      </x:c>
      <x:c r="C5" s="36" t="str">
        <x:v>边界</x:v>
      </x:c>
      <x:c r="D5" s="36" t="str">
        <x:v>P0</x:v>
      </x:c>
      <x:c r="E5" s="36" t="str">
        <x:v>定义月令司权、得令、得地、通根及根气等级。每条规则必须说明它只是证据，还是足以构成否决或硬约束。</x:v>
      </x:c>
      <x:c r="F5" s="36" t="str">
        <x:v>关键条件缺失、否决条件成立或证据接近</x:v>
      </x:c>
      <x:c r="G5" s="36" t="str">
        <x:v>输出unknown／conditional／并列候选，并说明停止或降级</x:v>
      </x:c>
      <x:c r="H5" s="36" t="str">
        <x:v>不得强行唯一化或填默认值</x:v>
      </x:c>
      <x:c r="I5" s="36" t="str">
        <x:v>M03边界规则</x:v>
      </x:c>
      <x:c r="J5" s="36" t="str">
        <x:v>待运行</x:v>
      </x:c>
    </x:row>
    <x:row r="6">
      <x:c r="A6" s="36" t="str">
        <x:v>M0-POS-M04</x:v>
      </x:c>
      <x:c r="B6" s="36" t="str">
        <x:v>M0.M04</x:v>
      </x:c>
      <x:c r="C6" s="36" t="str">
        <x:v>正向</x:v>
      </x:c>
      <x:c r="D6" s="36" t="str">
        <x:v>P1</x:v>
      </x:c>
      <x:c r="E6" s="36" t="str">
        <x:v>只识别天干五合、相克、争合、妒合、隔合与合化候选。识别成立不等于合化成立，也不等于必然增减力。</x:v>
      </x:c>
      <x:c r="F6" s="36" t="str">
        <x:v>满足M04主要必要条件</x:v>
      </x:c>
      <x:c r="G6" s="36" t="str">
        <x:v>输出：天干关系清单与合化候选，并保留rule_id、正反证据和置信度</x:v>
      </x:c>
      <x:c r="H6" s="36" t="str">
        <x:v>不得越级到下游最终价值判断</x:v>
      </x:c>
      <x:c r="I6" s="36" t="str">
        <x:v>M04模块规则</x:v>
      </x:c>
      <x:c r="J6" s="36" t="str">
        <x:v>待运行</x:v>
      </x:c>
    </x:row>
    <x:row r="7">
      <x:c r="A7" s="36" t="str">
        <x:v>M0-BND-M04</x:v>
      </x:c>
      <x:c r="B7" s="36" t="str">
        <x:v>M0.M04</x:v>
      </x:c>
      <x:c r="C7" s="36" t="str">
        <x:v>边界</x:v>
      </x:c>
      <x:c r="D7" s="36" t="str">
        <x:v>P0</x:v>
      </x:c>
      <x:c r="E7" s="36" t="str">
        <x:v>只识别天干五合、相克、争合、妒合、隔合与合化候选。识别成立不等于合化成立，也不等于必然增减力。</x:v>
      </x:c>
      <x:c r="F7" s="36" t="str">
        <x:v>关键条件缺失、否决条件成立或证据接近</x:v>
      </x:c>
      <x:c r="G7" s="36" t="str">
        <x:v>输出unknown／conditional／并列候选，并说明停止或降级</x:v>
      </x:c>
      <x:c r="H7" s="36" t="str">
        <x:v>不得强行唯一化或填默认值</x:v>
      </x:c>
      <x:c r="I7" s="36" t="str">
        <x:v>M04边界规则</x:v>
      </x:c>
      <x:c r="J7" s="36" t="str">
        <x:v>待运行</x:v>
      </x:c>
    </x:row>
    <x:row r="8">
      <x:c r="A8" s="36" t="str">
        <x:v>M0-POS-M05</x:v>
      </x:c>
      <x:c r="B8" s="36" t="str">
        <x:v>M0.M05</x:v>
      </x:c>
      <x:c r="C8" s="36" t="str">
        <x:v>正向</x:v>
      </x:c>
      <x:c r="D8" s="36" t="str">
        <x:v>P1</x:v>
      </x:c>
      <x:c r="E8" s="36" t="str">
        <x:v>识别六合、三合、半合、拱合、三会、六冲、三刑、自刑、六害、六破及多重关系。此表不直接裁定某支被刑弱或被冲散。</x:v>
      </x:c>
      <x:c r="F8" s="36" t="str">
        <x:v>满足M05主要必要条件</x:v>
      </x:c>
      <x:c r="G8" s="36" t="str">
        <x:v>输出：地支关系清单、完整度与叠加关系，并保留rule_id、正反证据和置信度</x:v>
      </x:c>
      <x:c r="H8" s="36" t="str">
        <x:v>不得越级到下游最终价值判断</x:v>
      </x:c>
      <x:c r="I8" s="36" t="str">
        <x:v>M05模块规则</x:v>
      </x:c>
      <x:c r="J8" s="36" t="str">
        <x:v>待运行</x:v>
      </x:c>
    </x:row>
    <x:row r="9">
      <x:c r="A9" s="36" t="str">
        <x:v>M0-BND-M05</x:v>
      </x:c>
      <x:c r="B9" s="36" t="str">
        <x:v>M0.M05</x:v>
      </x:c>
      <x:c r="C9" s="36" t="str">
        <x:v>边界</x:v>
      </x:c>
      <x:c r="D9" s="36" t="str">
        <x:v>P0</x:v>
      </x:c>
      <x:c r="E9" s="36" t="str">
        <x:v>识别六合、三合、半合、拱合、三会、六冲、三刑、自刑、六害、六破及多重关系。此表不直接裁定某支被刑弱或被冲散。</x:v>
      </x:c>
      <x:c r="F9" s="36" t="str">
        <x:v>关键条件缺失、否决条件成立或证据接近</x:v>
      </x:c>
      <x:c r="G9" s="36" t="str">
        <x:v>输出unknown／conditional／并列候选，并说明停止或降级</x:v>
      </x:c>
      <x:c r="H9" s="36" t="str">
        <x:v>不得强行唯一化或填默认值</x:v>
      </x:c>
      <x:c r="I9" s="36" t="str">
        <x:v>M05边界规则</x:v>
      </x:c>
      <x:c r="J9" s="36" t="str">
        <x:v>待运行</x:v>
      </x:c>
    </x:row>
    <x:row r="10">
      <x:c r="A10" s="36" t="str">
        <x:v>M0-POS-M06</x:v>
      </x:c>
      <x:c r="B10" s="36" t="str">
        <x:v>M0.M06</x:v>
      </x:c>
      <x:c r="C10" s="36" t="str">
        <x:v>正向</x:v>
      </x:c>
      <x:c r="D10" s="36" t="str">
        <x:v>P1</x:v>
      </x:c>
      <x:c r="E10" s="36" t="str">
        <x:v>将已识别的合冲刑害转化为实际效应：合绊、合化、冲动、冲散、刑伤、激活、开库、根气变化与流通影响。必须逐对象判断。</x:v>
      </x:c>
      <x:c r="F10" s="36" t="str">
        <x:v>满足M06主要必要条件</x:v>
      </x:c>
      <x:c r="G10" s="36" t="str">
        <x:v>输出：关系的实际增减、转化、激活与阻断，并保留rule_id、正反证据和置信度</x:v>
      </x:c>
      <x:c r="H10" s="36" t="str">
        <x:v>不得越级到下游最终价值判断</x:v>
      </x:c>
      <x:c r="I10" s="36" t="str">
        <x:v>M06模块规则</x:v>
      </x:c>
      <x:c r="J10" s="36" t="str">
        <x:v>待运行</x:v>
      </x:c>
    </x:row>
    <x:row r="11">
      <x:c r="A11" s="36" t="str">
        <x:v>M0-BND-M06</x:v>
      </x:c>
      <x:c r="B11" s="36" t="str">
        <x:v>M0.M06</x:v>
      </x:c>
      <x:c r="C11" s="36" t="str">
        <x:v>边界</x:v>
      </x:c>
      <x:c r="D11" s="36" t="str">
        <x:v>P0</x:v>
      </x:c>
      <x:c r="E11" s="36" t="str">
        <x:v>将已识别的合冲刑害转化为实际效应：合绊、合化、冲动、冲散、刑伤、激活、开库、根气变化与流通影响。必须逐对象判断。</x:v>
      </x:c>
      <x:c r="F11" s="36" t="str">
        <x:v>关键条件缺失、否决条件成立或证据接近</x:v>
      </x:c>
      <x:c r="G11" s="36" t="str">
        <x:v>输出unknown／conditional／并列候选，并说明停止或降级</x:v>
      </x:c>
      <x:c r="H11" s="36" t="str">
        <x:v>不得强行唯一化或填默认值</x:v>
      </x:c>
      <x:c r="I11" s="36" t="str">
        <x:v>M06边界规则</x:v>
      </x:c>
      <x:c r="J11" s="36" t="str">
        <x:v>待运行</x:v>
      </x:c>
    </x:row>
    <x:row r="12">
      <x:c r="A12" s="36" t="str">
        <x:v>M0-POS-M07</x:v>
      </x:c>
      <x:c r="B12" s="36" t="str">
        <x:v>M0.M07</x:v>
      </x:c>
      <x:c r="C12" s="36" t="str">
        <x:v>正向</x:v>
      </x:c>
      <x:c r="D12" s="36" t="str">
        <x:v>P1</x:v>
      </x:c>
      <x:c r="E12" s="36" t="str">
        <x:v>在复杂合冲效应修正前，按得令、根气、透干、生源、同党、成势与连续生扶评估五行基础力量。保留参考权重但禁止机械总分代替判断。</x:v>
      </x:c>
      <x:c r="F12" s="36" t="str">
        <x:v>满足M07主要必要条件</x:v>
      </x:c>
      <x:c r="G12" s="36" t="str">
        <x:v>输出：五行原始旺衰证据与候选等级，并保留rule_id、正反证据和置信度</x:v>
      </x:c>
      <x:c r="H12" s="36" t="str">
        <x:v>不得越级到下游最终价值判断</x:v>
      </x:c>
      <x:c r="I12" s="36" t="str">
        <x:v>M07模块规则</x:v>
      </x:c>
      <x:c r="J12" s="36" t="str">
        <x:v>待运行</x:v>
      </x:c>
    </x:row>
    <x:row r="13">
      <x:c r="A13" s="36" t="str">
        <x:v>M0-BND-M07</x:v>
      </x:c>
      <x:c r="B13" s="36" t="str">
        <x:v>M0.M07</x:v>
      </x:c>
      <x:c r="C13" s="36" t="str">
        <x:v>边界</x:v>
      </x:c>
      <x:c r="D13" s="36" t="str">
        <x:v>P0</x:v>
      </x:c>
      <x:c r="E13" s="36" t="str">
        <x:v>在复杂合冲效应修正前，按得令、根气、透干、生源、同党、成势与连续生扶评估五行基础力量。保留参考权重但禁止机械总分代替判断。</x:v>
      </x:c>
      <x:c r="F13" s="36" t="str">
        <x:v>关键条件缺失、否决条件成立或证据接近</x:v>
      </x:c>
      <x:c r="G13" s="36" t="str">
        <x:v>输出unknown／conditional／并列候选，并说明停止或降级</x:v>
      </x:c>
      <x:c r="H13" s="36" t="str">
        <x:v>不得强行唯一化或填默认值</x:v>
      </x:c>
      <x:c r="I13" s="36" t="str">
        <x:v>M07边界规则</x:v>
      </x:c>
      <x:c r="J13" s="36" t="str">
        <x:v>待运行</x:v>
      </x:c>
    </x:row>
    <x:row r="14">
      <x:c r="A14" s="36" t="str">
        <x:v>M0-POS-M08</x:v>
      </x:c>
      <x:c r="B14" s="36" t="str">
        <x:v>M0.M08</x:v>
      </x:c>
      <x:c r="C14" s="36" t="str">
        <x:v>正向</x:v>
      </x:c>
      <x:c r="D14" s="36" t="str">
        <x:v>P1</x:v>
      </x:c>
      <x:c r="E14" s="36" t="str">
        <x:v>将M07原始力量经合冲刑害、生克泄耗、根气变化、寒凝燥枯与流通状态修正为真正可发挥的有效力量。</x:v>
      </x:c>
      <x:c r="F14" s="36" t="str">
        <x:v>满足M08主要必要条件</x:v>
      </x:c>
      <x:c r="G14" s="36" t="str">
        <x:v>输出：五行有效旺衰、可用性与修正原因，并保留rule_id、正反证据和置信度</x:v>
      </x:c>
      <x:c r="H14" s="36" t="str">
        <x:v>不得越级到下游最终价值判断</x:v>
      </x:c>
      <x:c r="I14" s="36" t="str">
        <x:v>M08模块规则</x:v>
      </x:c>
      <x:c r="J14" s="36" t="str">
        <x:v>待运行</x:v>
      </x:c>
    </x:row>
    <x:row r="15">
      <x:c r="A15" s="36" t="str">
        <x:v>M0-BND-M08</x:v>
      </x:c>
      <x:c r="B15" s="36" t="str">
        <x:v>M0.M08</x:v>
      </x:c>
      <x:c r="C15" s="36" t="str">
        <x:v>边界</x:v>
      </x:c>
      <x:c r="D15" s="36" t="str">
        <x:v>P0</x:v>
      </x:c>
      <x:c r="E15" s="36" t="str">
        <x:v>将M07原始力量经合冲刑害、生克泄耗、根气变化、寒凝燥枯与流通状态修正为真正可发挥的有效力量。</x:v>
      </x:c>
      <x:c r="F15" s="36" t="str">
        <x:v>关键条件缺失、否决条件成立或证据接近</x:v>
      </x:c>
      <x:c r="G15" s="36" t="str">
        <x:v>输出unknown／conditional／并列候选，并说明停止或降级</x:v>
      </x:c>
      <x:c r="H15" s="36" t="str">
        <x:v>不得强行唯一化或填默认值</x:v>
      </x:c>
      <x:c r="I15" s="36" t="str">
        <x:v>M08边界规则</x:v>
      </x:c>
      <x:c r="J15" s="36" t="str">
        <x:v>待运行</x:v>
      </x:c>
    </x:row>
    <x:row r="16">
      <x:c r="A16" s="36" t="str">
        <x:v>M0-POS-M09</x:v>
      </x:c>
      <x:c r="B16" s="36" t="str">
        <x:v>M0.M09</x:v>
      </x:c>
      <x:c r="C16" s="36" t="str">
        <x:v>正向</x:v>
      </x:c>
      <x:c r="D16" s="36" t="str">
        <x:v>P1</x:v>
      </x:c>
      <x:c r="E16" s="36" t="str">
        <x:v>综合得令、得地、得势、得生、受制、受泄、受耗及根气有效性，输出七级旺衰、反向证据与置信度。</x:v>
      </x:c>
      <x:c r="F16" s="36" t="str">
        <x:v>满足M09主要必要条件</x:v>
      </x:c>
      <x:c r="G16" s="36" t="str">
        <x:v>输出：日主七级旺衰、正反证据与置信度，并保留rule_id、正反证据和置信度</x:v>
      </x:c>
      <x:c r="H16" s="36" t="str">
        <x:v>不得越级到下游最终价值判断</x:v>
      </x:c>
      <x:c r="I16" s="36" t="str">
        <x:v>M09模块规则</x:v>
      </x:c>
      <x:c r="J16" s="36" t="str">
        <x:v>待运行</x:v>
      </x:c>
    </x:row>
    <x:row r="17">
      <x:c r="A17" s="36" t="str">
        <x:v>M0-BND-M09</x:v>
      </x:c>
      <x:c r="B17" s="36" t="str">
        <x:v>M0.M09</x:v>
      </x:c>
      <x:c r="C17" s="36" t="str">
        <x:v>边界</x:v>
      </x:c>
      <x:c r="D17" s="36" t="str">
        <x:v>P0</x:v>
      </x:c>
      <x:c r="E17" s="36" t="str">
        <x:v>综合得令、得地、得势、得生、受制、受泄、受耗及根气有效性，输出七级旺衰、反向证据与置信度。</x:v>
      </x:c>
      <x:c r="F17" s="36" t="str">
        <x:v>关键条件缺失、否决条件成立或证据接近</x:v>
      </x:c>
      <x:c r="G17" s="36" t="str">
        <x:v>输出unknown／conditional／并列候选，并说明停止或降级</x:v>
      </x:c>
      <x:c r="H17" s="36" t="str">
        <x:v>不得强行唯一化或填默认值</x:v>
      </x:c>
      <x:c r="I17" s="36" t="str">
        <x:v>M09边界规则</x:v>
      </x:c>
      <x:c r="J17" s="36" t="str">
        <x:v>待运行</x:v>
      </x:c>
    </x:row>
    <x:row r="18">
      <x:c r="A18" s="36" t="str">
        <x:v>M0-POS-M10</x:v>
      </x:c>
      <x:c r="B18" s="36" t="str">
        <x:v>M0.M10</x:v>
      </x:c>
      <x:c r="C18" s="36" t="str">
        <x:v>正向</x:v>
      </x:c>
      <x:c r="D18" s="36" t="str">
        <x:v>P1</x:v>
      </x:c>
      <x:c r="E18" s="36" t="str">
        <x:v>分别判断十神是否存在、自身力量、清纯度、功能是否有效及对全局喜忌。禁止把十神旺弱直接等同于吉凶。</x:v>
      </x:c>
      <x:c r="F18" s="36" t="str">
        <x:v>满足M10主要必要条件</x:v>
      </x:c>
      <x:c r="G18" s="36" t="str">
        <x:v>输出：十神力量、清纯度、功能状态与喜忌候选，并保留rule_id、正反证据和置信度</x:v>
      </x:c>
      <x:c r="H18" s="36" t="str">
        <x:v>不得越级到下游最终价值判断</x:v>
      </x:c>
      <x:c r="I18" s="36" t="str">
        <x:v>M10模块规则</x:v>
      </x:c>
      <x:c r="J18" s="36" t="str">
        <x:v>待运行</x:v>
      </x:c>
    </x:row>
    <x:row r="19">
      <x:c r="A19" s="36" t="str">
        <x:v>M0-BND-M10</x:v>
      </x:c>
      <x:c r="B19" s="36" t="str">
        <x:v>M0.M10</x:v>
      </x:c>
      <x:c r="C19" s="36" t="str">
        <x:v>边界</x:v>
      </x:c>
      <x:c r="D19" s="36" t="str">
        <x:v>P0</x:v>
      </x:c>
      <x:c r="E19" s="36" t="str">
        <x:v>分别判断十神是否存在、自身力量、清纯度、功能是否有效及对全局喜忌。禁止把十神旺弱直接等同于吉凶。</x:v>
      </x:c>
      <x:c r="F19" s="36" t="str">
        <x:v>关键条件缺失、否决条件成立或证据接近</x:v>
      </x:c>
      <x:c r="G19" s="36" t="str">
        <x:v>输出unknown／conditional／并列候选，并说明停止或降级</x:v>
      </x:c>
      <x:c r="H19" s="36" t="str">
        <x:v>不得强行唯一化或填默认值</x:v>
      </x:c>
      <x:c r="I19" s="36" t="str">
        <x:v>M10边界规则</x:v>
      </x:c>
      <x:c r="J19" s="36" t="str">
        <x:v>待运行</x:v>
      </x:c>
    </x:row>
    <x:row r="20">
      <x:c r="A20" s="36" t="str">
        <x:v>M0-POS-M11</x:v>
      </x:c>
      <x:c r="B20" s="36" t="str">
        <x:v>M0.M11</x:v>
      </x:c>
      <x:c r="C20" s="36" t="str">
        <x:v>正向</x:v>
      </x:c>
      <x:c r="D20" s="36" t="str">
        <x:v>P1</x:v>
      </x:c>
      <x:c r="E20" s="36" t="str">
        <x:v>建立食神制杀、伤官配印、官印相生、杀印相生等组合的必要条件、破坏条件、救应条件与成立等级。</x:v>
      </x:c>
      <x:c r="F20" s="36" t="str">
        <x:v>满足M11主要必要条件</x:v>
      </x:c>
      <x:c r="G20" s="36" t="str">
        <x:v>输出：十神组合成立等级、功能、破坏与救应，并保留rule_id、正反证据和置信度</x:v>
      </x:c>
      <x:c r="H20" s="36" t="str">
        <x:v>不得越级到下游最终价值判断</x:v>
      </x:c>
      <x:c r="I20" s="36" t="str">
        <x:v>M11模块规则</x:v>
      </x:c>
      <x:c r="J20" s="36" t="str">
        <x:v>待运行</x:v>
      </x:c>
    </x:row>
    <x:row r="21">
      <x:c r="A21" s="36" t="str">
        <x:v>M0-BND-M11</x:v>
      </x:c>
      <x:c r="B21" s="36" t="str">
        <x:v>M0.M11</x:v>
      </x:c>
      <x:c r="C21" s="36" t="str">
        <x:v>边界</x:v>
      </x:c>
      <x:c r="D21" s="36" t="str">
        <x:v>P0</x:v>
      </x:c>
      <x:c r="E21" s="36" t="str">
        <x:v>建立食神制杀、伤官配印、官印相生、杀印相生等组合的必要条件、破坏条件、救应条件与成立等级。</x:v>
      </x:c>
      <x:c r="F21" s="36" t="str">
        <x:v>关键条件缺失、否决条件成立或证据接近</x:v>
      </x:c>
      <x:c r="G21" s="36" t="str">
        <x:v>输出unknown／conditional／并列候选，并说明停止或降级</x:v>
      </x:c>
      <x:c r="H21" s="36" t="str">
        <x:v>不得强行唯一化或填默认值</x:v>
      </x:c>
      <x:c r="I21" s="36" t="str">
        <x:v>M11边界规则</x:v>
      </x:c>
      <x:c r="J21" s="36" t="str">
        <x:v>待运行</x:v>
      </x:c>
    </x:row>
    <x:row r="22">
      <x:c r="A22" s="36" t="str">
        <x:v>M0-POS-M12</x:v>
      </x:c>
      <x:c r="B22" s="36" t="str">
        <x:v>M0.M12</x:v>
      </x:c>
      <x:c r="C22" s="36" t="str">
        <x:v>正向</x:v>
      </x:c>
      <x:c r="D22" s="36" t="str">
        <x:v>P1</x:v>
      </x:c>
      <x:c r="E22" s="36" t="str">
        <x:v>把五行和十神关系表达为起点—桥梁—终点路径，定位缺桥、桥弱、两强相战、寒凝燥枯与终点不能承载等卡点。</x:v>
      </x:c>
      <x:c r="F22" s="36" t="str">
        <x:v>满足M12主要必要条件</x:v>
      </x:c>
      <x:c r="G22" s="36" t="str">
        <x:v>输出：主要流通路径、卡点与通关候选，并保留rule_id、正反证据和置信度</x:v>
      </x:c>
      <x:c r="H22" s="36" t="str">
        <x:v>不得越级到下游最终价值判断</x:v>
      </x:c>
      <x:c r="I22" s="36" t="str">
        <x:v>M12模块规则</x:v>
      </x:c>
      <x:c r="J22" s="36" t="str">
        <x:v>待运行</x:v>
      </x:c>
    </x:row>
    <x:row r="23">
      <x:c r="A23" s="36" t="str">
        <x:v>M0-BND-M12</x:v>
      </x:c>
      <x:c r="B23" s="36" t="str">
        <x:v>M0.M12</x:v>
      </x:c>
      <x:c r="C23" s="36" t="str">
        <x:v>边界</x:v>
      </x:c>
      <x:c r="D23" s="36" t="str">
        <x:v>P0</x:v>
      </x:c>
      <x:c r="E23" s="36" t="str">
        <x:v>把五行和十神关系表达为起点—桥梁—终点路径，定位缺桥、桥弱、两强相战、寒凝燥枯与终点不能承载等卡点。</x:v>
      </x:c>
      <x:c r="F23" s="36" t="str">
        <x:v>关键条件缺失、否决条件成立或证据接近</x:v>
      </x:c>
      <x:c r="G23" s="36" t="str">
        <x:v>输出unknown／conditional／并列候选，并说明停止或降级</x:v>
      </x:c>
      <x:c r="H23" s="36" t="str">
        <x:v>不得强行唯一化或填默认值</x:v>
      </x:c>
      <x:c r="I23" s="36" t="str">
        <x:v>M12边界规则</x:v>
      </x:c>
      <x:c r="J23" s="36" t="str">
        <x:v>待运行</x:v>
      </x:c>
    </x:row>
    <x:row r="24">
      <x:c r="A24" s="36" t="str">
        <x:v>M0-POS-M13</x:v>
      </x:c>
      <x:c r="B24" s="36" t="str">
        <x:v>M0.M13</x:v>
      </x:c>
      <x:c r="C24" s="36" t="str">
        <x:v>正向</x:v>
      </x:c>
      <x:c r="D24" s="36" t="str">
        <x:v>P1</x:v>
      </x:c>
      <x:c r="E24" s="36" t="str">
        <x:v>将温度轴和湿度轴分开判断，再评估调候五行是否存在、是否有效、紧急程度及其与扶抑和格局的冲突。</x:v>
      </x:c>
      <x:c r="F24" s="36" t="str">
        <x:v>满足M13主要必要条件</x:v>
      </x:c>
      <x:c r="G24" s="36" t="str">
        <x:v>输出：温度、湿度、调候候选与紧急度，并保留rule_id、正反证据和置信度</x:v>
      </x:c>
      <x:c r="H24" s="36" t="str">
        <x:v>不得越级到下游最终价值判断</x:v>
      </x:c>
      <x:c r="I24" s="36" t="str">
        <x:v>M13模块规则</x:v>
      </x:c>
      <x:c r="J24" s="36" t="str">
        <x:v>待运行</x:v>
      </x:c>
    </x:row>
    <x:row r="25">
      <x:c r="A25" s="36" t="str">
        <x:v>M0-BND-M13</x:v>
      </x:c>
      <x:c r="B25" s="36" t="str">
        <x:v>M0.M13</x:v>
      </x:c>
      <x:c r="C25" s="36" t="str">
        <x:v>边界</x:v>
      </x:c>
      <x:c r="D25" s="36" t="str">
        <x:v>P0</x:v>
      </x:c>
      <x:c r="E25" s="36" t="str">
        <x:v>将温度轴和湿度轴分开判断，再评估调候五行是否存在、是否有效、紧急程度及其与扶抑和格局的冲突。</x:v>
      </x:c>
      <x:c r="F25" s="36" t="str">
        <x:v>关键条件缺失、否决条件成立或证据接近</x:v>
      </x:c>
      <x:c r="G25" s="36" t="str">
        <x:v>输出unknown／conditional／并列候选，并说明停止或降级</x:v>
      </x:c>
      <x:c r="H25" s="36" t="str">
        <x:v>不得强行唯一化或填默认值</x:v>
      </x:c>
      <x:c r="I25" s="36" t="str">
        <x:v>M13边界规则</x:v>
      </x:c>
      <x:c r="J25" s="36" t="str">
        <x:v>待运行</x:v>
      </x:c>
    </x:row>
    <x:row r="26">
      <x:c r="A26" s="36" t="str">
        <x:v>M0-POS-M14</x:v>
      </x:c>
      <x:c r="B26" s="36" t="str">
        <x:v>M0.M14</x:v>
      </x:c>
      <x:c r="C26" s="36" t="str">
        <x:v>正向</x:v>
      </x:c>
      <x:c r="D26" s="36" t="str">
        <x:v>P1</x:v>
      </x:c>
      <x:c r="E26" s="36" t="str">
        <x:v>先生成多个普通或特殊格局候选，再按月令、透干、格神、日主配合及严格条件逐一淘汰，禁止一开始强行定格。</x:v>
      </x:c>
      <x:c r="F26" s="36" t="str">
        <x:v>满足M14主要必要条件</x:v>
      </x:c>
      <x:c r="G26" s="36" t="str">
        <x:v>输出：格局候选清单、排除理由与候选状态，并保留rule_id、正反证据和置信度</x:v>
      </x:c>
      <x:c r="H26" s="36" t="str">
        <x:v>不得越级到下游最终价值判断</x:v>
      </x:c>
      <x:c r="I26" s="36" t="str">
        <x:v>M14模块规则</x:v>
      </x:c>
      <x:c r="J26" s="36" t="str">
        <x:v>待运行</x:v>
      </x:c>
    </x:row>
    <x:row r="27">
      <x:c r="A27" s="36" t="str">
        <x:v>M0-BND-M14</x:v>
      </x:c>
      <x:c r="B27" s="36" t="str">
        <x:v>M0.M14</x:v>
      </x:c>
      <x:c r="C27" s="36" t="str">
        <x:v>边界</x:v>
      </x:c>
      <x:c r="D27" s="36" t="str">
        <x:v>P0</x:v>
      </x:c>
      <x:c r="E27" s="36" t="str">
        <x:v>先生成多个普通或特殊格局候选，再按月令、透干、格神、日主配合及严格条件逐一淘汰，禁止一开始强行定格。</x:v>
      </x:c>
      <x:c r="F27" s="36" t="str">
        <x:v>关键条件缺失、否决条件成立或证据接近</x:v>
      </x:c>
      <x:c r="G27" s="36" t="str">
        <x:v>输出unknown／conditional／并列候选，并说明停止或降级</x:v>
      </x:c>
      <x:c r="H27" s="36" t="str">
        <x:v>不得强行唯一化或填默认值</x:v>
      </x:c>
      <x:c r="I27" s="36" t="str">
        <x:v>M14边界规则</x:v>
      </x:c>
      <x:c r="J27" s="36" t="str">
        <x:v>待运行</x:v>
      </x:c>
    </x:row>
    <x:row r="28">
      <x:c r="A28" s="36" t="str">
        <x:v>M0-POS-M15</x:v>
      </x:c>
      <x:c r="B28" s="36" t="str">
        <x:v>M0.M15</x:v>
      </x:c>
      <x:c r="C28" s="36" t="str">
        <x:v>正向</x:v>
      </x:c>
      <x:c r="D28" s="36" t="str">
        <x:v>P1</x:v>
      </x:c>
      <x:c r="E28" s="36" t="str">
        <x:v>对M14候选逐项判断成格、破格、清纯度、救应有效性和层次，保留反向证据，并区分“成立”与“层次高低”。</x:v>
      </x:c>
      <x:c r="F28" s="36" t="str">
        <x:v>满足M15主要必要条件</x:v>
      </x:c>
      <x:c r="G28" s="36" t="str">
        <x:v>输出：最终格局、破格、救应与层次，并保留rule_id、正反证据和置信度</x:v>
      </x:c>
      <x:c r="H28" s="36" t="str">
        <x:v>不得越级到下游最终价值判断</x:v>
      </x:c>
      <x:c r="I28" s="36" t="str">
        <x:v>M15模块规则</x:v>
      </x:c>
      <x:c r="J28" s="36" t="str">
        <x:v>待运行</x:v>
      </x:c>
    </x:row>
    <x:row r="29">
      <x:c r="A29" s="36" t="str">
        <x:v>M0-BND-M15</x:v>
      </x:c>
      <x:c r="B29" s="36" t="str">
        <x:v>M0.M15</x:v>
      </x:c>
      <x:c r="C29" s="36" t="str">
        <x:v>边界</x:v>
      </x:c>
      <x:c r="D29" s="36" t="str">
        <x:v>P0</x:v>
      </x:c>
      <x:c r="E29" s="36" t="str">
        <x:v>对M14候选逐项判断成格、破格、清纯度、救应有效性和层次，保留反向证据，并区分“成立”与“层次高低”。</x:v>
      </x:c>
      <x:c r="F29" s="36" t="str">
        <x:v>关键条件缺失、否决条件成立或证据接近</x:v>
      </x:c>
      <x:c r="G29" s="36" t="str">
        <x:v>输出unknown／conditional／并列候选，并说明停止或降级</x:v>
      </x:c>
      <x:c r="H29" s="36" t="str">
        <x:v>不得强行唯一化或填默认值</x:v>
      </x:c>
      <x:c r="I29" s="36" t="str">
        <x:v>M15边界规则</x:v>
      </x:c>
      <x:c r="J29" s="36" t="str">
        <x:v>待运行</x:v>
      </x:c>
    </x:row>
    <x:row r="30">
      <x:c r="A30" s="36" t="str">
        <x:v>M0-POS-M16</x:v>
      </x:c>
      <x:c r="B30" s="36" t="str">
        <x:v>M0.M16</x:v>
      </x:c>
      <x:c r="C30" s="36" t="str">
        <x:v>正向</x:v>
      </x:c>
      <x:c r="D30" s="36" t="str">
        <x:v>P1</x:v>
      </x:c>
      <x:c r="E30" s="36" t="str">
        <x:v>把旺衰、流通、制化、格局和调候问题转化为病位、病性、根因与药理，评估药力不足、过量和产生新病的风险。</x:v>
      </x:c>
      <x:c r="F30" s="36" t="str">
        <x:v>满足M16主要必要条件</x:v>
      </x:c>
      <x:c r="G30" s="36" t="str">
        <x:v>输出：根本病、表层病、主药、辅助药与副作用，并保留rule_id、正反证据和置信度</x:v>
      </x:c>
      <x:c r="H30" s="36" t="str">
        <x:v>不得越级到下游最终价值判断</x:v>
      </x:c>
      <x:c r="I30" s="36" t="str">
        <x:v>M16模块规则</x:v>
      </x:c>
      <x:c r="J30" s="36" t="str">
        <x:v>待运行</x:v>
      </x:c>
    </x:row>
    <x:row r="31">
      <x:c r="A31" s="36" t="str">
        <x:v>M0-BND-M16</x:v>
      </x:c>
      <x:c r="B31" s="36" t="str">
        <x:v>M0.M16</x:v>
      </x:c>
      <x:c r="C31" s="36" t="str">
        <x:v>边界</x:v>
      </x:c>
      <x:c r="D31" s="36" t="str">
        <x:v>P0</x:v>
      </x:c>
      <x:c r="E31" s="36" t="str">
        <x:v>把旺衰、流通、制化、格局和调候问题转化为病位、病性、根因与药理，评估药力不足、过量和产生新病的风险。</x:v>
      </x:c>
      <x:c r="F31" s="36" t="str">
        <x:v>关键条件缺失、否决条件成立或证据接近</x:v>
      </x:c>
      <x:c r="G31" s="36" t="str">
        <x:v>输出unknown／conditional／并列候选，并说明停止或降级</x:v>
      </x:c>
      <x:c r="H31" s="36" t="str">
        <x:v>不得强行唯一化或填默认值</x:v>
      </x:c>
      <x:c r="I31" s="36" t="str">
        <x:v>M16边界规则</x:v>
      </x:c>
      <x:c r="J31" s="36" t="str">
        <x:v>待运行</x:v>
      </x:c>
    </x:row>
    <x:row r="32">
      <x:c r="A32" s="36" t="str">
        <x:v>M0-POS-M17</x:v>
      </x:c>
      <x:c r="B32" s="36" t="str">
        <x:v>M0.M17</x:v>
      </x:c>
      <x:c r="C32" s="36" t="str">
        <x:v>正向</x:v>
      </x:c>
      <x:c r="D32" s="36" t="str">
        <x:v>P1</x:v>
      </x:c>
      <x:c r="E32" s="36" t="str">
        <x:v>把每个候选五行放入五维用神矩阵，分别记录收益、冲突与副作用，最后定主用、辅助用、喜、忌及条件性定位。</x:v>
      </x:c>
      <x:c r="F32" s="36" t="str">
        <x:v>满足M17主要必要条件</x:v>
      </x:c>
      <x:c r="G32" s="36" t="str">
        <x:v>输出：主用、辅助用、喜忌及条件说明，并保留rule_id、正反证据和置信度</x:v>
      </x:c>
      <x:c r="H32" s="36" t="str">
        <x:v>不得越级到下游最终价值判断</x:v>
      </x:c>
      <x:c r="I32" s="36" t="str">
        <x:v>M17模块规则</x:v>
      </x:c>
      <x:c r="J32" s="36" t="str">
        <x:v>待运行</x:v>
      </x:c>
    </x:row>
    <x:row r="33">
      <x:c r="A33" s="36" t="str">
        <x:v>M0-BND-M17</x:v>
      </x:c>
      <x:c r="B33" s="36" t="str">
        <x:v>M0.M17</x:v>
      </x:c>
      <x:c r="C33" s="36" t="str">
        <x:v>边界</x:v>
      </x:c>
      <x:c r="D33" s="36" t="str">
        <x:v>P0</x:v>
      </x:c>
      <x:c r="E33" s="36" t="str">
        <x:v>把每个候选五行放入五维用神矩阵，分别记录收益、冲突与副作用，最后定主用、辅助用、喜、忌及条件性定位。</x:v>
      </x:c>
      <x:c r="F33" s="36" t="str">
        <x:v>关键条件缺失、否决条件成立或证据接近</x:v>
      </x:c>
      <x:c r="G33" s="36" t="str">
        <x:v>输出unknown／conditional／并列候选，并说明停止或降级</x:v>
      </x:c>
      <x:c r="H33" s="36" t="str">
        <x:v>不得强行唯一化或填默认值</x:v>
      </x:c>
      <x:c r="I33" s="36" t="str">
        <x:v>M17边界规则</x:v>
      </x:c>
      <x:c r="J33" s="36" t="str">
        <x:v>待运行</x:v>
      </x:c>
    </x:row>
    <x:row r="34">
      <x:c r="A34" s="36" t="str">
        <x:v>M0-POS-M18</x:v>
      </x:c>
      <x:c r="B34" s="36" t="str">
        <x:v>M0.M18</x:v>
      </x:c>
      <x:c r="C34" s="36" t="str">
        <x:v>正向</x:v>
      </x:c>
      <x:c r="D34" s="36" t="str">
        <x:v>P1</x:v>
      </x:c>
      <x:c r="E34" s="36" t="str">
        <x:v>处理扶抑、格局、调候、通关和病药结论冲突。记录硬约束、优先规则、降级规则、反向证据和副作用控制。</x:v>
      </x:c>
      <x:c r="F34" s="36" t="str">
        <x:v>满足M18主要必要条件</x:v>
      </x:c>
      <x:c r="G34" s="36" t="str">
        <x:v>输出：跨模块裁决、降级与条件性结论，并保留rule_id、正反证据和置信度</x:v>
      </x:c>
      <x:c r="H34" s="36" t="str">
        <x:v>不得越级到下游最终价值判断</x:v>
      </x:c>
      <x:c r="I34" s="36" t="str">
        <x:v>M18模块规则</x:v>
      </x:c>
      <x:c r="J34" s="36" t="str">
        <x:v>待运行</x:v>
      </x:c>
    </x:row>
    <x:row r="35">
      <x:c r="A35" s="36" t="str">
        <x:v>M0-BND-M18</x:v>
      </x:c>
      <x:c r="B35" s="36" t="str">
        <x:v>M0.M18</x:v>
      </x:c>
      <x:c r="C35" s="36" t="str">
        <x:v>边界</x:v>
      </x:c>
      <x:c r="D35" s="36" t="str">
        <x:v>P0</x:v>
      </x:c>
      <x:c r="E35" s="36" t="str">
        <x:v>处理扶抑、格局、调候、通关和病药结论冲突。记录硬约束、优先规则、降级规则、反向证据和副作用控制。</x:v>
      </x:c>
      <x:c r="F35" s="36" t="str">
        <x:v>关键条件缺失、否决条件成立或证据接近</x:v>
      </x:c>
      <x:c r="G35" s="36" t="str">
        <x:v>输出unknown／conditional／并列候选，并说明停止或降级</x:v>
      </x:c>
      <x:c r="H35" s="36" t="str">
        <x:v>不得强行唯一化或填默认值</x:v>
      </x:c>
      <x:c r="I35" s="36" t="str">
        <x:v>M18边界规则</x:v>
      </x:c>
      <x:c r="J35" s="36" t="str">
        <x:v>待运行</x:v>
      </x:c>
    </x:row>
    <x:row r="36">
      <x:c r="A36" s="36" t="str">
        <x:v>M0-X-001</x:v>
      </x:c>
      <x:c r="B36" s="36" t="str">
        <x:v>M0.M04/M05→M06</x:v>
      </x:c>
      <x:c r="C36" s="36" t="str">
        <x:v>分层</x:v>
      </x:c>
      <x:c r="D36" s="36" t="str">
        <x:v>P0</x:v>
      </x:c>
      <x:c r="E36" s="36" t="str">
        <x:v>关系识别</x:v>
      </x:c>
      <x:c r="F36" s="36" t="str">
        <x:v>识别到合冲刑害</x:v>
      </x:c>
      <x:c r="G36" s="36" t="str">
        <x:v>仅形成关系清单，效应交M06逐对象判断</x:v>
      </x:c>
      <x:c r="H36" s="36" t="str">
        <x:v>不得固定增减力</x:v>
      </x:c>
      <x:c r="I36" s="36" t="str">
        <x:v>M21-GOV-0001-V1.0</x:v>
      </x:c>
      <x:c r="J36" s="36" t="str">
        <x:v>待运行</x:v>
      </x:c>
    </x:row>
    <x:row r="37">
      <x:c r="A37" s="36" t="str">
        <x:v>M0-X-002</x:v>
      </x:c>
      <x:c r="B37" s="36" t="str">
        <x:v>M0.M07→M08</x:v>
      </x:c>
      <x:c r="C37" s="36" t="str">
        <x:v>分层</x:v>
      </x:c>
      <x:c r="D37" s="36" t="str">
        <x:v>P0</x:v>
      </x:c>
      <x:c r="E37" s="36" t="str">
        <x:v>原始／有效旺衰</x:v>
      </x:c>
      <x:c r="F37" s="36" t="str">
        <x:v>复杂关系、克泄耗或寒燥存在</x:v>
      </x:c>
      <x:c r="G37" s="36" t="str">
        <x:v>M07与M08分别保留</x:v>
      </x:c>
      <x:c r="H37" s="36" t="str">
        <x:v>不得用原始力量覆盖有效力量</x:v>
      </x:c>
      <x:c r="I37" s="36" t="str">
        <x:v>M07/M08</x:v>
      </x:c>
      <x:c r="J37" s="36" t="str">
        <x:v>待运行</x:v>
      </x:c>
    </x:row>
    <x:row r="38">
      <x:c r="A38" s="36" t="str">
        <x:v>M0-X-003</x:v>
      </x:c>
      <x:c r="B38" s="36" t="str">
        <x:v>M0.M10→M17</x:v>
      </x:c>
      <x:c r="C38" s="36" t="str">
        <x:v>分层</x:v>
      </x:c>
      <x:c r="D38" s="36" t="str">
        <x:v>P0</x:v>
      </x:c>
      <x:c r="E38" s="36" t="str">
        <x:v>十神功能与喜忌</x:v>
      </x:c>
      <x:c r="F38" s="36" t="str">
        <x:v>十神很旺</x:v>
      </x:c>
      <x:c r="G38" s="36" t="str">
        <x:v>先判功能，再进入五维喜忌</x:v>
      </x:c>
      <x:c r="H38" s="36" t="str">
        <x:v>不得旺即忌或旺即吉</x:v>
      </x:c>
      <x:c r="I38" s="36" t="str">
        <x:v>M10/M17</x:v>
      </x:c>
      <x:c r="J38" s="36" t="str">
        <x:v>待运行</x:v>
      </x:c>
    </x:row>
    <x:row r="39">
      <x:c r="A39" s="36" t="str">
        <x:v>M0-X-004</x:v>
      </x:c>
      <x:c r="B39" s="36" t="str">
        <x:v>M0.M14→M15</x:v>
      </x:c>
      <x:c r="C39" s="36" t="str">
        <x:v>分层</x:v>
      </x:c>
      <x:c r="D39" s="36" t="str">
        <x:v>P0</x:v>
      </x:c>
      <x:c r="E39" s="36" t="str">
        <x:v>格局候选与成败</x:v>
      </x:c>
      <x:c r="F39" s="36" t="str">
        <x:v>多个格局候选</x:v>
      </x:c>
      <x:c r="G39" s="36" t="str">
        <x:v>M14列候选，M15淘汰并定状态</x:v>
      </x:c>
      <x:c r="H39" s="36" t="str">
        <x:v>不得候选即成格</x:v>
      </x:c>
      <x:c r="I39" s="36" t="str">
        <x:v>M14/M15</x:v>
      </x:c>
      <x:c r="J39" s="36" t="str">
        <x:v>待运行</x:v>
      </x:c>
    </x:row>
    <x:row r="40">
      <x:c r="A40" s="36" t="str">
        <x:v>M0-X-005</x:v>
      </x:c>
      <x:c r="B40" s="36" t="str">
        <x:v>M0.M16→M18</x:v>
      </x:c>
      <x:c r="C40" s="36" t="str">
        <x:v>裁决</x:v>
      </x:c>
      <x:c r="D40" s="36" t="str">
        <x:v>P0</x:v>
      </x:c>
      <x:c r="E40" s="36" t="str">
        <x:v>病药与其他维度</x:v>
      </x:c>
      <x:c r="F40" s="36" t="str">
        <x:v>主药伤格或生新病</x:v>
      </x:c>
      <x:c r="G40" s="36" t="str">
        <x:v>M18按硬约束、根本病、主路径、净收益裁决</x:v>
      </x:c>
      <x:c r="H40" s="36" t="str">
        <x:v>不得单一病药无条件优先</x:v>
      </x:c>
      <x:c r="I40" s="36" t="str">
        <x:v>M16-M18</x:v>
      </x:c>
      <x:c r="J40" s="36" t="str">
        <x:v>待运行</x:v>
      </x:c>
    </x:row>
    <x:row r="41">
      <x:c r="A41" s="36" t="str">
        <x:v>M0-X-006</x:v>
      </x:c>
      <x:c r="B41" s="36" t="str">
        <x:v>M0.M19</x:v>
      </x:c>
      <x:c r="C41" s="36" t="str">
        <x:v>输出</x:v>
      </x:c>
      <x:c r="D41" s="36" t="str">
        <x:v>P0</x:v>
      </x:c>
      <x:c r="E41" s="36" t="str">
        <x:v>45项M0输出</x:v>
      </x:c>
      <x:c r="F41" s="36" t="str">
        <x:v>部分字段资料不足</x:v>
      </x:c>
      <x:c r="G41" s="36" t="str">
        <x:v>全部字段存在，未知项status=unknown</x:v>
      </x:c>
      <x:c r="H41" s="36" t="str">
        <x:v>不得静默缺字段</x:v>
      </x:c>
      <x:c r="I41" s="36" t="str">
        <x:v>M19</x:v>
      </x:c>
      <x:c r="J41" s="36" t="str">
        <x:v>待运行</x:v>
      </x:c>
    </x:row>
    <x:row r="42">
      <x:c r="A42" s="36" t="str">
        <x:v>M0-X-007</x:v>
      </x:c>
      <x:c r="B42" s="36" t="str">
        <x:v>M0.M20/M21</x:v>
      </x:c>
      <x:c r="C42" s="36" t="str">
        <x:v>运行时隔离</x:v>
      </x:c>
      <x:c r="D42" s="36" t="str">
        <x:v>P0</x:v>
      </x:c>
      <x:c r="E42" s="36" t="str">
        <x:v>测试与治理记录</x:v>
      </x:c>
      <x:c r="F42" s="36" t="str">
        <x:v>普通分析请求</x:v>
      </x:c>
      <x:c r="G42" s="36" t="str">
        <x:v>不进入普通规则队列</x:v>
      </x:c>
      <x:c r="H42" s="36" t="str">
        <x:v>不得把案例期望或流派记录当规则执行</x:v>
      </x:c>
      <x:c r="I42" s="36" t="str">
        <x:v>M20/M21</x:v>
      </x:c>
      <x:c r="J42" s="36" t="str">
        <x:v>待运行</x:v>
      </x:c>
    </x:row>
    <x:row r="43">
      <x:c r="A43" s="37" t="str">
        <x:v>M0-X-008</x:v>
      </x:c>
      <x:c r="B43" s="37" t="str">
        <x:v>M0</x:v>
      </x:c>
      <x:c r="C43" s="37" t="str">
        <x:v>静动态边界</x:v>
      </x:c>
      <x:c r="D43" s="37" t="str">
        <x:v>P0</x:v>
      </x:c>
      <x:c r="E43" s="37" t="str">
        <x:v>用户询问具体婚期</x:v>
      </x:c>
      <x:c r="F43" s="37" t="str">
        <x:v>原局静态结果已完成</x:v>
      </x:c>
      <x:c r="G43" s="37" t="str">
        <x:v>返回E_DYNAMIC_MODEL_REQUIRED</x:v>
      </x:c>
      <x:c r="H43" s="37" t="str">
        <x:v>不得叠加流年五行直接断事件</x:v>
      </x:c>
      <x:c r="I43" s="37" t="str">
        <x:v>M21-GOV-0005-V1.0</x:v>
      </x:c>
      <x:c r="J43" s="37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3b38c6bb876342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12" hidden="0" customWidth="1"/>
    <x:col min="5" max="5" width="56" hidden="0" customWidth="1"/>
    <x:col min="6" max="6" width="60" hidden="0" customWidth="1"/>
    <x:col min="7" max="7" width="60" hidden="0" customWidth="1"/>
    <x:col min="8" max="8" width="38" hidden="0" customWidth="1"/>
  </x:cols>
  <x:sheetData>
    <x:row r="1">
      <x:c r="A1" s="26" t="str">
        <x:v>test_id</x:v>
      </x:c>
      <x:c r="B1" s="26" t="str">
        <x:v>接口</x:v>
      </x:c>
      <x:c r="C1" s="26" t="str">
        <x:v>类别</x:v>
      </x:c>
      <x:c r="D1" s="26" t="str">
        <x:v>优先级</x:v>
      </x:c>
      <x:c r="E1" s="26" t="str">
        <x:v>输入／情境</x:v>
      </x:c>
      <x:c r="F1" s="26" t="str">
        <x:v>预期结果</x:v>
      </x:c>
      <x:c r="G1" s="26" t="str">
        <x:v>禁止行为</x:v>
      </x:c>
      <x:c r="H1" s="26" t="str">
        <x:v>来源</x:v>
      </x:c>
    </x:row>
    <x:row r="2">
      <x:c r="A2" s="36" t="str">
        <x:v>IF-001</x:v>
      </x:c>
      <x:c r="B2" s="36" t="str">
        <x:v>M0→M1</x:v>
      </x:c>
      <x:c r="C2" s="36" t="str">
        <x:v>字段权威</x:v>
      </x:c>
      <x:c r="D2" s="36" t="str">
        <x:v>P0</x:v>
      </x:c>
      <x:c r="E2" s="36" t="str">
        <x:v>M1读取M0有效十神、喜忌与合化</x:v>
      </x:c>
      <x:c r="F2" s="36" t="str">
        <x:v>只转译心动信号</x:v>
      </x:c>
      <x:c r="G2" s="36" t="str">
        <x:v>不得重算旺衰或合化</x:v>
      </x:c>
      <x:c r="H2" s="36" t="str">
        <x:v>M0.M08/M10/M17/M18</x:v>
      </x:c>
    </x:row>
    <x:row r="3">
      <x:c r="A3" s="36" t="str">
        <x:v>IF-002</x:v>
      </x:c>
      <x:c r="B3" s="36" t="str">
        <x:v>M0→M2</x:v>
      </x:c>
      <x:c r="C3" s="36" t="str">
        <x:v>准入接口</x:v>
      </x:c>
      <x:c r="D3" s="36" t="str">
        <x:v>P0</x:v>
      </x:c>
      <x:c r="E3" s="36" t="str">
        <x:v>M2读取夫妻星、日支和关系效应</x:v>
      </x:c>
      <x:c r="F3" s="36" t="str">
        <x:v>输出准入候选与证据</x:v>
      </x:c>
      <x:c r="G3" s="36" t="str">
        <x:v>不得写关系结果</x:v>
      </x:c>
      <x:c r="H3" s="36" t="str">
        <x:v>M0→M2</x:v>
      </x:c>
    </x:row>
    <x:row r="4">
      <x:c r="A4" s="36" t="str">
        <x:v>IF-003</x:v>
      </x:c>
      <x:c r="B4" s="36" t="str">
        <x:v>M0→M3</x:v>
      </x:c>
      <x:c r="C4" s="36" t="str">
        <x:v>发布字段</x:v>
      </x:c>
      <x:c r="D4" s="36" t="str">
        <x:v>P0</x:v>
      </x:c>
      <x:c r="E4" s="36" t="str">
        <x:v>M3读取M0.M19输出</x:v>
      </x:c>
      <x:c r="F4" s="36" t="str">
        <x:v>生成个人相处惯性</x:v>
      </x:c>
      <x:c r="G4" s="36" t="str">
        <x:v>不得从散落规则另算M0</x:v>
      </x:c>
      <x:c r="H4" s="36" t="str">
        <x:v>M0.M19→M3</x:v>
      </x:c>
    </x:row>
    <x:row r="5">
      <x:c r="A5" s="36" t="str">
        <x:v>IF-004</x:v>
      </x:c>
      <x:c r="B5" s="36" t="str">
        <x:v>M0→M4</x:v>
      </x:c>
      <x:c r="C5" s="36" t="str">
        <x:v>病药保护</x:v>
      </x:c>
      <x:c r="D5" s="36" t="str">
        <x:v>P0</x:v>
      </x:c>
      <x:c r="E5" s="36" t="str">
        <x:v>M4读取流通、病药和喜忌</x:v>
      </x:c>
      <x:c r="F5" s="36" t="str">
        <x:v>生成保护候选</x:v>
      </x:c>
      <x:c r="G5" s="36" t="str">
        <x:v>潜在资源不得写成现实已生效</x:v>
      </x:c>
      <x:c r="H5" s="36" t="str">
        <x:v>M0.M12/M16/M17</x:v>
      </x:c>
    </x:row>
    <x:row r="6">
      <x:c r="A6" s="36" t="str">
        <x:v>IF-005</x:v>
      </x:c>
      <x:c r="B6" s="36" t="str">
        <x:v>M0→M5</x:v>
      </x:c>
      <x:c r="C6" s="36" t="str">
        <x:v>适配底盘</x:v>
      </x:c>
      <x:c r="D6" s="36" t="str">
        <x:v>P0</x:v>
      </x:c>
      <x:c r="E6" s="36" t="str">
        <x:v>M5读取M0-M4已发布字段</x:v>
      </x:c>
      <x:c r="F6" s="36" t="str">
        <x:v>生成长期关系需要</x:v>
      </x:c>
      <x:c r="G6" s="36" t="str">
        <x:v>不得把喜用神直接变成对象五行</x:v>
      </x:c>
      <x:c r="H6" s="36" t="str">
        <x:v>M0→M5</x:v>
      </x:c>
    </x:row>
    <x:row r="7">
      <x:c r="A7" s="36" t="str">
        <x:v>IF-006</x:v>
      </x:c>
      <x:c r="B7" s="36" t="str">
        <x:v>M1→M2</x:v>
      </x:c>
      <x:c r="C7" s="36" t="str">
        <x:v>心动与准入</x:v>
      </x:c>
      <x:c r="D7" s="36" t="str">
        <x:v>P1</x:v>
      </x:c>
      <x:c r="E7" s="36" t="str">
        <x:v>M1高心动、M2证据不足</x:v>
      </x:c>
      <x:c r="F7" s="36" t="str">
        <x:v>分别保留</x:v>
      </x:c>
      <x:c r="G7" s="36" t="str">
        <x:v>心动不得提高准入证据</x:v>
      </x:c>
      <x:c r="H7" s="36" t="str">
        <x:v>M1/M2</x:v>
      </x:c>
    </x:row>
    <x:row r="8">
      <x:c r="A8" s="36" t="str">
        <x:v>IF-007</x:v>
      </x:c>
      <x:c r="B8" s="36" t="str">
        <x:v>M1→M5</x:v>
      </x:c>
      <x:c r="C8" s="36" t="str">
        <x:v>心动与适配</x:v>
      </x:c>
      <x:c r="D8" s="36" t="str">
        <x:v>P0</x:v>
      </x:c>
      <x:c r="E8" s="36" t="str">
        <x:v>心动高、现实结构低</x:v>
      </x:c>
      <x:c r="F8" s="36" t="str">
        <x:v>GT03／低FG</x:v>
      </x:c>
      <x:c r="G8" s="36" t="str">
        <x:v>不得以吸引加长期适配分</x:v>
      </x:c>
      <x:c r="H8" s="36" t="str">
        <x:v>M5.GAP/SYNTH</x:v>
      </x:c>
    </x:row>
    <x:row r="9">
      <x:c r="A9" s="36" t="str">
        <x:v>IF-008</x:v>
      </x:c>
      <x:c r="B9" s="36" t="str">
        <x:v>M2→M3</x:v>
      </x:c>
      <x:c r="C9" s="36" t="str">
        <x:v>进入前后</x:v>
      </x:c>
      <x:c r="D9" s="36" t="str">
        <x:v>P1</x:v>
      </x:c>
      <x:c r="E9" s="36" t="str">
        <x:v>M2确认完成</x:v>
      </x:c>
      <x:c r="F9" s="36" t="str">
        <x:v>M3开始关系内惯性</x:v>
      </x:c>
      <x:c r="G9" s="36" t="str">
        <x:v>确认路径不得当日常事实</x:v>
      </x:c>
      <x:c r="H9" s="36" t="str">
        <x:v>M2.SYNTH→M3</x:v>
      </x:c>
    </x:row>
    <x:row r="10">
      <x:c r="A10" s="36" t="str">
        <x:v>IF-009</x:v>
      </x:c>
      <x:c r="B10" s="36" t="str">
        <x:v>M2.TEMPO→M5.RHYTHM</x:v>
      </x:c>
      <x:c r="C10" s="36" t="str">
        <x:v>节奏分工</x:v>
      </x:c>
      <x:c r="D10" s="36" t="str">
        <x:v>P0</x:v>
      </x:c>
      <x:c r="E10" s="36" t="str">
        <x:v>两类节奏同时存在</x:v>
      </x:c>
      <x:c r="F10" s="36" t="str">
        <x:v>进入前与关系内分别输出</x:v>
      </x:c>
      <x:c r="G10" s="36" t="str">
        <x:v>不得混成一个快慢标签</x:v>
      </x:c>
      <x:c r="H10" s="36" t="str">
        <x:v>M2/M5</x:v>
      </x:c>
    </x:row>
    <x:row r="11">
      <x:c r="A11" s="36" t="str">
        <x:v>IF-010</x:v>
      </x:c>
      <x:c r="B11" s="36" t="str">
        <x:v>M3→M4</x:v>
      </x:c>
      <x:c r="C11" s="36" t="str">
        <x:v>功能与风险</x:v>
      </x:c>
      <x:c r="D11" s="36" t="str">
        <x:v>P0</x:v>
      </x:c>
      <x:c r="E11" s="36" t="str">
        <x:v>正常功能在压力下过用</x:v>
      </x:c>
      <x:c r="F11" s="36" t="str">
        <x:v>保留优势＋生成失衡候选</x:v>
      </x:c>
      <x:c r="G11" s="36" t="str">
        <x:v>不得把功能本身写成病</x:v>
      </x:c>
      <x:c r="H11" s="36" t="str">
        <x:v>M3→M4</x:v>
      </x:c>
    </x:row>
    <x:row r="12">
      <x:c r="A12" s="36" t="str">
        <x:v>IF-011</x:v>
      </x:c>
      <x:c r="B12" s="36" t="str">
        <x:v>M3→M5</x:v>
      </x:c>
      <x:c r="C12" s="36" t="str">
        <x:v>个人与双人</x:v>
      </x:c>
      <x:c r="D12" s="36" t="str">
        <x:v>P0</x:v>
      </x:c>
      <x:c r="E12" s="36" t="str">
        <x:v>M3惯性，无现实对象事件</x:v>
      </x:c>
      <x:c r="F12" s="36" t="str">
        <x:v>M5双人结构保持低证据</x:v>
      </x:c>
      <x:c r="G12" s="36" t="str">
        <x:v>不得形成成熟双人结论</x:v>
      </x:c>
      <x:c r="H12" s="36" t="str">
        <x:v>M3→M5</x:v>
      </x:c>
    </x:row>
    <x:row r="13">
      <x:c r="A13" s="36" t="str">
        <x:v>IF-012</x:v>
      </x:c>
      <x:c r="B13" s="36" t="str">
        <x:v>M3缺口</x:v>
      </x:c>
      <x:c r="C13" s="36" t="str">
        <x:v>依赖</x:v>
      </x:c>
      <x:c r="D13" s="36" t="str">
        <x:v>P0</x:v>
      </x:c>
      <x:c r="E13" s="36" t="str">
        <x:v>调用M3-REPAIR/STATE/SYNTH</x:v>
      </x:c>
      <x:c r="F13" s="36" t="str">
        <x:v>dependency_pending</x:v>
      </x:c>
      <x:c r="G13" s="36" t="str">
        <x:v>不得伪造输出</x:v>
      </x:c>
      <x:c r="H13" s="36" t="str">
        <x:v>M3 pending</x:v>
      </x:c>
    </x:row>
    <x:row r="14">
      <x:c r="A14" s="36" t="str">
        <x:v>IF-013</x:v>
      </x:c>
      <x:c r="B14" s="36" t="str">
        <x:v>M4→M5</x:v>
      </x:c>
      <x:c r="C14" s="36" t="str">
        <x:v>风险历史</x:v>
      </x:c>
      <x:c r="D14" s="36" t="str">
        <x:v>P0</x:v>
      </x:c>
      <x:c r="E14" s="36" t="str">
        <x:v>保护机制已出现</x:v>
      </x:c>
      <x:c r="F14" s="36" t="str">
        <x:v>保留历史风险与当前改变</x:v>
      </x:c>
      <x:c r="G14" s="36" t="str">
        <x:v>保护不得清零历史风险</x:v>
      </x:c>
      <x:c r="H14" s="36" t="str">
        <x:v>M4→M5</x:v>
      </x:c>
    </x:row>
    <x:row r="15">
      <x:c r="A15" s="36" t="str">
        <x:v>IF-014</x:v>
      </x:c>
      <x:c r="B15" s="36" t="str">
        <x:v>PARTNER→EXCHANGE</x:v>
      </x:c>
      <x:c r="C15" s="36" t="str">
        <x:v>个体／双人</x:v>
      </x:c>
      <x:c r="D15" s="36" t="str">
        <x:v>P0</x:v>
      </x:c>
      <x:c r="E15" s="36" t="str">
        <x:v>PV高、XV低</x:v>
      </x:c>
      <x:c r="F15" s="36" t="str">
        <x:v>个人能力与交换分开</x:v>
      </x:c>
      <x:c r="G15" s="36" t="str">
        <x:v>不得写全面适配</x:v>
      </x:c>
      <x:c r="H15" s="36" t="str">
        <x:v>M5</x:v>
      </x:c>
    </x:row>
    <x:row r="16">
      <x:c r="A16" s="36" t="str">
        <x:v>IF-015</x:v>
      </x:c>
      <x:c r="B16" s="36" t="str">
        <x:v>EXCHANGE→BOUND</x:v>
      </x:c>
      <x:c r="C16" s="36" t="str">
        <x:v>互惠／权力</x:v>
      </x:c>
      <x:c r="D16" s="36" t="str">
        <x:v>P0</x:v>
      </x:c>
      <x:c r="E16" s="36" t="str">
        <x:v>XV高、BV低</x:v>
      </x:c>
      <x:c r="F16" s="36" t="str">
        <x:v>边界风险优先</x:v>
      </x:c>
      <x:c r="G16" s="36" t="str">
        <x:v>付出公平不得覆盖同意</x:v>
      </x:c>
      <x:c r="H16" s="36" t="str">
        <x:v>M5</x:v>
      </x:c>
    </x:row>
    <x:row r="17">
      <x:c r="A17" s="36" t="str">
        <x:v>IF-016</x:v>
      </x:c>
      <x:c r="B17" s="36" t="str">
        <x:v>BOUND→REPAIR</x:v>
      </x:c>
      <x:c r="C17" s="36" t="str">
        <x:v>平稳／修复</x:v>
      </x:c>
      <x:c r="D17" s="36" t="str">
        <x:v>P0</x:v>
      </x:c>
      <x:c r="E17" s="36" t="str">
        <x:v>BV高、FV0</x:v>
      </x:c>
      <x:c r="F17" s="36" t="str">
        <x:v>修复标not_assessed</x:v>
      </x:c>
      <x:c r="G17" s="36" t="str">
        <x:v>不得用平时边界替代修复</x:v>
      </x:c>
      <x:c r="H17" s="36" t="str">
        <x:v>M5</x:v>
      </x:c>
    </x:row>
    <x:row r="18">
      <x:c r="A18" s="36" t="str">
        <x:v>IF-017</x:v>
      </x:c>
      <x:c r="B18" s="36" t="str">
        <x:v>REPAIR→RHYTHM</x:v>
      </x:c>
      <x:c r="C18" s="36" t="str">
        <x:v>修复／生活成本</x:v>
      </x:c>
      <x:c r="D18" s="36" t="str">
        <x:v>P0</x:v>
      </x:c>
      <x:c r="E18" s="36" t="str">
        <x:v>FV高、HV低</x:v>
      </x:c>
      <x:c r="F18" s="36" t="str">
        <x:v>保留节奏残余风险</x:v>
      </x:c>
      <x:c r="G18" s="36" t="str">
        <x:v>不得写全面稳定</x:v>
      </x:c>
      <x:c r="H18" s="36" t="str">
        <x:v>M5</x:v>
      </x:c>
    </x:row>
    <x:row r="19">
      <x:c r="A19" s="36" t="str">
        <x:v>IF-018</x:v>
      </x:c>
      <x:c r="B19" s="36" t="str">
        <x:v>RHYTHM→RG</x:v>
      </x:c>
      <x:c r="C19" s="36" t="str">
        <x:v>合拍／核心目标</x:v>
      </x:c>
      <x:c r="D19" s="36" t="str">
        <x:v>P0</x:v>
      </x:c>
      <x:c r="E19" s="36" t="str">
        <x:v>HV高、RG03 fail</x:v>
      </x:c>
      <x:c r="F19" s="36" t="str">
        <x:v>AF08／最高FG2</x:v>
      </x:c>
      <x:c r="G19" s="36" t="str">
        <x:v>现实门槛必须否决</x:v>
      </x:c>
      <x:c r="H19" s="36" t="str">
        <x:v>M5.SYNTH</x:v>
      </x:c>
    </x:row>
    <x:row r="20">
      <x:c r="A20" s="36" t="str">
        <x:v>IF-019</x:v>
      </x:c>
      <x:c r="B20" s="36" t="str">
        <x:v>双命盘模式</x:v>
      </x:c>
      <x:c r="C20" s="36" t="str">
        <x:v>补充输入</x:v>
      </x:c>
      <x:c r="D20" s="36" t="str">
        <x:v>P0</x:v>
      </x:c>
      <x:c r="E20" s="36" t="str">
        <x:v>subject_b命盘存在，无现实事件</x:v>
      </x:c>
      <x:c r="F20" s="36" t="str">
        <x:v>只作结构辅助</x:v>
      </x:c>
      <x:c r="G20" s="36" t="str">
        <x:v>不得替代PV和RG</x:v>
      </x:c>
      <x:c r="H20" s="36" t="str">
        <x:v>two_chart</x:v>
      </x:c>
    </x:row>
    <x:row r="21">
      <x:c r="A21" s="36" t="str">
        <x:v>IF-020</x:v>
      </x:c>
      <x:c r="B21" s="36" t="str">
        <x:v>无对象模式</x:v>
      </x:c>
      <x:c r="C21" s="36" t="str">
        <x:v>模式门控</x:v>
      </x:c>
      <x:c r="D21" s="36" t="str">
        <x:v>P0</x:v>
      </x:c>
      <x:c r="E21" s="36" t="str">
        <x:v>single_chart_relationship_profile</x:v>
      </x:c>
      <x:c r="F21" s="36" t="str">
        <x:v>输出需要与观察标准</x:v>
      </x:c>
      <x:c r="G21" s="36" t="str">
        <x:v>不得评价具体对象或FG3</x:v>
      </x:c>
      <x:c r="H21" s="36" t="str">
        <x:v>analysis_mode</x:v>
      </x:c>
    </x:row>
    <x:row r="22">
      <x:c r="A22" s="36" t="str">
        <x:v>IF-021</x:v>
      </x:c>
      <x:c r="B22" s="36" t="str">
        <x:v>具体对象模式</x:v>
      </x:c>
      <x:c r="C22" s="36" t="str">
        <x:v>模式门控</x:v>
      </x:c>
      <x:c r="D22" s="36" t="str">
        <x:v>P0</x:v>
      </x:c>
      <x:c r="E22" s="36" t="str">
        <x:v>specific_partner_with_reality_data</x:v>
      </x:c>
      <x:c r="F22" s="36" t="str">
        <x:v>要求event_records与RG</x:v>
      </x:c>
      <x:c r="G22" s="36" t="str">
        <x:v>缺资料必须limited</x:v>
      </x:c>
      <x:c r="H22" s="36" t="str">
        <x:v>analysis_mode</x:v>
      </x:c>
    </x:row>
    <x:row r="23">
      <x:c r="A23" s="36" t="str">
        <x:v>IF-022</x:v>
      </x:c>
      <x:c r="B23" s="36" t="str">
        <x:v>安全事实</x:v>
      </x:c>
      <x:c r="C23" s="36" t="str">
        <x:v>全局否决</x:v>
      </x:c>
      <x:c r="D23" s="36" t="str">
        <x:v>P0</x:v>
      </x:c>
      <x:c r="E23" s="36" t="str">
        <x:v>普通正向结论＋安全fail</x:v>
      </x:c>
      <x:c r="F23" s="36" t="str">
        <x:v>report_status=stop</x:v>
      </x:c>
      <x:c r="G23" s="36" t="str">
        <x:v>不得平均为双方问题</x:v>
      </x:c>
      <x:c r="H23" s="36" t="str">
        <x:v>RG01/RG07</x:v>
      </x:c>
    </x:row>
    <x:row r="24">
      <x:c r="A24" s="36" t="str">
        <x:v>IF-023</x:v>
      </x:c>
      <x:c r="B24" s="36" t="str">
        <x:v>核心RG未知</x:v>
      </x:c>
      <x:c r="C24" s="36" t="str">
        <x:v>全局降级</x:v>
      </x:c>
      <x:c r="D24" s="36" t="str">
        <x:v>P0</x:v>
      </x:c>
      <x:c r="E24" s="36" t="str">
        <x:v>核心RG unknown</x:v>
      </x:c>
      <x:c r="F24" s="36" t="str">
        <x:v>最高FG2</x:v>
      </x:c>
      <x:c r="G24" s="36" t="str">
        <x:v>不得因模块分高升级</x:v>
      </x:c>
      <x:c r="H24" s="36" t="str">
        <x:v>M5.SYNTH</x:v>
      </x:c>
    </x:row>
    <x:row r="25">
      <x:c r="A25" s="36" t="str">
        <x:v>IF-024</x:v>
      </x:c>
      <x:c r="B25" s="36" t="str">
        <x:v>source去重</x:v>
      </x:c>
      <x:c r="C25" s="36" t="str">
        <x:v>跨模块</x:v>
      </x:c>
      <x:c r="D25" s="36" t="str">
        <x:v>P0</x:v>
      </x:c>
      <x:c r="E25" s="36" t="str">
        <x:v>同一M0事实命中多个上层规则</x:v>
      </x:c>
      <x:c r="F25" s="36" t="str">
        <x:v>基础权重一次</x:v>
      </x:c>
      <x:c r="G25" s="36" t="str">
        <x:v>角色可分别保留</x:v>
      </x:c>
      <x:c r="H25" s="36" t="str">
        <x:v>provenance</x:v>
      </x:c>
    </x:row>
    <x:row r="26">
      <x:c r="A26" s="36" t="str">
        <x:v>IF-025</x:v>
      </x:c>
      <x:c r="B26" s="36" t="str">
        <x:v>event去重</x:v>
      </x:c>
      <x:c r="C26" s="36" t="str">
        <x:v>跨模块</x:v>
      </x:c>
      <x:c r="D26" s="36" t="str">
        <x:v>P0</x:v>
      </x:c>
      <x:c r="E26" s="36" t="str">
        <x:v>一个事件支持PV/XV/BV/FV/HV</x:v>
      </x:c>
      <x:c r="F26" s="36" t="str">
        <x:v>事件数一次</x:v>
      </x:c>
      <x:c r="G26" s="36" t="str">
        <x:v>不得拆成五次证据</x:v>
      </x:c>
      <x:c r="H26" s="36" t="str">
        <x:v>provenance</x:v>
      </x:c>
    </x:row>
    <x:row r="27">
      <x:c r="A27" s="36" t="str">
        <x:v>IF-026</x:v>
      </x:c>
      <x:c r="B27" s="36" t="str">
        <x:v>字段冲突</x:v>
      </x:c>
      <x:c r="C27" s="36" t="str">
        <x:v>权威</x:v>
      </x:c>
      <x:c r="D27" s="36" t="str">
        <x:v>P0</x:v>
      </x:c>
      <x:c r="E27" s="36" t="str">
        <x:v>低权威与主权威相反</x:v>
      </x:c>
      <x:c r="F27" s="36" t="str">
        <x:v>主权威优先或降级</x:v>
      </x:c>
      <x:c r="G27" s="36" t="str">
        <x:v>不得简单平均</x:v>
      </x:c>
      <x:c r="H27" s="36" t="str">
        <x:v>field_authority</x:v>
      </x:c>
    </x:row>
    <x:row r="28">
      <x:c r="A28" s="36" t="str">
        <x:v>IF-027</x:v>
      </x:c>
      <x:c r="B28" s="36" t="str">
        <x:v>条件性输出</x:v>
      </x:c>
      <x:c r="C28" s="36" t="str">
        <x:v>契约</x:v>
      </x:c>
      <x:c r="D28" s="36" t="str">
        <x:v>P0</x:v>
      </x:c>
      <x:c r="E28" s="36" t="str">
        <x:v>任一字段conditional</x:v>
      </x:c>
      <x:c r="F28" s="36" t="str">
        <x:v>条件、失效点、复核点齐全</x:v>
      </x:c>
      <x:c r="G28" s="36" t="str">
        <x:v>不得只写有条件</x:v>
      </x:c>
      <x:c r="H28" s="36" t="str">
        <x:v>ResultItem</x:v>
      </x:c>
    </x:row>
    <x:row r="29">
      <x:c r="A29" s="36" t="str">
        <x:v>IF-028</x:v>
      </x:c>
      <x:c r="B29" s="36" t="str">
        <x:v>历史／当前</x:v>
      </x:c>
      <x:c r="C29" s="36" t="str">
        <x:v>对象分离</x:v>
      </x:c>
      <x:c r="D29" s="36" t="str">
        <x:v>P1</x:v>
      </x:c>
      <x:c r="E29" s="36" t="str">
        <x:v>历史失败，当前对象相反</x:v>
      </x:c>
      <x:c r="F29" s="36" t="str">
        <x:v>当前按当前证据</x:v>
      </x:c>
      <x:c r="G29" s="36" t="str">
        <x:v>历史仅作背景</x:v>
      </x:c>
      <x:c r="H29" s="36" t="str">
        <x:v>provenance</x:v>
      </x:c>
    </x:row>
    <x:row r="30">
      <x:c r="A30" s="36" t="str">
        <x:v>IF-029</x:v>
      </x:c>
      <x:c r="B30" s="36" t="str">
        <x:v>反馈后新增</x:v>
      </x:c>
      <x:c r="C30" s="36" t="str">
        <x:v>校准</x:v>
      </x:c>
      <x:c r="D30" s="36" t="str">
        <x:v>P0</x:v>
      </x:c>
      <x:c r="E30" s="36" t="str">
        <x:v>查看反馈后才发现规则</x:v>
      </x:c>
      <x:c r="F30" s="36" t="str">
        <x:v>标feedback_after</x:v>
      </x:c>
      <x:c r="G30" s="36" t="str">
        <x:v>不得算预测命中</x:v>
      </x:c>
      <x:c r="H30" s="36" t="str">
        <x:v>calibration</x:v>
      </x:c>
    </x:row>
    <x:row r="31">
      <x:c r="A31" s="37" t="str">
        <x:v>IF-030</x:v>
      </x:c>
      <x:c r="B31" s="37" t="str">
        <x:v>模块Schema</x:v>
      </x:c>
      <x:c r="C31" s="37" t="str">
        <x:v>兼容</x:v>
      </x:c>
      <x:c r="D31" s="37" t="str">
        <x:v>P1</x:v>
      </x:c>
      <x:c r="E31" s="37" t="str">
        <x:v>M4/M5旧Schema payload</x:v>
      </x:c>
      <x:c r="F31" s="37" t="str">
        <x:v>嵌入统一外层契约</x:v>
      </x:c>
      <x:c r="G31" s="37" t="str">
        <x:v>不得无痕覆盖</x:v>
      </x:c>
      <x:c r="H31" s="37" t="str">
        <x:v>legacy_payloads</x:v>
      </x:c>
    </x:row>
  </x:sheetData>
  <x:pageMargins left="0.7" right="0.7" top="0.75" bottom="0.75" header="0.3" footer="0.3"/>
  <x:tableParts count="1">
    <x:tablePart xmlns:r="http://schemas.openxmlformats.org/officeDocument/2006/relationships" r:id="R4319085633274f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2" hidden="0" customWidth="1"/>
    <x:col min="5" max="5" width="50" hidden="0" customWidth="1"/>
    <x:col min="6" max="6" width="48" hidden="0" customWidth="1"/>
    <x:col min="7" max="7" width="58" hidden="0" customWidth="1"/>
    <x:col min="8" max="8" width="58" hidden="0" customWidth="1"/>
    <x:col min="9" max="9" width="42" hidden="0" customWidth="1"/>
    <x:col min="10" max="10" width="16" hidden="0" customWidth="1"/>
  </x:cols>
  <x:sheetData>
    <x:row r="1">
      <x:c r="A1" s="26" t="str">
        <x:v>test_id</x:v>
      </x:c>
      <x:c r="B1" s="26" t="str">
        <x:v>模块ID</x:v>
      </x:c>
      <x:c r="C1" s="26" t="str">
        <x:v>类型</x:v>
      </x:c>
      <x:c r="D1" s="26" t="str">
        <x:v>优先级</x:v>
      </x:c>
      <x:c r="E1" s="26" t="str">
        <x:v>上游</x:v>
      </x:c>
      <x:c r="F1" s="26" t="str">
        <x:v>输入情境</x:v>
      </x:c>
      <x:c r="G1" s="26" t="str">
        <x:v>预期输出</x:v>
      </x:c>
      <x:c r="H1" s="26" t="str">
        <x:v>禁止行为</x:v>
      </x:c>
      <x:c r="I1" s="26" t="str">
        <x:v>示例规则</x:v>
      </x:c>
      <x:c r="J1" s="26" t="str">
        <x:v>状态</x:v>
      </x:c>
    </x:row>
    <x:row r="2">
      <x:c r="A2" s="36" t="str">
        <x:v>UP-001</x:v>
      </x:c>
      <x:c r="B2" s="36" t="str">
        <x:v>M1.CORE</x:v>
      </x:c>
      <x:c r="C2" s="36" t="str">
        <x:v>正向</x:v>
      </x:c>
      <x:c r="D2" s="36" t="str">
        <x:v>P1</x:v>
      </x:c>
      <x:c r="E2" s="36" t="str">
        <x:v>M0.M08/M09/M10/M17/M18/M19</x:v>
      </x:c>
      <x:c r="F2" s="36" t="str">
        <x:v>满足心动偏好核心必要条件</x:v>
      </x:c>
      <x:c r="G2" s="36" t="str">
        <x:v>心动入口与偏好，不负责关系准入、相处、风险或长期适配</x:v>
      </x:c>
      <x:c r="H2" s="36" t="str">
        <x:v>不得覆盖M0基础或下游字段</x:v>
      </x:c>
      <x:c r="I2" s="36" t="str">
        <x:v>M1-CORE-001；M1-CORE-002；M1-CORE-003</x:v>
      </x:c>
      <x:c r="J2" s="36" t="str">
        <x:v>待运行</x:v>
      </x:c>
    </x:row>
    <x:row r="3">
      <x:c r="A3" s="36" t="str">
        <x:v>UP-002</x:v>
      </x:c>
      <x:c r="B3" s="36" t="str">
        <x:v>M1.CORE</x:v>
      </x:c>
      <x:c r="C3" s="36" t="str">
        <x:v>边界</x:v>
      </x:c>
      <x:c r="D3" s="36" t="str">
        <x:v>P0</x:v>
      </x:c>
      <x:c r="E3" s="36" t="str">
        <x:v>M0.M08/M09/M10/M17/M18/M19</x:v>
      </x:c>
      <x:c r="F3" s="36" t="str">
        <x:v>关键上游、状态或现实证据不足</x:v>
      </x:c>
      <x:c r="G3" s="36" t="str">
        <x:v>limited／unknown／dependency_pending</x:v>
      </x:c>
      <x:c r="H3" s="36" t="str">
        <x:v>不得伪造成熟心动入口与偏好，不负责关系准入、相处、风险或长期适配</x:v>
      </x:c>
      <x:c r="I3" s="36" t="str">
        <x:v>M1-CORE-001；M1-CORE-002；M1-CORE-003</x:v>
      </x:c>
      <x:c r="J3" s="36" t="str">
        <x:v>待运行</x:v>
      </x:c>
    </x:row>
    <x:row r="4">
      <x:c r="A4" s="36" t="str">
        <x:v>UP-003</x:v>
      </x:c>
      <x:c r="B4" s="36" t="str">
        <x:v>M2.GATE</x:v>
      </x:c>
      <x:c r="C4" s="36" t="str">
        <x:v>正向</x:v>
      </x:c>
      <x:c r="D4" s="36" t="str">
        <x:v>P1</x:v>
      </x:c>
      <x:c r="E4" s="36" t="str">
        <x:v>M0.M03/M05/M06/M08/M09/M10/M19</x:v>
      </x:c>
      <x:c r="F4" s="36" t="str">
        <x:v>满足夫妻宫关系门槛必要条件</x:v>
      </x:c>
      <x:c r="G4" s="36" t="str">
        <x:v>夫妻宫关系门槛</x:v>
      </x:c>
      <x:c r="H4" s="36" t="str">
        <x:v>不得覆盖M0基础或下游字段</x:v>
      </x:c>
      <x:c r="I4" s="36" t="str">
        <x:v>M2-GATE-001；M2-GATE-002；M2-GATE-003</x:v>
      </x:c>
      <x:c r="J4" s="36" t="str">
        <x:v>待运行</x:v>
      </x:c>
    </x:row>
    <x:row r="5">
      <x:c r="A5" s="36" t="str">
        <x:v>UP-004</x:v>
      </x:c>
      <x:c r="B5" s="36" t="str">
        <x:v>M2.GATE</x:v>
      </x:c>
      <x:c r="C5" s="36" t="str">
        <x:v>边界</x:v>
      </x:c>
      <x:c r="D5" s="36" t="str">
        <x:v>P0</x:v>
      </x:c>
      <x:c r="E5" s="36" t="str">
        <x:v>M0.M03/M05/M06/M08/M09/M10/M19</x:v>
      </x:c>
      <x:c r="F5" s="36" t="str">
        <x:v>关键上游、状态或现实证据不足</x:v>
      </x:c>
      <x:c r="G5" s="36" t="str">
        <x:v>limited／unknown／dependency_pending</x:v>
      </x:c>
      <x:c r="H5" s="36" t="str">
        <x:v>不得伪造成熟夫妻宫关系门槛</x:v>
      </x:c>
      <x:c r="I5" s="36" t="str">
        <x:v>M2-GATE-001；M2-GATE-002；M2-GATE-003</x:v>
      </x:c>
      <x:c r="J5" s="36" t="str">
        <x:v>待运行</x:v>
      </x:c>
    </x:row>
    <x:row r="6">
      <x:c r="A6" s="36" t="str">
        <x:v>UP-005</x:v>
      </x:c>
      <x:c r="B6" s="36" t="str">
        <x:v>M2.CORE</x:v>
      </x:c>
      <x:c r="C6" s="36" t="str">
        <x:v>正向</x:v>
      </x:c>
      <x:c r="D6" s="36" t="str">
        <x:v>P1</x:v>
      </x:c>
      <x:c r="E6" s="36" t="str">
        <x:v>M0.M08/M09/M10/M17/M18/M19</x:v>
      </x:c>
      <x:c r="F6" s="36" t="str">
        <x:v>满足夫妻星关系准入必要条件</x:v>
      </x:c>
      <x:c r="G6" s="36" t="str">
        <x:v>夫妻星关系准入</x:v>
      </x:c>
      <x:c r="H6" s="36" t="str">
        <x:v>不得覆盖M0基础或下游字段</x:v>
      </x:c>
      <x:c r="I6" s="36" t="str">
        <x:v>M2-CORE-001；M2-CORE-002；M2-CORE-003</x:v>
      </x:c>
      <x:c r="J6" s="36" t="str">
        <x:v>待运行</x:v>
      </x:c>
    </x:row>
    <x:row r="7">
      <x:c r="A7" s="36" t="str">
        <x:v>UP-006</x:v>
      </x:c>
      <x:c r="B7" s="36" t="str">
        <x:v>M2.CORE</x:v>
      </x:c>
      <x:c r="C7" s="36" t="str">
        <x:v>边界</x:v>
      </x:c>
      <x:c r="D7" s="36" t="str">
        <x:v>P0</x:v>
      </x:c>
      <x:c r="E7" s="36" t="str">
        <x:v>M0.M08/M09/M10/M17/M18/M19</x:v>
      </x:c>
      <x:c r="F7" s="36" t="str">
        <x:v>关键上游、状态或现实证据不足</x:v>
      </x:c>
      <x:c r="G7" s="36" t="str">
        <x:v>limited／unknown／dependency_pending</x:v>
      </x:c>
      <x:c r="H7" s="36" t="str">
        <x:v>不得伪造成熟夫妻星关系准入</x:v>
      </x:c>
      <x:c r="I7" s="36" t="str">
        <x:v>M2-CORE-001；M2-CORE-002；M2-CORE-003</x:v>
      </x:c>
      <x:c r="J7" s="36" t="str">
        <x:v>待运行</x:v>
      </x:c>
    </x:row>
    <x:row r="8">
      <x:c r="A8" s="36" t="str">
        <x:v>UP-007</x:v>
      </x:c>
      <x:c r="B8" s="36" t="str">
        <x:v>M2.SELF</x:v>
      </x:c>
      <x:c r="C8" s="36" t="str">
        <x:v>正向</x:v>
      </x:c>
      <x:c r="D8" s="36" t="str">
        <x:v>P1</x:v>
      </x:c>
      <x:c r="E8" s="36" t="str">
        <x:v>M2.GATE/M2.CORE/M0.M09/M10</x:v>
      </x:c>
      <x:c r="F8" s="36" t="str">
        <x:v>满足自我选择位置必要条件</x:v>
      </x:c>
      <x:c r="G8" s="36" t="str">
        <x:v>命主自身选择位置</x:v>
      </x:c>
      <x:c r="H8" s="36" t="str">
        <x:v>不得覆盖M0基础或下游字段</x:v>
      </x:c>
      <x:c r="I8" s="36" t="str">
        <x:v>M2-SELF-001；M2-SELF-002；M2-SELF-003</x:v>
      </x:c>
      <x:c r="J8" s="36" t="str">
        <x:v>待运行</x:v>
      </x:c>
    </x:row>
    <x:row r="9">
      <x:c r="A9" s="36" t="str">
        <x:v>UP-008</x:v>
      </x:c>
      <x:c r="B9" s="36" t="str">
        <x:v>M2.SELF</x:v>
      </x:c>
      <x:c r="C9" s="36" t="str">
        <x:v>边界</x:v>
      </x:c>
      <x:c r="D9" s="36" t="str">
        <x:v>P0</x:v>
      </x:c>
      <x:c r="E9" s="36" t="str">
        <x:v>M2.GATE/M2.CORE/M0.M09/M10</x:v>
      </x:c>
      <x:c r="F9" s="36" t="str">
        <x:v>关键上游、状态或现实证据不足</x:v>
      </x:c>
      <x:c r="G9" s="36" t="str">
        <x:v>limited／unknown／dependency_pending</x:v>
      </x:c>
      <x:c r="H9" s="36" t="str">
        <x:v>不得伪造成熟命主自身选择位置</x:v>
      </x:c>
      <x:c r="I9" s="36" t="str">
        <x:v>M2-SELF-001；M2-SELF-002；M2-SELF-003</x:v>
      </x:c>
      <x:c r="J9" s="36" t="str">
        <x:v>待运行</x:v>
      </x:c>
    </x:row>
    <x:row r="10">
      <x:c r="A10" s="36" t="str">
        <x:v>UP-009</x:v>
      </x:c>
      <x:c r="B10" s="36" t="str">
        <x:v>M2.FLOW</x:v>
      </x:c>
      <x:c r="C10" s="36" t="str">
        <x:v>正向</x:v>
      </x:c>
      <x:c r="D10" s="36" t="str">
        <x:v>P1</x:v>
      </x:c>
      <x:c r="E10" s="36" t="str">
        <x:v>M2.GATE/M2.CORE/M2.SELF/M0.M11/M12/M16</x:v>
      </x:c>
      <x:c r="F10" s="36" t="str">
        <x:v>满足关系确认路径必要条件</x:v>
      </x:c>
      <x:c r="G10" s="36" t="str">
        <x:v>确认路径与关系进入顺序</x:v>
      </x:c>
      <x:c r="H10" s="36" t="str">
        <x:v>不得覆盖M0基础或下游字段</x:v>
      </x:c>
      <x:c r="I10" s="36" t="str">
        <x:v>M2-FLOW-001；M2-FLOW-002；M2-FLOW-003</x:v>
      </x:c>
      <x:c r="J10" s="36" t="str">
        <x:v>待运行</x:v>
      </x:c>
    </x:row>
    <x:row r="11">
      <x:c r="A11" s="36" t="str">
        <x:v>UP-010</x:v>
      </x:c>
      <x:c r="B11" s="36" t="str">
        <x:v>M2.FLOW</x:v>
      </x:c>
      <x:c r="C11" s="36" t="str">
        <x:v>边界</x:v>
      </x:c>
      <x:c r="D11" s="36" t="str">
        <x:v>P0</x:v>
      </x:c>
      <x:c r="E11" s="36" t="str">
        <x:v>M2.GATE/M2.CORE/M2.SELF/M0.M11/M12/M16</x:v>
      </x:c>
      <x:c r="F11" s="36" t="str">
        <x:v>关键上游、状态或现实证据不足</x:v>
      </x:c>
      <x:c r="G11" s="36" t="str">
        <x:v>limited／unknown／dependency_pending</x:v>
      </x:c>
      <x:c r="H11" s="36" t="str">
        <x:v>不得伪造成熟确认路径与关系进入顺序</x:v>
      </x:c>
      <x:c r="I11" s="36" t="str">
        <x:v>M2-FLOW-001；M2-FLOW-002；M2-FLOW-003</x:v>
      </x:c>
      <x:c r="J11" s="36" t="str">
        <x:v>待运行</x:v>
      </x:c>
    </x:row>
    <x:row r="12">
      <x:c r="A12" s="36" t="str">
        <x:v>UP-011</x:v>
      </x:c>
      <x:c r="B12" s="36" t="str">
        <x:v>M2.DUAL</x:v>
      </x:c>
      <x:c r="C12" s="36" t="str">
        <x:v>正向</x:v>
      </x:c>
      <x:c r="D12" s="36" t="str">
        <x:v>P1</x:v>
      </x:c>
      <x:c r="E12" s="36" t="str">
        <x:v>M2.GATE/M2.CORE/M2.SELF/M2.FLOW</x:v>
      </x:c>
      <x:c r="F12" s="36" t="str">
        <x:v>满足双重门槛与正偏并见必要条件</x:v>
      </x:c>
      <x:c r="G12" s="36" t="str">
        <x:v>正偏并见与双重门槛</x:v>
      </x:c>
      <x:c r="H12" s="36" t="str">
        <x:v>不得覆盖M0基础或下游字段</x:v>
      </x:c>
      <x:c r="I12" s="36" t="str">
        <x:v>M2-DUAL-001；M2-DUAL-002；M2-DUAL-003</x:v>
      </x:c>
      <x:c r="J12" s="36" t="str">
        <x:v>待运行</x:v>
      </x:c>
    </x:row>
    <x:row r="13">
      <x:c r="A13" s="36" t="str">
        <x:v>UP-012</x:v>
      </x:c>
      <x:c r="B13" s="36" t="str">
        <x:v>M2.DUAL</x:v>
      </x:c>
      <x:c r="C13" s="36" t="str">
        <x:v>边界</x:v>
      </x:c>
      <x:c r="D13" s="36" t="str">
        <x:v>P0</x:v>
      </x:c>
      <x:c r="E13" s="36" t="str">
        <x:v>M2.GATE/M2.CORE/M2.SELF/M2.FLOW</x:v>
      </x:c>
      <x:c r="F13" s="36" t="str">
        <x:v>关键上游、状态或现实证据不足</x:v>
      </x:c>
      <x:c r="G13" s="36" t="str">
        <x:v>limited／unknown／dependency_pending</x:v>
      </x:c>
      <x:c r="H13" s="36" t="str">
        <x:v>不得伪造成熟正偏并见与双重门槛</x:v>
      </x:c>
      <x:c r="I13" s="36" t="str">
        <x:v>M2-DUAL-001；M2-DUAL-002；M2-DUAL-003</x:v>
      </x:c>
      <x:c r="J13" s="36" t="str">
        <x:v>待运行</x:v>
      </x:c>
    </x:row>
    <x:row r="14">
      <x:c r="A14" s="36" t="str">
        <x:v>UP-013</x:v>
      </x:c>
      <x:c r="B14" s="36" t="str">
        <x:v>M2.TEMPO</x:v>
      </x:c>
      <x:c r="C14" s="36" t="str">
        <x:v>正向</x:v>
      </x:c>
      <x:c r="D14" s="36" t="str">
        <x:v>P1</x:v>
      </x:c>
      <x:c r="E14" s="36" t="str">
        <x:v>M2.GATE/M2.CORE/M2.SELF/M2.FLOW/M2.DUAL</x:v>
      </x:c>
      <x:c r="F14" s="36" t="str">
        <x:v>满足确认与进入节奏必要条件</x:v>
      </x:c>
      <x:c r="G14" s="36" t="str">
        <x:v>进入关系前的确认节奏</x:v>
      </x:c>
      <x:c r="H14" s="36" t="str">
        <x:v>不得覆盖M0基础或下游字段</x:v>
      </x:c>
      <x:c r="I14" s="36" t="str">
        <x:v>M2-TEMPO-001；M2-TEMPO-002；M2-TEMPO-003</x:v>
      </x:c>
      <x:c r="J14" s="36" t="str">
        <x:v>待运行</x:v>
      </x:c>
    </x:row>
    <x:row r="15">
      <x:c r="A15" s="36" t="str">
        <x:v>UP-014</x:v>
      </x:c>
      <x:c r="B15" s="36" t="str">
        <x:v>M2.TEMPO</x:v>
      </x:c>
      <x:c r="C15" s="36" t="str">
        <x:v>边界</x:v>
      </x:c>
      <x:c r="D15" s="36" t="str">
        <x:v>P0</x:v>
      </x:c>
      <x:c r="E15" s="36" t="str">
        <x:v>M2.GATE/M2.CORE/M2.SELF/M2.FLOW/M2.DUAL</x:v>
      </x:c>
      <x:c r="F15" s="36" t="str">
        <x:v>关键上游、状态或现实证据不足</x:v>
      </x:c>
      <x:c r="G15" s="36" t="str">
        <x:v>limited／unknown／dependency_pending</x:v>
      </x:c>
      <x:c r="H15" s="36" t="str">
        <x:v>不得伪造成熟进入关系前的确认节奏</x:v>
      </x:c>
      <x:c r="I15" s="36" t="str">
        <x:v>M2-TEMPO-001；M2-TEMPO-002；M2-TEMPO-003</x:v>
      </x:c>
      <x:c r="J15" s="36" t="str">
        <x:v>待运行</x:v>
      </x:c>
    </x:row>
    <x:row r="16">
      <x:c r="A16" s="36" t="str">
        <x:v>UP-015</x:v>
      </x:c>
      <x:c r="B16" s="36" t="str">
        <x:v>M2.SYNTH</x:v>
      </x:c>
      <x:c r="C16" s="36" t="str">
        <x:v>正向</x:v>
      </x:c>
      <x:c r="D16" s="36" t="str">
        <x:v>P1</x:v>
      </x:c>
      <x:c r="E16" s="36" t="str">
        <x:v>M1.CORE/M2.GATE/M2.CORE/M2.SELF/M2.FLOW/M2.DUAL/M2.TEMPO</x:v>
      </x:c>
      <x:c r="F16" s="36" t="str">
        <x:v>满足关系选择总合成必要条件</x:v>
      </x:c>
      <x:c r="G16" s="36" t="str">
        <x:v>关系准入、选择与确认总结果</x:v>
      </x:c>
      <x:c r="H16" s="36" t="str">
        <x:v>不得覆盖M0基础或下游字段</x:v>
      </x:c>
      <x:c r="I16" s="36" t="str">
        <x:v>M2-SYNTH-001；M2-SYNTH-002；M2-SYNTH-003</x:v>
      </x:c>
      <x:c r="J16" s="36" t="str">
        <x:v>待运行</x:v>
      </x:c>
    </x:row>
    <x:row r="17">
      <x:c r="A17" s="36" t="str">
        <x:v>UP-016</x:v>
      </x:c>
      <x:c r="B17" s="36" t="str">
        <x:v>M2.SYNTH</x:v>
      </x:c>
      <x:c r="C17" s="36" t="str">
        <x:v>边界</x:v>
      </x:c>
      <x:c r="D17" s="36" t="str">
        <x:v>P0</x:v>
      </x:c>
      <x:c r="E17" s="36" t="str">
        <x:v>M1.CORE/M2.GATE/M2.CORE/M2.SELF/M2.FLOW/M2.DUAL/M2.TEMPO</x:v>
      </x:c>
      <x:c r="F17" s="36" t="str">
        <x:v>关键上游、状态或现实证据不足</x:v>
      </x:c>
      <x:c r="G17" s="36" t="str">
        <x:v>limited／unknown／dependency_pending</x:v>
      </x:c>
      <x:c r="H17" s="36" t="str">
        <x:v>不得伪造成熟关系准入、选择与确认总结果</x:v>
      </x:c>
      <x:c r="I17" s="36" t="str">
        <x:v>M2-SYNTH-001；M2-SYNTH-002；M2-SYNTH-003</x:v>
      </x:c>
      <x:c r="J17" s="36" t="str">
        <x:v>待运行</x:v>
      </x:c>
    </x:row>
    <x:row r="18">
      <x:c r="A18" s="36" t="str">
        <x:v>UP-017</x:v>
      </x:c>
      <x:c r="B18" s="36" t="str">
        <x:v>M3.BASE</x:v>
      </x:c>
      <x:c r="C18" s="36" t="str">
        <x:v>正向</x:v>
      </x:c>
      <x:c r="D18" s="36" t="str">
        <x:v>P1</x:v>
      </x:c>
      <x:c r="E18" s="36" t="str">
        <x:v>M0.M02-M10/M2.SYNTH</x:v>
      </x:c>
      <x:c r="F18" s="36" t="str">
        <x:v>满足关系运行底盘必要条件</x:v>
      </x:c>
      <x:c r="G18" s="36" t="str">
        <x:v>进入关系后的运行底盘</x:v>
      </x:c>
      <x:c r="H18" s="36" t="str">
        <x:v>不得覆盖M0基础或下游字段</x:v>
      </x:c>
      <x:c r="I18" s="36" t="str">
        <x:v>M3-BASE-001；M3-BASE-002；M3-BASE-003</x:v>
      </x:c>
      <x:c r="J18" s="36" t="str">
        <x:v>待运行</x:v>
      </x:c>
    </x:row>
    <x:row r="19">
      <x:c r="A19" s="36" t="str">
        <x:v>UP-018</x:v>
      </x:c>
      <x:c r="B19" s="36" t="str">
        <x:v>M3.BASE</x:v>
      </x:c>
      <x:c r="C19" s="36" t="str">
        <x:v>边界</x:v>
      </x:c>
      <x:c r="D19" s="36" t="str">
        <x:v>P0</x:v>
      </x:c>
      <x:c r="E19" s="36" t="str">
        <x:v>M0.M02-M10/M2.SYNTH</x:v>
      </x:c>
      <x:c r="F19" s="36" t="str">
        <x:v>关键上游、状态或现实证据不足</x:v>
      </x:c>
      <x:c r="G19" s="36" t="str">
        <x:v>limited／unknown／dependency_pending</x:v>
      </x:c>
      <x:c r="H19" s="36" t="str">
        <x:v>不得伪造成熟进入关系后的运行底盘</x:v>
      </x:c>
      <x:c r="I19" s="36" t="str">
        <x:v>M3-BASE-001；M3-BASE-002；M3-BASE-003</x:v>
      </x:c>
      <x:c r="J19" s="36" t="str">
        <x:v>待运行</x:v>
      </x:c>
    </x:row>
    <x:row r="20">
      <x:c r="A20" s="36" t="str">
        <x:v>UP-019</x:v>
      </x:c>
      <x:c r="B20" s="36" t="str">
        <x:v>M3.EXPR</x:v>
      </x:c>
      <x:c r="C20" s="36" t="str">
        <x:v>正向</x:v>
      </x:c>
      <x:c r="D20" s="36" t="str">
        <x:v>P1</x:v>
      </x:c>
      <x:c r="E20" s="36" t="str">
        <x:v>M3.BASE/M0.M10/M11</x:v>
      </x:c>
      <x:c r="F20" s="36" t="str">
        <x:v>满足情感表达与沟通必要条件</x:v>
      </x:c>
      <x:c r="G20" s="36" t="str">
        <x:v>表达与沟通惯性</x:v>
      </x:c>
      <x:c r="H20" s="36" t="str">
        <x:v>不得覆盖M0基础或下游字段</x:v>
      </x:c>
      <x:c r="I20" s="36" t="str">
        <x:v>M3-EXPR-001；M3-EXPR-002；M3-EXPR-003</x:v>
      </x:c>
      <x:c r="J20" s="36" t="str">
        <x:v>待运行</x:v>
      </x:c>
    </x:row>
    <x:row r="21">
      <x:c r="A21" s="36" t="str">
        <x:v>UP-020</x:v>
      </x:c>
      <x:c r="B21" s="36" t="str">
        <x:v>M3.EXPR</x:v>
      </x:c>
      <x:c r="C21" s="36" t="str">
        <x:v>边界</x:v>
      </x:c>
      <x:c r="D21" s="36" t="str">
        <x:v>P0</x:v>
      </x:c>
      <x:c r="E21" s="36" t="str">
        <x:v>M3.BASE/M0.M10/M11</x:v>
      </x:c>
      <x:c r="F21" s="36" t="str">
        <x:v>关键上游、状态或现实证据不足</x:v>
      </x:c>
      <x:c r="G21" s="36" t="str">
        <x:v>limited／unknown／dependency_pending</x:v>
      </x:c>
      <x:c r="H21" s="36" t="str">
        <x:v>不得伪造成熟表达与沟通惯性</x:v>
      </x:c>
      <x:c r="I21" s="36" t="str">
        <x:v>M3-EXPR-001；M3-EXPR-002；M3-EXPR-003</x:v>
      </x:c>
      <x:c r="J21" s="36" t="str">
        <x:v>待运行</x:v>
      </x:c>
    </x:row>
    <x:row r="22">
      <x:c r="A22" s="36" t="str">
        <x:v>UP-021</x:v>
      </x:c>
      <x:c r="B22" s="36" t="str">
        <x:v>M3.CARE</x:v>
      </x:c>
      <x:c r="C22" s="36" t="str">
        <x:v>正向</x:v>
      </x:c>
      <x:c r="D22" s="36" t="str">
        <x:v>P1</x:v>
      </x:c>
      <x:c r="E22" s="36" t="str">
        <x:v>M3.BASE/M0.M10/M11</x:v>
      </x:c>
      <x:c r="F22" s="36" t="str">
        <x:v>满足付出照顾与支持交换必要条件</x:v>
      </x:c>
      <x:c r="G22" s="36" t="str">
        <x:v>付出照顾与支持交换惯性</x:v>
      </x:c>
      <x:c r="H22" s="36" t="str">
        <x:v>不得覆盖M0基础或下游字段</x:v>
      </x:c>
      <x:c r="I22" s="36" t="str">
        <x:v>M3-CARE-001；M3-CARE-002；M3-CARE-003</x:v>
      </x:c>
      <x:c r="J22" s="36" t="str">
        <x:v>待运行</x:v>
      </x:c>
    </x:row>
    <x:row r="23">
      <x:c r="A23" s="36" t="str">
        <x:v>UP-022</x:v>
      </x:c>
      <x:c r="B23" s="36" t="str">
        <x:v>M3.CARE</x:v>
      </x:c>
      <x:c r="C23" s="36" t="str">
        <x:v>边界</x:v>
      </x:c>
      <x:c r="D23" s="36" t="str">
        <x:v>P0</x:v>
      </x:c>
      <x:c r="E23" s="36" t="str">
        <x:v>M3.BASE/M0.M10/M11</x:v>
      </x:c>
      <x:c r="F23" s="36" t="str">
        <x:v>关键上游、状态或现实证据不足</x:v>
      </x:c>
      <x:c r="G23" s="36" t="str">
        <x:v>limited／unknown／dependency_pending</x:v>
      </x:c>
      <x:c r="H23" s="36" t="str">
        <x:v>不得伪造成熟付出照顾与支持交换惯性</x:v>
      </x:c>
      <x:c r="I23" s="36" t="str">
        <x:v>M3-CARE-001；M3-CARE-002；M3-CARE-003</x:v>
      </x:c>
      <x:c r="J23" s="36" t="str">
        <x:v>待运行</x:v>
      </x:c>
    </x:row>
    <x:row r="24">
      <x:c r="A24" s="36" t="str">
        <x:v>UP-023</x:v>
      </x:c>
      <x:c r="B24" s="36" t="str">
        <x:v>M3.BOUND</x:v>
      </x:c>
      <x:c r="C24" s="36" t="str">
        <x:v>正向</x:v>
      </x:c>
      <x:c r="D24" s="36" t="str">
        <x:v>P1</x:v>
      </x:c>
      <x:c r="E24" s="36" t="str">
        <x:v>M3.BASE/M0.M05/M06/M10</x:v>
      </x:c>
      <x:c r="F24" s="36" t="str">
        <x:v>满足亲密距离、依赖与边界必要条件</x:v>
      </x:c>
      <x:c r="G24" s="36" t="str">
        <x:v>亲密距离与边界惯性</x:v>
      </x:c>
      <x:c r="H24" s="36" t="str">
        <x:v>不得覆盖M0基础或下游字段</x:v>
      </x:c>
      <x:c r="I24" s="36" t="str">
        <x:v>M3-BOUND-001；M3-BOUND-002；M3-BOUND-003</x:v>
      </x:c>
      <x:c r="J24" s="36" t="str">
        <x:v>待运行</x:v>
      </x:c>
    </x:row>
    <x:row r="25">
      <x:c r="A25" s="36" t="str">
        <x:v>UP-024</x:v>
      </x:c>
      <x:c r="B25" s="36" t="str">
        <x:v>M3.BOUND</x:v>
      </x:c>
      <x:c r="C25" s="36" t="str">
        <x:v>边界</x:v>
      </x:c>
      <x:c r="D25" s="36" t="str">
        <x:v>P0</x:v>
      </x:c>
      <x:c r="E25" s="36" t="str">
        <x:v>M3.BASE/M0.M05/M06/M10</x:v>
      </x:c>
      <x:c r="F25" s="36" t="str">
        <x:v>关键上游、状态或现实证据不足</x:v>
      </x:c>
      <x:c r="G25" s="36" t="str">
        <x:v>limited／unknown／dependency_pending</x:v>
      </x:c>
      <x:c r="H25" s="36" t="str">
        <x:v>不得伪造成熟亲密距离与边界惯性</x:v>
      </x:c>
      <x:c r="I25" s="36" t="str">
        <x:v>M3-BOUND-001；M3-BOUND-002；M3-BOUND-003</x:v>
      </x:c>
      <x:c r="J25" s="36" t="str">
        <x:v>待运行</x:v>
      </x:c>
    </x:row>
    <x:row r="26">
      <x:c r="A26" s="36" t="str">
        <x:v>UP-025</x:v>
      </x:c>
      <x:c r="B26" s="36" t="str">
        <x:v>M3.CONFLICT</x:v>
      </x:c>
      <x:c r="C26" s="36" t="str">
        <x:v>正向</x:v>
      </x:c>
      <x:c r="D26" s="36" t="str">
        <x:v>P1</x:v>
      </x:c>
      <x:c r="E26" s="36" t="str">
        <x:v>M3.BASE/M3.EXPR/M3.CARE/M3.BOUND</x:v>
      </x:c>
      <x:c r="F26" s="36" t="str">
        <x:v>满足分歧响应与冲突处理必要条件</x:v>
      </x:c>
      <x:c r="G26" s="36" t="str">
        <x:v>第一分歧响应与冲突处理惯性</x:v>
      </x:c>
      <x:c r="H26" s="36" t="str">
        <x:v>不得覆盖M0基础或下游字段</x:v>
      </x:c>
      <x:c r="I26" s="36" t="str">
        <x:v>M3-CONFLICT-001；M3-CONFLICT-002；M3-CONFLICT-003</x:v>
      </x:c>
      <x:c r="J26" s="36" t="str">
        <x:v>待运行</x:v>
      </x:c>
    </x:row>
    <x:row r="27">
      <x:c r="A27" s="36" t="str">
        <x:v>UP-026</x:v>
      </x:c>
      <x:c r="B27" s="36" t="str">
        <x:v>M3.CONFLICT</x:v>
      </x:c>
      <x:c r="C27" s="36" t="str">
        <x:v>边界</x:v>
      </x:c>
      <x:c r="D27" s="36" t="str">
        <x:v>P0</x:v>
      </x:c>
      <x:c r="E27" s="36" t="str">
        <x:v>M3.BASE/M3.EXPR/M3.CARE/M3.BOUND</x:v>
      </x:c>
      <x:c r="F27" s="36" t="str">
        <x:v>关键上游、状态或现实证据不足</x:v>
      </x:c>
      <x:c r="G27" s="36" t="str">
        <x:v>limited／unknown／dependency_pending</x:v>
      </x:c>
      <x:c r="H27" s="36" t="str">
        <x:v>不得伪造成熟第一分歧响应与冲突处理惯性</x:v>
      </x:c>
      <x:c r="I27" s="36" t="str">
        <x:v>M3-CONFLICT-001；M3-CONFLICT-002；M3-CONFLICT-003</x:v>
      </x:c>
      <x:c r="J27" s="36" t="str">
        <x:v>待运行</x:v>
      </x:c>
    </x:row>
    <x:row r="28">
      <x:c r="A28" s="36" t="str">
        <x:v>UP-027</x:v>
      </x:c>
      <x:c r="B28" s="36" t="str">
        <x:v>M4.BASE</x:v>
      </x:c>
      <x:c r="C28" s="36" t="str">
        <x:v>正向</x:v>
      </x:c>
      <x:c r="D28" s="36" t="str">
        <x:v>P1</x:v>
      </x:c>
      <x:c r="E28" s="36" t="str">
        <x:v>M0/M1/M2/M3</x:v>
      </x:c>
      <x:c r="F28" s="36" t="str">
        <x:v>满足失衡候选底盘必要条件</x:v>
      </x:c>
      <x:c r="G28" s="36" t="str">
        <x:v>失衡候选与主风险底盘</x:v>
      </x:c>
      <x:c r="H28" s="36" t="str">
        <x:v>不得覆盖M0基础或下游字段</x:v>
      </x:c>
      <x:c r="I28" s="36" t="str">
        <x:v>M4-BASE-001；M4-BASE-002；M4-BASE-003</x:v>
      </x:c>
      <x:c r="J28" s="36" t="str">
        <x:v>待运行</x:v>
      </x:c>
    </x:row>
    <x:row r="29">
      <x:c r="A29" s="36" t="str">
        <x:v>UP-028</x:v>
      </x:c>
      <x:c r="B29" s="36" t="str">
        <x:v>M4.BASE</x:v>
      </x:c>
      <x:c r="C29" s="36" t="str">
        <x:v>边界</x:v>
      </x:c>
      <x:c r="D29" s="36" t="str">
        <x:v>P0</x:v>
      </x:c>
      <x:c r="E29" s="36" t="str">
        <x:v>M0/M1/M2/M3</x:v>
      </x:c>
      <x:c r="F29" s="36" t="str">
        <x:v>关键上游、状态或现实证据不足</x:v>
      </x:c>
      <x:c r="G29" s="36" t="str">
        <x:v>limited／unknown／dependency_pending</x:v>
      </x:c>
      <x:c r="H29" s="36" t="str">
        <x:v>不得伪造成熟失衡候选与主风险底盘</x:v>
      </x:c>
      <x:c r="I29" s="36" t="str">
        <x:v>M4-BASE-001；M4-BASE-002；M4-BASE-003</x:v>
      </x:c>
      <x:c r="J29" s="36" t="str">
        <x:v>待运行</x:v>
      </x:c>
    </x:row>
    <x:row r="30">
      <x:c r="A30" s="36" t="str">
        <x:v>UP-029</x:v>
      </x:c>
      <x:c r="B30" s="36" t="str">
        <x:v>M4.MISREAD</x:v>
      </x:c>
      <x:c r="C30" s="36" t="str">
        <x:v>正向</x:v>
      </x:c>
      <x:c r="D30" s="36" t="str">
        <x:v>P1</x:v>
      </x:c>
      <x:c r="E30" s="36" t="str">
        <x:v>M4.BASE/M1/M2</x:v>
      </x:c>
      <x:c r="F30" s="36" t="str">
        <x:v>满足关系识别与证据误读必要条件</x:v>
      </x:c>
      <x:c r="G30" s="36" t="str">
        <x:v>关系识别与证据误读</x:v>
      </x:c>
      <x:c r="H30" s="36" t="str">
        <x:v>不得覆盖M0基础或下游字段</x:v>
      </x:c>
      <x:c r="I30" s="36" t="str">
        <x:v>M4-MISREAD-001；M4-MISREAD-002；M4-MISREAD-003</x:v>
      </x:c>
      <x:c r="J30" s="36" t="str">
        <x:v>待运行</x:v>
      </x:c>
    </x:row>
    <x:row r="31">
      <x:c r="A31" s="36" t="str">
        <x:v>UP-030</x:v>
      </x:c>
      <x:c r="B31" s="36" t="str">
        <x:v>M4.MISREAD</x:v>
      </x:c>
      <x:c r="C31" s="36" t="str">
        <x:v>边界</x:v>
      </x:c>
      <x:c r="D31" s="36" t="str">
        <x:v>P0</x:v>
      </x:c>
      <x:c r="E31" s="36" t="str">
        <x:v>M4.BASE/M1/M2</x:v>
      </x:c>
      <x:c r="F31" s="36" t="str">
        <x:v>关键上游、状态或现实证据不足</x:v>
      </x:c>
      <x:c r="G31" s="36" t="str">
        <x:v>limited／unknown／dependency_pending</x:v>
      </x:c>
      <x:c r="H31" s="36" t="str">
        <x:v>不得伪造成熟关系识别与证据误读</x:v>
      </x:c>
      <x:c r="I31" s="36" t="str">
        <x:v>M4-MISREAD-001；M4-MISREAD-002；M4-MISREAD-003</x:v>
      </x:c>
      <x:c r="J31" s="36" t="str">
        <x:v>待运行</x:v>
      </x:c>
    </x:row>
    <x:row r="32">
      <x:c r="A32" s="36" t="str">
        <x:v>UP-031</x:v>
      </x:c>
      <x:c r="B32" s="36" t="str">
        <x:v>M4.OVERUSE</x:v>
      </x:c>
      <x:c r="C32" s="36" t="str">
        <x:v>正向</x:v>
      </x:c>
      <x:c r="D32" s="36" t="str">
        <x:v>P1</x:v>
      </x:c>
      <x:c r="E32" s="36" t="str">
        <x:v>M4.BASE/M4.MISREAD/M3</x:v>
      </x:c>
      <x:c r="F32" s="36" t="str">
        <x:v>满足功能过用、不足与竞争必要条件</x:v>
      </x:c>
      <x:c r="G32" s="36" t="str">
        <x:v>功能过用、不足与竞争</x:v>
      </x:c>
      <x:c r="H32" s="36" t="str">
        <x:v>不得覆盖M0基础或下游字段</x:v>
      </x:c>
      <x:c r="I32" s="36" t="str">
        <x:v>M4-OVERUSE-001；M4-OVERUSE-002；M4-OVERUSE-003</x:v>
      </x:c>
      <x:c r="J32" s="36" t="str">
        <x:v>待运行</x:v>
      </x:c>
    </x:row>
    <x:row r="33">
      <x:c r="A33" s="36" t="str">
        <x:v>UP-032</x:v>
      </x:c>
      <x:c r="B33" s="36" t="str">
        <x:v>M4.OVERUSE</x:v>
      </x:c>
      <x:c r="C33" s="36" t="str">
        <x:v>边界</x:v>
      </x:c>
      <x:c r="D33" s="36" t="str">
        <x:v>P0</x:v>
      </x:c>
      <x:c r="E33" s="36" t="str">
        <x:v>M4.BASE/M4.MISREAD/M3</x:v>
      </x:c>
      <x:c r="F33" s="36" t="str">
        <x:v>关键上游、状态或现实证据不足</x:v>
      </x:c>
      <x:c r="G33" s="36" t="str">
        <x:v>limited／unknown／dependency_pending</x:v>
      </x:c>
      <x:c r="H33" s="36" t="str">
        <x:v>不得伪造成熟功能过用、不足与竞争</x:v>
      </x:c>
      <x:c r="I33" s="36" t="str">
        <x:v>M4-OVERUSE-001；M4-OVERUSE-002；M4-OVERUSE-003</x:v>
      </x:c>
      <x:c r="J33" s="36" t="str">
        <x:v>待运行</x:v>
      </x:c>
    </x:row>
    <x:row r="34">
      <x:c r="A34" s="36" t="str">
        <x:v>UP-033</x:v>
      </x:c>
      <x:c r="B34" s="36" t="str">
        <x:v>M4.TRIGGER</x:v>
      </x:c>
      <x:c r="C34" s="36" t="str">
        <x:v>正向</x:v>
      </x:c>
      <x:c r="D34" s="36" t="str">
        <x:v>P1</x:v>
      </x:c>
      <x:c r="E34" s="36" t="str">
        <x:v>M4.BASE/M4.MISREAD/M4.OVERUSE/M3.CONFLICT</x:v>
      </x:c>
      <x:c r="F34" s="36" t="str">
        <x:v>满足触发条件、阈值与状态切换必要条件</x:v>
      </x:c>
      <x:c r="G34" s="36" t="str">
        <x:v>触发条件、阈值和状态切换</x:v>
      </x:c>
      <x:c r="H34" s="36" t="str">
        <x:v>不得覆盖M0基础或下游字段</x:v>
      </x:c>
      <x:c r="I34" s="36" t="str">
        <x:v>M4-TRIGGER-001；M4-TRIGGER-002；M4-TRIGGER-003</x:v>
      </x:c>
      <x:c r="J34" s="36" t="str">
        <x:v>待运行</x:v>
      </x:c>
    </x:row>
    <x:row r="35">
      <x:c r="A35" s="36" t="str">
        <x:v>UP-034</x:v>
      </x:c>
      <x:c r="B35" s="36" t="str">
        <x:v>M4.TRIGGER</x:v>
      </x:c>
      <x:c r="C35" s="36" t="str">
        <x:v>边界</x:v>
      </x:c>
      <x:c r="D35" s="36" t="str">
        <x:v>P0</x:v>
      </x:c>
      <x:c r="E35" s="36" t="str">
        <x:v>M4.BASE/M4.MISREAD/M4.OVERUSE/M3.CONFLICT</x:v>
      </x:c>
      <x:c r="F35" s="36" t="str">
        <x:v>关键上游、状态或现实证据不足</x:v>
      </x:c>
      <x:c r="G35" s="36" t="str">
        <x:v>limited／unknown／dependency_pending</x:v>
      </x:c>
      <x:c r="H35" s="36" t="str">
        <x:v>不得伪造成熟触发条件、阈值和状态切换</x:v>
      </x:c>
      <x:c r="I35" s="36" t="str">
        <x:v>M4-TRIGGER-001；M4-TRIGGER-002；M4-TRIGGER-003</x:v>
      </x:c>
      <x:c r="J35" s="36" t="str">
        <x:v>待运行</x:v>
      </x:c>
    </x:row>
    <x:row r="36">
      <x:c r="A36" s="36" t="str">
        <x:v>UP-035</x:v>
      </x:c>
      <x:c r="B36" s="36" t="str">
        <x:v>M4.LOOP</x:v>
      </x:c>
      <x:c r="C36" s="36" t="str">
        <x:v>正向</x:v>
      </x:c>
      <x:c r="D36" s="36" t="str">
        <x:v>P1</x:v>
      </x:c>
      <x:c r="E36" s="36" t="str">
        <x:v>M4.TRIGGER/M4.OVERUSE/M3.CONFLICT</x:v>
      </x:c>
      <x:c r="F36" s="36" t="str">
        <x:v>满足重复互动循环必要条件</x:v>
      </x:c>
      <x:c r="G36" s="36" t="str">
        <x:v>重复互动循环</x:v>
      </x:c>
      <x:c r="H36" s="36" t="str">
        <x:v>不得覆盖M0基础或下游字段</x:v>
      </x:c>
      <x:c r="I36" s="36" t="str">
        <x:v>M4-LOOP-001；M4-LOOP-002；M4-LOOP-003</x:v>
      </x:c>
      <x:c r="J36" s="36" t="str">
        <x:v>待运行</x:v>
      </x:c>
    </x:row>
    <x:row r="37">
      <x:c r="A37" s="36" t="str">
        <x:v>UP-036</x:v>
      </x:c>
      <x:c r="B37" s="36" t="str">
        <x:v>M4.LOOP</x:v>
      </x:c>
      <x:c r="C37" s="36" t="str">
        <x:v>边界</x:v>
      </x:c>
      <x:c r="D37" s="36" t="str">
        <x:v>P0</x:v>
      </x:c>
      <x:c r="E37" s="36" t="str">
        <x:v>M4.TRIGGER/M4.OVERUSE/M3.CONFLICT</x:v>
      </x:c>
      <x:c r="F37" s="36" t="str">
        <x:v>关键上游、状态或现实证据不足</x:v>
      </x:c>
      <x:c r="G37" s="36" t="str">
        <x:v>limited／unknown／dependency_pending</x:v>
      </x:c>
      <x:c r="H37" s="36" t="str">
        <x:v>不得伪造成熟重复互动循环</x:v>
      </x:c>
      <x:c r="I37" s="36" t="str">
        <x:v>M4-LOOP-001；M4-LOOP-002；M4-LOOP-003</x:v>
      </x:c>
      <x:c r="J37" s="36" t="str">
        <x:v>待运行</x:v>
      </x:c>
    </x:row>
    <x:row r="38">
      <x:c r="A38" s="36" t="str">
        <x:v>UP-037</x:v>
      </x:c>
      <x:c r="B38" s="36" t="str">
        <x:v>M4.REPAIR</x:v>
      </x:c>
      <x:c r="C38" s="36" t="str">
        <x:v>正向</x:v>
      </x:c>
      <x:c r="D38" s="36" t="str">
        <x:v>P1</x:v>
      </x:c>
      <x:c r="E38" s="36" t="str">
        <x:v>M4.LOOP/M4.TRIGGER/M3.CONFLICT</x:v>
      </x:c>
      <x:c r="F38" s="36" t="str">
        <x:v>满足修复卡点与回流断点必要条件</x:v>
      </x:c>
      <x:c r="G38" s="36" t="str">
        <x:v>修复卡点与回流断点</x:v>
      </x:c>
      <x:c r="H38" s="36" t="str">
        <x:v>不得覆盖M0基础或下游字段</x:v>
      </x:c>
      <x:c r="I38" s="36" t="str">
        <x:v>M4-REPAIR-001；M4-REPAIR-002；M4-REPAIR-003</x:v>
      </x:c>
      <x:c r="J38" s="36" t="str">
        <x:v>待运行</x:v>
      </x:c>
    </x:row>
    <x:row r="39">
      <x:c r="A39" s="36" t="str">
        <x:v>UP-038</x:v>
      </x:c>
      <x:c r="B39" s="36" t="str">
        <x:v>M4.REPAIR</x:v>
      </x:c>
      <x:c r="C39" s="36" t="str">
        <x:v>边界</x:v>
      </x:c>
      <x:c r="D39" s="36" t="str">
        <x:v>P0</x:v>
      </x:c>
      <x:c r="E39" s="36" t="str">
        <x:v>M4.LOOP/M4.TRIGGER/M3.CONFLICT</x:v>
      </x:c>
      <x:c r="F39" s="36" t="str">
        <x:v>关键上游、状态或现实证据不足</x:v>
      </x:c>
      <x:c r="G39" s="36" t="str">
        <x:v>limited／unknown／dependency_pending</x:v>
      </x:c>
      <x:c r="H39" s="36" t="str">
        <x:v>不得伪造成熟修复卡点与回流断点</x:v>
      </x:c>
      <x:c r="I39" s="36" t="str">
        <x:v>M4-REPAIR-001；M4-REPAIR-002；M4-REPAIR-003</x:v>
      </x:c>
      <x:c r="J39" s="36" t="str">
        <x:v>待运行</x:v>
      </x:c>
    </x:row>
    <x:row r="40">
      <x:c r="A40" s="36" t="str">
        <x:v>UP-039</x:v>
      </x:c>
      <x:c r="B40" s="36" t="str">
        <x:v>M4.BUFFER</x:v>
      </x:c>
      <x:c r="C40" s="36" t="str">
        <x:v>正向</x:v>
      </x:c>
      <x:c r="D40" s="36" t="str">
        <x:v>P1</x:v>
      </x:c>
      <x:c r="E40" s="36" t="str">
        <x:v>M0.M12/M16/M17/M18/M4.REPAIR</x:v>
      </x:c>
      <x:c r="F40" s="36" t="str">
        <x:v>满足调节保护与病药接口必要条件</x:v>
      </x:c>
      <x:c r="G40" s="36" t="str">
        <x:v>保护、调节与病药接口</x:v>
      </x:c>
      <x:c r="H40" s="36" t="str">
        <x:v>不得覆盖M0基础或下游字段</x:v>
      </x:c>
      <x:c r="I40" s="36" t="str">
        <x:v>M4-BUFFER-001；M4-BUFFER-002；M4-BUFFER-003</x:v>
      </x:c>
      <x:c r="J40" s="36" t="str">
        <x:v>待运行</x:v>
      </x:c>
    </x:row>
    <x:row r="41">
      <x:c r="A41" s="36" t="str">
        <x:v>UP-040</x:v>
      </x:c>
      <x:c r="B41" s="36" t="str">
        <x:v>M4.BUFFER</x:v>
      </x:c>
      <x:c r="C41" s="36" t="str">
        <x:v>边界</x:v>
      </x:c>
      <x:c r="D41" s="36" t="str">
        <x:v>P0</x:v>
      </x:c>
      <x:c r="E41" s="36" t="str">
        <x:v>M0.M12/M16/M17/M18/M4.REPAIR</x:v>
      </x:c>
      <x:c r="F41" s="36" t="str">
        <x:v>关键上游、状态或现实证据不足</x:v>
      </x:c>
      <x:c r="G41" s="36" t="str">
        <x:v>limited／unknown／dependency_pending</x:v>
      </x:c>
      <x:c r="H41" s="36" t="str">
        <x:v>不得伪造成熟保护、调节与病药接口</x:v>
      </x:c>
      <x:c r="I41" s="36" t="str">
        <x:v>M4-BUFFER-001；M4-BUFFER-002；M4-BUFFER-003</x:v>
      </x:c>
      <x:c r="J41" s="36" t="str">
        <x:v>待运行</x:v>
      </x:c>
    </x:row>
    <x:row r="42">
      <x:c r="A42" s="36" t="str">
        <x:v>UP-041</x:v>
      </x:c>
      <x:c r="B42" s="36" t="str">
        <x:v>M4.SYNTH</x:v>
      </x:c>
      <x:c r="C42" s="36" t="str">
        <x:v>正向</x:v>
      </x:c>
      <x:c r="D42" s="36" t="str">
        <x:v>P1</x:v>
      </x:c>
      <x:c r="E42" s="36" t="str">
        <x:v>M4.BASE/MISREAD/OVERUSE/TRIGGER/LOOP/REPAIR/BUFFER</x:v>
      </x:c>
      <x:c r="F42" s="36" t="str">
        <x:v>满足关系盲点总合成必要条件</x:v>
      </x:c>
      <x:c r="G42" s="36" t="str">
        <x:v>关系盲点、风险、保护和证据总合成</x:v>
      </x:c>
      <x:c r="H42" s="36" t="str">
        <x:v>不得覆盖M0基础或下游字段</x:v>
      </x:c>
      <x:c r="I42" s="36" t="str">
        <x:v>M4-SYNTH-001；M4-SYNTH-002；M4-SYNTH-003</x:v>
      </x:c>
      <x:c r="J42" s="36" t="str">
        <x:v>待运行</x:v>
      </x:c>
    </x:row>
    <x:row r="43">
      <x:c r="A43" s="36" t="str">
        <x:v>UP-042</x:v>
      </x:c>
      <x:c r="B43" s="36" t="str">
        <x:v>M4.SYNTH</x:v>
      </x:c>
      <x:c r="C43" s="36" t="str">
        <x:v>边界</x:v>
      </x:c>
      <x:c r="D43" s="36" t="str">
        <x:v>P0</x:v>
      </x:c>
      <x:c r="E43" s="36" t="str">
        <x:v>M4.BASE/MISREAD/OVERUSE/TRIGGER/LOOP/REPAIR/BUFFER</x:v>
      </x:c>
      <x:c r="F43" s="36" t="str">
        <x:v>关键上游、状态或现实证据不足</x:v>
      </x:c>
      <x:c r="G43" s="36" t="str">
        <x:v>limited／unknown／dependency_pending</x:v>
      </x:c>
      <x:c r="H43" s="36" t="str">
        <x:v>不得伪造成熟关系盲点、风险、保护和证据总合成</x:v>
      </x:c>
      <x:c r="I43" s="36" t="str">
        <x:v>M4-SYNTH-001；M4-SYNTH-002；M4-SYNTH-003</x:v>
      </x:c>
      <x:c r="J43" s="36" t="str">
        <x:v>待运行</x:v>
      </x:c>
    </x:row>
    <x:row r="44">
      <x:c r="A44" s="36" t="str">
        <x:v>UP-043</x:v>
      </x:c>
      <x:c r="B44" s="36" t="str">
        <x:v>M5.BASE</x:v>
      </x:c>
      <x:c r="C44" s="36" t="str">
        <x:v>正向</x:v>
      </x:c>
      <x:c r="D44" s="36" t="str">
        <x:v>P1</x:v>
      </x:c>
      <x:c r="E44" s="36" t="str">
        <x:v>M0/M1/M2/M3/M4.SYNTH</x:v>
      </x:c>
      <x:c r="F44" s="36" t="str">
        <x:v>满足适配需求底盘与核心必要条件必要条件</x:v>
      </x:c>
      <x:c r="G44" s="36" t="str">
        <x:v>长期适配核心需要</x:v>
      </x:c>
      <x:c r="H44" s="36" t="str">
        <x:v>不得覆盖M0基础或下游字段</x:v>
      </x:c>
      <x:c r="I44" s="36" t="str">
        <x:v>M5-BASE-001；M5-BASE-002；M5-BASE-003</x:v>
      </x:c>
      <x:c r="J44" s="36" t="str">
        <x:v>待运行</x:v>
      </x:c>
    </x:row>
    <x:row r="45">
      <x:c r="A45" s="36" t="str">
        <x:v>UP-044</x:v>
      </x:c>
      <x:c r="B45" s="36" t="str">
        <x:v>M5.BASE</x:v>
      </x:c>
      <x:c r="C45" s="36" t="str">
        <x:v>边界</x:v>
      </x:c>
      <x:c r="D45" s="36" t="str">
        <x:v>P0</x:v>
      </x:c>
      <x:c r="E45" s="36" t="str">
        <x:v>M0/M1/M2/M3/M4.SYNTH</x:v>
      </x:c>
      <x:c r="F45" s="36" t="str">
        <x:v>关键上游、状态或现实证据不足</x:v>
      </x:c>
      <x:c r="G45" s="36" t="str">
        <x:v>limited／unknown／dependency_pending</x:v>
      </x:c>
      <x:c r="H45" s="36" t="str">
        <x:v>不得伪造成熟长期适配核心需要</x:v>
      </x:c>
      <x:c r="I45" s="36" t="str">
        <x:v>M5-BASE-001；M5-BASE-002；M5-BASE-003</x:v>
      </x:c>
      <x:c r="J45" s="36" t="str">
        <x:v>待运行</x:v>
      </x:c>
    </x:row>
    <x:row r="46">
      <x:c r="A46" s="36" t="str">
        <x:v>UP-045</x:v>
      </x:c>
      <x:c r="B46" s="36" t="str">
        <x:v>M5.PARTNER</x:v>
      </x:c>
      <x:c r="C46" s="36" t="str">
        <x:v>正向</x:v>
      </x:c>
      <x:c r="D46" s="36" t="str">
        <x:v>P1</x:v>
      </x:c>
      <x:c r="E46" s="36" t="str">
        <x:v>M5.BASE/M2/M3/M4</x:v>
      </x:c>
      <x:c r="F46" s="36" t="str">
        <x:v>满足伴侣功能画像与可观察行为必要条件</x:v>
      </x:c>
      <x:c r="G46" s="36" t="str">
        <x:v>具体对象可观察功能</x:v>
      </x:c>
      <x:c r="H46" s="36" t="str">
        <x:v>不得覆盖M0基础或下游字段</x:v>
      </x:c>
      <x:c r="I46" s="36" t="str">
        <x:v>M5-PARTNER-001；M5-PARTNER-002；M5-PARTNER-003</x:v>
      </x:c>
      <x:c r="J46" s="36" t="str">
        <x:v>待运行</x:v>
      </x:c>
    </x:row>
    <x:row r="47">
      <x:c r="A47" s="36" t="str">
        <x:v>UP-046</x:v>
      </x:c>
      <x:c r="B47" s="36" t="str">
        <x:v>M5.PARTNER</x:v>
      </x:c>
      <x:c r="C47" s="36" t="str">
        <x:v>边界</x:v>
      </x:c>
      <x:c r="D47" s="36" t="str">
        <x:v>P0</x:v>
      </x:c>
      <x:c r="E47" s="36" t="str">
        <x:v>M5.BASE/M2/M3/M4</x:v>
      </x:c>
      <x:c r="F47" s="36" t="str">
        <x:v>关键上游、状态或现实证据不足</x:v>
      </x:c>
      <x:c r="G47" s="36" t="str">
        <x:v>limited／unknown／dependency_pending</x:v>
      </x:c>
      <x:c r="H47" s="36" t="str">
        <x:v>不得伪造成熟具体对象可观察功能</x:v>
      </x:c>
      <x:c r="I47" s="36" t="str">
        <x:v>M5-PARTNER-001；M5-PARTNER-002；M5-PARTNER-003</x:v>
      </x:c>
      <x:c r="J47" s="36" t="str">
        <x:v>待运行</x:v>
      </x:c>
    </x:row>
    <x:row r="48">
      <x:c r="A48" s="36" t="str">
        <x:v>UP-047</x:v>
      </x:c>
      <x:c r="B48" s="36" t="str">
        <x:v>M5.EXCHANGE</x:v>
      </x:c>
      <x:c r="C48" s="36" t="str">
        <x:v>正向</x:v>
      </x:c>
      <x:c r="D48" s="36" t="str">
        <x:v>P1</x:v>
      </x:c>
      <x:c r="E48" s="36" t="str">
        <x:v>M5.BASE/M5.PARTNER/M3.CARE/M4</x:v>
      </x:c>
      <x:c r="F48" s="36" t="str">
        <x:v>满足表达、支持、投入与双向交换必要条件</x:v>
      </x:c>
      <x:c r="G48" s="36" t="str">
        <x:v>双向交换与负荷回流</x:v>
      </x:c>
      <x:c r="H48" s="36" t="str">
        <x:v>不得覆盖M0基础或下游字段</x:v>
      </x:c>
      <x:c r="I48" s="36" t="str">
        <x:v>M5-EXCHANGE-001；M5-EXCHANGE-002；M5-EXCHANGE-003</x:v>
      </x:c>
      <x:c r="J48" s="36" t="str">
        <x:v>待运行</x:v>
      </x:c>
    </x:row>
    <x:row r="49">
      <x:c r="A49" s="36" t="str">
        <x:v>UP-048</x:v>
      </x:c>
      <x:c r="B49" s="36" t="str">
        <x:v>M5.EXCHANGE</x:v>
      </x:c>
      <x:c r="C49" s="36" t="str">
        <x:v>边界</x:v>
      </x:c>
      <x:c r="D49" s="36" t="str">
        <x:v>P0</x:v>
      </x:c>
      <x:c r="E49" s="36" t="str">
        <x:v>M5.BASE/M5.PARTNER/M3.CARE/M4</x:v>
      </x:c>
      <x:c r="F49" s="36" t="str">
        <x:v>关键上游、状态或现实证据不足</x:v>
      </x:c>
      <x:c r="G49" s="36" t="str">
        <x:v>limited／unknown／dependency_pending</x:v>
      </x:c>
      <x:c r="H49" s="36" t="str">
        <x:v>不得伪造成熟双向交换与负荷回流</x:v>
      </x:c>
      <x:c r="I49" s="36" t="str">
        <x:v>M5-EXCHANGE-001；M5-EXCHANGE-002；M5-EXCHANGE-003</x:v>
      </x:c>
      <x:c r="J49" s="36" t="str">
        <x:v>待运行</x:v>
      </x:c>
    </x:row>
    <x:row r="50">
      <x:c r="A50" s="36" t="str">
        <x:v>UP-049</x:v>
      </x:c>
      <x:c r="B50" s="36" t="str">
        <x:v>M5.BOUND</x:v>
      </x:c>
      <x:c r="C50" s="36" t="str">
        <x:v>正向</x:v>
      </x:c>
      <x:c r="D50" s="36" t="str">
        <x:v>P1</x:v>
      </x:c>
      <x:c r="E50" s="36" t="str">
        <x:v>M5.BASE/M5.PARTNER/M5.EXCHANGE/M3.BOUND/M4</x:v>
      </x:c>
      <x:c r="F50" s="36" t="str">
        <x:v>满足边界、决定权、资源与亲密空间必要条件</x:v>
      </x:c>
      <x:c r="G50" s="36" t="str">
        <x:v>边界、决定权、资源与亲密空间</x:v>
      </x:c>
      <x:c r="H50" s="36" t="str">
        <x:v>不得覆盖M0基础或下游字段</x:v>
      </x:c>
      <x:c r="I50" s="36" t="str">
        <x:v>M5-BOUND-001；M5-BOUND-002；M5-BOUND-003</x:v>
      </x:c>
      <x:c r="J50" s="36" t="str">
        <x:v>待运行</x:v>
      </x:c>
    </x:row>
    <x:row r="51">
      <x:c r="A51" s="36" t="str">
        <x:v>UP-050</x:v>
      </x:c>
      <x:c r="B51" s="36" t="str">
        <x:v>M5.BOUND</x:v>
      </x:c>
      <x:c r="C51" s="36" t="str">
        <x:v>边界</x:v>
      </x:c>
      <x:c r="D51" s="36" t="str">
        <x:v>P0</x:v>
      </x:c>
      <x:c r="E51" s="36" t="str">
        <x:v>M5.BASE/M5.PARTNER/M5.EXCHANGE/M3.BOUND/M4</x:v>
      </x:c>
      <x:c r="F51" s="36" t="str">
        <x:v>关键上游、状态或现实证据不足</x:v>
      </x:c>
      <x:c r="G51" s="36" t="str">
        <x:v>limited／unknown／dependency_pending</x:v>
      </x:c>
      <x:c r="H51" s="36" t="str">
        <x:v>不得伪造成熟边界、决定权、资源与亲密空间</x:v>
      </x:c>
      <x:c r="I51" s="36" t="str">
        <x:v>M5-BOUND-001；M5-BOUND-002；M5-BOUND-003</x:v>
      </x:c>
      <x:c r="J51" s="36" t="str">
        <x:v>待运行</x:v>
      </x:c>
    </x:row>
    <x:row r="52">
      <x:c r="A52" s="36" t="str">
        <x:v>UP-051</x:v>
      </x:c>
      <x:c r="B52" s="36" t="str">
        <x:v>M5.REPAIR</x:v>
      </x:c>
      <x:c r="C52" s="36" t="str">
        <x:v>正向</x:v>
      </x:c>
      <x:c r="D52" s="36" t="str">
        <x:v>P1</x:v>
      </x:c>
      <x:c r="E52" s="36" t="str">
        <x:v>M5.BASE/PARTNER/EXCHANGE/BOUND/M4.REPAIR</x:v>
      </x:c>
      <x:c r="F52" s="36" t="str">
        <x:v>满足冲突顺序、修复协议与状态协同必要条件</x:v>
      </x:c>
      <x:c r="G52" s="36" t="str">
        <x:v>关系修复协议与重新开放</x:v>
      </x:c>
      <x:c r="H52" s="36" t="str">
        <x:v>不得覆盖M0基础或下游字段</x:v>
      </x:c>
      <x:c r="I52" s="36" t="str">
        <x:v>M5-REPAIR-001；M5-REPAIR-002；M5-REPAIR-003</x:v>
      </x:c>
      <x:c r="J52" s="36" t="str">
        <x:v>待运行</x:v>
      </x:c>
    </x:row>
    <x:row r="53">
      <x:c r="A53" s="36" t="str">
        <x:v>UP-052</x:v>
      </x:c>
      <x:c r="B53" s="36" t="str">
        <x:v>M5.REPAIR</x:v>
      </x:c>
      <x:c r="C53" s="36" t="str">
        <x:v>边界</x:v>
      </x:c>
      <x:c r="D53" s="36" t="str">
        <x:v>P0</x:v>
      </x:c>
      <x:c r="E53" s="36" t="str">
        <x:v>M5.BASE/PARTNER/EXCHANGE/BOUND/M4.REPAIR</x:v>
      </x:c>
      <x:c r="F53" s="36" t="str">
        <x:v>关键上游、状态或现实证据不足</x:v>
      </x:c>
      <x:c r="G53" s="36" t="str">
        <x:v>limited／unknown／dependency_pending</x:v>
      </x:c>
      <x:c r="H53" s="36" t="str">
        <x:v>不得伪造成熟关系修复协议与重新开放</x:v>
      </x:c>
      <x:c r="I53" s="36" t="str">
        <x:v>M5-REPAIR-001；M5-REPAIR-002；M5-REPAIR-003</x:v>
      </x:c>
      <x:c r="J53" s="36" t="str">
        <x:v>待运行</x:v>
      </x:c>
    </x:row>
    <x:row r="54">
      <x:c r="A54" s="36" t="str">
        <x:v>UP-053</x:v>
      </x:c>
      <x:c r="B54" s="36" t="str">
        <x:v>M5.RHYTHM</x:v>
      </x:c>
      <x:c r="C54" s="36" t="str">
        <x:v>正向</x:v>
      </x:c>
      <x:c r="D54" s="36" t="str">
        <x:v>P1</x:v>
      </x:c>
      <x:c r="E54" s="36" t="str">
        <x:v>M2.TEMPO/M3/M4/M5.BASE/PARTNER/EXCHANGE/BOUND/REPAIR</x:v>
      </x:c>
      <x:c r="F54" s="36" t="str">
        <x:v>满足推进节奏、生活协同与关系气候必要条件</x:v>
      </x:c>
      <x:c r="G54" s="36" t="str">
        <x:v>长期生活与关系节奏</x:v>
      </x:c>
      <x:c r="H54" s="36" t="str">
        <x:v>不得覆盖M0基础或下游字段</x:v>
      </x:c>
      <x:c r="I54" s="36" t="str">
        <x:v>M5-RHYTHM-001；M5-RHYTHM-002；M5-RHYTHM-003</x:v>
      </x:c>
      <x:c r="J54" s="36" t="str">
        <x:v>待运行</x:v>
      </x:c>
    </x:row>
    <x:row r="55">
      <x:c r="A55" s="36" t="str">
        <x:v>UP-054</x:v>
      </x:c>
      <x:c r="B55" s="36" t="str">
        <x:v>M5.RHYTHM</x:v>
      </x:c>
      <x:c r="C55" s="36" t="str">
        <x:v>边界</x:v>
      </x:c>
      <x:c r="D55" s="36" t="str">
        <x:v>P0</x:v>
      </x:c>
      <x:c r="E55" s="36" t="str">
        <x:v>M2.TEMPO/M3/M4/M5.BASE/PARTNER/EXCHANGE/BOUND/REPAIR</x:v>
      </x:c>
      <x:c r="F55" s="36" t="str">
        <x:v>关键上游、状态或现实证据不足</x:v>
      </x:c>
      <x:c r="G55" s="36" t="str">
        <x:v>limited／unknown／dependency_pending</x:v>
      </x:c>
      <x:c r="H55" s="36" t="str">
        <x:v>不得伪造成熟长期生活与关系节奏</x:v>
      </x:c>
      <x:c r="I55" s="36" t="str">
        <x:v>M5-RHYTHM-001；M5-RHYTHM-002；M5-RHYTHM-003</x:v>
      </x:c>
      <x:c r="J55" s="36" t="str">
        <x:v>待运行</x:v>
      </x:c>
    </x:row>
    <x:row r="56">
      <x:c r="A56" s="36" t="str">
        <x:v>UP-055</x:v>
      </x:c>
      <x:c r="B56" s="36" t="str">
        <x:v>M5.GAP</x:v>
      </x:c>
      <x:c r="C56" s="36" t="str">
        <x:v>正向</x:v>
      </x:c>
      <x:c r="D56" s="36" t="str">
        <x:v>P1</x:v>
      </x:c>
      <x:c r="E56" s="36" t="str">
        <x:v>M1/M2/M3/M4/M5.BASE-PHYTHM</x:v>
      </x:c>
      <x:c r="F56" s="36" t="str">
        <x:v>满足心动、准入、相处、盲点与适配差异必要条件</x:v>
      </x:c>
      <x:c r="G56" s="36" t="str">
        <x:v>心动、准入、相处、盲点与适配差异</x:v>
      </x:c>
      <x:c r="H56" s="36" t="str">
        <x:v>不得覆盖M0基础或下游字段</x:v>
      </x:c>
      <x:c r="I56" s="36" t="str">
        <x:v>M5-GAP-001；M5-GAP-002；M5-GAP-003</x:v>
      </x:c>
      <x:c r="J56" s="36" t="str">
        <x:v>待运行</x:v>
      </x:c>
    </x:row>
    <x:row r="57">
      <x:c r="A57" s="36" t="str">
        <x:v>UP-056</x:v>
      </x:c>
      <x:c r="B57" s="36" t="str">
        <x:v>M5.GAP</x:v>
      </x:c>
      <x:c r="C57" s="36" t="str">
        <x:v>边界</x:v>
      </x:c>
      <x:c r="D57" s="36" t="str">
        <x:v>P0</x:v>
      </x:c>
      <x:c r="E57" s="36" t="str">
        <x:v>M1/M2/M3/M4/M5.BASE-PHYTHM</x:v>
      </x:c>
      <x:c r="F57" s="36" t="str">
        <x:v>关键上游、状态或现实证据不足</x:v>
      </x:c>
      <x:c r="G57" s="36" t="str">
        <x:v>limited／unknown／dependency_pending</x:v>
      </x:c>
      <x:c r="H57" s="36" t="str">
        <x:v>不得伪造成熟心动、准入、相处、盲点与适配差异</x:v>
      </x:c>
      <x:c r="I57" s="36" t="str">
        <x:v>M5-GAP-001；M5-GAP-002；M5-GAP-003</x:v>
      </x:c>
      <x:c r="J57" s="36" t="str">
        <x:v>待运行</x:v>
      </x:c>
    </x:row>
    <x:row r="58">
      <x:c r="A58" s="36" t="str">
        <x:v>UP-057</x:v>
      </x:c>
      <x:c r="B58" s="36" t="str">
        <x:v>M5.SYNTH</x:v>
      </x:c>
      <x:c r="C58" s="36" t="str">
        <x:v>正向</x:v>
      </x:c>
      <x:c r="D58" s="36" t="str">
        <x:v>P1</x:v>
      </x:c>
      <x:c r="E58" s="36" t="str">
        <x:v>M5.BASE/PARTNER/EXCHANGE/BOUND/REPAIR/RHYTHM/GAP＋现实RG</x:v>
      </x:c>
      <x:c r="F58" s="36" t="str">
        <x:v>满足关系适配总合成必要条件</x:v>
      </x:c>
      <x:c r="G58" s="36" t="str">
        <x:v>现实门槛、AF、FG、主次裁决与最终报告</x:v>
      </x:c>
      <x:c r="H58" s="36" t="str">
        <x:v>不得覆盖M0基础或下游字段</x:v>
      </x:c>
      <x:c r="I58" s="36" t="str">
        <x:v>M5-SYNTH-001；M5-SYNTH-002；M5-SYNTH-003</x:v>
      </x:c>
      <x:c r="J58" s="36" t="str">
        <x:v>待运行</x:v>
      </x:c>
    </x:row>
    <x:row r="59">
      <x:c r="A59" s="37" t="str">
        <x:v>UP-058</x:v>
      </x:c>
      <x:c r="B59" s="37" t="str">
        <x:v>M5.SYNTH</x:v>
      </x:c>
      <x:c r="C59" s="37" t="str">
        <x:v>边界</x:v>
      </x:c>
      <x:c r="D59" s="37" t="str">
        <x:v>P0</x:v>
      </x:c>
      <x:c r="E59" s="37" t="str">
        <x:v>M5.BASE/PARTNER/EXCHANGE/BOUND/REPAIR/RHYTHM/GAP＋现实RG</x:v>
      </x:c>
      <x:c r="F59" s="37" t="str">
        <x:v>关键上游、状态或现实证据不足</x:v>
      </x:c>
      <x:c r="G59" s="37" t="str">
        <x:v>limited／unknown／dependency_pending</x:v>
      </x:c>
      <x:c r="H59" s="37" t="str">
        <x:v>不得伪造成熟现实门槛、AF、FG、主次裁决与最终报告</x:v>
      </x:c>
      <x:c r="I59" s="37" t="str">
        <x:v>M5-SYNTH-001；M5-SYNTH-002；M5-SYNTH-003</x:v>
      </x:c>
      <x:c r="J59" s="37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5ab90d88c0094f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4" hidden="0" customWidth="1"/>
    <x:col min="4" max="4" width="12" hidden="0" customWidth="1"/>
    <x:col min="5" max="5" width="62" hidden="0" customWidth="1"/>
    <x:col min="6" max="6" width="72" hidden="0" customWidth="1"/>
    <x:col min="7" max="7" width="58" hidden="0" customWidth="1"/>
    <x:col min="8" max="8" width="18" hidden="0" customWidth="1"/>
    <x:col min="9" max="9" width="16" hidden="0" customWidth="1"/>
  </x:cols>
  <x:sheetData>
    <x:row r="1">
      <x:c r="A1" s="49" t="str">
        <x:v>test_id</x:v>
      </x:c>
      <x:c r="B1" s="49" t="str">
        <x:v>conflict_id</x:v>
      </x:c>
      <x:c r="C1" s="49" t="str">
        <x:v>主题</x:v>
      </x:c>
      <x:c r="D1" s="49" t="str">
        <x:v>优先级</x:v>
      </x:c>
      <x:c r="E1" s="49" t="str">
        <x:v>冲突来源</x:v>
      </x:c>
      <x:c r="F1" s="49" t="str">
        <x:v>预期裁决</x:v>
      </x:c>
      <x:c r="G1" s="49" t="str">
        <x:v>禁止行为</x:v>
      </x:c>
      <x:c r="H1" s="49" t="str">
        <x:v>裁决状态</x:v>
      </x:c>
      <x:c r="I1" s="49" t="str">
        <x:v>状态</x:v>
      </x:c>
    </x:row>
    <x:row r="2">
      <x:c r="A2" s="54" t="str">
        <x:v>CF-T-001</x:v>
      </x:c>
      <x:c r="B2" s="54" t="str">
        <x:v>CF001</x:v>
      </x:c>
      <x:c r="C2" s="54" t="str">
        <x:v>基础力量重复计算</x:v>
      </x:c>
      <x:c r="D2" s="54" t="str">
        <x:v>P0</x:v>
      </x:c>
      <x:c r="E2" s="54" t="str">
        <x:v>M0.M07/M08/M09 与 M1-M5 strength_level/self_strength_status</x:v>
      </x:c>
      <x:c r="F2" s="54" t="str">
        <x:v>M0拥有力量计算权；上层只引用、转译或记录承载影响</x:v>
      </x:c>
      <x:c r="G2" s="54" t="str">
        <x:v>不得回退到旧行为；冲突类型=硬冲突</x:v>
      </x:c>
      <x:c r="H2" s="54" t="str">
        <x:v>已裁决</x:v>
      </x:c>
      <x:c r="I2" s="54" t="str">
        <x:v>待运行</x:v>
      </x:c>
    </x:row>
    <x:row r="3">
      <x:c r="A3" s="54" t="str">
        <x:v>CF-T-002</x:v>
      </x:c>
      <x:c r="B3" s="54" t="str">
        <x:v>CF002</x:v>
      </x:c>
      <x:c r="C3" s="54" t="str">
        <x:v>关系识别直接等于效应</x:v>
      </x:c>
      <x:c r="D3" s="54" t="str">
        <x:v>P0</x:v>
      </x:c>
      <x:c r="E3" s="54" t="str">
        <x:v>M0.M04/M05 与上层刑冲合会解释</x:v>
      </x:c>
      <x:c r="F3" s="54" t="str">
        <x:v>先识别，再由M0.M06判断逐对象效应；不得见冲即拔根、见刑即固定减力</x:v>
      </x:c>
      <x:c r="G3" s="54" t="str">
        <x:v>不得回退到旧行为；冲突类型=硬冲突</x:v>
      </x:c>
      <x:c r="H3" s="54" t="str">
        <x:v>已裁决</x:v>
      </x:c>
      <x:c r="I3" s="54" t="str">
        <x:v>待运行</x:v>
      </x:c>
    </x:row>
    <x:row r="4">
      <x:c r="A4" s="54" t="str">
        <x:v>CF-T-003</x:v>
      </x:c>
      <x:c r="B4" s="54" t="str">
        <x:v>CF003</x:v>
      </x:c>
      <x:c r="C4" s="54" t="str">
        <x:v>喜忌字段越权</x:v>
      </x:c>
      <x:c r="D4" s="54" t="str">
        <x:v>P0</x:v>
      </x:c>
      <x:c r="E4" s="54" t="str">
        <x:v>M0.M17/M18 与 M1-M5 favorability</x:v>
      </x:c>
      <x:c r="F4" s="54" t="str">
        <x:v>M0给出原局五维喜忌；上层只判断该功能在具体关系任务中的顺畅度</x:v>
      </x:c>
      <x:c r="G4" s="54" t="str">
        <x:v>不得回退到旧行为；冲突类型=硬冲突</x:v>
      </x:c>
      <x:c r="H4" s="54" t="str">
        <x:v>已裁决</x:v>
      </x:c>
      <x:c r="I4" s="54" t="str">
        <x:v>待运行</x:v>
      </x:c>
    </x:row>
    <x:row r="5">
      <x:c r="A5" s="54" t="str">
        <x:v>CF-T-004</x:v>
      </x:c>
      <x:c r="B5" s="54" t="str">
        <x:v>CF004</x:v>
      </x:c>
      <x:c r="C5" s="54" t="str">
        <x:v>合化状态重复判断</x:v>
      </x:c>
      <x:c r="D5" s="54" t="str">
        <x:v>P0</x:v>
      </x:c>
      <x:c r="E5" s="54" t="str">
        <x:v>M0.M04/M06/M18 与 M1-M5 transformation_status</x:v>
      </x:c>
      <x:c r="F5" s="54" t="str">
        <x:v>真合化、合而不化和争议由M0确定；上层不能重判</x:v>
      </x:c>
      <x:c r="G5" s="54" t="str">
        <x:v>不得回退到旧行为；冲突类型=硬冲突</x:v>
      </x:c>
      <x:c r="H5" s="54" t="str">
        <x:v>已裁决</x:v>
      </x:c>
      <x:c r="I5" s="54" t="str">
        <x:v>待运行</x:v>
      </x:c>
    </x:row>
    <x:row r="6">
      <x:c r="A6" s="54" t="str">
        <x:v>CF-T-005</x:v>
      </x:c>
      <x:c r="B6" s="54" t="str">
        <x:v>CF005</x:v>
      </x:c>
      <x:c r="C6" s="54" t="str">
        <x:v>M1心动等于适配</x:v>
      </x:c>
      <x:c r="D6" s="54" t="str">
        <x:v>P1</x:v>
      </x:c>
      <x:c r="E6" s="54" t="str">
        <x:v>M1.CORE 与 M5.SYNTH</x:v>
      </x:c>
      <x:c r="F6" s="54" t="str">
        <x:v>心动只解释入口，不增加长期适配基础分；需独立现实行为和RG</x:v>
      </x:c>
      <x:c r="G6" s="54" t="str">
        <x:v>不得回退到旧行为；冲突类型=模型边界</x:v>
      </x:c>
      <x:c r="H6" s="54" t="str">
        <x:v>已裁决</x:v>
      </x:c>
      <x:c r="I6" s="54" t="str">
        <x:v>待运行</x:v>
      </x:c>
    </x:row>
    <x:row r="7">
      <x:c r="A7" s="54" t="str">
        <x:v>CF-T-006</x:v>
      </x:c>
      <x:c r="B7" s="54" t="str">
        <x:v>CF006</x:v>
      </x:c>
      <x:c r="C7" s="54" t="str">
        <x:v>M2准入等于长期成熟</x:v>
      </x:c>
      <x:c r="D7" s="54" t="str">
        <x:v>P1</x:v>
      </x:c>
      <x:c r="E7" s="54" t="str">
        <x:v>M2.SYNTH 与 M5</x:v>
      </x:c>
      <x:c r="F7" s="54" t="str">
        <x:v>通过准入只说明愿意进入关系，不能证明交换、边界、修复和节奏</x:v>
      </x:c>
      <x:c r="G7" s="54" t="str">
        <x:v>不得回退到旧行为；冲突类型=模型边界</x:v>
      </x:c>
      <x:c r="H7" s="54" t="str">
        <x:v>已裁决</x:v>
      </x:c>
      <x:c r="I7" s="54" t="str">
        <x:v>待运行</x:v>
      </x:c>
    </x:row>
    <x:row r="8">
      <x:c r="A8" s="54" t="str">
        <x:v>CF-T-007</x:v>
      </x:c>
      <x:c r="B8" s="54" t="str">
        <x:v>CF007</x:v>
      </x:c>
      <x:c r="C8" s="54" t="str">
        <x:v>M2节奏与M5节奏混用</x:v>
      </x:c>
      <x:c r="D8" s="54" t="str">
        <x:v>P1</x:v>
      </x:c>
      <x:c r="E8" s="54" t="str">
        <x:v>M2.TEMPO 与 M5.RHYTHM</x:v>
      </x:c>
      <x:c r="F8" s="54" t="str">
        <x:v>M2负责进入关系前的确认节奏；M5负责关系建立后的长期节奏</x:v>
      </x:c>
      <x:c r="G8" s="54" t="str">
        <x:v>不得回退到旧行为；冲突类型=字段冲突</x:v>
      </x:c>
      <x:c r="H8" s="54" t="str">
        <x:v>已裁决</x:v>
      </x:c>
      <x:c r="I8" s="54" t="str">
        <x:v>待运行</x:v>
      </x:c>
    </x:row>
    <x:row r="9">
      <x:c r="A9" s="54" t="str">
        <x:v>CF-T-008</x:v>
      </x:c>
      <x:c r="B9" s="54" t="str">
        <x:v>CF008</x:v>
      </x:c>
      <x:c r="C9" s="54" t="str">
        <x:v>M3个人惯性等于双人结构</x:v>
      </x:c>
      <x:c r="D9" s="54" t="str">
        <x:v>P1</x:v>
      </x:c>
      <x:c r="E9" s="54" t="str">
        <x:v>M3 与 M5.EXCHANGE/BOUND/REPAIR/RHYTHM</x:v>
      </x:c>
      <x:c r="F9" s="54" t="str">
        <x:v>M3提供命主自然功能；双人结构必须加入具体对象与现实事件</x:v>
      </x:c>
      <x:c r="G9" s="54" t="str">
        <x:v>不得回退到旧行为；冲突类型=模型边界</x:v>
      </x:c>
      <x:c r="H9" s="54" t="str">
        <x:v>已裁决</x:v>
      </x:c>
      <x:c r="I9" s="54" t="str">
        <x:v>待运行</x:v>
      </x:c>
    </x:row>
    <x:row r="10">
      <x:c r="A10" s="54" t="str">
        <x:v>CF-T-009</x:v>
      </x:c>
      <x:c r="B10" s="54" t="str">
        <x:v>CF009</x:v>
      </x:c>
      <x:c r="C10" s="54" t="str">
        <x:v>M4风险等于现实伤害</x:v>
      </x:c>
      <x:c r="D10" s="54" t="str">
        <x:v>P1</x:v>
      </x:c>
      <x:c r="E10" s="54" t="str">
        <x:v>M4 与现实事件</x:v>
      </x:c>
      <x:c r="F10" s="54" t="str">
        <x:v>M4只输出失衡候选；是否现实发生由event_id和安全资料决定</x:v>
      </x:c>
      <x:c r="G10" s="54" t="str">
        <x:v>不得回退到旧行为；冲突类型=证据冲突</x:v>
      </x:c>
      <x:c r="H10" s="54" t="str">
        <x:v>已裁决</x:v>
      </x:c>
      <x:c r="I10" s="54" t="str">
        <x:v>待运行</x:v>
      </x:c>
    </x:row>
    <x:row r="11">
      <x:c r="A11" s="54" t="str">
        <x:v>CF-T-010</x:v>
      </x:c>
      <x:c r="B11" s="54" t="str">
        <x:v>CF010</x:v>
      </x:c>
      <x:c r="C11" s="54" t="str">
        <x:v>M4保护自动抵消历史风险</x:v>
      </x:c>
      <x:c r="D11" s="54" t="str">
        <x:v>P1</x:v>
      </x:c>
      <x:c r="E11" s="54" t="str">
        <x:v>M4.BUFFER 与 M5.SYNTH</x:v>
      </x:c>
      <x:c r="F11" s="54" t="str">
        <x:v>保护只有在现实调用并改变同一风险链时才有效，历史风险不清零</x:v>
      </x:c>
      <x:c r="G11" s="54" t="str">
        <x:v>不得回退到旧行为；冲突类型=证据冲突</x:v>
      </x:c>
      <x:c r="H11" s="54" t="str">
        <x:v>已裁决</x:v>
      </x:c>
      <x:c r="I11" s="54" t="str">
        <x:v>待运行</x:v>
      </x:c>
    </x:row>
    <x:row r="12">
      <x:c r="A12" s="54" t="str">
        <x:v>CF-T-011</x:v>
      </x:c>
      <x:c r="B12" s="54" t="str">
        <x:v>CF011</x:v>
      </x:c>
      <x:c r="C12" s="54" t="str">
        <x:v>安全风险被平均</x:v>
      </x:c>
      <x:c r="D12" s="54" t="str">
        <x:v>P0</x:v>
      </x:c>
      <x:c r="E12" s="54" t="str">
        <x:v>M4/M5普通双方结构 与 RG01/RG07</x:v>
      </x:c>
      <x:c r="F12" s="54" t="str">
        <x:v>暴力、强迫、监控、经济控制、身体或性越界立即停止普通互补叙事</x:v>
      </x:c>
      <x:c r="G12" s="54" t="str">
        <x:v>不得回退到旧行为；冲突类型=安全冲突</x:v>
      </x:c>
      <x:c r="H12" s="54" t="str">
        <x:v>已裁决</x:v>
      </x:c>
      <x:c r="I12" s="54" t="str">
        <x:v>待运行</x:v>
      </x:c>
    </x:row>
    <x:row r="13">
      <x:c r="A13" s="54" t="str">
        <x:v>CF-T-012</x:v>
      </x:c>
      <x:c r="B13" s="54" t="str">
        <x:v>CF012</x:v>
      </x:c>
      <x:c r="C13" s="54" t="str">
        <x:v>核心现实门槛被结构高分覆盖</x:v>
      </x:c>
      <x:c r="D13" s="54" t="str">
        <x:v>P0</x:v>
      </x:c>
      <x:c r="E13" s="54" t="str">
        <x:v>M5各模块 与 RG02/RG03/RG06/RG07</x:v>
      </x:c>
      <x:c r="F13" s="54" t="str">
        <x:v>核心意图、人生目标、婚育家庭、身体亲密不匹配时最高FG2或停止</x:v>
      </x:c>
      <x:c r="G13" s="54" t="str">
        <x:v>不得回退到旧行为；冲突类型=硬冲突</x:v>
      </x:c>
      <x:c r="H13" s="54" t="str">
        <x:v>已裁决</x:v>
      </x:c>
      <x:c r="I13" s="54" t="str">
        <x:v>待运行</x:v>
      </x:c>
    </x:row>
    <x:row r="14">
      <x:c r="A14" s="54" t="str">
        <x:v>CF-T-013</x:v>
      </x:c>
      <x:c r="B14" s="54" t="str">
        <x:v>CF013</x:v>
      </x:c>
      <x:c r="C14" s="54" t="str">
        <x:v>同一命盘事实跨模块重复加权</x:v>
      </x:c>
      <x:c r="D14" s="54" t="str">
        <x:v>P1</x:v>
      </x:c>
      <x:c r="E14" s="54" t="str">
        <x:v>M0 source 与 M1-M5多个模块</x:v>
      </x:c>
      <x:c r="F14" s="54" t="str">
        <x:v>同一source_id基础权重只计一次，允许多角色解释</x:v>
      </x:c>
      <x:c r="G14" s="54" t="str">
        <x:v>不得回退到旧行为；冲突类型=去重冲突</x:v>
      </x:c>
      <x:c r="H14" s="54" t="str">
        <x:v>已裁决</x:v>
      </x:c>
      <x:c r="I14" s="54" t="str">
        <x:v>待运行</x:v>
      </x:c>
    </x:row>
    <x:row r="15">
      <x:c r="A15" s="54" t="str">
        <x:v>CF-T-014</x:v>
      </x:c>
      <x:c r="B15" s="54" t="str">
        <x:v>CF014</x:v>
      </x:c>
      <x:c r="C15" s="54" t="str">
        <x:v>同一现实事件重复计数</x:v>
      </x:c>
      <x:c r="D15" s="54" t="str">
        <x:v>P1</x:v>
      </x:c>
      <x:c r="E15" s="54" t="str">
        <x:v>PARTNER/EXCHANGE/BOUND/REPAIR/RHYTHM/GAP</x:v>
      </x:c>
      <x:c r="F15" s="54" t="str">
        <x:v>同一event_id只算一次事件，允许支持多个字段</x:v>
      </x:c>
      <x:c r="G15" s="54" t="str">
        <x:v>不得回退到旧行为；冲突类型=去重冲突</x:v>
      </x:c>
      <x:c r="H15" s="54" t="str">
        <x:v>已裁决</x:v>
      </x:c>
      <x:c r="I15" s="54" t="str">
        <x:v>待运行</x:v>
      </x:c>
    </x:row>
    <x:row r="16">
      <x:c r="A16" s="54" t="str">
        <x:v>CF-T-015</x:v>
      </x:c>
      <x:c r="B16" s="54" t="str">
        <x:v>CF015</x:v>
      </x:c>
      <x:c r="C16" s="54" t="str">
        <x:v>M1字段结构不一致</x:v>
      </x:c>
      <x:c r="D16" s="54" t="str">
        <x:v>P1</x:v>
      </x:c>
      <x:c r="E16" s="54" t="str">
        <x:v>M1 26字段 与 M2-M5 31字段</x:v>
      </x:c>
      <x:c r="F16" s="54" t="str">
        <x:v>统一层补充5个空字段：self_strength_status、spouse_star_status、palace_signal、flow_path、distance_level</x:v>
      </x:c>
      <x:c r="G16" s="54" t="str">
        <x:v>不得回退到旧行为；冲突类型=迁移问题</x:v>
      </x:c>
      <x:c r="H16" s="54" t="str">
        <x:v>已处理</x:v>
      </x:c>
      <x:c r="I16" s="54" t="str">
        <x:v>待运行</x:v>
      </x:c>
    </x:row>
    <x:row r="17">
      <x:c r="A17" s="54" t="str">
        <x:v>CF-T-016</x:v>
      </x:c>
      <x:c r="B17" s="54" t="str">
        <x:v>CF016</x:v>
      </x:c>
      <x:c r="C17" s="54" t="str">
        <x:v>规则状态词汇不一致</x:v>
      </x:c>
      <x:c r="D17" s="54" t="str">
        <x:v>P1</x:v>
      </x:c>
      <x:c r="E17" s="54" t="str">
        <x:v>M0采用/待验证/示例 与 上层待验证/已验证/停用</x:v>
      </x:c>
      <x:c r="F17" s="54" t="str">
        <x:v>统一为active/provisional/example/deprecated，同时保留native_status</x:v>
      </x:c>
      <x:c r="G17" s="54" t="str">
        <x:v>不得回退到旧行为；冲突类型=迁移问题</x:v>
      </x:c>
      <x:c r="H17" s="54" t="str">
        <x:v>待实现运行时映射</x:v>
      </x:c>
      <x:c r="I17" s="54" t="str">
        <x:v>待运行</x:v>
      </x:c>
    </x:row>
    <x:row r="18">
      <x:c r="A18" s="54" t="str">
        <x:v>CF-T-017</x:v>
      </x:c>
      <x:c r="B18" s="54" t="str">
        <x:v>CF017</x:v>
      </x:c>
      <x:c r="C18" s="54" t="str">
        <x:v>置信词汇不一致</x:v>
      </x:c>
      <x:c r="D18" s="54" t="str">
        <x:v>P1</x:v>
      </x:c>
      <x:c r="E18" s="54" t="str">
        <x:v>M0较高/中等 与 上层高/中高/中/中低/低</x:v>
      </x:c>
      <x:c r="F18" s="54" t="str">
        <x:v>统一API枚举，保留原始置信文本和映射说明</x:v>
      </x:c>
      <x:c r="G18" s="54" t="str">
        <x:v>不得回退到旧行为；冲突类型=迁移问题</x:v>
      </x:c>
      <x:c r="H18" s="54" t="str">
        <x:v>待实现</x:v>
      </x:c>
      <x:c r="I18" s="54" t="str">
        <x:v>待运行</x:v>
      </x:c>
    </x:row>
    <x:row r="19">
      <x:c r="A19" s="54" t="str">
        <x:v>CF-T-018</x:v>
      </x:c>
      <x:c r="B19" s="54" t="str">
        <x:v>CF018</x:v>
      </x:c>
      <x:c r="C19" s="54" t="str">
        <x:v>Excel日期序列</x:v>
      </x:c>
      <x:c r="D19" s="54" t="str">
        <x:v>P1</x:v>
      </x:c>
      <x:c r="E19" s="54" t="str">
        <x:v>M0更新日期/生效日期为Excel serial</x:v>
      </x:c>
      <x:c r="F19" s="54" t="str">
        <x:v>导入时转ISO-8601；原值保存在native_payload或source_reference</x:v>
      </x:c>
      <x:c r="G19" s="54" t="str">
        <x:v>不得回退到旧行为；冲突类型=数据问题</x:v>
      </x:c>
      <x:c r="H19" s="54" t="str">
        <x:v>待实现</x:v>
      </x:c>
      <x:c r="I19" s="54" t="str">
        <x:v>待运行</x:v>
      </x:c>
    </x:row>
    <x:row r="20">
      <x:c r="A20" s="54" t="str">
        <x:v>CF-T-019</x:v>
      </x:c>
      <x:c r="B20" s="54" t="str">
        <x:v>CF019</x:v>
      </x:c>
      <x:c r="C20" s="54" t="str">
        <x:v>M0测试与治理误加载</x:v>
      </x:c>
      <x:c r="D20" s="54" t="str">
        <x:v>P1</x:v>
      </x:c>
      <x:c r="E20" s="54" t="str">
        <x:v>M0.M20/M21 与 运行时规则</x:v>
      </x:c>
      <x:c r="F20" s="54" t="str">
        <x:v>M20测试案例、M21治理记录不进入普通运行时规则队列</x:v>
      </x:c>
      <x:c r="G20" s="54" t="str">
        <x:v>不得回退到旧行为；冲突类型=运行时冲突</x:v>
      </x:c>
      <x:c r="H20" s="54" t="str">
        <x:v>已裁决</x:v>
      </x:c>
      <x:c r="I20" s="54" t="str">
        <x:v>待运行</x:v>
      </x:c>
    </x:row>
    <x:row r="21">
      <x:c r="A21" s="54" t="str">
        <x:v>CF-T-020</x:v>
      </x:c>
      <x:c r="B21" s="54" t="str">
        <x:v>CF020</x:v>
      </x:c>
      <x:c r="C21" s="54" t="str">
        <x:v>M0输出字段被上层重算</x:v>
      </x:c>
      <x:c r="D21" s="54" t="str">
        <x:v>P1</x:v>
      </x:c>
      <x:c r="E21" s="54" t="str">
        <x:v>M0.M19 与 M1-M5</x:v>
      </x:c>
      <x:c r="F21" s="54" t="str">
        <x:v>M1-M5通过M0 output contract读取；不得从散落原始规则重新推导另一个M0结论</x:v>
      </x:c>
      <x:c r="G21" s="54" t="str">
        <x:v>不得回退到旧行为；冲突类型=接口冲突</x:v>
      </x:c>
      <x:c r="H21" s="54" t="str">
        <x:v>已裁决</x:v>
      </x:c>
      <x:c r="I21" s="54" t="str">
        <x:v>待运行</x:v>
      </x:c>
    </x:row>
    <x:row r="22">
      <x:c r="A22" s="54" t="str">
        <x:v>CF-T-021</x:v>
      </x:c>
      <x:c r="B22" s="54" t="str">
        <x:v>CF021</x:v>
      </x:c>
      <x:c r="C22" s="54" t="str">
        <x:v>M0静态与岁运动态混用</x:v>
      </x:c>
      <x:c r="D22" s="54" t="str">
        <x:v>P1</x:v>
      </x:c>
      <x:c r="E22" s="54" t="str">
        <x:v>M0-M5 与 动态分析</x:v>
      </x:c>
      <x:c r="F22" s="54" t="str">
        <x:v>M0只输出原局静态基准；大运流年和具体时点转D0动态模型</x:v>
      </x:c>
      <x:c r="G22" s="54" t="str">
        <x:v>不得回退到旧行为；冲突类型=职责缺口</x:v>
      </x:c>
      <x:c r="H22" s="54" t="str">
        <x:v>未建设D0</x:v>
      </x:c>
      <x:c r="I22" s="54" t="str">
        <x:v>待运行</x:v>
      </x:c>
    </x:row>
    <x:row r="23">
      <x:c r="A23" s="54" t="str">
        <x:v>CF-T-022</x:v>
      </x:c>
      <x:c r="B23" s="54" t="str">
        <x:v>CF022</x:v>
      </x:c>
      <x:c r="C23" s="54" t="str">
        <x:v>M3模块不完整</x:v>
      </x:c>
      <x:c r="D23" s="54" t="str">
        <x:v>P1</x:v>
      </x:c>
      <x:c r="E23" s="54" t="str">
        <x:v>M3缺REPAIR/STATE/SYNTH</x:v>
      </x:c>
      <x:c r="F23" s="54" t="str">
        <x:v>M4/M5相关接口标provisional并降置信；开发前列入必补项</x:v>
      </x:c>
      <x:c r="G23" s="54" t="str">
        <x:v>不得回退到旧行为；冲突类型=依赖缺口</x:v>
      </x:c>
      <x:c r="H23" s="54" t="str">
        <x:v>未解决</x:v>
      </x:c>
      <x:c r="I23" s="54" t="str">
        <x:v>待运行</x:v>
      </x:c>
    </x:row>
    <x:row r="24">
      <x:c r="A24" s="54" t="str">
        <x:v>CF-T-023</x:v>
      </x:c>
      <x:c r="B24" s="54" t="str">
        <x:v>CF023</x:v>
      </x:c>
      <x:c r="C24" s="54" t="str">
        <x:v>M1仅CORE</x:v>
      </x:c>
      <x:c r="D24" s="54" t="str">
        <x:v>P1</x:v>
      </x:c>
      <x:c r="E24" s="54" t="str">
        <x:v>M1只有核心规则V0.2</x:v>
      </x:c>
      <x:c r="F24" s="54" t="str">
        <x:v>可以运行核心心动模型，但缺少正式总合成、JSON和校准闭环</x:v>
      </x:c>
      <x:c r="G24" s="54" t="str">
        <x:v>不得回退到旧行为；冲突类型=依赖缺口</x:v>
      </x:c>
      <x:c r="H24" s="54" t="str">
        <x:v>未解决</x:v>
      </x:c>
      <x:c r="I24" s="54" t="str">
        <x:v>待运行</x:v>
      </x:c>
    </x:row>
    <x:row r="25">
      <x:c r="A25" s="54" t="str">
        <x:v>CF-T-024</x:v>
      </x:c>
      <x:c r="B25" s="54" t="str">
        <x:v>CF024</x:v>
      </x:c>
      <x:c r="C25" s="54" t="str">
        <x:v>M2局部工作簿缺失</x:v>
      </x:c>
      <x:c r="D25" s="54" t="str">
        <x:v>P1</x:v>
      </x:c>
      <x:c r="E25" s="54" t="str">
        <x:v>M2_GATE、M2_SYNTH只有CSV</x:v>
      </x:c>
      <x:c r="F25" s="54" t="str">
        <x:v>CSV作为规则真源；总规则库V0.8作为阅读入口，不强制补局部xlsx</x:v>
      </x:c>
      <x:c r="G25" s="54" t="str">
        <x:v>不得回退到旧行为；冲突类型=文件差异</x:v>
      </x:c>
      <x:c r="H25" s="54" t="str">
        <x:v>已裁决</x:v>
      </x:c>
      <x:c r="I25" s="54" t="str">
        <x:v>待运行</x:v>
      </x:c>
    </x:row>
    <x:row r="26">
      <x:c r="A26" s="54" t="str">
        <x:v>CF-T-025</x:v>
      </x:c>
      <x:c r="B26" s="54" t="str">
        <x:v>CF025</x:v>
      </x:c>
      <x:c r="C26" s="54" t="str">
        <x:v>M5校准工作簿重复</x:v>
      </x:c>
      <x:c r="D26" s="54" t="str">
        <x:v>P1</x:v>
      </x:c>
      <x:c r="E26" s="54" t="str">
        <x:v>两个V0.10校准工作簿</x:v>
      </x:c>
      <x:c r="F26" s="54" t="str">
        <x:v>以“M5_CALIBRATION_真实案例校准工作台_V0.10.xlsx”为当前版；“真实伴侣…”归档</x:v>
      </x:c>
      <x:c r="G26" s="54" t="str">
        <x:v>不得回退到旧行为；冲突类型=版本冲突</x:v>
      </x:c>
      <x:c r="H26" s="54" t="str">
        <x:v>已裁决</x:v>
      </x:c>
      <x:c r="I26" s="54" t="str">
        <x:v>待运行</x:v>
      </x:c>
    </x:row>
    <x:row r="27">
      <x:c r="A27" s="54" t="str">
        <x:v>CF-T-026</x:v>
      </x:c>
      <x:c r="B27" s="54" t="str">
        <x:v>CF026</x:v>
      </x:c>
      <x:c r="C27" s="54" t="str">
        <x:v>设计文档历史并存</x:v>
      </x:c>
      <x:c r="D27" s="54" t="str">
        <x:v>P1</x:v>
      </x:c>
      <x:c r="E27" s="54" t="str">
        <x:v>M3 V0.1-V0.6、M4 V0.1-V0.9、M5 V0.1-V0.9</x:v>
      </x:c>
      <x:c r="F27" s="54" t="str">
        <x:v>运行时不读取设计文档；最新版本为开发规范，旧版只用于审计</x:v>
      </x:c>
      <x:c r="G27" s="54" t="str">
        <x:v>不得回退到旧行为；冲突类型=版本冲突</x:v>
      </x:c>
      <x:c r="H27" s="54" t="str">
        <x:v>已裁决</x:v>
      </x:c>
      <x:c r="I27" s="54" t="str">
        <x:v>待运行</x:v>
      </x:c>
    </x:row>
    <x:row r="28">
      <x:c r="A28" s="54" t="str">
        <x:v>CF-T-027</x:v>
      </x:c>
      <x:c r="B28" s="54" t="str">
        <x:v>CF027</x:v>
      </x:c>
      <x:c r="C28" s="54" t="str">
        <x:v>模块xlsx与CSV重复</x:v>
      </x:c>
      <x:c r="D28" s="54" t="str">
        <x:v>P1</x:v>
      </x:c>
      <x:c r="E28" s="54" t="str">
        <x:v>同一模块同时有CSV和xlsx</x:v>
      </x:c>
      <x:c r="F28" s="54" t="str">
        <x:v>CSV作为机器规则真源；xlsx作为人工阅读镜像</x:v>
      </x:c>
      <x:c r="G28" s="54" t="str">
        <x:v>不得回退到旧行为；冲突类型=文件重复</x:v>
      </x:c>
      <x:c r="H28" s="54" t="str">
        <x:v>已裁决</x:v>
      </x:c>
      <x:c r="I28" s="54" t="str">
        <x:v>待运行</x:v>
      </x:c>
    </x:row>
    <x:row r="29">
      <x:c r="A29" s="54" t="str">
        <x:v>CF-T-028</x:v>
      </x:c>
      <x:c r="B29" s="54" t="str">
        <x:v>CF028</x:v>
      </x:c>
      <x:c r="C29" s="54" t="str">
        <x:v>模块JSON与统一JSON关系</x:v>
      </x:c>
      <x:c r="D29" s="54" t="str">
        <x:v>P1</x:v>
      </x:c>
      <x:c r="E29" s="54" t="str">
        <x:v>M4/M5独立Schema 与 V1.0统一Schema</x:v>
      </x:c>
      <x:c r="F29" s="54" t="str">
        <x:v>保留模块Schema；统一Schema作为外层封装和跨模块契约，不无痕覆盖</x:v>
      </x:c>
      <x:c r="G29" s="54" t="str">
        <x:v>不得回退到旧行为；冲突类型=Schema冲突</x:v>
      </x:c>
      <x:c r="H29" s="54" t="str">
        <x:v>已裁决</x:v>
      </x:c>
      <x:c r="I29" s="54" t="str">
        <x:v>待运行</x:v>
      </x:c>
    </x:row>
    <x:row r="30">
      <x:c r="A30" s="54" t="str">
        <x:v>CF-T-029</x:v>
      </x:c>
      <x:c r="B30" s="54" t="str">
        <x:v>CF029</x:v>
      </x:c>
      <x:c r="C30" s="54" t="str">
        <x:v>具体对象八字替代现实资料</x:v>
      </x:c>
      <x:c r="D30" s="54" t="str">
        <x:v>P1</x:v>
      </x:c>
      <x:c r="E30" s="54" t="str">
        <x:v>可选对象命盘 与 M5现实证据</x:v>
      </x:c>
      <x:c r="F30" s="54" t="str">
        <x:v>对象命盘可作为辅助结构输入，不能替代对方行为、同意与RG</x:v>
      </x:c>
      <x:c r="G30" s="54" t="str">
        <x:v>不得回退到旧行为；冲突类型=证据边界</x:v>
      </x:c>
      <x:c r="H30" s="54" t="str">
        <x:v>已裁决</x:v>
      </x:c>
      <x:c r="I30" s="54" t="str">
        <x:v>待运行</x:v>
      </x:c>
    </x:row>
    <x:row r="31">
      <x:c r="A31" s="54" t="str">
        <x:v>CF-T-030</x:v>
      </x:c>
      <x:c r="B31" s="54" t="str">
        <x:v>CF030</x:v>
      </x:c>
      <x:c r="C31" s="54" t="str">
        <x:v>传统性别夫妻星口径</x:v>
      </x:c>
      <x:c r="D31" s="54" t="str">
        <x:v>P1</x:v>
      </x:c>
      <x:c r="E31" s="54" t="str">
        <x:v>M1/M2传统男命女命映射</x:v>
      </x:c>
      <x:c r="F31" s="54" t="str">
        <x:v>实现为configurable policy；保留传统默认，但不得强制等同现实性别或关系形式</x:v>
      </x:c>
      <x:c r="G31" s="54" t="str">
        <x:v>不得回退到旧行为；冲突类型=产品配置</x:v>
      </x:c>
      <x:c r="H31" s="54" t="str">
        <x:v>待开发</x:v>
      </x:c>
      <x:c r="I31" s="54" t="str">
        <x:v>待运行</x:v>
      </x:c>
    </x:row>
    <x:row r="32">
      <x:c r="A32" s="54" t="str">
        <x:v>CF-T-031</x:v>
      </x:c>
      <x:c r="B32" s="54" t="str">
        <x:v>CF031</x:v>
      </x:c>
      <x:c r="C32" s="54" t="str">
        <x:v>具体日期预测</x:v>
      </x:c>
      <x:c r="D32" s="54" t="str">
        <x:v>P1</x:v>
      </x:c>
      <x:c r="E32" s="54" t="str">
        <x:v>M0-M5静态结构与用户事件时间问题</x:v>
      </x:c>
      <x:c r="F32" s="54" t="str">
        <x:v>不输出婚期、相遇月、分手日期或固定联系次数；转动态模型与现实计划</x:v>
      </x:c>
      <x:c r="G32" s="54" t="str">
        <x:v>不得回退到旧行为；冲突类型=职责边界</x:v>
      </x:c>
      <x:c r="H32" s="54" t="str">
        <x:v>已裁决</x:v>
      </x:c>
      <x:c r="I32" s="54" t="str">
        <x:v>待运行</x:v>
      </x:c>
    </x:row>
    <x:row r="33">
      <x:c r="A33" s="54" t="str">
        <x:v>CF-T-032</x:v>
      </x:c>
      <x:c r="B33" s="54" t="str">
        <x:v>CF032</x:v>
      </x:c>
      <x:c r="C33" s="54" t="str">
        <x:v>病药术语误作医疗建议</x:v>
      </x:c>
      <x:c r="D33" s="54" t="str">
        <x:v>P1</x:v>
      </x:c>
      <x:c r="E33" s="54" t="str">
        <x:v>M0.M16/M17</x:v>
      </x:c>
      <x:c r="F33" s="54" t="str">
        <x:v>病药为结构比喻，不构成医学诊断、用药或健康建议</x:v>
      </x:c>
      <x:c r="G33" s="54" t="str">
        <x:v>不得回退到旧行为；冲突类型=安全边界</x:v>
      </x:c>
      <x:c r="H33" s="54" t="str">
        <x:v>已裁决</x:v>
      </x:c>
      <x:c r="I33" s="54" t="str">
        <x:v>待运行</x:v>
      </x:c>
    </x:row>
    <x:row r="34">
      <x:c r="A34" s="54" t="str">
        <x:v>CF-T-033</x:v>
      </x:c>
      <x:c r="B34" s="54" t="str">
        <x:v>CF033</x:v>
      </x:c>
      <x:c r="C34" s="54" t="str">
        <x:v>适配等级误作成功率</x:v>
      </x:c>
      <x:c r="D34" s="54" t="str">
        <x:v>P1</x:v>
      </x:c>
      <x:c r="E34" s="54" t="str">
        <x:v>M5 FG/AF</x:v>
      </x:c>
      <x:c r="F34" s="54" t="str">
        <x:v>FG是证据发布等级，AF是当前状态，均不是婚姻成功概率</x:v>
      </x:c>
      <x:c r="G34" s="54" t="str">
        <x:v>不得回退到旧行为；冲突类型=语言冲突</x:v>
      </x:c>
      <x:c r="H34" s="54" t="str">
        <x:v>已裁决</x:v>
      </x:c>
      <x:c r="I34" s="54" t="str">
        <x:v>待运行</x:v>
      </x:c>
    </x:row>
    <x:row r="35">
      <x:c r="A35" s="54" t="str">
        <x:v>CF-T-034</x:v>
      </x:c>
      <x:c r="B35" s="54" t="str">
        <x:v>CF034</x:v>
      </x:c>
      <x:c r="C35" s="54" t="str">
        <x:v>旧规则原地覆盖</x:v>
      </x:c>
      <x:c r="D35" s="54" t="str">
        <x:v>P1</x:v>
      </x:c>
      <x:c r="E35" s="54" t="str">
        <x:v>所有模块</x:v>
      </x:c>
      <x:c r="F35" s="54" t="str">
        <x:v>重大语义修改新建ID或版本映射；旧ID停用但不删除</x:v>
      </x:c>
      <x:c r="G35" s="54" t="str">
        <x:v>不得回退到旧行为；冲突类型=版本治理</x:v>
      </x:c>
      <x:c r="H35" s="54" t="str">
        <x:v>已裁决</x:v>
      </x:c>
      <x:c r="I35" s="54" t="str">
        <x:v>待运行</x:v>
      </x:c>
    </x:row>
    <x:row r="36">
      <x:c r="A36" s="55" t="str">
        <x:v>CF-T-035</x:v>
      </x:c>
      <x:c r="B36" s="55" t="str">
        <x:v>CF035</x:v>
      </x:c>
      <x:c r="C36" s="55" t="str">
        <x:v>预览与stage文件误入运行时</x:v>
      </x:c>
      <x:c r="D36" s="55" t="str">
        <x:v>P1</x:v>
      </x:c>
      <x:c r="E36" s="55" t="str">
        <x:v>PNG、_stage、测试临时文件</x:v>
      </x:c>
      <x:c r="F36" s="55" t="str">
        <x:v>全部归档；运行时只加载权威CSV/Schema/配置</x:v>
      </x:c>
      <x:c r="G36" s="55" t="str">
        <x:v>不得回退到旧行为；冲突类型=文件治理</x:v>
      </x:c>
      <x:c r="H36" s="55" t="str">
        <x:v>已裁决</x:v>
      </x:c>
      <x:c r="I36" s="55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6b520eb85f6c44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54" hidden="0" customWidth="1"/>
    <x:col min="5" max="5" width="66" hidden="0" customWidth="1"/>
    <x:col min="6" max="6" width="56" hidden="0" customWidth="1"/>
    <x:col min="7" max="7" width="16" hidden="0" customWidth="1"/>
  </x:cols>
  <x:sheetData>
    <x:row r="1">
      <x:c r="A1" s="49" t="str">
        <x:v>test_id</x:v>
      </x:c>
      <x:c r="B1" s="49" t="str">
        <x:v>类别</x:v>
      </x:c>
      <x:c r="C1" s="49" t="str">
        <x:v>优先级</x:v>
      </x:c>
      <x:c r="D1" s="49" t="str">
        <x:v>输入情境</x:v>
      </x:c>
      <x:c r="E1" s="49" t="str">
        <x:v>预期结果</x:v>
      </x:c>
      <x:c r="F1" s="49" t="str">
        <x:v>关键断言</x:v>
      </x:c>
      <x:c r="G1" s="49" t="str">
        <x:v>状态</x:v>
      </x:c>
    </x:row>
    <x:row r="2">
      <x:c r="A2" s="54" t="str">
        <x:v>JS-001</x:v>
      </x:c>
      <x:c r="B2" s="54" t="str">
        <x:v>Schema</x:v>
      </x:c>
      <x:c r="C2" s="54" t="str">
        <x:v>P0</x:v>
      </x:c>
      <x:c r="D2" s="54" t="str">
        <x:v>最小合法对象</x:v>
      </x:c>
      <x:c r="E2" s="54" t="str">
        <x:v>通过Draft2020-12验证</x:v>
      </x:c>
      <x:c r="F2" s="54" t="str">
        <x:v>必填字段齐全</x:v>
      </x:c>
      <x:c r="G2" s="54" t="str">
        <x:v>待运行</x:v>
      </x:c>
    </x:row>
    <x:row r="3">
      <x:c r="A3" s="54" t="str">
        <x:v>JS-002</x:v>
      </x:c>
      <x:c r="B3" s="54" t="str">
        <x:v>Schema</x:v>
      </x:c>
      <x:c r="C3" s="54" t="str">
        <x:v>P0</x:v>
      </x:c>
      <x:c r="D3" s="54" t="str">
        <x:v>缺schema_version</x:v>
      </x:c>
      <x:c r="E3" s="54" t="str">
        <x:v>验证失败</x:v>
      </x:c>
      <x:c r="F3" s="54" t="str">
        <x:v>不得自动补版本</x:v>
      </x:c>
      <x:c r="G3" s="54" t="str">
        <x:v>待运行</x:v>
      </x:c>
    </x:row>
    <x:row r="4">
      <x:c r="A4" s="54" t="str">
        <x:v>JS-003</x:v>
      </x:c>
      <x:c r="B4" s="54" t="str">
        <x:v>M0字段</x:v>
      </x:c>
      <x:c r="C4" s="54" t="str">
        <x:v>P0</x:v>
      </x:c>
      <x:c r="D4" s="54" t="str">
        <x:v>m0缺一个report_field</x:v>
      </x:c>
      <x:c r="E4" s="54" t="str">
        <x:v>失败或显式unknown后通过</x:v>
      </x:c>
      <x:c r="F4" s="54" t="str">
        <x:v>不得静默缺失</x:v>
      </x:c>
      <x:c r="G4" s="54" t="str">
        <x:v>待运行</x:v>
      </x:c>
    </x:row>
    <x:row r="5">
      <x:c r="A5" s="54" t="str">
        <x:v>JS-004</x:v>
      </x:c>
      <x:c r="B5" s="54" t="str">
        <x:v>Schema</x:v>
      </x:c>
      <x:c r="C5" s="54" t="str">
        <x:v>P0</x:v>
      </x:c>
      <x:c r="D5" s="54" t="str">
        <x:v>额外未声明顶层字段</x:v>
      </x:c>
      <x:c r="E5" s="54" t="str">
        <x:v>验证失败</x:v>
      </x:c>
      <x:c r="F5" s="54" t="str">
        <x:v>additionalProperties=false</x:v>
      </x:c>
      <x:c r="G5" s="54" t="str">
        <x:v>待运行</x:v>
      </x:c>
    </x:row>
    <x:row r="6">
      <x:c r="A6" s="54" t="str">
        <x:v>JS-005</x:v>
      </x:c>
      <x:c r="B6" s="54" t="str">
        <x:v>版本</x:v>
      </x:c>
      <x:c r="C6" s="54" t="str">
        <x:v>P0</x:v>
      </x:c>
      <x:c r="D6" s="54" t="str">
        <x:v>system_version与源版本不一致</x:v>
      </x:c>
      <x:c r="E6" s="54" t="str">
        <x:v>阻断发布</x:v>
      </x:c>
      <x:c r="F6" s="54" t="str">
        <x:v>版本清单一致</x:v>
      </x:c>
      <x:c r="G6" s="54" t="str">
        <x:v>待运行</x:v>
      </x:c>
    </x:row>
    <x:row r="7">
      <x:c r="A7" s="54" t="str">
        <x:v>JS-006</x:v>
      </x:c>
      <x:c r="B7" s="54" t="str">
        <x:v>ID</x:v>
      </x:c>
      <x:c r="C7" s="54" t="str">
        <x:v>P0</x:v>
      </x:c>
      <x:c r="D7" s="54" t="str">
        <x:v>重复rule_ids</x:v>
      </x:c>
      <x:c r="E7" s="54" t="str">
        <x:v>验证失败／去重</x:v>
      </x:c>
      <x:c r="F7" s="54" t="str">
        <x:v>uniqueItems</x:v>
      </x:c>
      <x:c r="G7" s="54" t="str">
        <x:v>待运行</x:v>
      </x:c>
    </x:row>
    <x:row r="8">
      <x:c r="A8" s="54" t="str">
        <x:v>JS-007</x:v>
      </x:c>
      <x:c r="B8" s="54" t="str">
        <x:v>ID</x:v>
      </x:c>
      <x:c r="C8" s="54" t="str">
        <x:v>P0</x:v>
      </x:c>
      <x:c r="D8" s="54" t="str">
        <x:v>重复source_ids</x:v>
      </x:c>
      <x:c r="E8" s="54" t="str">
        <x:v>验证失败／去重</x:v>
      </x:c>
      <x:c r="F8" s="54" t="str">
        <x:v>同源唯一</x:v>
      </x:c>
      <x:c r="G8" s="54" t="str">
        <x:v>待运行</x:v>
      </x:c>
    </x:row>
    <x:row r="9">
      <x:c r="A9" s="54" t="str">
        <x:v>JS-008</x:v>
      </x:c>
      <x:c r="B9" s="54" t="str">
        <x:v>ID</x:v>
      </x:c>
      <x:c r="C9" s="54" t="str">
        <x:v>P0</x:v>
      </x:c>
      <x:c r="D9" s="54" t="str">
        <x:v>重复event_ids</x:v>
      </x:c>
      <x:c r="E9" s="54" t="str">
        <x:v>验证失败／去重</x:v>
      </x:c>
      <x:c r="F9" s="54" t="str">
        <x:v>同事件唯一</x:v>
      </x:c>
      <x:c r="G9" s="54" t="str">
        <x:v>待运行</x:v>
      </x:c>
    </x:row>
    <x:row r="10">
      <x:c r="A10" s="54" t="str">
        <x:v>JS-009</x:v>
      </x:c>
      <x:c r="B10" s="54" t="str">
        <x:v>ResultItem</x:v>
      </x:c>
      <x:c r="C10" s="54" t="str">
        <x:v>P0</x:v>
      </x:c>
      <x:c r="D10" s="54" t="str">
        <x:v>status=unknown但value为确定断语</x:v>
      </x:c>
      <x:c r="E10" s="54" t="str">
        <x:v>业务失败</x:v>
      </x:c>
      <x:c r="F10" s="54" t="str">
        <x:v>unknown不得伪造确定值</x:v>
      </x:c>
      <x:c r="G10" s="54" t="str">
        <x:v>待运行</x:v>
      </x:c>
    </x:row>
    <x:row r="11">
      <x:c r="A11" s="54" t="str">
        <x:v>JS-010</x:v>
      </x:c>
      <x:c r="B11" s="54" t="str">
        <x:v>ResultItem</x:v>
      </x:c>
      <x:c r="C11" s="54" t="str">
        <x:v>P0</x:v>
      </x:c>
      <x:c r="D11" s="54" t="str">
        <x:v>conditional无conditions</x:v>
      </x:c>
      <x:c r="E11" s="54" t="str">
        <x:v>业务失败</x:v>
      </x:c>
      <x:c r="F11" s="54" t="str">
        <x:v>条件性必须可解释</x:v>
      </x:c>
      <x:c r="G11" s="54" t="str">
        <x:v>待运行</x:v>
      </x:c>
    </x:row>
    <x:row r="12">
      <x:c r="A12" s="54" t="str">
        <x:v>JS-011</x:v>
      </x:c>
      <x:c r="B12" s="54" t="str">
        <x:v>M3</x:v>
      </x:c>
      <x:c r="C12" s="54" t="str">
        <x:v>P0</x:v>
      </x:c>
      <x:c r="D12" s="54" t="str">
        <x:v>缺失模块却status=complete</x:v>
      </x:c>
      <x:c r="E12" s="54" t="str">
        <x:v>业务失败</x:v>
      </x:c>
      <x:c r="F12" s="54" t="str">
        <x:v>必须dependency_pending</x:v>
      </x:c>
      <x:c r="G12" s="54" t="str">
        <x:v>待运行</x:v>
      </x:c>
    </x:row>
    <x:row r="13">
      <x:c r="A13" s="54" t="str">
        <x:v>JS-012</x:v>
      </x:c>
      <x:c r="B13" s="54" t="str">
        <x:v>M5</x:v>
      </x:c>
      <x:c r="C13" s="54" t="str">
        <x:v>P0</x:v>
      </x:c>
      <x:c r="D13" s="54" t="str">
        <x:v>无现实事件但FG3</x:v>
      </x:c>
      <x:c r="E13" s="54" t="str">
        <x:v>业务失败</x:v>
      </x:c>
      <x:c r="F13" s="54" t="str">
        <x:v>最高FG2</x:v>
      </x:c>
      <x:c r="G13" s="54" t="str">
        <x:v>待运行</x:v>
      </x:c>
    </x:row>
    <x:row r="14">
      <x:c r="A14" s="54" t="str">
        <x:v>JS-013</x:v>
      </x:c>
      <x:c r="B14" s="54" t="str">
        <x:v>RG</x:v>
      </x:c>
      <x:c r="C14" s="54" t="str">
        <x:v>P0</x:v>
      </x:c>
      <x:c r="D14" s="54" t="str">
        <x:v>RG01 fail但report_status=complete</x:v>
      </x:c>
      <x:c r="E14" s="54" t="str">
        <x:v>业务失败</x:v>
      </x:c>
      <x:c r="F14" s="54" t="str">
        <x:v>必须stop</x:v>
      </x:c>
      <x:c r="G14" s="54" t="str">
        <x:v>待运行</x:v>
      </x:c>
    </x:row>
    <x:row r="15">
      <x:c r="A15" s="54" t="str">
        <x:v>JS-014</x:v>
      </x:c>
      <x:c r="B15" s="54" t="str">
        <x:v>边界</x:v>
      </x:c>
      <x:c r="C15" s="54" t="str">
        <x:v>P0</x:v>
      </x:c>
      <x:c r="D15" s="54" t="str">
        <x:v>no_specific_event_timing=false</x:v>
      </x:c>
      <x:c r="E15" s="54" t="str">
        <x:v>Schema失败</x:v>
      </x:c>
      <x:c r="F15" s="54" t="str">
        <x:v>硬锁true</x:v>
      </x:c>
      <x:c r="G15" s="54" t="str">
        <x:v>待运行</x:v>
      </x:c>
    </x:row>
    <x:row r="16">
      <x:c r="A16" s="54" t="str">
        <x:v>JS-015</x:v>
      </x:c>
      <x:c r="B16" s="54" t="str">
        <x:v>边界</x:v>
      </x:c>
      <x:c r="C16" s="54" t="str">
        <x:v>P0</x:v>
      </x:c>
      <x:c r="D16" s="54" t="str">
        <x:v>not_a_relationship_directive=false</x:v>
      </x:c>
      <x:c r="E16" s="54" t="str">
        <x:v>Schema失败</x:v>
      </x:c>
      <x:c r="F16" s="54" t="str">
        <x:v>硬锁true</x:v>
      </x:c>
      <x:c r="G16" s="54" t="str">
        <x:v>待运行</x:v>
      </x:c>
    </x:row>
    <x:row r="17">
      <x:c r="A17" s="54" t="str">
        <x:v>JS-016</x:v>
      </x:c>
      <x:c r="B17" s="54" t="str">
        <x:v>出生时间</x:v>
      </x:c>
      <x:c r="C17" s="54" t="str">
        <x:v>P1</x:v>
      </x:c>
      <x:c r="D17" s="54" t="str">
        <x:v>birth_time_status=unknown且填写精确值</x:v>
      </x:c>
      <x:c r="E17" s="54" t="str">
        <x:v>业务警告</x:v>
      </x:c>
      <x:c r="F17" s="54" t="str">
        <x:v>状态与值一致</x:v>
      </x:c>
      <x:c r="G17" s="54" t="str">
        <x:v>待运行</x:v>
      </x:c>
    </x:row>
    <x:row r="18">
      <x:c r="A18" s="54" t="str">
        <x:v>JS-017</x:v>
      </x:c>
      <x:c r="B18" s="54" t="str">
        <x:v>模式</x:v>
      </x:c>
      <x:c r="C18" s="54" t="str">
        <x:v>P0</x:v>
      </x:c>
      <x:c r="D18" s="54" t="str">
        <x:v>single_chart模式返回FG4</x:v>
      </x:c>
      <x:c r="E18" s="54" t="str">
        <x:v>业务失败</x:v>
      </x:c>
      <x:c r="F18" s="54" t="str">
        <x:v>模式上限</x:v>
      </x:c>
      <x:c r="G18" s="54" t="str">
        <x:v>待运行</x:v>
      </x:c>
    </x:row>
    <x:row r="19">
      <x:c r="A19" s="54" t="str">
        <x:v>JS-018</x:v>
      </x:c>
      <x:c r="B19" s="54" t="str">
        <x:v>双命盘</x:v>
      </x:c>
      <x:c r="C19" s="54" t="str">
        <x:v>P1</x:v>
      </x:c>
      <x:c r="D19" s="54" t="str">
        <x:v>subject_b=null</x:v>
      </x:c>
      <x:c r="E19" s="54" t="str">
        <x:v>合法</x:v>
      </x:c>
      <x:c r="F19" s="54" t="str">
        <x:v>subject_b可选</x:v>
      </x:c>
      <x:c r="G19" s="54" t="str">
        <x:v>待运行</x:v>
      </x:c>
    </x:row>
    <x:row r="20">
      <x:c r="A20" s="54" t="str">
        <x:v>JS-019</x:v>
      </x:c>
      <x:c r="B20" s="54" t="str">
        <x:v>日期</x:v>
      </x:c>
      <x:c r="C20" s="54" t="str">
        <x:v>P1</x:v>
      </x:c>
      <x:c r="D20" s="54" t="str">
        <x:v>birth_date格式错误</x:v>
      </x:c>
      <x:c r="E20" s="54" t="str">
        <x:v>Schema失败</x:v>
      </x:c>
      <x:c r="F20" s="54" t="str">
        <x:v>ISO date</x:v>
      </x:c>
      <x:c r="G20" s="54" t="str">
        <x:v>待运行</x:v>
      </x:c>
    </x:row>
    <x:row r="21">
      <x:c r="A21" s="54" t="str">
        <x:v>JS-020</x:v>
      </x:c>
      <x:c r="B21" s="54" t="str">
        <x:v>报告</x:v>
      </x:c>
      <x:c r="C21" s="54" t="str">
        <x:v>P0</x:v>
      </x:c>
      <x:c r="D21" s="54" t="str">
        <x:v>observation_plan超过5项</x:v>
      </x:c>
      <x:c r="E21" s="54" t="str">
        <x:v>Schema失败</x:v>
      </x:c>
      <x:c r="F21" s="54" t="str">
        <x:v>上限5</x:v>
      </x:c>
      <x:c r="G21" s="54" t="str">
        <x:v>待运行</x:v>
      </x:c>
    </x:row>
    <x:row r="22">
      <x:c r="A22" s="54" t="str">
        <x:v>JS-021</x:v>
      </x:c>
      <x:c r="B22" s="54" t="str">
        <x:v>M5观察</x:v>
      </x:c>
      <x:c r="C22" s="54" t="str">
        <x:v>P0</x:v>
      </x:c>
      <x:c r="D22" s="54" t="str">
        <x:v>m5.synth观察超过3项</x:v>
      </x:c>
      <x:c r="E22" s="54" t="str">
        <x:v>Schema失败</x:v>
      </x:c>
      <x:c r="F22" s="54" t="str">
        <x:v>上限3</x:v>
      </x:c>
      <x:c r="G22" s="54" t="str">
        <x:v>待运行</x:v>
      </x:c>
    </x:row>
    <x:row r="23">
      <x:c r="A23" s="54" t="str">
        <x:v>JS-022</x:v>
      </x:c>
      <x:c r="B23" s="54" t="str">
        <x:v>provenance</x:v>
      </x:c>
      <x:c r="C23" s="54" t="str">
        <x:v>P0</x:v>
      </x:c>
      <x:c r="D23" s="54" t="str">
        <x:v>最终结论无rule_ids</x:v>
      </x:c>
      <x:c r="E23" s="54" t="str">
        <x:v>业务失败</x:v>
      </x:c>
      <x:c r="F23" s="54" t="str">
        <x:v>结论可追溯</x:v>
      </x:c>
      <x:c r="G23" s="54" t="str">
        <x:v>待运行</x:v>
      </x:c>
    </x:row>
    <x:row r="24">
      <x:c r="A24" s="54" t="str">
        <x:v>JS-023</x:v>
      </x:c>
      <x:c r="B24" s="54" t="str">
        <x:v>decision_log</x:v>
      </x:c>
      <x:c r="C24" s="54" t="str">
        <x:v>P1</x:v>
      </x:c>
      <x:c r="D24" s="54" t="str">
        <x:v>冲突裁决无decision_id</x:v>
      </x:c>
      <x:c r="E24" s="54" t="str">
        <x:v>业务失败</x:v>
      </x:c>
      <x:c r="F24" s="54" t="str">
        <x:v>裁决可审计</x:v>
      </x:c>
      <x:c r="G24" s="54" t="str">
        <x:v>待运行</x:v>
      </x:c>
    </x:row>
    <x:row r="25">
      <x:c r="A25" s="54" t="str">
        <x:v>JS-024</x:v>
      </x:c>
      <x:c r="B25" s="54" t="str">
        <x:v>legacy</x:v>
      </x:c>
      <x:c r="C25" s="54" t="str">
        <x:v>P2</x:v>
      </x:c>
      <x:c r="D25" s="54" t="str">
        <x:v>包含旧M5 Schema payload</x:v>
      </x:c>
      <x:c r="E25" s="54" t="str">
        <x:v>合法</x:v>
      </x:c>
      <x:c r="F25" s="54" t="str">
        <x:v>仅放legacy_payloads</x:v>
      </x:c>
      <x:c r="G25" s="54" t="str">
        <x:v>待运行</x:v>
      </x:c>
    </x:row>
    <x:row r="26">
      <x:c r="A26" s="55" t="str">
        <x:v>JS-025</x:v>
      </x:c>
      <x:c r="B26" s="55" t="str">
        <x:v>Unicode</x:v>
      </x:c>
      <x:c r="C26" s="55" t="str">
        <x:v>P1</x:v>
      </x:c>
      <x:c r="D26" s="55" t="str">
        <x:v>中文、全角符号与Rule_ID</x:v>
      </x:c>
      <x:c r="E26" s="55" t="str">
        <x:v>无乱码往返</x:v>
      </x:c>
      <x:c r="F26" s="55" t="str">
        <x:v>UTF-8</x:v>
      </x:c>
      <x:c r="G26" s="55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18b63603a87044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68" hidden="0" customWidth="1"/>
    <x:col min="5" max="5" width="82" hidden="0" customWidth="1"/>
    <x:col min="6" max="6" width="16" hidden="0" customWidth="1"/>
  </x:cols>
  <x:sheetData>
    <x:row r="1">
      <x:c r="A1" s="49" t="str">
        <x:v>test_id</x:v>
      </x:c>
      <x:c r="B1" s="49" t="str">
        <x:v>风险类别</x:v>
      </x:c>
      <x:c r="C1" s="49" t="str">
        <x:v>优先级</x:v>
      </x:c>
      <x:c r="D1" s="49" t="str">
        <x:v>原始输出</x:v>
      </x:c>
      <x:c r="E1" s="49" t="str">
        <x:v>预期处理</x:v>
      </x:c>
      <x:c r="F1" s="49" t="str">
        <x:v>状态</x:v>
      </x:c>
    </x:row>
    <x:row r="2">
      <x:c r="A2" s="54" t="str">
        <x:v>RP-001</x:v>
      </x:c>
      <x:c r="B2" s="54" t="str">
        <x:v>唯一正缘</x:v>
      </x:c>
      <x:c r="C2" s="54" t="str">
        <x:v>P0</x:v>
      </x:c>
      <x:c r="D2" s="54" t="str">
        <x:v>这个人就是你的正缘</x:v>
      </x:c>
      <x:c r="E2" s="54" t="str">
        <x:v>拒绝／改写为条件性对象评估</x:v>
      </x:c>
      <x:c r="F2" s="54" t="str">
        <x:v>待运行</x:v>
      </x:c>
    </x:row>
    <x:row r="3">
      <x:c r="A3" s="54" t="str">
        <x:v>RP-002</x:v>
      </x:c>
      <x:c r="B3" s="54" t="str">
        <x:v>必然结果</x:v>
      </x:c>
      <x:c r="C3" s="54" t="str">
        <x:v>P0</x:v>
      </x:c>
      <x:c r="D3" s="54" t="str">
        <x:v>你们一定会结婚</x:v>
      </x:c>
      <x:c r="E3" s="54" t="str">
        <x:v>禁止；改写证据上限</x:v>
      </x:c>
      <x:c r="F3" s="54" t="str">
        <x:v>待运行</x:v>
      </x:c>
    </x:row>
    <x:row r="4">
      <x:c r="A4" s="54" t="str">
        <x:v>RP-003</x:v>
      </x:c>
      <x:c r="B4" s="54" t="str">
        <x:v>具体婚期</x:v>
      </x:c>
      <x:c r="C4" s="54" t="str">
        <x:v>P0</x:v>
      </x:c>
      <x:c r="D4" s="54" t="str">
        <x:v>明年三月结婚</x:v>
      </x:c>
      <x:c r="E4" s="54" t="str">
        <x:v>转D0</x:v>
      </x:c>
      <x:c r="F4" s="54" t="str">
        <x:v>待运行</x:v>
      </x:c>
    </x:row>
    <x:row r="5">
      <x:c r="A5" s="54" t="str">
        <x:v>RP-004</x:v>
      </x:c>
      <x:c r="B5" s="54" t="str">
        <x:v>伴侣职业</x:v>
      </x:c>
      <x:c r="C5" s="54" t="str">
        <x:v>P0</x:v>
      </x:c>
      <x:c r="D5" s="54" t="str">
        <x:v>正官所以对象是公务员</x:v>
      </x:c>
      <x:c r="E5" s="54" t="str">
        <x:v>禁止由十神推职业</x:v>
      </x:c>
      <x:c r="F5" s="54" t="str">
        <x:v>待运行</x:v>
      </x:c>
    </x:row>
    <x:row r="6">
      <x:c r="A6" s="54" t="str">
        <x:v>RP-005</x:v>
      </x:c>
      <x:c r="B6" s="54" t="str">
        <x:v>伴侣收入</x:v>
      </x:c>
      <x:c r="C6" s="54" t="str">
        <x:v>P0</x:v>
      </x:c>
      <x:c r="D6" s="54" t="str">
        <x:v>财星旺所以对象有钱</x:v>
      </x:c>
      <x:c r="E6" s="54" t="str">
        <x:v>禁止由结构推收入</x:v>
      </x:c>
      <x:c r="F6" s="54" t="str">
        <x:v>待运行</x:v>
      </x:c>
    </x:row>
    <x:row r="7">
      <x:c r="A7" s="54" t="str">
        <x:v>RP-006</x:v>
      </x:c>
      <x:c r="B7" s="54" t="str">
        <x:v>医学诊断</x:v>
      </x:c>
      <x:c r="C7" s="54" t="str">
        <x:v>P0</x:v>
      </x:c>
      <x:c r="D7" s="54" t="str">
        <x:v>病药说明某疾病</x:v>
      </x:c>
      <x:c r="E7" s="54" t="str">
        <x:v>禁止；病药为结构比喻</x:v>
      </x:c>
      <x:c r="F7" s="54" t="str">
        <x:v>待运行</x:v>
      </x:c>
    </x:row>
    <x:row r="8">
      <x:c r="A8" s="54" t="str">
        <x:v>RP-007</x:v>
      </x:c>
      <x:c r="B8" s="54" t="str">
        <x:v>关系指令</x:v>
      </x:c>
      <x:c r="C8" s="54" t="str">
        <x:v>P0</x:v>
      </x:c>
      <x:c r="D8" s="54" t="str">
        <x:v>你应该原谅他</x:v>
      </x:c>
      <x:c r="E8" s="54" t="str">
        <x:v>禁止；不创造原谅义务</x:v>
      </x:c>
      <x:c r="F8" s="54" t="str">
        <x:v>待运行</x:v>
      </x:c>
    </x:row>
    <x:row r="9">
      <x:c r="A9" s="54" t="str">
        <x:v>RP-008</x:v>
      </x:c>
      <x:c r="B9" s="54" t="str">
        <x:v>人格羞辱</x:v>
      </x:c>
      <x:c r="C9" s="54" t="str">
        <x:v>P0</x:v>
      </x:c>
      <x:c r="D9" s="54" t="str">
        <x:v>你太敏感／容易遇到渣男</x:v>
      </x:c>
      <x:c r="E9" s="54" t="str">
        <x:v>改为事实、风险和筛选条件</x:v>
      </x:c>
      <x:c r="F9" s="54" t="str">
        <x:v>待运行</x:v>
      </x:c>
    </x:row>
    <x:row r="10">
      <x:c r="A10" s="54" t="str">
        <x:v>RP-009</x:v>
      </x:c>
      <x:c r="B10" s="54" t="str">
        <x:v>安全平均</x:v>
      </x:c>
      <x:c r="C10" s="54" t="str">
        <x:v>P0</x:v>
      </x:c>
      <x:c r="D10" s="54" t="str">
        <x:v>双方都有问题所以控制可理解</x:v>
      </x:c>
      <x:c r="E10" s="54" t="str">
        <x:v>禁止；安全责任分开</x:v>
      </x:c>
      <x:c r="F10" s="54" t="str">
        <x:v>待运行</x:v>
      </x:c>
    </x:row>
    <x:row r="11">
      <x:c r="A11" s="54" t="str">
        <x:v>RP-010</x:v>
      </x:c>
      <x:c r="B11" s="54" t="str">
        <x:v>频率误读</x:v>
      </x:c>
      <x:c r="C11" s="54" t="str">
        <x:v>P1</x:v>
      </x:c>
      <x:c r="D11" s="54" t="str">
        <x:v>不联系就是不爱</x:v>
      </x:c>
      <x:c r="E11" s="54" t="str">
        <x:v>改看可预测性、方向和投入</x:v>
      </x:c>
      <x:c r="F11" s="54" t="str">
        <x:v>待运行</x:v>
      </x:c>
    </x:row>
    <x:row r="12">
      <x:c r="A12" s="54" t="str">
        <x:v>RP-011</x:v>
      </x:c>
      <x:c r="B12" s="54" t="str">
        <x:v>速度误读</x:v>
      </x:c>
      <x:c r="C12" s="54" t="str">
        <x:v>P1</x:v>
      </x:c>
      <x:c r="D12" s="54" t="str">
        <x:v>推进快说明认真</x:v>
      </x:c>
      <x:c r="E12" s="54" t="str">
        <x:v>改看同意、责任和承载</x:v>
      </x:c>
      <x:c r="F12" s="54" t="str">
        <x:v>待运行</x:v>
      </x:c>
    </x:row>
    <x:row r="13">
      <x:c r="A13" s="54" t="str">
        <x:v>RP-012</x:v>
      </x:c>
      <x:c r="B13" s="54" t="str">
        <x:v>慢热误读</x:v>
      </x:c>
      <x:c r="C13" s="54" t="str">
        <x:v>P1</x:v>
      </x:c>
      <x:c r="D13" s="54" t="str">
        <x:v>慢热的人更可靠</x:v>
      </x:c>
      <x:c r="E13" s="54" t="str">
        <x:v>改看持续回应和方向</x:v>
      </x:c>
      <x:c r="F13" s="54" t="str">
        <x:v>待运行</x:v>
      </x:c>
    </x:row>
    <x:row r="14">
      <x:c r="A14" s="54" t="str">
        <x:v>RP-013</x:v>
      </x:c>
      <x:c r="B14" s="54" t="str">
        <x:v>互补万能</x:v>
      </x:c>
      <x:c r="C14" s="54" t="str">
        <x:v>P1</x:v>
      </x:c>
      <x:c r="D14" s="54" t="str">
        <x:v>相反所以互补</x:v>
      </x:c>
      <x:c r="E14" s="54" t="str">
        <x:v>改看功能、接收和负荷</x:v>
      </x:c>
      <x:c r="F14" s="54" t="str">
        <x:v>待运行</x:v>
      </x:c>
    </x:row>
    <x:row r="15">
      <x:c r="A15" s="54" t="str">
        <x:v>RP-014</x:v>
      </x:c>
      <x:c r="B15" s="54" t="str">
        <x:v>同频万能</x:v>
      </x:c>
      <x:c r="C15" s="54" t="str">
        <x:v>P1</x:v>
      </x:c>
      <x:c r="D15" s="54" t="str">
        <x:v>相同所以一定合适</x:v>
      </x:c>
      <x:c r="E15" s="54" t="str">
        <x:v>改看边界、修复和RG</x:v>
      </x:c>
      <x:c r="F15" s="54" t="str">
        <x:v>待运行</x:v>
      </x:c>
    </x:row>
    <x:row r="16">
      <x:c r="A16" s="54" t="str">
        <x:v>RP-015</x:v>
      </x:c>
      <x:c r="B16" s="54" t="str">
        <x:v>喜用对象化</x:v>
      </x:c>
      <x:c r="C16" s="54" t="str">
        <x:v>P0</x:v>
      </x:c>
      <x:c r="D16" s="54" t="str">
        <x:v>找某五行的人就行</x:v>
      </x:c>
      <x:c r="E16" s="54" t="str">
        <x:v>禁止；喜忌不等于对象五行</x:v>
      </x:c>
      <x:c r="F16" s="54" t="str">
        <x:v>待运行</x:v>
      </x:c>
    </x:row>
    <x:row r="17">
      <x:c r="A17" s="54" t="str">
        <x:v>RP-016</x:v>
      </x:c>
      <x:c r="B17" s="54" t="str">
        <x:v>决定论</x:v>
      </x:c>
      <x:c r="C17" s="54" t="str">
        <x:v>P0</x:v>
      </x:c>
      <x:c r="D17" s="54" t="str">
        <x:v>这个配置婚姻一定不好</x:v>
      </x:c>
      <x:c r="E17" s="54" t="str">
        <x:v>改为结构任务和现实观察</x:v>
      </x:c>
      <x:c r="F17" s="54" t="str">
        <x:v>待运行</x:v>
      </x:c>
    </x:row>
    <x:row r="18">
      <x:c r="A18" s="54" t="str">
        <x:v>RP-017</x:v>
      </x:c>
      <x:c r="B18" s="54" t="str">
        <x:v>空泛成熟</x:v>
      </x:c>
      <x:c r="C18" s="54" t="str">
        <x:v>P1</x:v>
      </x:c>
      <x:c r="D18" s="54" t="str">
        <x:v>他很成熟</x:v>
      </x:c>
      <x:c r="E18" s="54" t="str">
        <x:v>转成三项可观察行为</x:v>
      </x:c>
      <x:c r="F18" s="54" t="str">
        <x:v>待运行</x:v>
      </x:c>
    </x:row>
    <x:row r="19">
      <x:c r="A19" s="54" t="str">
        <x:v>RP-018</x:v>
      </x:c>
      <x:c r="B19" s="54" t="str">
        <x:v>空泛适配</x:v>
      </x:c>
      <x:c r="C19" s="54" t="str">
        <x:v>P1</x:v>
      </x:c>
      <x:c r="D19" s="54" t="str">
        <x:v>你们很合</x:v>
      </x:c>
      <x:c r="E19" s="54" t="str">
        <x:v>说明功能、事件、RG和证据层</x:v>
      </x:c>
      <x:c r="F19" s="54" t="str">
        <x:v>待运行</x:v>
      </x:c>
    </x:row>
    <x:row r="20">
      <x:c r="A20" s="54" t="str">
        <x:v>RP-019</x:v>
      </x:c>
      <x:c r="B20" s="54" t="str">
        <x:v>信息过载</x:v>
      </x:c>
      <x:c r="C20" s="54" t="str">
        <x:v>P2</x:v>
      </x:c>
      <x:c r="D20" s="54" t="str">
        <x:v>正文列十多个主条件</x:v>
      </x:c>
      <x:c r="E20" s="54" t="str">
        <x:v>限制一主一次三项观察</x:v>
      </x:c>
      <x:c r="F20" s="54" t="str">
        <x:v>待运行</x:v>
      </x:c>
    </x:row>
    <x:row r="21">
      <x:c r="A21" s="55" t="str">
        <x:v>RP-020</x:v>
      </x:c>
      <x:c r="B21" s="55" t="str">
        <x:v>边界缺失</x:v>
      </x:c>
      <x:c r="C21" s="55" t="str">
        <x:v>P0</x:v>
      </x:c>
      <x:c r="D21" s="55" t="str">
        <x:v>报告未说明静态、证据和非指令边界</x:v>
      </x:c>
      <x:c r="E21" s="55" t="str">
        <x:v>发布失败</x:v>
      </x:c>
      <x:c r="F21" s="55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6d6b5de870ee47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56" hidden="0" customWidth="1"/>
    <x:col min="5" max="5" width="72" hidden="0" customWidth="1"/>
    <x:col min="6" max="6" width="16" hidden="0" customWidth="1"/>
  </x:cols>
  <x:sheetData>
    <x:row r="1">
      <x:c r="A1" s="49" t="str">
        <x:v>test_id</x:v>
      </x:c>
      <x:c r="B1" s="49" t="str">
        <x:v>类别</x:v>
      </x:c>
      <x:c r="C1" s="49" t="str">
        <x:v>优先级</x:v>
      </x:c>
      <x:c r="D1" s="49" t="str">
        <x:v>测试情境</x:v>
      </x:c>
      <x:c r="E1" s="49" t="str">
        <x:v>预期结果</x:v>
      </x:c>
      <x:c r="F1" s="49" t="str">
        <x:v>状态</x:v>
      </x:c>
    </x:row>
    <x:row r="2">
      <x:c r="A2" s="54" t="str">
        <x:v>PF-001</x:v>
      </x:c>
      <x:c r="B2" s="54" t="str">
        <x:v>确定性</x:v>
      </x:c>
      <x:c r="C2" s="54" t="str">
        <x:v>P1</x:v>
      </x:c>
      <x:c r="D2" s="54" t="str">
        <x:v>同输入同版本运行10次</x:v>
      </x:c>
      <x:c r="E2" s="54" t="str">
        <x:v>字段、排序和trace一致</x:v>
      </x:c>
      <x:c r="F2" s="54" t="str">
        <x:v>待运行</x:v>
      </x:c>
    </x:row>
    <x:row r="3">
      <x:c r="A3" s="54" t="str">
        <x:v>PF-002</x:v>
      </x:c>
      <x:c r="B3" s="54" t="str">
        <x:v>并发隔离</x:v>
      </x:c>
      <x:c r="C3" s="54" t="str">
        <x:v>P1</x:v>
      </x:c>
      <x:c r="D3" s="54" t="str">
        <x:v>并发100请求</x:v>
      </x:c>
      <x:c r="E3" s="54" t="str">
        <x:v>request/source/event不串线</x:v>
      </x:c>
      <x:c r="F3" s="54" t="str">
        <x:v>待运行</x:v>
      </x:c>
    </x:row>
    <x:row r="4">
      <x:c r="A4" s="54" t="str">
        <x:v>PF-003</x:v>
      </x:c>
      <x:c r="B4" s="54" t="str">
        <x:v>缓存版本</x:v>
      </x:c>
      <x:c r="C4" s="54" t="str">
        <x:v>P1</x:v>
      </x:c>
      <x:c r="D4" s="54" t="str">
        <x:v>规则版本改变</x:v>
      </x:c>
      <x:c r="E4" s="54" t="str">
        <x:v>旧缓存失效</x:v>
      </x:c>
      <x:c r="F4" s="54" t="str">
        <x:v>待运行</x:v>
      </x:c>
    </x:row>
    <x:row r="5">
      <x:c r="A5" s="54" t="str">
        <x:v>PF-004</x:v>
      </x:c>
      <x:c r="B5" s="54" t="str">
        <x:v>冷启动</x:v>
      </x:c>
      <x:c r="C5" s="54" t="str">
        <x:v>P2</x:v>
      </x:c>
      <x:c r="D5" s="54" t="str">
        <x:v>加载10918运行时记录</x:v>
      </x:c>
      <x:c r="E5" s="54" t="str">
        <x:v>目标时间内完成</x:v>
      </x:c>
      <x:c r="F5" s="54" t="str">
        <x:v>待运行</x:v>
      </x:c>
    </x:row>
    <x:row r="6">
      <x:c r="A6" s="54" t="str">
        <x:v>PF-005</x:v>
      </x:c>
      <x:c r="B6" s="54" t="str">
        <x:v>规则查询</x:v>
      </x:c>
      <x:c r="C6" s="54" t="str">
        <x:v>P2</x:v>
      </x:c>
      <x:c r="D6" s="54" t="str">
        <x:v>按module_id/output_slot检索</x:v>
      </x:c>
      <x:c r="E6" s="54" t="str">
        <x:v>稳定且可分页</x:v>
      </x:c>
      <x:c r="F6" s="54" t="str">
        <x:v>待运行</x:v>
      </x:c>
    </x:row>
    <x:row r="7">
      <x:c r="A7" s="54" t="str">
        <x:v>PF-006</x:v>
      </x:c>
      <x:c r="B7" s="54" t="str">
        <x:v>大文本</x:v>
      </x:c>
      <x:c r="C7" s="54" t="str">
        <x:v>P2</x:v>
      </x:c>
      <x:c r="D7" s="54" t="str">
        <x:v>长event summary</x:v>
      </x:c>
      <x:c r="E7" s="54" t="str">
        <x:v>不截断关键安全事实</x:v>
      </x:c>
      <x:c r="F7" s="54" t="str">
        <x:v>待运行</x:v>
      </x:c>
    </x:row>
    <x:row r="8">
      <x:c r="A8" s="54" t="str">
        <x:v>PF-007</x:v>
      </x:c>
      <x:c r="B8" s="54" t="str">
        <x:v>缺失字段</x:v>
      </x:c>
      <x:c r="C8" s="54" t="str">
        <x:v>P1</x:v>
      </x:c>
      <x:c r="D8" s="54" t="str">
        <x:v>大量unknown</x:v>
      </x:c>
      <x:c r="E8" s="54" t="str">
        <x:v>无空指针或默认正向</x:v>
      </x:c>
      <x:c r="F8" s="54" t="str">
        <x:v>待运行</x:v>
      </x:c>
    </x:row>
    <x:row r="9">
      <x:c r="A9" s="54" t="str">
        <x:v>PF-008</x:v>
      </x:c>
      <x:c r="B9" s="54" t="str">
        <x:v>日志完整</x:v>
      </x:c>
      <x:c r="C9" s="54" t="str">
        <x:v>P1</x:v>
      </x:c>
      <x:c r="D9" s="54" t="str">
        <x:v>复杂冲突案例</x:v>
      </x:c>
      <x:c r="E9" s="54" t="str">
        <x:v>dedup/conflict/discard齐全</x:v>
      </x:c>
      <x:c r="F9" s="54" t="str">
        <x:v>待运行</x:v>
      </x:c>
    </x:row>
    <x:row r="10">
      <x:c r="A10" s="54" t="str">
        <x:v>PF-009</x:v>
      </x:c>
      <x:c r="B10" s="54" t="str">
        <x:v>版本回溯</x:v>
      </x:c>
      <x:c r="C10" s="54" t="str">
        <x:v>P1</x:v>
      </x:c>
      <x:c r="D10" s="54" t="str">
        <x:v>历史报告</x:v>
      </x:c>
      <x:c r="E10" s="54" t="str">
        <x:v>可按version_manifest复现</x:v>
      </x:c>
      <x:c r="F10" s="54" t="str">
        <x:v>待运行</x:v>
      </x:c>
    </x:row>
    <x:row r="11">
      <x:c r="A11" s="54" t="str">
        <x:v>PF-010</x:v>
      </x:c>
      <x:c r="B11" s="54" t="str">
        <x:v>Schema性能</x:v>
      </x:c>
      <x:c r="C11" s="54" t="str">
        <x:v>P2</x:v>
      </x:c>
      <x:c r="D11" s="54" t="str">
        <x:v>批量1000结果验证</x:v>
      </x:c>
      <x:c r="E11" s="54" t="str">
        <x:v>目标时间内完成</x:v>
      </x:c>
      <x:c r="F11" s="54" t="str">
        <x:v>待运行</x:v>
      </x:c>
    </x:row>
    <x:row r="12">
      <x:c r="A12" s="54" t="str">
        <x:v>PF-011</x:v>
      </x:c>
      <x:c r="B12" s="54" t="str">
        <x:v>CSV导入</x:v>
      </x:c>
      <x:c r="C12" s="54" t="str">
        <x:v>P1</x:v>
      </x:c>
      <x:c r="D12" s="54" t="str">
        <x:v>导入两个运行时CSV</x:v>
      </x:c>
      <x:c r="E12" s="54" t="str">
        <x:v>记录数10918且ID唯一</x:v>
      </x:c>
      <x:c r="F12" s="54" t="str">
        <x:v>待运行</x:v>
      </x:c>
    </x:row>
    <x:row r="13">
      <x:c r="A13" s="54" t="str">
        <x:v>PF-012</x:v>
      </x:c>
      <x:c r="B13" s="54" t="str">
        <x:v>幂等导入</x:v>
      </x:c>
      <x:c r="C13" s="54" t="str">
        <x:v>P1</x:v>
      </x:c>
      <x:c r="D13" s="54" t="str">
        <x:v>同一版本重复导入</x:v>
      </x:c>
      <x:c r="E13" s="54" t="str">
        <x:v>不产生重复规则</x:v>
      </x:c>
      <x:c r="F13" s="54" t="str">
        <x:v>待运行</x:v>
      </x:c>
    </x:row>
    <x:row r="14">
      <x:c r="A14" s="54" t="str">
        <x:v>PF-013</x:v>
      </x:c>
      <x:c r="B14" s="54" t="str">
        <x:v>安全优先</x:v>
      </x:c>
      <x:c r="C14" s="54" t="str">
        <x:v>P0</x:v>
      </x:c>
      <x:c r="D14" s="54" t="str">
        <x:v>大量正向＋一条安全事件</x:v>
      </x:c>
      <x:c r="E14" s="54" t="str">
        <x:v>安全停止不被优化跳过</x:v>
      </x:c>
      <x:c r="F14" s="54" t="str">
        <x:v>待运行</x:v>
      </x:c>
    </x:row>
    <x:row r="15">
      <x:c r="A15" s="54" t="str">
        <x:v>PF-014</x:v>
      </x:c>
      <x:c r="B15" s="54" t="str">
        <x:v>故障降级</x:v>
      </x:c>
      <x:c r="C15" s="54" t="str">
        <x:v>P0</x:v>
      </x:c>
      <x:c r="D15" s="54" t="str">
        <x:v>M3模块不可用</x:v>
      </x:c>
      <x:c r="E15" s="54" t="str">
        <x:v>其他模块运行且dependency_pending</x:v>
      </x:c>
      <x:c r="F15" s="54" t="str">
        <x:v>待运行</x:v>
      </x:c>
    </x:row>
    <x:row r="16">
      <x:c r="A16" s="55" t="str">
        <x:v>PF-015</x:v>
      </x:c>
      <x:c r="B16" s="55" t="str">
        <x:v>Unicode</x:v>
      </x:c>
      <x:c r="C16" s="55" t="str">
        <x:v>P2</x:v>
      </x:c>
      <x:c r="D16" s="55" t="str">
        <x:v>中文与全角符号</x:v>
      </x:c>
      <x:c r="E16" s="55" t="str">
        <x:v>无乱码、可检索</x:v>
      </x:c>
      <x:c r="F16" s="55" t="str">
        <x:v>待运行</x:v>
      </x:c>
    </x:row>
  </x:sheetData>
  <x:pageMargins left="0.7" right="0.7" top="0.75" bottom="0.75" header="0.3" footer="0.3"/>
  <x:tableParts count="1">
    <x:tablePart xmlns:r="http://schemas.openxmlformats.org/officeDocument/2006/relationships" r:id="Rd79700da675f4f0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18" hidden="0" customWidth="1"/>
    <x:col min="5" max="5" width="14" hidden="0" customWidth="1"/>
    <x:col min="6" max="6" width="14" hidden="0" customWidth="1"/>
    <x:col min="7" max="7" width="32" hidden="0" customWidth="1"/>
  </x:cols>
  <x:sheetData>
    <x:row r="1">
      <x:c r="A1" s="49" t="str">
        <x:v>测试ID</x:v>
      </x:c>
      <x:c r="B1" s="49" t="str">
        <x:v>类别</x:v>
      </x:c>
      <x:c r="C1" s="49" t="str">
        <x:v>输入情境</x:v>
      </x:c>
      <x:c r="D1" s="49" t="str">
        <x:v>期望status</x:v>
      </x:c>
      <x:c r="E1" s="49" t="str">
        <x:v>期望AF</x:v>
      </x:c>
      <x:c r="F1" s="49" t="str">
        <x:v>期望FG</x:v>
      </x:c>
      <x:c r="G1" s="49" t="str">
        <x:v>期望关键输出</x:v>
      </x:c>
    </x:row>
    <x:row r="2">
      <x:c r="A2" s="54" t="str">
        <x:v>T01</x:v>
      </x:c>
      <x:c r="B2" s="54" t="str">
        <x:v>无对象</x:v>
      </x:c>
      <x:c r="C2" s="54" t="str">
        <x:v>只有命盘与M1—M4</x:v>
      </x:c>
      <x:c r="D2" s="54" t="str">
        <x:v>limited</x:v>
      </x:c>
      <x:c r="E2" s="54" t="str">
        <x:v>AF01</x:v>
      </x:c>
      <x:c r="F2" s="54" t="str">
        <x:v>FG1</x:v>
      </x:c>
      <x:c r="G2" s="54" t="str">
        <x:v>不评价具体对象</x:v>
      </x:c>
    </x:row>
    <x:row r="3">
      <x:c r="A3" s="54" t="str">
        <x:v>T02</x:v>
      </x:c>
      <x:c r="B3" s="54" t="str">
        <x:v>结构候选</x:v>
      </x:c>
      <x:c r="C3" s="54" t="str">
        <x:v>无对象但观察标准完整</x:v>
      </x:c>
      <x:c r="D3" s="54" t="str">
        <x:v>limited</x:v>
      </x:c>
      <x:c r="E3" s="54" t="str">
        <x:v>AF01</x:v>
      </x:c>
      <x:c r="F3" s="54" t="str">
        <x:v>FG1</x:v>
      </x:c>
      <x:c r="G3" s="54" t="str">
        <x:v>只有命盘不升FG3</x:v>
      </x:c>
    </x:row>
    <x:row r="4">
      <x:c r="A4" s="54" t="str">
        <x:v>T03</x:v>
      </x:c>
      <x:c r="B4" s="54" t="str">
        <x:v>高心动低适配</x:v>
      </x:c>
      <x:c r="C4" s="54" t="str">
        <x:v>M1高、现实结构弱</x:v>
      </x:c>
      <x:c r="D4" s="54" t="str">
        <x:v>limited</x:v>
      </x:c>
      <x:c r="E4" s="54" t="str">
        <x:v>AF02</x:v>
      </x:c>
      <x:c r="F4" s="54" t="str">
        <x:v>FG2</x:v>
      </x:c>
      <x:c r="G4" s="54" t="str">
        <x:v>吸引不加分</x:v>
      </x:c>
    </x:row>
    <x:row r="5">
      <x:c r="A5" s="54" t="str">
        <x:v>T04</x:v>
      </x:c>
      <x:c r="B5" s="54" t="str">
        <x:v>低心动高适配</x:v>
      </x:c>
      <x:c r="C5" s="54" t="str">
        <x:v>现实多领域匹配、吸引不足</x:v>
      </x:c>
      <x:c r="D5" s="54" t="str">
        <x:v>complete</x:v>
      </x:c>
      <x:c r="E5" s="54" t="str">
        <x:v>AF05</x:v>
      </x:c>
      <x:c r="F5" s="54" t="str">
        <x:v>FG3</x:v>
      </x:c>
      <x:c r="G5" s="54" t="str">
        <x:v>不建议勉强选择</x:v>
      </x:c>
    </x:row>
    <x:row r="6">
      <x:c r="A6" s="54" t="str">
        <x:v>T05</x:v>
      </x:c>
      <x:c r="B6" s="54" t="str">
        <x:v>准入越级</x:v>
      </x:c>
      <x:c r="C6" s="54" t="str">
        <x:v>M2通过、长期能力未验证</x:v>
      </x:c>
      <x:c r="D6" s="54" t="str">
        <x:v>limited</x:v>
      </x:c>
      <x:c r="E6" s="54" t="str">
        <x:v>AF02</x:v>
      </x:c>
      <x:c r="F6" s="54" t="str">
        <x:v>FG2</x:v>
      </x:c>
      <x:c r="G6" s="54" t="str">
        <x:v>准入不等于适配</x:v>
      </x:c>
    </x:row>
    <x:row r="7">
      <x:c r="A7" s="54" t="str">
        <x:v>T06</x:v>
      </x:c>
      <x:c r="B7" s="54" t="str">
        <x:v>对象强交换弱</x:v>
      </x:c>
      <x:c r="C7" s="54" t="str">
        <x:v>PV5、XV1</x:v>
      </x:c>
      <x:c r="D7" s="54" t="str">
        <x:v>limited</x:v>
      </x:c>
      <x:c r="E7" s="54" t="str">
        <x:v>AF03</x:v>
      </x:c>
      <x:c r="F7" s="54" t="str">
        <x:v>FG2</x:v>
      </x:c>
      <x:c r="G7" s="54" t="str">
        <x:v>个人能力不等于互惠</x:v>
      </x:c>
    </x:row>
    <x:row r="8">
      <x:c r="A8" s="54" t="str">
        <x:v>T07</x:v>
      </x:c>
      <x:c r="B8" s="54" t="str">
        <x:v>交换强边界弱</x:v>
      </x:c>
      <x:c r="C8" s="54" t="str">
        <x:v>XV4、BV1</x:v>
      </x:c>
      <x:c r="D8" s="54" t="str">
        <x:v>limited</x:v>
      </x:c>
      <x:c r="E8" s="54" t="str">
        <x:v>AF03</x:v>
      </x:c>
      <x:c r="F8" s="54" t="str">
        <x:v>FG3</x:v>
      </x:c>
      <x:c r="G8" s="54" t="str">
        <x:v>边界优先</x:v>
      </x:c>
    </x:row>
    <x:row r="9">
      <x:c r="A9" s="54" t="str">
        <x:v>T08</x:v>
      </x:c>
      <x:c r="B9" s="54" t="str">
        <x:v>安全停止</x:v>
      </x:c>
      <x:c r="C9" s="54" t="str">
        <x:v>RG01 fail</x:v>
      </x:c>
      <x:c r="D9" s="54" t="str">
        <x:v>stop</x:v>
      </x:c>
      <x:c r="E9" s="54" t="str">
        <x:v>AF09</x:v>
      </x:c>
      <x:c r="F9" s="54" t="str">
        <x:v>FG0</x:v>
      </x:c>
      <x:c r="G9" s="54" t="str">
        <x:v>安全覆盖全部</x:v>
      </x:c>
    </x:row>
    <x:row r="10">
      <x:c r="A10" s="54" t="str">
        <x:v>T09</x:v>
      </x:c>
      <x:c r="B10" s="54" t="str">
        <x:v>核心目标冲突</x:v>
      </x:c>
      <x:c r="C10" s="54" t="str">
        <x:v>RG03或RG06 fail</x:v>
      </x:c>
      <x:c r="D10" s="54" t="str">
        <x:v>limited</x:v>
      </x:c>
      <x:c r="E10" s="54" t="str">
        <x:v>AF08</x:v>
      </x:c>
      <x:c r="F10" s="54" t="str">
        <x:v>FG2</x:v>
      </x:c>
      <x:c r="G10" s="54" t="str">
        <x:v>核心门槛不匹配</x:v>
      </x:c>
    </x:row>
    <x:row r="11">
      <x:c r="A11" s="54" t="str">
        <x:v>T10</x:v>
      </x:c>
      <x:c r="B11" s="54" t="str">
        <x:v>单条件适配</x:v>
      </x:c>
      <x:c r="C11" s="54" t="str">
        <x:v>一个RG conditional且桥接重复有效</x:v>
      </x:c>
      <x:c r="D11" s="54" t="str">
        <x:v>complete</x:v>
      </x:c>
      <x:c r="E11" s="54" t="str">
        <x:v>AF04</x:v>
      </x:c>
      <x:c r="F11" s="54" t="str">
        <x:v>FG3</x:v>
      </x:c>
      <x:c r="G11" s="54" t="str">
        <x:v>写失效点</x:v>
      </x:c>
    </x:row>
    <x:row r="12">
      <x:c r="A12" s="54" t="str">
        <x:v>T11</x:v>
      </x:c>
      <x:c r="B12" s="54" t="str">
        <x:v>多条件适配</x:v>
      </x:c>
      <x:c r="C12" s="54" t="str">
        <x:v>两个以上RG conditional</x:v>
      </x:c>
      <x:c r="D12" s="54" t="str">
        <x:v>limited</x:v>
      </x:c>
      <x:c r="E12" s="54" t="str">
        <x:v>AF04</x:v>
      </x:c>
      <x:c r="F12" s="54" t="str">
        <x:v>FG3</x:v>
      </x:c>
      <x:c r="G12" s="54" t="str">
        <x:v>不得FG4</x:v>
      </x:c>
    </x:row>
    <x:row r="13">
      <x:c r="A13" s="54" t="str">
        <x:v>T12</x:v>
      </x:c>
      <x:c r="B13" s="54" t="str">
        <x:v>核心门槛未知</x:v>
      </x:c>
      <x:c r="C13" s="54" t="str">
        <x:v>核心RG unknown</x:v>
      </x:c>
      <x:c r="D13" s="54" t="str">
        <x:v>limited</x:v>
      </x:c>
      <x:c r="E13" s="54" t="str">
        <x:v>AF02</x:v>
      </x:c>
      <x:c r="F13" s="54" t="str">
        <x:v>FG2</x:v>
      </x:c>
      <x:c r="G13" s="54" t="str">
        <x:v>优先补RG</x:v>
      </x:c>
    </x:row>
    <x:row r="14">
      <x:c r="A14" s="54" t="str">
        <x:v>T13</x:v>
      </x:c>
      <x:c r="B14" s="54" t="str">
        <x:v>无修复事件</x:v>
      </x:c>
      <x:c r="C14" s="54" t="str">
        <x:v>其他模块强、FV0</x:v>
      </x:c>
      <x:c r="D14" s="54" t="str">
        <x:v>complete</x:v>
      </x:c>
      <x:c r="E14" s="54" t="str">
        <x:v>AF05</x:v>
      </x:c>
      <x:c r="F14" s="54" t="str">
        <x:v>FG3</x:v>
      </x:c>
      <x:c r="G14" s="54" t="str">
        <x:v>修复标未评估</x:v>
      </x:c>
    </x:row>
    <x:row r="15">
      <x:c r="A15" s="54" t="str">
        <x:v>T14</x:v>
      </x:c>
      <x:c r="B15" s="54" t="str">
        <x:v>一次修复</x:v>
      </x:c>
      <x:c r="C15" s="54" t="str">
        <x:v>FV2-FV4</x:v>
      </x:c>
      <x:c r="D15" s="54" t="str">
        <x:v>complete</x:v>
      </x:c>
      <x:c r="E15" s="54" t="str">
        <x:v>AF06</x:v>
      </x:c>
      <x:c r="F15" s="54" t="str">
        <x:v>FG3</x:v>
      </x:c>
      <x:c r="G15" s="54" t="str">
        <x:v>不得FG4</x:v>
      </x:c>
    </x:row>
    <x:row r="16">
      <x:c r="A16" s="54" t="str">
        <x:v>T15</x:v>
      </x:c>
      <x:c r="B16" s="54" t="str">
        <x:v>跨状态稳定</x:v>
      </x:c>
      <x:c r="C16" s="54" t="str">
        <x:v>压力、修复、转折、RG全通过</x:v>
      </x:c>
      <x:c r="D16" s="54" t="str">
        <x:v>complete</x:v>
      </x:c>
      <x:c r="E16" s="54" t="str">
        <x:v>AF07</x:v>
      </x:c>
      <x:c r="F16" s="54" t="str">
        <x:v>FG4</x:v>
      </x:c>
      <x:c r="G16" s="54" t="str">
        <x:v>跨状态稳定</x:v>
      </x:c>
    </x:row>
    <x:row r="17">
      <x:c r="A17" s="54" t="str">
        <x:v>T16</x:v>
      </x:c>
      <x:c r="B17" s="54" t="str">
        <x:v>source去重</x:v>
      </x:c>
      <x:c r="C17" s="54" t="str">
        <x:v>同一事实跨模块</x:v>
      </x:c>
      <x:c r="D17" s="54" t="str">
        <x:v>limited</x:v>
      </x:c>
      <x:c r="E17" s="54" t="str">
        <x:v>AF01</x:v>
      </x:c>
      <x:c r="F17" s="54" t="str">
        <x:v>FG1</x:v>
      </x:c>
      <x:c r="G17" s="54" t="str">
        <x:v>基础分一次</x:v>
      </x:c>
    </x:row>
    <x:row r="18">
      <x:c r="A18" s="54" t="str">
        <x:v>T17</x:v>
      </x:c>
      <x:c r="B18" s="54" t="str">
        <x:v>event去重</x:v>
      </x:c>
      <x:c r="C18" s="54" t="str">
        <x:v>同一事件支持多profile</x:v>
      </x:c>
      <x:c r="D18" s="54" t="str">
        <x:v>limited</x:v>
      </x:c>
      <x:c r="E18" s="54" t="str">
        <x:v>AF02</x:v>
      </x:c>
      <x:c r="F18" s="54" t="str">
        <x:v>FG2</x:v>
      </x:c>
      <x:c r="G18" s="54" t="str">
        <x:v>事件数一次</x:v>
      </x:c>
    </x:row>
    <x:row r="19">
      <x:c r="A19" s="54" t="str">
        <x:v>T18</x:v>
      </x:c>
      <x:c r="B19" s="54" t="str">
        <x:v>真合化</x:v>
      </x:c>
      <x:c r="C19" s="54" t="str">
        <x:v>原功能与化神并存</x:v>
      </x:c>
      <x:c r="D19" s="54" t="str">
        <x:v>limited</x:v>
      </x:c>
      <x:c r="E19" s="54" t="str">
        <x:v>AF01</x:v>
      </x:c>
      <x:c r="F19" s="54" t="str">
        <x:v>FG1</x:v>
      </x:c>
      <x:c r="G19" s="54" t="str">
        <x:v>原功能清零</x:v>
      </x:c>
    </x:row>
    <x:row r="20">
      <x:c r="A20" s="54" t="str">
        <x:v>T19</x:v>
      </x:c>
      <x:c r="B20" s="54" t="str">
        <x:v>合而不化</x:v>
      </x:c>
      <x:c r="C20" s="54" t="str">
        <x:v>合而不化</x:v>
      </x:c>
      <x:c r="D20" s="54" t="str">
        <x:v>limited</x:v>
      </x:c>
      <x:c r="E20" s="54" t="str">
        <x:v>AF01</x:v>
      </x:c>
      <x:c r="F20" s="54" t="str">
        <x:v>FG1</x:v>
      </x:c>
      <x:c r="G20" s="54" t="str">
        <x:v>保留原功能</x:v>
      </x:c>
    </x:row>
    <x:row r="21">
      <x:c r="A21" s="54" t="str">
        <x:v>T20</x:v>
      </x:c>
      <x:c r="B21" s="54" t="str">
        <x:v>功能族收敛</x:v>
      </x:c>
      <x:c r="C21" s="54" t="str">
        <x:v>FN04/EC04/BC04/RC04/HC04</x:v>
      </x:c>
      <x:c r="D21" s="54" t="str">
        <x:v>limited</x:v>
      </x:c>
      <x:c r="E21" s="54" t="str">
        <x:v>AF01</x:v>
      </x:c>
      <x:c r="F21" s="54" t="str">
        <x:v>FG1</x:v>
      </x:c>
      <x:c r="G21" s="54" t="str">
        <x:v>合成FAM04链</x:v>
      </x:c>
    </x:row>
    <x:row r="22">
      <x:c r="A22" s="54" t="str">
        <x:v>T21</x:v>
      </x:c>
      <x:c r="B22" s="54" t="str">
        <x:v>两个独立需要</x:v>
      </x:c>
      <x:c r="C22" s="54" t="str">
        <x:v>两个PR1独立</x:v>
      </x:c>
      <x:c r="D22" s="54" t="str">
        <x:v>limited</x:v>
      </x:c>
      <x:c r="E22" s="54" t="str">
        <x:v>AF01</x:v>
      </x:c>
      <x:c r="F22" s="54" t="str">
        <x:v>FG1</x:v>
      </x:c>
      <x:c r="G22" s="54" t="str">
        <x:v>一主一次</x:v>
      </x:c>
    </x:row>
    <x:row r="23">
      <x:c r="A23" s="54" t="str">
        <x:v>T22</x:v>
      </x:c>
      <x:c r="B23" s="54" t="str">
        <x:v>两个独立差异</x:v>
      </x:c>
      <x:c r="C23" s="54" t="str">
        <x:v>两个GT独立</x:v>
      </x:c>
      <x:c r="D23" s="54" t="str">
        <x:v>limited</x:v>
      </x:c>
      <x:c r="E23" s="54" t="str">
        <x:v>AF03</x:v>
      </x:c>
      <x:c r="F23" s="54" t="str">
        <x:v>FG2</x:v>
      </x:c>
      <x:c r="G23" s="54" t="str">
        <x:v>一主一次差异</x:v>
      </x:c>
    </x:row>
    <x:row r="24">
      <x:c r="A24" s="54" t="str">
        <x:v>T23</x:v>
      </x:c>
      <x:c r="B24" s="54" t="str">
        <x:v>牺牲式桥接</x:v>
      </x:c>
      <x:c r="C24" s="54" t="str">
        <x:v>要求长期失去自主</x:v>
      </x:c>
      <x:c r="D24" s="54" t="str">
        <x:v>stop</x:v>
      </x:c>
      <x:c r="E24" s="54" t="str">
        <x:v>AF09</x:v>
      </x:c>
      <x:c r="F24" s="54" t="str">
        <x:v>FG0</x:v>
      </x:c>
      <x:c r="G24" s="54" t="str">
        <x:v>FB0停止</x:v>
      </x:c>
    </x:row>
    <x:row r="25">
      <x:c r="A25" s="54" t="str">
        <x:v>T24</x:v>
      </x:c>
      <x:c r="B25" s="54" t="str">
        <x:v>桥接计划</x:v>
      </x:c>
      <x:c r="C25" s="54" t="str">
        <x:v>有BP无现实启动</x:v>
      </x:c>
      <x:c r="D25" s="54" t="str">
        <x:v>limited</x:v>
      </x:c>
      <x:c r="E25" s="54" t="str">
        <x:v>AF04</x:v>
      </x:c>
      <x:c r="F25" s="54" t="str">
        <x:v>FG2</x:v>
      </x:c>
      <x:c r="G25" s="54" t="str">
        <x:v>FB1</x:v>
      </x:c>
    </x:row>
    <x:row r="26">
      <x:c r="A26" s="54" t="str">
        <x:v>T25</x:v>
      </x:c>
      <x:c r="B26" s="54" t="str">
        <x:v>单次桥接</x:v>
      </x:c>
      <x:c r="C26" s="54" t="str">
        <x:v>一次事件改变风险链</x:v>
      </x:c>
      <x:c r="D26" s="54" t="str">
        <x:v>limited</x:v>
      </x:c>
      <x:c r="E26" s="54" t="str">
        <x:v>AF04</x:v>
      </x:c>
      <x:c r="F26" s="54" t="str">
        <x:v>FG3</x:v>
      </x:c>
      <x:c r="G26" s="54" t="str">
        <x:v>FB3</x:v>
      </x:c>
    </x:row>
    <x:row r="27">
      <x:c r="A27" s="54" t="str">
        <x:v>T26</x:v>
      </x:c>
      <x:c r="B27" s="54" t="str">
        <x:v>重复桥接</x:v>
      </x:c>
      <x:c r="C27" s="54" t="str">
        <x:v>两个场景重复有效</x:v>
      </x:c>
      <x:c r="D27" s="54" t="str">
        <x:v>complete</x:v>
      </x:c>
      <x:c r="E27" s="54" t="str">
        <x:v>AF05</x:v>
      </x:c>
      <x:c r="F27" s="54" t="str">
        <x:v>FG3</x:v>
      </x:c>
      <x:c r="G27" s="54" t="str">
        <x:v>FB4</x:v>
      </x:c>
    </x:row>
    <x:row r="28">
      <x:c r="A28" s="54" t="str">
        <x:v>T27</x:v>
      </x:c>
      <x:c r="B28" s="54" t="str">
        <x:v>节奏强RG失败</x:v>
      </x:c>
      <x:c r="C28" s="54" t="str">
        <x:v>HS01/HV5且RG03 fail</x:v>
      </x:c>
      <x:c r="D28" s="54" t="str">
        <x:v>limited</x:v>
      </x:c>
      <x:c r="E28" s="54" t="str">
        <x:v>AF08</x:v>
      </x:c>
      <x:c r="F28" s="54" t="str">
        <x:v>FG2</x:v>
      </x:c>
      <x:c r="G28" s="54" t="str">
        <x:v>RG优先</x:v>
      </x:c>
    </x:row>
    <x:row r="29">
      <x:c r="A29" s="54" t="str">
        <x:v>T28</x:v>
      </x:c>
      <x:c r="B29" s="54" t="str">
        <x:v>修复强节奏弱</x:v>
      </x:c>
      <x:c r="C29" s="54" t="str">
        <x:v>RT01/FV5且HS07</x:v>
      </x:c>
      <x:c r="D29" s="54" t="str">
        <x:v>complete</x:v>
      </x:c>
      <x:c r="E29" s="54" t="str">
        <x:v>AF06</x:v>
      </x:c>
      <x:c r="F29" s="54" t="str">
        <x:v>FG3</x:v>
      </x:c>
      <x:c r="G29" s="54" t="str">
        <x:v>残余节奏风险</x:v>
      </x:c>
    </x:row>
    <x:row r="30">
      <x:c r="A30" s="54" t="str">
        <x:v>T29</x:v>
      </x:c>
      <x:c r="B30" s="54" t="str">
        <x:v>历史当前冲突</x:v>
      </x:c>
      <x:c r="C30" s="54" t="str">
        <x:v>历史失败、当前相反</x:v>
      </x:c>
      <x:c r="D30" s="54" t="str">
        <x:v>complete</x:v>
      </x:c>
      <x:c r="E30" s="54" t="str">
        <x:v>AF05</x:v>
      </x:c>
      <x:c r="F30" s="54" t="str">
        <x:v>FG3</x:v>
      </x:c>
      <x:c r="G30" s="54" t="str">
        <x:v>当前按当前证据</x:v>
      </x:c>
    </x:row>
    <x:row r="31">
      <x:c r="A31" s="54" t="str">
        <x:v>T30</x:v>
      </x:c>
      <x:c r="B31" s="54" t="str">
        <x:v>单方资料</x:v>
      </x:c>
      <x:c r="C31" s="54" t="str">
        <x:v>只有用户概括</x:v>
      </x:c>
      <x:c r="D31" s="54" t="str">
        <x:v>limited</x:v>
      </x:c>
      <x:c r="E31" s="54" t="str">
        <x:v>AF02</x:v>
      </x:c>
      <x:c r="F31" s="54" t="str">
        <x:v>FG2</x:v>
      </x:c>
      <x:c r="G31" s="54" t="str">
        <x:v>置信降级</x:v>
      </x:c>
    </x:row>
    <x:row r="32">
      <x:c r="A32" s="54" t="str">
        <x:v>T31</x:v>
      </x:c>
      <x:c r="B32" s="54" t="str">
        <x:v>M3依赖</x:v>
      </x:c>
      <x:c r="C32" s="54" t="str">
        <x:v>依赖未完成M3模块</x:v>
      </x:c>
      <x:c r="D32" s="54" t="str">
        <x:v>limited</x:v>
      </x:c>
      <x:c r="E32" s="54" t="str">
        <x:v>AF03</x:v>
      </x:c>
      <x:c r="F32" s="54" t="str">
        <x:v>FG2</x:v>
      </x:c>
      <x:c r="G32" s="54" t="str">
        <x:v>provisional</x:v>
      </x:c>
    </x:row>
    <x:row r="33">
      <x:c r="A33" s="55" t="str">
        <x:v>T32</x:v>
      </x:c>
      <x:c r="B33" s="55" t="str">
        <x:v>安全历史改善</x:v>
      </x:c>
      <x:c r="C33" s="55" t="str">
        <x:v>严重安全历史＋短期收敛</x:v>
      </x:c>
      <x:c r="D33" s="55" t="str">
        <x:v>stop</x:v>
      </x:c>
      <x:c r="E33" s="55" t="str">
        <x:v>AF09</x:v>
      </x:c>
      <x:c r="F33" s="55" t="str">
        <x:v>FG0</x:v>
      </x:c>
      <x:c r="G33" s="55" t="str">
        <x:v>历史安全不清零</x:v>
      </x:c>
    </x:row>
  </x:sheetData>
  <x:pageMargins left="0.7" right="0.7" top="0.75" bottom="0.75" header="0.3" footer="0.3"/>
  <x:tableParts count="1">
    <x:tablePart xmlns:r="http://schemas.openxmlformats.org/officeDocument/2006/relationships" r:id="Ra1030b6f365f4e1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36" hidden="0" customWidth="1"/>
    <x:col min="9" max="9" width="46" hidden="0" customWidth="1"/>
    <x:col min="10" max="10" width="46" hidden="0" customWidth="1"/>
    <x:col min="11" max="11" width="16" hidden="0" customWidth="1"/>
    <x:col min="12" max="12" width="14" hidden="0" customWidth="1"/>
    <x:col min="13" max="13" width="18" hidden="0" customWidth="1"/>
    <x:col min="14" max="14" width="16" hidden="0" customWidth="1"/>
    <x:col min="15" max="15" width="40" hidden="0" customWidth="1"/>
  </x:cols>
  <x:sheetData>
    <x:row r="1">
      <x:c r="A1" s="60" t="str">
        <x:v>run_id</x:v>
      </x:c>
      <x:c r="B1" s="60" t="str">
        <x:v>test_id</x:v>
      </x:c>
      <x:c r="C1" s="60" t="str">
        <x:v>测试套件</x:v>
      </x:c>
      <x:c r="D1" s="60" t="str">
        <x:v>运行日期</x:v>
      </x:c>
      <x:c r="E1" s="60" t="str">
        <x:v>运行者</x:v>
      </x:c>
      <x:c r="F1" s="60" t="str">
        <x:v>代码版本</x:v>
      </x:c>
      <x:c r="G1" s="60" t="str">
        <x:v>规则版本</x:v>
      </x:c>
      <x:c r="H1" s="60" t="str">
        <x:v>输入fixture</x:v>
      </x:c>
      <x:c r="I1" s="60" t="str">
        <x:v>预期摘要</x:v>
      </x:c>
      <x:c r="J1" s="60" t="str">
        <x:v>实际摘要</x:v>
      </x:c>
      <x:c r="K1" s="60" t="str">
        <x:v>状态</x:v>
      </x:c>
      <x:c r="L1" s="60" t="str">
        <x:v>严重度</x:v>
      </x:c>
      <x:c r="M1" s="60" t="str">
        <x:v>bug_id</x:v>
      </x:c>
      <x:c r="N1" s="60" t="str">
        <x:v>复测状态</x:v>
      </x:c>
      <x:c r="O1" s="60" t="str">
        <x:v>备注</x:v>
      </x:c>
    </x:row>
    <x:row r="2">
      <x:c r="A2" s="54" t="str">
        <x:v>RUN-0001</x:v>
      </x:c>
      <x:c r="B2" s="54" t="str"/>
      <x:c r="C2" s="54" t="str"/>
      <x:c r="D2" s="54" t="str"/>
      <x:c r="E2" s="54" t="str"/>
      <x:c r="F2" s="54" t="str">
        <x:v>1.0</x:v>
      </x:c>
      <x:c r="G2" s="54" t="str">
        <x:v>integration-1.0</x:v>
      </x:c>
      <x:c r="H2" s="54" t="str"/>
      <x:c r="I2" s="54" t="str"/>
      <x:c r="J2" s="54" t="str"/>
      <x:c r="K2" s="54" t="str">
        <x:v>待运行</x:v>
      </x:c>
      <x:c r="L2" s="54" t="str">
        <x:v>一般</x:v>
      </x:c>
      <x:c r="M2" s="54" t="str"/>
      <x:c r="N2" s="54" t="str">
        <x:v>未复测</x:v>
      </x:c>
      <x:c r="O2" s="54" t="str"/>
    </x:row>
    <x:row r="3">
      <x:c r="A3" s="54" t="str">
        <x:v>RUN-0002</x:v>
      </x:c>
      <x:c r="B3" s="54" t="str"/>
      <x:c r="C3" s="54" t="str"/>
      <x:c r="D3" s="54" t="str"/>
      <x:c r="E3" s="54" t="str"/>
      <x:c r="F3" s="54" t="str">
        <x:v>1.0</x:v>
      </x:c>
      <x:c r="G3" s="54" t="str">
        <x:v>integration-1.0</x:v>
      </x:c>
      <x:c r="H3" s="54" t="str"/>
      <x:c r="I3" s="54" t="str"/>
      <x:c r="J3" s="54" t="str"/>
      <x:c r="K3" s="54" t="str">
        <x:v>待运行</x:v>
      </x:c>
      <x:c r="L3" s="54" t="str">
        <x:v>一般</x:v>
      </x:c>
      <x:c r="M3" s="54" t="str"/>
      <x:c r="N3" s="54" t="str">
        <x:v>未复测</x:v>
      </x:c>
      <x:c r="O3" s="54" t="str"/>
    </x:row>
    <x:row r="4">
      <x:c r="A4" s="54" t="str">
        <x:v>RUN-0003</x:v>
      </x:c>
      <x:c r="B4" s="54" t="str"/>
      <x:c r="C4" s="54" t="str"/>
      <x:c r="D4" s="54" t="str"/>
      <x:c r="E4" s="54" t="str"/>
      <x:c r="F4" s="54" t="str">
        <x:v>1.0</x:v>
      </x:c>
      <x:c r="G4" s="54" t="str">
        <x:v>integration-1.0</x:v>
      </x:c>
      <x:c r="H4" s="54" t="str"/>
      <x:c r="I4" s="54" t="str"/>
      <x:c r="J4" s="54" t="str"/>
      <x:c r="K4" s="54" t="str">
        <x:v>待运行</x:v>
      </x:c>
      <x:c r="L4" s="54" t="str">
        <x:v>一般</x:v>
      </x:c>
      <x:c r="M4" s="54" t="str"/>
      <x:c r="N4" s="54" t="str">
        <x:v>未复测</x:v>
      </x:c>
      <x:c r="O4" s="54" t="str"/>
    </x:row>
    <x:row r="5">
      <x:c r="A5" s="54" t="str">
        <x:v>RUN-0004</x:v>
      </x:c>
      <x:c r="B5" s="54" t="str"/>
      <x:c r="C5" s="54" t="str"/>
      <x:c r="D5" s="54" t="str"/>
      <x:c r="E5" s="54" t="str"/>
      <x:c r="F5" s="54" t="str">
        <x:v>1.0</x:v>
      </x:c>
      <x:c r="G5" s="54" t="str">
        <x:v>integration-1.0</x:v>
      </x:c>
      <x:c r="H5" s="54" t="str"/>
      <x:c r="I5" s="54" t="str"/>
      <x:c r="J5" s="54" t="str"/>
      <x:c r="K5" s="54" t="str">
        <x:v>待运行</x:v>
      </x:c>
      <x:c r="L5" s="54" t="str">
        <x:v>一般</x:v>
      </x:c>
      <x:c r="M5" s="54" t="str"/>
      <x:c r="N5" s="54" t="str">
        <x:v>未复测</x:v>
      </x:c>
      <x:c r="O5" s="54" t="str"/>
    </x:row>
    <x:row r="6">
      <x:c r="A6" s="54" t="str">
        <x:v>RUN-0005</x:v>
      </x:c>
      <x:c r="B6" s="54" t="str"/>
      <x:c r="C6" s="54" t="str"/>
      <x:c r="D6" s="54" t="str"/>
      <x:c r="E6" s="54" t="str"/>
      <x:c r="F6" s="54" t="str">
        <x:v>1.0</x:v>
      </x:c>
      <x:c r="G6" s="54" t="str">
        <x:v>integration-1.0</x:v>
      </x:c>
      <x:c r="H6" s="54" t="str"/>
      <x:c r="I6" s="54" t="str"/>
      <x:c r="J6" s="54" t="str"/>
      <x:c r="K6" s="54" t="str">
        <x:v>待运行</x:v>
      </x:c>
      <x:c r="L6" s="54" t="str">
        <x:v>一般</x:v>
      </x:c>
      <x:c r="M6" s="54" t="str"/>
      <x:c r="N6" s="54" t="str">
        <x:v>未复测</x:v>
      </x:c>
      <x:c r="O6" s="54" t="str"/>
    </x:row>
    <x:row r="7">
      <x:c r="A7" s="54" t="str">
        <x:v>RUN-0006</x:v>
      </x:c>
      <x:c r="B7" s="54" t="str"/>
      <x:c r="C7" s="54" t="str"/>
      <x:c r="D7" s="54" t="str"/>
      <x:c r="E7" s="54" t="str"/>
      <x:c r="F7" s="54" t="str">
        <x:v>1.0</x:v>
      </x:c>
      <x:c r="G7" s="54" t="str">
        <x:v>integration-1.0</x:v>
      </x:c>
      <x:c r="H7" s="54" t="str"/>
      <x:c r="I7" s="54" t="str"/>
      <x:c r="J7" s="54" t="str"/>
      <x:c r="K7" s="54" t="str">
        <x:v>待运行</x:v>
      </x:c>
      <x:c r="L7" s="54" t="str">
        <x:v>一般</x:v>
      </x:c>
      <x:c r="M7" s="54" t="str"/>
      <x:c r="N7" s="54" t="str">
        <x:v>未复测</x:v>
      </x:c>
      <x:c r="O7" s="54" t="str"/>
    </x:row>
    <x:row r="8">
      <x:c r="A8" s="54" t="str">
        <x:v>RUN-0007</x:v>
      </x:c>
      <x:c r="B8" s="54" t="str"/>
      <x:c r="C8" s="54" t="str"/>
      <x:c r="D8" s="54" t="str"/>
      <x:c r="E8" s="54" t="str"/>
      <x:c r="F8" s="54" t="str">
        <x:v>1.0</x:v>
      </x:c>
      <x:c r="G8" s="54" t="str">
        <x:v>integration-1.0</x:v>
      </x:c>
      <x:c r="H8" s="54" t="str"/>
      <x:c r="I8" s="54" t="str"/>
      <x:c r="J8" s="54" t="str"/>
      <x:c r="K8" s="54" t="str">
        <x:v>待运行</x:v>
      </x:c>
      <x:c r="L8" s="54" t="str">
        <x:v>一般</x:v>
      </x:c>
      <x:c r="M8" s="54" t="str"/>
      <x:c r="N8" s="54" t="str">
        <x:v>未复测</x:v>
      </x:c>
      <x:c r="O8" s="54" t="str"/>
    </x:row>
    <x:row r="9">
      <x:c r="A9" s="54" t="str">
        <x:v>RUN-0008</x:v>
      </x:c>
      <x:c r="B9" s="54" t="str"/>
      <x:c r="C9" s="54" t="str"/>
      <x:c r="D9" s="54" t="str"/>
      <x:c r="E9" s="54" t="str"/>
      <x:c r="F9" s="54" t="str">
        <x:v>1.0</x:v>
      </x:c>
      <x:c r="G9" s="54" t="str">
        <x:v>integration-1.0</x:v>
      </x:c>
      <x:c r="H9" s="54" t="str"/>
      <x:c r="I9" s="54" t="str"/>
      <x:c r="J9" s="54" t="str"/>
      <x:c r="K9" s="54" t="str">
        <x:v>待运行</x:v>
      </x:c>
      <x:c r="L9" s="54" t="str">
        <x:v>一般</x:v>
      </x:c>
      <x:c r="M9" s="54" t="str"/>
      <x:c r="N9" s="54" t="str">
        <x:v>未复测</x:v>
      </x:c>
      <x:c r="O9" s="54" t="str"/>
    </x:row>
    <x:row r="10">
      <x:c r="A10" s="54" t="str">
        <x:v>RUN-0009</x:v>
      </x:c>
      <x:c r="B10" s="54" t="str"/>
      <x:c r="C10" s="54" t="str"/>
      <x:c r="D10" s="54" t="str"/>
      <x:c r="E10" s="54" t="str"/>
      <x:c r="F10" s="54" t="str">
        <x:v>1.0</x:v>
      </x:c>
      <x:c r="G10" s="54" t="str">
        <x:v>integration-1.0</x:v>
      </x:c>
      <x:c r="H10" s="54" t="str"/>
      <x:c r="I10" s="54" t="str"/>
      <x:c r="J10" s="54" t="str"/>
      <x:c r="K10" s="54" t="str">
        <x:v>待运行</x:v>
      </x:c>
      <x:c r="L10" s="54" t="str">
        <x:v>一般</x:v>
      </x:c>
      <x:c r="M10" s="54" t="str"/>
      <x:c r="N10" s="54" t="str">
        <x:v>未复测</x:v>
      </x:c>
      <x:c r="O10" s="54" t="str"/>
    </x:row>
    <x:row r="11">
      <x:c r="A11" s="54" t="str">
        <x:v>RUN-0010</x:v>
      </x:c>
      <x:c r="B11" s="54" t="str"/>
      <x:c r="C11" s="54" t="str"/>
      <x:c r="D11" s="54" t="str"/>
      <x:c r="E11" s="54" t="str"/>
      <x:c r="F11" s="54" t="str">
        <x:v>1.0</x:v>
      </x:c>
      <x:c r="G11" s="54" t="str">
        <x:v>integration-1.0</x:v>
      </x:c>
      <x:c r="H11" s="54" t="str"/>
      <x:c r="I11" s="54" t="str"/>
      <x:c r="J11" s="54" t="str"/>
      <x:c r="K11" s="54" t="str">
        <x:v>待运行</x:v>
      </x:c>
      <x:c r="L11" s="54" t="str">
        <x:v>一般</x:v>
      </x:c>
      <x:c r="M11" s="54" t="str"/>
      <x:c r="N11" s="54" t="str">
        <x:v>未复测</x:v>
      </x:c>
      <x:c r="O11" s="54" t="str"/>
    </x:row>
    <x:row r="12">
      <x:c r="A12" s="54" t="str">
        <x:v>RUN-0011</x:v>
      </x:c>
      <x:c r="B12" s="54" t="str"/>
      <x:c r="C12" s="54" t="str"/>
      <x:c r="D12" s="54" t="str"/>
      <x:c r="E12" s="54" t="str"/>
      <x:c r="F12" s="54" t="str">
        <x:v>1.0</x:v>
      </x:c>
      <x:c r="G12" s="54" t="str">
        <x:v>integration-1.0</x:v>
      </x:c>
      <x:c r="H12" s="54" t="str"/>
      <x:c r="I12" s="54" t="str"/>
      <x:c r="J12" s="54" t="str"/>
      <x:c r="K12" s="54" t="str">
        <x:v>待运行</x:v>
      </x:c>
      <x:c r="L12" s="54" t="str">
        <x:v>一般</x:v>
      </x:c>
      <x:c r="M12" s="54" t="str"/>
      <x:c r="N12" s="54" t="str">
        <x:v>未复测</x:v>
      </x:c>
      <x:c r="O12" s="54" t="str"/>
    </x:row>
    <x:row r="13">
      <x:c r="A13" s="54" t="str">
        <x:v>RUN-0012</x:v>
      </x:c>
      <x:c r="B13" s="54" t="str"/>
      <x:c r="C13" s="54" t="str"/>
      <x:c r="D13" s="54" t="str"/>
      <x:c r="E13" s="54" t="str"/>
      <x:c r="F13" s="54" t="str">
        <x:v>1.0</x:v>
      </x:c>
      <x:c r="G13" s="54" t="str">
        <x:v>integration-1.0</x:v>
      </x:c>
      <x:c r="H13" s="54" t="str"/>
      <x:c r="I13" s="54" t="str"/>
      <x:c r="J13" s="54" t="str"/>
      <x:c r="K13" s="54" t="str">
        <x:v>待运行</x:v>
      </x:c>
      <x:c r="L13" s="54" t="str">
        <x:v>一般</x:v>
      </x:c>
      <x:c r="M13" s="54" t="str"/>
      <x:c r="N13" s="54" t="str">
        <x:v>未复测</x:v>
      </x:c>
      <x:c r="O13" s="54" t="str"/>
    </x:row>
    <x:row r="14">
      <x:c r="A14" s="54" t="str">
        <x:v>RUN-0013</x:v>
      </x:c>
      <x:c r="B14" s="54" t="str"/>
      <x:c r="C14" s="54" t="str"/>
      <x:c r="D14" s="54" t="str"/>
      <x:c r="E14" s="54" t="str"/>
      <x:c r="F14" s="54" t="str">
        <x:v>1.0</x:v>
      </x:c>
      <x:c r="G14" s="54" t="str">
        <x:v>integration-1.0</x:v>
      </x:c>
      <x:c r="H14" s="54" t="str"/>
      <x:c r="I14" s="54" t="str"/>
      <x:c r="J14" s="54" t="str"/>
      <x:c r="K14" s="54" t="str">
        <x:v>待运行</x:v>
      </x:c>
      <x:c r="L14" s="54" t="str">
        <x:v>一般</x:v>
      </x:c>
      <x:c r="M14" s="54" t="str"/>
      <x:c r="N14" s="54" t="str">
        <x:v>未复测</x:v>
      </x:c>
      <x:c r="O14" s="54" t="str"/>
    </x:row>
    <x:row r="15">
      <x:c r="A15" s="54" t="str">
        <x:v>RUN-0014</x:v>
      </x:c>
      <x:c r="B15" s="54" t="str"/>
      <x:c r="C15" s="54" t="str"/>
      <x:c r="D15" s="54" t="str"/>
      <x:c r="E15" s="54" t="str"/>
      <x:c r="F15" s="54" t="str">
        <x:v>1.0</x:v>
      </x:c>
      <x:c r="G15" s="54" t="str">
        <x:v>integration-1.0</x:v>
      </x:c>
      <x:c r="H15" s="54" t="str"/>
      <x:c r="I15" s="54" t="str"/>
      <x:c r="J15" s="54" t="str"/>
      <x:c r="K15" s="54" t="str">
        <x:v>待运行</x:v>
      </x:c>
      <x:c r="L15" s="54" t="str">
        <x:v>一般</x:v>
      </x:c>
      <x:c r="M15" s="54" t="str"/>
      <x:c r="N15" s="54" t="str">
        <x:v>未复测</x:v>
      </x:c>
      <x:c r="O15" s="54" t="str"/>
    </x:row>
    <x:row r="16">
      <x:c r="A16" s="54" t="str">
        <x:v>RUN-0015</x:v>
      </x:c>
      <x:c r="B16" s="54" t="str"/>
      <x:c r="C16" s="54" t="str"/>
      <x:c r="D16" s="54" t="str"/>
      <x:c r="E16" s="54" t="str"/>
      <x:c r="F16" s="54" t="str">
        <x:v>1.0</x:v>
      </x:c>
      <x:c r="G16" s="54" t="str">
        <x:v>integration-1.0</x:v>
      </x:c>
      <x:c r="H16" s="54" t="str"/>
      <x:c r="I16" s="54" t="str"/>
      <x:c r="J16" s="54" t="str"/>
      <x:c r="K16" s="54" t="str">
        <x:v>待运行</x:v>
      </x:c>
      <x:c r="L16" s="54" t="str">
        <x:v>一般</x:v>
      </x:c>
      <x:c r="M16" s="54" t="str"/>
      <x:c r="N16" s="54" t="str">
        <x:v>未复测</x:v>
      </x:c>
      <x:c r="O16" s="54" t="str"/>
    </x:row>
    <x:row r="17">
      <x:c r="A17" s="54" t="str">
        <x:v>RUN-0016</x:v>
      </x:c>
      <x:c r="B17" s="54" t="str"/>
      <x:c r="C17" s="54" t="str"/>
      <x:c r="D17" s="54" t="str"/>
      <x:c r="E17" s="54" t="str"/>
      <x:c r="F17" s="54" t="str">
        <x:v>1.0</x:v>
      </x:c>
      <x:c r="G17" s="54" t="str">
        <x:v>integration-1.0</x:v>
      </x:c>
      <x:c r="H17" s="54" t="str"/>
      <x:c r="I17" s="54" t="str"/>
      <x:c r="J17" s="54" t="str"/>
      <x:c r="K17" s="54" t="str">
        <x:v>待运行</x:v>
      </x:c>
      <x:c r="L17" s="54" t="str">
        <x:v>一般</x:v>
      </x:c>
      <x:c r="M17" s="54" t="str"/>
      <x:c r="N17" s="54" t="str">
        <x:v>未复测</x:v>
      </x:c>
      <x:c r="O17" s="54" t="str"/>
    </x:row>
    <x:row r="18">
      <x:c r="A18" s="54" t="str">
        <x:v>RUN-0017</x:v>
      </x:c>
      <x:c r="B18" s="54" t="str"/>
      <x:c r="C18" s="54" t="str"/>
      <x:c r="D18" s="54" t="str"/>
      <x:c r="E18" s="54" t="str"/>
      <x:c r="F18" s="54" t="str">
        <x:v>1.0</x:v>
      </x:c>
      <x:c r="G18" s="54" t="str">
        <x:v>integration-1.0</x:v>
      </x:c>
      <x:c r="H18" s="54" t="str"/>
      <x:c r="I18" s="54" t="str"/>
      <x:c r="J18" s="54" t="str"/>
      <x:c r="K18" s="54" t="str">
        <x:v>待运行</x:v>
      </x:c>
      <x:c r="L18" s="54" t="str">
        <x:v>一般</x:v>
      </x:c>
      <x:c r="M18" s="54" t="str"/>
      <x:c r="N18" s="54" t="str">
        <x:v>未复测</x:v>
      </x:c>
      <x:c r="O18" s="54" t="str"/>
    </x:row>
    <x:row r="19">
      <x:c r="A19" s="54" t="str">
        <x:v>RUN-0018</x:v>
      </x:c>
      <x:c r="B19" s="54" t="str"/>
      <x:c r="C19" s="54" t="str"/>
      <x:c r="D19" s="54" t="str"/>
      <x:c r="E19" s="54" t="str"/>
      <x:c r="F19" s="54" t="str">
        <x:v>1.0</x:v>
      </x:c>
      <x:c r="G19" s="54" t="str">
        <x:v>integration-1.0</x:v>
      </x:c>
      <x:c r="H19" s="54" t="str"/>
      <x:c r="I19" s="54" t="str"/>
      <x:c r="J19" s="54" t="str"/>
      <x:c r="K19" s="54" t="str">
        <x:v>待运行</x:v>
      </x:c>
      <x:c r="L19" s="54" t="str">
        <x:v>一般</x:v>
      </x:c>
      <x:c r="M19" s="54" t="str"/>
      <x:c r="N19" s="54" t="str">
        <x:v>未复测</x:v>
      </x:c>
      <x:c r="O19" s="54" t="str"/>
    </x:row>
    <x:row r="20">
      <x:c r="A20" s="54" t="str">
        <x:v>RUN-0019</x:v>
      </x:c>
      <x:c r="B20" s="54" t="str"/>
      <x:c r="C20" s="54" t="str"/>
      <x:c r="D20" s="54" t="str"/>
      <x:c r="E20" s="54" t="str"/>
      <x:c r="F20" s="54" t="str">
        <x:v>1.0</x:v>
      </x:c>
      <x:c r="G20" s="54" t="str">
        <x:v>integration-1.0</x:v>
      </x:c>
      <x:c r="H20" s="54" t="str"/>
      <x:c r="I20" s="54" t="str"/>
      <x:c r="J20" s="54" t="str"/>
      <x:c r="K20" s="54" t="str">
        <x:v>待运行</x:v>
      </x:c>
      <x:c r="L20" s="54" t="str">
        <x:v>一般</x:v>
      </x:c>
      <x:c r="M20" s="54" t="str"/>
      <x:c r="N20" s="54" t="str">
        <x:v>未复测</x:v>
      </x:c>
      <x:c r="O20" s="54" t="str"/>
    </x:row>
    <x:row r="21">
      <x:c r="A21" s="54" t="str">
        <x:v>RUN-0020</x:v>
      </x:c>
      <x:c r="B21" s="54" t="str"/>
      <x:c r="C21" s="54" t="str"/>
      <x:c r="D21" s="54" t="str"/>
      <x:c r="E21" s="54" t="str"/>
      <x:c r="F21" s="54" t="str">
        <x:v>1.0</x:v>
      </x:c>
      <x:c r="G21" s="54" t="str">
        <x:v>integration-1.0</x:v>
      </x:c>
      <x:c r="H21" s="54" t="str"/>
      <x:c r="I21" s="54" t="str"/>
      <x:c r="J21" s="54" t="str"/>
      <x:c r="K21" s="54" t="str">
        <x:v>待运行</x:v>
      </x:c>
      <x:c r="L21" s="54" t="str">
        <x:v>一般</x:v>
      </x:c>
      <x:c r="M21" s="54" t="str"/>
      <x:c r="N21" s="54" t="str">
        <x:v>未复测</x:v>
      </x:c>
      <x:c r="O21" s="54" t="str"/>
    </x:row>
    <x:row r="22">
      <x:c r="A22" s="54" t="str">
        <x:v>RUN-0021</x:v>
      </x:c>
      <x:c r="B22" s="54" t="str"/>
      <x:c r="C22" s="54" t="str"/>
      <x:c r="D22" s="54" t="str"/>
      <x:c r="E22" s="54" t="str"/>
      <x:c r="F22" s="54" t="str">
        <x:v>1.0</x:v>
      </x:c>
      <x:c r="G22" s="54" t="str">
        <x:v>integration-1.0</x:v>
      </x:c>
      <x:c r="H22" s="54" t="str"/>
      <x:c r="I22" s="54" t="str"/>
      <x:c r="J22" s="54" t="str"/>
      <x:c r="K22" s="54" t="str">
        <x:v>待运行</x:v>
      </x:c>
      <x:c r="L22" s="54" t="str">
        <x:v>一般</x:v>
      </x:c>
      <x:c r="M22" s="54" t="str"/>
      <x:c r="N22" s="54" t="str">
        <x:v>未复测</x:v>
      </x:c>
      <x:c r="O22" s="54" t="str"/>
    </x:row>
    <x:row r="23">
      <x:c r="A23" s="54" t="str">
        <x:v>RUN-0022</x:v>
      </x:c>
      <x:c r="B23" s="54" t="str"/>
      <x:c r="C23" s="54" t="str"/>
      <x:c r="D23" s="54" t="str"/>
      <x:c r="E23" s="54" t="str"/>
      <x:c r="F23" s="54" t="str">
        <x:v>1.0</x:v>
      </x:c>
      <x:c r="G23" s="54" t="str">
        <x:v>integration-1.0</x:v>
      </x:c>
      <x:c r="H23" s="54" t="str"/>
      <x:c r="I23" s="54" t="str"/>
      <x:c r="J23" s="54" t="str"/>
      <x:c r="K23" s="54" t="str">
        <x:v>待运行</x:v>
      </x:c>
      <x:c r="L23" s="54" t="str">
        <x:v>一般</x:v>
      </x:c>
      <x:c r="M23" s="54" t="str"/>
      <x:c r="N23" s="54" t="str">
        <x:v>未复测</x:v>
      </x:c>
      <x:c r="O23" s="54" t="str"/>
    </x:row>
    <x:row r="24">
      <x:c r="A24" s="54" t="str">
        <x:v>RUN-0023</x:v>
      </x:c>
      <x:c r="B24" s="54" t="str"/>
      <x:c r="C24" s="54" t="str"/>
      <x:c r="D24" s="54" t="str"/>
      <x:c r="E24" s="54" t="str"/>
      <x:c r="F24" s="54" t="str">
        <x:v>1.0</x:v>
      </x:c>
      <x:c r="G24" s="54" t="str">
        <x:v>integration-1.0</x:v>
      </x:c>
      <x:c r="H24" s="54" t="str"/>
      <x:c r="I24" s="54" t="str"/>
      <x:c r="J24" s="54" t="str"/>
      <x:c r="K24" s="54" t="str">
        <x:v>待运行</x:v>
      </x:c>
      <x:c r="L24" s="54" t="str">
        <x:v>一般</x:v>
      </x:c>
      <x:c r="M24" s="54" t="str"/>
      <x:c r="N24" s="54" t="str">
        <x:v>未复测</x:v>
      </x:c>
      <x:c r="O24" s="54" t="str"/>
    </x:row>
    <x:row r="25">
      <x:c r="A25" s="54" t="str">
        <x:v>RUN-0024</x:v>
      </x:c>
      <x:c r="B25" s="54" t="str"/>
      <x:c r="C25" s="54" t="str"/>
      <x:c r="D25" s="54" t="str"/>
      <x:c r="E25" s="54" t="str"/>
      <x:c r="F25" s="54" t="str">
        <x:v>1.0</x:v>
      </x:c>
      <x:c r="G25" s="54" t="str">
        <x:v>integration-1.0</x:v>
      </x:c>
      <x:c r="H25" s="54" t="str"/>
      <x:c r="I25" s="54" t="str"/>
      <x:c r="J25" s="54" t="str"/>
      <x:c r="K25" s="54" t="str">
        <x:v>待运行</x:v>
      </x:c>
      <x:c r="L25" s="54" t="str">
        <x:v>一般</x:v>
      </x:c>
      <x:c r="M25" s="54" t="str"/>
      <x:c r="N25" s="54" t="str">
        <x:v>未复测</x:v>
      </x:c>
      <x:c r="O25" s="54" t="str"/>
    </x:row>
    <x:row r="26">
      <x:c r="A26" s="54" t="str">
        <x:v>RUN-0025</x:v>
      </x:c>
      <x:c r="B26" s="54" t="str"/>
      <x:c r="C26" s="54" t="str"/>
      <x:c r="D26" s="54" t="str"/>
      <x:c r="E26" s="54" t="str"/>
      <x:c r="F26" s="54" t="str">
        <x:v>1.0</x:v>
      </x:c>
      <x:c r="G26" s="54" t="str">
        <x:v>integration-1.0</x:v>
      </x:c>
      <x:c r="H26" s="54" t="str"/>
      <x:c r="I26" s="54" t="str"/>
      <x:c r="J26" s="54" t="str"/>
      <x:c r="K26" s="54" t="str">
        <x:v>待运行</x:v>
      </x:c>
      <x:c r="L26" s="54" t="str">
        <x:v>一般</x:v>
      </x:c>
      <x:c r="M26" s="54" t="str"/>
      <x:c r="N26" s="54" t="str">
        <x:v>未复测</x:v>
      </x:c>
      <x:c r="O26" s="54" t="str"/>
    </x:row>
    <x:row r="27">
      <x:c r="A27" s="54" t="str">
        <x:v>RUN-0026</x:v>
      </x:c>
      <x:c r="B27" s="54" t="str"/>
      <x:c r="C27" s="54" t="str"/>
      <x:c r="D27" s="54" t="str"/>
      <x:c r="E27" s="54" t="str"/>
      <x:c r="F27" s="54" t="str">
        <x:v>1.0</x:v>
      </x:c>
      <x:c r="G27" s="54" t="str">
        <x:v>integration-1.0</x:v>
      </x:c>
      <x:c r="H27" s="54" t="str"/>
      <x:c r="I27" s="54" t="str"/>
      <x:c r="J27" s="54" t="str"/>
      <x:c r="K27" s="54" t="str">
        <x:v>待运行</x:v>
      </x:c>
      <x:c r="L27" s="54" t="str">
        <x:v>一般</x:v>
      </x:c>
      <x:c r="M27" s="54" t="str"/>
      <x:c r="N27" s="54" t="str">
        <x:v>未复测</x:v>
      </x:c>
      <x:c r="O27" s="54" t="str"/>
    </x:row>
    <x:row r="28">
      <x:c r="A28" s="54" t="str">
        <x:v>RUN-0027</x:v>
      </x:c>
      <x:c r="B28" s="54" t="str"/>
      <x:c r="C28" s="54" t="str"/>
      <x:c r="D28" s="54" t="str"/>
      <x:c r="E28" s="54" t="str"/>
      <x:c r="F28" s="54" t="str">
        <x:v>1.0</x:v>
      </x:c>
      <x:c r="G28" s="54" t="str">
        <x:v>integration-1.0</x:v>
      </x:c>
      <x:c r="H28" s="54" t="str"/>
      <x:c r="I28" s="54" t="str"/>
      <x:c r="J28" s="54" t="str"/>
      <x:c r="K28" s="54" t="str">
        <x:v>待运行</x:v>
      </x:c>
      <x:c r="L28" s="54" t="str">
        <x:v>一般</x:v>
      </x:c>
      <x:c r="M28" s="54" t="str"/>
      <x:c r="N28" s="54" t="str">
        <x:v>未复测</x:v>
      </x:c>
      <x:c r="O28" s="54" t="str"/>
    </x:row>
    <x:row r="29">
      <x:c r="A29" s="54" t="str">
        <x:v>RUN-0028</x:v>
      </x:c>
      <x:c r="B29" s="54" t="str"/>
      <x:c r="C29" s="54" t="str"/>
      <x:c r="D29" s="54" t="str"/>
      <x:c r="E29" s="54" t="str"/>
      <x:c r="F29" s="54" t="str">
        <x:v>1.0</x:v>
      </x:c>
      <x:c r="G29" s="54" t="str">
        <x:v>integration-1.0</x:v>
      </x:c>
      <x:c r="H29" s="54" t="str"/>
      <x:c r="I29" s="54" t="str"/>
      <x:c r="J29" s="54" t="str"/>
      <x:c r="K29" s="54" t="str">
        <x:v>待运行</x:v>
      </x:c>
      <x:c r="L29" s="54" t="str">
        <x:v>一般</x:v>
      </x:c>
      <x:c r="M29" s="54" t="str"/>
      <x:c r="N29" s="54" t="str">
        <x:v>未复测</x:v>
      </x:c>
      <x:c r="O29" s="54" t="str"/>
    </x:row>
    <x:row r="30">
      <x:c r="A30" s="54" t="str">
        <x:v>RUN-0029</x:v>
      </x:c>
      <x:c r="B30" s="54" t="str"/>
      <x:c r="C30" s="54" t="str"/>
      <x:c r="D30" s="54" t="str"/>
      <x:c r="E30" s="54" t="str"/>
      <x:c r="F30" s="54" t="str">
        <x:v>1.0</x:v>
      </x:c>
      <x:c r="G30" s="54" t="str">
        <x:v>integration-1.0</x:v>
      </x:c>
      <x:c r="H30" s="54" t="str"/>
      <x:c r="I30" s="54" t="str"/>
      <x:c r="J30" s="54" t="str"/>
      <x:c r="K30" s="54" t="str">
        <x:v>待运行</x:v>
      </x:c>
      <x:c r="L30" s="54" t="str">
        <x:v>一般</x:v>
      </x:c>
      <x:c r="M30" s="54" t="str"/>
      <x:c r="N30" s="54" t="str">
        <x:v>未复测</x:v>
      </x:c>
      <x:c r="O30" s="54" t="str"/>
    </x:row>
    <x:row r="31">
      <x:c r="A31" s="54" t="str">
        <x:v>RUN-0030</x:v>
      </x:c>
      <x:c r="B31" s="54" t="str"/>
      <x:c r="C31" s="54" t="str"/>
      <x:c r="D31" s="54" t="str"/>
      <x:c r="E31" s="54" t="str"/>
      <x:c r="F31" s="54" t="str">
        <x:v>1.0</x:v>
      </x:c>
      <x:c r="G31" s="54" t="str">
        <x:v>integration-1.0</x:v>
      </x:c>
      <x:c r="H31" s="54" t="str"/>
      <x:c r="I31" s="54" t="str"/>
      <x:c r="J31" s="54" t="str"/>
      <x:c r="K31" s="54" t="str">
        <x:v>待运行</x:v>
      </x:c>
      <x:c r="L31" s="54" t="str">
        <x:v>一般</x:v>
      </x:c>
      <x:c r="M31" s="54" t="str"/>
      <x:c r="N31" s="54" t="str">
        <x:v>未复测</x:v>
      </x:c>
      <x:c r="O31" s="54" t="str"/>
    </x:row>
    <x:row r="32">
      <x:c r="A32" s="54" t="str">
        <x:v>RUN-0031</x:v>
      </x:c>
      <x:c r="B32" s="54" t="str"/>
      <x:c r="C32" s="54" t="str"/>
      <x:c r="D32" s="54" t="str"/>
      <x:c r="E32" s="54" t="str"/>
      <x:c r="F32" s="54" t="str">
        <x:v>1.0</x:v>
      </x:c>
      <x:c r="G32" s="54" t="str">
        <x:v>integration-1.0</x:v>
      </x:c>
      <x:c r="H32" s="54" t="str"/>
      <x:c r="I32" s="54" t="str"/>
      <x:c r="J32" s="54" t="str"/>
      <x:c r="K32" s="54" t="str">
        <x:v>待运行</x:v>
      </x:c>
      <x:c r="L32" s="54" t="str">
        <x:v>一般</x:v>
      </x:c>
      <x:c r="M32" s="54" t="str"/>
      <x:c r="N32" s="54" t="str">
        <x:v>未复测</x:v>
      </x:c>
      <x:c r="O32" s="54" t="str"/>
    </x:row>
    <x:row r="33">
      <x:c r="A33" s="54" t="str">
        <x:v>RUN-0032</x:v>
      </x:c>
      <x:c r="B33" s="54" t="str"/>
      <x:c r="C33" s="54" t="str"/>
      <x:c r="D33" s="54" t="str"/>
      <x:c r="E33" s="54" t="str"/>
      <x:c r="F33" s="54" t="str">
        <x:v>1.0</x:v>
      </x:c>
      <x:c r="G33" s="54" t="str">
        <x:v>integration-1.0</x:v>
      </x:c>
      <x:c r="H33" s="54" t="str"/>
      <x:c r="I33" s="54" t="str"/>
      <x:c r="J33" s="54" t="str"/>
      <x:c r="K33" s="54" t="str">
        <x:v>待运行</x:v>
      </x:c>
      <x:c r="L33" s="54" t="str">
        <x:v>一般</x:v>
      </x:c>
      <x:c r="M33" s="54" t="str"/>
      <x:c r="N33" s="54" t="str">
        <x:v>未复测</x:v>
      </x:c>
      <x:c r="O33" s="54" t="str"/>
    </x:row>
    <x:row r="34">
      <x:c r="A34" s="54" t="str">
        <x:v>RUN-0033</x:v>
      </x:c>
      <x:c r="B34" s="54" t="str"/>
      <x:c r="C34" s="54" t="str"/>
      <x:c r="D34" s="54" t="str"/>
      <x:c r="E34" s="54" t="str"/>
      <x:c r="F34" s="54" t="str">
        <x:v>1.0</x:v>
      </x:c>
      <x:c r="G34" s="54" t="str">
        <x:v>integration-1.0</x:v>
      </x:c>
      <x:c r="H34" s="54" t="str"/>
      <x:c r="I34" s="54" t="str"/>
      <x:c r="J34" s="54" t="str"/>
      <x:c r="K34" s="54" t="str">
        <x:v>待运行</x:v>
      </x:c>
      <x:c r="L34" s="54" t="str">
        <x:v>一般</x:v>
      </x:c>
      <x:c r="M34" s="54" t="str"/>
      <x:c r="N34" s="54" t="str">
        <x:v>未复测</x:v>
      </x:c>
      <x:c r="O34" s="54" t="str"/>
    </x:row>
    <x:row r="35">
      <x:c r="A35" s="54" t="str">
        <x:v>RUN-0034</x:v>
      </x:c>
      <x:c r="B35" s="54" t="str"/>
      <x:c r="C35" s="54" t="str"/>
      <x:c r="D35" s="54" t="str"/>
      <x:c r="E35" s="54" t="str"/>
      <x:c r="F35" s="54" t="str">
        <x:v>1.0</x:v>
      </x:c>
      <x:c r="G35" s="54" t="str">
        <x:v>integration-1.0</x:v>
      </x:c>
      <x:c r="H35" s="54" t="str"/>
      <x:c r="I35" s="54" t="str"/>
      <x:c r="J35" s="54" t="str"/>
      <x:c r="K35" s="54" t="str">
        <x:v>待运行</x:v>
      </x:c>
      <x:c r="L35" s="54" t="str">
        <x:v>一般</x:v>
      </x:c>
      <x:c r="M35" s="54" t="str"/>
      <x:c r="N35" s="54" t="str">
        <x:v>未复测</x:v>
      </x:c>
      <x:c r="O35" s="54" t="str"/>
    </x:row>
    <x:row r="36">
      <x:c r="A36" s="54" t="str">
        <x:v>RUN-0035</x:v>
      </x:c>
      <x:c r="B36" s="54" t="str"/>
      <x:c r="C36" s="54" t="str"/>
      <x:c r="D36" s="54" t="str"/>
      <x:c r="E36" s="54" t="str"/>
      <x:c r="F36" s="54" t="str">
        <x:v>1.0</x:v>
      </x:c>
      <x:c r="G36" s="54" t="str">
        <x:v>integration-1.0</x:v>
      </x:c>
      <x:c r="H36" s="54" t="str"/>
      <x:c r="I36" s="54" t="str"/>
      <x:c r="J36" s="54" t="str"/>
      <x:c r="K36" s="54" t="str">
        <x:v>待运行</x:v>
      </x:c>
      <x:c r="L36" s="54" t="str">
        <x:v>一般</x:v>
      </x:c>
      <x:c r="M36" s="54" t="str"/>
      <x:c r="N36" s="54" t="str">
        <x:v>未复测</x:v>
      </x:c>
      <x:c r="O36" s="54" t="str"/>
    </x:row>
    <x:row r="37">
      <x:c r="A37" s="54" t="str">
        <x:v>RUN-0036</x:v>
      </x:c>
      <x:c r="B37" s="54" t="str"/>
      <x:c r="C37" s="54" t="str"/>
      <x:c r="D37" s="54" t="str"/>
      <x:c r="E37" s="54" t="str"/>
      <x:c r="F37" s="54" t="str">
        <x:v>1.0</x:v>
      </x:c>
      <x:c r="G37" s="54" t="str">
        <x:v>integration-1.0</x:v>
      </x:c>
      <x:c r="H37" s="54" t="str"/>
      <x:c r="I37" s="54" t="str"/>
      <x:c r="J37" s="54" t="str"/>
      <x:c r="K37" s="54" t="str">
        <x:v>待运行</x:v>
      </x:c>
      <x:c r="L37" s="54" t="str">
        <x:v>一般</x:v>
      </x:c>
      <x:c r="M37" s="54" t="str"/>
      <x:c r="N37" s="54" t="str">
        <x:v>未复测</x:v>
      </x:c>
      <x:c r="O37" s="54" t="str"/>
    </x:row>
    <x:row r="38">
      <x:c r="A38" s="54" t="str">
        <x:v>RUN-0037</x:v>
      </x:c>
      <x:c r="B38" s="54" t="str"/>
      <x:c r="C38" s="54" t="str"/>
      <x:c r="D38" s="54" t="str"/>
      <x:c r="E38" s="54" t="str"/>
      <x:c r="F38" s="54" t="str">
        <x:v>1.0</x:v>
      </x:c>
      <x:c r="G38" s="54" t="str">
        <x:v>integration-1.0</x:v>
      </x:c>
      <x:c r="H38" s="54" t="str"/>
      <x:c r="I38" s="54" t="str"/>
      <x:c r="J38" s="54" t="str"/>
      <x:c r="K38" s="54" t="str">
        <x:v>待运行</x:v>
      </x:c>
      <x:c r="L38" s="54" t="str">
        <x:v>一般</x:v>
      </x:c>
      <x:c r="M38" s="54" t="str"/>
      <x:c r="N38" s="54" t="str">
        <x:v>未复测</x:v>
      </x:c>
      <x:c r="O38" s="54" t="str"/>
    </x:row>
    <x:row r="39">
      <x:c r="A39" s="54" t="str">
        <x:v>RUN-0038</x:v>
      </x:c>
      <x:c r="B39" s="54" t="str"/>
      <x:c r="C39" s="54" t="str"/>
      <x:c r="D39" s="54" t="str"/>
      <x:c r="E39" s="54" t="str"/>
      <x:c r="F39" s="54" t="str">
        <x:v>1.0</x:v>
      </x:c>
      <x:c r="G39" s="54" t="str">
        <x:v>integration-1.0</x:v>
      </x:c>
      <x:c r="H39" s="54" t="str"/>
      <x:c r="I39" s="54" t="str"/>
      <x:c r="J39" s="54" t="str"/>
      <x:c r="K39" s="54" t="str">
        <x:v>待运行</x:v>
      </x:c>
      <x:c r="L39" s="54" t="str">
        <x:v>一般</x:v>
      </x:c>
      <x:c r="M39" s="54" t="str"/>
      <x:c r="N39" s="54" t="str">
        <x:v>未复测</x:v>
      </x:c>
      <x:c r="O39" s="54" t="str"/>
    </x:row>
    <x:row r="40">
      <x:c r="A40" s="54" t="str">
        <x:v>RUN-0039</x:v>
      </x:c>
      <x:c r="B40" s="54" t="str"/>
      <x:c r="C40" s="54" t="str"/>
      <x:c r="D40" s="54" t="str"/>
      <x:c r="E40" s="54" t="str"/>
      <x:c r="F40" s="54" t="str">
        <x:v>1.0</x:v>
      </x:c>
      <x:c r="G40" s="54" t="str">
        <x:v>integration-1.0</x:v>
      </x:c>
      <x:c r="H40" s="54" t="str"/>
      <x:c r="I40" s="54" t="str"/>
      <x:c r="J40" s="54" t="str"/>
      <x:c r="K40" s="54" t="str">
        <x:v>待运行</x:v>
      </x:c>
      <x:c r="L40" s="54" t="str">
        <x:v>一般</x:v>
      </x:c>
      <x:c r="M40" s="54" t="str"/>
      <x:c r="N40" s="54" t="str">
        <x:v>未复测</x:v>
      </x:c>
      <x:c r="O40" s="54" t="str"/>
    </x:row>
    <x:row r="41">
      <x:c r="A41" s="54" t="str">
        <x:v>RUN-0040</x:v>
      </x:c>
      <x:c r="B41" s="54" t="str"/>
      <x:c r="C41" s="54" t="str"/>
      <x:c r="D41" s="54" t="str"/>
      <x:c r="E41" s="54" t="str"/>
      <x:c r="F41" s="54" t="str">
        <x:v>1.0</x:v>
      </x:c>
      <x:c r="G41" s="54" t="str">
        <x:v>integration-1.0</x:v>
      </x:c>
      <x:c r="H41" s="54" t="str"/>
      <x:c r="I41" s="54" t="str"/>
      <x:c r="J41" s="54" t="str"/>
      <x:c r="K41" s="54" t="str">
        <x:v>待运行</x:v>
      </x:c>
      <x:c r="L41" s="54" t="str">
        <x:v>一般</x:v>
      </x:c>
      <x:c r="M41" s="54" t="str"/>
      <x:c r="N41" s="54" t="str">
        <x:v>未复测</x:v>
      </x:c>
      <x:c r="O41" s="54" t="str"/>
    </x:row>
    <x:row r="42">
      <x:c r="A42" s="54" t="str">
        <x:v>RUN-0041</x:v>
      </x:c>
      <x:c r="B42" s="54" t="str"/>
      <x:c r="C42" s="54" t="str"/>
      <x:c r="D42" s="54" t="str"/>
      <x:c r="E42" s="54" t="str"/>
      <x:c r="F42" s="54" t="str">
        <x:v>1.0</x:v>
      </x:c>
      <x:c r="G42" s="54" t="str">
        <x:v>integration-1.0</x:v>
      </x:c>
      <x:c r="H42" s="54" t="str"/>
      <x:c r="I42" s="54" t="str"/>
      <x:c r="J42" s="54" t="str"/>
      <x:c r="K42" s="54" t="str">
        <x:v>待运行</x:v>
      </x:c>
      <x:c r="L42" s="54" t="str">
        <x:v>一般</x:v>
      </x:c>
      <x:c r="M42" s="54" t="str"/>
      <x:c r="N42" s="54" t="str">
        <x:v>未复测</x:v>
      </x:c>
      <x:c r="O42" s="54" t="str"/>
    </x:row>
    <x:row r="43">
      <x:c r="A43" s="54" t="str">
        <x:v>RUN-0042</x:v>
      </x:c>
      <x:c r="B43" s="54" t="str"/>
      <x:c r="C43" s="54" t="str"/>
      <x:c r="D43" s="54" t="str"/>
      <x:c r="E43" s="54" t="str"/>
      <x:c r="F43" s="54" t="str">
        <x:v>1.0</x:v>
      </x:c>
      <x:c r="G43" s="54" t="str">
        <x:v>integration-1.0</x:v>
      </x:c>
      <x:c r="H43" s="54" t="str"/>
      <x:c r="I43" s="54" t="str"/>
      <x:c r="J43" s="54" t="str"/>
      <x:c r="K43" s="54" t="str">
        <x:v>待运行</x:v>
      </x:c>
      <x:c r="L43" s="54" t="str">
        <x:v>一般</x:v>
      </x:c>
      <x:c r="M43" s="54" t="str"/>
      <x:c r="N43" s="54" t="str">
        <x:v>未复测</x:v>
      </x:c>
      <x:c r="O43" s="54" t="str"/>
    </x:row>
    <x:row r="44">
      <x:c r="A44" s="54" t="str">
        <x:v>RUN-0043</x:v>
      </x:c>
      <x:c r="B44" s="54" t="str"/>
      <x:c r="C44" s="54" t="str"/>
      <x:c r="D44" s="54" t="str"/>
      <x:c r="E44" s="54" t="str"/>
      <x:c r="F44" s="54" t="str">
        <x:v>1.0</x:v>
      </x:c>
      <x:c r="G44" s="54" t="str">
        <x:v>integration-1.0</x:v>
      </x:c>
      <x:c r="H44" s="54" t="str"/>
      <x:c r="I44" s="54" t="str"/>
      <x:c r="J44" s="54" t="str"/>
      <x:c r="K44" s="54" t="str">
        <x:v>待运行</x:v>
      </x:c>
      <x:c r="L44" s="54" t="str">
        <x:v>一般</x:v>
      </x:c>
      <x:c r="M44" s="54" t="str"/>
      <x:c r="N44" s="54" t="str">
        <x:v>未复测</x:v>
      </x:c>
      <x:c r="O44" s="54" t="str"/>
    </x:row>
    <x:row r="45">
      <x:c r="A45" s="54" t="str">
        <x:v>RUN-0044</x:v>
      </x:c>
      <x:c r="B45" s="54" t="str"/>
      <x:c r="C45" s="54" t="str"/>
      <x:c r="D45" s="54" t="str"/>
      <x:c r="E45" s="54" t="str"/>
      <x:c r="F45" s="54" t="str">
        <x:v>1.0</x:v>
      </x:c>
      <x:c r="G45" s="54" t="str">
        <x:v>integration-1.0</x:v>
      </x:c>
      <x:c r="H45" s="54" t="str"/>
      <x:c r="I45" s="54" t="str"/>
      <x:c r="J45" s="54" t="str"/>
      <x:c r="K45" s="54" t="str">
        <x:v>待运行</x:v>
      </x:c>
      <x:c r="L45" s="54" t="str">
        <x:v>一般</x:v>
      </x:c>
      <x:c r="M45" s="54" t="str"/>
      <x:c r="N45" s="54" t="str">
        <x:v>未复测</x:v>
      </x:c>
      <x:c r="O45" s="54" t="str"/>
    </x:row>
    <x:row r="46">
      <x:c r="A46" s="54" t="str">
        <x:v>RUN-0045</x:v>
      </x:c>
      <x:c r="B46" s="54" t="str"/>
      <x:c r="C46" s="54" t="str"/>
      <x:c r="D46" s="54" t="str"/>
      <x:c r="E46" s="54" t="str"/>
      <x:c r="F46" s="54" t="str">
        <x:v>1.0</x:v>
      </x:c>
      <x:c r="G46" s="54" t="str">
        <x:v>integration-1.0</x:v>
      </x:c>
      <x:c r="H46" s="54" t="str"/>
      <x:c r="I46" s="54" t="str"/>
      <x:c r="J46" s="54" t="str"/>
      <x:c r="K46" s="54" t="str">
        <x:v>待运行</x:v>
      </x:c>
      <x:c r="L46" s="54" t="str">
        <x:v>一般</x:v>
      </x:c>
      <x:c r="M46" s="54" t="str"/>
      <x:c r="N46" s="54" t="str">
        <x:v>未复测</x:v>
      </x:c>
      <x:c r="O46" s="54" t="str"/>
    </x:row>
    <x:row r="47">
      <x:c r="A47" s="54" t="str">
        <x:v>RUN-0046</x:v>
      </x:c>
      <x:c r="B47" s="54" t="str"/>
      <x:c r="C47" s="54" t="str"/>
      <x:c r="D47" s="54" t="str"/>
      <x:c r="E47" s="54" t="str"/>
      <x:c r="F47" s="54" t="str">
        <x:v>1.0</x:v>
      </x:c>
      <x:c r="G47" s="54" t="str">
        <x:v>integration-1.0</x:v>
      </x:c>
      <x:c r="H47" s="54" t="str"/>
      <x:c r="I47" s="54" t="str"/>
      <x:c r="J47" s="54" t="str"/>
      <x:c r="K47" s="54" t="str">
        <x:v>待运行</x:v>
      </x:c>
      <x:c r="L47" s="54" t="str">
        <x:v>一般</x:v>
      </x:c>
      <x:c r="M47" s="54" t="str"/>
      <x:c r="N47" s="54" t="str">
        <x:v>未复测</x:v>
      </x:c>
      <x:c r="O47" s="54" t="str"/>
    </x:row>
    <x:row r="48">
      <x:c r="A48" s="54" t="str">
        <x:v>RUN-0047</x:v>
      </x:c>
      <x:c r="B48" s="54" t="str"/>
      <x:c r="C48" s="54" t="str"/>
      <x:c r="D48" s="54" t="str"/>
      <x:c r="E48" s="54" t="str"/>
      <x:c r="F48" s="54" t="str">
        <x:v>1.0</x:v>
      </x:c>
      <x:c r="G48" s="54" t="str">
        <x:v>integration-1.0</x:v>
      </x:c>
      <x:c r="H48" s="54" t="str"/>
      <x:c r="I48" s="54" t="str"/>
      <x:c r="J48" s="54" t="str"/>
      <x:c r="K48" s="54" t="str">
        <x:v>待运行</x:v>
      </x:c>
      <x:c r="L48" s="54" t="str">
        <x:v>一般</x:v>
      </x:c>
      <x:c r="M48" s="54" t="str"/>
      <x:c r="N48" s="54" t="str">
        <x:v>未复测</x:v>
      </x:c>
      <x:c r="O48" s="54" t="str"/>
    </x:row>
    <x:row r="49">
      <x:c r="A49" s="54" t="str">
        <x:v>RUN-0048</x:v>
      </x:c>
      <x:c r="B49" s="54" t="str"/>
      <x:c r="C49" s="54" t="str"/>
      <x:c r="D49" s="54" t="str"/>
      <x:c r="E49" s="54" t="str"/>
      <x:c r="F49" s="54" t="str">
        <x:v>1.0</x:v>
      </x:c>
      <x:c r="G49" s="54" t="str">
        <x:v>integration-1.0</x:v>
      </x:c>
      <x:c r="H49" s="54" t="str"/>
      <x:c r="I49" s="54" t="str"/>
      <x:c r="J49" s="54" t="str"/>
      <x:c r="K49" s="54" t="str">
        <x:v>待运行</x:v>
      </x:c>
      <x:c r="L49" s="54" t="str">
        <x:v>一般</x:v>
      </x:c>
      <x:c r="M49" s="54" t="str"/>
      <x:c r="N49" s="54" t="str">
        <x:v>未复测</x:v>
      </x:c>
      <x:c r="O49" s="54" t="str"/>
    </x:row>
    <x:row r="50">
      <x:c r="A50" s="54" t="str">
        <x:v>RUN-0049</x:v>
      </x:c>
      <x:c r="B50" s="54" t="str"/>
      <x:c r="C50" s="54" t="str"/>
      <x:c r="D50" s="54" t="str"/>
      <x:c r="E50" s="54" t="str"/>
      <x:c r="F50" s="54" t="str">
        <x:v>1.0</x:v>
      </x:c>
      <x:c r="G50" s="54" t="str">
        <x:v>integration-1.0</x:v>
      </x:c>
      <x:c r="H50" s="54" t="str"/>
      <x:c r="I50" s="54" t="str"/>
      <x:c r="J50" s="54" t="str"/>
      <x:c r="K50" s="54" t="str">
        <x:v>待运行</x:v>
      </x:c>
      <x:c r="L50" s="54" t="str">
        <x:v>一般</x:v>
      </x:c>
      <x:c r="M50" s="54" t="str"/>
      <x:c r="N50" s="54" t="str">
        <x:v>未复测</x:v>
      </x:c>
      <x:c r="O50" s="54" t="str"/>
    </x:row>
    <x:row r="51">
      <x:c r="A51" s="54" t="str">
        <x:v>RUN-0050</x:v>
      </x:c>
      <x:c r="B51" s="54" t="str"/>
      <x:c r="C51" s="54" t="str"/>
      <x:c r="D51" s="54" t="str"/>
      <x:c r="E51" s="54" t="str"/>
      <x:c r="F51" s="54" t="str">
        <x:v>1.0</x:v>
      </x:c>
      <x:c r="G51" s="54" t="str">
        <x:v>integration-1.0</x:v>
      </x:c>
      <x:c r="H51" s="54" t="str"/>
      <x:c r="I51" s="54" t="str"/>
      <x:c r="J51" s="54" t="str"/>
      <x:c r="K51" s="54" t="str">
        <x:v>待运行</x:v>
      </x:c>
      <x:c r="L51" s="54" t="str">
        <x:v>一般</x:v>
      </x:c>
      <x:c r="M51" s="54" t="str"/>
      <x:c r="N51" s="54" t="str">
        <x:v>未复测</x:v>
      </x:c>
      <x:c r="O51" s="54" t="str"/>
    </x:row>
    <x:row r="52">
      <x:c r="A52" s="54" t="str">
        <x:v>RUN-0051</x:v>
      </x:c>
      <x:c r="B52" s="54" t="str"/>
      <x:c r="C52" s="54" t="str"/>
      <x:c r="D52" s="54" t="str"/>
      <x:c r="E52" s="54" t="str"/>
      <x:c r="F52" s="54" t="str">
        <x:v>1.0</x:v>
      </x:c>
      <x:c r="G52" s="54" t="str">
        <x:v>integration-1.0</x:v>
      </x:c>
      <x:c r="H52" s="54" t="str"/>
      <x:c r="I52" s="54" t="str"/>
      <x:c r="J52" s="54" t="str"/>
      <x:c r="K52" s="54" t="str">
        <x:v>待运行</x:v>
      </x:c>
      <x:c r="L52" s="54" t="str">
        <x:v>一般</x:v>
      </x:c>
      <x:c r="M52" s="54" t="str"/>
      <x:c r="N52" s="54" t="str">
        <x:v>未复测</x:v>
      </x:c>
      <x:c r="O52" s="54" t="str"/>
    </x:row>
    <x:row r="53">
      <x:c r="A53" s="54" t="str">
        <x:v>RUN-0052</x:v>
      </x:c>
      <x:c r="B53" s="54" t="str"/>
      <x:c r="C53" s="54" t="str"/>
      <x:c r="D53" s="54" t="str"/>
      <x:c r="E53" s="54" t="str"/>
      <x:c r="F53" s="54" t="str">
        <x:v>1.0</x:v>
      </x:c>
      <x:c r="G53" s="54" t="str">
        <x:v>integration-1.0</x:v>
      </x:c>
      <x:c r="H53" s="54" t="str"/>
      <x:c r="I53" s="54" t="str"/>
      <x:c r="J53" s="54" t="str"/>
      <x:c r="K53" s="54" t="str">
        <x:v>待运行</x:v>
      </x:c>
      <x:c r="L53" s="54" t="str">
        <x:v>一般</x:v>
      </x:c>
      <x:c r="M53" s="54" t="str"/>
      <x:c r="N53" s="54" t="str">
        <x:v>未复测</x:v>
      </x:c>
      <x:c r="O53" s="54" t="str"/>
    </x:row>
    <x:row r="54">
      <x:c r="A54" s="54" t="str">
        <x:v>RUN-0053</x:v>
      </x:c>
      <x:c r="B54" s="54" t="str"/>
      <x:c r="C54" s="54" t="str"/>
      <x:c r="D54" s="54" t="str"/>
      <x:c r="E54" s="54" t="str"/>
      <x:c r="F54" s="54" t="str">
        <x:v>1.0</x:v>
      </x:c>
      <x:c r="G54" s="54" t="str">
        <x:v>integration-1.0</x:v>
      </x:c>
      <x:c r="H54" s="54" t="str"/>
      <x:c r="I54" s="54" t="str"/>
      <x:c r="J54" s="54" t="str"/>
      <x:c r="K54" s="54" t="str">
        <x:v>待运行</x:v>
      </x:c>
      <x:c r="L54" s="54" t="str">
        <x:v>一般</x:v>
      </x:c>
      <x:c r="M54" s="54" t="str"/>
      <x:c r="N54" s="54" t="str">
        <x:v>未复测</x:v>
      </x:c>
      <x:c r="O54" s="54" t="str"/>
    </x:row>
    <x:row r="55">
      <x:c r="A55" s="54" t="str">
        <x:v>RUN-0054</x:v>
      </x:c>
      <x:c r="B55" s="54" t="str"/>
      <x:c r="C55" s="54" t="str"/>
      <x:c r="D55" s="54" t="str"/>
      <x:c r="E55" s="54" t="str"/>
      <x:c r="F55" s="54" t="str">
        <x:v>1.0</x:v>
      </x:c>
      <x:c r="G55" s="54" t="str">
        <x:v>integration-1.0</x:v>
      </x:c>
      <x:c r="H55" s="54" t="str"/>
      <x:c r="I55" s="54" t="str"/>
      <x:c r="J55" s="54" t="str"/>
      <x:c r="K55" s="54" t="str">
        <x:v>待运行</x:v>
      </x:c>
      <x:c r="L55" s="54" t="str">
        <x:v>一般</x:v>
      </x:c>
      <x:c r="M55" s="54" t="str"/>
      <x:c r="N55" s="54" t="str">
        <x:v>未复测</x:v>
      </x:c>
      <x:c r="O55" s="54" t="str"/>
    </x:row>
    <x:row r="56">
      <x:c r="A56" s="54" t="str">
        <x:v>RUN-0055</x:v>
      </x:c>
      <x:c r="B56" s="54" t="str"/>
      <x:c r="C56" s="54" t="str"/>
      <x:c r="D56" s="54" t="str"/>
      <x:c r="E56" s="54" t="str"/>
      <x:c r="F56" s="54" t="str">
        <x:v>1.0</x:v>
      </x:c>
      <x:c r="G56" s="54" t="str">
        <x:v>integration-1.0</x:v>
      </x:c>
      <x:c r="H56" s="54" t="str"/>
      <x:c r="I56" s="54" t="str"/>
      <x:c r="J56" s="54" t="str"/>
      <x:c r="K56" s="54" t="str">
        <x:v>待运行</x:v>
      </x:c>
      <x:c r="L56" s="54" t="str">
        <x:v>一般</x:v>
      </x:c>
      <x:c r="M56" s="54" t="str"/>
      <x:c r="N56" s="54" t="str">
        <x:v>未复测</x:v>
      </x:c>
      <x:c r="O56" s="54" t="str"/>
    </x:row>
    <x:row r="57">
      <x:c r="A57" s="54" t="str">
        <x:v>RUN-0056</x:v>
      </x:c>
      <x:c r="B57" s="54" t="str"/>
      <x:c r="C57" s="54" t="str"/>
      <x:c r="D57" s="54" t="str"/>
      <x:c r="E57" s="54" t="str"/>
      <x:c r="F57" s="54" t="str">
        <x:v>1.0</x:v>
      </x:c>
      <x:c r="G57" s="54" t="str">
        <x:v>integration-1.0</x:v>
      </x:c>
      <x:c r="H57" s="54" t="str"/>
      <x:c r="I57" s="54" t="str"/>
      <x:c r="J57" s="54" t="str"/>
      <x:c r="K57" s="54" t="str">
        <x:v>待运行</x:v>
      </x:c>
      <x:c r="L57" s="54" t="str">
        <x:v>一般</x:v>
      </x:c>
      <x:c r="M57" s="54" t="str"/>
      <x:c r="N57" s="54" t="str">
        <x:v>未复测</x:v>
      </x:c>
      <x:c r="O57" s="54" t="str"/>
    </x:row>
    <x:row r="58">
      <x:c r="A58" s="54" t="str">
        <x:v>RUN-0057</x:v>
      </x:c>
      <x:c r="B58" s="54" t="str"/>
      <x:c r="C58" s="54" t="str"/>
      <x:c r="D58" s="54" t="str"/>
      <x:c r="E58" s="54" t="str"/>
      <x:c r="F58" s="54" t="str">
        <x:v>1.0</x:v>
      </x:c>
      <x:c r="G58" s="54" t="str">
        <x:v>integration-1.0</x:v>
      </x:c>
      <x:c r="H58" s="54" t="str"/>
      <x:c r="I58" s="54" t="str"/>
      <x:c r="J58" s="54" t="str"/>
      <x:c r="K58" s="54" t="str">
        <x:v>待运行</x:v>
      </x:c>
      <x:c r="L58" s="54" t="str">
        <x:v>一般</x:v>
      </x:c>
      <x:c r="M58" s="54" t="str"/>
      <x:c r="N58" s="54" t="str">
        <x:v>未复测</x:v>
      </x:c>
      <x:c r="O58" s="54" t="str"/>
    </x:row>
    <x:row r="59">
      <x:c r="A59" s="54" t="str">
        <x:v>RUN-0058</x:v>
      </x:c>
      <x:c r="B59" s="54" t="str"/>
      <x:c r="C59" s="54" t="str"/>
      <x:c r="D59" s="54" t="str"/>
      <x:c r="E59" s="54" t="str"/>
      <x:c r="F59" s="54" t="str">
        <x:v>1.0</x:v>
      </x:c>
      <x:c r="G59" s="54" t="str">
        <x:v>integration-1.0</x:v>
      </x:c>
      <x:c r="H59" s="54" t="str"/>
      <x:c r="I59" s="54" t="str"/>
      <x:c r="J59" s="54" t="str"/>
      <x:c r="K59" s="54" t="str">
        <x:v>待运行</x:v>
      </x:c>
      <x:c r="L59" s="54" t="str">
        <x:v>一般</x:v>
      </x:c>
      <x:c r="M59" s="54" t="str"/>
      <x:c r="N59" s="54" t="str">
        <x:v>未复测</x:v>
      </x:c>
      <x:c r="O59" s="54" t="str"/>
    </x:row>
    <x:row r="60">
      <x:c r="A60" s="54" t="str">
        <x:v>RUN-0059</x:v>
      </x:c>
      <x:c r="B60" s="54" t="str"/>
      <x:c r="C60" s="54" t="str"/>
      <x:c r="D60" s="54" t="str"/>
      <x:c r="E60" s="54" t="str"/>
      <x:c r="F60" s="54" t="str">
        <x:v>1.0</x:v>
      </x:c>
      <x:c r="G60" s="54" t="str">
        <x:v>integration-1.0</x:v>
      </x:c>
      <x:c r="H60" s="54" t="str"/>
      <x:c r="I60" s="54" t="str"/>
      <x:c r="J60" s="54" t="str"/>
      <x:c r="K60" s="54" t="str">
        <x:v>待运行</x:v>
      </x:c>
      <x:c r="L60" s="54" t="str">
        <x:v>一般</x:v>
      </x:c>
      <x:c r="M60" s="54" t="str"/>
      <x:c r="N60" s="54" t="str">
        <x:v>未复测</x:v>
      </x:c>
      <x:c r="O60" s="54" t="str"/>
    </x:row>
    <x:row r="61">
      <x:c r="A61" s="54" t="str">
        <x:v>RUN-0060</x:v>
      </x:c>
      <x:c r="B61" s="54" t="str"/>
      <x:c r="C61" s="54" t="str"/>
      <x:c r="D61" s="54" t="str"/>
      <x:c r="E61" s="54" t="str"/>
      <x:c r="F61" s="54" t="str">
        <x:v>1.0</x:v>
      </x:c>
      <x:c r="G61" s="54" t="str">
        <x:v>integration-1.0</x:v>
      </x:c>
      <x:c r="H61" s="54" t="str"/>
      <x:c r="I61" s="54" t="str"/>
      <x:c r="J61" s="54" t="str"/>
      <x:c r="K61" s="54" t="str">
        <x:v>待运行</x:v>
      </x:c>
      <x:c r="L61" s="54" t="str">
        <x:v>一般</x:v>
      </x:c>
      <x:c r="M61" s="54" t="str"/>
      <x:c r="N61" s="54" t="str">
        <x:v>未复测</x:v>
      </x:c>
      <x:c r="O61" s="54" t="str"/>
    </x:row>
    <x:row r="62">
      <x:c r="A62" s="54" t="str">
        <x:v>RUN-0061</x:v>
      </x:c>
      <x:c r="B62" s="54" t="str"/>
      <x:c r="C62" s="54" t="str"/>
      <x:c r="D62" s="54" t="str"/>
      <x:c r="E62" s="54" t="str"/>
      <x:c r="F62" s="54" t="str">
        <x:v>1.0</x:v>
      </x:c>
      <x:c r="G62" s="54" t="str">
        <x:v>integration-1.0</x:v>
      </x:c>
      <x:c r="H62" s="54" t="str"/>
      <x:c r="I62" s="54" t="str"/>
      <x:c r="J62" s="54" t="str"/>
      <x:c r="K62" s="54" t="str">
        <x:v>待运行</x:v>
      </x:c>
      <x:c r="L62" s="54" t="str">
        <x:v>一般</x:v>
      </x:c>
      <x:c r="M62" s="54" t="str"/>
      <x:c r="N62" s="54" t="str">
        <x:v>未复测</x:v>
      </x:c>
      <x:c r="O62" s="54" t="str"/>
    </x:row>
    <x:row r="63">
      <x:c r="A63" s="54" t="str">
        <x:v>RUN-0062</x:v>
      </x:c>
      <x:c r="B63" s="54" t="str"/>
      <x:c r="C63" s="54" t="str"/>
      <x:c r="D63" s="54" t="str"/>
      <x:c r="E63" s="54" t="str"/>
      <x:c r="F63" s="54" t="str">
        <x:v>1.0</x:v>
      </x:c>
      <x:c r="G63" s="54" t="str">
        <x:v>integration-1.0</x:v>
      </x:c>
      <x:c r="H63" s="54" t="str"/>
      <x:c r="I63" s="54" t="str"/>
      <x:c r="J63" s="54" t="str"/>
      <x:c r="K63" s="54" t="str">
        <x:v>待运行</x:v>
      </x:c>
      <x:c r="L63" s="54" t="str">
        <x:v>一般</x:v>
      </x:c>
      <x:c r="M63" s="54" t="str"/>
      <x:c r="N63" s="54" t="str">
        <x:v>未复测</x:v>
      </x:c>
      <x:c r="O63" s="54" t="str"/>
    </x:row>
    <x:row r="64">
      <x:c r="A64" s="54" t="str">
        <x:v>RUN-0063</x:v>
      </x:c>
      <x:c r="B64" s="54" t="str"/>
      <x:c r="C64" s="54" t="str"/>
      <x:c r="D64" s="54" t="str"/>
      <x:c r="E64" s="54" t="str"/>
      <x:c r="F64" s="54" t="str">
        <x:v>1.0</x:v>
      </x:c>
      <x:c r="G64" s="54" t="str">
        <x:v>integration-1.0</x:v>
      </x:c>
      <x:c r="H64" s="54" t="str"/>
      <x:c r="I64" s="54" t="str"/>
      <x:c r="J64" s="54" t="str"/>
      <x:c r="K64" s="54" t="str">
        <x:v>待运行</x:v>
      </x:c>
      <x:c r="L64" s="54" t="str">
        <x:v>一般</x:v>
      </x:c>
      <x:c r="M64" s="54" t="str"/>
      <x:c r="N64" s="54" t="str">
        <x:v>未复测</x:v>
      </x:c>
      <x:c r="O64" s="54" t="str"/>
    </x:row>
    <x:row r="65">
      <x:c r="A65" s="54" t="str">
        <x:v>RUN-0064</x:v>
      </x:c>
      <x:c r="B65" s="54" t="str"/>
      <x:c r="C65" s="54" t="str"/>
      <x:c r="D65" s="54" t="str"/>
      <x:c r="E65" s="54" t="str"/>
      <x:c r="F65" s="54" t="str">
        <x:v>1.0</x:v>
      </x:c>
      <x:c r="G65" s="54" t="str">
        <x:v>integration-1.0</x:v>
      </x:c>
      <x:c r="H65" s="54" t="str"/>
      <x:c r="I65" s="54" t="str"/>
      <x:c r="J65" s="54" t="str"/>
      <x:c r="K65" s="54" t="str">
        <x:v>待运行</x:v>
      </x:c>
      <x:c r="L65" s="54" t="str">
        <x:v>一般</x:v>
      </x:c>
      <x:c r="M65" s="54" t="str"/>
      <x:c r="N65" s="54" t="str">
        <x:v>未复测</x:v>
      </x:c>
      <x:c r="O65" s="54" t="str"/>
    </x:row>
    <x:row r="66">
      <x:c r="A66" s="54" t="str">
        <x:v>RUN-0065</x:v>
      </x:c>
      <x:c r="B66" s="54" t="str"/>
      <x:c r="C66" s="54" t="str"/>
      <x:c r="D66" s="54" t="str"/>
      <x:c r="E66" s="54" t="str"/>
      <x:c r="F66" s="54" t="str">
        <x:v>1.0</x:v>
      </x:c>
      <x:c r="G66" s="54" t="str">
        <x:v>integration-1.0</x:v>
      </x:c>
      <x:c r="H66" s="54" t="str"/>
      <x:c r="I66" s="54" t="str"/>
      <x:c r="J66" s="54" t="str"/>
      <x:c r="K66" s="54" t="str">
        <x:v>待运行</x:v>
      </x:c>
      <x:c r="L66" s="54" t="str">
        <x:v>一般</x:v>
      </x:c>
      <x:c r="M66" s="54" t="str"/>
      <x:c r="N66" s="54" t="str">
        <x:v>未复测</x:v>
      </x:c>
      <x:c r="O66" s="54" t="str"/>
    </x:row>
    <x:row r="67">
      <x:c r="A67" s="54" t="str">
        <x:v>RUN-0066</x:v>
      </x:c>
      <x:c r="B67" s="54" t="str"/>
      <x:c r="C67" s="54" t="str"/>
      <x:c r="D67" s="54" t="str"/>
      <x:c r="E67" s="54" t="str"/>
      <x:c r="F67" s="54" t="str">
        <x:v>1.0</x:v>
      </x:c>
      <x:c r="G67" s="54" t="str">
        <x:v>integration-1.0</x:v>
      </x:c>
      <x:c r="H67" s="54" t="str"/>
      <x:c r="I67" s="54" t="str"/>
      <x:c r="J67" s="54" t="str"/>
      <x:c r="K67" s="54" t="str">
        <x:v>待运行</x:v>
      </x:c>
      <x:c r="L67" s="54" t="str">
        <x:v>一般</x:v>
      </x:c>
      <x:c r="M67" s="54" t="str"/>
      <x:c r="N67" s="54" t="str">
        <x:v>未复测</x:v>
      </x:c>
      <x:c r="O67" s="54" t="str"/>
    </x:row>
    <x:row r="68">
      <x:c r="A68" s="54" t="str">
        <x:v>RUN-0067</x:v>
      </x:c>
      <x:c r="B68" s="54" t="str"/>
      <x:c r="C68" s="54" t="str"/>
      <x:c r="D68" s="54" t="str"/>
      <x:c r="E68" s="54" t="str"/>
      <x:c r="F68" s="54" t="str">
        <x:v>1.0</x:v>
      </x:c>
      <x:c r="G68" s="54" t="str">
        <x:v>integration-1.0</x:v>
      </x:c>
      <x:c r="H68" s="54" t="str"/>
      <x:c r="I68" s="54" t="str"/>
      <x:c r="J68" s="54" t="str"/>
      <x:c r="K68" s="54" t="str">
        <x:v>待运行</x:v>
      </x:c>
      <x:c r="L68" s="54" t="str">
        <x:v>一般</x:v>
      </x:c>
      <x:c r="M68" s="54" t="str"/>
      <x:c r="N68" s="54" t="str">
        <x:v>未复测</x:v>
      </x:c>
      <x:c r="O68" s="54" t="str"/>
    </x:row>
    <x:row r="69">
      <x:c r="A69" s="54" t="str">
        <x:v>RUN-0068</x:v>
      </x:c>
      <x:c r="B69" s="54" t="str"/>
      <x:c r="C69" s="54" t="str"/>
      <x:c r="D69" s="54" t="str"/>
      <x:c r="E69" s="54" t="str"/>
      <x:c r="F69" s="54" t="str">
        <x:v>1.0</x:v>
      </x:c>
      <x:c r="G69" s="54" t="str">
        <x:v>integration-1.0</x:v>
      </x:c>
      <x:c r="H69" s="54" t="str"/>
      <x:c r="I69" s="54" t="str"/>
      <x:c r="J69" s="54" t="str"/>
      <x:c r="K69" s="54" t="str">
        <x:v>待运行</x:v>
      </x:c>
      <x:c r="L69" s="54" t="str">
        <x:v>一般</x:v>
      </x:c>
      <x:c r="M69" s="54" t="str"/>
      <x:c r="N69" s="54" t="str">
        <x:v>未复测</x:v>
      </x:c>
      <x:c r="O69" s="54" t="str"/>
    </x:row>
    <x:row r="70">
      <x:c r="A70" s="54" t="str">
        <x:v>RUN-0069</x:v>
      </x:c>
      <x:c r="B70" s="54" t="str"/>
      <x:c r="C70" s="54" t="str"/>
      <x:c r="D70" s="54" t="str"/>
      <x:c r="E70" s="54" t="str"/>
      <x:c r="F70" s="54" t="str">
        <x:v>1.0</x:v>
      </x:c>
      <x:c r="G70" s="54" t="str">
        <x:v>integration-1.0</x:v>
      </x:c>
      <x:c r="H70" s="54" t="str"/>
      <x:c r="I70" s="54" t="str"/>
      <x:c r="J70" s="54" t="str"/>
      <x:c r="K70" s="54" t="str">
        <x:v>待运行</x:v>
      </x:c>
      <x:c r="L70" s="54" t="str">
        <x:v>一般</x:v>
      </x:c>
      <x:c r="M70" s="54" t="str"/>
      <x:c r="N70" s="54" t="str">
        <x:v>未复测</x:v>
      </x:c>
      <x:c r="O70" s="54" t="str"/>
    </x:row>
    <x:row r="71">
      <x:c r="A71" s="54" t="str">
        <x:v>RUN-0070</x:v>
      </x:c>
      <x:c r="B71" s="54" t="str"/>
      <x:c r="C71" s="54" t="str"/>
      <x:c r="D71" s="54" t="str"/>
      <x:c r="E71" s="54" t="str"/>
      <x:c r="F71" s="54" t="str">
        <x:v>1.0</x:v>
      </x:c>
      <x:c r="G71" s="54" t="str">
        <x:v>integration-1.0</x:v>
      </x:c>
      <x:c r="H71" s="54" t="str"/>
      <x:c r="I71" s="54" t="str"/>
      <x:c r="J71" s="54" t="str"/>
      <x:c r="K71" s="54" t="str">
        <x:v>待运行</x:v>
      </x:c>
      <x:c r="L71" s="54" t="str">
        <x:v>一般</x:v>
      </x:c>
      <x:c r="M71" s="54" t="str"/>
      <x:c r="N71" s="54" t="str">
        <x:v>未复测</x:v>
      </x:c>
      <x:c r="O71" s="54" t="str"/>
    </x:row>
    <x:row r="72">
      <x:c r="A72" s="54" t="str">
        <x:v>RUN-0071</x:v>
      </x:c>
      <x:c r="B72" s="54" t="str"/>
      <x:c r="C72" s="54" t="str"/>
      <x:c r="D72" s="54" t="str"/>
      <x:c r="E72" s="54" t="str"/>
      <x:c r="F72" s="54" t="str">
        <x:v>1.0</x:v>
      </x:c>
      <x:c r="G72" s="54" t="str">
        <x:v>integration-1.0</x:v>
      </x:c>
      <x:c r="H72" s="54" t="str"/>
      <x:c r="I72" s="54" t="str"/>
      <x:c r="J72" s="54" t="str"/>
      <x:c r="K72" s="54" t="str">
        <x:v>待运行</x:v>
      </x:c>
      <x:c r="L72" s="54" t="str">
        <x:v>一般</x:v>
      </x:c>
      <x:c r="M72" s="54" t="str"/>
      <x:c r="N72" s="54" t="str">
        <x:v>未复测</x:v>
      </x:c>
      <x:c r="O72" s="54" t="str"/>
    </x:row>
    <x:row r="73">
      <x:c r="A73" s="54" t="str">
        <x:v>RUN-0072</x:v>
      </x:c>
      <x:c r="B73" s="54" t="str"/>
      <x:c r="C73" s="54" t="str"/>
      <x:c r="D73" s="54" t="str"/>
      <x:c r="E73" s="54" t="str"/>
      <x:c r="F73" s="54" t="str">
        <x:v>1.0</x:v>
      </x:c>
      <x:c r="G73" s="54" t="str">
        <x:v>integration-1.0</x:v>
      </x:c>
      <x:c r="H73" s="54" t="str"/>
      <x:c r="I73" s="54" t="str"/>
      <x:c r="J73" s="54" t="str"/>
      <x:c r="K73" s="54" t="str">
        <x:v>待运行</x:v>
      </x:c>
      <x:c r="L73" s="54" t="str">
        <x:v>一般</x:v>
      </x:c>
      <x:c r="M73" s="54" t="str"/>
      <x:c r="N73" s="54" t="str">
        <x:v>未复测</x:v>
      </x:c>
      <x:c r="O73" s="54" t="str"/>
    </x:row>
    <x:row r="74">
      <x:c r="A74" s="54" t="str">
        <x:v>RUN-0073</x:v>
      </x:c>
      <x:c r="B74" s="54" t="str"/>
      <x:c r="C74" s="54" t="str"/>
      <x:c r="D74" s="54" t="str"/>
      <x:c r="E74" s="54" t="str"/>
      <x:c r="F74" s="54" t="str">
        <x:v>1.0</x:v>
      </x:c>
      <x:c r="G74" s="54" t="str">
        <x:v>integration-1.0</x:v>
      </x:c>
      <x:c r="H74" s="54" t="str"/>
      <x:c r="I74" s="54" t="str"/>
      <x:c r="J74" s="54" t="str"/>
      <x:c r="K74" s="54" t="str">
        <x:v>待运行</x:v>
      </x:c>
      <x:c r="L74" s="54" t="str">
        <x:v>一般</x:v>
      </x:c>
      <x:c r="M74" s="54" t="str"/>
      <x:c r="N74" s="54" t="str">
        <x:v>未复测</x:v>
      </x:c>
      <x:c r="O74" s="54" t="str"/>
    </x:row>
    <x:row r="75">
      <x:c r="A75" s="54" t="str">
        <x:v>RUN-0074</x:v>
      </x:c>
      <x:c r="B75" s="54" t="str"/>
      <x:c r="C75" s="54" t="str"/>
      <x:c r="D75" s="54" t="str"/>
      <x:c r="E75" s="54" t="str"/>
      <x:c r="F75" s="54" t="str">
        <x:v>1.0</x:v>
      </x:c>
      <x:c r="G75" s="54" t="str">
        <x:v>integration-1.0</x:v>
      </x:c>
      <x:c r="H75" s="54" t="str"/>
      <x:c r="I75" s="54" t="str"/>
      <x:c r="J75" s="54" t="str"/>
      <x:c r="K75" s="54" t="str">
        <x:v>待运行</x:v>
      </x:c>
      <x:c r="L75" s="54" t="str">
        <x:v>一般</x:v>
      </x:c>
      <x:c r="M75" s="54" t="str"/>
      <x:c r="N75" s="54" t="str">
        <x:v>未复测</x:v>
      </x:c>
      <x:c r="O75" s="54" t="str"/>
    </x:row>
    <x:row r="76">
      <x:c r="A76" s="54" t="str">
        <x:v>RUN-0075</x:v>
      </x:c>
      <x:c r="B76" s="54" t="str"/>
      <x:c r="C76" s="54" t="str"/>
      <x:c r="D76" s="54" t="str"/>
      <x:c r="E76" s="54" t="str"/>
      <x:c r="F76" s="54" t="str">
        <x:v>1.0</x:v>
      </x:c>
      <x:c r="G76" s="54" t="str">
        <x:v>integration-1.0</x:v>
      </x:c>
      <x:c r="H76" s="54" t="str"/>
      <x:c r="I76" s="54" t="str"/>
      <x:c r="J76" s="54" t="str"/>
      <x:c r="K76" s="54" t="str">
        <x:v>待运行</x:v>
      </x:c>
      <x:c r="L76" s="54" t="str">
        <x:v>一般</x:v>
      </x:c>
      <x:c r="M76" s="54" t="str"/>
      <x:c r="N76" s="54" t="str">
        <x:v>未复测</x:v>
      </x:c>
      <x:c r="O76" s="54" t="str"/>
    </x:row>
    <x:row r="77">
      <x:c r="A77" s="54" t="str">
        <x:v>RUN-0076</x:v>
      </x:c>
      <x:c r="B77" s="54" t="str"/>
      <x:c r="C77" s="54" t="str"/>
      <x:c r="D77" s="54" t="str"/>
      <x:c r="E77" s="54" t="str"/>
      <x:c r="F77" s="54" t="str">
        <x:v>1.0</x:v>
      </x:c>
      <x:c r="G77" s="54" t="str">
        <x:v>integration-1.0</x:v>
      </x:c>
      <x:c r="H77" s="54" t="str"/>
      <x:c r="I77" s="54" t="str"/>
      <x:c r="J77" s="54" t="str"/>
      <x:c r="K77" s="54" t="str">
        <x:v>待运行</x:v>
      </x:c>
      <x:c r="L77" s="54" t="str">
        <x:v>一般</x:v>
      </x:c>
      <x:c r="M77" s="54" t="str"/>
      <x:c r="N77" s="54" t="str">
        <x:v>未复测</x:v>
      </x:c>
      <x:c r="O77" s="54" t="str"/>
    </x:row>
    <x:row r="78">
      <x:c r="A78" s="54" t="str">
        <x:v>RUN-0077</x:v>
      </x:c>
      <x:c r="B78" s="54" t="str"/>
      <x:c r="C78" s="54" t="str"/>
      <x:c r="D78" s="54" t="str"/>
      <x:c r="E78" s="54" t="str"/>
      <x:c r="F78" s="54" t="str">
        <x:v>1.0</x:v>
      </x:c>
      <x:c r="G78" s="54" t="str">
        <x:v>integration-1.0</x:v>
      </x:c>
      <x:c r="H78" s="54" t="str"/>
      <x:c r="I78" s="54" t="str"/>
      <x:c r="J78" s="54" t="str"/>
      <x:c r="K78" s="54" t="str">
        <x:v>待运行</x:v>
      </x:c>
      <x:c r="L78" s="54" t="str">
        <x:v>一般</x:v>
      </x:c>
      <x:c r="M78" s="54" t="str"/>
      <x:c r="N78" s="54" t="str">
        <x:v>未复测</x:v>
      </x:c>
      <x:c r="O78" s="54" t="str"/>
    </x:row>
    <x:row r="79">
      <x:c r="A79" s="54" t="str">
        <x:v>RUN-0078</x:v>
      </x:c>
      <x:c r="B79" s="54" t="str"/>
      <x:c r="C79" s="54" t="str"/>
      <x:c r="D79" s="54" t="str"/>
      <x:c r="E79" s="54" t="str"/>
      <x:c r="F79" s="54" t="str">
        <x:v>1.0</x:v>
      </x:c>
      <x:c r="G79" s="54" t="str">
        <x:v>integration-1.0</x:v>
      </x:c>
      <x:c r="H79" s="54" t="str"/>
      <x:c r="I79" s="54" t="str"/>
      <x:c r="J79" s="54" t="str"/>
      <x:c r="K79" s="54" t="str">
        <x:v>待运行</x:v>
      </x:c>
      <x:c r="L79" s="54" t="str">
        <x:v>一般</x:v>
      </x:c>
      <x:c r="M79" s="54" t="str"/>
      <x:c r="N79" s="54" t="str">
        <x:v>未复测</x:v>
      </x:c>
      <x:c r="O79" s="54" t="str"/>
    </x:row>
    <x:row r="80">
      <x:c r="A80" s="54" t="str">
        <x:v>RUN-0079</x:v>
      </x:c>
      <x:c r="B80" s="54" t="str"/>
      <x:c r="C80" s="54" t="str"/>
      <x:c r="D80" s="54" t="str"/>
      <x:c r="E80" s="54" t="str"/>
      <x:c r="F80" s="54" t="str">
        <x:v>1.0</x:v>
      </x:c>
      <x:c r="G80" s="54" t="str">
        <x:v>integration-1.0</x:v>
      </x:c>
      <x:c r="H80" s="54" t="str"/>
      <x:c r="I80" s="54" t="str"/>
      <x:c r="J80" s="54" t="str"/>
      <x:c r="K80" s="54" t="str">
        <x:v>待运行</x:v>
      </x:c>
      <x:c r="L80" s="54" t="str">
        <x:v>一般</x:v>
      </x:c>
      <x:c r="M80" s="54" t="str"/>
      <x:c r="N80" s="54" t="str">
        <x:v>未复测</x:v>
      </x:c>
      <x:c r="O80" s="54" t="str"/>
    </x:row>
    <x:row r="81">
      <x:c r="A81" s="54" t="str">
        <x:v>RUN-0080</x:v>
      </x:c>
      <x:c r="B81" s="54" t="str"/>
      <x:c r="C81" s="54" t="str"/>
      <x:c r="D81" s="54" t="str"/>
      <x:c r="E81" s="54" t="str"/>
      <x:c r="F81" s="54" t="str">
        <x:v>1.0</x:v>
      </x:c>
      <x:c r="G81" s="54" t="str">
        <x:v>integration-1.0</x:v>
      </x:c>
      <x:c r="H81" s="54" t="str"/>
      <x:c r="I81" s="54" t="str"/>
      <x:c r="J81" s="54" t="str"/>
      <x:c r="K81" s="54" t="str">
        <x:v>待运行</x:v>
      </x:c>
      <x:c r="L81" s="54" t="str">
        <x:v>一般</x:v>
      </x:c>
      <x:c r="M81" s="54" t="str"/>
      <x:c r="N81" s="54" t="str">
        <x:v>未复测</x:v>
      </x:c>
      <x:c r="O81" s="54" t="str"/>
    </x:row>
    <x:row r="82">
      <x:c r="A82" s="54" t="str">
        <x:v>RUN-0081</x:v>
      </x:c>
      <x:c r="B82" s="54" t="str"/>
      <x:c r="C82" s="54" t="str"/>
      <x:c r="D82" s="54" t="str"/>
      <x:c r="E82" s="54" t="str"/>
      <x:c r="F82" s="54" t="str">
        <x:v>1.0</x:v>
      </x:c>
      <x:c r="G82" s="54" t="str">
        <x:v>integration-1.0</x:v>
      </x:c>
      <x:c r="H82" s="54" t="str"/>
      <x:c r="I82" s="54" t="str"/>
      <x:c r="J82" s="54" t="str"/>
      <x:c r="K82" s="54" t="str">
        <x:v>待运行</x:v>
      </x:c>
      <x:c r="L82" s="54" t="str">
        <x:v>一般</x:v>
      </x:c>
      <x:c r="M82" s="54" t="str"/>
      <x:c r="N82" s="54" t="str">
        <x:v>未复测</x:v>
      </x:c>
      <x:c r="O82" s="54" t="str"/>
    </x:row>
    <x:row r="83">
      <x:c r="A83" s="54" t="str">
        <x:v>RUN-0082</x:v>
      </x:c>
      <x:c r="B83" s="54" t="str"/>
      <x:c r="C83" s="54" t="str"/>
      <x:c r="D83" s="54" t="str"/>
      <x:c r="E83" s="54" t="str"/>
      <x:c r="F83" s="54" t="str">
        <x:v>1.0</x:v>
      </x:c>
      <x:c r="G83" s="54" t="str">
        <x:v>integration-1.0</x:v>
      </x:c>
      <x:c r="H83" s="54" t="str"/>
      <x:c r="I83" s="54" t="str"/>
      <x:c r="J83" s="54" t="str"/>
      <x:c r="K83" s="54" t="str">
        <x:v>待运行</x:v>
      </x:c>
      <x:c r="L83" s="54" t="str">
        <x:v>一般</x:v>
      </x:c>
      <x:c r="M83" s="54" t="str"/>
      <x:c r="N83" s="54" t="str">
        <x:v>未复测</x:v>
      </x:c>
      <x:c r="O83" s="54" t="str"/>
    </x:row>
    <x:row r="84">
      <x:c r="A84" s="54" t="str">
        <x:v>RUN-0083</x:v>
      </x:c>
      <x:c r="B84" s="54" t="str"/>
      <x:c r="C84" s="54" t="str"/>
      <x:c r="D84" s="54" t="str"/>
      <x:c r="E84" s="54" t="str"/>
      <x:c r="F84" s="54" t="str">
        <x:v>1.0</x:v>
      </x:c>
      <x:c r="G84" s="54" t="str">
        <x:v>integration-1.0</x:v>
      </x:c>
      <x:c r="H84" s="54" t="str"/>
      <x:c r="I84" s="54" t="str"/>
      <x:c r="J84" s="54" t="str"/>
      <x:c r="K84" s="54" t="str">
        <x:v>待运行</x:v>
      </x:c>
      <x:c r="L84" s="54" t="str">
        <x:v>一般</x:v>
      </x:c>
      <x:c r="M84" s="54" t="str"/>
      <x:c r="N84" s="54" t="str">
        <x:v>未复测</x:v>
      </x:c>
      <x:c r="O84" s="54" t="str"/>
    </x:row>
    <x:row r="85">
      <x:c r="A85" s="54" t="str">
        <x:v>RUN-0084</x:v>
      </x:c>
      <x:c r="B85" s="54" t="str"/>
      <x:c r="C85" s="54" t="str"/>
      <x:c r="D85" s="54" t="str"/>
      <x:c r="E85" s="54" t="str"/>
      <x:c r="F85" s="54" t="str">
        <x:v>1.0</x:v>
      </x:c>
      <x:c r="G85" s="54" t="str">
        <x:v>integration-1.0</x:v>
      </x:c>
      <x:c r="H85" s="54" t="str"/>
      <x:c r="I85" s="54" t="str"/>
      <x:c r="J85" s="54" t="str"/>
      <x:c r="K85" s="54" t="str">
        <x:v>待运行</x:v>
      </x:c>
      <x:c r="L85" s="54" t="str">
        <x:v>一般</x:v>
      </x:c>
      <x:c r="M85" s="54" t="str"/>
      <x:c r="N85" s="54" t="str">
        <x:v>未复测</x:v>
      </x:c>
      <x:c r="O85" s="54" t="str"/>
    </x:row>
    <x:row r="86">
      <x:c r="A86" s="54" t="str">
        <x:v>RUN-0085</x:v>
      </x:c>
      <x:c r="B86" s="54" t="str"/>
      <x:c r="C86" s="54" t="str"/>
      <x:c r="D86" s="54" t="str"/>
      <x:c r="E86" s="54" t="str"/>
      <x:c r="F86" s="54" t="str">
        <x:v>1.0</x:v>
      </x:c>
      <x:c r="G86" s="54" t="str">
        <x:v>integration-1.0</x:v>
      </x:c>
      <x:c r="H86" s="54" t="str"/>
      <x:c r="I86" s="54" t="str"/>
      <x:c r="J86" s="54" t="str"/>
      <x:c r="K86" s="54" t="str">
        <x:v>待运行</x:v>
      </x:c>
      <x:c r="L86" s="54" t="str">
        <x:v>一般</x:v>
      </x:c>
      <x:c r="M86" s="54" t="str"/>
      <x:c r="N86" s="54" t="str">
        <x:v>未复测</x:v>
      </x:c>
      <x:c r="O86" s="54" t="str"/>
    </x:row>
    <x:row r="87">
      <x:c r="A87" s="54" t="str">
        <x:v>RUN-0086</x:v>
      </x:c>
      <x:c r="B87" s="54" t="str"/>
      <x:c r="C87" s="54" t="str"/>
      <x:c r="D87" s="54" t="str"/>
      <x:c r="E87" s="54" t="str"/>
      <x:c r="F87" s="54" t="str">
        <x:v>1.0</x:v>
      </x:c>
      <x:c r="G87" s="54" t="str">
        <x:v>integration-1.0</x:v>
      </x:c>
      <x:c r="H87" s="54" t="str"/>
      <x:c r="I87" s="54" t="str"/>
      <x:c r="J87" s="54" t="str"/>
      <x:c r="K87" s="54" t="str">
        <x:v>待运行</x:v>
      </x:c>
      <x:c r="L87" s="54" t="str">
        <x:v>一般</x:v>
      </x:c>
      <x:c r="M87" s="54" t="str"/>
      <x:c r="N87" s="54" t="str">
        <x:v>未复测</x:v>
      </x:c>
      <x:c r="O87" s="54" t="str"/>
    </x:row>
    <x:row r="88">
      <x:c r="A88" s="54" t="str">
        <x:v>RUN-0087</x:v>
      </x:c>
      <x:c r="B88" s="54" t="str"/>
      <x:c r="C88" s="54" t="str"/>
      <x:c r="D88" s="54" t="str"/>
      <x:c r="E88" s="54" t="str"/>
      <x:c r="F88" s="54" t="str">
        <x:v>1.0</x:v>
      </x:c>
      <x:c r="G88" s="54" t="str">
        <x:v>integration-1.0</x:v>
      </x:c>
      <x:c r="H88" s="54" t="str"/>
      <x:c r="I88" s="54" t="str"/>
      <x:c r="J88" s="54" t="str"/>
      <x:c r="K88" s="54" t="str">
        <x:v>待运行</x:v>
      </x:c>
      <x:c r="L88" s="54" t="str">
        <x:v>一般</x:v>
      </x:c>
      <x:c r="M88" s="54" t="str"/>
      <x:c r="N88" s="54" t="str">
        <x:v>未复测</x:v>
      </x:c>
      <x:c r="O88" s="54" t="str"/>
    </x:row>
    <x:row r="89">
      <x:c r="A89" s="54" t="str">
        <x:v>RUN-0088</x:v>
      </x:c>
      <x:c r="B89" s="54" t="str"/>
      <x:c r="C89" s="54" t="str"/>
      <x:c r="D89" s="54" t="str"/>
      <x:c r="E89" s="54" t="str"/>
      <x:c r="F89" s="54" t="str">
        <x:v>1.0</x:v>
      </x:c>
      <x:c r="G89" s="54" t="str">
        <x:v>integration-1.0</x:v>
      </x:c>
      <x:c r="H89" s="54" t="str"/>
      <x:c r="I89" s="54" t="str"/>
      <x:c r="J89" s="54" t="str"/>
      <x:c r="K89" s="54" t="str">
        <x:v>待运行</x:v>
      </x:c>
      <x:c r="L89" s="54" t="str">
        <x:v>一般</x:v>
      </x:c>
      <x:c r="M89" s="54" t="str"/>
      <x:c r="N89" s="54" t="str">
        <x:v>未复测</x:v>
      </x:c>
      <x:c r="O89" s="54" t="str"/>
    </x:row>
    <x:row r="90">
      <x:c r="A90" s="54" t="str">
        <x:v>RUN-0089</x:v>
      </x:c>
      <x:c r="B90" s="54" t="str"/>
      <x:c r="C90" s="54" t="str"/>
      <x:c r="D90" s="54" t="str"/>
      <x:c r="E90" s="54" t="str"/>
      <x:c r="F90" s="54" t="str">
        <x:v>1.0</x:v>
      </x:c>
      <x:c r="G90" s="54" t="str">
        <x:v>integration-1.0</x:v>
      </x:c>
      <x:c r="H90" s="54" t="str"/>
      <x:c r="I90" s="54" t="str"/>
      <x:c r="J90" s="54" t="str"/>
      <x:c r="K90" s="54" t="str">
        <x:v>待运行</x:v>
      </x:c>
      <x:c r="L90" s="54" t="str">
        <x:v>一般</x:v>
      </x:c>
      <x:c r="M90" s="54" t="str"/>
      <x:c r="N90" s="54" t="str">
        <x:v>未复测</x:v>
      </x:c>
      <x:c r="O90" s="54" t="str"/>
    </x:row>
    <x:row r="91">
      <x:c r="A91" s="54" t="str">
        <x:v>RUN-0090</x:v>
      </x:c>
      <x:c r="B91" s="54" t="str"/>
      <x:c r="C91" s="54" t="str"/>
      <x:c r="D91" s="54" t="str"/>
      <x:c r="E91" s="54" t="str"/>
      <x:c r="F91" s="54" t="str">
        <x:v>1.0</x:v>
      </x:c>
      <x:c r="G91" s="54" t="str">
        <x:v>integration-1.0</x:v>
      </x:c>
      <x:c r="H91" s="54" t="str"/>
      <x:c r="I91" s="54" t="str"/>
      <x:c r="J91" s="54" t="str"/>
      <x:c r="K91" s="54" t="str">
        <x:v>待运行</x:v>
      </x:c>
      <x:c r="L91" s="54" t="str">
        <x:v>一般</x:v>
      </x:c>
      <x:c r="M91" s="54" t="str"/>
      <x:c r="N91" s="54" t="str">
        <x:v>未复测</x:v>
      </x:c>
      <x:c r="O91" s="54" t="str"/>
    </x:row>
    <x:row r="92">
      <x:c r="A92" s="54" t="str">
        <x:v>RUN-0091</x:v>
      </x:c>
      <x:c r="B92" s="54" t="str"/>
      <x:c r="C92" s="54" t="str"/>
      <x:c r="D92" s="54" t="str"/>
      <x:c r="E92" s="54" t="str"/>
      <x:c r="F92" s="54" t="str">
        <x:v>1.0</x:v>
      </x:c>
      <x:c r="G92" s="54" t="str">
        <x:v>integration-1.0</x:v>
      </x:c>
      <x:c r="H92" s="54" t="str"/>
      <x:c r="I92" s="54" t="str"/>
      <x:c r="J92" s="54" t="str"/>
      <x:c r="K92" s="54" t="str">
        <x:v>待运行</x:v>
      </x:c>
      <x:c r="L92" s="54" t="str">
        <x:v>一般</x:v>
      </x:c>
      <x:c r="M92" s="54" t="str"/>
      <x:c r="N92" s="54" t="str">
        <x:v>未复测</x:v>
      </x:c>
      <x:c r="O92" s="54" t="str"/>
    </x:row>
    <x:row r="93">
      <x:c r="A93" s="54" t="str">
        <x:v>RUN-0092</x:v>
      </x:c>
      <x:c r="B93" s="54" t="str"/>
      <x:c r="C93" s="54" t="str"/>
      <x:c r="D93" s="54" t="str"/>
      <x:c r="E93" s="54" t="str"/>
      <x:c r="F93" s="54" t="str">
        <x:v>1.0</x:v>
      </x:c>
      <x:c r="G93" s="54" t="str">
        <x:v>integration-1.0</x:v>
      </x:c>
      <x:c r="H93" s="54" t="str"/>
      <x:c r="I93" s="54" t="str"/>
      <x:c r="J93" s="54" t="str"/>
      <x:c r="K93" s="54" t="str">
        <x:v>待运行</x:v>
      </x:c>
      <x:c r="L93" s="54" t="str">
        <x:v>一般</x:v>
      </x:c>
      <x:c r="M93" s="54" t="str"/>
      <x:c r="N93" s="54" t="str">
        <x:v>未复测</x:v>
      </x:c>
      <x:c r="O93" s="54" t="str"/>
    </x:row>
    <x:row r="94">
      <x:c r="A94" s="54" t="str">
        <x:v>RUN-0093</x:v>
      </x:c>
      <x:c r="B94" s="54" t="str"/>
      <x:c r="C94" s="54" t="str"/>
      <x:c r="D94" s="54" t="str"/>
      <x:c r="E94" s="54" t="str"/>
      <x:c r="F94" s="54" t="str">
        <x:v>1.0</x:v>
      </x:c>
      <x:c r="G94" s="54" t="str">
        <x:v>integration-1.0</x:v>
      </x:c>
      <x:c r="H94" s="54" t="str"/>
      <x:c r="I94" s="54" t="str"/>
      <x:c r="J94" s="54" t="str"/>
      <x:c r="K94" s="54" t="str">
        <x:v>待运行</x:v>
      </x:c>
      <x:c r="L94" s="54" t="str">
        <x:v>一般</x:v>
      </x:c>
      <x:c r="M94" s="54" t="str"/>
      <x:c r="N94" s="54" t="str">
        <x:v>未复测</x:v>
      </x:c>
      <x:c r="O94" s="54" t="str"/>
    </x:row>
    <x:row r="95">
      <x:c r="A95" s="54" t="str">
        <x:v>RUN-0094</x:v>
      </x:c>
      <x:c r="B95" s="54" t="str"/>
      <x:c r="C95" s="54" t="str"/>
      <x:c r="D95" s="54" t="str"/>
      <x:c r="E95" s="54" t="str"/>
      <x:c r="F95" s="54" t="str">
        <x:v>1.0</x:v>
      </x:c>
      <x:c r="G95" s="54" t="str">
        <x:v>integration-1.0</x:v>
      </x:c>
      <x:c r="H95" s="54" t="str"/>
      <x:c r="I95" s="54" t="str"/>
      <x:c r="J95" s="54" t="str"/>
      <x:c r="K95" s="54" t="str">
        <x:v>待运行</x:v>
      </x:c>
      <x:c r="L95" s="54" t="str">
        <x:v>一般</x:v>
      </x:c>
      <x:c r="M95" s="54" t="str"/>
      <x:c r="N95" s="54" t="str">
        <x:v>未复测</x:v>
      </x:c>
      <x:c r="O95" s="54" t="str"/>
    </x:row>
    <x:row r="96">
      <x:c r="A96" s="54" t="str">
        <x:v>RUN-0095</x:v>
      </x:c>
      <x:c r="B96" s="54" t="str"/>
      <x:c r="C96" s="54" t="str"/>
      <x:c r="D96" s="54" t="str"/>
      <x:c r="E96" s="54" t="str"/>
      <x:c r="F96" s="54" t="str">
        <x:v>1.0</x:v>
      </x:c>
      <x:c r="G96" s="54" t="str">
        <x:v>integration-1.0</x:v>
      </x:c>
      <x:c r="H96" s="54" t="str"/>
      <x:c r="I96" s="54" t="str"/>
      <x:c r="J96" s="54" t="str"/>
      <x:c r="K96" s="54" t="str">
        <x:v>待运行</x:v>
      </x:c>
      <x:c r="L96" s="54" t="str">
        <x:v>一般</x:v>
      </x:c>
      <x:c r="M96" s="54" t="str"/>
      <x:c r="N96" s="54" t="str">
        <x:v>未复测</x:v>
      </x:c>
      <x:c r="O96" s="54" t="str"/>
    </x:row>
    <x:row r="97">
      <x:c r="A97" s="54" t="str">
        <x:v>RUN-0096</x:v>
      </x:c>
      <x:c r="B97" s="54" t="str"/>
      <x:c r="C97" s="54" t="str"/>
      <x:c r="D97" s="54" t="str"/>
      <x:c r="E97" s="54" t="str"/>
      <x:c r="F97" s="54" t="str">
        <x:v>1.0</x:v>
      </x:c>
      <x:c r="G97" s="54" t="str">
        <x:v>integration-1.0</x:v>
      </x:c>
      <x:c r="H97" s="54" t="str"/>
      <x:c r="I97" s="54" t="str"/>
      <x:c r="J97" s="54" t="str"/>
      <x:c r="K97" s="54" t="str">
        <x:v>待运行</x:v>
      </x:c>
      <x:c r="L97" s="54" t="str">
        <x:v>一般</x:v>
      </x:c>
      <x:c r="M97" s="54" t="str"/>
      <x:c r="N97" s="54" t="str">
        <x:v>未复测</x:v>
      </x:c>
      <x:c r="O97" s="54" t="str"/>
    </x:row>
    <x:row r="98">
      <x:c r="A98" s="54" t="str">
        <x:v>RUN-0097</x:v>
      </x:c>
      <x:c r="B98" s="54" t="str"/>
      <x:c r="C98" s="54" t="str"/>
      <x:c r="D98" s="54" t="str"/>
      <x:c r="E98" s="54" t="str"/>
      <x:c r="F98" s="54" t="str">
        <x:v>1.0</x:v>
      </x:c>
      <x:c r="G98" s="54" t="str">
        <x:v>integration-1.0</x:v>
      </x:c>
      <x:c r="H98" s="54" t="str"/>
      <x:c r="I98" s="54" t="str"/>
      <x:c r="J98" s="54" t="str"/>
      <x:c r="K98" s="54" t="str">
        <x:v>待运行</x:v>
      </x:c>
      <x:c r="L98" s="54" t="str">
        <x:v>一般</x:v>
      </x:c>
      <x:c r="M98" s="54" t="str"/>
      <x:c r="N98" s="54" t="str">
        <x:v>未复测</x:v>
      </x:c>
      <x:c r="O98" s="54" t="str"/>
    </x:row>
    <x:row r="99">
      <x:c r="A99" s="54" t="str">
        <x:v>RUN-0098</x:v>
      </x:c>
      <x:c r="B99" s="54" t="str"/>
      <x:c r="C99" s="54" t="str"/>
      <x:c r="D99" s="54" t="str"/>
      <x:c r="E99" s="54" t="str"/>
      <x:c r="F99" s="54" t="str">
        <x:v>1.0</x:v>
      </x:c>
      <x:c r="G99" s="54" t="str">
        <x:v>integration-1.0</x:v>
      </x:c>
      <x:c r="H99" s="54" t="str"/>
      <x:c r="I99" s="54" t="str"/>
      <x:c r="J99" s="54" t="str"/>
      <x:c r="K99" s="54" t="str">
        <x:v>待运行</x:v>
      </x:c>
      <x:c r="L99" s="54" t="str">
        <x:v>一般</x:v>
      </x:c>
      <x:c r="M99" s="54" t="str"/>
      <x:c r="N99" s="54" t="str">
        <x:v>未复测</x:v>
      </x:c>
      <x:c r="O99" s="54" t="str"/>
    </x:row>
    <x:row r="100">
      <x:c r="A100" s="54" t="str">
        <x:v>RUN-0099</x:v>
      </x:c>
      <x:c r="B100" s="54" t="str"/>
      <x:c r="C100" s="54" t="str"/>
      <x:c r="D100" s="54" t="str"/>
      <x:c r="E100" s="54" t="str"/>
      <x:c r="F100" s="54" t="str">
        <x:v>1.0</x:v>
      </x:c>
      <x:c r="G100" s="54" t="str">
        <x:v>integration-1.0</x:v>
      </x:c>
      <x:c r="H100" s="54" t="str"/>
      <x:c r="I100" s="54" t="str"/>
      <x:c r="J100" s="54" t="str"/>
      <x:c r="K100" s="54" t="str">
        <x:v>待运行</x:v>
      </x:c>
      <x:c r="L100" s="54" t="str">
        <x:v>一般</x:v>
      </x:c>
      <x:c r="M100" s="54" t="str"/>
      <x:c r="N100" s="54" t="str">
        <x:v>未复测</x:v>
      </x:c>
      <x:c r="O100" s="54" t="str"/>
    </x:row>
    <x:row r="101">
      <x:c r="A101" s="54" t="str">
        <x:v>RUN-0100</x:v>
      </x:c>
      <x:c r="B101" s="54" t="str"/>
      <x:c r="C101" s="54" t="str"/>
      <x:c r="D101" s="54" t="str"/>
      <x:c r="E101" s="54" t="str"/>
      <x:c r="F101" s="54" t="str">
        <x:v>1.0</x:v>
      </x:c>
      <x:c r="G101" s="54" t="str">
        <x:v>integration-1.0</x:v>
      </x:c>
      <x:c r="H101" s="54" t="str"/>
      <x:c r="I101" s="54" t="str"/>
      <x:c r="J101" s="54" t="str"/>
      <x:c r="K101" s="54" t="str">
        <x:v>待运行</x:v>
      </x:c>
      <x:c r="L101" s="54" t="str">
        <x:v>一般</x:v>
      </x:c>
      <x:c r="M101" s="54" t="str"/>
      <x:c r="N101" s="54" t="str">
        <x:v>未复测</x:v>
      </x:c>
      <x:c r="O101" s="54" t="str"/>
    </x:row>
    <x:row r="102">
      <x:c r="A102" s="54" t="str">
        <x:v>RUN-0101</x:v>
      </x:c>
      <x:c r="B102" s="54" t="str"/>
      <x:c r="C102" s="54" t="str"/>
      <x:c r="D102" s="54" t="str"/>
      <x:c r="E102" s="54" t="str"/>
      <x:c r="F102" s="54" t="str">
        <x:v>1.0</x:v>
      </x:c>
      <x:c r="G102" s="54" t="str">
        <x:v>integration-1.0</x:v>
      </x:c>
      <x:c r="H102" s="54" t="str"/>
      <x:c r="I102" s="54" t="str"/>
      <x:c r="J102" s="54" t="str"/>
      <x:c r="K102" s="54" t="str">
        <x:v>待运行</x:v>
      </x:c>
      <x:c r="L102" s="54" t="str">
        <x:v>一般</x:v>
      </x:c>
      <x:c r="M102" s="54" t="str"/>
      <x:c r="N102" s="54" t="str">
        <x:v>未复测</x:v>
      </x:c>
      <x:c r="O102" s="54" t="str"/>
    </x:row>
    <x:row r="103">
      <x:c r="A103" s="54" t="str">
        <x:v>RUN-0102</x:v>
      </x:c>
      <x:c r="B103" s="54" t="str"/>
      <x:c r="C103" s="54" t="str"/>
      <x:c r="D103" s="54" t="str"/>
      <x:c r="E103" s="54" t="str"/>
      <x:c r="F103" s="54" t="str">
        <x:v>1.0</x:v>
      </x:c>
      <x:c r="G103" s="54" t="str">
        <x:v>integration-1.0</x:v>
      </x:c>
      <x:c r="H103" s="54" t="str"/>
      <x:c r="I103" s="54" t="str"/>
      <x:c r="J103" s="54" t="str"/>
      <x:c r="K103" s="54" t="str">
        <x:v>待运行</x:v>
      </x:c>
      <x:c r="L103" s="54" t="str">
        <x:v>一般</x:v>
      </x:c>
      <x:c r="M103" s="54" t="str"/>
      <x:c r="N103" s="54" t="str">
        <x:v>未复测</x:v>
      </x:c>
      <x:c r="O103" s="54" t="str"/>
    </x:row>
    <x:row r="104">
      <x:c r="A104" s="54" t="str">
        <x:v>RUN-0103</x:v>
      </x:c>
      <x:c r="B104" s="54" t="str"/>
      <x:c r="C104" s="54" t="str"/>
      <x:c r="D104" s="54" t="str"/>
      <x:c r="E104" s="54" t="str"/>
      <x:c r="F104" s="54" t="str">
        <x:v>1.0</x:v>
      </x:c>
      <x:c r="G104" s="54" t="str">
        <x:v>integration-1.0</x:v>
      </x:c>
      <x:c r="H104" s="54" t="str"/>
      <x:c r="I104" s="54" t="str"/>
      <x:c r="J104" s="54" t="str"/>
      <x:c r="K104" s="54" t="str">
        <x:v>待运行</x:v>
      </x:c>
      <x:c r="L104" s="54" t="str">
        <x:v>一般</x:v>
      </x:c>
      <x:c r="M104" s="54" t="str"/>
      <x:c r="N104" s="54" t="str">
        <x:v>未复测</x:v>
      </x:c>
      <x:c r="O104" s="54" t="str"/>
    </x:row>
    <x:row r="105">
      <x:c r="A105" s="54" t="str">
        <x:v>RUN-0104</x:v>
      </x:c>
      <x:c r="B105" s="54" t="str"/>
      <x:c r="C105" s="54" t="str"/>
      <x:c r="D105" s="54" t="str"/>
      <x:c r="E105" s="54" t="str"/>
      <x:c r="F105" s="54" t="str">
        <x:v>1.0</x:v>
      </x:c>
      <x:c r="G105" s="54" t="str">
        <x:v>integration-1.0</x:v>
      </x:c>
      <x:c r="H105" s="54" t="str"/>
      <x:c r="I105" s="54" t="str"/>
      <x:c r="J105" s="54" t="str"/>
      <x:c r="K105" s="54" t="str">
        <x:v>待运行</x:v>
      </x:c>
      <x:c r="L105" s="54" t="str">
        <x:v>一般</x:v>
      </x:c>
      <x:c r="M105" s="54" t="str"/>
      <x:c r="N105" s="54" t="str">
        <x:v>未复测</x:v>
      </x:c>
      <x:c r="O105" s="54" t="str"/>
    </x:row>
    <x:row r="106">
      <x:c r="A106" s="54" t="str">
        <x:v>RUN-0105</x:v>
      </x:c>
      <x:c r="B106" s="54" t="str"/>
      <x:c r="C106" s="54" t="str"/>
      <x:c r="D106" s="54" t="str"/>
      <x:c r="E106" s="54" t="str"/>
      <x:c r="F106" s="54" t="str">
        <x:v>1.0</x:v>
      </x:c>
      <x:c r="G106" s="54" t="str">
        <x:v>integration-1.0</x:v>
      </x:c>
      <x:c r="H106" s="54" t="str"/>
      <x:c r="I106" s="54" t="str"/>
      <x:c r="J106" s="54" t="str"/>
      <x:c r="K106" s="54" t="str">
        <x:v>待运行</x:v>
      </x:c>
      <x:c r="L106" s="54" t="str">
        <x:v>一般</x:v>
      </x:c>
      <x:c r="M106" s="54" t="str"/>
      <x:c r="N106" s="54" t="str">
        <x:v>未复测</x:v>
      </x:c>
      <x:c r="O106" s="54" t="str"/>
    </x:row>
    <x:row r="107">
      <x:c r="A107" s="54" t="str">
        <x:v>RUN-0106</x:v>
      </x:c>
      <x:c r="B107" s="54" t="str"/>
      <x:c r="C107" s="54" t="str"/>
      <x:c r="D107" s="54" t="str"/>
      <x:c r="E107" s="54" t="str"/>
      <x:c r="F107" s="54" t="str">
        <x:v>1.0</x:v>
      </x:c>
      <x:c r="G107" s="54" t="str">
        <x:v>integration-1.0</x:v>
      </x:c>
      <x:c r="H107" s="54" t="str"/>
      <x:c r="I107" s="54" t="str"/>
      <x:c r="J107" s="54" t="str"/>
      <x:c r="K107" s="54" t="str">
        <x:v>待运行</x:v>
      </x:c>
      <x:c r="L107" s="54" t="str">
        <x:v>一般</x:v>
      </x:c>
      <x:c r="M107" s="54" t="str"/>
      <x:c r="N107" s="54" t="str">
        <x:v>未复测</x:v>
      </x:c>
      <x:c r="O107" s="54" t="str"/>
    </x:row>
    <x:row r="108">
      <x:c r="A108" s="54" t="str">
        <x:v>RUN-0107</x:v>
      </x:c>
      <x:c r="B108" s="54" t="str"/>
      <x:c r="C108" s="54" t="str"/>
      <x:c r="D108" s="54" t="str"/>
      <x:c r="E108" s="54" t="str"/>
      <x:c r="F108" s="54" t="str">
        <x:v>1.0</x:v>
      </x:c>
      <x:c r="G108" s="54" t="str">
        <x:v>integration-1.0</x:v>
      </x:c>
      <x:c r="H108" s="54" t="str"/>
      <x:c r="I108" s="54" t="str"/>
      <x:c r="J108" s="54" t="str"/>
      <x:c r="K108" s="54" t="str">
        <x:v>待运行</x:v>
      </x:c>
      <x:c r="L108" s="54" t="str">
        <x:v>一般</x:v>
      </x:c>
      <x:c r="M108" s="54" t="str"/>
      <x:c r="N108" s="54" t="str">
        <x:v>未复测</x:v>
      </x:c>
      <x:c r="O108" s="54" t="str"/>
    </x:row>
    <x:row r="109">
      <x:c r="A109" s="54" t="str">
        <x:v>RUN-0108</x:v>
      </x:c>
      <x:c r="B109" s="54" t="str"/>
      <x:c r="C109" s="54" t="str"/>
      <x:c r="D109" s="54" t="str"/>
      <x:c r="E109" s="54" t="str"/>
      <x:c r="F109" s="54" t="str">
        <x:v>1.0</x:v>
      </x:c>
      <x:c r="G109" s="54" t="str">
        <x:v>integration-1.0</x:v>
      </x:c>
      <x:c r="H109" s="54" t="str"/>
      <x:c r="I109" s="54" t="str"/>
      <x:c r="J109" s="54" t="str"/>
      <x:c r="K109" s="54" t="str">
        <x:v>待运行</x:v>
      </x:c>
      <x:c r="L109" s="54" t="str">
        <x:v>一般</x:v>
      </x:c>
      <x:c r="M109" s="54" t="str"/>
      <x:c r="N109" s="54" t="str">
        <x:v>未复测</x:v>
      </x:c>
      <x:c r="O109" s="54" t="str"/>
    </x:row>
    <x:row r="110">
      <x:c r="A110" s="54" t="str">
        <x:v>RUN-0109</x:v>
      </x:c>
      <x:c r="B110" s="54" t="str"/>
      <x:c r="C110" s="54" t="str"/>
      <x:c r="D110" s="54" t="str"/>
      <x:c r="E110" s="54" t="str"/>
      <x:c r="F110" s="54" t="str">
        <x:v>1.0</x:v>
      </x:c>
      <x:c r="G110" s="54" t="str">
        <x:v>integration-1.0</x:v>
      </x:c>
      <x:c r="H110" s="54" t="str"/>
      <x:c r="I110" s="54" t="str"/>
      <x:c r="J110" s="54" t="str"/>
      <x:c r="K110" s="54" t="str">
        <x:v>待运行</x:v>
      </x:c>
      <x:c r="L110" s="54" t="str">
        <x:v>一般</x:v>
      </x:c>
      <x:c r="M110" s="54" t="str"/>
      <x:c r="N110" s="54" t="str">
        <x:v>未复测</x:v>
      </x:c>
      <x:c r="O110" s="54" t="str"/>
    </x:row>
    <x:row r="111">
      <x:c r="A111" s="54" t="str">
        <x:v>RUN-0110</x:v>
      </x:c>
      <x:c r="B111" s="54" t="str"/>
      <x:c r="C111" s="54" t="str"/>
      <x:c r="D111" s="54" t="str"/>
      <x:c r="E111" s="54" t="str"/>
      <x:c r="F111" s="54" t="str">
        <x:v>1.0</x:v>
      </x:c>
      <x:c r="G111" s="54" t="str">
        <x:v>integration-1.0</x:v>
      </x:c>
      <x:c r="H111" s="54" t="str"/>
      <x:c r="I111" s="54" t="str"/>
      <x:c r="J111" s="54" t="str"/>
      <x:c r="K111" s="54" t="str">
        <x:v>待运行</x:v>
      </x:c>
      <x:c r="L111" s="54" t="str">
        <x:v>一般</x:v>
      </x:c>
      <x:c r="M111" s="54" t="str"/>
      <x:c r="N111" s="54" t="str">
        <x:v>未复测</x:v>
      </x:c>
      <x:c r="O111" s="54" t="str"/>
    </x:row>
    <x:row r="112">
      <x:c r="A112" s="54" t="str">
        <x:v>RUN-0111</x:v>
      </x:c>
      <x:c r="B112" s="54" t="str"/>
      <x:c r="C112" s="54" t="str"/>
      <x:c r="D112" s="54" t="str"/>
      <x:c r="E112" s="54" t="str"/>
      <x:c r="F112" s="54" t="str">
        <x:v>1.0</x:v>
      </x:c>
      <x:c r="G112" s="54" t="str">
        <x:v>integration-1.0</x:v>
      </x:c>
      <x:c r="H112" s="54" t="str"/>
      <x:c r="I112" s="54" t="str"/>
      <x:c r="J112" s="54" t="str"/>
      <x:c r="K112" s="54" t="str">
        <x:v>待运行</x:v>
      </x:c>
      <x:c r="L112" s="54" t="str">
        <x:v>一般</x:v>
      </x:c>
      <x:c r="M112" s="54" t="str"/>
      <x:c r="N112" s="54" t="str">
        <x:v>未复测</x:v>
      </x:c>
      <x:c r="O112" s="54" t="str"/>
    </x:row>
    <x:row r="113">
      <x:c r="A113" s="54" t="str">
        <x:v>RUN-0112</x:v>
      </x:c>
      <x:c r="B113" s="54" t="str"/>
      <x:c r="C113" s="54" t="str"/>
      <x:c r="D113" s="54" t="str"/>
      <x:c r="E113" s="54" t="str"/>
      <x:c r="F113" s="54" t="str">
        <x:v>1.0</x:v>
      </x:c>
      <x:c r="G113" s="54" t="str">
        <x:v>integration-1.0</x:v>
      </x:c>
      <x:c r="H113" s="54" t="str"/>
      <x:c r="I113" s="54" t="str"/>
      <x:c r="J113" s="54" t="str"/>
      <x:c r="K113" s="54" t="str">
        <x:v>待运行</x:v>
      </x:c>
      <x:c r="L113" s="54" t="str">
        <x:v>一般</x:v>
      </x:c>
      <x:c r="M113" s="54" t="str"/>
      <x:c r="N113" s="54" t="str">
        <x:v>未复测</x:v>
      </x:c>
      <x:c r="O113" s="54" t="str"/>
    </x:row>
    <x:row r="114">
      <x:c r="A114" s="54" t="str">
        <x:v>RUN-0113</x:v>
      </x:c>
      <x:c r="B114" s="54" t="str"/>
      <x:c r="C114" s="54" t="str"/>
      <x:c r="D114" s="54" t="str"/>
      <x:c r="E114" s="54" t="str"/>
      <x:c r="F114" s="54" t="str">
        <x:v>1.0</x:v>
      </x:c>
      <x:c r="G114" s="54" t="str">
        <x:v>integration-1.0</x:v>
      </x:c>
      <x:c r="H114" s="54" t="str"/>
      <x:c r="I114" s="54" t="str"/>
      <x:c r="J114" s="54" t="str"/>
      <x:c r="K114" s="54" t="str">
        <x:v>待运行</x:v>
      </x:c>
      <x:c r="L114" s="54" t="str">
        <x:v>一般</x:v>
      </x:c>
      <x:c r="M114" s="54" t="str"/>
      <x:c r="N114" s="54" t="str">
        <x:v>未复测</x:v>
      </x:c>
      <x:c r="O114" s="54" t="str"/>
    </x:row>
    <x:row r="115">
      <x:c r="A115" s="54" t="str">
        <x:v>RUN-0114</x:v>
      </x:c>
      <x:c r="B115" s="54" t="str"/>
      <x:c r="C115" s="54" t="str"/>
      <x:c r="D115" s="54" t="str"/>
      <x:c r="E115" s="54" t="str"/>
      <x:c r="F115" s="54" t="str">
        <x:v>1.0</x:v>
      </x:c>
      <x:c r="G115" s="54" t="str">
        <x:v>integration-1.0</x:v>
      </x:c>
      <x:c r="H115" s="54" t="str"/>
      <x:c r="I115" s="54" t="str"/>
      <x:c r="J115" s="54" t="str"/>
      <x:c r="K115" s="54" t="str">
        <x:v>待运行</x:v>
      </x:c>
      <x:c r="L115" s="54" t="str">
        <x:v>一般</x:v>
      </x:c>
      <x:c r="M115" s="54" t="str"/>
      <x:c r="N115" s="54" t="str">
        <x:v>未复测</x:v>
      </x:c>
      <x:c r="O115" s="54" t="str"/>
    </x:row>
    <x:row r="116">
      <x:c r="A116" s="54" t="str">
        <x:v>RUN-0115</x:v>
      </x:c>
      <x:c r="B116" s="54" t="str"/>
      <x:c r="C116" s="54" t="str"/>
      <x:c r="D116" s="54" t="str"/>
      <x:c r="E116" s="54" t="str"/>
      <x:c r="F116" s="54" t="str">
        <x:v>1.0</x:v>
      </x:c>
      <x:c r="G116" s="54" t="str">
        <x:v>integration-1.0</x:v>
      </x:c>
      <x:c r="H116" s="54" t="str"/>
      <x:c r="I116" s="54" t="str"/>
      <x:c r="J116" s="54" t="str"/>
      <x:c r="K116" s="54" t="str">
        <x:v>待运行</x:v>
      </x:c>
      <x:c r="L116" s="54" t="str">
        <x:v>一般</x:v>
      </x:c>
      <x:c r="M116" s="54" t="str"/>
      <x:c r="N116" s="54" t="str">
        <x:v>未复测</x:v>
      </x:c>
      <x:c r="O116" s="54" t="str"/>
    </x:row>
    <x:row r="117">
      <x:c r="A117" s="54" t="str">
        <x:v>RUN-0116</x:v>
      </x:c>
      <x:c r="B117" s="54" t="str"/>
      <x:c r="C117" s="54" t="str"/>
      <x:c r="D117" s="54" t="str"/>
      <x:c r="E117" s="54" t="str"/>
      <x:c r="F117" s="54" t="str">
        <x:v>1.0</x:v>
      </x:c>
      <x:c r="G117" s="54" t="str">
        <x:v>integration-1.0</x:v>
      </x:c>
      <x:c r="H117" s="54" t="str"/>
      <x:c r="I117" s="54" t="str"/>
      <x:c r="J117" s="54" t="str"/>
      <x:c r="K117" s="54" t="str">
        <x:v>待运行</x:v>
      </x:c>
      <x:c r="L117" s="54" t="str">
        <x:v>一般</x:v>
      </x:c>
      <x:c r="M117" s="54" t="str"/>
      <x:c r="N117" s="54" t="str">
        <x:v>未复测</x:v>
      </x:c>
      <x:c r="O117" s="54" t="str"/>
    </x:row>
    <x:row r="118">
      <x:c r="A118" s="54" t="str">
        <x:v>RUN-0117</x:v>
      </x:c>
      <x:c r="B118" s="54" t="str"/>
      <x:c r="C118" s="54" t="str"/>
      <x:c r="D118" s="54" t="str"/>
      <x:c r="E118" s="54" t="str"/>
      <x:c r="F118" s="54" t="str">
        <x:v>1.0</x:v>
      </x:c>
      <x:c r="G118" s="54" t="str">
        <x:v>integration-1.0</x:v>
      </x:c>
      <x:c r="H118" s="54" t="str"/>
      <x:c r="I118" s="54" t="str"/>
      <x:c r="J118" s="54" t="str"/>
      <x:c r="K118" s="54" t="str">
        <x:v>待运行</x:v>
      </x:c>
      <x:c r="L118" s="54" t="str">
        <x:v>一般</x:v>
      </x:c>
      <x:c r="M118" s="54" t="str"/>
      <x:c r="N118" s="54" t="str">
        <x:v>未复测</x:v>
      </x:c>
      <x:c r="O118" s="54" t="str"/>
    </x:row>
    <x:row r="119">
      <x:c r="A119" s="54" t="str">
        <x:v>RUN-0118</x:v>
      </x:c>
      <x:c r="B119" s="54" t="str"/>
      <x:c r="C119" s="54" t="str"/>
      <x:c r="D119" s="54" t="str"/>
      <x:c r="E119" s="54" t="str"/>
      <x:c r="F119" s="54" t="str">
        <x:v>1.0</x:v>
      </x:c>
      <x:c r="G119" s="54" t="str">
        <x:v>integration-1.0</x:v>
      </x:c>
      <x:c r="H119" s="54" t="str"/>
      <x:c r="I119" s="54" t="str"/>
      <x:c r="J119" s="54" t="str"/>
      <x:c r="K119" s="54" t="str">
        <x:v>待运行</x:v>
      </x:c>
      <x:c r="L119" s="54" t="str">
        <x:v>一般</x:v>
      </x:c>
      <x:c r="M119" s="54" t="str"/>
      <x:c r="N119" s="54" t="str">
        <x:v>未复测</x:v>
      </x:c>
      <x:c r="O119" s="54" t="str"/>
    </x:row>
    <x:row r="120">
      <x:c r="A120" s="54" t="str">
        <x:v>RUN-0119</x:v>
      </x:c>
      <x:c r="B120" s="54" t="str"/>
      <x:c r="C120" s="54" t="str"/>
      <x:c r="D120" s="54" t="str"/>
      <x:c r="E120" s="54" t="str"/>
      <x:c r="F120" s="54" t="str">
        <x:v>1.0</x:v>
      </x:c>
      <x:c r="G120" s="54" t="str">
        <x:v>integration-1.0</x:v>
      </x:c>
      <x:c r="H120" s="54" t="str"/>
      <x:c r="I120" s="54" t="str"/>
      <x:c r="J120" s="54" t="str"/>
      <x:c r="K120" s="54" t="str">
        <x:v>待运行</x:v>
      </x:c>
      <x:c r="L120" s="54" t="str">
        <x:v>一般</x:v>
      </x:c>
      <x:c r="M120" s="54" t="str"/>
      <x:c r="N120" s="54" t="str">
        <x:v>未复测</x:v>
      </x:c>
      <x:c r="O120" s="54" t="str"/>
    </x:row>
    <x:row r="121">
      <x:c r="A121" s="54" t="str">
        <x:v>RUN-0120</x:v>
      </x:c>
      <x:c r="B121" s="54" t="str"/>
      <x:c r="C121" s="54" t="str"/>
      <x:c r="D121" s="54" t="str"/>
      <x:c r="E121" s="54" t="str"/>
      <x:c r="F121" s="54" t="str">
        <x:v>1.0</x:v>
      </x:c>
      <x:c r="G121" s="54" t="str">
        <x:v>integration-1.0</x:v>
      </x:c>
      <x:c r="H121" s="54" t="str"/>
      <x:c r="I121" s="54" t="str"/>
      <x:c r="J121" s="54" t="str"/>
      <x:c r="K121" s="54" t="str">
        <x:v>待运行</x:v>
      </x:c>
      <x:c r="L121" s="54" t="str">
        <x:v>一般</x:v>
      </x:c>
      <x:c r="M121" s="54" t="str"/>
      <x:c r="N121" s="54" t="str">
        <x:v>未复测</x:v>
      </x:c>
      <x:c r="O121" s="54" t="str"/>
    </x:row>
    <x:row r="122">
      <x:c r="A122" s="54" t="str">
        <x:v>RUN-0121</x:v>
      </x:c>
      <x:c r="B122" s="54" t="str"/>
      <x:c r="C122" s="54" t="str"/>
      <x:c r="D122" s="54" t="str"/>
      <x:c r="E122" s="54" t="str"/>
      <x:c r="F122" s="54" t="str">
        <x:v>1.0</x:v>
      </x:c>
      <x:c r="G122" s="54" t="str">
        <x:v>integration-1.0</x:v>
      </x:c>
      <x:c r="H122" s="54" t="str"/>
      <x:c r="I122" s="54" t="str"/>
      <x:c r="J122" s="54" t="str"/>
      <x:c r="K122" s="54" t="str">
        <x:v>待运行</x:v>
      </x:c>
      <x:c r="L122" s="54" t="str">
        <x:v>一般</x:v>
      </x:c>
      <x:c r="M122" s="54" t="str"/>
      <x:c r="N122" s="54" t="str">
        <x:v>未复测</x:v>
      </x:c>
      <x:c r="O122" s="54" t="str"/>
    </x:row>
    <x:row r="123">
      <x:c r="A123" s="54" t="str">
        <x:v>RUN-0122</x:v>
      </x:c>
      <x:c r="B123" s="54" t="str"/>
      <x:c r="C123" s="54" t="str"/>
      <x:c r="D123" s="54" t="str"/>
      <x:c r="E123" s="54" t="str"/>
      <x:c r="F123" s="54" t="str">
        <x:v>1.0</x:v>
      </x:c>
      <x:c r="G123" s="54" t="str">
        <x:v>integration-1.0</x:v>
      </x:c>
      <x:c r="H123" s="54" t="str"/>
      <x:c r="I123" s="54" t="str"/>
      <x:c r="J123" s="54" t="str"/>
      <x:c r="K123" s="54" t="str">
        <x:v>待运行</x:v>
      </x:c>
      <x:c r="L123" s="54" t="str">
        <x:v>一般</x:v>
      </x:c>
      <x:c r="M123" s="54" t="str"/>
      <x:c r="N123" s="54" t="str">
        <x:v>未复测</x:v>
      </x:c>
      <x:c r="O123" s="54" t="str"/>
    </x:row>
    <x:row r="124">
      <x:c r="A124" s="54" t="str">
        <x:v>RUN-0123</x:v>
      </x:c>
      <x:c r="B124" s="54" t="str"/>
      <x:c r="C124" s="54" t="str"/>
      <x:c r="D124" s="54" t="str"/>
      <x:c r="E124" s="54" t="str"/>
      <x:c r="F124" s="54" t="str">
        <x:v>1.0</x:v>
      </x:c>
      <x:c r="G124" s="54" t="str">
        <x:v>integration-1.0</x:v>
      </x:c>
      <x:c r="H124" s="54" t="str"/>
      <x:c r="I124" s="54" t="str"/>
      <x:c r="J124" s="54" t="str"/>
      <x:c r="K124" s="54" t="str">
        <x:v>待运行</x:v>
      </x:c>
      <x:c r="L124" s="54" t="str">
        <x:v>一般</x:v>
      </x:c>
      <x:c r="M124" s="54" t="str"/>
      <x:c r="N124" s="54" t="str">
        <x:v>未复测</x:v>
      </x:c>
      <x:c r="O124" s="54" t="str"/>
    </x:row>
    <x:row r="125">
      <x:c r="A125" s="54" t="str">
        <x:v>RUN-0124</x:v>
      </x:c>
      <x:c r="B125" s="54" t="str"/>
      <x:c r="C125" s="54" t="str"/>
      <x:c r="D125" s="54" t="str"/>
      <x:c r="E125" s="54" t="str"/>
      <x:c r="F125" s="54" t="str">
        <x:v>1.0</x:v>
      </x:c>
      <x:c r="G125" s="54" t="str">
        <x:v>integration-1.0</x:v>
      </x:c>
      <x:c r="H125" s="54" t="str"/>
      <x:c r="I125" s="54" t="str"/>
      <x:c r="J125" s="54" t="str"/>
      <x:c r="K125" s="54" t="str">
        <x:v>待运行</x:v>
      </x:c>
      <x:c r="L125" s="54" t="str">
        <x:v>一般</x:v>
      </x:c>
      <x:c r="M125" s="54" t="str"/>
      <x:c r="N125" s="54" t="str">
        <x:v>未复测</x:v>
      </x:c>
      <x:c r="O125" s="54" t="str"/>
    </x:row>
    <x:row r="126">
      <x:c r="A126" s="54" t="str">
        <x:v>RUN-0125</x:v>
      </x:c>
      <x:c r="B126" s="54" t="str"/>
      <x:c r="C126" s="54" t="str"/>
      <x:c r="D126" s="54" t="str"/>
      <x:c r="E126" s="54" t="str"/>
      <x:c r="F126" s="54" t="str">
        <x:v>1.0</x:v>
      </x:c>
      <x:c r="G126" s="54" t="str">
        <x:v>integration-1.0</x:v>
      </x:c>
      <x:c r="H126" s="54" t="str"/>
      <x:c r="I126" s="54" t="str"/>
      <x:c r="J126" s="54" t="str"/>
      <x:c r="K126" s="54" t="str">
        <x:v>待运行</x:v>
      </x:c>
      <x:c r="L126" s="54" t="str">
        <x:v>一般</x:v>
      </x:c>
      <x:c r="M126" s="54" t="str"/>
      <x:c r="N126" s="54" t="str">
        <x:v>未复测</x:v>
      </x:c>
      <x:c r="O126" s="54" t="str"/>
    </x:row>
    <x:row r="127">
      <x:c r="A127" s="54" t="str">
        <x:v>RUN-0126</x:v>
      </x:c>
      <x:c r="B127" s="54" t="str"/>
      <x:c r="C127" s="54" t="str"/>
      <x:c r="D127" s="54" t="str"/>
      <x:c r="E127" s="54" t="str"/>
      <x:c r="F127" s="54" t="str">
        <x:v>1.0</x:v>
      </x:c>
      <x:c r="G127" s="54" t="str">
        <x:v>integration-1.0</x:v>
      </x:c>
      <x:c r="H127" s="54" t="str"/>
      <x:c r="I127" s="54" t="str"/>
      <x:c r="J127" s="54" t="str"/>
      <x:c r="K127" s="54" t="str">
        <x:v>待运行</x:v>
      </x:c>
      <x:c r="L127" s="54" t="str">
        <x:v>一般</x:v>
      </x:c>
      <x:c r="M127" s="54" t="str"/>
      <x:c r="N127" s="54" t="str">
        <x:v>未复测</x:v>
      </x:c>
      <x:c r="O127" s="54" t="str"/>
    </x:row>
    <x:row r="128">
      <x:c r="A128" s="54" t="str">
        <x:v>RUN-0127</x:v>
      </x:c>
      <x:c r="B128" s="54" t="str"/>
      <x:c r="C128" s="54" t="str"/>
      <x:c r="D128" s="54" t="str"/>
      <x:c r="E128" s="54" t="str"/>
      <x:c r="F128" s="54" t="str">
        <x:v>1.0</x:v>
      </x:c>
      <x:c r="G128" s="54" t="str">
        <x:v>integration-1.0</x:v>
      </x:c>
      <x:c r="H128" s="54" t="str"/>
      <x:c r="I128" s="54" t="str"/>
      <x:c r="J128" s="54" t="str"/>
      <x:c r="K128" s="54" t="str">
        <x:v>待运行</x:v>
      </x:c>
      <x:c r="L128" s="54" t="str">
        <x:v>一般</x:v>
      </x:c>
      <x:c r="M128" s="54" t="str"/>
      <x:c r="N128" s="54" t="str">
        <x:v>未复测</x:v>
      </x:c>
      <x:c r="O128" s="54" t="str"/>
    </x:row>
    <x:row r="129">
      <x:c r="A129" s="54" t="str">
        <x:v>RUN-0128</x:v>
      </x:c>
      <x:c r="B129" s="54" t="str"/>
      <x:c r="C129" s="54" t="str"/>
      <x:c r="D129" s="54" t="str"/>
      <x:c r="E129" s="54" t="str"/>
      <x:c r="F129" s="54" t="str">
        <x:v>1.0</x:v>
      </x:c>
      <x:c r="G129" s="54" t="str">
        <x:v>integration-1.0</x:v>
      </x:c>
      <x:c r="H129" s="54" t="str"/>
      <x:c r="I129" s="54" t="str"/>
      <x:c r="J129" s="54" t="str"/>
      <x:c r="K129" s="54" t="str">
        <x:v>待运行</x:v>
      </x:c>
      <x:c r="L129" s="54" t="str">
        <x:v>一般</x:v>
      </x:c>
      <x:c r="M129" s="54" t="str"/>
      <x:c r="N129" s="54" t="str">
        <x:v>未复测</x:v>
      </x:c>
      <x:c r="O129" s="54" t="str"/>
    </x:row>
    <x:row r="130">
      <x:c r="A130" s="54" t="str">
        <x:v>RUN-0129</x:v>
      </x:c>
      <x:c r="B130" s="54" t="str"/>
      <x:c r="C130" s="54" t="str"/>
      <x:c r="D130" s="54" t="str"/>
      <x:c r="E130" s="54" t="str"/>
      <x:c r="F130" s="54" t="str">
        <x:v>1.0</x:v>
      </x:c>
      <x:c r="G130" s="54" t="str">
        <x:v>integration-1.0</x:v>
      </x:c>
      <x:c r="H130" s="54" t="str"/>
      <x:c r="I130" s="54" t="str"/>
      <x:c r="J130" s="54" t="str"/>
      <x:c r="K130" s="54" t="str">
        <x:v>待运行</x:v>
      </x:c>
      <x:c r="L130" s="54" t="str">
        <x:v>一般</x:v>
      </x:c>
      <x:c r="M130" s="54" t="str"/>
      <x:c r="N130" s="54" t="str">
        <x:v>未复测</x:v>
      </x:c>
      <x:c r="O130" s="54" t="str"/>
    </x:row>
    <x:row r="131">
      <x:c r="A131" s="54" t="str">
        <x:v>RUN-0130</x:v>
      </x:c>
      <x:c r="B131" s="54" t="str"/>
      <x:c r="C131" s="54" t="str"/>
      <x:c r="D131" s="54" t="str"/>
      <x:c r="E131" s="54" t="str"/>
      <x:c r="F131" s="54" t="str">
        <x:v>1.0</x:v>
      </x:c>
      <x:c r="G131" s="54" t="str">
        <x:v>integration-1.0</x:v>
      </x:c>
      <x:c r="H131" s="54" t="str"/>
      <x:c r="I131" s="54" t="str"/>
      <x:c r="J131" s="54" t="str"/>
      <x:c r="K131" s="54" t="str">
        <x:v>待运行</x:v>
      </x:c>
      <x:c r="L131" s="54" t="str">
        <x:v>一般</x:v>
      </x:c>
      <x:c r="M131" s="54" t="str"/>
      <x:c r="N131" s="54" t="str">
        <x:v>未复测</x:v>
      </x:c>
      <x:c r="O131" s="54" t="str"/>
    </x:row>
    <x:row r="132">
      <x:c r="A132" s="54" t="str">
        <x:v>RUN-0131</x:v>
      </x:c>
      <x:c r="B132" s="54" t="str"/>
      <x:c r="C132" s="54" t="str"/>
      <x:c r="D132" s="54" t="str"/>
      <x:c r="E132" s="54" t="str"/>
      <x:c r="F132" s="54" t="str">
        <x:v>1.0</x:v>
      </x:c>
      <x:c r="G132" s="54" t="str">
        <x:v>integration-1.0</x:v>
      </x:c>
      <x:c r="H132" s="54" t="str"/>
      <x:c r="I132" s="54" t="str"/>
      <x:c r="J132" s="54" t="str"/>
      <x:c r="K132" s="54" t="str">
        <x:v>待运行</x:v>
      </x:c>
      <x:c r="L132" s="54" t="str">
        <x:v>一般</x:v>
      </x:c>
      <x:c r="M132" s="54" t="str"/>
      <x:c r="N132" s="54" t="str">
        <x:v>未复测</x:v>
      </x:c>
      <x:c r="O132" s="54" t="str"/>
    </x:row>
    <x:row r="133">
      <x:c r="A133" s="54" t="str">
        <x:v>RUN-0132</x:v>
      </x:c>
      <x:c r="B133" s="54" t="str"/>
      <x:c r="C133" s="54" t="str"/>
      <x:c r="D133" s="54" t="str"/>
      <x:c r="E133" s="54" t="str"/>
      <x:c r="F133" s="54" t="str">
        <x:v>1.0</x:v>
      </x:c>
      <x:c r="G133" s="54" t="str">
        <x:v>integration-1.0</x:v>
      </x:c>
      <x:c r="H133" s="54" t="str"/>
      <x:c r="I133" s="54" t="str"/>
      <x:c r="J133" s="54" t="str"/>
      <x:c r="K133" s="54" t="str">
        <x:v>待运行</x:v>
      </x:c>
      <x:c r="L133" s="54" t="str">
        <x:v>一般</x:v>
      </x:c>
      <x:c r="M133" s="54" t="str"/>
      <x:c r="N133" s="54" t="str">
        <x:v>未复测</x:v>
      </x:c>
      <x:c r="O133" s="54" t="str"/>
    </x:row>
    <x:row r="134">
      <x:c r="A134" s="54" t="str">
        <x:v>RUN-0133</x:v>
      </x:c>
      <x:c r="B134" s="54" t="str"/>
      <x:c r="C134" s="54" t="str"/>
      <x:c r="D134" s="54" t="str"/>
      <x:c r="E134" s="54" t="str"/>
      <x:c r="F134" s="54" t="str">
        <x:v>1.0</x:v>
      </x:c>
      <x:c r="G134" s="54" t="str">
        <x:v>integration-1.0</x:v>
      </x:c>
      <x:c r="H134" s="54" t="str"/>
      <x:c r="I134" s="54" t="str"/>
      <x:c r="J134" s="54" t="str"/>
      <x:c r="K134" s="54" t="str">
        <x:v>待运行</x:v>
      </x:c>
      <x:c r="L134" s="54" t="str">
        <x:v>一般</x:v>
      </x:c>
      <x:c r="M134" s="54" t="str"/>
      <x:c r="N134" s="54" t="str">
        <x:v>未复测</x:v>
      </x:c>
      <x:c r="O134" s="54" t="str"/>
    </x:row>
    <x:row r="135">
      <x:c r="A135" s="54" t="str">
        <x:v>RUN-0134</x:v>
      </x:c>
      <x:c r="B135" s="54" t="str"/>
      <x:c r="C135" s="54" t="str"/>
      <x:c r="D135" s="54" t="str"/>
      <x:c r="E135" s="54" t="str"/>
      <x:c r="F135" s="54" t="str">
        <x:v>1.0</x:v>
      </x:c>
      <x:c r="G135" s="54" t="str">
        <x:v>integration-1.0</x:v>
      </x:c>
      <x:c r="H135" s="54" t="str"/>
      <x:c r="I135" s="54" t="str"/>
      <x:c r="J135" s="54" t="str"/>
      <x:c r="K135" s="54" t="str">
        <x:v>待运行</x:v>
      </x:c>
      <x:c r="L135" s="54" t="str">
        <x:v>一般</x:v>
      </x:c>
      <x:c r="M135" s="54" t="str"/>
      <x:c r="N135" s="54" t="str">
        <x:v>未复测</x:v>
      </x:c>
      <x:c r="O135" s="54" t="str"/>
    </x:row>
    <x:row r="136">
      <x:c r="A136" s="54" t="str">
        <x:v>RUN-0135</x:v>
      </x:c>
      <x:c r="B136" s="54" t="str"/>
      <x:c r="C136" s="54" t="str"/>
      <x:c r="D136" s="54" t="str"/>
      <x:c r="E136" s="54" t="str"/>
      <x:c r="F136" s="54" t="str">
        <x:v>1.0</x:v>
      </x:c>
      <x:c r="G136" s="54" t="str">
        <x:v>integration-1.0</x:v>
      </x:c>
      <x:c r="H136" s="54" t="str"/>
      <x:c r="I136" s="54" t="str"/>
      <x:c r="J136" s="54" t="str"/>
      <x:c r="K136" s="54" t="str">
        <x:v>待运行</x:v>
      </x:c>
      <x:c r="L136" s="54" t="str">
        <x:v>一般</x:v>
      </x:c>
      <x:c r="M136" s="54" t="str"/>
      <x:c r="N136" s="54" t="str">
        <x:v>未复测</x:v>
      </x:c>
      <x:c r="O136" s="54" t="str"/>
    </x:row>
    <x:row r="137">
      <x:c r="A137" s="54" t="str">
        <x:v>RUN-0136</x:v>
      </x:c>
      <x:c r="B137" s="54" t="str"/>
      <x:c r="C137" s="54" t="str"/>
      <x:c r="D137" s="54" t="str"/>
      <x:c r="E137" s="54" t="str"/>
      <x:c r="F137" s="54" t="str">
        <x:v>1.0</x:v>
      </x:c>
      <x:c r="G137" s="54" t="str">
        <x:v>integration-1.0</x:v>
      </x:c>
      <x:c r="H137" s="54" t="str"/>
      <x:c r="I137" s="54" t="str"/>
      <x:c r="J137" s="54" t="str"/>
      <x:c r="K137" s="54" t="str">
        <x:v>待运行</x:v>
      </x:c>
      <x:c r="L137" s="54" t="str">
        <x:v>一般</x:v>
      </x:c>
      <x:c r="M137" s="54" t="str"/>
      <x:c r="N137" s="54" t="str">
        <x:v>未复测</x:v>
      </x:c>
      <x:c r="O137" s="54" t="str"/>
    </x:row>
    <x:row r="138">
      <x:c r="A138" s="54" t="str">
        <x:v>RUN-0137</x:v>
      </x:c>
      <x:c r="B138" s="54" t="str"/>
      <x:c r="C138" s="54" t="str"/>
      <x:c r="D138" s="54" t="str"/>
      <x:c r="E138" s="54" t="str"/>
      <x:c r="F138" s="54" t="str">
        <x:v>1.0</x:v>
      </x:c>
      <x:c r="G138" s="54" t="str">
        <x:v>integration-1.0</x:v>
      </x:c>
      <x:c r="H138" s="54" t="str"/>
      <x:c r="I138" s="54" t="str"/>
      <x:c r="J138" s="54" t="str"/>
      <x:c r="K138" s="54" t="str">
        <x:v>待运行</x:v>
      </x:c>
      <x:c r="L138" s="54" t="str">
        <x:v>一般</x:v>
      </x:c>
      <x:c r="M138" s="54" t="str"/>
      <x:c r="N138" s="54" t="str">
        <x:v>未复测</x:v>
      </x:c>
      <x:c r="O138" s="54" t="str"/>
    </x:row>
    <x:row r="139">
      <x:c r="A139" s="54" t="str">
        <x:v>RUN-0138</x:v>
      </x:c>
      <x:c r="B139" s="54" t="str"/>
      <x:c r="C139" s="54" t="str"/>
      <x:c r="D139" s="54" t="str"/>
      <x:c r="E139" s="54" t="str"/>
      <x:c r="F139" s="54" t="str">
        <x:v>1.0</x:v>
      </x:c>
      <x:c r="G139" s="54" t="str">
        <x:v>integration-1.0</x:v>
      </x:c>
      <x:c r="H139" s="54" t="str"/>
      <x:c r="I139" s="54" t="str"/>
      <x:c r="J139" s="54" t="str"/>
      <x:c r="K139" s="54" t="str">
        <x:v>待运行</x:v>
      </x:c>
      <x:c r="L139" s="54" t="str">
        <x:v>一般</x:v>
      </x:c>
      <x:c r="M139" s="54" t="str"/>
      <x:c r="N139" s="54" t="str">
        <x:v>未复测</x:v>
      </x:c>
      <x:c r="O139" s="54" t="str"/>
    </x:row>
    <x:row r="140">
      <x:c r="A140" s="54" t="str">
        <x:v>RUN-0139</x:v>
      </x:c>
      <x:c r="B140" s="54" t="str"/>
      <x:c r="C140" s="54" t="str"/>
      <x:c r="D140" s="54" t="str"/>
      <x:c r="E140" s="54" t="str"/>
      <x:c r="F140" s="54" t="str">
        <x:v>1.0</x:v>
      </x:c>
      <x:c r="G140" s="54" t="str">
        <x:v>integration-1.0</x:v>
      </x:c>
      <x:c r="H140" s="54" t="str"/>
      <x:c r="I140" s="54" t="str"/>
      <x:c r="J140" s="54" t="str"/>
      <x:c r="K140" s="54" t="str">
        <x:v>待运行</x:v>
      </x:c>
      <x:c r="L140" s="54" t="str">
        <x:v>一般</x:v>
      </x:c>
      <x:c r="M140" s="54" t="str"/>
      <x:c r="N140" s="54" t="str">
        <x:v>未复测</x:v>
      </x:c>
      <x:c r="O140" s="54" t="str"/>
    </x:row>
    <x:row r="141">
      <x:c r="A141" s="54" t="str">
        <x:v>RUN-0140</x:v>
      </x:c>
      <x:c r="B141" s="54" t="str"/>
      <x:c r="C141" s="54" t="str"/>
      <x:c r="D141" s="54" t="str"/>
      <x:c r="E141" s="54" t="str"/>
      <x:c r="F141" s="54" t="str">
        <x:v>1.0</x:v>
      </x:c>
      <x:c r="G141" s="54" t="str">
        <x:v>integration-1.0</x:v>
      </x:c>
      <x:c r="H141" s="54" t="str"/>
      <x:c r="I141" s="54" t="str"/>
      <x:c r="J141" s="54" t="str"/>
      <x:c r="K141" s="54" t="str">
        <x:v>待运行</x:v>
      </x:c>
      <x:c r="L141" s="54" t="str">
        <x:v>一般</x:v>
      </x:c>
      <x:c r="M141" s="54" t="str"/>
      <x:c r="N141" s="54" t="str">
        <x:v>未复测</x:v>
      </x:c>
      <x:c r="O141" s="54" t="str"/>
    </x:row>
    <x:row r="142">
      <x:c r="A142" s="54" t="str">
        <x:v>RUN-0141</x:v>
      </x:c>
      <x:c r="B142" s="54" t="str"/>
      <x:c r="C142" s="54" t="str"/>
      <x:c r="D142" s="54" t="str"/>
      <x:c r="E142" s="54" t="str"/>
      <x:c r="F142" s="54" t="str">
        <x:v>1.0</x:v>
      </x:c>
      <x:c r="G142" s="54" t="str">
        <x:v>integration-1.0</x:v>
      </x:c>
      <x:c r="H142" s="54" t="str"/>
      <x:c r="I142" s="54" t="str"/>
      <x:c r="J142" s="54" t="str"/>
      <x:c r="K142" s="54" t="str">
        <x:v>待运行</x:v>
      </x:c>
      <x:c r="L142" s="54" t="str">
        <x:v>一般</x:v>
      </x:c>
      <x:c r="M142" s="54" t="str"/>
      <x:c r="N142" s="54" t="str">
        <x:v>未复测</x:v>
      </x:c>
      <x:c r="O142" s="54" t="str"/>
    </x:row>
    <x:row r="143">
      <x:c r="A143" s="54" t="str">
        <x:v>RUN-0142</x:v>
      </x:c>
      <x:c r="B143" s="54" t="str"/>
      <x:c r="C143" s="54" t="str"/>
      <x:c r="D143" s="54" t="str"/>
      <x:c r="E143" s="54" t="str"/>
      <x:c r="F143" s="54" t="str">
        <x:v>1.0</x:v>
      </x:c>
      <x:c r="G143" s="54" t="str">
        <x:v>integration-1.0</x:v>
      </x:c>
      <x:c r="H143" s="54" t="str"/>
      <x:c r="I143" s="54" t="str"/>
      <x:c r="J143" s="54" t="str"/>
      <x:c r="K143" s="54" t="str">
        <x:v>待运行</x:v>
      </x:c>
      <x:c r="L143" s="54" t="str">
        <x:v>一般</x:v>
      </x:c>
      <x:c r="M143" s="54" t="str"/>
      <x:c r="N143" s="54" t="str">
        <x:v>未复测</x:v>
      </x:c>
      <x:c r="O143" s="54" t="str"/>
    </x:row>
    <x:row r="144">
      <x:c r="A144" s="54" t="str">
        <x:v>RUN-0143</x:v>
      </x:c>
      <x:c r="B144" s="54" t="str"/>
      <x:c r="C144" s="54" t="str"/>
      <x:c r="D144" s="54" t="str"/>
      <x:c r="E144" s="54" t="str"/>
      <x:c r="F144" s="54" t="str">
        <x:v>1.0</x:v>
      </x:c>
      <x:c r="G144" s="54" t="str">
        <x:v>integration-1.0</x:v>
      </x:c>
      <x:c r="H144" s="54" t="str"/>
      <x:c r="I144" s="54" t="str"/>
      <x:c r="J144" s="54" t="str"/>
      <x:c r="K144" s="54" t="str">
        <x:v>待运行</x:v>
      </x:c>
      <x:c r="L144" s="54" t="str">
        <x:v>一般</x:v>
      </x:c>
      <x:c r="M144" s="54" t="str"/>
      <x:c r="N144" s="54" t="str">
        <x:v>未复测</x:v>
      </x:c>
      <x:c r="O144" s="54" t="str"/>
    </x:row>
    <x:row r="145">
      <x:c r="A145" s="54" t="str">
        <x:v>RUN-0144</x:v>
      </x:c>
      <x:c r="B145" s="54" t="str"/>
      <x:c r="C145" s="54" t="str"/>
      <x:c r="D145" s="54" t="str"/>
      <x:c r="E145" s="54" t="str"/>
      <x:c r="F145" s="54" t="str">
        <x:v>1.0</x:v>
      </x:c>
      <x:c r="G145" s="54" t="str">
        <x:v>integration-1.0</x:v>
      </x:c>
      <x:c r="H145" s="54" t="str"/>
      <x:c r="I145" s="54" t="str"/>
      <x:c r="J145" s="54" t="str"/>
      <x:c r="K145" s="54" t="str">
        <x:v>待运行</x:v>
      </x:c>
      <x:c r="L145" s="54" t="str">
        <x:v>一般</x:v>
      </x:c>
      <x:c r="M145" s="54" t="str"/>
      <x:c r="N145" s="54" t="str">
        <x:v>未复测</x:v>
      </x:c>
      <x:c r="O145" s="54" t="str"/>
    </x:row>
    <x:row r="146">
      <x:c r="A146" s="54" t="str">
        <x:v>RUN-0145</x:v>
      </x:c>
      <x:c r="B146" s="54" t="str"/>
      <x:c r="C146" s="54" t="str"/>
      <x:c r="D146" s="54" t="str"/>
      <x:c r="E146" s="54" t="str"/>
      <x:c r="F146" s="54" t="str">
        <x:v>1.0</x:v>
      </x:c>
      <x:c r="G146" s="54" t="str">
        <x:v>integration-1.0</x:v>
      </x:c>
      <x:c r="H146" s="54" t="str"/>
      <x:c r="I146" s="54" t="str"/>
      <x:c r="J146" s="54" t="str"/>
      <x:c r="K146" s="54" t="str">
        <x:v>待运行</x:v>
      </x:c>
      <x:c r="L146" s="54" t="str">
        <x:v>一般</x:v>
      </x:c>
      <x:c r="M146" s="54" t="str"/>
      <x:c r="N146" s="54" t="str">
        <x:v>未复测</x:v>
      </x:c>
      <x:c r="O146" s="54" t="str"/>
    </x:row>
    <x:row r="147">
      <x:c r="A147" s="54" t="str">
        <x:v>RUN-0146</x:v>
      </x:c>
      <x:c r="B147" s="54" t="str"/>
      <x:c r="C147" s="54" t="str"/>
      <x:c r="D147" s="54" t="str"/>
      <x:c r="E147" s="54" t="str"/>
      <x:c r="F147" s="54" t="str">
        <x:v>1.0</x:v>
      </x:c>
      <x:c r="G147" s="54" t="str">
        <x:v>integration-1.0</x:v>
      </x:c>
      <x:c r="H147" s="54" t="str"/>
      <x:c r="I147" s="54" t="str"/>
      <x:c r="J147" s="54" t="str"/>
      <x:c r="K147" s="54" t="str">
        <x:v>待运行</x:v>
      </x:c>
      <x:c r="L147" s="54" t="str">
        <x:v>一般</x:v>
      </x:c>
      <x:c r="M147" s="54" t="str"/>
      <x:c r="N147" s="54" t="str">
        <x:v>未复测</x:v>
      </x:c>
      <x:c r="O147" s="54" t="str"/>
    </x:row>
    <x:row r="148">
      <x:c r="A148" s="54" t="str">
        <x:v>RUN-0147</x:v>
      </x:c>
      <x:c r="B148" s="54" t="str"/>
      <x:c r="C148" s="54" t="str"/>
      <x:c r="D148" s="54" t="str"/>
      <x:c r="E148" s="54" t="str"/>
      <x:c r="F148" s="54" t="str">
        <x:v>1.0</x:v>
      </x:c>
      <x:c r="G148" s="54" t="str">
        <x:v>integration-1.0</x:v>
      </x:c>
      <x:c r="H148" s="54" t="str"/>
      <x:c r="I148" s="54" t="str"/>
      <x:c r="J148" s="54" t="str"/>
      <x:c r="K148" s="54" t="str">
        <x:v>待运行</x:v>
      </x:c>
      <x:c r="L148" s="54" t="str">
        <x:v>一般</x:v>
      </x:c>
      <x:c r="M148" s="54" t="str"/>
      <x:c r="N148" s="54" t="str">
        <x:v>未复测</x:v>
      </x:c>
      <x:c r="O148" s="54" t="str"/>
    </x:row>
    <x:row r="149">
      <x:c r="A149" s="54" t="str">
        <x:v>RUN-0148</x:v>
      </x:c>
      <x:c r="B149" s="54" t="str"/>
      <x:c r="C149" s="54" t="str"/>
      <x:c r="D149" s="54" t="str"/>
      <x:c r="E149" s="54" t="str"/>
      <x:c r="F149" s="54" t="str">
        <x:v>1.0</x:v>
      </x:c>
      <x:c r="G149" s="54" t="str">
        <x:v>integration-1.0</x:v>
      </x:c>
      <x:c r="H149" s="54" t="str"/>
      <x:c r="I149" s="54" t="str"/>
      <x:c r="J149" s="54" t="str"/>
      <x:c r="K149" s="54" t="str">
        <x:v>待运行</x:v>
      </x:c>
      <x:c r="L149" s="54" t="str">
        <x:v>一般</x:v>
      </x:c>
      <x:c r="M149" s="54" t="str"/>
      <x:c r="N149" s="54" t="str">
        <x:v>未复测</x:v>
      </x:c>
      <x:c r="O149" s="54" t="str"/>
    </x:row>
    <x:row r="150">
      <x:c r="A150" s="54" t="str">
        <x:v>RUN-0149</x:v>
      </x:c>
      <x:c r="B150" s="54" t="str"/>
      <x:c r="C150" s="54" t="str"/>
      <x:c r="D150" s="54" t="str"/>
      <x:c r="E150" s="54" t="str"/>
      <x:c r="F150" s="54" t="str">
        <x:v>1.0</x:v>
      </x:c>
      <x:c r="G150" s="54" t="str">
        <x:v>integration-1.0</x:v>
      </x:c>
      <x:c r="H150" s="54" t="str"/>
      <x:c r="I150" s="54" t="str"/>
      <x:c r="J150" s="54" t="str"/>
      <x:c r="K150" s="54" t="str">
        <x:v>待运行</x:v>
      </x:c>
      <x:c r="L150" s="54" t="str">
        <x:v>一般</x:v>
      </x:c>
      <x:c r="M150" s="54" t="str"/>
      <x:c r="N150" s="54" t="str">
        <x:v>未复测</x:v>
      </x:c>
      <x:c r="O150" s="54" t="str"/>
    </x:row>
    <x:row r="151">
      <x:c r="A151" s="54" t="str">
        <x:v>RUN-0150</x:v>
      </x:c>
      <x:c r="B151" s="54" t="str"/>
      <x:c r="C151" s="54" t="str"/>
      <x:c r="D151" s="54" t="str"/>
      <x:c r="E151" s="54" t="str"/>
      <x:c r="F151" s="54" t="str">
        <x:v>1.0</x:v>
      </x:c>
      <x:c r="G151" s="54" t="str">
        <x:v>integration-1.0</x:v>
      </x:c>
      <x:c r="H151" s="54" t="str"/>
      <x:c r="I151" s="54" t="str"/>
      <x:c r="J151" s="54" t="str"/>
      <x:c r="K151" s="54" t="str">
        <x:v>待运行</x:v>
      </x:c>
      <x:c r="L151" s="54" t="str">
        <x:v>一般</x:v>
      </x:c>
      <x:c r="M151" s="54" t="str"/>
      <x:c r="N151" s="54" t="str">
        <x:v>未复测</x:v>
      </x:c>
      <x:c r="O151" s="54" t="str"/>
    </x:row>
    <x:row r="152">
      <x:c r="A152" s="54" t="str">
        <x:v>RUN-0151</x:v>
      </x:c>
      <x:c r="B152" s="54" t="str"/>
      <x:c r="C152" s="54" t="str"/>
      <x:c r="D152" s="54" t="str"/>
      <x:c r="E152" s="54" t="str"/>
      <x:c r="F152" s="54" t="str">
        <x:v>1.0</x:v>
      </x:c>
      <x:c r="G152" s="54" t="str">
        <x:v>integration-1.0</x:v>
      </x:c>
      <x:c r="H152" s="54" t="str"/>
      <x:c r="I152" s="54" t="str"/>
      <x:c r="J152" s="54" t="str"/>
      <x:c r="K152" s="54" t="str">
        <x:v>待运行</x:v>
      </x:c>
      <x:c r="L152" s="54" t="str">
        <x:v>一般</x:v>
      </x:c>
      <x:c r="M152" s="54" t="str"/>
      <x:c r="N152" s="54" t="str">
        <x:v>未复测</x:v>
      </x:c>
      <x:c r="O152" s="54" t="str"/>
    </x:row>
    <x:row r="153">
      <x:c r="A153" s="54" t="str">
        <x:v>RUN-0152</x:v>
      </x:c>
      <x:c r="B153" s="54" t="str"/>
      <x:c r="C153" s="54" t="str"/>
      <x:c r="D153" s="54" t="str"/>
      <x:c r="E153" s="54" t="str"/>
      <x:c r="F153" s="54" t="str">
        <x:v>1.0</x:v>
      </x:c>
      <x:c r="G153" s="54" t="str">
        <x:v>integration-1.0</x:v>
      </x:c>
      <x:c r="H153" s="54" t="str"/>
      <x:c r="I153" s="54" t="str"/>
      <x:c r="J153" s="54" t="str"/>
      <x:c r="K153" s="54" t="str">
        <x:v>待运行</x:v>
      </x:c>
      <x:c r="L153" s="54" t="str">
        <x:v>一般</x:v>
      </x:c>
      <x:c r="M153" s="54" t="str"/>
      <x:c r="N153" s="54" t="str">
        <x:v>未复测</x:v>
      </x:c>
      <x:c r="O153" s="54" t="str"/>
    </x:row>
    <x:row r="154">
      <x:c r="A154" s="54" t="str">
        <x:v>RUN-0153</x:v>
      </x:c>
      <x:c r="B154" s="54" t="str"/>
      <x:c r="C154" s="54" t="str"/>
      <x:c r="D154" s="54" t="str"/>
      <x:c r="E154" s="54" t="str"/>
      <x:c r="F154" s="54" t="str">
        <x:v>1.0</x:v>
      </x:c>
      <x:c r="G154" s="54" t="str">
        <x:v>integration-1.0</x:v>
      </x:c>
      <x:c r="H154" s="54" t="str"/>
      <x:c r="I154" s="54" t="str"/>
      <x:c r="J154" s="54" t="str"/>
      <x:c r="K154" s="54" t="str">
        <x:v>待运行</x:v>
      </x:c>
      <x:c r="L154" s="54" t="str">
        <x:v>一般</x:v>
      </x:c>
      <x:c r="M154" s="54" t="str"/>
      <x:c r="N154" s="54" t="str">
        <x:v>未复测</x:v>
      </x:c>
      <x:c r="O154" s="54" t="str"/>
    </x:row>
    <x:row r="155">
      <x:c r="A155" s="54" t="str">
        <x:v>RUN-0154</x:v>
      </x:c>
      <x:c r="B155" s="54" t="str"/>
      <x:c r="C155" s="54" t="str"/>
      <x:c r="D155" s="54" t="str"/>
      <x:c r="E155" s="54" t="str"/>
      <x:c r="F155" s="54" t="str">
        <x:v>1.0</x:v>
      </x:c>
      <x:c r="G155" s="54" t="str">
        <x:v>integration-1.0</x:v>
      </x:c>
      <x:c r="H155" s="54" t="str"/>
      <x:c r="I155" s="54" t="str"/>
      <x:c r="J155" s="54" t="str"/>
      <x:c r="K155" s="54" t="str">
        <x:v>待运行</x:v>
      </x:c>
      <x:c r="L155" s="54" t="str">
        <x:v>一般</x:v>
      </x:c>
      <x:c r="M155" s="54" t="str"/>
      <x:c r="N155" s="54" t="str">
        <x:v>未复测</x:v>
      </x:c>
      <x:c r="O155" s="54" t="str"/>
    </x:row>
    <x:row r="156">
      <x:c r="A156" s="54" t="str">
        <x:v>RUN-0155</x:v>
      </x:c>
      <x:c r="B156" s="54" t="str"/>
      <x:c r="C156" s="54" t="str"/>
      <x:c r="D156" s="54" t="str"/>
      <x:c r="E156" s="54" t="str"/>
      <x:c r="F156" s="54" t="str">
        <x:v>1.0</x:v>
      </x:c>
      <x:c r="G156" s="54" t="str">
        <x:v>integration-1.0</x:v>
      </x:c>
      <x:c r="H156" s="54" t="str"/>
      <x:c r="I156" s="54" t="str"/>
      <x:c r="J156" s="54" t="str"/>
      <x:c r="K156" s="54" t="str">
        <x:v>待运行</x:v>
      </x:c>
      <x:c r="L156" s="54" t="str">
        <x:v>一般</x:v>
      </x:c>
      <x:c r="M156" s="54" t="str"/>
      <x:c r="N156" s="54" t="str">
        <x:v>未复测</x:v>
      </x:c>
      <x:c r="O156" s="54" t="str"/>
    </x:row>
    <x:row r="157">
      <x:c r="A157" s="54" t="str">
        <x:v>RUN-0156</x:v>
      </x:c>
      <x:c r="B157" s="54" t="str"/>
      <x:c r="C157" s="54" t="str"/>
      <x:c r="D157" s="54" t="str"/>
      <x:c r="E157" s="54" t="str"/>
      <x:c r="F157" s="54" t="str">
        <x:v>1.0</x:v>
      </x:c>
      <x:c r="G157" s="54" t="str">
        <x:v>integration-1.0</x:v>
      </x:c>
      <x:c r="H157" s="54" t="str"/>
      <x:c r="I157" s="54" t="str"/>
      <x:c r="J157" s="54" t="str"/>
      <x:c r="K157" s="54" t="str">
        <x:v>待运行</x:v>
      </x:c>
      <x:c r="L157" s="54" t="str">
        <x:v>一般</x:v>
      </x:c>
      <x:c r="M157" s="54" t="str"/>
      <x:c r="N157" s="54" t="str">
        <x:v>未复测</x:v>
      </x:c>
      <x:c r="O157" s="54" t="str"/>
    </x:row>
    <x:row r="158">
      <x:c r="A158" s="54" t="str">
        <x:v>RUN-0157</x:v>
      </x:c>
      <x:c r="B158" s="54" t="str"/>
      <x:c r="C158" s="54" t="str"/>
      <x:c r="D158" s="54" t="str"/>
      <x:c r="E158" s="54" t="str"/>
      <x:c r="F158" s="54" t="str">
        <x:v>1.0</x:v>
      </x:c>
      <x:c r="G158" s="54" t="str">
        <x:v>integration-1.0</x:v>
      </x:c>
      <x:c r="H158" s="54" t="str"/>
      <x:c r="I158" s="54" t="str"/>
      <x:c r="J158" s="54" t="str"/>
      <x:c r="K158" s="54" t="str">
        <x:v>待运行</x:v>
      </x:c>
      <x:c r="L158" s="54" t="str">
        <x:v>一般</x:v>
      </x:c>
      <x:c r="M158" s="54" t="str"/>
      <x:c r="N158" s="54" t="str">
        <x:v>未复测</x:v>
      </x:c>
      <x:c r="O158" s="54" t="str"/>
    </x:row>
    <x:row r="159">
      <x:c r="A159" s="54" t="str">
        <x:v>RUN-0158</x:v>
      </x:c>
      <x:c r="B159" s="54" t="str"/>
      <x:c r="C159" s="54" t="str"/>
      <x:c r="D159" s="54" t="str"/>
      <x:c r="E159" s="54" t="str"/>
      <x:c r="F159" s="54" t="str">
        <x:v>1.0</x:v>
      </x:c>
      <x:c r="G159" s="54" t="str">
        <x:v>integration-1.0</x:v>
      </x:c>
      <x:c r="H159" s="54" t="str"/>
      <x:c r="I159" s="54" t="str"/>
      <x:c r="J159" s="54" t="str"/>
      <x:c r="K159" s="54" t="str">
        <x:v>待运行</x:v>
      </x:c>
      <x:c r="L159" s="54" t="str">
        <x:v>一般</x:v>
      </x:c>
      <x:c r="M159" s="54" t="str"/>
      <x:c r="N159" s="54" t="str">
        <x:v>未复测</x:v>
      </x:c>
      <x:c r="O159" s="54" t="str"/>
    </x:row>
    <x:row r="160">
      <x:c r="A160" s="54" t="str">
        <x:v>RUN-0159</x:v>
      </x:c>
      <x:c r="B160" s="54" t="str"/>
      <x:c r="C160" s="54" t="str"/>
      <x:c r="D160" s="54" t="str"/>
      <x:c r="E160" s="54" t="str"/>
      <x:c r="F160" s="54" t="str">
        <x:v>1.0</x:v>
      </x:c>
      <x:c r="G160" s="54" t="str">
        <x:v>integration-1.0</x:v>
      </x:c>
      <x:c r="H160" s="54" t="str"/>
      <x:c r="I160" s="54" t="str"/>
      <x:c r="J160" s="54" t="str"/>
      <x:c r="K160" s="54" t="str">
        <x:v>待运行</x:v>
      </x:c>
      <x:c r="L160" s="54" t="str">
        <x:v>一般</x:v>
      </x:c>
      <x:c r="M160" s="54" t="str"/>
      <x:c r="N160" s="54" t="str">
        <x:v>未复测</x:v>
      </x:c>
      <x:c r="O160" s="54" t="str"/>
    </x:row>
    <x:row r="161">
      <x:c r="A161" s="54" t="str">
        <x:v>RUN-0160</x:v>
      </x:c>
      <x:c r="B161" s="54" t="str"/>
      <x:c r="C161" s="54" t="str"/>
      <x:c r="D161" s="54" t="str"/>
      <x:c r="E161" s="54" t="str"/>
      <x:c r="F161" s="54" t="str">
        <x:v>1.0</x:v>
      </x:c>
      <x:c r="G161" s="54" t="str">
        <x:v>integration-1.0</x:v>
      </x:c>
      <x:c r="H161" s="54" t="str"/>
      <x:c r="I161" s="54" t="str"/>
      <x:c r="J161" s="54" t="str"/>
      <x:c r="K161" s="54" t="str">
        <x:v>待运行</x:v>
      </x:c>
      <x:c r="L161" s="54" t="str">
        <x:v>一般</x:v>
      </x:c>
      <x:c r="M161" s="54" t="str"/>
      <x:c r="N161" s="54" t="str">
        <x:v>未复测</x:v>
      </x:c>
      <x:c r="O161" s="54" t="str"/>
    </x:row>
    <x:row r="162">
      <x:c r="A162" s="54" t="str">
        <x:v>RUN-0161</x:v>
      </x:c>
      <x:c r="B162" s="54" t="str"/>
      <x:c r="C162" s="54" t="str"/>
      <x:c r="D162" s="54" t="str"/>
      <x:c r="E162" s="54" t="str"/>
      <x:c r="F162" s="54" t="str">
        <x:v>1.0</x:v>
      </x:c>
      <x:c r="G162" s="54" t="str">
        <x:v>integration-1.0</x:v>
      </x:c>
      <x:c r="H162" s="54" t="str"/>
      <x:c r="I162" s="54" t="str"/>
      <x:c r="J162" s="54" t="str"/>
      <x:c r="K162" s="54" t="str">
        <x:v>待运行</x:v>
      </x:c>
      <x:c r="L162" s="54" t="str">
        <x:v>一般</x:v>
      </x:c>
      <x:c r="M162" s="54" t="str"/>
      <x:c r="N162" s="54" t="str">
        <x:v>未复测</x:v>
      </x:c>
      <x:c r="O162" s="54" t="str"/>
    </x:row>
    <x:row r="163">
      <x:c r="A163" s="54" t="str">
        <x:v>RUN-0162</x:v>
      </x:c>
      <x:c r="B163" s="54" t="str"/>
      <x:c r="C163" s="54" t="str"/>
      <x:c r="D163" s="54" t="str"/>
      <x:c r="E163" s="54" t="str"/>
      <x:c r="F163" s="54" t="str">
        <x:v>1.0</x:v>
      </x:c>
      <x:c r="G163" s="54" t="str">
        <x:v>integration-1.0</x:v>
      </x:c>
      <x:c r="H163" s="54" t="str"/>
      <x:c r="I163" s="54" t="str"/>
      <x:c r="J163" s="54" t="str"/>
      <x:c r="K163" s="54" t="str">
        <x:v>待运行</x:v>
      </x:c>
      <x:c r="L163" s="54" t="str">
        <x:v>一般</x:v>
      </x:c>
      <x:c r="M163" s="54" t="str"/>
      <x:c r="N163" s="54" t="str">
        <x:v>未复测</x:v>
      </x:c>
      <x:c r="O163" s="54" t="str"/>
    </x:row>
    <x:row r="164">
      <x:c r="A164" s="54" t="str">
        <x:v>RUN-0163</x:v>
      </x:c>
      <x:c r="B164" s="54" t="str"/>
      <x:c r="C164" s="54" t="str"/>
      <x:c r="D164" s="54" t="str"/>
      <x:c r="E164" s="54" t="str"/>
      <x:c r="F164" s="54" t="str">
        <x:v>1.0</x:v>
      </x:c>
      <x:c r="G164" s="54" t="str">
        <x:v>integration-1.0</x:v>
      </x:c>
      <x:c r="H164" s="54" t="str"/>
      <x:c r="I164" s="54" t="str"/>
      <x:c r="J164" s="54" t="str"/>
      <x:c r="K164" s="54" t="str">
        <x:v>待运行</x:v>
      </x:c>
      <x:c r="L164" s="54" t="str">
        <x:v>一般</x:v>
      </x:c>
      <x:c r="M164" s="54" t="str"/>
      <x:c r="N164" s="54" t="str">
        <x:v>未复测</x:v>
      </x:c>
      <x:c r="O164" s="54" t="str"/>
    </x:row>
    <x:row r="165">
      <x:c r="A165" s="54" t="str">
        <x:v>RUN-0164</x:v>
      </x:c>
      <x:c r="B165" s="54" t="str"/>
      <x:c r="C165" s="54" t="str"/>
      <x:c r="D165" s="54" t="str"/>
      <x:c r="E165" s="54" t="str"/>
      <x:c r="F165" s="54" t="str">
        <x:v>1.0</x:v>
      </x:c>
      <x:c r="G165" s="54" t="str">
        <x:v>integration-1.0</x:v>
      </x:c>
      <x:c r="H165" s="54" t="str"/>
      <x:c r="I165" s="54" t="str"/>
      <x:c r="J165" s="54" t="str"/>
      <x:c r="K165" s="54" t="str">
        <x:v>待运行</x:v>
      </x:c>
      <x:c r="L165" s="54" t="str">
        <x:v>一般</x:v>
      </x:c>
      <x:c r="M165" s="54" t="str"/>
      <x:c r="N165" s="54" t="str">
        <x:v>未复测</x:v>
      </x:c>
      <x:c r="O165" s="54" t="str"/>
    </x:row>
    <x:row r="166">
      <x:c r="A166" s="54" t="str">
        <x:v>RUN-0165</x:v>
      </x:c>
      <x:c r="B166" s="54" t="str"/>
      <x:c r="C166" s="54" t="str"/>
      <x:c r="D166" s="54" t="str"/>
      <x:c r="E166" s="54" t="str"/>
      <x:c r="F166" s="54" t="str">
        <x:v>1.0</x:v>
      </x:c>
      <x:c r="G166" s="54" t="str">
        <x:v>integration-1.0</x:v>
      </x:c>
      <x:c r="H166" s="54" t="str"/>
      <x:c r="I166" s="54" t="str"/>
      <x:c r="J166" s="54" t="str"/>
      <x:c r="K166" s="54" t="str">
        <x:v>待运行</x:v>
      </x:c>
      <x:c r="L166" s="54" t="str">
        <x:v>一般</x:v>
      </x:c>
      <x:c r="M166" s="54" t="str"/>
      <x:c r="N166" s="54" t="str">
        <x:v>未复测</x:v>
      </x:c>
      <x:c r="O166" s="54" t="str"/>
    </x:row>
    <x:row r="167">
      <x:c r="A167" s="54" t="str">
        <x:v>RUN-0166</x:v>
      </x:c>
      <x:c r="B167" s="54" t="str"/>
      <x:c r="C167" s="54" t="str"/>
      <x:c r="D167" s="54" t="str"/>
      <x:c r="E167" s="54" t="str"/>
      <x:c r="F167" s="54" t="str">
        <x:v>1.0</x:v>
      </x:c>
      <x:c r="G167" s="54" t="str">
        <x:v>integration-1.0</x:v>
      </x:c>
      <x:c r="H167" s="54" t="str"/>
      <x:c r="I167" s="54" t="str"/>
      <x:c r="J167" s="54" t="str"/>
      <x:c r="K167" s="54" t="str">
        <x:v>待运行</x:v>
      </x:c>
      <x:c r="L167" s="54" t="str">
        <x:v>一般</x:v>
      </x:c>
      <x:c r="M167" s="54" t="str"/>
      <x:c r="N167" s="54" t="str">
        <x:v>未复测</x:v>
      </x:c>
      <x:c r="O167" s="54" t="str"/>
    </x:row>
    <x:row r="168">
      <x:c r="A168" s="54" t="str">
        <x:v>RUN-0167</x:v>
      </x:c>
      <x:c r="B168" s="54" t="str"/>
      <x:c r="C168" s="54" t="str"/>
      <x:c r="D168" s="54" t="str"/>
      <x:c r="E168" s="54" t="str"/>
      <x:c r="F168" s="54" t="str">
        <x:v>1.0</x:v>
      </x:c>
      <x:c r="G168" s="54" t="str">
        <x:v>integration-1.0</x:v>
      </x:c>
      <x:c r="H168" s="54" t="str"/>
      <x:c r="I168" s="54" t="str"/>
      <x:c r="J168" s="54" t="str"/>
      <x:c r="K168" s="54" t="str">
        <x:v>待运行</x:v>
      </x:c>
      <x:c r="L168" s="54" t="str">
        <x:v>一般</x:v>
      </x:c>
      <x:c r="M168" s="54" t="str"/>
      <x:c r="N168" s="54" t="str">
        <x:v>未复测</x:v>
      </x:c>
      <x:c r="O168" s="54" t="str"/>
    </x:row>
    <x:row r="169">
      <x:c r="A169" s="54" t="str">
        <x:v>RUN-0168</x:v>
      </x:c>
      <x:c r="B169" s="54" t="str"/>
      <x:c r="C169" s="54" t="str"/>
      <x:c r="D169" s="54" t="str"/>
      <x:c r="E169" s="54" t="str"/>
      <x:c r="F169" s="54" t="str">
        <x:v>1.0</x:v>
      </x:c>
      <x:c r="G169" s="54" t="str">
        <x:v>integration-1.0</x:v>
      </x:c>
      <x:c r="H169" s="54" t="str"/>
      <x:c r="I169" s="54" t="str"/>
      <x:c r="J169" s="54" t="str"/>
      <x:c r="K169" s="54" t="str">
        <x:v>待运行</x:v>
      </x:c>
      <x:c r="L169" s="54" t="str">
        <x:v>一般</x:v>
      </x:c>
      <x:c r="M169" s="54" t="str"/>
      <x:c r="N169" s="54" t="str">
        <x:v>未复测</x:v>
      </x:c>
      <x:c r="O169" s="54" t="str"/>
    </x:row>
    <x:row r="170">
      <x:c r="A170" s="54" t="str">
        <x:v>RUN-0169</x:v>
      </x:c>
      <x:c r="B170" s="54" t="str"/>
      <x:c r="C170" s="54" t="str"/>
      <x:c r="D170" s="54" t="str"/>
      <x:c r="E170" s="54" t="str"/>
      <x:c r="F170" s="54" t="str">
        <x:v>1.0</x:v>
      </x:c>
      <x:c r="G170" s="54" t="str">
        <x:v>integration-1.0</x:v>
      </x:c>
      <x:c r="H170" s="54" t="str"/>
      <x:c r="I170" s="54" t="str"/>
      <x:c r="J170" s="54" t="str"/>
      <x:c r="K170" s="54" t="str">
        <x:v>待运行</x:v>
      </x:c>
      <x:c r="L170" s="54" t="str">
        <x:v>一般</x:v>
      </x:c>
      <x:c r="M170" s="54" t="str"/>
      <x:c r="N170" s="54" t="str">
        <x:v>未复测</x:v>
      </x:c>
      <x:c r="O170" s="54" t="str"/>
    </x:row>
    <x:row r="171">
      <x:c r="A171" s="54" t="str">
        <x:v>RUN-0170</x:v>
      </x:c>
      <x:c r="B171" s="54" t="str"/>
      <x:c r="C171" s="54" t="str"/>
      <x:c r="D171" s="54" t="str"/>
      <x:c r="E171" s="54" t="str"/>
      <x:c r="F171" s="54" t="str">
        <x:v>1.0</x:v>
      </x:c>
      <x:c r="G171" s="54" t="str">
        <x:v>integration-1.0</x:v>
      </x:c>
      <x:c r="H171" s="54" t="str"/>
      <x:c r="I171" s="54" t="str"/>
      <x:c r="J171" s="54" t="str"/>
      <x:c r="K171" s="54" t="str">
        <x:v>待运行</x:v>
      </x:c>
      <x:c r="L171" s="54" t="str">
        <x:v>一般</x:v>
      </x:c>
      <x:c r="M171" s="54" t="str"/>
      <x:c r="N171" s="54" t="str">
        <x:v>未复测</x:v>
      </x:c>
      <x:c r="O171" s="54" t="str"/>
    </x:row>
    <x:row r="172">
      <x:c r="A172" s="54" t="str">
        <x:v>RUN-0171</x:v>
      </x:c>
      <x:c r="B172" s="54" t="str"/>
      <x:c r="C172" s="54" t="str"/>
      <x:c r="D172" s="54" t="str"/>
      <x:c r="E172" s="54" t="str"/>
      <x:c r="F172" s="54" t="str">
        <x:v>1.0</x:v>
      </x:c>
      <x:c r="G172" s="54" t="str">
        <x:v>integration-1.0</x:v>
      </x:c>
      <x:c r="H172" s="54" t="str"/>
      <x:c r="I172" s="54" t="str"/>
      <x:c r="J172" s="54" t="str"/>
      <x:c r="K172" s="54" t="str">
        <x:v>待运行</x:v>
      </x:c>
      <x:c r="L172" s="54" t="str">
        <x:v>一般</x:v>
      </x:c>
      <x:c r="M172" s="54" t="str"/>
      <x:c r="N172" s="54" t="str">
        <x:v>未复测</x:v>
      </x:c>
      <x:c r="O172" s="54" t="str"/>
    </x:row>
    <x:row r="173">
      <x:c r="A173" s="54" t="str">
        <x:v>RUN-0172</x:v>
      </x:c>
      <x:c r="B173" s="54" t="str"/>
      <x:c r="C173" s="54" t="str"/>
      <x:c r="D173" s="54" t="str"/>
      <x:c r="E173" s="54" t="str"/>
      <x:c r="F173" s="54" t="str">
        <x:v>1.0</x:v>
      </x:c>
      <x:c r="G173" s="54" t="str">
        <x:v>integration-1.0</x:v>
      </x:c>
      <x:c r="H173" s="54" t="str"/>
      <x:c r="I173" s="54" t="str"/>
      <x:c r="J173" s="54" t="str"/>
      <x:c r="K173" s="54" t="str">
        <x:v>待运行</x:v>
      </x:c>
      <x:c r="L173" s="54" t="str">
        <x:v>一般</x:v>
      </x:c>
      <x:c r="M173" s="54" t="str"/>
      <x:c r="N173" s="54" t="str">
        <x:v>未复测</x:v>
      </x:c>
      <x:c r="O173" s="54" t="str"/>
    </x:row>
    <x:row r="174">
      <x:c r="A174" s="54" t="str">
        <x:v>RUN-0173</x:v>
      </x:c>
      <x:c r="B174" s="54" t="str"/>
      <x:c r="C174" s="54" t="str"/>
      <x:c r="D174" s="54" t="str"/>
      <x:c r="E174" s="54" t="str"/>
      <x:c r="F174" s="54" t="str">
        <x:v>1.0</x:v>
      </x:c>
      <x:c r="G174" s="54" t="str">
        <x:v>integration-1.0</x:v>
      </x:c>
      <x:c r="H174" s="54" t="str"/>
      <x:c r="I174" s="54" t="str"/>
      <x:c r="J174" s="54" t="str"/>
      <x:c r="K174" s="54" t="str">
        <x:v>待运行</x:v>
      </x:c>
      <x:c r="L174" s="54" t="str">
        <x:v>一般</x:v>
      </x:c>
      <x:c r="M174" s="54" t="str"/>
      <x:c r="N174" s="54" t="str">
        <x:v>未复测</x:v>
      </x:c>
      <x:c r="O174" s="54" t="str"/>
    </x:row>
    <x:row r="175">
      <x:c r="A175" s="54" t="str">
        <x:v>RUN-0174</x:v>
      </x:c>
      <x:c r="B175" s="54" t="str"/>
      <x:c r="C175" s="54" t="str"/>
      <x:c r="D175" s="54" t="str"/>
      <x:c r="E175" s="54" t="str"/>
      <x:c r="F175" s="54" t="str">
        <x:v>1.0</x:v>
      </x:c>
      <x:c r="G175" s="54" t="str">
        <x:v>integration-1.0</x:v>
      </x:c>
      <x:c r="H175" s="54" t="str"/>
      <x:c r="I175" s="54" t="str"/>
      <x:c r="J175" s="54" t="str"/>
      <x:c r="K175" s="54" t="str">
        <x:v>待运行</x:v>
      </x:c>
      <x:c r="L175" s="54" t="str">
        <x:v>一般</x:v>
      </x:c>
      <x:c r="M175" s="54" t="str"/>
      <x:c r="N175" s="54" t="str">
        <x:v>未复测</x:v>
      </x:c>
      <x:c r="O175" s="54" t="str"/>
    </x:row>
    <x:row r="176">
      <x:c r="A176" s="54" t="str">
        <x:v>RUN-0175</x:v>
      </x:c>
      <x:c r="B176" s="54" t="str"/>
      <x:c r="C176" s="54" t="str"/>
      <x:c r="D176" s="54" t="str"/>
      <x:c r="E176" s="54" t="str"/>
      <x:c r="F176" s="54" t="str">
        <x:v>1.0</x:v>
      </x:c>
      <x:c r="G176" s="54" t="str">
        <x:v>integration-1.0</x:v>
      </x:c>
      <x:c r="H176" s="54" t="str"/>
      <x:c r="I176" s="54" t="str"/>
      <x:c r="J176" s="54" t="str"/>
      <x:c r="K176" s="54" t="str">
        <x:v>待运行</x:v>
      </x:c>
      <x:c r="L176" s="54" t="str">
        <x:v>一般</x:v>
      </x:c>
      <x:c r="M176" s="54" t="str"/>
      <x:c r="N176" s="54" t="str">
        <x:v>未复测</x:v>
      </x:c>
      <x:c r="O176" s="54" t="str"/>
    </x:row>
    <x:row r="177">
      <x:c r="A177" s="54" t="str">
        <x:v>RUN-0176</x:v>
      </x:c>
      <x:c r="B177" s="54" t="str"/>
      <x:c r="C177" s="54" t="str"/>
      <x:c r="D177" s="54" t="str"/>
      <x:c r="E177" s="54" t="str"/>
      <x:c r="F177" s="54" t="str">
        <x:v>1.0</x:v>
      </x:c>
      <x:c r="G177" s="54" t="str">
        <x:v>integration-1.0</x:v>
      </x:c>
      <x:c r="H177" s="54" t="str"/>
      <x:c r="I177" s="54" t="str"/>
      <x:c r="J177" s="54" t="str"/>
      <x:c r="K177" s="54" t="str">
        <x:v>待运行</x:v>
      </x:c>
      <x:c r="L177" s="54" t="str">
        <x:v>一般</x:v>
      </x:c>
      <x:c r="M177" s="54" t="str"/>
      <x:c r="N177" s="54" t="str">
        <x:v>未复测</x:v>
      </x:c>
      <x:c r="O177" s="54" t="str"/>
    </x:row>
    <x:row r="178">
      <x:c r="A178" s="54" t="str">
        <x:v>RUN-0177</x:v>
      </x:c>
      <x:c r="B178" s="54" t="str"/>
      <x:c r="C178" s="54" t="str"/>
      <x:c r="D178" s="54" t="str"/>
      <x:c r="E178" s="54" t="str"/>
      <x:c r="F178" s="54" t="str">
        <x:v>1.0</x:v>
      </x:c>
      <x:c r="G178" s="54" t="str">
        <x:v>integration-1.0</x:v>
      </x:c>
      <x:c r="H178" s="54" t="str"/>
      <x:c r="I178" s="54" t="str"/>
      <x:c r="J178" s="54" t="str"/>
      <x:c r="K178" s="54" t="str">
        <x:v>待运行</x:v>
      </x:c>
      <x:c r="L178" s="54" t="str">
        <x:v>一般</x:v>
      </x:c>
      <x:c r="M178" s="54" t="str"/>
      <x:c r="N178" s="54" t="str">
        <x:v>未复测</x:v>
      </x:c>
      <x:c r="O178" s="54" t="str"/>
    </x:row>
    <x:row r="179">
      <x:c r="A179" s="54" t="str">
        <x:v>RUN-0178</x:v>
      </x:c>
      <x:c r="B179" s="54" t="str"/>
      <x:c r="C179" s="54" t="str"/>
      <x:c r="D179" s="54" t="str"/>
      <x:c r="E179" s="54" t="str"/>
      <x:c r="F179" s="54" t="str">
        <x:v>1.0</x:v>
      </x:c>
      <x:c r="G179" s="54" t="str">
        <x:v>integration-1.0</x:v>
      </x:c>
      <x:c r="H179" s="54" t="str"/>
      <x:c r="I179" s="54" t="str"/>
      <x:c r="J179" s="54" t="str"/>
      <x:c r="K179" s="54" t="str">
        <x:v>待运行</x:v>
      </x:c>
      <x:c r="L179" s="54" t="str">
        <x:v>一般</x:v>
      </x:c>
      <x:c r="M179" s="54" t="str"/>
      <x:c r="N179" s="54" t="str">
        <x:v>未复测</x:v>
      </x:c>
      <x:c r="O179" s="54" t="str"/>
    </x:row>
    <x:row r="180">
      <x:c r="A180" s="54" t="str">
        <x:v>RUN-0179</x:v>
      </x:c>
      <x:c r="B180" s="54" t="str"/>
      <x:c r="C180" s="54" t="str"/>
      <x:c r="D180" s="54" t="str"/>
      <x:c r="E180" s="54" t="str"/>
      <x:c r="F180" s="54" t="str">
        <x:v>1.0</x:v>
      </x:c>
      <x:c r="G180" s="54" t="str">
        <x:v>integration-1.0</x:v>
      </x:c>
      <x:c r="H180" s="54" t="str"/>
      <x:c r="I180" s="54" t="str"/>
      <x:c r="J180" s="54" t="str"/>
      <x:c r="K180" s="54" t="str">
        <x:v>待运行</x:v>
      </x:c>
      <x:c r="L180" s="54" t="str">
        <x:v>一般</x:v>
      </x:c>
      <x:c r="M180" s="54" t="str"/>
      <x:c r="N180" s="54" t="str">
        <x:v>未复测</x:v>
      </x:c>
      <x:c r="O180" s="54" t="str"/>
    </x:row>
    <x:row r="181">
      <x:c r="A181" s="54" t="str">
        <x:v>RUN-0180</x:v>
      </x:c>
      <x:c r="B181" s="54" t="str"/>
      <x:c r="C181" s="54" t="str"/>
      <x:c r="D181" s="54" t="str"/>
      <x:c r="E181" s="54" t="str"/>
      <x:c r="F181" s="54" t="str">
        <x:v>1.0</x:v>
      </x:c>
      <x:c r="G181" s="54" t="str">
        <x:v>integration-1.0</x:v>
      </x:c>
      <x:c r="H181" s="54" t="str"/>
      <x:c r="I181" s="54" t="str"/>
      <x:c r="J181" s="54" t="str"/>
      <x:c r="K181" s="54" t="str">
        <x:v>待运行</x:v>
      </x:c>
      <x:c r="L181" s="54" t="str">
        <x:v>一般</x:v>
      </x:c>
      <x:c r="M181" s="54" t="str"/>
      <x:c r="N181" s="54" t="str">
        <x:v>未复测</x:v>
      </x:c>
      <x:c r="O181" s="54" t="str"/>
    </x:row>
    <x:row r="182">
      <x:c r="A182" s="54" t="str">
        <x:v>RUN-0181</x:v>
      </x:c>
      <x:c r="B182" s="54" t="str"/>
      <x:c r="C182" s="54" t="str"/>
      <x:c r="D182" s="54" t="str"/>
      <x:c r="E182" s="54" t="str"/>
      <x:c r="F182" s="54" t="str">
        <x:v>1.0</x:v>
      </x:c>
      <x:c r="G182" s="54" t="str">
        <x:v>integration-1.0</x:v>
      </x:c>
      <x:c r="H182" s="54" t="str"/>
      <x:c r="I182" s="54" t="str"/>
      <x:c r="J182" s="54" t="str"/>
      <x:c r="K182" s="54" t="str">
        <x:v>待运行</x:v>
      </x:c>
      <x:c r="L182" s="54" t="str">
        <x:v>一般</x:v>
      </x:c>
      <x:c r="M182" s="54" t="str"/>
      <x:c r="N182" s="54" t="str">
        <x:v>未复测</x:v>
      </x:c>
      <x:c r="O182" s="54" t="str"/>
    </x:row>
    <x:row r="183">
      <x:c r="A183" s="54" t="str">
        <x:v>RUN-0182</x:v>
      </x:c>
      <x:c r="B183" s="54" t="str"/>
      <x:c r="C183" s="54" t="str"/>
      <x:c r="D183" s="54" t="str"/>
      <x:c r="E183" s="54" t="str"/>
      <x:c r="F183" s="54" t="str">
        <x:v>1.0</x:v>
      </x:c>
      <x:c r="G183" s="54" t="str">
        <x:v>integration-1.0</x:v>
      </x:c>
      <x:c r="H183" s="54" t="str"/>
      <x:c r="I183" s="54" t="str"/>
      <x:c r="J183" s="54" t="str"/>
      <x:c r="K183" s="54" t="str">
        <x:v>待运行</x:v>
      </x:c>
      <x:c r="L183" s="54" t="str">
        <x:v>一般</x:v>
      </x:c>
      <x:c r="M183" s="54" t="str"/>
      <x:c r="N183" s="54" t="str">
        <x:v>未复测</x:v>
      </x:c>
      <x:c r="O183" s="54" t="str"/>
    </x:row>
    <x:row r="184">
      <x:c r="A184" s="54" t="str">
        <x:v>RUN-0183</x:v>
      </x:c>
      <x:c r="B184" s="54" t="str"/>
      <x:c r="C184" s="54" t="str"/>
      <x:c r="D184" s="54" t="str"/>
      <x:c r="E184" s="54" t="str"/>
      <x:c r="F184" s="54" t="str">
        <x:v>1.0</x:v>
      </x:c>
      <x:c r="G184" s="54" t="str">
        <x:v>integration-1.0</x:v>
      </x:c>
      <x:c r="H184" s="54" t="str"/>
      <x:c r="I184" s="54" t="str"/>
      <x:c r="J184" s="54" t="str"/>
      <x:c r="K184" s="54" t="str">
        <x:v>待运行</x:v>
      </x:c>
      <x:c r="L184" s="54" t="str">
        <x:v>一般</x:v>
      </x:c>
      <x:c r="M184" s="54" t="str"/>
      <x:c r="N184" s="54" t="str">
        <x:v>未复测</x:v>
      </x:c>
      <x:c r="O184" s="54" t="str"/>
    </x:row>
    <x:row r="185">
      <x:c r="A185" s="54" t="str">
        <x:v>RUN-0184</x:v>
      </x:c>
      <x:c r="B185" s="54" t="str"/>
      <x:c r="C185" s="54" t="str"/>
      <x:c r="D185" s="54" t="str"/>
      <x:c r="E185" s="54" t="str"/>
      <x:c r="F185" s="54" t="str">
        <x:v>1.0</x:v>
      </x:c>
      <x:c r="G185" s="54" t="str">
        <x:v>integration-1.0</x:v>
      </x:c>
      <x:c r="H185" s="54" t="str"/>
      <x:c r="I185" s="54" t="str"/>
      <x:c r="J185" s="54" t="str"/>
      <x:c r="K185" s="54" t="str">
        <x:v>待运行</x:v>
      </x:c>
      <x:c r="L185" s="54" t="str">
        <x:v>一般</x:v>
      </x:c>
      <x:c r="M185" s="54" t="str"/>
      <x:c r="N185" s="54" t="str">
        <x:v>未复测</x:v>
      </x:c>
      <x:c r="O185" s="54" t="str"/>
    </x:row>
    <x:row r="186">
      <x:c r="A186" s="54" t="str">
        <x:v>RUN-0185</x:v>
      </x:c>
      <x:c r="B186" s="54" t="str"/>
      <x:c r="C186" s="54" t="str"/>
      <x:c r="D186" s="54" t="str"/>
      <x:c r="E186" s="54" t="str"/>
      <x:c r="F186" s="54" t="str">
        <x:v>1.0</x:v>
      </x:c>
      <x:c r="G186" s="54" t="str">
        <x:v>integration-1.0</x:v>
      </x:c>
      <x:c r="H186" s="54" t="str"/>
      <x:c r="I186" s="54" t="str"/>
      <x:c r="J186" s="54" t="str"/>
      <x:c r="K186" s="54" t="str">
        <x:v>待运行</x:v>
      </x:c>
      <x:c r="L186" s="54" t="str">
        <x:v>一般</x:v>
      </x:c>
      <x:c r="M186" s="54" t="str"/>
      <x:c r="N186" s="54" t="str">
        <x:v>未复测</x:v>
      </x:c>
      <x:c r="O186" s="54" t="str"/>
    </x:row>
    <x:row r="187">
      <x:c r="A187" s="54" t="str">
        <x:v>RUN-0186</x:v>
      </x:c>
      <x:c r="B187" s="54" t="str"/>
      <x:c r="C187" s="54" t="str"/>
      <x:c r="D187" s="54" t="str"/>
      <x:c r="E187" s="54" t="str"/>
      <x:c r="F187" s="54" t="str">
        <x:v>1.0</x:v>
      </x:c>
      <x:c r="G187" s="54" t="str">
        <x:v>integration-1.0</x:v>
      </x:c>
      <x:c r="H187" s="54" t="str"/>
      <x:c r="I187" s="54" t="str"/>
      <x:c r="J187" s="54" t="str"/>
      <x:c r="K187" s="54" t="str">
        <x:v>待运行</x:v>
      </x:c>
      <x:c r="L187" s="54" t="str">
        <x:v>一般</x:v>
      </x:c>
      <x:c r="M187" s="54" t="str"/>
      <x:c r="N187" s="54" t="str">
        <x:v>未复测</x:v>
      </x:c>
      <x:c r="O187" s="54" t="str"/>
    </x:row>
    <x:row r="188">
      <x:c r="A188" s="54" t="str">
        <x:v>RUN-0187</x:v>
      </x:c>
      <x:c r="B188" s="54" t="str"/>
      <x:c r="C188" s="54" t="str"/>
      <x:c r="D188" s="54" t="str"/>
      <x:c r="E188" s="54" t="str"/>
      <x:c r="F188" s="54" t="str">
        <x:v>1.0</x:v>
      </x:c>
      <x:c r="G188" s="54" t="str">
        <x:v>integration-1.0</x:v>
      </x:c>
      <x:c r="H188" s="54" t="str"/>
      <x:c r="I188" s="54" t="str"/>
      <x:c r="J188" s="54" t="str"/>
      <x:c r="K188" s="54" t="str">
        <x:v>待运行</x:v>
      </x:c>
      <x:c r="L188" s="54" t="str">
        <x:v>一般</x:v>
      </x:c>
      <x:c r="M188" s="54" t="str"/>
      <x:c r="N188" s="54" t="str">
        <x:v>未复测</x:v>
      </x:c>
      <x:c r="O188" s="54" t="str"/>
    </x:row>
    <x:row r="189">
      <x:c r="A189" s="54" t="str">
        <x:v>RUN-0188</x:v>
      </x:c>
      <x:c r="B189" s="54" t="str"/>
      <x:c r="C189" s="54" t="str"/>
      <x:c r="D189" s="54" t="str"/>
      <x:c r="E189" s="54" t="str"/>
      <x:c r="F189" s="54" t="str">
        <x:v>1.0</x:v>
      </x:c>
      <x:c r="G189" s="54" t="str">
        <x:v>integration-1.0</x:v>
      </x:c>
      <x:c r="H189" s="54" t="str"/>
      <x:c r="I189" s="54" t="str"/>
      <x:c r="J189" s="54" t="str"/>
      <x:c r="K189" s="54" t="str">
        <x:v>待运行</x:v>
      </x:c>
      <x:c r="L189" s="54" t="str">
        <x:v>一般</x:v>
      </x:c>
      <x:c r="M189" s="54" t="str"/>
      <x:c r="N189" s="54" t="str">
        <x:v>未复测</x:v>
      </x:c>
      <x:c r="O189" s="54" t="str"/>
    </x:row>
    <x:row r="190">
      <x:c r="A190" s="54" t="str">
        <x:v>RUN-0189</x:v>
      </x:c>
      <x:c r="B190" s="54" t="str"/>
      <x:c r="C190" s="54" t="str"/>
      <x:c r="D190" s="54" t="str"/>
      <x:c r="E190" s="54" t="str"/>
      <x:c r="F190" s="54" t="str">
        <x:v>1.0</x:v>
      </x:c>
      <x:c r="G190" s="54" t="str">
        <x:v>integration-1.0</x:v>
      </x:c>
      <x:c r="H190" s="54" t="str"/>
      <x:c r="I190" s="54" t="str"/>
      <x:c r="J190" s="54" t="str"/>
      <x:c r="K190" s="54" t="str">
        <x:v>待运行</x:v>
      </x:c>
      <x:c r="L190" s="54" t="str">
        <x:v>一般</x:v>
      </x:c>
      <x:c r="M190" s="54" t="str"/>
      <x:c r="N190" s="54" t="str">
        <x:v>未复测</x:v>
      </x:c>
      <x:c r="O190" s="54" t="str"/>
    </x:row>
    <x:row r="191">
      <x:c r="A191" s="54" t="str">
        <x:v>RUN-0190</x:v>
      </x:c>
      <x:c r="B191" s="54" t="str"/>
      <x:c r="C191" s="54" t="str"/>
      <x:c r="D191" s="54" t="str"/>
      <x:c r="E191" s="54" t="str"/>
      <x:c r="F191" s="54" t="str">
        <x:v>1.0</x:v>
      </x:c>
      <x:c r="G191" s="54" t="str">
        <x:v>integration-1.0</x:v>
      </x:c>
      <x:c r="H191" s="54" t="str"/>
      <x:c r="I191" s="54" t="str"/>
      <x:c r="J191" s="54" t="str"/>
      <x:c r="K191" s="54" t="str">
        <x:v>待运行</x:v>
      </x:c>
      <x:c r="L191" s="54" t="str">
        <x:v>一般</x:v>
      </x:c>
      <x:c r="M191" s="54" t="str"/>
      <x:c r="N191" s="54" t="str">
        <x:v>未复测</x:v>
      </x:c>
      <x:c r="O191" s="54" t="str"/>
    </x:row>
    <x:row r="192">
      <x:c r="A192" s="54" t="str">
        <x:v>RUN-0191</x:v>
      </x:c>
      <x:c r="B192" s="54" t="str"/>
      <x:c r="C192" s="54" t="str"/>
      <x:c r="D192" s="54" t="str"/>
      <x:c r="E192" s="54" t="str"/>
      <x:c r="F192" s="54" t="str">
        <x:v>1.0</x:v>
      </x:c>
      <x:c r="G192" s="54" t="str">
        <x:v>integration-1.0</x:v>
      </x:c>
      <x:c r="H192" s="54" t="str"/>
      <x:c r="I192" s="54" t="str"/>
      <x:c r="J192" s="54" t="str"/>
      <x:c r="K192" s="54" t="str">
        <x:v>待运行</x:v>
      </x:c>
      <x:c r="L192" s="54" t="str">
        <x:v>一般</x:v>
      </x:c>
      <x:c r="M192" s="54" t="str"/>
      <x:c r="N192" s="54" t="str">
        <x:v>未复测</x:v>
      </x:c>
      <x:c r="O192" s="54" t="str"/>
    </x:row>
    <x:row r="193">
      <x:c r="A193" s="54" t="str">
        <x:v>RUN-0192</x:v>
      </x:c>
      <x:c r="B193" s="54" t="str"/>
      <x:c r="C193" s="54" t="str"/>
      <x:c r="D193" s="54" t="str"/>
      <x:c r="E193" s="54" t="str"/>
      <x:c r="F193" s="54" t="str">
        <x:v>1.0</x:v>
      </x:c>
      <x:c r="G193" s="54" t="str">
        <x:v>integration-1.0</x:v>
      </x:c>
      <x:c r="H193" s="54" t="str"/>
      <x:c r="I193" s="54" t="str"/>
      <x:c r="J193" s="54" t="str"/>
      <x:c r="K193" s="54" t="str">
        <x:v>待运行</x:v>
      </x:c>
      <x:c r="L193" s="54" t="str">
        <x:v>一般</x:v>
      </x:c>
      <x:c r="M193" s="54" t="str"/>
      <x:c r="N193" s="54" t="str">
        <x:v>未复测</x:v>
      </x:c>
      <x:c r="O193" s="54" t="str"/>
    </x:row>
    <x:row r="194">
      <x:c r="A194" s="54" t="str">
        <x:v>RUN-0193</x:v>
      </x:c>
      <x:c r="B194" s="54" t="str"/>
      <x:c r="C194" s="54" t="str"/>
      <x:c r="D194" s="54" t="str"/>
      <x:c r="E194" s="54" t="str"/>
      <x:c r="F194" s="54" t="str">
        <x:v>1.0</x:v>
      </x:c>
      <x:c r="G194" s="54" t="str">
        <x:v>integration-1.0</x:v>
      </x:c>
      <x:c r="H194" s="54" t="str"/>
      <x:c r="I194" s="54" t="str"/>
      <x:c r="J194" s="54" t="str"/>
      <x:c r="K194" s="54" t="str">
        <x:v>待运行</x:v>
      </x:c>
      <x:c r="L194" s="54" t="str">
        <x:v>一般</x:v>
      </x:c>
      <x:c r="M194" s="54" t="str"/>
      <x:c r="N194" s="54" t="str">
        <x:v>未复测</x:v>
      </x:c>
      <x:c r="O194" s="54" t="str"/>
    </x:row>
    <x:row r="195">
      <x:c r="A195" s="54" t="str">
        <x:v>RUN-0194</x:v>
      </x:c>
      <x:c r="B195" s="54" t="str"/>
      <x:c r="C195" s="54" t="str"/>
      <x:c r="D195" s="54" t="str"/>
      <x:c r="E195" s="54" t="str"/>
      <x:c r="F195" s="54" t="str">
        <x:v>1.0</x:v>
      </x:c>
      <x:c r="G195" s="54" t="str">
        <x:v>integration-1.0</x:v>
      </x:c>
      <x:c r="H195" s="54" t="str"/>
      <x:c r="I195" s="54" t="str"/>
      <x:c r="J195" s="54" t="str"/>
      <x:c r="K195" s="54" t="str">
        <x:v>待运行</x:v>
      </x:c>
      <x:c r="L195" s="54" t="str">
        <x:v>一般</x:v>
      </x:c>
      <x:c r="M195" s="54" t="str"/>
      <x:c r="N195" s="54" t="str">
        <x:v>未复测</x:v>
      </x:c>
      <x:c r="O195" s="54" t="str"/>
    </x:row>
    <x:row r="196">
      <x:c r="A196" s="54" t="str">
        <x:v>RUN-0195</x:v>
      </x:c>
      <x:c r="B196" s="54" t="str"/>
      <x:c r="C196" s="54" t="str"/>
      <x:c r="D196" s="54" t="str"/>
      <x:c r="E196" s="54" t="str"/>
      <x:c r="F196" s="54" t="str">
        <x:v>1.0</x:v>
      </x:c>
      <x:c r="G196" s="54" t="str">
        <x:v>integration-1.0</x:v>
      </x:c>
      <x:c r="H196" s="54" t="str"/>
      <x:c r="I196" s="54" t="str"/>
      <x:c r="J196" s="54" t="str"/>
      <x:c r="K196" s="54" t="str">
        <x:v>待运行</x:v>
      </x:c>
      <x:c r="L196" s="54" t="str">
        <x:v>一般</x:v>
      </x:c>
      <x:c r="M196" s="54" t="str"/>
      <x:c r="N196" s="54" t="str">
        <x:v>未复测</x:v>
      </x:c>
      <x:c r="O196" s="54" t="str"/>
    </x:row>
    <x:row r="197">
      <x:c r="A197" s="54" t="str">
        <x:v>RUN-0196</x:v>
      </x:c>
      <x:c r="B197" s="54" t="str"/>
      <x:c r="C197" s="54" t="str"/>
      <x:c r="D197" s="54" t="str"/>
      <x:c r="E197" s="54" t="str"/>
      <x:c r="F197" s="54" t="str">
        <x:v>1.0</x:v>
      </x:c>
      <x:c r="G197" s="54" t="str">
        <x:v>integration-1.0</x:v>
      </x:c>
      <x:c r="H197" s="54" t="str"/>
      <x:c r="I197" s="54" t="str"/>
      <x:c r="J197" s="54" t="str"/>
      <x:c r="K197" s="54" t="str">
        <x:v>待运行</x:v>
      </x:c>
      <x:c r="L197" s="54" t="str">
        <x:v>一般</x:v>
      </x:c>
      <x:c r="M197" s="54" t="str"/>
      <x:c r="N197" s="54" t="str">
        <x:v>未复测</x:v>
      </x:c>
      <x:c r="O197" s="54" t="str"/>
    </x:row>
    <x:row r="198">
      <x:c r="A198" s="54" t="str">
        <x:v>RUN-0197</x:v>
      </x:c>
      <x:c r="B198" s="54" t="str"/>
      <x:c r="C198" s="54" t="str"/>
      <x:c r="D198" s="54" t="str"/>
      <x:c r="E198" s="54" t="str"/>
      <x:c r="F198" s="54" t="str">
        <x:v>1.0</x:v>
      </x:c>
      <x:c r="G198" s="54" t="str">
        <x:v>integration-1.0</x:v>
      </x:c>
      <x:c r="H198" s="54" t="str"/>
      <x:c r="I198" s="54" t="str"/>
      <x:c r="J198" s="54" t="str"/>
      <x:c r="K198" s="54" t="str">
        <x:v>待运行</x:v>
      </x:c>
      <x:c r="L198" s="54" t="str">
        <x:v>一般</x:v>
      </x:c>
      <x:c r="M198" s="54" t="str"/>
      <x:c r="N198" s="54" t="str">
        <x:v>未复测</x:v>
      </x:c>
      <x:c r="O198" s="54" t="str"/>
    </x:row>
    <x:row r="199">
      <x:c r="A199" s="54" t="str">
        <x:v>RUN-0198</x:v>
      </x:c>
      <x:c r="B199" s="54" t="str"/>
      <x:c r="C199" s="54" t="str"/>
      <x:c r="D199" s="54" t="str"/>
      <x:c r="E199" s="54" t="str"/>
      <x:c r="F199" s="54" t="str">
        <x:v>1.0</x:v>
      </x:c>
      <x:c r="G199" s="54" t="str">
        <x:v>integration-1.0</x:v>
      </x:c>
      <x:c r="H199" s="54" t="str"/>
      <x:c r="I199" s="54" t="str"/>
      <x:c r="J199" s="54" t="str"/>
      <x:c r="K199" s="54" t="str">
        <x:v>待运行</x:v>
      </x:c>
      <x:c r="L199" s="54" t="str">
        <x:v>一般</x:v>
      </x:c>
      <x:c r="M199" s="54" t="str"/>
      <x:c r="N199" s="54" t="str">
        <x:v>未复测</x:v>
      </x:c>
      <x:c r="O199" s="54" t="str"/>
    </x:row>
    <x:row r="200">
      <x:c r="A200" s="54" t="str">
        <x:v>RUN-0199</x:v>
      </x:c>
      <x:c r="B200" s="54" t="str"/>
      <x:c r="C200" s="54" t="str"/>
      <x:c r="D200" s="54" t="str"/>
      <x:c r="E200" s="54" t="str"/>
      <x:c r="F200" s="54" t="str">
        <x:v>1.0</x:v>
      </x:c>
      <x:c r="G200" s="54" t="str">
        <x:v>integration-1.0</x:v>
      </x:c>
      <x:c r="H200" s="54" t="str"/>
      <x:c r="I200" s="54" t="str"/>
      <x:c r="J200" s="54" t="str"/>
      <x:c r="K200" s="54" t="str">
        <x:v>待运行</x:v>
      </x:c>
      <x:c r="L200" s="54" t="str">
        <x:v>一般</x:v>
      </x:c>
      <x:c r="M200" s="54" t="str"/>
      <x:c r="N200" s="54" t="str">
        <x:v>未复测</x:v>
      </x:c>
      <x:c r="O200" s="54" t="str"/>
    </x:row>
    <x:row r="201">
      <x:c r="A201" s="63" t="str">
        <x:v>RUN-0200</x:v>
      </x:c>
      <x:c r="B201" s="63" t="str"/>
      <x:c r="C201" s="63" t="str"/>
      <x:c r="D201" s="63" t="str"/>
      <x:c r="E201" s="63" t="str"/>
      <x:c r="F201" s="63" t="str">
        <x:v>1.0</x:v>
      </x:c>
      <x:c r="G201" s="63" t="str">
        <x:v>integration-1.0</x:v>
      </x:c>
      <x:c r="H201" s="63" t="str"/>
      <x:c r="I201" s="63" t="str"/>
      <x:c r="J201" s="63" t="str"/>
      <x:c r="K201" s="63" t="str">
        <x:v>待运行</x:v>
      </x:c>
      <x:c r="L201" s="63" t="str">
        <x:v>一般</x:v>
      </x:c>
      <x:c r="M201" s="63" t="str"/>
      <x:c r="N201" s="63" t="str">
        <x:v>未复测</x:v>
      </x:c>
      <x:c r="O201" s="63" t="str"/>
    </x:row>
  </x:sheetData>
  <x:conditionalFormatting sqref="K2:K201">
    <x:cfRule type="expression" dxfId="0" priority="1">
      <x:formula>$K2="通过"</x:formula>
    </x:cfRule>
    <x:cfRule type="expression" dxfId="1" priority="2">
      <x:formula>$K2="失败"</x:formula>
    </x:cfRule>
  </x:conditionalFormatting>
  <x:dataValidations count="4">
    <x:dataValidation type="list" sqref="C2:C201">
      <x:formula1>"M0原生,M0单元,接口契约,M1-M5模块,冲突安全,JSON数据,报告语言,性能稳定,32项回归"</x:formula1>
    </x:dataValidation>
    <x:dataValidation type="list" sqref="K2:K201">
      <x:formula1>"待运行,通过,失败,阻塞,不适用,待复核"</x:formula1>
    </x:dataValidation>
    <x:dataValidation type="list" sqref="L2:L201">
      <x:formula1>"安全,阻断,重大,一般,轻微"</x:formula1>
    </x:dataValidation>
    <x:dataValidation type="list" sqref="N2:N201">
      <x:formula1>"未复测,通过,失败,不适用"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648994eabe49a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4" max="4" width="26" hidden="0" customWidth="1"/>
    <x:col min="5" max="5" width="16" hidden="0" customWidth="1"/>
  </x:cols>
  <x:sheetData>
    <x:row r="1">
      <x:c r="A1" s="68" t="str">
        <x:v>开发测试执行看板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73" t="str">
        <x:v>只统计已执行记录；待运行不计入通过率。</x:v>
      </x:c>
      <x:c r="B3" s="73"/>
      <x:c r="C3" s="73"/>
      <x:c r="D3" s="73"/>
      <x:c r="E3" s="73"/>
      <x:c r="F3" s="73"/>
      <x:c r="G3" s="73"/>
      <x:c r="H3" s="73"/>
    </x:row>
    <x:row r="5">
      <x:c r="A5" s="60" t="str">
        <x:v>指标</x:v>
      </x:c>
      <x:c r="B5" s="60" t="str">
        <x:v>数值</x:v>
      </x:c>
      <x:c r="D5" s="76" t="str">
        <x:v>套件</x:v>
      </x:c>
      <x:c r="E5" s="76" t="str">
        <x:v>定义数</x:v>
      </x:c>
    </x:row>
    <x:row r="6">
      <x:c r="A6" s="54" t="str">
        <x:v>测试定义总数</x:v>
      </x:c>
      <x:c r="B6" s="54" t="n">
        <x:v>407</x:v>
      </x:c>
      <x:c r="D6" t="str">
        <x:v>M0原生</x:v>
      </x:c>
      <x:c r="E6" t="n">
        <x:v>150</x:v>
      </x:c>
    </x:row>
    <x:row r="7">
      <x:c r="A7" s="54" t="str">
        <x:v>执行记录数</x:v>
      </x:c>
      <x:c r="B7" s="54" t="n">
        <x:f>COUNTIF('10_执行记录'!$B$2:$B$201,"&lt;&gt;")</x:f>
        <x:v>200</x:v>
      </x:c>
      <x:c r="D7" t="str">
        <x:v>M0单元</x:v>
      </x:c>
      <x:c r="E7" t="n">
        <x:v>42</x:v>
      </x:c>
    </x:row>
    <x:row r="8">
      <x:c r="A8" s="54" t="str">
        <x:v>通过</x:v>
      </x:c>
      <x:c r="B8" s="54" t="n">
        <x:f>COUNTIF('10_执行记录'!$K$2:$K$201,"通过")</x:f>
        <x:v>0</x:v>
      </x:c>
      <x:c r="D8" t="str">
        <x:v>接口契约</x:v>
      </x:c>
      <x:c r="E8" t="n">
        <x:v>30</x:v>
      </x:c>
    </x:row>
    <x:row r="9">
      <x:c r="A9" s="54" t="str">
        <x:v>失败</x:v>
      </x:c>
      <x:c r="B9" s="54" t="n">
        <x:f>COUNTIF('10_执行记录'!$K$2:$K$201,"失败")</x:f>
        <x:v>0</x:v>
      </x:c>
      <x:c r="D9" t="str">
        <x:v>M1-M5模块</x:v>
      </x:c>
      <x:c r="E9" t="n">
        <x:v>58</x:v>
      </x:c>
    </x:row>
    <x:row r="10">
      <x:c r="A10" s="54" t="str">
        <x:v>阻塞</x:v>
      </x:c>
      <x:c r="B10" s="54" t="n">
        <x:f>COUNTIF('10_执行记录'!$K$2:$K$201,"阻塞")</x:f>
        <x:v>0</x:v>
      </x:c>
      <x:c r="D10" t="str">
        <x:v>冲突安全</x:v>
      </x:c>
      <x:c r="E10" t="n">
        <x:v>35</x:v>
      </x:c>
    </x:row>
    <x:row r="11">
      <x:c r="A11" s="54" t="str">
        <x:v>待复核</x:v>
      </x:c>
      <x:c r="B11" s="54" t="n">
        <x:f>COUNTIF('10_执行记录'!$K$2:$K$201,"待复核")</x:f>
        <x:v>0</x:v>
      </x:c>
      <x:c r="D11" t="str">
        <x:v>JSON数据</x:v>
      </x:c>
      <x:c r="E11" t="n">
        <x:v>25</x:v>
      </x:c>
    </x:row>
    <x:row r="12">
      <x:c r="A12" s="54" t="str">
        <x:v>安全级失败</x:v>
      </x:c>
      <x:c r="B12" s="54" t="n">
        <x:f>COUNTIFS('10_执行记录'!$K$2:$K$201,"失败",'10_执行记录'!$L$2:$L$201,"安全")</x:f>
        <x:v>0</x:v>
      </x:c>
      <x:c r="D12" t="str">
        <x:v>报告语言</x:v>
      </x:c>
      <x:c r="E12" t="n">
        <x:v>20</x:v>
      </x:c>
    </x:row>
    <x:row r="13">
      <x:c r="A13" s="63" t="str">
        <x:v>已执行通过率</x:v>
      </x:c>
      <x:c r="B13" s="74" t="n">
        <x:f>IF(COUNTIF('10_执行记录'!$K$2:$K$201,"通过")+COUNTIF('10_执行记录'!$K$2:$K$201,"失败")=0,0,COUNTIF('10_执行记录'!$K$2:$K$201,"通过")/(COUNTIF('10_执行记录'!$K$2:$K$201,"通过")+COUNTIF('10_执行记录'!$K$2:$K$201,"失败")))</x:f>
        <x:v>0</x:v>
      </x:c>
      <x:c r="D13" t="str">
        <x:v>性能稳定</x:v>
      </x:c>
      <x:c r="E13" t="n">
        <x:v>15</x:v>
      </x:c>
    </x:row>
    <x:row r="14">
      <x:c r="D14" t="str">
        <x:v>32项回归</x:v>
      </x:c>
      <x:c r="E14" t="n">
        <x:v>32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79d98d81ea024212"/>
  </x:tableParts>
</x:worksheet>
</file>