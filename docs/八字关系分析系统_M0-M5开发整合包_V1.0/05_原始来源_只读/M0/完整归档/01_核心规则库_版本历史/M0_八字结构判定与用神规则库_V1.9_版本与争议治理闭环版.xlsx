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6.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76dbb6af364cf9" /></Relationships>
</file>

<file path=xl/workbook.xml><?xml version="1.0" encoding="utf-8"?>
<x:workbook xmlns:x="http://schemas.openxmlformats.org/spreadsheetml/2006/main">
  <x:sheets>
    <x:sheet xmlns:r="http://schemas.openxmlformats.org/officeDocument/2006/relationships" name="00_使用说明" sheetId="1" r:id="R4a17785bdab4403d"/>
    <x:sheet xmlns:r="http://schemas.openxmlformats.org/officeDocument/2006/relationships" name="01_术语与编码" sheetId="2" r:id="Radcf2ad16133499b"/>
    <x:sheet xmlns:r="http://schemas.openxmlformats.org/officeDocument/2006/relationships" name="02_干支藏干基础" sheetId="3" r:id="Rba2c4e4436534338"/>
    <x:sheet xmlns:r="http://schemas.openxmlformats.org/officeDocument/2006/relationships" name="03_月令与根气" sheetId="4" r:id="Rca5baffe2fdb4e2c"/>
    <x:sheet xmlns:r="http://schemas.openxmlformats.org/officeDocument/2006/relationships" name="04_天干作用识别" sheetId="5" r:id="Rf2e23b7ec05a42c8"/>
    <x:sheet xmlns:r="http://schemas.openxmlformats.org/officeDocument/2006/relationships" name="05_地支关系识别" sheetId="6" r:id="Rb4870304ef574f9e"/>
    <x:sheet xmlns:r="http://schemas.openxmlformats.org/officeDocument/2006/relationships" name="06_干支关系效应" sheetId="7" r:id="R88936a0083ef4f6b"/>
    <x:sheet xmlns:r="http://schemas.openxmlformats.org/officeDocument/2006/relationships" name="07_五行原始旺衰" sheetId="8" r:id="R5ea3666577ce47dd"/>
    <x:sheet xmlns:r="http://schemas.openxmlformats.org/officeDocument/2006/relationships" name="08_五行有效旺衰" sheetId="9" r:id="R9329e5cafe6f40eb"/>
    <x:sheet xmlns:r="http://schemas.openxmlformats.org/officeDocument/2006/relationships" name="09_日主旺衰" sheetId="10" r:id="R5f58c30741ec4e6b"/>
    <x:sheet xmlns:r="http://schemas.openxmlformats.org/officeDocument/2006/relationships" name="10_十神旺衰功能" sheetId="11" r:id="R158523a4c7694f94"/>
    <x:sheet xmlns:r="http://schemas.openxmlformats.org/officeDocument/2006/relationships" name="11_十神组合成立" sheetId="12" r:id="R6c679e95b56443cc"/>
    <x:sheet xmlns:r="http://schemas.openxmlformats.org/officeDocument/2006/relationships" name="12_五行流通卡点" sheetId="13" r:id="Reaae3f09d7d1439e"/>
    <x:sheet xmlns:r="http://schemas.openxmlformats.org/officeDocument/2006/relationships" name="13_寒暖燥湿" sheetId="14" r:id="R89f760d66fe14e53"/>
    <x:sheet xmlns:r="http://schemas.openxmlformats.org/officeDocument/2006/relationships" name="14_格局候选判断" sheetId="15" r:id="Re5353527d8404852"/>
    <x:sheet xmlns:r="http://schemas.openxmlformats.org/officeDocument/2006/relationships" name="15_格局成败救应" sheetId="16" r:id="R433b867209dc42bb"/>
    <x:sheet xmlns:r="http://schemas.openxmlformats.org/officeDocument/2006/relationships" name="16_病药模型" sheetId="17" r:id="R90d4a7c2e6f5471d"/>
    <x:sheet xmlns:r="http://schemas.openxmlformats.org/officeDocument/2006/relationships" name="17_喜忌用神矩阵" sheetId="18" r:id="R162b213754aa48a4"/>
    <x:sheet xmlns:r="http://schemas.openxmlformats.org/officeDocument/2006/relationships" name="18_冲突裁决规则" sheetId="19" r:id="R9ac1a9f00d3f40ef"/>
    <x:sheet xmlns:r="http://schemas.openxmlformats.org/officeDocument/2006/relationships" name="19_综合输出模板" sheetId="20" r:id="Rbe661033db254575"/>
    <x:sheet xmlns:r="http://schemas.openxmlformats.org/officeDocument/2006/relationships" name="20_案例测试" sheetId="21" r:id="Ra1189df634344b5c"/>
    <x:sheet xmlns:r="http://schemas.openxmlformats.org/officeDocument/2006/relationships" name="21_版本与争议规则" sheetId="22" r:id="R51789507da5a4b48"/>
    <x:sheet xmlns:r="http://schemas.openxmlformats.org/officeDocument/2006/relationships" name="99_下拉选项" sheetId="23" r:id="Rbec704cf4bbc45d6"/>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0"/>
    <x:numFmt numFmtId="201" formatCode="yyyy-mm-dd"/>
    <x:numFmt numFmtId="202" formatCode="0"/>
    <x:numFmt numFmtId="203" formatCode="0%"/>
    <x:numFmt numFmtId="204" formatCode="@"/>
    <x:numFmt numFmtId="205" formatCode="0.0%"/>
  </x:numFmts>
  <x:fonts count="19">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
      <x:b/>
      <x:sz val="14"/>
      <x:color rgb="FFFFFFFF"/>
      <x:name val="Carlito"/>
    </x:font>
    <x:font>
      <x:b/>
      <x:sz val="11"/>
      <x:color rgb="FF1F2937"/>
      <x:name val="Carlito"/>
    </x:font>
    <x:font>
      <x:b/>
      <x:sz val="11"/>
      <x:color rgb="FF0F172A"/>
      <x:name val="Carlito"/>
    </x:font>
  </x:fonts>
  <x:fills count="26">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
      <x:patternFill patternType="solid">
        <x:fgColor rgb="FF1F4E78"/>
      </x:patternFill>
    </x:fill>
    <x:fill>
      <x:patternFill patternType="solid">
        <x:fgColor rgb="FFD9EAF7"/>
      </x:patternFill>
    </x:fill>
    <x:fill>
      <x:patternFill patternType="solid">
        <x:fgColor rgb="FFF8FAFC"/>
      </x:patternFill>
    </x:fill>
    <x:fill>
      <x:patternFill patternType="solid">
        <x:fgColor rgb="FF4472C4"/>
      </x:patternFill>
    </x:fill>
    <x:fill>
      <x:patternFill patternType="solid">
        <x:fgColor rgb="FF5B9BD5"/>
      </x:patternFill>
    </x:fill>
    <x:fill>
      <x:patternFill patternType="solid">
        <x:fgColor rgb="FF1F4E78"/>
      </x:patternFill>
    </x:fill>
    <x:fill>
      <x:patternFill patternType="solid">
        <x:fgColor rgb="FFD9EAF7"/>
      </x:patternFill>
    </x:fill>
    <x:fill>
      <x:patternFill patternType="solid">
        <x:fgColor rgb="FFF8FAFC"/>
      </x:patternFill>
    </x:fill>
    <x:fill>
      <x:patternFill patternType="solid">
        <x:fgColor rgb="FF4472C4"/>
      </x:patternFill>
    </x:fill>
    <x:fill>
      <x:patternFill patternType="solid">
        <x:fgColor rgb="FF5B9BD5"/>
      </x:patternFill>
    </x:fill>
    <x:fill>
      <x:patternFill patternType="solid">
        <x:fgColor rgb="FF70AD47"/>
      </x:patternFill>
    </x:fill>
    <x:fill>
      <x:patternFill patternType="solid">
        <x:fgColor rgb="FFC55A11"/>
      </x:patternFill>
    </x:fill>
  </x:fills>
  <x:borders count="10">
    <x:border/>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28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wrapText="1"/>
    </x:xf>
    <x:xf numFmtId="202" fontId="9" fillId="8"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14" borderId="0" xfId="0" applyNumberFormat="1" applyFont="1" applyFill="1" applyBorder="1"/>
    <x:xf numFmtId="0" fontId="16" fillId="14" borderId="0" xfId="0" applyNumberFormat="1" applyFont="1" applyFill="1" applyBorder="1"/>
    <x:xf numFmtId="0" fontId="16" fillId="14" borderId="0" xfId="0" applyNumberFormat="1" applyFont="1" applyFill="1" applyBorder="1" applyAlignment="1">
      <x:alignment horizontal="center"/>
    </x:xf>
    <x:xf numFmtId="0" fontId="16" fillId="14" borderId="0" xfId="0" applyNumberFormat="1" applyFont="1" applyFill="1" applyBorder="1" applyAlignment="1">
      <x:alignment horizontal="center" vertical="center"/>
    </x:xf>
    <x:xf numFmtId="0" fontId="0" fillId="15" borderId="0" xfId="0" applyNumberFormat="1" applyFont="1" applyFill="1" applyBorder="1"/>
    <x:xf numFmtId="0" fontId="17" fillId="15" borderId="0" xfId="0" applyNumberFormat="1" applyFont="1" applyFill="1" applyBorder="1"/>
    <x:xf numFmtId="0" fontId="17" fillId="15" borderId="0" xfId="0" applyNumberFormat="1" applyFont="1" applyFill="1" applyBorder="1" applyAlignment="1">
      <x:alignment horizontal="left"/>
    </x:xf>
    <x:xf numFmtId="0" fontId="17" fillId="15" borderId="0" xfId="0" applyNumberFormat="1" applyFont="1" applyFill="1" applyBorder="1" applyAlignment="1">
      <x:alignment horizontal="left" vertical="center"/>
    </x:xf>
    <x:xf numFmtId="0" fontId="0" fillId="16" borderId="0" xfId="0" applyNumberFormat="1" applyFont="1" applyFill="1" applyBorder="1"/>
    <x:xf numFmtId="0" fontId="18" fillId="16" borderId="0" xfId="0" applyNumberFormat="1" applyFont="1" applyFill="1" applyBorder="1"/>
    <x:xf numFmtId="0" fontId="18" fillId="16" borderId="0" xfId="0" applyNumberFormat="1" applyFont="1" applyFill="1" applyBorder="1" applyAlignment="1">
      <x:alignment horizontal="center"/>
    </x:xf>
    <x:xf numFmtId="0" fontId="18" fillId="16" borderId="0" xfId="0" applyNumberFormat="1" applyFont="1" applyFill="1" applyBorder="1" applyAlignment="1">
      <x:alignment horizontal="center" vertical="center"/>
    </x:xf>
    <x:xf numFmtId="202" fontId="18" fillId="16" borderId="0" xfId="0" applyNumberFormat="1" applyFont="1" applyFill="1" applyBorder="1" applyAlignment="1">
      <x:alignment horizontal="center" vertical="center"/>
    </x:xf>
    <x:xf numFmtId="205" fontId="18" fillId="16" borderId="0" xfId="0" applyNumberFormat="1" applyFont="1" applyFill="1" applyBorder="1" applyAlignment="1">
      <x:alignment horizontal="center" vertical="center"/>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horizontal="center"/>
    </x:xf>
    <x:xf numFmtId="0" fontId="3" fillId="17" borderId="0" xfId="0" applyNumberFormat="1" applyFont="1" applyFill="1" applyBorder="1" applyAlignment="1">
      <x:alignment horizontal="center" vertical="center"/>
    </x:xf>
    <x:xf numFmtId="205" fontId="0" fillId="0" borderId="0" xfId="0" applyNumberFormat="1" applyFont="1" applyFill="1" applyBorder="1"/>
    <x:xf numFmtId="0" fontId="0" fillId="0" borderId="2" xfId="0" applyNumberFormat="1" applyFont="1" applyFill="1" applyBorder="1"/>
    <x:xf numFmtId="0" fontId="0" fillId="0" borderId="3" xfId="0" applyNumberFormat="1" applyFont="1" applyFill="1" applyBorder="1"/>
    <x:xf numFmtId="205" fontId="0" fillId="0" borderId="4" xfId="0" applyNumberFormat="1" applyFont="1" applyFill="1" applyBorder="1"/>
    <x:xf numFmtId="0" fontId="0" fillId="0" borderId="5" xfId="0" applyNumberFormat="1" applyFont="1" applyFill="1" applyBorder="1"/>
    <x:xf numFmtId="0" fontId="0" fillId="0" xfId="0" applyNumberFormat="1" applyFont="1" applyFill="1" applyBorder="0"/>
    <x:xf numFmtId="205"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205" fontId="0" fillId="0" borderId="9" xfId="0" applyNumberFormat="1" applyFont="1" applyFill="1" applyBorder="1"/>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horizontal="center"/>
    </x:xf>
    <x:xf numFmtId="0" fontId="18" fillId="8" borderId="0" xfId="0" applyNumberFormat="1" applyFont="1" applyFill="1" applyBorder="1"/>
    <x:xf numFmtId="0" fontId="18" fillId="8" borderId="0" xfId="0" applyNumberFormat="1" applyFont="1" applyFill="1" applyBorder="1" applyAlignment="1">
      <x:alignment horizontal="center"/>
    </x:xf>
    <x:xf numFmtId="0" fontId="18" fillId="8" borderId="0" xfId="0" applyNumberFormat="1" applyFont="1" applyFill="1" applyBorder="1" applyAlignment="1">
      <x:alignment horizontal="center" vertical="center"/>
    </x:xf>
    <x:xf numFmtId="202" fontId="18" fillId="8" borderId="0" xfId="0" applyNumberFormat="1" applyFont="1" applyFill="1" applyBorder="1" applyAlignment="1">
      <x:alignment horizontal="center" vertical="center"/>
    </x:xf>
    <x:xf numFmtId="205" fontId="18" fillId="8" borderId="0" xfId="0" applyNumberFormat="1" applyFont="1" applyFill="1" applyBorder="1" applyAlignment="1">
      <x:alignment horizontal="center" vertical="center"/>
    </x:xf>
    <x:xf numFmtId="0" fontId="0" fillId="19" borderId="0" xfId="0" applyNumberFormat="1" applyFont="1" applyFill="1" applyBorder="1"/>
    <x:xf numFmtId="0" fontId="16" fillId="19" borderId="0" xfId="0" applyNumberFormat="1" applyFont="1" applyFill="1" applyBorder="1"/>
    <x:xf numFmtId="0" fontId="16" fillId="19" borderId="0" xfId="0" applyNumberFormat="1" applyFont="1" applyFill="1" applyBorder="1" applyAlignment="1">
      <x:alignment horizontal="center"/>
    </x:xf>
    <x:xf numFmtId="0" fontId="16" fillId="19" borderId="0" xfId="0" applyNumberFormat="1" applyFont="1" applyFill="1" applyBorder="1" applyAlignment="1">
      <x:alignment horizontal="center" vertical="center"/>
    </x:xf>
    <x:xf numFmtId="0" fontId="0" fillId="20" borderId="0" xfId="0" applyNumberFormat="1" applyFont="1" applyFill="1" applyBorder="1"/>
    <x:xf numFmtId="0" fontId="17" fillId="20" borderId="0" xfId="0" applyNumberFormat="1" applyFont="1" applyFill="1" applyBorder="1"/>
    <x:xf numFmtId="0" fontId="17" fillId="20" borderId="0" xfId="0" applyNumberFormat="1" applyFont="1" applyFill="1" applyBorder="1" applyAlignment="1">
      <x:alignment horizontal="left"/>
    </x:xf>
    <x:xf numFmtId="0" fontId="17" fillId="20" borderId="0" xfId="0" applyNumberFormat="1" applyFont="1" applyFill="1" applyBorder="1" applyAlignment="1">
      <x:alignment horizontal="left" vertical="center"/>
    </x:xf>
    <x:xf numFmtId="0" fontId="0" fillId="21" borderId="0" xfId="0" applyNumberFormat="1" applyFont="1" applyFill="1" applyBorder="1"/>
    <x:xf numFmtId="0" fontId="18" fillId="21" borderId="0" xfId="0" applyNumberFormat="1" applyFont="1" applyFill="1" applyBorder="1"/>
    <x:xf numFmtId="0" fontId="18" fillId="21" borderId="0" xfId="0" applyNumberFormat="1" applyFont="1" applyFill="1" applyBorder="1" applyAlignment="1">
      <x:alignment horizontal="center"/>
    </x:xf>
    <x:xf numFmtId="0" fontId="18" fillId="21" borderId="0" xfId="0" applyNumberFormat="1" applyFont="1" applyFill="1" applyBorder="1" applyAlignment="1">
      <x:alignment horizontal="center" vertical="center"/>
    </x:xf>
    <x:xf numFmtId="205" fontId="18" fillId="21" borderId="0" xfId="0" applyNumberFormat="1" applyFont="1" applyFill="1" applyBorder="1" applyAlignment="1">
      <x:alignment horizontal="center" vertical="center"/>
    </x:xf>
    <x:xf numFmtId="205" fontId="17" fillId="20" borderId="0" xfId="0" applyNumberFormat="1" applyFont="1" applyFill="1" applyBorder="1" applyAlignment="1">
      <x:alignment horizontal="left" vertical="center"/>
    </x:xf>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horizontal="center"/>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horizontal="center"/>
    </x:xf>
    <x:xf numFmtId="0" fontId="0" fillId="24" borderId="0" xfId="0" applyNumberFormat="1" applyFont="1" applyFill="1" applyBorder="1"/>
    <x:xf numFmtId="0" fontId="3" fillId="24" borderId="0" xfId="0" applyNumberFormat="1" applyFont="1" applyFill="1" applyBorder="1"/>
    <x:xf numFmtId="0" fontId="3" fillId="24" borderId="0" xfId="0" applyNumberFormat="1" applyFont="1" applyFill="1" applyBorder="1" applyAlignment="1">
      <x:alignment horizontal="center"/>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horizontal="center"/>
    </x:xf>
  </x:cellXfs>
  <x:cellStyles count="1">
    <x:cellStyle name="Normal" xfId="0"/>
  </x:cellStyles>
  <x:dxfs count="35">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A3412"/>
      </x:font>
      <x:fill>
        <x:patternFill>
          <x:bgColor rgb="FFFFEDD5"/>
        </x:patternFill>
      </x:fill>
    </x:dxf>
    <x:dxf>
      <x:font>
        <x:color rgb="FF4B5563"/>
      </x:font>
      <x:fill>
        <x:patternFill>
          <x:bgColor rgb="FFE5E7EB"/>
        </x:patternFill>
      </x:fill>
    </x:dxf>
    <x:dxf>
      <x:font>
        <x:b/>
        <x:color rgb="FF166534"/>
      </x:font>
      <x:fill>
        <x:patternFill>
          <x:bgColor rgb="FFDCFCE7"/>
        </x:patternFill>
      </x:fill>
    </x:dxf>
    <x:dxf>
      <x:font>
        <x:color rgb="FF92400E"/>
      </x:font>
      <x:fill>
        <x:patternFill>
          <x:bgColor rgb="FFFEF3C7"/>
        </x:patternFill>
      </x:fill>
    </x:dxf>
    <x:dxf>
      <x:font>
        <x:b/>
        <x:color rgb="FF991B1B"/>
      </x:font>
      <x:fill>
        <x:patternFill patternType="solid">
          <x:bgColor rgb="FFFEE2E2"/>
        </x:patternFill>
      </x:fill>
    </x:dxf>
    <x:dxf>
      <x:font>
        <x:b/>
        <x:color rgb="FF92400E"/>
      </x:font>
      <x:fill>
        <x:patternFill patternType="solid">
          <x:bgColor rgb="FFFEF3C7"/>
        </x:patternFill>
      </x:fill>
    </x:dxf>
    <x:dxf>
      <x:font>
        <x:color rgb="FF1E40AF"/>
      </x:font>
      <x:fill>
        <x:patternFill patternType="solid">
          <x:bgColor rgb="FFDBEAFE"/>
        </x:patternFill>
      </x:fill>
    </x:dxf>
    <x:dxf>
      <x:font>
        <x:color rgb="FF4B5563"/>
      </x:font>
      <x:fill>
        <x:patternFill patternType="solid">
          <x:bgColor rgb="FFE5E7EB"/>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4B5563"/>
      </x:font>
      <x:fill>
        <x:patternFill patternType="solid">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9863febb38419f" /><Relationship Type="http://schemas.openxmlformats.org/officeDocument/2006/relationships/theme" Target="/xl/theme/theme1.xml" Id="R2aa00820d6b64da5" /><Relationship Type="http://schemas.openxmlformats.org/officeDocument/2006/relationships/sharedStrings" Target="/xl/sharedStrings.xml" Id="Rd33196bb9c2d416a" /><Relationship Type="http://schemas.openxmlformats.org/officeDocument/2006/relationships/worksheet" Target="/xl/worksheets/sheet1.xml" Id="R4a17785bdab4403d" /><Relationship Type="http://schemas.openxmlformats.org/officeDocument/2006/relationships/worksheet" Target="/xl/worksheets/sheet2.xml" Id="Radcf2ad16133499b" /><Relationship Type="http://schemas.openxmlformats.org/officeDocument/2006/relationships/worksheet" Target="/xl/worksheets/sheet3.xml" Id="Rba2c4e4436534338" /><Relationship Type="http://schemas.openxmlformats.org/officeDocument/2006/relationships/worksheet" Target="/xl/worksheets/sheet4.xml" Id="Rca5baffe2fdb4e2c" /><Relationship Type="http://schemas.openxmlformats.org/officeDocument/2006/relationships/worksheet" Target="/xl/worksheets/sheet5.xml" Id="Rf2e23b7ec05a42c8" /><Relationship Type="http://schemas.openxmlformats.org/officeDocument/2006/relationships/worksheet" Target="/xl/worksheets/sheet6.xml" Id="Rb4870304ef574f9e" /><Relationship Type="http://schemas.openxmlformats.org/officeDocument/2006/relationships/worksheet" Target="/xl/worksheets/sheet7.xml" Id="R88936a0083ef4f6b" /><Relationship Type="http://schemas.openxmlformats.org/officeDocument/2006/relationships/worksheet" Target="/xl/worksheets/sheet8.xml" Id="R5ea3666577ce47dd" /><Relationship Type="http://schemas.openxmlformats.org/officeDocument/2006/relationships/worksheet" Target="/xl/worksheets/sheet9.xml" Id="R9329e5cafe6f40eb" /><Relationship Type="http://schemas.openxmlformats.org/officeDocument/2006/relationships/worksheet" Target="/xl/worksheets/sheet10.xml" Id="R5f58c30741ec4e6b" /><Relationship Type="http://schemas.openxmlformats.org/officeDocument/2006/relationships/worksheet" Target="/xl/worksheets/sheet11.xml" Id="R158523a4c7694f94" /><Relationship Type="http://schemas.openxmlformats.org/officeDocument/2006/relationships/worksheet" Target="/xl/worksheets/sheet12.xml" Id="R6c679e95b56443cc" /><Relationship Type="http://schemas.openxmlformats.org/officeDocument/2006/relationships/worksheet" Target="/xl/worksheets/sheet13.xml" Id="Reaae3f09d7d1439e" /><Relationship Type="http://schemas.openxmlformats.org/officeDocument/2006/relationships/worksheet" Target="/xl/worksheets/sheet14.xml" Id="R89f760d66fe14e53" /><Relationship Type="http://schemas.openxmlformats.org/officeDocument/2006/relationships/worksheet" Target="/xl/worksheets/sheet15.xml" Id="Re5353527d8404852" /><Relationship Type="http://schemas.openxmlformats.org/officeDocument/2006/relationships/worksheet" Target="/xl/worksheets/sheet16.xml" Id="R433b867209dc42bb" /><Relationship Type="http://schemas.openxmlformats.org/officeDocument/2006/relationships/worksheet" Target="/xl/worksheets/sheet17.xml" Id="R90d4a7c2e6f5471d" /><Relationship Type="http://schemas.openxmlformats.org/officeDocument/2006/relationships/worksheet" Target="/xl/worksheets/sheet18.xml" Id="R162b213754aa48a4" /><Relationship Type="http://schemas.openxmlformats.org/officeDocument/2006/relationships/worksheet" Target="/xl/worksheets/sheet19.xml" Id="R9ac1a9f00d3f40ef" /><Relationship Type="http://schemas.openxmlformats.org/officeDocument/2006/relationships/worksheet" Target="/xl/worksheets/sheet20.xml" Id="Rbe661033db254575" /><Relationship Type="http://schemas.openxmlformats.org/officeDocument/2006/relationships/worksheet" Target="/xl/worksheets/sheet21.xml" Id="Ra1189df634344b5c" /><Relationship Type="http://schemas.openxmlformats.org/officeDocument/2006/relationships/worksheet" Target="/xl/worksheets/sheet22.xml" Id="R51789507da5a4b48" /><Relationship Type="http://schemas.openxmlformats.org/officeDocument/2006/relationships/worksheet" Target="/xl/worksheets/sheet23.xml" Id="Rbec704cf4bbc45d6" /></Relationships>
</file>

<file path=xl/drawings/_rels/drawing1.xml.rels>&#65279;<?xml version="1.0" encoding="utf-8"?><Relationships xmlns="http://schemas.openxmlformats.org/package/2006/relationships"><Relationship Type="http://schemas.openxmlformats.org/officeDocument/2006/relationships/chart" Target="/xl/drawings/charts/chart1.xml" Id="Ra310ac4ae3264966" /></Relationships>
</file>

<file path=xl/drawings/_rels/drawing2.xml.rels>&#65279;<?xml version="1.0" encoding="utf-8"?><Relationships xmlns="http://schemas.openxmlformats.org/package/2006/relationships"><Relationship Type="http://schemas.openxmlformats.org/officeDocument/2006/relationships/chart" Target="/xl/drawings/charts/chart2.xml" Id="Rd425f5f0bcbc4f0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各目标模块案例覆盖数</a:t>
            </a:r>
          </a:p>
        </c:rich>
      </c:tx>
    </c:title>
    <c:plotArea>
      <c:barChart>
        <c:barDir val="col"/>
        <c:varyColors val="0"/>
        <c:ser>
          <c:idx val="0"/>
          <c:order val="0"/>
          <c:tx>
            <c:v>案例数</c:v>
          </c:tx>
          <c:cat>
            <c:strRef>
              <c:f>'20_案例测试'!$AE$15:$AE$32</c:f>
              <c:strCache>
                <c:ptCount val="0"/>
              </c:strCache>
            </c:strRef>
          </c:cat>
          <c:val>
            <c:numRef>
              <c:f>'20_案例测试'!$AF$15:$AF$32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M21议题类型分布</a:t>
            </a:r>
          </a:p>
        </c:rich>
      </c:tx>
    </c:title>
    <c:plotArea>
      <c:barChart>
        <c:barDir val="col"/>
        <c:varyColors val="0"/>
        <c:ser>
          <c:idx val="0"/>
          <c:order val="0"/>
          <c:tx>
            <c:v>数量</c:v>
          </c:tx>
          <c:cat>
            <c:strRef>
              <c:f>'21_版本与争议规则'!$AD$10:$AD$16</c:f>
              <c:strCache>
                <c:ptCount val="0"/>
              </c:strCache>
            </c:strRef>
          </c:cat>
          <c:val>
            <c:numRef>
              <c:f>'21_版本与争议规则'!$AE$10:$AE$16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34</xdr:col>
      <xdr:colOff>0</xdr:colOff>
      <xdr:row>13</xdr:row>
      <xdr:rowOff>0</xdr:rowOff>
    </xdr:from>
    <xdr:to>
      <xdr:col>43</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310ac4ae3264966"/>
        </a:graphicData>
      </a:graphic>
    </xdr:graphicFrame>
    <xdr:clientData/>
  </xdr:twoCellAnchor>
</xdr:wsDr>
</file>

<file path=xl/drawings/drawing2.xml><?xml version="1.0" encoding="utf-8"?>
<xdr:wsDr xmlns:xdr="http://schemas.openxmlformats.org/drawingml/2006/spreadsheetDrawing">
  <xdr:twoCellAnchor>
    <xdr:from>
      <xdr:col>29</xdr:col>
      <xdr:colOff>0</xdr:colOff>
      <xdr:row>27</xdr:row>
      <xdr:rowOff>0</xdr:rowOff>
    </xdr:from>
    <xdr:to>
      <xdr:col>33</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25f5f0bcbc4f0b"/>
        </a:graphicData>
      </a:graphic>
    </xdr:graphicFrame>
    <xdr:clientData/>
  </xdr:twoCellAnchor>
</xdr:wsDr>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5.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6.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7.xml><?xml version="1.0" encoding="utf-8"?>
<x:table xmlns:x="http://schemas.openxmlformats.org/spreadsheetml/2006/main" id="28" name="T_CodeDictionary" displayName="T_CodeDictionary" ref="A5:H626"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26"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16"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6"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16"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6"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56"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e470348aaab433e" /><Relationship Type="http://schemas.openxmlformats.org/officeDocument/2006/relationships/table" Target="/xl/tables/table2.xml" Id="R1cef54ec35b84e2d" /><Relationship Type="http://schemas.openxmlformats.org/officeDocument/2006/relationships/table" Target="/xl/tables/table3.xml" Id="Rd8d2fd41cc3e46ae" /></Relationships>
</file>

<file path=xl/worksheets/_rels/sheet2.xml.rels>&#65279;<?xml version="1.0" encoding="utf-8"?><Relationships xmlns="http://schemas.openxmlformats.org/package/2006/relationships"><Relationship Type="http://schemas.openxmlformats.org/officeDocument/2006/relationships/table" Target="/xl/tables/table4.xml" Id="R2dbae057a2754837" /><Relationship Type="http://schemas.openxmlformats.org/officeDocument/2006/relationships/table" Target="/xl/tables/table5.xml" Id="Rd35806f02e2e400a" /><Relationship Type="http://schemas.openxmlformats.org/officeDocument/2006/relationships/table" Target="/xl/tables/table6.xml" Id="Rf155a7a253d2463e" /><Relationship Type="http://schemas.openxmlformats.org/officeDocument/2006/relationships/table" Target="/xl/tables/table7.xml" Id="Rbce78d25949f47c0" /></Relationships>
</file>

<file path=xl/worksheets/_rels/sheet3.xml.rels>&#65279;<?xml version="1.0" encoding="utf-8"?><Relationships xmlns="http://schemas.openxmlformats.org/package/2006/relationships"><Relationship Type="http://schemas.openxmlformats.org/officeDocument/2006/relationships/table" Target="/xl/tables/table8.xml" Id="R12fa800a05864ac3" /></Relationships>
</file>

<file path=xl/worksheets/_rels/sheet4.xml.rels>&#65279;<?xml version="1.0" encoding="utf-8"?><Relationships xmlns="http://schemas.openxmlformats.org/package/2006/relationships"><Relationship Type="http://schemas.openxmlformats.org/officeDocument/2006/relationships/table" Target="/xl/tables/table9.xml" Id="R2c193e65f8b74097" /></Relationships>
</file>

<file path=xl/worksheets/_rels/sheet5.xml.rels>&#65279;<?xml version="1.0" encoding="utf-8"?><Relationships xmlns="http://schemas.openxmlformats.org/package/2006/relationships"><Relationship Type="http://schemas.openxmlformats.org/officeDocument/2006/relationships/table" Target="/xl/tables/table10.xml" Id="Rbd6a6dc483d247f6" /></Relationships>
</file>

<file path=xl/worksheets/_rels/sheet6.xml.rels>&#65279;<?xml version="1.0" encoding="utf-8"?><Relationships xmlns="http://schemas.openxmlformats.org/package/2006/relationships"><Relationship Type="http://schemas.openxmlformats.org/officeDocument/2006/relationships/table" Target="/xl/tables/table11.xml" Id="R4c3efd1d71ab47c1" /></Relationships>
</file>

<file path=xl/worksheets/_rels/sheet7.xml.rels>&#65279;<?xml version="1.0" encoding="utf-8"?><Relationships xmlns="http://schemas.openxmlformats.org/package/2006/relationships"><Relationship Type="http://schemas.openxmlformats.org/officeDocument/2006/relationships/table" Target="/xl/tables/table12.xml" Id="Rec50b9a4c5b04e2f" /></Relationships>
</file>

<file path=xl/worksheets/_rels/sheet8.xml.rels>&#65279;<?xml version="1.0" encoding="utf-8"?><Relationships xmlns="http://schemas.openxmlformats.org/package/2006/relationships"><Relationship Type="http://schemas.openxmlformats.org/officeDocument/2006/relationships/table" Target="/xl/tables/table13.xml" Id="R6a6e0226b85c49db" /></Relationships>
</file>

<file path=xl/worksheets/_rels/sheet9.xml.rels>&#65279;<?xml version="1.0" encoding="utf-8"?><Relationships xmlns="http://schemas.openxmlformats.org/package/2006/relationships"><Relationship Type="http://schemas.openxmlformats.org/officeDocument/2006/relationships/table" Target="/xl/tables/table14.xml" Id="Rcad9c08bef1042d3" /></Relationships>
</file>

<file path=xl/worksheets/_rels/sheet10.xml.rels>&#65279;<?xml version="1.0" encoding="utf-8"?><Relationships xmlns="http://schemas.openxmlformats.org/package/2006/relationships"><Relationship Type="http://schemas.openxmlformats.org/officeDocument/2006/relationships/table" Target="/xl/tables/table15.xml" Id="Rfb838bca12a5499c" /></Relationships>
</file>

<file path=xl/worksheets/_rels/sheet11.xml.rels>&#65279;<?xml version="1.0" encoding="utf-8"?><Relationships xmlns="http://schemas.openxmlformats.org/package/2006/relationships"><Relationship Type="http://schemas.openxmlformats.org/officeDocument/2006/relationships/table" Target="/xl/tables/table16.xml" Id="R519431285f734d4c" /></Relationships>
</file>

<file path=xl/worksheets/_rels/sheet12.xml.rels>&#65279;<?xml version="1.0" encoding="utf-8"?><Relationships xmlns="http://schemas.openxmlformats.org/package/2006/relationships"><Relationship Type="http://schemas.openxmlformats.org/officeDocument/2006/relationships/table" Target="/xl/tables/table17.xml" Id="Rd11737ac8020418c" /></Relationships>
</file>

<file path=xl/worksheets/_rels/sheet13.xml.rels>&#65279;<?xml version="1.0" encoding="utf-8"?><Relationships xmlns="http://schemas.openxmlformats.org/package/2006/relationships"><Relationship Type="http://schemas.openxmlformats.org/officeDocument/2006/relationships/table" Target="/xl/tables/table18.xml" Id="R76f136cede35489b" /></Relationships>
</file>

<file path=xl/worksheets/_rels/sheet14.xml.rels>&#65279;<?xml version="1.0" encoding="utf-8"?><Relationships xmlns="http://schemas.openxmlformats.org/package/2006/relationships"><Relationship Type="http://schemas.openxmlformats.org/officeDocument/2006/relationships/table" Target="/xl/tables/table19.xml" Id="R50c04bb114984707" /></Relationships>
</file>

<file path=xl/worksheets/_rels/sheet15.xml.rels>&#65279;<?xml version="1.0" encoding="utf-8"?><Relationships xmlns="http://schemas.openxmlformats.org/package/2006/relationships"><Relationship Type="http://schemas.openxmlformats.org/officeDocument/2006/relationships/table" Target="/xl/tables/table20.xml" Id="R425714c5f89f4ffe" /></Relationships>
</file>

<file path=xl/worksheets/_rels/sheet16.xml.rels>&#65279;<?xml version="1.0" encoding="utf-8"?><Relationships xmlns="http://schemas.openxmlformats.org/package/2006/relationships"><Relationship Type="http://schemas.openxmlformats.org/officeDocument/2006/relationships/table" Target="/xl/tables/table21.xml" Id="R14b67fb77b11402c" /></Relationships>
</file>

<file path=xl/worksheets/_rels/sheet17.xml.rels>&#65279;<?xml version="1.0" encoding="utf-8"?><Relationships xmlns="http://schemas.openxmlformats.org/package/2006/relationships"><Relationship Type="http://schemas.openxmlformats.org/officeDocument/2006/relationships/table" Target="/xl/tables/table22.xml" Id="R73c1bc8618614e90" /></Relationships>
</file>

<file path=xl/worksheets/_rels/sheet18.xml.rels>&#65279;<?xml version="1.0" encoding="utf-8"?><Relationships xmlns="http://schemas.openxmlformats.org/package/2006/relationships"><Relationship Type="http://schemas.openxmlformats.org/officeDocument/2006/relationships/table" Target="/xl/tables/table23.xml" Id="R77e991d9275543bf" /></Relationships>
</file>

<file path=xl/worksheets/_rels/sheet19.xml.rels>&#65279;<?xml version="1.0" encoding="utf-8"?><Relationships xmlns="http://schemas.openxmlformats.org/package/2006/relationships"><Relationship Type="http://schemas.openxmlformats.org/officeDocument/2006/relationships/table" Target="/xl/tables/table24.xml" Id="R27692e6dda7f4c32" /></Relationships>
</file>

<file path=xl/worksheets/_rels/sheet20.xml.rels>&#65279;<?xml version="1.0" encoding="utf-8"?><Relationships xmlns="http://schemas.openxmlformats.org/package/2006/relationships"><Relationship Type="http://schemas.openxmlformats.org/officeDocument/2006/relationships/table" Target="/xl/tables/table25.xml" Id="R4688479ef3274d32" /></Relationships>
</file>

<file path=xl/worksheets/_rels/sheet21.xml.rels>&#65279;<?xml version="1.0" encoding="utf-8"?><Relationships xmlns="http://schemas.openxmlformats.org/package/2006/relationships"><Relationship Type="http://schemas.openxmlformats.org/officeDocument/2006/relationships/drawing" Target="/xl/drawings/drawing1.xml" Id="R34793b93f7fa4138" /><Relationship Type="http://schemas.openxmlformats.org/officeDocument/2006/relationships/table" Target="/xl/tables/table26.xml" Id="Rdebba6e54c1d4769" /></Relationships>
</file>

<file path=xl/worksheets/_rels/sheet22.xml.rels>&#65279;<?xml version="1.0" encoding="utf-8"?><Relationships xmlns="http://schemas.openxmlformats.org/package/2006/relationships"><Relationship Type="http://schemas.openxmlformats.org/officeDocument/2006/relationships/drawing" Target="/xl/drawings/drawing2.xml" Id="Rf9f448c69ddd4100" /><Relationship Type="http://schemas.openxmlformats.org/officeDocument/2006/relationships/table" Target="/xl/tables/table27.xml" Id="Rf24fc9a75c7d4583"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1.9版本与争议治理闭环版，已完成M02—M21首轮建设；M21新增50条采用口径、版本历史、反证与待验证回归要求。全库达到1745条目标记录，后续进入真实案例持续回归与迭代。</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v>1745</x:v>
      </x:c>
      <x:c r="F6" s="130"/>
      <x:c r="G6" s="130" t="n">
        <x:f>SUM($J$18:$J$37)</x:f>
        <x:v>1745</x:v>
      </x:c>
      <x:c r="H6" s="130"/>
      <x:c r="I6" s="138" t="n">
        <x:f>E6/G6</x:f>
        <x:v>1</x:v>
      </x:c>
      <x:c r="J6" s="138"/>
      <x:c r="K6" s="130" t="n">
        <x:v>621</x:v>
      </x:c>
      <x:c r="L6" s="130"/>
      <x:c r="M6" s="144" t="str">
        <x:v>V1.9</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80</x:v>
      </x:c>
      <x:c r="L23" s="160" t="n">
        <x:f>IF(J23=0,"",K23/J23)</x:f>
        <x:v>1</x:v>
      </x:c>
      <x:c r="M23" s="112" t="str">
        <x:v>核心规则填充</x:v>
      </x:c>
      <x:c r="N23" s="112" t="str">
        <x:v>已录入80条：季令10、根气16、透干10、生源10、同党10、成势8、连续生扶6、综合分级6、边界4。</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MAX(0,COUNT('08_五行有效旺衰'!$D$6:$D$116)-1)</x:f>
        <x:v>110</x:v>
      </x:c>
      <x:c r="L24" s="160" t="n">
        <x:f>IF(J24=0,"",K24/J24)</x:f>
        <x:v>1</x:v>
      </x:c>
      <x:c r="M24" s="112" t="str">
        <x:v>核心规则填充</x:v>
      </x:c>
      <x:c r="N24" s="112" t="str">
        <x:v>已录入110条：根气16、生源12、透达8、克制10、泄气8、耗气8、合化会局12、冲刑害破12、寒燥8、流通6、综合分级6、边界4。</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90</x:v>
      </x:c>
      <x:c r="L25" s="160" t="n">
        <x:f>IF(J25=0,"",K25/J25)</x:f>
        <x:v>1</x:v>
      </x:c>
      <x:c r="M25" s="112" t="str">
        <x:v>核心规则填充</x:v>
      </x:c>
      <x:c r="N25" s="112" t="str">
        <x:v>已录入90条：得令10、得地12、得势10、得生8、受制8、受泄8、受耗6、综合比较10、七级分级8、边界10。</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v>120</x:v>
      </x:c>
      <x:c r="L26" s="160" t="n">
        <x:v>1</x:v>
      </x:c>
      <x:c r="M26" s="112" t="str">
        <x:v>核心规则填充</x:v>
      </x:c>
      <x:c r="N26" s="112" t="str">
        <x:v>已录入120条：存在12、力量12、清纯8、比劫10、印星10、食伤12、财星12、官杀14、制化10、组合格局接口8、喜忌候选6、边界6。</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v>110</x:v>
      </x:c>
      <x:c r="L27" s="160" t="n">
        <x:v>1</x:v>
      </x:c>
      <x:c r="M27" s="112" t="str">
        <x:v>核心规则填充</x:v>
      </x:c>
      <x:c r="N27" s="112" t="str">
        <x:v>已录入110条：通用10、食神制杀10、杀印相生8、官印相生8、伤官配印10、食伤生财10、财官生化链8、平衡承载10、其他制化8、冲突病态18、边界10。</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v>90</x:v>
      </x:c>
      <x:c r="L28" s="160" t="n">
        <x:v>1</x:v>
      </x:c>
      <x:c r="M28" s="112" t="str">
        <x:v>核心规则填充</x:v>
      </x:c>
      <x:c r="N28" s="112" t="str">
        <x:v>已录入90条：通用10、源头8、桥梁12、终点8、典型卡点16、五行生化与通关10、十神路径10、通关副作用8、综合输出4、边界4。</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v>70</x:v>
      </x:c>
      <x:c r="L29" s="160" t="n">
        <x:v>1</x:v>
      </x:c>
      <x:c r="M29" s="112" t="str">
        <x:v>核心规则填充</x:v>
      </x:c>
      <x:c r="N29" s="112" t="str">
        <x:v>已录入70条：通用8、十二月令基准12、寒暖修正10、燥湿修正10、双轴组合8、调候元素有效性8、调候冲突8、边界6。</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v>80</x:v>
      </x:c>
      <x:c r="L30" s="160" t="n">
        <x:v>1</x:v>
      </x:c>
      <x:c r="M30" s="112" t="str">
        <x:v>核心规则填充</x:v>
      </x:c>
      <x:c r="N30" s="112" t="str">
        <x:v>已录入80条：通用8、正官6、七杀6、印格6、财格6、食伤8、建禄羊刃8、从格10、化气6、专旺6、候选排序6、边界4。</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v>100</x:v>
      </x:c>
      <x:c r="L31" s="160" t="n">
        <x:v>1</x:v>
      </x:c>
      <x:c r="M31" s="112" t="str">
        <x:v>核心规则填充</x:v>
      </x:c>
      <x:c r="N31" s="112" t="str">
        <x:v>已录入100条：通用10、正官8、七杀8、印格8、财格8、食伤10、建禄羊刃8、从格10、化气8、专旺8、救应10、边界4。</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v>110</x:v>
      </x:c>
      <x:c r="L32" s="160" t="n">
        <x:v>1</x:v>
      </x:c>
      <x:c r="M32" s="112" t="str">
        <x:v>核心规则填充</x:v>
      </x:c>
      <x:c r="N32" s="112" t="str">
        <x:v>已录入110条：通用8、偏弱8、过旺8、流通病14、制化病16、格局病12、调候病10、药神选择10、药力风险10、主次排序6、复合病4、边界4。</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v>100</x:v>
      </x:c>
      <x:c r="L33" s="160" t="n">
        <x:v>1</x:v>
      </x:c>
      <x:c r="M33" s="112" t="str">
        <x:v>核心规则填充</x:v>
      </x:c>
      <x:c r="N33" s="112" t="str">
        <x:v>已录入100条：通用10、扶抑12、格局12、通关10、调候10、病药10、五行综合20、定位等级8、边界8。</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v>80</x:v>
      </x:c>
      <x:c r="L34" s="160" t="n">
        <x:v>1</x:v>
      </x:c>
      <x:c r="M34" s="112" t="str">
        <x:v>核心规则填充</x:v>
      </x:c>
      <x:c r="N34" s="112" t="str">
        <x:v>已录入80条：通用8、特殊格局8、格局冲突8、调候冲突8、流通冲突8、病药冲突10、具体路线10、剂量8、最终定位8、边界4；M17占位引用已回填。</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v>45</x:v>
      </x:c>
      <x:c r="L35" s="160" t="n">
        <x:v>1</x:v>
      </x:c>
      <x:c r="M35" s="112" t="str">
        <x:v>核心模板填充</x:v>
      </x:c>
      <x:c r="N35" s="112" t="str">
        <x:v>已录入45个正式字段：报告信息3、基础结构4、干支关系3、五行旺衰3、日主4、十神4、组合3、流通4、调候4、格局5、病药4、喜忌与综合4。</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v>150</x:v>
      </x:c>
      <x:c r="L36" s="160" t="n">
        <x:v>1</x:v>
      </x:c>
      <x:c r="M36" s="112" t="str">
        <x:v>测试集填充</x:v>
      </x:c>
      <x:c r="N36" s="112" t="str">
        <x:v>已录入150例：基础10、关系18、效应14、旺衰14、十神18、流通10、调候10、格局14、病药10、用神10、输出5、综合10、回归5、争议2；含自动结果与覆盖看板。</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第五阶段_版本治理闭环</x:v>
      </x:c>
      <x:c r="J37" s="112" t="n">
        <x:v>50</x:v>
      </x:c>
      <x:c r="K37" s="112" t="n">
        <x:v>50</x:v>
      </x:c>
      <x:c r="L37" s="160" t="n">
        <x:v>1</x:v>
      </x:c>
      <x:c r="M37" s="112" t="str">
        <x:v>版本治理填充</x:v>
      </x:c>
      <x:c r="N37" s="112" t="str">
        <x:v>已录入50条：治理原则6、版本历史10、关系争议6、旺衰争议6、十神组合5、格局争议7、调候争议4、病药用神3、案例转交3；44条已生效、6条待验证。</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ae470348aaab433e"/>
    <x:tablePart xmlns:r="http://schemas.openxmlformats.org/officeDocument/2006/relationships" r:id="R1cef54ec35b84e2d"/>
    <x:tablePart xmlns:r="http://schemas.openxmlformats.org/officeDocument/2006/relationships" r:id="Rd8d2fd41cc3e46ae"/>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本表统一全库的枚举术语、编码、Field_ID/Rule_ID/Case_ID/Change_ID结构和版本治理。V1.9新增M21九个治理子类码与版本号；全库正式记录达到目标值，待验证项继续由M20/M21滚动治理。</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6</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7</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8</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9</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row r="450">
      <x:c r="A450" t="str">
        <x:v>版本号</x:v>
      </x:c>
      <x:c r="B450" t="str">
        <x:v>VER09</x:v>
      </x:c>
      <x:c r="C450" t="str">
        <x:v>V0.5</x:v>
      </x:c>
      <x:c r="D450" t="str">
        <x:v>版本号的标准选项：V0.5。完成M07五行原始旺衰核心规则。</x:v>
      </x:c>
      <x:c r="E450" t="str">
        <x:v>版本号</x:v>
      </x:c>
      <x:c r="F450" t="n">
        <x:v>5</x:v>
      </x:c>
      <x:c r="G450" t="str">
        <x:v>是</x:v>
      </x:c>
      <x:c r="H450" t="str">
        <x:v>五行原始旺衰规则版</x:v>
      </x:c>
    </x:row>
    <x:row r="451">
      <x:c r="A451" t="str">
        <x:v>规则子类</x:v>
      </x:c>
      <x:c r="B451" t="str">
        <x:v>M07-SEAS</x:v>
      </x:c>
      <x:c r="C451" t="str">
        <x:v>M07｜季令证据</x:v>
      </x:c>
      <x:c r="D451" t="str">
        <x:v>M07中用于得令、旺相休囚死、四季土月、交节校验与季令去重。</x:v>
      </x:c>
      <x:c r="E451" t="str">
        <x:v>子类代码</x:v>
      </x:c>
      <x:c r="F451" t="n">
        <x:v>39</x:v>
      </x:c>
      <x:c r="G451" t="str">
        <x:v>是</x:v>
      </x:c>
      <x:c r="H451" t="str">
        <x:v>首次用于V0.5</x:v>
      </x:c>
    </x:row>
    <x:row r="452">
      <x:c r="A452" t="str">
        <x:v>规则子类</x:v>
      </x:c>
      <x:c r="B452" t="str">
        <x:v>M07-ROOT</x:v>
      </x:c>
      <x:c r="C452" t="str">
        <x:v>M07｜根气证据</x:v>
      </x:c>
      <x:c r="D452" t="str">
        <x:v>M07中用于本中余气根、多根、库根、无根、透根相应及原始根边界。</x:v>
      </x:c>
      <x:c r="E452" t="str">
        <x:v>子类代码</x:v>
      </x:c>
      <x:c r="F452" t="n">
        <x:v>40</x:v>
      </x:c>
      <x:c r="G452" t="str">
        <x:v>是</x:v>
      </x:c>
      <x:c r="H452" t="str">
        <x:v>首次用于V0.5</x:v>
      </x:c>
    </x:row>
    <x:row r="453">
      <x:c r="A453" t="str">
        <x:v>规则子类</x:v>
      </x:c>
      <x:c r="B453" t="str">
        <x:v>M07-STEM</x:v>
      </x:c>
      <x:c r="C453" t="str">
        <x:v>M07｜透干显露</x:v>
      </x:c>
      <x:c r="D453" t="str">
        <x:v>M07中用于单透、多透、浮干、藏而不透、透干位置与透根共源去重。</x:v>
      </x:c>
      <x:c r="E453" t="str">
        <x:v>子类代码</x:v>
      </x:c>
      <x:c r="F453" t="n">
        <x:v>41</x:v>
      </x:c>
      <x:c r="G453" t="str">
        <x:v>是</x:v>
      </x:c>
      <x:c r="H453" t="str">
        <x:v>首次用于V0.5</x:v>
      </x:c>
    </x:row>
    <x:row r="454">
      <x:c r="A454" t="str">
        <x:v>规则子类</x:v>
      </x:c>
      <x:c r="B454" t="str">
        <x:v>M07-SOURCE</x:v>
      </x:c>
      <x:c r="C454" t="str">
        <x:v>M07｜生源支持</x:v>
      </x:c>
      <x:c r="D454" t="str">
        <x:v>M07中用于直接生源、强弱生源、多源、供给上限与生源缺失。</x:v>
      </x:c>
      <x:c r="E454" t="str">
        <x:v>子类代码</x:v>
      </x:c>
      <x:c r="F454" t="n">
        <x:v>42</x:v>
      </x:c>
      <x:c r="G454" t="str">
        <x:v>是</x:v>
      </x:c>
      <x:c r="H454" t="str">
        <x:v>首次用于V0.5</x:v>
      </x:c>
    </x:row>
    <x:row r="455">
      <x:c r="A455" t="str">
        <x:v>规则子类</x:v>
      </x:c>
      <x:c r="B455" t="str">
        <x:v>M07-ALLY</x:v>
      </x:c>
      <x:c r="C455" t="str">
        <x:v>M07｜同党与数量</x:v>
      </x:c>
      <x:c r="D455" t="str">
        <x:v>M07中用于天干地支同党、干支呼应、集中度、阴阳同类与数量边界。</x:v>
      </x:c>
      <x:c r="E455" t="str">
        <x:v>子类代码</x:v>
      </x:c>
      <x:c r="F455" t="n">
        <x:v>43</x:v>
      </x:c>
      <x:c r="G455" t="str">
        <x:v>是</x:v>
      </x:c>
      <x:c r="H455" t="str">
        <x:v>首次用于V0.5</x:v>
      </x:c>
    </x:row>
    <x:row r="456">
      <x:c r="A456" t="str">
        <x:v>规则子类</x:v>
      </x:c>
      <x:c r="B456" t="str">
        <x:v>M07-MOMENT</x:v>
      </x:c>
      <x:c r="C456" t="str">
        <x:v>M07｜成势聚势</x:v>
      </x:c>
      <x:c r="D456" t="str">
        <x:v>M07中用于多维汇合、位置覆盖、方向性聚势、反季节成党与成势去重。</x:v>
      </x:c>
      <x:c r="E456" t="str">
        <x:v>子类代码</x:v>
      </x:c>
      <x:c r="F456" t="n">
        <x:v>44</x:v>
      </x:c>
      <x:c r="G456" t="str">
        <x:v>是</x:v>
      </x:c>
      <x:c r="H456" t="str">
        <x:v>首次用于V0.5</x:v>
      </x:c>
    </x:row>
    <x:row r="457">
      <x:c r="A457" t="str">
        <x:v>规则子类</x:v>
      </x:c>
      <x:c r="B457" t="str">
        <x:v>M07-CHAIN</x:v>
      </x:c>
      <x:c r="C457" t="str">
        <x:v>M07｜连续生扶</x:v>
      </x:c>
      <x:c r="D457" t="str">
        <x:v>M07中用于一段链、两段链、显露链、有根链、缺桥与链长衰减。</x:v>
      </x:c>
      <x:c r="E457" t="str">
        <x:v>子类代码</x:v>
      </x:c>
      <x:c r="F457" t="n">
        <x:v>45</x:v>
      </x:c>
      <x:c r="G457" t="str">
        <x:v>是</x:v>
      </x:c>
      <x:c r="H457" t="str">
        <x:v>首次用于V0.5</x:v>
      </x:c>
    </x:row>
    <x:row r="458">
      <x:c r="A458" t="str">
        <x:v>规则子类</x:v>
      </x:c>
      <x:c r="B458" t="str">
        <x:v>M07-AGG</x:v>
      </x:c>
      <x:c r="C458" t="str">
        <x:v>M07｜综合分级</x:v>
      </x:c>
      <x:c r="D458" t="str">
        <x:v>M07中用于证据矩阵、七级旺衰、极端门槛、中和区间与输出规范。</x:v>
      </x:c>
      <x:c r="E458" t="str">
        <x:v>子类代码</x:v>
      </x:c>
      <x:c r="F458" t="n">
        <x:v>46</x:v>
      </x:c>
      <x:c r="G458" t="str">
        <x:v>是</x:v>
      </x:c>
      <x:c r="H458" t="str">
        <x:v>首次用于V0.5</x:v>
      </x:c>
    </x:row>
    <x:row r="459">
      <x:c r="A459" t="str">
        <x:v>规则子类</x:v>
      </x:c>
      <x:c r="B459" t="str">
        <x:v>M07-BOUND</x:v>
      </x:c>
      <x:c r="C459" t="str">
        <x:v>M07｜原始旺衰边界</x:v>
      </x:c>
      <x:c r="D459" t="str">
        <x:v>M07中用于原始—有效分层、非机械计分、强弱喜忌分离与证据容量约束。</x:v>
      </x:c>
      <x:c r="E459" t="str">
        <x:v>子类代码</x:v>
      </x:c>
      <x:c r="F459" t="n">
        <x:v>47</x:v>
      </x:c>
      <x:c r="G459" t="str">
        <x:v>是</x:v>
      </x:c>
      <x:c r="H459" t="str">
        <x:v>首次用于V0.5</x:v>
      </x:c>
    </x:row>
    <x:row r="460">
      <x:c r="A460" t="str">
        <x:v>版本号</x:v>
      </x:c>
      <x:c r="B460" t="str">
        <x:v>VER10</x:v>
      </x:c>
      <x:c r="C460" t="str">
        <x:v>V0.6</x:v>
      </x:c>
      <x:c r="D460" t="str">
        <x:v>版本号的标准选项：V0.6。完成M08五行有效旺衰核心规则。</x:v>
      </x:c>
      <x:c r="E460" t="str">
        <x:v>版本号</x:v>
      </x:c>
      <x:c r="F460" t="n">
        <x:v>6</x:v>
      </x:c>
      <x:c r="G460" t="str">
        <x:v>是</x:v>
      </x:c>
      <x:c r="H460" t="str">
        <x:v>五行有效旺衰规则版</x:v>
      </x:c>
      <x:c r="I460"/>
      <x:c r="J460"/>
      <x:c r="K460"/>
      <x:c r="L460"/>
      <x:c r="M460"/>
      <x:c r="N460"/>
      <x:c r="O460"/>
      <x:c r="P460"/>
      <x:c r="Q460"/>
    </x:row>
    <x:row r="461">
      <x:c r="A461" t="str">
        <x:v>规则子类</x:v>
      </x:c>
      <x:c r="B461" t="str">
        <x:v>M08-ROOT</x:v>
      </x:c>
      <x:c r="C461" t="str">
        <x:v>M08｜根气有效性</x:v>
      </x:c>
      <x:c r="D461" t="str">
        <x:v>M08中用于根气受冲合刑害、墓库、改性与独立节点容量的有效性修正。</x:v>
      </x:c>
      <x:c r="E461" t="str">
        <x:v>子类代码</x:v>
      </x:c>
      <x:c r="F461" t="n">
        <x:v>48</x:v>
      </x:c>
      <x:c r="G461" t="str">
        <x:v>是</x:v>
      </x:c>
      <x:c r="H461" t="str">
        <x:v>首次用于V0.6</x:v>
      </x:c>
      <x:c r="I461"/>
      <x:c r="J461"/>
      <x:c r="K461"/>
      <x:c r="L461"/>
      <x:c r="M461"/>
      <x:c r="N461"/>
      <x:c r="O461"/>
      <x:c r="P461"/>
      <x:c r="Q461"/>
    </x:row>
    <x:row r="462">
      <x:c r="A462" t="str">
        <x:v>规则子类</x:v>
      </x:c>
      <x:c r="B462" t="str">
        <x:v>M08-SOURCE</x:v>
      </x:c>
      <x:c r="C462" t="str">
        <x:v>M08｜生源有效性</x:v>
      </x:c>
      <x:c r="D462" t="str">
        <x:v>M08中用于强弱生源、合绊改性、供给冗余、容量分配与生扶链中断。</x:v>
      </x:c>
      <x:c r="E462" t="str">
        <x:v>子类代码</x:v>
      </x:c>
      <x:c r="F462" t="n">
        <x:v>49</x:v>
      </x:c>
      <x:c r="G462" t="str">
        <x:v>是</x:v>
      </x:c>
      <x:c r="H462" t="str">
        <x:v>首次用于V0.6</x:v>
      </x:c>
      <x:c r="I462"/>
      <x:c r="J462"/>
      <x:c r="K462"/>
      <x:c r="L462"/>
      <x:c r="M462"/>
      <x:c r="N462"/>
      <x:c r="O462"/>
      <x:c r="P462"/>
      <x:c r="Q462"/>
    </x:row>
    <x:row r="463">
      <x:c r="A463" t="str">
        <x:v>规则子类</x:v>
      </x:c>
      <x:c r="B463" t="str">
        <x:v>M08-STEM</x:v>
      </x:c>
      <x:c r="C463" t="str">
        <x:v>M08｜透达有效性</x:v>
      </x:c>
      <x:c r="D463" t="str">
        <x:v>M08中用于透干、藏而不透、合绊合化、受克、位置与多透边际递减。</x:v>
      </x:c>
      <x:c r="E463" t="str">
        <x:v>子类代码</x:v>
      </x:c>
      <x:c r="F463" t="n">
        <x:v>50</x:v>
      </x:c>
      <x:c r="G463" t="str">
        <x:v>是</x:v>
      </x:c>
      <x:c r="H463" t="str">
        <x:v>首次用于V0.6</x:v>
      </x:c>
      <x:c r="I463"/>
      <x:c r="J463"/>
      <x:c r="K463"/>
      <x:c r="L463"/>
      <x:c r="M463"/>
      <x:c r="N463"/>
      <x:c r="O463"/>
      <x:c r="P463"/>
      <x:c r="Q463"/>
    </x:row>
    <x:row r="464">
      <x:c r="A464" t="str">
        <x:v>规则子类</x:v>
      </x:c>
      <x:c r="B464" t="str">
        <x:v>M08-CONTROL</x:v>
      </x:c>
      <x:c r="C464" t="str">
        <x:v>M08｜克制修正</x:v>
      </x:c>
      <x:c r="D464" t="str">
        <x:v>M08中用于强克弱、弱克强、势均相克、制化、通关与克力容量。</x:v>
      </x:c>
      <x:c r="E464" t="str">
        <x:v>子类代码</x:v>
      </x:c>
      <x:c r="F464" t="n">
        <x:v>51</x:v>
      </x:c>
      <x:c r="G464" t="str">
        <x:v>是</x:v>
      </x:c>
      <x:c r="H464" t="str">
        <x:v>首次用于V0.6</x:v>
      </x:c>
      <x:c r="I464"/>
      <x:c r="J464"/>
      <x:c r="K464"/>
      <x:c r="L464"/>
      <x:c r="M464"/>
      <x:c r="N464"/>
      <x:c r="O464"/>
      <x:c r="P464"/>
      <x:c r="Q464"/>
    </x:row>
    <x:row r="465">
      <x:c r="A465" t="str">
        <x:v>规则子类</x:v>
      </x:c>
      <x:c r="B465" t="str">
        <x:v>M08-LEAK</x:v>
      </x:c>
      <x:c r="C465" t="str">
        <x:v>M08｜泄气修正</x:v>
      </x:c>
      <x:c r="D465" t="str">
        <x:v>M08中用于主动泄气、弱泄、多路泄出、泄神受制与连续导流。</x:v>
      </x:c>
      <x:c r="E465" t="str">
        <x:v>子类代码</x:v>
      </x:c>
      <x:c r="F465" t="n">
        <x:v>52</x:v>
      </x:c>
      <x:c r="G465" t="str">
        <x:v>是</x:v>
      </x:c>
      <x:c r="H465" t="str">
        <x:v>首次用于V0.6</x:v>
      </x:c>
      <x:c r="I465"/>
      <x:c r="J465"/>
      <x:c r="K465"/>
      <x:c r="L465"/>
      <x:c r="M465"/>
      <x:c r="N465"/>
      <x:c r="O465"/>
      <x:c r="P465"/>
      <x:c r="Q465"/>
    </x:row>
    <x:row r="466">
      <x:c r="A466" t="str">
        <x:v>规则子类</x:v>
      </x:c>
      <x:c r="B466" t="str">
        <x:v>M08-DRAIN</x:v>
      </x:c>
      <x:c r="C466" t="str">
        <x:v>M08｜耗气修正</x:v>
      </x:c>
      <x:c r="D466" t="str">
        <x:v>M08中用于主动克耗、强弱耗对象、多路耗力、容量约束与承载不足。</x:v>
      </x:c>
      <x:c r="E466" t="str">
        <x:v>子类代码</x:v>
      </x:c>
      <x:c r="F466" t="n">
        <x:v>53</x:v>
      </x:c>
      <x:c r="G466" t="str">
        <x:v>是</x:v>
      </x:c>
      <x:c r="H466" t="str">
        <x:v>首次用于V0.6</x:v>
      </x:c>
      <x:c r="I466"/>
      <x:c r="J466"/>
      <x:c r="K466"/>
      <x:c r="L466"/>
      <x:c r="M466"/>
      <x:c r="N466"/>
      <x:c r="O466"/>
      <x:c r="P466"/>
      <x:c r="Q466"/>
    </x:row>
    <x:row r="467">
      <x:c r="A467" t="str">
        <x:v>规则子类</x:v>
      </x:c>
      <x:c r="B467" t="str">
        <x:v>M08-TRANS</x:v>
      </x:c>
      <x:c r="C467" t="str">
        <x:v>M08｜合化会局改性</x:v>
      </x:c>
      <x:c r="D467" t="str">
        <x:v>M08中用于天干合化、六合、三合、三会、半合、拱合及共享节点的力量重分配。</x:v>
      </x:c>
      <x:c r="E467" t="str">
        <x:v>子类代码</x:v>
      </x:c>
      <x:c r="F467" t="n">
        <x:v>54</x:v>
      </x:c>
      <x:c r="G467" t="str">
        <x:v>是</x:v>
      </x:c>
      <x:c r="H467" t="str">
        <x:v>首次用于V0.6</x:v>
      </x:c>
      <x:c r="I467"/>
      <x:c r="J467"/>
      <x:c r="K467"/>
      <x:c r="L467"/>
      <x:c r="M467"/>
      <x:c r="N467"/>
      <x:c r="O467"/>
      <x:c r="P467"/>
      <x:c r="Q467"/>
    </x:row>
    <x:row r="468">
      <x:c r="A468" t="str">
        <x:v>规则子类</x:v>
      </x:c>
      <x:c r="B468" t="str">
        <x:v>M08-REL</x:v>
      </x:c>
      <x:c r="C468" t="str">
        <x:v>M08｜冲刑害破修正</x:v>
      </x:c>
      <x:c r="D468" t="str">
        <x:v>M08中用于六冲、三刑、自刑、六害、六破及多重关系的净效应修正。</x:v>
      </x:c>
      <x:c r="E468" t="str">
        <x:v>子类代码</x:v>
      </x:c>
      <x:c r="F468" t="n">
        <x:v>55</x:v>
      </x:c>
      <x:c r="G468" t="str">
        <x:v>是</x:v>
      </x:c>
      <x:c r="H468" t="str">
        <x:v>首次用于V0.6</x:v>
      </x:c>
      <x:c r="I468"/>
      <x:c r="J468"/>
      <x:c r="K468"/>
      <x:c r="L468"/>
      <x:c r="M468"/>
      <x:c r="N468"/>
      <x:c r="O468"/>
      <x:c r="P468"/>
      <x:c r="Q468"/>
    </x:row>
    <x:row r="469">
      <x:c r="A469" t="str">
        <x:v>规则子类</x:v>
      </x:c>
      <x:c r="B469" t="str">
        <x:v>M08-CLIM</x:v>
      </x:c>
      <x:c r="C469" t="str">
        <x:v>M08｜寒暖燥湿修正</x:v>
      </x:c>
      <x:c r="D469" t="str">
        <x:v>M08中用于气候条件对五行透达、持续性、生发与可用性的接口修正。</x:v>
      </x:c>
      <x:c r="E469" t="str">
        <x:v>子类代码</x:v>
      </x:c>
      <x:c r="F469" t="n">
        <x:v>56</x:v>
      </x:c>
      <x:c r="G469" t="str">
        <x:v>是</x:v>
      </x:c>
      <x:c r="H469" t="str">
        <x:v>首次用于V0.6</x:v>
      </x:c>
      <x:c r="I469"/>
      <x:c r="J469"/>
      <x:c r="K469"/>
      <x:c r="L469"/>
      <x:c r="M469"/>
      <x:c r="N469"/>
      <x:c r="O469"/>
      <x:c r="P469"/>
      <x:c r="Q469"/>
    </x:row>
    <x:row r="470">
      <x:c r="A470" t="str">
        <x:v>规则子类</x:v>
      </x:c>
      <x:c r="B470" t="str">
        <x:v>M08-FLOW</x:v>
      </x:c>
      <x:c r="C470" t="str">
        <x:v>M08｜流通效率修正</x:v>
      </x:c>
      <x:c r="D470" t="str">
        <x:v>M08中用于桥梁、缺桥、壅塞、承载不足及生化链传递效率。</x:v>
      </x:c>
      <x:c r="E470" t="str">
        <x:v>子类代码</x:v>
      </x:c>
      <x:c r="F470" t="n">
        <x:v>57</x:v>
      </x:c>
      <x:c r="G470" t="str">
        <x:v>是</x:v>
      </x:c>
      <x:c r="H470" t="str">
        <x:v>首次用于V0.6</x:v>
      </x:c>
      <x:c r="I470"/>
      <x:c r="J470"/>
      <x:c r="K470"/>
      <x:c r="L470"/>
      <x:c r="M470"/>
      <x:c r="N470"/>
      <x:c r="O470"/>
      <x:c r="P470"/>
      <x:c r="Q470"/>
    </x:row>
    <x:row r="471">
      <x:c r="A471" t="str">
        <x:v>规则子类</x:v>
      </x:c>
      <x:c r="B471" t="str">
        <x:v>M08-AGG</x:v>
      </x:c>
      <x:c r="C471" t="str">
        <x:v>M08｜有效旺衰综合分级</x:v>
      </x:c>
      <x:c r="D471" t="str">
        <x:v>M08中用于七级有效旺衰、极端门槛、中和区间、反证与置信度。</x:v>
      </x:c>
      <x:c r="E471" t="str">
        <x:v>子类代码</x:v>
      </x:c>
      <x:c r="F471" t="n">
        <x:v>58</x:v>
      </x:c>
      <x:c r="G471" t="str">
        <x:v>是</x:v>
      </x:c>
      <x:c r="H471" t="str">
        <x:v>首次用于V0.6</x:v>
      </x:c>
      <x:c r="I471"/>
      <x:c r="J471"/>
      <x:c r="K471"/>
      <x:c r="L471"/>
      <x:c r="M471"/>
      <x:c r="N471"/>
      <x:c r="O471"/>
      <x:c r="P471"/>
      <x:c r="Q471"/>
    </x:row>
    <x:row r="472">
      <x:c r="A472" t="str">
        <x:v>规则子类</x:v>
      </x:c>
      <x:c r="B472" t="str">
        <x:v>M08-BOUND</x:v>
      </x:c>
      <x:c r="C472" t="str">
        <x:v>M08｜有效旺衰边界</x:v>
      </x:c>
      <x:c r="D472" t="str">
        <x:v>M08中用于喜忌隔离、证据去重、非机械计分与争议降置信。</x:v>
      </x:c>
      <x:c r="E472" t="str">
        <x:v>子类代码</x:v>
      </x:c>
      <x:c r="F472" t="n">
        <x:v>59</x:v>
      </x:c>
      <x:c r="G472" t="str">
        <x:v>是</x:v>
      </x:c>
      <x:c r="H472" t="str">
        <x:v>首次用于V0.6</x:v>
      </x:c>
      <x:c r="I472"/>
      <x:c r="J472"/>
      <x:c r="K472"/>
      <x:c r="L472"/>
      <x:c r="M472"/>
      <x:c r="N472"/>
      <x:c r="O472"/>
      <x:c r="P472"/>
      <x:c r="Q472"/>
    </x:row>
    <x:row r="473">
      <x:c r="A473" t="str">
        <x:v>版本号</x:v>
      </x:c>
      <x:c r="B473" t="str">
        <x:v>VER11</x:v>
      </x:c>
      <x:c r="C473" t="str">
        <x:v>V0.7</x:v>
      </x:c>
      <x:c r="D473" t="str">
        <x:v>版本号的标准选项：V0.7。完成M09日主旺衰核心规则。</x:v>
      </x:c>
      <x:c r="E473" t="str">
        <x:v>版本号</x:v>
      </x:c>
      <x:c r="F473" t="n">
        <x:v>7</x:v>
      </x:c>
      <x:c r="G473" t="str">
        <x:v>是</x:v>
      </x:c>
      <x:c r="H473" t="str">
        <x:v>日主旺衰规则版</x:v>
      </x:c>
    </x:row>
    <x:row r="474">
      <x:c r="A474" t="str">
        <x:v>规则子类</x:v>
      </x:c>
      <x:c r="B474" t="str">
        <x:v>M09-LING</x:v>
      </x:c>
      <x:c r="C474" t="str">
        <x:v>M09｜得令证据</x:v>
      </x:c>
      <x:c r="D474" t="str">
        <x:v>M09中用于季令强弱、得令非充分条件、失令反强、四季月及月令证据去重。</x:v>
      </x:c>
      <x:c r="E474" t="str">
        <x:v>子类代码</x:v>
      </x:c>
      <x:c r="F474" t="n">
        <x:v>60</x:v>
      </x:c>
      <x:c r="G474" t="str">
        <x:v>是</x:v>
      </x:c>
      <x:c r="H474" t="str">
        <x:v>首次用于V0.7</x:v>
      </x:c>
    </x:row>
    <x:row r="475">
      <x:c r="A475" t="str">
        <x:v>规则子类</x:v>
      </x:c>
      <x:c r="B475" t="str">
        <x:v>M09-DI</x:v>
      </x:c>
      <x:c r="C475" t="str">
        <x:v>M09｜得地证据</x:v>
      </x:c>
      <x:c r="D475" t="str">
        <x:v>M09中用于本中余气根、多根、无根、受冲根、日支根及根气可调用性。</x:v>
      </x:c>
      <x:c r="E475" t="str">
        <x:v>子类代码</x:v>
      </x:c>
      <x:c r="F475" t="n">
        <x:v>61</x:v>
      </x:c>
      <x:c r="G475" t="str">
        <x:v>是</x:v>
      </x:c>
      <x:c r="H475" t="str">
        <x:v>首次用于V0.7</x:v>
      </x:c>
    </x:row>
    <x:row r="476">
      <x:c r="A476" t="str">
        <x:v>规则子类</x:v>
      </x:c>
      <x:c r="B476" t="str">
        <x:v>M09-SHI</x:v>
      </x:c>
      <x:c r="C476" t="str">
        <x:v>M09｜得势证据</x:v>
      </x:c>
      <x:c r="D476" t="str">
        <x:v>M09中用于印比集团、数量质量、干支覆盖、扶身链、双集团对比与得势边界。</x:v>
      </x:c>
      <x:c r="E476" t="str">
        <x:v>子类代码</x:v>
      </x:c>
      <x:c r="F476" t="n">
        <x:v>62</x:v>
      </x:c>
      <x:c r="G476" t="str">
        <x:v>是</x:v>
      </x:c>
      <x:c r="H476" t="str">
        <x:v>首次用于V0.7</x:v>
      </x:c>
    </x:row>
    <x:row r="477">
      <x:c r="A477" t="str">
        <x:v>规则子类</x:v>
      </x:c>
      <x:c r="B477" t="str">
        <x:v>M09-SHENG</x:v>
      </x:c>
      <x:c r="C477" t="str">
        <x:v>M09｜得生证据</x:v>
      </x:c>
      <x:c r="D477" t="str">
        <x:v>M09中用于有效印源、印受损、强印无根、多印、生源容量、链式生扶与印比协同。</x:v>
      </x:c>
      <x:c r="E477" t="str">
        <x:v>子类代码</x:v>
      </x:c>
      <x:c r="F477" t="n">
        <x:v>63</x:v>
      </x:c>
      <x:c r="G477" t="str">
        <x:v>是</x:v>
      </x:c>
      <x:c r="H477" t="str">
        <x:v>首次用于V0.7</x:v>
      </x:c>
    </x:row>
    <x:row r="478">
      <x:c r="A478" t="str">
        <x:v>规则子类</x:v>
      </x:c>
      <x:c r="B478" t="str">
        <x:v>M09-KE</x:v>
      </x:c>
      <x:c r="C478" t="str">
        <x:v>M09｜受制证据</x:v>
      </x:c>
      <x:c r="D478" t="str">
        <x:v>M09中用于官杀制身、官杀成势、制化修正、杀印流向、承载差异与容量去重。</x:v>
      </x:c>
      <x:c r="E478" t="str">
        <x:v>子类代码</x:v>
      </x:c>
      <x:c r="F478" t="n">
        <x:v>64</x:v>
      </x:c>
      <x:c r="G478" t="str">
        <x:v>是</x:v>
      </x:c>
      <x:c r="H478" t="str">
        <x:v>首次用于V0.7</x:v>
      </x:c>
    </x:row>
    <x:row r="479">
      <x:c r="A479" t="str">
        <x:v>规则子类</x:v>
      </x:c>
      <x:c r="B479" t="str">
        <x:v>M09-XIE</x:v>
      </x:c>
      <x:c r="C479" t="str">
        <x:v>M09｜受泄证据</x:v>
      </x:c>
      <x:c r="D479" t="str">
        <x:v>M09中用于食伤泄身、泄身成势、印制食伤、连续泄耗及泄克分型。</x:v>
      </x:c>
      <x:c r="E479" t="str">
        <x:v>子类代码</x:v>
      </x:c>
      <x:c r="F479" t="n">
        <x:v>65</x:v>
      </x:c>
      <x:c r="G479" t="str">
        <x:v>是</x:v>
      </x:c>
      <x:c r="H479" t="str">
        <x:v>首次用于V0.7</x:v>
      </x:c>
    </x:row>
    <x:row r="480">
      <x:c r="A480" t="str">
        <x:v>规则子类</x:v>
      </x:c>
      <x:c r="B480" t="str">
        <x:v>M09-HAO</x:v>
      </x:c>
      <x:c r="C480" t="str">
        <x:v>M09｜受耗证据</x:v>
      </x:c>
      <x:c r="D480" t="str">
        <x:v>M09中用于财星耗身、财势、财受制、强身任财、泄耗链去重及多负荷边界。</x:v>
      </x:c>
      <x:c r="E480" t="str">
        <x:v>子类代码</x:v>
      </x:c>
      <x:c r="F480" t="n">
        <x:v>66</x:v>
      </x:c>
      <x:c r="G480" t="str">
        <x:v>是</x:v>
      </x:c>
      <x:c r="H480" t="str">
        <x:v>首次用于V0.7</x:v>
      </x:c>
    </x:row>
    <x:row r="481">
      <x:c r="A481" t="str">
        <x:v>规则子类</x:v>
      </x:c>
      <x:c r="B481" t="str">
        <x:v>M09-SYN</x:v>
      </x:c>
      <x:c r="C481" t="str">
        <x:v>M09｜综合比较</x:v>
      </x:c>
      <x:c r="D481" t="str">
        <x:v>M09中用于扶身侧与负荷侧净优势、强证据优先、节点去重、双强双弱与冲突降置信。</x:v>
      </x:c>
      <x:c r="E481" t="str">
        <x:v>子类代码</x:v>
      </x:c>
      <x:c r="F481" t="n">
        <x:v>67</x:v>
      </x:c>
      <x:c r="G481" t="str">
        <x:v>是</x:v>
      </x:c>
      <x:c r="H481" t="str">
        <x:v>首次用于V0.7</x:v>
      </x:c>
    </x:row>
    <x:row r="482">
      <x:c r="A482" t="str">
        <x:v>规则子类</x:v>
      </x:c>
      <x:c r="B482" t="str">
        <x:v>M09-GRADE</x:v>
      </x:c>
      <x:c r="C482" t="str">
        <x:v>M09｜七级综合分级</x:v>
      </x:c>
      <x:c r="D482" t="str">
        <x:v>M09中用于极弱、弱、中和偏弱、中和、中和偏旺、旺、极旺及相邻等级边界。</x:v>
      </x:c>
      <x:c r="E482" t="str">
        <x:v>子类代码</x:v>
      </x:c>
      <x:c r="F482" t="n">
        <x:v>68</x:v>
      </x:c>
      <x:c r="G482" t="str">
        <x:v>是</x:v>
      </x:c>
      <x:c r="H482" t="str">
        <x:v>首次用于V0.7</x:v>
      </x:c>
    </x:row>
    <x:row r="483">
      <x:c r="A483" t="str">
        <x:v>规则子类</x:v>
      </x:c>
      <x:c r="B483" t="str">
        <x:v>M09-BOUND</x:v>
      </x:c>
      <x:c r="C483" t="str">
        <x:v>M09｜日主旺衰边界</x:v>
      </x:c>
      <x:c r="D483" t="str">
        <x:v>M09中用于非机械计分、数量边界、喜忌隔离、特殊格局接口、静动态分离与输出规范。</x:v>
      </x:c>
      <x:c r="E483" t="str">
        <x:v>子类代码</x:v>
      </x:c>
      <x:c r="F483" t="n">
        <x:v>69</x:v>
      </x:c>
      <x:c r="G483" t="str">
        <x:v>是</x:v>
      </x:c>
      <x:c r="H483" t="str">
        <x:v>首次用于V0.7</x:v>
      </x:c>
    </x:row>
    <x:row r="484">
      <x:c r="A484" t="str">
        <x:v>版本号</x:v>
      </x:c>
      <x:c r="B484" t="str">
        <x:v>VER12</x:v>
      </x:c>
      <x:c r="C484" t="str">
        <x:v>V0.8</x:v>
      </x:c>
      <x:c r="D484" t="str">
        <x:v>版本号的标准选项：V0.8。完成M10十神旺衰功能核心规则。</x:v>
      </x:c>
      <x:c r="E484" t="str">
        <x:v>版本号</x:v>
      </x:c>
      <x:c r="F484" t="n">
        <x:v>8</x:v>
      </x:c>
      <x:c r="G484" t="str">
        <x:v>是</x:v>
      </x:c>
      <x:c r="H484" t="str">
        <x:v>十神旺衰功能规则版</x:v>
      </x:c>
    </x:row>
    <x:row r="485">
      <x:c r="A485" t="str">
        <x:v>规则子类</x:v>
      </x:c>
      <x:c r="B485" t="str">
        <x:v>M10-PRES</x:v>
      </x:c>
      <x:c r="C485" t="str">
        <x:v>M10｜十神存在性</x:v>
      </x:c>
      <x:c r="D485" t="str">
        <x:v>M10中用于透干、藏支、多处出现、完全不现、正偏并见及静动态存在边界。</x:v>
      </x:c>
      <x:c r="E485" t="str">
        <x:v>子类代码</x:v>
      </x:c>
      <x:c r="F485" t="n">
        <x:v>70</x:v>
      </x:c>
      <x:c r="G485" t="str">
        <x:v>是</x:v>
      </x:c>
      <x:c r="H485" t="str">
        <x:v>首次用于V0.8</x:v>
      </x:c>
    </x:row>
    <x:row r="486">
      <x:c r="A486" t="str">
        <x:v>规则子类</x:v>
      </x:c>
      <x:c r="B486" t="str">
        <x:v>M10-POWER</x:v>
      </x:c>
      <x:c r="C486" t="str">
        <x:v>M10｜十神有效力量</x:v>
      </x:c>
      <x:c r="D486" t="str">
        <x:v>M10中用于从M08继承有效力量、多节点汇总、季令根气、生源制约及七级分级。</x:v>
      </x:c>
      <x:c r="E486" t="str">
        <x:v>子类代码</x:v>
      </x:c>
      <x:c r="F486" t="n">
        <x:v>71</x:v>
      </x:c>
      <x:c r="G486" t="str">
        <x:v>是</x:v>
      </x:c>
      <x:c r="H486" t="str">
        <x:v>首次用于V0.8</x:v>
      </x:c>
    </x:row>
    <x:row r="487">
      <x:c r="A487" t="str">
        <x:v>规则子类</x:v>
      </x:c>
      <x:c r="B487" t="str">
        <x:v>M10-PURE</x:v>
      </x:c>
      <x:c r="C487" t="str">
        <x:v>M10｜十神清纯度</x:v>
      </x:c>
      <x:c r="D487" t="str">
        <x:v>M10中用于正偏并见、主次清晰、混杂程度及清纯度与喜忌分离。</x:v>
      </x:c>
      <x:c r="E487" t="str">
        <x:v>子类代码</x:v>
      </x:c>
      <x:c r="F487" t="n">
        <x:v>72</x:v>
      </x:c>
      <x:c r="G487" t="str">
        <x:v>是</x:v>
      </x:c>
      <x:c r="H487" t="str">
        <x:v>首次用于V0.8</x:v>
      </x:c>
    </x:row>
    <x:row r="488">
      <x:c r="A488" t="str">
        <x:v>规则子类</x:v>
      </x:c>
      <x:c r="B488" t="str">
        <x:v>M10-BIJIE</x:v>
      </x:c>
      <x:c r="C488" t="str">
        <x:v>M10｜比劫功能</x:v>
      </x:c>
      <x:c r="D488" t="str">
        <x:v>M10中用于比肩劫财的扶身、抗制、制财、成势、过度和双重功能。</x:v>
      </x:c>
      <x:c r="E488" t="str">
        <x:v>子类代码</x:v>
      </x:c>
      <x:c r="F488" t="n">
        <x:v>73</x:v>
      </x:c>
      <x:c r="G488" t="str">
        <x:v>是</x:v>
      </x:c>
      <x:c r="H488" t="str">
        <x:v>首次用于V0.8</x:v>
      </x:c>
    </x:row>
    <x:row r="489">
      <x:c r="A489" t="str">
        <x:v>规则子类</x:v>
      </x:c>
      <x:c r="B489" t="str">
        <x:v>M10-YIN</x:v>
      </x:c>
      <x:c r="C489" t="str">
        <x:v>M10｜印星功能</x:v>
      </x:c>
      <x:c r="D489" t="str">
        <x:v>M10中用于印星生身、化官杀、制食伤、财制印、印比协同及印过度。</x:v>
      </x:c>
      <x:c r="E489" t="str">
        <x:v>子类代码</x:v>
      </x:c>
      <x:c r="F489" t="n">
        <x:v>74</x:v>
      </x:c>
      <x:c r="G489" t="str">
        <x:v>是</x:v>
      </x:c>
      <x:c r="H489" t="str">
        <x:v>首次用于V0.8</x:v>
      </x:c>
    </x:row>
    <x:row r="490">
      <x:c r="A490" t="str">
        <x:v>规则子类</x:v>
      </x:c>
      <x:c r="B490" t="str">
        <x:v>M10-SHISHANG</x:v>
      </x:c>
      <x:c r="C490" t="str">
        <x:v>M10｜食伤功能</x:v>
      </x:c>
      <x:c r="D490" t="str">
        <x:v>M10中用于泄身、生财、制杀、克官、泄秀、过泄及枭制食伤。</x:v>
      </x:c>
      <x:c r="E490" t="str">
        <x:v>子类代码</x:v>
      </x:c>
      <x:c r="F490" t="n">
        <x:v>75</x:v>
      </x:c>
      <x:c r="G490" t="str">
        <x:v>是</x:v>
      </x:c>
      <x:c r="H490" t="str">
        <x:v>首次用于V0.8</x:v>
      </x:c>
    </x:row>
    <x:row r="491">
      <x:c r="A491" t="str">
        <x:v>规则子类</x:v>
      </x:c>
      <x:c r="B491" t="str">
        <x:v>M10-CAI</x:v>
      </x:c>
      <x:c r="C491" t="str">
        <x:v>M10｜财星功能</x:v>
      </x:c>
      <x:c r="D491" t="str">
        <x:v>M10中用于财星耗身、生官杀、制印、受比劫制、任财与财多身弱候选。</x:v>
      </x:c>
      <x:c r="E491" t="str">
        <x:v>子类代码</x:v>
      </x:c>
      <x:c r="F491" t="n">
        <x:v>76</x:v>
      </x:c>
      <x:c r="G491" t="str">
        <x:v>是</x:v>
      </x:c>
      <x:c r="H491" t="str">
        <x:v>首次用于V0.8</x:v>
      </x:c>
    </x:row>
    <x:row r="492">
      <x:c r="A492" t="str">
        <x:v>规则子类</x:v>
      </x:c>
      <x:c r="B492" t="str">
        <x:v>M10-GUANSHA</x:v>
      </x:c>
      <x:c r="C492" t="str">
        <x:v>M10｜官杀功能</x:v>
      </x:c>
      <x:c r="D492" t="str">
        <x:v>M10中用于官杀制身、生印、制化、官杀混杂、清化及日主承载。</x:v>
      </x:c>
      <x:c r="E492" t="str">
        <x:v>子类代码</x:v>
      </x:c>
      <x:c r="F492" t="n">
        <x:v>77</x:v>
      </x:c>
      <x:c r="G492" t="str">
        <x:v>是</x:v>
      </x:c>
      <x:c r="H492" t="str">
        <x:v>首次用于V0.8</x:v>
      </x:c>
    </x:row>
    <x:row r="493">
      <x:c r="A493" t="str">
        <x:v>规则子类</x:v>
      </x:c>
      <x:c r="B493" t="str">
        <x:v>M10-BAL</x:v>
      </x:c>
      <x:c r="C493" t="str">
        <x:v>M10｜功能制化状态</x:v>
      </x:c>
      <x:c r="D493" t="str">
        <x:v>M10中用于正常、受限、转化、失效、过度、制化平衡和制化失衡。</x:v>
      </x:c>
      <x:c r="E493" t="str">
        <x:v>子类代码</x:v>
      </x:c>
      <x:c r="F493" t="n">
        <x:v>78</x:v>
      </x:c>
      <x:c r="G493" t="str">
        <x:v>是</x:v>
      </x:c>
      <x:c r="H493" t="str">
        <x:v>首次用于V0.8</x:v>
      </x:c>
    </x:row>
    <x:row r="494">
      <x:c r="A494" t="str">
        <x:v>规则子类</x:v>
      </x:c>
      <x:c r="B494" t="str">
        <x:v>M10-ROLE</x:v>
      </x:c>
      <x:c r="C494" t="str">
        <x:v>M10｜组合格局接口</x:v>
      </x:c>
      <x:c r="D494" t="str">
        <x:v>M10中用于向M11/M14生成食神制杀、伤官配印、官印、杀印、食伤生财等候选。</x:v>
      </x:c>
      <x:c r="E494" t="str">
        <x:v>子类代码</x:v>
      </x:c>
      <x:c r="F494" t="n">
        <x:v>79</x:v>
      </x:c>
      <x:c r="G494" t="str">
        <x:v>是</x:v>
      </x:c>
      <x:c r="H494" t="str">
        <x:v>首次用于V0.8</x:v>
      </x:c>
    </x:row>
    <x:row r="495">
      <x:c r="A495" t="str">
        <x:v>规则子类</x:v>
      </x:c>
      <x:c r="B495" t="str">
        <x:v>M10-XIJI</x:v>
      </x:c>
      <x:c r="C495" t="str">
        <x:v>M10｜喜忌候选</x:v>
      </x:c>
      <x:c r="D495" t="str">
        <x:v>M10中用于根据日主承载、主要矛盾、收益与副作用生成条件性喜忌候选。</x:v>
      </x:c>
      <x:c r="E495" t="str">
        <x:v>子类代码</x:v>
      </x:c>
      <x:c r="F495" t="n">
        <x:v>80</x:v>
      </x:c>
      <x:c r="G495" t="str">
        <x:v>是</x:v>
      </x:c>
      <x:c r="H495" t="str">
        <x:v>首次用于V0.8</x:v>
      </x:c>
    </x:row>
    <x:row r="496">
      <x:c r="A496" t="str">
        <x:v>规则子类</x:v>
      </x:c>
      <x:c r="B496" t="str">
        <x:v>M10-BOUND</x:v>
      </x:c>
      <x:c r="C496" t="str">
        <x:v>M10｜十神判断边界</x:v>
      </x:c>
      <x:c r="D496" t="str">
        <x:v>M10中用于旺衰吉凶分离、象义事件隔离、静动态分离、争议治理和标准输出。</x:v>
      </x:c>
      <x:c r="E496" t="str">
        <x:v>子类代码</x:v>
      </x:c>
      <x:c r="F496" t="n">
        <x:v>81</x:v>
      </x:c>
      <x:c r="G496" t="str">
        <x:v>是</x:v>
      </x:c>
      <x:c r="H496" t="str">
        <x:v>首次用于V0.8</x:v>
      </x:c>
    </x:row>
    <x:row r="497">
      <x:c r="A497" t="str">
        <x:v>版本号</x:v>
      </x:c>
      <x:c r="B497" t="str">
        <x:v>VER13</x:v>
      </x:c>
      <x:c r="C497" t="str">
        <x:v>V0.9</x:v>
      </x:c>
      <x:c r="D497" t="str">
        <x:v>版本号的标准选项：V0.9。完成M11十神组合成立核心规则。</x:v>
      </x:c>
      <x:c r="E497" t="str">
        <x:v>版本号</x:v>
      </x:c>
      <x:c r="F497" t="n">
        <x:v>9</x:v>
      </x:c>
      <x:c r="G497" t="str">
        <x:v>是</x:v>
      </x:c>
      <x:c r="H497" t="str">
        <x:v>十神组合成立规则版</x:v>
      </x:c>
    </x:row>
    <x:row r="498">
      <x:c r="A498" t="str">
        <x:v>规则子类</x:v>
      </x:c>
      <x:c r="B498" t="str">
        <x:v>M11-GEN</x:v>
      </x:c>
      <x:c r="C498" t="str">
        <x:v>M11｜组合通用判定</x:v>
      </x:c>
      <x:c r="D498" t="str">
        <x:v>M11中用于候选生成、路径必要性、力量匹配、日主承载、容量去重、破坏救应及格局分层。</x:v>
      </x:c>
      <x:c r="E498" t="str">
        <x:v>子类代码</x:v>
      </x:c>
      <x:c r="F498" t="n">
        <x:v>82</x:v>
      </x:c>
      <x:c r="G498" t="str">
        <x:v>是</x:v>
      </x:c>
      <x:c r="H498" t="str">
        <x:v>首次用于V0.9</x:v>
      </x:c>
    </x:row>
    <x:row r="499">
      <x:c r="A499" t="str">
        <x:v>规则子类</x:v>
      </x:c>
      <x:c r="B499" t="str">
        <x:v>M11-SHIZHI</x:v>
      </x:c>
      <x:c r="C499" t="str">
        <x:v>M11｜食神制杀</x:v>
      </x:c>
      <x:c r="D499" t="str">
        <x:v>M11中用于食神制杀的主体客体、制杀比例、枭夺食、财制枭、制杀太过与承载。</x:v>
      </x:c>
      <x:c r="E499" t="str">
        <x:v>子类代码</x:v>
      </x:c>
      <x:c r="F499" t="n">
        <x:v>83</x:v>
      </x:c>
      <x:c r="G499" t="str">
        <x:v>是</x:v>
      </x:c>
      <x:c r="H499" t="str">
        <x:v>首次用于V0.9</x:v>
      </x:c>
    </x:row>
    <x:row r="500">
      <x:c r="A500" t="str">
        <x:v>规则子类</x:v>
      </x:c>
      <x:c r="B500" t="str">
        <x:v>M11-SHAYIN</x:v>
      </x:c>
      <x:c r="C500" t="str">
        <x:v>M11｜杀印相生</x:v>
      </x:c>
      <x:c r="D500" t="str">
        <x:v>M11中用于七杀生印、印生身、化杀不及、财坏印及制化路线竞争。</x:v>
      </x:c>
      <x:c r="E500" t="str">
        <x:v>子类代码</x:v>
      </x:c>
      <x:c r="F500" t="n">
        <x:v>84</x:v>
      </x:c>
      <x:c r="G500" t="str">
        <x:v>是</x:v>
      </x:c>
      <x:c r="H500" t="str">
        <x:v>首次用于V0.9</x:v>
      </x:c>
    </x:row>
    <x:row r="501">
      <x:c r="A501" t="str">
        <x:v>规则子类</x:v>
      </x:c>
      <x:c r="B501" t="str">
        <x:v>M11-GUANYIN</x:v>
      </x:c>
      <x:c r="C501" t="str">
        <x:v>M11｜官印相生</x:v>
      </x:c>
      <x:c r="D501" t="str">
        <x:v>M11中用于官生印、印生身、伤官破官、财星双效与清纯增强。</x:v>
      </x:c>
      <x:c r="E501" t="str">
        <x:v>子类代码</x:v>
      </x:c>
      <x:c r="F501" t="n">
        <x:v>85</x:v>
      </x:c>
      <x:c r="G501" t="str">
        <x:v>是</x:v>
      </x:c>
      <x:c r="H501" t="str">
        <x:v>首次用于V0.9</x:v>
      </x:c>
    </x:row>
    <x:row r="502">
      <x:c r="A502" t="str">
        <x:v>规则子类</x:v>
      </x:c>
      <x:c r="B502" t="str">
        <x:v>M11-SHANGYIN</x:v>
      </x:c>
      <x:c r="C502" t="str">
        <x:v>M11｜伤官配印</x:v>
      </x:c>
      <x:c r="D502" t="str">
        <x:v>M11中用于伤官与印星力量匹配、财坏印、印制太过、日主承载及救官。</x:v>
      </x:c>
      <x:c r="E502" t="str">
        <x:v>子类代码</x:v>
      </x:c>
      <x:c r="F502" t="n">
        <x:v>86</x:v>
      </x:c>
      <x:c r="G502" t="str">
        <x:v>是</x:v>
      </x:c>
      <x:c r="H502" t="str">
        <x:v>首次用于V0.9</x:v>
      </x:c>
    </x:row>
    <x:row r="503">
      <x:c r="A503" t="str">
        <x:v>规则子类</x:v>
      </x:c>
      <x:c r="B503" t="str">
        <x:v>M11-SHENGCAI</x:v>
      </x:c>
      <x:c r="C503" t="str">
        <x:v>M11｜食伤生财</x:v>
      </x:c>
      <x:c r="D503" t="str">
        <x:v>M11中用于食神生财、伤官生财、财星承载、比劫破财、印制食伤及身强弱负荷。</x:v>
      </x:c>
      <x:c r="E503" t="str">
        <x:v>子类代码</x:v>
      </x:c>
      <x:c r="F503" t="n">
        <x:v>87</x:v>
      </x:c>
      <x:c r="G503" t="str">
        <x:v>是</x:v>
      </x:c>
      <x:c r="H503" t="str">
        <x:v>首次用于V0.9</x:v>
      </x:c>
    </x:row>
    <x:row r="504">
      <x:c r="A504" t="str">
        <x:v>规则子类</x:v>
      </x:c>
      <x:c r="B504" t="str">
        <x:v>M11-CAIGUAN</x:v>
      </x:c>
      <x:c r="C504" t="str">
        <x:v>M11｜财官生化链</x:v>
      </x:c>
      <x:c r="D504" t="str">
        <x:v>M11中用于财生官、财生杀、财官印相生、财坏印副作用及日主承载。</x:v>
      </x:c>
      <x:c r="E504" t="str">
        <x:v>子类代码</x:v>
      </x:c>
      <x:c r="F504" t="n">
        <x:v>88</x:v>
      </x:c>
      <x:c r="G504" t="str">
        <x:v>是</x:v>
      </x:c>
      <x:c r="H504" t="str">
        <x:v>首次用于V0.9</x:v>
      </x:c>
    </x:row>
    <x:row r="505">
      <x:c r="A505" t="str">
        <x:v>规则子类</x:v>
      </x:c>
      <x:c r="B505" t="str">
        <x:v>M11-BALANCE</x:v>
      </x:c>
      <x:c r="C505" t="str">
        <x:v>M11｜平衡承载组合</x:v>
      </x:c>
      <x:c r="D505" t="str">
        <x:v>M11中用于身财两停、身官两停、身杀两停、身旺任财官及身弱得印比承载。</x:v>
      </x:c>
      <x:c r="E505" t="str">
        <x:v>子类代码</x:v>
      </x:c>
      <x:c r="F505" t="n">
        <x:v>89</x:v>
      </x:c>
      <x:c r="G505" t="str">
        <x:v>是</x:v>
      </x:c>
      <x:c r="H505" t="str">
        <x:v>首次用于V0.9</x:v>
      </x:c>
    </x:row>
    <x:row r="506">
      <x:c r="A506" t="str">
        <x:v>规则子类</x:v>
      </x:c>
      <x:c r="B506" t="str">
        <x:v>M11-PATH</x:v>
      </x:c>
      <x:c r="C506" t="str">
        <x:v>M11｜其他制化路径</x:v>
      </x:c>
      <x:c r="D506" t="str">
        <x:v>M11中用于比劫制财护身、羊刃驾杀、印化官杀与食伤泄秀等结构。</x:v>
      </x:c>
      <x:c r="E506" t="str">
        <x:v>子类代码</x:v>
      </x:c>
      <x:c r="F506" t="n">
        <x:v>90</x:v>
      </x:c>
      <x:c r="G506" t="str">
        <x:v>是</x:v>
      </x:c>
      <x:c r="H506" t="str">
        <x:v>首次用于V0.9</x:v>
      </x:c>
    </x:row>
    <x:row r="507">
      <x:c r="A507" t="str">
        <x:v>规则子类</x:v>
      </x:c>
      <x:c r="B507" t="str">
        <x:v>M11-CONFLICT</x:v>
      </x:c>
      <x:c r="C507" t="str">
        <x:v>M11｜冲突病态组合</x:v>
      </x:c>
      <x:c r="D507" t="str">
        <x:v>M11中用于伤官见官、枭神夺食、比劫夺财、财坏印、官杀混杂、制杀太过、财多身弱等。</x:v>
      </x:c>
      <x:c r="E507" t="str">
        <x:v>子类代码</x:v>
      </x:c>
      <x:c r="F507" t="n">
        <x:v>91</x:v>
      </x:c>
      <x:c r="G507" t="str">
        <x:v>是</x:v>
      </x:c>
      <x:c r="H507" t="str">
        <x:v>首次用于V0.9</x:v>
      </x:c>
    </x:row>
    <x:row r="508">
      <x:c r="A508" t="str">
        <x:v>规则子类</x:v>
      </x:c>
      <x:c r="B508" t="str">
        <x:v>M11-BOUND</x:v>
      </x:c>
      <x:c r="C508" t="str">
        <x:v>M11｜组合判断边界</x:v>
      </x:c>
      <x:c r="D508" t="str">
        <x:v>M11中用于组合命名、位置、藏干、共享节点、静动态、口诀条件化、流派治理和标准输出。</x:v>
      </x:c>
      <x:c r="E508" t="str">
        <x:v>子类代码</x:v>
      </x:c>
      <x:c r="F508" t="n">
        <x:v>92</x:v>
      </x:c>
      <x:c r="G508" t="str">
        <x:v>是</x:v>
      </x:c>
      <x:c r="H508" t="str">
        <x:v>首次用于V0.9</x:v>
      </x:c>
    </x:row>
    <x:row r="509">
      <x:c r="A509" t="str">
        <x:v>版本号</x:v>
      </x:c>
      <x:c r="B509" t="str">
        <x:v>VER14</x:v>
      </x:c>
      <x:c r="C509" t="str">
        <x:v>V1.0</x:v>
      </x:c>
      <x:c r="D509" t="str">
        <x:v>版本号的标准选项：V1.0。完成M12五行流通卡点核心规则。</x:v>
      </x:c>
      <x:c r="E509" t="str">
        <x:v>版本号</x:v>
      </x:c>
      <x:c r="F509" t="n">
        <x:v>10</x:v>
      </x:c>
      <x:c r="G509" t="str">
        <x:v>是</x:v>
      </x:c>
      <x:c r="H509" t="str">
        <x:v>五行流通卡点规则版</x:v>
      </x:c>
    </x:row>
    <x:row r="510">
      <x:c r="A510" t="str">
        <x:v>规则子类</x:v>
      </x:c>
      <x:c r="B510" t="str">
        <x:v>M12-GEN</x:v>
      </x:c>
      <x:c r="C510" t="str">
        <x:v>M12｜流通通用模型</x:v>
      </x:c>
      <x:c r="D510" t="str">
        <x:v>M12中用于起点—桥梁—终点模型、有效力量、路径长度、节点容量、主路径与局部/全局流通边界。</x:v>
      </x:c>
      <x:c r="E510" t="str">
        <x:v>子类代码</x:v>
      </x:c>
      <x:c r="F510" t="n">
        <x:v>93</x:v>
      </x:c>
      <x:c r="G510" t="str">
        <x:v>是</x:v>
      </x:c>
      <x:c r="H510" t="str">
        <x:v>首次用于V1.0</x:v>
      </x:c>
    </x:row>
    <x:row r="511">
      <x:c r="A511" t="str">
        <x:v>规则子类</x:v>
      </x:c>
      <x:c r="B511" t="str">
        <x:v>M12-SOURCE</x:v>
      </x:c>
      <x:c r="C511" t="str">
        <x:v>M12｜源头状态</x:v>
      </x:c>
      <x:c r="D511" t="str">
        <x:v>M12中用于强源无泄、弱源不足、源头受克合、多源供给与入口拥堵。</x:v>
      </x:c>
      <x:c r="E511" t="str">
        <x:v>子类代码</x:v>
      </x:c>
      <x:c r="F511" t="n">
        <x:v>94</x:v>
      </x:c>
      <x:c r="G511" t="str">
        <x:v>是</x:v>
      </x:c>
      <x:c r="H511" t="str">
        <x:v>首次用于V1.0</x:v>
      </x:c>
    </x:row>
    <x:row r="512">
      <x:c r="A512" t="str">
        <x:v>规则子类</x:v>
      </x:c>
      <x:c r="B512" t="str">
        <x:v>M12-BRIDGE</x:v>
      </x:c>
      <x:c r="C512" t="str">
        <x:v>M12｜桥梁有效性</x:v>
      </x:c>
      <x:c r="D512" t="str">
        <x:v>M12中用于桥梁强弱、受克、合绊、改性、寒凝燥枯、共享容量与通关稳定性。</x:v>
      </x:c>
      <x:c r="E512" t="str">
        <x:v>子类代码</x:v>
      </x:c>
      <x:c r="F512" t="n">
        <x:v>95</x:v>
      </x:c>
      <x:c r="G512" t="str">
        <x:v>是</x:v>
      </x:c>
      <x:c r="H512" t="str">
        <x:v>首次用于V1.0</x:v>
      </x:c>
    </x:row>
    <x:row r="513">
      <x:c r="A513" t="str">
        <x:v>规则子类</x:v>
      </x:c>
      <x:c r="B513" t="str">
        <x:v>M12-END</x:v>
      </x:c>
      <x:c r="C513" t="str">
        <x:v>M12｜终点承载</x:v>
      </x:c>
      <x:c r="D513" t="str">
        <x:v>M12中用于终点过弱、过旺反制、受克、改性、多源汇聚及阶段性终点承载。</x:v>
      </x:c>
      <x:c r="E513" t="str">
        <x:v>子类代码</x:v>
      </x:c>
      <x:c r="F513" t="n">
        <x:v>96</x:v>
      </x:c>
      <x:c r="G513" t="str">
        <x:v>是</x:v>
      </x:c>
      <x:c r="H513" t="str">
        <x:v>首次用于V1.0</x:v>
      </x:c>
    </x:row>
    <x:row r="514">
      <x:c r="A514" t="str">
        <x:v>规则子类</x:v>
      </x:c>
      <x:c r="B514" t="str">
        <x:v>M12-BLOCK</x:v>
      </x:c>
      <x:c r="C514" t="str">
        <x:v>M12｜典型卡点</x:v>
      </x:c>
      <x:c r="D514" t="str">
        <x:v>M12中用于缺桥、桥弱、桥被克合、源头无泄、终点失衡、两强相战、寒凝燥枯、链长与回流壅塞。</x:v>
      </x:c>
      <x:c r="E514" t="str">
        <x:v>子类代码</x:v>
      </x:c>
      <x:c r="F514" t="n">
        <x:v>97</x:v>
      </x:c>
      <x:c r="G514" t="str">
        <x:v>是</x:v>
      </x:c>
      <x:c r="H514" t="str">
        <x:v>首次用于V1.0</x:v>
      </x:c>
    </x:row>
    <x:row r="515">
      <x:c r="A515" t="str">
        <x:v>规则子类</x:v>
      </x:c>
      <x:c r="B515" t="str">
        <x:v>M12-WUXING</x:v>
      </x:c>
      <x:c r="C515" t="str">
        <x:v>M12｜五行生化与通关</x:v>
      </x:c>
      <x:c r="D515" t="str">
        <x:v>M12中用于五组连续生化链及五组克战通关的标准路径。</x:v>
      </x:c>
      <x:c r="E515" t="str">
        <x:v>子类代码</x:v>
      </x:c>
      <x:c r="F515" t="n">
        <x:v>98</x:v>
      </x:c>
      <x:c r="G515" t="str">
        <x:v>是</x:v>
      </x:c>
      <x:c r="H515" t="str">
        <x:v>首次用于V1.0</x:v>
      </x:c>
    </x:row>
    <x:row r="516">
      <x:c r="A516" t="str">
        <x:v>规则子类</x:v>
      </x:c>
      <x:c r="B516" t="str">
        <x:v>M12-TENGOD</x:v>
      </x:c>
      <x:c r="C516" t="str">
        <x:v>M12｜十神功能路径</x:v>
      </x:c>
      <x:c r="D516" t="str">
        <x:v>M12中用于官杀印身、身食伤财、食伤财官杀、财官印等十神连续流通路径。</x:v>
      </x:c>
      <x:c r="E516" t="str">
        <x:v>子类代码</x:v>
      </x:c>
      <x:c r="F516" t="n">
        <x:v>99</x:v>
      </x:c>
      <x:c r="G516" t="str">
        <x:v>是</x:v>
      </x:c>
      <x:c r="H516" t="str">
        <x:v>首次用于V1.0</x:v>
      </x:c>
    </x:row>
    <x:row r="517">
      <x:c r="A517" t="str">
        <x:v>规则子类</x:v>
      </x:c>
      <x:c r="B517" t="str">
        <x:v>M12-TONGGUAN</x:v>
      </x:c>
      <x:c r="C517" t="str">
        <x:v>M12｜通关候选与副作用</x:v>
      </x:c>
      <x:c r="D517" t="str">
        <x:v>M12中用于通关双向条件、力量门槛、受克合、寒湿燥热及破坏组合等副作用。</x:v>
      </x:c>
      <x:c r="E517" t="str">
        <x:v>子类代码</x:v>
      </x:c>
      <x:c r="F517" t="n">
        <x:v>100</x:v>
      </x:c>
      <x:c r="G517" t="str">
        <x:v>是</x:v>
      </x:c>
      <x:c r="H517" t="str">
        <x:v>首次用于V1.0</x:v>
      </x:c>
    </x:row>
    <x:row r="518">
      <x:c r="A518" t="str">
        <x:v>规则子类</x:v>
      </x:c>
      <x:c r="B518" t="str">
        <x:v>M12-AGG</x:v>
      </x:c>
      <x:c r="C518" t="str">
        <x:v>M12｜流通综合输出</x:v>
      </x:c>
      <x:c r="D518" t="str">
        <x:v>M12中用于主路径、主卡点、反向证据、通关排序和标准输出。</x:v>
      </x:c>
      <x:c r="E518" t="str">
        <x:v>子类代码</x:v>
      </x:c>
      <x:c r="F518" t="n">
        <x:v>101</x:v>
      </x:c>
      <x:c r="G518" t="str">
        <x:v>是</x:v>
      </x:c>
      <x:c r="H518" t="str">
        <x:v>首次用于V1.0</x:v>
      </x:c>
    </x:row>
    <x:row r="519">
      <x:c r="A519" t="str">
        <x:v>规则子类</x:v>
      </x:c>
      <x:c r="B519" t="str">
        <x:v>M12-BOUND</x:v>
      </x:c>
      <x:c r="C519" t="str">
        <x:v>M12｜流通判断边界</x:v>
      </x:c>
      <x:c r="D519" t="str">
        <x:v>M12中用于禁止缺啥补啥、旺衰与流通分离、流通与喜忌分离及静动态边界。</x:v>
      </x:c>
      <x:c r="E519" t="str">
        <x:v>子类代码</x:v>
      </x:c>
      <x:c r="F519" t="n">
        <x:v>102</x:v>
      </x:c>
      <x:c r="G519" t="str">
        <x:v>是</x:v>
      </x:c>
      <x:c r="H519" t="str">
        <x:v>首次用于V1.0</x:v>
      </x:c>
    </x:row>
    <x:row r="520">
      <x:c r="A520" t="str">
        <x:v>版本号</x:v>
      </x:c>
      <x:c r="B520" t="str">
        <x:v>VER15</x:v>
      </x:c>
      <x:c r="C520" t="str">
        <x:v>V1.1</x:v>
      </x:c>
      <x:c r="D520" t="str">
        <x:v>版本号的标准选项：V1.1。完成M13寒暖燥湿核心规则。</x:v>
      </x:c>
      <x:c r="E520" t="str">
        <x:v>版本号</x:v>
      </x:c>
      <x:c r="F520" t="n">
        <x:v>11</x:v>
      </x:c>
      <x:c r="G520" t="str">
        <x:v>是</x:v>
      </x:c>
      <x:c r="H520" t="str">
        <x:v>寒暖燥湿规则版</x:v>
      </x:c>
    </x:row>
    <x:row r="521">
      <x:c r="A521" t="str">
        <x:v>规则子类</x:v>
      </x:c>
      <x:c r="B521" t="str">
        <x:v>M13-GEN</x:v>
      </x:c>
      <x:c r="C521" t="str">
        <x:v>M13｜调候通用模型</x:v>
      </x:c>
      <x:c r="D521" t="str">
        <x:v>M13中用于寒暖/燥湿双轴、月令基准、五级状态、有效力量、调候与扶抑分离及极端优先级。</x:v>
      </x:c>
      <x:c r="E521" t="str">
        <x:v>子类代码</x:v>
      </x:c>
      <x:c r="F521" t="n">
        <x:v>103</x:v>
      </x:c>
      <x:c r="G521" t="str">
        <x:v>是</x:v>
      </x:c>
      <x:c r="H521" t="str">
        <x:v>首次用于V1.1</x:v>
      </x:c>
    </x:row>
    <x:row r="522">
      <x:c r="A522" t="str">
        <x:v>规则子类</x:v>
      </x:c>
      <x:c r="B522" t="str">
        <x:v>M13-SEASON</x:v>
      </x:c>
      <x:c r="C522" t="str">
        <x:v>M13｜月令气候基准</x:v>
      </x:c>
      <x:c r="D522" t="str">
        <x:v>M13中用于十二月令的初始温度、湿度倾向及其条件化修正。</x:v>
      </x:c>
      <x:c r="E522" t="str">
        <x:v>子类代码</x:v>
      </x:c>
      <x:c r="F522" t="n">
        <x:v>104</x:v>
      </x:c>
      <x:c r="G522" t="str">
        <x:v>是</x:v>
      </x:c>
      <x:c r="H522" t="str">
        <x:v>首次用于V1.1</x:v>
      </x:c>
    </x:row>
    <x:row r="523">
      <x:c r="A523" t="str">
        <x:v>规则子类</x:v>
      </x:c>
      <x:c r="B523" t="str">
        <x:v>M13-TEMP</x:v>
      </x:c>
      <x:c r="C523" t="str">
        <x:v>M13｜寒暖修正</x:v>
      </x:c>
      <x:c r="D523" t="str">
        <x:v>M13中用于火水木土金对温度轴的有效修正、平衡与极端功能化。</x:v>
      </x:c>
      <x:c r="E523" t="str">
        <x:v>子类代码</x:v>
      </x:c>
      <x:c r="F523" t="n">
        <x:v>105</x:v>
      </x:c>
      <x:c r="G523" t="str">
        <x:v>是</x:v>
      </x:c>
      <x:c r="H523" t="str">
        <x:v>首次用于V1.1</x:v>
      </x:c>
    </x:row>
    <x:row r="524">
      <x:c r="A524" t="str">
        <x:v>规则子类</x:v>
      </x:c>
      <x:c r="B524" t="str">
        <x:v>M13-HUMID</x:v>
      </x:c>
      <x:c r="C524" t="str">
        <x:v>M13｜燥湿修正</x:v>
      </x:c>
      <x:c r="D524" t="str">
        <x:v>M13中用于水、湿土、燥土、火、木对湿度轴的修正及极端功能化。</x:v>
      </x:c>
      <x:c r="E524" t="str">
        <x:v>子类代码</x:v>
      </x:c>
      <x:c r="F524" t="n">
        <x:v>106</x:v>
      </x:c>
      <x:c r="G524" t="str">
        <x:v>是</x:v>
      </x:c>
      <x:c r="H524" t="str">
        <x:v>首次用于V1.1</x:v>
      </x:c>
    </x:row>
    <x:row r="525">
      <x:c r="A525" t="str">
        <x:v>规则子类</x:v>
      </x:c>
      <x:c r="B525" t="str">
        <x:v>M13-COMBO</x:v>
      </x:c>
      <x:c r="C525" t="str">
        <x:v>M13｜双轴组合状态</x:v>
      </x:c>
      <x:c r="D525" t="str">
        <x:v>M13中用于寒湿、寒燥、暖湿、暖燥及温度平衡下偏湿偏燥等复合状态。</x:v>
      </x:c>
      <x:c r="E525" t="str">
        <x:v>子类代码</x:v>
      </x:c>
      <x:c r="F525" t="n">
        <x:v>107</x:v>
      </x:c>
      <x:c r="G525" t="str">
        <x:v>是</x:v>
      </x:c>
      <x:c r="H525" t="str">
        <x:v>首次用于V1.1</x:v>
      </x:c>
    </x:row>
    <x:row r="526">
      <x:c r="A526" t="str">
        <x:v>规则子类</x:v>
      </x:c>
      <x:c r="B526" t="str">
        <x:v>M13-EFFECT</x:v>
      </x:c>
      <x:c r="C526" t="str">
        <x:v>M13｜调候元素有效性</x:v>
      </x:c>
      <x:c r="D526" t="str">
        <x:v>M13中用于调候五行不现、无根、有根、受克、合绊、改性、过度和作用路径。</x:v>
      </x:c>
      <x:c r="E526" t="str">
        <x:v>子类代码</x:v>
      </x:c>
      <x:c r="F526" t="n">
        <x:v>108</x:v>
      </x:c>
      <x:c r="G526" t="str">
        <x:v>是</x:v>
      </x:c>
      <x:c r="H526" t="str">
        <x:v>首次用于V1.1</x:v>
      </x:c>
    </x:row>
    <x:row r="527">
      <x:c r="A527" t="str">
        <x:v>规则子类</x:v>
      </x:c>
      <x:c r="B527" t="str">
        <x:v>M13-CONFLICT</x:v>
      </x:c>
      <x:c r="C527" t="str">
        <x:v>M13｜调候冲突与优先级</x:v>
      </x:c>
      <x:c r="D527" t="str">
        <x:v>M13中用于调候与扶抑、格局、通关的一致、冲突、特殊格局约束及根本病升级。</x:v>
      </x:c>
      <x:c r="E527" t="str">
        <x:v>子类代码</x:v>
      </x:c>
      <x:c r="F527" t="n">
        <x:v>109</x:v>
      </x:c>
      <x:c r="G527" t="str">
        <x:v>是</x:v>
      </x:c>
      <x:c r="H527" t="str">
        <x:v>首次用于V1.1</x:v>
      </x:c>
    </x:row>
    <x:row r="528">
      <x:c r="A528" t="str">
        <x:v>规则子类</x:v>
      </x:c>
      <x:c r="B528" t="str">
        <x:v>M13-BOUND</x:v>
      </x:c>
      <x:c r="C528" t="str">
        <x:v>M13｜调候判断边界</x:v>
      </x:c>
      <x:c r="D528" t="str">
        <x:v>M13中用于冬夏非自动极端、剂量边界、土性条件化、事件隔离和标准输出。</x:v>
      </x:c>
      <x:c r="E528" t="str">
        <x:v>子类代码</x:v>
      </x:c>
      <x:c r="F528" t="n">
        <x:v>110</x:v>
      </x:c>
      <x:c r="G528" t="str">
        <x:v>是</x:v>
      </x:c>
      <x:c r="H528" t="str">
        <x:v>首次用于V1.1</x:v>
      </x:c>
    </x:row>
    <x:row r="529">
      <x:c r="A529" t="str">
        <x:v>版本号</x:v>
      </x:c>
      <x:c r="B529" t="str">
        <x:v>VER16</x:v>
      </x:c>
      <x:c r="C529" t="str">
        <x:v>V1.2</x:v>
      </x:c>
      <x:c r="D529" t="str">
        <x:v>版本号的标准选项：V1.2。完成M14格局候选判断核心规则。</x:v>
      </x:c>
      <x:c r="E529" t="str">
        <x:v>版本号</x:v>
      </x:c>
      <x:c r="F529" t="n">
        <x:v>12</x:v>
      </x:c>
      <x:c r="G529" t="str">
        <x:v>是</x:v>
      </x:c>
      <x:c r="H529" t="str">
        <x:v>格局候选判断规则版</x:v>
      </x:c>
    </x:row>
    <x:row r="530">
      <x:c r="A530" t="str">
        <x:v>规则子类</x:v>
      </x:c>
      <x:c r="B530" t="str">
        <x:v>M14-GEN</x:v>
      </x:c>
      <x:c r="C530" t="str">
        <x:v>M14｜候选通用规则</x:v>
      </x:c>
      <x:c r="D530" t="str">
        <x:v>M14中用于多候选生成、月令主气、中余气透干、格神有效性、日主配合、清纯度与组合分层。</x:v>
      </x:c>
      <x:c r="E530" t="str">
        <x:v>子类代码</x:v>
      </x:c>
      <x:c r="F530" t="n">
        <x:v>111</x:v>
      </x:c>
      <x:c r="G530" t="str">
        <x:v>是</x:v>
      </x:c>
      <x:c r="H530" t="str">
        <x:v>首次用于V1.2</x:v>
      </x:c>
    </x:row>
    <x:row r="531">
      <x:c r="A531" t="str">
        <x:v>规则子类</x:v>
      </x:c>
      <x:c r="B531" t="str">
        <x:v>M14-GUAN</x:v>
      </x:c>
      <x:c r="C531" t="str">
        <x:v>M14｜正官格候选</x:v>
      </x:c>
      <x:c r="D531" t="str">
        <x:v>M14中用于正官格的月令来源、官印财官增强、伤官破官与官杀混杂。</x:v>
      </x:c>
      <x:c r="E531" t="str">
        <x:v>子类代码</x:v>
      </x:c>
      <x:c r="F531" t="n">
        <x:v>112</x:v>
      </x:c>
      <x:c r="G531" t="str">
        <x:v>是</x:v>
      </x:c>
      <x:c r="H531" t="str">
        <x:v>首次用于V1.2</x:v>
      </x:c>
    </x:row>
    <x:row r="532">
      <x:c r="A532" t="str">
        <x:v>规则子类</x:v>
      </x:c>
      <x:c r="B532" t="str">
        <x:v>M14-SHA</x:v>
      </x:c>
      <x:c r="C532" t="str">
        <x:v>M14｜七杀格候选</x:v>
      </x:c>
      <x:c r="D532" t="str">
        <x:v>M14中用于七杀格的月令来源、食制杀印增强、杀弱否决与官杀混杂。</x:v>
      </x:c>
      <x:c r="E532" t="str">
        <x:v>子类代码</x:v>
      </x:c>
      <x:c r="F532" t="n">
        <x:v>113</x:v>
      </x:c>
      <x:c r="G532" t="str">
        <x:v>是</x:v>
      </x:c>
      <x:c r="H532" t="str">
        <x:v>首次用于V1.2</x:v>
      </x:c>
    </x:row>
    <x:row r="533">
      <x:c r="A533" t="str">
        <x:v>规则子类</x:v>
      </x:c>
      <x:c r="B533" t="str">
        <x:v>M14-YIN</x:v>
      </x:c>
      <x:c r="C533" t="str">
        <x:v>M14｜印格候选</x:v>
      </x:c>
      <x:c r="D533" t="str">
        <x:v>M14中用于正印、偏印候选、官印杀印增强、财破印与印枭混杂。</x:v>
      </x:c>
      <x:c r="E533" t="str">
        <x:v>子类代码</x:v>
      </x:c>
      <x:c r="F533" t="n">
        <x:v>114</x:v>
      </x:c>
      <x:c r="G533" t="str">
        <x:v>是</x:v>
      </x:c>
      <x:c r="H533" t="str">
        <x:v>首次用于V1.2</x:v>
      </x:c>
    </x:row>
    <x:row r="534">
      <x:c r="A534" t="str">
        <x:v>规则子类</x:v>
      </x:c>
      <x:c r="B534" t="str">
        <x:v>M14-CAI</x:v>
      </x:c>
      <x:c r="C534" t="str">
        <x:v>M14｜财格候选</x:v>
      </x:c>
      <x:c r="D534" t="str">
        <x:v>M14中用于正财、偏财候选、食伤生财、财官相生、比劫破财与身弱承载。</x:v>
      </x:c>
      <x:c r="E534" t="str">
        <x:v>子类代码</x:v>
      </x:c>
      <x:c r="F534" t="n">
        <x:v>115</x:v>
      </x:c>
      <x:c r="G534" t="str">
        <x:v>是</x:v>
      </x:c>
      <x:c r="H534" t="str">
        <x:v>首次用于V1.2</x:v>
      </x:c>
    </x:row>
    <x:row r="535">
      <x:c r="A535" t="str">
        <x:v>规则子类</x:v>
      </x:c>
      <x:c r="B535" t="str">
        <x:v>M14-SHISHANG</x:v>
      </x:c>
      <x:c r="C535" t="str">
        <x:v>M14｜食伤格候选</x:v>
      </x:c>
      <x:c r="D535" t="str">
        <x:v>M14中用于食神格、伤官格、生财、制杀、配印、枭夺食与伤官见官。</x:v>
      </x:c>
      <x:c r="E535" t="str">
        <x:v>子类代码</x:v>
      </x:c>
      <x:c r="F535" t="n">
        <x:v>116</x:v>
      </x:c>
      <x:c r="G535" t="str">
        <x:v>是</x:v>
      </x:c>
      <x:c r="H535" t="str">
        <x:v>首次用于V1.2</x:v>
      </x:c>
    </x:row>
    <x:row r="536">
      <x:c r="A536" t="str">
        <x:v>规则子类</x:v>
      </x:c>
      <x:c r="B536" t="str">
        <x:v>M14-JIANREN</x:v>
      </x:c>
      <x:c r="C536" t="str">
        <x:v>M14｜建禄羊刃候选</x:v>
      </x:c>
      <x:c r="D536" t="str">
        <x:v>M14中用于建禄、羊刃月令映射、取用方向、驾杀、壅塞及阴干羊刃争议。</x:v>
      </x:c>
      <x:c r="E536" t="str">
        <x:v>子类代码</x:v>
      </x:c>
      <x:c r="F536" t="n">
        <x:v>117</x:v>
      </x:c>
      <x:c r="G536" t="str">
        <x:v>是</x:v>
      </x:c>
      <x:c r="H536" t="str">
        <x:v>首次用于V1.2</x:v>
      </x:c>
    </x:row>
    <x:row r="537">
      <x:c r="A537" t="str">
        <x:v>规则子类</x:v>
      </x:c>
      <x:c r="B537" t="str">
        <x:v>M14-CONG</x:v>
      </x:c>
      <x:c r="C537" t="str">
        <x:v>M14｜从格候选</x:v>
      </x:c>
      <x:c r="D537" t="str">
        <x:v>M14中用于从财、从官杀、从儿、从旺、从强、从势、假从及强根否决。</x:v>
      </x:c>
      <x:c r="E537" t="str">
        <x:v>子类代码</x:v>
      </x:c>
      <x:c r="F537" t="n">
        <x:v>118</x:v>
      </x:c>
      <x:c r="G537" t="str">
        <x:v>是</x:v>
      </x:c>
      <x:c r="H537" t="str">
        <x:v>首次用于V1.2</x:v>
      </x:c>
    </x:row>
    <x:row r="538">
      <x:c r="A538" t="str">
        <x:v>规则子类</x:v>
      </x:c>
      <x:c r="B538" t="str">
        <x:v>M14-HUAQI</x:v>
      </x:c>
      <x:c r="C538" t="str">
        <x:v>M14｜化气格候选</x:v>
      </x:c>
      <x:c r="D538" t="str">
        <x:v>M14中用于化气通用硬门槛及甲己、乙庚、丙辛、丁壬、戊癸五组化气候选。</x:v>
      </x:c>
      <x:c r="E538" t="str">
        <x:v>子类代码</x:v>
      </x:c>
      <x:c r="F538" t="n">
        <x:v>119</x:v>
      </x:c>
      <x:c r="G538" t="str">
        <x:v>是</x:v>
      </x:c>
      <x:c r="H538" t="str">
        <x:v>首次用于V1.2</x:v>
      </x:c>
    </x:row>
    <x:row r="539">
      <x:c r="A539" t="str">
        <x:v>规则子类</x:v>
      </x:c>
      <x:c r="B539" t="str">
        <x:v>M14-ZHUAN</x:v>
      </x:c>
      <x:c r="C539" t="str">
        <x:v>M14｜专旺候选</x:v>
      </x:c>
      <x:c r="D539" t="str">
        <x:v>M14中用于专旺通用门槛及曲直、炎上、稼穑、从革、润下五类候选。</x:v>
      </x:c>
      <x:c r="E539" t="str">
        <x:v>子类代码</x:v>
      </x:c>
      <x:c r="F539" t="n">
        <x:v>120</x:v>
      </x:c>
      <x:c r="G539" t="str">
        <x:v>是</x:v>
      </x:c>
      <x:c r="H539" t="str">
        <x:v>首次用于V1.2</x:v>
      </x:c>
    </x:row>
    <x:row r="540">
      <x:c r="A540" t="str">
        <x:v>规则子类</x:v>
      </x:c>
      <x:c r="B540" t="str">
        <x:v>M14-RANK</x:v>
      </x:c>
      <x:c r="C540" t="str">
        <x:v>M14｜候选排序</x:v>
      </x:c>
      <x:c r="D540" t="str">
        <x:v>M14中用于月令优先、特殊格严格、有效性优先、全局主导、并列保留与标准候选输出。</x:v>
      </x:c>
      <x:c r="E540" t="str">
        <x:v>子类代码</x:v>
      </x:c>
      <x:c r="F540" t="n">
        <x:v>121</x:v>
      </x:c>
      <x:c r="G540" t="str">
        <x:v>是</x:v>
      </x:c>
      <x:c r="H540" t="str">
        <x:v>首次用于V1.2</x:v>
      </x:c>
    </x:row>
    <x:row r="541">
      <x:c r="A541" t="str">
        <x:v>规则子类</x:v>
      </x:c>
      <x:c r="B541" t="str">
        <x:v>M14-BOUND</x:v>
      </x:c>
      <x:c r="C541" t="str">
        <x:v>M14｜格局候选边界</x:v>
      </x:c>
      <x:c r="D541" t="str">
        <x:v>M14中用于候选与成格分离、禁止月令一字定格、事件隔离与静动态分离。</x:v>
      </x:c>
      <x:c r="E541" t="str">
        <x:v>子类代码</x:v>
      </x:c>
      <x:c r="F541" t="n">
        <x:v>122</x:v>
      </x:c>
      <x:c r="G541" t="str">
        <x:v>是</x:v>
      </x:c>
      <x:c r="H541" t="str">
        <x:v>首次用于V1.2</x:v>
      </x:c>
    </x:row>
    <x:row r="542">
      <x:c r="A542" t="str">
        <x:v>版本号</x:v>
      </x:c>
      <x:c r="B542" t="str">
        <x:v>VER17</x:v>
      </x:c>
      <x:c r="C542" t="str">
        <x:v>V1.3</x:v>
      </x:c>
      <x:c r="D542" t="str">
        <x:v>版本号的标准选项：V1.3。完成M15格局成败救应核心规则。</x:v>
      </x:c>
      <x:c r="E542" t="str">
        <x:v>版本号</x:v>
      </x:c>
      <x:c r="F542" t="n">
        <x:v>13</x:v>
      </x:c>
      <x:c r="G542" t="str">
        <x:v>是</x:v>
      </x:c>
      <x:c r="H542" t="str">
        <x:v>格局成败救应规则版</x:v>
      </x:c>
    </x:row>
    <x:row r="543">
      <x:c r="A543" t="str">
        <x:v>规则子类</x:v>
      </x:c>
      <x:c r="B543" t="str">
        <x:v>M15-GEN</x:v>
      </x:c>
      <x:c r="C543" t="str">
        <x:v>M15｜成败通用规则</x:v>
      </x:c>
      <x:c r="D543" t="str">
        <x:v>M15中用于基本成立、清纯成立、轻微/一般/严重/根本破格、多重破格、救应与层次分离。</x:v>
      </x:c>
      <x:c r="E543" t="str">
        <x:v>子类代码</x:v>
      </x:c>
      <x:c r="F543" t="n">
        <x:v>123</x:v>
      </x:c>
      <x:c r="G543" t="str">
        <x:v>是</x:v>
      </x:c>
      <x:c r="H543" t="str">
        <x:v>首次用于V1.3</x:v>
      </x:c>
    </x:row>
    <x:row r="544">
      <x:c r="A544" t="str">
        <x:v>规则子类</x:v>
      </x:c>
      <x:c r="B544" t="str">
        <x:v>M15-GUAN</x:v>
      </x:c>
      <x:c r="C544" t="str">
        <x:v>M15｜正官格成败</x:v>
      </x:c>
      <x:c r="D544" t="str">
        <x:v>M15中用于正官格成格、官印财官增强、伤官破官、官杀混杂及清化救应。</x:v>
      </x:c>
      <x:c r="E544" t="str">
        <x:v>子类代码</x:v>
      </x:c>
      <x:c r="F544" t="n">
        <x:v>124</x:v>
      </x:c>
      <x:c r="G544" t="str">
        <x:v>是</x:v>
      </x:c>
      <x:c r="H544" t="str">
        <x:v>首次用于V1.3</x:v>
      </x:c>
    </x:row>
    <x:row r="545">
      <x:c r="A545" t="str">
        <x:v>规则子类</x:v>
      </x:c>
      <x:c r="B545" t="str">
        <x:v>M15-SHA</x:v>
      </x:c>
      <x:c r="C545" t="str">
        <x:v>M15｜七杀格成败</x:v>
      </x:c>
      <x:c r="D545" t="str">
        <x:v>M15中用于七杀格承载、食神制杀、杀印相生、无制无化、制杀太过、枭夺食及救应。</x:v>
      </x:c>
      <x:c r="E545" t="str">
        <x:v>子类代码</x:v>
      </x:c>
      <x:c r="F545" t="n">
        <x:v>125</x:v>
      </x:c>
      <x:c r="G545" t="str">
        <x:v>是</x:v>
      </x:c>
      <x:c r="H545" t="str">
        <x:v>首次用于V1.3</x:v>
      </x:c>
    </x:row>
    <x:row r="546">
      <x:c r="A546" t="str">
        <x:v>规则子类</x:v>
      </x:c>
      <x:c r="B546" t="str">
        <x:v>M15-YIN</x:v>
      </x:c>
      <x:c r="C546" t="str">
        <x:v>M15｜印格成败</x:v>
      </x:c>
      <x:c r="D546" t="str">
        <x:v>M15中用于正偏印格、官印杀印、财坏印、印多身滞、枭夺食、印枭混杂及护印救应。</x:v>
      </x:c>
      <x:c r="E546" t="str">
        <x:v>子类代码</x:v>
      </x:c>
      <x:c r="F546" t="n">
        <x:v>126</x:v>
      </x:c>
      <x:c r="G546" t="str">
        <x:v>是</x:v>
      </x:c>
      <x:c r="H546" t="str">
        <x:v>首次用于V1.3</x:v>
      </x:c>
    </x:row>
    <x:row r="547">
      <x:c r="A547" t="str">
        <x:v>规则子类</x:v>
      </x:c>
      <x:c r="B547" t="str">
        <x:v>M15-CAI</x:v>
      </x:c>
      <x:c r="C547" t="str">
        <x:v>M15｜财格成败</x:v>
      </x:c>
      <x:c r="D547" t="str">
        <x:v>M15中用于财格承载、食伤生财、财官相生、身弱不任、比劫夺财、财坏印及护财救应。</x:v>
      </x:c>
      <x:c r="E547" t="str">
        <x:v>子类代码</x:v>
      </x:c>
      <x:c r="F547" t="n">
        <x:v>127</x:v>
      </x:c>
      <x:c r="G547" t="str">
        <x:v>是</x:v>
      </x:c>
      <x:c r="H547" t="str">
        <x:v>首次用于V1.3</x:v>
      </x:c>
    </x:row>
    <x:row r="548">
      <x:c r="A548" t="str">
        <x:v>规则子类</x:v>
      </x:c>
      <x:c r="B548" t="str">
        <x:v>M15-SHISHANG</x:v>
      </x:c>
      <x:c r="C548" t="str">
        <x:v>M15｜食伤格成败</x:v>
      </x:c>
      <x:c r="D548" t="str">
        <x:v>M15中用于食神格、伤官格、生财、制杀、配印、枭夺食、伤官见官及对应救应。</x:v>
      </x:c>
      <x:c r="E548" t="str">
        <x:v>子类代码</x:v>
      </x:c>
      <x:c r="F548" t="n">
        <x:v>128</x:v>
      </x:c>
      <x:c r="G548" t="str">
        <x:v>是</x:v>
      </x:c>
      <x:c r="H548" t="str">
        <x:v>首次用于V1.3</x:v>
      </x:c>
    </x:row>
    <x:row r="549">
      <x:c r="A549" t="str">
        <x:v>规则子类</x:v>
      </x:c>
      <x:c r="B549" t="str">
        <x:v>M15-JIANREN</x:v>
      </x:c>
      <x:c r="C549" t="str">
        <x:v>M15｜建禄羊刃成败</x:v>
      </x:c>
      <x:c r="D549" t="str">
        <x:v>M15中用于建禄与羊刃的成格、泄秀、制衡、驾杀、壅塞、杀弱与制刃太过。</x:v>
      </x:c>
      <x:c r="E549" t="str">
        <x:v>子类代码</x:v>
      </x:c>
      <x:c r="F549" t="n">
        <x:v>129</x:v>
      </x:c>
      <x:c r="G549" t="str">
        <x:v>是</x:v>
      </x:c>
      <x:c r="H549" t="str">
        <x:v>首次用于V1.3</x:v>
      </x:c>
    </x:row>
    <x:row r="550">
      <x:c r="A550" t="str">
        <x:v>规则子类</x:v>
      </x:c>
      <x:c r="B550" t="str">
        <x:v>M15-CONG</x:v>
      </x:c>
      <x:c r="C550" t="str">
        <x:v>M15｜从格成败</x:v>
      </x:c>
      <x:c r="D550" t="str">
        <x:v>M15中用于真从、从财、从官杀、从儿、从旺、从强、从势、假从及有效逆神破格。</x:v>
      </x:c>
      <x:c r="E550" t="str">
        <x:v>子类代码</x:v>
      </x:c>
      <x:c r="F550" t="n">
        <x:v>130</x:v>
      </x:c>
      <x:c r="G550" t="str">
        <x:v>是</x:v>
      </x:c>
      <x:c r="H550" t="str">
        <x:v>首次用于V1.3</x:v>
      </x:c>
    </x:row>
    <x:row r="551">
      <x:c r="A551" t="str">
        <x:v>规则子类</x:v>
      </x:c>
      <x:c r="B551" t="str">
        <x:v>M15-HUAQI</x:v>
      </x:c>
      <x:c r="C551" t="str">
        <x:v>M15｜化气格成败</x:v>
      </x:c>
      <x:c r="D551" t="str">
        <x:v>M15中用于真化、化神有权、原气强根、争合破化、化神受损、假化与救化。</x:v>
      </x:c>
      <x:c r="E551" t="str">
        <x:v>子类代码</x:v>
      </x:c>
      <x:c r="F551" t="n">
        <x:v>131</x:v>
      </x:c>
      <x:c r="G551" t="str">
        <x:v>是</x:v>
      </x:c>
      <x:c r="H551" t="str">
        <x:v>首次用于V1.3</x:v>
      </x:c>
    </x:row>
    <x:row r="552">
      <x:c r="A552" t="str">
        <x:v>规则子类</x:v>
      </x:c>
      <x:c r="B552" t="str">
        <x:v>M15-ZHUAN</x:v>
      </x:c>
      <x:c r="C552" t="str">
        <x:v>M15｜专旺格成败</x:v>
      </x:c>
      <x:c r="D552" t="str">
        <x:v>M15中用于专旺、曲直、炎上、稼穑、从革、润下严格成立及逆克与关键杂气破格。</x:v>
      </x:c>
      <x:c r="E552" t="str">
        <x:v>子类代码</x:v>
      </x:c>
      <x:c r="F552" t="n">
        <x:v>132</x:v>
      </x:c>
      <x:c r="G552" t="str">
        <x:v>是</x:v>
      </x:c>
      <x:c r="H552" t="str">
        <x:v>首次用于V1.3</x:v>
      </x:c>
    </x:row>
    <x:row r="553">
      <x:c r="A553" t="str">
        <x:v>规则子类</x:v>
      </x:c>
      <x:c r="B553" t="str">
        <x:v>M15-RESCUE</x:v>
      </x:c>
      <x:c r="C553" t="str">
        <x:v>M15｜救应有效性</x:v>
      </x:c>
      <x:c r="D553" t="str">
        <x:v>M15中用于无救应、弱/部分/明显/完全救应、副作用、容量、协同、对象限定与事实保留。</x:v>
      </x:c>
      <x:c r="E553" t="str">
        <x:v>子类代码</x:v>
      </x:c>
      <x:c r="F553" t="n">
        <x:v>133</x:v>
      </x:c>
      <x:c r="G553" t="str">
        <x:v>是</x:v>
      </x:c>
      <x:c r="H553" t="str">
        <x:v>首次用于V1.3</x:v>
      </x:c>
    </x:row>
    <x:row r="554">
      <x:c r="A554" t="str">
        <x:v>规则子类</x:v>
      </x:c>
      <x:c r="B554" t="str">
        <x:v>M15-BOUND</x:v>
      </x:c>
      <x:c r="C554" t="str">
        <x:v>M15｜格局成败边界</x:v>
      </x:c>
      <x:c r="D554" t="str">
        <x:v>M15中用于成立与层次分离、有破非自动否决、事件隔离及原局/岁运分离。</x:v>
      </x:c>
      <x:c r="E554" t="str">
        <x:v>子类代码</x:v>
      </x:c>
      <x:c r="F554" t="n">
        <x:v>134</x:v>
      </x:c>
      <x:c r="G554" t="str">
        <x:v>是</x:v>
      </x:c>
      <x:c r="H554" t="str">
        <x:v>首次用于V1.3</x:v>
      </x:c>
    </x:row>
    <x:row r="555">
      <x:c r="A555" t="str">
        <x:v>版本号</x:v>
      </x:c>
      <x:c r="B555" t="str">
        <x:v>VER18</x:v>
      </x:c>
      <x:c r="C555" t="str">
        <x:v>V1.4</x:v>
      </x:c>
      <x:c r="D555" t="str">
        <x:v>版本号的标准选项：V1.4。完成M16病药模型核心规则。</x:v>
      </x:c>
      <x:c r="E555" t="str">
        <x:v>版本号</x:v>
      </x:c>
      <x:c r="F555" t="n">
        <x:v>14</x:v>
      </x:c>
      <x:c r="G555" t="str">
        <x:v>是</x:v>
      </x:c>
      <x:c r="H555" t="str">
        <x:v>病药模型规则版</x:v>
      </x:c>
    </x:row>
    <x:row r="556">
      <x:c r="A556" t="str">
        <x:v>规则子类</x:v>
      </x:c>
      <x:c r="B556" t="str">
        <x:v>M16-GEN</x:v>
      </x:c>
      <x:c r="C556" t="str">
        <x:v>M16｜病药通用逻辑</x:v>
      </x:c>
      <x:c r="D556" t="str">
        <x:v>M16中用于根本病、功能障碍立病、旺弱缺失边界、同象异因、病药相对性与标准证据链。</x:v>
      </x:c>
      <x:c r="E556" t="str">
        <x:v>子类代码</x:v>
      </x:c>
      <x:c r="F556" t="n">
        <x:v>135</x:v>
      </x:c>
      <x:c r="G556" t="str">
        <x:v>是</x:v>
      </x:c>
      <x:c r="H556" t="str">
        <x:v>首次用于V1.4</x:v>
      </x:c>
    </x:row>
    <x:row r="557">
      <x:c r="A557" t="str">
        <x:v>规则子类</x:v>
      </x:c>
      <x:c r="B557" t="str">
        <x:v>M16-WEAK</x:v>
      </x:c>
      <x:c r="C557" t="str">
        <x:v>M16｜偏弱与承载不足</x:v>
      </x:c>
      <x:c r="D557" t="str">
        <x:v>M16中用于身弱无根、根损、食伤过泄、财多身弱、官杀超承载、关键桥梁/十神偏弱及真从例外。</x:v>
      </x:c>
      <x:c r="E557" t="str">
        <x:v>子类代码</x:v>
      </x:c>
      <x:c r="F557" t="n">
        <x:v>136</x:v>
      </x:c>
      <x:c r="G557" t="str">
        <x:v>是</x:v>
      </x:c>
      <x:c r="H557" t="str">
        <x:v>首次用于V1.4</x:v>
      </x:c>
    </x:row>
    <x:row r="558">
      <x:c r="A558" t="str">
        <x:v>规则子类</x:v>
      </x:c>
      <x:c r="B558" t="str">
        <x:v>M16-STRONG</x:v>
      </x:c>
      <x:c r="C558" t="str">
        <x:v>M16｜过旺与壅塞</x:v>
      </x:c>
      <x:c r="D558" t="str">
        <x:v>M16中用于比劫旺无出口、印多身滞、极旺源头无泄、功能过度、旺而有用、特殊旺势及药理择路。</x:v>
      </x:c>
      <x:c r="E558" t="str">
        <x:v>子类代码</x:v>
      </x:c>
      <x:c r="F558" t="n">
        <x:v>137</x:v>
      </x:c>
      <x:c r="G558" t="str">
        <x:v>是</x:v>
      </x:c>
      <x:c r="H558" t="str">
        <x:v>首次用于V1.4</x:v>
      </x:c>
    </x:row>
    <x:row r="559">
      <x:c r="A559" t="str">
        <x:v>规则子类</x:v>
      </x:c>
      <x:c r="B559" t="str">
        <x:v>M16-FLOW</x:v>
      </x:c>
      <x:c r="C559" t="str">
        <x:v>M16｜流通病</x:v>
      </x:c>
      <x:c r="D559" t="str">
        <x:v>M16中用于缺桥、桥弱、桥被克合、源头壅塞、终点失衡、两强相战、链长、回流、寒凝燥枯与容量竞争。</x:v>
      </x:c>
      <x:c r="E559" t="str">
        <x:v>子类代码</x:v>
      </x:c>
      <x:c r="F559" t="n">
        <x:v>138</x:v>
      </x:c>
      <x:c r="G559" t="str">
        <x:v>是</x:v>
      </x:c>
      <x:c r="H559" t="str">
        <x:v>首次用于V1.4</x:v>
      </x:c>
    </x:row>
    <x:row r="560">
      <x:c r="A560" t="str">
        <x:v>规则子类</x:v>
      </x:c>
      <x:c r="B560" t="str">
        <x:v>M16-CONTROL</x:v>
      </x:c>
      <x:c r="C560" t="str">
        <x:v>M16｜制化病</x:v>
      </x:c>
      <x:c r="D560" t="str">
        <x:v>M16中用于杀无制化、制杀不及/太过、化杀不及、伤官见官、枭夺食、财坏印、比劫夺财、混杂与羊刃制化。</x:v>
      </x:c>
      <x:c r="E560" t="str">
        <x:v>子类代码</x:v>
      </x:c>
      <x:c r="F560" t="n">
        <x:v>139</x:v>
      </x:c>
      <x:c r="G560" t="str">
        <x:v>是</x:v>
      </x:c>
      <x:c r="H560" t="str">
        <x:v>首次用于V1.4</x:v>
      </x:c>
    </x:row>
    <x:row r="561">
      <x:c r="A561" t="str">
        <x:v>规则子类</x:v>
      </x:c>
      <x:c r="B561" t="str">
        <x:v>M16-PATTERN</x:v>
      </x:c>
      <x:c r="C561" t="str">
        <x:v>M16｜格局病</x:v>
      </x:c>
      <x:c r="D561" t="str">
        <x:v>M16中用于格神受损/失效、格神混杂、配合神无力、忌神破格、救应不足/过度、从化专旺破格及建禄壅塞。</x:v>
      </x:c>
      <x:c r="E561" t="str">
        <x:v>子类代码</x:v>
      </x:c>
      <x:c r="F561" t="n">
        <x:v>140</x:v>
      </x:c>
      <x:c r="G561" t="str">
        <x:v>是</x:v>
      </x:c>
      <x:c r="H561" t="str">
        <x:v>首次用于V1.4</x:v>
      </x:c>
    </x:row>
    <x:row r="562">
      <x:c r="A562" t="str">
        <x:v>规则子类</x:v>
      </x:c>
      <x:c r="B562" t="str">
        <x:v>M16-CLIMATE</x:v>
      </x:c>
      <x:c r="C562" t="str">
        <x:v>M16｜调候病</x:v>
      </x:c>
      <x:c r="D562" t="str">
        <x:v>M16中用于极寒、寒湿、寒燥、极热、暖燥、暖湿、极湿、极燥、调候有形无力与双轴平衡边界。</x:v>
      </x:c>
      <x:c r="E562" t="str">
        <x:v>子类代码</x:v>
      </x:c>
      <x:c r="F562" t="n">
        <x:v>141</x:v>
      </x:c>
      <x:c r="G562" t="str">
        <x:v>是</x:v>
      </x:c>
      <x:c r="H562" t="str">
        <x:v>首次用于V1.4</x:v>
      </x:c>
    </x:row>
    <x:row r="563">
      <x:c r="A563" t="str">
        <x:v>规则子类</x:v>
      </x:c>
      <x:c r="B563" t="str">
        <x:v>M16-MED</x:v>
      </x:c>
      <x:c r="C563" t="str">
        <x:v>M16｜药神选择机制</x:v>
      </x:c>
      <x:c r="D563" t="str">
        <x:v>M16中用于根因择药、一药多效、主辅配伍、药神有效性、路径直接性、制杀择路、用药顺序与M17接口。</x:v>
      </x:c>
      <x:c r="E563" t="str">
        <x:v>子类代码</x:v>
      </x:c>
      <x:c r="F563" t="n">
        <x:v>142</x:v>
      </x:c>
      <x:c r="G563" t="str">
        <x:v>是</x:v>
      </x:c>
      <x:c r="H563" t="str">
        <x:v>首次用于V1.4</x:v>
      </x:c>
    </x:row>
    <x:row r="564">
      <x:c r="A564" t="str">
        <x:v>规则子类</x:v>
      </x:c>
      <x:c r="B564" t="str">
        <x:v>M16-DOSE</x:v>
      </x:c>
      <x:c r="C564" t="str">
        <x:v>M16｜药力与新病</x:v>
      </x:c>
      <x:c r="D564" t="str">
        <x:v>M16中用于药神无根、受克合、药力不足、药过成病、药伤格、通关/调候冲突、多药竞争与桥梁过载。</x:v>
      </x:c>
      <x:c r="E564" t="str">
        <x:v>子类代码</x:v>
      </x:c>
      <x:c r="F564" t="n">
        <x:v>143</x:v>
      </x:c>
      <x:c r="G564" t="str">
        <x:v>是</x:v>
      </x:c>
      <x:c r="H564" t="str">
        <x:v>首次用于V1.4</x:v>
      </x:c>
    </x:row>
    <x:row r="565">
      <x:c r="A565" t="str">
        <x:v>规则子类</x:v>
      </x:c>
      <x:c r="B565" t="str">
        <x:v>M16-RANK</x:v>
      </x:c>
      <x:c r="C565" t="str">
        <x:v>M16｜病位主次排序</x:v>
      </x:c>
      <x:c r="D565" t="str">
        <x:v>M16中用于共同根因、严重度、特殊格局硬约束、表层病降级、主次输出和争议降置信。</x:v>
      </x:c>
      <x:c r="E565" t="str">
        <x:v>子类代码</x:v>
      </x:c>
      <x:c r="F565" t="n">
        <x:v>144</x:v>
      </x:c>
      <x:c r="G565" t="str">
        <x:v>是</x:v>
      </x:c>
      <x:c r="H565" t="str">
        <x:v>首次用于V1.4</x:v>
      </x:c>
    </x:row>
    <x:row r="566">
      <x:c r="A566" t="str">
        <x:v>规则子类</x:v>
      </x:c>
      <x:c r="B566" t="str">
        <x:v>M16-COMPOSITE</x:v>
      </x:c>
      <x:c r="C566" t="str">
        <x:v>M16｜复合病</x:v>
      </x:c>
      <x:c r="D566" t="str">
        <x:v>M16中用于旺衰流通、制化格局、调候流通同源及多病多药冲突。</x:v>
      </x:c>
      <x:c r="E566" t="str">
        <x:v>子类代码</x:v>
      </x:c>
      <x:c r="F566" t="n">
        <x:v>145</x:v>
      </x:c>
      <x:c r="G566" t="str">
        <x:v>是</x:v>
      </x:c>
      <x:c r="H566" t="str">
        <x:v>首次用于V1.4</x:v>
      </x:c>
    </x:row>
    <x:row r="567">
      <x:c r="A567" t="str">
        <x:v>规则子类</x:v>
      </x:c>
      <x:c r="B567" t="str">
        <x:v>M16-BOUND</x:v>
      </x:c>
      <x:c r="C567" t="str">
        <x:v>M16｜病药判断边界</x:v>
      </x:c>
      <x:c r="D567" t="str">
        <x:v>M16中用于医学边界、原局/岁运分离、非机械计分和标准输出。</x:v>
      </x:c>
      <x:c r="E567" t="str">
        <x:v>子类代码</x:v>
      </x:c>
      <x:c r="F567" t="n">
        <x:v>146</x:v>
      </x:c>
      <x:c r="G567" t="str">
        <x:v>是</x:v>
      </x:c>
      <x:c r="H567" t="str">
        <x:v>首次用于V1.4</x:v>
      </x:c>
    </x:row>
    <x:row r="568">
      <x:c r="A568" t="str">
        <x:v>版本号</x:v>
      </x:c>
      <x:c r="B568" t="str">
        <x:v>VER19</x:v>
      </x:c>
      <x:c r="C568" t="str">
        <x:v>V1.5</x:v>
      </x:c>
      <x:c r="D568" t="str">
        <x:v>版本号的标准选项：V1.5。完成M17喜忌用神矩阵核心规则。</x:v>
      </x:c>
      <x:c r="E568" t="str">
        <x:v>版本号</x:v>
      </x:c>
      <x:c r="F568" t="n">
        <x:v>15</x:v>
      </x:c>
      <x:c r="G568" t="str">
        <x:v>是</x:v>
      </x:c>
      <x:c r="H568" t="str">
        <x:v>喜忌用神矩阵规则版</x:v>
      </x:c>
    </x:row>
    <x:row r="569">
      <x:c r="A569" t="str">
        <x:v>规则子类</x:v>
      </x:c>
      <x:c r="B569" t="str">
        <x:v>M17-GEN</x:v>
      </x:c>
      <x:c r="C569" t="str">
        <x:v>M17｜用神矩阵通用规则</x:v>
      </x:c>
      <x:c r="D569" t="str">
        <x:v>M17中用于五维矩阵、单维候选、多维同向、特殊格局硬约束、伤格降级、中性、待定及非机械计分。</x:v>
      </x:c>
      <x:c r="E569" t="str">
        <x:v>子类代码</x:v>
      </x:c>
      <x:c r="F569" t="n">
        <x:v>147</x:v>
      </x:c>
      <x:c r="G569" t="str">
        <x:v>是</x:v>
      </x:c>
      <x:c r="H569" t="str">
        <x:v>首次用于V1.5</x:v>
      </x:c>
    </x:row>
    <x:row r="570">
      <x:c r="A570" t="str">
        <x:v>规则子类</x:v>
      </x:c>
      <x:c r="B570" t="str">
        <x:v>M17-FUYI</x:v>
      </x:c>
      <x:c r="C570" t="str">
        <x:v>M17｜扶抑用神</x:v>
      </x:c>
      <x:c r="D570" t="str">
        <x:v>M17中用于印比扶身、食伤泄秀、财星耗身、官杀制衡、身弱负荷端及中和降权。</x:v>
      </x:c>
      <x:c r="E570" t="str">
        <x:v>子类代码</x:v>
      </x:c>
      <x:c r="F570" t="n">
        <x:v>148</x:v>
      </x:c>
      <x:c r="G570" t="str">
        <x:v>是</x:v>
      </x:c>
      <x:c r="H570" t="str">
        <x:v>首次用于V1.5</x:v>
      </x:c>
    </x:row>
    <x:row r="571">
      <x:c r="A571" t="str">
        <x:v>规则子类</x:v>
      </x:c>
      <x:c r="B571" t="str">
        <x:v>M17-GEJU</x:v>
      </x:c>
      <x:c r="C571" t="str">
        <x:v>M17｜格局用神</x:v>
      </x:c>
      <x:c r="D571" t="str">
        <x:v>M17中用于正官、七杀、印、财、食伤、建禄羊刃、从格、化气、专旺和救格方向。</x:v>
      </x:c>
      <x:c r="E571" t="str">
        <x:v>子类代码</x:v>
      </x:c>
      <x:c r="F571" t="n">
        <x:v>149</x:v>
      </x:c>
      <x:c r="G571" t="str">
        <x:v>是</x:v>
      </x:c>
      <x:c r="H571" t="str">
        <x:v>首次用于V1.5</x:v>
      </x:c>
    </x:row>
    <x:row r="572">
      <x:c r="A572" t="str">
        <x:v>规则子类</x:v>
      </x:c>
      <x:c r="B572" t="str">
        <x:v>M17-TONGGUAN</x:v>
      </x:c>
      <x:c r="C572" t="str">
        <x:v>M17｜通关用神</x:v>
      </x:c>
      <x:c r="D572" t="str">
        <x:v>M17中用于五组克战通关、通关升级、药力不足、伤格、恶化调候及非两强不通关。</x:v>
      </x:c>
      <x:c r="E572" t="str">
        <x:v>子类代码</x:v>
      </x:c>
      <x:c r="F572" t="n">
        <x:v>150</x:v>
      </x:c>
      <x:c r="G572" t="str">
        <x:v>是</x:v>
      </x:c>
      <x:c r="H572" t="str">
        <x:v>首次用于V1.5</x:v>
      </x:c>
    </x:row>
    <x:row r="573">
      <x:c r="A573" t="str">
        <x:v>规则子类</x:v>
      </x:c>
      <x:c r="B573" t="str">
        <x:v>M17-TIAOHOU</x:v>
      </x:c>
      <x:c r="C573" t="str">
        <x:v>M17｜调候用神</x:v>
      </x:c>
      <x:c r="D573" t="str">
        <x:v>M17中用于火暖寒湿、水降热润燥、木疏湿助火、金生水、土承湿、寒燥主辅及调候平衡退出。</x:v>
      </x:c>
      <x:c r="E573" t="str">
        <x:v>子类代码</x:v>
      </x:c>
      <x:c r="F573" t="n">
        <x:v>151</x:v>
      </x:c>
      <x:c r="G573" t="str">
        <x:v>是</x:v>
      </x:c>
      <x:c r="H573" t="str">
        <x:v>首次用于V1.5</x:v>
      </x:c>
    </x:row>
    <x:row r="574">
      <x:c r="A574" t="str">
        <x:v>规则子类</x:v>
      </x:c>
      <x:c r="B574" t="str">
        <x:v>M17-BINGYAO</x:v>
      </x:c>
      <x:c r="C574" t="str">
        <x:v>M17｜病药用神</x:v>
      </x:c>
      <x:c r="D574" t="str">
        <x:v>M17中用于根本病主药、辅助药、药神有效性、一药多效、次病药、药量边界、药伤格及相反药候选。</x:v>
      </x:c>
      <x:c r="E574" t="str">
        <x:v>子类代码</x:v>
      </x:c>
      <x:c r="F574" t="n">
        <x:v>152</x:v>
      </x:c>
      <x:c r="G574" t="str">
        <x:v>是</x:v>
      </x:c>
      <x:c r="H574" t="str">
        <x:v>首次用于V1.5</x:v>
      </x:c>
    </x:row>
    <x:row r="575">
      <x:c r="A575" t="str">
        <x:v>规则子类</x:v>
      </x:c>
      <x:c r="B575" t="str">
        <x:v>M17-WUXING</x:v>
      </x:c>
      <x:c r="C575" t="str">
        <x:v>M17｜五行综合画像</x:v>
      </x:c>
      <x:c r="D575" t="str">
        <x:v>M17中用于木火土金水各自的正向机制、通关角色、过旺转忌和弱而非关键不自动为喜。</x:v>
      </x:c>
      <x:c r="E575" t="str">
        <x:v>子类代码</x:v>
      </x:c>
      <x:c r="F575" t="n">
        <x:v>153</x:v>
      </x:c>
      <x:c r="G575" t="str">
        <x:v>是</x:v>
      </x:c>
      <x:c r="H575" t="str">
        <x:v>首次用于V1.5</x:v>
      </x:c>
    </x:row>
    <x:row r="576">
      <x:c r="A576" t="str">
        <x:v>规则子类</x:v>
      </x:c>
      <x:c r="B576" t="str">
        <x:v>M17-RANK</x:v>
      </x:c>
      <x:c r="C576" t="str">
        <x:v>M17｜喜忌定位等级</x:v>
      </x:c>
      <x:c r="D576" t="str">
        <x:v>M17中用于主用、辅助、喜神、条件性喜神、中性、条件性忌神、忌神和仇神的统一定义。</x:v>
      </x:c>
      <x:c r="E576" t="str">
        <x:v>子类代码</x:v>
      </x:c>
      <x:c r="F576" t="n">
        <x:v>154</x:v>
      </x:c>
      <x:c r="G576" t="str">
        <x:v>是</x:v>
      </x:c>
      <x:c r="H576" t="str">
        <x:v>首次用于V1.5</x:v>
      </x:c>
    </x:row>
    <x:row r="577">
      <x:c r="A577" t="str">
        <x:v>规则子类</x:v>
      </x:c>
      <x:c r="B577" t="str">
        <x:v>M17-BOUND</x:v>
      </x:c>
      <x:c r="C577" t="str">
        <x:v>M17｜用神判断边界</x:v>
      </x:c>
      <x:c r="D577" t="str">
        <x:v>M17中用于旺衰/缺失与喜忌分离、五行十神映射、一行多效、应用边界、静动态、事件隔离及标准输出。</x:v>
      </x:c>
      <x:c r="E577" t="str">
        <x:v>子类代码</x:v>
      </x:c>
      <x:c r="F577" t="n">
        <x:v>155</x:v>
      </x:c>
      <x:c r="G577" t="str">
        <x:v>是</x:v>
      </x:c>
      <x:c r="H577" t="str">
        <x:v>首次用于V1.5</x:v>
      </x:c>
    </x:row>
    <x:row r="578">
      <x:c r="A578" t="str">
        <x:v>版本号</x:v>
      </x:c>
      <x:c r="B578" t="str">
        <x:v>VER20</x:v>
      </x:c>
      <x:c r="C578" t="str">
        <x:v>V1.6</x:v>
      </x:c>
      <x:c r="D578" t="str">
        <x:v>版本号的标准选项：V1.6。完成M18冲突裁决核心规则。</x:v>
      </x:c>
      <x:c r="E578" t="str">
        <x:v>版本号</x:v>
      </x:c>
      <x:c r="F578" t="n">
        <x:v>16</x:v>
      </x:c>
      <x:c r="G578" t="str">
        <x:v>是</x:v>
      </x:c>
      <x:c r="H578" t="str">
        <x:v>冲突裁决规则版</x:v>
      </x:c>
    </x:row>
    <x:row r="579">
      <x:c r="A579" t="str">
        <x:v>规则子类</x:v>
      </x:c>
      <x:c r="B579" t="str">
        <x:v>M18-GEN</x:v>
      </x:c>
      <x:c r="C579" t="str">
        <x:v>M18｜通用裁决原则</x:v>
      </x:c>
      <x:c r="D579" t="str">
        <x:v>M18中用于硬约束资格、根本病、主路径、净伤害、证据去重、直接路径和证据接近待定。</x:v>
      </x:c>
      <x:c r="E579" t="str">
        <x:v>子类代码</x:v>
      </x:c>
      <x:c r="F579" t="n">
        <x:v>156</x:v>
      </x:c>
      <x:c r="G579" t="str">
        <x:v>是</x:v>
      </x:c>
      <x:c r="H579" t="str">
        <x:v>首次用于V1.6</x:v>
      </x:c>
    </x:row>
    <x:row r="580">
      <x:c r="A580" t="str">
        <x:v>规则子类</x:v>
      </x:c>
      <x:c r="B580" t="str">
        <x:v>M18-SPECIAL</x:v>
      </x:c>
      <x:c r="C580" t="str">
        <x:v>M18｜特殊格局硬约束</x:v>
      </x:c>
      <x:c r="D580" t="str">
        <x:v>M18中用于严格特殊格局与普通扶抑、调候、通关、病药冲突，以及真从、真化、专旺顺势。</x:v>
      </x:c>
      <x:c r="E580" t="str">
        <x:v>子类代码</x:v>
      </x:c>
      <x:c r="F580" t="n">
        <x:v>157</x:v>
      </x:c>
      <x:c r="G580" t="str">
        <x:v>是</x:v>
      </x:c>
      <x:c r="H580" t="str">
        <x:v>首次用于V1.6</x:v>
      </x:c>
    </x:row>
    <x:row r="581">
      <x:c r="A581" t="str">
        <x:v>规则子类</x:v>
      </x:c>
      <x:c r="B581" t="str">
        <x:v>M18-PATTERN</x:v>
      </x:c>
      <x:c r="C581" t="str">
        <x:v>M18｜格局冲突裁决</x:v>
      </x:c>
      <x:c r="D581" t="str">
        <x:v>M18中用于核心格神、失效格局、救格、格局与调候/流通/病药、配合神及多格局排序。</x:v>
      </x:c>
      <x:c r="E581" t="str">
        <x:v>子类代码</x:v>
      </x:c>
      <x:c r="F581" t="n">
        <x:v>158</x:v>
      </x:c>
      <x:c r="G581" t="str">
        <x:v>是</x:v>
      </x:c>
      <x:c r="H581" t="str">
        <x:v>首次用于V1.6</x:v>
      </x:c>
    </x:row>
    <x:row r="582">
      <x:c r="A582" t="str">
        <x:v>规则子类</x:v>
      </x:c>
      <x:c r="B582" t="str">
        <x:v>M18-CLIMATE</x:v>
      </x:c>
      <x:c r="C582" t="str">
        <x:v>M18｜调候冲突裁决</x:v>
      </x:c>
      <x:c r="D582" t="str">
        <x:v>M18中用于极端/轻度调候、调候流通同源、双轴净效应、扶抑阈值、特殊格局、寒燥主辅与药量。</x:v>
      </x:c>
      <x:c r="E582" t="str">
        <x:v>子类代码</x:v>
      </x:c>
      <x:c r="F582" t="n">
        <x:v>159</x:v>
      </x:c>
      <x:c r="G582" t="str">
        <x:v>是</x:v>
      </x:c>
      <x:c r="H582" t="str">
        <x:v>首次用于V1.6</x:v>
      </x:c>
    </x:row>
    <x:row r="583">
      <x:c r="A583" t="str">
        <x:v>规则子类</x:v>
      </x:c>
      <x:c r="B583" t="str">
        <x:v>M18-FLOW</x:v>
      </x:c>
      <x:c r="C583" t="str">
        <x:v>M18｜流通冲突裁决</x:v>
      </x:c>
      <x:c r="D583" t="str">
        <x:v>M18中用于主卡点、通关药力、通关与格局/调候、主次路径、先桥后终点、多通关候选和次生卡点。</x:v>
      </x:c>
      <x:c r="E583" t="str">
        <x:v>子类代码</x:v>
      </x:c>
      <x:c r="F583" t="n">
        <x:v>160</x:v>
      </x:c>
      <x:c r="G583" t="str">
        <x:v>是</x:v>
      </x:c>
      <x:c r="H583" t="str">
        <x:v>首次用于V1.6</x:v>
      </x:c>
    </x:row>
    <x:row r="584">
      <x:c r="A584" t="str">
        <x:v>规则子类</x:v>
      </x:c>
      <x:c r="B584" t="str">
        <x:v>M18-MED</x:v>
      </x:c>
      <x:c r="C584" t="str">
        <x:v>M18｜病药冲突裁决</x:v>
      </x:c>
      <x:c r="D584" t="str">
        <x:v>M18中用于根本药、格局病、药伤格、更重新病、一药多效、药力、主次病、多药路线、仇神与无病不设药。</x:v>
      </x:c>
      <x:c r="E584" t="str">
        <x:v>子类代码</x:v>
      </x:c>
      <x:c r="F584" t="n">
        <x:v>161</x:v>
      </x:c>
      <x:c r="G584" t="str">
        <x:v>是</x:v>
      </x:c>
      <x:c r="H584" t="str">
        <x:v>首次用于V1.6</x:v>
      </x:c>
    </x:row>
    <x:row r="585">
      <x:c r="A585" t="str">
        <x:v>规则子类</x:v>
      </x:c>
      <x:c r="B585" t="str">
        <x:v>M18-ROUTE</x:v>
      </x:c>
      <x:c r="C585" t="str">
        <x:v>M18｜具体药路择一</x:v>
      </x:c>
      <x:c r="D585" t="str">
        <x:v>M18中用于印食制杀、伤官财印、建禄泄制耗、羊刃制泄、财多身弱、枭夺食、财坏印、比劫夺财、官杀清化和寒燥火水。</x:v>
      </x:c>
      <x:c r="E585" t="str">
        <x:v>子类代码</x:v>
      </x:c>
      <x:c r="F585" t="n">
        <x:v>162</x:v>
      </x:c>
      <x:c r="G585" t="str">
        <x:v>是</x:v>
      </x:c>
      <x:c r="H585" t="str">
        <x:v>首次用于V1.6</x:v>
      </x:c>
    </x:row>
    <x:row r="586">
      <x:c r="A586" t="str">
        <x:v>规则子类</x:v>
      </x:c>
      <x:c r="B586" t="str">
        <x:v>M18-DOSE</x:v>
      </x:c>
      <x:c r="C586" t="str">
        <x:v>M18｜药量与主辅容量</x:v>
      </x:c>
      <x:c r="D586" t="str">
        <x:v>M18中用于最小有效剂量、药过转忌、弱药降级、辅助反客、多药竞争、多效限量和新病严重度。</x:v>
      </x:c>
      <x:c r="E586" t="str">
        <x:v>子类代码</x:v>
      </x:c>
      <x:c r="F586" t="n">
        <x:v>163</x:v>
      </x:c>
      <x:c r="G586" t="str">
        <x:v>是</x:v>
      </x:c>
      <x:c r="H586" t="str">
        <x:v>首次用于V1.6</x:v>
      </x:c>
    </x:row>
    <x:row r="587">
      <x:c r="A587" t="str">
        <x:v>规则子类</x:v>
      </x:c>
      <x:c r="B587" t="str">
        <x:v>M18-RANK</x:v>
      </x:c>
      <x:c r="C587" t="str">
        <x:v>M18｜最终定位裁决</x:v>
      </x:c>
      <x:c r="D587" t="str">
        <x:v>M18中用于主用、辅助、喜神、条件性喜神、中性、条件性忌神、忌神和仇神最终确认。</x:v>
      </x:c>
      <x:c r="E587" t="str">
        <x:v>子类代码</x:v>
      </x:c>
      <x:c r="F587" t="n">
        <x:v>164</x:v>
      </x:c>
      <x:c r="G587" t="str">
        <x:v>是</x:v>
      </x:c>
      <x:c r="H587" t="str">
        <x:v>首次用于V1.6</x:v>
      </x:c>
    </x:row>
    <x:row r="588">
      <x:c r="A588" t="str">
        <x:v>规则子类</x:v>
      </x:c>
      <x:c r="B588" t="str">
        <x:v>M18-BOUND</x:v>
      </x:c>
      <x:c r="C588" t="str">
        <x:v>M18｜裁决边界与治理</x:v>
      </x:c>
      <x:c r="D588" t="str">
        <x:v>M18中用于结构化输出、非固定优先级、原局/岁运分离及不确定性转M20/M21治理。</x:v>
      </x:c>
      <x:c r="E588" t="str">
        <x:v>子类代码</x:v>
      </x:c>
      <x:c r="F588" t="n">
        <x:v>165</x:v>
      </x:c>
      <x:c r="G588" t="str">
        <x:v>是</x:v>
      </x:c>
      <x:c r="H588" t="str">
        <x:v>首次用于V1.6</x:v>
      </x:c>
    </x:row>
    <x:row r="589">
      <x:c r="A589" t="str">
        <x:v>版本号</x:v>
      </x:c>
      <x:c r="B589" t="str">
        <x:v>VER21</x:v>
      </x:c>
      <x:c r="C589" t="str">
        <x:v>V1.7</x:v>
      </x:c>
      <x:c r="D589" t="str">
        <x:v>版本号的标准选项：V1.7。完成M19综合输出模板。</x:v>
      </x:c>
      <x:c r="E589" t="str">
        <x:v>版本号</x:v>
      </x:c>
      <x:c r="F589" t="n">
        <x:v>17</x:v>
      </x:c>
      <x:c r="G589" t="str">
        <x:v>是</x:v>
      </x:c>
      <x:c r="H589" t="str">
        <x:v>综合输出模板版</x:v>
      </x:c>
    </x:row>
    <x:row r="590">
      <x:c r="A590" t="str">
        <x:v>规则子类</x:v>
      </x:c>
      <x:c r="B590" t="str">
        <x:v>M19-META</x:v>
      </x:c>
      <x:c r="C590" t="str">
        <x:v>M19｜报告信息</x:v>
      </x:c>
      <x:c r="D590" t="str">
        <x:v>M19中用于输入完整度、分析范围、总体置信度与待核查项。</x:v>
      </x:c>
      <x:c r="E590" t="str">
        <x:v>子类代码</x:v>
      </x:c>
      <x:c r="F590" t="n">
        <x:v>166</x:v>
      </x:c>
      <x:c r="G590" t="str">
        <x:v>是</x:v>
      </x:c>
      <x:c r="H590" t="str">
        <x:v>首次用于V1.7</x:v>
      </x:c>
    </x:row>
    <x:row r="591">
      <x:c r="A591" t="str">
        <x:v>规则子类</x:v>
      </x:c>
      <x:c r="B591" t="str">
        <x:v>M19-BASE</x:v>
      </x:c>
      <x:c r="C591" t="str">
        <x:v>M19｜基础结构输出</x:v>
      </x:c>
      <x:c r="D591" t="str">
        <x:v>M19中用于日主月令、四柱映射、根气透干和原局结构总览。</x:v>
      </x:c>
      <x:c r="E591" t="str">
        <x:v>子类代码</x:v>
      </x:c>
      <x:c r="F591" t="n">
        <x:v>167</x:v>
      </x:c>
      <x:c r="G591" t="str">
        <x:v>是</x:v>
      </x:c>
      <x:c r="H591" t="str">
        <x:v>首次用于V1.7</x:v>
      </x:c>
    </x:row>
    <x:row r="592">
      <x:c r="A592" t="str">
        <x:v>规则子类</x:v>
      </x:c>
      <x:c r="B592" t="str">
        <x:v>M19-REL</x:v>
      </x:c>
      <x:c r="C592" t="str">
        <x:v>M19｜干支关系输出</x:v>
      </x:c>
      <x:c r="D592" t="str">
        <x:v>M19中用于已成立关系、实际效应及未成立/待定关系。</x:v>
      </x:c>
      <x:c r="E592" t="str">
        <x:v>子类代码</x:v>
      </x:c>
      <x:c r="F592" t="n">
        <x:v>168</x:v>
      </x:c>
      <x:c r="G592" t="str">
        <x:v>是</x:v>
      </x:c>
      <x:c r="H592" t="str">
        <x:v>首次用于V1.7</x:v>
      </x:c>
    </x:row>
    <x:row r="593">
      <x:c r="A593" t="str">
        <x:v>规则子类</x:v>
      </x:c>
      <x:c r="B593" t="str">
        <x:v>M19-ELEM</x:v>
      </x:c>
      <x:c r="C593" t="str">
        <x:v>M19｜五行旺衰输出</x:v>
      </x:c>
      <x:c r="D593" t="str">
        <x:v>M19中用于五行有效旺衰矩阵、排序主势与关键修正原因。</x:v>
      </x:c>
      <x:c r="E593" t="str">
        <x:v>子类代码</x:v>
      </x:c>
      <x:c r="F593" t="n">
        <x:v>169</x:v>
      </x:c>
      <x:c r="G593" t="str">
        <x:v>是</x:v>
      </x:c>
      <x:c r="H593" t="str">
        <x:v>首次用于V1.7</x:v>
      </x:c>
    </x:row>
    <x:row r="594">
      <x:c r="A594" t="str">
        <x:v>规则子类</x:v>
      </x:c>
      <x:c r="B594" t="str">
        <x:v>M19-DM</x:v>
      </x:c>
      <x:c r="C594" t="str">
        <x:v>M19｜日主状态输出</x:v>
      </x:c>
      <x:c r="D594" t="str">
        <x:v>M19中用于日主七级旺衰、扶身证据、负荷证据及相邻等级排除。</x:v>
      </x:c>
      <x:c r="E594" t="str">
        <x:v>子类代码</x:v>
      </x:c>
      <x:c r="F594" t="n">
        <x:v>170</x:v>
      </x:c>
      <x:c r="G594" t="str">
        <x:v>是</x:v>
      </x:c>
      <x:c r="H594" t="str">
        <x:v>首次用于V1.7</x:v>
      </x:c>
    </x:row>
    <x:row r="595">
      <x:c r="A595" t="str">
        <x:v>规则子类</x:v>
      </x:c>
      <x:c r="B595" t="str">
        <x:v>M19-TEN</x:v>
      </x:c>
      <x:c r="C595" t="str">
        <x:v>M19｜十神功能输出</x:v>
      </x:c>
      <x:c r="D595" t="str">
        <x:v>M19中用于十神总表、主要有力/受限十神及清纯混杂。</x:v>
      </x:c>
      <x:c r="E595" t="str">
        <x:v>子类代码</x:v>
      </x:c>
      <x:c r="F595" t="n">
        <x:v>171</x:v>
      </x:c>
      <x:c r="G595" t="str">
        <x:v>是</x:v>
      </x:c>
      <x:c r="H595" t="str">
        <x:v>首次用于V1.7</x:v>
      </x:c>
    </x:row>
    <x:row r="596">
      <x:c r="A596" t="str">
        <x:v>规则子类</x:v>
      </x:c>
      <x:c r="B596" t="str">
        <x:v>M19-COMBO</x:v>
      </x:c>
      <x:c r="C596" t="str">
        <x:v>M19｜十神组合输出</x:v>
      </x:c>
      <x:c r="D596" t="str">
        <x:v>M19中用于成立组合、被否决组合及主导生化制化功能。</x:v>
      </x:c>
      <x:c r="E596" t="str">
        <x:v>子类代码</x:v>
      </x:c>
      <x:c r="F596" t="n">
        <x:v>172</x:v>
      </x:c>
      <x:c r="G596" t="str">
        <x:v>是</x:v>
      </x:c>
      <x:c r="H596" t="str">
        <x:v>首次用于V1.7</x:v>
      </x:c>
    </x:row>
    <x:row r="597">
      <x:c r="A597" t="str">
        <x:v>规则子类</x:v>
      </x:c>
      <x:c r="B597" t="str">
        <x:v>M19-FLOW</x:v>
      </x:c>
      <x:c r="C597" t="str">
        <x:v>M19｜五行流通输出</x:v>
      </x:c>
      <x:c r="D597" t="str">
        <x:v>M19中用于主路径、主卡点、次级卡点、通关候选与副作用。</x:v>
      </x:c>
      <x:c r="E597" t="str">
        <x:v>子类代码</x:v>
      </x:c>
      <x:c r="F597" t="n">
        <x:v>173</x:v>
      </x:c>
      <x:c r="G597" t="str">
        <x:v>是</x:v>
      </x:c>
      <x:c r="H597" t="str">
        <x:v>首次用于V1.7</x:v>
      </x:c>
    </x:row>
    <x:row r="598">
      <x:c r="A598" t="str">
        <x:v>规则子类</x:v>
      </x:c>
      <x:c r="B598" t="str">
        <x:v>M19-CLIMATE</x:v>
      </x:c>
      <x:c r="C598" t="str">
        <x:v>M19｜寒暖燥湿输出</x:v>
      </x:c>
      <x:c r="D598" t="str">
        <x:v>M19中用于温度、湿度、气候问题、调候有效性及跨模块冲突。</x:v>
      </x:c>
      <x:c r="E598" t="str">
        <x:v>子类代码</x:v>
      </x:c>
      <x:c r="F598" t="n">
        <x:v>174</x:v>
      </x:c>
      <x:c r="G598" t="str">
        <x:v>是</x:v>
      </x:c>
      <x:c r="H598" t="str">
        <x:v>首次用于V1.7</x:v>
      </x:c>
    </x:row>
    <x:row r="599">
      <x:c r="A599" t="str">
        <x:v>规则子类</x:v>
      </x:c>
      <x:c r="B599" t="str">
        <x:v>M19-PATTERN</x:v>
      </x:c>
      <x:c r="C599" t="str">
        <x:v>M19｜格局成败输出</x:v>
      </x:c>
      <x:c r="D599" t="str">
        <x:v>M19中用于格局候选、最终格局、成格层次、破格与救应。</x:v>
      </x:c>
      <x:c r="E599" t="str">
        <x:v>子类代码</x:v>
      </x:c>
      <x:c r="F599" t="n">
        <x:v>175</x:v>
      </x:c>
      <x:c r="G599" t="str">
        <x:v>是</x:v>
      </x:c>
      <x:c r="H599" t="str">
        <x:v>首次用于V1.7</x:v>
      </x:c>
    </x:row>
    <x:row r="600">
      <x:c r="A600" t="str">
        <x:v>规则子类</x:v>
      </x:c>
      <x:c r="B600" t="str">
        <x:v>M19-MED</x:v>
      </x:c>
      <x:c r="C600" t="str">
        <x:v>M19｜病药输出</x:v>
      </x:c>
      <x:c r="D600" t="str">
        <x:v>M19中用于根本病、次级病、主辅药及药力新病风险。</x:v>
      </x:c>
      <x:c r="E600" t="str">
        <x:v>子类代码</x:v>
      </x:c>
      <x:c r="F600" t="n">
        <x:v>176</x:v>
      </x:c>
      <x:c r="G600" t="str">
        <x:v>是</x:v>
      </x:c>
      <x:c r="H600" t="str">
        <x:v>首次用于V1.7</x:v>
      </x:c>
    </x:row>
    <x:row r="601">
      <x:c r="A601" t="str">
        <x:v>规则子类</x:v>
      </x:c>
      <x:c r="B601" t="str">
        <x:v>M19-USE</x:v>
      </x:c>
      <x:c r="C601" t="str">
        <x:v>M19｜喜忌用神与综合结论</x:v>
      </x:c>
      <x:c r="D601" t="str">
        <x:v>M19中用于五行五维矩阵、主辅用神、喜忌仇神和下游接口。</x:v>
      </x:c>
      <x:c r="E601" t="str">
        <x:v>子类代码</x:v>
      </x:c>
      <x:c r="F601" t="n">
        <x:v>177</x:v>
      </x:c>
      <x:c r="G601" t="str">
        <x:v>是</x:v>
      </x:c>
      <x:c r="H601" t="str">
        <x:v>首次用于V1.7</x:v>
      </x:c>
    </x:row>
    <x:row r="602">
      <x:c r="A602" t="str">
        <x:v>版本号</x:v>
      </x:c>
      <x:c r="B602" t="str">
        <x:v>VER22</x:v>
      </x:c>
      <x:c r="C602" t="str">
        <x:v>V1.8</x:v>
      </x:c>
      <x:c r="D602" t="str">
        <x:v>版本号的标准选项：V1.8。完成M20案例测试集。</x:v>
      </x:c>
      <x:c r="E602" t="str">
        <x:v>版本号</x:v>
      </x:c>
      <x:c r="F602" t="n">
        <x:v>18</x:v>
      </x:c>
      <x:c r="G602" t="str">
        <x:v>是</x:v>
      </x:c>
      <x:c r="H602" t="str">
        <x:v>案例测试与覆盖看板版</x:v>
      </x:c>
    </x:row>
    <x:row r="603">
      <x:c r="A603" t="str">
        <x:v>规则子类</x:v>
      </x:c>
      <x:c r="B603" t="str">
        <x:v>M20-BASE</x:v>
      </x:c>
      <x:c r="C603" t="str">
        <x:v>M20｜基础映射与根气测试</x:v>
      </x:c>
      <x:c r="D603" t="str">
        <x:v>M20中用于M02/M03干支、藏干、十神、月令、根气和输入边界测试。</x:v>
      </x:c>
      <x:c r="E603" t="str">
        <x:v>子类代码</x:v>
      </x:c>
      <x:c r="F603" t="n">
        <x:v>178</x:v>
      </x:c>
      <x:c r="G603" t="str">
        <x:v>是</x:v>
      </x:c>
      <x:c r="H603" t="str">
        <x:v>首次用于V1.8</x:v>
      </x:c>
    </x:row>
    <x:row r="604">
      <x:c r="A604" t="str">
        <x:v>规则子类</x:v>
      </x:c>
      <x:c r="B604" t="str">
        <x:v>M20-REL</x:v>
      </x:c>
      <x:c r="C604" t="str">
        <x:v>M20｜关系识别测试</x:v>
      </x:c>
      <x:c r="D604" t="str">
        <x:v>M20中用于M04/M05天干地支合冲刑害会破及重叠关系识别测试。</x:v>
      </x:c>
      <x:c r="E604" t="str">
        <x:v>子类代码</x:v>
      </x:c>
      <x:c r="F604" t="n">
        <x:v>179</x:v>
      </x:c>
      <x:c r="G604" t="str">
        <x:v>是</x:v>
      </x:c>
      <x:c r="H604" t="str">
        <x:v>首次用于V1.8</x:v>
      </x:c>
    </x:row>
    <x:row r="605">
      <x:c r="A605" t="str">
        <x:v>规则子类</x:v>
      </x:c>
      <x:c r="B605" t="str">
        <x:v>M20-EFFECT</x:v>
      </x:c>
      <x:c r="C605" t="str">
        <x:v>M20｜关系效应测试</x:v>
      </x:c>
      <x:c r="D605" t="str">
        <x:v>M20中用于M06合绊、合化、冲动、冲根、开库、三刑和多重效应测试。</x:v>
      </x:c>
      <x:c r="E605" t="str">
        <x:v>子类代码</x:v>
      </x:c>
      <x:c r="F605" t="n">
        <x:v>180</x:v>
      </x:c>
      <x:c r="G605" t="str">
        <x:v>是</x:v>
      </x:c>
      <x:c r="H605" t="str">
        <x:v>首次用于V1.8</x:v>
      </x:c>
    </x:row>
    <x:row r="606">
      <x:c r="A606" t="str">
        <x:v>规则子类</x:v>
      </x:c>
      <x:c r="B606" t="str">
        <x:v>M20-WANG</x:v>
      </x:c>
      <x:c r="C606" t="str">
        <x:v>M20｜旺衰测试</x:v>
      </x:c>
      <x:c r="D606" t="str">
        <x:v>M20中用于M07/M08/M09原始旺衰、有效旺衰和日主七级旺衰测试。</x:v>
      </x:c>
      <x:c r="E606" t="str">
        <x:v>子类代码</x:v>
      </x:c>
      <x:c r="F606" t="n">
        <x:v>181</x:v>
      </x:c>
      <x:c r="G606" t="str">
        <x:v>是</x:v>
      </x:c>
      <x:c r="H606" t="str">
        <x:v>首次用于V1.8</x:v>
      </x:c>
    </x:row>
    <x:row r="607">
      <x:c r="A607" t="str">
        <x:v>规则子类</x:v>
      </x:c>
      <x:c r="B607" t="str">
        <x:v>M20-TEN</x:v>
      </x:c>
      <x:c r="C607" t="str">
        <x:v>M20｜十神与组合测试</x:v>
      </x:c>
      <x:c r="D607" t="str">
        <x:v>M20中用于M10/M11十神存在、力量、功能、清纯和组合成立测试。</x:v>
      </x:c>
      <x:c r="E607" t="str">
        <x:v>子类代码</x:v>
      </x:c>
      <x:c r="F607" t="n">
        <x:v>182</x:v>
      </x:c>
      <x:c r="G607" t="str">
        <x:v>是</x:v>
      </x:c>
      <x:c r="H607" t="str">
        <x:v>首次用于V1.8</x:v>
      </x:c>
    </x:row>
    <x:row r="608">
      <x:c r="A608" t="str">
        <x:v>规则子类</x:v>
      </x:c>
      <x:c r="B608" t="str">
        <x:v>M20-FLOW</x:v>
      </x:c>
      <x:c r="C608" t="str">
        <x:v>M20｜流通卡点测试</x:v>
      </x:c>
      <x:c r="D608" t="str">
        <x:v>M20中用于M12起点桥梁终点、缺桥、承载、通关和副作用测试。</x:v>
      </x:c>
      <x:c r="E608" t="str">
        <x:v>子类代码</x:v>
      </x:c>
      <x:c r="F608" t="n">
        <x:v>183</x:v>
      </x:c>
      <x:c r="G608" t="str">
        <x:v>是</x:v>
      </x:c>
      <x:c r="H608" t="str">
        <x:v>首次用于V1.8</x:v>
      </x:c>
    </x:row>
    <x:row r="609">
      <x:c r="A609" t="str">
        <x:v>规则子类</x:v>
      </x:c>
      <x:c r="B609" t="str">
        <x:v>M20-CLIMATE</x:v>
      </x:c>
      <x:c r="C609" t="str">
        <x:v>M20｜寒暖燥湿测试</x:v>
      </x:c>
      <x:c r="D609" t="str">
        <x:v>M20中用于M13温度、湿度、复合气候、调候有效性与冲突测试。</x:v>
      </x:c>
      <x:c r="E609" t="str">
        <x:v>子类代码</x:v>
      </x:c>
      <x:c r="F609" t="n">
        <x:v>184</x:v>
      </x:c>
      <x:c r="G609" t="str">
        <x:v>是</x:v>
      </x:c>
      <x:c r="H609" t="str">
        <x:v>首次用于V1.8</x:v>
      </x:c>
    </x:row>
    <x:row r="610">
      <x:c r="A610" t="str">
        <x:v>规则子类</x:v>
      </x:c>
      <x:c r="B610" t="str">
        <x:v>M20-PATTERN</x:v>
      </x:c>
      <x:c r="C610" t="str">
        <x:v>M20｜格局成败测试</x:v>
      </x:c>
      <x:c r="D610" t="str">
        <x:v>M20中用于M14/M15普通格、建禄羊刃、从化专旺及成败救应测试。</x:v>
      </x:c>
      <x:c r="E610" t="str">
        <x:v>子类代码</x:v>
      </x:c>
      <x:c r="F610" t="n">
        <x:v>185</x:v>
      </x:c>
      <x:c r="G610" t="str">
        <x:v>是</x:v>
      </x:c>
      <x:c r="H610" t="str">
        <x:v>首次用于V1.8</x:v>
      </x:c>
    </x:row>
    <x:row r="611">
      <x:c r="A611" t="str">
        <x:v>规则子类</x:v>
      </x:c>
      <x:c r="B611" t="str">
        <x:v>M20-MED</x:v>
      </x:c>
      <x:c r="C611" t="str">
        <x:v>M20｜病药模型测试</x:v>
      </x:c>
      <x:c r="D611" t="str">
        <x:v>M20中用于M16根本病、流通病、制化病、格局病、调候病和药力风险测试。</x:v>
      </x:c>
      <x:c r="E611" t="str">
        <x:v>子类代码</x:v>
      </x:c>
      <x:c r="F611" t="n">
        <x:v>186</x:v>
      </x:c>
      <x:c r="G611" t="str">
        <x:v>是</x:v>
      </x:c>
      <x:c r="H611" t="str">
        <x:v>首次用于V1.8</x:v>
      </x:c>
    </x:row>
    <x:row r="612">
      <x:c r="A612" t="str">
        <x:v>规则子类</x:v>
      </x:c>
      <x:c r="B612" t="str">
        <x:v>M20-USE</x:v>
      </x:c>
      <x:c r="C612" t="str">
        <x:v>M20｜用神与冲突测试</x:v>
      </x:c>
      <x:c r="D612" t="str">
        <x:v>M20中用于M17/M18五维用神、硬约束、药路、剂量和最终定位测试。</x:v>
      </x:c>
      <x:c r="E612" t="str">
        <x:v>子类代码</x:v>
      </x:c>
      <x:c r="F612" t="n">
        <x:v>187</x:v>
      </x:c>
      <x:c r="G612" t="str">
        <x:v>是</x:v>
      </x:c>
      <x:c r="H612" t="str">
        <x:v>首次用于V1.8</x:v>
      </x:c>
    </x:row>
    <x:row r="613">
      <x:c r="A613" t="str">
        <x:v>规则子类</x:v>
      </x:c>
      <x:c r="B613" t="str">
        <x:v>M20-OUTPUT</x:v>
      </x:c>
      <x:c r="C613" t="str">
        <x:v>M20｜综合输出测试</x:v>
      </x:c>
      <x:c r="D613" t="str">
        <x:v>M20中用于M19三层表达、空值、置信度、边界和下游接口测试。</x:v>
      </x:c>
      <x:c r="E613" t="str">
        <x:v>子类代码</x:v>
      </x:c>
      <x:c r="F613" t="n">
        <x:v>188</x:v>
      </x:c>
      <x:c r="G613" t="str">
        <x:v>是</x:v>
      </x:c>
      <x:c r="H613" t="str">
        <x:v>首次用于V1.8</x:v>
      </x:c>
    </x:row>
    <x:row r="614">
      <x:c r="A614" t="str">
        <x:v>规则子类</x:v>
      </x:c>
      <x:c r="B614" t="str">
        <x:v>M20-INTEGRATION</x:v>
      </x:c>
      <x:c r="C614" t="str">
        <x:v>M20｜综合集成案例</x:v>
      </x:c>
      <x:c r="D614" t="str">
        <x:v>M20中用于M02—M19跨模块完整判定链的合成综合案例。</x:v>
      </x:c>
      <x:c r="E614" t="str">
        <x:v>子类代码</x:v>
      </x:c>
      <x:c r="F614" t="n">
        <x:v>189</x:v>
      </x:c>
      <x:c r="G614" t="str">
        <x:v>是</x:v>
      </x:c>
      <x:c r="H614" t="str">
        <x:v>首次用于V1.8</x:v>
      </x:c>
    </x:row>
    <x:row r="615">
      <x:c r="A615" t="str">
        <x:v>规则子类</x:v>
      </x:c>
      <x:c r="B615" t="str">
        <x:v>M20-REGRESSION</x:v>
      </x:c>
      <x:c r="C615" t="str">
        <x:v>M20｜历史错误回归</x:v>
      </x:c>
      <x:c r="D615" t="str">
        <x:v>M20中用于三刑固定减力、冲根归零、弱即喜、候选即成格和药越多越好等历史错误回归。</x:v>
      </x:c>
      <x:c r="E615" t="str">
        <x:v>子类代码</x:v>
      </x:c>
      <x:c r="F615" t="n">
        <x:v>190</x:v>
      </x:c>
      <x:c r="G615" t="str">
        <x:v>是</x:v>
      </x:c>
      <x:c r="H615" t="str">
        <x:v>首次用于V1.8</x:v>
      </x:c>
    </x:row>
    <x:row r="616">
      <x:c r="A616" t="str">
        <x:v>规则子类</x:v>
      </x:c>
      <x:c r="B616" t="str">
        <x:v>M20-DISPUTE</x:v>
      </x:c>
      <x:c r="C616" t="str">
        <x:v>M20｜争议测试</x:v>
      </x:c>
      <x:c r="D616" t="str">
        <x:v>M20中用于阴干羊刃、四季土湿燥等流派争议和M21转交测试。</x:v>
      </x:c>
      <x:c r="E616" t="str">
        <x:v>子类代码</x:v>
      </x:c>
      <x:c r="F616" t="n">
        <x:v>191</x:v>
      </x:c>
      <x:c r="G616" t="str">
        <x:v>是</x:v>
      </x:c>
      <x:c r="H616" t="str">
        <x:v>首次用于V1.8</x:v>
      </x:c>
    </x:row>
    <x:row r="617">
      <x:c r="A617" t="str">
        <x:v>版本号</x:v>
      </x:c>
      <x:c r="B617" t="str">
        <x:v>VER23</x:v>
      </x:c>
      <x:c r="C617" t="str">
        <x:v>V1.9</x:v>
      </x:c>
      <x:c r="D617" t="str">
        <x:v>版本号的标准选项：V1.9。完成M21版本与争议治理闭环。</x:v>
      </x:c>
      <x:c r="E617" t="str">
        <x:v>版本号</x:v>
      </x:c>
      <x:c r="F617" t="n">
        <x:v>19</x:v>
      </x:c>
      <x:c r="G617" t="str">
        <x:v>是</x:v>
      </x:c>
      <x:c r="H617" t="str">
        <x:v>版本治理闭环版</x:v>
      </x:c>
    </x:row>
    <x:row r="618">
      <x:c r="A618" t="str">
        <x:v>规则子类</x:v>
      </x:c>
      <x:c r="B618" t="str">
        <x:v>M21-GOV</x:v>
      </x:c>
      <x:c r="C618" t="str">
        <x:v>M21｜治理原则</x:v>
      </x:c>
      <x:c r="D618" t="str">
        <x:v>M21中用于分层推理、硬约束资格、证据去重、不确定性、静动态与回归治理。</x:v>
      </x:c>
      <x:c r="E618" t="str">
        <x:v>子类代码</x:v>
      </x:c>
      <x:c r="F618" t="n">
        <x:v>192</x:v>
      </x:c>
      <x:c r="G618" t="str">
        <x:v>是</x:v>
      </x:c>
      <x:c r="H618" t="str">
        <x:v>首次用于V1.9</x:v>
      </x:c>
    </x:row>
    <x:row r="619">
      <x:c r="A619" t="str">
        <x:v>规则子类</x:v>
      </x:c>
      <x:c r="B619" t="str">
        <x:v>M21-HIST</x:v>
      </x:c>
      <x:c r="C619" t="str">
        <x:v>M21｜版本历史</x:v>
      </x:c>
      <x:c r="D619" t="str">
        <x:v>M21中用于V1.0—V1.9各版本新增范围、旧新版口径与生效记录。</x:v>
      </x:c>
      <x:c r="E619" t="str">
        <x:v>子类代码</x:v>
      </x:c>
      <x:c r="F619" t="n">
        <x:v>193</x:v>
      </x:c>
      <x:c r="G619" t="str">
        <x:v>是</x:v>
      </x:c>
      <x:c r="H619" t="str">
        <x:v>首次用于V1.9</x:v>
      </x:c>
    </x:row>
    <x:row r="620">
      <x:c r="A620" t="str">
        <x:v>规则子类</x:v>
      </x:c>
      <x:c r="B620" t="str">
        <x:v>M21-REL</x:v>
      </x:c>
      <x:c r="C620" t="str">
        <x:v>M21｜关系争议</x:v>
      </x:c>
      <x:c r="D620" t="str">
        <x:v>M21中用于刑冲合化、三合三会、墓库和多重关系的采用口径。</x:v>
      </x:c>
      <x:c r="E620" t="str">
        <x:v>子类代码</x:v>
      </x:c>
      <x:c r="F620" t="n">
        <x:v>194</x:v>
      </x:c>
      <x:c r="G620" t="str">
        <x:v>是</x:v>
      </x:c>
      <x:c r="H620" t="str">
        <x:v>首次用于V1.9</x:v>
      </x:c>
    </x:row>
    <x:row r="621">
      <x:c r="A621" t="str">
        <x:v>规则子类</x:v>
      </x:c>
      <x:c r="B621" t="str">
        <x:v>M21-WANG</x:v>
      </x:c>
      <x:c r="C621" t="str">
        <x:v>M21｜旺衰争议</x:v>
      </x:c>
      <x:c r="D621" t="str">
        <x:v>M21中用于月令、藏干比例、多根同党、根气、原始/有效旺衰和数量权重。</x:v>
      </x:c>
      <x:c r="E621" t="str">
        <x:v>子类代码</x:v>
      </x:c>
      <x:c r="F621" t="n">
        <x:v>195</x:v>
      </x:c>
      <x:c r="G621" t="str">
        <x:v>是</x:v>
      </x:c>
      <x:c r="H621" t="str">
        <x:v>首次用于V1.9</x:v>
      </x:c>
    </x:row>
    <x:row r="622">
      <x:c r="A622" t="str">
        <x:v>规则子类</x:v>
      </x:c>
      <x:c r="B622" t="str">
        <x:v>M21-TEN</x:v>
      </x:c>
      <x:c r="C622" t="str">
        <x:v>M21｜十神组合争议</x:v>
      </x:c>
      <x:c r="D622" t="str">
        <x:v>M21中用于十神存在/功能、多节点、组合成立、组合与格局分层及混杂。</x:v>
      </x:c>
      <x:c r="E622" t="str">
        <x:v>子类代码</x:v>
      </x:c>
      <x:c r="F622" t="n">
        <x:v>196</x:v>
      </x:c>
      <x:c r="G622" t="str">
        <x:v>是</x:v>
      </x:c>
      <x:c r="H622" t="str">
        <x:v>首次用于V1.9</x:v>
      </x:c>
    </x:row>
    <x:row r="623">
      <x:c r="A623" t="str">
        <x:v>规则子类</x:v>
      </x:c>
      <x:c r="B623" t="str">
        <x:v>M21-PATTERN</x:v>
      </x:c>
      <x:c r="C623" t="str">
        <x:v>M21｜格局争议</x:v>
      </x:c>
      <x:c r="D623" t="str">
        <x:v>M21中用于月令取格、特殊格局、真从假从、化气、专旺、建禄羊刃及阴干羊刃。</x:v>
      </x:c>
      <x:c r="E623" t="str">
        <x:v>子类代码</x:v>
      </x:c>
      <x:c r="F623" t="n">
        <x:v>197</x:v>
      </x:c>
      <x:c r="G623" t="str">
        <x:v>是</x:v>
      </x:c>
      <x:c r="H623" t="str">
        <x:v>首次用于V1.9</x:v>
      </x:c>
    </x:row>
    <x:row r="624">
      <x:c r="A624" t="str">
        <x:v>规则子类</x:v>
      </x:c>
      <x:c r="B624" t="str">
        <x:v>M21-CLIMATE</x:v>
      </x:c>
      <x:c r="C624" t="str">
        <x:v>M21｜调候争议</x:v>
      </x:c>
      <x:c r="D624" t="str">
        <x:v>M21中用于冬夏基准、四季土湿燥、调候优先级与药量边界。</x:v>
      </x:c>
      <x:c r="E624" t="str">
        <x:v>子类代码</x:v>
      </x:c>
      <x:c r="F624" t="n">
        <x:v>198</x:v>
      </x:c>
      <x:c r="G624" t="str">
        <x:v>是</x:v>
      </x:c>
      <x:c r="H624" t="str">
        <x:v>首次用于V1.9</x:v>
      </x:c>
    </x:row>
    <x:row r="625">
      <x:c r="A625" t="str">
        <x:v>规则子类</x:v>
      </x:c>
      <x:c r="B625" t="str">
        <x:v>M21-MEDUSE</x:v>
      </x:c>
      <x:c r="C625" t="str">
        <x:v>M21｜病药用神争议</x:v>
      </x:c>
      <x:c r="D625" t="str">
        <x:v>M21中用于根因择药、五维用神矩阵和非固定模块优先级。</x:v>
      </x:c>
      <x:c r="E625" t="str">
        <x:v>子类代码</x:v>
      </x:c>
      <x:c r="F625" t="n">
        <x:v>199</x:v>
      </x:c>
      <x:c r="G625" t="str">
        <x:v>是</x:v>
      </x:c>
      <x:c r="H625" t="str">
        <x:v>首次用于V1.9</x:v>
      </x:c>
    </x:row>
    <x:row r="626">
      <x:c r="A626" t="str">
        <x:v>规则子类</x:v>
      </x:c>
      <x:c r="B626" t="str">
        <x:v>M21-CASE</x:v>
      </x:c>
      <x:c r="C626" t="str">
        <x:v>M21｜案例转交</x:v>
      </x:c>
      <x:c r="D626" t="str">
        <x:v>M21中用于交节边界、残根假从和非标准一药多效等M20未完全闭环案例。</x:v>
      </x:c>
      <x:c r="E626" t="str">
        <x:v>子类代码</x:v>
      </x:c>
      <x:c r="F626" t="n">
        <x:v>200</x:v>
      </x:c>
      <x:c r="G626" t="str">
        <x:v>是</x:v>
      </x:c>
      <x:c r="H626" t="str">
        <x:v>首次用于V1.9</x:v>
      </x:c>
    </x:row>
  </x:sheetData>
  <x:mergeCells>
    <x:mergeCell ref="A1:Q1"/>
    <x:mergeCell ref="A2:Q2"/>
    <x:mergeCell ref="A3:Q3"/>
  </x:mergeCells>
  <x:pageMargins left="0.7" right="0.7" top="0.75" bottom="0.75" header="0.3" footer="0.3"/>
  <x:tableParts count="4">
    <x:tablePart xmlns:r="http://schemas.openxmlformats.org/officeDocument/2006/relationships" r:id="R2dbae057a2754837"/>
    <x:tablePart xmlns:r="http://schemas.openxmlformats.org/officeDocument/2006/relationships" r:id="Rd35806f02e2e400a"/>
    <x:tablePart xmlns:r="http://schemas.openxmlformats.org/officeDocument/2006/relationships" r:id="Rf155a7a253d2463e"/>
    <x:tablePart xmlns:r="http://schemas.openxmlformats.org/officeDocument/2006/relationships" r:id="Rbce78d25949f47c0"/>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4">
    <x:dataValidation type="list" sqref="E6:E105">
      <x:formula1>'99_下拉选项'!$BG$4:$BG$12</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 type="list" sqref="E6:E130">
      <x:formula1>'99_下拉选项'!$BG$4:$BG$14</x:formula1>
    </x:dataValidation>
    <x:dataValidation type="list" sqref="E7:E105">
      <x:formula1>'99_下拉选项'!$BG$4:$BG$22</x:formula1>
    </x:dataValidation>
  </x:dataValidations>
  <x:pageMargins left="0.7" right="0.7" top="0.75" bottom="0.75" header="0.3" footer="0.3"/>
  <x:tableParts count="1">
    <x:tablePart xmlns:r="http://schemas.openxmlformats.org/officeDocument/2006/relationships" r:id="R12fa800a05864ac3"/>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5">
    <x:dataValidation type="list" sqref="E6:E105">
      <x:formula1>'99_下拉选项'!$BG$4:$BG$12</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'99_下拉选项'!$BG$4:$BG$22</x:formula1>
    </x:dataValidation>
  </x:dataValidations>
  <x:pageMargins left="0.7" right="0.7" top="0.75" bottom="0.75" header="0.3" footer="0.3"/>
  <x:tableParts count="1">
    <x:tablePart xmlns:r="http://schemas.openxmlformats.org/officeDocument/2006/relationships" r:id="R2c193e65f8b74097"/>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'99_下拉选项'!$BG$4:$BG$22</x:formula1>
    </x:dataValidation>
  </x:dataValidations>
  <x:pageMargins left="0.7" right="0.7" top="0.75" bottom="0.75" header="0.3" footer="0.3"/>
  <x:tableParts count="1">
    <x:tablePart xmlns:r="http://schemas.openxmlformats.org/officeDocument/2006/relationships" r:id="Rbd6a6dc483d247f6"/>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'99_下拉选项'!$BG$4:$BG$22</x:formula1>
    </x:dataValidation>
  </x:dataValidations>
  <x:pageMargins left="0.7" right="0.7" top="0.75" bottom="0.75" header="0.3" footer="0.3"/>
  <x:tableParts count="1">
    <x:tablePart xmlns:r="http://schemas.openxmlformats.org/officeDocument/2006/relationships" r:id="R4c3efd1d71ab47c1"/>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M05-CHONG-0027-V1.0—M05-CHONG-0032-V1.0</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9">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 type="list" sqref="E6:E126">
      <x:formula1>'99_下拉选项'!$BG$4:$BG$12</x:formula1>
    </x:dataValidation>
    <x:dataValidation type="list" sqref="E6:E130">
      <x:formula1>'99_下拉选项'!$BG$4:$BG$14</x:formula1>
    </x:dataValidation>
    <x:dataValidation type="list" sqref="E7:E126">
      <x:formula1>'99_下拉选项'!$BG$4:$BG$22</x:formula1>
    </x:dataValidation>
  </x:dataValidations>
  <x:pageMargins left="0.7" right="0.7" top="0.75" bottom="0.75" header="0.3" footer="0.3"/>
  <x:tableParts count="1">
    <x:tablePart xmlns:r="http://schemas.openxmlformats.org/officeDocument/2006/relationships" r:id="Rec50b9a4c5b04e2f"/>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在复杂合冲效应修正前，按季令、根气、透干、生源、同党、成势与连续生扶评估五行基础力量。本版录入80条正式规则，建立七级候选、反证机制、证据去重与容量约束；禁止机械总分代替判断。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填写约束：一行只写一条原子规则；原始层不得提前应用合冲刑害增减与改性；月令、根、透、源、党须标注独立性与共源；参考权重不得换算固定百分比；示例行序号9999，不计入正式规则。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v>M07-SEAS-0001-V1.0</x:v>
      </x:c>
      <x:c r="B7" s="74" t="str">
        <x:v>M07</x:v>
      </x:c>
      <x:c r="C7" s="74" t="str">
        <x:v>SEAS</x:v>
      </x:c>
      <x:c r="D7" s="79" t="n">
        <x:v>1</x:v>
      </x:c>
      <x:c r="E7" s="74" t="str">
        <x:v>V1.0</x:v>
      </x:c>
      <x:c r="F7" s="68" t="str">
        <x:v>月令本气同类构成最高等级季令支持</x:v>
      </x:c>
      <x:c r="G7" s="82" t="str">
        <x:v>结构层</x:v>
      </x:c>
      <x:c r="H7" s="68" t="str">
        <x:v>季令/得令</x:v>
      </x:c>
      <x:c r="I7" s="82"/>
      <x:c r="J7" s="68" t="str">
        <x:v>目标五行与月支本气五行相同</x:v>
      </x:c>
      <x:c r="K7" s="68" t="str">
        <x:v>旺令或本气得令</x:v>
      </x:c>
      <x:c r="L7" s="68" t="str">
        <x:v>将季令证据记为强正向，但不直接确定最终旺衰</x:v>
      </x:c>
      <x:c r="M7" s="82" t="str">
        <x:v>增强</x:v>
      </x:c>
      <x:c r="N7" s="68" t="str">
        <x:v>高</x:v>
      </x:c>
      <x:c r="O7" s="82" t="str">
        <x:v>强</x:v>
      </x:c>
      <x:c r="P7" s="68" t="str">
        <x:v>M03已完成节气定月与月支本气识别</x:v>
      </x:c>
      <x:c r="Q7" s="68" t="str">
        <x:v>出生时刻不在交节误差内，月支本气与目标五行同类</x:v>
      </x:c>
      <x:c r="R7" s="68" t="str">
        <x:v>目标五行同时透干、通根、得生或有同党</x:v>
      </x:c>
      <x:c r="S7" s="68" t="str">
        <x:v>目标五行虽得令但孤立、无根、无透且大量泄耗证据待M08修正</x:v>
      </x:c>
      <x:c r="T7" s="90" t="str">
        <x:v>不得把月令本气同类直接等同于极旺</x:v>
      </x:c>
      <x:c r="U7" s="68" t="str">
        <x:v>从格、化气格等特殊结构另由M14裁决</x:v>
      </x:c>
      <x:c r="V7" s="82" t="str">
        <x:v>否</x:v>
      </x:c>
      <x:c r="W7" s="84" t="str">
        <x:v>季令强支持</x:v>
      </x:c>
      <x:c r="X7" s="84" t="str">
        <x:v>目标五行得月令本气支持，原始力量获得最高等级季令加权；仍须合并根、透、源、党判断。</x:v>
      </x:c>
      <x:c r="Y7" s="82" t="str">
        <x:v>较高</x:v>
      </x:c>
      <x:c r="Z7" s="82" t="str">
        <x:v>旺衰扶抑</x:v>
      </x:c>
      <x:c r="AA7" s="68" t="str">
        <x:v>月令是原始气势的首要环境证据，但不是唯一证据。</x:v>
      </x:c>
      <x:c r="AB7" s="68" t="str">
        <x:v>寅月评木，木得本气季令支持，并见寅卯根与甲乙透出，可进入旺候选。</x:v>
      </x:c>
      <x:c r="AC7" s="90" t="str">
        <x:v>寅月只见一枚无根甲木，便仅凭得令判极旺。</x:v>
      </x:c>
      <x:c r="AD7" s="68" t="str">
        <x:v>https://zh.wikisource.org/wiki/三命通會/卷二；https://zh.wikisource.org/zh-hans/淵海子平</x:v>
      </x:c>
      <x:c r="AE7" s="82" t="str">
        <x:v>采用</x:v>
      </x:c>
      <x:c r="AF7" s="82" t="str">
        <x:v>初审</x:v>
      </x:c>
      <x:c r="AG7" s="87" t="n">
        <x:v>46255</x:v>
      </x:c>
    </x:row>
    <x:row r="8">
      <x:c r="A8" s="72" t="str">
        <x:f>IF(OR(C8="",D8=""),"",B8&amp;"-"&amp;UPPER(C8)&amp;"-"&amp;TEXT(D8,"0000")&amp;"-"&amp;E8)</x:f>
        <x:v>M07-SEAS-0002-V1.0</x:v>
      </x:c>
      <x:c r="B8" s="74" t="str">
        <x:v>M07</x:v>
      </x:c>
      <x:c r="C8" s="74" t="str">
        <x:v>SEAS</x:v>
      </x:c>
      <x:c r="D8" s="79" t="n">
        <x:v>2</x:v>
      </x:c>
      <x:c r="E8" s="74" t="str">
        <x:v>V1.0</x:v>
      </x:c>
      <x:c r="F8" s="68" t="str">
        <x:v>月令藏中气或余气同类只形成次级季令支持</x:v>
      </x:c>
      <x:c r="G8" s="82" t="str">
        <x:v>结构层</x:v>
      </x:c>
      <x:c r="H8" s="68" t="str">
        <x:v>季令/杂气</x:v>
      </x:c>
      <x:c r="I8" s="82"/>
      <x:c r="J8" s="68" t="str">
        <x:v>目标五行仅见于月支中气或余气，而非月支本气</x:v>
      </x:c>
      <x:c r="K8" s="68" t="str">
        <x:v>杂气得时或余气支持</x:v>
      </x:c>
      <x:c r="L8" s="68" t="str">
        <x:v>保留弱至中等季令正证，不按本气得令处理</x:v>
      </x:c>
      <x:c r="M8" s="82" t="str">
        <x:v>增强</x:v>
      </x:c>
      <x:c r="N8" s="68" t="str">
        <x:v>中</x:v>
      </x:c>
      <x:c r="O8" s="82" t="str">
        <x:v>中</x:v>
      </x:c>
      <x:c r="P8" s="68" t="str">
        <x:v>M03已标注月支藏干层级</x:v>
      </x:c>
      <x:c r="Q8" s="68" t="str">
        <x:v>目标五行确为月支中气或余气</x:v>
      </x:c>
      <x:c r="R8" s="68" t="str">
        <x:v>该藏干透出、在他支另有本气根或获生源</x:v>
      </x:c>
      <x:c r="S8" s="68" t="str">
        <x:v>藏气不透、无同党、处于季节衰退段</x:v>
      </x:c>
      <x:c r="T8" s="90" t="str">
        <x:v>不得把月支中余气写成与本气同等得令</x:v>
      </x:c>
      <x:c r="U8" s="68" t="str">
        <x:v>具体司令分日有流派差异时转M21</x:v>
      </x:c>
      <x:c r="V8" s="82" t="str">
        <x:v>否</x:v>
      </x:c>
      <x:c r="W8" s="84" t="str">
        <x:v>季令次级支持</x:v>
      </x:c>
      <x:c r="X8" s="84" t="str">
        <x:v>目标五行仅得月令中气或余气支持，原始力量有季节落点，但低于月支本气得令。</x:v>
      </x:c>
      <x:c r="Y8" s="82" t="str">
        <x:v>较高</x:v>
      </x:c>
      <x:c r="Z8" s="82" t="str">
        <x:v>现代综合</x:v>
      </x:c>
      <x:c r="AA8" s="68" t="str">
        <x:v>杂气月中不同藏气均可作为证据，但层级不能混同。</x:v>
      </x:c>
      <x:c r="AB8" s="68" t="str">
        <x:v>辰月评水，癸为余气且另见亥子根，可保留次级季令支持。</x:v>
      </x:c>
      <x:c r="AC8" s="90" t="str">
        <x:v>辰月见癸余气即按水当令旺论。</x:v>
      </x:c>
      <x:c r="AD8" s="68" t="str">
        <x:v>https://zh.wikisource.org/wiki/三命通會/卷二；https://zh.wikisource.org/zh-hans/淵海子平</x:v>
      </x:c>
      <x:c r="AE8" s="82" t="str">
        <x:v>采用</x:v>
      </x:c>
      <x:c r="AF8" s="82" t="str">
        <x:v>初审</x:v>
      </x:c>
      <x:c r="AG8" s="87" t="n">
        <x:v>46255</x:v>
      </x:c>
    </x:row>
    <x:row r="9">
      <x:c r="A9" s="72" t="str">
        <x:f>IF(OR(C9="",D9=""),"",B9&amp;"-"&amp;UPPER(C9)&amp;"-"&amp;TEXT(D9,"0000")&amp;"-"&amp;E9)</x:f>
        <x:v>M07-SEAS-0003-V1.0</x:v>
      </x:c>
      <x:c r="B9" s="74" t="str">
        <x:v>M07</x:v>
      </x:c>
      <x:c r="C9" s="74" t="str">
        <x:v>SEAS</x:v>
      </x:c>
      <x:c r="D9" s="79" t="n">
        <x:v>3</x:v>
      </x:c>
      <x:c r="E9" s="74" t="str">
        <x:v>V1.0</x:v>
      </x:c>
      <x:c r="F9" s="68" t="str">
        <x:v>旺相休囚死之旺为强正向季节证据</x:v>
      </x:c>
      <x:c r="G9" s="82" t="str">
        <x:v>结构层</x:v>
      </x:c>
      <x:c r="H9" s="68" t="str">
        <x:v>季令/旺相休囚死</x:v>
      </x:c>
      <x:c r="I9" s="82"/>
      <x:c r="J9" s="68" t="str">
        <x:v>按M03五行季节关系判定目标五行为旺</x:v>
      </x:c>
      <x:c r="K9" s="68" t="str">
        <x:v>旺</x:v>
      </x:c>
      <x:c r="L9" s="68" t="str">
        <x:v>季令证据显著增强，可提高原始旺衰候选但不可越级定极旺</x:v>
      </x:c>
      <x:c r="M9" s="82" t="str">
        <x:v>增强</x:v>
      </x:c>
      <x:c r="N9" s="68" t="str">
        <x:v>高</x:v>
      </x:c>
      <x:c r="O9" s="82" t="str">
        <x:v>强</x:v>
      </x:c>
      <x:c r="P9" s="68" t="str">
        <x:v>M03旺相休囚死映射完成</x:v>
      </x:c>
      <x:c r="Q9" s="68" t="str">
        <x:v>目标五行与当令五行同类</x:v>
      </x:c>
      <x:c r="R9" s="68" t="str">
        <x:v>有根、透干、同党或连续生扶</x:v>
      </x:c>
      <x:c r="S9" s="68" t="str">
        <x:v>无根无源且仅单点出现</x:v>
      </x:c>
      <x:c r="T9" s="90" t="str">
        <x:v>不得与“月令本气同类”重复全额加权</x:v>
      </x:c>
      <x:c r="U9" s="68" t="str">
        <x:v>月令杂气与节气边界争议另行标注</x:v>
      </x:c>
      <x:c r="V9" s="82" t="str">
        <x:v>否</x:v>
      </x:c>
      <x:c r="W9" s="84" t="str">
        <x:v>旺令证据</x:v>
      </x:c>
      <x:c r="X9" s="84" t="str">
        <x:v>目标五行处于季节之旺，原始力量获得强正向证据；与月令同类事实合并而非重复计权。</x:v>
      </x:c>
      <x:c r="Y9" s="82" t="str">
        <x:v>较高</x:v>
      </x:c>
      <x:c r="Z9" s="82" t="str">
        <x:v>旺衰扶抑</x:v>
      </x:c>
      <x:c r="AA9" s="68" t="str">
        <x:v>旺是季节状态标签，需与根透源党合并。</x:v>
      </x:c>
      <x:c r="AB9" s="68" t="str">
        <x:v>亥子月水旺，壬癸多透又有亥子根，水原始力量明显偏强。</x:v>
      </x:c>
      <x:c r="AC9" s="90" t="str">
        <x:v>水旺季仅一枚辰中癸余气，也直接判水极旺。</x:v>
      </x:c>
      <x:c r="AD9" s="68" t="str">
        <x:v>https://zh.wikisource.org/zh-hans/淵海子平；https://zh.wikisource.org/zh-hans/滴天髓</x:v>
      </x:c>
      <x:c r="AE9" s="82" t="str">
        <x:v>采用</x:v>
      </x:c>
      <x:c r="AF9" s="82" t="str">
        <x:v>初审</x:v>
      </x:c>
      <x:c r="AG9" s="87" t="n">
        <x:v>46255</x:v>
      </x:c>
    </x:row>
    <x:row r="10">
      <x:c r="A10" s="72" t="str">
        <x:f>IF(OR(C10="",D10=""),"",B10&amp;"-"&amp;UPPER(C10)&amp;"-"&amp;TEXT(D10,"0000")&amp;"-"&amp;E10)</x:f>
        <x:v>M07-SEAS-0004-V1.0</x:v>
      </x:c>
      <x:c r="B10" s="74" t="str">
        <x:v>M07</x:v>
      </x:c>
      <x:c r="C10" s="74" t="str">
        <x:v>SEAS</x:v>
      </x:c>
      <x:c r="D10" s="79" t="n">
        <x:v>4</x:v>
      </x:c>
      <x:c r="E10" s="74" t="str">
        <x:v>V1.0</x:v>
      </x:c>
      <x:c r="F10" s="68" t="str">
        <x:v>旺相休囚死之相为中高等级正向季节证据</x:v>
      </x:c>
      <x:c r="G10" s="82" t="str">
        <x:v>结构层</x:v>
      </x:c>
      <x:c r="H10" s="68" t="str">
        <x:v>季令/旺相休囚死</x:v>
      </x:c>
      <x:c r="I10" s="82"/>
      <x:c r="J10" s="68" t="str">
        <x:v>按M03五行季节关系判定目标五行为相</x:v>
      </x:c>
      <x:c r="K10" s="68" t="str">
        <x:v>相</x:v>
      </x:c>
      <x:c r="L10" s="68" t="str">
        <x:v>给予次于旺令的季节支持</x:v>
      </x:c>
      <x:c r="M10" s="82" t="str">
        <x:v>增强</x:v>
      </x:c>
      <x:c r="N10" s="68" t="str">
        <x:v>中高</x:v>
      </x:c>
      <x:c r="O10" s="82" t="str">
        <x:v>中</x:v>
      </x:c>
      <x:c r="P10" s="68" t="str">
        <x:v>M03旺相休囚死映射完成</x:v>
      </x:c>
      <x:c r="Q10" s="68" t="str">
        <x:v>当令五行能够生目标五行</x:v>
      </x:c>
      <x:c r="R10" s="68" t="str">
        <x:v>目标五行有根、透干且生源本身得令</x:v>
      </x:c>
      <x:c r="S10" s="68" t="str">
        <x:v>生源虽当令但目标无根无透或生路过长</x:v>
      </x:c>
      <x:c r="T10" s="90" t="str">
        <x:v>不得把相等同于目标五行自身当令</x:v>
      </x:c>
      <x:c r="U10" s="68" t="str">
        <x:v>若生源被M06/M08判失效，转M08下调</x:v>
      </x:c>
      <x:c r="V10" s="82" t="str">
        <x:v>否</x:v>
      </x:c>
      <x:c r="W10" s="84" t="str">
        <x:v>相令证据</x:v>
      </x:c>
      <x:c r="X10" s="84" t="str">
        <x:v>目标五行得当令五行所生，属于相令，原始力量获得中高等级季节支持。</x:v>
      </x:c>
      <x:c r="Y10" s="82" t="str">
        <x:v>较高</x:v>
      </x:c>
      <x:c r="Z10" s="82" t="str">
        <x:v>旺衰扶抑</x:v>
      </x:c>
      <x:c r="AA10" s="68" t="str">
        <x:v>相表示季节环境能生目标，但仍弱于同类当令。</x:v>
      </x:c>
      <x:c r="AB10" s="68" t="str">
        <x:v>冬月水旺生木，甲乙有寅卯根时，木可获相令支持。</x:v>
      </x:c>
      <x:c r="AC10" s="90" t="str">
        <x:v>冬月木无根无透，仅因水旺便判木旺。</x:v>
      </x:c>
      <x:c r="AD10" s="68" t="str">
        <x:v>https://zh.wikisource.org/zh-hans/淵海子平；https://zh.wikisource.org/zh-hans/滴天髓</x:v>
      </x:c>
      <x:c r="AE10" s="82" t="str">
        <x:v>采用</x:v>
      </x:c>
      <x:c r="AF10" s="82" t="str">
        <x:v>初审</x:v>
      </x:c>
      <x:c r="AG10" s="87" t="n">
        <x:v>46255</x:v>
      </x:c>
    </x:row>
    <x:row r="11">
      <x:c r="A11" s="72" t="str">
        <x:f>IF(OR(C11="",D11=""),"",B11&amp;"-"&amp;UPPER(C11)&amp;"-"&amp;TEXT(D11,"0000")&amp;"-"&amp;E11)</x:f>
        <x:v>M07-SEAS-0005-V1.0</x:v>
      </x:c>
      <x:c r="B11" s="74" t="str">
        <x:v>M07</x:v>
      </x:c>
      <x:c r="C11" s="74" t="str">
        <x:v>SEAS</x:v>
      </x:c>
      <x:c r="D11" s="79" t="n">
        <x:v>5</x:v>
      </x:c>
      <x:c r="E11" s="74" t="str">
        <x:v>V1.0</x:v>
      </x:c>
      <x:c r="F11" s="68" t="str">
        <x:v>旺相休囚死之休表示季节支持有限</x:v>
      </x:c>
      <x:c r="G11" s="82" t="str">
        <x:v>结构层</x:v>
      </x:c>
      <x:c r="H11" s="68" t="str">
        <x:v>季令/旺相休囚死</x:v>
      </x:c>
      <x:c r="I11" s="82"/>
      <x:c r="J11" s="68" t="str">
        <x:v>按M03五行季节关系判定目标五行为休</x:v>
      </x:c>
      <x:c r="K11" s="68" t="str">
        <x:v>休</x:v>
      </x:c>
      <x:c r="L11" s="68" t="str">
        <x:v>季令不作正向加权，并记录目标向当令五行泄出的环境倾向</x:v>
      </x:c>
      <x:c r="M11" s="82" t="str">
        <x:v>减弱</x:v>
      </x:c>
      <x:c r="N11" s="68" t="str">
        <x:v>中</x:v>
      </x:c>
      <x:c r="O11" s="82" t="str">
        <x:v>中</x:v>
      </x:c>
      <x:c r="P11" s="68" t="str">
        <x:v>M03旺相休囚死映射完成</x:v>
      </x:c>
      <x:c r="Q11" s="68" t="str">
        <x:v>目标五行生当令五行</x:v>
      </x:c>
      <x:c r="R11" s="68" t="str">
        <x:v>目标有多根、多透、强生源与同党，可抵消季节不利</x:v>
      </x:c>
      <x:c r="S11" s="68" t="str">
        <x:v>目标孤立、无根、主要力量持续生向月令</x:v>
      </x:c>
      <x:c r="T11" s="90" t="str">
        <x:v>不得把休直接解释为无力或不存在</x:v>
      </x:c>
      <x:c r="U11" s="68" t="str">
        <x:v>特殊格局中泄秀可能有结构价值，但不改变原始季令证据</x:v>
      </x:c>
      <x:c r="V11" s="82" t="str">
        <x:v>否</x:v>
      </x:c>
      <x:c r="W11" s="84" t="str">
        <x:v>休令证据</x:v>
      </x:c>
      <x:c r="X11" s="84" t="str">
        <x:v>目标五行处于休令，季节支持有限；是否仍旺须看根、透、源、党能否形成反向证据。</x:v>
      </x:c>
      <x:c r="Y11" s="82" t="str">
        <x:v>较高</x:v>
      </x:c>
      <x:c r="Z11" s="82" t="str">
        <x:v>旺衰扶抑</x:v>
      </x:c>
      <x:c r="AA11" s="68" t="str">
        <x:v>休是季节不占优势，不是力量清零。</x:v>
      </x:c>
      <x:c r="AB11" s="68" t="str">
        <x:v>夏月木休，但寅卯成片、甲乙多透，木仍可原始偏旺。</x:v>
      </x:c>
      <x:c r="AC11" s="90" t="str">
        <x:v>夏月见木休便一概判木弱。</x:v>
      </x:c>
      <x:c r="AD11" s="68" t="str">
        <x:v>https://zh.wikisource.org/zh-hans/淵海子平；https://zh.wikisource.org/zh-hans/滴天髓</x:v>
      </x:c>
      <x:c r="AE11" s="82" t="str">
        <x:v>采用</x:v>
      </x:c>
      <x:c r="AF11" s="82" t="str">
        <x:v>初审</x:v>
      </x:c>
      <x:c r="AG11" s="87" t="n">
        <x:v>46255</x:v>
      </x:c>
    </x:row>
    <x:row r="12">
      <x:c r="A12" s="72" t="str">
        <x:f>IF(OR(C12="",D12=""),"",B12&amp;"-"&amp;UPPER(C12)&amp;"-"&amp;TEXT(D12,"0000")&amp;"-"&amp;E12)</x:f>
        <x:v>M07-SEAS-0006-V1.0</x:v>
      </x:c>
      <x:c r="B12" s="74" t="str">
        <x:v>M07</x:v>
      </x:c>
      <x:c r="C12" s="74" t="str">
        <x:v>SEAS</x:v>
      </x:c>
      <x:c r="D12" s="79" t="n">
        <x:v>6</x:v>
      </x:c>
      <x:c r="E12" s="74" t="str">
        <x:v>V1.0</x:v>
      </x:c>
      <x:c r="F12" s="68" t="str">
        <x:v>旺相休囚死之囚为明确不利季节证据</x:v>
      </x:c>
      <x:c r="G12" s="82" t="str">
        <x:v>结构层</x:v>
      </x:c>
      <x:c r="H12" s="68" t="str">
        <x:v>季令/旺相休囚死</x:v>
      </x:c>
      <x:c r="I12" s="82"/>
      <x:c r="J12" s="68" t="str">
        <x:v>按M03五行季节关系判定目标五行为囚</x:v>
      </x:c>
      <x:c r="K12" s="68" t="str">
        <x:v>囚</x:v>
      </x:c>
      <x:c r="L12" s="68" t="str">
        <x:v>下调季令支持，记录目标需耗力制约当令五行</x:v>
      </x:c>
      <x:c r="M12" s="82" t="str">
        <x:v>减弱</x:v>
      </x:c>
      <x:c r="N12" s="68" t="str">
        <x:v>中高</x:v>
      </x:c>
      <x:c r="O12" s="82" t="str">
        <x:v>中</x:v>
      </x:c>
      <x:c r="P12" s="68" t="str">
        <x:v>M03旺相休囚死映射完成</x:v>
      </x:c>
      <x:c r="Q12" s="68" t="str">
        <x:v>目标五行克当令五行</x:v>
      </x:c>
      <x:c r="R12" s="68" t="str">
        <x:v>目标多根多透且有强生源，可形成反季节力量</x:v>
      </x:c>
      <x:c r="S12" s="68" t="str">
        <x:v>目标无根、无源，仅孤干或弱藏</x:v>
      </x:c>
      <x:c r="T12" s="90" t="str">
        <x:v>不得仅凭囚令直接判极弱</x:v>
      </x:c>
      <x:c r="U12" s="68" t="str">
        <x:v>目标成专旺或从势候选时转M14</x:v>
      </x:c>
      <x:c r="V12" s="82" t="str">
        <x:v>否</x:v>
      </x:c>
      <x:c r="W12" s="84" t="str">
        <x:v>囚令证据</x:v>
      </x:c>
      <x:c r="X12" s="84" t="str">
        <x:v>目标五行处于囚令，季节环境不利，原始力量需由强根、透干和生源补偿。</x:v>
      </x:c>
      <x:c r="Y12" s="82" t="str">
        <x:v>较高</x:v>
      </x:c>
      <x:c r="Z12" s="82" t="str">
        <x:v>旺衰扶抑</x:v>
      </x:c>
      <x:c r="AA12" s="68" t="str">
        <x:v>囚令强调环境消耗，不否定其他来源。</x:v>
      </x:c>
      <x:c r="AB12" s="68" t="str">
        <x:v>春月土囚，但辰戌丑未多见并戊己透出，土仍可能有力。</x:v>
      </x:c>
      <x:c r="AC12" s="90" t="str">
        <x:v>春月土囚即无视多重土根而判极弱。</x:v>
      </x:c>
      <x:c r="AD12" s="68" t="str">
        <x:v>https://zh.wikisource.org/zh-hans/淵海子平；https://zh.wikisource.org/zh-hans/滴天髓</x:v>
      </x:c>
      <x:c r="AE12" s="82" t="str">
        <x:v>采用</x:v>
      </x:c>
      <x:c r="AF12" s="82" t="str">
        <x:v>初审</x:v>
      </x:c>
      <x:c r="AG12" s="87" t="n">
        <x:v>46255</x:v>
      </x:c>
    </x:row>
    <x:row r="13">
      <x:c r="A13" s="72" t="str">
        <x:f>IF(OR(C13="",D13=""),"",B13&amp;"-"&amp;UPPER(C13)&amp;"-"&amp;TEXT(D13,"0000")&amp;"-"&amp;E13)</x:f>
        <x:v>M07-SEAS-0007-V1.0</x:v>
      </x:c>
      <x:c r="B13" s="74" t="str">
        <x:v>M07</x:v>
      </x:c>
      <x:c r="C13" s="74" t="str">
        <x:v>SEAS</x:v>
      </x:c>
      <x:c r="D13" s="79" t="n">
        <x:v>7</x:v>
      </x:c>
      <x:c r="E13" s="74" t="str">
        <x:v>V1.0</x:v>
      </x:c>
      <x:c r="F13" s="68" t="str">
        <x:v>旺相休囚死之死为最高等级负向季节证据</x:v>
      </x:c>
      <x:c r="G13" s="82" t="str">
        <x:v>结构层</x:v>
      </x:c>
      <x:c r="H13" s="68" t="str">
        <x:v>季令/旺相休囚死</x:v>
      </x:c>
      <x:c r="I13" s="82"/>
      <x:c r="J13" s="68" t="str">
        <x:v>按M03五行季节关系判定目标五行为死</x:v>
      </x:c>
      <x:c r="K13" s="68" t="str">
        <x:v>死</x:v>
      </x:c>
      <x:c r="L13" s="68" t="str">
        <x:v>给予强负向季令证据，但不删除根气与透干</x:v>
      </x:c>
      <x:c r="M13" s="82" t="str">
        <x:v>减弱</x:v>
      </x:c>
      <x:c r="N13" s="68" t="str">
        <x:v>高</x:v>
      </x:c>
      <x:c r="O13" s="82" t="str">
        <x:v>强</x:v>
      </x:c>
      <x:c r="P13" s="68" t="str">
        <x:v>M03旺相休囚死映射完成</x:v>
      </x:c>
      <x:c r="Q13" s="68" t="str">
        <x:v>当令五行克目标五行</x:v>
      </x:c>
      <x:c r="R13" s="68" t="str">
        <x:v>目标有多重本气根、强生源、透干成党</x:v>
      </x:c>
      <x:c r="S13" s="68" t="str">
        <x:v>目标无根无源且只见余气或孤干</x:v>
      </x:c>
      <x:c r="T13" s="90" t="str">
        <x:v>不得把死令直接等同于不存在或必极弱</x:v>
      </x:c>
      <x:c r="U13" s="68" t="str">
        <x:v>特殊成势结构另由M14验证</x:v>
      </x:c>
      <x:c r="V13" s="82" t="str">
        <x:v>否</x:v>
      </x:c>
      <x:c r="W13" s="84" t="str">
        <x:v>死令证据</x:v>
      </x:c>
      <x:c r="X13" s="84" t="str">
        <x:v>目标五行处于死令，季节环境强烈不利；若无根、无源、无党，才接近极弱候选。</x:v>
      </x:c>
      <x:c r="Y13" s="82" t="str">
        <x:v>较高</x:v>
      </x:c>
      <x:c r="Z13" s="82" t="str">
        <x:v>旺衰扶抑</x:v>
      </x:c>
      <x:c r="AA13" s="68" t="str">
        <x:v>死令是强负证据，仍须接受根气与成势反证。</x:v>
      </x:c>
      <x:c r="AB13" s="68" t="str">
        <x:v>秋月木死且无寅卯亥根、甲乙不透，可进入极弱候选。</x:v>
      </x:c>
      <x:c r="AC13" s="90" t="str">
        <x:v>秋月木死但寅卯成片、壬癸生木，仍判木不存在。</x:v>
      </x:c>
      <x:c r="AD13" s="68" t="str">
        <x:v>https://zh.wikisource.org/zh-hans/淵海子平；https://zh.wikisource.org/zh-hans/滴天髓</x:v>
      </x:c>
      <x:c r="AE13" s="82" t="str">
        <x:v>采用</x:v>
      </x:c>
      <x:c r="AF13" s="82" t="str">
        <x:v>初审</x:v>
      </x:c>
      <x:c r="AG13" s="87" t="n">
        <x:v>46255</x:v>
      </x:c>
    </x:row>
    <x:row r="14">
      <x:c r="A14" s="72" t="str">
        <x:f>IF(OR(C14="",D14=""),"",B14&amp;"-"&amp;UPPER(C14)&amp;"-"&amp;TEXT(D14,"0000")&amp;"-"&amp;E14)</x:f>
        <x:v>M07-SEAS-0008-V1.0</x:v>
      </x:c>
      <x:c r="B14" s="74" t="str">
        <x:v>M07</x:v>
      </x:c>
      <x:c r="C14" s="74" t="str">
        <x:v>SEAS</x:v>
      </x:c>
      <x:c r="D14" s="79" t="n">
        <x:v>8</x:v>
      </x:c>
      <x:c r="E14" s="74" t="str">
        <x:v>V1.0</x:v>
      </x:c>
      <x:c r="F14" s="68" t="str">
        <x:v>辰戌丑未月须同时记录土本气与杂气证据</x:v>
      </x:c>
      <x:c r="G14" s="82" t="str">
        <x:v>结构层</x:v>
      </x:c>
      <x:c r="H14" s="68" t="str">
        <x:v>季令/四季土月</x:v>
      </x:c>
      <x:c r="I14" s="82" t="str">
        <x:v>土</x:v>
      </x:c>
      <x:c r="J14" s="68" t="str">
        <x:v>月支为辰、戌、丑、未</x:v>
      </x:c>
      <x:c r="K14" s="68" t="str">
        <x:v>土得本气，其他藏气保留次级季令证据</x:v>
      </x:c>
      <x:c r="L14" s="68" t="str">
        <x:v>土获强季令支持；木火金水按藏气层级与节气段另记辅助证据</x:v>
      </x:c>
      <x:c r="M14" s="82" t="str">
        <x:v>条件性</x:v>
      </x:c>
      <x:c r="N14" s="68" t="str">
        <x:v>高</x:v>
      </x:c>
      <x:c r="O14" s="82" t="str">
        <x:v>强</x:v>
      </x:c>
      <x:c r="P14" s="68" t="str">
        <x:v>M03已识别四季月及藏干层级</x:v>
      </x:c>
      <x:c r="Q14" s="68" t="str">
        <x:v>不得省略月支本气土与中余气的并存事实</x:v>
      </x:c>
      <x:c r="R14" s="68" t="str">
        <x:v>目标藏气透出、在他支另得根、接近相应节气阶段</x:v>
      </x:c>
      <x:c r="S14" s="68" t="str">
        <x:v>目标仅余气且无透无根</x:v>
      </x:c>
      <x:c r="T14" s="90" t="str">
        <x:v>不得把四季月简化为“只有土有效”或“所有藏气同权”</x:v>
      </x:c>
      <x:c r="U14" s="68" t="str">
        <x:v>司令分日及进退气细则存在流派差异，转M21管理</x:v>
      </x:c>
      <x:c r="V14" s="82" t="str">
        <x:v>否</x:v>
      </x:c>
      <x:c r="W14" s="84" t="str">
        <x:v>四季月复合证据</x:v>
      </x:c>
      <x:c r="X14" s="84" t="str">
        <x:v>四季土月先确认土的本气优势，再分别保留月支中余气对其他五行的次级支持。</x:v>
      </x:c>
      <x:c r="Y14" s="82" t="str">
        <x:v>中等</x:v>
      </x:c>
      <x:c r="Z14" s="82" t="str">
        <x:v>现代综合</x:v>
      </x:c>
      <x:c r="AA14" s="68" t="str">
        <x:v>四季月是复合气场，需分层而非单一化。</x:v>
      </x:c>
      <x:c r="AB14" s="68" t="str">
        <x:v>丑月土得本气，癸水与辛金仍可作为月令藏气证据，强度另判。</x:v>
      </x:c>
      <x:c r="AC14" s="90" t="str">
        <x:v>丑月直接把癸辛视为不存在，或与己土等权。</x:v>
      </x:c>
      <x:c r="AD14" s="68" t="str">
        <x:v>https://zh.wikisource.org/wiki/三命通會/卷二；https://zh.wikisource.org/zh-hans/淵海子平</x:v>
      </x:c>
      <x:c r="AE14" s="82" t="str">
        <x:v>待验证</x:v>
      </x:c>
      <x:c r="AF14" s="82" t="str">
        <x:v>初审</x:v>
      </x:c>
      <x:c r="AG14" s="87" t="n">
        <x:v>46255</x:v>
      </x:c>
    </x:row>
    <x:row r="15">
      <x:c r="A15" s="72" t="str">
        <x:f>IF(OR(C15="",D15=""),"",B15&amp;"-"&amp;UPPER(C15)&amp;"-"&amp;TEXT(D15,"0000")&amp;"-"&amp;E15)</x:f>
        <x:v>M07-SEAS-0009-V1.0</x:v>
      </x:c>
      <x:c r="B15" s="74" t="str">
        <x:v>M07</x:v>
      </x:c>
      <x:c r="C15" s="74" t="str">
        <x:v>SEAS</x:v>
      </x:c>
      <x:c r="D15" s="79" t="n">
        <x:v>9</x:v>
      </x:c>
      <x:c r="E15" s="74" t="str">
        <x:v>V1.0</x:v>
      </x:c>
      <x:c r="F15" s="68" t="str">
        <x:v>交节附近必须先核准月令再评季令强弱</x:v>
      </x:c>
      <x:c r="G15" s="82" t="str">
        <x:v>结构层</x:v>
      </x:c>
      <x:c r="H15" s="68" t="str">
        <x:v>季令/程序</x:v>
      </x:c>
      <x:c r="I15" s="82"/>
      <x:c r="J15" s="68" t="str">
        <x:v>出生时刻接近节气交接</x:v>
      </x:c>
      <x:c r="K15" s="68" t="str">
        <x:v>月令存在边界风险</x:v>
      </x:c>
      <x:c r="L15" s="68" t="str">
        <x:v>暂缓季令定性，要求核对时区、真太阳时口径与交节时刻</x:v>
      </x:c>
      <x:c r="M15" s="82" t="str">
        <x:v>条件性</x:v>
      </x:c>
      <x:c r="N15" s="68" t="str">
        <x:v>高</x:v>
      </x:c>
      <x:c r="O15" s="82" t="str">
        <x:v>决定性</x:v>
      </x:c>
      <x:c r="P15" s="68" t="str">
        <x:v>具有准确出生时间与地点</x:v>
      </x:c>
      <x:c r="Q15" s="68" t="str">
        <x:v>月令边界尚未核准时不得输出确定季令结论</x:v>
      </x:c>
      <x:c r="R15" s="68" t="str">
        <x:v>权威历表与时区信息一致</x:v>
      </x:c>
      <x:c r="S15" s="68" t="str">
        <x:v>时间只到日期、地点不明或夏令时口径不清</x:v>
      </x:c>
      <x:c r="T15" s="90" t="str">
        <x:v>禁止以公历月份或农历初一替代节气月令</x:v>
      </x:c>
      <x:c r="U15" s="68" t="str">
        <x:v>若两种月令均可能，建立双分支测试</x:v>
      </x:c>
      <x:c r="V15" s="82" t="str">
        <x:v>条件性</x:v>
      </x:c>
      <x:c r="W15" s="84" t="str">
        <x:v>月令边界校验</x:v>
      </x:c>
      <x:c r="X15" s="84" t="str">
        <x:v>出生接近交节，季令证据暂列待定；应先完成月令校验，再进入原始旺衰。</x:v>
      </x:c>
      <x:c r="Y15" s="82" t="str">
        <x:v>确定</x:v>
      </x:c>
      <x:c r="Z15" s="82" t="str">
        <x:v>跨流派共识</x:v>
      </x:c>
      <x:c r="AA15" s="68" t="str">
        <x:v>月令输入错误会系统性污染后续旺衰判断。</x:v>
      </x:c>
      <x:c r="AB15" s="68" t="str">
        <x:v>立春交接前后数分钟出生，分别以丑月、寅月建立候选盘复核。</x:v>
      </x:c>
      <x:c r="AC15" s="90" t="str">
        <x:v>仅按出生日期中的“二月”直接认定卯月。</x:v>
      </x:c>
      <x:c r="AD15" s="68" t="str">
        <x:v>https://zh.wikisource.org/wiki/三命通會/卷二；https://zh.wikisource.org/zh-hans/淵海子平</x:v>
      </x:c>
      <x:c r="AE15" s="82" t="str">
        <x:v>采用</x:v>
      </x:c>
      <x:c r="AF15" s="82" t="str">
        <x:v>初审</x:v>
      </x:c>
      <x:c r="AG15" s="87" t="n">
        <x:v>46255</x:v>
      </x:c>
    </x:row>
    <x:row r="16">
      <x:c r="A16" s="72" t="str">
        <x:f>IF(OR(C16="",D16=""),"",B16&amp;"-"&amp;UPPER(C16)&amp;"-"&amp;TEXT(D16,"0000")&amp;"-"&amp;E16)</x:f>
        <x:v>M07-SEAS-0010-V1.0</x:v>
      </x:c>
      <x:c r="B16" s="74" t="str">
        <x:v>M07</x:v>
      </x:c>
      <x:c r="C16" s="74" t="str">
        <x:v>SEAS</x:v>
      </x:c>
      <x:c r="D16" s="79" t="n">
        <x:v>10</x:v>
      </x:c>
      <x:c r="E16" s="74" t="str">
        <x:v>V1.0</x:v>
      </x:c>
      <x:c r="F16" s="68" t="str">
        <x:v>季令证据只能计入一个主标签并保留辅助说明</x:v>
      </x:c>
      <x:c r="G16" s="82" t="str">
        <x:v>结构层</x:v>
      </x:c>
      <x:c r="H16" s="68" t="str">
        <x:v>季令/防重复</x:v>
      </x:c>
      <x:c r="I16" s="82"/>
      <x:c r="J16" s="68" t="str">
        <x:v>同一月令事实可同时被描述为本气同类、旺或相等术语</x:v>
      </x:c>
      <x:c r="K16" s="68" t="str">
        <x:v>同源证据重叠</x:v>
      </x:c>
      <x:c r="L16" s="68" t="str">
        <x:v>合并为一个主季令证据，其他术语只作解释，不重复全额加权</x:v>
      </x:c>
      <x:c r="M16" s="82" t="str">
        <x:v>不变</x:v>
      </x:c>
      <x:c r="N16" s="68" t="str">
        <x:v>高</x:v>
      </x:c>
      <x:c r="O16" s="82" t="str">
        <x:v>强</x:v>
      </x:c>
      <x:c r="P16" s="68" t="str">
        <x:v>M03月令与旺相休囚死均已生成</x:v>
      </x:c>
      <x:c r="Q16" s="68" t="str">
        <x:v>确认多个标签来自同一月令事实</x:v>
      </x:c>
      <x:c r="R16" s="68" t="str">
        <x:v>不同证据来自独立根、透、源或党</x:v>
      </x:c>
      <x:c r="S16" s="68" t="str">
        <x:v>把同一月令事实拆成多个独立加分项</x:v>
      </x:c>
      <x:c r="T16" s="90" t="str">
        <x:v>禁止“得令一次＋旺一次＋月支根一次”机械三重满额累加</x:v>
      </x:c>
      <x:c r="U16" s="68" t="str">
        <x:v>月支同时承担根气时可分别记录，但汇总时标注共源</x:v>
      </x:c>
      <x:c r="V16" s="82" t="str">
        <x:v>否</x:v>
      </x:c>
      <x:c r="W16" s="84" t="str">
        <x:v>季令去重</x:v>
      </x:c>
      <x:c r="X16" s="84" t="str">
        <x:v>本条季令事实只计一次主权重；相关旺相术语与月支根气作为关联证据说明，避免重复计权。</x:v>
      </x:c>
      <x:c r="Y16" s="82" t="str">
        <x:v>较高</x:v>
      </x:c>
      <x:c r="Z16" s="82" t="str">
        <x:v>现代综合</x:v>
      </x:c>
      <x:c r="AA16" s="68" t="str">
        <x:v>同源证据必须识别相关性，否则会夸大月令作用。</x:v>
      </x:c>
      <x:c r="AB16" s="68" t="str">
        <x:v>寅月木旺，记录“木得令（旺）”，月支寅根另标共源而非三次独立强证据。</x:v>
      </x:c>
      <x:c r="AC16" s="90" t="str">
        <x:v>把寅月木同类、木旺、寅为木根各算一次决定性加权。</x:v>
      </x:c>
      <x:c r="AD16" s="68" t="str">
        <x:v>经典原则经结构化整理；参见：https://zh.wikisource.org/zh-hans/滴天髓</x:v>
      </x:c>
      <x:c r="AE16" s="82" t="str">
        <x:v>采用</x:v>
      </x:c>
      <x:c r="AF16" s="82" t="str">
        <x:v>初审</x:v>
      </x:c>
      <x:c r="AG16" s="87" t="n">
        <x:v>46255</x:v>
      </x:c>
    </x:row>
    <x:row r="17">
      <x:c r="A17" s="72" t="str">
        <x:f>IF(OR(C17="",D17=""),"",B17&amp;"-"&amp;UPPER(C17)&amp;"-"&amp;TEXT(D17,"0000")&amp;"-"&amp;E17)</x:f>
        <x:v>M07-ROOT-0011-V1.0</x:v>
      </x:c>
      <x:c r="B17" s="74" t="str">
        <x:v>M07</x:v>
      </x:c>
      <x:c r="C17" s="74" t="str">
        <x:v>ROOT</x:v>
      </x:c>
      <x:c r="D17" s="79" t="n">
        <x:v>11</x:v>
      </x:c>
      <x:c r="E17" s="74" t="str">
        <x:v>V1.0</x:v>
      </x:c>
      <x:c r="F17" s="68" t="str">
        <x:v>本气根构成最高等级原始根气</x:v>
      </x:c>
      <x:c r="G17" s="82" t="str">
        <x:v>结构层</x:v>
      </x:c>
      <x:c r="H17" s="68" t="str">
        <x:v>根气/本气根</x:v>
      </x:c>
      <x:c r="I17" s="82"/>
      <x:c r="J17" s="68" t="str">
        <x:v>目标五行在某地支本气中出现</x:v>
      </x:c>
      <x:c r="K17" s="68" t="str">
        <x:v>本气根</x:v>
      </x:c>
      <x:c r="L17" s="68" t="str">
        <x:v>形成稳定落点，给予强正向根气证据</x:v>
      </x:c>
      <x:c r="M17" s="82" t="str">
        <x:v>增强</x:v>
      </x:c>
      <x:c r="N17" s="68" t="str">
        <x:v>高</x:v>
      </x:c>
      <x:c r="O17" s="82" t="str">
        <x:v>强</x:v>
      </x:c>
      <x:c r="P17" s="68" t="str">
        <x:v>M02藏干与M03根气映射完成</x:v>
      </x:c>
      <x:c r="Q17" s="68" t="str">
        <x:v>目标五行确为该支本气</x:v>
      </x:c>
      <x:c r="R17" s="68" t="str">
        <x:v>根位得令、透干、同类根重复或有生源</x:v>
      </x:c>
      <x:c r="S17" s="68" t="str">
        <x:v>根位处季节衰弱且目标无透无源</x:v>
      </x:c>
      <x:c r="T17" s="90" t="str">
        <x:v>不得仅凭一处本气根直接判旺</x:v>
      </x:c>
      <x:c r="U17" s="68" t="str">
        <x:v>根位后续受合冲刑害的有效性转M06/M08</x:v>
      </x:c>
      <x:c r="V17" s="82" t="str">
        <x:v>否</x:v>
      </x:c>
      <x:c r="W17" s="84" t="str">
        <x:v>本气强根</x:v>
      </x:c>
      <x:c r="X17" s="84" t="str">
        <x:v>目标五行在该支得本气根，原始力量获得强根证据；有效根是否受损另由M08处理。</x:v>
      </x:c>
      <x:c r="Y17" s="82" t="str">
        <x:v>较高</x:v>
      </x:c>
      <x:c r="Z17" s="82" t="str">
        <x:v>旺衰扶抑</x:v>
      </x:c>
      <x:c r="AA17" s="68" t="str">
        <x:v>本气根是原始得地的核心证据。</x:v>
      </x:c>
      <x:c r="AB17" s="68" t="str">
        <x:v>甲乙木见寅卯本气木根，木有明确落点。</x:v>
      </x:c>
      <x:c r="AC17" s="90" t="str">
        <x:v>只有一处卯根便不看季令与全局而判木极旺。</x:v>
      </x:c>
      <x:c r="AD17" s="68" t="str">
        <x:v>https://zh.wikisource.org/wiki/三命通會/卷二；https://zh.wikisource.org/zh-hans/淵海子平</x:v>
      </x:c>
      <x:c r="AE17" s="82" t="str">
        <x:v>采用</x:v>
      </x:c>
      <x:c r="AF17" s="82" t="str">
        <x:v>初审</x:v>
      </x:c>
      <x:c r="AG17" s="87" t="n">
        <x:v>46255</x:v>
      </x:c>
    </x:row>
    <x:row r="18">
      <x:c r="A18" s="72" t="str">
        <x:f>IF(OR(C18="",D18=""),"",B18&amp;"-"&amp;UPPER(C18)&amp;"-"&amp;TEXT(D18,"0000")&amp;"-"&amp;E18)</x:f>
        <x:v>M07-ROOT-0012-V1.0</x:v>
      </x:c>
      <x:c r="B18" s="74" t="str">
        <x:v>M07</x:v>
      </x:c>
      <x:c r="C18" s="74" t="str">
        <x:v>ROOT</x:v>
      </x:c>
      <x:c r="D18" s="79" t="n">
        <x:v>12</x:v>
      </x:c>
      <x:c r="E18" s="74" t="str">
        <x:v>V1.0</x:v>
      </x:c>
      <x:c r="F18" s="68" t="str">
        <x:v>中气根构成中等级原始根气</x:v>
      </x:c>
      <x:c r="G18" s="82" t="str">
        <x:v>结构层</x:v>
      </x:c>
      <x:c r="H18" s="68" t="str">
        <x:v>根气/中气根</x:v>
      </x:c>
      <x:c r="I18" s="82"/>
      <x:c r="J18" s="68" t="str">
        <x:v>目标五行在某地支中气中出现</x:v>
      </x:c>
      <x:c r="K18" s="68" t="str">
        <x:v>中气根</x:v>
      </x:c>
      <x:c r="L18" s="68" t="str">
        <x:v>给予中等正向根气证据</x:v>
      </x:c>
      <x:c r="M18" s="82" t="str">
        <x:v>增强</x:v>
      </x:c>
      <x:c r="N18" s="68" t="str">
        <x:v>中</x:v>
      </x:c>
      <x:c r="O18" s="82" t="str">
        <x:v>中</x:v>
      </x:c>
      <x:c r="P18" s="68" t="str">
        <x:v>M02藏干层级已确定</x:v>
      </x:c>
      <x:c r="Q18" s="68" t="str">
        <x:v>目标五行确为该支中气</x:v>
      </x:c>
      <x:c r="R18" s="68" t="str">
        <x:v>中气透出、另有本气根或生源支持</x:v>
      </x:c>
      <x:c r="S18" s="68" t="str">
        <x:v>仅一处中气且季令不利、无透无源</x:v>
      </x:c>
      <x:c r="T18" s="90" t="str">
        <x:v>不得与本气根等权</x:v>
      </x:c>
      <x:c r="U18" s="68" t="str">
        <x:v>部分地支藏干层级存在流派差异时转M21</x:v>
      </x:c>
      <x:c r="V18" s="82" t="str">
        <x:v>否</x:v>
      </x:c>
      <x:c r="W18" s="84" t="str">
        <x:v>中气根</x:v>
      </x:c>
      <x:c r="X18" s="84" t="str">
        <x:v>目标五行得中气根，原始力量具备中等落点，强度低于本气根。</x:v>
      </x:c>
      <x:c r="Y18" s="82" t="str">
        <x:v>较高</x:v>
      </x:c>
      <x:c r="Z18" s="82" t="str">
        <x:v>现代综合</x:v>
      </x:c>
      <x:c r="AA18" s="68" t="str">
        <x:v>藏干层级反映根气深浅。</x:v>
      </x:c>
      <x:c r="AB18" s="68" t="str">
        <x:v>丙火见寅中丙，中气根并另有巳午，可增强火的原始力量。</x:v>
      </x:c>
      <x:c r="AC18" s="90" t="str">
        <x:v>寅中丙一处中气与午中丁本气根完全等权。</x:v>
      </x:c>
      <x:c r="AD18" s="68" t="str">
        <x:v>https://zh.wikisource.org/wiki/三命通會/卷二；https://zh.wikisource.org/zh-hans/淵海子平</x:v>
      </x:c>
      <x:c r="AE18" s="82" t="str">
        <x:v>采用</x:v>
      </x:c>
      <x:c r="AF18" s="82" t="str">
        <x:v>初审</x:v>
      </x:c>
      <x:c r="AG18" s="87" t="n">
        <x:v>46255</x:v>
      </x:c>
    </x:row>
    <x:row r="19">
      <x:c r="A19" s="72" t="str">
        <x:f>IF(OR(C19="",D19=""),"",B19&amp;"-"&amp;UPPER(C19)&amp;"-"&amp;TEXT(D19,"0000")&amp;"-"&amp;E19)</x:f>
        <x:v>M07-ROOT-0013-V1.0</x:v>
      </x:c>
      <x:c r="B19" s="74" t="str">
        <x:v>M07</x:v>
      </x:c>
      <x:c r="C19" s="74" t="str">
        <x:v>ROOT</x:v>
      </x:c>
      <x:c r="D19" s="79" t="n">
        <x:v>13</x:v>
      </x:c>
      <x:c r="E19" s="74" t="str">
        <x:v>V1.0</x:v>
      </x:c>
      <x:c r="F19" s="68" t="str">
        <x:v>余气根构成弱等级原始根气</x:v>
      </x:c>
      <x:c r="G19" s="82" t="str">
        <x:v>结构层</x:v>
      </x:c>
      <x:c r="H19" s="68" t="str">
        <x:v>根气/余气根</x:v>
      </x:c>
      <x:c r="I19" s="82"/>
      <x:c r="J19" s="68" t="str">
        <x:v>目标五行在某地支余气中出现</x:v>
      </x:c>
      <x:c r="K19" s="68" t="str">
        <x:v>余气根</x:v>
      </x:c>
      <x:c r="L19" s="68" t="str">
        <x:v>给予弱正向根气证据，主要用于否定完全无根</x:v>
      </x:c>
      <x:c r="M19" s="82" t="str">
        <x:v>增强</x:v>
      </x:c>
      <x:c r="N19" s="68" t="str">
        <x:v>低</x:v>
      </x:c>
      <x:c r="O19" s="82" t="str">
        <x:v>弱</x:v>
      </x:c>
      <x:c r="P19" s="68" t="str">
        <x:v>M02藏干层级已确定</x:v>
      </x:c>
      <x:c r="Q19" s="68" t="str">
        <x:v>目标五行确为该支余气</x:v>
      </x:c>
      <x:c r="R19" s="68" t="str">
        <x:v>余气透出、同类在他支另有根或月令支持</x:v>
      </x:c>
      <x:c r="S19" s="68" t="str">
        <x:v>仅一处余气、无透、无源且季令不利</x:v>
      </x:c>
      <x:c r="T19" s="90" t="str">
        <x:v>不得把余气根写成强根</x:v>
      </x:c>
      <x:c r="U19" s="68" t="str">
        <x:v>藏干层级争议另标待验证</x:v>
      </x:c>
      <x:c r="V19" s="82" t="str">
        <x:v>否</x:v>
      </x:c>
      <x:c r="W19" s="84" t="str">
        <x:v>余气弱根</x:v>
      </x:c>
      <x:c r="X19" s="84" t="str">
        <x:v>目标五行虽仅得余气根，但不能视为完全无根；其原始根力偏弱。</x:v>
      </x:c>
      <x:c r="Y19" s="82" t="str">
        <x:v>较高</x:v>
      </x:c>
      <x:c r="Z19" s="82" t="str">
        <x:v>现代综合</x:v>
      </x:c>
      <x:c r="AA19" s="68" t="str">
        <x:v>余气保留存在与微弱落点，不能抹除。</x:v>
      </x:c>
      <x:c r="AB19" s="68" t="str">
        <x:v>壬癸见辰中癸余气，水非完全无根，但单凭此不足以判强。</x:v>
      </x:c>
      <x:c r="AC19" s="90" t="str">
        <x:v>辰中癸余气一见即称水根深。</x:v>
      </x:c>
      <x:c r="AD19" s="68" t="str">
        <x:v>https://zh.wikisource.org/wiki/三命通會/卷二；https://zh.wikisource.org/zh-hans/淵海子平</x:v>
      </x:c>
      <x:c r="AE19" s="82" t="str">
        <x:v>采用</x:v>
      </x:c>
      <x:c r="AF19" s="82" t="str">
        <x:v>初审</x:v>
      </x:c>
      <x:c r="AG19" s="87" t="n">
        <x:v>46255</x:v>
      </x:c>
    </x:row>
    <x:row r="20">
      <x:c r="A20" s="72" t="str">
        <x:f>IF(OR(C20="",D20=""),"",B20&amp;"-"&amp;UPPER(C20)&amp;"-"&amp;TEXT(D20,"0000")&amp;"-"&amp;E20)</x:f>
        <x:v>M07-ROOT-0014-V1.0</x:v>
      </x:c>
      <x:c r="B20" s="74" t="str">
        <x:v>M07</x:v>
      </x:c>
      <x:c r="C20" s="74" t="str">
        <x:v>ROOT</x:v>
      </x:c>
      <x:c r="D20" s="79" t="n">
        <x:v>14</x:v>
      </x:c>
      <x:c r="E20" s="74" t="str">
        <x:v>V1.0</x:v>
      </x:c>
      <x:c r="F20" s="68" t="str">
        <x:v>同五行异阴阳根仍属于五行层面的有效根</x:v>
      </x:c>
      <x:c r="G20" s="82" t="str">
        <x:v>结构层</x:v>
      </x:c>
      <x:c r="H20" s="68" t="str">
        <x:v>根气/同类根</x:v>
      </x:c>
      <x:c r="I20" s="82"/>
      <x:c r="J20" s="68" t="str">
        <x:v>评估五行总量时，地支藏干与目标天干同五行但阴阳不同</x:v>
      </x:c>
      <x:c r="K20" s="68" t="str">
        <x:v>同类五行根</x:v>
      </x:c>
      <x:c r="L20" s="68" t="str">
        <x:v>在五行原始旺衰层计为根气；十干直接根差异留给M09/M10</x:v>
      </x:c>
      <x:c r="M20" s="82" t="str">
        <x:v>增强</x:v>
      </x:c>
      <x:c r="N20" s="68" t="str">
        <x:v>中</x:v>
      </x:c>
      <x:c r="O20" s="82" t="str">
        <x:v>中</x:v>
      </x:c>
      <x:c r="P20" s="68" t="str">
        <x:v>明确当前评估对象是五行而非单一天干</x:v>
      </x:c>
      <x:c r="Q20" s="68" t="str">
        <x:v>藏干与目标属于同一五行</x:v>
      </x:c>
      <x:c r="R20" s="68" t="str">
        <x:v>同类根为本气、得令或多处出现</x:v>
      </x:c>
      <x:c r="S20" s="68" t="str">
        <x:v>仅余气且无其他支持</x:v>
      </x:c>
      <x:c r="T20" s="90" t="str">
        <x:v>不得因阴阳不同就把同五行根完全排除</x:v>
      </x:c>
      <x:c r="U20" s="68" t="str">
        <x:v>判断某一日干直接通根时回到M03细分</x:v>
      </x:c>
      <x:c r="V20" s="82" t="str">
        <x:v>否</x:v>
      </x:c>
      <x:c r="W20" s="84" t="str">
        <x:v>五行同类根</x:v>
      </x:c>
      <x:c r="X20" s="84" t="str">
        <x:v>在五行层面，该支所藏同五行之气可作为根；阴阳同异不改变五行归属。</x:v>
      </x:c>
      <x:c r="Y20" s="82" t="str">
        <x:v>较高</x:v>
      </x:c>
      <x:c r="Z20" s="82" t="str">
        <x:v>现代综合</x:v>
      </x:c>
      <x:c r="AA20" s="68" t="str">
        <x:v>M07评估五行，不应把十干直接根概念机械套用。</x:v>
      </x:c>
      <x:c r="AB20" s="68" t="str">
        <x:v>甲木评木旺衰时，卯中乙仍提供木根；判断甲日主直接根时再细分。</x:v>
      </x:c>
      <x:c r="AC20" s="90" t="str">
        <x:v>因卯藏乙而认定甲木在卯完全无根。</x:v>
      </x:c>
      <x:c r="AD20" s="68" t="str">
        <x:v>经典原则经结构化整理；参见：https://zh.wikisource.org/zh-hans/滴天髓</x:v>
      </x:c>
      <x:c r="AE20" s="82" t="str">
        <x:v>采用</x:v>
      </x:c>
      <x:c r="AF20" s="82" t="str">
        <x:v>初审</x:v>
      </x:c>
      <x:c r="AG20" s="87" t="n">
        <x:v>46255</x:v>
      </x:c>
    </x:row>
    <x:row r="21">
      <x:c r="A21" s="72" t="str">
        <x:f>IF(OR(C21="",D21=""),"",B21&amp;"-"&amp;UPPER(C21)&amp;"-"&amp;TEXT(D21,"0000")&amp;"-"&amp;E21)</x:f>
        <x:v>M07-ROOT-0015-V1.0</x:v>
      </x:c>
      <x:c r="B21" s="74" t="str">
        <x:v>M07</x:v>
      </x:c>
      <x:c r="C21" s="74" t="str">
        <x:v>ROOT</x:v>
      </x:c>
      <x:c r="D21" s="79" t="n">
        <x:v>15</x:v>
      </x:c>
      <x:c r="E21" s="74" t="str">
        <x:v>V1.0</x:v>
      </x:c>
      <x:c r="F21" s="68" t="str">
        <x:v>月支根具有季令与根气共源属性</x:v>
      </x:c>
      <x:c r="G21" s="82" t="str">
        <x:v>结构层</x:v>
      </x:c>
      <x:c r="H21" s="68" t="str">
        <x:v>根气/月支根</x:v>
      </x:c>
      <x:c r="I21" s="82"/>
      <x:c r="J21" s="68" t="str">
        <x:v>目标五行在月支藏干中得根</x:v>
      </x:c>
      <x:c r="K21" s="68" t="str">
        <x:v>月支根</x:v>
      </x:c>
      <x:c r="L21" s="68" t="str">
        <x:v>根气可获月令环境放大，但汇总时须标记与季令共源</x:v>
      </x:c>
      <x:c r="M21" s="82" t="str">
        <x:v>增强</x:v>
      </x:c>
      <x:c r="N21" s="68" t="str">
        <x:v>高</x:v>
      </x:c>
      <x:c r="O21" s="82" t="str">
        <x:v>强</x:v>
      </x:c>
      <x:c r="P21" s="68" t="str">
        <x:v>M03已识别月令与藏干层级</x:v>
      </x:c>
      <x:c r="Q21" s="68" t="str">
        <x:v>目标五行确在月支有根</x:v>
      </x:c>
      <x:c r="R21" s="68" t="str">
        <x:v>根为本气并透出、另有独立根</x:v>
      </x:c>
      <x:c r="S21" s="68" t="str">
        <x:v>仅中余气且节令不支持</x:v>
      </x:c>
      <x:c r="T21" s="90" t="str">
        <x:v>不得把同一月支事实作为季令与根气两个独立决定性证据满额叠加</x:v>
      </x:c>
      <x:c r="U21" s="68" t="str">
        <x:v>杂气月需区分本中余气</x:v>
      </x:c>
      <x:c r="V21" s="82" t="str">
        <x:v>否</x:v>
      </x:c>
      <x:c r="W21" s="84" t="str">
        <x:v>月支共源根</x:v>
      </x:c>
      <x:c r="X21" s="84" t="str">
        <x:v>目标五行在月支得根，根气较关键；该证据与季令相关，汇总时应去重而非双倍计算。</x:v>
      </x:c>
      <x:c r="Y21" s="82" t="str">
        <x:v>较高</x:v>
      </x:c>
      <x:c r="Z21" s="82" t="str">
        <x:v>现代综合</x:v>
      </x:c>
      <x:c r="AA21" s="68" t="str">
        <x:v>月支同时承载时间与地支根，相关性高。</x:v>
      </x:c>
      <x:c r="AB21" s="68" t="str">
        <x:v>寅月木得寅本气根，记录“得令兼月支强根”，而非两个互不相关的满分。</x:v>
      </x:c>
      <x:c r="AC21" s="90" t="str">
        <x:v>月支根与得令分别作为两项决定性证据机械相加。</x:v>
      </x:c>
      <x:c r="AD21" s="68" t="str">
        <x:v>经典原则经结构化整理；参见：https://zh.wikisource.org/zh-hans/滴天髓</x:v>
      </x:c>
      <x:c r="AE21" s="82" t="str">
        <x:v>采用</x:v>
      </x:c>
      <x:c r="AF21" s="82" t="str">
        <x:v>初审</x:v>
      </x:c>
      <x:c r="AG21" s="87" t="n">
        <x:v>46255</x:v>
      </x:c>
    </x:row>
    <x:row r="22">
      <x:c r="A22" s="72" t="str">
        <x:f>IF(OR(C22="",D22=""),"",B22&amp;"-"&amp;UPPER(C22)&amp;"-"&amp;TEXT(D22,"0000")&amp;"-"&amp;E22)</x:f>
        <x:v>M07-ROOT-0016-V1.0</x:v>
      </x:c>
      <x:c r="B22" s="74" t="str">
        <x:v>M07</x:v>
      </x:c>
      <x:c r="C22" s="74" t="str">
        <x:v>ROOT</x:v>
      </x:c>
      <x:c r="D22" s="79" t="n">
        <x:v>16</x:v>
      </x:c>
      <x:c r="E22" s="74" t="str">
        <x:v>V1.0</x:v>
      </x:c>
      <x:c r="F22" s="68" t="str">
        <x:v>日支根提供中心位置的稳定落点</x:v>
      </x:c>
      <x:c r="G22" s="82" t="str">
        <x:v>结构层</x:v>
      </x:c>
      <x:c r="H22" s="68" t="str">
        <x:v>根气/日支根</x:v>
      </x:c>
      <x:c r="I22" s="82"/>
      <x:c r="J22" s="68" t="str">
        <x:v>目标五行在日支藏干中得根</x:v>
      </x:c>
      <x:c r="K22" s="68" t="str">
        <x:v>日支根</x:v>
      </x:c>
      <x:c r="L22" s="68" t="str">
        <x:v>给予中高等级根气证据，强调与日柱核心位置的连接</x:v>
      </x:c>
      <x:c r="M22" s="82" t="str">
        <x:v>增强</x:v>
      </x:c>
      <x:c r="N22" s="68" t="str">
        <x:v>中高</x:v>
      </x:c>
      <x:c r="O22" s="82" t="str">
        <x:v>中</x:v>
      </x:c>
      <x:c r="P22" s="68" t="str">
        <x:v>M02藏干映射完成</x:v>
      </x:c>
      <x:c r="Q22" s="68" t="str">
        <x:v>目标五行在日支确有本中余气根</x:v>
      </x:c>
      <x:c r="R22" s="68" t="str">
        <x:v>根为本气、对应天干透出或另得生源</x:v>
      </x:c>
      <x:c r="S22" s="68" t="str">
        <x:v>仅余气且全局孤立</x:v>
      </x:c>
      <x:c r="T22" s="90" t="str">
        <x:v>不得以日支位置替代根气层级判断</x:v>
      </x:c>
      <x:c r="U22" s="68" t="str">
        <x:v>评估非日主五行时位置权重宜降为辅助</x:v>
      </x:c>
      <x:c r="V22" s="82" t="str">
        <x:v>否</x:v>
      </x:c>
      <x:c r="W22" s="84" t="str">
        <x:v>日支根</x:v>
      </x:c>
      <x:c r="X22" s="84" t="str">
        <x:v>目标五行在日支有根，原始力量具备中心落点；具体强度仍按本中余气与全局配合确定。</x:v>
      </x:c>
      <x:c r="Y22" s="82" t="str">
        <x:v>中等</x:v>
      </x:c>
      <x:c r="Z22" s="82" t="str">
        <x:v>现代综合</x:v>
      </x:c>
      <x:c r="AA22" s="68" t="str">
        <x:v>位置可影响可见度与稳定性，但不应压过藏干层级。</x:v>
      </x:c>
      <x:c r="AB22" s="68" t="str">
        <x:v>日干甲坐寅，甲有中心本气根；若另见水生木，根力更稳。</x:v>
      </x:c>
      <x:c r="AC22" s="90" t="str">
        <x:v>日支只藏目标余气，也一律按强根处理。</x:v>
      </x:c>
      <x:c r="AD22" s="68" t="str">
        <x:v>经典原则经结构化整理；参见：https://zh.wikisource.org/zh-hans/滴天髓</x:v>
      </x:c>
      <x:c r="AE22" s="82" t="str">
        <x:v>待验证</x:v>
      </x:c>
      <x:c r="AF22" s="82" t="str">
        <x:v>初审</x:v>
      </x:c>
      <x:c r="AG22" s="87" t="n">
        <x:v>46255</x:v>
      </x:c>
    </x:row>
    <x:row r="23">
      <x:c r="A23" s="72" t="str">
        <x:f>IF(OR(C23="",D23=""),"",B23&amp;"-"&amp;UPPER(C23)&amp;"-"&amp;TEXT(D23,"0000")&amp;"-"&amp;E23)</x:f>
        <x:v>M07-ROOT-0017-V1.0</x:v>
      </x:c>
      <x:c r="B23" s="74" t="str">
        <x:v>M07</x:v>
      </x:c>
      <x:c r="C23" s="74" t="str">
        <x:v>ROOT</x:v>
      </x:c>
      <x:c r="D23" s="79" t="n">
        <x:v>17</x:v>
      </x:c>
      <x:c r="E23" s="74" t="str">
        <x:v>V1.0</x:v>
      </x:c>
      <x:c r="F23" s="68" t="str">
        <x:v>年支与时支根同样有效但位置只作次级修正</x:v>
      </x:c>
      <x:c r="G23" s="82" t="str">
        <x:v>结构层</x:v>
      </x:c>
      <x:c r="H23" s="68" t="str">
        <x:v>根气/边支根</x:v>
      </x:c>
      <x:c r="I23" s="82"/>
      <x:c r="J23" s="68" t="str">
        <x:v>目标五行仅在年支或时支得根</x:v>
      </x:c>
      <x:c r="K23" s="68" t="str">
        <x:v>边支根</x:v>
      </x:c>
      <x:c r="L23" s="68" t="str">
        <x:v>保留真实根气，位置远近只作低阶修正</x:v>
      </x:c>
      <x:c r="M23" s="82" t="str">
        <x:v>增强</x:v>
      </x:c>
      <x:c r="N23" s="68" t="str">
        <x:v>中</x:v>
      </x:c>
      <x:c r="O23" s="82" t="str">
        <x:v>中</x:v>
      </x:c>
      <x:c r="P23" s="68" t="str">
        <x:v>M02藏干映射完成</x:v>
      </x:c>
      <x:c r="Q23" s="68" t="str">
        <x:v>年支或时支确有目标五行根</x:v>
      </x:c>
      <x:c r="R23" s="68" t="str">
        <x:v>根为本气、透干相应、另有同类根</x:v>
      </x:c>
      <x:c r="S23" s="68" t="str">
        <x:v>根为余气且无透无源</x:v>
      </x:c>
      <x:c r="T23" s="90" t="str">
        <x:v>不得因位于年时便判为无根</x:v>
      </x:c>
      <x:c r="U23" s="68" t="str">
        <x:v>具体柱位象义不属于M07</x:v>
      </x:c>
      <x:c r="V23" s="82" t="str">
        <x:v>否</x:v>
      </x:c>
      <x:c r="W23" s="84" t="str">
        <x:v>边支根</x:v>
      </x:c>
      <x:c r="X23" s="84" t="str">
        <x:v>目标五行在年支或时支仍属有根；其原始根力以本中余气为主，位置仅作辅助说明。</x:v>
      </x:c>
      <x:c r="Y23" s="82" t="str">
        <x:v>较高</x:v>
      </x:c>
      <x:c r="Z23" s="82" t="str">
        <x:v>现代综合</x:v>
      </x:c>
      <x:c r="AA23" s="68" t="str">
        <x:v>任何四支的真实藏气均不能因位置被删除。</x:v>
      </x:c>
      <x:c r="AB23" s="68" t="str">
        <x:v>甲木只在时支寅得本气根，仍不能称完全无根。</x:v>
      </x:c>
      <x:c r="AC23" s="90" t="str">
        <x:v>根在时支便一概视作无效。</x:v>
      </x:c>
      <x:c r="AD23" s="68" t="str">
        <x:v>经典原则经结构化整理；参见：https://zh.wikisource.org/zh-hans/滴天髓</x:v>
      </x:c>
      <x:c r="AE23" s="82" t="str">
        <x:v>采用</x:v>
      </x:c>
      <x:c r="AF23" s="82" t="str">
        <x:v>初审</x:v>
      </x:c>
      <x:c r="AG23" s="87" t="n">
        <x:v>46255</x:v>
      </x:c>
    </x:row>
    <x:row r="24">
      <x:c r="A24" s="72" t="str">
        <x:f>IF(OR(C24="",D24=""),"",B24&amp;"-"&amp;UPPER(C24)&amp;"-"&amp;TEXT(D24,"0000")&amp;"-"&amp;E24)</x:f>
        <x:v>M07-ROOT-0018-V1.0</x:v>
      </x:c>
      <x:c r="B24" s="74" t="str">
        <x:v>M07</x:v>
      </x:c>
      <x:c r="C24" s="74" t="str">
        <x:v>ROOT</x:v>
      </x:c>
      <x:c r="D24" s="79" t="n">
        <x:v>18</x:v>
      </x:c>
      <x:c r="E24" s="74" t="str">
        <x:v>V1.0</x:v>
      </x:c>
      <x:c r="F24" s="68" t="str">
        <x:v>多处独立根比单一根更稳固</x:v>
      </x:c>
      <x:c r="G24" s="82" t="str">
        <x:v>结构层</x:v>
      </x:c>
      <x:c r="H24" s="68" t="str">
        <x:v>根气/多根</x:v>
      </x:c>
      <x:c r="I24" s="82"/>
      <x:c r="J24" s="68" t="str">
        <x:v>目标五行在两个及以上不同地支得根</x:v>
      </x:c>
      <x:c r="K24" s="68" t="str">
        <x:v>多重独立根</x:v>
      </x:c>
      <x:c r="L24" s="68" t="str">
        <x:v>提高原始根气等级并增强稳定性</x:v>
      </x:c>
      <x:c r="M24" s="82" t="str">
        <x:v>增强</x:v>
      </x:c>
      <x:c r="N24" s="68" t="str">
        <x:v>高</x:v>
      </x:c>
      <x:c r="O24" s="82" t="str">
        <x:v>强</x:v>
      </x:c>
      <x:c r="P24" s="68" t="str">
        <x:v>各根位已按本中余气分别识别</x:v>
      </x:c>
      <x:c r="Q24" s="68" t="str">
        <x:v>至少两个不同地支含目标五行</x:v>
      </x:c>
      <x:c r="R24" s="68" t="str">
        <x:v>根位分布于月日或多为本气根</x:v>
      </x:c>
      <x:c r="S24" s="68" t="str">
        <x:v>多为余气且季令不利</x:v>
      </x:c>
      <x:c r="T24" s="90" t="str">
        <x:v>不得把同一地支的本中余气拆成多个独立根</x:v>
      </x:c>
      <x:c r="U24" s="68" t="str">
        <x:v>重复地支仍按实际支位计，但汇总需防线性倍增</x:v>
      </x:c>
      <x:c r="V24" s="82" t="str">
        <x:v>否</x:v>
      </x:c>
      <x:c r="W24" s="84" t="str">
        <x:v>多根增强</x:v>
      </x:c>
      <x:c r="X24" s="84" t="str">
        <x:v>目标五行在多个地支有独立根，原始力量与稳定性均高于单根结构。</x:v>
      </x:c>
      <x:c r="Y24" s="82" t="str">
        <x:v>较高</x:v>
      </x:c>
      <x:c r="Z24" s="82" t="str">
        <x:v>旺衰扶抑</x:v>
      </x:c>
      <x:c r="AA24" s="68" t="str">
        <x:v>独立落点越多，五行越不易成为浮气。</x:v>
      </x:c>
      <x:c r="AB24" s="68" t="str">
        <x:v>木在寅、卯、亥三支均有根，原始木气明显强于仅一处辰中乙。</x:v>
      </x:c>
      <x:c r="AC24" s="90" t="str">
        <x:v>把寅中甲、丙、戊中的同一木只因多藏干而算三根。</x:v>
      </x:c>
      <x:c r="AD24" s="68" t="str">
        <x:v>https://zh.wikisource.org/zh-hans/淵海子平；https://zh.wikisource.org/zh-hans/滴天髓</x:v>
      </x:c>
      <x:c r="AE24" s="82" t="str">
        <x:v>采用</x:v>
      </x:c>
      <x:c r="AF24" s="82" t="str">
        <x:v>初审</x:v>
      </x:c>
      <x:c r="AG24" s="87" t="n">
        <x:v>46255</x:v>
      </x:c>
    </x:row>
    <x:row r="25">
      <x:c r="A25" s="72" t="str">
        <x:f>IF(OR(C25="",D25=""),"",B25&amp;"-"&amp;UPPER(C25)&amp;"-"&amp;TEXT(D25,"0000")&amp;"-"&amp;E25)</x:f>
        <x:v>M07-ROOT-0019-V1.0</x:v>
      </x:c>
      <x:c r="B25" s="74" t="str">
        <x:v>M07</x:v>
      </x:c>
      <x:c r="C25" s="74" t="str">
        <x:v>ROOT</x:v>
      </x:c>
      <x:c r="D25" s="79" t="n">
        <x:v>19</x:v>
      </x:c>
      <x:c r="E25" s="74" t="str">
        <x:v>V1.0</x:v>
      </x:c>
      <x:c r="F25" s="68" t="str">
        <x:v>多根加权采用递减边际而非线性累加</x:v>
      </x:c>
      <x:c r="G25" s="82" t="str">
        <x:v>结构层</x:v>
      </x:c>
      <x:c r="H25" s="68" t="str">
        <x:v>根气/边际递减</x:v>
      </x:c>
      <x:c r="I25" s="82"/>
      <x:c r="J25" s="68" t="str">
        <x:v>目标五行已有一处强根又出现更多根位</x:v>
      </x:c>
      <x:c r="K25" s="68" t="str">
        <x:v>第二、第三及后续根</x:v>
      </x:c>
      <x:c r="L25" s="68" t="str">
        <x:v>继续增强但每新增一根的边际权重递减</x:v>
      </x:c>
      <x:c r="M25" s="82" t="str">
        <x:v>增强</x:v>
      </x:c>
      <x:c r="N25" s="68" t="str">
        <x:v>中</x:v>
      </x:c>
      <x:c r="O25" s="82" t="str">
        <x:v>中</x:v>
      </x:c>
      <x:c r="P25" s="68" t="str">
        <x:v>至少已有一处有效原始根</x:v>
      </x:c>
      <x:c r="Q25" s="68" t="str">
        <x:v>新增根来自独立地支</x:v>
      </x:c>
      <x:c r="R25" s="68" t="str">
        <x:v>新增根为本气且分布独立、得令</x:v>
      </x:c>
      <x:c r="S25" s="68" t="str">
        <x:v>新增根仅余气或与既有根高度共源</x:v>
      </x:c>
      <x:c r="T25" s="90" t="str">
        <x:v>禁止每一根都按第一强根同权相加</x:v>
      </x:c>
      <x:c r="U25" s="68" t="str">
        <x:v>极端成势时转MOMENT综合判断</x:v>
      </x:c>
      <x:c r="V25" s="82" t="str">
        <x:v>否</x:v>
      </x:c>
      <x:c r="W25" s="84" t="str">
        <x:v>多根递减</x:v>
      </x:c>
      <x:c r="X25" s="84" t="str">
        <x:v>新增根继续增强目标五行，但采用边际递减；多根是否成势另行综合。</x:v>
      </x:c>
      <x:c r="Y25" s="82" t="str">
        <x:v>中等</x:v>
      </x:c>
      <x:c r="Z25" s="82" t="str">
        <x:v>现代综合</x:v>
      </x:c>
      <x:c r="AA25" s="68" t="str">
        <x:v>非线性处理可避免数量造成虚假极旺。</x:v>
      </x:c>
      <x:c r="AB25" s="68" t="str">
        <x:v>一处强根奠定基础，第二强根显著增强，第三弱根只作补充。</x:v>
      </x:c>
      <x:c r="AC25" s="90" t="str">
        <x:v>四个根简单按四倍单根力量计算。</x:v>
      </x:c>
      <x:c r="AD25" s="68" t="str">
        <x:v>经典原则经结构化整理；参见：https://zh.wikisource.org/zh-hans/滴天髓</x:v>
      </x:c>
      <x:c r="AE25" s="82" t="str">
        <x:v>采用</x:v>
      </x:c>
      <x:c r="AF25" s="82" t="str">
        <x:v>初审</x:v>
      </x:c>
      <x:c r="AG25" s="87" t="n">
        <x:v>46255</x:v>
      </x:c>
    </x:row>
    <x:row r="26">
      <x:c r="A26" s="72" t="str">
        <x:f>IF(OR(C26="",D26=""),"",B26&amp;"-"&amp;UPPER(C26)&amp;"-"&amp;TEXT(D26,"0000")&amp;"-"&amp;E26)</x:f>
        <x:v>M07-ROOT-0020-V1.0</x:v>
      </x:c>
      <x:c r="B26" s="74" t="str">
        <x:v>M07</x:v>
      </x:c>
      <x:c r="C26" s="74" t="str">
        <x:v>ROOT</x:v>
      </x:c>
      <x:c r="D26" s="79" t="n">
        <x:v>20</x:v>
      </x:c>
      <x:c r="E26" s="74" t="str">
        <x:v>V1.0</x:v>
      </x:c>
      <x:c r="F26" s="68" t="str">
        <x:v>分布于不同支位的根比单点集中更具稳定性</x:v>
      </x:c>
      <x:c r="G26" s="82" t="str">
        <x:v>结构层</x:v>
      </x:c>
      <x:c r="H26" s="68" t="str">
        <x:v>根气/根位分布</x:v>
      </x:c>
      <x:c r="I26" s="82"/>
      <x:c r="J26" s="68" t="str">
        <x:v>目标五行根气分布在两个以上不同柱位</x:v>
      </x:c>
      <x:c r="K26" s="68" t="str">
        <x:v>分散独立根</x:v>
      </x:c>
      <x:c r="L26" s="68" t="str">
        <x:v>提高结构稳定性，降低单点依赖</x:v>
      </x:c>
      <x:c r="M26" s="82" t="str">
        <x:v>增强</x:v>
      </x:c>
      <x:c r="N26" s="68" t="str">
        <x:v>中</x:v>
      </x:c>
      <x:c r="O26" s="82" t="str">
        <x:v>中</x:v>
      </x:c>
      <x:c r="P26" s="68" t="str">
        <x:v>根位已逐支识别</x:v>
      </x:c>
      <x:c r="Q26" s="68" t="str">
        <x:v>至少两个独立支位有根</x:v>
      </x:c>
      <x:c r="R26" s="68" t="str">
        <x:v>月日均有根、根位层级较高</x:v>
      </x:c>
      <x:c r="S26" s="68" t="str">
        <x:v>所有根均为弱余气或同一关系链共源</x:v>
      </x:c>
      <x:c r="T26" s="90" t="str">
        <x:v>不得把稳定性等同于绝对旺度</x:v>
      </x:c>
      <x:c r="U26" s="68" t="str">
        <x:v>岁运动态稳定性另由D0模型处理</x:v>
      </x:c>
      <x:c r="V26" s="82" t="str">
        <x:v>否</x:v>
      </x:c>
      <x:c r="W26" s="84" t="str">
        <x:v>根位稳定</x:v>
      </x:c>
      <x:c r="X26" s="84" t="str">
        <x:v>目标五行根气分布于多个支位，原始承载更稳定；旺度仍须结合季令与透源。</x:v>
      </x:c>
      <x:c r="Y26" s="82" t="str">
        <x:v>中等</x:v>
      </x:c>
      <x:c r="Z26" s="82" t="str">
        <x:v>现代综合</x:v>
      </x:c>
      <x:c r="AA26" s="68" t="str">
        <x:v>分布反映抗单点失效能力，但不直接决定总量。</x:v>
      </x:c>
      <x:c r="AB26" s="68" t="str">
        <x:v>水在年支亥、日支子均有本气根，结构比只在辰中一余气根稳定。</x:v>
      </x:c>
      <x:c r="AC26" s="90" t="str">
        <x:v>根位分散便不看季令而判极旺。</x:v>
      </x:c>
      <x:c r="AD26" s="68" t="str">
        <x:v>经典原则经结构化整理；参见：https://zh.wikisource.org/zh-hans/滴天髓</x:v>
      </x:c>
      <x:c r="AE26" s="82" t="str">
        <x:v>待验证</x:v>
      </x:c>
      <x:c r="AF26" s="82" t="str">
        <x:v>初审</x:v>
      </x:c>
      <x:c r="AG26" s="87" t="n">
        <x:v>46255</x:v>
      </x:c>
    </x:row>
    <x:row r="27">
      <x:c r="A27" s="72" t="str">
        <x:f>IF(OR(C27="",D27=""),"",B27&amp;"-"&amp;UPPER(C27)&amp;"-"&amp;TEXT(D27,"0000")&amp;"-"&amp;E27)</x:f>
        <x:v>M07-ROOT-0021-V1.0</x:v>
      </x:c>
      <x:c r="B27" s="74" t="str">
        <x:v>M07</x:v>
      </x:c>
      <x:c r="C27" s="74" t="str">
        <x:v>ROOT</x:v>
      </x:c>
      <x:c r="D27" s="79" t="n">
        <x:v>21</x:v>
      </x:c>
      <x:c r="E27" s="74" t="str">
        <x:v>V1.0</x:v>
      </x:c>
      <x:c r="F27" s="68" t="str">
        <x:v>库根属于储藏性根气而非自动显用</x:v>
      </x:c>
      <x:c r="G27" s="82" t="str">
        <x:v>结构层</x:v>
      </x:c>
      <x:c r="H27" s="68" t="str">
        <x:v>根气/库根</x:v>
      </x:c>
      <x:c r="I27" s="82"/>
      <x:c r="J27" s="68" t="str">
        <x:v>目标五行藏于辰戌丑未并被识别为库根或墓库藏气</x:v>
      </x:c>
      <x:c r="K27" s="68" t="str">
        <x:v>库根/储藏根</x:v>
      </x:c>
      <x:c r="L27" s="68" t="str">
        <x:v>保留根气存在，原始可见度低于同等级开放本气根</x:v>
      </x:c>
      <x:c r="M27" s="82" t="str">
        <x:v>增强</x:v>
      </x:c>
      <x:c r="N27" s="68" t="str">
        <x:v>中</x:v>
      </x:c>
      <x:c r="O27" s="82" t="str">
        <x:v>中</x:v>
      </x:c>
      <x:c r="P27" s="68" t="str">
        <x:v>M03已标记库根</x:v>
      </x:c>
      <x:c r="Q27" s="68" t="str">
        <x:v>目标五行确在对应墓库中有藏气</x:v>
      </x:c>
      <x:c r="R27" s="68" t="str">
        <x:v>同气透干、另有同类根或月令支持</x:v>
      </x:c>
      <x:c r="S27" s="68" t="str">
        <x:v>仅孤库、无透、无源</x:v>
      </x:c>
      <x:c r="T27" s="90" t="str">
        <x:v>不得因称“入库”就判消失，也不得自动按开库后力量计算</x:v>
      </x:c>
      <x:c r="U27" s="68" t="str">
        <x:v>是否冲开、冲坏或可用转M06/M08</x:v>
      </x:c>
      <x:c r="V27" s="82" t="str">
        <x:v>否</x:v>
      </x:c>
      <x:c r="W27" s="84" t="str">
        <x:v>库根证据</x:v>
      </x:c>
      <x:c r="X27" s="84" t="str">
        <x:v>目标五行在墓库中有储藏性根气，原始上仍属有根；能否透达与启用另行判断。</x:v>
      </x:c>
      <x:c r="Y27" s="82" t="str">
        <x:v>中等</x:v>
      </x:c>
      <x:c r="Z27" s="82" t="str">
        <x:v>现代综合</x:v>
      </x:c>
      <x:c r="AA27" s="68" t="str">
        <x:v>库是存在方式，不是自动归零或自动释放。</x:v>
      </x:c>
      <x:c r="AB27" s="68" t="str">
        <x:v>水在辰中有癸库气，仍保留根；若壬癸透出则联系增强。</x:v>
      </x:c>
      <x:c r="AC27" s="90" t="str">
        <x:v>见辰库便把水视为不存在，或直接当作完全开库强根。</x:v>
      </x:c>
      <x:c r="AD27" s="68" t="str">
        <x:v>https://zh.wikisource.org/zh-hans/淵海子平；https://zh.wikisource.org/zh-hans/滴天髓</x:v>
      </x:c>
      <x:c r="AE27" s="82" t="str">
        <x:v>采用</x:v>
      </x:c>
      <x:c r="AF27" s="82" t="str">
        <x:v>初审</x:v>
      </x:c>
      <x:c r="AG27" s="87" t="n">
        <x:v>46255</x:v>
      </x:c>
    </x:row>
    <x:row r="28">
      <x:c r="A28" s="72" t="str">
        <x:f>IF(OR(C28="",D28=""),"",B28&amp;"-"&amp;UPPER(C28)&amp;"-"&amp;TEXT(D28,"0000")&amp;"-"&amp;E28)</x:f>
        <x:v>M07-ROOT-0022-V1.0</x:v>
      </x:c>
      <x:c r="B28" s="74" t="str">
        <x:v>M07</x:v>
      </x:c>
      <x:c r="C28" s="74" t="str">
        <x:v>ROOT</x:v>
      </x:c>
      <x:c r="D28" s="79" t="n">
        <x:v>22</x:v>
      </x:c>
      <x:c r="E28" s="74" t="str">
        <x:v>V1.0</x:v>
      </x:c>
      <x:c r="F28" s="68" t="str">
        <x:v>单一弱根主要用于否定完全无根</x:v>
      </x:c>
      <x:c r="G28" s="82" t="str">
        <x:v>结构层</x:v>
      </x:c>
      <x:c r="H28" s="68" t="str">
        <x:v>根气/微根</x:v>
      </x:c>
      <x:c r="I28" s="82"/>
      <x:c r="J28" s="68" t="str">
        <x:v>目标五行只有一处中气或余气根且无其他根</x:v>
      </x:c>
      <x:c r="K28" s="68" t="str">
        <x:v>孤弱根</x:v>
      </x:c>
      <x:c r="L28" s="68" t="str">
        <x:v>只提供低等级正证，通常不足以改变整体弱势候选</x:v>
      </x:c>
      <x:c r="M28" s="82" t="str">
        <x:v>增强</x:v>
      </x:c>
      <x:c r="N28" s="68" t="str">
        <x:v>低</x:v>
      </x:c>
      <x:c r="O28" s="82" t="str">
        <x:v>弱</x:v>
      </x:c>
      <x:c r="P28" s="68" t="str">
        <x:v>根气层级与数量已明确</x:v>
      </x:c>
      <x:c r="Q28" s="68" t="str">
        <x:v>仅一处弱根</x:v>
      </x:c>
      <x:c r="R28" s="68" t="str">
        <x:v>该根透出、得令或有强生源</x:v>
      </x:c>
      <x:c r="S28" s="68" t="str">
        <x:v>季令不利、无透无源、同类不见</x:v>
      </x:c>
      <x:c r="T28" s="90" t="str">
        <x:v>不得把有微根直接升级为中和或旺</x:v>
      </x:c>
      <x:c r="U28" s="68" t="str">
        <x:v>若该根为唯一关键桥梁，功能评价转M12</x:v>
      </x:c>
      <x:c r="V28" s="82" t="str">
        <x:v>否</x:v>
      </x:c>
      <x:c r="W28" s="84" t="str">
        <x:v>孤弱根</x:v>
      </x:c>
      <x:c r="X28" s="84" t="str">
        <x:v>目标五行并非完全无根，但仅有孤弱根；原始力量仍偏弱，需其他证据补强。</x:v>
      </x:c>
      <x:c r="Y28" s="82" t="str">
        <x:v>较高</x:v>
      </x:c>
      <x:c r="Z28" s="82" t="str">
        <x:v>现代综合</x:v>
      </x:c>
      <x:c r="AA28" s="68" t="str">
        <x:v>“有根”是存在判断，不等于旺度判断。</x:v>
      </x:c>
      <x:c r="AB28" s="68" t="str">
        <x:v>秋月木只藏辰中乙余气，无甲乙透出，木非零但仍可弱。</x:v>
      </x:c>
      <x:c r="AC28" s="90" t="str">
        <x:v>一处余气根便断言木根深身旺。</x:v>
      </x:c>
      <x:c r="AD28" s="68" t="str">
        <x:v>经典原则经结构化整理；参见：https://zh.wikisource.org/zh-hans/滴天髓</x:v>
      </x:c>
      <x:c r="AE28" s="82" t="str">
        <x:v>采用</x:v>
      </x:c>
      <x:c r="AF28" s="82" t="str">
        <x:v>初审</x:v>
      </x:c>
      <x:c r="AG28" s="87" t="n">
        <x:v>46255</x:v>
      </x:c>
    </x:row>
    <x:row r="29">
      <x:c r="A29" s="72" t="str">
        <x:f>IF(OR(C29="",D29=""),"",B29&amp;"-"&amp;UPPER(C29)&amp;"-"&amp;TEXT(D29,"0000")&amp;"-"&amp;E29)</x:f>
        <x:v>M07-ROOT-0023-V1.0</x:v>
      </x:c>
      <x:c r="B29" s="74" t="str">
        <x:v>M07</x:v>
      </x:c>
      <x:c r="C29" s="74" t="str">
        <x:v>ROOT</x:v>
      </x:c>
      <x:c r="D29" s="79" t="n">
        <x:v>23</x:v>
      </x:c>
      <x:c r="E29" s="74" t="str">
        <x:v>V1.0</x:v>
      </x:c>
      <x:c r="F29" s="68" t="str">
        <x:v>无根只表示得地不足而非自动极弱</x:v>
      </x:c>
      <x:c r="G29" s="82" t="str">
        <x:v>结构层</x:v>
      </x:c>
      <x:c r="H29" s="68" t="str">
        <x:v>根气/无根</x:v>
      </x:c>
      <x:c r="I29" s="82"/>
      <x:c r="J29" s="68" t="str">
        <x:v>四支藏干均无目标五行</x:v>
      </x:c>
      <x:c r="K29" s="68" t="str">
        <x:v>无根</x:v>
      </x:c>
      <x:c r="L29" s="68" t="str">
        <x:v>给予明显负向根气证据</x:v>
      </x:c>
      <x:c r="M29" s="82" t="str">
        <x:v>减弱</x:v>
      </x:c>
      <x:c r="N29" s="68" t="str">
        <x:v>高</x:v>
      </x:c>
      <x:c r="O29" s="82" t="str">
        <x:v>强</x:v>
      </x:c>
      <x:c r="P29" s="68" t="str">
        <x:v>M02藏干映射完整</x:v>
      </x:c>
      <x:c r="Q29" s="68" t="str">
        <x:v>确认四支均无目标五行</x:v>
      </x:c>
      <x:c r="R29" s="68" t="str">
        <x:v>目标多透、得令、得强生源与同党</x:v>
      </x:c>
      <x:c r="S29" s="68" t="str">
        <x:v>目标仅孤干且季令不利、无源无党</x:v>
      </x:c>
      <x:c r="T29" s="90" t="str">
        <x:v>不得仅凭无根直接判极弱或从格</x:v>
      </x:c>
      <x:c r="U29" s="68" t="str">
        <x:v>合化成局产生的新五行不属于M07原始根气</x:v>
      </x:c>
      <x:c r="V29" s="82" t="str">
        <x:v>否</x:v>
      </x:c>
      <x:c r="W29" s="84" t="str">
        <x:v>无根证据</x:v>
      </x:c>
      <x:c r="X29" s="84" t="str">
        <x:v>目标五行在四支无根，原始得地不足；是否极弱仍须看季令、透干、生源与同党。</x:v>
      </x:c>
      <x:c r="Y29" s="82" t="str">
        <x:v>较高</x:v>
      </x:c>
      <x:c r="Z29" s="82" t="str">
        <x:v>旺衰扶抑</x:v>
      </x:c>
      <x:c r="AA29" s="68" t="str">
        <x:v>无根是重要负证据，但不是唯一结论。</x:v>
      </x:c>
      <x:c r="AB29" s="68" t="str">
        <x:v>木无寅卯亥辰未等藏木，但甲乙多透又得水旺相生，仍不能仅凭无根判极弱。</x:v>
      </x:c>
      <x:c r="AC29" s="90" t="str">
        <x:v>任何无根天干一律按极弱或从格处理。</x:v>
      </x:c>
      <x:c r="AD29" s="68" t="str">
        <x:v>https://zh.wikisource.org/zh-hans/淵海子平；https://zh.wikisource.org/zh-hans/滴天髓</x:v>
      </x:c>
      <x:c r="AE29" s="82" t="str">
        <x:v>采用</x:v>
      </x:c>
      <x:c r="AF29" s="82" t="str">
        <x:v>初审</x:v>
      </x:c>
      <x:c r="AG29" s="87" t="n">
        <x:v>46255</x:v>
      </x:c>
    </x:row>
    <x:row r="30">
      <x:c r="A30" s="72" t="str">
        <x:f>IF(OR(C30="",D30=""),"",B30&amp;"-"&amp;UPPER(C30)&amp;"-"&amp;TEXT(D30,"0000")&amp;"-"&amp;E30)</x:f>
        <x:v>M07-ROOT-0024-V1.0</x:v>
      </x:c>
      <x:c r="B30" s="74" t="str">
        <x:v>M07</x:v>
      </x:c>
      <x:c r="C30" s="74" t="str">
        <x:v>ROOT</x:v>
      </x:c>
      <x:c r="D30" s="79" t="n">
        <x:v>24</x:v>
      </x:c>
      <x:c r="E30" s="74" t="str">
        <x:v>V1.0</x:v>
      </x:c>
      <x:c r="F30" s="68" t="str">
        <x:v>根与透干相应时原始承载显著增强</x:v>
      </x:c>
      <x:c r="G30" s="82" t="str">
        <x:v>结构层</x:v>
      </x:c>
      <x:c r="H30" s="68" t="str">
        <x:v>根气/透根相应</x:v>
      </x:c>
      <x:c r="I30" s="82"/>
      <x:c r="J30" s="68" t="str">
        <x:v>目标五行既在天干明现又在地支得根</x:v>
      </x:c>
      <x:c r="K30" s="68" t="str">
        <x:v>透而有根</x:v>
      </x:c>
      <x:c r="L30" s="68" t="str">
        <x:v>形成显露与落点的组合强证据</x:v>
      </x:c>
      <x:c r="M30" s="82" t="str">
        <x:v>增强</x:v>
      </x:c>
      <x:c r="N30" s="68" t="str">
        <x:v>高</x:v>
      </x:c>
      <x:c r="O30" s="82" t="str">
        <x:v>强</x:v>
      </x:c>
      <x:c r="P30" s="68" t="str">
        <x:v>M02天干五行与藏干映射完成</x:v>
      </x:c>
      <x:c r="Q30" s="68" t="str">
        <x:v>至少一处目标天干明现且至少一支有目标五行根</x:v>
      </x:c>
      <x:c r="R30" s="68" t="str">
        <x:v>根为本气、透干多见、季令支持</x:v>
      </x:c>
      <x:c r="S30" s="68" t="str">
        <x:v>透干与根均弱、彼此隔远且无生源</x:v>
      </x:c>
      <x:c r="T30" s="90" t="str">
        <x:v>不得将透干和根气机械按两个决定性满分相加</x:v>
      </x:c>
      <x:c r="U30" s="68" t="str">
        <x:v>十神功能与具体天干连接转M10</x:v>
      </x:c>
      <x:c r="V30" s="82" t="str">
        <x:v>否</x:v>
      </x:c>
      <x:c r="W30" s="84" t="str">
        <x:v>透根相应</x:v>
      </x:c>
      <x:c r="X30" s="84" t="str">
        <x:v>目标五行透干并有根，既能显露又有承载，原始力量明显高于有透无根或有根不透。</x:v>
      </x:c>
      <x:c r="Y30" s="82" t="str">
        <x:v>较高</x:v>
      </x:c>
      <x:c r="Z30" s="82" t="str">
        <x:v>跨流派共识</x:v>
      </x:c>
      <x:c r="AA30" s="68" t="str">
        <x:v>透与根构成互相验证的强证据。</x:v>
      </x:c>
      <x:c r="AB30" s="68" t="str">
        <x:v>甲木透年干，地支见寅卯根，木原始力量具备显露与落点。</x:v>
      </x:c>
      <x:c r="AC30" s="90" t="str">
        <x:v>甲木一透一根便不看季令、数量而判极旺。</x:v>
      </x:c>
      <x:c r="AD30" s="68" t="str">
        <x:v>https://zh.wikisource.org/zh-hans/淵海子平；https://zh.wikisource.org/zh-hans/滴天髓</x:v>
      </x:c>
      <x:c r="AE30" s="82" t="str">
        <x:v>采用</x:v>
      </x:c>
      <x:c r="AF30" s="82" t="str">
        <x:v>初审</x:v>
      </x:c>
      <x:c r="AG30" s="87" t="n">
        <x:v>46255</x:v>
      </x:c>
    </x:row>
    <x:row r="31">
      <x:c r="A31" s="72" t="str">
        <x:f>IF(OR(C31="",D31=""),"",B31&amp;"-"&amp;UPPER(C31)&amp;"-"&amp;TEXT(D31,"0000")&amp;"-"&amp;E31)</x:f>
        <x:v>M07-ROOT-0025-V1.0</x:v>
      </x:c>
      <x:c r="B31" s="74" t="str">
        <x:v>M07</x:v>
      </x:c>
      <x:c r="C31" s="74" t="str">
        <x:v>ROOT</x:v>
      </x:c>
      <x:c r="D31" s="79" t="n">
        <x:v>25</x:v>
      </x:c>
      <x:c r="E31" s="74" t="str">
        <x:v>V1.0</x:v>
      </x:c>
      <x:c r="F31" s="68" t="str">
        <x:v>多根并得令可形成旺势基础但仍需透源党验证</x:v>
      </x:c>
      <x:c r="G31" s="82" t="str">
        <x:v>结构层</x:v>
      </x:c>
      <x:c r="H31" s="68" t="str">
        <x:v>根气/强根群</x:v>
      </x:c>
      <x:c r="I31" s="82"/>
      <x:c r="J31" s="68" t="str">
        <x:v>目标五行得令并在两个以上地支有根</x:v>
      </x:c>
      <x:c r="K31" s="68" t="str">
        <x:v>得令多根</x:v>
      </x:c>
      <x:c r="L31" s="68" t="str">
        <x:v>将原始旺衰提升至中和偏旺或旺候选</x:v>
      </x:c>
      <x:c r="M31" s="82" t="str">
        <x:v>增强</x:v>
      </x:c>
      <x:c r="N31" s="68" t="str">
        <x:v>高</x:v>
      </x:c>
      <x:c r="O31" s="82" t="str">
        <x:v>强</x:v>
      </x:c>
      <x:c r="P31" s="68" t="str">
        <x:v>季令与根气已分别识别并去重</x:v>
      </x:c>
      <x:c r="Q31" s="68" t="str">
        <x:v>得令且至少两处独立根</x:v>
      </x:c>
      <x:c r="R31" s="68" t="str">
        <x:v>透干、多同党、强生源</x:v>
      </x:c>
      <x:c r="S31" s="68" t="str">
        <x:v>根多但均弱余气或无任何显露</x:v>
      </x:c>
      <x:c r="T31" s="90" t="str">
        <x:v>不得仅凭得令多根直接判极旺</x:v>
      </x:c>
      <x:c r="U31" s="68" t="str">
        <x:v>专旺、从旺候选转M14</x:v>
      </x:c>
      <x:c r="V31" s="82" t="str">
        <x:v>条件性</x:v>
      </x:c>
      <x:c r="W31" s="84" t="str">
        <x:v>旺势基础</x:v>
      </x:c>
      <x:c r="X31" s="84" t="str">
        <x:v>目标五行得令又多根，已具旺势基础；是否达到旺或极旺须再看透干、同党与生源。</x:v>
      </x:c>
      <x:c r="Y31" s="82" t="str">
        <x:v>较高</x:v>
      </x:c>
      <x:c r="Z31" s="82" t="str">
        <x:v>旺衰扶抑</x:v>
      </x:c>
      <x:c r="AA31" s="68" t="str">
        <x:v>得令多根是旺的重要基础组合，但极端等级仍需更多汇合证据。</x:v>
      </x:c>
      <x:c r="AB31" s="68" t="str">
        <x:v>春月木得令，寅卯亥多根且甲乙透出，可判木旺候选。</x:v>
      </x:c>
      <x:c r="AC31" s="90" t="str">
        <x:v>春月木只在辰未余气多见便直接判极旺。</x:v>
      </x:c>
      <x:c r="AD31" s="68" t="str">
        <x:v>https://zh.wikisource.org/zh-hans/淵海子平；https://zh.wikisource.org/zh-hans/滴天髓</x:v>
      </x:c>
      <x:c r="AE31" s="82" t="str">
        <x:v>采用</x:v>
      </x:c>
      <x:c r="AF31" s="82" t="str">
        <x:v>初审</x:v>
      </x:c>
      <x:c r="AG31" s="87" t="n">
        <x:v>46255</x:v>
      </x:c>
    </x:row>
    <x:row r="32">
      <x:c r="A32" s="72" t="str">
        <x:f>IF(OR(C32="",D32=""),"",B32&amp;"-"&amp;UPPER(C32)&amp;"-"&amp;TEXT(D32,"0000")&amp;"-"&amp;E32)</x:f>
        <x:v>M07-ROOT-0026-V1.0</x:v>
      </x:c>
      <x:c r="B32" s="74" t="str">
        <x:v>M07</x:v>
      </x:c>
      <x:c r="C32" s="74" t="str">
        <x:v>ROOT</x:v>
      </x:c>
      <x:c r="D32" s="79" t="n">
        <x:v>26</x:v>
      </x:c>
      <x:c r="E32" s="74" t="str">
        <x:v>V1.0</x:v>
      </x:c>
      <x:c r="F32" s="68" t="str">
        <x:v>M07只记录原始根气不提前应用合冲刑害修正</x:v>
      </x:c>
      <x:c r="G32" s="82" t="str">
        <x:v>结构层</x:v>
      </x:c>
      <x:c r="H32" s="68" t="str">
        <x:v>根气/模块边界</x:v>
      </x:c>
      <x:c r="I32" s="82"/>
      <x:c r="J32" s="68" t="str">
        <x:v>根位同时参与合、冲、刑、害、破或会局</x:v>
      </x:c>
      <x:c r="K32" s="68" t="str">
        <x:v>原始根仍先保留</x:v>
      </x:c>
      <x:c r="L32" s="68" t="str">
        <x:v>根气不在M07删除或改性，待M06效应与M08有效力量修正</x:v>
      </x:c>
      <x:c r="M32" s="82" t="str">
        <x:v>不变</x:v>
      </x:c>
      <x:c r="N32" s="68" t="str">
        <x:v>高</x:v>
      </x:c>
      <x:c r="O32" s="82" t="str">
        <x:v>决定性</x:v>
      </x:c>
      <x:c r="P32" s="68" t="str">
        <x:v>M05/M06关系已识别或待识别</x:v>
      </x:c>
      <x:c r="Q32" s="68" t="str">
        <x:v>原始藏干事实未发生输入错误</x:v>
      </x:c>
      <x:c r="R32" s="68" t="str">
        <x:v>无</x:v>
      </x:c>
      <x:c r="S32" s="68" t="str">
        <x:v>无</x:v>
      </x:c>
      <x:c r="T32" s="90" t="str">
        <x:v>禁止因见冲刑合害就在M07把根记为零</x:v>
      </x:c>
      <x:c r="U32" s="68" t="str">
        <x:v>合化或成局经M06确认后由M08处理性质改变</x:v>
      </x:c>
      <x:c r="V32" s="82" t="str">
        <x:v>否</x:v>
      </x:c>
      <x:c r="W32" s="84" t="str">
        <x:v>原始根保留</x:v>
      </x:c>
      <x:c r="X32" s="84" t="str">
        <x:v>该根位在原始层仍予保留；关系造成的冲动、冲散、合绊或改性转入M08修正。</x:v>
      </x:c>
      <x:c r="Y32" s="82" t="str">
        <x:v>确定</x:v>
      </x:c>
      <x:c r="Z32" s="82" t="str">
        <x:v>现代综合</x:v>
      </x:c>
      <x:c r="AA32" s="68" t="str">
        <x:v>原始力量与有效力量必须分层，避免循环论证。</x:v>
      </x:c>
      <x:c r="AB32" s="68" t="str">
        <x:v>寅申冲中，M07先记录寅木根与申金根，M08再分别判断有效性。</x:v>
      </x:c>
      <x:c r="AC32" s="90" t="str">
        <x:v>一见寅申冲便在M07删除寅或申的根气。</x:v>
      </x:c>
      <x:c r="AD32" s="68" t="str">
        <x:v>经典原则经结构化整理；参见：https://zh.wikisource.org/zh-hans/滴天髓</x:v>
      </x:c>
      <x:c r="AE32" s="82" t="str">
        <x:v>采用</x:v>
      </x:c>
      <x:c r="AF32" s="82" t="str">
        <x:v>初审</x:v>
      </x:c>
      <x:c r="AG32" s="87" t="n">
        <x:v>46255</x:v>
      </x:c>
    </x:row>
    <x:row r="33">
      <x:c r="A33" s="72" t="str">
        <x:f>IF(OR(C33="",D33=""),"",B33&amp;"-"&amp;UPPER(C33)&amp;"-"&amp;TEXT(D33,"0000")&amp;"-"&amp;E33)</x:f>
        <x:v>M07-STEM-0027-V1.0</x:v>
      </x:c>
      <x:c r="B33" s="74" t="str">
        <x:v>M07</x:v>
      </x:c>
      <x:c r="C33" s="74" t="str">
        <x:v>STEM</x:v>
      </x:c>
      <x:c r="D33" s="79" t="n">
        <x:v>27</x:v>
      </x:c>
      <x:c r="E33" s="74" t="str">
        <x:v>V1.0</x:v>
      </x:c>
      <x:c r="F33" s="68" t="str">
        <x:v>单一透干提升五行显露度与直接作用能力</x:v>
      </x:c>
      <x:c r="G33" s="82" t="str">
        <x:v>结构层</x:v>
      </x:c>
      <x:c r="H33" s="68" t="str">
        <x:v>透干/显露</x:v>
      </x:c>
      <x:c r="I33" s="82"/>
      <x:c r="J33" s="68" t="str">
        <x:v>目标五行至少有一个天干明现</x:v>
      </x:c>
      <x:c r="K33" s="68" t="str">
        <x:v>单透</x:v>
      </x:c>
      <x:c r="L33" s="68" t="str">
        <x:v>给予中等正向显露证据</x:v>
      </x:c>
      <x:c r="M33" s="82" t="str">
        <x:v>增强</x:v>
      </x:c>
      <x:c r="N33" s="68" t="str">
        <x:v>中</x:v>
      </x:c>
      <x:c r="O33" s="82" t="str">
        <x:v>中</x:v>
      </x:c>
      <x:c r="P33" s="68" t="str">
        <x:v>M02天干五行映射完成</x:v>
      </x:c>
      <x:c r="Q33" s="68" t="str">
        <x:v>至少一个天干属于目标五行</x:v>
      </x:c>
      <x:c r="R33" s="68" t="str">
        <x:v>透干有根、得令或获生源</x:v>
      </x:c>
      <x:c r="S33" s="68" t="str">
        <x:v>透干无根、失令且无同党</x:v>
      </x:c>
      <x:c r="T33" s="90" t="str">
        <x:v>不得把一枚透干直接判为旺</x:v>
      </x:c>
      <x:c r="U33" s="68" t="str">
        <x:v>天干合克实际效应转M06/M08</x:v>
      </x:c>
      <x:c r="V33" s="82" t="str">
        <x:v>否</x:v>
      </x:c>
      <x:c r="W33" s="84" t="str">
        <x:v>单透证据</x:v>
      </x:c>
      <x:c r="X33" s="84" t="str">
        <x:v>目标五行有一处透干，具备直接显露与作用通道；力量大小仍取决于根、令、源、党。</x:v>
      </x:c>
      <x:c r="Y33" s="82" t="str">
        <x:v>较高</x:v>
      </x:c>
      <x:c r="Z33" s="82" t="str">
        <x:v>现代综合</x:v>
      </x:c>
      <x:c r="AA33" s="68" t="str">
        <x:v>透干提高可见度，但不是独立旺度结论。</x:v>
      </x:c>
      <x:c r="AB33" s="68" t="str">
        <x:v>壬水透月干并有亥子根，水的显露与承载均清楚。</x:v>
      </x:c>
      <x:c r="AC33" s="90" t="str">
        <x:v>一枚无根壬水透出便判水旺。</x:v>
      </x:c>
      <x:c r="AD33" s="68" t="str">
        <x:v>https://zh.wikisource.org/zh-hans/淵海子平；https://zh.wikisource.org/zh-hans/滴天髓</x:v>
      </x:c>
      <x:c r="AE33" s="82" t="str">
        <x:v>采用</x:v>
      </x:c>
      <x:c r="AF33" s="82" t="str">
        <x:v>初审</x:v>
      </x:c>
      <x:c r="AG33" s="87" t="n">
        <x:v>46255</x:v>
      </x:c>
    </x:row>
    <x:row r="34">
      <x:c r="A34" s="72" t="str">
        <x:f>IF(OR(C34="",D34=""),"",B34&amp;"-"&amp;UPPER(C34)&amp;"-"&amp;TEXT(D34,"0000")&amp;"-"&amp;E34)</x:f>
        <x:v>M07-STEM-0028-V1.0</x:v>
      </x:c>
      <x:c r="B34" s="74" t="str">
        <x:v>M07</x:v>
      </x:c>
      <x:c r="C34" s="74" t="str">
        <x:v>STEM</x:v>
      </x:c>
      <x:c r="D34" s="79" t="n">
        <x:v>28</x:v>
      </x:c>
      <x:c r="E34" s="74" t="str">
        <x:v>V1.0</x:v>
      </x:c>
      <x:c r="F34" s="68" t="str">
        <x:v>透干有根显著强于透干无根</x:v>
      </x:c>
      <x:c r="G34" s="82" t="str">
        <x:v>结构层</x:v>
      </x:c>
      <x:c r="H34" s="68" t="str">
        <x:v>透干/有根</x:v>
      </x:c>
      <x:c r="I34" s="82"/>
      <x:c r="J34" s="68" t="str">
        <x:v>目标五行透干且至少一支有同五行根</x:v>
      </x:c>
      <x:c r="K34" s="68" t="str">
        <x:v>透而有根</x:v>
      </x:c>
      <x:c r="L34" s="68" t="str">
        <x:v>提高透干有效承载的原始候选</x:v>
      </x:c>
      <x:c r="M34" s="82" t="str">
        <x:v>增强</x:v>
      </x:c>
      <x:c r="N34" s="68" t="str">
        <x:v>高</x:v>
      </x:c>
      <x:c r="O34" s="82" t="str">
        <x:v>强</x:v>
      </x:c>
      <x:c r="P34" s="68" t="str">
        <x:v>M07根气证据已生成</x:v>
      </x:c>
      <x:c r="Q34" s="68" t="str">
        <x:v>透干与根同属目标五行</x:v>
      </x:c>
      <x:c r="R34" s="68" t="str">
        <x:v>根为本气、得令、同党多</x:v>
      </x:c>
      <x:c r="S34" s="68" t="str">
        <x:v>根仅余气且季令不利</x:v>
      </x:c>
      <x:c r="T34" s="90" t="str">
        <x:v>不得因有根就忽略根层级与来源共线</x:v>
      </x:c>
      <x:c r="U34" s="68" t="str">
        <x:v>具体天干能否联结该根可在M09/M10细化</x:v>
      </x:c>
      <x:c r="V34" s="82" t="str">
        <x:v>否</x:v>
      </x:c>
      <x:c r="W34" s="84" t="str">
        <x:v>透根强证</x:v>
      </x:c>
      <x:c r="X34" s="84" t="str">
        <x:v>目标五行透而有根，原始力量明显高于浮干；根的层级和季令决定增强幅度。</x:v>
      </x:c>
      <x:c r="Y34" s="82" t="str">
        <x:v>较高</x:v>
      </x:c>
      <x:c r="Z34" s="82" t="str">
        <x:v>旺衰扶抑</x:v>
      </x:c>
      <x:c r="AA34" s="68" t="str">
        <x:v>透根结合是五行可用力量的基础。</x:v>
      </x:c>
      <x:c r="AB34" s="68" t="str">
        <x:v>丙火透干，地支巳午有根，火原始力量明显有力。</x:v>
      </x:c>
      <x:c r="AC34" s="90" t="str">
        <x:v>丙火仅在辰中一弱余气也与巳午强根同论。</x:v>
      </x:c>
      <x:c r="AD34" s="68" t="str">
        <x:v>https://zh.wikisource.org/zh-hans/淵海子平；https://zh.wikisource.org/zh-hans/滴天髓</x:v>
      </x:c>
      <x:c r="AE34" s="82" t="str">
        <x:v>采用</x:v>
      </x:c>
      <x:c r="AF34" s="82" t="str">
        <x:v>初审</x:v>
      </x:c>
      <x:c r="AG34" s="87" t="n">
        <x:v>46255</x:v>
      </x:c>
    </x:row>
    <x:row r="35">
      <x:c r="A35" s="72" t="str">
        <x:f>IF(OR(C35="",D35=""),"",B35&amp;"-"&amp;UPPER(C35)&amp;"-"&amp;TEXT(D35,"0000")&amp;"-"&amp;E35)</x:f>
        <x:v>M07-STEM-0029-V1.0</x:v>
      </x:c>
      <x:c r="B35" s="74" t="str">
        <x:v>M07</x:v>
      </x:c>
      <x:c r="C35" s="74" t="str">
        <x:v>STEM</x:v>
      </x:c>
      <x:c r="D35" s="79" t="n">
        <x:v>29</x:v>
      </x:c>
      <x:c r="E35" s="74" t="str">
        <x:v>V1.0</x:v>
      </x:c>
      <x:c r="F35" s="68" t="str">
        <x:v>透干无根属于浮露而非完全无气</x:v>
      </x:c>
      <x:c r="G35" s="82" t="str">
        <x:v>结构层</x:v>
      </x:c>
      <x:c r="H35" s="68" t="str">
        <x:v>透干/无根</x:v>
      </x:c>
      <x:c r="I35" s="82"/>
      <x:c r="J35" s="68" t="str">
        <x:v>目标五行透于天干但四支无根</x:v>
      </x:c>
      <x:c r="K35" s="68" t="str">
        <x:v>浮干</x:v>
      </x:c>
      <x:c r="L35" s="68" t="str">
        <x:v>保留存在与显露，原始承载下调</x:v>
      </x:c>
      <x:c r="M35" s="82" t="str">
        <x:v>减弱</x:v>
      </x:c>
      <x:c r="N35" s="68" t="str">
        <x:v>中高</x:v>
      </x:c>
      <x:c r="O35" s="82" t="str">
        <x:v>中</x:v>
      </x:c>
      <x:c r="P35" s="68" t="str">
        <x:v>四支根气已核验</x:v>
      </x:c>
      <x:c r="Q35" s="68" t="str">
        <x:v>目标有透干但无任何根</x:v>
      </x:c>
      <x:c r="R35" s="68" t="str">
        <x:v>得令、同类多透、强生源连续相生</x:v>
      </x:c>
      <x:c r="S35" s="68" t="str">
        <x:v>失令、孤干、无源无党</x:v>
      </x:c>
      <x:c r="T35" s="90" t="str">
        <x:v>不得把浮干直接归零，也不得按有根透干同权</x:v>
      </x:c>
      <x:c r="U35" s="68" t="str">
        <x:v>从格条件另由M14严格验证</x:v>
      </x:c>
      <x:c r="V35" s="82" t="str">
        <x:v>否</x:v>
      </x:c>
      <x:c r="W35" s="84" t="str">
        <x:v>浮干证据</x:v>
      </x:c>
      <x:c r="X35" s="84" t="str">
        <x:v>目标五行虽透干但无根，属于浮露；仍有存在和作用通道，但原始承载偏弱。</x:v>
      </x:c>
      <x:c r="Y35" s="82" t="str">
        <x:v>较高</x:v>
      </x:c>
      <x:c r="Z35" s="82" t="str">
        <x:v>现代综合</x:v>
      </x:c>
      <x:c r="AA35" s="68" t="str">
        <x:v>无根限制持续性，不等于不存在。</x:v>
      </x:c>
      <x:c r="AB35" s="68" t="str">
        <x:v>冬月甲木无根但壬癸旺生，甲仍有一定原始力量。</x:v>
      </x:c>
      <x:c r="AC35" s="90" t="str">
        <x:v>无根甲木完全不计，或与有寅卯根同权。</x:v>
      </x:c>
      <x:c r="AD35" s="68" t="str">
        <x:v>经典原则经结构化整理；参见：https://zh.wikisource.org/zh-hans/滴天髓</x:v>
      </x:c>
      <x:c r="AE35" s="82" t="str">
        <x:v>采用</x:v>
      </x:c>
      <x:c r="AF35" s="82" t="str">
        <x:v>初审</x:v>
      </x:c>
      <x:c r="AG35" s="87" t="n">
        <x:v>46255</x:v>
      </x:c>
    </x:row>
    <x:row r="36">
      <x:c r="A36" s="72" t="str">
        <x:f>IF(OR(C36="",D36=""),"",B36&amp;"-"&amp;UPPER(C36)&amp;"-"&amp;TEXT(D36,"0000")&amp;"-"&amp;E36)</x:f>
        <x:v>M07-STEM-0030-V1.0</x:v>
      </x:c>
      <x:c r="B36" s="74" t="str">
        <x:v>M07</x:v>
      </x:c>
      <x:c r="C36" s="74" t="str">
        <x:v>STEM</x:v>
      </x:c>
      <x:c r="D36" s="79" t="n">
        <x:v>30</x:v>
      </x:c>
      <x:c r="E36" s="74" t="str">
        <x:v>V1.0</x:v>
      </x:c>
      <x:c r="F36" s="68" t="str">
        <x:v>多处同五行透干增强显露但采用递减边际</x:v>
      </x:c>
      <x:c r="G36" s="82" t="str">
        <x:v>结构层</x:v>
      </x:c>
      <x:c r="H36" s="68" t="str">
        <x:v>透干/多透</x:v>
      </x:c>
      <x:c r="I36" s="82"/>
      <x:c r="J36" s="68" t="str">
        <x:v>目标五行在两个以上天干明现</x:v>
      </x:c>
      <x:c r="K36" s="68" t="str">
        <x:v>多透</x:v>
      </x:c>
      <x:c r="L36" s="68" t="str">
        <x:v>增加显露与同党证据，后续透干边际递减</x:v>
      </x:c>
      <x:c r="M36" s="82" t="str">
        <x:v>增强</x:v>
      </x:c>
      <x:c r="N36" s="68" t="str">
        <x:v>中高</x:v>
      </x:c>
      <x:c r="O36" s="82" t="str">
        <x:v>中</x:v>
      </x:c>
      <x:c r="P36" s="68" t="str">
        <x:v>天干五行已逐柱识别</x:v>
      </x:c>
      <x:c r="Q36" s="68" t="str">
        <x:v>至少两干同属目标五行</x:v>
      </x:c>
      <x:c r="R36" s="68" t="str">
        <x:v>多透均有根、得令或有强生源</x:v>
      </x:c>
      <x:c r="S36" s="68" t="str">
        <x:v>多透均无根且失令</x:v>
      </x:c>
      <x:c r="T36" s="90" t="str">
        <x:v>禁止按透干数量线性倍增</x:v>
      </x:c>
      <x:c r="U36" s="68" t="str">
        <x:v>同一五合或争合效应不在M07处理</x:v>
      </x:c>
      <x:c r="V36" s="82" t="str">
        <x:v>否</x:v>
      </x:c>
      <x:c r="W36" s="84" t="str">
        <x:v>多透增强</x:v>
      </x:c>
      <x:c r="X36" s="84" t="str">
        <x:v>目标五行多处透干，显露度与同党性增强；新增透干采用边际递减，不直接等同成势。</x:v>
      </x:c>
      <x:c r="Y36" s="82" t="str">
        <x:v>较高</x:v>
      </x:c>
      <x:c r="Z36" s="82" t="str">
        <x:v>现代综合</x:v>
      </x:c>
      <x:c r="AA36" s="68" t="str">
        <x:v>数量提供证据但不能替代承载。</x:v>
      </x:c>
      <x:c r="AB36" s="68" t="str">
        <x:v>甲乙双透并有寅卯根，木原始力量高于单透。</x:v>
      </x:c>
      <x:c r="AC36" s="90" t="str">
        <x:v>三枚无根水干按三倍强根水计算。</x:v>
      </x:c>
      <x:c r="AD36" s="68" t="str">
        <x:v>经典原则经结构化整理；参见：https://zh.wikisource.org/zh-hans/滴天髓</x:v>
      </x:c>
      <x:c r="AE36" s="82" t="str">
        <x:v>采用</x:v>
      </x:c>
      <x:c r="AF36" s="82" t="str">
        <x:v>初审</x:v>
      </x:c>
      <x:c r="AG36" s="87" t="n">
        <x:v>46255</x:v>
      </x:c>
    </x:row>
    <x:row r="37">
      <x:c r="A37" s="72" t="str">
        <x:f>IF(OR(C37="",D37=""),"",B37&amp;"-"&amp;UPPER(C37)&amp;"-"&amp;TEXT(D37,"0000")&amp;"-"&amp;E37)</x:f>
        <x:v>M07-STEM-0031-V1.0</x:v>
      </x:c>
      <x:c r="B37" s="74" t="str">
        <x:v>M07</x:v>
      </x:c>
      <x:c r="C37" s="74" t="str">
        <x:v>STEM</x:v>
      </x:c>
      <x:c r="D37" s="79" t="n">
        <x:v>31</x:v>
      </x:c>
      <x:c r="E37" s="74" t="str">
        <x:v>V1.0</x:v>
      </x:c>
      <x:c r="F37" s="68" t="str">
        <x:v>藏支不透仍计存在与根气但显露度较低</x:v>
      </x:c>
      <x:c r="G37" s="82" t="str">
        <x:v>结构层</x:v>
      </x:c>
      <x:c r="H37" s="68" t="str">
        <x:v>透干/藏而不透</x:v>
      </x:c>
      <x:c r="I37" s="82"/>
      <x:c r="J37" s="68" t="str">
        <x:v>目标五行仅藏于地支，天干不见</x:v>
      </x:c>
      <x:c r="K37" s="68" t="str">
        <x:v>藏而不透</x:v>
      </x:c>
      <x:c r="L37" s="68" t="str">
        <x:v>保留根气与季令证据，不给予透干显露加权</x:v>
      </x:c>
      <x:c r="M37" s="82" t="str">
        <x:v>不变</x:v>
      </x:c>
      <x:c r="N37" s="68" t="str">
        <x:v>中</x:v>
      </x:c>
      <x:c r="O37" s="82" t="str">
        <x:v>中</x:v>
      </x:c>
      <x:c r="P37" s="68" t="str">
        <x:v>M02藏干与天干映射完成</x:v>
      </x:c>
      <x:c r="Q37" s="68" t="str">
        <x:v>天干无目标五行、地支有目标五行</x:v>
      </x:c>
      <x:c r="R37" s="68" t="str">
        <x:v>藏于月支本气、多根、得令</x:v>
      </x:c>
      <x:c r="S37" s="68" t="str">
        <x:v>仅一处余气且季令不利</x:v>
      </x:c>
      <x:c r="T37" s="90" t="str">
        <x:v>不得因不透就判目标五行不存在</x:v>
      </x:c>
      <x:c r="U37" s="68" t="str">
        <x:v>格局取用是否要求透出转M14/M15</x:v>
      </x:c>
      <x:c r="V37" s="82" t="str">
        <x:v>否</x:v>
      </x:c>
      <x:c r="W37" s="84" t="str">
        <x:v>藏而不透</x:v>
      </x:c>
      <x:c r="X37" s="84" t="str">
        <x:v>目标五行虽未透干，但在地支有实际藏气与根；原始存在不被否定，只是显露度较低。</x:v>
      </x:c>
      <x:c r="Y37" s="82" t="str">
        <x:v>较高</x:v>
      </x:c>
      <x:c r="Z37" s="82" t="str">
        <x:v>跨流派共识</x:v>
      </x:c>
      <x:c r="AA37" s="68" t="str">
        <x:v>藏气与透干是不同维度。</x:v>
      </x:c>
      <x:c r="AB37" s="68" t="str">
        <x:v>木不透但寅卯成片，木原始力量仍可很强。</x:v>
      </x:c>
      <x:c r="AC37" s="90" t="str">
        <x:v>五行不透就一律判弱或不存在。</x:v>
      </x:c>
      <x:c r="AD37" s="68" t="str">
        <x:v>https://zh.wikisource.org/zh-hans/淵海子平；https://zh.wikisource.org/zh-hans/滴天髓</x:v>
      </x:c>
      <x:c r="AE37" s="82" t="str">
        <x:v>采用</x:v>
      </x:c>
      <x:c r="AF37" s="82" t="str">
        <x:v>初审</x:v>
      </x:c>
      <x:c r="AG37" s="87" t="n">
        <x:v>46255</x:v>
      </x:c>
    </x:row>
    <x:row r="38">
      <x:c r="A38" s="72" t="str">
        <x:f>IF(OR(C38="",D38=""),"",B38&amp;"-"&amp;UPPER(C38)&amp;"-"&amp;TEXT(D38,"0000")&amp;"-"&amp;E38)</x:f>
        <x:v>M07-STEM-0032-V1.0</x:v>
      </x:c>
      <x:c r="B38" s="74" t="str">
        <x:v>M07</x:v>
      </x:c>
      <x:c r="C38" s="74" t="str">
        <x:v>STEM</x:v>
      </x:c>
      <x:c r="D38" s="79" t="n">
        <x:v>32</x:v>
      </x:c>
      <x:c r="E38" s="74" t="str">
        <x:v>V1.0</x:v>
      </x:c>
      <x:c r="F38" s="68" t="str">
        <x:v>月令本气藏而不透仍可具强原始力量</x:v>
      </x:c>
      <x:c r="G38" s="82" t="str">
        <x:v>结构层</x:v>
      </x:c>
      <x:c r="H38" s="68" t="str">
        <x:v>透干/月令藏气</x:v>
      </x:c>
      <x:c r="I38" s="82"/>
      <x:c r="J38" s="68" t="str">
        <x:v>目标五行为月支本气但天干不透</x:v>
      </x:c>
      <x:c r="K38" s="68" t="str">
        <x:v>当令而不透</x:v>
      </x:c>
      <x:c r="L38" s="68" t="str">
        <x:v>季令与根气可支持偏旺候选，显露度单独记低</x:v>
      </x:c>
      <x:c r="M38" s="82" t="str">
        <x:v>增强</x:v>
      </x:c>
      <x:c r="N38" s="68" t="str">
        <x:v>高</x:v>
      </x:c>
      <x:c r="O38" s="82" t="str">
        <x:v>强</x:v>
      </x:c>
      <x:c r="P38" s="68" t="str">
        <x:v>月令本气与透干状态已识别</x:v>
      </x:c>
      <x:c r="Q38" s="68" t="str">
        <x:v>目标五行确为月支本气且不透</x:v>
      </x:c>
      <x:c r="R38" s="68" t="str">
        <x:v>另有同类根、同党或强生源</x:v>
      </x:c>
      <x:c r="S38" s="68" t="str">
        <x:v>仅月支单点且受大量异类包围</x:v>
      </x:c>
      <x:c r="T38" s="90" t="str">
        <x:v>不得把“不透”直接否定“得令”</x:v>
      </x:c>
      <x:c r="U38" s="68" t="str">
        <x:v>是否承担格神或十神功能转M10/M14</x:v>
      </x:c>
      <x:c r="V38" s="82" t="str">
        <x:v>否</x:v>
      </x:c>
      <x:c r="W38" s="84" t="str">
        <x:v>当令不透</x:v>
      </x:c>
      <x:c r="X38" s="84" t="str">
        <x:v>目标五行虽不透干，但得月令本气与月支根，原始力量可以较强；仅其显露与功能通道较低。</x:v>
      </x:c>
      <x:c r="Y38" s="82" t="str">
        <x:v>较高</x:v>
      </x:c>
      <x:c r="Z38" s="82" t="str">
        <x:v>旺衰扶抑</x:v>
      </x:c>
      <x:c r="AA38" s="68" t="str">
        <x:v>强弱与显露必须分开。</x:v>
      </x:c>
      <x:c r="AB38" s="68" t="str">
        <x:v>卯月木不透但寅卯多见，木可原始偏旺。</x:v>
      </x:c>
      <x:c r="AC38" s="90" t="str">
        <x:v>卯月无甲乙透干便断木弱。</x:v>
      </x:c>
      <x:c r="AD38" s="68" t="str">
        <x:v>https://zh.wikisource.org/zh-hans/淵海子平；https://zh.wikisource.org/zh-hans/滴天髓</x:v>
      </x:c>
      <x:c r="AE38" s="82" t="str">
        <x:v>采用</x:v>
      </x:c>
      <x:c r="AF38" s="82" t="str">
        <x:v>初审</x:v>
      </x:c>
      <x:c r="AG38" s="87" t="n">
        <x:v>46255</x:v>
      </x:c>
    </x:row>
    <x:row r="39">
      <x:c r="A39" s="72" t="str">
        <x:f>IF(OR(C39="",D39=""),"",B39&amp;"-"&amp;UPPER(C39)&amp;"-"&amp;TEXT(D39,"0000")&amp;"-"&amp;E39)</x:f>
        <x:v>M07-STEM-0033-V1.0</x:v>
      </x:c>
      <x:c r="B39" s="74" t="str">
        <x:v>M07</x:v>
      </x:c>
      <x:c r="C39" s="74" t="str">
        <x:v>STEM</x:v>
      </x:c>
      <x:c r="D39" s="79" t="n">
        <x:v>33</x:v>
      </x:c>
      <x:c r="E39" s="74" t="str">
        <x:v>V1.0</x:v>
      </x:c>
      <x:c r="F39" s="68" t="str">
        <x:v>月干日干位置只作显露通道的次级修正</x:v>
      </x:c>
      <x:c r="G39" s="82" t="str">
        <x:v>结构层</x:v>
      </x:c>
      <x:c r="H39" s="68" t="str">
        <x:v>透干/位置</x:v>
      </x:c>
      <x:c r="I39" s="82"/>
      <x:c r="J39" s="68" t="str">
        <x:v>目标五行透于月干或日干</x:v>
      </x:c>
      <x:c r="K39" s="68" t="str">
        <x:v>中心透干</x:v>
      </x:c>
      <x:c r="L39" s="68" t="str">
        <x:v>提高直接参与全局生克的可见度，但不改变五行本质权重</x:v>
      </x:c>
      <x:c r="M39" s="82" t="str">
        <x:v>增强</x:v>
      </x:c>
      <x:c r="N39" s="68" t="str">
        <x:v>低</x:v>
      </x:c>
      <x:c r="O39" s="82" t="str">
        <x:v>弱</x:v>
      </x:c>
      <x:c r="P39" s="68" t="str">
        <x:v>天干柱位已识别</x:v>
      </x:c>
      <x:c r="Q39" s="68" t="str">
        <x:v>目标五行确透于月干或日干</x:v>
      </x:c>
      <x:c r="R39" s="68" t="str">
        <x:v>透干有根并与相邻生源同党连接</x:v>
      </x:c>
      <x:c r="S39" s="68" t="str">
        <x:v>无根失令且被孤立</x:v>
      </x:c>
      <x:c r="T39" s="90" t="str">
        <x:v>不得仅凭位置把弱干判强</x:v>
      </x:c>
      <x:c r="U39" s="68" t="str">
        <x:v>日干为命主本身时旺衰专入M09</x:v>
      </x:c>
      <x:c r="V39" s="82" t="str">
        <x:v>否</x:v>
      </x:c>
      <x:c r="W39" s="84" t="str">
        <x:v>中心显露</x:v>
      </x:c>
      <x:c r="X39" s="84" t="str">
        <x:v>目标五行透于中心干位，作用通道较直接；位置只作辅助，根令源党仍为主。</x:v>
      </x:c>
      <x:c r="Y39" s="82" t="str">
        <x:v>中等</x:v>
      </x:c>
      <x:c r="Z39" s="82" t="str">
        <x:v>现代综合</x:v>
      </x:c>
      <x:c r="AA39" s="68" t="str">
        <x:v>位置影响直接性，不应成为固定分值。</x:v>
      </x:c>
      <x:c r="AB39" s="68" t="str">
        <x:v>月干庚金有申酉根，其直接参与结构的通道较清晰。</x:v>
      </x:c>
      <x:c r="AC39" s="90" t="str">
        <x:v>月干无根庚金只因居月干就判旺。</x:v>
      </x:c>
      <x:c r="AD39" s="68" t="str">
        <x:v>经典原则经结构化整理；参见：https://zh.wikisource.org/zh-hans/滴天髓</x:v>
      </x:c>
      <x:c r="AE39" s="82" t="str">
        <x:v>待验证</x:v>
      </x:c>
      <x:c r="AF39" s="82" t="str">
        <x:v>初审</x:v>
      </x:c>
      <x:c r="AG39" s="87" t="n">
        <x:v>46255</x:v>
      </x:c>
    </x:row>
    <x:row r="40">
      <x:c r="A40" s="72" t="str">
        <x:f>IF(OR(C40="",D40=""),"",B40&amp;"-"&amp;UPPER(C40)&amp;"-"&amp;TEXT(D40,"0000")&amp;"-"&amp;E40)</x:f>
        <x:v>M07-STEM-0034-V1.0</x:v>
      </x:c>
      <x:c r="B40" s="74" t="str">
        <x:v>M07</x:v>
      </x:c>
      <x:c r="C40" s="74" t="str">
        <x:v>STEM</x:v>
      </x:c>
      <x:c r="D40" s="79" t="n">
        <x:v>34</x:v>
      </x:c>
      <x:c r="E40" s="74" t="str">
        <x:v>V1.0</x:v>
      </x:c>
      <x:c r="F40" s="68" t="str">
        <x:v>年干时干透出仍有效不因边位被删除</x:v>
      </x:c>
      <x:c r="G40" s="82" t="str">
        <x:v>结构层</x:v>
      </x:c>
      <x:c r="H40" s="68" t="str">
        <x:v>透干/边位</x:v>
      </x:c>
      <x:c r="I40" s="82"/>
      <x:c r="J40" s="68" t="str">
        <x:v>目标五行仅透于年干或时干</x:v>
      </x:c>
      <x:c r="K40" s="68" t="str">
        <x:v>边位透干</x:v>
      </x:c>
      <x:c r="L40" s="68" t="str">
        <x:v>保留显露证据，位置远近仅作低阶说明</x:v>
      </x:c>
      <x:c r="M40" s="82" t="str">
        <x:v>增强</x:v>
      </x:c>
      <x:c r="N40" s="68" t="str">
        <x:v>低</x:v>
      </x:c>
      <x:c r="O40" s="82" t="str">
        <x:v>弱</x:v>
      </x:c>
      <x:c r="P40" s="68" t="str">
        <x:v>天干柱位已识别</x:v>
      </x:c>
      <x:c r="Q40" s="68" t="str">
        <x:v>年干或时干属于目标五行</x:v>
      </x:c>
      <x:c r="R40" s="68" t="str">
        <x:v>有根、得令、与其他同类或生源相连</x:v>
      </x:c>
      <x:c r="S40" s="68" t="str">
        <x:v>孤干无根且季令不利</x:v>
      </x:c>
      <x:c r="T40" s="90" t="str">
        <x:v>不得因位于年时便视为无效</x:v>
      </x:c>
      <x:c r="U40" s="68" t="str">
        <x:v>具体宫位象义不属于M07</x:v>
      </x:c>
      <x:c r="V40" s="82" t="str">
        <x:v>否</x:v>
      </x:c>
      <x:c r="W40" s="84" t="str">
        <x:v>边位显露</x:v>
      </x:c>
      <x:c r="X40" s="84" t="str">
        <x:v>目标五行在年干或时干仍属明现，原始力量不能删除；其强弱仍由令根源党决定。</x:v>
      </x:c>
      <x:c r="Y40" s="82" t="str">
        <x:v>较高</x:v>
      </x:c>
      <x:c r="Z40" s="82" t="str">
        <x:v>现代综合</x:v>
      </x:c>
      <x:c r="AA40" s="68" t="str">
        <x:v>四干均是客观存在，位置不能替代力量判断。</x:v>
      </x:c>
      <x:c r="AB40" s="68" t="str">
        <x:v>时干壬水有亥子根，仍是清晰水力。</x:v>
      </x:c>
      <x:c r="AC40" s="90" t="str">
        <x:v>时干一律按无效或虚浮处理。</x:v>
      </x:c>
      <x:c r="AD40" s="68" t="str">
        <x:v>经典原则经结构化整理；参见：https://zh.wikisource.org/zh-hans/滴天髓</x:v>
      </x:c>
      <x:c r="AE40" s="82" t="str">
        <x:v>采用</x:v>
      </x:c>
      <x:c r="AF40" s="82" t="str">
        <x:v>初审</x:v>
      </x:c>
      <x:c r="AG40" s="87" t="n">
        <x:v>46255</x:v>
      </x:c>
    </x:row>
    <x:row r="41">
      <x:c r="A41" s="72" t="str">
        <x:f>IF(OR(C41="",D41=""),"",B41&amp;"-"&amp;UPPER(C41)&amp;"-"&amp;TEXT(D41,"0000")&amp;"-"&amp;E41)</x:f>
        <x:v>M07-STEM-0035-V1.0</x:v>
      </x:c>
      <x:c r="B41" s="74" t="str">
        <x:v>M07</x:v>
      </x:c>
      <x:c r="C41" s="74" t="str">
        <x:v>STEM</x:v>
      </x:c>
      <x:c r="D41" s="79" t="n">
        <x:v>35</x:v>
      </x:c>
      <x:c r="E41" s="74" t="str">
        <x:v>V1.0</x:v>
      </x:c>
      <x:c r="F41" s="68" t="str">
        <x:v>透干与生源同现可提升显露力量候选</x:v>
      </x:c>
      <x:c r="G41" s="82" t="str">
        <x:v>结构层</x:v>
      </x:c>
      <x:c r="H41" s="68" t="str">
        <x:v>透干/受生</x:v>
      </x:c>
      <x:c r="I41" s="82"/>
      <x:c r="J41" s="68" t="str">
        <x:v>目标五行透干，且其生源五行也明现或有强根</x:v>
      </x:c>
      <x:c r="K41" s="68" t="str">
        <x:v>透干得生</x:v>
      </x:c>
      <x:c r="L41" s="68" t="str">
        <x:v>在透干基础上增加生源支持</x:v>
      </x:c>
      <x:c r="M41" s="82" t="str">
        <x:v>增强</x:v>
      </x:c>
      <x:c r="N41" s="68" t="str">
        <x:v>中</x:v>
      </x:c>
      <x:c r="O41" s="82" t="str">
        <x:v>中</x:v>
      </x:c>
      <x:c r="P41" s="68" t="str">
        <x:v>生源关系已按五行生克映射</x:v>
      </x:c>
      <x:c r="Q41" s="68" t="str">
        <x:v>生源自身至少具中等原始力量</x:v>
      </x:c>
      <x:c r="R41" s="68" t="str">
        <x:v>生源得令、有根、与目标相邻或路径短</x:v>
      </x:c>
      <x:c r="S41" s="68" t="str">
        <x:v>生源无根失令或需多级传递</x:v>
      </x:c>
      <x:c r="T41" s="90" t="str">
        <x:v>不得只因生源出现就假定已经有效相生</x:v>
      </x:c>
      <x:c r="U41" s="68" t="str">
        <x:v>生克实际受合克阻断转M08</x:v>
      </x:c>
      <x:c r="V41" s="82" t="str">
        <x:v>否</x:v>
      </x:c>
      <x:c r="W41" s="84" t="str">
        <x:v>透干得生</x:v>
      </x:c>
      <x:c r="X41" s="84" t="str">
        <x:v>目标五行透干且有可识别生源，原始显露力量获得进一步支持；生源有效性后续复核。</x:v>
      </x:c>
      <x:c r="Y41" s="82" t="str">
        <x:v>较高</x:v>
      </x:c>
      <x:c r="Z41" s="82" t="str">
        <x:v>现代综合</x:v>
      </x:c>
      <x:c r="AA41" s="68" t="str">
        <x:v>透干有源通常优于孤透。</x:v>
      </x:c>
      <x:c r="AB41" s="68" t="str">
        <x:v>甲木透干，壬癸有根并明现，木获直接生源。</x:v>
      </x:c>
      <x:c r="AC41" s="90" t="str">
        <x:v>一枚无根癸水出现就认定能充分生旺多木。</x:v>
      </x:c>
      <x:c r="AD41" s="68" t="str">
        <x:v>经典原则经结构化整理；参见：https://zh.wikisource.org/zh-hans/滴天髓</x:v>
      </x:c>
      <x:c r="AE41" s="82" t="str">
        <x:v>采用</x:v>
      </x:c>
      <x:c r="AF41" s="82" t="str">
        <x:v>初审</x:v>
      </x:c>
      <x:c r="AG41" s="87" t="n">
        <x:v>46255</x:v>
      </x:c>
    </x:row>
    <x:row r="42">
      <x:c r="A42" s="72" t="str">
        <x:f>IF(OR(C42="",D42=""),"",B42&amp;"-"&amp;UPPER(C42)&amp;"-"&amp;TEXT(D42,"0000")&amp;"-"&amp;E42)</x:f>
        <x:v>M07-STEM-0036-V1.0</x:v>
      </x:c>
      <x:c r="B42" s="74" t="str">
        <x:v>M07</x:v>
      </x:c>
      <x:c r="C42" s="74" t="str">
        <x:v>STEM</x:v>
      </x:c>
      <x:c r="D42" s="79" t="n">
        <x:v>36</x:v>
      </x:c>
      <x:c r="E42" s="74" t="str">
        <x:v>V1.0</x:v>
      </x:c>
      <x:c r="F42" s="68" t="str">
        <x:v>透干、根气与同党属于相关证据须避免三重满额累加</x:v>
      </x:c>
      <x:c r="G42" s="82" t="str">
        <x:v>结构层</x:v>
      </x:c>
      <x:c r="H42" s="68" t="str">
        <x:v>透干/防重复</x:v>
      </x:c>
      <x:c r="I42" s="82"/>
      <x:c r="J42" s="68" t="str">
        <x:v>同一五行的透干、根气和同党来自同一组干支节点</x:v>
      </x:c>
      <x:c r="K42" s="68" t="str">
        <x:v>证据相关</x:v>
      </x:c>
      <x:c r="L42" s="68" t="str">
        <x:v>保留三个维度描述，但汇总时降低重复权重</x:v>
      </x:c>
      <x:c r="M42" s="82" t="str">
        <x:v>不变</x:v>
      </x:c>
      <x:c r="N42" s="68" t="str">
        <x:v>高</x:v>
      </x:c>
      <x:c r="O42" s="82" t="str">
        <x:v>强</x:v>
      </x:c>
      <x:c r="P42" s="68" t="str">
        <x:v>各证据来源节点已标注</x:v>
      </x:c>
      <x:c r="Q42" s="68" t="str">
        <x:v>确认多个证据高度共源</x:v>
      </x:c>
      <x:c r="R42" s="68" t="str">
        <x:v>另有独立根、独立生源或不同柱位同党</x:v>
      </x:c>
      <x:c r="S42" s="68" t="str">
        <x:v>所有证据均围绕同一单点</x:v>
      </x:c>
      <x:c r="T42" s="90" t="str">
        <x:v>禁止把“一干一根”拆成三个决定性加分项</x:v>
      </x:c>
      <x:c r="U42" s="68" t="str">
        <x:v>若证据来自独立节点，可分别保留较高权重</x:v>
      </x:c>
      <x:c r="V42" s="82" t="str">
        <x:v>否</x:v>
      </x:c>
      <x:c r="W42" s="84" t="str">
        <x:v>显露证据去重</x:v>
      </x:c>
      <x:c r="X42" s="84" t="str">
        <x:v>透、根、党均予记录，但共源节点不重复满额计权；原始等级由独立证据数量决定。</x:v>
      </x:c>
      <x:c r="Y42" s="82" t="str">
        <x:v>较高</x:v>
      </x:c>
      <x:c r="Z42" s="82" t="str">
        <x:v>现代综合</x:v>
      </x:c>
      <x:c r="AA42" s="68" t="str">
        <x:v>证据相关性是防止机械打分的核心。</x:v>
      </x:c>
      <x:c r="AB42" s="68" t="str">
        <x:v>甲透坐寅，记录透干与本气根相应；不再额外把甲寅视作第三个独立强证。</x:v>
      </x:c>
      <x:c r="AC42" s="90" t="str">
        <x:v>同一甲寅分别按透、根、同党三次满额加权。</x:v>
      </x:c>
      <x:c r="AD42" s="68" t="str">
        <x:v>经典原则经结构化整理；参见：https://zh.wikisource.org/zh-hans/滴天髓</x:v>
      </x:c>
      <x:c r="AE42" s="82" t="str">
        <x:v>采用</x:v>
      </x:c>
      <x:c r="AF42" s="82" t="str">
        <x:v>初审</x:v>
      </x:c>
      <x:c r="AG42" s="87" t="n">
        <x:v>46255</x:v>
      </x:c>
    </x:row>
    <x:row r="43">
      <x:c r="A43" s="72" t="str">
        <x:f>IF(OR(C43="",D43=""),"",B43&amp;"-"&amp;UPPER(C43)&amp;"-"&amp;TEXT(D43,"0000")&amp;"-"&amp;E43)</x:f>
        <x:v>M07-SOURCE-0037-V1.0</x:v>
      </x:c>
      <x:c r="B43" s="74" t="str">
        <x:v>M07</x:v>
      </x:c>
      <x:c r="C43" s="74" t="str">
        <x:v>SOURCE</x:v>
      </x:c>
      <x:c r="D43" s="79" t="n">
        <x:v>37</x:v>
      </x:c>
      <x:c r="E43" s="74" t="str">
        <x:v>V1.0</x:v>
      </x:c>
      <x:c r="F43" s="68" t="str">
        <x:v>生我五行有力时构成直接生源</x:v>
      </x:c>
      <x:c r="G43" s="82" t="str">
        <x:v>结构层</x:v>
      </x:c>
      <x:c r="H43" s="68" t="str">
        <x:v>生源/直接相生</x:v>
      </x:c>
      <x:c r="I43" s="82"/>
      <x:c r="J43" s="68" t="str">
        <x:v>目标五行的生源五行在原局存在且具备原始力量</x:v>
      </x:c>
      <x:c r="K43" s="68" t="str">
        <x:v>直接生源</x:v>
      </x:c>
      <x:c r="L43" s="68" t="str">
        <x:v>按生源自身强弱给予正向支持</x:v>
      </x:c>
      <x:c r="M43" s="82" t="str">
        <x:v>增强</x:v>
      </x:c>
      <x:c r="N43" s="68" t="str">
        <x:v>中高</x:v>
      </x:c>
      <x:c r="O43" s="82" t="str">
        <x:v>中</x:v>
      </x:c>
      <x:c r="P43" s="68" t="str">
        <x:v>M02五行生克与生源五行已确定</x:v>
      </x:c>
      <x:c r="Q43" s="68" t="str">
        <x:v>生源不只是名义出现，至少有根、透、得令或同党之一</x:v>
      </x:c>
      <x:c r="R43" s="68" t="str">
        <x:v>生源得令、多根、透干、路径短</x:v>
      </x:c>
      <x:c r="S43" s="68" t="str">
        <x:v>生源孤弱无根、失令或只藏余气</x:v>
      </x:c>
      <x:c r="T43" s="90" t="str">
        <x:v>不得只看生源数量而不评生源自身力量</x:v>
      </x:c>
      <x:c r="U43" s="68" t="str">
        <x:v>实际生路被合克阻断转M08</x:v>
      </x:c>
      <x:c r="V43" s="82" t="str">
        <x:v>否</x:v>
      </x:c>
      <x:c r="W43" s="84" t="str">
        <x:v>直接生源</x:v>
      </x:c>
      <x:c r="X43" s="84" t="str">
        <x:v>目标五行得到有力生源，原始力量获得支持；支持幅度取决于生源自身的令、根、透、党。</x:v>
      </x:c>
      <x:c r="Y43" s="82" t="str">
        <x:v>较高</x:v>
      </x:c>
      <x:c r="Z43" s="82" t="str">
        <x:v>现代综合</x:v>
      </x:c>
      <x:c r="AA43" s="68" t="str">
        <x:v>能生者先须有力，名义生源不等于有效供给。</x:v>
      </x:c>
      <x:c r="AB43" s="68" t="str">
        <x:v>水有根有透而生木，木获可靠生源。</x:v>
      </x:c>
      <x:c r="AC43" s="90" t="str">
        <x:v>一处辰中癸余气就视为足以生旺全局木。</x:v>
      </x:c>
      <x:c r="AD43" s="68" t="str">
        <x:v>https://zh.wikisource.org/zh-hans/淵海子平；https://zh.wikisource.org/zh-hans/滴天髓</x:v>
      </x:c>
      <x:c r="AE43" s="82" t="str">
        <x:v>采用</x:v>
      </x:c>
      <x:c r="AF43" s="82" t="str">
        <x:v>初审</x:v>
      </x:c>
      <x:c r="AG43" s="87" t="n">
        <x:v>46255</x:v>
      </x:c>
    </x:row>
    <x:row r="44">
      <x:c r="A44" s="72" t="str">
        <x:f>IF(OR(C44="",D44=""),"",B44&amp;"-"&amp;UPPER(C44)&amp;"-"&amp;TEXT(D44,"0000")&amp;"-"&amp;E44)</x:f>
        <x:v>M07-SOURCE-0038-V1.0</x:v>
      </x:c>
      <x:c r="B44" s="74" t="str">
        <x:v>M07</x:v>
      </x:c>
      <x:c r="C44" s="74" t="str">
        <x:v>SOURCE</x:v>
      </x:c>
      <x:c r="D44" s="79" t="n">
        <x:v>38</x:v>
      </x:c>
      <x:c r="E44" s="74" t="str">
        <x:v>V1.0</x:v>
      </x:c>
      <x:c r="F44" s="68" t="str">
        <x:v>生源得令时对目标的原始支持增强</x:v>
      </x:c>
      <x:c r="G44" s="82" t="str">
        <x:v>结构层</x:v>
      </x:c>
      <x:c r="H44" s="68" t="str">
        <x:v>生源/得令</x:v>
      </x:c>
      <x:c r="I44" s="82"/>
      <x:c r="J44" s="68" t="str">
        <x:v>生源五行处于旺或相令</x:v>
      </x:c>
      <x:c r="K44" s="68" t="str">
        <x:v>强季令生源</x:v>
      </x:c>
      <x:c r="L44" s="68" t="str">
        <x:v>提升生源支持等级</x:v>
      </x:c>
      <x:c r="M44" s="82" t="str">
        <x:v>增强</x:v>
      </x:c>
      <x:c r="N44" s="68" t="str">
        <x:v>高</x:v>
      </x:c>
      <x:c r="O44" s="82" t="str">
        <x:v>强</x:v>
      </x:c>
      <x:c r="P44" s="68" t="str">
        <x:v>生源季令状态已判定</x:v>
      </x:c>
      <x:c r="Q44" s="68" t="str">
        <x:v>生源确为目标之母且得旺相季令</x:v>
      </x:c>
      <x:c r="R44" s="68" t="str">
        <x:v>生源自身有根透、目标有承载根</x:v>
      </x:c>
      <x:c r="S44" s="68" t="str">
        <x:v>生源虽得令但目标完全无根无透</x:v>
      </x:c>
      <x:c r="T44" s="90" t="str">
        <x:v>不得把母旺直接等同子旺</x:v>
      </x:c>
      <x:c r="U44" s="68" t="str">
        <x:v>生源过旺造成壅塞属M12/M16问题</x:v>
      </x:c>
      <x:c r="V44" s="82" t="str">
        <x:v>否</x:v>
      </x:c>
      <x:c r="W44" s="84" t="str">
        <x:v>得令生源</x:v>
      </x:c>
      <x:c r="X44" s="84" t="str">
        <x:v>目标五行之生源得令，原始供给能力较强；目标能否承接仍须看自身根透。</x:v>
      </x:c>
      <x:c r="Y44" s="82" t="str">
        <x:v>较高</x:v>
      </x:c>
      <x:c r="Z44" s="82" t="str">
        <x:v>旺衰扶抑</x:v>
      </x:c>
      <x:c r="AA44" s="68" t="str">
        <x:v>母旺有利于子，但子是否得力取决于承接条件。</x:v>
      </x:c>
      <x:c r="AB44" s="68" t="str">
        <x:v>冬水旺生木，木有寅卯根时生扶明显。</x:v>
      </x:c>
      <x:c r="AC44" s="90" t="str">
        <x:v>冬水旺而木完全不现，也判木旺。</x:v>
      </x:c>
      <x:c r="AD44" s="68" t="str">
        <x:v>https://zh.wikisource.org/zh-hans/淵海子平；https://zh.wikisource.org/zh-hans/滴天髓</x:v>
      </x:c>
      <x:c r="AE44" s="82" t="str">
        <x:v>采用</x:v>
      </x:c>
      <x:c r="AF44" s="82" t="str">
        <x:v>初审</x:v>
      </x:c>
      <x:c r="AG44" s="87" t="n">
        <x:v>46255</x:v>
      </x:c>
    </x:row>
    <x:row r="45">
      <x:c r="A45" s="72" t="str">
        <x:f>IF(OR(C45="",D45=""),"",B45&amp;"-"&amp;UPPER(C45)&amp;"-"&amp;TEXT(D45,"0000")&amp;"-"&amp;E45)</x:f>
        <x:v>M07-SOURCE-0039-V1.0</x:v>
      </x:c>
      <x:c r="B45" s="74" t="str">
        <x:v>M07</x:v>
      </x:c>
      <x:c r="C45" s="74" t="str">
        <x:v>SOURCE</x:v>
      </x:c>
      <x:c r="D45" s="79" t="n">
        <x:v>39</x:v>
      </x:c>
      <x:c r="E45" s="74" t="str">
        <x:v>V1.0</x:v>
      </x:c>
      <x:c r="F45" s="68" t="str">
        <x:v>生源有根有透时供给稳定性提高</x:v>
      </x:c>
      <x:c r="G45" s="82" t="str">
        <x:v>结构层</x:v>
      </x:c>
      <x:c r="H45" s="68" t="str">
        <x:v>生源/根透</x:v>
      </x:c>
      <x:c r="I45" s="82"/>
      <x:c r="J45" s="68" t="str">
        <x:v>生源五行同时透干并有根</x:v>
      </x:c>
      <x:c r="K45" s="68" t="str">
        <x:v>根透生源</x:v>
      </x:c>
      <x:c r="L45" s="68" t="str">
        <x:v>给予中高等级持续生扶证据</x:v>
      </x:c>
      <x:c r="M45" s="82" t="str">
        <x:v>增强</x:v>
      </x:c>
      <x:c r="N45" s="68" t="str">
        <x:v>中高</x:v>
      </x:c>
      <x:c r="O45" s="82" t="str">
        <x:v>中</x:v>
      </x:c>
      <x:c r="P45" s="68" t="str">
        <x:v>生源自身M07证据已生成</x:v>
      </x:c>
      <x:c r="Q45" s="68" t="str">
        <x:v>生源透而有根</x:v>
      </x:c>
      <x:c r="R45" s="68" t="str">
        <x:v>生源得令、同党多、与目标相邻</x:v>
      </x:c>
      <x:c r="S45" s="68" t="str">
        <x:v>生源仅弱根或目标无承接</x:v>
      </x:c>
      <x:c r="T45" s="90" t="str">
        <x:v>不得重复把生源透根作为多次独立满额加权</x:v>
      </x:c>
      <x:c r="U45" s="68" t="str">
        <x:v>具体生克通道受关系影响转M08</x:v>
      </x:c>
      <x:c r="V45" s="82" t="str">
        <x:v>否</x:v>
      </x:c>
      <x:c r="W45" s="84" t="str">
        <x:v>稳定生源</x:v>
      </x:c>
      <x:c r="X45" s="84" t="str">
        <x:v>生源透而有根，具备较稳定的原始供给能力，可提高目标五行的生扶证据。</x:v>
      </x:c>
      <x:c r="Y45" s="82" t="str">
        <x:v>较高</x:v>
      </x:c>
      <x:c r="Z45" s="82" t="str">
        <x:v>现代综合</x:v>
      </x:c>
      <x:c r="AA45" s="68" t="str">
        <x:v>生源稳定性依赖自身承载。</x:v>
      </x:c>
      <x:c r="AB45" s="68" t="str">
        <x:v>壬水透干又有亥子根，可持续支持甲乙木。</x:v>
      </x:c>
      <x:c r="AC45" s="90" t="str">
        <x:v>无根壬水与亥子根透壬同等供给。</x:v>
      </x:c>
      <x:c r="AD45" s="68" t="str">
        <x:v>经典原则经结构化整理；参见：https://zh.wikisource.org/zh-hans/滴天髓</x:v>
      </x:c>
      <x:c r="AE45" s="82" t="str">
        <x:v>采用</x:v>
      </x:c>
      <x:c r="AF45" s="82" t="str">
        <x:v>初审</x:v>
      </x:c>
      <x:c r="AG45" s="87" t="n">
        <x:v>46255</x:v>
      </x:c>
    </x:row>
    <x:row r="46">
      <x:c r="A46" s="72" t="str">
        <x:f>IF(OR(C46="",D46=""),"",B46&amp;"-"&amp;UPPER(C46)&amp;"-"&amp;TEXT(D46,"0000")&amp;"-"&amp;E46)</x:f>
        <x:v>M07-SOURCE-0040-V1.0</x:v>
      </x:c>
      <x:c r="B46" s="74" t="str">
        <x:v>M07</x:v>
      </x:c>
      <x:c r="C46" s="74" t="str">
        <x:v>SOURCE</x:v>
      </x:c>
      <x:c r="D46" s="79" t="n">
        <x:v>40</x:v>
      </x:c>
      <x:c r="E46" s="74" t="str">
        <x:v>V1.0</x:v>
      </x:c>
      <x:c r="F46" s="68" t="str">
        <x:v>生源与目标相邻或路径短时支持更直接</x:v>
      </x:c>
      <x:c r="G46" s="82" t="str">
        <x:v>结构层</x:v>
      </x:c>
      <x:c r="H46" s="68" t="str">
        <x:v>生源/路径</x:v>
      </x:c>
      <x:c r="I46" s="82"/>
      <x:c r="J46" s="68" t="str">
        <x:v>生源与目标在相邻干位、同柱干支或连续支位形成短路径</x:v>
      </x:c>
      <x:c r="K46" s="68" t="str">
        <x:v>短程生扶</x:v>
      </x:c>
      <x:c r="L46" s="68" t="str">
        <x:v>提高生扶直接性，权重只作辅助修正</x:v>
      </x:c>
      <x:c r="M46" s="82" t="str">
        <x:v>增强</x:v>
      </x:c>
      <x:c r="N46" s="68" t="str">
        <x:v>低</x:v>
      </x:c>
      <x:c r="O46" s="82" t="str">
        <x:v>弱</x:v>
      </x:c>
      <x:c r="P46" s="68" t="str">
        <x:v>已定位生源与目标节点</x:v>
      </x:c>
      <x:c r="Q46" s="68" t="str">
        <x:v>存在明确短路径</x:v>
      </x:c>
      <x:c r="R46" s="68" t="str">
        <x:v>双方均有根、无明显中间阻隔</x:v>
      </x:c>
      <x:c r="S46" s="68" t="str">
        <x:v>双方一强一弱或仅藏气遥隔</x:v>
      </x:c>
      <x:c r="T46" s="90" t="str">
        <x:v>不得把位置相邻替代双方力量判断</x:v>
      </x:c>
      <x:c r="U46" s="68" t="str">
        <x:v>实际合克阻断由M06/M08处理</x:v>
      </x:c>
      <x:c r="V46" s="82" t="str">
        <x:v>否</x:v>
      </x:c>
      <x:c r="W46" s="84" t="str">
        <x:v>短程生源</x:v>
      </x:c>
      <x:c r="X46" s="84" t="str">
        <x:v>生源与目标路径较短，原始生扶较直接；但支持强度仍以双方自身力量为主。</x:v>
      </x:c>
      <x:c r="Y46" s="82" t="str">
        <x:v>中等</x:v>
      </x:c>
      <x:c r="Z46" s="82" t="str">
        <x:v>现代综合</x:v>
      </x:c>
      <x:c r="AA46" s="68" t="str">
        <x:v>位置影响传递效率，是次级而非硬权重。</x:v>
      </x:c>
      <x:c r="AB46" s="68" t="str">
        <x:v>月干壬生日干甲，壬有亥根、甲有寅根，生路较直接。</x:v>
      </x:c>
      <x:c r="AC46" s="90" t="str">
        <x:v>两个无根天干只因相邻就判强生。</x:v>
      </x:c>
      <x:c r="AD46" s="68" t="str">
        <x:v>经典原则经结构化整理；参见：https://zh.wikisource.org/zh-hans/滴天髓</x:v>
      </x:c>
      <x:c r="AE46" s="82" t="str">
        <x:v>待验证</x:v>
      </x:c>
      <x:c r="AF46" s="82" t="str">
        <x:v>初审</x:v>
      </x:c>
      <x:c r="AG46" s="87" t="n">
        <x:v>46255</x:v>
      </x:c>
    </x:row>
    <x:row r="47">
      <x:c r="A47" s="72" t="str">
        <x:f>IF(OR(C47="",D47=""),"",B47&amp;"-"&amp;UPPER(C47)&amp;"-"&amp;TEXT(D47,"0000")&amp;"-"&amp;E47)</x:f>
        <x:v>M07-SOURCE-0041-V1.0</x:v>
      </x:c>
      <x:c r="B47" s="74" t="str">
        <x:v>M07</x:v>
      </x:c>
      <x:c r="C47" s="74" t="str">
        <x:v>SOURCE</x:v>
      </x:c>
      <x:c r="D47" s="79" t="n">
        <x:v>41</x:v>
      </x:c>
      <x:c r="E47" s="74" t="str">
        <x:v>V1.0</x:v>
      </x:c>
      <x:c r="F47" s="68" t="str">
        <x:v>生源孤弱无根时只保留名义支持</x:v>
      </x:c>
      <x:c r="G47" s="82" t="str">
        <x:v>结构层</x:v>
      </x:c>
      <x:c r="H47" s="68" t="str">
        <x:v>生源/弱源</x:v>
      </x:c>
      <x:c r="I47" s="82"/>
      <x:c r="J47" s="68" t="str">
        <x:v>生源五行仅单点出现且无根失令</x:v>
      </x:c>
      <x:c r="K47" s="68" t="str">
        <x:v>弱生源</x:v>
      </x:c>
      <x:c r="L47" s="68" t="str">
        <x:v>仅给予低等级正证，不能承担主要生扶</x:v>
      </x:c>
      <x:c r="M47" s="82" t="str">
        <x:v>增强</x:v>
      </x:c>
      <x:c r="N47" s="68" t="str">
        <x:v>低</x:v>
      </x:c>
      <x:c r="O47" s="82" t="str">
        <x:v>弱</x:v>
      </x:c>
      <x:c r="P47" s="68" t="str">
        <x:v>生源原始旺衰已评估</x:v>
      </x:c>
      <x:c r="Q47" s="68" t="str">
        <x:v>生源无根、少量、季令不利</x:v>
      </x:c>
      <x:c r="R47" s="68" t="str">
        <x:v>生源虽无根但得令、多透或有上游强生</x:v>
      </x:c>
      <x:c r="S47" s="68" t="str">
        <x:v>生源又被大量泄耗克制的实际效应待M08</x:v>
      </x:c>
      <x:c r="T47" s="90" t="str">
        <x:v>不得把弱源与强源等权</x:v>
      </x:c>
      <x:c r="U47" s="68" t="str">
        <x:v>若特殊格局要求某一点引化，转M14/M15</x:v>
      </x:c>
      <x:c r="V47" s="82" t="str">
        <x:v>否</x:v>
      </x:c>
      <x:c r="W47" s="84" t="str">
        <x:v>名义生源</x:v>
      </x:c>
      <x:c r="X47" s="84" t="str">
        <x:v>生源虽出现，但自身孤弱无根，只能提供名义或低等级支持，不能据此显著上调目标。</x:v>
      </x:c>
      <x:c r="Y47" s="82" t="str">
        <x:v>较高</x:v>
      </x:c>
      <x:c r="Z47" s="82" t="str">
        <x:v>现代综合</x:v>
      </x:c>
      <x:c r="AA47" s="68" t="str">
        <x:v>供给能力受供给者自身强弱限制。</x:v>
      </x:c>
      <x:c r="AB47" s="68" t="str">
        <x:v>夏月一枚无根癸水生木，支持有限。</x:v>
      </x:c>
      <x:c r="AC47" s="90" t="str">
        <x:v>任何印星或母五行出现都按强生扶。</x:v>
      </x:c>
      <x:c r="AD47" s="68" t="str">
        <x:v>经典原则经结构化整理；参见：https://zh.wikisource.org/zh-hans/滴天髓</x:v>
      </x:c>
      <x:c r="AE47" s="82" t="str">
        <x:v>采用</x:v>
      </x:c>
      <x:c r="AF47" s="82" t="str">
        <x:v>初审</x:v>
      </x:c>
      <x:c r="AG47" s="87" t="n">
        <x:v>46255</x:v>
      </x:c>
    </x:row>
    <x:row r="48">
      <x:c r="A48" s="72" t="str">
        <x:f>IF(OR(C48="",D48=""),"",B48&amp;"-"&amp;UPPER(C48)&amp;"-"&amp;TEXT(D48,"0000")&amp;"-"&amp;E48)</x:f>
        <x:v>M07-SOURCE-0042-V1.0</x:v>
      </x:c>
      <x:c r="B48" s="74" t="str">
        <x:v>M07</x:v>
      </x:c>
      <x:c r="C48" s="74" t="str">
        <x:v>SOURCE</x:v>
      </x:c>
      <x:c r="D48" s="79" t="n">
        <x:v>42</x:v>
      </x:c>
      <x:c r="E48" s="74" t="str">
        <x:v>V1.0</x:v>
      </x:c>
      <x:c r="F48" s="68" t="str">
        <x:v>多个生源节点增强供给但共享同一根时需去重</x:v>
      </x:c>
      <x:c r="G48" s="82" t="str">
        <x:v>结构层</x:v>
      </x:c>
      <x:c r="H48" s="68" t="str">
        <x:v>生源/多源</x:v>
      </x:c>
      <x:c r="I48" s="82"/>
      <x:c r="J48" s="68" t="str">
        <x:v>目标五行有两个以上生源节点</x:v>
      </x:c>
      <x:c r="K48" s="68" t="str">
        <x:v>多生源</x:v>
      </x:c>
      <x:c r="L48" s="68" t="str">
        <x:v>增加供给证据，独立节点权重大于共源节点</x:v>
      </x:c>
      <x:c r="M48" s="82" t="str">
        <x:v>增强</x:v>
      </x:c>
      <x:c r="N48" s="68" t="str">
        <x:v>中</x:v>
      </x:c>
      <x:c r="O48" s="82" t="str">
        <x:v>中</x:v>
      </x:c>
      <x:c r="P48" s="68" t="str">
        <x:v>生源节点与根位已标注</x:v>
      </x:c>
      <x:c r="Q48" s="68" t="str">
        <x:v>至少两个生源表现</x:v>
      </x:c>
      <x:c r="R48" s="68" t="str">
        <x:v>生源分布独立、各有根或得令</x:v>
      </x:c>
      <x:c r="S48" s="68" t="str">
        <x:v>多干共用同一弱根或均无根</x:v>
      </x:c>
      <x:c r="T48" s="90" t="str">
        <x:v>禁止按生源个数线性倍增</x:v>
      </x:c>
      <x:c r="U48" s="68" t="str">
        <x:v>同一生源同时供给多个目标时采用共享容量规则</x:v>
      </x:c>
      <x:c r="V48" s="82" t="str">
        <x:v>否</x:v>
      </x:c>
      <x:c r="W48" s="84" t="str">
        <x:v>多源增强</x:v>
      </x:c>
      <x:c r="X48" s="84" t="str">
        <x:v>目标五行有多个生源，原始供给增强；若多个生源共用同一根或同一气源，应降低重复权重。</x:v>
      </x:c>
      <x:c r="Y48" s="82" t="str">
        <x:v>中等</x:v>
      </x:c>
      <x:c r="Z48" s="82" t="str">
        <x:v>现代综合</x:v>
      </x:c>
      <x:c r="AA48" s="68" t="str">
        <x:v>多源的独立性比表面数量更重要。</x:v>
      </x:c>
      <x:c r="AB48" s="68" t="str">
        <x:v>壬癸双透且分别有亥子根，木的生源明显强。</x:v>
      </x:c>
      <x:c r="AC48" s="90" t="str">
        <x:v>壬癸双透共用一处辰余气，也按两套强源计算。</x:v>
      </x:c>
      <x:c r="AD48" s="68" t="str">
        <x:v>经典原则经结构化整理；参见：https://zh.wikisource.org/zh-hans/滴天髓</x:v>
      </x:c>
      <x:c r="AE48" s="82" t="str">
        <x:v>采用</x:v>
      </x:c>
      <x:c r="AF48" s="82" t="str">
        <x:v>初审</x:v>
      </x:c>
      <x:c r="AG48" s="87" t="n">
        <x:v>46255</x:v>
      </x:c>
    </x:row>
    <x:row r="49">
      <x:c r="A49" s="72" t="str">
        <x:f>IF(OR(C49="",D49=""),"",B49&amp;"-"&amp;UPPER(C49)&amp;"-"&amp;TEXT(D49,"0000")&amp;"-"&amp;E49)</x:f>
        <x:v>M07-SOURCE-0043-V1.0</x:v>
      </x:c>
      <x:c r="B49" s="74" t="str">
        <x:v>M07</x:v>
      </x:c>
      <x:c r="C49" s="74" t="str">
        <x:v>SOURCE</x:v>
      </x:c>
      <x:c r="D49" s="79" t="n">
        <x:v>43</x:v>
      </x:c>
      <x:c r="E49" s="74" t="str">
        <x:v>V1.0</x:v>
      </x:c>
      <x:c r="F49" s="68" t="str">
        <x:v>上游生源之源形成两级连续支持</x:v>
      </x:c>
      <x:c r="G49" s="82" t="str">
        <x:v>结构层</x:v>
      </x:c>
      <x:c r="H49" s="68" t="str">
        <x:v>生源/两级链</x:v>
      </x:c>
      <x:c r="I49" s="82"/>
      <x:c r="J49" s="68" t="str">
        <x:v>存在上游五行生生源，再由生源生目标</x:v>
      </x:c>
      <x:c r="K49" s="68" t="str">
        <x:v>两级生扶链</x:v>
      </x:c>
      <x:c r="L49" s="68" t="str">
        <x:v>给予辅助正证，强度低于直接强生源</x:v>
      </x:c>
      <x:c r="M49" s="82" t="str">
        <x:v>增强</x:v>
      </x:c>
      <x:c r="N49" s="68" t="str">
        <x:v>中</x:v>
      </x:c>
      <x:c r="O49" s="82" t="str">
        <x:v>中</x:v>
      </x:c>
      <x:c r="P49" s="68" t="str">
        <x:v>五行生序与各节点已识别</x:v>
      </x:c>
      <x:c r="Q49" s="68" t="str">
        <x:v>中间生源存在且至少具基础承载</x:v>
      </x:c>
      <x:c r="R49" s="68" t="str">
        <x:v>上游、中间与目标均有根透，路径连续</x:v>
      </x:c>
      <x:c r="S49" s="68" t="str">
        <x:v>中间五行缺失、无根或仅余气</x:v>
      </x:c>
      <x:c r="T49" s="90" t="str">
        <x:v>不得把长链各段都按直接相生同权</x:v>
      </x:c>
      <x:c r="U49" s="68" t="str">
        <x:v>链路过长或卡点转M12</x:v>
      </x:c>
      <x:c r="V49" s="82" t="str">
        <x:v>否</x:v>
      </x:c>
      <x:c r="W49" s="84" t="str">
        <x:v>两级生扶</x:v>
      </x:c>
      <x:c r="X49" s="84" t="str">
        <x:v>目标五行得到上游—生源—目标的连续支持；链条完整可增强原始力量，但低于直接强源。</x:v>
      </x:c>
      <x:c r="Y49" s="82" t="str">
        <x:v>中等</x:v>
      </x:c>
      <x:c r="Z49" s="82" t="str">
        <x:v>现代综合</x:v>
      </x:c>
      <x:c r="AA49" s="68" t="str">
        <x:v>生化链可传递气势，但会随链长衰减。</x:v>
      </x:c>
      <x:c r="AB49" s="68" t="str">
        <x:v>金生水、水生木，金水均有根透，木获连续生扶。</x:v>
      </x:c>
      <x:c r="AC49" s="90" t="str">
        <x:v>只有金与木而缺水，也称金直接生木。</x:v>
      </x:c>
      <x:c r="AD49" s="68" t="str">
        <x:v>经典原则经结构化整理；参见：https://zh.wikisource.org/zh-hans/滴天髓</x:v>
      </x:c>
      <x:c r="AE49" s="82" t="str">
        <x:v>采用</x:v>
      </x:c>
      <x:c r="AF49" s="82" t="str">
        <x:v>初审</x:v>
      </x:c>
      <x:c r="AG49" s="87" t="n">
        <x:v>46255</x:v>
      </x:c>
    </x:row>
    <x:row r="50">
      <x:c r="A50" s="72" t="str">
        <x:f>IF(OR(C50="",D50=""),"",B50&amp;"-"&amp;UPPER(C50)&amp;"-"&amp;TEXT(D50,"0000")&amp;"-"&amp;E50)</x:f>
        <x:v>M07-SOURCE-0044-V1.0</x:v>
      </x:c>
      <x:c r="B50" s="74" t="str">
        <x:v>M07</x:v>
      </x:c>
      <x:c r="C50" s="74" t="str">
        <x:v>SOURCE</x:v>
      </x:c>
      <x:c r="D50" s="79" t="n">
        <x:v>44</x:v>
      </x:c>
      <x:c r="E50" s="74" t="str">
        <x:v>V1.0</x:v>
      </x:c>
      <x:c r="F50" s="68" t="str">
        <x:v>生源缺失不等于目标必弱</x:v>
      </x:c>
      <x:c r="G50" s="82" t="str">
        <x:v>结构层</x:v>
      </x:c>
      <x:c r="H50" s="68" t="str">
        <x:v>生源/缺源</x:v>
      </x:c>
      <x:c r="I50" s="82"/>
      <x:c r="J50" s="68" t="str">
        <x:v>原局不见目标五行的生源</x:v>
      </x:c>
      <x:c r="K50" s="68" t="str">
        <x:v>无直接生源</x:v>
      </x:c>
      <x:c r="L50" s="68" t="str">
        <x:v>记录生扶不足的负证据，但保留目标自身令根党</x:v>
      </x:c>
      <x:c r="M50" s="82" t="str">
        <x:v>减弱</x:v>
      </x:c>
      <x:c r="N50" s="68" t="str">
        <x:v>中</x:v>
      </x:c>
      <x:c r="O50" s="82" t="str">
        <x:v>中</x:v>
      </x:c>
      <x:c r="P50" s="68" t="str">
        <x:v>五行分布已核验</x:v>
      </x:c>
      <x:c r="Q50" s="68" t="str">
        <x:v>生源五行完全不现</x:v>
      </x:c>
      <x:c r="R50" s="68" t="str">
        <x:v>目标自身得令、多根、多透、同党成势</x:v>
      </x:c>
      <x:c r="S50" s="68" t="str">
        <x:v>目标又失令、无根、少量</x:v>
      </x:c>
      <x:c r="T50" s="90" t="str">
        <x:v>不得仅凭无生源判极弱</x:v>
      </x:c>
      <x:c r="U50" s="68" t="str">
        <x:v>专旺结构可能本就不依赖生源，转M14</x:v>
      </x:c>
      <x:c r="V50" s="82" t="str">
        <x:v>否</x:v>
      </x:c>
      <x:c r="W50" s="84" t="str">
        <x:v>无源证据</x:v>
      </x:c>
      <x:c r="X50" s="84" t="str">
        <x:v>目标五行无直接生源，原始生扶不足；若自身得令有根成党，仍可保持较强力量。</x:v>
      </x:c>
      <x:c r="Y50" s="82" t="str">
        <x:v>较高</x:v>
      </x:c>
      <x:c r="Z50" s="82" t="str">
        <x:v>现代综合</x:v>
      </x:c>
      <x:c r="AA50" s="68" t="str">
        <x:v>自身基础与外部供给需分开。</x:v>
      </x:c>
      <x:c r="AB50" s="68" t="str">
        <x:v>卯月木多根多透，即使无水，木原始仍可能旺。</x:v>
      </x:c>
      <x:c r="AC50" s="90" t="str">
        <x:v>无水便认定春木必弱。</x:v>
      </x:c>
      <x:c r="AD50" s="68" t="str">
        <x:v>https://zh.wikisource.org/zh-hans/淵海子平；https://zh.wikisource.org/zh-hans/滴天髓</x:v>
      </x:c>
      <x:c r="AE50" s="82" t="str">
        <x:v>采用</x:v>
      </x:c>
      <x:c r="AF50" s="82" t="str">
        <x:v>初审</x:v>
      </x:c>
      <x:c r="AG50" s="87" t="n">
        <x:v>46255</x:v>
      </x:c>
    </x:row>
    <x:row r="51">
      <x:c r="A51" s="72" t="str">
        <x:f>IF(OR(C51="",D51=""),"",B51&amp;"-"&amp;UPPER(C51)&amp;"-"&amp;TEXT(D51,"0000")&amp;"-"&amp;E51)</x:f>
        <x:v>M07-SOURCE-0045-V1.0</x:v>
      </x:c>
      <x:c r="B51" s="74" t="str">
        <x:v>M07</x:v>
      </x:c>
      <x:c r="C51" s="74" t="str">
        <x:v>SOURCE</x:v>
      </x:c>
      <x:c r="D51" s="79" t="n">
        <x:v>45</x:v>
      </x:c>
      <x:c r="E51" s="74" t="str">
        <x:v>V1.0</x:v>
      </x:c>
      <x:c r="F51" s="68" t="str">
        <x:v>目标极旺时生源只记录增势不在M07判断壅塞吉凶</x:v>
      </x:c>
      <x:c r="G51" s="82" t="str">
        <x:v>结构层</x:v>
      </x:c>
      <x:c r="H51" s="68" t="str">
        <x:v>生源/过度候选</x:v>
      </x:c>
      <x:c r="I51" s="82"/>
      <x:c r="J51" s="68" t="str">
        <x:v>目标已具强季令、多根、多透，又有强生源</x:v>
      </x:c>
      <x:c r="K51" s="68" t="str">
        <x:v>生扶继续累积</x:v>
      </x:c>
      <x:c r="L51" s="68" t="str">
        <x:v>原始力量继续增强，并标记过度累积候选</x:v>
      </x:c>
      <x:c r="M51" s="82" t="str">
        <x:v>增强</x:v>
      </x:c>
      <x:c r="N51" s="68" t="str">
        <x:v>中</x:v>
      </x:c>
      <x:c r="O51" s="82" t="str">
        <x:v>中</x:v>
      </x:c>
      <x:c r="P51" s="68" t="str">
        <x:v>目标旺势基础已形成</x:v>
      </x:c>
      <x:c r="Q51" s="68" t="str">
        <x:v>强生源确实存在</x:v>
      </x:c>
      <x:c r="R51" s="68" t="str">
        <x:v>同党继续集中、无泄出通道</x:v>
      </x:c>
      <x:c r="S51" s="68" t="str">
        <x:v>有明显异类制泄但效应未在M08处理</x:v>
      </x:c>
      <x:c r="T51" s="90" t="str">
        <x:v>不得在M07直接把强生源判为忌神或病</x:v>
      </x:c>
      <x:c r="U51" s="68" t="str">
        <x:v>壅塞、闭塞与喜忌转M12/M16/M17</x:v>
      </x:c>
      <x:c r="V51" s="82" t="str">
        <x:v>否</x:v>
      </x:c>
      <x:c r="W51" s="84" t="str">
        <x:v>生源增势</x:v>
      </x:c>
      <x:c r="X51" s="84" t="str">
        <x:v>目标已强又得生源，原始力量继续集中；是否构成壅塞或为忌不在M07裁定。</x:v>
      </x:c>
      <x:c r="Y51" s="82" t="str">
        <x:v>较高</x:v>
      </x:c>
      <x:c r="Z51" s="82" t="str">
        <x:v>现代综合</x:v>
      </x:c>
      <x:c r="AA51" s="68" t="str">
        <x:v>强弱事实与价值判断必须分离。</x:v>
      </x:c>
      <x:c r="AB51" s="68" t="str">
        <x:v>春木成势又见旺水，木的原始力量进一步增强。</x:v>
      </x:c>
      <x:c r="AC51" s="90" t="str">
        <x:v>因木已旺就直接在M07把水标成忌神。</x:v>
      </x:c>
      <x:c r="AD51" s="68" t="str">
        <x:v>经典原则经结构化整理；参见：https://zh.wikisource.org/zh-hans/滴天髓</x:v>
      </x:c>
      <x:c r="AE51" s="82" t="str">
        <x:v>采用</x:v>
      </x:c>
      <x:c r="AF51" s="82" t="str">
        <x:v>初审</x:v>
      </x:c>
      <x:c r="AG51" s="87" t="n">
        <x:v>46255</x:v>
      </x:c>
    </x:row>
    <x:row r="52">
      <x:c r="A52" s="72" t="str">
        <x:f>IF(OR(C52="",D52=""),"",B52&amp;"-"&amp;UPPER(C52)&amp;"-"&amp;TEXT(D52,"0000")&amp;"-"&amp;E52)</x:f>
        <x:v>M07-SOURCE-0046-V1.0</x:v>
      </x:c>
      <x:c r="B52" s="74" t="str">
        <x:v>M07</x:v>
      </x:c>
      <x:c r="C52" s="74" t="str">
        <x:v>SOURCE</x:v>
      </x:c>
      <x:c r="D52" s="79" t="n">
        <x:v>46</x:v>
      </x:c>
      <x:c r="E52" s="74" t="str">
        <x:v>V1.0</x:v>
      </x:c>
      <x:c r="F52" s="68" t="str">
        <x:v>生源支持必须以生源自身原始等级为上限</x:v>
      </x:c>
      <x:c r="G52" s="82" t="str">
        <x:v>结构层</x:v>
      </x:c>
      <x:c r="H52" s="68" t="str">
        <x:v>生源/上限</x:v>
      </x:c>
      <x:c r="I52" s="82"/>
      <x:c r="J52" s="68" t="str">
        <x:v>需要给目标分配生源权重</x:v>
      </x:c>
      <x:c r="K52" s="68" t="str">
        <x:v>供给上限</x:v>
      </x:c>
      <x:c r="L52" s="68" t="str">
        <x:v>目标获得的生源支持不得高于生源自身可提供的等级</x:v>
      </x:c>
      <x:c r="M52" s="82" t="str">
        <x:v>条件性</x:v>
      </x:c>
      <x:c r="N52" s="68" t="str">
        <x:v>高</x:v>
      </x:c>
      <x:c r="O52" s="82" t="str">
        <x:v>强</x:v>
      </x:c>
      <x:c r="P52" s="68" t="str">
        <x:v>生源自身M07等级已生成</x:v>
      </x:c>
      <x:c r="Q52" s="68" t="str">
        <x:v>生源权重可追溯</x:v>
      </x:c>
      <x:c r="R52" s="68" t="str">
        <x:v>生源得令根透且供给对象单一</x:v>
      </x:c>
      <x:c r="S52" s="68" t="str">
        <x:v>生源弱、共享多目标或链路长</x:v>
      </x:c>
      <x:c r="T52" s="90" t="str">
        <x:v>禁止弱生源产生决定性强生扶结论</x:v>
      </x:c>
      <x:c r="U52" s="68" t="str">
        <x:v>有效生克修正后可在M08进一步下调</x:v>
      </x:c>
      <x:c r="V52" s="82" t="str">
        <x:v>否</x:v>
      </x:c>
      <x:c r="W52" s="84" t="str">
        <x:v>生源容量约束</x:v>
      </x:c>
      <x:c r="X52" s="84" t="str">
        <x:v>生源对目标的支持以上游自身原始力量为上限；弱源不能产生强供给。</x:v>
      </x:c>
      <x:c r="Y52" s="82" t="str">
        <x:v>较高</x:v>
      </x:c>
      <x:c r="Z52" s="82" t="str">
        <x:v>现代综合</x:v>
      </x:c>
      <x:c r="AA52" s="68" t="str">
        <x:v>容量约束可避免仅按五行相生关系夸大支持。</x:v>
      </x:c>
      <x:c r="AB52" s="68" t="str">
        <x:v>弱水只能给木低等级生源证据，不能把木直接推至旺。</x:v>
      </x:c>
      <x:c r="AC52" s="90" t="str">
        <x:v>一滴无根水也按完整印源生旺全局木。</x:v>
      </x:c>
      <x:c r="AD52" s="68" t="str">
        <x:v>经典原则经结构化整理；参见：https://zh.wikisource.org/zh-hans/滴天髓</x:v>
      </x:c>
      <x:c r="AE52" s="82" t="str">
        <x:v>采用</x:v>
      </x:c>
      <x:c r="AF52" s="82" t="str">
        <x:v>初审</x:v>
      </x:c>
      <x:c r="AG52" s="87" t="n">
        <x:v>46255</x:v>
      </x:c>
    </x:row>
    <x:row r="53">
      <x:c r="A53" s="72" t="str">
        <x:f>IF(OR(C53="",D53=""),"",B53&amp;"-"&amp;UPPER(C53)&amp;"-"&amp;TEXT(D53,"0000")&amp;"-"&amp;E53)</x:f>
        <x:v>M07-ALLY-0047-V1.0</x:v>
      </x:c>
      <x:c r="B53" s="74" t="str">
        <x:v>M07</x:v>
      </x:c>
      <x:c r="C53" s="74" t="str">
        <x:v>ALLY</x:v>
      </x:c>
      <x:c r="D53" s="79" t="n">
        <x:v>47</x:v>
      </x:c>
      <x:c r="E53" s="74" t="str">
        <x:v>V1.0</x:v>
      </x:c>
      <x:c r="F53" s="68" t="str">
        <x:v>同五行天干构成明同党</x:v>
      </x:c>
      <x:c r="G53" s="82" t="str">
        <x:v>结构层</x:v>
      </x:c>
      <x:c r="H53" s="68" t="str">
        <x:v>同党/天干</x:v>
      </x:c>
      <x:c r="I53" s="82"/>
      <x:c r="J53" s="68" t="str">
        <x:v>两个或以上天干同属目标五行</x:v>
      </x:c>
      <x:c r="K53" s="68" t="str">
        <x:v>明同党</x:v>
      </x:c>
      <x:c r="L53" s="68" t="str">
        <x:v>增强同类支持与显露度</x:v>
      </x:c>
      <x:c r="M53" s="82" t="str">
        <x:v>增强</x:v>
      </x:c>
      <x:c r="N53" s="68" t="str">
        <x:v>中</x:v>
      </x:c>
      <x:c r="O53" s="82" t="str">
        <x:v>中</x:v>
      </x:c>
      <x:c r="P53" s="68" t="str">
        <x:v>天干五行映射完成</x:v>
      </x:c>
      <x:c r="Q53" s="68" t="str">
        <x:v>至少两个同五行天干</x:v>
      </x:c>
      <x:c r="R53" s="68" t="str">
        <x:v>各自有根、得令或有生源</x:v>
      </x:c>
      <x:c r="S53" s="68" t="str">
        <x:v>均无根失令、同受单一弱源</x:v>
      </x:c>
      <x:c r="T53" s="90" t="str">
        <x:v>不得只按数量判旺</x:v>
      </x:c>
      <x:c r="U53" s="68" t="str">
        <x:v>天干合克效应转M06/M08</x:v>
      </x:c>
      <x:c r="V53" s="82" t="str">
        <x:v>否</x:v>
      </x:c>
      <x:c r="W53" s="84" t="str">
        <x:v>明同党</x:v>
      </x:c>
      <x:c r="X53" s="84" t="str">
        <x:v>目标五行在天干有同党，原始力量与显露度增强；同党是否有力仍须看根令源。</x:v>
      </x:c>
      <x:c r="Y53" s="82" t="str">
        <x:v>较高</x:v>
      </x:c>
      <x:c r="Z53" s="82" t="str">
        <x:v>现代综合</x:v>
      </x:c>
      <x:c r="AA53" s="68" t="str">
        <x:v>同类数量提供帮扶与党势证据。</x:v>
      </x:c>
      <x:c r="AB53" s="68" t="str">
        <x:v>甲乙并透且地支寅卯有根，木同党明显。</x:v>
      </x:c>
      <x:c r="AC53" s="90" t="str">
        <x:v>甲乙双透无根便直接判木旺。</x:v>
      </x:c>
      <x:c r="AD53" s="68" t="str">
        <x:v>https://zh.wikisource.org/zh-hans/淵海子平；https://zh.wikisource.org/zh-hans/滴天髓</x:v>
      </x:c>
      <x:c r="AE53" s="82" t="str">
        <x:v>采用</x:v>
      </x:c>
      <x:c r="AF53" s="82" t="str">
        <x:v>初审</x:v>
      </x:c>
      <x:c r="AG53" s="87" t="n">
        <x:v>46255</x:v>
      </x:c>
    </x:row>
    <x:row r="54">
      <x:c r="A54" s="72" t="str">
        <x:f>IF(OR(C54="",D54=""),"",B54&amp;"-"&amp;UPPER(C54)&amp;"-"&amp;TEXT(D54,"0000")&amp;"-"&amp;E54)</x:f>
        <x:v>M07-ALLY-0048-V1.0</x:v>
      </x:c>
      <x:c r="B54" s="74" t="str">
        <x:v>M07</x:v>
      </x:c>
      <x:c r="C54" s="74" t="str">
        <x:v>ALLY</x:v>
      </x:c>
      <x:c r="D54" s="79" t="n">
        <x:v>48</x:v>
      </x:c>
      <x:c r="E54" s="74" t="str">
        <x:v>V1.0</x:v>
      </x:c>
      <x:c r="F54" s="68" t="str">
        <x:v>地支本气同五行构成强同党</x:v>
      </x:c>
      <x:c r="G54" s="82" t="str">
        <x:v>结构层</x:v>
      </x:c>
      <x:c r="H54" s="68" t="str">
        <x:v>同党/地支本气</x:v>
      </x:c>
      <x:c r="I54" s="82"/>
      <x:c r="J54" s="68" t="str">
        <x:v>两个或以上地支本气同属目标五行</x:v>
      </x:c>
      <x:c r="K54" s="68" t="str">
        <x:v>本气同党</x:v>
      </x:c>
      <x:c r="L54" s="68" t="str">
        <x:v>增强根气数量与同类聚集</x:v>
      </x:c>
      <x:c r="M54" s="82" t="str">
        <x:v>增强</x:v>
      </x:c>
      <x:c r="N54" s="68" t="str">
        <x:v>高</x:v>
      </x:c>
      <x:c r="O54" s="82" t="str">
        <x:v>强</x:v>
      </x:c>
      <x:c r="P54" s="68" t="str">
        <x:v>地支本气五行已识别</x:v>
      </x:c>
      <x:c r="Q54" s="68" t="str">
        <x:v>至少两个支本气同五行</x:v>
      </x:c>
      <x:c r="R54" s="68" t="str">
        <x:v>月令支持、同气透干或生源强</x:v>
      </x:c>
      <x:c r="S54" s="68" t="str">
        <x:v>地支虽同类但均处衰令且无透</x:v>
      </x:c>
      <x:c r="T54" s="90" t="str">
        <x:v>不得把同党与每支根气重复满额累加</x:v>
      </x:c>
      <x:c r="U54" s="68" t="str">
        <x:v>三合三会改性须M06确认</x:v>
      </x:c>
      <x:c r="V54" s="82" t="str">
        <x:v>否</x:v>
      </x:c>
      <x:c r="W54" s="84" t="str">
        <x:v>本气同党</x:v>
      </x:c>
      <x:c r="X54" s="84" t="str">
        <x:v>目标五行在多个地支本气成同党，原始根气与聚集度显著增强。</x:v>
      </x:c>
      <x:c r="Y54" s="82" t="str">
        <x:v>较高</x:v>
      </x:c>
      <x:c r="Z54" s="82" t="str">
        <x:v>旺衰扶抑</x:v>
      </x:c>
      <x:c r="AA54" s="68" t="str">
        <x:v>本气同类比中余气同类更能形成党势。</x:v>
      </x:c>
      <x:c r="AB54" s="68" t="str">
        <x:v>寅卯同见，木有两处本气同党。</x:v>
      </x:c>
      <x:c r="AC54" s="90" t="str">
        <x:v>申辰两支因可能拱水便在M07直接当水本气同党。</x:v>
      </x:c>
      <x:c r="AD54" s="68" t="str">
        <x:v>https://zh.wikisource.org/zh-hans/淵海子平；https://zh.wikisource.org/zh-hans/滴天髓</x:v>
      </x:c>
      <x:c r="AE54" s="82" t="str">
        <x:v>采用</x:v>
      </x:c>
      <x:c r="AF54" s="82" t="str">
        <x:v>初审</x:v>
      </x:c>
      <x:c r="AG54" s="87" t="n">
        <x:v>46255</x:v>
      </x:c>
    </x:row>
    <x:row r="55">
      <x:c r="A55" s="72" t="str">
        <x:f>IF(OR(C55="",D55=""),"",B55&amp;"-"&amp;UPPER(C55)&amp;"-"&amp;TEXT(D55,"0000")&amp;"-"&amp;E55)</x:f>
        <x:v>M07-ALLY-0049-V1.0</x:v>
      </x:c>
      <x:c r="B55" s="74" t="str">
        <x:v>M07</x:v>
      </x:c>
      <x:c r="C55" s="74" t="str">
        <x:v>ALLY</x:v>
      </x:c>
      <x:c r="D55" s="79" t="n">
        <x:v>49</x:v>
      </x:c>
      <x:c r="E55" s="74" t="str">
        <x:v>V1.0</x:v>
      </x:c>
      <x:c r="F55" s="68" t="str">
        <x:v>中余气同类只形成弱至中等同党证据</x:v>
      </x:c>
      <x:c r="G55" s="82" t="str">
        <x:v>结构层</x:v>
      </x:c>
      <x:c r="H55" s="68" t="str">
        <x:v>同党/藏气</x:v>
      </x:c>
      <x:c r="I55" s="82"/>
      <x:c r="J55" s="68" t="str">
        <x:v>多个地支中气或余气含目标五行</x:v>
      </x:c>
      <x:c r="K55" s="68" t="str">
        <x:v>隐同党</x:v>
      </x:c>
      <x:c r="L55" s="68" t="str">
        <x:v>增加存在与潜在同类，但低于本气同党</x:v>
      </x:c>
      <x:c r="M55" s="82" t="str">
        <x:v>增强</x:v>
      </x:c>
      <x:c r="N55" s="68" t="str">
        <x:v>低</x:v>
      </x:c>
      <x:c r="O55" s="82" t="str">
        <x:v>弱</x:v>
      </x:c>
      <x:c r="P55" s="68" t="str">
        <x:v>藏干层级已识别</x:v>
      </x:c>
      <x:c r="Q55" s="68" t="str">
        <x:v>至少两处中余气同五行</x:v>
      </x:c>
      <x:c r="R55" s="68" t="str">
        <x:v>有一处透出或另有本气根</x:v>
      </x:c>
      <x:c r="S55" s="68" t="str">
        <x:v>全部为余气、季令不利、无透</x:v>
      </x:c>
      <x:c r="T55" s="90" t="str">
        <x:v>不得把多处余气等同多处本气根</x:v>
      </x:c>
      <x:c r="U55" s="68" t="str">
        <x:v>若中余气因成局改性转M08</x:v>
      </x:c>
      <x:c r="V55" s="82" t="str">
        <x:v>否</x:v>
      </x:c>
      <x:c r="W55" s="84" t="str">
        <x:v>隐同党</x:v>
      </x:c>
      <x:c r="X55" s="84" t="str">
        <x:v>目标五行在多个支的中余气中有同类，形成弱至中等隐性同党，不能与本气同党等权。</x:v>
      </x:c>
      <x:c r="Y55" s="82" t="str">
        <x:v>较高</x:v>
      </x:c>
      <x:c r="Z55" s="82" t="str">
        <x:v>现代综合</x:v>
      </x:c>
      <x:c r="AA55" s="68" t="str">
        <x:v>藏气层级决定同党证据强度。</x:v>
      </x:c>
      <x:c r="AB55" s="68" t="str">
        <x:v>辰未均藏乙，木有隐性同党，但弱于寅卯。</x:v>
      </x:c>
      <x:c r="AC55" s="90" t="str">
        <x:v>三处余气木按三处卯木本气计算。</x:v>
      </x:c>
      <x:c r="AD55" s="68" t="str">
        <x:v>经典原则经结构化整理；参见：https://zh.wikisource.org/zh-hans/滴天髓</x:v>
      </x:c>
      <x:c r="AE55" s="82" t="str">
        <x:v>采用</x:v>
      </x:c>
      <x:c r="AF55" s="82" t="str">
        <x:v>初审</x:v>
      </x:c>
      <x:c r="AG55" s="87" t="n">
        <x:v>46255</x:v>
      </x:c>
    </x:row>
    <x:row r="56">
      <x:c r="A56" s="72" t="str">
        <x:f>IF(OR(C56="",D56=""),"",B56&amp;"-"&amp;UPPER(C56)&amp;"-"&amp;TEXT(D56,"0000")&amp;"-"&amp;E56)</x:f>
        <x:v>M07-ALLY-0050-V1.0</x:v>
      </x:c>
      <x:c r="B56" s="74" t="str">
        <x:v>M07</x:v>
      </x:c>
      <x:c r="C56" s="74" t="str">
        <x:v>ALLY</x:v>
      </x:c>
      <x:c r="D56" s="79" t="n">
        <x:v>50</x:v>
      </x:c>
      <x:c r="E56" s="74" t="str">
        <x:v>V1.0</x:v>
      </x:c>
      <x:c r="F56" s="68" t="str">
        <x:v>干支同类同时出现形成上下呼应</x:v>
      </x:c>
      <x:c r="G56" s="82" t="str">
        <x:v>结构层</x:v>
      </x:c>
      <x:c r="H56" s="68" t="str">
        <x:v>同党/干支呼应</x:v>
      </x:c>
      <x:c r="I56" s="82"/>
      <x:c r="J56" s="68" t="str">
        <x:v>目标五行既在天干有同党又在地支有同类本气或根</x:v>
      </x:c>
      <x:c r="K56" s="68" t="str">
        <x:v>干支呼应</x:v>
      </x:c>
      <x:c r="L56" s="68" t="str">
        <x:v>提高同党有效性与结构完整度</x:v>
      </x:c>
      <x:c r="M56" s="82" t="str">
        <x:v>增强</x:v>
      </x:c>
      <x:c r="N56" s="68" t="str">
        <x:v>高</x:v>
      </x:c>
      <x:c r="O56" s="82" t="str">
        <x:v>强</x:v>
      </x:c>
      <x:c r="P56" s="68" t="str">
        <x:v>透干与根气证据已生成</x:v>
      </x:c>
      <x:c r="Q56" s="68" t="str">
        <x:v>至少一干一支同属目标五行</x:v>
      </x:c>
      <x:c r="R56" s="68" t="str">
        <x:v>多干多根、得令或有强生源</x:v>
      </x:c>
      <x:c r="S56" s="68" t="str">
        <x:v>仅一弱干对应一余气根</x:v>
      </x:c>
      <x:c r="T56" s="90" t="str">
        <x:v>不得忽略证据共源与边际递减</x:v>
      </x:c>
      <x:c r="U56" s="68" t="str">
        <x:v>具体十神同异转M10</x:v>
      </x:c>
      <x:c r="V56" s="82" t="str">
        <x:v>否</x:v>
      </x:c>
      <x:c r="W56" s="84" t="str">
        <x:v>干支呼应</x:v>
      </x:c>
      <x:c r="X56" s="84" t="str">
        <x:v>目标五行干支均有同类，形成显露与承载的上下呼应，原始力量明显增强。</x:v>
      </x:c>
      <x:c r="Y56" s="82" t="str">
        <x:v>较高</x:v>
      </x:c>
      <x:c r="Z56" s="82" t="str">
        <x:v>现代综合</x:v>
      </x:c>
      <x:c r="AA56" s="68" t="str">
        <x:v>干支两层同时出现比单层堆积更完整。</x:v>
      </x:c>
      <x:c r="AB56" s="68" t="str">
        <x:v>甲乙透、寅卯见，木有明显上下同党。</x:v>
      </x:c>
      <x:c r="AC56" s="90" t="str">
        <x:v>一枚无根甲与辰中乙余气也一概称成党。</x:v>
      </x:c>
      <x:c r="AD56" s="68" t="str">
        <x:v>https://zh.wikisource.org/zh-hans/淵海子平；https://zh.wikisource.org/zh-hans/滴天髓</x:v>
      </x:c>
      <x:c r="AE56" s="82" t="str">
        <x:v>采用</x:v>
      </x:c>
      <x:c r="AF56" s="82" t="str">
        <x:v>初审</x:v>
      </x:c>
      <x:c r="AG56" s="87" t="n">
        <x:v>46255</x:v>
      </x:c>
    </x:row>
    <x:row r="57">
      <x:c r="A57" s="72" t="str">
        <x:f>IF(OR(C57="",D57=""),"",B57&amp;"-"&amp;UPPER(C57)&amp;"-"&amp;TEXT(D57,"0000")&amp;"-"&amp;E57)</x:f>
        <x:v>M07-ALLY-0051-V1.0</x:v>
      </x:c>
      <x:c r="B57" s="74" t="str">
        <x:v>M07</x:v>
      </x:c>
      <x:c r="C57" s="74" t="str">
        <x:v>ALLY</x:v>
      </x:c>
      <x:c r="D57" s="79" t="n">
        <x:v>51</x:v>
      </x:c>
      <x:c r="E57" s="74" t="str">
        <x:v>V1.0</x:v>
      </x:c>
      <x:c r="F57" s="68" t="str">
        <x:v>同党数量增加采用边际递减</x:v>
      </x:c>
      <x:c r="G57" s="82" t="str">
        <x:v>结构层</x:v>
      </x:c>
      <x:c r="H57" s="68" t="str">
        <x:v>同党/数量</x:v>
      </x:c>
      <x:c r="I57" s="82"/>
      <x:c r="J57" s="68" t="str">
        <x:v>目标五行已具同党，又新增同类节点</x:v>
      </x:c>
      <x:c r="K57" s="68" t="str">
        <x:v>多同党</x:v>
      </x:c>
      <x:c r="L57" s="68" t="str">
        <x:v>继续增强但后续节点权重递减</x:v>
      </x:c>
      <x:c r="M57" s="82" t="str">
        <x:v>增强</x:v>
      </x:c>
      <x:c r="N57" s="68" t="str">
        <x:v>中</x:v>
      </x:c>
      <x:c r="O57" s="82" t="str">
        <x:v>中</x:v>
      </x:c>
      <x:c r="P57" s="68" t="str">
        <x:v>同党节点已去重</x:v>
      </x:c>
      <x:c r="Q57" s="68" t="str">
        <x:v>新增节点确属独立干支位置</x:v>
      </x:c>
      <x:c r="R57" s="68" t="str">
        <x:v>新增节点有根、得令或为本气</x:v>
      </x:c>
      <x:c r="S57" s="68" t="str">
        <x:v>新增节点无根或仅余气</x:v>
      </x:c>
      <x:c r="T57" s="90" t="str">
        <x:v>禁止按同党个数线性累加到极旺</x:v>
      </x:c>
      <x:c r="U57" s="68" t="str">
        <x:v>达到聚势门槛转MOMENT综合</x:v>
      </x:c>
      <x:c r="V57" s="82" t="str">
        <x:v>否</x:v>
      </x:c>
      <x:c r="W57" s="84" t="str">
        <x:v>同党递减</x:v>
      </x:c>
      <x:c r="X57" s="84" t="str">
        <x:v>新增同党继续增强目标五行，但采用边际递减；是否成势由季令、根透与集中度共同决定。</x:v>
      </x:c>
      <x:c r="Y57" s="82" t="str">
        <x:v>中等</x:v>
      </x:c>
      <x:c r="Z57" s="82" t="str">
        <x:v>现代综合</x:v>
      </x:c>
      <x:c r="AA57" s="68" t="str">
        <x:v>数量效应非线性。</x:v>
      </x:c>
      <x:c r="AB57" s="68" t="str">
        <x:v>第二处本气同党显著增强，第四处弱藏气只作补充。</x:v>
      </x:c>
      <x:c r="AC57" s="90" t="str">
        <x:v>四个同党直接等于四倍力量。</x:v>
      </x:c>
      <x:c r="AD57" s="68" t="str">
        <x:v>经典原则经结构化整理；参见：https://zh.wikisource.org/zh-hans/滴天髓</x:v>
      </x:c>
      <x:c r="AE57" s="82" t="str">
        <x:v>采用</x:v>
      </x:c>
      <x:c r="AF57" s="82" t="str">
        <x:v>初审</x:v>
      </x:c>
      <x:c r="AG57" s="87" t="n">
        <x:v>46255</x:v>
      </x:c>
    </x:row>
    <x:row r="58">
      <x:c r="A58" s="72" t="str">
        <x:f>IF(OR(C58="",D58=""),"",B58&amp;"-"&amp;UPPER(C58)&amp;"-"&amp;TEXT(D58,"0000")&amp;"-"&amp;E58)</x:f>
        <x:v>M07-ALLY-0052-V1.0</x:v>
      </x:c>
      <x:c r="B58" s="74" t="str">
        <x:v>M07</x:v>
      </x:c>
      <x:c r="C58" s="74" t="str">
        <x:v>ALLY</x:v>
      </x:c>
      <x:c r="D58" s="79" t="n">
        <x:v>52</x:v>
      </x:c>
      <x:c r="E58" s="74" t="str">
        <x:v>V1.0</x:v>
      </x:c>
      <x:c r="F58" s="68" t="str">
        <x:v>同党得令时支持效应放大</x:v>
      </x:c>
      <x:c r="G58" s="82" t="str">
        <x:v>结构层</x:v>
      </x:c>
      <x:c r="H58" s="68" t="str">
        <x:v>同党/得令</x:v>
      </x:c>
      <x:c r="I58" s="82"/>
      <x:c r="J58" s="68" t="str">
        <x:v>同党五行与月令同类或处旺相</x:v>
      </x:c>
      <x:c r="K58" s="68" t="str">
        <x:v>得令同党</x:v>
      </x:c>
      <x:c r="L58" s="68" t="str">
        <x:v>提高同党权重与聚势候选</x:v>
      </x:c>
      <x:c r="M58" s="82" t="str">
        <x:v>增强</x:v>
      </x:c>
      <x:c r="N58" s="68" t="str">
        <x:v>高</x:v>
      </x:c>
      <x:c r="O58" s="82" t="str">
        <x:v>强</x:v>
      </x:c>
      <x:c r="P58" s="68" t="str">
        <x:v>季令与同党证据已生成</x:v>
      </x:c>
      <x:c r="Q58" s="68" t="str">
        <x:v>同党确受季节支持</x:v>
      </x:c>
      <x:c r="R58" s="68" t="str">
        <x:v>同党多根、多透、分布集中</x:v>
      </x:c>
      <x:c r="S58" s="68" t="str">
        <x:v>同党虽多但均弱藏气</x:v>
      </x:c>
      <x:c r="T58" s="90" t="str">
        <x:v>不得与季令事实重复满额加权</x:v>
      </x:c>
      <x:c r="U58" s="68" t="str">
        <x:v>月令共源节点需标记</x:v>
      </x:c>
      <x:c r="V58" s="82" t="str">
        <x:v>否</x:v>
      </x:c>
      <x:c r="W58" s="84" t="str">
        <x:v>得令同党</x:v>
      </x:c>
      <x:c r="X58" s="84" t="str">
        <x:v>目标五行同党又得季令支持，原始聚势明显；汇总时需处理与月令的共源关系。</x:v>
      </x:c>
      <x:c r="Y58" s="82" t="str">
        <x:v>较高</x:v>
      </x:c>
      <x:c r="Z58" s="82" t="str">
        <x:v>旺衰扶抑</x:v>
      </x:c>
      <x:c r="AA58" s="68" t="str">
        <x:v>季节可放大同类群体。</x:v>
      </x:c>
      <x:c r="AB58" s="68" t="str">
        <x:v>春木甲乙多透、寅卯同见，木党势强。</x:v>
      </x:c>
      <x:c r="AC58" s="90" t="str">
        <x:v>春月只有辰未余气木也按强党势。</x:v>
      </x:c>
      <x:c r="AD58" s="68" t="str">
        <x:v>https://zh.wikisource.org/zh-hans/淵海子平；https://zh.wikisource.org/zh-hans/滴天髓</x:v>
      </x:c>
      <x:c r="AE58" s="82" t="str">
        <x:v>采用</x:v>
      </x:c>
      <x:c r="AF58" s="82" t="str">
        <x:v>初审</x:v>
      </x:c>
      <x:c r="AG58" s="87" t="n">
        <x:v>46255</x:v>
      </x:c>
    </x:row>
    <x:row r="59">
      <x:c r="A59" s="72" t="str">
        <x:f>IF(OR(C59="",D59=""),"",B59&amp;"-"&amp;UPPER(C59)&amp;"-"&amp;TEXT(D59,"0000")&amp;"-"&amp;E59)</x:f>
        <x:v>M07-ALLY-0053-V1.0</x:v>
      </x:c>
      <x:c r="B59" s="74" t="str">
        <x:v>M07</x:v>
      </x:c>
      <x:c r="C59" s="74" t="str">
        <x:v>ALLY</x:v>
      </x:c>
      <x:c r="D59" s="79" t="n">
        <x:v>53</x:v>
      </x:c>
      <x:c r="E59" s="74" t="str">
        <x:v>V1.0</x:v>
      </x:c>
      <x:c r="F59" s="68" t="str">
        <x:v>同党集中在相邻或中心位置时凝聚度较高</x:v>
      </x:c>
      <x:c r="G59" s="82" t="str">
        <x:v>结构层</x:v>
      </x:c>
      <x:c r="H59" s="68" t="str">
        <x:v>同党/集中度</x:v>
      </x:c>
      <x:c r="I59" s="82"/>
      <x:c r="J59" s="68" t="str">
        <x:v>多个同类节点集中在月日或相邻柱位</x:v>
      </x:c>
      <x:c r="K59" s="68" t="str">
        <x:v>集中同党</x:v>
      </x:c>
      <x:c r="L59" s="68" t="str">
        <x:v>提高凝聚度，作为次级成势证据</x:v>
      </x:c>
      <x:c r="M59" s="82" t="str">
        <x:v>增强</x:v>
      </x:c>
      <x:c r="N59" s="68" t="str">
        <x:v>低</x:v>
      </x:c>
      <x:c r="O59" s="82" t="str">
        <x:v>弱</x:v>
      </x:c>
      <x:c r="P59" s="68" t="str">
        <x:v>同党节点与位置已标注</x:v>
      </x:c>
      <x:c r="Q59" s="68" t="str">
        <x:v>至少两个同类节点相邻或中心聚集</x:v>
      </x:c>
      <x:c r="R59" s="68" t="str">
        <x:v>各节点有根有源、季令支持</x:v>
      </x:c>
      <x:c r="S59" s="68" t="str">
        <x:v>节点均弱或仅表面相邻</x:v>
      </x:c>
      <x:c r="T59" s="90" t="str">
        <x:v>不得用位置集中替代力量来源</x:v>
      </x:c>
      <x:c r="U59" s="68" t="str">
        <x:v>宫位象义不属于M07</x:v>
      </x:c>
      <x:c r="V59" s="82" t="str">
        <x:v>否</x:v>
      </x:c>
      <x:c r="W59" s="84" t="str">
        <x:v>同党凝聚</x:v>
      </x:c>
      <x:c r="X59" s="84" t="str">
        <x:v>同党在结构中较集中，凝聚度较高；该项只作辅助，不能单独确定旺衰。</x:v>
      </x:c>
      <x:c r="Y59" s="82" t="str">
        <x:v>中等</x:v>
      </x:c>
      <x:c r="Z59" s="82" t="str">
        <x:v>现代综合</x:v>
      </x:c>
      <x:c r="AA59" s="68" t="str">
        <x:v>空间集中可能提高协同，但属于低阶证据。</x:v>
      </x:c>
      <x:c r="AB59" s="68" t="str">
        <x:v>月日两柱木干支连续出现且有根，木的党势更清楚。</x:v>
      </x:c>
      <x:c r="AC59" s="90" t="str">
        <x:v>两个无根同类相邻即判成势。</x:v>
      </x:c>
      <x:c r="AD59" s="68" t="str">
        <x:v>经典原则经结构化整理；参见：https://zh.wikisource.org/zh-hans/滴天髓</x:v>
      </x:c>
      <x:c r="AE59" s="82" t="str">
        <x:v>待验证</x:v>
      </x:c>
      <x:c r="AF59" s="82" t="str">
        <x:v>初审</x:v>
      </x:c>
      <x:c r="AG59" s="87" t="n">
        <x:v>46255</x:v>
      </x:c>
    </x:row>
    <x:row r="60">
      <x:c r="A60" s="72" t="str">
        <x:f>IF(OR(C60="",D60=""),"",B60&amp;"-"&amp;UPPER(C60)&amp;"-"&amp;TEXT(D60,"0000")&amp;"-"&amp;E60)</x:f>
        <x:v>M07-ALLY-0054-V1.0</x:v>
      </x:c>
      <x:c r="B60" s="74" t="str">
        <x:v>M07</x:v>
      </x:c>
      <x:c r="C60" s="74" t="str">
        <x:v>ALLY</x:v>
      </x:c>
      <x:c r="D60" s="79" t="n">
        <x:v>54</x:v>
      </x:c>
      <x:c r="E60" s="74" t="str">
        <x:v>V1.0</x:v>
      </x:c>
      <x:c r="F60" s="68" t="str">
        <x:v>同党分散仍计数量但凝聚度较低</x:v>
      </x:c>
      <x:c r="G60" s="82" t="str">
        <x:v>结构层</x:v>
      </x:c>
      <x:c r="H60" s="68" t="str">
        <x:v>同党/分散</x:v>
      </x:c>
      <x:c r="I60" s="82"/>
      <x:c r="J60" s="68" t="str">
        <x:v>同类节点分布于年时等相隔位置</x:v>
      </x:c>
      <x:c r="K60" s="68" t="str">
        <x:v>分散同党</x:v>
      </x:c>
      <x:c r="L60" s="68" t="str">
        <x:v>保留同党数量，降低聚势协同权重</x:v>
      </x:c>
      <x:c r="M60" s="82" t="str">
        <x:v>增强</x:v>
      </x:c>
      <x:c r="N60" s="68" t="str">
        <x:v>低</x:v>
      </x:c>
      <x:c r="O60" s="82" t="str">
        <x:v>弱</x:v>
      </x:c>
      <x:c r="P60" s="68" t="str">
        <x:v>同党节点已识别</x:v>
      </x:c>
      <x:c r="Q60" s="68" t="str">
        <x:v>同类节点确属独立位置</x:v>
      </x:c>
      <x:c r="R60" s="68" t="str">
        <x:v>各自有根或受同一强季令支持</x:v>
      </x:c>
      <x:c r="S60" s="68" t="str">
        <x:v>均无根且彼此无连续生扶</x:v>
      </x:c>
      <x:c r="T60" s="90" t="str">
        <x:v>不得因分散就删除同党</x:v>
      </x:c>
      <x:c r="U60" s="68" t="str">
        <x:v>位置效应只作辅助</x:v>
      </x:c>
      <x:c r="V60" s="82" t="str">
        <x:v>否</x:v>
      </x:c>
      <x:c r="W60" s="84" t="str">
        <x:v>分散同党</x:v>
      </x:c>
      <x:c r="X60" s="84" t="str">
        <x:v>目标五行虽有分散同党，仍增加原始数量；但凝聚成势证据低于集中同党。</x:v>
      </x:c>
      <x:c r="Y60" s="82" t="str">
        <x:v>中等</x:v>
      </x:c>
      <x:c r="Z60" s="82" t="str">
        <x:v>现代综合</x:v>
      </x:c>
      <x:c r="AA60" s="68" t="str">
        <x:v>数量与凝聚度需分开。</x:v>
      </x:c>
      <x:c r="AB60" s="68" t="str">
        <x:v>年干甲、时干乙各有根，木仍有同党但结构较分散。</x:v>
      </x:c>
      <x:c r="AC60" s="90" t="str">
        <x:v>年时相隔便把其中一干完全不计。</x:v>
      </x:c>
      <x:c r="AD60" s="68" t="str">
        <x:v>经典原则经结构化整理；参见：https://zh.wikisource.org/zh-hans/滴天髓</x:v>
      </x:c>
      <x:c r="AE60" s="82" t="str">
        <x:v>待验证</x:v>
      </x:c>
      <x:c r="AF60" s="82" t="str">
        <x:v>初审</x:v>
      </x:c>
      <x:c r="AG60" s="87" t="n">
        <x:v>46255</x:v>
      </x:c>
    </x:row>
    <x:row r="61">
      <x:c r="A61" s="72" t="str">
        <x:f>IF(OR(C61="",D61=""),"",B61&amp;"-"&amp;UPPER(C61)&amp;"-"&amp;TEXT(D61,"0000")&amp;"-"&amp;E61)</x:f>
        <x:v>M07-ALLY-0055-V1.0</x:v>
      </x:c>
      <x:c r="B61" s="74" t="str">
        <x:v>M07</x:v>
      </x:c>
      <x:c r="C61" s="74" t="str">
        <x:v>ALLY</x:v>
      </x:c>
      <x:c r="D61" s="79" t="n">
        <x:v>55</x:v>
      </x:c>
      <x:c r="E61" s="74" t="str">
        <x:v>V1.0</x:v>
      </x:c>
      <x:c r="F61" s="68" t="str">
        <x:v>阴阳不同不取消五行层面的同党关系</x:v>
      </x:c>
      <x:c r="G61" s="82" t="str">
        <x:v>结构层</x:v>
      </x:c>
      <x:c r="H61" s="68" t="str">
        <x:v>同党/阴阳</x:v>
      </x:c>
      <x:c r="I61" s="82"/>
      <x:c r="J61" s="68" t="str">
        <x:v>同类节点同五行但阴阳不同</x:v>
      </x:c>
      <x:c r="K61" s="68" t="str">
        <x:v>异阴阳同党</x:v>
      </x:c>
      <x:c r="L61" s="68" t="str">
        <x:v>在五行旺衰层仍计同类支持</x:v>
      </x:c>
      <x:c r="M61" s="82" t="str">
        <x:v>增强</x:v>
      </x:c>
      <x:c r="N61" s="68" t="str">
        <x:v>中</x:v>
      </x:c>
      <x:c r="O61" s="82" t="str">
        <x:v>中</x:v>
      </x:c>
      <x:c r="P61" s="68" t="str">
        <x:v>当前评估对象为五行</x:v>
      </x:c>
      <x:c r="Q61" s="68" t="str">
        <x:v>节点五行相同</x:v>
      </x:c>
      <x:c r="R61" s="68" t="str">
        <x:v>各自有根或得令</x:v>
      </x:c>
      <x:c r="S61" s="68" t="str">
        <x:v>节点均弱且无承载</x:v>
      </x:c>
      <x:c r="T61" s="90" t="str">
        <x:v>不得因阴阳不同就把同党改记为异类</x:v>
      </x:c>
      <x:c r="U61" s="68" t="str">
        <x:v>十神比肩劫财差异转M10</x:v>
      </x:c>
      <x:c r="V61" s="82" t="str">
        <x:v>否</x:v>
      </x:c>
      <x:c r="W61" s="84" t="str">
        <x:v>五行同党</x:v>
      </x:c>
      <x:c r="X61" s="84" t="str">
        <x:v>甲乙、丙丁等阴阳虽异，在五行原始旺衰层仍属于同类；十神功能另行区分。</x:v>
      </x:c>
      <x:c r="Y61" s="82" t="str">
        <x:v>确定</x:v>
      </x:c>
      <x:c r="Z61" s="82" t="str">
        <x:v>跨流派共识</x:v>
      </x:c>
      <x:c r="AA61" s="68" t="str">
        <x:v>五行总量与十神阴阳分类是不同层次。</x:v>
      </x:c>
      <x:c r="AB61" s="68" t="str">
        <x:v>甲乙同见均增加木的原始同类证据。</x:v>
      </x:c>
      <x:c r="AC61" s="90" t="str">
        <x:v>甲木评木强弱时完全排除乙木。</x:v>
      </x:c>
      <x:c r="AD61" s="68" t="str">
        <x:v>经典原则经结构化整理；参见：https://zh.wikisource.org/zh-hans/滴天髓</x:v>
      </x:c>
      <x:c r="AE61" s="82" t="str">
        <x:v>采用</x:v>
      </x:c>
      <x:c r="AF61" s="82" t="str">
        <x:v>初审</x:v>
      </x:c>
      <x:c r="AG61" s="87" t="n">
        <x:v>46255</x:v>
      </x:c>
    </x:row>
    <x:row r="62">
      <x:c r="A62" s="72" t="str">
        <x:f>IF(OR(C62="",D62=""),"",B62&amp;"-"&amp;UPPER(C62)&amp;"-"&amp;TEXT(D62,"0000")&amp;"-"&amp;E62)</x:f>
        <x:v>M07-ALLY-0056-V1.0</x:v>
      </x:c>
      <x:c r="B62" s="74" t="str">
        <x:v>M07</x:v>
      </x:c>
      <x:c r="C62" s="74" t="str">
        <x:v>ALLY</x:v>
      </x:c>
      <x:c r="D62" s="79" t="n">
        <x:v>56</x:v>
      </x:c>
      <x:c r="E62" s="74" t="str">
        <x:v>V1.0</x:v>
      </x:c>
      <x:c r="F62" s="68" t="str">
        <x:v>同党数量不能覆盖季令、根气与生源反证</x:v>
      </x:c>
      <x:c r="G62" s="82" t="str">
        <x:v>结构层</x:v>
      </x:c>
      <x:c r="H62" s="68" t="str">
        <x:v>同党/边界</x:v>
      </x:c>
      <x:c r="I62" s="82"/>
      <x:c r="J62" s="68" t="str">
        <x:v>目标五行数量较多但失令、无根或无源</x:v>
      </x:c>
      <x:c r="K62" s="68" t="str">
        <x:v>多而不实候选</x:v>
      </x:c>
      <x:c r="L62" s="68" t="str">
        <x:v>数量仅作中等证据，不自动判旺</x:v>
      </x:c>
      <x:c r="M62" s="82" t="str">
        <x:v>条件性</x:v>
      </x:c>
      <x:c r="N62" s="68" t="str">
        <x:v>高</x:v>
      </x:c>
      <x:c r="O62" s="82" t="str">
        <x:v>强</x:v>
      </x:c>
      <x:c r="P62" s="68" t="str">
        <x:v>令根源党四类证据均已生成</x:v>
      </x:c>
      <x:c r="Q62" s="68" t="str">
        <x:v>同党多但关键承载证据不足</x:v>
      </x:c>
      <x:c r="R62" s="68" t="str">
        <x:v>多透同时有根、强生源或反季节成势</x:v>
      </x:c>
      <x:c r="S62" s="68" t="str">
        <x:v>全部无根、失令、弱源</x:v>
      </x:c>
      <x:c r="T62" s="90" t="str">
        <x:v>禁止“数几个五行”直接定旺衰</x:v>
      </x:c>
      <x:c r="U62" s="68" t="str">
        <x:v>特殊从势结构转M14</x:v>
      </x:c>
      <x:c r="V62" s="82" t="str">
        <x:v>否</x:v>
      </x:c>
      <x:c r="W62" s="84" t="str">
        <x:v>数量非旺衰</x:v>
      </x:c>
      <x:c r="X62" s="84" t="str">
        <x:v>目标五行虽数量较多，但失令无根无源时可能多而不实；不得仅凭数量判旺。</x:v>
      </x:c>
      <x:c r="Y62" s="82" t="str">
        <x:v>较高</x:v>
      </x:c>
      <x:c r="Z62" s="82" t="str">
        <x:v>现代综合</x:v>
      </x:c>
      <x:c r="AA62" s="68" t="str">
        <x:v>数量是表象，承载与环境决定实质。</x:v>
      </x:c>
      <x:c r="AB62" s="68" t="str">
        <x:v>秋月三枚无根甲乙木，未必强于一枚得令有根之木。</x:v>
      </x:c>
      <x:c r="AC62" s="90" t="str">
        <x:v>天干三木便不看根令直接判木旺。</x:v>
      </x:c>
      <x:c r="AD62" s="68" t="str">
        <x:v>经典原则经结构化整理；参见：https://zh.wikisource.org/zh-hans/滴天髓</x:v>
      </x:c>
      <x:c r="AE62" s="82" t="str">
        <x:v>采用</x:v>
      </x:c>
      <x:c r="AF62" s="82" t="str">
        <x:v>初审</x:v>
      </x:c>
      <x:c r="AG62" s="87" t="n">
        <x:v>46255</x:v>
      </x:c>
    </x:row>
    <x:row r="63">
      <x:c r="A63" s="72" t="str">
        <x:f>IF(OR(C63="",D63=""),"",B63&amp;"-"&amp;UPPER(C63)&amp;"-"&amp;TEXT(D63,"0000")&amp;"-"&amp;E63)</x:f>
        <x:v>M07-MOMENT-0057-V1.0</x:v>
      </x:c>
      <x:c r="B63" s="74" t="str">
        <x:v>M07</x:v>
      </x:c>
      <x:c r="C63" s="74" t="str">
        <x:v>MOMENT</x:v>
      </x:c>
      <x:c r="D63" s="79" t="n">
        <x:v>57</x:v>
      </x:c>
      <x:c r="E63" s="74" t="str">
        <x:v>V1.0</x:v>
      </x:c>
      <x:c r="F63" s="68" t="str">
        <x:v>得令、多根、透干与同党汇合时形成成势候选</x:v>
      </x:c>
      <x:c r="G63" s="82" t="str">
        <x:v>结构层</x:v>
      </x:c>
      <x:c r="H63" s="68" t="str">
        <x:v>成势/汇合</x:v>
      </x:c>
      <x:c r="I63" s="82"/>
      <x:c r="J63" s="68" t="str">
        <x:v>季令、根气、透干、同党至少三类强证据同时指向目标五行</x:v>
      </x:c>
      <x:c r="K63" s="68" t="str">
        <x:v>成势候选</x:v>
      </x:c>
      <x:c r="L63" s="68" t="str">
        <x:v>将原始旺衰提升至旺势候选</x:v>
      </x:c>
      <x:c r="M63" s="82" t="str">
        <x:v>增强</x:v>
      </x:c>
      <x:c r="N63" s="68" t="str">
        <x:v>高</x:v>
      </x:c>
      <x:c r="O63" s="82" t="str">
        <x:v>强</x:v>
      </x:c>
      <x:c r="P63" s="68" t="str">
        <x:v>各证据已去重并标注来源</x:v>
      </x:c>
      <x:c r="Q63" s="68" t="str">
        <x:v>至少三类独立强证据汇合</x:v>
      </x:c>
      <x:c r="R63" s="68" t="str">
        <x:v>另有强生源或四柱多位置占据</x:v>
      </x:c>
      <x:c r="S63" s="68" t="str">
        <x:v>证据高度共源或多数仅弱藏气</x:v>
      </x:c>
      <x:c r="T63" s="90" t="str">
        <x:v>不得由单一证据宣告成势</x:v>
      </x:c>
      <x:c r="U63" s="68" t="str">
        <x:v>特殊格局成立与否转M14</x:v>
      </x:c>
      <x:c r="V63" s="82" t="str">
        <x:v>条件性</x:v>
      </x:c>
      <x:c r="W63" s="84" t="str">
        <x:v>五行成势候选</x:v>
      </x:c>
      <x:c r="X63" s="84" t="str">
        <x:v>目标五行的令、根、透、党多维汇合，已形成原始成势候选；是否极旺仍需反证检查。</x:v>
      </x:c>
      <x:c r="Y63" s="82" t="str">
        <x:v>较高</x:v>
      </x:c>
      <x:c r="Z63" s="82" t="str">
        <x:v>现代综合</x:v>
      </x:c>
      <x:c r="AA63" s="68" t="str">
        <x:v>成势是多维收敛，不是数量标签。</x:v>
      </x:c>
      <x:c r="AB63" s="68" t="str">
        <x:v>春木得令，寅卯多根，甲乙透干并有水生，木可判旺势。</x:v>
      </x:c>
      <x:c r="AC63" s="90" t="str">
        <x:v>只因寅卯两个地支就称木极旺成势。</x:v>
      </x:c>
      <x:c r="AD63" s="68" t="str">
        <x:v>https://zh.wikisource.org/zh-hans/淵海子平；https://zh.wikisource.org/zh-hans/滴天髓</x:v>
      </x:c>
      <x:c r="AE63" s="82" t="str">
        <x:v>采用</x:v>
      </x:c>
      <x:c r="AF63" s="82" t="str">
        <x:v>初审</x:v>
      </x:c>
      <x:c r="AG63" s="87" t="n">
        <x:v>46255</x:v>
      </x:c>
    </x:row>
    <x:row r="64">
      <x:c r="A64" s="72" t="str">
        <x:f>IF(OR(C64="",D64=""),"",B64&amp;"-"&amp;UPPER(C64)&amp;"-"&amp;TEXT(D64,"0000")&amp;"-"&amp;E64)</x:f>
        <x:v>M07-MOMENT-0058-V1.0</x:v>
      </x:c>
      <x:c r="B64" s="74" t="str">
        <x:v>M07</x:v>
      </x:c>
      <x:c r="C64" s="74" t="str">
        <x:v>MOMENT</x:v>
      </x:c>
      <x:c r="D64" s="79" t="n">
        <x:v>58</x:v>
      </x:c>
      <x:c r="E64" s="74" t="str">
        <x:v>V1.0</x:v>
      </x:c>
      <x:c r="F64" s="68" t="str">
        <x:v>占据三个以上独立干支位置可形成党势候选</x:v>
      </x:c>
      <x:c r="G64" s="82" t="str">
        <x:v>结构层</x:v>
      </x:c>
      <x:c r="H64" s="68" t="str">
        <x:v>成势/位置覆盖</x:v>
      </x:c>
      <x:c r="I64" s="82"/>
      <x:c r="J64" s="68" t="str">
        <x:v>目标五行在至少三个独立干支位置有较强表现</x:v>
      </x:c>
      <x:c r="K64" s="68" t="str">
        <x:v>多位置覆盖</x:v>
      </x:c>
      <x:c r="L64" s="68" t="str">
        <x:v>提高党势与稳定性候选</x:v>
      </x:c>
      <x:c r="M64" s="82" t="str">
        <x:v>增强</x:v>
      </x:c>
      <x:c r="N64" s="68" t="str">
        <x:v>中高</x:v>
      </x:c>
      <x:c r="O64" s="82" t="str">
        <x:v>中</x:v>
      </x:c>
      <x:c r="P64" s="68" t="str">
        <x:v>节点已按干支位置去重</x:v>
      </x:c>
      <x:c r="Q64" s="68" t="str">
        <x:v>至少三个独立位置，且不全为余气</x:v>
      </x:c>
      <x:c r="R64" s="68" t="str">
        <x:v>其中含月令、本气根或透根相应</x:v>
      </x:c>
      <x:c r="S64" s="68" t="str">
        <x:v>多数节点无根或仅弱藏</x:v>
      </x:c>
      <x:c r="T64" s="90" t="str">
        <x:v>不得把一个地支的多个标签视为多个位置</x:v>
      </x:c>
      <x:c r="U64" s="68" t="str">
        <x:v>正式三合三会不在M07自动改性</x:v>
      </x:c>
      <x:c r="V64" s="82" t="str">
        <x:v>否</x:v>
      </x:c>
      <x:c r="W64" s="84" t="str">
        <x:v>位置成党</x:v>
      </x:c>
      <x:c r="X64" s="84" t="str">
        <x:v>目标五行覆盖多个独立位置，具备党势基础；仍须看季令、层级与生源。</x:v>
      </x:c>
      <x:c r="Y64" s="82" t="str">
        <x:v>中等</x:v>
      </x:c>
      <x:c r="Z64" s="82" t="str">
        <x:v>现代综合</x:v>
      </x:c>
      <x:c r="AA64" s="68" t="str">
        <x:v>位置覆盖可反映全局集中度。</x:v>
      </x:c>
      <x:c r="AB64" s="68" t="str">
        <x:v>甲透、乙透、寅卯两支同见，木覆盖多个独立节点。</x:v>
      </x:c>
      <x:c r="AC64" s="90" t="str">
        <x:v>寅一支既算木根、同党、月令后当作三个位置。</x:v>
      </x:c>
      <x:c r="AD64" s="68" t="str">
        <x:v>经典原则经结构化整理；参见：https://zh.wikisource.org/zh-hans/滴天髓</x:v>
      </x:c>
      <x:c r="AE64" s="82" t="str">
        <x:v>采用</x:v>
      </x:c>
      <x:c r="AF64" s="82" t="str">
        <x:v>初审</x:v>
      </x:c>
      <x:c r="AG64" s="87" t="n">
        <x:v>46255</x:v>
      </x:c>
    </x:row>
    <x:row r="65">
      <x:c r="A65" s="72" t="str">
        <x:f>IF(OR(C65="",D65=""),"",B65&amp;"-"&amp;UPPER(C65)&amp;"-"&amp;TEXT(D65,"0000")&amp;"-"&amp;E65)</x:f>
        <x:v>M07-MOMENT-0059-V1.0</x:v>
      </x:c>
      <x:c r="B65" s="74" t="str">
        <x:v>M07</x:v>
      </x:c>
      <x:c r="C65" s="74" t="str">
        <x:v>MOMENT</x:v>
      </x:c>
      <x:c r="D65" s="79" t="n">
        <x:v>59</x:v>
      </x:c>
      <x:c r="E65" s="74" t="str">
        <x:v>V1.0</x:v>
      </x:c>
      <x:c r="F65" s="68" t="str">
        <x:v>大量中余气堆积不能等同本气成势</x:v>
      </x:c>
      <x:c r="G65" s="82" t="str">
        <x:v>结构层</x:v>
      </x:c>
      <x:c r="H65" s="68" t="str">
        <x:v>成势/藏气质量</x:v>
      </x:c>
      <x:c r="I65" s="82"/>
      <x:c r="J65" s="68" t="str">
        <x:v>目标五行出现次数多，但主要来自中气或余气</x:v>
      </x:c>
      <x:c r="K65" s="68" t="str">
        <x:v>多而隐弱</x:v>
      </x:c>
      <x:c r="L65" s="68" t="str">
        <x:v>限制成势等级，通常不超过中等候选</x:v>
      </x:c>
      <x:c r="M65" s="82" t="str">
        <x:v>减弱</x:v>
      </x:c>
      <x:c r="N65" s="68" t="str">
        <x:v>中高</x:v>
      </x:c>
      <x:c r="O65" s="82" t="str">
        <x:v>中</x:v>
      </x:c>
      <x:c r="P65" s="68" t="str">
        <x:v>各节点藏干层级已标注</x:v>
      </x:c>
      <x:c r="Q65" s="68" t="str">
        <x:v>多数目标节点为中余气且不透</x:v>
      </x:c>
      <x:c r="R65" s="68" t="str">
        <x:v>有本气根、得令或同气透出</x:v>
      </x:c>
      <x:c r="S65" s="68" t="str">
        <x:v>全部余气、失令、无源</x:v>
      </x:c>
      <x:c r="T65" s="90" t="str">
        <x:v>禁止按出现次数忽略藏气质量</x:v>
      </x:c>
      <x:c r="U65" s="68" t="str">
        <x:v>若M06确认成局改性，转M08重算</x:v>
      </x:c>
      <x:c r="V65" s="82" t="str">
        <x:v>否</x:v>
      </x:c>
      <x:c r="W65" s="84" t="str">
        <x:v>隐气不成势</x:v>
      </x:c>
      <x:c r="X65" s="84" t="str">
        <x:v>目标五行虽多处潜藏，但主要为中余气，原始上不宜与本气多根成势等同。</x:v>
      </x:c>
      <x:c r="Y65" s="82" t="str">
        <x:v>较高</x:v>
      </x:c>
      <x:c r="Z65" s="82" t="str">
        <x:v>现代综合</x:v>
      </x:c>
      <x:c r="AA65" s="68" t="str">
        <x:v>质量与层级优先于纯数量。</x:v>
      </x:c>
      <x:c r="AB65" s="68" t="str">
        <x:v>辰未多藏乙但无寅卯、甲乙不透，木不宜仅按次数判旺势。</x:v>
      </x:c>
      <x:c r="AC65" s="90" t="str">
        <x:v>四个余气藏干等同四个本气根。</x:v>
      </x:c>
      <x:c r="AD65" s="68" t="str">
        <x:v>经典原则经结构化整理；参见：https://zh.wikisource.org/zh-hans/滴天髓</x:v>
      </x:c>
      <x:c r="AE65" s="82" t="str">
        <x:v>采用</x:v>
      </x:c>
      <x:c r="AF65" s="82" t="str">
        <x:v>初审</x:v>
      </x:c>
      <x:c r="AG65" s="87" t="n">
        <x:v>46255</x:v>
      </x:c>
    </x:row>
    <x:row r="66">
      <x:c r="A66" s="72" t="str">
        <x:f>IF(OR(C66="",D66=""),"",B66&amp;"-"&amp;UPPER(C66)&amp;"-"&amp;TEXT(D66,"0000")&amp;"-"&amp;E66)</x:f>
        <x:v>M07-MOMENT-0060-V1.0</x:v>
      </x:c>
      <x:c r="B66" s="74" t="str">
        <x:v>M07</x:v>
      </x:c>
      <x:c r="C66" s="74" t="str">
        <x:v>MOMENT</x:v>
      </x:c>
      <x:c r="D66" s="79" t="n">
        <x:v>60</x:v>
      </x:c>
      <x:c r="E66" s="74" t="str">
        <x:v>V1.0</x:v>
      </x:c>
      <x:c r="F66" s="68" t="str">
        <x:v>强生源与同党共同指向目标时形成方向性聚势</x:v>
      </x:c>
      <x:c r="G66" s="82" t="str">
        <x:v>结构层</x:v>
      </x:c>
      <x:c r="H66" s="68" t="str">
        <x:v>成势/生扶方向</x:v>
      </x:c>
      <x:c r="I66" s="82"/>
      <x:c r="J66" s="68" t="str">
        <x:v>生源有力且目标同党多，生化方向持续汇入目标</x:v>
      </x:c>
      <x:c r="K66" s="68" t="str">
        <x:v>生扶聚势</x:v>
      </x:c>
      <x:c r="L66" s="68" t="str">
        <x:v>提高成势候选与原始集中度</x:v>
      </x:c>
      <x:c r="M66" s="82" t="str">
        <x:v>增强</x:v>
      </x:c>
      <x:c r="N66" s="68" t="str">
        <x:v>高</x:v>
      </x:c>
      <x:c r="O66" s="82" t="str">
        <x:v>强</x:v>
      </x:c>
      <x:c r="P66" s="68" t="str">
        <x:v>生源与同党证据已生成</x:v>
      </x:c>
      <x:c r="Q66" s="68" t="str">
        <x:v>生源自身有力且目标有承接根透</x:v>
      </x:c>
      <x:c r="R66" s="68" t="str">
        <x:v>季令也支持目标或生源、路径短</x:v>
      </x:c>
      <x:c r="S66" s="68" t="str">
        <x:v>中间缺桥或目标无根</x:v>
      </x:c>
      <x:c r="T66" s="90" t="str">
        <x:v>不得在M07判断流通最终吉凶</x:v>
      </x:c>
      <x:c r="U66" s="68" t="str">
        <x:v>卡点与壅塞转M12/M16</x:v>
      </x:c>
      <x:c r="V66" s="82" t="str">
        <x:v>否</x:v>
      </x:c>
      <x:c r="W66" s="84" t="str">
        <x:v>方向性聚势</x:v>
      </x:c>
      <x:c r="X66" s="84" t="str">
        <x:v>有力生源持续汇入目标，同党又多，原始气势向该五行集中。</x:v>
      </x:c>
      <x:c r="Y66" s="82" t="str">
        <x:v>较高</x:v>
      </x:c>
      <x:c r="Z66" s="82" t="str">
        <x:v>现代综合</x:v>
      </x:c>
      <x:c r="AA66" s="68" t="str">
        <x:v>气势方向不仅看静态数量，也看生化来源。</x:v>
      </x:c>
      <x:c r="AB66" s="68" t="str">
        <x:v>金旺生水，壬癸多透并有亥子根，水形成方向性聚势。</x:v>
      </x:c>
      <x:c r="AC66" s="90" t="str">
        <x:v>只有金多而水不现，也判水成势。</x:v>
      </x:c>
      <x:c r="AD66" s="68" t="str">
        <x:v>经典原则经结构化整理；参见：https://zh.wikisource.org/zh-hans/滴天髓</x:v>
      </x:c>
      <x:c r="AE66" s="82" t="str">
        <x:v>采用</x:v>
      </x:c>
      <x:c r="AF66" s="82" t="str">
        <x:v>初审</x:v>
      </x:c>
      <x:c r="AG66" s="87" t="n">
        <x:v>46255</x:v>
      </x:c>
    </x:row>
    <x:row r="67">
      <x:c r="A67" s="72" t="str">
        <x:f>IF(OR(C67="",D67=""),"",B67&amp;"-"&amp;UPPER(C67)&amp;"-"&amp;TEXT(D67,"0000")&amp;"-"&amp;E67)</x:f>
        <x:v>M07-MOMENT-0061-V1.0</x:v>
      </x:c>
      <x:c r="B67" s="74" t="str">
        <x:v>M07</x:v>
      </x:c>
      <x:c r="C67" s="74" t="str">
        <x:v>MOMENT</x:v>
      </x:c>
      <x:c r="D67" s="79" t="n">
        <x:v>61</x:v>
      </x:c>
      <x:c r="E67" s="74" t="str">
        <x:v>V1.0</x:v>
      </x:c>
      <x:c r="F67" s="68" t="str">
        <x:v>同类集中但失令无源时只列弱成势候选</x:v>
      </x:c>
      <x:c r="G67" s="82" t="str">
        <x:v>结构层</x:v>
      </x:c>
      <x:c r="H67" s="68" t="str">
        <x:v>成势/反季节</x:v>
      </x:c>
      <x:c r="I67" s="82"/>
      <x:c r="J67" s="68" t="str">
        <x:v>目标同党多但季令不利、生源不足</x:v>
      </x:c>
      <x:c r="K67" s="68" t="str">
        <x:v>反季节党势</x:v>
      </x:c>
      <x:c r="L67" s="68" t="str">
        <x:v>保留成党证据，限制旺势等级</x:v>
      </x:c>
      <x:c r="M67" s="82" t="str">
        <x:v>条件性</x:v>
      </x:c>
      <x:c r="N67" s="68" t="str">
        <x:v>中</x:v>
      </x:c>
      <x:c r="O67" s="82" t="str">
        <x:v>中</x:v>
      </x:c>
      <x:c r="P67" s="68" t="str">
        <x:v>同党数量与季令生源已评估</x:v>
      </x:c>
      <x:c r="Q67" s="68" t="str">
        <x:v>同党多而令源弱</x:v>
      </x:c>
      <x:c r="R67" s="68" t="str">
        <x:v>多重本气根、透干有根，可形成反季节力量</x:v>
      </x:c>
      <x:c r="S67" s="68" t="str">
        <x:v>同党多为无根浮干或弱藏</x:v>
      </x:c>
      <x:c r="T67" s="90" t="str">
        <x:v>不得因数量多直接忽略季令逆势</x:v>
      </x:c>
      <x:c r="U67" s="68" t="str">
        <x:v>专旺候选转M14</x:v>
      </x:c>
      <x:c r="V67" s="82" t="str">
        <x:v>否</x:v>
      </x:c>
      <x:c r="W67" s="84" t="str">
        <x:v>反季节成党</x:v>
      </x:c>
      <x:c r="X67" s="84" t="str">
        <x:v>目标五行虽同党较多，但失令无源；可形成反季节党势，是否真正旺须看根气质量。</x:v>
      </x:c>
      <x:c r="Y67" s="82" t="str">
        <x:v>中等</x:v>
      </x:c>
      <x:c r="Z67" s="82" t="str">
        <x:v>现代综合</x:v>
      </x:c>
      <x:c r="AA67" s="68" t="str">
        <x:v>反季节旺需要更强根党证据。</x:v>
      </x:c>
      <x:c r="AB67" s="68" t="str">
        <x:v>秋木多透且寅卯多根，可有反季节力量。</x:v>
      </x:c>
      <x:c r="AC67" s="90" t="str">
        <x:v>秋月三枚无根木干直接判木旺势。</x:v>
      </x:c>
      <x:c r="AD67" s="68" t="str">
        <x:v>经典原则经结构化整理；参见：https://zh.wikisource.org/zh-hans/滴天髓</x:v>
      </x:c>
      <x:c r="AE67" s="82" t="str">
        <x:v>采用</x:v>
      </x:c>
      <x:c r="AF67" s="82" t="str">
        <x:v>初审</x:v>
      </x:c>
      <x:c r="AG67" s="87" t="n">
        <x:v>46255</x:v>
      </x:c>
    </x:row>
    <x:row r="68">
      <x:c r="A68" s="72" t="str">
        <x:f>IF(OR(C68="",D68=""),"",B68&amp;"-"&amp;UPPER(C68)&amp;"-"&amp;TEXT(D68,"0000")&amp;"-"&amp;E68)</x:f>
        <x:v>M07-MOMENT-0062-V1.0</x:v>
      </x:c>
      <x:c r="B68" s="74" t="str">
        <x:v>M07</x:v>
      </x:c>
      <x:c r="C68" s="74" t="str">
        <x:v>MOMENT</x:v>
      </x:c>
      <x:c r="D68" s="79" t="n">
        <x:v>62</x:v>
      </x:c>
      <x:c r="E68" s="74" t="str">
        <x:v>V1.0</x:v>
      </x:c>
      <x:c r="F68" s="68" t="str">
        <x:v>三合三会之化出五行不得在M07提前计入</x:v>
      </x:c>
      <x:c r="G68" s="82" t="str">
        <x:v>结构层</x:v>
      </x:c>
      <x:c r="H68" s="68" t="str">
        <x:v>成势/关系边界</x:v>
      </x:c>
      <x:c r="I68" s="82"/>
      <x:c r="J68" s="68" t="str">
        <x:v>原局出现三合、三会、半合或拱合候选</x:v>
      </x:c>
      <x:c r="K68" s="68" t="str">
        <x:v>关系成势候选</x:v>
      </x:c>
      <x:c r="L68" s="68" t="str">
        <x:v>仅记录原支本来五行，不把候选化神加入原始五行</x:v>
      </x:c>
      <x:c r="M68" s="82" t="str">
        <x:v>不变</x:v>
      </x:c>
      <x:c r="N68" s="68" t="str">
        <x:v>高</x:v>
      </x:c>
      <x:c r="O68" s="82" t="str">
        <x:v>决定性</x:v>
      </x:c>
      <x:c r="P68" s="68" t="str">
        <x:v>M05关系识别完成</x:v>
      </x:c>
      <x:c r="Q68" s="68" t="str">
        <x:v>M06尚未确认合化或成局</x:v>
      </x:c>
      <x:c r="R68" s="68" t="str">
        <x:v>无</x:v>
      </x:c>
      <x:c r="S68" s="68" t="str">
        <x:v>无</x:v>
      </x:c>
      <x:c r="T68" s="90" t="str">
        <x:v>禁止把三合三会候选直接改写各支五行</x:v>
      </x:c>
      <x:c r="U68" s="68" t="str">
        <x:v>经M06确认成局后由M08计算有效化神力量</x:v>
      </x:c>
      <x:c r="V68" s="82" t="str">
        <x:v>否</x:v>
      </x:c>
      <x:c r="W68" s="84" t="str">
        <x:v>原始五行保真</x:v>
      </x:c>
      <x:c r="X68" s="84" t="str">
        <x:v>M07按各干支原始五行计力；三合三会是否转化成局，须待M06确认后进入M08。</x:v>
      </x:c>
      <x:c r="Y68" s="82" t="str">
        <x:v>确定</x:v>
      </x:c>
      <x:c r="Z68" s="82" t="str">
        <x:v>现代综合</x:v>
      </x:c>
      <x:c r="AA68" s="68" t="str">
        <x:v>原始层必须保留输入事实，避免预设合化。</x:v>
      </x:c>
      <x:c r="AB68" s="68" t="str">
        <x:v>申子辰在M07仍分别记录金、水、土及藏干，M08再按成局结论修正水势。</x:v>
      </x:c>
      <x:c r="AC68" s="90" t="str">
        <x:v>申子辰一见就在M07把三支全改成水。</x:v>
      </x:c>
      <x:c r="AD68" s="68" t="str">
        <x:v>经典原则经结构化整理；参见：https://zh.wikisource.org/zh-hans/滴天髓</x:v>
      </x:c>
      <x:c r="AE68" s="82" t="str">
        <x:v>采用</x:v>
      </x:c>
      <x:c r="AF68" s="82" t="str">
        <x:v>初审</x:v>
      </x:c>
      <x:c r="AG68" s="87" t="n">
        <x:v>46255</x:v>
      </x:c>
    </x:row>
    <x:row r="69">
      <x:c r="A69" s="72" t="str">
        <x:f>IF(OR(C69="",D69=""),"",B69&amp;"-"&amp;UPPER(C69)&amp;"-"&amp;TEXT(D69,"0000")&amp;"-"&amp;E69)</x:f>
        <x:v>M07-MOMENT-0063-V1.0</x:v>
      </x:c>
      <x:c r="B69" s="74" t="str">
        <x:v>M07</x:v>
      </x:c>
      <x:c r="C69" s="74" t="str">
        <x:v>MOMENT</x:v>
      </x:c>
      <x:c r="D69" s="79" t="n">
        <x:v>63</x:v>
      </x:c>
      <x:c r="E69" s="74" t="str">
        <x:v>V1.0</x:v>
      </x:c>
      <x:c r="F69" s="68" t="str">
        <x:v>成势后仍须保留克泄耗与弱项反证</x:v>
      </x:c>
      <x:c r="G69" s="82" t="str">
        <x:v>结构层</x:v>
      </x:c>
      <x:c r="H69" s="68" t="str">
        <x:v>成势/反证</x:v>
      </x:c>
      <x:c r="I69" s="82"/>
      <x:c r="J69" s="68" t="str">
        <x:v>目标已被判为成势候选</x:v>
      </x:c>
      <x:c r="K69" s="68" t="str">
        <x:v>旺势候选</x:v>
      </x:c>
      <x:c r="L69" s="68" t="str">
        <x:v>要求同步记录不利季令、无源、无透或异类集中等反向证据</x:v>
      </x:c>
      <x:c r="M69" s="82" t="str">
        <x:v>条件性</x:v>
      </x:c>
      <x:c r="N69" s="68" t="str">
        <x:v>高</x:v>
      </x:c>
      <x:c r="O69" s="82" t="str">
        <x:v>强</x:v>
      </x:c>
      <x:c r="P69" s="68" t="str">
        <x:v>成势候选已生成</x:v>
      </x:c>
      <x:c r="Q69" s="68" t="str">
        <x:v>至少列出一项反向检查</x:v>
      </x:c>
      <x:c r="R69" s="68" t="str">
        <x:v>反向证据弱或可由独立强证抵消</x:v>
      </x:c>
      <x:c r="S69" s="68" t="str">
        <x:v>反向证据触及无根、无源或季令强克等核心条件</x:v>
      </x:c>
      <x:c r="T69" s="90" t="str">
        <x:v>禁止只有支持证据没有反证</x:v>
      </x:c>
      <x:c r="U69" s="68" t="str">
        <x:v>极端清纯结构反证可为空但需说明原因</x:v>
      </x:c>
      <x:c r="V69" s="82" t="str">
        <x:v>否</x:v>
      </x:c>
      <x:c r="W69" s="84" t="str">
        <x:v>成势反证</x:v>
      </x:c>
      <x:c r="X69" s="84" t="str">
        <x:v>目标五行具成势候选，同时保留反向证据；最终等级根据支持与反证的独立性裁定。</x:v>
      </x:c>
      <x:c r="Y69" s="82" t="str">
        <x:v>较高</x:v>
      </x:c>
      <x:c r="Z69" s="82" t="str">
        <x:v>现代综合</x:v>
      </x:c>
      <x:c r="AA69" s="68" t="str">
        <x:v>反证机制防止确认偏误。</x:v>
      </x:c>
      <x:c r="AB69" s="68" t="str">
        <x:v>木得令多根透干，但火土大量泄耗，记录后再定旺或中和偏旺。</x:v>
      </x:c>
      <x:c r="AC69" s="90" t="str">
        <x:v>看到木多便完全忽略火泄、金制等反向事实。</x:v>
      </x:c>
      <x:c r="AD69" s="68" t="str">
        <x:v>经典原则经结构化整理；参见：https://zh.wikisource.org/zh-hans/滴天髓</x:v>
      </x:c>
      <x:c r="AE69" s="82" t="str">
        <x:v>采用</x:v>
      </x:c>
      <x:c r="AF69" s="82" t="str">
        <x:v>初审</x:v>
      </x:c>
      <x:c r="AG69" s="87" t="n">
        <x:v>46255</x:v>
      </x:c>
    </x:row>
    <x:row r="70">
      <x:c r="A70" s="72" t="str">
        <x:f>IF(OR(C70="",D70=""),"",B70&amp;"-"&amp;UPPER(C70)&amp;"-"&amp;TEXT(D70,"0000")&amp;"-"&amp;E70)</x:f>
        <x:v>M07-MOMENT-0064-V1.0</x:v>
      </x:c>
      <x:c r="B70" s="74" t="str">
        <x:v>M07</x:v>
      </x:c>
      <x:c r="C70" s="74" t="str">
        <x:v>MOMENT</x:v>
      </x:c>
      <x:c r="D70" s="79" t="n">
        <x:v>64</x:v>
      </x:c>
      <x:c r="E70" s="74" t="str">
        <x:v>V1.0</x:v>
      </x:c>
      <x:c r="F70" s="68" t="str">
        <x:v>成势是综合结论不得继续把全部子证据线性相加</x:v>
      </x:c>
      <x:c r="G70" s="82" t="str">
        <x:v>结构层</x:v>
      </x:c>
      <x:c r="H70" s="68" t="str">
        <x:v>成势/汇总去重</x:v>
      </x:c>
      <x:c r="I70" s="82"/>
      <x:c r="J70" s="68" t="str">
        <x:v>已经形成成势候选</x:v>
      </x:c>
      <x:c r="K70" s="68" t="str">
        <x:v>综合成势标签</x:v>
      </x:c>
      <x:c r="L70" s="68" t="str">
        <x:v>以成势标签替代对子证据的机械再加总</x:v>
      </x:c>
      <x:c r="M70" s="82" t="str">
        <x:v>不变</x:v>
      </x:c>
      <x:c r="N70" s="68" t="str">
        <x:v>高</x:v>
      </x:c>
      <x:c r="O70" s="82" t="str">
        <x:v>强</x:v>
      </x:c>
      <x:c r="P70" s="68" t="str">
        <x:v>支持证据已汇总</x:v>
      </x:c>
      <x:c r="Q70" s="68" t="str">
        <x:v>成势结论可追溯到独立证据</x:v>
      </x:c>
      <x:c r="R70" s="68" t="str">
        <x:v>无</x:v>
      </x:c>
      <x:c r="S70" s="68" t="str">
        <x:v>无</x:v>
      </x:c>
      <x:c r="T70" s="90" t="str">
        <x:v>禁止“令＋根＋透＋党＋成势”五次满额累加</x:v>
      </x:c>
      <x:c r="U70" s="68" t="str">
        <x:v>需要比较五行排序时保留原始证据矩阵</x:v>
      </x:c>
      <x:c r="V70" s="82" t="str">
        <x:v>否</x:v>
      </x:c>
      <x:c r="W70" s="84" t="str">
        <x:v>成势汇总</x:v>
      </x:c>
      <x:c r="X70" s="84" t="str">
        <x:v>成势是令根透源党汇合后的综合标签，不应在子证据总和之外再作为独立满额加权。</x:v>
      </x:c>
      <x:c r="Y70" s="82" t="str">
        <x:v>较高</x:v>
      </x:c>
      <x:c r="Z70" s="82" t="str">
        <x:v>现代综合</x:v>
      </x:c>
      <x:c r="AA70" s="68" t="str">
        <x:v>综合变量不能与其组成变量重复累计。</x:v>
      </x:c>
      <x:c r="AB70" s="68" t="str">
        <x:v>用“旺势成立”概括多维汇合，不再额外加一份成势分。</x:v>
      </x:c>
      <x:c r="AC70" s="90" t="str">
        <x:v>先累加全部证据，再把成势当新强证重复加权。</x:v>
      </x:c>
      <x:c r="AD70" s="68" t="str">
        <x:v>经典原则经结构化整理；参见：https://zh.wikisource.org/zh-hans/滴天髓</x:v>
      </x:c>
      <x:c r="AE70" s="82" t="str">
        <x:v>采用</x:v>
      </x:c>
      <x:c r="AF70" s="82" t="str">
        <x:v>初审</x:v>
      </x:c>
      <x:c r="AG70" s="87" t="n">
        <x:v>46255</x:v>
      </x:c>
    </x:row>
    <x:row r="71">
      <x:c r="A71" s="72" t="str">
        <x:f>IF(OR(C71="",D71=""),"",B71&amp;"-"&amp;UPPER(C71)&amp;"-"&amp;TEXT(D71,"0000")&amp;"-"&amp;E71)</x:f>
        <x:v>M07-CHAIN-0065-V1.0</x:v>
      </x:c>
      <x:c r="B71" s="74" t="str">
        <x:v>M07</x:v>
      </x:c>
      <x:c r="C71" s="74" t="str">
        <x:v>CHAIN</x:v>
      </x:c>
      <x:c r="D71" s="79" t="n">
        <x:v>65</x:v>
      </x:c>
      <x:c r="E71" s="74" t="str">
        <x:v>V1.0</x:v>
      </x:c>
      <x:c r="F71" s="68" t="str">
        <x:v>生源到目标的直接一段链最具原始传递效率</x:v>
      </x:c>
      <x:c r="G71" s="82" t="str">
        <x:v>结构层</x:v>
      </x:c>
      <x:c r="H71" s="68" t="str">
        <x:v>连续生扶/一段链</x:v>
      </x:c>
      <x:c r="I71" s="82"/>
      <x:c r="J71" s="68" t="str">
        <x:v>存在生源五行直接生目标五行</x:v>
      </x:c>
      <x:c r="K71" s="68" t="str">
        <x:v>母→子一段链</x:v>
      </x:c>
      <x:c r="L71" s="68" t="str">
        <x:v>给予直接生扶证据</x:v>
      </x:c>
      <x:c r="M71" s="82" t="str">
        <x:v>增强</x:v>
      </x:c>
      <x:c r="N71" s="68" t="str">
        <x:v>中高</x:v>
      </x:c>
      <x:c r="O71" s="82" t="str">
        <x:v>中</x:v>
      </x:c>
      <x:c r="P71" s="68" t="str">
        <x:v>五行生克关系已映射</x:v>
      </x:c>
      <x:c r="Q71" s="68" t="str">
        <x:v>母与子均在原局存在</x:v>
      </x:c>
      <x:c r="R71" s="68" t="str">
        <x:v>母有力、子有根透、路径短</x:v>
      </x:c>
      <x:c r="S71" s="68" t="str">
        <x:v>母弱、子无承接或仅藏余气</x:v>
      </x:c>
      <x:c r="T71" s="90" t="str">
        <x:v>不得只凭五行相邻就假定传递充分</x:v>
      </x:c>
      <x:c r="U71" s="68" t="str">
        <x:v>实际阻断转M08/M12</x:v>
      </x:c>
      <x:c r="V71" s="82" t="str">
        <x:v>否</x:v>
      </x:c>
      <x:c r="W71" s="84" t="str">
        <x:v>直接生扶链</x:v>
      </x:c>
      <x:c r="X71" s="84" t="str">
        <x:v>原局存在生源直接流向目标的一段链；母强子能承接时，原始生扶较有效。</x:v>
      </x:c>
      <x:c r="Y71" s="82" t="str">
        <x:v>较高</x:v>
      </x:c>
      <x:c r="Z71" s="82" t="str">
        <x:v>现代综合</x:v>
      </x:c>
      <x:c r="AA71" s="68" t="str">
        <x:v>链越短，名义传递越直接。</x:v>
      </x:c>
      <x:c r="AB71" s="68" t="str">
        <x:v>水有力直接生木，木有根透，形成清楚一段链。</x:v>
      </x:c>
      <x:c r="AC71" s="90" t="str">
        <x:v>水木各一处弱藏也判强连续生扶。</x:v>
      </x:c>
      <x:c r="AD71" s="68" t="str">
        <x:v>经典原则经结构化整理；参见：https://zh.wikisource.org/zh-hans/滴天髓</x:v>
      </x:c>
      <x:c r="AE71" s="82" t="str">
        <x:v>采用</x:v>
      </x:c>
      <x:c r="AF71" s="82" t="str">
        <x:v>初审</x:v>
      </x:c>
      <x:c r="AG71" s="87" t="n">
        <x:v>46255</x:v>
      </x:c>
    </x:row>
    <x:row r="72">
      <x:c r="A72" s="72" t="str">
        <x:f>IF(OR(C72="",D72=""),"",B72&amp;"-"&amp;UPPER(C72)&amp;"-"&amp;TEXT(D72,"0000")&amp;"-"&amp;E72)</x:f>
        <x:v>M07-CHAIN-0066-V1.0</x:v>
      </x:c>
      <x:c r="B72" s="74" t="str">
        <x:v>M07</x:v>
      </x:c>
      <x:c r="C72" s="74" t="str">
        <x:v>CHAIN</x:v>
      </x:c>
      <x:c r="D72" s="79" t="n">
        <x:v>66</x:v>
      </x:c>
      <x:c r="E72" s="74" t="str">
        <x:v>V1.0</x:v>
      </x:c>
      <x:c r="F72" s="68" t="str">
        <x:v>两段连续链须中间五行真实存在且有承载</x:v>
      </x:c>
      <x:c r="G72" s="82" t="str">
        <x:v>结构层</x:v>
      </x:c>
      <x:c r="H72" s="68" t="str">
        <x:v>连续生扶/两段链</x:v>
      </x:c>
      <x:c r="I72" s="82"/>
      <x:c r="J72" s="68" t="str">
        <x:v>存在上游→生源→目标的两段相生</x:v>
      </x:c>
      <x:c r="K72" s="68" t="str">
        <x:v>祖→母→子两段链</x:v>
      </x:c>
      <x:c r="L72" s="68" t="str">
        <x:v>给予中等连续支持，低于直接强源</x:v>
      </x:c>
      <x:c r="M72" s="82" t="str">
        <x:v>增强</x:v>
      </x:c>
      <x:c r="N72" s="68" t="str">
        <x:v>中</x:v>
      </x:c>
      <x:c r="O72" s="82" t="str">
        <x:v>中</x:v>
      </x:c>
      <x:c r="P72" s="68" t="str">
        <x:v>三类五行均已识别</x:v>
      </x:c>
      <x:c r="Q72" s="68" t="str">
        <x:v>中间五行不缺失且至少有基础力量</x:v>
      </x:c>
      <x:c r="R72" s="68" t="str">
        <x:v>三节点均有根透、季令支持、路径连续</x:v>
      </x:c>
      <x:c r="S72" s="68" t="str">
        <x:v>中间五行无根无透或仅弱余气</x:v>
      </x:c>
      <x:c r="T72" s="90" t="str">
        <x:v>不得跨越缺失中间五行建立虚假链</x:v>
      </x:c>
      <x:c r="U72" s="68" t="str">
        <x:v>更长链转M12评估衰减</x:v>
      </x:c>
      <x:c r="V72" s="82" t="str">
        <x:v>否</x:v>
      </x:c>
      <x:c r="W72" s="84" t="str">
        <x:v>两段生扶链</x:v>
      </x:c>
      <x:c r="X72" s="84" t="str">
        <x:v>上游经中间五行生到目标，链条完整可提供连续支持；中间节点决定链的上限。</x:v>
      </x:c>
      <x:c r="Y72" s="82" t="str">
        <x:v>中等</x:v>
      </x:c>
      <x:c r="Z72" s="82" t="str">
        <x:v>现代综合</x:v>
      </x:c>
      <x:c r="AA72" s="68" t="str">
        <x:v>链的强度受最弱节点限制。</x:v>
      </x:c>
      <x:c r="AB72" s="68" t="str">
        <x:v>金有力生水，水有根透再生木，木获两段支持。</x:v>
      </x:c>
      <x:c r="AC72" s="90" t="str">
        <x:v>金与木同见而水缺失，仍称金水木连续流通。</x:v>
      </x:c>
      <x:c r="AD72" s="68" t="str">
        <x:v>经典原则经结构化整理；参见：https://zh.wikisource.org/zh-hans/滴天髓</x:v>
      </x:c>
      <x:c r="AE72" s="82" t="str">
        <x:v>采用</x:v>
      </x:c>
      <x:c r="AF72" s="82" t="str">
        <x:v>初审</x:v>
      </x:c>
      <x:c r="AG72" s="87" t="n">
        <x:v>46255</x:v>
      </x:c>
    </x:row>
    <x:row r="73">
      <x:c r="A73" s="72" t="str">
        <x:f>IF(OR(C73="",D73=""),"",B73&amp;"-"&amp;UPPER(C73)&amp;"-"&amp;TEXT(D73,"0000")&amp;"-"&amp;E73)</x:f>
        <x:v>M07-CHAIN-0067-V1.0</x:v>
      </x:c>
      <x:c r="B73" s="74" t="str">
        <x:v>M07</x:v>
      </x:c>
      <x:c r="C73" s="74" t="str">
        <x:v>CHAIN</x:v>
      </x:c>
      <x:c r="D73" s="79" t="n">
        <x:v>67</x:v>
      </x:c>
      <x:c r="E73" s="74" t="str">
        <x:v>V1.0</x:v>
      </x:c>
      <x:c r="F73" s="68" t="str">
        <x:v>透干连续链比全藏链显露度更高</x:v>
      </x:c>
      <x:c r="G73" s="82" t="str">
        <x:v>结构层</x:v>
      </x:c>
      <x:c r="H73" s="68" t="str">
        <x:v>连续生扶/显露</x:v>
      </x:c>
      <x:c r="I73" s="82"/>
      <x:c r="J73" s="68" t="str">
        <x:v>生扶链各节点至少两段在天干明现</x:v>
      </x:c>
      <x:c r="K73" s="68" t="str">
        <x:v>明链</x:v>
      </x:c>
      <x:c r="L73" s="68" t="str">
        <x:v>提高链路可见度与直接性</x:v>
      </x:c>
      <x:c r="M73" s="82" t="str">
        <x:v>增强</x:v>
      </x:c>
      <x:c r="N73" s="68" t="str">
        <x:v>低</x:v>
      </x:c>
      <x:c r="O73" s="82" t="str">
        <x:v>弱</x:v>
      </x:c>
      <x:c r="P73" s="68" t="str">
        <x:v>链条成立且透干状态已标注</x:v>
      </x:c>
      <x:c r="Q73" s="68" t="str">
        <x:v>生源与目标或中间节点明现</x:v>
      </x:c>
      <x:c r="R73" s="68" t="str">
        <x:v>各节点有根、位置相邻</x:v>
      </x:c>
      <x:c r="S73" s="68" t="str">
        <x:v>虽透但均无根或链路遥隔</x:v>
      </x:c>
      <x:c r="T73" s="90" t="str">
        <x:v>不得把明链直接等同有效流通完成</x:v>
      </x:c>
      <x:c r="U73" s="68" t="str">
        <x:v>合克阻断转M06/M08</x:v>
      </x:c>
      <x:c r="V73" s="82" t="str">
        <x:v>否</x:v>
      </x:c>
      <x:c r="W73" s="84" t="str">
        <x:v>显露生扶链</x:v>
      </x:c>
      <x:c r="X73" s="84" t="str">
        <x:v>生扶链在天干明现，传递路径较清楚；根气与实际阻断仍需后续判断。</x:v>
      </x:c>
      <x:c r="Y73" s="82" t="str">
        <x:v>中等</x:v>
      </x:c>
      <x:c r="Z73" s="82" t="str">
        <x:v>现代综合</x:v>
      </x:c>
      <x:c r="AA73" s="68" t="str">
        <x:v>显露提高观察到的作用通道，但不是绝对效力。</x:v>
      </x:c>
      <x:c r="AB73" s="68" t="str">
        <x:v>庚壬甲连续透干且各有根，金水木生链较清楚。</x:v>
      </x:c>
      <x:c r="AC73" s="90" t="str">
        <x:v>庚壬甲均无根，只因连续排列便判强流通。</x:v>
      </x:c>
      <x:c r="AD73" s="68" t="str">
        <x:v>经典原则经结构化整理；参见：https://zh.wikisource.org/zh-hans/滴天髓</x:v>
      </x:c>
      <x:c r="AE73" s="82" t="str">
        <x:v>待验证</x:v>
      </x:c>
      <x:c r="AF73" s="82" t="str">
        <x:v>初审</x:v>
      </x:c>
      <x:c r="AG73" s="87" t="n">
        <x:v>46255</x:v>
      </x:c>
    </x:row>
    <x:row r="74">
      <x:c r="A74" s="72" t="str">
        <x:f>IF(OR(C74="",D74=""),"",B74&amp;"-"&amp;UPPER(C74)&amp;"-"&amp;TEXT(D74,"0000")&amp;"-"&amp;E74)</x:f>
        <x:v>M07-CHAIN-0068-V1.0</x:v>
      </x:c>
      <x:c r="B74" s="74" t="str">
        <x:v>M07</x:v>
      </x:c>
      <x:c r="C74" s="74" t="str">
        <x:v>CHAIN</x:v>
      </x:c>
      <x:c r="D74" s="79" t="n">
        <x:v>68</x:v>
      </x:c>
      <x:c r="E74" s="74" t="str">
        <x:v>V1.0</x:v>
      </x:c>
      <x:c r="F74" s="68" t="str">
        <x:v>全链有根时连续生扶稳定性提高</x:v>
      </x:c>
      <x:c r="G74" s="82" t="str">
        <x:v>结构层</x:v>
      </x:c>
      <x:c r="H74" s="68" t="str">
        <x:v>连续生扶/根系</x:v>
      </x:c>
      <x:c r="I74" s="82"/>
      <x:c r="J74" s="68" t="str">
        <x:v>生扶链各关键节点均有根</x:v>
      </x:c>
      <x:c r="K74" s="68" t="str">
        <x:v>有根链</x:v>
      </x:c>
      <x:c r="L74" s="68" t="str">
        <x:v>提高连续支持的稳定性</x:v>
      </x:c>
      <x:c r="M74" s="82" t="str">
        <x:v>增强</x:v>
      </x:c>
      <x:c r="N74" s="68" t="str">
        <x:v>中高</x:v>
      </x:c>
      <x:c r="O74" s="82" t="str">
        <x:v>中</x:v>
      </x:c>
      <x:c r="P74" s="68" t="str">
        <x:v>链条与各节点根气已识别</x:v>
      </x:c>
      <x:c r="Q74" s="68" t="str">
        <x:v>至少生源、中间、目标均有根</x:v>
      </x:c>
      <x:c r="R74" s="68" t="str">
        <x:v>根为本气、得令或透干相应</x:v>
      </x:c>
      <x:c r="S74" s="68" t="str">
        <x:v>关键节点仅余气或共享单一弱根</x:v>
      </x:c>
      <x:c r="T74" s="90" t="str">
        <x:v>不得忽略最弱节点</x:v>
      </x:c>
      <x:c r="U74" s="68" t="str">
        <x:v>实际有效根转M08</x:v>
      </x:c>
      <x:c r="V74" s="82" t="str">
        <x:v>否</x:v>
      </x:c>
      <x:c r="W74" s="84" t="str">
        <x:v>有根生扶链</x:v>
      </x:c>
      <x:c r="X74" s="84" t="str">
        <x:v>生扶链关键节点均有根，原始传递稳定性较高；链强度仍受最弱节点限制。</x:v>
      </x:c>
      <x:c r="Y74" s="82" t="str">
        <x:v>较高</x:v>
      </x:c>
      <x:c r="Z74" s="82" t="str">
        <x:v>现代综合</x:v>
      </x:c>
      <x:c r="AA74" s="68" t="str">
        <x:v>连续链必须逐节点承载。</x:v>
      </x:c>
      <x:c r="AB74" s="68" t="str">
        <x:v>金、水、木各有根，金生水生木的原始链较稳。</x:v>
      </x:c>
      <x:c r="AC74" s="90" t="str">
        <x:v>中间水无根却按完整强链处理。</x:v>
      </x:c>
      <x:c r="AD74" s="68" t="str">
        <x:v>经典原则经结构化整理；参见：https://zh.wikisource.org/zh-hans/滴天髓</x:v>
      </x:c>
      <x:c r="AE74" s="82" t="str">
        <x:v>采用</x:v>
      </x:c>
      <x:c r="AF74" s="82" t="str">
        <x:v>初审</x:v>
      </x:c>
      <x:c r="AG74" s="87" t="n">
        <x:v>46255</x:v>
      </x:c>
    </x:row>
    <x:row r="75">
      <x:c r="A75" s="72" t="str">
        <x:f>IF(OR(C75="",D75=""),"",B75&amp;"-"&amp;UPPER(C75)&amp;"-"&amp;TEXT(D75,"0000")&amp;"-"&amp;E75)</x:f>
        <x:v>M07-CHAIN-0069-V1.0</x:v>
      </x:c>
      <x:c r="B75" s="74" t="str">
        <x:v>M07</x:v>
      </x:c>
      <x:c r="C75" s="74" t="str">
        <x:v>CHAIN</x:v>
      </x:c>
      <x:c r="D75" s="79" t="n">
        <x:v>69</x:v>
      </x:c>
      <x:c r="E75" s="74" t="str">
        <x:v>V1.0</x:v>
      </x:c>
      <x:c r="F75" s="68" t="str">
        <x:v>中间桥梁缺失时不得判连续生扶</x:v>
      </x:c>
      <x:c r="G75" s="82" t="str">
        <x:v>结构层</x:v>
      </x:c>
      <x:c r="H75" s="68" t="str">
        <x:v>连续生扶/断点</x:v>
      </x:c>
      <x:c r="I75" s="82"/>
      <x:c r="J75" s="68" t="str">
        <x:v>上游与目标存在，但相生所需中间五行缺失</x:v>
      </x:c>
      <x:c r="K75" s="68" t="str">
        <x:v>缺桥</x:v>
      </x:c>
      <x:c r="L75" s="68" t="str">
        <x:v>不建立连续生扶正证，并标记潜在断点</x:v>
      </x:c>
      <x:c r="M75" s="82" t="str">
        <x:v>阻断</x:v>
      </x:c>
      <x:c r="N75" s="68" t="str">
        <x:v>高</x:v>
      </x:c>
      <x:c r="O75" s="82" t="str">
        <x:v>强</x:v>
      </x:c>
      <x:c r="P75" s="68" t="str">
        <x:v>五行生序已确定</x:v>
      </x:c>
      <x:c r="Q75" s="68" t="str">
        <x:v>中间桥梁确实不现</x:v>
      </x:c>
      <x:c r="R75" s="68" t="str">
        <x:v>无</x:v>
      </x:c>
      <x:c r="S75" s="68" t="str">
        <x:v>岁运补齐不属于原局M07</x:v>
      </x:c>
      <x:c r="T75" s="90" t="str">
        <x:v>禁止跨级相生或凭意象补桥</x:v>
      </x:c>
      <x:c r="U75" s="68" t="str">
        <x:v>通关候选转M12/D0</x:v>
      </x:c>
      <x:c r="V75" s="82" t="str">
        <x:v>否</x:v>
      </x:c>
      <x:c r="W75" s="84" t="str">
        <x:v>原始链断</x:v>
      </x:c>
      <x:c r="X75" s="84" t="str">
        <x:v>原局中间桥梁缺失，不能建立连续生扶链；是否需要通关由M12判断。</x:v>
      </x:c>
      <x:c r="Y75" s="82" t="str">
        <x:v>确定</x:v>
      </x:c>
      <x:c r="Z75" s="82" t="str">
        <x:v>现代综合</x:v>
      </x:c>
      <x:c r="AA75" s="68" t="str">
        <x:v>五行相生必须逐段存在。</x:v>
      </x:c>
      <x:c r="AB75" s="68" t="str">
        <x:v>金与木同见而水不现，金不能直接生木。</x:v>
      </x:c>
      <x:c r="AC75" s="90" t="str">
        <x:v>把金克木的关系解释为金绕过水直接生木。</x:v>
      </x:c>
      <x:c r="AD75" s="68" t="str">
        <x:v>经典原则经结构化整理；参见：https://zh.wikisource.org/zh-hans/滴天髓</x:v>
      </x:c>
      <x:c r="AE75" s="82" t="str">
        <x:v>采用</x:v>
      </x:c>
      <x:c r="AF75" s="82" t="str">
        <x:v>初审</x:v>
      </x:c>
      <x:c r="AG75" s="87" t="n">
        <x:v>46255</x:v>
      </x:c>
    </x:row>
    <x:row r="76">
      <x:c r="A76" s="72" t="str">
        <x:f>IF(OR(C76="",D76=""),"",B76&amp;"-"&amp;UPPER(C76)&amp;"-"&amp;TEXT(D76,"0000")&amp;"-"&amp;E76)</x:f>
        <x:v>M07-CHAIN-0070-V1.0</x:v>
      </x:c>
      <x:c r="B76" s="74" t="str">
        <x:v>M07</x:v>
      </x:c>
      <x:c r="C76" s="74" t="str">
        <x:v>CHAIN</x:v>
      </x:c>
      <x:c r="D76" s="79" t="n">
        <x:v>70</x:v>
      </x:c>
      <x:c r="E76" s="74" t="str">
        <x:v>V1.0</x:v>
      </x:c>
      <x:c r="F76" s="68" t="str">
        <x:v>链路越长原始传递权重越递减</x:v>
      </x:c>
      <x:c r="G76" s="82" t="str">
        <x:v>结构层</x:v>
      </x:c>
      <x:c r="H76" s="68" t="str">
        <x:v>连续生扶/链长</x:v>
      </x:c>
      <x:c r="I76" s="82"/>
      <x:c r="J76" s="68" t="str">
        <x:v>生扶路径包含三段及以上</x:v>
      </x:c>
      <x:c r="K76" s="68" t="str">
        <x:v>长链</x:v>
      </x:c>
      <x:c r="L76" s="68" t="str">
        <x:v>保留方向性证据但降低末端支持权重</x:v>
      </x:c>
      <x:c r="M76" s="82" t="str">
        <x:v>增强</x:v>
      </x:c>
      <x:c r="N76" s="68" t="str">
        <x:v>低</x:v>
      </x:c>
      <x:c r="O76" s="82" t="str">
        <x:v>弱</x:v>
      </x:c>
      <x:c r="P76" s="68" t="str">
        <x:v>所有中间节点真实存在</x:v>
      </x:c>
      <x:c r="Q76" s="68" t="str">
        <x:v>链条连续</x:v>
      </x:c>
      <x:c r="R76" s="68" t="str">
        <x:v>节点均强且有根透</x:v>
      </x:c>
      <x:c r="S76" s="68" t="str">
        <x:v>任一节点弱、无根或共享容量</x:v>
      </x:c>
      <x:c r="T76" s="90" t="str">
        <x:v>不得把长链末端与直接生扶同权</x:v>
      </x:c>
      <x:c r="U76" s="68" t="str">
        <x:v>具体卡点与回流转M12</x:v>
      </x:c>
      <x:c r="V76" s="82" t="str">
        <x:v>否</x:v>
      </x:c>
      <x:c r="W76" s="84" t="str">
        <x:v>长链衰减</x:v>
      </x:c>
      <x:c r="X76" s="84" t="str">
        <x:v>原局存在较长生扶链，末端仍可获方向性支持，但权重随链长递减并受最弱节点限制。</x:v>
      </x:c>
      <x:c r="Y76" s="82" t="str">
        <x:v>中等</x:v>
      </x:c>
      <x:c r="Z76" s="82" t="str">
        <x:v>现代综合</x:v>
      </x:c>
      <x:c r="AA76" s="68" t="str">
        <x:v>传递链存在衰减与容量约束。</x:v>
      </x:c>
      <x:c r="AB76" s="68" t="str">
        <x:v>土金水木四段连续且各有力，木可获辅助支持但不等同水直接旺生。</x:v>
      </x:c>
      <x:c r="AC76" s="90" t="str">
        <x:v>三四段长链的末端按直接强生源计算。</x:v>
      </x:c>
      <x:c r="AD76" s="68" t="str">
        <x:v>经典原则经结构化整理；参见：https://zh.wikisource.org/zh-hans/滴天髓</x:v>
      </x:c>
      <x:c r="AE76" s="82" t="str">
        <x:v>采用</x:v>
      </x:c>
      <x:c r="AF76" s="82" t="str">
        <x:v>初审</x:v>
      </x:c>
      <x:c r="AG76" s="87" t="n">
        <x:v>46255</x:v>
      </x:c>
    </x:row>
    <x:row r="77">
      <x:c r="A77" s="72" t="str">
        <x:f>IF(OR(C77="",D77=""),"",B77&amp;"-"&amp;UPPER(C77)&amp;"-"&amp;TEXT(D77,"0000")&amp;"-"&amp;E77)</x:f>
        <x:v>M07-AGG-0071-V1.0</x:v>
      </x:c>
      <x:c r="B77" s="74" t="str">
        <x:v>M07</x:v>
      </x:c>
      <x:c r="C77" s="74" t="str">
        <x:v>AGG</x:v>
      </x:c>
      <x:c r="D77" s="79" t="n">
        <x:v>71</x:v>
      </x:c>
      <x:c r="E77" s="74" t="str">
        <x:v>V1.0</x:v>
      </x:c>
      <x:c r="F77" s="68" t="str">
        <x:v>五行原始旺衰必须按证据矩阵而非单一总分汇总</x:v>
      </x:c>
      <x:c r="G77" s="82" t="str">
        <x:v>结构层</x:v>
      </x:c>
      <x:c r="H77" s="68" t="str">
        <x:v>综合/证据矩阵</x:v>
      </x:c>
      <x:c r="I77" s="82"/>
      <x:c r="J77" s="68" t="str">
        <x:v>季令、根气、透干、生源、同党、成势与链路证据已生成</x:v>
      </x:c>
      <x:c r="K77" s="68" t="str">
        <x:v>多维证据矩阵</x:v>
      </x:c>
      <x:c r="L77" s="68" t="str">
        <x:v>按独立性、强弱与方向汇总，允许保留正反并存</x:v>
      </x:c>
      <x:c r="M77" s="82" t="str">
        <x:v>条件性</x:v>
      </x:c>
      <x:c r="N77" s="68" t="str">
        <x:v>高</x:v>
      </x:c>
      <x:c r="O77" s="82" t="str">
        <x:v>决定性</x:v>
      </x:c>
      <x:c r="P77" s="68" t="str">
        <x:v>M07各子模块完成</x:v>
      </x:c>
      <x:c r="Q77" s="68" t="str">
        <x:v>每项证据可追溯到具体干支节点</x:v>
      </x:c>
      <x:c r="R77" s="68" t="str">
        <x:v>多类独立证据同向</x:v>
      </x:c>
      <x:c r="S77" s="68" t="str">
        <x:v>证据共源、互相依赖或方向冲突</x:v>
      </x:c>
      <x:c r="T77" s="90" t="str">
        <x:v>禁止以固定分数和简单相加代替结构判断</x:v>
      </x:c>
      <x:c r="U77" s="68" t="str">
        <x:v>可保留内部辅助权重，但不得越过规则裁决</x:v>
      </x:c>
      <x:c r="V77" s="82" t="str">
        <x:v>否</x:v>
      </x:c>
      <x:c r="W77" s="84" t="str">
        <x:v>原始旺衰矩阵</x:v>
      </x:c>
      <x:c r="X77" s="84" t="str">
        <x:v>原始旺衰由季令、根、透、源、党、势、链的证据矩阵综合，不采用单一计数或固定总分。</x:v>
      </x:c>
      <x:c r="Y77" s="82" t="str">
        <x:v>确定</x:v>
      </x:c>
      <x:c r="Z77" s="82" t="str">
        <x:v>现代综合</x:v>
      </x:c>
      <x:c r="AA77" s="68" t="str">
        <x:v>结构化证据比机械分值更能处理相关性与例外。</x:v>
      </x:c>
      <x:c r="AB77" s="68" t="str">
        <x:v>木得令、多根、多透但无水源，支持与缺源同时记录后判旺。</x:v>
      </x:c>
      <x:c r="AC77" s="90" t="str">
        <x:v>把所有证据换成固定百分比后直接相加。</x:v>
      </x:c>
      <x:c r="AD77" s="68" t="str">
        <x:v>经典原则经结构化整理；参见：https://zh.wikisource.org/zh-hans/滴天髓</x:v>
      </x:c>
      <x:c r="AE77" s="82" t="str">
        <x:v>采用</x:v>
      </x:c>
      <x:c r="AF77" s="82" t="str">
        <x:v>初审</x:v>
      </x:c>
      <x:c r="AG77" s="87" t="n">
        <x:v>46255</x:v>
      </x:c>
    </x:row>
    <x:row r="78">
      <x:c r="A78" s="72" t="str">
        <x:f>IF(OR(C78="",D78=""),"",B78&amp;"-"&amp;UPPER(C78)&amp;"-"&amp;TEXT(D78,"0000")&amp;"-"&amp;E78)</x:f>
        <x:v>M07-AGG-0072-V1.0</x:v>
      </x:c>
      <x:c r="B78" s="74" t="str">
        <x:v>M07</x:v>
      </x:c>
      <x:c r="C78" s="74" t="str">
        <x:v>AGG</x:v>
      </x:c>
      <x:c r="D78" s="79" t="n">
        <x:v>72</x:v>
      </x:c>
      <x:c r="E78" s="74" t="str">
        <x:v>V1.0</x:v>
      </x:c>
      <x:c r="F78" s="68" t="str">
        <x:v>原始旺衰统一输出七级候选</x:v>
      </x:c>
      <x:c r="G78" s="82" t="str">
        <x:v>结构层</x:v>
      </x:c>
      <x:c r="H78" s="68" t="str">
        <x:v>综合/七级制</x:v>
      </x:c>
      <x:c r="I78" s="82"/>
      <x:c r="J78" s="68" t="str">
        <x:v>证据矩阵完成并需形成等级结论</x:v>
      </x:c>
      <x:c r="K78" s="68" t="str">
        <x:v>极弱至极旺七级</x:v>
      </x:c>
      <x:c r="L78" s="68" t="str">
        <x:v>在极弱、弱、中和偏弱、中和、中和偏旺、旺、极旺中择一候选</x:v>
      </x:c>
      <x:c r="M78" s="82" t="str">
        <x:v>条件性</x:v>
      </x:c>
      <x:c r="N78" s="68" t="str">
        <x:v>高</x:v>
      </x:c>
      <x:c r="O78" s="82" t="str">
        <x:v>强</x:v>
      </x:c>
      <x:c r="P78" s="68" t="str">
        <x:v>正向、负向与反证均已列出</x:v>
      </x:c>
      <x:c r="Q78" s="68" t="str">
        <x:v>等级选择有明确依据</x:v>
      </x:c>
      <x:c r="R78" s="68" t="str">
        <x:v>证据高度一致、边界清晰</x:v>
      </x:c>
      <x:c r="S78" s="68" t="str">
        <x:v>关键证据缺失或存在流派争议</x:v>
      </x:c>
      <x:c r="T78" s="90" t="str">
        <x:v>不得只输出“旺/弱”而不说明偏度与置信度</x:v>
      </x:c>
      <x:c r="U78" s="68" t="str">
        <x:v>特殊格局不改变原始力量事实，但格局判断另行</x:v>
      </x:c>
      <x:c r="V78" s="82" t="str">
        <x:v>条件性</x:v>
      </x:c>
      <x:c r="W78" s="84" t="str">
        <x:v>七级原始旺衰</x:v>
      </x:c>
      <x:c r="X78" s="84" t="str">
        <x:v>目标五行原始旺衰暂定为【七级之一】，并附主要支持、主要反证与置信度。</x:v>
      </x:c>
      <x:c r="Y78" s="82" t="str">
        <x:v>较高</x:v>
      </x:c>
      <x:c r="Z78" s="82" t="str">
        <x:v>现代综合</x:v>
      </x:c>
      <x:c r="AA78" s="68" t="str">
        <x:v>七级制提高边界表达精度。</x:v>
      </x:c>
      <x:c r="AB78" s="68" t="str">
        <x:v>正负证据接近但略偏支持，可定中和偏旺而非简单旺。</x:v>
      </x:c>
      <x:c r="AC78" s="90" t="str">
        <x:v>证据混合仍强行二分为旺或弱。</x:v>
      </x:c>
      <x:c r="AD78" s="68" t="str">
        <x:v>经典原则经结构化整理；参见：https://zh.wikisource.org/zh-hans/滴天髓</x:v>
      </x:c>
      <x:c r="AE78" s="82" t="str">
        <x:v>采用</x:v>
      </x:c>
      <x:c r="AF78" s="82" t="str">
        <x:v>初审</x:v>
      </x:c>
      <x:c r="AG78" s="87" t="n">
        <x:v>46255</x:v>
      </x:c>
    </x:row>
    <x:row r="79">
      <x:c r="A79" s="72" t="str">
        <x:f>IF(OR(C79="",D79=""),"",B79&amp;"-"&amp;UPPER(C79)&amp;"-"&amp;TEXT(D79,"0000")&amp;"-"&amp;E79)</x:f>
        <x:v>M07-AGG-0073-V1.0</x:v>
      </x:c>
      <x:c r="B79" s="74" t="str">
        <x:v>M07</x:v>
      </x:c>
      <x:c r="C79" s="74" t="str">
        <x:v>AGG</x:v>
      </x:c>
      <x:c r="D79" s="79" t="n">
        <x:v>73</x:v>
      </x:c>
      <x:c r="E79" s="74" t="str">
        <x:v>V1.0</x:v>
      </x:c>
      <x:c r="F79" s="68" t="str">
        <x:v>极弱候选须同时满足多项核心缺失或强负证据</x:v>
      </x:c>
      <x:c r="G79" s="82" t="str">
        <x:v>结构层</x:v>
      </x:c>
      <x:c r="H79" s="68" t="str">
        <x:v>综合/极弱门槛</x:v>
      </x:c>
      <x:c r="I79" s="82"/>
      <x:c r="J79" s="68" t="str">
        <x:v>拟将目标五行判为极弱</x:v>
      </x:c>
      <x:c r="K79" s="68" t="str">
        <x:v>极弱候选</x:v>
      </x:c>
      <x:c r="L79" s="68" t="str">
        <x:v>要求季令强不利、无根或仅微根、无透或浮透、无强源党等多项共现</x:v>
      </x:c>
      <x:c r="M79" s="82" t="str">
        <x:v>减弱</x:v>
      </x:c>
      <x:c r="N79" s="68" t="str">
        <x:v>高</x:v>
      </x:c>
      <x:c r="O79" s="82" t="str">
        <x:v>决定性</x:v>
      </x:c>
      <x:c r="P79" s="68" t="str">
        <x:v>七级评估进入极弱边界</x:v>
      </x:c>
      <x:c r="Q79" s="68" t="str">
        <x:v>至少三类核心证据共同指向弱，且无强反证</x:v>
      </x:c>
      <x:c r="R79" s="68" t="str">
        <x:v>死囚令、完全无根、完全不现或仅孤弱点</x:v>
      </x:c>
      <x:c r="S79" s="68" t="str">
        <x:v>任何得令、多本气根、强源成党反证</x:v>
      </x:c>
      <x:c r="T79" s="90" t="str">
        <x:v>禁止由一项“失令”或“无根”单独判极弱</x:v>
      </x:c>
      <x:c r="U79" s="68" t="str">
        <x:v>从格是否成立仍转M14</x:v>
      </x:c>
      <x:c r="V79" s="82" t="str">
        <x:v>条件性</x:v>
      </x:c>
      <x:c r="W79" s="84" t="str">
        <x:v>极弱门槛</x:v>
      </x:c>
      <x:c r="X79" s="84" t="str">
        <x:v>目标五行只有在季令、根、透、源、党多项共同缺失或受限时，才进入极弱候选。</x:v>
      </x:c>
      <x:c r="Y79" s="82" t="str">
        <x:v>较高</x:v>
      </x:c>
      <x:c r="Z79" s="82" t="str">
        <x:v>现代综合</x:v>
      </x:c>
      <x:c r="AA79" s="68" t="str">
        <x:v>极端等级需要多证据收敛。</x:v>
      </x:c>
      <x:c r="AB79" s="68" t="str">
        <x:v>秋木死令、无寅卯亥根、甲乙不透、无水源，可判极弱候选。</x:v>
      </x:c>
      <x:c r="AC79" s="90" t="str">
        <x:v>木失令一项便判极弱。</x:v>
      </x:c>
      <x:c r="AD79" s="68" t="str">
        <x:v>经典原则经结构化整理；参见：https://zh.wikisource.org/zh-hans/滴天髓</x:v>
      </x:c>
      <x:c r="AE79" s="82" t="str">
        <x:v>采用</x:v>
      </x:c>
      <x:c r="AF79" s="82" t="str">
        <x:v>初审</x:v>
      </x:c>
      <x:c r="AG79" s="87" t="n">
        <x:v>46255</x:v>
      </x:c>
    </x:row>
    <x:row r="80">
      <x:c r="A80" s="72" t="str">
        <x:f>IF(OR(C80="",D80=""),"",B80&amp;"-"&amp;UPPER(C80)&amp;"-"&amp;TEXT(D80,"0000")&amp;"-"&amp;E80)</x:f>
        <x:v>M07-AGG-0074-V1.0</x:v>
      </x:c>
      <x:c r="B80" s="74" t="str">
        <x:v>M07</x:v>
      </x:c>
      <x:c r="C80" s="74" t="str">
        <x:v>AGG</x:v>
      </x:c>
      <x:c r="D80" s="79" t="n">
        <x:v>74</x:v>
      </x:c>
      <x:c r="E80" s="74" t="str">
        <x:v>V1.0</x:v>
      </x:c>
      <x:c r="F80" s="68" t="str">
        <x:v>极旺候选须具多维汇合且缺少有效反证</x:v>
      </x:c>
      <x:c r="G80" s="82" t="str">
        <x:v>结构层</x:v>
      </x:c>
      <x:c r="H80" s="68" t="str">
        <x:v>综合/极旺门槛</x:v>
      </x:c>
      <x:c r="I80" s="82"/>
      <x:c r="J80" s="68" t="str">
        <x:v>拟将目标五行判为极旺</x:v>
      </x:c>
      <x:c r="K80" s="68" t="str">
        <x:v>极旺候选</x:v>
      </x:c>
      <x:c r="L80" s="68" t="str">
        <x:v>要求得令或强相、多重本气根、多透同党、强生源或明显成势共同成立</x:v>
      </x:c>
      <x:c r="M80" s="82" t="str">
        <x:v>增强</x:v>
      </x:c>
      <x:c r="N80" s="68" t="str">
        <x:v>高</x:v>
      </x:c>
      <x:c r="O80" s="82" t="str">
        <x:v>决定性</x:v>
      </x:c>
      <x:c r="P80" s="68" t="str">
        <x:v>七级评估进入极旺边界</x:v>
      </x:c>
      <x:c r="Q80" s="68" t="str">
        <x:v>至少四类独立强证据汇合且反证不足</x:v>
      </x:c>
      <x:c r="R80" s="68" t="str">
        <x:v>全局气势高度集中、异类少且无法形成有效制泄候选</x:v>
      </x:c>
      <x:c r="S80" s="68" t="str">
        <x:v>失令、无根、无源、强异类集中等任一核心反证</x:v>
      </x:c>
      <x:c r="T80" s="90" t="str">
        <x:v>禁止由数量多或一处得令单独判极旺</x:v>
      </x:c>
      <x:c r="U80" s="68" t="str">
        <x:v>专旺或从旺格局另由M14严格验证</x:v>
      </x:c>
      <x:c r="V80" s="82" t="str">
        <x:v>条件性</x:v>
      </x:c>
      <x:c r="W80" s="84" t="str">
        <x:v>极旺门槛</x:v>
      </x:c>
      <x:c r="X80" s="84" t="str">
        <x:v>目标五行需令、根、透、源、党、势多维高度汇合且缺乏强反证，才可判极旺候选。</x:v>
      </x:c>
      <x:c r="Y80" s="82" t="str">
        <x:v>较高</x:v>
      </x:c>
      <x:c r="Z80" s="82" t="str">
        <x:v>现代综合</x:v>
      </x:c>
      <x:c r="AA80" s="68" t="str">
        <x:v>极旺比旺需要更严格的独立证据门槛。</x:v>
      </x:c>
      <x:c r="AB80" s="68" t="str">
        <x:v>春木得令，寅卯亥多根、甲乙多透、水源有力、全局木势集中，可判极旺候选。</x:v>
      </x:c>
      <x:c r="AC80" s="90" t="str">
        <x:v>四个木字一数便判极旺。</x:v>
      </x:c>
      <x:c r="AD80" s="68" t="str">
        <x:v>经典原则经结构化整理；参见：https://zh.wikisource.org/zh-hans/滴天髓</x:v>
      </x:c>
      <x:c r="AE80" s="82" t="str">
        <x:v>采用</x:v>
      </x:c>
      <x:c r="AF80" s="82" t="str">
        <x:v>初审</x:v>
      </x:c>
      <x:c r="AG80" s="87" t="n">
        <x:v>46255</x:v>
      </x:c>
    </x:row>
    <x:row r="81">
      <x:c r="A81" s="72" t="str">
        <x:f>IF(OR(C81="",D81=""),"",B81&amp;"-"&amp;UPPER(C81)&amp;"-"&amp;TEXT(D81,"0000")&amp;"-"&amp;E81)</x:f>
        <x:v>M07-AGG-0075-V1.0</x:v>
      </x:c>
      <x:c r="B81" s="74" t="str">
        <x:v>M07</x:v>
      </x:c>
      <x:c r="C81" s="74" t="str">
        <x:v>AGG</x:v>
      </x:c>
      <x:c r="D81" s="79" t="n">
        <x:v>75</x:v>
      </x:c>
      <x:c r="E81" s="74" t="str">
        <x:v>V1.0</x:v>
      </x:c>
      <x:c r="F81" s="68" t="str">
        <x:v>正负证据接近时使用中和三区间并说明偏向</x:v>
      </x:c>
      <x:c r="G81" s="82" t="str">
        <x:v>结构层</x:v>
      </x:c>
      <x:c r="H81" s="68" t="str">
        <x:v>综合/中和区间</x:v>
      </x:c>
      <x:c r="I81" s="82"/>
      <x:c r="J81" s="68" t="str">
        <x:v>支持与削弱证据均明显且无一方压倒</x:v>
      </x:c>
      <x:c r="K81" s="68" t="str">
        <x:v>中和偏弱/中和/中和偏旺</x:v>
      </x:c>
      <x:c r="L81" s="68" t="str">
        <x:v>根据独立证据优势方向选择中和三区间</x:v>
      </x:c>
      <x:c r="M81" s="82" t="str">
        <x:v>条件性</x:v>
      </x:c>
      <x:c r="N81" s="68" t="str">
        <x:v>中高</x:v>
      </x:c>
      <x:c r="O81" s="82" t="str">
        <x:v>中</x:v>
      </x:c>
      <x:c r="P81" s="68" t="str">
        <x:v>证据矩阵已去重</x:v>
      </x:c>
      <x:c r="Q81" s="68" t="str">
        <x:v>正负证据均有实质基础</x:v>
      </x:c>
      <x:c r="R81" s="68" t="str">
        <x:v>一方在季令或根气上略占优势</x:v>
      </x:c>
      <x:c r="S81" s="68" t="str">
        <x:v>证据缺失或高度争议</x:v>
      </x:c>
      <x:c r="T81" s="90" t="str">
        <x:v>不得为追求确定性强行判旺或弱</x:v>
      </x:c>
      <x:c r="U81" s="68" t="str">
        <x:v>置信度低时保留双候选并列</x:v>
      </x:c>
      <x:c r="V81" s="82" t="str">
        <x:v>条件性</x:v>
      </x:c>
      <x:c r="W81" s="84" t="str">
        <x:v>中和区间</x:v>
      </x:c>
      <x:c r="X81" s="84" t="str">
        <x:v>目标五行正负证据相近，按略占优势的一方定为中和偏弱、中和或中和偏旺，并明确反证。</x:v>
      </x:c>
      <x:c r="Y81" s="82" t="str">
        <x:v>较高</x:v>
      </x:c>
      <x:c r="Z81" s="82" t="str">
        <x:v>现代综合</x:v>
      </x:c>
      <x:c r="AA81" s="68" t="str">
        <x:v>中间区间能减少边界案例的过度二分。</x:v>
      </x:c>
      <x:c r="AB81" s="68" t="str">
        <x:v>木失令但多根有水生，金火亦有制泄，可能定中和偏旺而非旺。</x:v>
      </x:c>
      <x:c r="AC81" s="90" t="str">
        <x:v>证据均衡仍武断判极旺。</x:v>
      </x:c>
      <x:c r="AD81" s="68" t="str">
        <x:v>经典原则经结构化整理；参见：https://zh.wikisource.org/zh-hans/滴天髓</x:v>
      </x:c>
      <x:c r="AE81" s="82" t="str">
        <x:v>采用</x:v>
      </x:c>
      <x:c r="AF81" s="82" t="str">
        <x:v>初审</x:v>
      </x:c>
      <x:c r="AG81" s="87" t="n">
        <x:v>46255</x:v>
      </x:c>
    </x:row>
    <x:row r="82">
      <x:c r="A82" s="72" t="str">
        <x:f>IF(OR(C82="",D82=""),"",B82&amp;"-"&amp;UPPER(C82)&amp;"-"&amp;TEXT(D82,"0000")&amp;"-"&amp;E82)</x:f>
        <x:v>M07-AGG-0076-V1.0</x:v>
      </x:c>
      <x:c r="B82" s="74" t="str">
        <x:v>M07</x:v>
      </x:c>
      <x:c r="C82" s="74" t="str">
        <x:v>AGG</x:v>
      </x:c>
      <x:c r="D82" s="79" t="n">
        <x:v>76</x:v>
      </x:c>
      <x:c r="E82" s="74" t="str">
        <x:v>V1.0</x:v>
      </x:c>
      <x:c r="F82" s="68" t="str">
        <x:v>原始旺衰输出必须包含主证、反证、等级与置信度</x:v>
      </x:c>
      <x:c r="G82" s="82" t="str">
        <x:v>结构层</x:v>
      </x:c>
      <x:c r="H82" s="68" t="str">
        <x:v>综合/输出规范</x:v>
      </x:c>
      <x:c r="I82" s="82"/>
      <x:c r="J82" s="68" t="str">
        <x:v>完成任一五行原始旺衰判断</x:v>
      </x:c>
      <x:c r="K82" s="68" t="str">
        <x:v>结构化输出</x:v>
      </x:c>
      <x:c r="L82" s="68" t="str">
        <x:v>输出原始等级、季令、根、透、源、党、势、主要反证及置信度</x:v>
      </x:c>
      <x:c r="M82" s="82" t="str">
        <x:v>不变</x:v>
      </x:c>
      <x:c r="N82" s="68" t="str">
        <x:v>高</x:v>
      </x:c>
      <x:c r="O82" s="82" t="str">
        <x:v>强</x:v>
      </x:c>
      <x:c r="P82" s="68" t="str">
        <x:v>M07评估完成</x:v>
      </x:c>
      <x:c r="Q82" s="68" t="str">
        <x:v>至少一项主证与一项反证或无反证说明</x:v>
      </x:c>
      <x:c r="R82" s="68" t="str">
        <x:v>证据来源Rule_ID与干支节点完整</x:v>
      </x:c>
      <x:c r="S82" s="68" t="str">
        <x:v>输入缺失、月令边界或流派争议</x:v>
      </x:c>
      <x:c r="T82" s="90" t="str">
        <x:v>禁止只输出一个等级标签</x:v>
      </x:c>
      <x:c r="U82" s="68" t="str">
        <x:v>五行完全不现时仍需说明无根无透无源等依据</x:v>
      </x:c>
      <x:c r="V82" s="82" t="str">
        <x:v>否</x:v>
      </x:c>
      <x:c r="W82" s="84" t="str">
        <x:v>原始旺衰输出</x:v>
      </x:c>
      <x:c r="X82" s="84" t="str">
        <x:v>原始旺衰：【等级】；主证：【令/根/透/源/党/势】；反证：【内容】；置信度：【等级】。</x:v>
      </x:c>
      <x:c r="Y82" s="82" t="str">
        <x:v>确定</x:v>
      </x:c>
      <x:c r="Z82" s="82" t="str">
        <x:v>现代综合</x:v>
      </x:c>
      <x:c r="AA82" s="68" t="str">
        <x:v>可追溯输出是后续M08修正的接口。</x:v>
      </x:c>
      <x:c r="AB82" s="68" t="str">
        <x:v>输出“水原始旺：得令、多根、双透；反证为火土泄耗候选；置信度较高”。</x:v>
      </x:c>
      <x:c r="AC82" s="90" t="str">
        <x:v>只写“水旺”，不说明任何证据。</x:v>
      </x:c>
      <x:c r="AD82" s="68" t="str">
        <x:v>经典原则经结构化整理；参见：https://zh.wikisource.org/zh-hans/滴天髓</x:v>
      </x:c>
      <x:c r="AE82" s="82" t="str">
        <x:v>采用</x:v>
      </x:c>
      <x:c r="AF82" s="82" t="str">
        <x:v>初审</x:v>
      </x:c>
      <x:c r="AG82" s="87" t="n">
        <x:v>46255</x:v>
      </x:c>
    </x:row>
    <x:row r="83">
      <x:c r="A83" s="72" t="str">
        <x:f>IF(OR(C83="",D83=""),"",B83&amp;"-"&amp;UPPER(C83)&amp;"-"&amp;TEXT(D83,"0000")&amp;"-"&amp;E83)</x:f>
        <x:v>M07-BOUND-0077-V1.0</x:v>
      </x:c>
      <x:c r="B83" s="74" t="str">
        <x:v>M07</x:v>
      </x:c>
      <x:c r="C83" s="74" t="str">
        <x:v>BOUND</x:v>
      </x:c>
      <x:c r="D83" s="79" t="n">
        <x:v>77</x:v>
      </x:c>
      <x:c r="E83" s="74" t="str">
        <x:v>V1.0</x:v>
      </x:c>
      <x:c r="F83" s="68" t="str">
        <x:v>M07不得提前应用合冲刑害造成的增减与改性</x:v>
      </x:c>
      <x:c r="G83" s="82" t="str">
        <x:v>结构层</x:v>
      </x:c>
      <x:c r="H83" s="68" t="str">
        <x:v>边界/原始有效分层</x:v>
      </x:c>
      <x:c r="I83" s="82"/>
      <x:c r="J83" s="68" t="str">
        <x:v>目标节点参与M04—M06关系</x:v>
      </x:c>
      <x:c r="K83" s="68" t="str">
        <x:v>关系效应尚未进入有效力量层</x:v>
      </x:c>
      <x:c r="L83" s="68" t="str">
        <x:v>M07按原始干支与藏干事实计力，关系修正全部转M08</x:v>
      </x:c>
      <x:c r="M83" s="82" t="str">
        <x:v>不变</x:v>
      </x:c>
      <x:c r="N83" s="68" t="str">
        <x:v>高</x:v>
      </x:c>
      <x:c r="O83" s="82" t="str">
        <x:v>决定性</x:v>
      </x:c>
      <x:c r="P83" s="68" t="str">
        <x:v>M02/M03事实层完成</x:v>
      </x:c>
      <x:c r="Q83" s="68" t="str">
        <x:v>原始输入未变</x:v>
      </x:c>
      <x:c r="R83" s="68" t="str">
        <x:v>无</x:v>
      </x:c>
      <x:c r="S83" s="68" t="str">
        <x:v>无</x:v>
      </x:c>
      <x:c r="T83" s="90" t="str">
        <x:v>禁止在M07因合冲刑害直接加减、归零或改五行</x:v>
      </x:c>
      <x:c r="U83" s="68" t="str">
        <x:v>M06已确认的效应只作为M08输入，不回写原始层</x:v>
      </x:c>
      <x:c r="V83" s="82" t="str">
        <x:v>否</x:v>
      </x:c>
      <x:c r="W83" s="84" t="str">
        <x:v>原始层边界</x:v>
      </x:c>
      <x:c r="X83" s="84" t="str">
        <x:v>本模块仅评估关系修正前的原始力量；合冲刑害的增减、冻结、激活与改性由M08处理。</x:v>
      </x:c>
      <x:c r="Y83" s="82" t="str">
        <x:v>确定</x:v>
      </x:c>
      <x:c r="Z83" s="82" t="str">
        <x:v>现代综合</x:v>
      </x:c>
      <x:c r="AA83" s="68" t="str">
        <x:v>原始—有效双系统必须保持单向依赖。</x:v>
      </x:c>
      <x:c r="AB83" s="68" t="str">
        <x:v>申子辰仍按原始三支入M07，成水局效应在M08修正。</x:v>
      </x:c>
      <x:c r="AC83" s="90" t="str">
        <x:v>一见三合就在M07覆盖原支五行。</x:v>
      </x:c>
      <x:c r="AD83" s="68" t="str">
        <x:v>经典原则经结构化整理；参见：https://zh.wikisource.org/zh-hans/滴天髓</x:v>
      </x:c>
      <x:c r="AE83" s="82" t="str">
        <x:v>采用</x:v>
      </x:c>
      <x:c r="AF83" s="82" t="str">
        <x:v>初审</x:v>
      </x:c>
      <x:c r="AG83" s="87" t="n">
        <x:v>46255</x:v>
      </x:c>
    </x:row>
    <x:row r="84">
      <x:c r="A84" s="72" t="str">
        <x:f>IF(OR(C84="",D84=""),"",B84&amp;"-"&amp;UPPER(C84)&amp;"-"&amp;TEXT(D84,"0000")&amp;"-"&amp;E84)</x:f>
        <x:v>M07-BOUND-0078-V1.0</x:v>
      </x:c>
      <x:c r="B84" s="74" t="str">
        <x:v>M07</x:v>
      </x:c>
      <x:c r="C84" s="74" t="str">
        <x:v>BOUND</x:v>
      </x:c>
      <x:c r="D84" s="79" t="n">
        <x:v>78</x:v>
      </x:c>
      <x:c r="E84" s="74" t="str">
        <x:v>V1.0</x:v>
      </x:c>
      <x:c r="F84" s="68" t="str">
        <x:v>参考权重不得转换为固定百分比或机械总分</x:v>
      </x:c>
      <x:c r="G84" s="82" t="str">
        <x:v>结构层</x:v>
      </x:c>
      <x:c r="H84" s="68" t="str">
        <x:v>边界/禁止固定分值</x:v>
      </x:c>
      <x:c r="I84" s="82"/>
      <x:c r="J84" s="68" t="str">
        <x:v>需要比较多类证据强弱</x:v>
      </x:c>
      <x:c r="K84" s="68" t="str">
        <x:v>高、中、低等参考权重</x:v>
      </x:c>
      <x:c r="L84" s="68" t="str">
        <x:v>仅用于排序与解释，不生成固定百分比</x:v>
      </x:c>
      <x:c r="M84" s="82" t="str">
        <x:v>不变</x:v>
      </x:c>
      <x:c r="N84" s="68" t="str">
        <x:v>高</x:v>
      </x:c>
      <x:c r="O84" s="82" t="str">
        <x:v>决定性</x:v>
      </x:c>
      <x:c r="P84" s="68" t="str">
        <x:v>规则权重标签已定义</x:v>
      </x:c>
      <x:c r="Q84" s="68" t="str">
        <x:v>输出保留结构判断</x:v>
      </x:c>
      <x:c r="R84" s="68" t="str">
        <x:v>案例测试可校准相对优先级</x:v>
      </x:c>
      <x:c r="S84" s="68" t="str">
        <x:v>试图跨八字使用统一分数阈值</x:v>
      </x:c>
      <x:c r="T84" s="90" t="str">
        <x:v>禁止“得令40分、根气30分”等固定公式直接定旺衰</x:v>
      </x:c>
      <x:c r="U84" s="68" t="str">
        <x:v>内部实验分值必须与正式结论分离并转M20验证</x:v>
      </x:c>
      <x:c r="V84" s="82" t="str">
        <x:v>否</x:v>
      </x:c>
      <x:c r="W84" s="84" t="str">
        <x:v>非机械计分</x:v>
      </x:c>
      <x:c r="X84" s="84" t="str">
        <x:v>本库权重只表示证据优先级，不换算固定百分比；最终等级由条件、反证与边界规则裁定。</x:v>
      </x:c>
      <x:c r="Y84" s="82" t="str">
        <x:v>确定</x:v>
      </x:c>
      <x:c r="Z84" s="82" t="str">
        <x:v>现代综合</x:v>
      </x:c>
      <x:c r="AA84" s="68" t="str">
        <x:v>固定分值难以处理共源、例外与非线性。</x:v>
      </x:c>
      <x:c r="AB84" s="68" t="str">
        <x:v>用高/中/低描述证据，再由规则门槛判等级。</x:v>
      </x:c>
      <x:c r="AC84" s="90" t="str">
        <x:v>所有八字统一按相同百分比相加。</x:v>
      </x:c>
      <x:c r="AD84" s="68" t="str">
        <x:v>经典原则经结构化整理；参见：https://zh.wikisource.org/zh-hans/滴天髓</x:v>
      </x:c>
      <x:c r="AE84" s="82" t="str">
        <x:v>采用</x:v>
      </x:c>
      <x:c r="AF84" s="82" t="str">
        <x:v>初审</x:v>
      </x:c>
      <x:c r="AG84" s="87" t="n">
        <x:v>46255</x:v>
      </x:c>
    </x:row>
    <x:row r="85">
      <x:c r="A85" s="72" t="str">
        <x:f>IF(OR(C85="",D85=""),"",B85&amp;"-"&amp;UPPER(C85)&amp;"-"&amp;TEXT(D85,"0000")&amp;"-"&amp;E85)</x:f>
        <x:v>M07-BOUND-0079-V1.0</x:v>
      </x:c>
      <x:c r="B85" s="74" t="str">
        <x:v>M07</x:v>
      </x:c>
      <x:c r="C85" s="74" t="str">
        <x:v>BOUND</x:v>
      </x:c>
      <x:c r="D85" s="79" t="n">
        <x:v>79</x:v>
      </x:c>
      <x:c r="E85" s="74" t="str">
        <x:v>V1.0</x:v>
      </x:c>
      <x:c r="F85" s="68" t="str">
        <x:v>原始旺衰不能直接推出喜神忌神或吉凶</x:v>
      </x:c>
      <x:c r="G85" s="82" t="str">
        <x:v>结构层</x:v>
      </x:c>
      <x:c r="H85" s="68" t="str">
        <x:v>边界/强弱喜忌分离</x:v>
      </x:c>
      <x:c r="I85" s="82"/>
      <x:c r="J85" s="68" t="str">
        <x:v>已得到某五行原始旺或弱结论</x:v>
      </x:c>
      <x:c r="K85" s="68" t="str">
        <x:v>强弱事实</x:v>
      </x:c>
      <x:c r="L85" s="68" t="str">
        <x:v>只向M08/M09/M10输出力量证据，不在M07评价喜忌</x:v>
      </x:c>
      <x:c r="M85" s="82" t="str">
        <x:v>不变</x:v>
      </x:c>
      <x:c r="N85" s="68" t="str">
        <x:v>高</x:v>
      </x:c>
      <x:c r="O85" s="82" t="str">
        <x:v>决定性</x:v>
      </x:c>
      <x:c r="P85" s="68" t="str">
        <x:v>M07等级已生成</x:v>
      </x:c>
      <x:c r="Q85" s="68" t="str">
        <x:v>明确当前结论仅为原始力量</x:v>
      </x:c>
      <x:c r="R85" s="68" t="str">
        <x:v>无</x:v>
      </x:c>
      <x:c r="S85" s="68" t="str">
        <x:v>无</x:v>
      </x:c>
      <x:c r="T85" s="90" t="str">
        <x:v>禁止“旺即忌、弱即喜”或“缺即补”</x:v>
      </x:c>
      <x:c r="U85" s="68" t="str">
        <x:v>喜忌由格局、调候、通关、病药与承载综合裁决</x:v>
      </x:c>
      <x:c r="V85" s="82" t="str">
        <x:v>否</x:v>
      </x:c>
      <x:c r="W85" s="84" t="str">
        <x:v>强弱喜忌分离</x:v>
      </x:c>
      <x:c r="X85" s="84" t="str">
        <x:v>目标五行原始强弱只描述力量，不直接决定吉凶与喜忌；用神判断须进入M17/M18。</x:v>
      </x:c>
      <x:c r="Y85" s="82" t="str">
        <x:v>确定</x:v>
      </x:c>
      <x:c r="Z85" s="82" t="str">
        <x:v>跨流派共识</x:v>
      </x:c>
      <x:c r="AA85" s="68" t="str">
        <x:v>同一强五行可能有用或有害，取决于结构功能。</x:v>
      </x:c>
      <x:c r="AB85" s="68" t="str">
        <x:v>官杀旺但有印化、食制时，旺不必然为忌。</x:v>
      </x:c>
      <x:c r="AC85" s="90" t="str">
        <x:v>见某五行弱就直接列为喜神。</x:v>
      </x:c>
      <x:c r="AD85" s="68" t="str">
        <x:v>经典原则经结构化整理；参见：https://zh.wikisource.org/zh-hans/滴天髓</x:v>
      </x:c>
      <x:c r="AE85" s="82" t="str">
        <x:v>采用</x:v>
      </x:c>
      <x:c r="AF85" s="82" t="str">
        <x:v>初审</x:v>
      </x:c>
      <x:c r="AG85" s="87" t="n">
        <x:v>46255</x:v>
      </x:c>
    </x:row>
    <x:row r="86">
      <x:c r="A86" s="72" t="str">
        <x:f>IF(OR(C86="",D86=""),"",B86&amp;"-"&amp;UPPER(C86)&amp;"-"&amp;TEXT(D86,"0000")&amp;"-"&amp;E86)</x:f>
        <x:v>M07-BOUND-0080-V1.0</x:v>
      </x:c>
      <x:c r="B86" s="74" t="str">
        <x:v>M07</x:v>
      </x:c>
      <x:c r="C86" s="74" t="str">
        <x:v>BOUND</x:v>
      </x:c>
      <x:c r="D86" s="79" t="n">
        <x:v>80</x:v>
      </x:c>
      <x:c r="E86" s="74" t="str">
        <x:v>V1.0</x:v>
      </x:c>
      <x:c r="F86" s="68" t="str">
        <x:v>共享节点与共源证据不得重复全额调用</x:v>
      </x:c>
      <x:c r="G86" s="82" t="str">
        <x:v>结构层</x:v>
      </x:c>
      <x:c r="H86" s="68" t="str">
        <x:v>边界/证据容量</x:v>
      </x:c>
      <x:c r="I86" s="82"/>
      <x:c r="J86" s="68" t="str">
        <x:v>同一干支节点同时承担季令、根、透、同党、生源等多个标签</x:v>
      </x:c>
      <x:c r="K86" s="68" t="str">
        <x:v>共享证据</x:v>
      </x:c>
      <x:c r="L86" s="68" t="str">
        <x:v>保留多维标签但按共享容量与相关性降低汇总权重</x:v>
      </x:c>
      <x:c r="M86" s="82" t="str">
        <x:v>不变</x:v>
      </x:c>
      <x:c r="N86" s="68" t="str">
        <x:v>高</x:v>
      </x:c>
      <x:c r="O86" s="82" t="str">
        <x:v>决定性</x:v>
      </x:c>
      <x:c r="P86" s="68" t="str">
        <x:v>每条证据已标注来源节点</x:v>
      </x:c>
      <x:c r="Q86" s="68" t="str">
        <x:v>能够识别证据共源</x:v>
      </x:c>
      <x:c r="R86" s="68" t="str">
        <x:v>另有独立节点提供同类证据</x:v>
      </x:c>
      <x:c r="S86" s="68" t="str">
        <x:v>所有支持集中于同一节点</x:v>
      </x:c>
      <x:c r="T86" s="90" t="str">
        <x:v>禁止同一节点在多个维度中被重复全额计力</x:v>
      </x:c>
      <x:c r="U86" s="68" t="str">
        <x:v>后续M08多重关系同样遵守共享容量原则</x:v>
      </x:c>
      <x:c r="V86" s="82" t="str">
        <x:v>否</x:v>
      </x:c>
      <x:c r="W86" s="84" t="str">
        <x:v>证据容量约束</x:v>
      </x:c>
      <x:c r="X86" s="84" t="str">
        <x:v>同一干支可承担多个解释标签，但有效证据容量不能被重复全额调用；独立节点才形成新增支持。</x:v>
      </x:c>
      <x:c r="Y86" s="82" t="str">
        <x:v>确定</x:v>
      </x:c>
      <x:c r="Z86" s="82" t="str">
        <x:v>现代综合</x:v>
      </x:c>
      <x:c r="AA86" s="68" t="str">
        <x:v>去重是原始旺衰稳定性的最终保障。</x:v>
      </x:c>
      <x:c r="AB86" s="68" t="str">
        <x:v>寅月甲木同时具有得令、月支根与同党含义，汇总时标记共源。</x:v>
      </x:c>
      <x:c r="AC86" s="90" t="str">
        <x:v>同一寅木被按得令、强根、同党、成势四次满额计算。</x:v>
      </x:c>
      <x:c r="AD86" s="68" t="str">
        <x:v>经典原则经结构化整理；参见：https://zh.wikisource.org/zh-hans/滴天髓</x:v>
      </x:c>
      <x:c r="AE86" s="82" t="str">
        <x:v>采用</x:v>
      </x:c>
      <x:c r="AF86" s="82" t="str">
        <x:v>初审</x:v>
      </x:c>
      <x:c r="AG86" s="87" t="n">
        <x:v>46255</x:v>
      </x:c>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'99_下拉选项'!$BG$4:$BG$22</x:formula1>
    </x:dataValidation>
  </x:dataValidations>
  <x:pageMargins left="0.7" right="0.7" top="0.75" bottom="0.75" header="0.3" footer="0.3"/>
  <x:tableParts count="1">
    <x:tablePart xmlns:r="http://schemas.openxmlformats.org/officeDocument/2006/relationships" r:id="R6a6e0226b85c49db"/>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将M07原始力量经合冲刑害、生克泄耗、根气变化、合化成局、寒凝燥枯与流通状态修正为真正可发挥的有效力量。本版录入110条正式规则，形成根源透达、克泄耗、改性、气候与流通的统一修正链。</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填写约束：一行只写一条原子规则；M08只承接M06实际效应，不直接读取M05关系名；同源证据必须去重；固定百分比不得作为最终裁决；有效旺衰与喜忌用神严格分离。示例行序号9999，不计入正式规则。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v>M08-ROOT-0001-V1.0</x:v>
      </x:c>
      <x:c r="B7" s="74" t="str">
        <x:v>M08</x:v>
      </x:c>
      <x:c r="C7" s="74" t="str">
        <x:v>ROOT</x:v>
      </x:c>
      <x:c r="D7" s="79" t="n">
        <x:v>1</x:v>
      </x:c>
      <x:c r="E7" s="74" t="str">
        <x:v>V1.0</x:v>
      </x:c>
      <x:c r="F7" s="68" t="str">
        <x:v>唯一强根未被实质破坏时保留主要承载力</x:v>
      </x:c>
      <x:c r="G7" s="82" t="str">
        <x:v>结构层</x:v>
      </x:c>
      <x:c r="H7" s="68" t="str">
        <x:v>M03根气+M06关系效应</x:v>
      </x:c>
      <x:c r="I7" s="68" t="str">
        <x:v>目标五行</x:v>
      </x:c>
      <x:c r="J7" s="68" t="str">
        <x:v>有唯一强根</x:v>
      </x:c>
      <x:c r="K7" s="68" t="str">
        <x:v>一般合冲刑害但未冲散/改性</x:v>
      </x:c>
      <x:c r="L7" s="68" t="str">
        <x:v>根气有效等级原则维持</x:v>
      </x:c>
      <x:c r="M7" s="82" t="str">
        <x:v>不变</x:v>
      </x:c>
      <x:c r="N7" s="82" t="str">
        <x:v>中</x:v>
      </x:c>
      <x:c r="O7" s="82" t="str">
        <x:v>条件性</x:v>
      </x:c>
      <x:c r="P7" s="82" t="str">
        <x:v>否</x:v>
      </x:c>
      <x:c r="Q7" s="82" t="str">
        <x:v>否</x:v>
      </x:c>
      <x:c r="R7" s="82" t="str">
        <x:v>条件性</x:v>
      </x:c>
      <x:c r="S7" s="68" t="str">
        <x:v>前置模块已完成</x:v>
      </x:c>
      <x:c r="T7" s="68" t="str">
        <x:v>作用条件真实成立</x:v>
      </x:c>
      <x:c r="U7" s="68" t="str">
        <x:v>得令、有根、有援可增强</x:v>
      </x:c>
      <x:c r="V7" s="68" t="str">
        <x:v>失令、孤立或受制可削弱</x:v>
      </x:c>
      <x:c r="W7" s="90" t="str">
        <x:v>禁止用关系名称直接替代实际效应</x:v>
      </x:c>
      <x:c r="X7" s="68" t="str">
        <x:v>特殊格局与动态岁运另模块处理</x:v>
      </x:c>
      <x:c r="Y7" s="84" t="str">
        <x:v>按证据修正有效旺衰</x:v>
      </x:c>
      <x:c r="Z7" s="68" t="str">
        <x:v>不得直接推出喜忌用神</x:v>
      </x:c>
      <x:c r="AA7" s="84" t="str">
        <x:v>有效根保留</x:v>
      </x:c>
      <x:c r="AB7" s="84" t="str">
        <x:v>强根受扰但未被实质破坏，仍保留主要承载力。</x:v>
      </x:c>
      <x:c r="AC7" s="82" t="str">
        <x:v>较高</x:v>
      </x:c>
      <x:c r="AD7" s="82" t="str">
        <x:v>现代综合</x:v>
      </x:c>
      <x:c r="AE7" s="68" t="str">
        <x:v>有效力量必须承接原始力量与实际效应，逐对象、逐节点修正。</x:v>
      </x:c>
      <x:c r="AF7" s="68" t="str">
        <x:v>按该条件逐节点修正可得到不同有效根等级。</x:v>
      </x:c>
      <x:c r="AG7" s="90" t="str">
        <x:v>仅凭关系名称或固定百分比统一扣减根气。</x:v>
      </x:c>
      <x:c r="AH7" s="68" t="str">
        <x:v>https://zh.wikisource.org/zh-hans/滴天髓 ; https://zh.wikisource.org/zh-hans/淵海子平 ; https://zh.wikisource.org/wiki/三命通會</x:v>
      </x:c>
      <x:c r="AI7" s="82" t="str">
        <x:v>采用</x:v>
      </x:c>
      <x:c r="AJ7" s="82" t="str">
        <x:v>初审</x:v>
      </x:c>
      <x:c r="AK7" s="87" t="n">
        <x:v>46255</x:v>
      </x:c>
    </x:row>
    <x:row r="8">
      <x:c r="A8" s="72" t="str">
        <x:f>IF(OR(C8="",D8=""),"",B8&amp;"-"&amp;UPPER(C8)&amp;"-"&amp;TEXT(D8,"0000")&amp;"-"&amp;E8)</x:f>
        <x:v>M08-ROOT-0002-V1.0</x:v>
      </x:c>
      <x:c r="B8" s="74" t="str">
        <x:v>M08</x:v>
      </x:c>
      <x:c r="C8" s="74" t="str">
        <x:v>ROOT</x:v>
      </x:c>
      <x:c r="D8" s="79" t="n">
        <x:v>2</x:v>
      </x:c>
      <x:c r="E8" s="74" t="str">
        <x:v>V1.0</x:v>
      </x:c>
      <x:c r="F8" s="68" t="str">
        <x:v>唯一弱根被强力冲散时可判有效根失效</x:v>
      </x:c>
      <x:c r="G8" s="82" t="str">
        <x:v>结构层</x:v>
      </x:c>
      <x:c r="H8" s="68" t="str">
        <x:v>M06六冲效应</x:v>
      </x:c>
      <x:c r="I8" s="68" t="str">
        <x:v>目标五行</x:v>
      </x:c>
      <x:c r="J8" s="68" t="str">
        <x:v>仅有孤弱根</x:v>
      </x:c>
      <x:c r="K8" s="68" t="str">
        <x:v>唯一弱根被强支冲散且无援</x:v>
      </x:c>
      <x:c r="L8" s="68" t="str">
        <x:v>由弱根降为无有效根</x:v>
      </x:c>
      <x:c r="M8" s="82" t="str">
        <x:v>减弱</x:v>
      </x:c>
      <x:c r="N8" s="82" t="str">
        <x:v>强</x:v>
      </x:c>
      <x:c r="O8" s="82" t="str">
        <x:v>是</x:v>
      </x:c>
      <x:c r="P8" s="82" t="str">
        <x:v>否</x:v>
      </x:c>
      <x:c r="Q8" s="82" t="str">
        <x:v>条件性</x:v>
      </x:c>
      <x:c r="R8" s="82" t="str">
        <x:v>是</x:v>
      </x:c>
      <x:c r="S8" s="68" t="str">
        <x:v>前置模块已完成</x:v>
      </x:c>
      <x:c r="T8" s="68" t="str">
        <x:v>作用条件真实成立</x:v>
      </x:c>
      <x:c r="U8" s="68" t="str">
        <x:v>得令、有根、有援可增强</x:v>
      </x:c>
      <x:c r="V8" s="68" t="str">
        <x:v>失令、孤立或受制可削弱</x:v>
      </x:c>
      <x:c r="W8" s="90" t="str">
        <x:v>禁止用关系名称直接替代实际效应</x:v>
      </x:c>
      <x:c r="X8" s="68" t="str">
        <x:v>特殊格局与动态岁运另模块处理</x:v>
      </x:c>
      <x:c r="Y8" s="84" t="str">
        <x:v>按证据修正有效旺衰</x:v>
      </x:c>
      <x:c r="Z8" s="68" t="str">
        <x:v>不得直接推出喜忌用神</x:v>
      </x:c>
      <x:c r="AA8" s="84" t="str">
        <x:v>唯一弱根失效</x:v>
      </x:c>
      <x:c r="AB8" s="84" t="str">
        <x:v>唯一弱根被强势冲散且无救应时，原有得地证据失效。</x:v>
      </x:c>
      <x:c r="AC8" s="82" t="str">
        <x:v>较高</x:v>
      </x:c>
      <x:c r="AD8" s="82" t="str">
        <x:v>现代综合</x:v>
      </x:c>
      <x:c r="AE8" s="68" t="str">
        <x:v>有效力量必须承接原始力量与实际效应，逐对象、逐节点修正。</x:v>
      </x:c>
      <x:c r="AF8" s="68" t="str">
        <x:v>按该条件逐节点修正可得到不同有效根等级。</x:v>
      </x:c>
      <x:c r="AG8" s="90" t="str">
        <x:v>仅凭关系名称或固定百分比统一扣减根气。</x:v>
      </x:c>
      <x:c r="AH8" s="68" t="str">
        <x:v>https://zh.wikisource.org/zh-hans/滴天髓 ; https://zh.wikisource.org/zh-hans/淵海子平 ; https://zh.wikisource.org/wiki/三命通會</x:v>
      </x:c>
      <x:c r="AI8" s="82" t="str">
        <x:v>采用</x:v>
      </x:c>
      <x:c r="AJ8" s="82" t="str">
        <x:v>初审</x:v>
      </x:c>
      <x:c r="AK8" s="87" t="n">
        <x:v>46255</x:v>
      </x:c>
    </x:row>
    <x:row r="9">
      <x:c r="A9" s="72" t="str">
        <x:f>IF(OR(C9="",D9=""),"",B9&amp;"-"&amp;UPPER(C9)&amp;"-"&amp;TEXT(D9,"0000")&amp;"-"&amp;E9)</x:f>
        <x:v>M08-ROOT-0003-V1.0</x:v>
      </x:c>
      <x:c r="B9" s="74" t="str">
        <x:v>M08</x:v>
      </x:c>
      <x:c r="C9" s="74" t="str">
        <x:v>ROOT</x:v>
      </x:c>
      <x:c r="D9" s="79" t="n">
        <x:v>3</x:v>
      </x:c>
      <x:c r="E9" s="74" t="str">
        <x:v>V1.0</x:v>
      </x:c>
      <x:c r="F9" s="68" t="str">
        <x:v>强根受冲且得令有援多表现为冲动而非拔根</x:v>
      </x:c>
      <x:c r="G9" s="82" t="str">
        <x:v>结构层</x:v>
      </x:c>
      <x:c r="H9" s="68" t="str">
        <x:v>M06六冲效应</x:v>
      </x:c>
      <x:c r="I9" s="68" t="str">
        <x:v>目标五行</x:v>
      </x:c>
      <x:c r="J9" s="68" t="str">
        <x:v>强根/多重根</x:v>
      </x:c>
      <x:c r="K9" s="68" t="str">
        <x:v>受冲但根势强</x:v>
      </x:c>
      <x:c r="L9" s="68" t="str">
        <x:v>保留根气并提高扰动标签</x:v>
      </x:c>
      <x:c r="M9" s="82" t="str">
        <x:v>激活</x:v>
      </x:c>
      <x:c r="N9" s="82" t="str">
        <x:v>中</x:v>
      </x:c>
      <x:c r="O9" s="82" t="str">
        <x:v>条件性</x:v>
      </x:c>
      <x:c r="P9" s="82" t="str">
        <x:v>否</x:v>
      </x:c>
      <x:c r="Q9" s="82" t="str">
        <x:v>条件性</x:v>
      </x:c>
      <x:c r="R9" s="82" t="str">
        <x:v>是</x:v>
      </x:c>
      <x:c r="S9" s="68" t="str">
        <x:v>前置模块已完成</x:v>
      </x:c>
      <x:c r="T9" s="68" t="str">
        <x:v>作用条件真实成立</x:v>
      </x:c>
      <x:c r="U9" s="68" t="str">
        <x:v>得令、有根、有援可增强</x:v>
      </x:c>
      <x:c r="V9" s="68" t="str">
        <x:v>失令、孤立或受制可削弱</x:v>
      </x:c>
      <x:c r="W9" s="90" t="str">
        <x:v>禁止用关系名称直接替代实际效应</x:v>
      </x:c>
      <x:c r="X9" s="68" t="str">
        <x:v>特殊格局与动态岁运另模块处理</x:v>
      </x:c>
      <x:c r="Y9" s="84" t="str">
        <x:v>按证据修正有效旺衰</x:v>
      </x:c>
      <x:c r="Z9" s="68" t="str">
        <x:v>不得直接推出喜忌用神</x:v>
      </x:c>
      <x:c r="AA9" s="84" t="str">
        <x:v>强根受冲保留</x:v>
      </x:c>
      <x:c r="AB9" s="84" t="str">
        <x:v>强根受冲但得令有援，主要表现为被引动与稳定性下降。</x:v>
      </x:c>
      <x:c r="AC9" s="82" t="str">
        <x:v>较高</x:v>
      </x:c>
      <x:c r="AD9" s="82" t="str">
        <x:v>现代综合</x:v>
      </x:c>
      <x:c r="AE9" s="68" t="str">
        <x:v>有效力量必须承接原始力量与实际效应，逐对象、逐节点修正。</x:v>
      </x:c>
      <x:c r="AF9" s="68" t="str">
        <x:v>按该条件逐节点修正可得到不同有效根等级。</x:v>
      </x:c>
      <x:c r="AG9" s="90" t="str">
        <x:v>仅凭关系名称或固定百分比统一扣减根气。</x:v>
      </x:c>
      <x:c r="AH9" s="68" t="str">
        <x:v>https://zh.wikisource.org/zh-hans/滴天髓 ; https://zh.wikisource.org/zh-hans/淵海子平 ; https://zh.wikisource.org/wiki/三命通會</x:v>
      </x:c>
      <x:c r="AI9" s="82" t="str">
        <x:v>采用</x:v>
      </x:c>
      <x:c r="AJ9" s="82" t="str">
        <x:v>初审</x:v>
      </x:c>
      <x:c r="AK9" s="87" t="n">
        <x:v>46255</x:v>
      </x:c>
    </x:row>
    <x:row r="10">
      <x:c r="A10" s="72" t="str">
        <x:f>IF(OR(C10="",D10=""),"",B10&amp;"-"&amp;UPPER(C10)&amp;"-"&amp;TEXT(D10,"0000")&amp;"-"&amp;E10)</x:f>
        <x:v>M08-ROOT-0004-V1.0</x:v>
      </x:c>
      <x:c r="B10" s="74" t="str">
        <x:v>M08</x:v>
      </x:c>
      <x:c r="C10" s="74" t="str">
        <x:v>ROOT</x:v>
      </x:c>
      <x:c r="D10" s="79" t="n">
        <x:v>4</x:v>
      </x:c>
      <x:c r="E10" s="74" t="str">
        <x:v>V1.0</x:v>
      </x:c>
      <x:c r="F10" s="68" t="str">
        <x:v>多重独立根可分散单一根受损风险</x:v>
      </x:c>
      <x:c r="G10" s="82" t="str">
        <x:v>结构层</x:v>
      </x:c>
      <x:c r="H10" s="68" t="str">
        <x:v>M07多根+M06效应</x:v>
      </x:c>
      <x:c r="I10" s="68" t="str">
        <x:v>目标五行</x:v>
      </x:c>
      <x:c r="J10" s="68" t="str">
        <x:v>多根</x:v>
      </x:c>
      <x:c r="K10" s="68" t="str">
        <x:v>其中一根受损</x:v>
      </x:c>
      <x:c r="L10" s="68" t="str">
        <x:v>只下调受损节点</x:v>
      </x:c>
      <x:c r="M10" s="82" t="str">
        <x:v>减弱</x:v>
      </x:c>
      <x:c r="N10" s="82" t="str">
        <x:v>中</x:v>
      </x:c>
      <x:c r="O10" s="82" t="str">
        <x:v>条件性</x:v>
      </x:c>
      <x:c r="P10" s="82" t="str">
        <x:v>否</x:v>
      </x:c>
      <x:c r="Q10" s="82" t="str">
        <x:v>否</x:v>
      </x:c>
      <x:c r="R10" s="82" t="str">
        <x:v>条件性</x:v>
      </x:c>
      <x:c r="S10" s="68" t="str">
        <x:v>前置模块已完成</x:v>
      </x:c>
      <x:c r="T10" s="68" t="str">
        <x:v>作用条件真实成立</x:v>
      </x:c>
      <x:c r="U10" s="68" t="str">
        <x:v>得令、有根、有援可增强</x:v>
      </x:c>
      <x:c r="V10" s="68" t="str">
        <x:v>失令、孤立或受制可削弱</x:v>
      </x:c>
      <x:c r="W10" s="90" t="str">
        <x:v>禁止用关系名称直接替代实际效应</x:v>
      </x:c>
      <x:c r="X10" s="68" t="str">
        <x:v>特殊格局与动态岁运另模块处理</x:v>
      </x:c>
      <x:c r="Y10" s="84" t="str">
        <x:v>按证据修正有效旺衰</x:v>
      </x:c>
      <x:c r="Z10" s="68" t="str">
        <x:v>不得直接推出喜忌用神</x:v>
      </x:c>
      <x:c r="AA10" s="84" t="str">
        <x:v>多根风险分散</x:v>
      </x:c>
      <x:c r="AB10" s="84" t="str">
        <x:v>多处独立根中一根受损，不应扩大为全部根气失效。</x:v>
      </x:c>
      <x:c r="AC10" s="82" t="str">
        <x:v>较高</x:v>
      </x:c>
      <x:c r="AD10" s="82" t="str">
        <x:v>现代综合</x:v>
      </x:c>
      <x:c r="AE10" s="68" t="str">
        <x:v>有效力量必须承接原始力量与实际效应，逐对象、逐节点修正。</x:v>
      </x:c>
      <x:c r="AF10" s="68" t="str">
        <x:v>按该条件逐节点修正可得到不同有效根等级。</x:v>
      </x:c>
      <x:c r="AG10" s="90" t="str">
        <x:v>仅凭关系名称或固定百分比统一扣减根气。</x:v>
      </x:c>
      <x:c r="AH10" s="68" t="str">
        <x:v>https://zh.wikisource.org/zh-hans/滴天髓 ; https://zh.wikisource.org/zh-hans/淵海子平 ; https://zh.wikisource.org/wiki/三命通會</x:v>
      </x:c>
      <x:c r="AI10" s="82" t="str">
        <x:v>采用</x:v>
      </x:c>
      <x:c r="AJ10" s="82" t="str">
        <x:v>初审</x:v>
      </x:c>
      <x:c r="AK10" s="87" t="n">
        <x:v>46255</x:v>
      </x:c>
    </x:row>
    <x:row r="11">
      <x:c r="A11" s="72" t="str">
        <x:f>IF(OR(C11="",D11=""),"",B11&amp;"-"&amp;UPPER(C11)&amp;"-"&amp;TEXT(D11,"0000")&amp;"-"&amp;E11)</x:f>
        <x:v>M08-ROOT-0005-V1.0</x:v>
      </x:c>
      <x:c r="B11" s="74" t="str">
        <x:v>M08</x:v>
      </x:c>
      <x:c r="C11" s="74" t="str">
        <x:v>ROOT</x:v>
      </x:c>
      <x:c r="D11" s="79" t="n">
        <x:v>5</x:v>
      </x:c>
      <x:c r="E11" s="74" t="str">
        <x:v>V1.0</x:v>
      </x:c>
      <x:c r="F11" s="68" t="str">
        <x:v>根支合绊通常先限制功能而非删除根性</x:v>
      </x:c>
      <x:c r="G11" s="82" t="str">
        <x:v>结构层</x:v>
      </x:c>
      <x:c r="H11" s="68" t="str">
        <x:v>M06六合/三合效应</x:v>
      </x:c>
      <x:c r="I11" s="68" t="str">
        <x:v>目标五行</x:v>
      </x:c>
      <x:c r="J11" s="68" t="str">
        <x:v>有根</x:v>
      </x:c>
      <x:c r="K11" s="68" t="str">
        <x:v>根支被合绊未化</x:v>
      </x:c>
      <x:c r="L11" s="68" t="str">
        <x:v>保留根性、下调调用能力</x:v>
      </x:c>
      <x:c r="M11" s="82" t="str">
        <x:v>冻结</x:v>
      </x:c>
      <x:c r="N11" s="82" t="str">
        <x:v>中</x:v>
      </x:c>
      <x:c r="O11" s="82" t="str">
        <x:v>条件性</x:v>
      </x:c>
      <x:c r="P11" s="82" t="str">
        <x:v>否</x:v>
      </x:c>
      <x:c r="Q11" s="82" t="str">
        <x:v>条件性</x:v>
      </x:c>
      <x:c r="R11" s="82" t="str">
        <x:v>是</x:v>
      </x:c>
      <x:c r="S11" s="68" t="str">
        <x:v>前置模块已完成</x:v>
      </x:c>
      <x:c r="T11" s="68" t="str">
        <x:v>作用条件真实成立</x:v>
      </x:c>
      <x:c r="U11" s="68" t="str">
        <x:v>得令、有根、有援可增强</x:v>
      </x:c>
      <x:c r="V11" s="68" t="str">
        <x:v>失令、孤立或受制可削弱</x:v>
      </x:c>
      <x:c r="W11" s="90" t="str">
        <x:v>禁止用关系名称直接替代实际效应</x:v>
      </x:c>
      <x:c r="X11" s="68" t="str">
        <x:v>特殊格局与动态岁运另模块处理</x:v>
      </x:c>
      <x:c r="Y11" s="84" t="str">
        <x:v>按证据修正有效旺衰</x:v>
      </x:c>
      <x:c r="Z11" s="68" t="str">
        <x:v>不得直接推出喜忌用神</x:v>
      </x:c>
      <x:c r="AA11" s="84" t="str">
        <x:v>根气合绊</x:v>
      </x:c>
      <x:c r="AB11" s="84" t="str">
        <x:v>根支被合绊时仍保留原五行根性，但调用受限。</x:v>
      </x:c>
      <x:c r="AC11" s="82" t="str">
        <x:v>较高</x:v>
      </x:c>
      <x:c r="AD11" s="82" t="str">
        <x:v>现代综合</x:v>
      </x:c>
      <x:c r="AE11" s="68" t="str">
        <x:v>有效力量必须承接原始力量与实际效应，逐对象、逐节点修正。</x:v>
      </x:c>
      <x:c r="AF11" s="68" t="str">
        <x:v>按该条件逐节点修正可得到不同有效根等级。</x:v>
      </x:c>
      <x:c r="AG11" s="90" t="str">
        <x:v>仅凭关系名称或固定百分比统一扣减根气。</x:v>
      </x:c>
      <x:c r="AH11" s="68" t="str">
        <x:v>https://zh.wikisource.org/zh-hans/滴天髓 ; https://zh.wikisource.org/zh-hans/淵海子平 ; https://zh.wikisource.org/wiki/三命通會</x:v>
      </x:c>
      <x:c r="AI11" s="82" t="str">
        <x:v>采用</x:v>
      </x:c>
      <x:c r="AJ11" s="82" t="str">
        <x:v>初审</x:v>
      </x:c>
      <x:c r="AK11" s="87" t="n">
        <x:v>46255</x:v>
      </x:c>
    </x:row>
    <x:row r="12">
      <x:c r="A12" s="72" t="str">
        <x:f>IF(OR(C12="",D12=""),"",B12&amp;"-"&amp;UPPER(C12)&amp;"-"&amp;TEXT(D12,"0000")&amp;"-"&amp;E12)</x:f>
        <x:v>M08-ROOT-0006-V1.0</x:v>
      </x:c>
      <x:c r="B12" s="74" t="str">
        <x:v>M08</x:v>
      </x:c>
      <x:c r="C12" s="74" t="str">
        <x:v>ROOT</x:v>
      </x:c>
      <x:c r="D12" s="79" t="n">
        <x:v>6</x:v>
      </x:c>
      <x:c r="E12" s="74" t="str">
        <x:v>V1.0</x:v>
      </x:c>
      <x:c r="F12" s="68" t="str">
        <x:v>根支合化成立时原五行根性按改性程度下调</x:v>
      </x:c>
      <x:c r="G12" s="82" t="str">
        <x:v>结构层</x:v>
      </x:c>
      <x:c r="H12" s="68" t="str">
        <x:v>M06合化成局</x:v>
      </x:c>
      <x:c r="I12" s="68" t="str">
        <x:v>目标五行</x:v>
      </x:c>
      <x:c r="J12" s="68" t="str">
        <x:v>有根</x:v>
      </x:c>
      <x:c r="K12" s="68" t="str">
        <x:v>根支参与合化且化局成立</x:v>
      </x:c>
      <x:c r="L12" s="68" t="str">
        <x:v>原根受限/失效，力量转入化神</x:v>
      </x:c>
      <x:c r="M12" s="82" t="str">
        <x:v>转化</x:v>
      </x:c>
      <x:c r="N12" s="82" t="str">
        <x:v>强</x:v>
      </x:c>
      <x:c r="O12" s="82" t="str">
        <x:v>是</x:v>
      </x:c>
      <x:c r="P12" s="82" t="str">
        <x:v>条件性</x:v>
      </x:c>
      <x:c r="Q12" s="82" t="str">
        <x:v>条件性</x:v>
      </x:c>
      <x:c r="R12" s="82" t="str">
        <x:v>是</x:v>
      </x:c>
      <x:c r="S12" s="68" t="str">
        <x:v>前置模块已完成</x:v>
      </x:c>
      <x:c r="T12" s="68" t="str">
        <x:v>作用条件真实成立</x:v>
      </x:c>
      <x:c r="U12" s="68" t="str">
        <x:v>得令、有根、有援可增强</x:v>
      </x:c>
      <x:c r="V12" s="68" t="str">
        <x:v>失令、孤立或受制可削弱</x:v>
      </x:c>
      <x:c r="W12" s="90" t="str">
        <x:v>禁止用关系名称直接替代实际效应</x:v>
      </x:c>
      <x:c r="X12" s="68" t="str">
        <x:v>特殊格局与动态岁运另模块处理</x:v>
      </x:c>
      <x:c r="Y12" s="84" t="str">
        <x:v>按证据修正有效旺衰</x:v>
      </x:c>
      <x:c r="Z12" s="68" t="str">
        <x:v>不得直接推出喜忌用神</x:v>
      </x:c>
      <x:c r="AA12" s="84" t="str">
        <x:v>根气合化改性</x:v>
      </x:c>
      <x:c r="AB12" s="84" t="str">
        <x:v>根支实质合化后，原五行根性需按改性程度下调。</x:v>
      </x:c>
      <x:c r="AC12" s="82" t="str">
        <x:v>较高</x:v>
      </x:c>
      <x:c r="AD12" s="82" t="str">
        <x:v>现代综合</x:v>
      </x:c>
      <x:c r="AE12" s="68" t="str">
        <x:v>有效力量必须承接原始力量与实际效应，逐对象、逐节点修正。</x:v>
      </x:c>
      <x:c r="AF12" s="68" t="str">
        <x:v>按该条件逐节点修正可得到不同有效根等级。</x:v>
      </x:c>
      <x:c r="AG12" s="90" t="str">
        <x:v>仅凭关系名称或固定百分比统一扣减根气。</x:v>
      </x:c>
      <x:c r="AH12" s="68" t="str">
        <x:v>https://zh.wikisource.org/zh-hans/滴天髓 ; https://zh.wikisource.org/zh-hans/淵海子平 ; https://zh.wikisource.org/wiki/三命通會</x:v>
      </x:c>
      <x:c r="AI12" s="82" t="str">
        <x:v>采用</x:v>
      </x:c>
      <x:c r="AJ12" s="82" t="str">
        <x:v>初审</x:v>
      </x:c>
      <x:c r="AK12" s="87" t="n">
        <x:v>46255</x:v>
      </x:c>
    </x:row>
    <x:row r="13">
      <x:c r="A13" s="72" t="str">
        <x:f>IF(OR(C13="",D13=""),"",B13&amp;"-"&amp;UPPER(C13)&amp;"-"&amp;TEXT(D13,"0000")&amp;"-"&amp;E13)</x:f>
        <x:v>M08-ROOT-0007-V1.0</x:v>
      </x:c>
      <x:c r="B13" s="74" t="str">
        <x:v>M08</x:v>
      </x:c>
      <x:c r="C13" s="74" t="str">
        <x:v>ROOT</x:v>
      </x:c>
      <x:c r="D13" s="79" t="n">
        <x:v>7</x:v>
      </x:c>
      <x:c r="E13" s="74" t="str">
        <x:v>V1.0</x:v>
      </x:c>
      <x:c r="F13" s="68" t="str">
        <x:v>根支被刑以刑动为主时不自动减根</x:v>
      </x:c>
      <x:c r="G13" s="82" t="str">
        <x:v>结构层</x:v>
      </x:c>
      <x:c r="H13" s="68" t="str">
        <x:v>M06三刑效应</x:v>
      </x:c>
      <x:c r="I13" s="68" t="str">
        <x:v>目标五行</x:v>
      </x:c>
      <x:c r="J13" s="68" t="str">
        <x:v>有根</x:v>
      </x:c>
      <x:c r="K13" s="68" t="str">
        <x:v>刑动无强克改性</x:v>
      </x:c>
      <x:c r="L13" s="68" t="str">
        <x:v>保留根气、增加不稳定标签</x:v>
      </x:c>
      <x:c r="M13" s="82" t="str">
        <x:v>激活</x:v>
      </x:c>
      <x:c r="N13" s="82" t="str">
        <x:v>弱</x:v>
      </x:c>
      <x:c r="O13" s="82" t="str">
        <x:v>条件性</x:v>
      </x:c>
      <x:c r="P13" s="82" t="str">
        <x:v>否</x:v>
      </x:c>
      <x:c r="Q13" s="82" t="str">
        <x:v>条件性</x:v>
      </x:c>
      <x:c r="R13" s="82" t="str">
        <x:v>是</x:v>
      </x:c>
      <x:c r="S13" s="68" t="str">
        <x:v>前置模块已完成</x:v>
      </x:c>
      <x:c r="T13" s="68" t="str">
        <x:v>作用条件真实成立</x:v>
      </x:c>
      <x:c r="U13" s="68" t="str">
        <x:v>得令、有根、有援可增强</x:v>
      </x:c>
      <x:c r="V13" s="68" t="str">
        <x:v>失令、孤立或受制可削弱</x:v>
      </x:c>
      <x:c r="W13" s="90" t="str">
        <x:v>禁止用关系名称直接替代实际效应</x:v>
      </x:c>
      <x:c r="X13" s="68" t="str">
        <x:v>特殊格局与动态岁运另模块处理</x:v>
      </x:c>
      <x:c r="Y13" s="84" t="str">
        <x:v>按证据修正有效旺衰</x:v>
      </x:c>
      <x:c r="Z13" s="68" t="str">
        <x:v>不得直接推出喜忌用神</x:v>
      </x:c>
      <x:c r="AA13" s="84" t="str">
        <x:v>刑动不拔根</x:v>
      </x:c>
      <x:c r="AB13" s="84" t="str">
        <x:v>刑动本身不等于根气受损，无强制约时根仍有效。</x:v>
      </x:c>
      <x:c r="AC13" s="82" t="str">
        <x:v>较高</x:v>
      </x:c>
      <x:c r="AD13" s="82" t="str">
        <x:v>现代综合</x:v>
      </x:c>
      <x:c r="AE13" s="68" t="str">
        <x:v>有效力量必须承接原始力量与实际效应，逐对象、逐节点修正。</x:v>
      </x:c>
      <x:c r="AF13" s="68" t="str">
        <x:v>按该条件逐节点修正可得到不同有效根等级。</x:v>
      </x:c>
      <x:c r="AG13" s="90" t="str">
        <x:v>仅凭关系名称或固定百分比统一扣减根气。</x:v>
      </x:c>
      <x:c r="AH13" s="68" t="str">
        <x:v>https://zh.wikisource.org/zh-hans/滴天髓 ; https://zh.wikisource.org/zh-hans/淵海子平 ; https://zh.wikisource.org/wiki/三命通會</x:v>
      </x:c>
      <x:c r="AI13" s="82" t="str">
        <x:v>采用</x:v>
      </x:c>
      <x:c r="AJ13" s="82" t="str">
        <x:v>初审</x:v>
      </x:c>
      <x:c r="AK13" s="87" t="n">
        <x:v>46255</x:v>
      </x:c>
    </x:row>
    <x:row r="14">
      <x:c r="A14" s="72" t="str">
        <x:f>IF(OR(C14="",D14=""),"",B14&amp;"-"&amp;UPPER(C14)&amp;"-"&amp;TEXT(D14,"0000")&amp;"-"&amp;E14)</x:f>
        <x:v>M08-ROOT-0008-V1.0</x:v>
      </x:c>
      <x:c r="B14" s="74" t="str">
        <x:v>M08</x:v>
      </x:c>
      <x:c r="C14" s="74" t="str">
        <x:v>ROOT</x:v>
      </x:c>
      <x:c r="D14" s="79" t="n">
        <x:v>8</x:v>
      </x:c>
      <x:c r="E14" s="74" t="str">
        <x:v>V1.0</x:v>
      </x:c>
      <x:c r="F14" s="68" t="str">
        <x:v>刑伤叠加强克时可下调根气有效等级</x:v>
      </x:c>
      <x:c r="G14" s="82" t="str">
        <x:v>结构层</x:v>
      </x:c>
      <x:c r="H14" s="68" t="str">
        <x:v>M06三刑+相克</x:v>
      </x:c>
      <x:c r="I14" s="68" t="str">
        <x:v>目标五行</x:v>
      </x:c>
      <x:c r="J14" s="68" t="str">
        <x:v>有根</x:v>
      </x:c>
      <x:c r="K14" s="68" t="str">
        <x:v>刑伤与独立强克/冲并见</x:v>
      </x:c>
      <x:c r="L14" s="68" t="str">
        <x:v>下调根气一至多个证据等级</x:v>
      </x:c>
      <x:c r="M14" s="82" t="str">
        <x:v>减弱</x:v>
      </x:c>
      <x:c r="N14" s="82" t="str">
        <x:v>强</x:v>
      </x:c>
      <x:c r="O14" s="82" t="str">
        <x:v>是</x:v>
      </x:c>
      <x:c r="P14" s="82" t="str">
        <x:v>否</x:v>
      </x:c>
      <x:c r="Q14" s="82" t="str">
        <x:v>条件性</x:v>
      </x:c>
      <x:c r="R14" s="82" t="str">
        <x:v>是</x:v>
      </x:c>
      <x:c r="S14" s="68" t="str">
        <x:v>前置模块已完成</x:v>
      </x:c>
      <x:c r="T14" s="68" t="str">
        <x:v>作用条件真实成立</x:v>
      </x:c>
      <x:c r="U14" s="68" t="str">
        <x:v>得令、有根、有援可增强</x:v>
      </x:c>
      <x:c r="V14" s="68" t="str">
        <x:v>失令、孤立或受制可削弱</x:v>
      </x:c>
      <x:c r="W14" s="90" t="str">
        <x:v>禁止用关系名称直接替代实际效应</x:v>
      </x:c>
      <x:c r="X14" s="68" t="str">
        <x:v>特殊格局与动态岁运另模块处理</x:v>
      </x:c>
      <x:c r="Y14" s="84" t="str">
        <x:v>按证据修正有效旺衰</x:v>
      </x:c>
      <x:c r="Z14" s="68" t="str">
        <x:v>不得直接推出喜忌用神</x:v>
      </x:c>
      <x:c r="AA14" s="84" t="str">
        <x:v>刑伤根气修正</x:v>
      </x:c>
      <x:c r="AB14" s="84" t="str">
        <x:v>刑伤叠加强克时可明显下调根气，但需去除同源重复计权。</x:v>
      </x:c>
      <x:c r="AC14" s="82" t="str">
        <x:v>较高</x:v>
      </x:c>
      <x:c r="AD14" s="82" t="str">
        <x:v>现代综合</x:v>
      </x:c>
      <x:c r="AE14" s="68" t="str">
        <x:v>有效力量必须承接原始力量与实际效应，逐对象、逐节点修正。</x:v>
      </x:c>
      <x:c r="AF14" s="68" t="str">
        <x:v>按该条件逐节点修正可得到不同有效根等级。</x:v>
      </x:c>
      <x:c r="AG14" s="90" t="str">
        <x:v>仅凭关系名称或固定百分比统一扣减根气。</x:v>
      </x:c>
      <x:c r="AH14" s="68" t="str">
        <x:v>https://zh.wikisource.org/zh-hans/滴天髓 ; https://zh.wikisource.org/zh-hans/淵海子平 ; https://zh.wikisource.org/wiki/三命通會</x:v>
      </x:c>
      <x:c r="AI14" s="82" t="str">
        <x:v>采用</x:v>
      </x:c>
      <x:c r="AJ14" s="82" t="str">
        <x:v>初审</x:v>
      </x:c>
      <x:c r="AK14" s="87" t="n">
        <x:v>46255</x:v>
      </x:c>
    </x:row>
    <x:row r="15">
      <x:c r="A15" s="72" t="str">
        <x:f>IF(OR(C15="",D15=""),"",B15&amp;"-"&amp;UPPER(C15)&amp;"-"&amp;TEXT(D15,"0000")&amp;"-"&amp;E15)</x:f>
        <x:v>M08-ROOT-0009-V1.0</x:v>
      </x:c>
      <x:c r="B15" s="74" t="str">
        <x:v>M08</x:v>
      </x:c>
      <x:c r="C15" s="74" t="str">
        <x:v>ROOT</x:v>
      </x:c>
      <x:c r="D15" s="79" t="n">
        <x:v>9</x:v>
      </x:c>
      <x:c r="E15" s="74" t="str">
        <x:v>V1.0</x:v>
      </x:c>
      <x:c r="F15" s="68" t="str">
        <x:v>害破通常只作低至中度根气修正</x:v>
      </x:c>
      <x:c r="G15" s="82" t="str">
        <x:v>结构层</x:v>
      </x:c>
      <x:c r="H15" s="68" t="str">
        <x:v>M06六害六破</x:v>
      </x:c>
      <x:c r="I15" s="68" t="str">
        <x:v>目标五行</x:v>
      </x:c>
      <x:c r="J15" s="68" t="str">
        <x:v>有根</x:v>
      </x:c>
      <x:c r="K15" s="68" t="str">
        <x:v>受害或受破</x:v>
      </x:c>
      <x:c r="L15" s="68" t="str">
        <x:v>默认只下调稳定性</x:v>
      </x:c>
      <x:c r="M15" s="82" t="str">
        <x:v>减弱</x:v>
      </x:c>
      <x:c r="N15" s="82" t="str">
        <x:v>弱</x:v>
      </x:c>
      <x:c r="O15" s="82" t="str">
        <x:v>条件性</x:v>
      </x:c>
      <x:c r="P15" s="82" t="str">
        <x:v>否</x:v>
      </x:c>
      <x:c r="Q15" s="82" t="str">
        <x:v>否</x:v>
      </x:c>
      <x:c r="R15" s="82" t="str">
        <x:v>是</x:v>
      </x:c>
      <x:c r="S15" s="68" t="str">
        <x:v>前置模块已完成</x:v>
      </x:c>
      <x:c r="T15" s="68" t="str">
        <x:v>作用条件真实成立</x:v>
      </x:c>
      <x:c r="U15" s="68" t="str">
        <x:v>得令、有根、有援可增强</x:v>
      </x:c>
      <x:c r="V15" s="68" t="str">
        <x:v>失令、孤立或受制可削弱</x:v>
      </x:c>
      <x:c r="W15" s="90" t="str">
        <x:v>禁止用关系名称直接替代实际效应</x:v>
      </x:c>
      <x:c r="X15" s="68" t="str">
        <x:v>特殊格局与动态岁运另模块处理</x:v>
      </x:c>
      <x:c r="Y15" s="84" t="str">
        <x:v>按证据修正有效旺衰</x:v>
      </x:c>
      <x:c r="Z15" s="68" t="str">
        <x:v>不得直接推出喜忌用神</x:v>
      </x:c>
      <x:c r="AA15" s="84" t="str">
        <x:v>害破低权重</x:v>
      </x:c>
      <x:c r="AB15" s="84" t="str">
        <x:v>害破默认只作低权重根气修正，叠加强作用时才升级。</x:v>
      </x:c>
      <x:c r="AC15" s="82" t="str">
        <x:v>较高</x:v>
      </x:c>
      <x:c r="AD15" s="82" t="str">
        <x:v>现代综合</x:v>
      </x:c>
      <x:c r="AE15" s="68" t="str">
        <x:v>有效力量必须承接原始力量与实际效应，逐对象、逐节点修正。</x:v>
      </x:c>
      <x:c r="AF15" s="68" t="str">
        <x:v>按该条件逐节点修正可得到不同有效根等级。</x:v>
      </x:c>
      <x:c r="AG15" s="90" t="str">
        <x:v>仅凭关系名称或固定百分比统一扣减根气。</x:v>
      </x:c>
      <x:c r="AH15" s="68" t="str">
        <x:v>https://zh.wikisource.org/zh-hans/滴天髓 ; https://zh.wikisource.org/zh-hans/淵海子平 ; https://zh.wikisource.org/wiki/三命通會</x:v>
      </x:c>
      <x:c r="AI15" s="82" t="str">
        <x:v>采用</x:v>
      </x:c>
      <x:c r="AJ15" s="82" t="str">
        <x:v>初审</x:v>
      </x:c>
      <x:c r="AK15" s="87" t="n">
        <x:v>46255</x:v>
      </x:c>
    </x:row>
    <x:row r="16">
      <x:c r="A16" s="72" t="str">
        <x:f>IF(OR(C16="",D16=""),"",B16&amp;"-"&amp;UPPER(C16)&amp;"-"&amp;TEXT(D16,"0000")&amp;"-"&amp;E16)</x:f>
        <x:v>M08-ROOT-0010-V1.0</x:v>
      </x:c>
      <x:c r="B16" s="74" t="str">
        <x:v>M08</x:v>
      </x:c>
      <x:c r="C16" s="74" t="str">
        <x:v>ROOT</x:v>
      </x:c>
      <x:c r="D16" s="79" t="n">
        <x:v>10</x:v>
      </x:c>
      <x:c r="E16" s="74" t="str">
        <x:v>V1.0</x:v>
      </x:c>
      <x:c r="F16" s="68" t="str">
        <x:v>墓库根被冲需区分开库、冲动与冲坏</x:v>
      </x:c>
      <x:c r="G16" s="82" t="str">
        <x:v>结构层</x:v>
      </x:c>
      <x:c r="H16" s="68" t="str">
        <x:v>M06六冲/墓库</x:v>
      </x:c>
      <x:c r="I16" s="68" t="str">
        <x:v>目标五行</x:v>
      </x:c>
      <x:c r="J16" s="68" t="str">
        <x:v>库根</x:v>
      </x:c>
      <x:c r="K16" s="68" t="str">
        <x:v>墓库逢冲</x:v>
      </x:c>
      <x:c r="L16" s="68" t="str">
        <x:v>按开库/冲动/冲坏分别修正</x:v>
      </x:c>
      <x:c r="M16" s="82" t="str">
        <x:v>条件性</x:v>
      </x:c>
      <x:c r="N16" s="82" t="str">
        <x:v>强</x:v>
      </x:c>
      <x:c r="O16" s="82" t="str">
        <x:v>条件性</x:v>
      </x:c>
      <x:c r="P16" s="82" t="str">
        <x:v>条件性</x:v>
      </x:c>
      <x:c r="Q16" s="82" t="str">
        <x:v>条件性</x:v>
      </x:c>
      <x:c r="R16" s="82" t="str">
        <x:v>是</x:v>
      </x:c>
      <x:c r="S16" s="68" t="str">
        <x:v>前置模块已完成</x:v>
      </x:c>
      <x:c r="T16" s="68" t="str">
        <x:v>作用条件真实成立</x:v>
      </x:c>
      <x:c r="U16" s="68" t="str">
        <x:v>得令、有根、有援可增强</x:v>
      </x:c>
      <x:c r="V16" s="68" t="str">
        <x:v>失令、孤立或受制可削弱</x:v>
      </x:c>
      <x:c r="W16" s="90" t="str">
        <x:v>禁止用关系名称直接替代实际效应</x:v>
      </x:c>
      <x:c r="X16" s="68" t="str">
        <x:v>特殊格局与动态岁运另模块处理</x:v>
      </x:c>
      <x:c r="Y16" s="84" t="str">
        <x:v>按证据修正有效旺衰</x:v>
      </x:c>
      <x:c r="Z16" s="68" t="str">
        <x:v>不得直接推出喜忌用神</x:v>
      </x:c>
      <x:c r="AA16" s="84" t="str">
        <x:v>墓库冲效应</x:v>
      </x:c>
      <x:c r="AB16" s="84" t="str">
        <x:v>墓库逢冲不得一律开库，应按实际藏干可用性调整。</x:v>
      </x:c>
      <x:c r="AC16" s="82" t="str">
        <x:v>较高</x:v>
      </x:c>
      <x:c r="AD16" s="82" t="str">
        <x:v>现代综合</x:v>
      </x:c>
      <x:c r="AE16" s="68" t="str">
        <x:v>有效力量必须承接原始力量与实际效应，逐对象、逐节点修正。</x:v>
      </x:c>
      <x:c r="AF16" s="68" t="str">
        <x:v>按该条件逐节点修正可得到不同有效根等级。</x:v>
      </x:c>
      <x:c r="AG16" s="90" t="str">
        <x:v>仅凭关系名称或固定百分比统一扣减根气。</x:v>
      </x:c>
      <x:c r="AH16" s="68" t="str">
        <x:v>https://zh.wikisource.org/zh-hans/滴天髓 ; https://zh.wikisource.org/zh-hans/淵海子平 ; https://zh.wikisource.org/wiki/三命通會</x:v>
      </x:c>
      <x:c r="AI16" s="82" t="str">
        <x:v>采用</x:v>
      </x:c>
      <x:c r="AJ16" s="82" t="str">
        <x:v>初审</x:v>
      </x:c>
      <x:c r="AK16" s="87" t="n">
        <x:v>46255</x:v>
      </x:c>
    </x:row>
    <x:row r="17">
      <x:c r="A17" s="72" t="str">
        <x:f>IF(OR(C17="",D17=""),"",B17&amp;"-"&amp;UPPER(C17)&amp;"-"&amp;TEXT(D17,"0000")&amp;"-"&amp;E17)</x:f>
        <x:v>M08-ROOT-0011-V1.0</x:v>
      </x:c>
      <x:c r="B17" s="74" t="str">
        <x:v>M08</x:v>
      </x:c>
      <x:c r="C17" s="74" t="str">
        <x:v>ROOT</x:v>
      </x:c>
      <x:c r="D17" s="79" t="n">
        <x:v>11</x:v>
      </x:c>
      <x:c r="E17" s="74" t="str">
        <x:v>V1.0</x:v>
      </x:c>
      <x:c r="F17" s="68" t="str">
        <x:v>墓库被合住时藏干调用能力下降</x:v>
      </x:c>
      <x:c r="G17" s="82" t="str">
        <x:v>结构层</x:v>
      </x:c>
      <x:c r="H17" s="68" t="str">
        <x:v>M06六合/合绊</x:v>
      </x:c>
      <x:c r="I17" s="68" t="str">
        <x:v>目标五行</x:v>
      </x:c>
      <x:c r="J17" s="68" t="str">
        <x:v>库根</x:v>
      </x:c>
      <x:c r="K17" s="68" t="str">
        <x:v>库支被合绊</x:v>
      </x:c>
      <x:c r="L17" s="68" t="str">
        <x:v>库根存在、藏干调用下降</x:v>
      </x:c>
      <x:c r="M17" s="82" t="str">
        <x:v>冻结</x:v>
      </x:c>
      <x:c r="N17" s="82" t="str">
        <x:v>中</x:v>
      </x:c>
      <x:c r="O17" s="82" t="str">
        <x:v>条件性</x:v>
      </x:c>
      <x:c r="P17" s="82" t="str">
        <x:v>否</x:v>
      </x:c>
      <x:c r="Q17" s="82" t="str">
        <x:v>条件性</x:v>
      </x:c>
      <x:c r="R17" s="82" t="str">
        <x:v>是</x:v>
      </x:c>
      <x:c r="S17" s="68" t="str">
        <x:v>前置模块已完成</x:v>
      </x:c>
      <x:c r="T17" s="68" t="str">
        <x:v>作用条件真实成立</x:v>
      </x:c>
      <x:c r="U17" s="68" t="str">
        <x:v>得令、有根、有援可增强</x:v>
      </x:c>
      <x:c r="V17" s="68" t="str">
        <x:v>失令、孤立或受制可削弱</x:v>
      </x:c>
      <x:c r="W17" s="90" t="str">
        <x:v>禁止用关系名称直接替代实际效应</x:v>
      </x:c>
      <x:c r="X17" s="68" t="str">
        <x:v>特殊格局与动态岁运另模块处理</x:v>
      </x:c>
      <x:c r="Y17" s="84" t="str">
        <x:v>按证据修正有效旺衰</x:v>
      </x:c>
      <x:c r="Z17" s="68" t="str">
        <x:v>不得直接推出喜忌用神</x:v>
      </x:c>
      <x:c r="AA17" s="84" t="str">
        <x:v>库根合绊</x:v>
      </x:c>
      <x:c r="AB17" s="84" t="str">
        <x:v>库支被合绊时藏干仍存在，但有效调用能力下降。</x:v>
      </x:c>
      <x:c r="AC17" s="82" t="str">
        <x:v>较高</x:v>
      </x:c>
      <x:c r="AD17" s="82" t="str">
        <x:v>现代综合</x:v>
      </x:c>
      <x:c r="AE17" s="68" t="str">
        <x:v>有效力量必须承接原始力量与实际效应，逐对象、逐节点修正。</x:v>
      </x:c>
      <x:c r="AF17" s="68" t="str">
        <x:v>按该条件逐节点修正可得到不同有效根等级。</x:v>
      </x:c>
      <x:c r="AG17" s="90" t="str">
        <x:v>仅凭关系名称或固定百分比统一扣减根气。</x:v>
      </x:c>
      <x:c r="AH17" s="68" t="str">
        <x:v>https://zh.wikisource.org/zh-hans/滴天髓 ; https://zh.wikisource.org/zh-hans/淵海子平 ; https://zh.wikisource.org/wiki/三命通會</x:v>
      </x:c>
      <x:c r="AI17" s="82" t="str">
        <x:v>采用</x:v>
      </x:c>
      <x:c r="AJ17" s="82" t="str">
        <x:v>初审</x:v>
      </x:c>
      <x:c r="AK17" s="87" t="n">
        <x:v>46255</x:v>
      </x:c>
    </x:row>
    <x:row r="18">
      <x:c r="A18" s="72" t="str">
        <x:f>IF(OR(C18="",D18=""),"",B18&amp;"-"&amp;UPPER(C18)&amp;"-"&amp;TEXT(D18,"0000")&amp;"-"&amp;E18)</x:f>
        <x:v>M08-ROOT-0012-V1.0</x:v>
      </x:c>
      <x:c r="B18" s="74" t="str">
        <x:v>M08</x:v>
      </x:c>
      <x:c r="C18" s="74" t="str">
        <x:v>ROOT</x:v>
      </x:c>
      <x:c r="D18" s="79" t="n">
        <x:v>12</x:v>
      </x:c>
      <x:c r="E18" s="74" t="str">
        <x:v>V1.0</x:v>
      </x:c>
      <x:c r="F18" s="68" t="str">
        <x:v>透干可缓冲受损根的可调用性但不能凭空造根</x:v>
      </x:c>
      <x:c r="G18" s="82" t="str">
        <x:v>结构层</x:v>
      </x:c>
      <x:c r="H18" s="68" t="str">
        <x:v>M07透干+M06根效应</x:v>
      </x:c>
      <x:c r="I18" s="68" t="str">
        <x:v>目标五行</x:v>
      </x:c>
      <x:c r="J18" s="68" t="str">
        <x:v>根受限且同五行透干</x:v>
      </x:c>
      <x:c r="K18" s="68" t="str">
        <x:v>透根相应</x:v>
      </x:c>
      <x:c r="L18" s="68" t="str">
        <x:v>部分缓冲根损伤</x:v>
      </x:c>
      <x:c r="M18" s="82" t="str">
        <x:v>增强</x:v>
      </x:c>
      <x:c r="N18" s="82" t="str">
        <x:v>中</x:v>
      </x:c>
      <x:c r="O18" s="82" t="str">
        <x:v>条件性</x:v>
      </x:c>
      <x:c r="P18" s="82" t="str">
        <x:v>否</x:v>
      </x:c>
      <x:c r="Q18" s="82" t="str">
        <x:v>是</x:v>
      </x:c>
      <x:c r="R18" s="82" t="str">
        <x:v>条件性</x:v>
      </x:c>
      <x:c r="S18" s="68" t="str">
        <x:v>前置模块已完成</x:v>
      </x:c>
      <x:c r="T18" s="68" t="str">
        <x:v>作用条件真实成立</x:v>
      </x:c>
      <x:c r="U18" s="68" t="str">
        <x:v>得令、有根、有援可增强</x:v>
      </x:c>
      <x:c r="V18" s="68" t="str">
        <x:v>失令、孤立或受制可削弱</x:v>
      </x:c>
      <x:c r="W18" s="90" t="str">
        <x:v>禁止用关系名称直接替代实际效应</x:v>
      </x:c>
      <x:c r="X18" s="68" t="str">
        <x:v>特殊格局与动态岁运另模块处理</x:v>
      </x:c>
      <x:c r="Y18" s="84" t="str">
        <x:v>按证据修正有效旺衰</x:v>
      </x:c>
      <x:c r="Z18" s="68" t="str">
        <x:v>不得直接推出喜忌用神</x:v>
      </x:c>
      <x:c r="AA18" s="84" t="str">
        <x:v>透干缓冲根损</x:v>
      </x:c>
      <x:c r="AB18" s="84" t="str">
        <x:v>有同五行透干可缓冲根损，但不能恢复已不存在的根位。</x:v>
      </x:c>
      <x:c r="AC18" s="82" t="str">
        <x:v>较高</x:v>
      </x:c>
      <x:c r="AD18" s="82" t="str">
        <x:v>现代综合</x:v>
      </x:c>
      <x:c r="AE18" s="68" t="str">
        <x:v>有效力量必须承接原始力量与实际效应，逐对象、逐节点修正。</x:v>
      </x:c>
      <x:c r="AF18" s="68" t="str">
        <x:v>按该条件逐节点修正可得到不同有效根等级。</x:v>
      </x:c>
      <x:c r="AG18" s="90" t="str">
        <x:v>仅凭关系名称或固定百分比统一扣减根气。</x:v>
      </x:c>
      <x:c r="AH18" s="68" t="str">
        <x:v>https://zh.wikisource.org/zh-hans/滴天髓 ; https://zh.wikisource.org/zh-hans/淵海子平 ; https://zh.wikisource.org/wiki/三命通會</x:v>
      </x:c>
      <x:c r="AI18" s="82" t="str">
        <x:v>采用</x:v>
      </x:c>
      <x:c r="AJ18" s="82" t="str">
        <x:v>初审</x:v>
      </x:c>
      <x:c r="AK18" s="87" t="n">
        <x:v>46255</x:v>
      </x:c>
    </x:row>
    <x:row r="19">
      <x:c r="A19" s="72" t="str">
        <x:f>IF(OR(C19="",D19=""),"",B19&amp;"-"&amp;UPPER(C19)&amp;"-"&amp;TEXT(D19,"0000")&amp;"-"&amp;E19)</x:f>
        <x:v>M08-ROOT-0013-V1.0</x:v>
      </x:c>
      <x:c r="B19" s="74" t="str">
        <x:v>M08</x:v>
      </x:c>
      <x:c r="C19" s="74" t="str">
        <x:v>ROOT</x:v>
      </x:c>
      <x:c r="D19" s="79" t="n">
        <x:v>13</x:v>
      </x:c>
      <x:c r="E19" s="74" t="str">
        <x:v>V1.0</x:v>
      </x:c>
      <x:c r="F19" s="68" t="str">
        <x:v>多重根共同参与成局时避免原根与化神双算</x:v>
      </x:c>
      <x:c r="G19" s="82" t="str">
        <x:v>结构层</x:v>
      </x:c>
      <x:c r="H19" s="68" t="str">
        <x:v>M06成局+M07多根</x:v>
      </x:c>
      <x:c r="I19" s="68" t="str">
        <x:v>目标五行</x:v>
      </x:c>
      <x:c r="J19" s="68" t="str">
        <x:v>多根</x:v>
      </x:c>
      <x:c r="K19" s="68" t="str">
        <x:v>多支共同合会化局</x:v>
      </x:c>
      <x:c r="L19" s="68" t="str">
        <x:v>按节点分配残余原性</x:v>
      </x:c>
      <x:c r="M19" s="82" t="str">
        <x:v>转化</x:v>
      </x:c>
      <x:c r="N19" s="82" t="str">
        <x:v>强</x:v>
      </x:c>
      <x:c r="O19" s="82" t="str">
        <x:v>是</x:v>
      </x:c>
      <x:c r="P19" s="82" t="str">
        <x:v>条件性</x:v>
      </x:c>
      <x:c r="Q19" s="82" t="str">
        <x:v>条件性</x:v>
      </x:c>
      <x:c r="R19" s="82" t="str">
        <x:v>是</x:v>
      </x:c>
      <x:c r="S19" s="68" t="str">
        <x:v>前置模块已完成</x:v>
      </x:c>
      <x:c r="T19" s="68" t="str">
        <x:v>作用条件真实成立</x:v>
      </x:c>
      <x:c r="U19" s="68" t="str">
        <x:v>得令、有根、有援可增强</x:v>
      </x:c>
      <x:c r="V19" s="68" t="str">
        <x:v>失令、孤立或受制可削弱</x:v>
      </x:c>
      <x:c r="W19" s="90" t="str">
        <x:v>禁止用关系名称直接替代实际效应</x:v>
      </x:c>
      <x:c r="X19" s="68" t="str">
        <x:v>特殊格局与动态岁运另模块处理</x:v>
      </x:c>
      <x:c r="Y19" s="84" t="str">
        <x:v>按证据修正有效旺衰</x:v>
      </x:c>
      <x:c r="Z19" s="68" t="str">
        <x:v>不得直接推出喜忌用神</x:v>
      </x:c>
      <x:c r="AA19" s="84" t="str">
        <x:v>成局根气去重</x:v>
      </x:c>
      <x:c r="AB19" s="84" t="str">
        <x:v>合会成局后原根与化神力量必须去重分配。</x:v>
      </x:c>
      <x:c r="AC19" s="82" t="str">
        <x:v>较高</x:v>
      </x:c>
      <x:c r="AD19" s="82" t="str">
        <x:v>现代综合</x:v>
      </x:c>
      <x:c r="AE19" s="68" t="str">
        <x:v>有效力量必须承接原始力量与实际效应，逐对象、逐节点修正。</x:v>
      </x:c>
      <x:c r="AF19" s="68" t="str">
        <x:v>按该条件逐节点修正可得到不同有效根等级。</x:v>
      </x:c>
      <x:c r="AG19" s="90" t="str">
        <x:v>仅凭关系名称或固定百分比统一扣减根气。</x:v>
      </x:c>
      <x:c r="AH19" s="68" t="str">
        <x:v>https://zh.wikisource.org/zh-hans/滴天髓 ; https://zh.wikisource.org/zh-hans/淵海子平 ; https://zh.wikisource.org/wiki/三命通會</x:v>
      </x:c>
      <x:c r="AI19" s="82" t="str">
        <x:v>采用</x:v>
      </x:c>
      <x:c r="AJ19" s="82" t="str">
        <x:v>初审</x:v>
      </x:c>
      <x:c r="AK19" s="87" t="n">
        <x:v>46255</x:v>
      </x:c>
    </x:row>
    <x:row r="20">
      <x:c r="A20" s="72" t="str">
        <x:f>IF(OR(C20="",D20=""),"",B20&amp;"-"&amp;UPPER(C20)&amp;"-"&amp;TEXT(D20,"0000")&amp;"-"&amp;E20)</x:f>
        <x:v>M08-ROOT-0014-V1.0</x:v>
      </x:c>
      <x:c r="B20" s="74" t="str">
        <x:v>M08</x:v>
      </x:c>
      <x:c r="C20" s="74" t="str">
        <x:v>ROOT</x:v>
      </x:c>
      <x:c r="D20" s="79" t="n">
        <x:v>14</x:v>
      </x:c>
      <x:c r="E20" s="74" t="str">
        <x:v>V1.0</x:v>
      </x:c>
      <x:c r="F20" s="68" t="str">
        <x:v>根气有效性以独立节点而非标签数量汇总</x:v>
      </x:c>
      <x:c r="G20" s="82" t="str">
        <x:v>结构层</x:v>
      </x:c>
      <x:c r="H20" s="68" t="str">
        <x:v>M07证据容量</x:v>
      </x:c>
      <x:c r="I20" s="68" t="str">
        <x:v>目标五行</x:v>
      </x:c>
      <x:c r="J20" s="68" t="str">
        <x:v>多标签根证据</x:v>
      </x:c>
      <x:c r="K20" s="68" t="str">
        <x:v>同一节点被多种标签描述</x:v>
      </x:c>
      <x:c r="L20" s="68" t="str">
        <x:v>压缩为单一节点容量</x:v>
      </x:c>
      <x:c r="M20" s="82" t="str">
        <x:v>不变</x:v>
      </x:c>
      <x:c r="N20" s="82" t="str">
        <x:v>中</x:v>
      </x:c>
      <x:c r="O20" s="82" t="str">
        <x:v>否</x:v>
      </x:c>
      <x:c r="P20" s="82" t="str">
        <x:v>否</x:v>
      </x:c>
      <x:c r="Q20" s="82" t="str">
        <x:v>否</x:v>
      </x:c>
      <x:c r="R20" s="82" t="str">
        <x:v>否</x:v>
      </x:c>
      <x:c r="S20" s="68" t="str">
        <x:v>前置模块已完成</x:v>
      </x:c>
      <x:c r="T20" s="68" t="str">
        <x:v>作用条件真实成立</x:v>
      </x:c>
      <x:c r="U20" s="68" t="str">
        <x:v>得令、有根、有援可增强</x:v>
      </x:c>
      <x:c r="V20" s="68" t="str">
        <x:v>失令、孤立或受制可削弱</x:v>
      </x:c>
      <x:c r="W20" s="90" t="str">
        <x:v>禁止用关系名称直接替代实际效应</x:v>
      </x:c>
      <x:c r="X20" s="68" t="str">
        <x:v>特殊格局与动态岁运另模块处理</x:v>
      </x:c>
      <x:c r="Y20" s="84" t="str">
        <x:v>按证据修正有效旺衰</x:v>
      </x:c>
      <x:c r="Z20" s="68" t="str">
        <x:v>不得直接推出喜忌用神</x:v>
      </x:c>
      <x:c r="AA20" s="84" t="str">
        <x:v>根气证据去重</x:v>
      </x:c>
      <x:c r="AB20" s="84" t="str">
        <x:v>同一支位的根、同党、得地等标签不得重复满额加权。</x:v>
      </x:c>
      <x:c r="AC20" s="82" t="str">
        <x:v>较高</x:v>
      </x:c>
      <x:c r="AD20" s="82" t="str">
        <x:v>现代综合</x:v>
      </x:c>
      <x:c r="AE20" s="68" t="str">
        <x:v>有效力量必须承接原始力量与实际效应，逐对象、逐节点修正。</x:v>
      </x:c>
      <x:c r="AF20" s="68" t="str">
        <x:v>按该条件逐节点修正可得到不同有效根等级。</x:v>
      </x:c>
      <x:c r="AG20" s="90" t="str">
        <x:v>仅凭关系名称或固定百分比统一扣减根气。</x:v>
      </x:c>
      <x:c r="AH20" s="68" t="str">
        <x:v>https://zh.wikisource.org/zh-hans/滴天髓 ; https://zh.wikisource.org/zh-hans/淵海子平 ; https://zh.wikisource.org/wiki/三命通會</x:v>
      </x:c>
      <x:c r="AI20" s="82" t="str">
        <x:v>采用</x:v>
      </x:c>
      <x:c r="AJ20" s="82" t="str">
        <x:v>初审</x:v>
      </x:c>
      <x:c r="AK20" s="87" t="n">
        <x:v>46255</x:v>
      </x:c>
    </x:row>
    <x:row r="21">
      <x:c r="A21" s="72" t="str">
        <x:f>IF(OR(C21="",D21=""),"",B21&amp;"-"&amp;UPPER(C21)&amp;"-"&amp;TEXT(D21,"0000")&amp;"-"&amp;E21)</x:f>
        <x:v>M08-ROOT-0015-V1.0</x:v>
      </x:c>
      <x:c r="B21" s="74" t="str">
        <x:v>M08</x:v>
      </x:c>
      <x:c r="C21" s="74" t="str">
        <x:v>ROOT</x:v>
      </x:c>
      <x:c r="D21" s="79" t="n">
        <x:v>15</x:v>
      </x:c>
      <x:c r="E21" s="74" t="str">
        <x:v>V1.0</x:v>
      </x:c>
      <x:c r="F21" s="68" t="str">
        <x:v>原始无根若因已成立化局可生成条件性新根</x:v>
      </x:c>
      <x:c r="G21" s="82" t="str">
        <x:v>结构层</x:v>
      </x:c>
      <x:c r="H21" s="68" t="str">
        <x:v>M06转化接口</x:v>
      </x:c>
      <x:c r="I21" s="68" t="str">
        <x:v>目标五行</x:v>
      </x:c>
      <x:c r="J21" s="68" t="str">
        <x:v>M07判无根</x:v>
      </x:c>
      <x:c r="K21" s="68" t="str">
        <x:v>化局化出目标五行</x:v>
      </x:c>
      <x:c r="L21" s="68" t="str">
        <x:v>由无根修正为条件性新根</x:v>
      </x:c>
      <x:c r="M21" s="82" t="str">
        <x:v>转化</x:v>
      </x:c>
      <x:c r="N21" s="82" t="str">
        <x:v>中</x:v>
      </x:c>
      <x:c r="O21" s="82" t="str">
        <x:v>是</x:v>
      </x:c>
      <x:c r="P21" s="82" t="str">
        <x:v>条件性</x:v>
      </x:c>
      <x:c r="Q21" s="82" t="str">
        <x:v>条件性</x:v>
      </x:c>
      <x:c r="R21" s="82" t="str">
        <x:v>是</x:v>
      </x:c>
      <x:c r="S21" s="68" t="str">
        <x:v>前置模块已完成</x:v>
      </x:c>
      <x:c r="T21" s="68" t="str">
        <x:v>作用条件真实成立</x:v>
      </x:c>
      <x:c r="U21" s="68" t="str">
        <x:v>得令、有根、有援可增强</x:v>
      </x:c>
      <x:c r="V21" s="68" t="str">
        <x:v>失令、孤立或受制可削弱</x:v>
      </x:c>
      <x:c r="W21" s="90" t="str">
        <x:v>禁止用关系名称直接替代实际效应</x:v>
      </x:c>
      <x:c r="X21" s="68" t="str">
        <x:v>特殊格局与动态岁运另模块处理</x:v>
      </x:c>
      <x:c r="Y21" s="84" t="str">
        <x:v>按证据修正有效旺衰</x:v>
      </x:c>
      <x:c r="Z21" s="68" t="str">
        <x:v>不得直接推出喜忌用神</x:v>
      </x:c>
      <x:c r="AA21" s="84" t="str">
        <x:v>化局新生根</x:v>
      </x:c>
      <x:c r="AB21" s="84" t="str">
        <x:v>原始无根若因严格成立的化局产生目标五行，可新增条件性有效根。</x:v>
      </x:c>
      <x:c r="AC21" s="82" t="str">
        <x:v>较高</x:v>
      </x:c>
      <x:c r="AD21" s="82" t="str">
        <x:v>现代综合</x:v>
      </x:c>
      <x:c r="AE21" s="68" t="str">
        <x:v>有效力量必须承接原始力量与实际效应，逐对象、逐节点修正。</x:v>
      </x:c>
      <x:c r="AF21" s="68" t="str">
        <x:v>按该条件逐节点修正可得到不同有效根等级。</x:v>
      </x:c>
      <x:c r="AG21" s="90" t="str">
        <x:v>仅凭关系名称或固定百分比统一扣减根气。</x:v>
      </x:c>
      <x:c r="AH21" s="68" t="str">
        <x:v>https://zh.wikisource.org/zh-hans/滴天髓 ; https://zh.wikisource.org/zh-hans/淵海子平 ; https://zh.wikisource.org/wiki/三命通會</x:v>
      </x:c>
      <x:c r="AI21" s="82" t="str">
        <x:v>采用</x:v>
      </x:c>
      <x:c r="AJ21" s="82" t="str">
        <x:v>初审</x:v>
      </x:c>
      <x:c r="AK21" s="87" t="n">
        <x:v>46255</x:v>
      </x:c>
    </x:row>
    <x:row r="22">
      <x:c r="A22" s="72" t="str">
        <x:f>IF(OR(C22="",D22=""),"",B22&amp;"-"&amp;UPPER(C22)&amp;"-"&amp;TEXT(D22,"0000")&amp;"-"&amp;E22)</x:f>
        <x:v>M08-ROOT-0016-V1.0</x:v>
      </x:c>
      <x:c r="B22" s="74" t="str">
        <x:v>M08</x:v>
      </x:c>
      <x:c r="C22" s="74" t="str">
        <x:v>ROOT</x:v>
      </x:c>
      <x:c r="D22" s="79" t="n">
        <x:v>16</x:v>
      </x:c>
      <x:c r="E22" s="74" t="str">
        <x:v>V1.0</x:v>
      </x:c>
      <x:c r="F22" s="68" t="str">
        <x:v>根气强弱修正不得脱离季令与全局势能</x:v>
      </x:c>
      <x:c r="G22" s="82" t="str">
        <x:v>结构层</x:v>
      </x:c>
      <x:c r="H22" s="68" t="str">
        <x:v>M03/M07/M06综合</x:v>
      </x:c>
      <x:c r="I22" s="68" t="str">
        <x:v>目标五行</x:v>
      </x:c>
      <x:c r="J22" s="68" t="str">
        <x:v>有根</x:v>
      </x:c>
      <x:c r="K22" s="68" t="str">
        <x:v>根支处于不同全局环境</x:v>
      </x:c>
      <x:c r="L22" s="68" t="str">
        <x:v>由季令、同党、生源和对手共同限定</x:v>
      </x:c>
      <x:c r="M22" s="82" t="str">
        <x:v>条件性</x:v>
      </x:c>
      <x:c r="N22" s="82" t="str">
        <x:v>中</x:v>
      </x:c>
      <x:c r="O22" s="82" t="str">
        <x:v>条件性</x:v>
      </x:c>
      <x:c r="P22" s="82" t="str">
        <x:v>否</x:v>
      </x:c>
      <x:c r="Q22" s="82" t="str">
        <x:v>否</x:v>
      </x:c>
      <x:c r="R22" s="82" t="str">
        <x:v>条件性</x:v>
      </x:c>
      <x:c r="S22" s="68" t="str">
        <x:v>前置模块已完成</x:v>
      </x:c>
      <x:c r="T22" s="68" t="str">
        <x:v>作用条件真实成立</x:v>
      </x:c>
      <x:c r="U22" s="68" t="str">
        <x:v>得令、有根、有援可增强</x:v>
      </x:c>
      <x:c r="V22" s="68" t="str">
        <x:v>失令、孤立或受制可削弱</x:v>
      </x:c>
      <x:c r="W22" s="90" t="str">
        <x:v>禁止用关系名称直接替代实际效应</x:v>
      </x:c>
      <x:c r="X22" s="68" t="str">
        <x:v>特殊格局与动态岁运另模块处理</x:v>
      </x:c>
      <x:c r="Y22" s="84" t="str">
        <x:v>按证据修正有效旺衰</x:v>
      </x:c>
      <x:c r="Z22" s="68" t="str">
        <x:v>不得直接推出喜忌用神</x:v>
      </x:c>
      <x:c r="AA22" s="84" t="str">
        <x:v>根气综合修正</x:v>
      </x:c>
      <x:c r="AB22" s="84" t="str">
        <x:v>本气、中气、余气只是起点，有效根强弱仍需结合全局修正。</x:v>
      </x:c>
      <x:c r="AC22" s="82" t="str">
        <x:v>较高</x:v>
      </x:c>
      <x:c r="AD22" s="82" t="str">
        <x:v>现代综合</x:v>
      </x:c>
      <x:c r="AE22" s="68" t="str">
        <x:v>有效力量必须承接原始力量与实际效应，逐对象、逐节点修正。</x:v>
      </x:c>
      <x:c r="AF22" s="68" t="str">
        <x:v>按该条件逐节点修正可得到不同有效根等级。</x:v>
      </x:c>
      <x:c r="AG22" s="90" t="str">
        <x:v>仅凭关系名称或固定百分比统一扣减根气。</x:v>
      </x:c>
      <x:c r="AH22" s="68" t="str">
        <x:v>https://zh.wikisource.org/zh-hans/滴天髓 ; https://zh.wikisource.org/zh-hans/淵海子平 ; https://zh.wikisource.org/wiki/三命通會</x:v>
      </x:c>
      <x:c r="AI22" s="82" t="str">
        <x:v>采用</x:v>
      </x:c>
      <x:c r="AJ22" s="82" t="str">
        <x:v>初审</x:v>
      </x:c>
      <x:c r="AK22" s="87" t="n">
        <x:v>46255</x:v>
      </x:c>
    </x:row>
    <x:row r="23">
      <x:c r="A23" s="72" t="str">
        <x:f>IF(OR(C23="",D23=""),"",B23&amp;"-"&amp;UPPER(C23)&amp;"-"&amp;TEXT(D23,"0000")&amp;"-"&amp;E23)</x:f>
        <x:v>M08-SOURCE-0017-V1.0</x:v>
      </x:c>
      <x:c r="B23" s="74" t="str">
        <x:v>M08</x:v>
      </x:c>
      <x:c r="C23" s="74" t="str">
        <x:v>SOURCE</x:v>
      </x:c>
      <x:c r="D23" s="79" t="n">
        <x:v>17</x:v>
      </x:c>
      <x:c r="E23" s="74" t="str">
        <x:v>V1.0</x:v>
      </x:c>
      <x:c r="F23" s="68" t="str">
        <x:v>强生源自身有效时才可提供高等级支持</x:v>
      </x:c>
      <x:c r="G23" s="82" t="str">
        <x:v>结构层</x:v>
      </x:c>
      <x:c r="H23" s="68" t="str">
        <x:v>M07生源+M08生源自身有效性</x:v>
      </x:c>
      <x:c r="I23" s="68" t="str">
        <x:v>目标五行</x:v>
      </x:c>
      <x:c r="J23" s="68" t="str">
        <x:v>有生源</x:v>
      </x:c>
      <x:c r="K23" s="68" t="str">
        <x:v>生源经修正后仍旺而可达</x:v>
      </x:c>
      <x:c r="L23" s="68" t="str">
        <x:v>保留高等级生扶</x:v>
      </x:c>
      <x:c r="M23" s="82" t="str">
        <x:v>增强</x:v>
      </x:c>
      <x:c r="N23" s="82" t="str">
        <x:v>强</x:v>
      </x:c>
      <x:c r="O23" s="82" t="str">
        <x:v>否</x:v>
      </x:c>
      <x:c r="P23" s="82" t="str">
        <x:v>条件性</x:v>
      </x:c>
      <x:c r="Q23" s="82" t="str">
        <x:v>条件性</x:v>
      </x:c>
      <x:c r="R23" s="82" t="str">
        <x:v>是</x:v>
      </x:c>
      <x:c r="S23" s="68" t="str">
        <x:v>前置模块已完成</x:v>
      </x:c>
      <x:c r="T23" s="68" t="str">
        <x:v>作用条件真实成立</x:v>
      </x:c>
      <x:c r="U23" s="68" t="str">
        <x:v>得令、有根、有援可增强</x:v>
      </x:c>
      <x:c r="V23" s="68" t="str">
        <x:v>失令、孤立或受制可削弱</x:v>
      </x:c>
      <x:c r="W23" s="90" t="str">
        <x:v>禁止用关系名称直接替代实际效应</x:v>
      </x:c>
      <x:c r="X23" s="68" t="str">
        <x:v>特殊格局与动态岁运另模块处理</x:v>
      </x:c>
      <x:c r="Y23" s="84" t="str">
        <x:v>按证据修正有效旺衰</x:v>
      </x:c>
      <x:c r="Z23" s="68" t="str">
        <x:v>不得直接推出喜忌用神</x:v>
      </x:c>
      <x:c r="AA23" s="84" t="str">
        <x:v>有效生源强支持</x:v>
      </x:c>
      <x:c r="AB23" s="84" t="str">
        <x:v>生源自身有效且生路可达时，目标获得真实高等级生扶。</x:v>
      </x:c>
      <x:c r="AC23" s="82" t="str">
        <x:v>较高</x:v>
      </x:c>
      <x:c r="AD23" s="82" t="str">
        <x:v>现代综合</x:v>
      </x:c>
      <x:c r="AE23" s="68" t="str">
        <x:v>有效力量必须承接原始力量与实际效应，逐对象、逐节点修正。</x:v>
      </x:c>
      <x:c r="AF23" s="68" t="str">
        <x:v>生源自身有效且路径可达时，支持才进入高等级。</x:v>
      </x:c>
      <x:c r="AG23" s="90" t="str">
        <x:v>只要出现相生五行就按满额生扶。</x:v>
      </x:c>
      <x:c r="AH23" s="68" t="str">
        <x:v>https://zh.wikisource.org/zh-hans/滴天髓 ; https://zh.wikisource.org/zh-hans/淵海子平 ; https://zh.wikisource.org/wiki/三命通會</x:v>
      </x:c>
      <x:c r="AI23" s="82" t="str">
        <x:v>采用</x:v>
      </x:c>
      <x:c r="AJ23" s="82" t="str">
        <x:v>初审</x:v>
      </x:c>
      <x:c r="AK23" s="87" t="n">
        <x:v>46255</x:v>
      </x:c>
    </x:row>
    <x:row r="24">
      <x:c r="A24" s="72" t="str">
        <x:f>IF(OR(C24="",D24=""),"",B24&amp;"-"&amp;UPPER(C24)&amp;"-"&amp;TEXT(D24,"0000")&amp;"-"&amp;E24)</x:f>
        <x:v>M08-SOURCE-0018-V1.0</x:v>
      </x:c>
      <x:c r="B24" s="74" t="str">
        <x:v>M08</x:v>
      </x:c>
      <x:c r="C24" s="74" t="str">
        <x:v>SOURCE</x:v>
      </x:c>
      <x:c r="D24" s="79" t="n">
        <x:v>18</x:v>
      </x:c>
      <x:c r="E24" s="74" t="str">
        <x:v>V1.0</x:v>
      </x:c>
      <x:c r="F24" s="68" t="str">
        <x:v>弱生源仅形成低等级名义支持</x:v>
      </x:c>
      <x:c r="G24" s="82" t="str">
        <x:v>结构层</x:v>
      </x:c>
      <x:c r="H24" s="68" t="str">
        <x:v>M07生源</x:v>
      </x:c>
      <x:c r="I24" s="68" t="str">
        <x:v>目标五行</x:v>
      </x:c>
      <x:c r="J24" s="68" t="str">
        <x:v>有弱生源</x:v>
      </x:c>
      <x:c r="K24" s="68" t="str">
        <x:v>生源无根或受制</x:v>
      </x:c>
      <x:c r="L24" s="68" t="str">
        <x:v>将生源支持下调为弱或无效</x:v>
      </x:c>
      <x:c r="M24" s="82" t="str">
        <x:v>减弱</x:v>
      </x:c>
      <x:c r="N24" s="82" t="str">
        <x:v>中</x:v>
      </x:c>
      <x:c r="O24" s="82" t="str">
        <x:v>否</x:v>
      </x:c>
      <x:c r="P24" s="82" t="str">
        <x:v>条件性</x:v>
      </x:c>
      <x:c r="Q24" s="82" t="str">
        <x:v>条件性</x:v>
      </x:c>
      <x:c r="R24" s="82" t="str">
        <x:v>是</x:v>
      </x:c>
      <x:c r="S24" s="68" t="str">
        <x:v>前置模块已完成</x:v>
      </x:c>
      <x:c r="T24" s="68" t="str">
        <x:v>作用条件真实成立</x:v>
      </x:c>
      <x:c r="U24" s="68" t="str">
        <x:v>得令、有根、有援可增强</x:v>
      </x:c>
      <x:c r="V24" s="68" t="str">
        <x:v>失令、孤立或受制可削弱</x:v>
      </x:c>
      <x:c r="W24" s="90" t="str">
        <x:v>禁止用关系名称直接替代实际效应</x:v>
      </x:c>
      <x:c r="X24" s="68" t="str">
        <x:v>特殊格局与动态岁运另模块处理</x:v>
      </x:c>
      <x:c r="Y24" s="84" t="str">
        <x:v>按证据修正有效旺衰</x:v>
      </x:c>
      <x:c r="Z24" s="68" t="str">
        <x:v>不得直接推出喜忌用神</x:v>
      </x:c>
      <x:c r="AA24" s="84" t="str">
        <x:v>弱生源降权</x:v>
      </x:c>
      <x:c r="AB24" s="84" t="str">
        <x:v>生源自身弱而无承载，对目标只形成低等级支持。</x:v>
      </x:c>
      <x:c r="AC24" s="82" t="str">
        <x:v>较高</x:v>
      </x:c>
      <x:c r="AD24" s="82" t="str">
        <x:v>现代综合</x:v>
      </x:c>
      <x:c r="AE24" s="68" t="str">
        <x:v>有效力量必须承接原始力量与实际效应，逐对象、逐节点修正。</x:v>
      </x:c>
      <x:c r="AF24" s="68" t="str">
        <x:v>生源自身有效且路径可达时，支持才进入高等级。</x:v>
      </x:c>
      <x:c r="AG24" s="90" t="str">
        <x:v>只要出现相生五行就按满额生扶。</x:v>
      </x:c>
      <x:c r="AH24" s="68" t="str">
        <x:v>https://zh.wikisource.org/zh-hans/滴天髓 ; https://zh.wikisource.org/zh-hans/淵海子平 ; https://zh.wikisource.org/wiki/三命通會</x:v>
      </x:c>
      <x:c r="AI24" s="82" t="str">
        <x:v>采用</x:v>
      </x:c>
      <x:c r="AJ24" s="82" t="str">
        <x:v>初审</x:v>
      </x:c>
      <x:c r="AK24" s="87" t="n">
        <x:v>46255</x:v>
      </x:c>
    </x:row>
    <x:row r="25">
      <x:c r="A25" s="72" t="str">
        <x:f>IF(OR(C25="",D25=""),"",B25&amp;"-"&amp;UPPER(C25)&amp;"-"&amp;TEXT(D25,"0000")&amp;"-"&amp;E25)</x:f>
        <x:v>M08-SOURCE-0019-V1.0</x:v>
      </x:c>
      <x:c r="B25" s="74" t="str">
        <x:v>M08</x:v>
      </x:c>
      <x:c r="C25" s="74" t="str">
        <x:v>SOURCE</x:v>
      </x:c>
      <x:c r="D25" s="79" t="n">
        <x:v>19</x:v>
      </x:c>
      <x:c r="E25" s="74" t="str">
        <x:v>V1.0</x:v>
      </x:c>
      <x:c r="F25" s="68" t="str">
        <x:v>生源被合绊时供给能力下降</x:v>
      </x:c>
      <x:c r="G25" s="82" t="str">
        <x:v>结构层</x:v>
      </x:c>
      <x:c r="H25" s="68" t="str">
        <x:v>M06合绊</x:v>
      </x:c>
      <x:c r="I25" s="68" t="str">
        <x:v>目标五行</x:v>
      </x:c>
      <x:c r="J25" s="68" t="str">
        <x:v>原有有效生源</x:v>
      </x:c>
      <x:c r="K25" s="68" t="str">
        <x:v>生源被合绊</x:v>
      </x:c>
      <x:c r="L25" s="68" t="str">
        <x:v>下调对目标的输出</x:v>
      </x:c>
      <x:c r="M25" s="82" t="str">
        <x:v>冻结</x:v>
      </x:c>
      <x:c r="N25" s="82" t="str">
        <x:v>中</x:v>
      </x:c>
      <x:c r="O25" s="82" t="str">
        <x:v>否</x:v>
      </x:c>
      <x:c r="P25" s="82" t="str">
        <x:v>条件性</x:v>
      </x:c>
      <x:c r="Q25" s="82" t="str">
        <x:v>条件性</x:v>
      </x:c>
      <x:c r="R25" s="82" t="str">
        <x:v>是</x:v>
      </x:c>
      <x:c r="S25" s="68" t="str">
        <x:v>前置模块已完成</x:v>
      </x:c>
      <x:c r="T25" s="68" t="str">
        <x:v>作用条件真实成立</x:v>
      </x:c>
      <x:c r="U25" s="68" t="str">
        <x:v>得令、有根、有援可增强</x:v>
      </x:c>
      <x:c r="V25" s="68" t="str">
        <x:v>失令、孤立或受制可削弱</x:v>
      </x:c>
      <x:c r="W25" s="90" t="str">
        <x:v>禁止用关系名称直接替代实际效应</x:v>
      </x:c>
      <x:c r="X25" s="68" t="str">
        <x:v>特殊格局与动态岁运另模块处理</x:v>
      </x:c>
      <x:c r="Y25" s="84" t="str">
        <x:v>按证据修正有效旺衰</x:v>
      </x:c>
      <x:c r="Z25" s="68" t="str">
        <x:v>不得直接推出喜忌用神</x:v>
      </x:c>
      <x:c r="AA25" s="84" t="str">
        <x:v>生源合绊</x:v>
      </x:c>
      <x:c r="AB25" s="84" t="str">
        <x:v>生源被合绊仍存在，但向目标输送力量的能力下降。</x:v>
      </x:c>
      <x:c r="AC25" s="82" t="str">
        <x:v>较高</x:v>
      </x:c>
      <x:c r="AD25" s="82" t="str">
        <x:v>现代综合</x:v>
      </x:c>
      <x:c r="AE25" s="68" t="str">
        <x:v>有效力量必须承接原始力量与实际效应，逐对象、逐节点修正。</x:v>
      </x:c>
      <x:c r="AF25" s="68" t="str">
        <x:v>生源自身有效且路径可达时，支持才进入高等级。</x:v>
      </x:c>
      <x:c r="AG25" s="90" t="str">
        <x:v>只要出现相生五行就按满额生扶。</x:v>
      </x:c>
      <x:c r="AH25" s="68" t="str">
        <x:v>https://zh.wikisource.org/zh-hans/滴天髓 ; https://zh.wikisource.org/zh-hans/淵海子平 ; https://zh.wikisource.org/wiki/三命通會</x:v>
      </x:c>
      <x:c r="AI25" s="82" t="str">
        <x:v>采用</x:v>
      </x:c>
      <x:c r="AJ25" s="82" t="str">
        <x:v>初审</x:v>
      </x:c>
      <x:c r="AK25" s="87" t="n">
        <x:v>46255</x:v>
      </x:c>
    </x:row>
    <x:row r="26">
      <x:c r="A26" s="72" t="str">
        <x:f>IF(OR(C26="",D26=""),"",B26&amp;"-"&amp;UPPER(C26)&amp;"-"&amp;TEXT(D26,"0000")&amp;"-"&amp;E26)</x:f>
        <x:v>M08-SOURCE-0020-V1.0</x:v>
      </x:c>
      <x:c r="B26" s="74" t="str">
        <x:v>M08</x:v>
      </x:c>
      <x:c r="C26" s="74" t="str">
        <x:v>SOURCE</x:v>
      </x:c>
      <x:c r="D26" s="79" t="n">
        <x:v>20</x:v>
      </x:c>
      <x:c r="E26" s="74" t="str">
        <x:v>V1.0</x:v>
      </x:c>
      <x:c r="F26" s="68" t="str">
        <x:v>生源合化为非生源五行时原供给功能失效</x:v>
      </x:c>
      <x:c r="G26" s="82" t="str">
        <x:v>结构层</x:v>
      </x:c>
      <x:c r="H26" s="68" t="str">
        <x:v>M06合化</x:v>
      </x:c>
      <x:c r="I26" s="68" t="str">
        <x:v>目标五行</x:v>
      </x:c>
      <x:c r="J26" s="68" t="str">
        <x:v>原有生源</x:v>
      </x:c>
      <x:c r="K26" s="68" t="str">
        <x:v>生源合化改性</x:v>
      </x:c>
      <x:c r="L26" s="68" t="str">
        <x:v>删除原生扶并按化后关系重建</x:v>
      </x:c>
      <x:c r="M26" s="82" t="str">
        <x:v>转化</x:v>
      </x:c>
      <x:c r="N26" s="82" t="str">
        <x:v>强</x:v>
      </x:c>
      <x:c r="O26" s="82" t="str">
        <x:v>否</x:v>
      </x:c>
      <x:c r="P26" s="82" t="str">
        <x:v>条件性</x:v>
      </x:c>
      <x:c r="Q26" s="82" t="str">
        <x:v>条件性</x:v>
      </x:c>
      <x:c r="R26" s="82" t="str">
        <x:v>是</x:v>
      </x:c>
      <x:c r="S26" s="68" t="str">
        <x:v>前置模块已完成</x:v>
      </x:c>
      <x:c r="T26" s="68" t="str">
        <x:v>作用条件真实成立</x:v>
      </x:c>
      <x:c r="U26" s="68" t="str">
        <x:v>得令、有根、有援可增强</x:v>
      </x:c>
      <x:c r="V26" s="68" t="str">
        <x:v>失令、孤立或受制可削弱</x:v>
      </x:c>
      <x:c r="W26" s="90" t="str">
        <x:v>禁止用关系名称直接替代实际效应</x:v>
      </x:c>
      <x:c r="X26" s="68" t="str">
        <x:v>特殊格局与动态岁运另模块处理</x:v>
      </x:c>
      <x:c r="Y26" s="84" t="str">
        <x:v>按证据修正有效旺衰</x:v>
      </x:c>
      <x:c r="Z26" s="68" t="str">
        <x:v>不得直接推出喜忌用神</x:v>
      </x:c>
      <x:c r="AA26" s="84" t="str">
        <x:v>生源改性</x:v>
      </x:c>
      <x:c r="AB26" s="84" t="str">
        <x:v>生源实质改性后，原供给功能失效，需按化后五行重建生扶链。</x:v>
      </x:c>
      <x:c r="AC26" s="82" t="str">
        <x:v>较高</x:v>
      </x:c>
      <x:c r="AD26" s="82" t="str">
        <x:v>现代综合</x:v>
      </x:c>
      <x:c r="AE26" s="68" t="str">
        <x:v>有效力量必须承接原始力量与实际效应，逐对象、逐节点修正。</x:v>
      </x:c>
      <x:c r="AF26" s="68" t="str">
        <x:v>生源自身有效且路径可达时，支持才进入高等级。</x:v>
      </x:c>
      <x:c r="AG26" s="90" t="str">
        <x:v>只要出现相生五行就按满额生扶。</x:v>
      </x:c>
      <x:c r="AH26" s="68" t="str">
        <x:v>https://zh.wikisource.org/zh-hans/滴天髓 ; https://zh.wikisource.org/zh-hans/淵海子平 ; https://zh.wikisource.org/wiki/三命通會</x:v>
      </x:c>
      <x:c r="AI26" s="82" t="str">
        <x:v>采用</x:v>
      </x:c>
      <x:c r="AJ26" s="82" t="str">
        <x:v>初审</x:v>
      </x:c>
      <x:c r="AK26" s="87" t="n">
        <x:v>46255</x:v>
      </x:c>
    </x:row>
    <x:row r="27">
      <x:c r="A27" s="72" t="str">
        <x:f>IF(OR(C27="",D27=""),"",B27&amp;"-"&amp;UPPER(C27)&amp;"-"&amp;TEXT(D27,"0000")&amp;"-"&amp;E27)</x:f>
        <x:v>M08-SOURCE-0021-V1.0</x:v>
      </x:c>
      <x:c r="B27" s="74" t="str">
        <x:v>M08</x:v>
      </x:c>
      <x:c r="C27" s="74" t="str">
        <x:v>SOURCE</x:v>
      </x:c>
      <x:c r="D27" s="79" t="n">
        <x:v>21</x:v>
      </x:c>
      <x:c r="E27" s="74" t="str">
        <x:v>V1.0</x:v>
      </x:c>
      <x:c r="F27" s="68" t="str">
        <x:v>唯一生源被强克且无根时供给链中断</x:v>
      </x:c>
      <x:c r="G27" s="82" t="str">
        <x:v>结构层</x:v>
      </x:c>
      <x:c r="H27" s="68" t="str">
        <x:v>M08克制修正</x:v>
      </x:c>
      <x:c r="I27" s="68" t="str">
        <x:v>目标五行</x:v>
      </x:c>
      <x:c r="J27" s="68" t="str">
        <x:v>依赖单一生源</x:v>
      </x:c>
      <x:c r="K27" s="68" t="str">
        <x:v>生源遭强克且无承载</x:v>
      </x:c>
      <x:c r="L27" s="68" t="str">
        <x:v>标记生扶链中断</x:v>
      </x:c>
      <x:c r="M27" s="82" t="str">
        <x:v>阻断</x:v>
      </x:c>
      <x:c r="N27" s="82" t="str">
        <x:v>强</x:v>
      </x:c>
      <x:c r="O27" s="82" t="str">
        <x:v>否</x:v>
      </x:c>
      <x:c r="P27" s="82" t="str">
        <x:v>条件性</x:v>
      </x:c>
      <x:c r="Q27" s="82" t="str">
        <x:v>条件性</x:v>
      </x:c>
      <x:c r="R27" s="82" t="str">
        <x:v>是</x:v>
      </x:c>
      <x:c r="S27" s="68" t="str">
        <x:v>前置模块已完成</x:v>
      </x:c>
      <x:c r="T27" s="68" t="str">
        <x:v>作用条件真实成立</x:v>
      </x:c>
      <x:c r="U27" s="68" t="str">
        <x:v>得令、有根、有援可增强</x:v>
      </x:c>
      <x:c r="V27" s="68" t="str">
        <x:v>失令、孤立或受制可削弱</x:v>
      </x:c>
      <x:c r="W27" s="90" t="str">
        <x:v>禁止用关系名称直接替代实际效应</x:v>
      </x:c>
      <x:c r="X27" s="68" t="str">
        <x:v>特殊格局与动态岁运另模块处理</x:v>
      </x:c>
      <x:c r="Y27" s="84" t="str">
        <x:v>按证据修正有效旺衰</x:v>
      </x:c>
      <x:c r="Z27" s="68" t="str">
        <x:v>不得直接推出喜忌用神</x:v>
      </x:c>
      <x:c r="AA27" s="84" t="str">
        <x:v>生扶链中断</x:v>
      </x:c>
      <x:c r="AB27" s="84" t="str">
        <x:v>唯一生源被强克且无承载时，该生扶链失效。</x:v>
      </x:c>
      <x:c r="AC27" s="82" t="str">
        <x:v>较高</x:v>
      </x:c>
      <x:c r="AD27" s="82" t="str">
        <x:v>现代综合</x:v>
      </x:c>
      <x:c r="AE27" s="68" t="str">
        <x:v>有效力量必须承接原始力量与实际效应，逐对象、逐节点修正。</x:v>
      </x:c>
      <x:c r="AF27" s="68" t="str">
        <x:v>生源自身有效且路径可达时，支持才进入高等级。</x:v>
      </x:c>
      <x:c r="AG27" s="90" t="str">
        <x:v>只要出现相生五行就按满额生扶。</x:v>
      </x:c>
      <x:c r="AH27" s="68" t="str">
        <x:v>https://zh.wikisource.org/zh-hans/滴天髓 ; https://zh.wikisource.org/zh-hans/淵海子平 ; https://zh.wikisource.org/wiki/三命通會</x:v>
      </x:c>
      <x:c r="AI27" s="82" t="str">
        <x:v>采用</x:v>
      </x:c>
      <x:c r="AJ27" s="82" t="str">
        <x:v>初审</x:v>
      </x:c>
      <x:c r="AK27" s="87" t="n">
        <x:v>46255</x:v>
      </x:c>
    </x:row>
    <x:row r="28">
      <x:c r="A28" s="72" t="str">
        <x:f>IF(OR(C28="",D28=""),"",B28&amp;"-"&amp;UPPER(C28)&amp;"-"&amp;TEXT(D28,"0000")&amp;"-"&amp;E28)</x:f>
        <x:v>M08-SOURCE-0022-V1.0</x:v>
      </x:c>
      <x:c r="B28" s="74" t="str">
        <x:v>M08</x:v>
      </x:c>
      <x:c r="C28" s="74" t="str">
        <x:v>SOURCE</x:v>
      </x:c>
      <x:c r="D28" s="79" t="n">
        <x:v>22</x:v>
      </x:c>
      <x:c r="E28" s="74" t="str">
        <x:v>V1.0</x:v>
      </x:c>
      <x:c r="F28" s="68" t="str">
        <x:v>多个独立生源可形成供给冗余</x:v>
      </x:c>
      <x:c r="G28" s="82" t="str">
        <x:v>结构层</x:v>
      </x:c>
      <x:c r="H28" s="68" t="str">
        <x:v>M07多源</x:v>
      </x:c>
      <x:c r="I28" s="68" t="str">
        <x:v>目标五行</x:v>
      </x:c>
      <x:c r="J28" s="68" t="str">
        <x:v>多生源</x:v>
      </x:c>
      <x:c r="K28" s="68" t="str">
        <x:v>其中一个生源受损</x:v>
      </x:c>
      <x:c r="L28" s="68" t="str">
        <x:v>保留其他独立生源</x:v>
      </x:c>
      <x:c r="M28" s="82" t="str">
        <x:v>减弱</x:v>
      </x:c>
      <x:c r="N28" s="82" t="str">
        <x:v>中</x:v>
      </x:c>
      <x:c r="O28" s="82" t="str">
        <x:v>否</x:v>
      </x:c>
      <x:c r="P28" s="82" t="str">
        <x:v>条件性</x:v>
      </x:c>
      <x:c r="Q28" s="82" t="str">
        <x:v>条件性</x:v>
      </x:c>
      <x:c r="R28" s="82" t="str">
        <x:v>是</x:v>
      </x:c>
      <x:c r="S28" s="68" t="str">
        <x:v>前置模块已完成</x:v>
      </x:c>
      <x:c r="T28" s="68" t="str">
        <x:v>作用条件真实成立</x:v>
      </x:c>
      <x:c r="U28" s="68" t="str">
        <x:v>得令、有根、有援可增强</x:v>
      </x:c>
      <x:c r="V28" s="68" t="str">
        <x:v>失令、孤立或受制可削弱</x:v>
      </x:c>
      <x:c r="W28" s="90" t="str">
        <x:v>禁止用关系名称直接替代实际效应</x:v>
      </x:c>
      <x:c r="X28" s="68" t="str">
        <x:v>特殊格局与动态岁运另模块处理</x:v>
      </x:c>
      <x:c r="Y28" s="84" t="str">
        <x:v>按证据修正有效旺衰</x:v>
      </x:c>
      <x:c r="Z28" s="68" t="str">
        <x:v>不得直接推出喜忌用神</x:v>
      </x:c>
      <x:c r="AA28" s="84" t="str">
        <x:v>生源冗余</x:v>
      </x:c>
      <x:c r="AB28" s="84" t="str">
        <x:v>多个独立生源可分散单一路径受损风险。</x:v>
      </x:c>
      <x:c r="AC28" s="82" t="str">
        <x:v>较高</x:v>
      </x:c>
      <x:c r="AD28" s="82" t="str">
        <x:v>现代综合</x:v>
      </x:c>
      <x:c r="AE28" s="68" t="str">
        <x:v>有效力量必须承接原始力量与实际效应，逐对象、逐节点修正。</x:v>
      </x:c>
      <x:c r="AF28" s="68" t="str">
        <x:v>生源自身有效且路径可达时，支持才进入高等级。</x:v>
      </x:c>
      <x:c r="AG28" s="90" t="str">
        <x:v>只要出现相生五行就按满额生扶。</x:v>
      </x:c>
      <x:c r="AH28" s="68" t="str">
        <x:v>https://zh.wikisource.org/zh-hans/滴天髓 ; https://zh.wikisource.org/zh-hans/淵海子平 ; https://zh.wikisource.org/wiki/三命通會</x:v>
      </x:c>
      <x:c r="AI28" s="82" t="str">
        <x:v>采用</x:v>
      </x:c>
      <x:c r="AJ28" s="82" t="str">
        <x:v>初审</x:v>
      </x:c>
      <x:c r="AK28" s="87" t="n">
        <x:v>46255</x:v>
      </x:c>
    </x:row>
    <x:row r="29">
      <x:c r="A29" s="72" t="str">
        <x:f>IF(OR(C29="",D29=""),"",B29&amp;"-"&amp;UPPER(C29)&amp;"-"&amp;TEXT(D29,"0000")&amp;"-"&amp;E29)</x:f>
        <x:v>M08-SOURCE-0023-V1.0</x:v>
      </x:c>
      <x:c r="B29" s="74" t="str">
        <x:v>M08</x:v>
      </x:c>
      <x:c r="C29" s="74" t="str">
        <x:v>SOURCE</x:v>
      </x:c>
      <x:c r="D29" s="79" t="n">
        <x:v>23</x:v>
      </x:c>
      <x:c r="E29" s="74" t="str">
        <x:v>V1.0</x:v>
      </x:c>
      <x:c r="F29" s="68" t="str">
        <x:v>两段生扶必须以中间五行为有效桥梁</x:v>
      </x:c>
      <x:c r="G29" s="82" t="str">
        <x:v>结构层</x:v>
      </x:c>
      <x:c r="H29" s="68" t="str">
        <x:v>M07连续生扶+M12接口</x:v>
      </x:c>
      <x:c r="I29" s="68" t="str">
        <x:v>目标五行</x:v>
      </x:c>
      <x:c r="J29" s="68" t="str">
        <x:v>两段生扶链</x:v>
      </x:c>
      <x:c r="K29" s="68" t="str">
        <x:v>源→桥→目标</x:v>
      </x:c>
      <x:c r="L29" s="68" t="str">
        <x:v>桥有效时保留折减后的间接支持</x:v>
      </x:c>
      <x:c r="M29" s="82" t="str">
        <x:v>增强</x:v>
      </x:c>
      <x:c r="N29" s="82" t="str">
        <x:v>中</x:v>
      </x:c>
      <x:c r="O29" s="82" t="str">
        <x:v>否</x:v>
      </x:c>
      <x:c r="P29" s="82" t="str">
        <x:v>条件性</x:v>
      </x:c>
      <x:c r="Q29" s="82" t="str">
        <x:v>条件性</x:v>
      </x:c>
      <x:c r="R29" s="82" t="str">
        <x:v>是</x:v>
      </x:c>
      <x:c r="S29" s="68" t="str">
        <x:v>前置模块已完成</x:v>
      </x:c>
      <x:c r="T29" s="68" t="str">
        <x:v>作用条件真实成立</x:v>
      </x:c>
      <x:c r="U29" s="68" t="str">
        <x:v>得令、有根、有援可增强</x:v>
      </x:c>
      <x:c r="V29" s="68" t="str">
        <x:v>失令、孤立或受制可削弱</x:v>
      </x:c>
      <x:c r="W29" s="90" t="str">
        <x:v>禁止用关系名称直接替代实际效应</x:v>
      </x:c>
      <x:c r="X29" s="68" t="str">
        <x:v>特殊格局与动态岁运另模块处理</x:v>
      </x:c>
      <x:c r="Y29" s="84" t="str">
        <x:v>按证据修正有效旺衰</x:v>
      </x:c>
      <x:c r="Z29" s="68" t="str">
        <x:v>不得直接推出喜忌用神</x:v>
      </x:c>
      <x:c r="AA29" s="84" t="str">
        <x:v>桥梁有效生扶</x:v>
      </x:c>
      <x:c r="AB29" s="84" t="str">
        <x:v>两段生扶只有中间桥梁有效时才成立，且低于直接生源权重。</x:v>
      </x:c>
      <x:c r="AC29" s="82" t="str">
        <x:v>较高</x:v>
      </x:c>
      <x:c r="AD29" s="82" t="str">
        <x:v>现代综合</x:v>
      </x:c>
      <x:c r="AE29" s="68" t="str">
        <x:v>有效力量必须承接原始力量与实际效应，逐对象、逐节点修正。</x:v>
      </x:c>
      <x:c r="AF29" s="68" t="str">
        <x:v>生源自身有效且路径可达时，支持才进入高等级。</x:v>
      </x:c>
      <x:c r="AG29" s="90" t="str">
        <x:v>只要出现相生五行就按满额生扶。</x:v>
      </x:c>
      <x:c r="AH29" s="68" t="str">
        <x:v>https://zh.wikisource.org/zh-hans/滴天髓 ; https://zh.wikisource.org/zh-hans/淵海子平 ; https://zh.wikisource.org/wiki/三命通會</x:v>
      </x:c>
      <x:c r="AI29" s="82" t="str">
        <x:v>采用</x:v>
      </x:c>
      <x:c r="AJ29" s="82" t="str">
        <x:v>初审</x:v>
      </x:c>
      <x:c r="AK29" s="87" t="n">
        <x:v>46255</x:v>
      </x:c>
    </x:row>
    <x:row r="30">
      <x:c r="A30" s="72" t="str">
        <x:f>IF(OR(C30="",D30=""),"",B30&amp;"-"&amp;UPPER(C30)&amp;"-"&amp;TEXT(D30,"0000")&amp;"-"&amp;E30)</x:f>
        <x:v>M08-SOURCE-0024-V1.0</x:v>
      </x:c>
      <x:c r="B30" s="74" t="str">
        <x:v>M08</x:v>
      </x:c>
      <x:c r="C30" s="74" t="str">
        <x:v>SOURCE</x:v>
      </x:c>
      <x:c r="D30" s="79" t="n">
        <x:v>24</x:v>
      </x:c>
      <x:c r="E30" s="74" t="str">
        <x:v>V1.0</x:v>
      </x:c>
      <x:c r="F30" s="68" t="str">
        <x:v>生源过旺而目标过弱时供给不等于可承载</x:v>
      </x:c>
      <x:c r="G30" s="82" t="str">
        <x:v>结构层</x:v>
      </x:c>
      <x:c r="H30" s="68" t="str">
        <x:v>M08综合+M12接口</x:v>
      </x:c>
      <x:c r="I30" s="68" t="str">
        <x:v>目标五行</x:v>
      </x:c>
      <x:c r="J30" s="68" t="str">
        <x:v>弱目标遇强生源</x:v>
      </x:c>
      <x:c r="K30" s="68" t="str">
        <x:v>大量输入</x:v>
      </x:c>
      <x:c r="L30" s="68" t="str">
        <x:v>提高来源证据但设置承载上限</x:v>
      </x:c>
      <x:c r="M30" s="82" t="str">
        <x:v>条件性</x:v>
      </x:c>
      <x:c r="N30" s="82" t="str">
        <x:v>中</x:v>
      </x:c>
      <x:c r="O30" s="82" t="str">
        <x:v>否</x:v>
      </x:c>
      <x:c r="P30" s="82" t="str">
        <x:v>条件性</x:v>
      </x:c>
      <x:c r="Q30" s="82" t="str">
        <x:v>条件性</x:v>
      </x:c>
      <x:c r="R30" s="82" t="str">
        <x:v>是</x:v>
      </x:c>
      <x:c r="S30" s="68" t="str">
        <x:v>前置模块已完成</x:v>
      </x:c>
      <x:c r="T30" s="68" t="str">
        <x:v>作用条件真实成立</x:v>
      </x:c>
      <x:c r="U30" s="68" t="str">
        <x:v>得令、有根、有援可增强</x:v>
      </x:c>
      <x:c r="V30" s="68" t="str">
        <x:v>失令、孤立或受制可削弱</x:v>
      </x:c>
      <x:c r="W30" s="90" t="str">
        <x:v>禁止用关系名称直接替代实际效应</x:v>
      </x:c>
      <x:c r="X30" s="68" t="str">
        <x:v>特殊格局与动态岁运另模块处理</x:v>
      </x:c>
      <x:c r="Y30" s="84" t="str">
        <x:v>按证据修正有效旺衰</x:v>
      </x:c>
      <x:c r="Z30" s="68" t="str">
        <x:v>不得直接推出喜忌用神</x:v>
      </x:c>
      <x:c r="AA30" s="84" t="str">
        <x:v>生多不受</x:v>
      </x:c>
      <x:c r="AB30" s="84" t="str">
        <x:v>强生源输入弱目标时仍需检查目标承载，不能直接推升为旺。</x:v>
      </x:c>
      <x:c r="AC30" s="82" t="str">
        <x:v>较高</x:v>
      </x:c>
      <x:c r="AD30" s="82" t="str">
        <x:v>现代综合</x:v>
      </x:c>
      <x:c r="AE30" s="68" t="str">
        <x:v>有效力量必须承接原始力量与实际效应，逐对象、逐节点修正。</x:v>
      </x:c>
      <x:c r="AF30" s="68" t="str">
        <x:v>生源自身有效且路径可达时，支持才进入高等级。</x:v>
      </x:c>
      <x:c r="AG30" s="90" t="str">
        <x:v>只要出现相生五行就按满额生扶。</x:v>
      </x:c>
      <x:c r="AH30" s="68" t="str">
        <x:v>https://zh.wikisource.org/zh-hans/滴天髓 ; https://zh.wikisource.org/zh-hans/淵海子平 ; https://zh.wikisource.org/wiki/三命通會</x:v>
      </x:c>
      <x:c r="AI30" s="82" t="str">
        <x:v>采用</x:v>
      </x:c>
      <x:c r="AJ30" s="82" t="str">
        <x:v>初审</x:v>
      </x:c>
      <x:c r="AK30" s="87" t="n">
        <x:v>46255</x:v>
      </x:c>
    </x:row>
    <x:row r="31">
      <x:c r="A31" s="72" t="str">
        <x:f>IF(OR(C31="",D31=""),"",B31&amp;"-"&amp;UPPER(C31)&amp;"-"&amp;TEXT(D31,"0000")&amp;"-"&amp;E31)</x:f>
        <x:v>M08-SOURCE-0025-V1.0</x:v>
      </x:c>
      <x:c r="B31" s="74" t="str">
        <x:v>M08</x:v>
      </x:c>
      <x:c r="C31" s="74" t="str">
        <x:v>SOURCE</x:v>
      </x:c>
      <x:c r="D31" s="79" t="n">
        <x:v>25</x:v>
      </x:c>
      <x:c r="E31" s="74" t="str">
        <x:v>V1.0</x:v>
      </x:c>
      <x:c r="F31" s="68" t="str">
        <x:v>生源被泄耗过度时实际供给下降</x:v>
      </x:c>
      <x:c r="G31" s="82" t="str">
        <x:v>结构层</x:v>
      </x:c>
      <x:c r="H31" s="68" t="str">
        <x:v>M08泄耗修正</x:v>
      </x:c>
      <x:c r="I31" s="68" t="str">
        <x:v>目标五行</x:v>
      </x:c>
      <x:c r="J31" s="68" t="str">
        <x:v>有生源</x:v>
      </x:c>
      <x:c r="K31" s="68" t="str">
        <x:v>生源同时大量输出</x:v>
      </x:c>
      <x:c r="L31" s="68" t="str">
        <x:v>按剩余容量下调生扶</x:v>
      </x:c>
      <x:c r="M31" s="82" t="str">
        <x:v>减弱</x:v>
      </x:c>
      <x:c r="N31" s="82" t="str">
        <x:v>中</x:v>
      </x:c>
      <x:c r="O31" s="82" t="str">
        <x:v>否</x:v>
      </x:c>
      <x:c r="P31" s="82" t="str">
        <x:v>条件性</x:v>
      </x:c>
      <x:c r="Q31" s="82" t="str">
        <x:v>条件性</x:v>
      </x:c>
      <x:c r="R31" s="82" t="str">
        <x:v>是</x:v>
      </x:c>
      <x:c r="S31" s="68" t="str">
        <x:v>前置模块已完成</x:v>
      </x:c>
      <x:c r="T31" s="68" t="str">
        <x:v>作用条件真实成立</x:v>
      </x:c>
      <x:c r="U31" s="68" t="str">
        <x:v>得令、有根、有援可增强</x:v>
      </x:c>
      <x:c r="V31" s="68" t="str">
        <x:v>失令、孤立或受制可削弱</x:v>
      </x:c>
      <x:c r="W31" s="90" t="str">
        <x:v>禁止用关系名称直接替代实际效应</x:v>
      </x:c>
      <x:c r="X31" s="68" t="str">
        <x:v>特殊格局与动态岁运另模块处理</x:v>
      </x:c>
      <x:c r="Y31" s="84" t="str">
        <x:v>按证据修正有效旺衰</x:v>
      </x:c>
      <x:c r="Z31" s="68" t="str">
        <x:v>不得直接推出喜忌用神</x:v>
      </x:c>
      <x:c r="AA31" s="84" t="str">
        <x:v>生源容量分配</x:v>
      </x:c>
      <x:c r="AB31" s="84" t="str">
        <x:v>生源同时承担多条强输出路径时，对单一目标的供给应下调。</x:v>
      </x:c>
      <x:c r="AC31" s="82" t="str">
        <x:v>较高</x:v>
      </x:c>
      <x:c r="AD31" s="82" t="str">
        <x:v>现代综合</x:v>
      </x:c>
      <x:c r="AE31" s="68" t="str">
        <x:v>有效力量必须承接原始力量与实际效应，逐对象、逐节点修正。</x:v>
      </x:c>
      <x:c r="AF31" s="68" t="str">
        <x:v>生源自身有效且路径可达时，支持才进入高等级。</x:v>
      </x:c>
      <x:c r="AG31" s="90" t="str">
        <x:v>只要出现相生五行就按满额生扶。</x:v>
      </x:c>
      <x:c r="AH31" s="68" t="str">
        <x:v>https://zh.wikisource.org/zh-hans/滴天髓 ; https://zh.wikisource.org/zh-hans/淵海子平 ; https://zh.wikisource.org/wiki/三命通會</x:v>
      </x:c>
      <x:c r="AI31" s="82" t="str">
        <x:v>采用</x:v>
      </x:c>
      <x:c r="AJ31" s="82" t="str">
        <x:v>初审</x:v>
      </x:c>
      <x:c r="AK31" s="87" t="n">
        <x:v>46255</x:v>
      </x:c>
    </x:row>
    <x:row r="32">
      <x:c r="A32" s="72" t="str">
        <x:f>IF(OR(C32="",D32=""),"",B32&amp;"-"&amp;UPPER(C32)&amp;"-"&amp;TEXT(D32,"0000")&amp;"-"&amp;E32)</x:f>
        <x:v>M08-SOURCE-0026-V1.0</x:v>
      </x:c>
      <x:c r="B32" s="74" t="str">
        <x:v>M08</x:v>
      </x:c>
      <x:c r="C32" s="74" t="str">
        <x:v>SOURCE</x:v>
      </x:c>
      <x:c r="D32" s="79" t="n">
        <x:v>26</x:v>
      </x:c>
      <x:c r="E32" s="74" t="str">
        <x:v>V1.0</x:v>
      </x:c>
      <x:c r="F32" s="68" t="str">
        <x:v>透而无根且被截脚的生源供给效率下降</x:v>
      </x:c>
      <x:c r="G32" s="82" t="str">
        <x:v>结构层</x:v>
      </x:c>
      <x:c r="H32" s="68" t="str">
        <x:v>M07透干+M06地支作用</x:v>
      </x:c>
      <x:c r="I32" s="68" t="str">
        <x:v>目标五行</x:v>
      </x:c>
      <x:c r="J32" s="68" t="str">
        <x:v>透干生源</x:v>
      </x:c>
      <x:c r="K32" s="68" t="str">
        <x:v>浮透无根且坐下受制</x:v>
      </x:c>
      <x:c r="L32" s="68" t="str">
        <x:v>下调持续供给</x:v>
      </x:c>
      <x:c r="M32" s="82" t="str">
        <x:v>减弱</x:v>
      </x:c>
      <x:c r="N32" s="82" t="str">
        <x:v>中</x:v>
      </x:c>
      <x:c r="O32" s="82" t="str">
        <x:v>否</x:v>
      </x:c>
      <x:c r="P32" s="82" t="str">
        <x:v>条件性</x:v>
      </x:c>
      <x:c r="Q32" s="82" t="str">
        <x:v>条件性</x:v>
      </x:c>
      <x:c r="R32" s="82" t="str">
        <x:v>是</x:v>
      </x:c>
      <x:c r="S32" s="68" t="str">
        <x:v>前置模块已完成</x:v>
      </x:c>
      <x:c r="T32" s="68" t="str">
        <x:v>作用条件真实成立</x:v>
      </x:c>
      <x:c r="U32" s="68" t="str">
        <x:v>得令、有根、有援可增强</x:v>
      </x:c>
      <x:c r="V32" s="68" t="str">
        <x:v>失令、孤立或受制可削弱</x:v>
      </x:c>
      <x:c r="W32" s="90" t="str">
        <x:v>禁止用关系名称直接替代实际效应</x:v>
      </x:c>
      <x:c r="X32" s="68" t="str">
        <x:v>特殊格局与动态岁运另模块处理</x:v>
      </x:c>
      <x:c r="Y32" s="84" t="str">
        <x:v>按证据修正有效旺衰</x:v>
      </x:c>
      <x:c r="Z32" s="68" t="str">
        <x:v>不得直接推出喜忌用神</x:v>
      </x:c>
      <x:c r="AA32" s="84" t="str">
        <x:v>浮源降权</x:v>
      </x:c>
      <x:c r="AB32" s="84" t="str">
        <x:v>生源虽透干但无根且受制时，持续供给明显低于有根透干。</x:v>
      </x:c>
      <x:c r="AC32" s="82" t="str">
        <x:v>较高</x:v>
      </x:c>
      <x:c r="AD32" s="82" t="str">
        <x:v>现代综合</x:v>
      </x:c>
      <x:c r="AE32" s="68" t="str">
        <x:v>有效力量必须承接原始力量与实际效应，逐对象、逐节点修正。</x:v>
      </x:c>
      <x:c r="AF32" s="68" t="str">
        <x:v>生源自身有效且路径可达时，支持才进入高等级。</x:v>
      </x:c>
      <x:c r="AG32" s="90" t="str">
        <x:v>只要出现相生五行就按满额生扶。</x:v>
      </x:c>
      <x:c r="AH32" s="68" t="str">
        <x:v>https://zh.wikisource.org/zh-hans/滴天髓 ; https://zh.wikisource.org/zh-hans/淵海子平 ; https://zh.wikisource.org/wiki/三命通會</x:v>
      </x:c>
      <x:c r="AI32" s="82" t="str">
        <x:v>采用</x:v>
      </x:c>
      <x:c r="AJ32" s="82" t="str">
        <x:v>初审</x:v>
      </x:c>
      <x:c r="AK32" s="87" t="n">
        <x:v>46255</x:v>
      </x:c>
    </x:row>
    <x:row r="33">
      <x:c r="A33" s="72" t="str">
        <x:f>IF(OR(C33="",D33=""),"",B33&amp;"-"&amp;UPPER(C33)&amp;"-"&amp;TEXT(D33,"0000")&amp;"-"&amp;E33)</x:f>
        <x:v>M08-SOURCE-0027-V1.0</x:v>
      </x:c>
      <x:c r="B33" s="74" t="str">
        <x:v>M08</x:v>
      </x:c>
      <x:c r="C33" s="74" t="str">
        <x:v>SOURCE</x:v>
      </x:c>
      <x:c r="D33" s="79" t="n">
        <x:v>27</x:v>
      </x:c>
      <x:c r="E33" s="74" t="str">
        <x:v>V1.0</x:v>
      </x:c>
      <x:c r="F33" s="68" t="str">
        <x:v>生源被通关保护时可恢复部分供给</x:v>
      </x:c>
      <x:c r="G33" s="82" t="str">
        <x:v>结构层</x:v>
      </x:c>
      <x:c r="H33" s="68" t="str">
        <x:v>M08克制+M12接口</x:v>
      </x:c>
      <x:c r="I33" s="68" t="str">
        <x:v>目标五行</x:v>
      </x:c>
      <x:c r="J33" s="68" t="str">
        <x:v>生源受克</x:v>
      </x:c>
      <x:c r="K33" s="68" t="str">
        <x:v>有有效通关</x:v>
      </x:c>
      <x:c r="L33" s="68" t="str">
        <x:v>按通关有效程度恢复供给</x:v>
      </x:c>
      <x:c r="M33" s="82" t="str">
        <x:v>增强</x:v>
      </x:c>
      <x:c r="N33" s="82" t="str">
        <x:v>中</x:v>
      </x:c>
      <x:c r="O33" s="82" t="str">
        <x:v>否</x:v>
      </x:c>
      <x:c r="P33" s="82" t="str">
        <x:v>条件性</x:v>
      </x:c>
      <x:c r="Q33" s="82" t="str">
        <x:v>条件性</x:v>
      </x:c>
      <x:c r="R33" s="82" t="str">
        <x:v>是</x:v>
      </x:c>
      <x:c r="S33" s="68" t="str">
        <x:v>前置模块已完成</x:v>
      </x:c>
      <x:c r="T33" s="68" t="str">
        <x:v>作用条件真实成立</x:v>
      </x:c>
      <x:c r="U33" s="68" t="str">
        <x:v>得令、有根、有援可增强</x:v>
      </x:c>
      <x:c r="V33" s="68" t="str">
        <x:v>失令、孤立或受制可削弱</x:v>
      </x:c>
      <x:c r="W33" s="90" t="str">
        <x:v>禁止用关系名称直接替代实际效应</x:v>
      </x:c>
      <x:c r="X33" s="68" t="str">
        <x:v>特殊格局与动态岁运另模块处理</x:v>
      </x:c>
      <x:c r="Y33" s="84" t="str">
        <x:v>按证据修正有效旺衰</x:v>
      </x:c>
      <x:c r="Z33" s="68" t="str">
        <x:v>不得直接推出喜忌用神</x:v>
      </x:c>
      <x:c r="AA33" s="84" t="str">
        <x:v>通关恢复生源</x:v>
      </x:c>
      <x:c r="AB33" s="84" t="str">
        <x:v>生源受克但有有效通关时，可恢复部分供给能力。</x:v>
      </x:c>
      <x:c r="AC33" s="82" t="str">
        <x:v>较高</x:v>
      </x:c>
      <x:c r="AD33" s="82" t="str">
        <x:v>现代综合</x:v>
      </x:c>
      <x:c r="AE33" s="68" t="str">
        <x:v>有效力量必须承接原始力量与实际效应，逐对象、逐节点修正。</x:v>
      </x:c>
      <x:c r="AF33" s="68" t="str">
        <x:v>生源自身有效且路径可达时，支持才进入高等级。</x:v>
      </x:c>
      <x:c r="AG33" s="90" t="str">
        <x:v>只要出现相生五行就按满额生扶。</x:v>
      </x:c>
      <x:c r="AH33" s="68" t="str">
        <x:v>https://zh.wikisource.org/zh-hans/滴天髓 ; https://zh.wikisource.org/zh-hans/淵海子平 ; https://zh.wikisource.org/wiki/三命通會</x:v>
      </x:c>
      <x:c r="AI33" s="82" t="str">
        <x:v>采用</x:v>
      </x:c>
      <x:c r="AJ33" s="82" t="str">
        <x:v>初审</x:v>
      </x:c>
      <x:c r="AK33" s="87" t="n">
        <x:v>46255</x:v>
      </x:c>
    </x:row>
    <x:row r="34">
      <x:c r="A34" s="72" t="str">
        <x:f>IF(OR(C34="",D34=""),"",B34&amp;"-"&amp;UPPER(C34)&amp;"-"&amp;TEXT(D34,"0000")&amp;"-"&amp;E34)</x:f>
        <x:v>M08-SOURCE-0028-V1.0</x:v>
      </x:c>
      <x:c r="B34" s="74" t="str">
        <x:v>M08</x:v>
      </x:c>
      <x:c r="C34" s="74" t="str">
        <x:v>SOURCE</x:v>
      </x:c>
      <x:c r="D34" s="79" t="n">
        <x:v>28</x:v>
      </x:c>
      <x:c r="E34" s="74" t="str">
        <x:v>V1.0</x:v>
      </x:c>
      <x:c r="F34" s="68" t="str">
        <x:v>有效生源汇总需避免与季令相重复满额加权</x:v>
      </x:c>
      <x:c r="G34" s="82" t="str">
        <x:v>结构层</x:v>
      </x:c>
      <x:c r="H34" s="68" t="str">
        <x:v>M07证据去重</x:v>
      </x:c>
      <x:c r="I34" s="68" t="str">
        <x:v>目标五行</x:v>
      </x:c>
      <x:c r="J34" s="68" t="str">
        <x:v>相令且有同源生源</x:v>
      </x:c>
      <x:c r="K34" s="68" t="str">
        <x:v>季令相与具体生源共源</x:v>
      </x:c>
      <x:c r="L34" s="68" t="str">
        <x:v>合并同源证据并设置容量上限</x:v>
      </x:c>
      <x:c r="M34" s="82" t="str">
        <x:v>不变</x:v>
      </x:c>
      <x:c r="N34" s="82" t="str">
        <x:v>中</x:v>
      </x:c>
      <x:c r="O34" s="82" t="str">
        <x:v>否</x:v>
      </x:c>
      <x:c r="P34" s="82" t="str">
        <x:v>条件性</x:v>
      </x:c>
      <x:c r="Q34" s="82" t="str">
        <x:v>条件性</x:v>
      </x:c>
      <x:c r="R34" s="82" t="str">
        <x:v>是</x:v>
      </x:c>
      <x:c r="S34" s="68" t="str">
        <x:v>前置模块已完成</x:v>
      </x:c>
      <x:c r="T34" s="68" t="str">
        <x:v>作用条件真实成立</x:v>
      </x:c>
      <x:c r="U34" s="68" t="str">
        <x:v>得令、有根、有援可增强</x:v>
      </x:c>
      <x:c r="V34" s="68" t="str">
        <x:v>失令、孤立或受制可削弱</x:v>
      </x:c>
      <x:c r="W34" s="90" t="str">
        <x:v>禁止用关系名称直接替代实际效应</x:v>
      </x:c>
      <x:c r="X34" s="68" t="str">
        <x:v>特殊格局与动态岁运另模块处理</x:v>
      </x:c>
      <x:c r="Y34" s="84" t="str">
        <x:v>按证据修正有效旺衰</x:v>
      </x:c>
      <x:c r="Z34" s="68" t="str">
        <x:v>不得直接推出喜忌用神</x:v>
      </x:c>
      <x:c r="AA34" s="84" t="str">
        <x:v>生源证据去重</x:v>
      </x:c>
      <x:c r="AB34" s="84" t="str">
        <x:v>季令相与月令生源若来自同一事实，应合并计权。</x:v>
      </x:c>
      <x:c r="AC34" s="82" t="str">
        <x:v>较高</x:v>
      </x:c>
      <x:c r="AD34" s="82" t="str">
        <x:v>现代综合</x:v>
      </x:c>
      <x:c r="AE34" s="68" t="str">
        <x:v>有效力量必须承接原始力量与实际效应，逐对象、逐节点修正。</x:v>
      </x:c>
      <x:c r="AF34" s="68" t="str">
        <x:v>生源自身有效且路径可达时，支持才进入高等级。</x:v>
      </x:c>
      <x:c r="AG34" s="90" t="str">
        <x:v>只要出现相生五行就按满额生扶。</x:v>
      </x:c>
      <x:c r="AH34" s="68" t="str">
        <x:v>https://zh.wikisource.org/zh-hans/滴天髓 ; https://zh.wikisource.org/zh-hans/淵海子平 ; https://zh.wikisource.org/wiki/三命通會</x:v>
      </x:c>
      <x:c r="AI34" s="82" t="str">
        <x:v>采用</x:v>
      </x:c>
      <x:c r="AJ34" s="82" t="str">
        <x:v>初审</x:v>
      </x:c>
      <x:c r="AK34" s="87" t="n">
        <x:v>46255</x:v>
      </x:c>
    </x:row>
    <x:row r="35">
      <x:c r="A35" s="72" t="str">
        <x:f>IF(OR(C35="",D35=""),"",B35&amp;"-"&amp;UPPER(C35)&amp;"-"&amp;TEXT(D35,"0000")&amp;"-"&amp;E35)</x:f>
        <x:v>M08-STEM-0029-V1.0</x:v>
      </x:c>
      <x:c r="B35" s="74" t="str">
        <x:v>M08</x:v>
      </x:c>
      <x:c r="C35" s="74" t="str">
        <x:v>STEM</x:v>
      </x:c>
      <x:c r="D35" s="79" t="n">
        <x:v>29</x:v>
      </x:c>
      <x:c r="E35" s="74" t="str">
        <x:v>V1.0</x:v>
      </x:c>
      <x:c r="F35" s="68" t="str">
        <x:v>有根透干的有效显露度通常高于藏而不透</x:v>
      </x:c>
      <x:c r="G35" s="82" t="str">
        <x:v>结构层</x:v>
      </x:c>
      <x:c r="H35" s="68" t="str">
        <x:v>M07透干+M08根气</x:v>
      </x:c>
      <x:c r="I35" s="68" t="str">
        <x:v>目标五行</x:v>
      </x:c>
      <x:c r="J35" s="68" t="str">
        <x:v>有根透干</x:v>
      </x:c>
      <x:c r="K35" s="68" t="str">
        <x:v>根未失效</x:v>
      </x:c>
      <x:c r="L35" s="68" t="str">
        <x:v>保留高可调用性</x:v>
      </x:c>
      <x:c r="M35" s="82" t="str">
        <x:v>增强</x:v>
      </x:c>
      <x:c r="N35" s="82" t="str">
        <x:v>中</x:v>
      </x:c>
      <x:c r="O35" s="82" t="str">
        <x:v>否</x:v>
      </x:c>
      <x:c r="P35" s="82" t="str">
        <x:v>否</x:v>
      </x:c>
      <x:c r="Q35" s="82" t="str">
        <x:v>是</x:v>
      </x:c>
      <x:c r="R35" s="82" t="str">
        <x:v>是</x:v>
      </x:c>
      <x:c r="S35" s="68" t="str">
        <x:v>前置模块已完成</x:v>
      </x:c>
      <x:c r="T35" s="68" t="str">
        <x:v>作用条件真实成立</x:v>
      </x:c>
      <x:c r="U35" s="68" t="str">
        <x:v>得令、有根、有援可增强</x:v>
      </x:c>
      <x:c r="V35" s="68" t="str">
        <x:v>失令、孤立或受制可削弱</x:v>
      </x:c>
      <x:c r="W35" s="90" t="str">
        <x:v>禁止用关系名称直接替代实际效应</x:v>
      </x:c>
      <x:c r="X35" s="68" t="str">
        <x:v>特殊格局与动态岁运另模块处理</x:v>
      </x:c>
      <x:c r="Y35" s="84" t="str">
        <x:v>按证据修正有效旺衰</x:v>
      </x:c>
      <x:c r="Z35" s="68" t="str">
        <x:v>不得直接推出喜忌用神</x:v>
      </x:c>
      <x:c r="AA35" s="84" t="str">
        <x:v>有根透干有效</x:v>
      </x:c>
      <x:c r="AB35" s="84" t="str">
        <x:v>有根又透干时，可调用性较高，更能直接参与全局生克。</x:v>
      </x:c>
      <x:c r="AC35" s="82" t="str">
        <x:v>较高</x:v>
      </x:c>
      <x:c r="AD35" s="82" t="str">
        <x:v>现代综合</x:v>
      </x:c>
      <x:c r="AE35" s="68" t="str">
        <x:v>有效力量必须承接原始力量与实际效应，逐对象、逐节点修正。</x:v>
      </x:c>
      <x:c r="AF35" s="68" t="str">
        <x:v>显露度与根气、作用路径同时评估。</x:v>
      </x:c>
      <x:c r="AG35" s="90" t="str">
        <x:v>透了就旺、不透就弱，或按柱位固定打折。</x:v>
      </x:c>
      <x:c r="AH35" s="68" t="str">
        <x:v>https://zh.wikisource.org/zh-hans/滴天髓 ; https://zh.wikisource.org/zh-hans/淵海子平 ; https://zh.wikisource.org/wiki/三命通會</x:v>
      </x:c>
      <x:c r="AI35" s="82" t="str">
        <x:v>采用</x:v>
      </x:c>
      <x:c r="AJ35" s="82" t="str">
        <x:v>初审</x:v>
      </x:c>
      <x:c r="AK35" s="87" t="n">
        <x:v>46255</x:v>
      </x:c>
    </x:row>
    <x:row r="36">
      <x:c r="A36" s="72" t="str">
        <x:f>IF(OR(C36="",D36=""),"",B36&amp;"-"&amp;UPPER(C36)&amp;"-"&amp;TEXT(D36,"0000")&amp;"-"&amp;E36)</x:f>
        <x:v>M08-STEM-0030-V1.0</x:v>
      </x:c>
      <x:c r="B36" s="74" t="str">
        <x:v>M08</x:v>
      </x:c>
      <x:c r="C36" s="74" t="str">
        <x:v>STEM</x:v>
      </x:c>
      <x:c r="D36" s="79" t="n">
        <x:v>30</x:v>
      </x:c>
      <x:c r="E36" s="74" t="str">
        <x:v>V1.0</x:v>
      </x:c>
      <x:c r="F36" s="68" t="str">
        <x:v>透干被合绊时显露功能下降但本体不消失</x:v>
      </x:c>
      <x:c r="G36" s="82" t="str">
        <x:v>结构层</x:v>
      </x:c>
      <x:c r="H36" s="68" t="str">
        <x:v>M06天干合</x:v>
      </x:c>
      <x:c r="I36" s="68" t="str">
        <x:v>目标五行</x:v>
      </x:c>
      <x:c r="J36" s="68" t="str">
        <x:v>透干</x:v>
      </x:c>
      <x:c r="K36" s="68" t="str">
        <x:v>被合绊未化</x:v>
      </x:c>
      <x:c r="L36" s="68" t="str">
        <x:v>下调直接作用能力</x:v>
      </x:c>
      <x:c r="M36" s="82" t="str">
        <x:v>冻结</x:v>
      </x:c>
      <x:c r="N36" s="82" t="str">
        <x:v>中</x:v>
      </x:c>
      <x:c r="O36" s="82" t="str">
        <x:v>否</x:v>
      </x:c>
      <x:c r="P36" s="82" t="str">
        <x:v>否</x:v>
      </x:c>
      <x:c r="Q36" s="82" t="str">
        <x:v>是</x:v>
      </x:c>
      <x:c r="R36" s="82" t="str">
        <x:v>是</x:v>
      </x:c>
      <x:c r="S36" s="68" t="str">
        <x:v>前置模块已完成</x:v>
      </x:c>
      <x:c r="T36" s="68" t="str">
        <x:v>作用条件真实成立</x:v>
      </x:c>
      <x:c r="U36" s="68" t="str">
        <x:v>得令、有根、有援可增强</x:v>
      </x:c>
      <x:c r="V36" s="68" t="str">
        <x:v>失令、孤立或受制可削弱</x:v>
      </x:c>
      <x:c r="W36" s="90" t="str">
        <x:v>禁止用关系名称直接替代实际效应</x:v>
      </x:c>
      <x:c r="X36" s="68" t="str">
        <x:v>特殊格局与动态岁运另模块处理</x:v>
      </x:c>
      <x:c r="Y36" s="84" t="str">
        <x:v>按证据修正有效旺衰</x:v>
      </x:c>
      <x:c r="Z36" s="68" t="str">
        <x:v>不得直接推出喜忌用神</x:v>
      </x:c>
      <x:c r="AA36" s="84" t="str">
        <x:v>透干合绊</x:v>
      </x:c>
      <x:c r="AB36" s="84" t="str">
        <x:v>透干被合绊时直接作用能力下降，但五行存在性与根气仍需保留。</x:v>
      </x:c>
      <x:c r="AC36" s="82" t="str">
        <x:v>较高</x:v>
      </x:c>
      <x:c r="AD36" s="82" t="str">
        <x:v>现代综合</x:v>
      </x:c>
      <x:c r="AE36" s="68" t="str">
        <x:v>有效力量必须承接原始力量与实际效应，逐对象、逐节点修正。</x:v>
      </x:c>
      <x:c r="AF36" s="68" t="str">
        <x:v>显露度与根气、作用路径同时评估。</x:v>
      </x:c>
      <x:c r="AG36" s="90" t="str">
        <x:v>透了就旺、不透就弱，或按柱位固定打折。</x:v>
      </x:c>
      <x:c r="AH36" s="68" t="str">
        <x:v>https://zh.wikisource.org/zh-hans/滴天髓 ; https://zh.wikisource.org/zh-hans/淵海子平 ; https://zh.wikisource.org/wiki/三命通會</x:v>
      </x:c>
      <x:c r="AI36" s="82" t="str">
        <x:v>采用</x:v>
      </x:c>
      <x:c r="AJ36" s="82" t="str">
        <x:v>初审</x:v>
      </x:c>
      <x:c r="AK36" s="87" t="n">
        <x:v>46255</x:v>
      </x:c>
    </x:row>
    <x:row r="37">
      <x:c r="A37" s="72" t="str">
        <x:f>IF(OR(C37="",D37=""),"",B37&amp;"-"&amp;UPPER(C37)&amp;"-"&amp;TEXT(D37,"0000")&amp;"-"&amp;E37)</x:f>
        <x:v>M08-STEM-0031-V1.0</x:v>
      </x:c>
      <x:c r="B37" s="74" t="str">
        <x:v>M08</x:v>
      </x:c>
      <x:c r="C37" s="74" t="str">
        <x:v>STEM</x:v>
      </x:c>
      <x:c r="D37" s="79" t="n">
        <x:v>31</x:v>
      </x:c>
      <x:c r="E37" s="74" t="str">
        <x:v>V1.0</x:v>
      </x:c>
      <x:c r="F37" s="68" t="str">
        <x:v>透干合化成立时按化后五行重建作用关系</x:v>
      </x:c>
      <x:c r="G37" s="82" t="str">
        <x:v>结构层</x:v>
      </x:c>
      <x:c r="H37" s="68" t="str">
        <x:v>M06天干合化</x:v>
      </x:c>
      <x:c r="I37" s="68" t="str">
        <x:v>目标五行</x:v>
      </x:c>
      <x:c r="J37" s="68" t="str">
        <x:v>透干</x:v>
      </x:c>
      <x:c r="K37" s="68" t="str">
        <x:v>合化成立</x:v>
      </x:c>
      <x:c r="L37" s="68" t="str">
        <x:v>原五行显露转为化神功能</x:v>
      </x:c>
      <x:c r="M37" s="82" t="str">
        <x:v>转化</x:v>
      </x:c>
      <x:c r="N37" s="82" t="str">
        <x:v>强</x:v>
      </x:c>
      <x:c r="O37" s="82" t="str">
        <x:v>否</x:v>
      </x:c>
      <x:c r="P37" s="82" t="str">
        <x:v>否</x:v>
      </x:c>
      <x:c r="Q37" s="82" t="str">
        <x:v>是</x:v>
      </x:c>
      <x:c r="R37" s="82" t="str">
        <x:v>是</x:v>
      </x:c>
      <x:c r="S37" s="68" t="str">
        <x:v>前置模块已完成</x:v>
      </x:c>
      <x:c r="T37" s="68" t="str">
        <x:v>作用条件真实成立</x:v>
      </x:c>
      <x:c r="U37" s="68" t="str">
        <x:v>得令、有根、有援可增强</x:v>
      </x:c>
      <x:c r="V37" s="68" t="str">
        <x:v>失令、孤立或受制可削弱</x:v>
      </x:c>
      <x:c r="W37" s="90" t="str">
        <x:v>禁止用关系名称直接替代实际效应</x:v>
      </x:c>
      <x:c r="X37" s="68" t="str">
        <x:v>特殊格局与动态岁运另模块处理</x:v>
      </x:c>
      <x:c r="Y37" s="84" t="str">
        <x:v>按证据修正有效旺衰</x:v>
      </x:c>
      <x:c r="Z37" s="68" t="str">
        <x:v>不得直接推出喜忌用神</x:v>
      </x:c>
      <x:c r="AA37" s="84" t="str">
        <x:v>透干改性</x:v>
      </x:c>
      <x:c r="AB37" s="84" t="str">
        <x:v>天干合化成立后，应按化神重建作用路径并避免双算。</x:v>
      </x:c>
      <x:c r="AC37" s="82" t="str">
        <x:v>较高</x:v>
      </x:c>
      <x:c r="AD37" s="82" t="str">
        <x:v>现代综合</x:v>
      </x:c>
      <x:c r="AE37" s="68" t="str">
        <x:v>有效力量必须承接原始力量与实际效应，逐对象、逐节点修正。</x:v>
      </x:c>
      <x:c r="AF37" s="68" t="str">
        <x:v>显露度与根气、作用路径同时评估。</x:v>
      </x:c>
      <x:c r="AG37" s="90" t="str">
        <x:v>透了就旺、不透就弱，或按柱位固定打折。</x:v>
      </x:c>
      <x:c r="AH37" s="68" t="str">
        <x:v>https://zh.wikisource.org/zh-hans/滴天髓 ; https://zh.wikisource.org/zh-hans/淵海子平 ; https://zh.wikisource.org/wiki/三命通會</x:v>
      </x:c>
      <x:c r="AI37" s="82" t="str">
        <x:v>采用</x:v>
      </x:c>
      <x:c r="AJ37" s="82" t="str">
        <x:v>初审</x:v>
      </x:c>
      <x:c r="AK37" s="87" t="n">
        <x:v>46255</x:v>
      </x:c>
    </x:row>
    <x:row r="38">
      <x:c r="A38" s="72" t="str">
        <x:f>IF(OR(C38="",D38=""),"",B38&amp;"-"&amp;UPPER(C38)&amp;"-"&amp;TEXT(D38,"0000")&amp;"-"&amp;E38)</x:f>
        <x:v>M08-STEM-0032-V1.0</x:v>
      </x:c>
      <x:c r="B38" s="74" t="str">
        <x:v>M08</x:v>
      </x:c>
      <x:c r="C38" s="74" t="str">
        <x:v>STEM</x:v>
      </x:c>
      <x:c r="D38" s="79" t="n">
        <x:v>32</x:v>
      </x:c>
      <x:c r="E38" s="74" t="str">
        <x:v>V1.0</x:v>
      </x:c>
      <x:c r="F38" s="68" t="str">
        <x:v>浮干受强克且无根时显露功能可近失效</x:v>
      </x:c>
      <x:c r="G38" s="82" t="str">
        <x:v>结构层</x:v>
      </x:c>
      <x:c r="H38" s="68" t="str">
        <x:v>M08克制</x:v>
      </x:c>
      <x:c r="I38" s="68" t="str">
        <x:v>目标五行</x:v>
      </x:c>
      <x:c r="J38" s="68" t="str">
        <x:v>浮干</x:v>
      </x:c>
      <x:c r="K38" s="68" t="str">
        <x:v>被强势直接克制</x:v>
      </x:c>
      <x:c r="L38" s="68" t="str">
        <x:v>大幅下调直接作用</x:v>
      </x:c>
      <x:c r="M38" s="82" t="str">
        <x:v>减弱</x:v>
      </x:c>
      <x:c r="N38" s="82" t="str">
        <x:v>强</x:v>
      </x:c>
      <x:c r="O38" s="82" t="str">
        <x:v>否</x:v>
      </x:c>
      <x:c r="P38" s="82" t="str">
        <x:v>否</x:v>
      </x:c>
      <x:c r="Q38" s="82" t="str">
        <x:v>是</x:v>
      </x:c>
      <x:c r="R38" s="82" t="str">
        <x:v>是</x:v>
      </x:c>
      <x:c r="S38" s="68" t="str">
        <x:v>前置模块已完成</x:v>
      </x:c>
      <x:c r="T38" s="68" t="str">
        <x:v>作用条件真实成立</x:v>
      </x:c>
      <x:c r="U38" s="68" t="str">
        <x:v>得令、有根、有援可增强</x:v>
      </x:c>
      <x:c r="V38" s="68" t="str">
        <x:v>失令、孤立或受制可削弱</x:v>
      </x:c>
      <x:c r="W38" s="90" t="str">
        <x:v>禁止用关系名称直接替代实际效应</x:v>
      </x:c>
      <x:c r="X38" s="68" t="str">
        <x:v>特殊格局与动态岁运另模块处理</x:v>
      </x:c>
      <x:c r="Y38" s="84" t="str">
        <x:v>按证据修正有效旺衰</x:v>
      </x:c>
      <x:c r="Z38" s="68" t="str">
        <x:v>不得直接推出喜忌用神</x:v>
      </x:c>
      <x:c r="AA38" s="84" t="str">
        <x:v>浮干受克</x:v>
      </x:c>
      <x:c r="AB38" s="84" t="str">
        <x:v>无根浮干遭强克且无救援时，显露功能可接近失效。</x:v>
      </x:c>
      <x:c r="AC38" s="82" t="str">
        <x:v>较高</x:v>
      </x:c>
      <x:c r="AD38" s="82" t="str">
        <x:v>现代综合</x:v>
      </x:c>
      <x:c r="AE38" s="68" t="str">
        <x:v>有效力量必须承接原始力量与实际效应，逐对象、逐节点修正。</x:v>
      </x:c>
      <x:c r="AF38" s="68" t="str">
        <x:v>显露度与根气、作用路径同时评估。</x:v>
      </x:c>
      <x:c r="AG38" s="90" t="str">
        <x:v>透了就旺、不透就弱，或按柱位固定打折。</x:v>
      </x:c>
      <x:c r="AH38" s="68" t="str">
        <x:v>https://zh.wikisource.org/zh-hans/滴天髓 ; https://zh.wikisource.org/zh-hans/淵海子平 ; https://zh.wikisource.org/wiki/三命通會</x:v>
      </x:c>
      <x:c r="AI38" s="82" t="str">
        <x:v>采用</x:v>
      </x:c>
      <x:c r="AJ38" s="82" t="str">
        <x:v>初审</x:v>
      </x:c>
      <x:c r="AK38" s="87" t="n">
        <x:v>46255</x:v>
      </x:c>
    </x:row>
    <x:row r="39">
      <x:c r="A39" s="72" t="str">
        <x:f>IF(OR(C39="",D39=""),"",B39&amp;"-"&amp;UPPER(C39)&amp;"-"&amp;TEXT(D39,"0000")&amp;"-"&amp;E39)</x:f>
        <x:v>M08-STEM-0033-V1.0</x:v>
      </x:c>
      <x:c r="B39" s="74" t="str">
        <x:v>M08</x:v>
      </x:c>
      <x:c r="C39" s="74" t="str">
        <x:v>STEM</x:v>
      </x:c>
      <x:c r="D39" s="79" t="n">
        <x:v>33</x:v>
      </x:c>
      <x:c r="E39" s="74" t="str">
        <x:v>V1.0</x:v>
      </x:c>
      <x:c r="F39" s="68" t="str">
        <x:v>有根透干受克多表现为受制而非消失</x:v>
      </x:c>
      <x:c r="G39" s="82" t="str">
        <x:v>结构层</x:v>
      </x:c>
      <x:c r="H39" s="68" t="str">
        <x:v>M08克制+根气</x:v>
      </x:c>
      <x:c r="I39" s="68" t="str">
        <x:v>目标五行</x:v>
      </x:c>
      <x:c r="J39" s="68" t="str">
        <x:v>有根透干</x:v>
      </x:c>
      <x:c r="K39" s="68" t="str">
        <x:v>受克</x:v>
      </x:c>
      <x:c r="L39" s="68" t="str">
        <x:v>下调功能但保留本体</x:v>
      </x:c>
      <x:c r="M39" s="82" t="str">
        <x:v>减弱</x:v>
      </x:c>
      <x:c r="N39" s="82" t="str">
        <x:v>中</x:v>
      </x:c>
      <x:c r="O39" s="82" t="str">
        <x:v>否</x:v>
      </x:c>
      <x:c r="P39" s="82" t="str">
        <x:v>否</x:v>
      </x:c>
      <x:c r="Q39" s="82" t="str">
        <x:v>是</x:v>
      </x:c>
      <x:c r="R39" s="82" t="str">
        <x:v>是</x:v>
      </x:c>
      <x:c r="S39" s="68" t="str">
        <x:v>前置模块已完成</x:v>
      </x:c>
      <x:c r="T39" s="68" t="str">
        <x:v>作用条件真实成立</x:v>
      </x:c>
      <x:c r="U39" s="68" t="str">
        <x:v>得令、有根、有援可增强</x:v>
      </x:c>
      <x:c r="V39" s="68" t="str">
        <x:v>失令、孤立或受制可削弱</x:v>
      </x:c>
      <x:c r="W39" s="90" t="str">
        <x:v>禁止用关系名称直接替代实际效应</x:v>
      </x:c>
      <x:c r="X39" s="68" t="str">
        <x:v>特殊格局与动态岁运另模块处理</x:v>
      </x:c>
      <x:c r="Y39" s="84" t="str">
        <x:v>按证据修正有效旺衰</x:v>
      </x:c>
      <x:c r="Z39" s="68" t="str">
        <x:v>不得直接推出喜忌用神</x:v>
      </x:c>
      <x:c r="AA39" s="84" t="str">
        <x:v>有根透干受制</x:v>
      </x:c>
      <x:c r="AB39" s="84" t="str">
        <x:v>有根透干受克时通常是受制，不应直接归零。</x:v>
      </x:c>
      <x:c r="AC39" s="82" t="str">
        <x:v>较高</x:v>
      </x:c>
      <x:c r="AD39" s="82" t="str">
        <x:v>现代综合</x:v>
      </x:c>
      <x:c r="AE39" s="68" t="str">
        <x:v>有效力量必须承接原始力量与实际效应，逐对象、逐节点修正。</x:v>
      </x:c>
      <x:c r="AF39" s="68" t="str">
        <x:v>显露度与根气、作用路径同时评估。</x:v>
      </x:c>
      <x:c r="AG39" s="90" t="str">
        <x:v>透了就旺、不透就弱，或按柱位固定打折。</x:v>
      </x:c>
      <x:c r="AH39" s="68" t="str">
        <x:v>https://zh.wikisource.org/zh-hans/滴天髓 ; https://zh.wikisource.org/zh-hans/淵海子平 ; https://zh.wikisource.org/wiki/三命通會</x:v>
      </x:c>
      <x:c r="AI39" s="82" t="str">
        <x:v>采用</x:v>
      </x:c>
      <x:c r="AJ39" s="82" t="str">
        <x:v>初审</x:v>
      </x:c>
      <x:c r="AK39" s="87" t="n">
        <x:v>46255</x:v>
      </x:c>
    </x:row>
    <x:row r="40">
      <x:c r="A40" s="72" t="str">
        <x:f>IF(OR(C40="",D40=""),"",B40&amp;"-"&amp;UPPER(C40)&amp;"-"&amp;TEXT(D40,"0000")&amp;"-"&amp;E40)</x:f>
        <x:v>M08-STEM-0034-V1.0</x:v>
      </x:c>
      <x:c r="B40" s="74" t="str">
        <x:v>M08</x:v>
      </x:c>
      <x:c r="C40" s="74" t="str">
        <x:v>STEM</x:v>
      </x:c>
      <x:c r="D40" s="79" t="n">
        <x:v>34</x:v>
      </x:c>
      <x:c r="E40" s="74" t="str">
        <x:v>V1.0</x:v>
      </x:c>
      <x:c r="F40" s="68" t="str">
        <x:v>藏而不透但得令成势时仍可有高有效力量</x:v>
      </x:c>
      <x:c r="G40" s="82" t="str">
        <x:v>结构层</x:v>
      </x:c>
      <x:c r="H40" s="68" t="str">
        <x:v>M07季令根气</x:v>
      </x:c>
      <x:c r="I40" s="68" t="str">
        <x:v>目标五行</x:v>
      </x:c>
      <x:c r="J40" s="68" t="str">
        <x:v>藏支不透</x:v>
      </x:c>
      <x:c r="K40" s="68" t="str">
        <x:v>得令多根成势</x:v>
      </x:c>
      <x:c r="L40" s="68" t="str">
        <x:v>保持较高力量但显露度低</x:v>
      </x:c>
      <x:c r="M40" s="82" t="str">
        <x:v>不变</x:v>
      </x:c>
      <x:c r="N40" s="82" t="str">
        <x:v>中</x:v>
      </x:c>
      <x:c r="O40" s="82" t="str">
        <x:v>否</x:v>
      </x:c>
      <x:c r="P40" s="82" t="str">
        <x:v>否</x:v>
      </x:c>
      <x:c r="Q40" s="82" t="str">
        <x:v>是</x:v>
      </x:c>
      <x:c r="R40" s="82" t="str">
        <x:v>是</x:v>
      </x:c>
      <x:c r="S40" s="68" t="str">
        <x:v>前置模块已完成</x:v>
      </x:c>
      <x:c r="T40" s="68" t="str">
        <x:v>作用条件真实成立</x:v>
      </x:c>
      <x:c r="U40" s="68" t="str">
        <x:v>得令、有根、有援可增强</x:v>
      </x:c>
      <x:c r="V40" s="68" t="str">
        <x:v>失令、孤立或受制可削弱</x:v>
      </x:c>
      <x:c r="W40" s="90" t="str">
        <x:v>禁止用关系名称直接替代实际效应</x:v>
      </x:c>
      <x:c r="X40" s="68" t="str">
        <x:v>特殊格局与动态岁运另模块处理</x:v>
      </x:c>
      <x:c r="Y40" s="84" t="str">
        <x:v>按证据修正有效旺衰</x:v>
      </x:c>
      <x:c r="Z40" s="68" t="str">
        <x:v>不得直接推出喜忌用神</x:v>
      </x:c>
      <x:c r="AA40" s="84" t="str">
        <x:v>藏旺不透</x:v>
      </x:c>
      <x:c r="AB40" s="84" t="str">
        <x:v>五行虽不透干，但若得令多根成势，实际力量仍可较高。</x:v>
      </x:c>
      <x:c r="AC40" s="82" t="str">
        <x:v>较高</x:v>
      </x:c>
      <x:c r="AD40" s="82" t="str">
        <x:v>现代综合</x:v>
      </x:c>
      <x:c r="AE40" s="68" t="str">
        <x:v>有效力量必须承接原始力量与实际效应，逐对象、逐节点修正。</x:v>
      </x:c>
      <x:c r="AF40" s="68" t="str">
        <x:v>显露度与根气、作用路径同时评估。</x:v>
      </x:c>
      <x:c r="AG40" s="90" t="str">
        <x:v>透了就旺、不透就弱，或按柱位固定打折。</x:v>
      </x:c>
      <x:c r="AH40" s="68" t="str">
        <x:v>https://zh.wikisource.org/zh-hans/滴天髓 ; https://zh.wikisource.org/zh-hans/淵海子平 ; https://zh.wikisource.org/wiki/三命通會</x:v>
      </x:c>
      <x:c r="AI40" s="82" t="str">
        <x:v>采用</x:v>
      </x:c>
      <x:c r="AJ40" s="82" t="str">
        <x:v>初审</x:v>
      </x:c>
      <x:c r="AK40" s="87" t="n">
        <x:v>46255</x:v>
      </x:c>
    </x:row>
    <x:row r="41">
      <x:c r="A41" s="72" t="str">
        <x:f>IF(OR(C41="",D41=""),"",B41&amp;"-"&amp;UPPER(C41)&amp;"-"&amp;TEXT(D41,"0000")&amp;"-"&amp;E41)</x:f>
        <x:v>M08-STEM-0035-V1.0</x:v>
      </x:c>
      <x:c r="B41" s="74" t="str">
        <x:v>M08</x:v>
      </x:c>
      <x:c r="C41" s="74" t="str">
        <x:v>STEM</x:v>
      </x:c>
      <x:c r="D41" s="79" t="n">
        <x:v>35</x:v>
      </x:c>
      <x:c r="E41" s="74" t="str">
        <x:v>V1.0</x:v>
      </x:c>
      <x:c r="F41" s="68" t="str">
        <x:v>多透同五行按承载能力实行边际递减</x:v>
      </x:c>
      <x:c r="G41" s="82" t="str">
        <x:v>结构层</x:v>
      </x:c>
      <x:c r="H41" s="68" t="str">
        <x:v>M07多透</x:v>
      </x:c>
      <x:c r="I41" s="68" t="str">
        <x:v>目标五行</x:v>
      </x:c>
      <x:c r="J41" s="68" t="str">
        <x:v>多透</x:v>
      </x:c>
      <x:c r="K41" s="68" t="str">
        <x:v>多个同类天干显露</x:v>
      </x:c>
      <x:c r="L41" s="68" t="str">
        <x:v>增加显用但不线性累加</x:v>
      </x:c>
      <x:c r="M41" s="82" t="str">
        <x:v>增强</x:v>
      </x:c>
      <x:c r="N41" s="82" t="str">
        <x:v>中</x:v>
      </x:c>
      <x:c r="O41" s="82" t="str">
        <x:v>否</x:v>
      </x:c>
      <x:c r="P41" s="82" t="str">
        <x:v>否</x:v>
      </x:c>
      <x:c r="Q41" s="82" t="str">
        <x:v>是</x:v>
      </x:c>
      <x:c r="R41" s="82" t="str">
        <x:v>是</x:v>
      </x:c>
      <x:c r="S41" s="68" t="str">
        <x:v>前置模块已完成</x:v>
      </x:c>
      <x:c r="T41" s="68" t="str">
        <x:v>作用条件真实成立</x:v>
      </x:c>
      <x:c r="U41" s="68" t="str">
        <x:v>得令、有根、有援可增强</x:v>
      </x:c>
      <x:c r="V41" s="68" t="str">
        <x:v>失令、孤立或受制可削弱</x:v>
      </x:c>
      <x:c r="W41" s="90" t="str">
        <x:v>禁止用关系名称直接替代实际效应</x:v>
      </x:c>
      <x:c r="X41" s="68" t="str">
        <x:v>特殊格局与动态岁运另模块处理</x:v>
      </x:c>
      <x:c r="Y41" s="84" t="str">
        <x:v>按证据修正有效旺衰</x:v>
      </x:c>
      <x:c r="Z41" s="68" t="str">
        <x:v>不得直接推出喜忌用神</x:v>
      </x:c>
      <x:c r="AA41" s="84" t="str">
        <x:v>多透边际递减</x:v>
      </x:c>
      <x:c r="AB41" s="84" t="str">
        <x:v>同五行多透可增强显用，但第二、第三透干不应线性满额累加。</x:v>
      </x:c>
      <x:c r="AC41" s="82" t="str">
        <x:v>较高</x:v>
      </x:c>
      <x:c r="AD41" s="82" t="str">
        <x:v>现代综合</x:v>
      </x:c>
      <x:c r="AE41" s="68" t="str">
        <x:v>有效力量必须承接原始力量与实际效应，逐对象、逐节点修正。</x:v>
      </x:c>
      <x:c r="AF41" s="68" t="str">
        <x:v>显露度与根气、作用路径同时评估。</x:v>
      </x:c>
      <x:c r="AG41" s="90" t="str">
        <x:v>透了就旺、不透就弱，或按柱位固定打折。</x:v>
      </x:c>
      <x:c r="AH41" s="68" t="str">
        <x:v>https://zh.wikisource.org/zh-hans/滴天髓 ; https://zh.wikisource.org/zh-hans/淵海子平 ; https://zh.wikisource.org/wiki/三命通會</x:v>
      </x:c>
      <x:c r="AI41" s="82" t="str">
        <x:v>采用</x:v>
      </x:c>
      <x:c r="AJ41" s="82" t="str">
        <x:v>初审</x:v>
      </x:c>
      <x:c r="AK41" s="87" t="n">
        <x:v>46255</x:v>
      </x:c>
    </x:row>
    <x:row r="42">
      <x:c r="A42" s="72" t="str">
        <x:f>IF(OR(C42="",D42=""),"",B42&amp;"-"&amp;UPPER(C42)&amp;"-"&amp;TEXT(D42,"0000")&amp;"-"&amp;E42)</x:f>
        <x:v>M08-STEM-0036-V1.0</x:v>
      </x:c>
      <x:c r="B42" s="74" t="str">
        <x:v>M08</x:v>
      </x:c>
      <x:c r="C42" s="74" t="str">
        <x:v>STEM</x:v>
      </x:c>
      <x:c r="D42" s="79" t="n">
        <x:v>36</x:v>
      </x:c>
      <x:c r="E42" s="74" t="str">
        <x:v>V1.0</x:v>
      </x:c>
      <x:c r="F42" s="68" t="str">
        <x:v>透干位置影响直接作用路径而不设固定旺衰分数</x:v>
      </x:c>
      <x:c r="G42" s="82" t="str">
        <x:v>结构层</x:v>
      </x:c>
      <x:c r="H42" s="68" t="str">
        <x:v>M07位置+M06作用路径</x:v>
      </x:c>
      <x:c r="I42" s="68" t="str">
        <x:v>目标五行</x:v>
      </x:c>
      <x:c r="J42" s="68" t="str">
        <x:v>透干</x:v>
      </x:c>
      <x:c r="K42" s="68" t="str">
        <x:v>位于不同柱位</x:v>
      </x:c>
      <x:c r="L42" s="68" t="str">
        <x:v>修正可接触对象与路径</x:v>
      </x:c>
      <x:c r="M42" s="82" t="str">
        <x:v>条件性</x:v>
      </x:c>
      <x:c r="N42" s="82" t="str">
        <x:v>弱</x:v>
      </x:c>
      <x:c r="O42" s="82" t="str">
        <x:v>否</x:v>
      </x:c>
      <x:c r="P42" s="82" t="str">
        <x:v>否</x:v>
      </x:c>
      <x:c r="Q42" s="82" t="str">
        <x:v>是</x:v>
      </x:c>
      <x:c r="R42" s="82" t="str">
        <x:v>是</x:v>
      </x:c>
      <x:c r="S42" s="68" t="str">
        <x:v>前置模块已完成</x:v>
      </x:c>
      <x:c r="T42" s="68" t="str">
        <x:v>作用条件真实成立</x:v>
      </x:c>
      <x:c r="U42" s="68" t="str">
        <x:v>得令、有根、有援可增强</x:v>
      </x:c>
      <x:c r="V42" s="68" t="str">
        <x:v>失令、孤立或受制可削弱</x:v>
      </x:c>
      <x:c r="W42" s="90" t="str">
        <x:v>禁止用关系名称直接替代实际效应</x:v>
      </x:c>
      <x:c r="X42" s="68" t="str">
        <x:v>特殊格局与动态岁运另模块处理</x:v>
      </x:c>
      <x:c r="Y42" s="84" t="str">
        <x:v>按证据修正有效旺衰</x:v>
      </x:c>
      <x:c r="Z42" s="68" t="str">
        <x:v>不得直接推出喜忌用神</x:v>
      </x:c>
      <x:c r="AA42" s="84" t="str">
        <x:v>位置路径</x:v>
      </x:c>
      <x:c r="AB42" s="84" t="str">
        <x:v>透干位置主要决定作用路径，不应机械换算为固定旺衰分数。</x:v>
      </x:c>
      <x:c r="AC42" s="82" t="str">
        <x:v>较高</x:v>
      </x:c>
      <x:c r="AD42" s="82" t="str">
        <x:v>现代综合</x:v>
      </x:c>
      <x:c r="AE42" s="68" t="str">
        <x:v>有效力量必须承接原始力量与实际效应，逐对象、逐节点修正。</x:v>
      </x:c>
      <x:c r="AF42" s="68" t="str">
        <x:v>显露度与根气、作用路径同时评估。</x:v>
      </x:c>
      <x:c r="AG42" s="90" t="str">
        <x:v>透了就旺、不透就弱，或按柱位固定打折。</x:v>
      </x:c>
      <x:c r="AH42" s="68" t="str">
        <x:v>https://zh.wikisource.org/zh-hans/滴天髓 ; https://zh.wikisource.org/zh-hans/淵海子平 ; https://zh.wikisource.org/wiki/三命通會</x:v>
      </x:c>
      <x:c r="AI42" s="82" t="str">
        <x:v>采用</x:v>
      </x:c>
      <x:c r="AJ42" s="82" t="str">
        <x:v>初审</x:v>
      </x:c>
      <x:c r="AK42" s="87" t="n">
        <x:v>46255</x:v>
      </x:c>
    </x:row>
    <x:row r="43">
      <x:c r="A43" s="72" t="str">
        <x:f>IF(OR(C43="",D43=""),"",B43&amp;"-"&amp;UPPER(C43)&amp;"-"&amp;TEXT(D43,"0000")&amp;"-"&amp;E43)</x:f>
        <x:v>M08-CONTROL-0037-V1.0</x:v>
      </x:c>
      <x:c r="B43" s="74" t="str">
        <x:v>M08</x:v>
      </x:c>
      <x:c r="C43" s="74" t="str">
        <x:v>CONTROL</x:v>
      </x:c>
      <x:c r="D43" s="79" t="n">
        <x:v>37</x:v>
      </x:c>
      <x:c r="E43" s="74" t="str">
        <x:v>V1.0</x:v>
      </x:c>
      <x:c r="F43" s="68" t="str">
        <x:v>强克弱形成显著有效减力</x:v>
      </x:c>
      <x:c r="G43" s="82" t="str">
        <x:v>结构层</x:v>
      </x:c>
      <x:c r="H43" s="68" t="str">
        <x:v>有效生克关系</x:v>
      </x:c>
      <x:c r="I43" s="68" t="str">
        <x:v>目标五行</x:v>
      </x:c>
      <x:c r="J43" s="68" t="str">
        <x:v>原始偏弱</x:v>
      </x:c>
      <x:c r="K43" s="68" t="str">
        <x:v>受强势克方直接克制</x:v>
      </x:c>
      <x:c r="L43" s="68" t="str">
        <x:v>下调一个或多个有效等级</x:v>
      </x:c>
      <x:c r="M43" s="82" t="str">
        <x:v>减弱</x:v>
      </x:c>
      <x:c r="N43" s="82" t="str">
        <x:v>强</x:v>
      </x:c>
      <x:c r="O43" s="82" t="str">
        <x:v>条件性</x:v>
      </x:c>
      <x:c r="P43" s="82" t="str">
        <x:v>条件性</x:v>
      </x:c>
      <x:c r="Q43" s="82" t="str">
        <x:v>条件性</x:v>
      </x:c>
      <x:c r="R43" s="82" t="str">
        <x:v>是</x:v>
      </x:c>
      <x:c r="S43" s="68" t="str">
        <x:v>前置模块已完成</x:v>
      </x:c>
      <x:c r="T43" s="68" t="str">
        <x:v>作用条件真实成立</x:v>
      </x:c>
      <x:c r="U43" s="68" t="str">
        <x:v>得令、有根、有援可增强</x:v>
      </x:c>
      <x:c r="V43" s="68" t="str">
        <x:v>失令、孤立或受制可削弱</x:v>
      </x:c>
      <x:c r="W43" s="90" t="str">
        <x:v>禁止用关系名称直接替代实际效应</x:v>
      </x:c>
      <x:c r="X43" s="68" t="str">
        <x:v>特殊格局与动态岁运另模块处理</x:v>
      </x:c>
      <x:c r="Y43" s="84" t="str">
        <x:v>按证据修正有效旺衰</x:v>
      </x:c>
      <x:c r="Z43" s="68" t="str">
        <x:v>不得直接推出喜忌用神</x:v>
      </x:c>
      <x:c r="AA43" s="84" t="str">
        <x:v>强克弱</x:v>
      </x:c>
      <x:c r="AB43" s="84" t="str">
        <x:v>克方明显强于目标且路径直接时，目标有效力量显著下降。</x:v>
      </x:c>
      <x:c r="AC43" s="82" t="str">
        <x:v>较高</x:v>
      </x:c>
      <x:c r="AD43" s="82" t="str">
        <x:v>现代综合</x:v>
      </x:c>
      <x:c r="AE43" s="68" t="str">
        <x:v>有效力量必须承接原始力量与实际效应，逐对象、逐节点修正。</x:v>
      </x:c>
      <x:c r="AF43" s="68" t="str">
        <x:v>比较双方有效力量、路径与续航后再定减力幅度。</x:v>
      </x:c>
      <x:c r="AG43" s="90" t="str">
        <x:v>只见五行相克就固定扣分。</x:v>
      </x:c>
      <x:c r="AH43" s="68" t="str">
        <x:v>https://zh.wikisource.org/zh-hans/滴天髓 ; https://zh.wikisource.org/zh-hans/淵海子平 ; https://zh.wikisource.org/wiki/三命通會</x:v>
      </x:c>
      <x:c r="AI43" s="82" t="str">
        <x:v>采用</x:v>
      </x:c>
      <x:c r="AJ43" s="82" t="str">
        <x:v>初审</x:v>
      </x:c>
      <x:c r="AK43" s="87" t="n">
        <x:v>46255</x:v>
      </x:c>
    </x:row>
    <x:row r="44">
      <x:c r="A44" s="72" t="str">
        <x:f>IF(OR(C44="",D44=""),"",B44&amp;"-"&amp;UPPER(C44)&amp;"-"&amp;TEXT(D44,"0000")&amp;"-"&amp;E44)</x:f>
        <x:v>M08-CONTROL-0038-V1.0</x:v>
      </x:c>
      <x:c r="B44" s="74" t="str">
        <x:v>M08</x:v>
      </x:c>
      <x:c r="C44" s="74" t="str">
        <x:v>CONTROL</x:v>
      </x:c>
      <x:c r="D44" s="79" t="n">
        <x:v>38</x:v>
      </x:c>
      <x:c r="E44" s="74" t="str">
        <x:v>V1.0</x:v>
      </x:c>
      <x:c r="F44" s="68" t="str">
        <x:v>弱克强多表现为牵制而非实质压制</x:v>
      </x:c>
      <x:c r="G44" s="82" t="str">
        <x:v>结构层</x:v>
      </x:c>
      <x:c r="H44" s="68" t="str">
        <x:v>有效生克关系</x:v>
      </x:c>
      <x:c r="I44" s="68" t="str">
        <x:v>目标五行</x:v>
      </x:c>
      <x:c r="J44" s="68" t="str">
        <x:v>原始旺</x:v>
      </x:c>
      <x:c r="K44" s="68" t="str">
        <x:v>受弱克方克制</x:v>
      </x:c>
      <x:c r="L44" s="68" t="str">
        <x:v>轻微下调或仅标记牵制</x:v>
      </x:c>
      <x:c r="M44" s="82" t="str">
        <x:v>减弱</x:v>
      </x:c>
      <x:c r="N44" s="82" t="str">
        <x:v>弱</x:v>
      </x:c>
      <x:c r="O44" s="82" t="str">
        <x:v>条件性</x:v>
      </x:c>
      <x:c r="P44" s="82" t="str">
        <x:v>条件性</x:v>
      </x:c>
      <x:c r="Q44" s="82" t="str">
        <x:v>条件性</x:v>
      </x:c>
      <x:c r="R44" s="82" t="str">
        <x:v>是</x:v>
      </x:c>
      <x:c r="S44" s="68" t="str">
        <x:v>前置模块已完成</x:v>
      </x:c>
      <x:c r="T44" s="68" t="str">
        <x:v>作用条件真实成立</x:v>
      </x:c>
      <x:c r="U44" s="68" t="str">
        <x:v>得令、有根、有援可增强</x:v>
      </x:c>
      <x:c r="V44" s="68" t="str">
        <x:v>失令、孤立或受制可削弱</x:v>
      </x:c>
      <x:c r="W44" s="90" t="str">
        <x:v>禁止用关系名称直接替代实际效应</x:v>
      </x:c>
      <x:c r="X44" s="68" t="str">
        <x:v>特殊格局与动态岁运另模块处理</x:v>
      </x:c>
      <x:c r="Y44" s="84" t="str">
        <x:v>按证据修正有效旺衰</x:v>
      </x:c>
      <x:c r="Z44" s="68" t="str">
        <x:v>不得直接推出喜忌用神</x:v>
      </x:c>
      <x:c r="AA44" s="84" t="str">
        <x:v>弱克强</x:v>
      </x:c>
      <x:c r="AB44" s="84" t="str">
        <x:v>克方弱而目标强时，通常不足以改变目标主要旺衰等级。</x:v>
      </x:c>
      <x:c r="AC44" s="82" t="str">
        <x:v>较高</x:v>
      </x:c>
      <x:c r="AD44" s="82" t="str">
        <x:v>现代综合</x:v>
      </x:c>
      <x:c r="AE44" s="68" t="str">
        <x:v>有效力量必须承接原始力量与实际效应，逐对象、逐节点修正。</x:v>
      </x:c>
      <x:c r="AF44" s="68" t="str">
        <x:v>比较双方有效力量、路径与续航后再定减力幅度。</x:v>
      </x:c>
      <x:c r="AG44" s="90" t="str">
        <x:v>只见五行相克就固定扣分。</x:v>
      </x:c>
      <x:c r="AH44" s="68" t="str">
        <x:v>https://zh.wikisource.org/zh-hans/滴天髓 ; https://zh.wikisource.org/zh-hans/淵海子平 ; https://zh.wikisource.org/wiki/三命通會</x:v>
      </x:c>
      <x:c r="AI44" s="82" t="str">
        <x:v>采用</x:v>
      </x:c>
      <x:c r="AJ44" s="82" t="str">
        <x:v>初审</x:v>
      </x:c>
      <x:c r="AK44" s="87" t="n">
        <x:v>46255</x:v>
      </x:c>
    </x:row>
    <x:row r="45">
      <x:c r="A45" s="72" t="str">
        <x:f>IF(OR(C45="",D45=""),"",B45&amp;"-"&amp;UPPER(C45)&amp;"-"&amp;TEXT(D45,"0000")&amp;"-"&amp;E45)</x:f>
        <x:v>M08-CONTROL-0039-V1.0</x:v>
      </x:c>
      <x:c r="B45" s="74" t="str">
        <x:v>M08</x:v>
      </x:c>
      <x:c r="C45" s="74" t="str">
        <x:v>CONTROL</x:v>
      </x:c>
      <x:c r="D45" s="79" t="n">
        <x:v>39</x:v>
      </x:c>
      <x:c r="E45" s="74" t="str">
        <x:v>V1.0</x:v>
      </x:c>
      <x:c r="F45" s="68" t="str">
        <x:v>同级相克双方均有损但减力不必等量</x:v>
      </x:c>
      <x:c r="G45" s="82" t="str">
        <x:v>结构层</x:v>
      </x:c>
      <x:c r="H45" s="68" t="str">
        <x:v>双向耗损</x:v>
      </x:c>
      <x:c r="I45" s="68" t="str">
        <x:v>目标五行</x:v>
      </x:c>
      <x:c r="J45" s="68" t="str">
        <x:v>双方中强</x:v>
      </x:c>
      <x:c r="K45" s="68" t="str">
        <x:v>正面相克</x:v>
      </x:c>
      <x:c r="L45" s="68" t="str">
        <x:v>按根源与续航分别下调</x:v>
      </x:c>
      <x:c r="M45" s="82" t="str">
        <x:v>减弱</x:v>
      </x:c>
      <x:c r="N45" s="82" t="str">
        <x:v>中</x:v>
      </x:c>
      <x:c r="O45" s="82" t="str">
        <x:v>条件性</x:v>
      </x:c>
      <x:c r="P45" s="82" t="str">
        <x:v>条件性</x:v>
      </x:c>
      <x:c r="Q45" s="82" t="str">
        <x:v>条件性</x:v>
      </x:c>
      <x:c r="R45" s="82" t="str">
        <x:v>是</x:v>
      </x:c>
      <x:c r="S45" s="68" t="str">
        <x:v>前置模块已完成</x:v>
      </x:c>
      <x:c r="T45" s="68" t="str">
        <x:v>作用条件真实成立</x:v>
      </x:c>
      <x:c r="U45" s="68" t="str">
        <x:v>得令、有根、有援可增强</x:v>
      </x:c>
      <x:c r="V45" s="68" t="str">
        <x:v>失令、孤立或受制可削弱</x:v>
      </x:c>
      <x:c r="W45" s="90" t="str">
        <x:v>禁止用关系名称直接替代实际效应</x:v>
      </x:c>
      <x:c r="X45" s="68" t="str">
        <x:v>特殊格局与动态岁运另模块处理</x:v>
      </x:c>
      <x:c r="Y45" s="84" t="str">
        <x:v>按证据修正有效旺衰</x:v>
      </x:c>
      <x:c r="Z45" s="68" t="str">
        <x:v>不得直接推出喜忌用神</x:v>
      </x:c>
      <x:c r="AA45" s="84" t="str">
        <x:v>势均相克</x:v>
      </x:c>
      <x:c r="AB45" s="84" t="str">
        <x:v>双方势均相克时都存在耗损，但减力幅度不应机械相同。</x:v>
      </x:c>
      <x:c r="AC45" s="82" t="str">
        <x:v>较高</x:v>
      </x:c>
      <x:c r="AD45" s="82" t="str">
        <x:v>现代综合</x:v>
      </x:c>
      <x:c r="AE45" s="68" t="str">
        <x:v>有效力量必须承接原始力量与实际效应，逐对象、逐节点修正。</x:v>
      </x:c>
      <x:c r="AF45" s="68" t="str">
        <x:v>比较双方有效力量、路径与续航后再定减力幅度。</x:v>
      </x:c>
      <x:c r="AG45" s="90" t="str">
        <x:v>只见五行相克就固定扣分。</x:v>
      </x:c>
      <x:c r="AH45" s="68" t="str">
        <x:v>https://zh.wikisource.org/zh-hans/滴天髓 ; https://zh.wikisource.org/zh-hans/淵海子平 ; https://zh.wikisource.org/wiki/三命通會</x:v>
      </x:c>
      <x:c r="AI45" s="82" t="str">
        <x:v>采用</x:v>
      </x:c>
      <x:c r="AJ45" s="82" t="str">
        <x:v>初审</x:v>
      </x:c>
      <x:c r="AK45" s="87" t="n">
        <x:v>46255</x:v>
      </x:c>
    </x:row>
    <x:row r="46">
      <x:c r="A46" s="72" t="str">
        <x:f>IF(OR(C46="",D46=""),"",B46&amp;"-"&amp;UPPER(C46)&amp;"-"&amp;TEXT(D46,"0000")&amp;"-"&amp;E46)</x:f>
        <x:v>M08-CONTROL-0040-V1.0</x:v>
      </x:c>
      <x:c r="B46" s="74" t="str">
        <x:v>M08</x:v>
      </x:c>
      <x:c r="C46" s="74" t="str">
        <x:v>CONTROL</x:v>
      </x:c>
      <x:c r="D46" s="79" t="n">
        <x:v>40</x:v>
      </x:c>
      <x:c r="E46" s="74" t="str">
        <x:v>V1.0</x:v>
      </x:c>
      <x:c r="F46" s="68" t="str">
        <x:v>被克方有强生源时可抵消部分克制</x:v>
      </x:c>
      <x:c r="G46" s="82" t="str">
        <x:v>结构层</x:v>
      </x:c>
      <x:c r="H46" s="68" t="str">
        <x:v>生克制化</x:v>
      </x:c>
      <x:c r="I46" s="68" t="str">
        <x:v>目标五行</x:v>
      </x:c>
      <x:c r="J46" s="68" t="str">
        <x:v>受克</x:v>
      </x:c>
      <x:c r="K46" s="68" t="str">
        <x:v>同时有强生源补给</x:v>
      </x:c>
      <x:c r="L46" s="68" t="str">
        <x:v>降低克制减力幅度</x:v>
      </x:c>
      <x:c r="M46" s="82" t="str">
        <x:v>增强</x:v>
      </x:c>
      <x:c r="N46" s="82" t="str">
        <x:v>中</x:v>
      </x:c>
      <x:c r="O46" s="82" t="str">
        <x:v>条件性</x:v>
      </x:c>
      <x:c r="P46" s="82" t="str">
        <x:v>条件性</x:v>
      </x:c>
      <x:c r="Q46" s="82" t="str">
        <x:v>条件性</x:v>
      </x:c>
      <x:c r="R46" s="82" t="str">
        <x:v>是</x:v>
      </x:c>
      <x:c r="S46" s="68" t="str">
        <x:v>前置模块已完成</x:v>
      </x:c>
      <x:c r="T46" s="68" t="str">
        <x:v>作用条件真实成立</x:v>
      </x:c>
      <x:c r="U46" s="68" t="str">
        <x:v>得令、有根、有援可增强</x:v>
      </x:c>
      <x:c r="V46" s="68" t="str">
        <x:v>失令、孤立或受制可削弱</x:v>
      </x:c>
      <x:c r="W46" s="90" t="str">
        <x:v>禁止用关系名称直接替代实际效应</x:v>
      </x:c>
      <x:c r="X46" s="68" t="str">
        <x:v>特殊格局与动态岁运另模块处理</x:v>
      </x:c>
      <x:c r="Y46" s="84" t="str">
        <x:v>按证据修正有效旺衰</x:v>
      </x:c>
      <x:c r="Z46" s="68" t="str">
        <x:v>不得直接推出喜忌用神</x:v>
      </x:c>
      <x:c r="AA46" s="84" t="str">
        <x:v>生扶抗克</x:v>
      </x:c>
      <x:c r="AB46" s="84" t="str">
        <x:v>被克方若有强生源持续补给，可抵消部分克制。</x:v>
      </x:c>
      <x:c r="AC46" s="82" t="str">
        <x:v>较高</x:v>
      </x:c>
      <x:c r="AD46" s="82" t="str">
        <x:v>现代综合</x:v>
      </x:c>
      <x:c r="AE46" s="68" t="str">
        <x:v>有效力量必须承接原始力量与实际效应，逐对象、逐节点修正。</x:v>
      </x:c>
      <x:c r="AF46" s="68" t="str">
        <x:v>比较双方有效力量、路径与续航后再定减力幅度。</x:v>
      </x:c>
      <x:c r="AG46" s="90" t="str">
        <x:v>只见五行相克就固定扣分。</x:v>
      </x:c>
      <x:c r="AH46" s="68" t="str">
        <x:v>https://zh.wikisource.org/zh-hans/滴天髓 ; https://zh.wikisource.org/zh-hans/淵海子平 ; https://zh.wikisource.org/wiki/三命通會</x:v>
      </x:c>
      <x:c r="AI46" s="82" t="str">
        <x:v>采用</x:v>
      </x:c>
      <x:c r="AJ46" s="82" t="str">
        <x:v>初审</x:v>
      </x:c>
      <x:c r="AK46" s="87" t="n">
        <x:v>46255</x:v>
      </x:c>
    </x:row>
    <x:row r="47">
      <x:c r="A47" s="72" t="str">
        <x:f>IF(OR(C47="",D47=""),"",B47&amp;"-"&amp;UPPER(C47)&amp;"-"&amp;TEXT(D47,"0000")&amp;"-"&amp;E47)</x:f>
        <x:v>M08-CONTROL-0041-V1.0</x:v>
      </x:c>
      <x:c r="B47" s="74" t="str">
        <x:v>M08</x:v>
      </x:c>
      <x:c r="C47" s="74" t="str">
        <x:v>CONTROL</x:v>
      </x:c>
      <x:c r="D47" s="79" t="n">
        <x:v>41</x:v>
      </x:c>
      <x:c r="E47" s="74" t="str">
        <x:v>V1.0</x:v>
      </x:c>
      <x:c r="F47" s="68" t="str">
        <x:v>克方被制时其对目标的克制能力下降</x:v>
      </x:c>
      <x:c r="G47" s="82" t="str">
        <x:v>结构层</x:v>
      </x:c>
      <x:c r="H47" s="68" t="str">
        <x:v>制化链</x:v>
      </x:c>
      <x:c r="I47" s="68" t="str">
        <x:v>目标五行</x:v>
      </x:c>
      <x:c r="J47" s="68" t="str">
        <x:v>受克</x:v>
      </x:c>
      <x:c r="K47" s="68" t="str">
        <x:v>克方同时遭第三方有效克制</x:v>
      </x:c>
      <x:c r="L47" s="68" t="str">
        <x:v>下调克方实际伤害</x:v>
      </x:c>
      <x:c r="M47" s="82" t="str">
        <x:v>增强</x:v>
      </x:c>
      <x:c r="N47" s="82" t="str">
        <x:v>中</x:v>
      </x:c>
      <x:c r="O47" s="82" t="str">
        <x:v>条件性</x:v>
      </x:c>
      <x:c r="P47" s="82" t="str">
        <x:v>条件性</x:v>
      </x:c>
      <x:c r="Q47" s="82" t="str">
        <x:v>条件性</x:v>
      </x:c>
      <x:c r="R47" s="82" t="str">
        <x:v>是</x:v>
      </x:c>
      <x:c r="S47" s="68" t="str">
        <x:v>前置模块已完成</x:v>
      </x:c>
      <x:c r="T47" s="68" t="str">
        <x:v>作用条件真实成立</x:v>
      </x:c>
      <x:c r="U47" s="68" t="str">
        <x:v>得令、有根、有援可增强</x:v>
      </x:c>
      <x:c r="V47" s="68" t="str">
        <x:v>失令、孤立或受制可削弱</x:v>
      </x:c>
      <x:c r="W47" s="90" t="str">
        <x:v>禁止用关系名称直接替代实际效应</x:v>
      </x:c>
      <x:c r="X47" s="68" t="str">
        <x:v>特殊格局与动态岁运另模块处理</x:v>
      </x:c>
      <x:c r="Y47" s="84" t="str">
        <x:v>按证据修正有效旺衰</x:v>
      </x:c>
      <x:c r="Z47" s="68" t="str">
        <x:v>不得直接推出喜忌用神</x:v>
      </x:c>
      <x:c r="AA47" s="84" t="str">
        <x:v>制克缓冲</x:v>
      </x:c>
      <x:c r="AB47" s="84" t="str">
        <x:v>克方被第三方有效制约时，对目标的实际压制会下降。</x:v>
      </x:c>
      <x:c r="AC47" s="82" t="str">
        <x:v>较高</x:v>
      </x:c>
      <x:c r="AD47" s="82" t="str">
        <x:v>现代综合</x:v>
      </x:c>
      <x:c r="AE47" s="68" t="str">
        <x:v>有效力量必须承接原始力量与实际效应，逐对象、逐节点修正。</x:v>
      </x:c>
      <x:c r="AF47" s="68" t="str">
        <x:v>比较双方有效力量、路径与续航后再定减力幅度。</x:v>
      </x:c>
      <x:c r="AG47" s="90" t="str">
        <x:v>只见五行相克就固定扣分。</x:v>
      </x:c>
      <x:c r="AH47" s="68" t="str">
        <x:v>https://zh.wikisource.org/zh-hans/滴天髓 ; https://zh.wikisource.org/zh-hans/淵海子平 ; https://zh.wikisource.org/wiki/三命通會</x:v>
      </x:c>
      <x:c r="AI47" s="82" t="str">
        <x:v>采用</x:v>
      </x:c>
      <x:c r="AJ47" s="82" t="str">
        <x:v>初审</x:v>
      </x:c>
      <x:c r="AK47" s="87" t="n">
        <x:v>46255</x:v>
      </x:c>
    </x:row>
    <x:row r="48">
      <x:c r="A48" s="72" t="str">
        <x:f>IF(OR(C48="",D48=""),"",B48&amp;"-"&amp;UPPER(C48)&amp;"-"&amp;TEXT(D48,"0000")&amp;"-"&amp;E48)</x:f>
        <x:v>M08-CONTROL-0042-V1.0</x:v>
      </x:c>
      <x:c r="B48" s="74" t="str">
        <x:v>M08</x:v>
      </x:c>
      <x:c r="C48" s="74" t="str">
        <x:v>CONTROL</x:v>
      </x:c>
      <x:c r="D48" s="79" t="n">
        <x:v>42</x:v>
      </x:c>
      <x:c r="E48" s="74" t="str">
        <x:v>V1.0</x:v>
      </x:c>
      <x:c r="F48" s="68" t="str">
        <x:v>通关可把直接相克改写为生化链</x:v>
      </x:c>
      <x:c r="G48" s="82" t="str">
        <x:v>结构层</x:v>
      </x:c>
      <x:c r="H48" s="68" t="str">
        <x:v>M12通关接口</x:v>
      </x:c>
      <x:c r="I48" s="68" t="str">
        <x:v>目标五行</x:v>
      </x:c>
      <x:c r="J48" s="68" t="str">
        <x:v>两强相战</x:v>
      </x:c>
      <x:c r="K48" s="68" t="str">
        <x:v>中间五行有效承接</x:v>
      </x:c>
      <x:c r="L48" s="68" t="str">
        <x:v>减少直接克战并建立新路径</x:v>
      </x:c>
      <x:c r="M48" s="82" t="str">
        <x:v>转化</x:v>
      </x:c>
      <x:c r="N48" s="82" t="str">
        <x:v>强</x:v>
      </x:c>
      <x:c r="O48" s="82" t="str">
        <x:v>条件性</x:v>
      </x:c>
      <x:c r="P48" s="82" t="str">
        <x:v>条件性</x:v>
      </x:c>
      <x:c r="Q48" s="82" t="str">
        <x:v>条件性</x:v>
      </x:c>
      <x:c r="R48" s="82" t="str">
        <x:v>是</x:v>
      </x:c>
      <x:c r="S48" s="68" t="str">
        <x:v>前置模块已完成</x:v>
      </x:c>
      <x:c r="T48" s="68" t="str">
        <x:v>作用条件真实成立</x:v>
      </x:c>
      <x:c r="U48" s="68" t="str">
        <x:v>得令、有根、有援可增强</x:v>
      </x:c>
      <x:c r="V48" s="68" t="str">
        <x:v>失令、孤立或受制可削弱</x:v>
      </x:c>
      <x:c r="W48" s="90" t="str">
        <x:v>禁止用关系名称直接替代实际效应</x:v>
      </x:c>
      <x:c r="X48" s="68" t="str">
        <x:v>特殊格局与动态岁运另模块处理</x:v>
      </x:c>
      <x:c r="Y48" s="84" t="str">
        <x:v>按证据修正有效旺衰</x:v>
      </x:c>
      <x:c r="Z48" s="68" t="str">
        <x:v>不得直接推出喜忌用神</x:v>
      </x:c>
      <x:c r="AA48" s="84" t="str">
        <x:v>有效通关</x:v>
      </x:c>
      <x:c r="AB48" s="84" t="str">
        <x:v>有效通关可把直接克战转化为生化链，明显降低被克方损耗。</x:v>
      </x:c>
      <x:c r="AC48" s="82" t="str">
        <x:v>较高</x:v>
      </x:c>
      <x:c r="AD48" s="82" t="str">
        <x:v>现代综合</x:v>
      </x:c>
      <x:c r="AE48" s="68" t="str">
        <x:v>有效力量必须承接原始力量与实际效应，逐对象、逐节点修正。</x:v>
      </x:c>
      <x:c r="AF48" s="68" t="str">
        <x:v>比较双方有效力量、路径与续航后再定减力幅度。</x:v>
      </x:c>
      <x:c r="AG48" s="90" t="str">
        <x:v>只见五行相克就固定扣分。</x:v>
      </x:c>
      <x:c r="AH48" s="68" t="str">
        <x:v>https://zh.wikisource.org/zh-hans/滴天髓 ; https://zh.wikisource.org/zh-hans/淵海子平 ; https://zh.wikisource.org/wiki/三命通會</x:v>
      </x:c>
      <x:c r="AI48" s="82" t="str">
        <x:v>采用</x:v>
      </x:c>
      <x:c r="AJ48" s="82" t="str">
        <x:v>初审</x:v>
      </x:c>
      <x:c r="AK48" s="87" t="n">
        <x:v>46255</x:v>
      </x:c>
    </x:row>
    <x:row r="49">
      <x:c r="A49" s="72" t="str">
        <x:f>IF(OR(C49="",D49=""),"",B49&amp;"-"&amp;UPPER(C49)&amp;"-"&amp;TEXT(D49,"0000")&amp;"-"&amp;E49)</x:f>
        <x:v>M08-CONTROL-0043-V1.0</x:v>
      </x:c>
      <x:c r="B49" s="74" t="str">
        <x:v>M08</x:v>
      </x:c>
      <x:c r="C49" s="74" t="str">
        <x:v>CONTROL</x:v>
      </x:c>
      <x:c r="D49" s="79" t="n">
        <x:v>43</x:v>
      </x:c>
      <x:c r="E49" s="74" t="str">
        <x:v>V1.0</x:v>
      </x:c>
      <x:c r="F49" s="68" t="str">
        <x:v>藏干相克且无透达时权重低于显干直接克</x:v>
      </x:c>
      <x:c r="G49" s="82" t="str">
        <x:v>结构层</x:v>
      </x:c>
      <x:c r="H49" s="68" t="str">
        <x:v>作用路径</x:v>
      </x:c>
      <x:c r="I49" s="68" t="str">
        <x:v>目标五行</x:v>
      </x:c>
      <x:c r="J49" s="68" t="str">
        <x:v>藏支五行</x:v>
      </x:c>
      <x:c r="K49" s="68" t="str">
        <x:v>仅藏干潜在相克</x:v>
      </x:c>
      <x:c r="L49" s="68" t="str">
        <x:v>降低直接克制权重</x:v>
      </x:c>
      <x:c r="M49" s="82" t="str">
        <x:v>减弱</x:v>
      </x:c>
      <x:c r="N49" s="82" t="str">
        <x:v>弱</x:v>
      </x:c>
      <x:c r="O49" s="82" t="str">
        <x:v>条件性</x:v>
      </x:c>
      <x:c r="P49" s="82" t="str">
        <x:v>条件性</x:v>
      </x:c>
      <x:c r="Q49" s="82" t="str">
        <x:v>条件性</x:v>
      </x:c>
      <x:c r="R49" s="82" t="str">
        <x:v>是</x:v>
      </x:c>
      <x:c r="S49" s="68" t="str">
        <x:v>前置模块已完成</x:v>
      </x:c>
      <x:c r="T49" s="68" t="str">
        <x:v>作用条件真实成立</x:v>
      </x:c>
      <x:c r="U49" s="68" t="str">
        <x:v>得令、有根、有援可增强</x:v>
      </x:c>
      <x:c r="V49" s="68" t="str">
        <x:v>失令、孤立或受制可削弱</x:v>
      </x:c>
      <x:c r="W49" s="90" t="str">
        <x:v>禁止用关系名称直接替代实际效应</x:v>
      </x:c>
      <x:c r="X49" s="68" t="str">
        <x:v>特殊格局与动态岁运另模块处理</x:v>
      </x:c>
      <x:c r="Y49" s="84" t="str">
        <x:v>按证据修正有效旺衰</x:v>
      </x:c>
      <x:c r="Z49" s="68" t="str">
        <x:v>不得直接推出喜忌用神</x:v>
      </x:c>
      <x:c r="AA49" s="84" t="str">
        <x:v>藏克低权重</x:v>
      </x:c>
      <x:c r="AB49" s="84" t="str">
        <x:v>未透达的藏干相克通常只作低权重潜在制约。</x:v>
      </x:c>
      <x:c r="AC49" s="82" t="str">
        <x:v>较高</x:v>
      </x:c>
      <x:c r="AD49" s="82" t="str">
        <x:v>现代综合</x:v>
      </x:c>
      <x:c r="AE49" s="68" t="str">
        <x:v>有效力量必须承接原始力量与实际效应，逐对象、逐节点修正。</x:v>
      </x:c>
      <x:c r="AF49" s="68" t="str">
        <x:v>比较双方有效力量、路径与续航后再定减力幅度。</x:v>
      </x:c>
      <x:c r="AG49" s="90" t="str">
        <x:v>只见五行相克就固定扣分。</x:v>
      </x:c>
      <x:c r="AH49" s="68" t="str">
        <x:v>https://zh.wikisource.org/zh-hans/滴天髓 ; https://zh.wikisource.org/zh-hans/淵海子平 ; https://zh.wikisource.org/wiki/三命通會</x:v>
      </x:c>
      <x:c r="AI49" s="82" t="str">
        <x:v>采用</x:v>
      </x:c>
      <x:c r="AJ49" s="82" t="str">
        <x:v>初审</x:v>
      </x:c>
      <x:c r="AK49" s="87" t="n">
        <x:v>46255</x:v>
      </x:c>
    </x:row>
    <x:row r="50">
      <x:c r="A50" s="72" t="str">
        <x:f>IF(OR(C50="",D50=""),"",B50&amp;"-"&amp;UPPER(C50)&amp;"-"&amp;TEXT(D50,"0000")&amp;"-"&amp;E50)</x:f>
        <x:v>M08-CONTROL-0044-V1.0</x:v>
      </x:c>
      <x:c r="B50" s="74" t="str">
        <x:v>M08</x:v>
      </x:c>
      <x:c r="C50" s="74" t="str">
        <x:v>CONTROL</x:v>
      </x:c>
      <x:c r="D50" s="79" t="n">
        <x:v>44</x:v>
      </x:c>
      <x:c r="E50" s="74" t="str">
        <x:v>V1.0</x:v>
      </x:c>
      <x:c r="F50" s="68" t="str">
        <x:v>克制对象过多时克方输出需分配容量</x:v>
      </x:c>
      <x:c r="G50" s="82" t="str">
        <x:v>结构层</x:v>
      </x:c>
      <x:c r="H50" s="68" t="str">
        <x:v>容量约束</x:v>
      </x:c>
      <x:c r="I50" s="68" t="str">
        <x:v>目标五行</x:v>
      </x:c>
      <x:c r="J50" s="68" t="str">
        <x:v>多对象受同一克方</x:v>
      </x:c>
      <x:c r="K50" s="68" t="str">
        <x:v>同一克方同时制约多个对象</x:v>
      </x:c>
      <x:c r="L50" s="68" t="str">
        <x:v>降低单对象所受克力</x:v>
      </x:c>
      <x:c r="M50" s="82" t="str">
        <x:v>减弱</x:v>
      </x:c>
      <x:c r="N50" s="82" t="str">
        <x:v>中</x:v>
      </x:c>
      <x:c r="O50" s="82" t="str">
        <x:v>条件性</x:v>
      </x:c>
      <x:c r="P50" s="82" t="str">
        <x:v>条件性</x:v>
      </x:c>
      <x:c r="Q50" s="82" t="str">
        <x:v>条件性</x:v>
      </x:c>
      <x:c r="R50" s="82" t="str">
        <x:v>是</x:v>
      </x:c>
      <x:c r="S50" s="68" t="str">
        <x:v>前置模块已完成</x:v>
      </x:c>
      <x:c r="T50" s="68" t="str">
        <x:v>作用条件真实成立</x:v>
      </x:c>
      <x:c r="U50" s="68" t="str">
        <x:v>得令、有根、有援可增强</x:v>
      </x:c>
      <x:c r="V50" s="68" t="str">
        <x:v>失令、孤立或受制可削弱</x:v>
      </x:c>
      <x:c r="W50" s="90" t="str">
        <x:v>禁止用关系名称直接替代实际效应</x:v>
      </x:c>
      <x:c r="X50" s="68" t="str">
        <x:v>特殊格局与动态岁运另模块处理</x:v>
      </x:c>
      <x:c r="Y50" s="84" t="str">
        <x:v>按证据修正有效旺衰</x:v>
      </x:c>
      <x:c r="Z50" s="68" t="str">
        <x:v>不得直接推出喜忌用神</x:v>
      </x:c>
      <x:c r="AA50" s="84" t="str">
        <x:v>克力容量</x:v>
      </x:c>
      <x:c r="AB50" s="84" t="str">
        <x:v>同一克方同时制约多个对象时，其输出存在容量分配。</x:v>
      </x:c>
      <x:c r="AC50" s="82" t="str">
        <x:v>较高</x:v>
      </x:c>
      <x:c r="AD50" s="82" t="str">
        <x:v>现代综合</x:v>
      </x:c>
      <x:c r="AE50" s="68" t="str">
        <x:v>有效力量必须承接原始力量与实际效应，逐对象、逐节点修正。</x:v>
      </x:c>
      <x:c r="AF50" s="68" t="str">
        <x:v>比较双方有效力量、路径与续航后再定减力幅度。</x:v>
      </x:c>
      <x:c r="AG50" s="90" t="str">
        <x:v>只见五行相克就固定扣分。</x:v>
      </x:c>
      <x:c r="AH50" s="68" t="str">
        <x:v>https://zh.wikisource.org/zh-hans/滴天髓 ; https://zh.wikisource.org/zh-hans/淵海子平 ; https://zh.wikisource.org/wiki/三命通會</x:v>
      </x:c>
      <x:c r="AI50" s="82" t="str">
        <x:v>采用</x:v>
      </x:c>
      <x:c r="AJ50" s="82" t="str">
        <x:v>初审</x:v>
      </x:c>
      <x:c r="AK50" s="87" t="n">
        <x:v>46255</x:v>
      </x:c>
    </x:row>
    <x:row r="51">
      <x:c r="A51" s="72" t="str">
        <x:f>IF(OR(C51="",D51=""),"",B51&amp;"-"&amp;UPPER(C51)&amp;"-"&amp;TEXT(D51,"0000")&amp;"-"&amp;E51)</x:f>
        <x:v>M08-CONTROL-0045-V1.0</x:v>
      </x:c>
      <x:c r="B51" s="74" t="str">
        <x:v>M08</x:v>
      </x:c>
      <x:c r="C51" s="74" t="str">
        <x:v>CONTROL</x:v>
      </x:c>
      <x:c r="D51" s="79" t="n">
        <x:v>45</x:v>
      </x:c>
      <x:c r="E51" s="74" t="str">
        <x:v>V1.0</x:v>
      </x:c>
      <x:c r="F51" s="68" t="str">
        <x:v>克方同时大量泄耗时持续压制能力下降</x:v>
      </x:c>
      <x:c r="G51" s="82" t="str">
        <x:v>结构层</x:v>
      </x:c>
      <x:c r="H51" s="68" t="str">
        <x:v>双向作用</x:v>
      </x:c>
      <x:c r="I51" s="68" t="str">
        <x:v>目标五行</x:v>
      </x:c>
      <x:c r="J51" s="68" t="str">
        <x:v>被克方</x:v>
      </x:c>
      <x:c r="K51" s="68" t="str">
        <x:v>克方同时有显著泄出</x:v>
      </x:c>
      <x:c r="L51" s="68" t="str">
        <x:v>下调克方续航</x:v>
      </x:c>
      <x:c r="M51" s="82" t="str">
        <x:v>增强</x:v>
      </x:c>
      <x:c r="N51" s="82" t="str">
        <x:v>弱</x:v>
      </x:c>
      <x:c r="O51" s="82" t="str">
        <x:v>条件性</x:v>
      </x:c>
      <x:c r="P51" s="82" t="str">
        <x:v>条件性</x:v>
      </x:c>
      <x:c r="Q51" s="82" t="str">
        <x:v>条件性</x:v>
      </x:c>
      <x:c r="R51" s="82" t="str">
        <x:v>是</x:v>
      </x:c>
      <x:c r="S51" s="68" t="str">
        <x:v>前置模块已完成</x:v>
      </x:c>
      <x:c r="T51" s="68" t="str">
        <x:v>作用条件真实成立</x:v>
      </x:c>
      <x:c r="U51" s="68" t="str">
        <x:v>得令、有根、有援可增强</x:v>
      </x:c>
      <x:c r="V51" s="68" t="str">
        <x:v>失令、孤立或受制可削弱</x:v>
      </x:c>
      <x:c r="W51" s="90" t="str">
        <x:v>禁止用关系名称直接替代实际效应</x:v>
      </x:c>
      <x:c r="X51" s="68" t="str">
        <x:v>特殊格局与动态岁运另模块处理</x:v>
      </x:c>
      <x:c r="Y51" s="84" t="str">
        <x:v>按证据修正有效旺衰</x:v>
      </x:c>
      <x:c r="Z51" s="68" t="str">
        <x:v>不得直接推出喜忌用神</x:v>
      </x:c>
      <x:c r="AA51" s="84" t="str">
        <x:v>克方续航下降</x:v>
      </x:c>
      <x:c r="AB51" s="84" t="str">
        <x:v>克制不是无限输出，克方若同时大量泄耗，其持续压制能力会下降。</x:v>
      </x:c>
      <x:c r="AC51" s="82" t="str">
        <x:v>较高</x:v>
      </x:c>
      <x:c r="AD51" s="82" t="str">
        <x:v>现代综合</x:v>
      </x:c>
      <x:c r="AE51" s="68" t="str">
        <x:v>有效力量必须承接原始力量与实际效应，逐对象、逐节点修正。</x:v>
      </x:c>
      <x:c r="AF51" s="68" t="str">
        <x:v>比较双方有效力量、路径与续航后再定减力幅度。</x:v>
      </x:c>
      <x:c r="AG51" s="90" t="str">
        <x:v>只见五行相克就固定扣分。</x:v>
      </x:c>
      <x:c r="AH51" s="68" t="str">
        <x:v>https://zh.wikisource.org/zh-hans/滴天髓 ; https://zh.wikisource.org/zh-hans/淵海子平 ; https://zh.wikisource.org/wiki/三命通會</x:v>
      </x:c>
      <x:c r="AI51" s="82" t="str">
        <x:v>采用</x:v>
      </x:c>
      <x:c r="AJ51" s="82" t="str">
        <x:v>初审</x:v>
      </x:c>
      <x:c r="AK51" s="87" t="n">
        <x:v>46255</x:v>
      </x:c>
    </x:row>
    <x:row r="52">
      <x:c r="A52" s="72" t="str">
        <x:f>IF(OR(C52="",D52=""),"",B52&amp;"-"&amp;UPPER(C52)&amp;"-"&amp;TEXT(D52,"0000")&amp;"-"&amp;E52)</x:f>
        <x:v>M08-CONTROL-0046-V1.0</x:v>
      </x:c>
      <x:c r="B52" s="74" t="str">
        <x:v>M08</x:v>
      </x:c>
      <x:c r="C52" s="74" t="str">
        <x:v>CONTROL</x:v>
      </x:c>
      <x:c r="D52" s="79" t="n">
        <x:v>46</x:v>
      </x:c>
      <x:c r="E52" s="74" t="str">
        <x:v>V1.0</x:v>
      </x:c>
      <x:c r="F52" s="68" t="str">
        <x:v>克制结果不得越级等同十神功能成败</x:v>
      </x:c>
      <x:c r="G52" s="82" t="str">
        <x:v>结构层</x:v>
      </x:c>
      <x:c r="H52" s="68" t="str">
        <x:v>M08边界</x:v>
      </x:c>
      <x:c r="I52" s="68" t="str">
        <x:v>目标五行</x:v>
      </x:c>
      <x:c r="J52" s="68" t="str">
        <x:v>任意</x:v>
      </x:c>
      <x:c r="K52" s="68" t="str">
        <x:v>五行间克制</x:v>
      </x:c>
      <x:c r="L52" s="68" t="str">
        <x:v>只修正五行力量，不判组合成败</x:v>
      </x:c>
      <x:c r="M52" s="82" t="str">
        <x:v>不变</x:v>
      </x:c>
      <x:c r="N52" s="82" t="str">
        <x:v>弱</x:v>
      </x:c>
      <x:c r="O52" s="82" t="str">
        <x:v>条件性</x:v>
      </x:c>
      <x:c r="P52" s="82" t="str">
        <x:v>条件性</x:v>
      </x:c>
      <x:c r="Q52" s="82" t="str">
        <x:v>条件性</x:v>
      </x:c>
      <x:c r="R52" s="82" t="str">
        <x:v>是</x:v>
      </x:c>
      <x:c r="S52" s="68" t="str">
        <x:v>前置模块已完成</x:v>
      </x:c>
      <x:c r="T52" s="68" t="str">
        <x:v>作用条件真实成立</x:v>
      </x:c>
      <x:c r="U52" s="68" t="str">
        <x:v>得令、有根、有援可增强</x:v>
      </x:c>
      <x:c r="V52" s="68" t="str">
        <x:v>失令、孤立或受制可削弱</x:v>
      </x:c>
      <x:c r="W52" s="90" t="str">
        <x:v>禁止用关系名称直接替代实际效应</x:v>
      </x:c>
      <x:c r="X52" s="68" t="str">
        <x:v>特殊格局与动态岁运另模块处理</x:v>
      </x:c>
      <x:c r="Y52" s="84" t="str">
        <x:v>按证据修正有效旺衰</x:v>
      </x:c>
      <x:c r="Z52" s="68" t="str">
        <x:v>不得直接推出喜忌用神</x:v>
      </x:c>
      <x:c r="AA52" s="84" t="str">
        <x:v>五行克制边界</x:v>
      </x:c>
      <x:c r="AB52" s="84" t="str">
        <x:v>M08只确认克制对五行力量的影响，十神功能与组合交由M10/M11。</x:v>
      </x:c>
      <x:c r="AC52" s="82" t="str">
        <x:v>较高</x:v>
      </x:c>
      <x:c r="AD52" s="82" t="str">
        <x:v>现代综合</x:v>
      </x:c>
      <x:c r="AE52" s="68" t="str">
        <x:v>有效力量必须承接原始力量与实际效应，逐对象、逐节点修正。</x:v>
      </x:c>
      <x:c r="AF52" s="68" t="str">
        <x:v>比较双方有效力量、路径与续航后再定减力幅度。</x:v>
      </x:c>
      <x:c r="AG52" s="90" t="str">
        <x:v>只见五行相克就固定扣分。</x:v>
      </x:c>
      <x:c r="AH52" s="68" t="str">
        <x:v>https://zh.wikisource.org/zh-hans/滴天髓 ; https://zh.wikisource.org/zh-hans/淵海子平 ; https://zh.wikisource.org/wiki/三命通會</x:v>
      </x:c>
      <x:c r="AI52" s="82" t="str">
        <x:v>采用</x:v>
      </x:c>
      <x:c r="AJ52" s="82" t="str">
        <x:v>初审</x:v>
      </x:c>
      <x:c r="AK52" s="87" t="n">
        <x:v>46255</x:v>
      </x:c>
    </x:row>
    <x:row r="53">
      <x:c r="A53" s="72" t="str">
        <x:f>IF(OR(C53="",D53=""),"",B53&amp;"-"&amp;UPPER(C53)&amp;"-"&amp;TEXT(D53,"0000")&amp;"-"&amp;E53)</x:f>
        <x:v>M08-LEAK-0047-V1.0</x:v>
      </x:c>
      <x:c r="B53" s="74" t="str">
        <x:v>M08</x:v>
      </x:c>
      <x:c r="C53" s="74" t="str">
        <x:v>LEAK</x:v>
      </x:c>
      <x:c r="D53" s="79" t="n">
        <x:v>47</x:v>
      </x:c>
      <x:c r="E53" s="74" t="str">
        <x:v>V1.0</x:v>
      </x:c>
      <x:c r="F53" s="68" t="str">
        <x:v>目标主动生出强泄神时有效力量下降</x:v>
      </x:c>
      <x:c r="G53" s="82" t="str">
        <x:v>结构层</x:v>
      </x:c>
      <x:c r="H53" s="68" t="str">
        <x:v>五行相生/泄</x:v>
      </x:c>
      <x:c r="I53" s="68" t="str">
        <x:v>目标五行</x:v>
      </x:c>
      <x:c r="J53" s="68" t="str">
        <x:v>原始有力</x:v>
      </x:c>
      <x:c r="K53" s="68" t="str">
        <x:v>持续生出强下游五行</x:v>
      </x:c>
      <x:c r="L53" s="68" t="str">
        <x:v>下调目标可保有力量</x:v>
      </x:c>
      <x:c r="M53" s="82" t="str">
        <x:v>减弱</x:v>
      </x:c>
      <x:c r="N53" s="82" t="str">
        <x:v>中</x:v>
      </x:c>
      <x:c r="O53" s="82" t="str">
        <x:v>否</x:v>
      </x:c>
      <x:c r="P53" s="82" t="str">
        <x:v>否</x:v>
      </x:c>
      <x:c r="Q53" s="82" t="str">
        <x:v>否</x:v>
      </x:c>
      <x:c r="R53" s="82" t="str">
        <x:v>是</x:v>
      </x:c>
      <x:c r="S53" s="68" t="str">
        <x:v>前置模块已完成</x:v>
      </x:c>
      <x:c r="T53" s="68" t="str">
        <x:v>作用条件真实成立</x:v>
      </x:c>
      <x:c r="U53" s="68" t="str">
        <x:v>得令、有根、有援可增强</x:v>
      </x:c>
      <x:c r="V53" s="68" t="str">
        <x:v>失令、孤立或受制可削弱</x:v>
      </x:c>
      <x:c r="W53" s="90" t="str">
        <x:v>禁止用关系名称直接替代实际效应</x:v>
      </x:c>
      <x:c r="X53" s="68" t="str">
        <x:v>特殊格局与动态岁运另模块处理</x:v>
      </x:c>
      <x:c r="Y53" s="84" t="str">
        <x:v>按证据修正有效旺衰</x:v>
      </x:c>
      <x:c r="Z53" s="68" t="str">
        <x:v>不得直接推出喜忌用神</x:v>
      </x:c>
      <x:c r="AA53" s="84" t="str">
        <x:v>主动泄气</x:v>
      </x:c>
      <x:c r="AB53" s="84" t="str">
        <x:v>目标持续生出有承载的下游五行时，自身有效力量下降。</x:v>
      </x:c>
      <x:c r="AC53" s="82" t="str">
        <x:v>较高</x:v>
      </x:c>
      <x:c r="AD53" s="82" t="str">
        <x:v>现代综合</x:v>
      </x:c>
      <x:c r="AE53" s="68" t="str">
        <x:v>有效力量必须承接原始力量与实际效应，逐对象、逐节点修正。</x:v>
      </x:c>
      <x:c r="AF53" s="68" t="str">
        <x:v>泄神有承载、链路顺畅时泄力才高。</x:v>
      </x:c>
      <x:c r="AG53" s="90" t="str">
        <x:v>只要出现下游五行就按重泄处理。</x:v>
      </x:c>
      <x:c r="AH53" s="68" t="str">
        <x:v>https://zh.wikisource.org/zh-hans/滴天髓 ; https://zh.wikisource.org/zh-hans/淵海子平 ; https://zh.wikisource.org/wiki/三命通會</x:v>
      </x:c>
      <x:c r="AI53" s="82" t="str">
        <x:v>采用</x:v>
      </x:c>
      <x:c r="AJ53" s="82" t="str">
        <x:v>初审</x:v>
      </x:c>
      <x:c r="AK53" s="87" t="n">
        <x:v>46255</x:v>
      </x:c>
    </x:row>
    <x:row r="54">
      <x:c r="A54" s="72" t="str">
        <x:f>IF(OR(C54="",D54=""),"",B54&amp;"-"&amp;UPPER(C54)&amp;"-"&amp;TEXT(D54,"0000")&amp;"-"&amp;E54)</x:f>
        <x:v>M08-LEAK-0048-V1.0</x:v>
      </x:c>
      <x:c r="B54" s="74" t="str">
        <x:v>M08</x:v>
      </x:c>
      <x:c r="C54" s="74" t="str">
        <x:v>LEAK</x:v>
      </x:c>
      <x:c r="D54" s="79" t="n">
        <x:v>48</x:v>
      </x:c>
      <x:c r="E54" s="74" t="str">
        <x:v>V1.0</x:v>
      </x:c>
      <x:c r="F54" s="68" t="str">
        <x:v>泄神弱或无根时对目标泄力有限</x:v>
      </x:c>
      <x:c r="G54" s="82" t="str">
        <x:v>结构层</x:v>
      </x:c>
      <x:c r="H54" s="68" t="str">
        <x:v>五行相生/泄</x:v>
      </x:c>
      <x:c r="I54" s="68" t="str">
        <x:v>目标五行</x:v>
      </x:c>
      <x:c r="J54" s="68" t="str">
        <x:v>原始有力</x:v>
      </x:c>
      <x:c r="K54" s="68" t="str">
        <x:v>生出弱下游</x:v>
      </x:c>
      <x:c r="L54" s="68" t="str">
        <x:v>仅作轻度泄气</x:v>
      </x:c>
      <x:c r="M54" s="82" t="str">
        <x:v>减弱</x:v>
      </x:c>
      <x:c r="N54" s="82" t="str">
        <x:v>弱</x:v>
      </x:c>
      <x:c r="O54" s="82" t="str">
        <x:v>否</x:v>
      </x:c>
      <x:c r="P54" s="82" t="str">
        <x:v>否</x:v>
      </x:c>
      <x:c r="Q54" s="82" t="str">
        <x:v>否</x:v>
      </x:c>
      <x:c r="R54" s="82" t="str">
        <x:v>是</x:v>
      </x:c>
      <x:c r="S54" s="68" t="str">
        <x:v>前置模块已完成</x:v>
      </x:c>
      <x:c r="T54" s="68" t="str">
        <x:v>作用条件真实成立</x:v>
      </x:c>
      <x:c r="U54" s="68" t="str">
        <x:v>得令、有根、有援可增强</x:v>
      </x:c>
      <x:c r="V54" s="68" t="str">
        <x:v>失令、孤立或受制可削弱</x:v>
      </x:c>
      <x:c r="W54" s="90" t="str">
        <x:v>禁止用关系名称直接替代实际效应</x:v>
      </x:c>
      <x:c r="X54" s="68" t="str">
        <x:v>特殊格局与动态岁运另模块处理</x:v>
      </x:c>
      <x:c r="Y54" s="84" t="str">
        <x:v>按证据修正有效旺衰</x:v>
      </x:c>
      <x:c r="Z54" s="68" t="str">
        <x:v>不得直接推出喜忌用神</x:v>
      </x:c>
      <x:c r="AA54" s="84" t="str">
        <x:v>弱泄低权重</x:v>
      </x:c>
      <x:c r="AB54" s="84" t="str">
        <x:v>泄神弱而无承载时，对目标的实际泄力有限。</x:v>
      </x:c>
      <x:c r="AC54" s="82" t="str">
        <x:v>较高</x:v>
      </x:c>
      <x:c r="AD54" s="82" t="str">
        <x:v>现代综合</x:v>
      </x:c>
      <x:c r="AE54" s="68" t="str">
        <x:v>有效力量必须承接原始力量与实际效应，逐对象、逐节点修正。</x:v>
      </x:c>
      <x:c r="AF54" s="68" t="str">
        <x:v>泄神有承载、链路顺畅时泄力才高。</x:v>
      </x:c>
      <x:c r="AG54" s="90" t="str">
        <x:v>只要出现下游五行就按重泄处理。</x:v>
      </x:c>
      <x:c r="AH54" s="68" t="str">
        <x:v>https://zh.wikisource.org/zh-hans/滴天髓 ; https://zh.wikisource.org/zh-hans/淵海子平 ; https://zh.wikisource.org/wiki/三命通會</x:v>
      </x:c>
      <x:c r="AI54" s="82" t="str">
        <x:v>采用</x:v>
      </x:c>
      <x:c r="AJ54" s="82" t="str">
        <x:v>初审</x:v>
      </x:c>
      <x:c r="AK54" s="87" t="n">
        <x:v>46255</x:v>
      </x:c>
    </x:row>
    <x:row r="55">
      <x:c r="A55" s="72" t="str">
        <x:f>IF(OR(C55="",D55=""),"",B55&amp;"-"&amp;UPPER(C55)&amp;"-"&amp;TEXT(D55,"0000")&amp;"-"&amp;E55)</x:f>
        <x:v>M08-LEAK-0049-V1.0</x:v>
      </x:c>
      <x:c r="B55" s="74" t="str">
        <x:v>M08</x:v>
      </x:c>
      <x:c r="C55" s="74" t="str">
        <x:v>LEAK</x:v>
      </x:c>
      <x:c r="D55" s="79" t="n">
        <x:v>49</x:v>
      </x:c>
      <x:c r="E55" s="74" t="str">
        <x:v>V1.0</x:v>
      </x:c>
      <x:c r="F55" s="68" t="str">
        <x:v>多重泄出需按目标容量与下游承载共同判断</x:v>
      </x:c>
      <x:c r="G55" s="82" t="str">
        <x:v>结构层</x:v>
      </x:c>
      <x:c r="H55" s="68" t="str">
        <x:v>容量约束</x:v>
      </x:c>
      <x:c r="I55" s="68" t="str">
        <x:v>目标五行</x:v>
      </x:c>
      <x:c r="J55" s="68" t="str">
        <x:v>多下游</x:v>
      </x:c>
      <x:c r="K55" s="68" t="str">
        <x:v>目标同时生多个有效对象</x:v>
      </x:c>
      <x:c r="L55" s="68" t="str">
        <x:v>提高总泄力但设置容量上限</x:v>
      </x:c>
      <x:c r="M55" s="82" t="str">
        <x:v>减弱</x:v>
      </x:c>
      <x:c r="N55" s="82" t="str">
        <x:v>强</x:v>
      </x:c>
      <x:c r="O55" s="82" t="str">
        <x:v>否</x:v>
      </x:c>
      <x:c r="P55" s="82" t="str">
        <x:v>否</x:v>
      </x:c>
      <x:c r="Q55" s="82" t="str">
        <x:v>否</x:v>
      </x:c>
      <x:c r="R55" s="82" t="str">
        <x:v>是</x:v>
      </x:c>
      <x:c r="S55" s="68" t="str">
        <x:v>前置模块已完成</x:v>
      </x:c>
      <x:c r="T55" s="68" t="str">
        <x:v>作用条件真实成立</x:v>
      </x:c>
      <x:c r="U55" s="68" t="str">
        <x:v>得令、有根、有援可增强</x:v>
      </x:c>
      <x:c r="V55" s="68" t="str">
        <x:v>失令、孤立或受制可削弱</x:v>
      </x:c>
      <x:c r="W55" s="90" t="str">
        <x:v>禁止用关系名称直接替代实际效应</x:v>
      </x:c>
      <x:c r="X55" s="68" t="str">
        <x:v>特殊格局与动态岁运另模块处理</x:v>
      </x:c>
      <x:c r="Y55" s="84" t="str">
        <x:v>按证据修正有效旺衰</x:v>
      </x:c>
      <x:c r="Z55" s="68" t="str">
        <x:v>不得直接推出喜忌用神</x:v>
      </x:c>
      <x:c r="AA55" s="84" t="str">
        <x:v>多路泄气</x:v>
      </x:c>
      <x:c r="AB55" s="84" t="str">
        <x:v>多路有效泄出会提高总泄力，但受目标自身容量约束。</x:v>
      </x:c>
      <x:c r="AC55" s="82" t="str">
        <x:v>较高</x:v>
      </x:c>
      <x:c r="AD55" s="82" t="str">
        <x:v>现代综合</x:v>
      </x:c>
      <x:c r="AE55" s="68" t="str">
        <x:v>有效力量必须承接原始力量与实际效应，逐对象、逐节点修正。</x:v>
      </x:c>
      <x:c r="AF55" s="68" t="str">
        <x:v>泄神有承载、链路顺畅时泄力才高。</x:v>
      </x:c>
      <x:c r="AG55" s="90" t="str">
        <x:v>只要出现下游五行就按重泄处理。</x:v>
      </x:c>
      <x:c r="AH55" s="68" t="str">
        <x:v>https://zh.wikisource.org/zh-hans/滴天髓 ; https://zh.wikisource.org/zh-hans/淵海子平 ; https://zh.wikisource.org/wiki/三命通會</x:v>
      </x:c>
      <x:c r="AI55" s="82" t="str">
        <x:v>采用</x:v>
      </x:c>
      <x:c r="AJ55" s="82" t="str">
        <x:v>初审</x:v>
      </x:c>
      <x:c r="AK55" s="87" t="n">
        <x:v>46255</x:v>
      </x:c>
    </x:row>
    <x:row r="56">
      <x:c r="A56" s="72" t="str">
        <x:f>IF(OR(C56="",D56=""),"",B56&amp;"-"&amp;UPPER(C56)&amp;"-"&amp;TEXT(D56,"0000")&amp;"-"&amp;E56)</x:f>
        <x:v>M08-LEAK-0050-V1.0</x:v>
      </x:c>
      <x:c r="B56" s="74" t="str">
        <x:v>M08</x:v>
      </x:c>
      <x:c r="C56" s="74" t="str">
        <x:v>LEAK</x:v>
      </x:c>
      <x:c r="D56" s="79" t="n">
        <x:v>50</x:v>
      </x:c>
      <x:c r="E56" s="74" t="str">
        <x:v>V1.0</x:v>
      </x:c>
      <x:c r="F56" s="68" t="str">
        <x:v>泄神被合绊时目标泄力下降</x:v>
      </x:c>
      <x:c r="G56" s="82" t="str">
        <x:v>结构层</x:v>
      </x:c>
      <x:c r="H56" s="68" t="str">
        <x:v>M06合绊</x:v>
      </x:c>
      <x:c r="I56" s="68" t="str">
        <x:v>目标五行</x:v>
      </x:c>
      <x:c r="J56" s="68" t="str">
        <x:v>原有泄出</x:v>
      </x:c>
      <x:c r="K56" s="68" t="str">
        <x:v>泄神被合绊</x:v>
      </x:c>
      <x:c r="L56" s="68" t="str">
        <x:v>减少有效泄出通道</x:v>
      </x:c>
      <x:c r="M56" s="82" t="str">
        <x:v>增强</x:v>
      </x:c>
      <x:c r="N56" s="82" t="str">
        <x:v>中</x:v>
      </x:c>
      <x:c r="O56" s="82" t="str">
        <x:v>否</x:v>
      </x:c>
      <x:c r="P56" s="82" t="str">
        <x:v>否</x:v>
      </x:c>
      <x:c r="Q56" s="82" t="str">
        <x:v>否</x:v>
      </x:c>
      <x:c r="R56" s="82" t="str">
        <x:v>是</x:v>
      </x:c>
      <x:c r="S56" s="68" t="str">
        <x:v>前置模块已完成</x:v>
      </x:c>
      <x:c r="T56" s="68" t="str">
        <x:v>作用条件真实成立</x:v>
      </x:c>
      <x:c r="U56" s="68" t="str">
        <x:v>得令、有根、有援可增强</x:v>
      </x:c>
      <x:c r="V56" s="68" t="str">
        <x:v>失令、孤立或受制可削弱</x:v>
      </x:c>
      <x:c r="W56" s="90" t="str">
        <x:v>禁止用关系名称直接替代实际效应</x:v>
      </x:c>
      <x:c r="X56" s="68" t="str">
        <x:v>特殊格局与动态岁运另模块处理</x:v>
      </x:c>
      <x:c r="Y56" s="84" t="str">
        <x:v>按证据修正有效旺衰</x:v>
      </x:c>
      <x:c r="Z56" s="68" t="str">
        <x:v>不得直接推出喜忌用神</x:v>
      </x:c>
      <x:c r="AA56" s="84" t="str">
        <x:v>泄路受阻</x:v>
      </x:c>
      <x:c r="AB56" s="84" t="str">
        <x:v>泄神被合绊后，目标的泄出通道受限，实际泄气减轻。</x:v>
      </x:c>
      <x:c r="AC56" s="82" t="str">
        <x:v>较高</x:v>
      </x:c>
      <x:c r="AD56" s="82" t="str">
        <x:v>现代综合</x:v>
      </x:c>
      <x:c r="AE56" s="68" t="str">
        <x:v>有效力量必须承接原始力量与实际效应，逐对象、逐节点修正。</x:v>
      </x:c>
      <x:c r="AF56" s="68" t="str">
        <x:v>泄神有承载、链路顺畅时泄力才高。</x:v>
      </x:c>
      <x:c r="AG56" s="90" t="str">
        <x:v>只要出现下游五行就按重泄处理。</x:v>
      </x:c>
      <x:c r="AH56" s="68" t="str">
        <x:v>https://zh.wikisource.org/zh-hans/滴天髓 ; https://zh.wikisource.org/zh-hans/淵海子平 ; https://zh.wikisource.org/wiki/三命通會</x:v>
      </x:c>
      <x:c r="AI56" s="82" t="str">
        <x:v>采用</x:v>
      </x:c>
      <x:c r="AJ56" s="82" t="str">
        <x:v>初审</x:v>
      </x:c>
      <x:c r="AK56" s="87" t="n">
        <x:v>46255</x:v>
      </x:c>
    </x:row>
    <x:row r="57">
      <x:c r="A57" s="72" t="str">
        <x:f>IF(OR(C57="",D57=""),"",B57&amp;"-"&amp;UPPER(C57)&amp;"-"&amp;TEXT(D57,"0000")&amp;"-"&amp;E57)</x:f>
        <x:v>M08-LEAK-0051-V1.0</x:v>
      </x:c>
      <x:c r="B57" s="74" t="str">
        <x:v>M08</x:v>
      </x:c>
      <x:c r="C57" s="74" t="str">
        <x:v>LEAK</x:v>
      </x:c>
      <x:c r="D57" s="79" t="n">
        <x:v>51</x:v>
      </x:c>
      <x:c r="E57" s="74" t="str">
        <x:v>V1.0</x:v>
      </x:c>
      <x:c r="F57" s="68" t="str">
        <x:v>泄神被克制时目标泄气能力下降</x:v>
      </x:c>
      <x:c r="G57" s="82" t="str">
        <x:v>结构层</x:v>
      </x:c>
      <x:c r="H57" s="68" t="str">
        <x:v>制化关系</x:v>
      </x:c>
      <x:c r="I57" s="68" t="str">
        <x:v>目标五行</x:v>
      </x:c>
      <x:c r="J57" s="68" t="str">
        <x:v>有泄出</x:v>
      </x:c>
      <x:c r="K57" s="68" t="str">
        <x:v>泄神遭强克</x:v>
      </x:c>
      <x:c r="L57" s="68" t="str">
        <x:v>下调泄出效率</x:v>
      </x:c>
      <x:c r="M57" s="82" t="str">
        <x:v>增强</x:v>
      </x:c>
      <x:c r="N57" s="82" t="str">
        <x:v>中</x:v>
      </x:c>
      <x:c r="O57" s="82" t="str">
        <x:v>否</x:v>
      </x:c>
      <x:c r="P57" s="82" t="str">
        <x:v>否</x:v>
      </x:c>
      <x:c r="Q57" s="82" t="str">
        <x:v>否</x:v>
      </x:c>
      <x:c r="R57" s="82" t="str">
        <x:v>是</x:v>
      </x:c>
      <x:c r="S57" s="68" t="str">
        <x:v>前置模块已完成</x:v>
      </x:c>
      <x:c r="T57" s="68" t="str">
        <x:v>作用条件真实成立</x:v>
      </x:c>
      <x:c r="U57" s="68" t="str">
        <x:v>得令、有根、有援可增强</x:v>
      </x:c>
      <x:c r="V57" s="68" t="str">
        <x:v>失令、孤立或受制可削弱</x:v>
      </x:c>
      <x:c r="W57" s="90" t="str">
        <x:v>禁止用关系名称直接替代实际效应</x:v>
      </x:c>
      <x:c r="X57" s="68" t="str">
        <x:v>特殊格局与动态岁运另模块处理</x:v>
      </x:c>
      <x:c r="Y57" s="84" t="str">
        <x:v>按证据修正有效旺衰</x:v>
      </x:c>
      <x:c r="Z57" s="68" t="str">
        <x:v>不得直接推出喜忌用神</x:v>
      </x:c>
      <x:c r="AA57" s="84" t="str">
        <x:v>泄神受制</x:v>
      </x:c>
      <x:c r="AB57" s="84" t="str">
        <x:v>泄神自身受制会降低承接能力，使目标实际泄气减轻。</x:v>
      </x:c>
      <x:c r="AC57" s="82" t="str">
        <x:v>较高</x:v>
      </x:c>
      <x:c r="AD57" s="82" t="str">
        <x:v>现代综合</x:v>
      </x:c>
      <x:c r="AE57" s="68" t="str">
        <x:v>有效力量必须承接原始力量与实际效应，逐对象、逐节点修正。</x:v>
      </x:c>
      <x:c r="AF57" s="68" t="str">
        <x:v>泄神有承载、链路顺畅时泄力才高。</x:v>
      </x:c>
      <x:c r="AG57" s="90" t="str">
        <x:v>只要出现下游五行就按重泄处理。</x:v>
      </x:c>
      <x:c r="AH57" s="68" t="str">
        <x:v>https://zh.wikisource.org/zh-hans/滴天髓 ; https://zh.wikisource.org/zh-hans/淵海子平 ; https://zh.wikisource.org/wiki/三命通會</x:v>
      </x:c>
      <x:c r="AI57" s="82" t="str">
        <x:v>采用</x:v>
      </x:c>
      <x:c r="AJ57" s="82" t="str">
        <x:v>初审</x:v>
      </x:c>
      <x:c r="AK57" s="87" t="n">
        <x:v>46255</x:v>
      </x:c>
    </x:row>
    <x:row r="58">
      <x:c r="A58" s="72" t="str">
        <x:f>IF(OR(C58="",D58=""),"",B58&amp;"-"&amp;UPPER(C58)&amp;"-"&amp;TEXT(D58,"0000")&amp;"-"&amp;E58)</x:f>
        <x:v>M08-LEAK-0052-V1.0</x:v>
      </x:c>
      <x:c r="B58" s="74" t="str">
        <x:v>M08</x:v>
      </x:c>
      <x:c r="C58" s="74" t="str">
        <x:v>LEAK</x:v>
      </x:c>
      <x:c r="D58" s="79" t="n">
        <x:v>52</x:v>
      </x:c>
      <x:c r="E58" s="74" t="str">
        <x:v>V1.0</x:v>
      </x:c>
      <x:c r="F58" s="68" t="str">
        <x:v>泄出后继续顺生可形成连续导流</x:v>
      </x:c>
      <x:c r="G58" s="82" t="str">
        <x:v>结构层</x:v>
      </x:c>
      <x:c r="H58" s="68" t="str">
        <x:v>M12流通接口</x:v>
      </x:c>
      <x:c r="I58" s="68" t="str">
        <x:v>目标五行</x:v>
      </x:c>
      <x:c r="J58" s="68" t="str">
        <x:v>有泄出链</x:v>
      </x:c>
      <x:c r="K58" s="68" t="str">
        <x:v>目标→A→B连续有效</x:v>
      </x:c>
      <x:c r="L58" s="68" t="str">
        <x:v>提高源头力量外流程度</x:v>
      </x:c>
      <x:c r="M58" s="82" t="str">
        <x:v>减弱</x:v>
      </x:c>
      <x:c r="N58" s="82" t="str">
        <x:v>中</x:v>
      </x:c>
      <x:c r="O58" s="82" t="str">
        <x:v>否</x:v>
      </x:c>
      <x:c r="P58" s="82" t="str">
        <x:v>否</x:v>
      </x:c>
      <x:c r="Q58" s="82" t="str">
        <x:v>否</x:v>
      </x:c>
      <x:c r="R58" s="82" t="str">
        <x:v>是</x:v>
      </x:c>
      <x:c r="S58" s="68" t="str">
        <x:v>前置模块已完成</x:v>
      </x:c>
      <x:c r="T58" s="68" t="str">
        <x:v>作用条件真实成立</x:v>
      </x:c>
      <x:c r="U58" s="68" t="str">
        <x:v>得令、有根、有援可增强</x:v>
      </x:c>
      <x:c r="V58" s="68" t="str">
        <x:v>失令、孤立或受制可削弱</x:v>
      </x:c>
      <x:c r="W58" s="90" t="str">
        <x:v>禁止用关系名称直接替代实际效应</x:v>
      </x:c>
      <x:c r="X58" s="68" t="str">
        <x:v>特殊格局与动态岁运另模块处理</x:v>
      </x:c>
      <x:c r="Y58" s="84" t="str">
        <x:v>按证据修正有效旺衰</x:v>
      </x:c>
      <x:c r="Z58" s="68" t="str">
        <x:v>不得直接推出喜忌用神</x:v>
      </x:c>
      <x:c r="AA58" s="84" t="str">
        <x:v>连续泄流</x:v>
      </x:c>
      <x:c r="AB58" s="84" t="str">
        <x:v>力量沿连续生化链顺畅导出时，源头泄力通常高于单段泄出。</x:v>
      </x:c>
      <x:c r="AC58" s="82" t="str">
        <x:v>较高</x:v>
      </x:c>
      <x:c r="AD58" s="82" t="str">
        <x:v>现代综合</x:v>
      </x:c>
      <x:c r="AE58" s="68" t="str">
        <x:v>有效力量必须承接原始力量与实际效应，逐对象、逐节点修正。</x:v>
      </x:c>
      <x:c r="AF58" s="68" t="str">
        <x:v>泄神有承载、链路顺畅时泄力才高。</x:v>
      </x:c>
      <x:c r="AG58" s="90" t="str">
        <x:v>只要出现下游五行就按重泄处理。</x:v>
      </x:c>
      <x:c r="AH58" s="68" t="str">
        <x:v>https://zh.wikisource.org/zh-hans/滴天髓 ; https://zh.wikisource.org/zh-hans/淵海子平 ; https://zh.wikisource.org/wiki/三命通會</x:v>
      </x:c>
      <x:c r="AI58" s="82" t="str">
        <x:v>采用</x:v>
      </x:c>
      <x:c r="AJ58" s="82" t="str">
        <x:v>初审</x:v>
      </x:c>
      <x:c r="AK58" s="87" t="n">
        <x:v>46255</x:v>
      </x:c>
    </x:row>
    <x:row r="59">
      <x:c r="A59" s="72" t="str">
        <x:f>IF(OR(C59="",D59=""),"",B59&amp;"-"&amp;UPPER(C59)&amp;"-"&amp;TEXT(D59,"0000")&amp;"-"&amp;E59)</x:f>
        <x:v>M08-LEAK-0053-V1.0</x:v>
      </x:c>
      <x:c r="B59" s="74" t="str">
        <x:v>M08</x:v>
      </x:c>
      <x:c r="C59" s="74" t="str">
        <x:v>LEAK</x:v>
      </x:c>
      <x:c r="D59" s="79" t="n">
        <x:v>53</x:v>
      </x:c>
      <x:c r="E59" s="74" t="str">
        <x:v>V1.0</x:v>
      </x:c>
      <x:c r="F59" s="68" t="str">
        <x:v>目标极弱时再遇强泄可形成过泄候选</x:v>
      </x:c>
      <x:c r="G59" s="82" t="str">
        <x:v>结构层</x:v>
      </x:c>
      <x:c r="H59" s="68" t="str">
        <x:v>旺衰极端修正</x:v>
      </x:c>
      <x:c r="I59" s="68" t="str">
        <x:v>目标五行</x:v>
      </x:c>
      <x:c r="J59" s="68" t="str">
        <x:v>原始弱</x:v>
      </x:c>
      <x:c r="K59" s="68" t="str">
        <x:v>强泄神有效</x:v>
      </x:c>
      <x:c r="L59" s="68" t="str">
        <x:v>显著下调并标记过泄风险</x:v>
      </x:c>
      <x:c r="M59" s="82" t="str">
        <x:v>减弱</x:v>
      </x:c>
      <x:c r="N59" s="82" t="str">
        <x:v>强</x:v>
      </x:c>
      <x:c r="O59" s="82" t="str">
        <x:v>否</x:v>
      </x:c>
      <x:c r="P59" s="82" t="str">
        <x:v>否</x:v>
      </x:c>
      <x:c r="Q59" s="82" t="str">
        <x:v>否</x:v>
      </x:c>
      <x:c r="R59" s="82" t="str">
        <x:v>是</x:v>
      </x:c>
      <x:c r="S59" s="68" t="str">
        <x:v>前置模块已完成</x:v>
      </x:c>
      <x:c r="T59" s="68" t="str">
        <x:v>作用条件真实成立</x:v>
      </x:c>
      <x:c r="U59" s="68" t="str">
        <x:v>得令、有根、有援可增强</x:v>
      </x:c>
      <x:c r="V59" s="68" t="str">
        <x:v>失令、孤立或受制可削弱</x:v>
      </x:c>
      <x:c r="W59" s="90" t="str">
        <x:v>禁止用关系名称直接替代实际效应</x:v>
      </x:c>
      <x:c r="X59" s="68" t="str">
        <x:v>特殊格局与动态岁运另模块处理</x:v>
      </x:c>
      <x:c r="Y59" s="84" t="str">
        <x:v>按证据修正有效旺衰</x:v>
      </x:c>
      <x:c r="Z59" s="68" t="str">
        <x:v>不得直接推出喜忌用神</x:v>
      </x:c>
      <x:c r="AA59" s="84" t="str">
        <x:v>过泄</x:v>
      </x:c>
      <x:c r="AB59" s="84" t="str">
        <x:v>弱目标再遇强泄时，有效力量可能进一步下探。</x:v>
      </x:c>
      <x:c r="AC59" s="82" t="str">
        <x:v>较高</x:v>
      </x:c>
      <x:c r="AD59" s="82" t="str">
        <x:v>现代综合</x:v>
      </x:c>
      <x:c r="AE59" s="68" t="str">
        <x:v>有效力量必须承接原始力量与实际效应，逐对象、逐节点修正。</x:v>
      </x:c>
      <x:c r="AF59" s="68" t="str">
        <x:v>泄神有承载、链路顺畅时泄力才高。</x:v>
      </x:c>
      <x:c r="AG59" s="90" t="str">
        <x:v>只要出现下游五行就按重泄处理。</x:v>
      </x:c>
      <x:c r="AH59" s="68" t="str">
        <x:v>https://zh.wikisource.org/zh-hans/滴天髓 ; https://zh.wikisource.org/zh-hans/淵海子平 ; https://zh.wikisource.org/wiki/三命通會</x:v>
      </x:c>
      <x:c r="AI59" s="82" t="str">
        <x:v>采用</x:v>
      </x:c>
      <x:c r="AJ59" s="82" t="str">
        <x:v>初审</x:v>
      </x:c>
      <x:c r="AK59" s="87" t="n">
        <x:v>46255</x:v>
      </x:c>
    </x:row>
    <x:row r="60">
      <x:c r="A60" s="72" t="str">
        <x:f>IF(OR(C60="",D60=""),"",B60&amp;"-"&amp;UPPER(C60)&amp;"-"&amp;TEXT(D60,"0000")&amp;"-"&amp;E60)</x:f>
        <x:v>M08-LEAK-0054-V1.0</x:v>
      </x:c>
      <x:c r="B60" s="74" t="str">
        <x:v>M08</x:v>
      </x:c>
      <x:c r="C60" s="74" t="str">
        <x:v>LEAK</x:v>
      </x:c>
      <x:c r="D60" s="79" t="n">
        <x:v>54</x:v>
      </x:c>
      <x:c r="E60" s="74" t="str">
        <x:v>V1.0</x:v>
      </x:c>
      <x:c r="F60" s="68" t="str">
        <x:v>泄气修正与喜忌判断分离</x:v>
      </x:c>
      <x:c r="G60" s="82" t="str">
        <x:v>结构层</x:v>
      </x:c>
      <x:c r="H60" s="68" t="str">
        <x:v>M08边界</x:v>
      </x:c>
      <x:c r="I60" s="68" t="str">
        <x:v>目标五行</x:v>
      </x:c>
      <x:c r="J60" s="68" t="str">
        <x:v>任意</x:v>
      </x:c>
      <x:c r="K60" s="68" t="str">
        <x:v>发生泄气</x:v>
      </x:c>
      <x:c r="L60" s="68" t="str">
        <x:v>只修正力量，不判断泄秀是否为喜</x:v>
      </x:c>
      <x:c r="M60" s="82" t="str">
        <x:v>不变</x:v>
      </x:c>
      <x:c r="N60" s="82" t="str">
        <x:v>弱</x:v>
      </x:c>
      <x:c r="O60" s="82" t="str">
        <x:v>否</x:v>
      </x:c>
      <x:c r="P60" s="82" t="str">
        <x:v>否</x:v>
      </x:c>
      <x:c r="Q60" s="82" t="str">
        <x:v>否</x:v>
      </x:c>
      <x:c r="R60" s="82" t="str">
        <x:v>是</x:v>
      </x:c>
      <x:c r="S60" s="68" t="str">
        <x:v>前置模块已完成</x:v>
      </x:c>
      <x:c r="T60" s="68" t="str">
        <x:v>作用条件真实成立</x:v>
      </x:c>
      <x:c r="U60" s="68" t="str">
        <x:v>得令、有根、有援可增强</x:v>
      </x:c>
      <x:c r="V60" s="68" t="str">
        <x:v>失令、孤立或受制可削弱</x:v>
      </x:c>
      <x:c r="W60" s="90" t="str">
        <x:v>禁止用关系名称直接替代实际效应</x:v>
      </x:c>
      <x:c r="X60" s="68" t="str">
        <x:v>特殊格局与动态岁运另模块处理</x:v>
      </x:c>
      <x:c r="Y60" s="84" t="str">
        <x:v>按证据修正有效旺衰</x:v>
      </x:c>
      <x:c r="Z60" s="68" t="str">
        <x:v>不得直接推出喜忌用神</x:v>
      </x:c>
      <x:c r="AA60" s="84" t="str">
        <x:v>泄气边界</x:v>
      </x:c>
      <x:c r="AB60" s="84" t="str">
        <x:v>泄气在M08只代表力量外流，是否形成好结构由后续模块判断。</x:v>
      </x:c>
      <x:c r="AC60" s="82" t="str">
        <x:v>较高</x:v>
      </x:c>
      <x:c r="AD60" s="82" t="str">
        <x:v>现代综合</x:v>
      </x:c>
      <x:c r="AE60" s="68" t="str">
        <x:v>有效力量必须承接原始力量与实际效应，逐对象、逐节点修正。</x:v>
      </x:c>
      <x:c r="AF60" s="68" t="str">
        <x:v>泄神有承载、链路顺畅时泄力才高。</x:v>
      </x:c>
      <x:c r="AG60" s="90" t="str">
        <x:v>只要出现下游五行就按重泄处理。</x:v>
      </x:c>
      <x:c r="AH60" s="68" t="str">
        <x:v>https://zh.wikisource.org/zh-hans/滴天髓 ; https://zh.wikisource.org/zh-hans/淵海子平 ; https://zh.wikisource.org/wiki/三命通會</x:v>
      </x:c>
      <x:c r="AI60" s="82" t="str">
        <x:v>采用</x:v>
      </x:c>
      <x:c r="AJ60" s="82" t="str">
        <x:v>初审</x:v>
      </x:c>
      <x:c r="AK60" s="87" t="n">
        <x:v>46255</x:v>
      </x:c>
    </x:row>
    <x:row r="61">
      <x:c r="A61" s="72" t="str">
        <x:f>IF(OR(C61="",D61=""),"",B61&amp;"-"&amp;UPPER(C61)&amp;"-"&amp;TEXT(D61,"0000")&amp;"-"&amp;E61)</x:f>
        <x:v>M08-DRAIN-0055-V1.0</x:v>
      </x:c>
      <x:c r="B61" s="74" t="str">
        <x:v>M08</x:v>
      </x:c>
      <x:c r="C61" s="74" t="str">
        <x:v>DRAIN</x:v>
      </x:c>
      <x:c r="D61" s="79" t="n">
        <x:v>55</x:v>
      </x:c>
      <x:c r="E61" s="74" t="str">
        <x:v>V1.0</x:v>
      </x:c>
      <x:c r="F61" s="68" t="str">
        <x:v>目标克制强耗对象时自身发生明显耗力</x:v>
      </x:c>
      <x:c r="G61" s="82" t="str">
        <x:v>结构层</x:v>
      </x:c>
      <x:c r="H61" s="68" t="str">
        <x:v>五行相克/耗</x:v>
      </x:c>
      <x:c r="I61" s="68" t="str">
        <x:v>目标五行</x:v>
      </x:c>
      <x:c r="J61" s="68" t="str">
        <x:v>原始有力</x:v>
      </x:c>
      <x:c r="K61" s="68" t="str">
        <x:v>主动克制强对象</x:v>
      </x:c>
      <x:c r="L61" s="68" t="str">
        <x:v>下调目标可保有力量</x:v>
      </x:c>
      <x:c r="M61" s="82" t="str">
        <x:v>减弱</x:v>
      </x:c>
      <x:c r="N61" s="82" t="str">
        <x:v>中</x:v>
      </x:c>
      <x:c r="O61" s="82" t="str">
        <x:v>否</x:v>
      </x:c>
      <x:c r="P61" s="82" t="str">
        <x:v>否</x:v>
      </x:c>
      <x:c r="Q61" s="82" t="str">
        <x:v>否</x:v>
      </x:c>
      <x:c r="R61" s="82" t="str">
        <x:v>是</x:v>
      </x:c>
      <x:c r="S61" s="68" t="str">
        <x:v>前置模块已完成</x:v>
      </x:c>
      <x:c r="T61" s="68" t="str">
        <x:v>作用条件真实成立</x:v>
      </x:c>
      <x:c r="U61" s="68" t="str">
        <x:v>得令、有根、有援可增强</x:v>
      </x:c>
      <x:c r="V61" s="68" t="str">
        <x:v>失令、孤立或受制可削弱</x:v>
      </x:c>
      <x:c r="W61" s="90" t="str">
        <x:v>禁止用关系名称直接替代实际效应</x:v>
      </x:c>
      <x:c r="X61" s="68" t="str">
        <x:v>特殊格局与动态岁运另模块处理</x:v>
      </x:c>
      <x:c r="Y61" s="84" t="str">
        <x:v>按证据修正有效旺衰</x:v>
      </x:c>
      <x:c r="Z61" s="68" t="str">
        <x:v>不得直接推出喜忌用神</x:v>
      </x:c>
      <x:c r="AA61" s="84" t="str">
        <x:v>主动耗力</x:v>
      </x:c>
      <x:c r="AB61" s="84" t="str">
        <x:v>目标长期克制强对象会消耗自身有效力量。</x:v>
      </x:c>
      <x:c r="AC61" s="82" t="str">
        <x:v>较高</x:v>
      </x:c>
      <x:c r="AD61" s="82" t="str">
        <x:v>现代综合</x:v>
      </x:c>
      <x:c r="AE61" s="68" t="str">
        <x:v>有效力量必须承接原始力量与实际效应，逐对象、逐节点修正。</x:v>
      </x:c>
      <x:c r="AF61" s="68" t="str">
        <x:v>被克对象越强、越多、越能承载，目标耗力越明显。</x:v>
      </x:c>
      <x:c r="AG61" s="90" t="str">
        <x:v>见到被克五行就按固定耗损处理。</x:v>
      </x:c>
      <x:c r="AH61" s="68" t="str">
        <x:v>https://zh.wikisource.org/zh-hans/滴天髓 ; https://zh.wikisource.org/zh-hans/淵海子平 ; https://zh.wikisource.org/wiki/三命通會</x:v>
      </x:c>
      <x:c r="AI61" s="82" t="str">
        <x:v>采用</x:v>
      </x:c>
      <x:c r="AJ61" s="82" t="str">
        <x:v>初审</x:v>
      </x:c>
      <x:c r="AK61" s="87" t="n">
        <x:v>46255</x:v>
      </x:c>
    </x:row>
    <x:row r="62">
      <x:c r="A62" s="72" t="str">
        <x:f>IF(OR(C62="",D62=""),"",B62&amp;"-"&amp;UPPER(C62)&amp;"-"&amp;TEXT(D62,"0000")&amp;"-"&amp;E62)</x:f>
        <x:v>M08-DRAIN-0056-V1.0</x:v>
      </x:c>
      <x:c r="B62" s="74" t="str">
        <x:v>M08</x:v>
      </x:c>
      <x:c r="C62" s="74" t="str">
        <x:v>DRAIN</x:v>
      </x:c>
      <x:c r="D62" s="79" t="n">
        <x:v>56</x:v>
      </x:c>
      <x:c r="E62" s="74" t="str">
        <x:v>V1.0</x:v>
      </x:c>
      <x:c r="F62" s="68" t="str">
        <x:v>被克对象弱时目标耗力有限</x:v>
      </x:c>
      <x:c r="G62" s="82" t="str">
        <x:v>结构层</x:v>
      </x:c>
      <x:c r="H62" s="68" t="str">
        <x:v>五行相克/耗</x:v>
      </x:c>
      <x:c r="I62" s="68" t="str">
        <x:v>目标五行</x:v>
      </x:c>
      <x:c r="J62" s="68" t="str">
        <x:v>原始有力</x:v>
      </x:c>
      <x:c r="K62" s="68" t="str">
        <x:v>主动克制弱对象</x:v>
      </x:c>
      <x:c r="L62" s="68" t="str">
        <x:v>只作轻度耗力</x:v>
      </x:c>
      <x:c r="M62" s="82" t="str">
        <x:v>减弱</x:v>
      </x:c>
      <x:c r="N62" s="82" t="str">
        <x:v>弱</x:v>
      </x:c>
      <x:c r="O62" s="82" t="str">
        <x:v>否</x:v>
      </x:c>
      <x:c r="P62" s="82" t="str">
        <x:v>否</x:v>
      </x:c>
      <x:c r="Q62" s="82" t="str">
        <x:v>否</x:v>
      </x:c>
      <x:c r="R62" s="82" t="str">
        <x:v>是</x:v>
      </x:c>
      <x:c r="S62" s="68" t="str">
        <x:v>前置模块已完成</x:v>
      </x:c>
      <x:c r="T62" s="68" t="str">
        <x:v>作用条件真实成立</x:v>
      </x:c>
      <x:c r="U62" s="68" t="str">
        <x:v>得令、有根、有援可增强</x:v>
      </x:c>
      <x:c r="V62" s="68" t="str">
        <x:v>失令、孤立或受制可削弱</x:v>
      </x:c>
      <x:c r="W62" s="90" t="str">
        <x:v>禁止用关系名称直接替代实际效应</x:v>
      </x:c>
      <x:c r="X62" s="68" t="str">
        <x:v>特殊格局与动态岁运另模块处理</x:v>
      </x:c>
      <x:c r="Y62" s="84" t="str">
        <x:v>按证据修正有效旺衰</x:v>
      </x:c>
      <x:c r="Z62" s="68" t="str">
        <x:v>不得直接推出喜忌用神</x:v>
      </x:c>
      <x:c r="AA62" s="84" t="str">
        <x:v>弱耗低权重</x:v>
      </x:c>
      <x:c r="AB62" s="84" t="str">
        <x:v>被克对象弱时，目标为维持克制所付出的实际耗力有限。</x:v>
      </x:c>
      <x:c r="AC62" s="82" t="str">
        <x:v>较高</x:v>
      </x:c>
      <x:c r="AD62" s="82" t="str">
        <x:v>现代综合</x:v>
      </x:c>
      <x:c r="AE62" s="68" t="str">
        <x:v>有效力量必须承接原始力量与实际效应，逐对象、逐节点修正。</x:v>
      </x:c>
      <x:c r="AF62" s="68" t="str">
        <x:v>被克对象越强、越多、越能承载，目标耗力越明显。</x:v>
      </x:c>
      <x:c r="AG62" s="90" t="str">
        <x:v>见到被克五行就按固定耗损处理。</x:v>
      </x:c>
      <x:c r="AH62" s="68" t="str">
        <x:v>https://zh.wikisource.org/zh-hans/滴天髓 ; https://zh.wikisource.org/zh-hans/淵海子平 ; https://zh.wikisource.org/wiki/三命通會</x:v>
      </x:c>
      <x:c r="AI62" s="82" t="str">
        <x:v>采用</x:v>
      </x:c>
      <x:c r="AJ62" s="82" t="str">
        <x:v>初审</x:v>
      </x:c>
      <x:c r="AK62" s="87" t="n">
        <x:v>46255</x:v>
      </x:c>
    </x:row>
    <x:row r="63">
      <x:c r="A63" s="72" t="str">
        <x:f>IF(OR(C63="",D63=""),"",B63&amp;"-"&amp;UPPER(C63)&amp;"-"&amp;TEXT(D63,"0000")&amp;"-"&amp;E63)</x:f>
        <x:v>M08-DRAIN-0057-V1.0</x:v>
      </x:c>
      <x:c r="B63" s="74" t="str">
        <x:v>M08</x:v>
      </x:c>
      <x:c r="C63" s="74" t="str">
        <x:v>DRAIN</x:v>
      </x:c>
      <x:c r="D63" s="79" t="n">
        <x:v>57</x:v>
      </x:c>
      <x:c r="E63" s="74" t="str">
        <x:v>V1.0</x:v>
      </x:c>
      <x:c r="F63" s="68" t="str">
        <x:v>多个强耗对象会提高总耗但受目标容量上限</x:v>
      </x:c>
      <x:c r="G63" s="82" t="str">
        <x:v>结构层</x:v>
      </x:c>
      <x:c r="H63" s="68" t="str">
        <x:v>容量约束</x:v>
      </x:c>
      <x:c r="I63" s="68" t="str">
        <x:v>目标五行</x:v>
      </x:c>
      <x:c r="J63" s="68" t="str">
        <x:v>多耗对象</x:v>
      </x:c>
      <x:c r="K63" s="68" t="str">
        <x:v>同时克制多个有效对象</x:v>
      </x:c>
      <x:c r="L63" s="68" t="str">
        <x:v>提高总耗力并设置上限</x:v>
      </x:c>
      <x:c r="M63" s="82" t="str">
        <x:v>减弱</x:v>
      </x:c>
      <x:c r="N63" s="82" t="str">
        <x:v>强</x:v>
      </x:c>
      <x:c r="O63" s="82" t="str">
        <x:v>否</x:v>
      </x:c>
      <x:c r="P63" s="82" t="str">
        <x:v>否</x:v>
      </x:c>
      <x:c r="Q63" s="82" t="str">
        <x:v>否</x:v>
      </x:c>
      <x:c r="R63" s="82" t="str">
        <x:v>是</x:v>
      </x:c>
      <x:c r="S63" s="68" t="str">
        <x:v>前置模块已完成</x:v>
      </x:c>
      <x:c r="T63" s="68" t="str">
        <x:v>作用条件真实成立</x:v>
      </x:c>
      <x:c r="U63" s="68" t="str">
        <x:v>得令、有根、有援可增强</x:v>
      </x:c>
      <x:c r="V63" s="68" t="str">
        <x:v>失令、孤立或受制可削弱</x:v>
      </x:c>
      <x:c r="W63" s="90" t="str">
        <x:v>禁止用关系名称直接替代实际效应</x:v>
      </x:c>
      <x:c r="X63" s="68" t="str">
        <x:v>特殊格局与动态岁运另模块处理</x:v>
      </x:c>
      <x:c r="Y63" s="84" t="str">
        <x:v>按证据修正有效旺衰</x:v>
      </x:c>
      <x:c r="Z63" s="68" t="str">
        <x:v>不得直接推出喜忌用神</x:v>
      </x:c>
      <x:c r="AA63" s="84" t="str">
        <x:v>多路耗力</x:v>
      </x:c>
      <x:c r="AB63" s="84" t="str">
        <x:v>多个强耗对象会增加总消耗，但仍受目标自身容量约束。</x:v>
      </x:c>
      <x:c r="AC63" s="82" t="str">
        <x:v>较高</x:v>
      </x:c>
      <x:c r="AD63" s="82" t="str">
        <x:v>现代综合</x:v>
      </x:c>
      <x:c r="AE63" s="68" t="str">
        <x:v>有效力量必须承接原始力量与实际效应，逐对象、逐节点修正。</x:v>
      </x:c>
      <x:c r="AF63" s="68" t="str">
        <x:v>被克对象越强、越多、越能承载，目标耗力越明显。</x:v>
      </x:c>
      <x:c r="AG63" s="90" t="str">
        <x:v>见到被克五行就按固定耗损处理。</x:v>
      </x:c>
      <x:c r="AH63" s="68" t="str">
        <x:v>https://zh.wikisource.org/zh-hans/滴天髓 ; https://zh.wikisource.org/zh-hans/淵海子平 ; https://zh.wikisource.org/wiki/三命通會</x:v>
      </x:c>
      <x:c r="AI63" s="82" t="str">
        <x:v>采用</x:v>
      </x:c>
      <x:c r="AJ63" s="82" t="str">
        <x:v>初审</x:v>
      </x:c>
      <x:c r="AK63" s="87" t="n">
        <x:v>46255</x:v>
      </x:c>
    </x:row>
    <x:row r="64">
      <x:c r="A64" s="72" t="str">
        <x:f>IF(OR(C64="",D64=""),"",B64&amp;"-"&amp;UPPER(C64)&amp;"-"&amp;TEXT(D64,"0000")&amp;"-"&amp;E64)</x:f>
        <x:v>M08-DRAIN-0058-V1.0</x:v>
      </x:c>
      <x:c r="B64" s="74" t="str">
        <x:v>M08</x:v>
      </x:c>
      <x:c r="C64" s="74" t="str">
        <x:v>DRAIN</x:v>
      </x:c>
      <x:c r="D64" s="79" t="n">
        <x:v>58</x:v>
      </x:c>
      <x:c r="E64" s="74" t="str">
        <x:v>V1.0</x:v>
      </x:c>
      <x:c r="F64" s="68" t="str">
        <x:v>耗对象被第三方削弱时目标耗力下降</x:v>
      </x:c>
      <x:c r="G64" s="82" t="str">
        <x:v>结构层</x:v>
      </x:c>
      <x:c r="H64" s="68" t="str">
        <x:v>制化链</x:v>
      </x:c>
      <x:c r="I64" s="68" t="str">
        <x:v>目标五行</x:v>
      </x:c>
      <x:c r="J64" s="68" t="str">
        <x:v>主动克耗</x:v>
      </x:c>
      <x:c r="K64" s="68" t="str">
        <x:v>被克对象同时受第三方克泄</x:v>
      </x:c>
      <x:c r="L64" s="68" t="str">
        <x:v>减少目标维持克制的输出</x:v>
      </x:c>
      <x:c r="M64" s="82" t="str">
        <x:v>增强</x:v>
      </x:c>
      <x:c r="N64" s="82" t="str">
        <x:v>中</x:v>
      </x:c>
      <x:c r="O64" s="82" t="str">
        <x:v>否</x:v>
      </x:c>
      <x:c r="P64" s="82" t="str">
        <x:v>否</x:v>
      </x:c>
      <x:c r="Q64" s="82" t="str">
        <x:v>否</x:v>
      </x:c>
      <x:c r="R64" s="82" t="str">
        <x:v>是</x:v>
      </x:c>
      <x:c r="S64" s="68" t="str">
        <x:v>前置模块已完成</x:v>
      </x:c>
      <x:c r="T64" s="68" t="str">
        <x:v>作用条件真实成立</x:v>
      </x:c>
      <x:c r="U64" s="68" t="str">
        <x:v>得令、有根、有援可增强</x:v>
      </x:c>
      <x:c r="V64" s="68" t="str">
        <x:v>失令、孤立或受制可削弱</x:v>
      </x:c>
      <x:c r="W64" s="90" t="str">
        <x:v>禁止用关系名称直接替代实际效应</x:v>
      </x:c>
      <x:c r="X64" s="68" t="str">
        <x:v>特殊格局与动态岁运另模块处理</x:v>
      </x:c>
      <x:c r="Y64" s="84" t="str">
        <x:v>按证据修正有效旺衰</x:v>
      </x:c>
      <x:c r="Z64" s="68" t="str">
        <x:v>不得直接推出喜忌用神</x:v>
      </x:c>
      <x:c r="AA64" s="84" t="str">
        <x:v>耗对象被削</x:v>
      </x:c>
      <x:c r="AB64" s="84" t="str">
        <x:v>被克对象被其他力量削弱后，目标用于克制它的耗力相应下降。</x:v>
      </x:c>
      <x:c r="AC64" s="82" t="str">
        <x:v>较高</x:v>
      </x:c>
      <x:c r="AD64" s="82" t="str">
        <x:v>现代综合</x:v>
      </x:c>
      <x:c r="AE64" s="68" t="str">
        <x:v>有效力量必须承接原始力量与实际效应，逐对象、逐节点修正。</x:v>
      </x:c>
      <x:c r="AF64" s="68" t="str">
        <x:v>被克对象越强、越多、越能承载，目标耗力越明显。</x:v>
      </x:c>
      <x:c r="AG64" s="90" t="str">
        <x:v>见到被克五行就按固定耗损处理。</x:v>
      </x:c>
      <x:c r="AH64" s="68" t="str">
        <x:v>https://zh.wikisource.org/zh-hans/滴天髓 ; https://zh.wikisource.org/zh-hans/淵海子平 ; https://zh.wikisource.org/wiki/三命通會</x:v>
      </x:c>
      <x:c r="AI64" s="82" t="str">
        <x:v>采用</x:v>
      </x:c>
      <x:c r="AJ64" s="82" t="str">
        <x:v>初审</x:v>
      </x:c>
      <x:c r="AK64" s="87" t="n">
        <x:v>46255</x:v>
      </x:c>
    </x:row>
    <x:row r="65">
      <x:c r="A65" s="72" t="str">
        <x:f>IF(OR(C65="",D65=""),"",B65&amp;"-"&amp;UPPER(C65)&amp;"-"&amp;TEXT(D65,"0000")&amp;"-"&amp;E65)</x:f>
        <x:v>M08-DRAIN-0059-V1.0</x:v>
      </x:c>
      <x:c r="B65" s="74" t="str">
        <x:v>M08</x:v>
      </x:c>
      <x:c r="C65" s="74" t="str">
        <x:v>DRAIN</x:v>
      </x:c>
      <x:c r="D65" s="79" t="n">
        <x:v>59</x:v>
      </x:c>
      <x:c r="E65" s="74" t="str">
        <x:v>V1.0</x:v>
      </x:c>
      <x:c r="F65" s="68" t="str">
        <x:v>目标被合绊时主动克耗下降但功能也受限</x:v>
      </x:c>
      <x:c r="G65" s="82" t="str">
        <x:v>结构层</x:v>
      </x:c>
      <x:c r="H65" s="68" t="str">
        <x:v>M06合绊</x:v>
      </x:c>
      <x:c r="I65" s="68" t="str">
        <x:v>目标五行</x:v>
      </x:c>
      <x:c r="J65" s="68" t="str">
        <x:v>本可克耗</x:v>
      </x:c>
      <x:c r="K65" s="68" t="str">
        <x:v>目标自身被合绊</x:v>
      </x:c>
      <x:c r="L65" s="68" t="str">
        <x:v>减少主动耗出，同时降低克制功能</x:v>
      </x:c>
      <x:c r="M65" s="82" t="str">
        <x:v>冻结</x:v>
      </x:c>
      <x:c r="N65" s="82" t="str">
        <x:v>中</x:v>
      </x:c>
      <x:c r="O65" s="82" t="str">
        <x:v>否</x:v>
      </x:c>
      <x:c r="P65" s="82" t="str">
        <x:v>否</x:v>
      </x:c>
      <x:c r="Q65" s="82" t="str">
        <x:v>否</x:v>
      </x:c>
      <x:c r="R65" s="82" t="str">
        <x:v>是</x:v>
      </x:c>
      <x:c r="S65" s="68" t="str">
        <x:v>前置模块已完成</x:v>
      </x:c>
      <x:c r="T65" s="68" t="str">
        <x:v>作用条件真实成立</x:v>
      </x:c>
      <x:c r="U65" s="68" t="str">
        <x:v>得令、有根、有援可增强</x:v>
      </x:c>
      <x:c r="V65" s="68" t="str">
        <x:v>失令、孤立或受制可削弱</x:v>
      </x:c>
      <x:c r="W65" s="90" t="str">
        <x:v>禁止用关系名称直接替代实际效应</x:v>
      </x:c>
      <x:c r="X65" s="68" t="str">
        <x:v>特殊格局与动态岁运另模块处理</x:v>
      </x:c>
      <x:c r="Y65" s="84" t="str">
        <x:v>按证据修正有效旺衰</x:v>
      </x:c>
      <x:c r="Z65" s="68" t="str">
        <x:v>不得直接推出喜忌用神</x:v>
      </x:c>
      <x:c r="AA65" s="84" t="str">
        <x:v>合绊减耗</x:v>
      </x:c>
      <x:c r="AB65" s="84" t="str">
        <x:v>目标被合绊后少耗不等于纯增力，应同时记录功能受限。</x:v>
      </x:c>
      <x:c r="AC65" s="82" t="str">
        <x:v>较高</x:v>
      </x:c>
      <x:c r="AD65" s="82" t="str">
        <x:v>现代综合</x:v>
      </x:c>
      <x:c r="AE65" s="68" t="str">
        <x:v>有效力量必须承接原始力量与实际效应，逐对象、逐节点修正。</x:v>
      </x:c>
      <x:c r="AF65" s="68" t="str">
        <x:v>被克对象越强、越多、越能承载，目标耗力越明显。</x:v>
      </x:c>
      <x:c r="AG65" s="90" t="str">
        <x:v>见到被克五行就按固定耗损处理。</x:v>
      </x:c>
      <x:c r="AH65" s="68" t="str">
        <x:v>https://zh.wikisource.org/zh-hans/滴天髓 ; https://zh.wikisource.org/zh-hans/淵海子平 ; https://zh.wikisource.org/wiki/三命通會</x:v>
      </x:c>
      <x:c r="AI65" s="82" t="str">
        <x:v>采用</x:v>
      </x:c>
      <x:c r="AJ65" s="82" t="str">
        <x:v>初审</x:v>
      </x:c>
      <x:c r="AK65" s="87" t="n">
        <x:v>46255</x:v>
      </x:c>
    </x:row>
    <x:row r="66">
      <x:c r="A66" s="72" t="str">
        <x:f>IF(OR(C66="",D66=""),"",B66&amp;"-"&amp;UPPER(C66)&amp;"-"&amp;TEXT(D66,"0000")&amp;"-"&amp;E66)</x:f>
        <x:v>M08-DRAIN-0060-V1.0</x:v>
      </x:c>
      <x:c r="B66" s="74" t="str">
        <x:v>M08</x:v>
      </x:c>
      <x:c r="C66" s="74" t="str">
        <x:v>DRAIN</x:v>
      </x:c>
      <x:c r="D66" s="79" t="n">
        <x:v>60</x:v>
      </x:c>
      <x:c r="E66" s="74" t="str">
        <x:v>V1.0</x:v>
      </x:c>
      <x:c r="F66" s="68" t="str">
        <x:v>目标极弱却面对强耗对象时可形成不任耗候选</x:v>
      </x:c>
      <x:c r="G66" s="82" t="str">
        <x:v>结构层</x:v>
      </x:c>
      <x:c r="H66" s="68" t="str">
        <x:v>旺衰承载</x:v>
      </x:c>
      <x:c r="I66" s="68" t="str">
        <x:v>目标五行</x:v>
      </x:c>
      <x:c r="J66" s="68" t="str">
        <x:v>原始弱</x:v>
      </x:c>
      <x:c r="K66" s="68" t="str">
        <x:v>被迫制约强对象</x:v>
      </x:c>
      <x:c r="L66" s="68" t="str">
        <x:v>有效力量进一步下降</x:v>
      </x:c>
      <x:c r="M66" s="82" t="str">
        <x:v>减弱</x:v>
      </x:c>
      <x:c r="N66" s="82" t="str">
        <x:v>强</x:v>
      </x:c>
      <x:c r="O66" s="82" t="str">
        <x:v>否</x:v>
      </x:c>
      <x:c r="P66" s="82" t="str">
        <x:v>否</x:v>
      </x:c>
      <x:c r="Q66" s="82" t="str">
        <x:v>否</x:v>
      </x:c>
      <x:c r="R66" s="82" t="str">
        <x:v>是</x:v>
      </x:c>
      <x:c r="S66" s="68" t="str">
        <x:v>前置模块已完成</x:v>
      </x:c>
      <x:c r="T66" s="68" t="str">
        <x:v>作用条件真实成立</x:v>
      </x:c>
      <x:c r="U66" s="68" t="str">
        <x:v>得令、有根、有援可增强</x:v>
      </x:c>
      <x:c r="V66" s="68" t="str">
        <x:v>失令、孤立或受制可削弱</x:v>
      </x:c>
      <x:c r="W66" s="90" t="str">
        <x:v>禁止用关系名称直接替代实际效应</x:v>
      </x:c>
      <x:c r="X66" s="68" t="str">
        <x:v>特殊格局与动态岁运另模块处理</x:v>
      </x:c>
      <x:c r="Y66" s="84" t="str">
        <x:v>按证据修正有效旺衰</x:v>
      </x:c>
      <x:c r="Z66" s="68" t="str">
        <x:v>不得直接推出喜忌用神</x:v>
      </x:c>
      <x:c r="AA66" s="84" t="str">
        <x:v>不任耗</x:v>
      </x:c>
      <x:c r="AB66" s="84" t="str">
        <x:v>弱目标面对强耗对象时，承载不足会使有效力量进一步下降。</x:v>
      </x:c>
      <x:c r="AC66" s="82" t="str">
        <x:v>较高</x:v>
      </x:c>
      <x:c r="AD66" s="82" t="str">
        <x:v>现代综合</x:v>
      </x:c>
      <x:c r="AE66" s="68" t="str">
        <x:v>有效力量必须承接原始力量与实际效应，逐对象、逐节点修正。</x:v>
      </x:c>
      <x:c r="AF66" s="68" t="str">
        <x:v>被克对象越强、越多、越能承载，目标耗力越明显。</x:v>
      </x:c>
      <x:c r="AG66" s="90" t="str">
        <x:v>见到被克五行就按固定耗损处理。</x:v>
      </x:c>
      <x:c r="AH66" s="68" t="str">
        <x:v>https://zh.wikisource.org/zh-hans/滴天髓 ; https://zh.wikisource.org/zh-hans/淵海子平 ; https://zh.wikisource.org/wiki/三命通會</x:v>
      </x:c>
      <x:c r="AI66" s="82" t="str">
        <x:v>采用</x:v>
      </x:c>
      <x:c r="AJ66" s="82" t="str">
        <x:v>初审</x:v>
      </x:c>
      <x:c r="AK66" s="87" t="n">
        <x:v>46255</x:v>
      </x:c>
    </x:row>
    <x:row r="67">
      <x:c r="A67" s="72" t="str">
        <x:f>IF(OR(C67="",D67=""),"",B67&amp;"-"&amp;UPPER(C67)&amp;"-"&amp;TEXT(D67,"0000")&amp;"-"&amp;E67)</x:f>
        <x:v>M08-DRAIN-0061-V1.0</x:v>
      </x:c>
      <x:c r="B67" s="74" t="str">
        <x:v>M08</x:v>
      </x:c>
      <x:c r="C67" s="74" t="str">
        <x:v>DRAIN</x:v>
      </x:c>
      <x:c r="D67" s="79" t="n">
        <x:v>61</x:v>
      </x:c>
      <x:c r="E67" s="74" t="str">
        <x:v>V1.0</x:v>
      </x:c>
      <x:c r="F67" s="68" t="str">
        <x:v>耗力与克制成果必须分别记录</x:v>
      </x:c>
      <x:c r="G67" s="82" t="str">
        <x:v>结构层</x:v>
      </x:c>
      <x:c r="H67" s="68" t="str">
        <x:v>双向生克</x:v>
      </x:c>
      <x:c r="I67" s="68" t="str">
        <x:v>目标五行</x:v>
      </x:c>
      <x:c r="J67" s="68" t="str">
        <x:v>主动克对象</x:v>
      </x:c>
      <x:c r="K67" s="68" t="str">
        <x:v>发生克制</x:v>
      </x:c>
      <x:c r="L67" s="68" t="str">
        <x:v>同时记录施克者耗力与对象受制</x:v>
      </x:c>
      <x:c r="M67" s="82" t="str">
        <x:v>条件性</x:v>
      </x:c>
      <x:c r="N67" s="82" t="str">
        <x:v>中</x:v>
      </x:c>
      <x:c r="O67" s="82" t="str">
        <x:v>否</x:v>
      </x:c>
      <x:c r="P67" s="82" t="str">
        <x:v>否</x:v>
      </x:c>
      <x:c r="Q67" s="82" t="str">
        <x:v>否</x:v>
      </x:c>
      <x:c r="R67" s="82" t="str">
        <x:v>是</x:v>
      </x:c>
      <x:c r="S67" s="68" t="str">
        <x:v>前置模块已完成</x:v>
      </x:c>
      <x:c r="T67" s="68" t="str">
        <x:v>作用条件真实成立</x:v>
      </x:c>
      <x:c r="U67" s="68" t="str">
        <x:v>得令、有根、有援可增强</x:v>
      </x:c>
      <x:c r="V67" s="68" t="str">
        <x:v>失令、孤立或受制可削弱</x:v>
      </x:c>
      <x:c r="W67" s="90" t="str">
        <x:v>禁止用关系名称直接替代实际效应</x:v>
      </x:c>
      <x:c r="X67" s="68" t="str">
        <x:v>特殊格局与动态岁运另模块处理</x:v>
      </x:c>
      <x:c r="Y67" s="84" t="str">
        <x:v>按证据修正有效旺衰</x:v>
      </x:c>
      <x:c r="Z67" s="68" t="str">
        <x:v>不得直接推出喜忌用神</x:v>
      </x:c>
      <x:c r="AA67" s="84" t="str">
        <x:v>克耗双向</x:v>
      </x:c>
      <x:c r="AB67" s="84" t="str">
        <x:v>主动克制既削弱对象，也会消耗施克者，两方修正必须分开记录。</x:v>
      </x:c>
      <x:c r="AC67" s="82" t="str">
        <x:v>较高</x:v>
      </x:c>
      <x:c r="AD67" s="82" t="str">
        <x:v>现代综合</x:v>
      </x:c>
      <x:c r="AE67" s="68" t="str">
        <x:v>有效力量必须承接原始力量与实际效应，逐对象、逐节点修正。</x:v>
      </x:c>
      <x:c r="AF67" s="68" t="str">
        <x:v>被克对象越强、越多、越能承载，目标耗力越明显。</x:v>
      </x:c>
      <x:c r="AG67" s="90" t="str">
        <x:v>见到被克五行就按固定耗损处理。</x:v>
      </x:c>
      <x:c r="AH67" s="68" t="str">
        <x:v>https://zh.wikisource.org/zh-hans/滴天髓 ; https://zh.wikisource.org/zh-hans/淵海子平 ; https://zh.wikisource.org/wiki/三命通會</x:v>
      </x:c>
      <x:c r="AI67" s="82" t="str">
        <x:v>采用</x:v>
      </x:c>
      <x:c r="AJ67" s="82" t="str">
        <x:v>初审</x:v>
      </x:c>
      <x:c r="AK67" s="87" t="n">
        <x:v>46255</x:v>
      </x:c>
    </x:row>
    <x:row r="68">
      <x:c r="A68" s="72" t="str">
        <x:f>IF(OR(C68="",D68=""),"",B68&amp;"-"&amp;UPPER(C68)&amp;"-"&amp;TEXT(D68,"0000")&amp;"-"&amp;E68)</x:f>
        <x:v>M08-DRAIN-0062-V1.0</x:v>
      </x:c>
      <x:c r="B68" s="74" t="str">
        <x:v>M08</x:v>
      </x:c>
      <x:c r="C68" s="74" t="str">
        <x:v>DRAIN</x:v>
      </x:c>
      <x:c r="D68" s="79" t="n">
        <x:v>62</x:v>
      </x:c>
      <x:c r="E68" s="74" t="str">
        <x:v>V1.0</x:v>
      </x:c>
      <x:c r="F68" s="68" t="str">
        <x:v>耗力修正不直接等同财星喜忌</x:v>
      </x:c>
      <x:c r="G68" s="82" t="str">
        <x:v>结构层</x:v>
      </x:c>
      <x:c r="H68" s="68" t="str">
        <x:v>M08边界</x:v>
      </x:c>
      <x:c r="I68" s="68" t="str">
        <x:v>目标五行</x:v>
      </x:c>
      <x:c r="J68" s="68" t="str">
        <x:v>任意</x:v>
      </x:c>
      <x:c r="K68" s="68" t="str">
        <x:v>发生耗力</x:v>
      </x:c>
      <x:c r="L68" s="68" t="str">
        <x:v>只判断五行力量变化</x:v>
      </x:c>
      <x:c r="M68" s="82" t="str">
        <x:v>不变</x:v>
      </x:c>
      <x:c r="N68" s="82" t="str">
        <x:v>弱</x:v>
      </x:c>
      <x:c r="O68" s="82" t="str">
        <x:v>否</x:v>
      </x:c>
      <x:c r="P68" s="82" t="str">
        <x:v>否</x:v>
      </x:c>
      <x:c r="Q68" s="82" t="str">
        <x:v>否</x:v>
      </x:c>
      <x:c r="R68" s="82" t="str">
        <x:v>是</x:v>
      </x:c>
      <x:c r="S68" s="68" t="str">
        <x:v>前置模块已完成</x:v>
      </x:c>
      <x:c r="T68" s="68" t="str">
        <x:v>作用条件真实成立</x:v>
      </x:c>
      <x:c r="U68" s="68" t="str">
        <x:v>得令、有根、有援可增强</x:v>
      </x:c>
      <x:c r="V68" s="68" t="str">
        <x:v>失令、孤立或受制可削弱</x:v>
      </x:c>
      <x:c r="W68" s="90" t="str">
        <x:v>禁止用关系名称直接替代实际效应</x:v>
      </x:c>
      <x:c r="X68" s="68" t="str">
        <x:v>特殊格局与动态岁运另模块处理</x:v>
      </x:c>
      <x:c r="Y68" s="84" t="str">
        <x:v>按证据修正有效旺衰</x:v>
      </x:c>
      <x:c r="Z68" s="68" t="str">
        <x:v>不得直接推出喜忌用神</x:v>
      </x:c>
      <x:c r="AA68" s="84" t="str">
        <x:v>耗力边界</x:v>
      </x:c>
      <x:c r="AB68" s="84" t="str">
        <x:v>耗力只说明力量付出，不代表对应十神必为忌神。</x:v>
      </x:c>
      <x:c r="AC68" s="82" t="str">
        <x:v>较高</x:v>
      </x:c>
      <x:c r="AD68" s="82" t="str">
        <x:v>现代综合</x:v>
      </x:c>
      <x:c r="AE68" s="68" t="str">
        <x:v>有效力量必须承接原始力量与实际效应，逐对象、逐节点修正。</x:v>
      </x:c>
      <x:c r="AF68" s="68" t="str">
        <x:v>被克对象越强、越多、越能承载，目标耗力越明显。</x:v>
      </x:c>
      <x:c r="AG68" s="90" t="str">
        <x:v>见到被克五行就按固定耗损处理。</x:v>
      </x:c>
      <x:c r="AH68" s="68" t="str">
        <x:v>https://zh.wikisource.org/zh-hans/滴天髓 ; https://zh.wikisource.org/zh-hans/淵海子平 ; https://zh.wikisource.org/wiki/三命通會</x:v>
      </x:c>
      <x:c r="AI68" s="82" t="str">
        <x:v>采用</x:v>
      </x:c>
      <x:c r="AJ68" s="82" t="str">
        <x:v>初审</x:v>
      </x:c>
      <x:c r="AK68" s="87" t="n">
        <x:v>46255</x:v>
      </x:c>
    </x:row>
    <x:row r="69">
      <x:c r="A69" s="72" t="str">
        <x:f>IF(OR(C69="",D69=""),"",B69&amp;"-"&amp;UPPER(C69)&amp;"-"&amp;TEXT(D69,"0000")&amp;"-"&amp;E69)</x:f>
        <x:v>M08-TRANS-0063-V1.0</x:v>
      </x:c>
      <x:c r="B69" s="74" t="str">
        <x:v>M08</x:v>
      </x:c>
      <x:c r="C69" s="74" t="str">
        <x:v>TRANS</x:v>
      </x:c>
      <x:c r="D69" s="79" t="n">
        <x:v>63</x:v>
      </x:c>
      <x:c r="E69" s="74" t="str">
        <x:v>V1.0</x:v>
      </x:c>
      <x:c r="F69" s="68" t="str">
        <x:v>天干五合仅合意时不改变五行有效属性</x:v>
      </x:c>
      <x:c r="G69" s="82" t="str">
        <x:v>结构层</x:v>
      </x:c>
      <x:c r="H69" s="68" t="str">
        <x:v>M06天干合</x:v>
      </x:c>
      <x:c r="I69" s="68" t="str">
        <x:v>参与/化神五行</x:v>
      </x:c>
      <x:c r="J69" s="68" t="str">
        <x:v>原始属性</x:v>
      </x:c>
      <x:c r="K69" s="68" t="str">
        <x:v>五合未化</x:v>
      </x:c>
      <x:c r="L69" s="68" t="str">
        <x:v>保留原属性，仅修正牵制</x:v>
      </x:c>
      <x:c r="M69" s="82" t="str">
        <x:v>条件性</x:v>
      </x:c>
      <x:c r="N69" s="82" t="str">
        <x:v>中</x:v>
      </x:c>
      <x:c r="O69" s="82" t="str">
        <x:v>条件性</x:v>
      </x:c>
      <x:c r="P69" s="82" t="str">
        <x:v>条件性</x:v>
      </x:c>
      <x:c r="Q69" s="82" t="str">
        <x:v>条件性</x:v>
      </x:c>
      <x:c r="R69" s="82" t="str">
        <x:v>是</x:v>
      </x:c>
      <x:c r="S69" s="68" t="str">
        <x:v>M06已完成合化/成局效应判断</x:v>
      </x:c>
      <x:c r="T69" s="68" t="str">
        <x:v>必须区分合意、合绊、候选与实质成局</x:v>
      </x:c>
      <x:c r="U69" s="68" t="str">
        <x:v>得令、有根、有援可增强</x:v>
      </x:c>
      <x:c r="V69" s="68" t="str">
        <x:v>失令、孤立或受制可削弱</x:v>
      </x:c>
      <x:c r="W69" s="90" t="str">
        <x:v>禁止用关系名称直接替代实际效应</x:v>
      </x:c>
      <x:c r="X69" s="68" t="str">
        <x:v>特殊格局与动态岁运另模块处理</x:v>
      </x:c>
      <x:c r="Y69" s="84" t="str">
        <x:v>按证据修正有效旺衰</x:v>
      </x:c>
      <x:c r="Z69" s="68" t="str">
        <x:v>不得直接推出喜忌用神</x:v>
      </x:c>
      <x:c r="AA69" s="84" t="str">
        <x:v>五合未化</x:v>
      </x:c>
      <x:c r="AB69" s="84" t="str">
        <x:v>天干五合未满足合化条件时，原五行属性继续有效。</x:v>
      </x:c>
      <x:c r="AC69" s="82" t="str">
        <x:v>较高</x:v>
      </x:c>
      <x:c r="AD69" s="82" t="str">
        <x:v>现代综合</x:v>
      </x:c>
      <x:c r="AE69" s="68" t="str">
        <x:v>有效力量必须承接原始力量与实际效应，逐对象、逐节点修正。</x:v>
      </x:c>
      <x:c r="AF69" s="68" t="str">
        <x:v>成局严格成立时才重分配属性与势能。</x:v>
      </x:c>
      <x:c r="AG69" s="90" t="str">
        <x:v>固定配对或三支齐全就直接全量改性。</x:v>
      </x:c>
      <x:c r="AH69" s="68" t="str">
        <x:v>https://zh.wikisource.org/zh-hans/滴天髓 ; https://zh.wikisource.org/zh-hans/淵海子平 ; https://zh.wikisource.org/wiki/三命通會</x:v>
      </x:c>
      <x:c r="AI69" s="82" t="str">
        <x:v>采用</x:v>
      </x:c>
      <x:c r="AJ69" s="82" t="str">
        <x:v>初审</x:v>
      </x:c>
      <x:c r="AK69" s="87" t="n">
        <x:v>46255</x:v>
      </x:c>
    </x:row>
    <x:row r="70">
      <x:c r="A70" s="72" t="str">
        <x:f>IF(OR(C70="",D70=""),"",B70&amp;"-"&amp;UPPER(C70)&amp;"-"&amp;TEXT(D70,"0000")&amp;"-"&amp;E70)</x:f>
        <x:v>M08-TRANS-0064-V1.0</x:v>
      </x:c>
      <x:c r="B70" s="74" t="str">
        <x:v>M08</x:v>
      </x:c>
      <x:c r="C70" s="74" t="str">
        <x:v>TRANS</x:v>
      </x:c>
      <x:c r="D70" s="79" t="n">
        <x:v>64</x:v>
      </x:c>
      <x:c r="E70" s="74" t="str">
        <x:v>V1.0</x:v>
      </x:c>
      <x:c r="F70" s="68" t="str">
        <x:v>天干五合化神成立时按化神重新分配力量</x:v>
      </x:c>
      <x:c r="G70" s="82" t="str">
        <x:v>结构层</x:v>
      </x:c>
      <x:c r="H70" s="68" t="str">
        <x:v>M06天干合化</x:v>
      </x:c>
      <x:c r="I70" s="68" t="str">
        <x:v>参与/化神五行</x:v>
      </x:c>
      <x:c r="J70" s="68" t="str">
        <x:v>原始属性</x:v>
      </x:c>
      <x:c r="K70" s="68" t="str">
        <x:v>合化成立</x:v>
      </x:c>
      <x:c r="L70" s="68" t="str">
        <x:v>降低原五行并增加化神势能</x:v>
      </x:c>
      <x:c r="M70" s="82" t="str">
        <x:v>转化</x:v>
      </x:c>
      <x:c r="N70" s="82" t="str">
        <x:v>强</x:v>
      </x:c>
      <x:c r="O70" s="82" t="str">
        <x:v>条件性</x:v>
      </x:c>
      <x:c r="P70" s="82" t="str">
        <x:v>条件性</x:v>
      </x:c>
      <x:c r="Q70" s="82" t="str">
        <x:v>条件性</x:v>
      </x:c>
      <x:c r="R70" s="82" t="str">
        <x:v>是</x:v>
      </x:c>
      <x:c r="S70" s="68" t="str">
        <x:v>M06已完成合化/成局效应判断</x:v>
      </x:c>
      <x:c r="T70" s="68" t="str">
        <x:v>必须区分合意、合绊、候选与实质成局</x:v>
      </x:c>
      <x:c r="U70" s="68" t="str">
        <x:v>得令、有根、有援可增强</x:v>
      </x:c>
      <x:c r="V70" s="68" t="str">
        <x:v>失令、孤立或受制可削弱</x:v>
      </x:c>
      <x:c r="W70" s="90" t="str">
        <x:v>禁止用关系名称直接替代实际效应</x:v>
      </x:c>
      <x:c r="X70" s="68" t="str">
        <x:v>特殊格局与动态岁运另模块处理</x:v>
      </x:c>
      <x:c r="Y70" s="84" t="str">
        <x:v>按证据修正有效旺衰</x:v>
      </x:c>
      <x:c r="Z70" s="68" t="str">
        <x:v>不得直接推出喜忌用神</x:v>
      </x:c>
      <x:c r="AA70" s="84" t="str">
        <x:v>天干合化</x:v>
      </x:c>
      <x:c r="AB70" s="84" t="str">
        <x:v>天干合化成立后，参与干的有效属性需转入化神并避免双算。</x:v>
      </x:c>
      <x:c r="AC70" s="82" t="str">
        <x:v>较高</x:v>
      </x:c>
      <x:c r="AD70" s="82" t="str">
        <x:v>现代综合</x:v>
      </x:c>
      <x:c r="AE70" s="68" t="str">
        <x:v>有效力量必须承接原始力量与实际效应，逐对象、逐节点修正。</x:v>
      </x:c>
      <x:c r="AF70" s="68" t="str">
        <x:v>成局严格成立时才重分配属性与势能。</x:v>
      </x:c>
      <x:c r="AG70" s="90" t="str">
        <x:v>固定配对或三支齐全就直接全量改性。</x:v>
      </x:c>
      <x:c r="AH70" s="68" t="str">
        <x:v>https://zh.wikisource.org/zh-hans/滴天髓 ; https://zh.wikisource.org/zh-hans/淵海子平 ; https://zh.wikisource.org/wiki/三命通會</x:v>
      </x:c>
      <x:c r="AI70" s="82" t="str">
        <x:v>采用</x:v>
      </x:c>
      <x:c r="AJ70" s="82" t="str">
        <x:v>初审</x:v>
      </x:c>
      <x:c r="AK70" s="87" t="n">
        <x:v>46255</x:v>
      </x:c>
    </x:row>
    <x:row r="71">
      <x:c r="A71" s="72" t="str">
        <x:f>IF(OR(C71="",D71=""),"",B71&amp;"-"&amp;UPPER(C71)&amp;"-"&amp;TEXT(D71,"0000")&amp;"-"&amp;E71)</x:f>
        <x:v>M08-TRANS-0065-V1.0</x:v>
      </x:c>
      <x:c r="B71" s="74" t="str">
        <x:v>M08</x:v>
      </x:c>
      <x:c r="C71" s="74" t="str">
        <x:v>TRANS</x:v>
      </x:c>
      <x:c r="D71" s="79" t="n">
        <x:v>65</x:v>
      </x:c>
      <x:c r="E71" s="74" t="str">
        <x:v>V1.0</x:v>
      </x:c>
      <x:c r="F71" s="68" t="str">
        <x:v>六合未化时以牵引与合绊修正为主</x:v>
      </x:c>
      <x:c r="G71" s="82" t="str">
        <x:v>结构层</x:v>
      </x:c>
      <x:c r="H71" s="68" t="str">
        <x:v>M06六合</x:v>
      </x:c>
      <x:c r="I71" s="68" t="str">
        <x:v>参与/化神五行</x:v>
      </x:c>
      <x:c r="J71" s="68" t="str">
        <x:v>原支五行</x:v>
      </x:c>
      <x:c r="K71" s="68" t="str">
        <x:v>六合未化</x:v>
      </x:c>
      <x:c r="L71" s="68" t="str">
        <x:v>保留原五行，仅调整调用</x:v>
      </x:c>
      <x:c r="M71" s="82" t="str">
        <x:v>冻结</x:v>
      </x:c>
      <x:c r="N71" s="82" t="str">
        <x:v>中</x:v>
      </x:c>
      <x:c r="O71" s="82" t="str">
        <x:v>条件性</x:v>
      </x:c>
      <x:c r="P71" s="82" t="str">
        <x:v>条件性</x:v>
      </x:c>
      <x:c r="Q71" s="82" t="str">
        <x:v>条件性</x:v>
      </x:c>
      <x:c r="R71" s="82" t="str">
        <x:v>是</x:v>
      </x:c>
      <x:c r="S71" s="68" t="str">
        <x:v>M06已完成合化/成局效应判断</x:v>
      </x:c>
      <x:c r="T71" s="68" t="str">
        <x:v>必须区分合意、合绊、候选与实质成局</x:v>
      </x:c>
      <x:c r="U71" s="68" t="str">
        <x:v>得令、有根、有援可增强</x:v>
      </x:c>
      <x:c r="V71" s="68" t="str">
        <x:v>失令、孤立或受制可削弱</x:v>
      </x:c>
      <x:c r="W71" s="90" t="str">
        <x:v>禁止用关系名称直接替代实际效应</x:v>
      </x:c>
      <x:c r="X71" s="68" t="str">
        <x:v>特殊格局与动态岁运另模块处理</x:v>
      </x:c>
      <x:c r="Y71" s="84" t="str">
        <x:v>按证据修正有效旺衰</x:v>
      </x:c>
      <x:c r="Z71" s="68" t="str">
        <x:v>不得直接推出喜忌用神</x:v>
      </x:c>
      <x:c r="AA71" s="84" t="str">
        <x:v>六合未化</x:v>
      </x:c>
      <x:c r="AB71" s="84" t="str">
        <x:v>六合未化时不改变支的基本五行归属，主要修正合绊与作用路径。</x:v>
      </x:c>
      <x:c r="AC71" s="82" t="str">
        <x:v>较高</x:v>
      </x:c>
      <x:c r="AD71" s="82" t="str">
        <x:v>现代综合</x:v>
      </x:c>
      <x:c r="AE71" s="68" t="str">
        <x:v>有效力量必须承接原始力量与实际效应，逐对象、逐节点修正。</x:v>
      </x:c>
      <x:c r="AF71" s="68" t="str">
        <x:v>成局严格成立时才重分配属性与势能。</x:v>
      </x:c>
      <x:c r="AG71" s="90" t="str">
        <x:v>固定配对或三支齐全就直接全量改性。</x:v>
      </x:c>
      <x:c r="AH71" s="68" t="str">
        <x:v>https://zh.wikisource.org/zh-hans/滴天髓 ; https://zh.wikisource.org/zh-hans/淵海子平 ; https://zh.wikisource.org/wiki/三命通會</x:v>
      </x:c>
      <x:c r="AI71" s="82" t="str">
        <x:v>采用</x:v>
      </x:c>
      <x:c r="AJ71" s="82" t="str">
        <x:v>初审</x:v>
      </x:c>
      <x:c r="AK71" s="87" t="n">
        <x:v>46255</x:v>
      </x:c>
    </x:row>
    <x:row r="72">
      <x:c r="A72" s="72" t="str">
        <x:f>IF(OR(C72="",D72=""),"",B72&amp;"-"&amp;UPPER(C72)&amp;"-"&amp;TEXT(D72,"0000")&amp;"-"&amp;E72)</x:f>
        <x:v>M08-TRANS-0066-V1.0</x:v>
      </x:c>
      <x:c r="B72" s="74" t="str">
        <x:v>M08</x:v>
      </x:c>
      <x:c r="C72" s="74" t="str">
        <x:v>TRANS</x:v>
      </x:c>
      <x:c r="D72" s="79" t="n">
        <x:v>66</x:v>
      </x:c>
      <x:c r="E72" s="74" t="str">
        <x:v>V1.0</x:v>
      </x:c>
      <x:c r="F72" s="68" t="str">
        <x:v>六合合化成立时逐支评估原性残余</x:v>
      </x:c>
      <x:c r="G72" s="82" t="str">
        <x:v>结构层</x:v>
      </x:c>
      <x:c r="H72" s="68" t="str">
        <x:v>M06六合合化</x:v>
      </x:c>
      <x:c r="I72" s="68" t="str">
        <x:v>参与/化神五行</x:v>
      </x:c>
      <x:c r="J72" s="68" t="str">
        <x:v>原支五行</x:v>
      </x:c>
      <x:c r="K72" s="68" t="str">
        <x:v>六合实质化向成立</x:v>
      </x:c>
      <x:c r="L72" s="68" t="str">
        <x:v>按双方强弱转移到化神</x:v>
      </x:c>
      <x:c r="M72" s="82" t="str">
        <x:v>转化</x:v>
      </x:c>
      <x:c r="N72" s="82" t="str">
        <x:v>强</x:v>
      </x:c>
      <x:c r="O72" s="82" t="str">
        <x:v>条件性</x:v>
      </x:c>
      <x:c r="P72" s="82" t="str">
        <x:v>条件性</x:v>
      </x:c>
      <x:c r="Q72" s="82" t="str">
        <x:v>条件性</x:v>
      </x:c>
      <x:c r="R72" s="82" t="str">
        <x:v>是</x:v>
      </x:c>
      <x:c r="S72" s="68" t="str">
        <x:v>M06已完成合化/成局效应判断</x:v>
      </x:c>
      <x:c r="T72" s="68" t="str">
        <x:v>必须区分合意、合绊、候选与实质成局</x:v>
      </x:c>
      <x:c r="U72" s="68" t="str">
        <x:v>得令、有根、有援可增强</x:v>
      </x:c>
      <x:c r="V72" s="68" t="str">
        <x:v>失令、孤立或受制可削弱</x:v>
      </x:c>
      <x:c r="W72" s="90" t="str">
        <x:v>禁止用关系名称直接替代实际效应</x:v>
      </x:c>
      <x:c r="X72" s="68" t="str">
        <x:v>特殊格局与动态岁运另模块处理</x:v>
      </x:c>
      <x:c r="Y72" s="84" t="str">
        <x:v>按证据修正有效旺衰</x:v>
      </x:c>
      <x:c r="Z72" s="68" t="str">
        <x:v>不得直接推出喜忌用神</x:v>
      </x:c>
      <x:c r="AA72" s="84" t="str">
        <x:v>六合改性</x:v>
      </x:c>
      <x:c r="AB72" s="84" t="str">
        <x:v>六合合化成立后，应逐支评估原五行残余，转移可以不对称。</x:v>
      </x:c>
      <x:c r="AC72" s="82" t="str">
        <x:v>较高</x:v>
      </x:c>
      <x:c r="AD72" s="82" t="str">
        <x:v>现代综合</x:v>
      </x:c>
      <x:c r="AE72" s="68" t="str">
        <x:v>有效力量必须承接原始力量与实际效应，逐对象、逐节点修正。</x:v>
      </x:c>
      <x:c r="AF72" s="68" t="str">
        <x:v>成局严格成立时才重分配属性与势能。</x:v>
      </x:c>
      <x:c r="AG72" s="90" t="str">
        <x:v>固定配对或三支齐全就直接全量改性。</x:v>
      </x:c>
      <x:c r="AH72" s="68" t="str">
        <x:v>https://zh.wikisource.org/zh-hans/滴天髓 ; https://zh.wikisource.org/zh-hans/淵海子平 ; https://zh.wikisource.org/wiki/三命通會</x:v>
      </x:c>
      <x:c r="AI72" s="82" t="str">
        <x:v>采用</x:v>
      </x:c>
      <x:c r="AJ72" s="82" t="str">
        <x:v>初审</x:v>
      </x:c>
      <x:c r="AK72" s="87" t="n">
        <x:v>46255</x:v>
      </x:c>
    </x:row>
    <x:row r="73">
      <x:c r="A73" s="72" t="str">
        <x:f>IF(OR(C73="",D73=""),"",B73&amp;"-"&amp;UPPER(C73)&amp;"-"&amp;TEXT(D73,"0000")&amp;"-"&amp;E73)</x:f>
        <x:v>M08-TRANS-0067-V1.0</x:v>
      </x:c>
      <x:c r="B73" s="74" t="str">
        <x:v>M08</x:v>
      </x:c>
      <x:c r="C73" s="74" t="str">
        <x:v>TRANS</x:v>
      </x:c>
      <x:c r="D73" s="79" t="n">
        <x:v>67</x:v>
      </x:c>
      <x:c r="E73" s="74" t="str">
        <x:v>V1.0</x:v>
      </x:c>
      <x:c r="F73" s="68" t="str">
        <x:v>三合完整但不成局时只记聚势候选</x:v>
      </x:c>
      <x:c r="G73" s="82" t="str">
        <x:v>结构层</x:v>
      </x:c>
      <x:c r="H73" s="68" t="str">
        <x:v>M06三合</x:v>
      </x:c>
      <x:c r="I73" s="68" t="str">
        <x:v>参与/化神五行</x:v>
      </x:c>
      <x:c r="J73" s="68" t="str">
        <x:v>原始未成局</x:v>
      </x:c>
      <x:c r="K73" s="68" t="str">
        <x:v>三支齐全但门槛不足</x:v>
      </x:c>
      <x:c r="L73" s="68" t="str">
        <x:v>只提高化神趋向</x:v>
      </x:c>
      <x:c r="M73" s="82" t="str">
        <x:v>增强</x:v>
      </x:c>
      <x:c r="N73" s="82" t="str">
        <x:v>中</x:v>
      </x:c>
      <x:c r="O73" s="82" t="str">
        <x:v>条件性</x:v>
      </x:c>
      <x:c r="P73" s="82" t="str">
        <x:v>条件性</x:v>
      </x:c>
      <x:c r="Q73" s="82" t="str">
        <x:v>条件性</x:v>
      </x:c>
      <x:c r="R73" s="82" t="str">
        <x:v>是</x:v>
      </x:c>
      <x:c r="S73" s="68" t="str">
        <x:v>M06已完成合化/成局效应判断</x:v>
      </x:c>
      <x:c r="T73" s="68" t="str">
        <x:v>必须区分合意、合绊、候选与实质成局</x:v>
      </x:c>
      <x:c r="U73" s="68" t="str">
        <x:v>得令、有根、有援可增强</x:v>
      </x:c>
      <x:c r="V73" s="68" t="str">
        <x:v>失令、孤立或受制可削弱</x:v>
      </x:c>
      <x:c r="W73" s="90" t="str">
        <x:v>禁止用关系名称直接替代实际效应</x:v>
      </x:c>
      <x:c r="X73" s="68" t="str">
        <x:v>特殊格局与动态岁运另模块处理</x:v>
      </x:c>
      <x:c r="Y73" s="84" t="str">
        <x:v>按证据修正有效旺衰</x:v>
      </x:c>
      <x:c r="Z73" s="68" t="str">
        <x:v>不得直接推出喜忌用神</x:v>
      </x:c>
      <x:c r="AA73" s="84" t="str">
        <x:v>三合候选</x:v>
      </x:c>
      <x:c r="AB73" s="84" t="str">
        <x:v>三合结构完整但未成局时，只作为化神聚势候选，不能全量改性。</x:v>
      </x:c>
      <x:c r="AC73" s="82" t="str">
        <x:v>较高</x:v>
      </x:c>
      <x:c r="AD73" s="82" t="str">
        <x:v>现代综合</x:v>
      </x:c>
      <x:c r="AE73" s="68" t="str">
        <x:v>有效力量必须承接原始力量与实际效应，逐对象、逐节点修正。</x:v>
      </x:c>
      <x:c r="AF73" s="68" t="str">
        <x:v>成局严格成立时才重分配属性与势能。</x:v>
      </x:c>
      <x:c r="AG73" s="90" t="str">
        <x:v>固定配对或三支齐全就直接全量改性。</x:v>
      </x:c>
      <x:c r="AH73" s="68" t="str">
        <x:v>https://zh.wikisource.org/zh-hans/滴天髓 ; https://zh.wikisource.org/zh-hans/淵海子平 ; https://zh.wikisource.org/wiki/三命通會</x:v>
      </x:c>
      <x:c r="AI73" s="82" t="str">
        <x:v>采用</x:v>
      </x:c>
      <x:c r="AJ73" s="82" t="str">
        <x:v>初审</x:v>
      </x:c>
      <x:c r="AK73" s="87" t="n">
        <x:v>46255</x:v>
      </x:c>
    </x:row>
    <x:row r="74">
      <x:c r="A74" s="72" t="str">
        <x:f>IF(OR(C74="",D74=""),"",B74&amp;"-"&amp;UPPER(C74)&amp;"-"&amp;TEXT(D74,"0000")&amp;"-"&amp;E74)</x:f>
        <x:v>M08-TRANS-0068-V1.0</x:v>
      </x:c>
      <x:c r="B74" s="74" t="str">
        <x:v>M08</x:v>
      </x:c>
      <x:c r="C74" s="74" t="str">
        <x:v>TRANS</x:v>
      </x:c>
      <x:c r="D74" s="79" t="n">
        <x:v>68</x:v>
      </x:c>
      <x:c r="E74" s="74" t="str">
        <x:v>V1.0</x:v>
      </x:c>
      <x:c r="F74" s="68" t="str">
        <x:v>三合成局时化神成为主要势能池</x:v>
      </x:c>
      <x:c r="G74" s="82" t="str">
        <x:v>结构层</x:v>
      </x:c>
      <x:c r="H74" s="68" t="str">
        <x:v>M06三合成局</x:v>
      </x:c>
      <x:c r="I74" s="68" t="str">
        <x:v>参与/化神五行</x:v>
      </x:c>
      <x:c r="J74" s="68" t="str">
        <x:v>原始力量</x:v>
      </x:c>
      <x:c r="K74" s="68" t="str">
        <x:v>完整三合并成局</x:v>
      </x:c>
      <x:c r="L74" s="68" t="str">
        <x:v>显著提高化神并重算参与支属性</x:v>
      </x:c>
      <x:c r="M74" s="82" t="str">
        <x:v>转化</x:v>
      </x:c>
      <x:c r="N74" s="82" t="str">
        <x:v>决定性</x:v>
      </x:c>
      <x:c r="O74" s="82" t="str">
        <x:v>条件性</x:v>
      </x:c>
      <x:c r="P74" s="82" t="str">
        <x:v>条件性</x:v>
      </x:c>
      <x:c r="Q74" s="82" t="str">
        <x:v>条件性</x:v>
      </x:c>
      <x:c r="R74" s="82" t="str">
        <x:v>是</x:v>
      </x:c>
      <x:c r="S74" s="68" t="str">
        <x:v>M06已完成合化/成局效应判断</x:v>
      </x:c>
      <x:c r="T74" s="68" t="str">
        <x:v>必须区分合意、合绊、候选与实质成局</x:v>
      </x:c>
      <x:c r="U74" s="68" t="str">
        <x:v>得令、有根、有援可增强</x:v>
      </x:c>
      <x:c r="V74" s="68" t="str">
        <x:v>失令、孤立或受制可削弱</x:v>
      </x:c>
      <x:c r="W74" s="90" t="str">
        <x:v>禁止用关系名称直接替代实际效应</x:v>
      </x:c>
      <x:c r="X74" s="68" t="str">
        <x:v>特殊格局与动态岁运另模块处理</x:v>
      </x:c>
      <x:c r="Y74" s="84" t="str">
        <x:v>按证据修正有效旺衰</x:v>
      </x:c>
      <x:c r="Z74" s="68" t="str">
        <x:v>不得直接推出喜忌用神</x:v>
      </x:c>
      <x:c r="AA74" s="84" t="str">
        <x:v>三合成局</x:v>
      </x:c>
      <x:c r="AB74" s="84" t="str">
        <x:v>三合成局时，化神成为主要势能方向，参与支原性按残余程度重算。</x:v>
      </x:c>
      <x:c r="AC74" s="82" t="str">
        <x:v>较高</x:v>
      </x:c>
      <x:c r="AD74" s="82" t="str">
        <x:v>现代综合</x:v>
      </x:c>
      <x:c r="AE74" s="68" t="str">
        <x:v>有效力量必须承接原始力量与实际效应，逐对象、逐节点修正。</x:v>
      </x:c>
      <x:c r="AF74" s="68" t="str">
        <x:v>成局严格成立时才重分配属性与势能。</x:v>
      </x:c>
      <x:c r="AG74" s="90" t="str">
        <x:v>固定配对或三支齐全就直接全量改性。</x:v>
      </x:c>
      <x:c r="AH74" s="68" t="str">
        <x:v>https://zh.wikisource.org/zh-hans/滴天髓 ; https://zh.wikisource.org/zh-hans/淵海子平 ; https://zh.wikisource.org/wiki/三命通會</x:v>
      </x:c>
      <x:c r="AI74" s="82" t="str">
        <x:v>采用</x:v>
      </x:c>
      <x:c r="AJ74" s="82" t="str">
        <x:v>初审</x:v>
      </x:c>
      <x:c r="AK74" s="87" t="n">
        <x:v>46255</x:v>
      </x:c>
    </x:row>
    <x:row r="75">
      <x:c r="A75" s="72" t="str">
        <x:f>IF(OR(C75="",D75=""),"",B75&amp;"-"&amp;UPPER(C75)&amp;"-"&amp;TEXT(D75,"0000")&amp;"-"&amp;E75)</x:f>
        <x:v>M08-TRANS-0069-V1.0</x:v>
      </x:c>
      <x:c r="B75" s="74" t="str">
        <x:v>M08</x:v>
      </x:c>
      <x:c r="C75" s="74" t="str">
        <x:v>TRANS</x:v>
      </x:c>
      <x:c r="D75" s="79" t="n">
        <x:v>69</x:v>
      </x:c>
      <x:c r="E75" s="74" t="str">
        <x:v>V1.0</x:v>
      </x:c>
      <x:c r="F75" s="68" t="str">
        <x:v>三会成局时方局五行获得强势能支持</x:v>
      </x:c>
      <x:c r="G75" s="82" t="str">
        <x:v>结构层</x:v>
      </x:c>
      <x:c r="H75" s="68" t="str">
        <x:v>M06三会</x:v>
      </x:c>
      <x:c r="I75" s="68" t="str">
        <x:v>参与/化神五行</x:v>
      </x:c>
      <x:c r="J75" s="68" t="str">
        <x:v>原始力量</x:v>
      </x:c>
      <x:c r="K75" s="68" t="str">
        <x:v>三会完整并成势</x:v>
      </x:c>
      <x:c r="L75" s="68" t="str">
        <x:v>显著提高方局五行有效力量</x:v>
      </x:c>
      <x:c r="M75" s="82" t="str">
        <x:v>增强</x:v>
      </x:c>
      <x:c r="N75" s="82" t="str">
        <x:v>决定性</x:v>
      </x:c>
      <x:c r="O75" s="82" t="str">
        <x:v>条件性</x:v>
      </x:c>
      <x:c r="P75" s="82" t="str">
        <x:v>条件性</x:v>
      </x:c>
      <x:c r="Q75" s="82" t="str">
        <x:v>条件性</x:v>
      </x:c>
      <x:c r="R75" s="82" t="str">
        <x:v>是</x:v>
      </x:c>
      <x:c r="S75" s="68" t="str">
        <x:v>M06已完成合化/成局效应判断</x:v>
      </x:c>
      <x:c r="T75" s="68" t="str">
        <x:v>必须区分合意、合绊、候选与实质成局</x:v>
      </x:c>
      <x:c r="U75" s="68" t="str">
        <x:v>得令、有根、有援可增强</x:v>
      </x:c>
      <x:c r="V75" s="68" t="str">
        <x:v>失令、孤立或受制可削弱</x:v>
      </x:c>
      <x:c r="W75" s="90" t="str">
        <x:v>禁止用关系名称直接替代实际效应</x:v>
      </x:c>
      <x:c r="X75" s="68" t="str">
        <x:v>特殊格局与动态岁运另模块处理</x:v>
      </x:c>
      <x:c r="Y75" s="84" t="str">
        <x:v>按证据修正有效旺衰</x:v>
      </x:c>
      <x:c r="Z75" s="68" t="str">
        <x:v>不得直接推出喜忌用神</x:v>
      </x:c>
      <x:c r="AA75" s="84" t="str">
        <x:v>三会成势</x:v>
      </x:c>
      <x:c r="AB75" s="84" t="str">
        <x:v>三会完整且成势时，方局五行获得强势能支持。</x:v>
      </x:c>
      <x:c r="AC75" s="82" t="str">
        <x:v>较高</x:v>
      </x:c>
      <x:c r="AD75" s="82" t="str">
        <x:v>现代综合</x:v>
      </x:c>
      <x:c r="AE75" s="68" t="str">
        <x:v>有效力量必须承接原始力量与实际效应，逐对象、逐节点修正。</x:v>
      </x:c>
      <x:c r="AF75" s="68" t="str">
        <x:v>成局严格成立时才重分配属性与势能。</x:v>
      </x:c>
      <x:c r="AG75" s="90" t="str">
        <x:v>固定配对或三支齐全就直接全量改性。</x:v>
      </x:c>
      <x:c r="AH75" s="68" t="str">
        <x:v>https://zh.wikisource.org/zh-hans/滴天髓 ; https://zh.wikisource.org/zh-hans/淵海子平 ; https://zh.wikisource.org/wiki/三命通會</x:v>
      </x:c>
      <x:c r="AI75" s="82" t="str">
        <x:v>采用</x:v>
      </x:c>
      <x:c r="AJ75" s="82" t="str">
        <x:v>初审</x:v>
      </x:c>
      <x:c r="AK75" s="87" t="n">
        <x:v>46255</x:v>
      </x:c>
    </x:row>
    <x:row r="76">
      <x:c r="A76" s="72" t="str">
        <x:f>IF(OR(C76="",D76=""),"",B76&amp;"-"&amp;UPPER(C76)&amp;"-"&amp;TEXT(D76,"0000")&amp;"-"&amp;E76)</x:f>
        <x:v>M08-TRANS-0070-V1.0</x:v>
      </x:c>
      <x:c r="B76" s="74" t="str">
        <x:v>M08</x:v>
      </x:c>
      <x:c r="C76" s="74" t="str">
        <x:v>TRANS</x:v>
      </x:c>
      <x:c r="D76" s="79" t="n">
        <x:v>70</x:v>
      </x:c>
      <x:c r="E76" s="74" t="str">
        <x:v>V1.0</x:v>
      </x:c>
      <x:c r="F76" s="68" t="str">
        <x:v>半合有效时可形成中等级聚势</x:v>
      </x:c>
      <x:c r="G76" s="82" t="str">
        <x:v>结构层</x:v>
      </x:c>
      <x:c r="H76" s="68" t="str">
        <x:v>M06半合</x:v>
      </x:c>
      <x:c r="I76" s="68" t="str">
        <x:v>参与/化神五行</x:v>
      </x:c>
      <x:c r="J76" s="68" t="str">
        <x:v>原始力量</x:v>
      </x:c>
      <x:c r="K76" s="68" t="str">
        <x:v>半合成立</x:v>
      </x:c>
      <x:c r="L76" s="68" t="str">
        <x:v>提高化神势能但低于完整三合</x:v>
      </x:c>
      <x:c r="M76" s="82" t="str">
        <x:v>增强</x:v>
      </x:c>
      <x:c r="N76" s="82" t="str">
        <x:v>中</x:v>
      </x:c>
      <x:c r="O76" s="82" t="str">
        <x:v>条件性</x:v>
      </x:c>
      <x:c r="P76" s="82" t="str">
        <x:v>条件性</x:v>
      </x:c>
      <x:c r="Q76" s="82" t="str">
        <x:v>条件性</x:v>
      </x:c>
      <x:c r="R76" s="82" t="str">
        <x:v>是</x:v>
      </x:c>
      <x:c r="S76" s="68" t="str">
        <x:v>M06已完成合化/成局效应判断</x:v>
      </x:c>
      <x:c r="T76" s="68" t="str">
        <x:v>必须区分合意、合绊、候选与实质成局</x:v>
      </x:c>
      <x:c r="U76" s="68" t="str">
        <x:v>得令、有根、有援可增强</x:v>
      </x:c>
      <x:c r="V76" s="68" t="str">
        <x:v>失令、孤立或受制可削弱</x:v>
      </x:c>
      <x:c r="W76" s="90" t="str">
        <x:v>禁止用关系名称直接替代实际效应</x:v>
      </x:c>
      <x:c r="X76" s="68" t="str">
        <x:v>特殊格局与动态岁运另模块处理</x:v>
      </x:c>
      <x:c r="Y76" s="84" t="str">
        <x:v>按证据修正有效旺衰</x:v>
      </x:c>
      <x:c r="Z76" s="68" t="str">
        <x:v>不得直接推出喜忌用神</x:v>
      </x:c>
      <x:c r="AA76" s="84" t="str">
        <x:v>半合聚势</x:v>
      </x:c>
      <x:c r="AB76" s="84" t="str">
        <x:v>半合可形成中等级聚势，但通常不能替代完整三合成局。</x:v>
      </x:c>
      <x:c r="AC76" s="82" t="str">
        <x:v>较高</x:v>
      </x:c>
      <x:c r="AD76" s="82" t="str">
        <x:v>现代综合</x:v>
      </x:c>
      <x:c r="AE76" s="68" t="str">
        <x:v>有效力量必须承接原始力量与实际效应，逐对象、逐节点修正。</x:v>
      </x:c>
      <x:c r="AF76" s="68" t="str">
        <x:v>成局严格成立时才重分配属性与势能。</x:v>
      </x:c>
      <x:c r="AG76" s="90" t="str">
        <x:v>固定配对或三支齐全就直接全量改性。</x:v>
      </x:c>
      <x:c r="AH76" s="68" t="str">
        <x:v>https://zh.wikisource.org/zh-hans/滴天髓 ; https://zh.wikisource.org/zh-hans/淵海子平 ; https://zh.wikisource.org/wiki/三命通會</x:v>
      </x:c>
      <x:c r="AI76" s="82" t="str">
        <x:v>采用</x:v>
      </x:c>
      <x:c r="AJ76" s="82" t="str">
        <x:v>初审</x:v>
      </x:c>
      <x:c r="AK76" s="87" t="n">
        <x:v>46255</x:v>
      </x:c>
    </x:row>
    <x:row r="77">
      <x:c r="A77" s="72" t="str">
        <x:f>IF(OR(C77="",D77=""),"",B77&amp;"-"&amp;UPPER(C77)&amp;"-"&amp;TEXT(D77,"0000")&amp;"-"&amp;E77)</x:f>
        <x:v>M08-TRANS-0071-V1.0</x:v>
      </x:c>
      <x:c r="B77" s="74" t="str">
        <x:v>M08</x:v>
      </x:c>
      <x:c r="C77" s="74" t="str">
        <x:v>TRANS</x:v>
      </x:c>
      <x:c r="D77" s="79" t="n">
        <x:v>71</x:v>
      </x:c>
      <x:c r="E77" s="74" t="str">
        <x:v>V1.0</x:v>
      </x:c>
      <x:c r="F77" s="68" t="str">
        <x:v>拱合缺中神时通常只作低等级趋向</x:v>
      </x:c>
      <x:c r="G77" s="82" t="str">
        <x:v>结构层</x:v>
      </x:c>
      <x:c r="H77" s="68" t="str">
        <x:v>M06拱合</x:v>
      </x:c>
      <x:c r="I77" s="68" t="str">
        <x:v>参与/化神五行</x:v>
      </x:c>
      <x:c r="J77" s="68" t="str">
        <x:v>原始力量</x:v>
      </x:c>
      <x:c r="K77" s="68" t="str">
        <x:v>两端拱合而中神缺失</x:v>
      </x:c>
      <x:c r="L77" s="68" t="str">
        <x:v>轻度提高化神趋向</x:v>
      </x:c>
      <x:c r="M77" s="82" t="str">
        <x:v>增强</x:v>
      </x:c>
      <x:c r="N77" s="82" t="str">
        <x:v>弱</x:v>
      </x:c>
      <x:c r="O77" s="82" t="str">
        <x:v>条件性</x:v>
      </x:c>
      <x:c r="P77" s="82" t="str">
        <x:v>条件性</x:v>
      </x:c>
      <x:c r="Q77" s="82" t="str">
        <x:v>条件性</x:v>
      </x:c>
      <x:c r="R77" s="82" t="str">
        <x:v>是</x:v>
      </x:c>
      <x:c r="S77" s="68" t="str">
        <x:v>M06已完成合化/成局效应判断</x:v>
      </x:c>
      <x:c r="T77" s="68" t="str">
        <x:v>必须区分合意、合绊、候选与实质成局</x:v>
      </x:c>
      <x:c r="U77" s="68" t="str">
        <x:v>得令、有根、有援可增强</x:v>
      </x:c>
      <x:c r="V77" s="68" t="str">
        <x:v>失令、孤立或受制可削弱</x:v>
      </x:c>
      <x:c r="W77" s="90" t="str">
        <x:v>禁止用关系名称直接替代实际效应</x:v>
      </x:c>
      <x:c r="X77" s="68" t="str">
        <x:v>特殊格局与动态岁运另模块处理</x:v>
      </x:c>
      <x:c r="Y77" s="84" t="str">
        <x:v>按证据修正有效旺衰</x:v>
      </x:c>
      <x:c r="Z77" s="68" t="str">
        <x:v>不得直接推出喜忌用神</x:v>
      </x:c>
      <x:c r="AA77" s="84" t="str">
        <x:v>拱合低权重</x:v>
      </x:c>
      <x:c r="AB77" s="84" t="str">
        <x:v>拱合只表示结构趋向，不能把缺失中神当作实际根气。</x:v>
      </x:c>
      <x:c r="AC77" s="82" t="str">
        <x:v>较高</x:v>
      </x:c>
      <x:c r="AD77" s="82" t="str">
        <x:v>现代综合</x:v>
      </x:c>
      <x:c r="AE77" s="68" t="str">
        <x:v>有效力量必须承接原始力量与实际效应，逐对象、逐节点修正。</x:v>
      </x:c>
      <x:c r="AF77" s="68" t="str">
        <x:v>成局严格成立时才重分配属性与势能。</x:v>
      </x:c>
      <x:c r="AG77" s="90" t="str">
        <x:v>固定配对或三支齐全就直接全量改性。</x:v>
      </x:c>
      <x:c r="AH77" s="68" t="str">
        <x:v>https://zh.wikisource.org/zh-hans/滴天髓 ; https://zh.wikisource.org/zh-hans/淵海子平 ; https://zh.wikisource.org/wiki/三命通會</x:v>
      </x:c>
      <x:c r="AI77" s="82" t="str">
        <x:v>采用</x:v>
      </x:c>
      <x:c r="AJ77" s="82" t="str">
        <x:v>初审</x:v>
      </x:c>
      <x:c r="AK77" s="87" t="n">
        <x:v>46255</x:v>
      </x:c>
    </x:row>
    <x:row r="78">
      <x:c r="A78" s="72" t="str">
        <x:f>IF(OR(C78="",D78=""),"",B78&amp;"-"&amp;UPPER(C78)&amp;"-"&amp;TEXT(D78,"0000")&amp;"-"&amp;E78)</x:f>
        <x:v>M08-TRANS-0072-V1.0</x:v>
      </x:c>
      <x:c r="B78" s="74" t="str">
        <x:v>M08</x:v>
      </x:c>
      <x:c r="C78" s="74" t="str">
        <x:v>TRANS</x:v>
      </x:c>
      <x:c r="D78" s="79" t="n">
        <x:v>72</x:v>
      </x:c>
      <x:c r="E78" s="74" t="str">
        <x:v>V1.0</x:v>
      </x:c>
      <x:c r="F78" s="68" t="str">
        <x:v>成局受关键冲破时化神下调并恢复部分原性</x:v>
      </x:c>
      <x:c r="G78" s="82" t="str">
        <x:v>结构层</x:v>
      </x:c>
      <x:c r="H78" s="68" t="str">
        <x:v>M06成局破坏</x:v>
      </x:c>
      <x:c r="I78" s="68" t="str">
        <x:v>参与/化神五行</x:v>
      </x:c>
      <x:c r="J78" s="68" t="str">
        <x:v>已成局候选</x:v>
      </x:c>
      <x:c r="K78" s="68" t="str">
        <x:v>关键成员遭强冲破</x:v>
      </x:c>
      <x:c r="L78" s="68" t="str">
        <x:v>降低成局度并回补原支五行</x:v>
      </x:c>
      <x:c r="M78" s="82" t="str">
        <x:v>转化</x:v>
      </x:c>
      <x:c r="N78" s="82" t="str">
        <x:v>强</x:v>
      </x:c>
      <x:c r="O78" s="82" t="str">
        <x:v>条件性</x:v>
      </x:c>
      <x:c r="P78" s="82" t="str">
        <x:v>条件性</x:v>
      </x:c>
      <x:c r="Q78" s="82" t="str">
        <x:v>条件性</x:v>
      </x:c>
      <x:c r="R78" s="82" t="str">
        <x:v>是</x:v>
      </x:c>
      <x:c r="S78" s="68" t="str">
        <x:v>M06已完成合化/成局效应判断</x:v>
      </x:c>
      <x:c r="T78" s="68" t="str">
        <x:v>必须区分合意、合绊、候选与实质成局</x:v>
      </x:c>
      <x:c r="U78" s="68" t="str">
        <x:v>得令、有根、有援可增强</x:v>
      </x:c>
      <x:c r="V78" s="68" t="str">
        <x:v>失令、孤立或受制可削弱</x:v>
      </x:c>
      <x:c r="W78" s="90" t="str">
        <x:v>禁止用关系名称直接替代实际效应</x:v>
      </x:c>
      <x:c r="X78" s="68" t="str">
        <x:v>特殊格局与动态岁运另模块处理</x:v>
      </x:c>
      <x:c r="Y78" s="84" t="str">
        <x:v>按证据修正有效旺衰</x:v>
      </x:c>
      <x:c r="Z78" s="68" t="str">
        <x:v>不得直接推出喜忌用神</x:v>
      </x:c>
      <x:c r="AA78" s="84" t="str">
        <x:v>成局破坏</x:v>
      </x:c>
      <x:c r="AB78" s="84" t="str">
        <x:v>合会局遭关键冲破时，应同步下调化神势能并恢复部分原性。</x:v>
      </x:c>
      <x:c r="AC78" s="82" t="str">
        <x:v>较高</x:v>
      </x:c>
      <x:c r="AD78" s="82" t="str">
        <x:v>现代综合</x:v>
      </x:c>
      <x:c r="AE78" s="68" t="str">
        <x:v>有效力量必须承接原始力量与实际效应，逐对象、逐节点修正。</x:v>
      </x:c>
      <x:c r="AF78" s="68" t="str">
        <x:v>成局严格成立时才重分配属性与势能。</x:v>
      </x:c>
      <x:c r="AG78" s="90" t="str">
        <x:v>固定配对或三支齐全就直接全量改性。</x:v>
      </x:c>
      <x:c r="AH78" s="68" t="str">
        <x:v>https://zh.wikisource.org/zh-hans/滴天髓 ; https://zh.wikisource.org/zh-hans/淵海子平 ; https://zh.wikisource.org/wiki/三命通會</x:v>
      </x:c>
      <x:c r="AI78" s="82" t="str">
        <x:v>采用</x:v>
      </x:c>
      <x:c r="AJ78" s="82" t="str">
        <x:v>初审</x:v>
      </x:c>
      <x:c r="AK78" s="87" t="n">
        <x:v>46255</x:v>
      </x:c>
    </x:row>
    <x:row r="79">
      <x:c r="A79" s="72" t="str">
        <x:f>IF(OR(C79="",D79=""),"",B79&amp;"-"&amp;UPPER(C79)&amp;"-"&amp;TEXT(D79,"0000")&amp;"-"&amp;E79)</x:f>
        <x:v>M08-TRANS-0073-V1.0</x:v>
      </x:c>
      <x:c r="B79" s="74" t="str">
        <x:v>M08</x:v>
      </x:c>
      <x:c r="C79" s="74" t="str">
        <x:v>TRANS</x:v>
      </x:c>
      <x:c r="D79" s="79" t="n">
        <x:v>73</x:v>
      </x:c>
      <x:c r="E79" s="74" t="str">
        <x:v>V1.0</x:v>
      </x:c>
      <x:c r="F79" s="68" t="str">
        <x:v>共享地支参与多个合会时只能有一个主导势能归属</x:v>
      </x:c>
      <x:c r="G79" s="82" t="str">
        <x:v>结构层</x:v>
      </x:c>
      <x:c r="H79" s="68" t="str">
        <x:v>M06多重关系</x:v>
      </x:c>
      <x:c r="I79" s="68" t="str">
        <x:v>参与/化神五行</x:v>
      </x:c>
      <x:c r="J79" s="68" t="str">
        <x:v>多局候选</x:v>
      </x:c>
      <x:c r="K79" s="68" t="str">
        <x:v>同一支被多个结构争夺</x:v>
      </x:c>
      <x:c r="L79" s="68" t="str">
        <x:v>按得令、完整度与强弱选主导归属</x:v>
      </x:c>
      <x:c r="M79" s="82" t="str">
        <x:v>条件性</x:v>
      </x:c>
      <x:c r="N79" s="82" t="str">
        <x:v>强</x:v>
      </x:c>
      <x:c r="O79" s="82" t="str">
        <x:v>条件性</x:v>
      </x:c>
      <x:c r="P79" s="82" t="str">
        <x:v>条件性</x:v>
      </x:c>
      <x:c r="Q79" s="82" t="str">
        <x:v>条件性</x:v>
      </x:c>
      <x:c r="R79" s="82" t="str">
        <x:v>是</x:v>
      </x:c>
      <x:c r="S79" s="68" t="str">
        <x:v>M06已完成合化/成局效应判断</x:v>
      </x:c>
      <x:c r="T79" s="68" t="str">
        <x:v>必须区分合意、合绊、候选与实质成局</x:v>
      </x:c>
      <x:c r="U79" s="68" t="str">
        <x:v>得令、有根、有援可增强</x:v>
      </x:c>
      <x:c r="V79" s="68" t="str">
        <x:v>失令、孤立或受制可削弱</x:v>
      </x:c>
      <x:c r="W79" s="90" t="str">
        <x:v>禁止用关系名称直接替代实际效应</x:v>
      </x:c>
      <x:c r="X79" s="68" t="str">
        <x:v>特殊格局与动态岁运另模块处理</x:v>
      </x:c>
      <x:c r="Y79" s="84" t="str">
        <x:v>按证据修正有效旺衰</x:v>
      </x:c>
      <x:c r="Z79" s="68" t="str">
        <x:v>不得直接推出喜忌用神</x:v>
      </x:c>
      <x:c r="AA79" s="84" t="str">
        <x:v>共享节点归属</x:v>
      </x:c>
      <x:c r="AB79" s="84" t="str">
        <x:v>共享地支不能被两个合会结构同时满额调用。</x:v>
      </x:c>
      <x:c r="AC79" s="82" t="str">
        <x:v>较高</x:v>
      </x:c>
      <x:c r="AD79" s="82" t="str">
        <x:v>现代综合</x:v>
      </x:c>
      <x:c r="AE79" s="68" t="str">
        <x:v>有效力量必须承接原始力量与实际效应，逐对象、逐节点修正。</x:v>
      </x:c>
      <x:c r="AF79" s="68" t="str">
        <x:v>成局严格成立时才重分配属性与势能。</x:v>
      </x:c>
      <x:c r="AG79" s="90" t="str">
        <x:v>固定配对或三支齐全就直接全量改性。</x:v>
      </x:c>
      <x:c r="AH79" s="68" t="str">
        <x:v>https://zh.wikisource.org/zh-hans/滴天髓 ; https://zh.wikisource.org/zh-hans/淵海子平 ; https://zh.wikisource.org/wiki/三命通會</x:v>
      </x:c>
      <x:c r="AI79" s="82" t="str">
        <x:v>采用</x:v>
      </x:c>
      <x:c r="AJ79" s="82" t="str">
        <x:v>初审</x:v>
      </x:c>
      <x:c r="AK79" s="87" t="n">
        <x:v>46255</x:v>
      </x:c>
    </x:row>
    <x:row r="80">
      <x:c r="A80" s="72" t="str">
        <x:f>IF(OR(C80="",D80=""),"",B80&amp;"-"&amp;UPPER(C80)&amp;"-"&amp;TEXT(D80,"0000")&amp;"-"&amp;E80)</x:f>
        <x:v>M08-TRANS-0074-V1.0</x:v>
      </x:c>
      <x:c r="B80" s="74" t="str">
        <x:v>M08</x:v>
      </x:c>
      <x:c r="C80" s="74" t="str">
        <x:v>TRANS</x:v>
      </x:c>
      <x:c r="D80" s="79" t="n">
        <x:v>74</x:v>
      </x:c>
      <x:c r="E80" s="74" t="str">
        <x:v>V1.0</x:v>
      </x:c>
      <x:c r="F80" s="68" t="str">
        <x:v>化神形成后仍需接受后续克泄耗修正</x:v>
      </x:c>
      <x:c r="G80" s="82" t="str">
        <x:v>结构层</x:v>
      </x:c>
      <x:c r="H80" s="68" t="str">
        <x:v>改性后再平衡</x:v>
      </x:c>
      <x:c r="I80" s="68" t="str">
        <x:v>参与/化神五行</x:v>
      </x:c>
      <x:c r="J80" s="68" t="str">
        <x:v>化局成立</x:v>
      </x:c>
      <x:c r="K80" s="68" t="str">
        <x:v>化神参与全局生克</x:v>
      </x:c>
      <x:c r="L80" s="68" t="str">
        <x:v>按化后五行继续接受克泄耗</x:v>
      </x:c>
      <x:c r="M80" s="82" t="str">
        <x:v>条件性</x:v>
      </x:c>
      <x:c r="N80" s="82" t="str">
        <x:v>中</x:v>
      </x:c>
      <x:c r="O80" s="82" t="str">
        <x:v>条件性</x:v>
      </x:c>
      <x:c r="P80" s="82" t="str">
        <x:v>条件性</x:v>
      </x:c>
      <x:c r="Q80" s="82" t="str">
        <x:v>条件性</x:v>
      </x:c>
      <x:c r="R80" s="82" t="str">
        <x:v>是</x:v>
      </x:c>
      <x:c r="S80" s="68" t="str">
        <x:v>M06已完成合化/成局效应判断</x:v>
      </x:c>
      <x:c r="T80" s="68" t="str">
        <x:v>必须区分合意、合绊、候选与实质成局</x:v>
      </x:c>
      <x:c r="U80" s="68" t="str">
        <x:v>得令、有根、有援可增强</x:v>
      </x:c>
      <x:c r="V80" s="68" t="str">
        <x:v>失令、孤立或受制可削弱</x:v>
      </x:c>
      <x:c r="W80" s="90" t="str">
        <x:v>禁止用关系名称直接替代实际效应</x:v>
      </x:c>
      <x:c r="X80" s="68" t="str">
        <x:v>特殊格局与动态岁运另模块处理</x:v>
      </x:c>
      <x:c r="Y80" s="84" t="str">
        <x:v>按证据修正有效旺衰</x:v>
      </x:c>
      <x:c r="Z80" s="68" t="str">
        <x:v>不得直接推出喜忌用神</x:v>
      </x:c>
      <x:c r="AA80" s="84" t="str">
        <x:v>化后再修正</x:v>
      </x:c>
      <x:c r="AB80" s="84" t="str">
        <x:v>合化成局只改变力量归属，化神形成后仍要接受全局生克泄耗。</x:v>
      </x:c>
      <x:c r="AC80" s="82" t="str">
        <x:v>较高</x:v>
      </x:c>
      <x:c r="AD80" s="82" t="str">
        <x:v>现代综合</x:v>
      </x:c>
      <x:c r="AE80" s="68" t="str">
        <x:v>有效力量必须承接原始力量与实际效应，逐对象、逐节点修正。</x:v>
      </x:c>
      <x:c r="AF80" s="68" t="str">
        <x:v>成局严格成立时才重分配属性与势能。</x:v>
      </x:c>
      <x:c r="AG80" s="90" t="str">
        <x:v>固定配对或三支齐全就直接全量改性。</x:v>
      </x:c>
      <x:c r="AH80" s="68" t="str">
        <x:v>https://zh.wikisource.org/zh-hans/滴天髓 ; https://zh.wikisource.org/zh-hans/淵海子平 ; https://zh.wikisource.org/wiki/三命通會</x:v>
      </x:c>
      <x:c r="AI80" s="82" t="str">
        <x:v>采用</x:v>
      </x:c>
      <x:c r="AJ80" s="82" t="str">
        <x:v>初审</x:v>
      </x:c>
      <x:c r="AK80" s="87" t="n">
        <x:v>46255</x:v>
      </x:c>
    </x:row>
    <x:row r="81">
      <x:c r="A81" s="72" t="str">
        <x:f>IF(OR(C81="",D81=""),"",B81&amp;"-"&amp;UPPER(C81)&amp;"-"&amp;TEXT(D81,"0000")&amp;"-"&amp;E81)</x:f>
        <x:v>M08-REL-0075-V1.0</x:v>
      </x:c>
      <x:c r="B81" s="74" t="str">
        <x:v>M08</x:v>
      </x:c>
      <x:c r="C81" s="74" t="str">
        <x:v>REL</x:v>
      </x:c>
      <x:c r="D81" s="79" t="n">
        <x:v>75</x:v>
      </x:c>
      <x:c r="E81" s="74" t="str">
        <x:v>V1.0</x:v>
      </x:c>
      <x:c r="F81" s="68" t="str">
        <x:v>六冲的有效修正按冲动冲弱冲散分级</x:v>
      </x:c>
      <x:c r="G81" s="82" t="str">
        <x:v>结构层</x:v>
      </x:c>
      <x:c r="H81" s="68" t="str">
        <x:v>M06六冲</x:v>
      </x:c>
      <x:c r="I81" s="68" t="str">
        <x:v>参与五行</x:v>
      </x:c>
      <x:c r="J81" s="68" t="str">
        <x:v>原始力量</x:v>
      </x:c>
      <x:c r="K81" s="68" t="str">
        <x:v>受冲</x:v>
      </x:c>
      <x:c r="L81" s="68" t="str">
        <x:v>按M06效应给予不同修正</x:v>
      </x:c>
      <x:c r="M81" s="82" t="str">
        <x:v>条件性</x:v>
      </x:c>
      <x:c r="N81" s="82" t="str">
        <x:v>强</x:v>
      </x:c>
      <x:c r="O81" s="82" t="str">
        <x:v>条件性</x:v>
      </x:c>
      <x:c r="P81" s="82" t="str">
        <x:v>条件性</x:v>
      </x:c>
      <x:c r="Q81" s="82" t="str">
        <x:v>条件性</x:v>
      </x:c>
      <x:c r="R81" s="82" t="str">
        <x:v>是</x:v>
      </x:c>
      <x:c r="S81" s="68" t="str">
        <x:v>前置模块已完成</x:v>
      </x:c>
      <x:c r="T81" s="68" t="str">
        <x:v>作用条件真实成立</x:v>
      </x:c>
      <x:c r="U81" s="68" t="str">
        <x:v>得令、有根、有援可增强</x:v>
      </x:c>
      <x:c r="V81" s="68" t="str">
        <x:v>失令、孤立或受制可削弱</x:v>
      </x:c>
      <x:c r="W81" s="90" t="str">
        <x:v>禁止用关系名称直接替代实际效应</x:v>
      </x:c>
      <x:c r="X81" s="68" t="str">
        <x:v>特殊格局与动态岁运另模块处理</x:v>
      </x:c>
      <x:c r="Y81" s="84" t="str">
        <x:v>按证据修正有效旺衰</x:v>
      </x:c>
      <x:c r="Z81" s="68" t="str">
        <x:v>不得直接推出喜忌用神</x:v>
      </x:c>
      <x:c r="AA81" s="84" t="str">
        <x:v>六冲分级修正</x:v>
      </x:c>
      <x:c r="AB81" s="84" t="str">
        <x:v>六冲只提供作用入口，必须按冲动、冲弱、冲散等效应分级调整。</x:v>
      </x:c>
      <x:c r="AC81" s="82" t="str">
        <x:v>较高</x:v>
      </x:c>
      <x:c r="AD81" s="82" t="str">
        <x:v>现代综合</x:v>
      </x:c>
      <x:c r="AE81" s="68" t="str">
        <x:v>有效力量必须承接原始力量与实际效应，逐对象、逐节点修正。</x:v>
      </x:c>
      <x:c r="AF81" s="68" t="str">
        <x:v>先判断实际效应、共享节点和双方强弱，再进入力量修正。</x:v>
      </x:c>
      <x:c r="AG81" s="90" t="str">
        <x:v>见关系名称即双方统一扣分。</x:v>
      </x:c>
      <x:c r="AH81" s="68" t="str">
        <x:v>https://zh.wikisource.org/zh-hans/滴天髓 ; https://zh.wikisource.org/zh-hans/淵海子平 ; https://zh.wikisource.org/wiki/三命通會</x:v>
      </x:c>
      <x:c r="AI81" s="82" t="str">
        <x:v>采用</x:v>
      </x:c>
      <x:c r="AJ81" s="82" t="str">
        <x:v>初审</x:v>
      </x:c>
      <x:c r="AK81" s="87" t="n">
        <x:v>46255</x:v>
      </x:c>
    </x:row>
    <x:row r="82">
      <x:c r="A82" s="72" t="str">
        <x:f>IF(OR(C82="",D82=""),"",B82&amp;"-"&amp;UPPER(C82)&amp;"-"&amp;TEXT(D82,"0000")&amp;"-"&amp;E82)</x:f>
        <x:v>M08-REL-0076-V1.0</x:v>
      </x:c>
      <x:c r="B82" s="74" t="str">
        <x:v>M08</x:v>
      </x:c>
      <x:c r="C82" s="74" t="str">
        <x:v>REL</x:v>
      </x:c>
      <x:c r="D82" s="79" t="n">
        <x:v>76</x:v>
      </x:c>
      <x:c r="E82" s="74" t="str">
        <x:v>V1.0</x:v>
      </x:c>
      <x:c r="F82" s="68" t="str">
        <x:v>冲旺成立时目标可能因被引动而作用增强</x:v>
      </x:c>
      <x:c r="G82" s="82" t="str">
        <x:v>结构层</x:v>
      </x:c>
      <x:c r="H82" s="68" t="str">
        <x:v>M06冲旺</x:v>
      </x:c>
      <x:c r="I82" s="68" t="str">
        <x:v>参与五行</x:v>
      </x:c>
      <x:c r="J82" s="68" t="str">
        <x:v>原始较旺</x:v>
      </x:c>
      <x:c r="K82" s="68" t="str">
        <x:v>受弱方冲击而被激发</x:v>
      </x:c>
      <x:c r="L82" s="68" t="str">
        <x:v>维持或提高可调用性并增加波动</x:v>
      </x:c>
      <x:c r="M82" s="82" t="str">
        <x:v>激活</x:v>
      </x:c>
      <x:c r="N82" s="82" t="str">
        <x:v>中</x:v>
      </x:c>
      <x:c r="O82" s="82" t="str">
        <x:v>条件性</x:v>
      </x:c>
      <x:c r="P82" s="82" t="str">
        <x:v>条件性</x:v>
      </x:c>
      <x:c r="Q82" s="82" t="str">
        <x:v>条件性</x:v>
      </x:c>
      <x:c r="R82" s="82" t="str">
        <x:v>是</x:v>
      </x:c>
      <x:c r="S82" s="68" t="str">
        <x:v>前置模块已完成</x:v>
      </x:c>
      <x:c r="T82" s="68" t="str">
        <x:v>作用条件真实成立</x:v>
      </x:c>
      <x:c r="U82" s="68" t="str">
        <x:v>得令、有根、有援可增强</x:v>
      </x:c>
      <x:c r="V82" s="68" t="str">
        <x:v>失令、孤立或受制可削弱</x:v>
      </x:c>
      <x:c r="W82" s="90" t="str">
        <x:v>禁止用关系名称直接替代实际效应</x:v>
      </x:c>
      <x:c r="X82" s="68" t="str">
        <x:v>特殊格局与动态岁运另模块处理</x:v>
      </x:c>
      <x:c r="Y82" s="84" t="str">
        <x:v>按证据修正有效旺衰</x:v>
      </x:c>
      <x:c r="Z82" s="68" t="str">
        <x:v>不得直接推出喜忌用神</x:v>
      </x:c>
      <x:c r="AA82" s="84" t="str">
        <x:v>冲旺</x:v>
      </x:c>
      <x:c r="AB82" s="84" t="str">
        <x:v>强势五行受冲若主要表现为引动，不必机械减弱。</x:v>
      </x:c>
      <x:c r="AC82" s="82" t="str">
        <x:v>较高</x:v>
      </x:c>
      <x:c r="AD82" s="82" t="str">
        <x:v>现代综合</x:v>
      </x:c>
      <x:c r="AE82" s="68" t="str">
        <x:v>有效力量必须承接原始力量与实际效应，逐对象、逐节点修正。</x:v>
      </x:c>
      <x:c r="AF82" s="68" t="str">
        <x:v>先判断实际效应、共享节点和双方强弱，再进入力量修正。</x:v>
      </x:c>
      <x:c r="AG82" s="90" t="str">
        <x:v>见关系名称即双方统一扣分。</x:v>
      </x:c>
      <x:c r="AH82" s="68" t="str">
        <x:v>https://zh.wikisource.org/zh-hans/滴天髓 ; https://zh.wikisource.org/zh-hans/淵海子平 ; https://zh.wikisource.org/wiki/三命通會</x:v>
      </x:c>
      <x:c r="AI82" s="82" t="str">
        <x:v>采用</x:v>
      </x:c>
      <x:c r="AJ82" s="82" t="str">
        <x:v>初审</x:v>
      </x:c>
      <x:c r="AK82" s="87" t="n">
        <x:v>46255</x:v>
      </x:c>
    </x:row>
    <x:row r="83">
      <x:c r="A83" s="72" t="str">
        <x:f>IF(OR(C83="",D83=""),"",B83&amp;"-"&amp;UPPER(C83)&amp;"-"&amp;TEXT(D83,"0000")&amp;"-"&amp;E83)</x:f>
        <x:v>M08-REL-0077-V1.0</x:v>
      </x:c>
      <x:c r="B83" s="74" t="str">
        <x:v>M08</x:v>
      </x:c>
      <x:c r="C83" s="74" t="str">
        <x:v>REL</x:v>
      </x:c>
      <x:c r="D83" s="79" t="n">
        <x:v>77</x:v>
      </x:c>
      <x:c r="E83" s="74" t="str">
        <x:v>V1.0</x:v>
      </x:c>
      <x:c r="F83" s="68" t="str">
        <x:v>冲弱时下调受损方并保留强方轻耗</x:v>
      </x:c>
      <x:c r="G83" s="82" t="str">
        <x:v>结构层</x:v>
      </x:c>
      <x:c r="H83" s="68" t="str">
        <x:v>M06冲弱</x:v>
      </x:c>
      <x:c r="I83" s="68" t="str">
        <x:v>参与五行</x:v>
      </x:c>
      <x:c r="J83" s="68" t="str">
        <x:v>强弱分明</x:v>
      </x:c>
      <x:c r="K83" s="68" t="str">
        <x:v>强支冲弱支</x:v>
      </x:c>
      <x:c r="L83" s="68" t="str">
        <x:v>弱方明显下调，强方轻度修正</x:v>
      </x:c>
      <x:c r="M83" s="82" t="str">
        <x:v>减弱</x:v>
      </x:c>
      <x:c r="N83" s="82" t="str">
        <x:v>强</x:v>
      </x:c>
      <x:c r="O83" s="82" t="str">
        <x:v>条件性</x:v>
      </x:c>
      <x:c r="P83" s="82" t="str">
        <x:v>条件性</x:v>
      </x:c>
      <x:c r="Q83" s="82" t="str">
        <x:v>条件性</x:v>
      </x:c>
      <x:c r="R83" s="82" t="str">
        <x:v>是</x:v>
      </x:c>
      <x:c r="S83" s="68" t="str">
        <x:v>前置模块已完成</x:v>
      </x:c>
      <x:c r="T83" s="68" t="str">
        <x:v>作用条件真实成立</x:v>
      </x:c>
      <x:c r="U83" s="68" t="str">
        <x:v>得令、有根、有援可增强</x:v>
      </x:c>
      <x:c r="V83" s="68" t="str">
        <x:v>失令、孤立或受制可削弱</x:v>
      </x:c>
      <x:c r="W83" s="90" t="str">
        <x:v>禁止用关系名称直接替代实际效应</x:v>
      </x:c>
      <x:c r="X83" s="68" t="str">
        <x:v>特殊格局与动态岁运另模块处理</x:v>
      </x:c>
      <x:c r="Y83" s="84" t="str">
        <x:v>按证据修正有效旺衰</x:v>
      </x:c>
      <x:c r="Z83" s="68" t="str">
        <x:v>不得直接推出喜忌用神</x:v>
      </x:c>
      <x:c r="AA83" s="84" t="str">
        <x:v>强冲弱</x:v>
      </x:c>
      <x:c r="AB83" s="84" t="str">
        <x:v>强冲弱时主要损伤落在弱方，但强方也可能有轻度耗损。</x:v>
      </x:c>
      <x:c r="AC83" s="82" t="str">
        <x:v>较高</x:v>
      </x:c>
      <x:c r="AD83" s="82" t="str">
        <x:v>现代综合</x:v>
      </x:c>
      <x:c r="AE83" s="68" t="str">
        <x:v>有效力量必须承接原始力量与实际效应，逐对象、逐节点修正。</x:v>
      </x:c>
      <x:c r="AF83" s="68" t="str">
        <x:v>先判断实际效应、共享节点和双方强弱，再进入力量修正。</x:v>
      </x:c>
      <x:c r="AG83" s="90" t="str">
        <x:v>见关系名称即双方统一扣分。</x:v>
      </x:c>
      <x:c r="AH83" s="68" t="str">
        <x:v>https://zh.wikisource.org/zh-hans/滴天髓 ; https://zh.wikisource.org/zh-hans/淵海子平 ; https://zh.wikisource.org/wiki/三命通會</x:v>
      </x:c>
      <x:c r="AI83" s="82" t="str">
        <x:v>采用</x:v>
      </x:c>
      <x:c r="AJ83" s="82" t="str">
        <x:v>初审</x:v>
      </x:c>
      <x:c r="AK83" s="87" t="n">
        <x:v>46255</x:v>
      </x:c>
    </x:row>
    <x:row r="84">
      <x:c r="A84" s="72" t="str">
        <x:f>IF(OR(C84="",D84=""),"",B84&amp;"-"&amp;UPPER(C84)&amp;"-"&amp;TEXT(D84,"0000")&amp;"-"&amp;E84)</x:f>
        <x:v>M08-REL-0078-V1.0</x:v>
      </x:c>
      <x:c r="B84" s="74" t="str">
        <x:v>M08</x:v>
      </x:c>
      <x:c r="C84" s="74" t="str">
        <x:v>REL</x:v>
      </x:c>
      <x:c r="D84" s="79" t="n">
        <x:v>78</x:v>
      </x:c>
      <x:c r="E84" s="74" t="str">
        <x:v>V1.0</x:v>
      </x:c>
      <x:c r="F84" s="68" t="str">
        <x:v>势均冲战主要破坏稳定与流通</x:v>
      </x:c>
      <x:c r="G84" s="82" t="str">
        <x:v>结构层</x:v>
      </x:c>
      <x:c r="H84" s="68" t="str">
        <x:v>M06六冲</x:v>
      </x:c>
      <x:c r="I84" s="68" t="str">
        <x:v>参与五行</x:v>
      </x:c>
      <x:c r="J84" s="68" t="str">
        <x:v>双方有根有势</x:v>
      </x:c>
      <x:c r="K84" s="68" t="str">
        <x:v>对冲</x:v>
      </x:c>
      <x:c r="L84" s="68" t="str">
        <x:v>双方适度耗损并提高阻断</x:v>
      </x:c>
      <x:c r="M84" s="82" t="str">
        <x:v>阻断</x:v>
      </x:c>
      <x:c r="N84" s="82" t="str">
        <x:v>中</x:v>
      </x:c>
      <x:c r="O84" s="82" t="str">
        <x:v>条件性</x:v>
      </x:c>
      <x:c r="P84" s="82" t="str">
        <x:v>条件性</x:v>
      </x:c>
      <x:c r="Q84" s="82" t="str">
        <x:v>条件性</x:v>
      </x:c>
      <x:c r="R84" s="82" t="str">
        <x:v>是</x:v>
      </x:c>
      <x:c r="S84" s="68" t="str">
        <x:v>前置模块已完成</x:v>
      </x:c>
      <x:c r="T84" s="68" t="str">
        <x:v>作用条件真实成立</x:v>
      </x:c>
      <x:c r="U84" s="68" t="str">
        <x:v>得令、有根、有援可增强</x:v>
      </x:c>
      <x:c r="V84" s="68" t="str">
        <x:v>失令、孤立或受制可削弱</x:v>
      </x:c>
      <x:c r="W84" s="90" t="str">
        <x:v>禁止用关系名称直接替代实际效应</x:v>
      </x:c>
      <x:c r="X84" s="68" t="str">
        <x:v>特殊格局与动态岁运另模块处理</x:v>
      </x:c>
      <x:c r="Y84" s="84" t="str">
        <x:v>按证据修正有效旺衰</x:v>
      </x:c>
      <x:c r="Z84" s="68" t="str">
        <x:v>不得直接推出喜忌用神</x:v>
      </x:c>
      <x:c r="AA84" s="84" t="str">
        <x:v>势均对战</x:v>
      </x:c>
      <x:c r="AB84" s="84" t="str">
        <x:v>势均相冲通常体现持续对战与流通受阻，而非一方消失。</x:v>
      </x:c>
      <x:c r="AC84" s="82" t="str">
        <x:v>较高</x:v>
      </x:c>
      <x:c r="AD84" s="82" t="str">
        <x:v>现代综合</x:v>
      </x:c>
      <x:c r="AE84" s="68" t="str">
        <x:v>有效力量必须承接原始力量与实际效应，逐对象、逐节点修正。</x:v>
      </x:c>
      <x:c r="AF84" s="68" t="str">
        <x:v>先判断实际效应、共享节点和双方强弱，再进入力量修正。</x:v>
      </x:c>
      <x:c r="AG84" s="90" t="str">
        <x:v>见关系名称即双方统一扣分。</x:v>
      </x:c>
      <x:c r="AH84" s="68" t="str">
        <x:v>https://zh.wikisource.org/zh-hans/滴天髓 ; https://zh.wikisource.org/zh-hans/淵海子平 ; https://zh.wikisource.org/wiki/三命通會</x:v>
      </x:c>
      <x:c r="AI84" s="82" t="str">
        <x:v>采用</x:v>
      </x:c>
      <x:c r="AJ84" s="82" t="str">
        <x:v>初审</x:v>
      </x:c>
      <x:c r="AK84" s="87" t="n">
        <x:v>46255</x:v>
      </x:c>
    </x:row>
    <x:row r="85">
      <x:c r="A85" s="72" t="str">
        <x:f>IF(OR(C85="",D85=""),"",B85&amp;"-"&amp;UPPER(C85)&amp;"-"&amp;TEXT(D85,"0000")&amp;"-"&amp;E85)</x:f>
        <x:v>M08-REL-0079-V1.0</x:v>
      </x:c>
      <x:c r="B85" s="74" t="str">
        <x:v>M08</x:v>
      </x:c>
      <x:c r="C85" s="74" t="str">
        <x:v>REL</x:v>
      </x:c>
      <x:c r="D85" s="79" t="n">
        <x:v>79</x:v>
      </x:c>
      <x:c r="E85" s="74" t="str">
        <x:v>V1.0</x:v>
      </x:c>
      <x:c r="F85" s="68" t="str">
        <x:v>三刑完整结构必须逐支修正</x:v>
      </x:c>
      <x:c r="G85" s="82" t="str">
        <x:v>结构层</x:v>
      </x:c>
      <x:c r="H85" s="68" t="str">
        <x:v>M06三刑</x:v>
      </x:c>
      <x:c r="I85" s="68" t="str">
        <x:v>参与五行</x:v>
      </x:c>
      <x:c r="J85" s="68" t="str">
        <x:v>多支参与</x:v>
      </x:c>
      <x:c r="K85" s="68" t="str">
        <x:v>三刑完整</x:v>
      </x:c>
      <x:c r="L85" s="68" t="str">
        <x:v>按每支得令根透与叠加关系分别修正</x:v>
      </x:c>
      <x:c r="M85" s="82" t="str">
        <x:v>条件性</x:v>
      </x:c>
      <x:c r="N85" s="82" t="str">
        <x:v>中</x:v>
      </x:c>
      <x:c r="O85" s="82" t="str">
        <x:v>条件性</x:v>
      </x:c>
      <x:c r="P85" s="82" t="str">
        <x:v>条件性</x:v>
      </x:c>
      <x:c r="Q85" s="82" t="str">
        <x:v>条件性</x:v>
      </x:c>
      <x:c r="R85" s="82" t="str">
        <x:v>是</x:v>
      </x:c>
      <x:c r="S85" s="68" t="str">
        <x:v>前置模块已完成</x:v>
      </x:c>
      <x:c r="T85" s="68" t="str">
        <x:v>作用条件真实成立</x:v>
      </x:c>
      <x:c r="U85" s="68" t="str">
        <x:v>得令、有根、有援可增强</x:v>
      </x:c>
      <x:c r="V85" s="68" t="str">
        <x:v>失令、孤立或受制可削弱</x:v>
      </x:c>
      <x:c r="W85" s="90" t="str">
        <x:v>禁止用关系名称直接替代实际效应</x:v>
      </x:c>
      <x:c r="X85" s="68" t="str">
        <x:v>特殊格局与动态岁运另模块处理</x:v>
      </x:c>
      <x:c r="Y85" s="84" t="str">
        <x:v>按证据修正有效旺衰</x:v>
      </x:c>
      <x:c r="Z85" s="68" t="str">
        <x:v>不得直接推出喜忌用神</x:v>
      </x:c>
      <x:c r="AA85" s="84" t="str">
        <x:v>三刑逐支</x:v>
      </x:c>
      <x:c r="AB85" s="84" t="str">
        <x:v>三刑完整只说明结构压力，实际力量必须逐支判断。</x:v>
      </x:c>
      <x:c r="AC85" s="82" t="str">
        <x:v>较高</x:v>
      </x:c>
      <x:c r="AD85" s="82" t="str">
        <x:v>现代综合</x:v>
      </x:c>
      <x:c r="AE85" s="68" t="str">
        <x:v>有效力量必须承接原始力量与实际效应，逐对象、逐节点修正。</x:v>
      </x:c>
      <x:c r="AF85" s="68" t="str">
        <x:v>先判断实际效应、共享节点和双方强弱，再进入力量修正。</x:v>
      </x:c>
      <x:c r="AG85" s="90" t="str">
        <x:v>见关系名称即双方统一扣分。</x:v>
      </x:c>
      <x:c r="AH85" s="68" t="str">
        <x:v>https://zh.wikisource.org/zh-hans/滴天髓 ; https://zh.wikisource.org/zh-hans/淵海子平 ; https://zh.wikisource.org/wiki/三命通會</x:v>
      </x:c>
      <x:c r="AI85" s="82" t="str">
        <x:v>采用</x:v>
      </x:c>
      <x:c r="AJ85" s="82" t="str">
        <x:v>初审</x:v>
      </x:c>
      <x:c r="AK85" s="87" t="n">
        <x:v>46255</x:v>
      </x:c>
    </x:row>
    <x:row r="86">
      <x:c r="A86" s="72" t="str">
        <x:f>IF(OR(C86="",D86=""),"",B86&amp;"-"&amp;UPPER(C86)&amp;"-"&amp;TEXT(D86,"0000")&amp;"-"&amp;E86)</x:f>
        <x:v>M08-REL-0080-V1.0</x:v>
      </x:c>
      <x:c r="B86" s="74" t="str">
        <x:v>M08</x:v>
      </x:c>
      <x:c r="C86" s="74" t="str">
        <x:v>REL</x:v>
      </x:c>
      <x:c r="D86" s="79" t="n">
        <x:v>80</x:v>
      </x:c>
      <x:c r="E86" s="74" t="str">
        <x:v>V1.0</x:v>
      </x:c>
      <x:c r="F86" s="68" t="str">
        <x:v>自刑默认优先修正稳定性而非基础力量</x:v>
      </x:c>
      <x:c r="G86" s="82" t="str">
        <x:v>结构层</x:v>
      </x:c>
      <x:c r="H86" s="68" t="str">
        <x:v>M06自刑</x:v>
      </x:c>
      <x:c r="I86" s="68" t="str">
        <x:v>参与五行</x:v>
      </x:c>
      <x:c r="J86" s="68" t="str">
        <x:v>重复同支</x:v>
      </x:c>
      <x:c r="K86" s="68" t="str">
        <x:v>自刑触发</x:v>
      </x:c>
      <x:c r="L86" s="68" t="str">
        <x:v>提高壅滞与反复标签，力量低度修正</x:v>
      </x:c>
      <x:c r="M86" s="82" t="str">
        <x:v>减弱</x:v>
      </x:c>
      <x:c r="N86" s="82" t="str">
        <x:v>弱</x:v>
      </x:c>
      <x:c r="O86" s="82" t="str">
        <x:v>条件性</x:v>
      </x:c>
      <x:c r="P86" s="82" t="str">
        <x:v>条件性</x:v>
      </x:c>
      <x:c r="Q86" s="82" t="str">
        <x:v>条件性</x:v>
      </x:c>
      <x:c r="R86" s="82" t="str">
        <x:v>是</x:v>
      </x:c>
      <x:c r="S86" s="68" t="str">
        <x:v>前置模块已完成</x:v>
      </x:c>
      <x:c r="T86" s="68" t="str">
        <x:v>作用条件真实成立</x:v>
      </x:c>
      <x:c r="U86" s="68" t="str">
        <x:v>得令、有根、有援可增强</x:v>
      </x:c>
      <x:c r="V86" s="68" t="str">
        <x:v>失令、孤立或受制可削弱</x:v>
      </x:c>
      <x:c r="W86" s="90" t="str">
        <x:v>禁止用关系名称直接替代实际效应</x:v>
      </x:c>
      <x:c r="X86" s="68" t="str">
        <x:v>特殊格局与动态岁运另模块处理</x:v>
      </x:c>
      <x:c r="Y86" s="84" t="str">
        <x:v>按证据修正有效旺衰</x:v>
      </x:c>
      <x:c r="Z86" s="68" t="str">
        <x:v>不得直接推出喜忌用神</x:v>
      </x:c>
      <x:c r="AA86" s="84" t="str">
        <x:v>自刑稳定性</x:v>
      </x:c>
      <x:c r="AB86" s="84" t="str">
        <x:v>自刑默认优先表现为稳定性和流通问题，而不是机械大幅扣减。</x:v>
      </x:c>
      <x:c r="AC86" s="82" t="str">
        <x:v>中等</x:v>
      </x:c>
      <x:c r="AD86" s="82" t="str">
        <x:v>现代综合</x:v>
      </x:c>
      <x:c r="AE86" s="68" t="str">
        <x:v>有效力量必须承接原始力量与实际效应，逐对象、逐节点修正。</x:v>
      </x:c>
      <x:c r="AF86" s="68" t="str">
        <x:v>先判断实际效应、共享节点和双方强弱，再进入力量修正。</x:v>
      </x:c>
      <x:c r="AG86" s="90" t="str">
        <x:v>见关系名称即双方统一扣分。</x:v>
      </x:c>
      <x:c r="AH86" s="68" t="str">
        <x:v>https://zh.wikisource.org/zh-hans/滴天髓 ; https://zh.wikisource.org/zh-hans/淵海子平 ; https://zh.wikisource.org/wiki/三命通會</x:v>
      </x:c>
      <x:c r="AI86" s="82" t="str">
        <x:v>待验证</x:v>
      </x:c>
      <x:c r="AJ86" s="82" t="str">
        <x:v>初审</x:v>
      </x:c>
      <x:c r="AK86" s="87" t="n">
        <x:v>46255</x:v>
      </x:c>
    </x:row>
    <x:row r="87">
      <x:c r="A87" s="72" t="str">
        <x:f>IF(OR(C87="",D87=""),"",B87&amp;"-"&amp;UPPER(C87)&amp;"-"&amp;TEXT(D87,"0000")&amp;"-"&amp;E87)</x:f>
        <x:v>M08-REL-0081-V1.0</x:v>
      </x:c>
      <x:c r="B87" s="74" t="str">
        <x:v>M08</x:v>
      </x:c>
      <x:c r="C87" s="74" t="str">
        <x:v>REL</x:v>
      </x:c>
      <x:c r="D87" s="79" t="n">
        <x:v>81</x:v>
      </x:c>
      <x:c r="E87" s="74" t="str">
        <x:v>V1.0</x:v>
      </x:c>
      <x:c r="F87" s="68" t="str">
        <x:v>六害对力量的直接修正通常低于六冲</x:v>
      </x:c>
      <x:c r="G87" s="82" t="str">
        <x:v>结构层</x:v>
      </x:c>
      <x:c r="H87" s="68" t="str">
        <x:v>M06六害</x:v>
      </x:c>
      <x:c r="I87" s="68" t="str">
        <x:v>参与五行</x:v>
      </x:c>
      <x:c r="J87" s="68" t="str">
        <x:v>任意</x:v>
      </x:c>
      <x:c r="K87" s="68" t="str">
        <x:v>六害</x:v>
      </x:c>
      <x:c r="L87" s="68" t="str">
        <x:v>默认轻度制约，破坏通道时升级</x:v>
      </x:c>
      <x:c r="M87" s="82" t="str">
        <x:v>减弱</x:v>
      </x:c>
      <x:c r="N87" s="82" t="str">
        <x:v>弱</x:v>
      </x:c>
      <x:c r="O87" s="82" t="str">
        <x:v>条件性</x:v>
      </x:c>
      <x:c r="P87" s="82" t="str">
        <x:v>条件性</x:v>
      </x:c>
      <x:c r="Q87" s="82" t="str">
        <x:v>条件性</x:v>
      </x:c>
      <x:c r="R87" s="82" t="str">
        <x:v>是</x:v>
      </x:c>
      <x:c r="S87" s="68" t="str">
        <x:v>前置模块已完成</x:v>
      </x:c>
      <x:c r="T87" s="68" t="str">
        <x:v>作用条件真实成立</x:v>
      </x:c>
      <x:c r="U87" s="68" t="str">
        <x:v>得令、有根、有援可增强</x:v>
      </x:c>
      <x:c r="V87" s="68" t="str">
        <x:v>失令、孤立或受制可削弱</x:v>
      </x:c>
      <x:c r="W87" s="90" t="str">
        <x:v>禁止用关系名称直接替代实际效应</x:v>
      </x:c>
      <x:c r="X87" s="68" t="str">
        <x:v>特殊格局与动态岁运另模块处理</x:v>
      </x:c>
      <x:c r="Y87" s="84" t="str">
        <x:v>按证据修正有效旺衰</x:v>
      </x:c>
      <x:c r="Z87" s="68" t="str">
        <x:v>不得直接推出喜忌用神</x:v>
      </x:c>
      <x:c r="AA87" s="84" t="str">
        <x:v>六害低权重</x:v>
      </x:c>
      <x:c r="AB87" s="84" t="str">
        <x:v>六害在力量层通常只作低权重修正，切断生源或桥梁时才升级。</x:v>
      </x:c>
      <x:c r="AC87" s="82" t="str">
        <x:v>中等</x:v>
      </x:c>
      <x:c r="AD87" s="82" t="str">
        <x:v>现代综合</x:v>
      </x:c>
      <x:c r="AE87" s="68" t="str">
        <x:v>有效力量必须承接原始力量与实际效应，逐对象、逐节点修正。</x:v>
      </x:c>
      <x:c r="AF87" s="68" t="str">
        <x:v>先判断实际效应、共享节点和双方强弱，再进入力量修正。</x:v>
      </x:c>
      <x:c r="AG87" s="90" t="str">
        <x:v>见关系名称即双方统一扣分。</x:v>
      </x:c>
      <x:c r="AH87" s="68" t="str">
        <x:v>https://zh.wikisource.org/zh-hans/滴天髓 ; https://zh.wikisource.org/zh-hans/淵海子平 ; https://zh.wikisource.org/wiki/三命通會</x:v>
      </x:c>
      <x:c r="AI87" s="82" t="str">
        <x:v>待验证</x:v>
      </x:c>
      <x:c r="AJ87" s="82" t="str">
        <x:v>初审</x:v>
      </x:c>
      <x:c r="AK87" s="87" t="n">
        <x:v>46255</x:v>
      </x:c>
    </x:row>
    <x:row r="88">
      <x:c r="A88" s="72" t="str">
        <x:f>IF(OR(C88="",D88=""),"",B88&amp;"-"&amp;UPPER(C88)&amp;"-"&amp;TEXT(D88,"0000")&amp;"-"&amp;E88)</x:f>
        <x:v>M08-REL-0082-V1.0</x:v>
      </x:c>
      <x:c r="B88" s="74" t="str">
        <x:v>M08</x:v>
      </x:c>
      <x:c r="C88" s="74" t="str">
        <x:v>REL</x:v>
      </x:c>
      <x:c r="D88" s="79" t="n">
        <x:v>82</x:v>
      </x:c>
      <x:c r="E88" s="74" t="str">
        <x:v>V1.0</x:v>
      </x:c>
      <x:c r="F88" s="68" t="str">
        <x:v>六破主要修正结构连接稳定性</x:v>
      </x:c>
      <x:c r="G88" s="82" t="str">
        <x:v>结构层</x:v>
      </x:c>
      <x:c r="H88" s="68" t="str">
        <x:v>M06六破</x:v>
      </x:c>
      <x:c r="I88" s="68" t="str">
        <x:v>参与五行</x:v>
      </x:c>
      <x:c r="J88" s="68" t="str">
        <x:v>任意</x:v>
      </x:c>
      <x:c r="K88" s="68" t="str">
        <x:v>六破</x:v>
      </x:c>
      <x:c r="L88" s="68" t="str">
        <x:v>默认不直接大幅改变总量</x:v>
      </x:c>
      <x:c r="M88" s="82" t="str">
        <x:v>阻断</x:v>
      </x:c>
      <x:c r="N88" s="82" t="str">
        <x:v>弱</x:v>
      </x:c>
      <x:c r="O88" s="82" t="str">
        <x:v>条件性</x:v>
      </x:c>
      <x:c r="P88" s="82" t="str">
        <x:v>条件性</x:v>
      </x:c>
      <x:c r="Q88" s="82" t="str">
        <x:v>条件性</x:v>
      </x:c>
      <x:c r="R88" s="82" t="str">
        <x:v>是</x:v>
      </x:c>
      <x:c r="S88" s="68" t="str">
        <x:v>前置模块已完成</x:v>
      </x:c>
      <x:c r="T88" s="68" t="str">
        <x:v>作用条件真实成立</x:v>
      </x:c>
      <x:c r="U88" s="68" t="str">
        <x:v>得令、有根、有援可增强</x:v>
      </x:c>
      <x:c r="V88" s="68" t="str">
        <x:v>失令、孤立或受制可削弱</x:v>
      </x:c>
      <x:c r="W88" s="90" t="str">
        <x:v>禁止用关系名称直接替代实际效应</x:v>
      </x:c>
      <x:c r="X88" s="68" t="str">
        <x:v>特殊格局与动态岁运另模块处理</x:v>
      </x:c>
      <x:c r="Y88" s="84" t="str">
        <x:v>按证据修正有效旺衰</x:v>
      </x:c>
      <x:c r="Z88" s="68" t="str">
        <x:v>不得直接推出喜忌用神</x:v>
      </x:c>
      <x:c r="AA88" s="84" t="str">
        <x:v>六破结构修正</x:v>
      </x:c>
      <x:c r="AB88" s="84" t="str">
        <x:v>六破主要用于修正结构连接与合局稳定性，对总量低权重处理。</x:v>
      </x:c>
      <x:c r="AC88" s="82" t="str">
        <x:v>中等</x:v>
      </x:c>
      <x:c r="AD88" s="82" t="str">
        <x:v>现代综合</x:v>
      </x:c>
      <x:c r="AE88" s="68" t="str">
        <x:v>有效力量必须承接原始力量与实际效应，逐对象、逐节点修正。</x:v>
      </x:c>
      <x:c r="AF88" s="68" t="str">
        <x:v>先判断实际效应、共享节点和双方强弱，再进入力量修正。</x:v>
      </x:c>
      <x:c r="AG88" s="90" t="str">
        <x:v>见关系名称即双方统一扣分。</x:v>
      </x:c>
      <x:c r="AH88" s="68" t="str">
        <x:v>https://zh.wikisource.org/zh-hans/滴天髓 ; https://zh.wikisource.org/zh-hans/淵海子平 ; https://zh.wikisource.org/wiki/三命通會</x:v>
      </x:c>
      <x:c r="AI88" s="82" t="str">
        <x:v>待验证</x:v>
      </x:c>
      <x:c r="AJ88" s="82" t="str">
        <x:v>初审</x:v>
      </x:c>
      <x:c r="AK88" s="87" t="n">
        <x:v>46255</x:v>
      </x:c>
    </x:row>
    <x:row r="89">
      <x:c r="A89" s="72" t="str">
        <x:f>IF(OR(C89="",D89=""),"",B89&amp;"-"&amp;UPPER(C89)&amp;"-"&amp;TEXT(D89,"0000")&amp;"-"&amp;E89)</x:f>
        <x:v>M08-REL-0083-V1.0</x:v>
      </x:c>
      <x:c r="B89" s="74" t="str">
        <x:v>M08</x:v>
      </x:c>
      <x:c r="C89" s="74" t="str">
        <x:v>REL</x:v>
      </x:c>
      <x:c r="D89" s="79" t="n">
        <x:v>83</x:v>
      </x:c>
      <x:c r="E89" s="74" t="str">
        <x:v>V1.0</x:v>
      </x:c>
      <x:c r="F89" s="68" t="str">
        <x:v>多重关系叠加先去重同源再判断协同或抵消</x:v>
      </x:c>
      <x:c r="G89" s="82" t="str">
        <x:v>结构层</x:v>
      </x:c>
      <x:c r="H89" s="68" t="str">
        <x:v>M06多重关系</x:v>
      </x:c>
      <x:c r="I89" s="68" t="str">
        <x:v>参与五行</x:v>
      </x:c>
      <x:c r="J89" s="68" t="str">
        <x:v>多关系</x:v>
      </x:c>
      <x:c r="K89" s="68" t="str">
        <x:v>合冲刑害破并见</x:v>
      </x:c>
      <x:c r="L89" s="68" t="str">
        <x:v>同源去重、独立效应净额叠加</x:v>
      </x:c>
      <x:c r="M89" s="82" t="str">
        <x:v>条件性</x:v>
      </x:c>
      <x:c r="N89" s="82" t="str">
        <x:v>强</x:v>
      </x:c>
      <x:c r="O89" s="82" t="str">
        <x:v>条件性</x:v>
      </x:c>
      <x:c r="P89" s="82" t="str">
        <x:v>条件性</x:v>
      </x:c>
      <x:c r="Q89" s="82" t="str">
        <x:v>条件性</x:v>
      </x:c>
      <x:c r="R89" s="82" t="str">
        <x:v>是</x:v>
      </x:c>
      <x:c r="S89" s="68" t="str">
        <x:v>前置模块已完成</x:v>
      </x:c>
      <x:c r="T89" s="68" t="str">
        <x:v>作用条件真实成立</x:v>
      </x:c>
      <x:c r="U89" s="68" t="str">
        <x:v>得令、有根、有援可增强</x:v>
      </x:c>
      <x:c r="V89" s="68" t="str">
        <x:v>失令、孤立或受制可削弱</x:v>
      </x:c>
      <x:c r="W89" s="90" t="str">
        <x:v>禁止用关系名称直接替代实际效应</x:v>
      </x:c>
      <x:c r="X89" s="68" t="str">
        <x:v>特殊格局与动态岁运另模块处理</x:v>
      </x:c>
      <x:c r="Y89" s="84" t="str">
        <x:v>按证据修正有效旺衰</x:v>
      </x:c>
      <x:c r="Z89" s="68" t="str">
        <x:v>不得直接推出喜忌用神</x:v>
      </x:c>
      <x:c r="AA89" s="84" t="str">
        <x:v>多重关系净效应</x:v>
      </x:c>
      <x:c r="AB89" s="84" t="str">
        <x:v>多重关系应先去重共享事实，再判断独立效应是协同还是抵消。</x:v>
      </x:c>
      <x:c r="AC89" s="82" t="str">
        <x:v>较高</x:v>
      </x:c>
      <x:c r="AD89" s="82" t="str">
        <x:v>现代综合</x:v>
      </x:c>
      <x:c r="AE89" s="68" t="str">
        <x:v>有效力量必须承接原始力量与实际效应，逐对象、逐节点修正。</x:v>
      </x:c>
      <x:c r="AF89" s="68" t="str">
        <x:v>先判断实际效应、共享节点和双方强弱，再进入力量修正。</x:v>
      </x:c>
      <x:c r="AG89" s="90" t="str">
        <x:v>见关系名称即双方统一扣分。</x:v>
      </x:c>
      <x:c r="AH89" s="68" t="str">
        <x:v>https://zh.wikisource.org/zh-hans/滴天髓 ; https://zh.wikisource.org/zh-hans/淵海子平 ; https://zh.wikisource.org/wiki/三命通會</x:v>
      </x:c>
      <x:c r="AI89" s="82" t="str">
        <x:v>采用</x:v>
      </x:c>
      <x:c r="AJ89" s="82" t="str">
        <x:v>初审</x:v>
      </x:c>
      <x:c r="AK89" s="87" t="n">
        <x:v>46255</x:v>
      </x:c>
    </x:row>
    <x:row r="90">
      <x:c r="A90" s="72" t="str">
        <x:f>IF(OR(C90="",D90=""),"",B90&amp;"-"&amp;UPPER(C90)&amp;"-"&amp;TEXT(D90,"0000")&amp;"-"&amp;E90)</x:f>
        <x:v>M08-REL-0084-V1.0</x:v>
      </x:c>
      <x:c r="B90" s="74" t="str">
        <x:v>M08</x:v>
      </x:c>
      <x:c r="C90" s="74" t="str">
        <x:v>REL</x:v>
      </x:c>
      <x:c r="D90" s="79" t="n">
        <x:v>84</x:v>
      </x:c>
      <x:c r="E90" s="74" t="str">
        <x:v>V1.0</x:v>
      </x:c>
      <x:c r="F90" s="68" t="str">
        <x:v>合冲并见时需先裁决主导关系</x:v>
      </x:c>
      <x:c r="G90" s="82" t="str">
        <x:v>结构层</x:v>
      </x:c>
      <x:c r="H90" s="68" t="str">
        <x:v>M06合冲并见</x:v>
      </x:c>
      <x:c r="I90" s="68" t="str">
        <x:v>参与五行</x:v>
      </x:c>
      <x:c r="J90" s="68" t="str">
        <x:v>关系叠加</x:v>
      </x:c>
      <x:c r="K90" s="68" t="str">
        <x:v>同一节点同时有合与冲</x:v>
      </x:c>
      <x:c r="L90" s="68" t="str">
        <x:v>按强弱重算双方有效性</x:v>
      </x:c>
      <x:c r="M90" s="82" t="str">
        <x:v>条件性</x:v>
      </x:c>
      <x:c r="N90" s="82" t="str">
        <x:v>强</x:v>
      </x:c>
      <x:c r="O90" s="82" t="str">
        <x:v>条件性</x:v>
      </x:c>
      <x:c r="P90" s="82" t="str">
        <x:v>条件性</x:v>
      </x:c>
      <x:c r="Q90" s="82" t="str">
        <x:v>条件性</x:v>
      </x:c>
      <x:c r="R90" s="82" t="str">
        <x:v>是</x:v>
      </x:c>
      <x:c r="S90" s="68" t="str">
        <x:v>前置模块已完成</x:v>
      </x:c>
      <x:c r="T90" s="68" t="str">
        <x:v>作用条件真实成立</x:v>
      </x:c>
      <x:c r="U90" s="68" t="str">
        <x:v>得令、有根、有援可增强</x:v>
      </x:c>
      <x:c r="V90" s="68" t="str">
        <x:v>失令、孤立或受制可削弱</x:v>
      </x:c>
      <x:c r="W90" s="90" t="str">
        <x:v>禁止用关系名称直接替代实际效应</x:v>
      </x:c>
      <x:c r="X90" s="68" t="str">
        <x:v>特殊格局与动态岁运另模块处理</x:v>
      </x:c>
      <x:c r="Y90" s="84" t="str">
        <x:v>按证据修正有效旺衰</x:v>
      </x:c>
      <x:c r="Z90" s="68" t="str">
        <x:v>不得直接推出喜忌用神</x:v>
      </x:c>
      <x:c r="AA90" s="84" t="str">
        <x:v>合冲裁决</x:v>
      </x:c>
      <x:c r="AB90" s="84" t="str">
        <x:v>合冲并见可能互相削弱或解开，不能简单累加减力。</x:v>
      </x:c>
      <x:c r="AC90" s="82" t="str">
        <x:v>较高</x:v>
      </x:c>
      <x:c r="AD90" s="82" t="str">
        <x:v>现代综合</x:v>
      </x:c>
      <x:c r="AE90" s="68" t="str">
        <x:v>有效力量必须承接原始力量与实际效应，逐对象、逐节点修正。</x:v>
      </x:c>
      <x:c r="AF90" s="68" t="str">
        <x:v>先判断实际效应、共享节点和双方强弱，再进入力量修正。</x:v>
      </x:c>
      <x:c r="AG90" s="90" t="str">
        <x:v>见关系名称即双方统一扣分。</x:v>
      </x:c>
      <x:c r="AH90" s="68" t="str">
        <x:v>https://zh.wikisource.org/zh-hans/滴天髓 ; https://zh.wikisource.org/zh-hans/淵海子平 ; https://zh.wikisource.org/wiki/三命通會</x:v>
      </x:c>
      <x:c r="AI90" s="82" t="str">
        <x:v>采用</x:v>
      </x:c>
      <x:c r="AJ90" s="82" t="str">
        <x:v>初审</x:v>
      </x:c>
      <x:c r="AK90" s="87" t="n">
        <x:v>46255</x:v>
      </x:c>
    </x:row>
    <x:row r="91">
      <x:c r="A91" s="72" t="str">
        <x:f>IF(OR(C91="",D91=""),"",B91&amp;"-"&amp;UPPER(C91)&amp;"-"&amp;TEXT(D91,"0000")&amp;"-"&amp;E91)</x:f>
        <x:v>M08-REL-0085-V1.0</x:v>
      </x:c>
      <x:c r="B91" s="74" t="str">
        <x:v>M08</x:v>
      </x:c>
      <x:c r="C91" s="74" t="str">
        <x:v>REL</x:v>
      </x:c>
      <x:c r="D91" s="79" t="n">
        <x:v>85</x:v>
      </x:c>
      <x:c r="E91" s="74" t="str">
        <x:v>V1.0</x:v>
      </x:c>
      <x:c r="F91" s="68" t="str">
        <x:v>刑冲并见且独立同向时可升级受损等级</x:v>
      </x:c>
      <x:c r="G91" s="82" t="str">
        <x:v>结构层</x:v>
      </x:c>
      <x:c r="H91" s="68" t="str">
        <x:v>M06刑冲并见</x:v>
      </x:c>
      <x:c r="I91" s="68" t="str">
        <x:v>参与五行</x:v>
      </x:c>
      <x:c r="J91" s="68" t="str">
        <x:v>根或节点受压</x:v>
      </x:c>
      <x:c r="K91" s="68" t="str">
        <x:v>独立刑伤与强冲共同作用</x:v>
      </x:c>
      <x:c r="L91" s="68" t="str">
        <x:v>排除同源后提高减力等级</x:v>
      </x:c>
      <x:c r="M91" s="82" t="str">
        <x:v>减弱</x:v>
      </x:c>
      <x:c r="N91" s="82" t="str">
        <x:v>强</x:v>
      </x:c>
      <x:c r="O91" s="82" t="str">
        <x:v>条件性</x:v>
      </x:c>
      <x:c r="P91" s="82" t="str">
        <x:v>条件性</x:v>
      </x:c>
      <x:c r="Q91" s="82" t="str">
        <x:v>条件性</x:v>
      </x:c>
      <x:c r="R91" s="82" t="str">
        <x:v>是</x:v>
      </x:c>
      <x:c r="S91" s="68" t="str">
        <x:v>前置模块已完成</x:v>
      </x:c>
      <x:c r="T91" s="68" t="str">
        <x:v>作用条件真实成立</x:v>
      </x:c>
      <x:c r="U91" s="68" t="str">
        <x:v>得令、有根、有援可增强</x:v>
      </x:c>
      <x:c r="V91" s="68" t="str">
        <x:v>失令、孤立或受制可削弱</x:v>
      </x:c>
      <x:c r="W91" s="90" t="str">
        <x:v>禁止用关系名称直接替代实际效应</x:v>
      </x:c>
      <x:c r="X91" s="68" t="str">
        <x:v>特殊格局与动态岁运另模块处理</x:v>
      </x:c>
      <x:c r="Y91" s="84" t="str">
        <x:v>按证据修正有效旺衰</x:v>
      </x:c>
      <x:c r="Z91" s="68" t="str">
        <x:v>不得直接推出喜忌用神</x:v>
      </x:c>
      <x:c r="AA91" s="84" t="str">
        <x:v>刑冲协同</x:v>
      </x:c>
      <x:c r="AB91" s="84" t="str">
        <x:v>独立刑伤与强冲方向一致时可升级损伤，但必须排除同源重复计权。</x:v>
      </x:c>
      <x:c r="AC91" s="82" t="str">
        <x:v>较高</x:v>
      </x:c>
      <x:c r="AD91" s="82" t="str">
        <x:v>现代综合</x:v>
      </x:c>
      <x:c r="AE91" s="68" t="str">
        <x:v>有效力量必须承接原始力量与实际效应，逐对象、逐节点修正。</x:v>
      </x:c>
      <x:c r="AF91" s="68" t="str">
        <x:v>先判断实际效应、共享节点和双方强弱，再进入力量修正。</x:v>
      </x:c>
      <x:c r="AG91" s="90" t="str">
        <x:v>见关系名称即双方统一扣分。</x:v>
      </x:c>
      <x:c r="AH91" s="68" t="str">
        <x:v>https://zh.wikisource.org/zh-hans/滴天髓 ; https://zh.wikisource.org/zh-hans/淵海子平 ; https://zh.wikisource.org/wiki/三命通會</x:v>
      </x:c>
      <x:c r="AI91" s="82" t="str">
        <x:v>采用</x:v>
      </x:c>
      <x:c r="AJ91" s="82" t="str">
        <x:v>初审</x:v>
      </x:c>
      <x:c r="AK91" s="87" t="n">
        <x:v>46255</x:v>
      </x:c>
    </x:row>
    <x:row r="92">
      <x:c r="A92" s="72" t="str">
        <x:f>IF(OR(C92="",D92=""),"",B92&amp;"-"&amp;UPPER(C92)&amp;"-"&amp;TEXT(D92,"0000")&amp;"-"&amp;E92)</x:f>
        <x:v>M08-REL-0086-V1.0</x:v>
      </x:c>
      <x:c r="B92" s="74" t="str">
        <x:v>M08</x:v>
      </x:c>
      <x:c r="C92" s="74" t="str">
        <x:v>REL</x:v>
      </x:c>
      <x:c r="D92" s="79" t="n">
        <x:v>86</x:v>
      </x:c>
      <x:c r="E92" s="74" t="str">
        <x:v>V1.0</x:v>
      </x:c>
      <x:c r="F92" s="68" t="str">
        <x:v>M08关系修正必须基于M06实际效应而非M05关系名</x:v>
      </x:c>
      <x:c r="G92" s="82" t="str">
        <x:v>结构层</x:v>
      </x:c>
      <x:c r="H92" s="68" t="str">
        <x:v>M08边界</x:v>
      </x:c>
      <x:c r="I92" s="68" t="str">
        <x:v>参与五行</x:v>
      </x:c>
      <x:c r="J92" s="68" t="str">
        <x:v>任意</x:v>
      </x:c>
      <x:c r="K92" s="68" t="str">
        <x:v>存在刑冲合会害破</x:v>
      </x:c>
      <x:c r="L92" s="68" t="str">
        <x:v>仅承接M06已判定效应</x:v>
      </x:c>
      <x:c r="M92" s="82" t="str">
        <x:v>不变</x:v>
      </x:c>
      <x:c r="N92" s="82" t="str">
        <x:v>弱</x:v>
      </x:c>
      <x:c r="O92" s="82" t="str">
        <x:v>条件性</x:v>
      </x:c>
      <x:c r="P92" s="82" t="str">
        <x:v>条件性</x:v>
      </x:c>
      <x:c r="Q92" s="82" t="str">
        <x:v>条件性</x:v>
      </x:c>
      <x:c r="R92" s="82" t="str">
        <x:v>是</x:v>
      </x:c>
      <x:c r="S92" s="68" t="str">
        <x:v>前置模块已完成</x:v>
      </x:c>
      <x:c r="T92" s="68" t="str">
        <x:v>作用条件真实成立</x:v>
      </x:c>
      <x:c r="U92" s="68" t="str">
        <x:v>得令、有根、有援可增强</x:v>
      </x:c>
      <x:c r="V92" s="68" t="str">
        <x:v>失令、孤立或受制可削弱</x:v>
      </x:c>
      <x:c r="W92" s="90" t="str">
        <x:v>禁止用关系名称直接替代实际效应</x:v>
      </x:c>
      <x:c r="X92" s="68" t="str">
        <x:v>特殊格局与动态岁运另模块处理</x:v>
      </x:c>
      <x:c r="Y92" s="84" t="str">
        <x:v>按证据修正有效旺衰</x:v>
      </x:c>
      <x:c r="Z92" s="68" t="str">
        <x:v>不得直接推出喜忌用神</x:v>
      </x:c>
      <x:c r="AA92" s="84" t="str">
        <x:v>效应接口</x:v>
      </x:c>
      <x:c r="AB92" s="84" t="str">
        <x:v>M08只接受M06的实际效应输出，不允许直接把M05关系名换算成力量增减。</x:v>
      </x:c>
      <x:c r="AC92" s="82" t="str">
        <x:v>较高</x:v>
      </x:c>
      <x:c r="AD92" s="82" t="str">
        <x:v>现代综合</x:v>
      </x:c>
      <x:c r="AE92" s="68" t="str">
        <x:v>有效力量必须承接原始力量与实际效应，逐对象、逐节点修正。</x:v>
      </x:c>
      <x:c r="AF92" s="68" t="str">
        <x:v>先判断实际效应、共享节点和双方强弱，再进入力量修正。</x:v>
      </x:c>
      <x:c r="AG92" s="90" t="str">
        <x:v>见关系名称即双方统一扣分。</x:v>
      </x:c>
      <x:c r="AH92" s="68" t="str">
        <x:v>https://zh.wikisource.org/zh-hans/滴天髓 ; https://zh.wikisource.org/zh-hans/淵海子平 ; https://zh.wikisource.org/wiki/三命通會</x:v>
      </x:c>
      <x:c r="AI92" s="82" t="str">
        <x:v>采用</x:v>
      </x:c>
      <x:c r="AJ92" s="82" t="str">
        <x:v>初审</x:v>
      </x:c>
      <x:c r="AK92" s="87" t="n">
        <x:v>46255</x:v>
      </x:c>
    </x:row>
    <x:row r="93">
      <x:c r="A93" s="72" t="str">
        <x:f>IF(OR(C93="",D93=""),"",B93&amp;"-"&amp;UPPER(C93)&amp;"-"&amp;TEXT(D93,"0000")&amp;"-"&amp;E93)</x:f>
        <x:v>M08-CLIM-0087-V1.0</x:v>
      </x:c>
      <x:c r="B93" s="74" t="str">
        <x:v>M08</x:v>
      </x:c>
      <x:c r="C93" s="74" t="str">
        <x:v>CLIM</x:v>
      </x:c>
      <x:c r="D93" s="79" t="n">
        <x:v>87</x:v>
      </x:c>
      <x:c r="E93" s="74" t="str">
        <x:v>V1.0</x:v>
      </x:c>
      <x:c r="F93" s="68" t="str">
        <x:v>极寒环境可降低火的有效发挥度</x:v>
      </x:c>
      <x:c r="G93" s="82" t="str">
        <x:v>结构层</x:v>
      </x:c>
      <x:c r="H93" s="68" t="str">
        <x:v>M13调候接口</x:v>
      </x:c>
      <x:c r="I93" s="68" t="str">
        <x:v>目标五行</x:v>
      </x:c>
      <x:c r="J93" s="68" t="str">
        <x:v>有火</x:v>
      </x:c>
      <x:c r="K93" s="68" t="str">
        <x:v>寒水成势且火无根无木生</x:v>
      </x:c>
      <x:c r="L93" s="68" t="str">
        <x:v>下调火的持续燃烧与显用能力</x:v>
      </x:c>
      <x:c r="M93" s="82" t="str">
        <x:v>减弱</x:v>
      </x:c>
      <x:c r="N93" s="82" t="str">
        <x:v>中</x:v>
      </x:c>
      <x:c r="O93" s="82" t="str">
        <x:v>条件性</x:v>
      </x:c>
      <x:c r="P93" s="82" t="str">
        <x:v>条件性</x:v>
      </x:c>
      <x:c r="Q93" s="82" t="str">
        <x:v>条件性</x:v>
      </x:c>
      <x:c r="R93" s="82" t="str">
        <x:v>是</x:v>
      </x:c>
      <x:c r="S93" s="68" t="str">
        <x:v>前置模块已完成</x:v>
      </x:c>
      <x:c r="T93" s="68" t="str">
        <x:v>作用条件真实成立</x:v>
      </x:c>
      <x:c r="U93" s="68" t="str">
        <x:v>得令、有根、有援可增强</x:v>
      </x:c>
      <x:c r="V93" s="68" t="str">
        <x:v>失令、孤立或受制可削弱</x:v>
      </x:c>
      <x:c r="W93" s="90" t="str">
        <x:v>禁止用关系名称直接替代实际效应</x:v>
      </x:c>
      <x:c r="X93" s="68" t="str">
        <x:v>特殊格局与动态岁运另模块处理</x:v>
      </x:c>
      <x:c r="Y93" s="84" t="str">
        <x:v>按证据修正有效旺衰</x:v>
      </x:c>
      <x:c r="Z93" s="68" t="str">
        <x:v>不得直接推出喜忌用神</x:v>
      </x:c>
      <x:c r="AA93" s="84" t="str">
        <x:v>寒抑火</x:v>
      </x:c>
      <x:c r="AB93" s="84" t="str">
        <x:v>极寒环境中孤弱之火的实际发挥度可能低于原始数量所显示。</x:v>
      </x:c>
      <x:c r="AC93" s="82" t="str">
        <x:v>中等</x:v>
      </x:c>
      <x:c r="AD93" s="82" t="str">
        <x:v>调候</x:v>
      </x:c>
      <x:c r="AE93" s="68" t="str">
        <x:v>有效力量必须承接原始力量与实际效应，逐对象、逐节点修正。</x:v>
      </x:c>
      <x:c r="AF93" s="68" t="str">
        <x:v>只有寒暖燥湿证据明确且真正影响生化时才修正。</x:v>
      </x:c>
      <x:c r="AG93" s="90" t="str">
        <x:v>按季节固定给某五行加减分或直接定用神。</x:v>
      </x:c>
      <x:c r="AH93" s="68" t="str">
        <x:v>https://zh.wikisource.org/zh-hans/滴天髓 ; https://zh.wikisource.org/zh-hans/淵海子平 ; https://zh.wikisource.org/wiki/三命通會</x:v>
      </x:c>
      <x:c r="AI93" s="82" t="str">
        <x:v>采用</x:v>
      </x:c>
      <x:c r="AJ93" s="82" t="str">
        <x:v>初审</x:v>
      </x:c>
      <x:c r="AK93" s="87" t="n">
        <x:v>46255</x:v>
      </x:c>
    </x:row>
    <x:row r="94">
      <x:c r="A94" s="72" t="str">
        <x:f>IF(OR(C94="",D94=""),"",B94&amp;"-"&amp;UPPER(C94)&amp;"-"&amp;TEXT(D94,"0000")&amp;"-"&amp;E94)</x:f>
        <x:v>M08-CLIM-0088-V1.0</x:v>
      </x:c>
      <x:c r="B94" s="74" t="str">
        <x:v>M08</x:v>
      </x:c>
      <x:c r="C94" s="74" t="str">
        <x:v>CLIM</x:v>
      </x:c>
      <x:c r="D94" s="79" t="n">
        <x:v>88</x:v>
      </x:c>
      <x:c r="E94" s="74" t="str">
        <x:v>V1.0</x:v>
      </x:c>
      <x:c r="F94" s="68" t="str">
        <x:v>寒湿过重可降低木的生发与透达</x:v>
      </x:c>
      <x:c r="G94" s="82" t="str">
        <x:v>结构层</x:v>
      </x:c>
      <x:c r="H94" s="68" t="str">
        <x:v>M13调候接口</x:v>
      </x:c>
      <x:c r="I94" s="68" t="str">
        <x:v>目标五行</x:v>
      </x:c>
      <x:c r="J94" s="68" t="str">
        <x:v>有木</x:v>
      </x:c>
      <x:c r="K94" s="68" t="str">
        <x:v>水寒湿重且无火温养</x:v>
      </x:c>
      <x:c r="L94" s="68" t="str">
        <x:v>下调木的生发与疏泄效率</x:v>
      </x:c>
      <x:c r="M94" s="82" t="str">
        <x:v>减弱</x:v>
      </x:c>
      <x:c r="N94" s="82" t="str">
        <x:v>中</x:v>
      </x:c>
      <x:c r="O94" s="82" t="str">
        <x:v>条件性</x:v>
      </x:c>
      <x:c r="P94" s="82" t="str">
        <x:v>条件性</x:v>
      </x:c>
      <x:c r="Q94" s="82" t="str">
        <x:v>条件性</x:v>
      </x:c>
      <x:c r="R94" s="82" t="str">
        <x:v>是</x:v>
      </x:c>
      <x:c r="S94" s="68" t="str">
        <x:v>前置模块已完成</x:v>
      </x:c>
      <x:c r="T94" s="68" t="str">
        <x:v>作用条件真实成立</x:v>
      </x:c>
      <x:c r="U94" s="68" t="str">
        <x:v>得令、有根、有援可增强</x:v>
      </x:c>
      <x:c r="V94" s="68" t="str">
        <x:v>失令、孤立或受制可削弱</x:v>
      </x:c>
      <x:c r="W94" s="90" t="str">
        <x:v>禁止用关系名称直接替代实际效应</x:v>
      </x:c>
      <x:c r="X94" s="68" t="str">
        <x:v>特殊格局与动态岁运另模块处理</x:v>
      </x:c>
      <x:c r="Y94" s="84" t="str">
        <x:v>按证据修正有效旺衰</x:v>
      </x:c>
      <x:c r="Z94" s="68" t="str">
        <x:v>不得直接推出喜忌用神</x:v>
      </x:c>
      <x:c r="AA94" s="84" t="str">
        <x:v>寒湿木滞</x:v>
      </x:c>
      <x:c r="AB94" s="84" t="str">
        <x:v>寒湿过重时木的实际生发与疏泄能力下降。</x:v>
      </x:c>
      <x:c r="AC94" s="82" t="str">
        <x:v>中等</x:v>
      </x:c>
      <x:c r="AD94" s="82" t="str">
        <x:v>调候</x:v>
      </x:c>
      <x:c r="AE94" s="68" t="str">
        <x:v>有效力量必须承接原始力量与实际效应，逐对象、逐节点修正。</x:v>
      </x:c>
      <x:c r="AF94" s="68" t="str">
        <x:v>只有寒暖燥湿证据明确且真正影响生化时才修正。</x:v>
      </x:c>
      <x:c r="AG94" s="90" t="str">
        <x:v>按季节固定给某五行加减分或直接定用神。</x:v>
      </x:c>
      <x:c r="AH94" s="68" t="str">
        <x:v>https://zh.wikisource.org/zh-hans/滴天髓 ; https://zh.wikisource.org/zh-hans/淵海子平 ; https://zh.wikisource.org/wiki/三命通會</x:v>
      </x:c>
      <x:c r="AI94" s="82" t="str">
        <x:v>采用</x:v>
      </x:c>
      <x:c r="AJ94" s="82" t="str">
        <x:v>初审</x:v>
      </x:c>
      <x:c r="AK94" s="87" t="n">
        <x:v>46255</x:v>
      </x:c>
    </x:row>
    <x:row r="95">
      <x:c r="A95" s="72" t="str">
        <x:f>IF(OR(C95="",D95=""),"",B95&amp;"-"&amp;UPPER(C95)&amp;"-"&amp;TEXT(D95,"0000")&amp;"-"&amp;E95)</x:f>
        <x:v>M08-CLIM-0089-V1.0</x:v>
      </x:c>
      <x:c r="B95" s="74" t="str">
        <x:v>M08</x:v>
      </x:c>
      <x:c r="C95" s="74" t="str">
        <x:v>CLIM</x:v>
      </x:c>
      <x:c r="D95" s="79" t="n">
        <x:v>89</x:v>
      </x:c>
      <x:c r="E95" s="74" t="str">
        <x:v>V1.0</x:v>
      </x:c>
      <x:c r="F95" s="68" t="str">
        <x:v>燥热过重可降低水的存续与滋润能力</x:v>
      </x:c>
      <x:c r="G95" s="82" t="str">
        <x:v>结构层</x:v>
      </x:c>
      <x:c r="H95" s="68" t="str">
        <x:v>M13调候接口</x:v>
      </x:c>
      <x:c r="I95" s="68" t="str">
        <x:v>目标五行</x:v>
      </x:c>
      <x:c r="J95" s="68" t="str">
        <x:v>有水</x:v>
      </x:c>
      <x:c r="K95" s="68" t="str">
        <x:v>火土燥热成势且水孤弱</x:v>
      </x:c>
      <x:c r="L95" s="68" t="str">
        <x:v>下调水的持续性与滋润能力</x:v>
      </x:c>
      <x:c r="M95" s="82" t="str">
        <x:v>减弱</x:v>
      </x:c>
      <x:c r="N95" s="82" t="str">
        <x:v>中</x:v>
      </x:c>
      <x:c r="O95" s="82" t="str">
        <x:v>条件性</x:v>
      </x:c>
      <x:c r="P95" s="82" t="str">
        <x:v>条件性</x:v>
      </x:c>
      <x:c r="Q95" s="82" t="str">
        <x:v>条件性</x:v>
      </x:c>
      <x:c r="R95" s="82" t="str">
        <x:v>是</x:v>
      </x:c>
      <x:c r="S95" s="68" t="str">
        <x:v>前置模块已完成</x:v>
      </x:c>
      <x:c r="T95" s="68" t="str">
        <x:v>作用条件真实成立</x:v>
      </x:c>
      <x:c r="U95" s="68" t="str">
        <x:v>得令、有根、有援可增强</x:v>
      </x:c>
      <x:c r="V95" s="68" t="str">
        <x:v>失令、孤立或受制可削弱</x:v>
      </x:c>
      <x:c r="W95" s="90" t="str">
        <x:v>禁止用关系名称直接替代实际效应</x:v>
      </x:c>
      <x:c r="X95" s="68" t="str">
        <x:v>特殊格局与动态岁运另模块处理</x:v>
      </x:c>
      <x:c r="Y95" s="84" t="str">
        <x:v>按证据修正有效旺衰</x:v>
      </x:c>
      <x:c r="Z95" s="68" t="str">
        <x:v>不得直接推出喜忌用神</x:v>
      </x:c>
      <x:c r="AA95" s="84" t="str">
        <x:v>燥耗水</x:v>
      </x:c>
      <x:c r="AB95" s="84" t="str">
        <x:v>燥热环境中孤弱水的有效滋润能力应下调。</x:v>
      </x:c>
      <x:c r="AC95" s="82" t="str">
        <x:v>中等</x:v>
      </x:c>
      <x:c r="AD95" s="82" t="str">
        <x:v>调候</x:v>
      </x:c>
      <x:c r="AE95" s="68" t="str">
        <x:v>有效力量必须承接原始力量与实际效应，逐对象、逐节点修正。</x:v>
      </x:c>
      <x:c r="AF95" s="68" t="str">
        <x:v>只有寒暖燥湿证据明确且真正影响生化时才修正。</x:v>
      </x:c>
      <x:c r="AG95" s="90" t="str">
        <x:v>按季节固定给某五行加减分或直接定用神。</x:v>
      </x:c>
      <x:c r="AH95" s="68" t="str">
        <x:v>https://zh.wikisource.org/zh-hans/滴天髓 ; https://zh.wikisource.org/zh-hans/淵海子平 ; https://zh.wikisource.org/wiki/三命通會</x:v>
      </x:c>
      <x:c r="AI95" s="82" t="str">
        <x:v>采用</x:v>
      </x:c>
      <x:c r="AJ95" s="82" t="str">
        <x:v>初审</x:v>
      </x:c>
      <x:c r="AK95" s="87" t="n">
        <x:v>46255</x:v>
      </x:c>
    </x:row>
    <x:row r="96">
      <x:c r="A96" s="72" t="str">
        <x:f>IF(OR(C96="",D96=""),"",B96&amp;"-"&amp;UPPER(C96)&amp;"-"&amp;TEXT(D96,"0000")&amp;"-"&amp;E96)</x:f>
        <x:v>M08-CLIM-0090-V1.0</x:v>
      </x:c>
      <x:c r="B96" s="74" t="str">
        <x:v>M08</x:v>
      </x:c>
      <x:c r="C96" s="74" t="str">
        <x:v>CLIM</x:v>
      </x:c>
      <x:c r="D96" s="79" t="n">
        <x:v>90</x:v>
      </x:c>
      <x:c r="E96" s="74" t="str">
        <x:v>V1.0</x:v>
      </x:c>
      <x:c r="F96" s="68" t="str">
        <x:v>燥土过重可限制木根生发效率</x:v>
      </x:c>
      <x:c r="G96" s="82" t="str">
        <x:v>结构层</x:v>
      </x:c>
      <x:c r="H96" s="68" t="str">
        <x:v>M13调候接口</x:v>
      </x:c>
      <x:c r="I96" s="68" t="str">
        <x:v>目标五行</x:v>
      </x:c>
      <x:c r="J96" s="68" t="str">
        <x:v>有木根</x:v>
      </x:c>
      <x:c r="K96" s="68" t="str">
        <x:v>燥土成势且无水润</x:v>
      </x:c>
      <x:c r="L96" s="68" t="str">
        <x:v>保留木根但降低功能</x:v>
      </x:c>
      <x:c r="M96" s="82" t="str">
        <x:v>减弱</x:v>
      </x:c>
      <x:c r="N96" s="82" t="str">
        <x:v>弱</x:v>
      </x:c>
      <x:c r="O96" s="82" t="str">
        <x:v>条件性</x:v>
      </x:c>
      <x:c r="P96" s="82" t="str">
        <x:v>条件性</x:v>
      </x:c>
      <x:c r="Q96" s="82" t="str">
        <x:v>条件性</x:v>
      </x:c>
      <x:c r="R96" s="82" t="str">
        <x:v>是</x:v>
      </x:c>
      <x:c r="S96" s="68" t="str">
        <x:v>前置模块已完成</x:v>
      </x:c>
      <x:c r="T96" s="68" t="str">
        <x:v>作用条件真实成立</x:v>
      </x:c>
      <x:c r="U96" s="68" t="str">
        <x:v>得令、有根、有援可增强</x:v>
      </x:c>
      <x:c r="V96" s="68" t="str">
        <x:v>失令、孤立或受制可削弱</x:v>
      </x:c>
      <x:c r="W96" s="90" t="str">
        <x:v>禁止用关系名称直接替代实际效应</x:v>
      </x:c>
      <x:c r="X96" s="68" t="str">
        <x:v>特殊格局与动态岁运另模块处理</x:v>
      </x:c>
      <x:c r="Y96" s="84" t="str">
        <x:v>按证据修正有效旺衰</x:v>
      </x:c>
      <x:c r="Z96" s="68" t="str">
        <x:v>不得直接推出喜忌用神</x:v>
      </x:c>
      <x:c r="AA96" s="84" t="str">
        <x:v>燥土木困</x:v>
      </x:c>
      <x:c r="AB96" s="84" t="str">
        <x:v>燥土过重且无水润时，木根仍存在，但生发与疏土效率下降。</x:v>
      </x:c>
      <x:c r="AC96" s="82" t="str">
        <x:v>中等</x:v>
      </x:c>
      <x:c r="AD96" s="82" t="str">
        <x:v>调候</x:v>
      </x:c>
      <x:c r="AE96" s="68" t="str">
        <x:v>有效力量必须承接原始力量与实际效应，逐对象、逐节点修正。</x:v>
      </x:c>
      <x:c r="AF96" s="68" t="str">
        <x:v>只有寒暖燥湿证据明确且真正影响生化时才修正。</x:v>
      </x:c>
      <x:c r="AG96" s="90" t="str">
        <x:v>按季节固定给某五行加减分或直接定用神。</x:v>
      </x:c>
      <x:c r="AH96" s="68" t="str">
        <x:v>https://zh.wikisource.org/zh-hans/滴天髓 ; https://zh.wikisource.org/zh-hans/淵海子平 ; https://zh.wikisource.org/wiki/三命通會</x:v>
      </x:c>
      <x:c r="AI96" s="82" t="str">
        <x:v>待验证</x:v>
      </x:c>
      <x:c r="AJ96" s="82" t="str">
        <x:v>初审</x:v>
      </x:c>
      <x:c r="AK96" s="87" t="n">
        <x:v>46255</x:v>
      </x:c>
    </x:row>
    <x:row r="97">
      <x:c r="A97" s="72" t="str">
        <x:f>IF(OR(C97="",D97=""),"",B97&amp;"-"&amp;UPPER(C97)&amp;"-"&amp;TEXT(D97,"0000")&amp;"-"&amp;E97)</x:f>
        <x:v>M08-CLIM-0091-V1.0</x:v>
      </x:c>
      <x:c r="B97" s="74" t="str">
        <x:v>M08</x:v>
      </x:c>
      <x:c r="C97" s="74" t="str">
        <x:v>CLIM</x:v>
      </x:c>
      <x:c r="D97" s="79" t="n">
        <x:v>91</x:v>
      </x:c>
      <x:c r="E97" s="74" t="str">
        <x:v>V1.0</x:v>
      </x:c>
      <x:c r="F97" s="68" t="str">
        <x:v>湿土过重可降低火的透达并形成晦火候选</x:v>
      </x:c>
      <x:c r="G97" s="82" t="str">
        <x:v>结构层</x:v>
      </x:c>
      <x:c r="H97" s="68" t="str">
        <x:v>M13调候接口</x:v>
      </x:c>
      <x:c r="I97" s="68" t="str">
        <x:v>目标五行</x:v>
      </x:c>
      <x:c r="J97" s="68" t="str">
        <x:v>有火</x:v>
      </x:c>
      <x:c r="K97" s="68" t="str">
        <x:v>湿土水重且火弱</x:v>
      </x:c>
      <x:c r="L97" s="68" t="str">
        <x:v>下调火的透达与持续作用</x:v>
      </x:c>
      <x:c r="M97" s="82" t="str">
        <x:v>减弱</x:v>
      </x:c>
      <x:c r="N97" s="82" t="str">
        <x:v>中</x:v>
      </x:c>
      <x:c r="O97" s="82" t="str">
        <x:v>条件性</x:v>
      </x:c>
      <x:c r="P97" s="82" t="str">
        <x:v>条件性</x:v>
      </x:c>
      <x:c r="Q97" s="82" t="str">
        <x:v>条件性</x:v>
      </x:c>
      <x:c r="R97" s="82" t="str">
        <x:v>是</x:v>
      </x:c>
      <x:c r="S97" s="68" t="str">
        <x:v>前置模块已完成</x:v>
      </x:c>
      <x:c r="T97" s="68" t="str">
        <x:v>作用条件真实成立</x:v>
      </x:c>
      <x:c r="U97" s="68" t="str">
        <x:v>得令、有根、有援可增强</x:v>
      </x:c>
      <x:c r="V97" s="68" t="str">
        <x:v>失令、孤立或受制可削弱</x:v>
      </x:c>
      <x:c r="W97" s="90" t="str">
        <x:v>禁止用关系名称直接替代实际效应</x:v>
      </x:c>
      <x:c r="X97" s="68" t="str">
        <x:v>特殊格局与动态岁运另模块处理</x:v>
      </x:c>
      <x:c r="Y97" s="84" t="str">
        <x:v>按证据修正有效旺衰</x:v>
      </x:c>
      <x:c r="Z97" s="68" t="str">
        <x:v>不得直接推出喜忌用神</x:v>
      </x:c>
      <x:c r="AA97" s="84" t="str">
        <x:v>湿土晦火</x:v>
      </x:c>
      <x:c r="AB97" s="84" t="str">
        <x:v>湿土重且火弱时，火的透达和持续性下降。</x:v>
      </x:c>
      <x:c r="AC97" s="82" t="str">
        <x:v>中等</x:v>
      </x:c>
      <x:c r="AD97" s="82" t="str">
        <x:v>调候</x:v>
      </x:c>
      <x:c r="AE97" s="68" t="str">
        <x:v>有效力量必须承接原始力量与实际效应，逐对象、逐节点修正。</x:v>
      </x:c>
      <x:c r="AF97" s="68" t="str">
        <x:v>只有寒暖燥湿证据明确且真正影响生化时才修正。</x:v>
      </x:c>
      <x:c r="AG97" s="90" t="str">
        <x:v>按季节固定给某五行加减分或直接定用神。</x:v>
      </x:c>
      <x:c r="AH97" s="68" t="str">
        <x:v>https://zh.wikisource.org/zh-hans/滴天髓 ; https://zh.wikisource.org/zh-hans/淵海子平 ; https://zh.wikisource.org/wiki/三命通會</x:v>
      </x:c>
      <x:c r="AI97" s="82" t="str">
        <x:v>采用</x:v>
      </x:c>
      <x:c r="AJ97" s="82" t="str">
        <x:v>初审</x:v>
      </x:c>
      <x:c r="AK97" s="87" t="n">
        <x:v>46255</x:v>
      </x:c>
    </x:row>
    <x:row r="98">
      <x:c r="A98" s="72" t="str">
        <x:f>IF(OR(C98="",D98=""),"",B98&amp;"-"&amp;UPPER(C98)&amp;"-"&amp;TEXT(D98,"0000")&amp;"-"&amp;E98)</x:f>
        <x:v>M08-CLIM-0092-V1.0</x:v>
      </x:c>
      <x:c r="B98" s="74" t="str">
        <x:v>M08</x:v>
      </x:c>
      <x:c r="C98" s="74" t="str">
        <x:v>CLIM</x:v>
      </x:c>
      <x:c r="D98" s="79" t="n">
        <x:v>92</x:v>
      </x:c>
      <x:c r="E98" s="74" t="str">
        <x:v>V1.0</x:v>
      </x:c>
      <x:c r="F98" s="68" t="str">
        <x:v>有效调候桥梁可恢复受气候压制五行的可用性</x:v>
      </x:c>
      <x:c r="G98" s="82" t="str">
        <x:v>结构层</x:v>
      </x:c>
      <x:c r="H98" s="68" t="str">
        <x:v>M13调候接口</x:v>
      </x:c>
      <x:c r="I98" s="68" t="str">
        <x:v>目标五行</x:v>
      </x:c>
      <x:c r="J98" s="68" t="str">
        <x:v>受气候压制</x:v>
      </x:c>
      <x:c r="K98" s="68" t="str">
        <x:v>出现有效暖润燥湿或清凉桥梁</x:v>
      </x:c>
      <x:c r="L98" s="68" t="str">
        <x:v>部分恢复功能与流通</x:v>
      </x:c>
      <x:c r="M98" s="82" t="str">
        <x:v>增强</x:v>
      </x:c>
      <x:c r="N98" s="82" t="str">
        <x:v>中</x:v>
      </x:c>
      <x:c r="O98" s="82" t="str">
        <x:v>条件性</x:v>
      </x:c>
      <x:c r="P98" s="82" t="str">
        <x:v>条件性</x:v>
      </x:c>
      <x:c r="Q98" s="82" t="str">
        <x:v>条件性</x:v>
      </x:c>
      <x:c r="R98" s="82" t="str">
        <x:v>是</x:v>
      </x:c>
      <x:c r="S98" s="68" t="str">
        <x:v>前置模块已完成</x:v>
      </x:c>
      <x:c r="T98" s="68" t="str">
        <x:v>作用条件真实成立</x:v>
      </x:c>
      <x:c r="U98" s="68" t="str">
        <x:v>得令、有根、有援可增强</x:v>
      </x:c>
      <x:c r="V98" s="68" t="str">
        <x:v>失令、孤立或受制可削弱</x:v>
      </x:c>
      <x:c r="W98" s="90" t="str">
        <x:v>禁止用关系名称直接替代实际效应</x:v>
      </x:c>
      <x:c r="X98" s="68" t="str">
        <x:v>特殊格局与动态岁运另模块处理</x:v>
      </x:c>
      <x:c r="Y98" s="84" t="str">
        <x:v>按证据修正有效旺衰</x:v>
      </x:c>
      <x:c r="Z98" s="68" t="str">
        <x:v>不得直接推出喜忌用神</x:v>
      </x:c>
      <x:c r="AA98" s="84" t="str">
        <x:v>调候恢复</x:v>
      </x:c>
      <x:c r="AB98" s="84" t="str">
        <x:v>有效调候桥梁可恢复被寒燥湿热压制五行的功能。</x:v>
      </x:c>
      <x:c r="AC98" s="82" t="str">
        <x:v>中等</x:v>
      </x:c>
      <x:c r="AD98" s="82" t="str">
        <x:v>调候</x:v>
      </x:c>
      <x:c r="AE98" s="68" t="str">
        <x:v>有效力量必须承接原始力量与实际效应，逐对象、逐节点修正。</x:v>
      </x:c>
      <x:c r="AF98" s="68" t="str">
        <x:v>只有寒暖燥湿证据明确且真正影响生化时才修正。</x:v>
      </x:c>
      <x:c r="AG98" s="90" t="str">
        <x:v>按季节固定给某五行加减分或直接定用神。</x:v>
      </x:c>
      <x:c r="AH98" s="68" t="str">
        <x:v>https://zh.wikisource.org/zh-hans/滴天髓 ; https://zh.wikisource.org/zh-hans/淵海子平 ; https://zh.wikisource.org/wiki/三命通會</x:v>
      </x:c>
      <x:c r="AI98" s="82" t="str">
        <x:v>采用</x:v>
      </x:c>
      <x:c r="AJ98" s="82" t="str">
        <x:v>初审</x:v>
      </x:c>
      <x:c r="AK98" s="87" t="n">
        <x:v>46255</x:v>
      </x:c>
    </x:row>
    <x:row r="99">
      <x:c r="A99" s="72" t="str">
        <x:f>IF(OR(C99="",D99=""),"",B99&amp;"-"&amp;UPPER(C99)&amp;"-"&amp;TEXT(D99,"0000")&amp;"-"&amp;E99)</x:f>
        <x:v>M08-CLIM-0093-V1.0</x:v>
      </x:c>
      <x:c r="B99" s="74" t="str">
        <x:v>M08</x:v>
      </x:c>
      <x:c r="C99" s="74" t="str">
        <x:v>CLIM</x:v>
      </x:c>
      <x:c r="D99" s="79" t="n">
        <x:v>93</x:v>
      </x:c>
      <x:c r="E99" s="74" t="str">
        <x:v>V1.0</x:v>
      </x:c>
      <x:c r="F99" s="68" t="str">
        <x:v>气候修正主要影响可用性与生化效率而非简单数量</x:v>
      </x:c>
      <x:c r="G99" s="82" t="str">
        <x:v>结构层</x:v>
      </x:c>
      <x:c r="H99" s="68" t="str">
        <x:v>M08/M13边界</x:v>
      </x:c>
      <x:c r="I99" s="68" t="str">
        <x:v>目标五行</x:v>
      </x:c>
      <x:c r="J99" s="68" t="str">
        <x:v>任意</x:v>
      </x:c>
      <x:c r="K99" s="68" t="str">
        <x:v>寒暖燥湿偏态</x:v>
      </x:c>
      <x:c r="L99" s="68" t="str">
        <x:v>优先修正透达持续性与流通效率</x:v>
      </x:c>
      <x:c r="M99" s="82" t="str">
        <x:v>条件性</x:v>
      </x:c>
      <x:c r="N99" s="82" t="str">
        <x:v>中</x:v>
      </x:c>
      <x:c r="O99" s="82" t="str">
        <x:v>条件性</x:v>
      </x:c>
      <x:c r="P99" s="82" t="str">
        <x:v>条件性</x:v>
      </x:c>
      <x:c r="Q99" s="82" t="str">
        <x:v>条件性</x:v>
      </x:c>
      <x:c r="R99" s="82" t="str">
        <x:v>是</x:v>
      </x:c>
      <x:c r="S99" s="68" t="str">
        <x:v>前置模块已完成</x:v>
      </x:c>
      <x:c r="T99" s="68" t="str">
        <x:v>作用条件真实成立</x:v>
      </x:c>
      <x:c r="U99" s="68" t="str">
        <x:v>得令、有根、有援可增强</x:v>
      </x:c>
      <x:c r="V99" s="68" t="str">
        <x:v>失令、孤立或受制可削弱</x:v>
      </x:c>
      <x:c r="W99" s="90" t="str">
        <x:v>禁止用关系名称直接替代实际效应</x:v>
      </x:c>
      <x:c r="X99" s="68" t="str">
        <x:v>特殊格局与动态岁运另模块处理</x:v>
      </x:c>
      <x:c r="Y99" s="84" t="str">
        <x:v>按证据修正有效旺衰</x:v>
      </x:c>
      <x:c r="Z99" s="68" t="str">
        <x:v>不得直接推出喜忌用神</x:v>
      </x:c>
      <x:c r="AA99" s="84" t="str">
        <x:v>气候功能修正</x:v>
      </x:c>
      <x:c r="AB99" s="84" t="str">
        <x:v>寒暖燥湿首先改变可用性和生化效率，不能简单等同于数量增减。</x:v>
      </x:c>
      <x:c r="AC99" s="82" t="str">
        <x:v>较高</x:v>
      </x:c>
      <x:c r="AD99" s="82" t="str">
        <x:v>调候</x:v>
      </x:c>
      <x:c r="AE99" s="68" t="str">
        <x:v>有效力量必须承接原始力量与实际效应，逐对象、逐节点修正。</x:v>
      </x:c>
      <x:c r="AF99" s="68" t="str">
        <x:v>只有寒暖燥湿证据明确且真正影响生化时才修正。</x:v>
      </x:c>
      <x:c r="AG99" s="90" t="str">
        <x:v>按季节固定给某五行加减分或直接定用神。</x:v>
      </x:c>
      <x:c r="AH99" s="68" t="str">
        <x:v>https://zh.wikisource.org/zh-hans/滴天髓 ; https://zh.wikisource.org/zh-hans/淵海子平 ; https://zh.wikisource.org/wiki/三命通會</x:v>
      </x:c>
      <x:c r="AI99" s="82" t="str">
        <x:v>采用</x:v>
      </x:c>
      <x:c r="AJ99" s="82" t="str">
        <x:v>初审</x:v>
      </x:c>
      <x:c r="AK99" s="87" t="n">
        <x:v>46255</x:v>
      </x:c>
    </x:row>
    <x:row r="100">
      <x:c r="A100" s="72" t="str">
        <x:f>IF(OR(C100="",D100=""),"",B100&amp;"-"&amp;UPPER(C100)&amp;"-"&amp;TEXT(D100,"0000")&amp;"-"&amp;E100)</x:f>
        <x:v>M08-CLIM-0094-V1.0</x:v>
      </x:c>
      <x:c r="B100" s="74" t="str">
        <x:v>M08</x:v>
      </x:c>
      <x:c r="C100" s="74" t="str">
        <x:v>CLIM</x:v>
      </x:c>
      <x:c r="D100" s="79" t="n">
        <x:v>94</x:v>
      </x:c>
      <x:c r="E100" s="74" t="str">
        <x:v>V1.0</x:v>
      </x:c>
      <x:c r="F100" s="68" t="str">
        <x:v>M08只做气候对有效力的接口修正</x:v>
      </x:c>
      <x:c r="G100" s="82" t="str">
        <x:v>结构层</x:v>
      </x:c>
      <x:c r="H100" s="68" t="str">
        <x:v>M08边界</x:v>
      </x:c>
      <x:c r="I100" s="68" t="str">
        <x:v>目标五行</x:v>
      </x:c>
      <x:c r="J100" s="68" t="str">
        <x:v>任意</x:v>
      </x:c>
      <x:c r="K100" s="68" t="str">
        <x:v>存在寒暖燥湿问题</x:v>
      </x:c>
      <x:c r="L100" s="68" t="str">
        <x:v>记录有效发挥变化，不定调候主次</x:v>
      </x:c>
      <x:c r="M100" s="82" t="str">
        <x:v>不变</x:v>
      </x:c>
      <x:c r="N100" s="82" t="str">
        <x:v>弱</x:v>
      </x:c>
      <x:c r="O100" s="82" t="str">
        <x:v>条件性</x:v>
      </x:c>
      <x:c r="P100" s="82" t="str">
        <x:v>条件性</x:v>
      </x:c>
      <x:c r="Q100" s="82" t="str">
        <x:v>条件性</x:v>
      </x:c>
      <x:c r="R100" s="82" t="str">
        <x:v>是</x:v>
      </x:c>
      <x:c r="S100" s="68" t="str">
        <x:v>前置模块已完成</x:v>
      </x:c>
      <x:c r="T100" s="68" t="str">
        <x:v>作用条件真实成立</x:v>
      </x:c>
      <x:c r="U100" s="68" t="str">
        <x:v>得令、有根、有援可增强</x:v>
      </x:c>
      <x:c r="V100" s="68" t="str">
        <x:v>失令、孤立或受制可削弱</x:v>
      </x:c>
      <x:c r="W100" s="90" t="str">
        <x:v>禁止用关系名称直接替代实际效应</x:v>
      </x:c>
      <x:c r="X100" s="68" t="str">
        <x:v>特殊格局与动态岁运另模块处理</x:v>
      </x:c>
      <x:c r="Y100" s="84" t="str">
        <x:v>按证据修正有效旺衰</x:v>
      </x:c>
      <x:c r="Z100" s="68" t="str">
        <x:v>不得直接推出喜忌用神</x:v>
      </x:c>
      <x:c r="AA100" s="84" t="str">
        <x:v>气候接口边界</x:v>
      </x:c>
      <x:c r="AB100" s="84" t="str">
        <x:v>M08只修正气候条件下的有效发挥度，调候需求与优先级由M13判断。</x:v>
      </x:c>
      <x:c r="AC100" s="82" t="str">
        <x:v>较高</x:v>
      </x:c>
      <x:c r="AD100" s="82" t="str">
        <x:v>调候</x:v>
      </x:c>
      <x:c r="AE100" s="68" t="str">
        <x:v>有效力量必须承接原始力量与实际效应，逐对象、逐节点修正。</x:v>
      </x:c>
      <x:c r="AF100" s="68" t="str">
        <x:v>只有寒暖燥湿证据明确且真正影响生化时才修正。</x:v>
      </x:c>
      <x:c r="AG100" s="90" t="str">
        <x:v>按季节固定给某五行加减分或直接定用神。</x:v>
      </x:c>
      <x:c r="AH100" s="68" t="str">
        <x:v>https://zh.wikisource.org/zh-hans/滴天髓 ; https://zh.wikisource.org/zh-hans/淵海子平 ; https://zh.wikisource.org/wiki/三命通會</x:v>
      </x:c>
      <x:c r="AI100" s="82" t="str">
        <x:v>采用</x:v>
      </x:c>
      <x:c r="AJ100" s="82" t="str">
        <x:v>初审</x:v>
      </x:c>
      <x:c r="AK100" s="87" t="n">
        <x:v>46255</x:v>
      </x:c>
    </x:row>
    <x:row r="101">
      <x:c r="A101" s="72" t="str">
        <x:f>IF(OR(C101="",D101=""),"",B101&amp;"-"&amp;UPPER(C101)&amp;"-"&amp;TEXT(D101,"0000")&amp;"-"&amp;E101)</x:f>
        <x:v>M08-FLOW-0095-V1.0</x:v>
      </x:c>
      <x:c r="B101" s="74" t="str">
        <x:v>M08</x:v>
      </x:c>
      <x:c r="C101" s="74" t="str">
        <x:v>FLOW</x:v>
      </x:c>
      <x:c r="D101" s="79" t="n">
        <x:v>95</x:v>
      </x:c>
      <x:c r="E101" s="74" t="str">
        <x:v>V1.0</x:v>
      </x:c>
      <x:c r="F101" s="68" t="str">
        <x:v>生化链通畅可提高桥梁与终点的有效调用</x:v>
      </x:c>
      <x:c r="G101" s="82" t="str">
        <x:v>结构层</x:v>
      </x:c>
      <x:c r="H101" s="68" t="str">
        <x:v>M12流通接口</x:v>
      </x:c>
      <x:c r="I101" s="68" t="str">
        <x:v>相关五行</x:v>
      </x:c>
      <x:c r="J101" s="68" t="str">
        <x:v>原始力量</x:v>
      </x:c>
      <x:c r="K101" s="68" t="str">
        <x:v>连续生化路径成立</x:v>
      </x:c>
      <x:c r="L101" s="68" t="str">
        <x:v>提高传递效率而非凭空增加总量</x:v>
      </x:c>
      <x:c r="M101" s="82" t="str">
        <x:v>增强</x:v>
      </x:c>
      <x:c r="N101" s="82" t="str">
        <x:v>中</x:v>
      </x:c>
      <x:c r="O101" s="82" t="str">
        <x:v>否</x:v>
      </x:c>
      <x:c r="P101" s="82" t="str">
        <x:v>条件性</x:v>
      </x:c>
      <x:c r="Q101" s="82" t="str">
        <x:v>条件性</x:v>
      </x:c>
      <x:c r="R101" s="82" t="str">
        <x:v>是</x:v>
      </x:c>
      <x:c r="S101" s="68" t="str">
        <x:v>前置模块已完成</x:v>
      </x:c>
      <x:c r="T101" s="68" t="str">
        <x:v>作用条件真实成立</x:v>
      </x:c>
      <x:c r="U101" s="68" t="str">
        <x:v>得令、有根、有援可增强</x:v>
      </x:c>
      <x:c r="V101" s="68" t="str">
        <x:v>失令、孤立或受制可削弱</x:v>
      </x:c>
      <x:c r="W101" s="90" t="str">
        <x:v>禁止用关系名称直接替代实际效应</x:v>
      </x:c>
      <x:c r="X101" s="68" t="str">
        <x:v>特殊格局与动态岁运另模块处理</x:v>
      </x:c>
      <x:c r="Y101" s="84" t="str">
        <x:v>按证据修正有效旺衰</x:v>
      </x:c>
      <x:c r="Z101" s="68" t="str">
        <x:v>不得直接推出喜忌用神</x:v>
      </x:c>
      <x:c r="AA101" s="84" t="str">
        <x:v>流通增效</x:v>
      </x:c>
      <x:c r="AB101" s="84" t="str">
        <x:v>流通顺畅主要提高已有力量的传递效率。</x:v>
      </x:c>
      <x:c r="AC101" s="82" t="str">
        <x:v>较高</x:v>
      </x:c>
      <x:c r="AD101" s="82" t="str">
        <x:v>现代综合</x:v>
      </x:c>
      <x:c r="AE101" s="68" t="str">
        <x:v>有效力量必须承接原始力量与实际效应，逐对象、逐节点修正。</x:v>
      </x:c>
      <x:c r="AF101" s="68" t="str">
        <x:v>桥梁有效、链路连续、终点可承载时流通才真正成立。</x:v>
      </x:c>
      <x:c r="AG101" s="90" t="str">
        <x:v>五行齐全或相生链写得出来就视为完全流通。</x:v>
      </x:c>
      <x:c r="AH101" s="68" t="str">
        <x:v>https://zh.wikisource.org/zh-hans/滴天髓 ; https://zh.wikisource.org/zh-hans/淵海子平 ; https://zh.wikisource.org/wiki/三命通會</x:v>
      </x:c>
      <x:c r="AI101" s="82" t="str">
        <x:v>采用</x:v>
      </x:c>
      <x:c r="AJ101" s="82" t="str">
        <x:v>初审</x:v>
      </x:c>
      <x:c r="AK101" s="87" t="n">
        <x:v>46255</x:v>
      </x:c>
    </x:row>
    <x:row r="102">
      <x:c r="A102" s="72" t="str">
        <x:f>IF(OR(C102="",D102=""),"",B102&amp;"-"&amp;UPPER(C102)&amp;"-"&amp;TEXT(D102,"0000")&amp;"-"&amp;E102)</x:f>
        <x:v>M08-FLOW-0096-V1.0</x:v>
      </x:c>
      <x:c r="B102" s="74" t="str">
        <x:v>M08</x:v>
      </x:c>
      <x:c r="C102" s="74" t="str">
        <x:v>FLOW</x:v>
      </x:c>
      <x:c r="D102" s="79" t="n">
        <x:v>96</x:v>
      </x:c>
      <x:c r="E102" s="74" t="str">
        <x:v>V1.0</x:v>
      </x:c>
      <x:c r="F102" s="68" t="str">
        <x:v>关键桥梁缺失时上游力量不能跨级传给终点</x:v>
      </x:c>
      <x:c r="G102" s="82" t="str">
        <x:v>结构层</x:v>
      </x:c>
      <x:c r="H102" s="68" t="str">
        <x:v>M12卡点</x:v>
      </x:c>
      <x:c r="I102" s="68" t="str">
        <x:v>相关五行</x:v>
      </x:c>
      <x:c r="J102" s="68" t="str">
        <x:v>有上游生源</x:v>
      </x:c>
      <x:c r="K102" s="68" t="str">
        <x:v>中间桥梁缺失</x:v>
      </x:c>
      <x:c r="L102" s="68" t="str">
        <x:v>取消跨级间接生扶并标记卡点</x:v>
      </x:c>
      <x:c r="M102" s="82" t="str">
        <x:v>阻断</x:v>
      </x:c>
      <x:c r="N102" s="82" t="str">
        <x:v>强</x:v>
      </x:c>
      <x:c r="O102" s="82" t="str">
        <x:v>否</x:v>
      </x:c>
      <x:c r="P102" s="82" t="str">
        <x:v>条件性</x:v>
      </x:c>
      <x:c r="Q102" s="82" t="str">
        <x:v>条件性</x:v>
      </x:c>
      <x:c r="R102" s="82" t="str">
        <x:v>是</x:v>
      </x:c>
      <x:c r="S102" s="68" t="str">
        <x:v>前置模块已完成</x:v>
      </x:c>
      <x:c r="T102" s="68" t="str">
        <x:v>作用条件真实成立</x:v>
      </x:c>
      <x:c r="U102" s="68" t="str">
        <x:v>得令、有根、有援可增强</x:v>
      </x:c>
      <x:c r="V102" s="68" t="str">
        <x:v>失令、孤立或受制可削弱</x:v>
      </x:c>
      <x:c r="W102" s="90" t="str">
        <x:v>禁止用关系名称直接替代实际效应</x:v>
      </x:c>
      <x:c r="X102" s="68" t="str">
        <x:v>特殊格局与动态岁运另模块处理</x:v>
      </x:c>
      <x:c r="Y102" s="84" t="str">
        <x:v>按证据修正有效旺衰</x:v>
      </x:c>
      <x:c r="Z102" s="68" t="str">
        <x:v>不得直接推出喜忌用神</x:v>
      </x:c>
      <x:c r="AA102" s="84" t="str">
        <x:v>缺桥阻断</x:v>
      </x:c>
      <x:c r="AB102" s="84" t="str">
        <x:v>生化链缺少关键桥梁时，上游力量不能直接越级传给终点。</x:v>
      </x:c>
      <x:c r="AC102" s="82" t="str">
        <x:v>较高</x:v>
      </x:c>
      <x:c r="AD102" s="82" t="str">
        <x:v>现代综合</x:v>
      </x:c>
      <x:c r="AE102" s="68" t="str">
        <x:v>有效力量必须承接原始力量与实际效应，逐对象、逐节点修正。</x:v>
      </x:c>
      <x:c r="AF102" s="68" t="str">
        <x:v>桥梁有效、链路连续、终点可承载时流通才真正成立。</x:v>
      </x:c>
      <x:c r="AG102" s="90" t="str">
        <x:v>五行齐全或相生链写得出来就视为完全流通。</x:v>
      </x:c>
      <x:c r="AH102" s="68" t="str">
        <x:v>https://zh.wikisource.org/zh-hans/滴天髓 ; https://zh.wikisource.org/zh-hans/淵海子平 ; https://zh.wikisource.org/wiki/三命通會</x:v>
      </x:c>
      <x:c r="AI102" s="82" t="str">
        <x:v>采用</x:v>
      </x:c>
      <x:c r="AJ102" s="82" t="str">
        <x:v>初审</x:v>
      </x:c>
      <x:c r="AK102" s="87" t="n">
        <x:v>46255</x:v>
      </x:c>
    </x:row>
    <x:row r="103">
      <x:c r="A103" s="72" t="str">
        <x:f>IF(OR(C103="",D103=""),"",B103&amp;"-"&amp;UPPER(C103)&amp;"-"&amp;TEXT(D103,"0000")&amp;"-"&amp;E103)</x:f>
        <x:v>M08-FLOW-0097-V1.0</x:v>
      </x:c>
      <x:c r="B103" s="74" t="str">
        <x:v>M08</x:v>
      </x:c>
      <x:c r="C103" s="74" t="str">
        <x:v>FLOW</x:v>
      </x:c>
      <x:c r="D103" s="79" t="n">
        <x:v>97</x:v>
      </x:c>
      <x:c r="E103" s="74" t="str">
        <x:v>V1.0</x:v>
      </x:c>
      <x:c r="F103" s="68" t="str">
        <x:v>桥梁被合绊或强克时流通效率显著下降</x:v>
      </x:c>
      <x:c r="G103" s="82" t="str">
        <x:v>结构层</x:v>
      </x:c>
      <x:c r="H103" s="68" t="str">
        <x:v>M06关系效应+M12</x:v>
      </x:c>
      <x:c r="I103" s="68" t="str">
        <x:v>相关五行</x:v>
      </x:c>
      <x:c r="J103" s="68" t="str">
        <x:v>桥梁原始中强</x:v>
      </x:c>
      <x:c r="K103" s="68" t="str">
        <x:v>桥梁受合绊或强克</x:v>
      </x:c>
      <x:c r="L103" s="68" t="str">
        <x:v>降低上下游力量传递</x:v>
      </x:c>
      <x:c r="M103" s="82" t="str">
        <x:v>阻断</x:v>
      </x:c>
      <x:c r="N103" s="82" t="str">
        <x:v>中</x:v>
      </x:c>
      <x:c r="O103" s="82" t="str">
        <x:v>否</x:v>
      </x:c>
      <x:c r="P103" s="82" t="str">
        <x:v>条件性</x:v>
      </x:c>
      <x:c r="Q103" s="82" t="str">
        <x:v>条件性</x:v>
      </x:c>
      <x:c r="R103" s="82" t="str">
        <x:v>是</x:v>
      </x:c>
      <x:c r="S103" s="68" t="str">
        <x:v>前置模块已完成</x:v>
      </x:c>
      <x:c r="T103" s="68" t="str">
        <x:v>作用条件真实成立</x:v>
      </x:c>
      <x:c r="U103" s="68" t="str">
        <x:v>得令、有根、有援可增强</x:v>
      </x:c>
      <x:c r="V103" s="68" t="str">
        <x:v>失令、孤立或受制可削弱</x:v>
      </x:c>
      <x:c r="W103" s="90" t="str">
        <x:v>禁止用关系名称直接替代实际效应</x:v>
      </x:c>
      <x:c r="X103" s="68" t="str">
        <x:v>特殊格局与动态岁运另模块处理</x:v>
      </x:c>
      <x:c r="Y103" s="84" t="str">
        <x:v>按证据修正有效旺衰</x:v>
      </x:c>
      <x:c r="Z103" s="68" t="str">
        <x:v>不得直接推出喜忌用神</x:v>
      </x:c>
      <x:c r="AA103" s="84" t="str">
        <x:v>桥梁受阻</x:v>
      </x:c>
      <x:c r="AB103" s="84" t="str">
        <x:v>五行齐全不代表流通；关键桥梁受限时传递效率会明显下降。</x:v>
      </x:c>
      <x:c r="AC103" s="82" t="str">
        <x:v>较高</x:v>
      </x:c>
      <x:c r="AD103" s="82" t="str">
        <x:v>现代综合</x:v>
      </x:c>
      <x:c r="AE103" s="68" t="str">
        <x:v>有效力量必须承接原始力量与实际效应，逐对象、逐节点修正。</x:v>
      </x:c>
      <x:c r="AF103" s="68" t="str">
        <x:v>桥梁有效、链路连续、终点可承载时流通才真正成立。</x:v>
      </x:c>
      <x:c r="AG103" s="90" t="str">
        <x:v>五行齐全或相生链写得出来就视为完全流通。</x:v>
      </x:c>
      <x:c r="AH103" s="68" t="str">
        <x:v>https://zh.wikisource.org/zh-hans/滴天髓 ; https://zh.wikisource.org/zh-hans/淵海子平 ; https://zh.wikisource.org/wiki/三命通會</x:v>
      </x:c>
      <x:c r="AI103" s="82" t="str">
        <x:v>采用</x:v>
      </x:c>
      <x:c r="AJ103" s="82" t="str">
        <x:v>初审</x:v>
      </x:c>
      <x:c r="AK103" s="87" t="n">
        <x:v>46255</x:v>
      </x:c>
    </x:row>
    <x:row r="104">
      <x:c r="A104" s="72" t="str">
        <x:f>IF(OR(C104="",D104=""),"",B104&amp;"-"&amp;UPPER(C104)&amp;"-"&amp;TEXT(D104,"0000")&amp;"-"&amp;E104)</x:f>
        <x:v>M08-FLOW-0098-V1.0</x:v>
      </x:c>
      <x:c r="B104" s="74" t="str">
        <x:v>M08</x:v>
      </x:c>
      <x:c r="C104" s="74" t="str">
        <x:v>FLOW</x:v>
      </x:c>
      <x:c r="D104" s="79" t="n">
        <x:v>98</x:v>
      </x:c>
      <x:c r="E104" s="74" t="str">
        <x:v>V1.0</x:v>
      </x:c>
      <x:c r="F104" s="68" t="str">
        <x:v>源头过旺无泄时力量可旺但功能壅塞</x:v>
      </x:c>
      <x:c r="G104" s="82" t="str">
        <x:v>结构层</x:v>
      </x:c>
      <x:c r="H104" s="68" t="str">
        <x:v>M12卡点</x:v>
      </x:c>
      <x:c r="I104" s="68" t="str">
        <x:v>相关五行</x:v>
      </x:c>
      <x:c r="J104" s="68" t="str">
        <x:v>原始旺</x:v>
      </x:c>
      <x:c r="K104" s="68" t="str">
        <x:v>缺乏有效下游泄出</x:v>
      </x:c>
      <x:c r="L104" s="68" t="str">
        <x:v>保留高力量同时下调流通可用性</x:v>
      </x:c>
      <x:c r="M104" s="82" t="str">
        <x:v>阻断</x:v>
      </x:c>
      <x:c r="N104" s="82" t="str">
        <x:v>中</x:v>
      </x:c>
      <x:c r="O104" s="82" t="str">
        <x:v>否</x:v>
      </x:c>
      <x:c r="P104" s="82" t="str">
        <x:v>条件性</x:v>
      </x:c>
      <x:c r="Q104" s="82" t="str">
        <x:v>条件性</x:v>
      </x:c>
      <x:c r="R104" s="82" t="str">
        <x:v>是</x:v>
      </x:c>
      <x:c r="S104" s="68" t="str">
        <x:v>前置模块已完成</x:v>
      </x:c>
      <x:c r="T104" s="68" t="str">
        <x:v>作用条件真实成立</x:v>
      </x:c>
      <x:c r="U104" s="68" t="str">
        <x:v>得令、有根、有援可增强</x:v>
      </x:c>
      <x:c r="V104" s="68" t="str">
        <x:v>失令、孤立或受制可削弱</x:v>
      </x:c>
      <x:c r="W104" s="90" t="str">
        <x:v>禁止用关系名称直接替代实际效应</x:v>
      </x:c>
      <x:c r="X104" s="68" t="str">
        <x:v>特殊格局与动态岁运另模块处理</x:v>
      </x:c>
      <x:c r="Y104" s="84" t="str">
        <x:v>按证据修正有效旺衰</x:v>
      </x:c>
      <x:c r="Z104" s="68" t="str">
        <x:v>不得直接推出喜忌用神</x:v>
      </x:c>
      <x:c r="AA104" s="84" t="str">
        <x:v>旺而壅塞</x:v>
      </x:c>
      <x:c r="AB104" s="84" t="str">
        <x:v>源头过旺而无泄时，力量仍可很强，但流通与功能效率下降。</x:v>
      </x:c>
      <x:c r="AC104" s="82" t="str">
        <x:v>较高</x:v>
      </x:c>
      <x:c r="AD104" s="82" t="str">
        <x:v>现代综合</x:v>
      </x:c>
      <x:c r="AE104" s="68" t="str">
        <x:v>有效力量必须承接原始力量与实际效应，逐对象、逐节点修正。</x:v>
      </x:c>
      <x:c r="AF104" s="68" t="str">
        <x:v>桥梁有效、链路连续、终点可承载时流通才真正成立。</x:v>
      </x:c>
      <x:c r="AG104" s="90" t="str">
        <x:v>五行齐全或相生链写得出来就视为完全流通。</x:v>
      </x:c>
      <x:c r="AH104" s="68" t="str">
        <x:v>https://zh.wikisource.org/zh-hans/滴天髓 ; https://zh.wikisource.org/zh-hans/淵海子平 ; https://zh.wikisource.org/wiki/三命通會</x:v>
      </x:c>
      <x:c r="AI104" s="82" t="str">
        <x:v>采用</x:v>
      </x:c>
      <x:c r="AJ104" s="82" t="str">
        <x:v>初审</x:v>
      </x:c>
      <x:c r="AK104" s="87" t="n">
        <x:v>46255</x:v>
      </x:c>
    </x:row>
    <x:row r="105">
      <x:c r="A105" s="72" t="str">
        <x:f>IF(OR(C105="",D105=""),"",B105&amp;"-"&amp;UPPER(C105)&amp;"-"&amp;TEXT(D105,"0000")&amp;"-"&amp;E105)</x:f>
        <x:v>M08-FLOW-0099-V1.0</x:v>
      </x:c>
      <x:c r="B105" s="74" t="str">
        <x:v>M08</x:v>
      </x:c>
      <x:c r="C105" s="74" t="str">
        <x:v>FLOW</x:v>
      </x:c>
      <x:c r="D105" s="79" t="n">
        <x:v>99</x:v>
      </x:c>
      <x:c r="E105" s="74" t="str">
        <x:v>V1.0</x:v>
      </x:c>
      <x:c r="F105" s="68" t="str">
        <x:v>终点过弱不能承载时上游输入未必转成有效力量</x:v>
      </x:c>
      <x:c r="G105" s="82" t="str">
        <x:v>结构层</x:v>
      </x:c>
      <x:c r="H105" s="68" t="str">
        <x:v>M12卡点</x:v>
      </x:c>
      <x:c r="I105" s="68" t="str">
        <x:v>相关五行</x:v>
      </x:c>
      <x:c r="J105" s="68" t="str">
        <x:v>原始弱</x:v>
      </x:c>
      <x:c r="K105" s="68" t="str">
        <x:v>上游持续输入而终点无根</x:v>
      </x:c>
      <x:c r="L105" s="68" t="str">
        <x:v>限制有效传递并标记承载不足</x:v>
      </x:c>
      <x:c r="M105" s="82" t="str">
        <x:v>阻断</x:v>
      </x:c>
      <x:c r="N105" s="82" t="str">
        <x:v>中</x:v>
      </x:c>
      <x:c r="O105" s="82" t="str">
        <x:v>否</x:v>
      </x:c>
      <x:c r="P105" s="82" t="str">
        <x:v>条件性</x:v>
      </x:c>
      <x:c r="Q105" s="82" t="str">
        <x:v>条件性</x:v>
      </x:c>
      <x:c r="R105" s="82" t="str">
        <x:v>是</x:v>
      </x:c>
      <x:c r="S105" s="68" t="str">
        <x:v>前置模块已完成</x:v>
      </x:c>
      <x:c r="T105" s="68" t="str">
        <x:v>作用条件真实成立</x:v>
      </x:c>
      <x:c r="U105" s="68" t="str">
        <x:v>得令、有根、有援可增强</x:v>
      </x:c>
      <x:c r="V105" s="68" t="str">
        <x:v>失令、孤立或受制可削弱</x:v>
      </x:c>
      <x:c r="W105" s="90" t="str">
        <x:v>禁止用关系名称直接替代实际效应</x:v>
      </x:c>
      <x:c r="X105" s="68" t="str">
        <x:v>特殊格局与动态岁运另模块处理</x:v>
      </x:c>
      <x:c r="Y105" s="84" t="str">
        <x:v>按证据修正有效旺衰</x:v>
      </x:c>
      <x:c r="Z105" s="68" t="str">
        <x:v>不得直接推出喜忌用神</x:v>
      </x:c>
      <x:c r="AA105" s="84" t="str">
        <x:v>终点承载不足</x:v>
      </x:c>
      <x:c r="AB105" s="84" t="str">
        <x:v>终点无承载时，上游输入未必能完全转化为终点有效力量。</x:v>
      </x:c>
      <x:c r="AC105" s="82" t="str">
        <x:v>较高</x:v>
      </x:c>
      <x:c r="AD105" s="82" t="str">
        <x:v>现代综合</x:v>
      </x:c>
      <x:c r="AE105" s="68" t="str">
        <x:v>有效力量必须承接原始力量与实际效应，逐对象、逐节点修正。</x:v>
      </x:c>
      <x:c r="AF105" s="68" t="str">
        <x:v>桥梁有效、链路连续、终点可承载时流通才真正成立。</x:v>
      </x:c>
      <x:c r="AG105" s="90" t="str">
        <x:v>五行齐全或相生链写得出来就视为完全流通。</x:v>
      </x:c>
      <x:c r="AH105" s="68" t="str">
        <x:v>https://zh.wikisource.org/zh-hans/滴天髓 ; https://zh.wikisource.org/zh-hans/淵海子平 ; https://zh.wikisource.org/wiki/三命通會</x:v>
      </x:c>
      <x:c r="AI105" s="82" t="str">
        <x:v>采用</x:v>
      </x:c>
      <x:c r="AJ105" s="82" t="str">
        <x:v>初审</x:v>
      </x:c>
      <x:c r="AK105" s="87" t="n">
        <x:v>46255</x:v>
      </x:c>
    </x:row>
    <x:row r="106">
      <x:c r="A106" t="str">
        <x:f>IF(OR(C106="",D106=""),"",B106&amp;"-"&amp;UPPER(C106)&amp;"-"&amp;TEXT(D106,"0000")&amp;"-"&amp;E106)</x:f>
        <x:v>M08-FLOW-0100-V1.0</x:v>
      </x:c>
      <x:c r="B106" t="str">
        <x:v>M08</x:v>
      </x:c>
      <x:c r="C106" t="str">
        <x:v>FLOW</x:v>
      </x:c>
      <x:c r="D106" t="n">
        <x:v>100</x:v>
      </x:c>
      <x:c r="E106" t="str">
        <x:v>V1.0</x:v>
      </x:c>
      <x:c r="F106" t="str">
        <x:v>M08只记录流通对有效力的修正，卡点定位交M12</x:v>
      </x:c>
      <x:c r="G106" t="str">
        <x:v>结构层</x:v>
      </x:c>
      <x:c r="H106" t="str">
        <x:v>M08边界</x:v>
      </x:c>
      <x:c r="I106" t="str">
        <x:v>相关五行</x:v>
      </x:c>
      <x:c r="J106" t="str">
        <x:v>任意</x:v>
      </x:c>
      <x:c r="K106" t="str">
        <x:v>存在流通问题</x:v>
      </x:c>
      <x:c r="L106" t="str">
        <x:v>只输出有效力量与可用性变化</x:v>
      </x:c>
      <x:c r="M106" t="str">
        <x:v>不变</x:v>
      </x:c>
      <x:c r="N106" t="str">
        <x:v>弱</x:v>
      </x:c>
      <x:c r="O106" t="str">
        <x:v>否</x:v>
      </x:c>
      <x:c r="P106" t="str">
        <x:v>条件性</x:v>
      </x:c>
      <x:c r="Q106" t="str">
        <x:v>条件性</x:v>
      </x:c>
      <x:c r="R106" t="str">
        <x:v>是</x:v>
      </x:c>
      <x:c r="S106" t="str">
        <x:v>前置模块已完成</x:v>
      </x:c>
      <x:c r="T106" t="str">
        <x:v>作用条件真实成立</x:v>
      </x:c>
      <x:c r="U106" t="str">
        <x:v>得令、有根、有援可增强</x:v>
      </x:c>
      <x:c r="V106" t="str">
        <x:v>失令、孤立或受制可削弱</x:v>
      </x:c>
      <x:c r="W106" t="str">
        <x:v>禁止用关系名称直接替代实际效应</x:v>
      </x:c>
      <x:c r="X106" t="str">
        <x:v>特殊格局与动态岁运另模块处理</x:v>
      </x:c>
      <x:c r="Y106" t="str">
        <x:v>按证据修正有效旺衰</x:v>
      </x:c>
      <x:c r="Z106" t="str">
        <x:v>不得直接推出喜忌用神</x:v>
      </x:c>
      <x:c r="AA106" t="str">
        <x:v>流通接口边界</x:v>
      </x:c>
      <x:c r="AB106" t="str">
        <x:v>M08记录流通对有效力量的影响，具体卡点与通关路径由M12判断。</x:v>
      </x:c>
      <x:c r="AC106" t="str">
        <x:v>较高</x:v>
      </x:c>
      <x:c r="AD106" t="str">
        <x:v>现代综合</x:v>
      </x:c>
      <x:c r="AE106" t="str">
        <x:v>有效力量必须承接原始力量与实际效应，逐对象、逐节点修正。</x:v>
      </x:c>
      <x:c r="AF106" t="str">
        <x:v>桥梁有效、链路连续、终点可承载时流通才真正成立。</x:v>
      </x:c>
      <x:c r="AG106" t="str">
        <x:v>五行齐全或相生链写得出来就视为完全流通。</x:v>
      </x:c>
      <x:c r="AH106" t="str">
        <x:v>https://zh.wikisource.org/zh-hans/滴天髓 ; https://zh.wikisource.org/zh-hans/淵海子平 ; https://zh.wikisource.org/wiki/三命通會</x:v>
      </x:c>
      <x:c r="AI106" t="str">
        <x:v>采用</x:v>
      </x:c>
      <x:c r="AJ106" t="str">
        <x:v>初审</x:v>
      </x:c>
      <x:c r="AK106" t="n">
        <x:v>46255</x:v>
      </x:c>
    </x:row>
    <x:row r="107">
      <x:c r="A107" t="str">
        <x:f>IF(OR(C107="",D107=""),"",B107&amp;"-"&amp;UPPER(C107)&amp;"-"&amp;TEXT(D107,"0000")&amp;"-"&amp;E107)</x:f>
        <x:v>M08-AGG-0101-V1.0</x:v>
      </x:c>
      <x:c r="B107" t="str">
        <x:v>M08</x:v>
      </x:c>
      <x:c r="C107" t="str">
        <x:v>AGG</x:v>
      </x:c>
      <x:c r="D107" t="n">
        <x:v>101</x:v>
      </x:c>
      <x:c r="E107" t="str">
        <x:v>V1.0</x:v>
      </x:c>
      <x:c r="F107" t="str">
        <x:v>有效旺衰必须从M07原始等级出发逐项修正</x:v>
      </x:c>
      <x:c r="G107" t="str">
        <x:v>结构层</x:v>
      </x:c>
      <x:c r="H107" t="str">
        <x:v>M07+M06+M08</x:v>
      </x:c>
      <x:c r="I107" t="str">
        <x:v>目标五行</x:v>
      </x:c>
      <x:c r="J107" t="str">
        <x:v>已有原始等级</x:v>
      </x:c>
      <x:c r="K107" t="str">
        <x:v>应用根源透达克泄耗转化气候流通修正</x:v>
      </x:c>
      <x:c r="L107" t="str">
        <x:v>形成有效等级而非从零计分</x:v>
      </x:c>
      <x:c r="M107" t="str">
        <x:v>条件性</x:v>
      </x:c>
      <x:c r="N107" t="str">
        <x:v>决定性</x:v>
      </x:c>
      <x:c r="O107" t="str">
        <x:v>条件性</x:v>
      </x:c>
      <x:c r="P107" t="str">
        <x:v>条件性</x:v>
      </x:c>
      <x:c r="Q107" t="str">
        <x:v>条件性</x:v>
      </x:c>
      <x:c r="R107" t="str">
        <x:v>条件性</x:v>
      </x:c>
      <x:c r="S107" t="str">
        <x:v>M07原始旺衰与M06关键效应均已完成</x:v>
      </x:c>
      <x:c r="T107" t="str">
        <x:v>主证据与反向证据均可追溯</x:v>
      </x:c>
      <x:c r="U107" t="str">
        <x:v>得令、有根、有援可增强</x:v>
      </x:c>
      <x:c r="V107" t="str">
        <x:v>失令、孤立或受制可削弱</x:v>
      </x:c>
      <x:c r="W107" t="str">
        <x:v>禁止用关系名称直接替代实际效应</x:v>
      </x:c>
      <x:c r="X107" t="str">
        <x:v>特殊格局与动态岁运另模块处理</x:v>
      </x:c>
      <x:c r="Y107" t="str">
        <x:v>按证据修正有效旺衰</x:v>
      </x:c>
      <x:c r="Z107" t="str">
        <x:v>不得直接推出喜忌用神</x:v>
      </x:c>
      <x:c r="AA107" t="str">
        <x:v>有效旺衰总则</x:v>
      </x:c>
      <x:c r="AB107" t="str">
        <x:v>有效旺衰以M07原始力量为起点，经M06/M08逐项修正后形成。</x:v>
      </x:c>
      <x:c r="AC107" t="str">
        <x:v>较高</x:v>
      </x:c>
      <x:c r="AD107" t="str">
        <x:v>现代综合</x:v>
      </x:c>
      <x:c r="AE107" t="str">
        <x:v>有效力量必须承接原始力量与实际效应，逐对象、逐节点修正。</x:v>
      </x:c>
      <x:c r="AF107" t="str">
        <x:v>证据方向略占优时可判中和偏旺或偏弱。</x:v>
      </x:c>
      <x:c r="AG107" t="str">
        <x:v>用单一分数阈值或单一关系名强行定级。</x:v>
      </x:c>
      <x:c r="AH107" t="str">
        <x:v>https://zh.wikisource.org/zh-hans/滴天髓 ; https://zh.wikisource.org/zh-hans/淵海子平 ; https://zh.wikisource.org/wiki/三命通會</x:v>
      </x:c>
      <x:c r="AI107" t="str">
        <x:v>采用</x:v>
      </x:c>
      <x:c r="AJ107" t="str">
        <x:v>初审</x:v>
      </x:c>
      <x:c r="AK107" t="n">
        <x:v>46255</x:v>
      </x:c>
    </x:row>
    <x:row r="108">
      <x:c r="A108" t="str">
        <x:f>IF(OR(C108="",D108=""),"",B108&amp;"-"&amp;UPPER(C108)&amp;"-"&amp;TEXT(D108,"0000")&amp;"-"&amp;E108)</x:f>
        <x:v>M08-AGG-0102-V1.0</x:v>
      </x:c>
      <x:c r="B108" t="str">
        <x:v>M08</x:v>
      </x:c>
      <x:c r="C108" t="str">
        <x:v>AGG</x:v>
      </x:c>
      <x:c r="D108" t="n">
        <x:v>102</x:v>
      </x:c>
      <x:c r="E108" t="str">
        <x:v>V1.0</x:v>
      </x:c>
      <x:c r="F108" t="str">
        <x:v>七级有效旺衰采用区间与证据矩阵而非固定总分</x:v>
      </x:c>
      <x:c r="G108" t="str">
        <x:v>结构层</x:v>
      </x:c>
      <x:c r="H108" t="str">
        <x:v>综合分级</x:v>
      </x:c>
      <x:c r="I108" t="str">
        <x:v>目标五行</x:v>
      </x:c>
      <x:c r="J108" t="str">
        <x:v>修正完成</x:v>
      </x:c>
      <x:c r="K108" t="str">
        <x:v>正反证据并存</x:v>
      </x:c>
      <x:c r="L108" t="str">
        <x:v>按主证据、反证和硬约束归入七级区间</x:v>
      </x:c>
      <x:c r="M108" t="str">
        <x:v>条件性</x:v>
      </x:c>
      <x:c r="N108" t="str">
        <x:v>强</x:v>
      </x:c>
      <x:c r="O108" t="str">
        <x:v>条件性</x:v>
      </x:c>
      <x:c r="P108" t="str">
        <x:v>条件性</x:v>
      </x:c>
      <x:c r="Q108" t="str">
        <x:v>条件性</x:v>
      </x:c>
      <x:c r="R108" t="str">
        <x:v>条件性</x:v>
      </x:c>
      <x:c r="S108" t="str">
        <x:v>M07原始旺衰与M06关键效应均已完成</x:v>
      </x:c>
      <x:c r="T108" t="str">
        <x:v>主证据与反向证据均可追溯</x:v>
      </x:c>
      <x:c r="U108" t="str">
        <x:v>得令、有根、有援可增强</x:v>
      </x:c>
      <x:c r="V108" t="str">
        <x:v>失令、孤立或受制可削弱</x:v>
      </x:c>
      <x:c r="W108" t="str">
        <x:v>禁止用关系名称直接替代实际效应</x:v>
      </x:c>
      <x:c r="X108" t="str">
        <x:v>特殊格局与动态岁运另模块处理</x:v>
      </x:c>
      <x:c r="Y108" t="str">
        <x:v>按证据修正有效旺衰</x:v>
      </x:c>
      <x:c r="Z108" t="str">
        <x:v>不得直接推出喜忌用神</x:v>
      </x:c>
      <x:c r="AA108" t="str">
        <x:v>七级有效旺衰</x:v>
      </x:c>
      <x:c r="AB108" t="str">
        <x:v>有效旺衰按证据矩阵归类为极弱至极旺七级区间。</x:v>
      </x:c>
      <x:c r="AC108" t="str">
        <x:v>较高</x:v>
      </x:c>
      <x:c r="AD108" t="str">
        <x:v>现代综合</x:v>
      </x:c>
      <x:c r="AE108" t="str">
        <x:v>有效力量必须承接原始力量与实际效应，逐对象、逐节点修正。</x:v>
      </x:c>
      <x:c r="AF108" t="str">
        <x:v>证据方向略占优时可判中和偏旺或偏弱。</x:v>
      </x:c>
      <x:c r="AG108" t="str">
        <x:v>用单一分数阈值或单一关系名强行定级。</x:v>
      </x:c>
      <x:c r="AH108" t="str">
        <x:v>https://zh.wikisource.org/zh-hans/滴天髓 ; https://zh.wikisource.org/zh-hans/淵海子平 ; https://zh.wikisource.org/wiki/三命通會</x:v>
      </x:c>
      <x:c r="AI108" t="str">
        <x:v>采用</x:v>
      </x:c>
      <x:c r="AJ108" t="str">
        <x:v>初审</x:v>
      </x:c>
      <x:c r="AK108" t="n">
        <x:v>46255</x:v>
      </x:c>
    </x:row>
    <x:row r="109">
      <x:c r="A109" t="str">
        <x:f>IF(OR(C109="",D109=""),"",B109&amp;"-"&amp;UPPER(C109)&amp;"-"&amp;TEXT(D109,"0000")&amp;"-"&amp;E109)</x:f>
        <x:v>M08-AGG-0103-V1.0</x:v>
      </x:c>
      <x:c r="B109" t="str">
        <x:v>M08</x:v>
      </x:c>
      <x:c r="C109" t="str">
        <x:v>AGG</x:v>
      </x:c>
      <x:c r="D109" t="n">
        <x:v>103</x:v>
      </x:c>
      <x:c r="E109" t="str">
        <x:v>V1.0</x:v>
      </x:c>
      <x:c r="F109" t="str">
        <x:v>极旺要求原始强势且关键削弱仍不足以改变主势</x:v>
      </x:c>
      <x:c r="G109" t="str">
        <x:v>结构层</x:v>
      </x:c>
      <x:c r="H109" t="str">
        <x:v>极端门槛</x:v>
      </x:c>
      <x:c r="I109" t="str">
        <x:v>目标五行</x:v>
      </x:c>
      <x:c r="J109" t="str">
        <x:v>原始旺/极旺</x:v>
      </x:c>
      <x:c r="K109" t="str">
        <x:v>有效修正后仍成势</x:v>
      </x:c>
      <x:c r="L109" t="str">
        <x:v>只有多维强证据时保留极旺</x:v>
      </x:c>
      <x:c r="M109" t="str">
        <x:v>增强</x:v>
      </x:c>
      <x:c r="N109" t="str">
        <x:v>决定性</x:v>
      </x:c>
      <x:c r="O109" t="str">
        <x:v>条件性</x:v>
      </x:c>
      <x:c r="P109" t="str">
        <x:v>条件性</x:v>
      </x:c>
      <x:c r="Q109" t="str">
        <x:v>条件性</x:v>
      </x:c>
      <x:c r="R109" t="str">
        <x:v>条件性</x:v>
      </x:c>
      <x:c r="S109" t="str">
        <x:v>M07原始旺衰与M06关键效应均已完成</x:v>
      </x:c>
      <x:c r="T109" t="str">
        <x:v>主证据与反向证据均可追溯</x:v>
      </x:c>
      <x:c r="U109" t="str">
        <x:v>得令、有根、有援可增强</x:v>
      </x:c>
      <x:c r="V109" t="str">
        <x:v>失令、孤立或受制可削弱</x:v>
      </x:c>
      <x:c r="W109" t="str">
        <x:v>禁止用关系名称直接替代实际效应</x:v>
      </x:c>
      <x:c r="X109" t="str">
        <x:v>特殊格局与动态岁运另模块处理</x:v>
      </x:c>
      <x:c r="Y109" t="str">
        <x:v>按证据修正有效旺衰</x:v>
      </x:c>
      <x:c r="Z109" t="str">
        <x:v>不得直接推出喜忌用神</x:v>
      </x:c>
      <x:c r="AA109" t="str">
        <x:v>极旺门槛</x:v>
      </x:c>
      <x:c r="AB109" t="str">
        <x:v>极旺必须在有效修正后仍保持压倒性势能。</x:v>
      </x:c>
      <x:c r="AC109" t="str">
        <x:v>较高</x:v>
      </x:c>
      <x:c r="AD109" t="str">
        <x:v>现代综合</x:v>
      </x:c>
      <x:c r="AE109" t="str">
        <x:v>有效力量必须承接原始力量与实际效应，逐对象、逐节点修正。</x:v>
      </x:c>
      <x:c r="AF109" t="str">
        <x:v>证据方向略占优时可判中和偏旺或偏弱。</x:v>
      </x:c>
      <x:c r="AG109" t="str">
        <x:v>用单一分数阈值或单一关系名强行定级。</x:v>
      </x:c>
      <x:c r="AH109" t="str">
        <x:v>https://zh.wikisource.org/zh-hans/滴天髓 ; https://zh.wikisource.org/zh-hans/淵海子平 ; https://zh.wikisource.org/wiki/三命通會</x:v>
      </x:c>
      <x:c r="AI109" t="str">
        <x:v>采用</x:v>
      </x:c>
      <x:c r="AJ109" t="str">
        <x:v>初审</x:v>
      </x:c>
      <x:c r="AK109" t="n">
        <x:v>46255</x:v>
      </x:c>
    </x:row>
    <x:row r="110">
      <x:c r="A110" t="str">
        <x:f>IF(OR(C110="",D110=""),"",B110&amp;"-"&amp;UPPER(C110)&amp;"-"&amp;TEXT(D110,"0000")&amp;"-"&amp;E110)</x:f>
        <x:v>M08-AGG-0104-V1.0</x:v>
      </x:c>
      <x:c r="B110" t="str">
        <x:v>M08</x:v>
      </x:c>
      <x:c r="C110" t="str">
        <x:v>AGG</x:v>
      </x:c>
      <x:c r="D110" t="n">
        <x:v>104</x:v>
      </x:c>
      <x:c r="E110" t="str">
        <x:v>V1.0</x:v>
      </x:c>
      <x:c r="F110" t="str">
        <x:v>极弱要求主要承载、生源与根透均接近失效</x:v>
      </x:c>
      <x:c r="G110" t="str">
        <x:v>结构层</x:v>
      </x:c>
      <x:c r="H110" t="str">
        <x:v>极端门槛</x:v>
      </x:c>
      <x:c r="I110" t="str">
        <x:v>目标五行</x:v>
      </x:c>
      <x:c r="J110" t="str">
        <x:v>原始弱/极弱</x:v>
      </x:c>
      <x:c r="K110" t="str">
        <x:v>有效修正后缺乏恢复条件</x:v>
      </x:c>
      <x:c r="L110" t="str">
        <x:v>多项承载同时失效才判极弱</x:v>
      </x:c>
      <x:c r="M110" t="str">
        <x:v>减弱</x:v>
      </x:c>
      <x:c r="N110" t="str">
        <x:v>决定性</x:v>
      </x:c>
      <x:c r="O110" t="str">
        <x:v>条件性</x:v>
      </x:c>
      <x:c r="P110" t="str">
        <x:v>条件性</x:v>
      </x:c>
      <x:c r="Q110" t="str">
        <x:v>条件性</x:v>
      </x:c>
      <x:c r="R110" t="str">
        <x:v>条件性</x:v>
      </x:c>
      <x:c r="S110" t="str">
        <x:v>M07原始旺衰与M06关键效应均已完成</x:v>
      </x:c>
      <x:c r="T110" t="str">
        <x:v>主证据与反向证据均可追溯</x:v>
      </x:c>
      <x:c r="U110" t="str">
        <x:v>得令、有根、有援可增强</x:v>
      </x:c>
      <x:c r="V110" t="str">
        <x:v>失令、孤立或受制可削弱</x:v>
      </x:c>
      <x:c r="W110" t="str">
        <x:v>禁止用关系名称直接替代实际效应</x:v>
      </x:c>
      <x:c r="X110" t="str">
        <x:v>特殊格局与动态岁运另模块处理</x:v>
      </x:c>
      <x:c r="Y110" t="str">
        <x:v>按证据修正有效旺衰</x:v>
      </x:c>
      <x:c r="Z110" t="str">
        <x:v>不得直接推出喜忌用神</x:v>
      </x:c>
      <x:c r="AA110" t="str">
        <x:v>极弱门槛</x:v>
      </x:c>
      <x:c r="AB110" t="str">
        <x:v>极弱要求多项有效承载同时缺失，不能只凭无根或失令。</x:v>
      </x:c>
      <x:c r="AC110" t="str">
        <x:v>较高</x:v>
      </x:c>
      <x:c r="AD110" t="str">
        <x:v>现代综合</x:v>
      </x:c>
      <x:c r="AE110" t="str">
        <x:v>有效力量必须承接原始力量与实际效应，逐对象、逐节点修正。</x:v>
      </x:c>
      <x:c r="AF110" t="str">
        <x:v>证据方向略占优时可判中和偏旺或偏弱。</x:v>
      </x:c>
      <x:c r="AG110" t="str">
        <x:v>用单一分数阈值或单一关系名强行定级。</x:v>
      </x:c>
      <x:c r="AH110" t="str">
        <x:v>https://zh.wikisource.org/zh-hans/滴天髓 ; https://zh.wikisource.org/zh-hans/淵海子平 ; https://zh.wikisource.org/wiki/三命通會</x:v>
      </x:c>
      <x:c r="AI110" t="str">
        <x:v>采用</x:v>
      </x:c>
      <x:c r="AJ110" t="str">
        <x:v>初审</x:v>
      </x:c>
      <x:c r="AK110" t="n">
        <x:v>46255</x:v>
      </x:c>
    </x:row>
    <x:row r="111">
      <x:c r="A111" t="str">
        <x:f>IF(OR(C111="",D111=""),"",B111&amp;"-"&amp;UPPER(C111)&amp;"-"&amp;TEXT(D111,"0000")&amp;"-"&amp;E111)</x:f>
        <x:v>M08-AGG-0105-V1.0</x:v>
      </x:c>
      <x:c r="B111" t="str">
        <x:v>M08</x:v>
      </x:c>
      <x:c r="C111" t="str">
        <x:v>AGG</x:v>
      </x:c>
      <x:c r="D111" t="n">
        <x:v>105</x:v>
      </x:c>
      <x:c r="E111" t="str">
        <x:v>V1.0</x:v>
      </x:c>
      <x:c r="F111" t="str">
        <x:v>中和区间允许强弱证据同时存在并相互抵消</x:v>
      </x:c>
      <x:c r="G111" t="str">
        <x:v>结构层</x:v>
      </x:c>
      <x:c r="H111" t="str">
        <x:v>综合平衡</x:v>
      </x:c>
      <x:c r="I111" t="str">
        <x:v>目标五行</x:v>
      </x:c>
      <x:c r="J111" t="str">
        <x:v>原始中间区</x:v>
      </x:c>
      <x:c r="K111" t="str">
        <x:v>增强与削弱证据接近</x:v>
      </x:c>
      <x:c r="L111" t="str">
        <x:v>保持中和或偏旺偏弱的边际表达</x:v>
      </x:c>
      <x:c r="M111" t="str">
        <x:v>条件性</x:v>
      </x:c>
      <x:c r="N111" t="str">
        <x:v>中</x:v>
      </x:c>
      <x:c r="O111" t="str">
        <x:v>条件性</x:v>
      </x:c>
      <x:c r="P111" t="str">
        <x:v>条件性</x:v>
      </x:c>
      <x:c r="Q111" t="str">
        <x:v>条件性</x:v>
      </x:c>
      <x:c r="R111" t="str">
        <x:v>条件性</x:v>
      </x:c>
      <x:c r="S111" t="str">
        <x:v>M07原始旺衰与M06关键效应均已完成</x:v>
      </x:c>
      <x:c r="T111" t="str">
        <x:v>主证据与反向证据均可追溯</x:v>
      </x:c>
      <x:c r="U111" t="str">
        <x:v>得令、有根、有援可增强</x:v>
      </x:c>
      <x:c r="V111" t="str">
        <x:v>失令、孤立或受制可削弱</x:v>
      </x:c>
      <x:c r="W111" t="str">
        <x:v>禁止用关系名称直接替代实际效应</x:v>
      </x:c>
      <x:c r="X111" t="str">
        <x:v>特殊格局与动态岁运另模块处理</x:v>
      </x:c>
      <x:c r="Y111" t="str">
        <x:v>按证据修正有效旺衰</x:v>
      </x:c>
      <x:c r="Z111" t="str">
        <x:v>不得直接推出喜忌用神</x:v>
      </x:c>
      <x:c r="AA111" t="str">
        <x:v>中和区间</x:v>
      </x:c>
      <x:c r="AB111" t="str">
        <x:v>正反证据接近时，应保留中和区间并表达轻微方向。</x:v>
      </x:c>
      <x:c r="AC111" t="str">
        <x:v>较高</x:v>
      </x:c>
      <x:c r="AD111" t="str">
        <x:v>现代综合</x:v>
      </x:c>
      <x:c r="AE111" t="str">
        <x:v>有效力量必须承接原始力量与实际效应，逐对象、逐节点修正。</x:v>
      </x:c>
      <x:c r="AF111" t="str">
        <x:v>证据方向略占优时可判中和偏旺或偏弱。</x:v>
      </x:c>
      <x:c r="AG111" t="str">
        <x:v>用单一分数阈值或单一关系名强行定级。</x:v>
      </x:c>
      <x:c r="AH111" t="str">
        <x:v>https://zh.wikisource.org/zh-hans/滴天髓 ; https://zh.wikisource.org/zh-hans/淵海子平 ; https://zh.wikisource.org/wiki/三命通會</x:v>
      </x:c>
      <x:c r="AI111" t="str">
        <x:v>采用</x:v>
      </x:c>
      <x:c r="AJ111" t="str">
        <x:v>初审</x:v>
      </x:c>
      <x:c r="AK111" t="n">
        <x:v>46255</x:v>
      </x:c>
    </x:row>
    <x:row r="112">
      <x:c r="A112" t="str">
        <x:f>IF(OR(C112="",D112=""),"",B112&amp;"-"&amp;UPPER(C112)&amp;"-"&amp;TEXT(D112,"0000")&amp;"-"&amp;E112)</x:f>
        <x:v>M08-AGG-0106-V1.0</x:v>
      </x:c>
      <x:c r="B112" t="str">
        <x:v>M08</x:v>
      </x:c>
      <x:c r="C112" t="str">
        <x:v>AGG</x:v>
      </x:c>
      <x:c r="D112" t="n">
        <x:v>106</x:v>
      </x:c>
      <x:c r="E112" t="str">
        <x:v>V1.0</x:v>
      </x:c>
      <x:c r="F112" t="str">
        <x:v>有效旺衰输出必须附主证据、反证与置信度</x:v>
      </x:c>
      <x:c r="G112" t="str">
        <x:v>结构层</x:v>
      </x:c>
      <x:c r="H112" t="str">
        <x:v>输出规范</x:v>
      </x:c>
      <x:c r="I112" t="str">
        <x:v>目标五行</x:v>
      </x:c>
      <x:c r="J112" t="str">
        <x:v>结论已形成</x:v>
      </x:c>
      <x:c r="K112" t="str">
        <x:v>证据汇总</x:v>
      </x:c>
      <x:c r="L112" t="str">
        <x:v>生成可追溯结论而非单标签</x:v>
      </x:c>
      <x:c r="M112" t="str">
        <x:v>不变</x:v>
      </x:c>
      <x:c r="N112" t="str">
        <x:v>强</x:v>
      </x:c>
      <x:c r="O112" t="str">
        <x:v>条件性</x:v>
      </x:c>
      <x:c r="P112" t="str">
        <x:v>条件性</x:v>
      </x:c>
      <x:c r="Q112" t="str">
        <x:v>条件性</x:v>
      </x:c>
      <x:c r="R112" t="str">
        <x:v>条件性</x:v>
      </x:c>
      <x:c r="S112" t="str">
        <x:v>M07原始旺衰与M06关键效应均已完成</x:v>
      </x:c>
      <x:c r="T112" t="str">
        <x:v>主证据与反向证据均可追溯</x:v>
      </x:c>
      <x:c r="U112" t="str">
        <x:v>得令、有根、有援可增强</x:v>
      </x:c>
      <x:c r="V112" t="str">
        <x:v>失令、孤立或受制可削弱</x:v>
      </x:c>
      <x:c r="W112" t="str">
        <x:v>禁止用关系名称直接替代实际效应</x:v>
      </x:c>
      <x:c r="X112" t="str">
        <x:v>特殊格局与动态岁运另模块处理</x:v>
      </x:c>
      <x:c r="Y112" t="str">
        <x:v>按证据修正有效旺衰</x:v>
      </x:c>
      <x:c r="Z112" t="str">
        <x:v>不得直接推出喜忌用神</x:v>
      </x:c>
      <x:c r="AA112" t="str">
        <x:v>有效旺衰输出</x:v>
      </x:c>
      <x:c r="AB112" t="str">
        <x:v>每个五行必须输出有效旺衰等级、主要修正、反证和置信度。</x:v>
      </x:c>
      <x:c r="AC112" t="str">
        <x:v>较高</x:v>
      </x:c>
      <x:c r="AD112" t="str">
        <x:v>现代综合</x:v>
      </x:c>
      <x:c r="AE112" t="str">
        <x:v>有效力量必须承接原始力量与实际效应，逐对象、逐节点修正。</x:v>
      </x:c>
      <x:c r="AF112" t="str">
        <x:v>证据方向略占优时可判中和偏旺或偏弱。</x:v>
      </x:c>
      <x:c r="AG112" t="str">
        <x:v>用单一分数阈值或单一关系名强行定级。</x:v>
      </x:c>
      <x:c r="AH112" t="str">
        <x:v>https://zh.wikisource.org/zh-hans/滴天髓 ; https://zh.wikisource.org/zh-hans/淵海子平 ; https://zh.wikisource.org/wiki/三命通會</x:v>
      </x:c>
      <x:c r="AI112" t="str">
        <x:v>采用</x:v>
      </x:c>
      <x:c r="AJ112" t="str">
        <x:v>初审</x:v>
      </x:c>
      <x:c r="AK112" t="n">
        <x:v>46255</x:v>
      </x:c>
    </x:row>
    <x:row r="113">
      <x:c r="A113" t="str">
        <x:f>IF(OR(C113="",D113=""),"",B113&amp;"-"&amp;UPPER(C113)&amp;"-"&amp;TEXT(D113,"0000")&amp;"-"&amp;E113)</x:f>
        <x:v>M08-BOUND-0107-V1.0</x:v>
      </x:c>
      <x:c r="B113" t="str">
        <x:v>M08</x:v>
      </x:c>
      <x:c r="C113" t="str">
        <x:v>BOUND</x:v>
      </x:c>
      <x:c r="D113" t="n">
        <x:v>107</x:v>
      </x:c>
      <x:c r="E113" t="str">
        <x:v>V1.0</x:v>
      </x:c>
      <x:c r="F113" t="str">
        <x:v>M08不得直接确定喜神忌神用神</x:v>
      </x:c>
      <x:c r="G113" t="str">
        <x:v>结构层</x:v>
      </x:c>
      <x:c r="H113" t="str">
        <x:v>模块边界</x:v>
      </x:c>
      <x:c r="I113" t="str">
        <x:v>全部五行</x:v>
      </x:c>
      <x:c r="J113" t="str">
        <x:v>任意</x:v>
      </x:c>
      <x:c r="K113" t="str">
        <x:v>有效力量判断</x:v>
      </x:c>
      <x:c r="L113" t="str">
        <x:v>只输出力量与可用性，不赋予价值判断</x:v>
      </x:c>
      <x:c r="M113" t="str">
        <x:v>不变</x:v>
      </x:c>
      <x:c r="N113" t="str">
        <x:v>决定性</x:v>
      </x:c>
      <x:c r="O113" t="str">
        <x:v>否</x:v>
      </x:c>
      <x:c r="P113" t="str">
        <x:v>否</x:v>
      </x:c>
      <x:c r="Q113" t="str">
        <x:v>否</x:v>
      </x:c>
      <x:c r="R113" t="str">
        <x:v>否</x:v>
      </x:c>
      <x:c r="S113" t="str">
        <x:v>前置模块已完成</x:v>
      </x:c>
      <x:c r="T113" t="str">
        <x:v>作用条件真实成立</x:v>
      </x:c>
      <x:c r="U113" t="str">
        <x:v>得令、有根、有援可增强</x:v>
      </x:c>
      <x:c r="V113" t="str">
        <x:v>失令、孤立或受制可削弱</x:v>
      </x:c>
      <x:c r="W113" t="str">
        <x:v>禁止用关系名称直接替代实际效应</x:v>
      </x:c>
      <x:c r="X113" t="str">
        <x:v>特殊格局与动态岁运另模块处理</x:v>
      </x:c>
      <x:c r="Y113" t="str">
        <x:v>按证据修正有效旺衰</x:v>
      </x:c>
      <x:c r="Z113" t="str">
        <x:v>不得直接推出喜忌用神</x:v>
      </x:c>
      <x:c r="AA113" t="str">
        <x:v>喜忌隔离</x:v>
      </x:c>
      <x:c r="AB113" t="str">
        <x:v>有效旺衰只描述力量事实，喜忌用神必须等待后续综合裁决。</x:v>
      </x:c>
      <x:c r="AC113" t="str">
        <x:v>较高</x:v>
      </x:c>
      <x:c r="AD113" t="str">
        <x:v>现代综合</x:v>
      </x:c>
      <x:c r="AE113" t="str">
        <x:v>有效力量必须承接原始力量与实际效应，逐对象、逐节点修正。</x:v>
      </x:c>
      <x:c r="AF113" t="str">
        <x:v>保留证据链、条件、反证和替代方案。</x:v>
      </x:c>
      <x:c r="AG113" t="str">
        <x:v>把争议口诀、固定比例或喜忌结论硬编码到M08。</x:v>
      </x:c>
      <x:c r="AH113" t="str">
        <x:v>https://zh.wikisource.org/zh-hans/滴天髓 ; https://zh.wikisource.org/zh-hans/淵海子平 ; https://zh.wikisource.org/wiki/三命通會</x:v>
      </x:c>
      <x:c r="AI113" t="str">
        <x:v>采用</x:v>
      </x:c>
      <x:c r="AJ113" t="str">
        <x:v>初审</x:v>
      </x:c>
      <x:c r="AK113" t="n">
        <x:v>46255</x:v>
      </x:c>
    </x:row>
    <x:row r="114">
      <x:c r="A114" t="str">
        <x:f>IF(OR(C114="",D114=""),"",B114&amp;"-"&amp;UPPER(C114)&amp;"-"&amp;TEXT(D114,"0000")&amp;"-"&amp;E114)</x:f>
        <x:v>M08-BOUND-0108-V1.0</x:v>
      </x:c>
      <x:c r="B114" t="str">
        <x:v>M08</x:v>
      </x:c>
      <x:c r="C114" t="str">
        <x:v>BOUND</x:v>
      </x:c>
      <x:c r="D114" t="n">
        <x:v>108</x:v>
      </x:c>
      <x:c r="E114" t="str">
        <x:v>V1.0</x:v>
      </x:c>
      <x:c r="F114" t="str">
        <x:v>同一力量节点不得在根源透党合局等维度重复满额调用</x:v>
      </x:c>
      <x:c r="G114" t="str">
        <x:v>结构层</x:v>
      </x:c>
      <x:c r="H114" t="str">
        <x:v>证据容量</x:v>
      </x:c>
      <x:c r="I114" t="str">
        <x:v>全部五行</x:v>
      </x:c>
      <x:c r="J114" t="str">
        <x:v>任意</x:v>
      </x:c>
      <x:c r="K114" t="str">
        <x:v>同一节点多标签</x:v>
      </x:c>
      <x:c r="L114" t="str">
        <x:v>执行证据去重与容量分配</x:v>
      </x:c>
      <x:c r="M114" t="str">
        <x:v>不变</x:v>
      </x:c>
      <x:c r="N114" t="str">
        <x:v>决定性</x:v>
      </x:c>
      <x:c r="O114" t="str">
        <x:v>否</x:v>
      </x:c>
      <x:c r="P114" t="str">
        <x:v>否</x:v>
      </x:c>
      <x:c r="Q114" t="str">
        <x:v>否</x:v>
      </x:c>
      <x:c r="R114" t="str">
        <x:v>否</x:v>
      </x:c>
      <x:c r="S114" t="str">
        <x:v>前置模块已完成</x:v>
      </x:c>
      <x:c r="T114" t="str">
        <x:v>作用条件真实成立</x:v>
      </x:c>
      <x:c r="U114" t="str">
        <x:v>得令、有根、有援可增强</x:v>
      </x:c>
      <x:c r="V114" t="str">
        <x:v>失令、孤立或受制可削弱</x:v>
      </x:c>
      <x:c r="W114" t="str">
        <x:v>禁止用关系名称直接替代实际效应</x:v>
      </x:c>
      <x:c r="X114" t="str">
        <x:v>特殊格局与动态岁运另模块处理</x:v>
      </x:c>
      <x:c r="Y114" t="str">
        <x:v>按证据修正有效旺衰</x:v>
      </x:c>
      <x:c r="Z114" t="str">
        <x:v>不得直接推出喜忌用神</x:v>
      </x:c>
      <x:c r="AA114" t="str">
        <x:v>有效证据去重</x:v>
      </x:c>
      <x:c r="AB114" t="str">
        <x:v>同一干支节点可以承担多个解释标签，但只能按真实容量调用。</x:v>
      </x:c>
      <x:c r="AC114" t="str">
        <x:v>较高</x:v>
      </x:c>
      <x:c r="AD114" t="str">
        <x:v>现代综合</x:v>
      </x:c>
      <x:c r="AE114" t="str">
        <x:v>有效力量必须承接原始力量与实际效应，逐对象、逐节点修正。</x:v>
      </x:c>
      <x:c r="AF114" t="str">
        <x:v>保留证据链、条件、反证和替代方案。</x:v>
      </x:c>
      <x:c r="AG114" t="str">
        <x:v>把争议口诀、固定比例或喜忌结论硬编码到M08。</x:v>
      </x:c>
      <x:c r="AH114" t="str">
        <x:v>https://zh.wikisource.org/zh-hans/滴天髓 ; https://zh.wikisource.org/zh-hans/淵海子平 ; https://zh.wikisource.org/wiki/三命通會</x:v>
      </x:c>
      <x:c r="AI114" t="str">
        <x:v>采用</x:v>
      </x:c>
      <x:c r="AJ114" t="str">
        <x:v>初审</x:v>
      </x:c>
      <x:c r="AK114" t="n">
        <x:v>46255</x:v>
      </x:c>
    </x:row>
    <x:row r="115">
      <x:c r="A115" t="str">
        <x:f>IF(OR(C115="",D115=""),"",B115&amp;"-"&amp;UPPER(C115)&amp;"-"&amp;TEXT(D115,"0000")&amp;"-"&amp;E115)</x:f>
        <x:v>M08-BOUND-0109-V1.0</x:v>
      </x:c>
      <x:c r="B115" t="str">
        <x:v>M08</x:v>
      </x:c>
      <x:c r="C115" t="str">
        <x:v>BOUND</x:v>
      </x:c>
      <x:c r="D115" t="n">
        <x:v>109</x:v>
      </x:c>
      <x:c r="E115" t="str">
        <x:v>V1.0</x:v>
      </x:c>
      <x:c r="F115" t="str">
        <x:v>固定百分比或固定分值不能作为最终裁决</x:v>
      </x:c>
      <x:c r="G115" t="str">
        <x:v>结构层</x:v>
      </x:c>
      <x:c r="H115" t="str">
        <x:v>模型治理</x:v>
      </x:c>
      <x:c r="I115" t="str">
        <x:v>全部五行</x:v>
      </x:c>
      <x:c r="J115" t="str">
        <x:v>任意</x:v>
      </x:c>
      <x:c r="K115" t="str">
        <x:v>量化尝试</x:v>
      </x:c>
      <x:c r="L115" t="str">
        <x:v>参考权重只用于辅助排序</x:v>
      </x:c>
      <x:c r="M115" t="str">
        <x:v>不变</x:v>
      </x:c>
      <x:c r="N115" t="str">
        <x:v>强</x:v>
      </x:c>
      <x:c r="O115" t="str">
        <x:v>否</x:v>
      </x:c>
      <x:c r="P115" t="str">
        <x:v>否</x:v>
      </x:c>
      <x:c r="Q115" t="str">
        <x:v>否</x:v>
      </x:c>
      <x:c r="R115" t="str">
        <x:v>否</x:v>
      </x:c>
      <x:c r="S115" t="str">
        <x:v>前置模块已完成</x:v>
      </x:c>
      <x:c r="T115" t="str">
        <x:v>作用条件真实成立</x:v>
      </x:c>
      <x:c r="U115" t="str">
        <x:v>得令、有根、有援可增强</x:v>
      </x:c>
      <x:c r="V115" t="str">
        <x:v>失令、孤立或受制可削弱</x:v>
      </x:c>
      <x:c r="W115" t="str">
        <x:v>禁止用关系名称直接替代实际效应</x:v>
      </x:c>
      <x:c r="X115" t="str">
        <x:v>特殊格局与动态岁运另模块处理</x:v>
      </x:c>
      <x:c r="Y115" t="str">
        <x:v>按证据修正有效旺衰</x:v>
      </x:c>
      <x:c r="Z115" t="str">
        <x:v>不得直接推出喜忌用神</x:v>
      </x:c>
      <x:c r="AA115" t="str">
        <x:v>非机械计分</x:v>
      </x:c>
      <x:c r="AB115" t="str">
        <x:v>M08可以使用参考权重辅助一致性，但不能用固定百分比替代结构判断。</x:v>
      </x:c>
      <x:c r="AC115" t="str">
        <x:v>较高</x:v>
      </x:c>
      <x:c r="AD115" t="str">
        <x:v>现代综合</x:v>
      </x:c>
      <x:c r="AE115" t="str">
        <x:v>有效力量必须承接原始力量与实际效应，逐对象、逐节点修正。</x:v>
      </x:c>
      <x:c r="AF115" t="str">
        <x:v>保留证据链、条件、反证和替代方案。</x:v>
      </x:c>
      <x:c r="AG115" t="str">
        <x:v>把争议口诀、固定比例或喜忌结论硬编码到M08。</x:v>
      </x:c>
      <x:c r="AH115" t="str">
        <x:v>https://zh.wikisource.org/zh-hans/滴天髓 ; https://zh.wikisource.org/zh-hans/淵海子平 ; https://zh.wikisource.org/wiki/三命通會</x:v>
      </x:c>
      <x:c r="AI115" t="str">
        <x:v>采用</x:v>
      </x:c>
      <x:c r="AJ115" t="str">
        <x:v>初审</x:v>
      </x:c>
      <x:c r="AK115" t="n">
        <x:v>46255</x:v>
      </x:c>
    </x:row>
    <x:row r="116">
      <x:c r="A116" t="str">
        <x:f>IF(OR(C116="",D116=""),"",B116&amp;"-"&amp;UPPER(C116)&amp;"-"&amp;TEXT(D116,"0000")&amp;"-"&amp;E116)</x:f>
        <x:v>M08-BOUND-0110-V1.0</x:v>
      </x:c>
      <x:c r="B116" t="str">
        <x:v>M08</x:v>
      </x:c>
      <x:c r="C116" t="str">
        <x:v>BOUND</x:v>
      </x:c>
      <x:c r="D116" t="n">
        <x:v>110</x:v>
      </x:c>
      <x:c r="E116" t="str">
        <x:v>V1.0</x:v>
      </x:c>
      <x:c r="F116" t="str">
        <x:v>关键结论依赖争议规则时降低置信度并转M21</x:v>
      </x:c>
      <x:c r="G116" t="str">
        <x:v>结构层</x:v>
      </x:c>
      <x:c r="H116" t="str">
        <x:v>治理边界</x:v>
      </x:c>
      <x:c r="I116" t="str">
        <x:v>全部五行</x:v>
      </x:c>
      <x:c r="J116" t="str">
        <x:v>任意</x:v>
      </x:c>
      <x:c r="K116" t="str">
        <x:v>依赖流派争议</x:v>
      </x:c>
      <x:c r="L116" t="str">
        <x:v>保留主方案与替代方案</x:v>
      </x:c>
      <x:c r="M116" t="str">
        <x:v>条件性</x:v>
      </x:c>
      <x:c r="N116" t="str">
        <x:v>中</x:v>
      </x:c>
      <x:c r="O116" t="str">
        <x:v>否</x:v>
      </x:c>
      <x:c r="P116" t="str">
        <x:v>否</x:v>
      </x:c>
      <x:c r="Q116" t="str">
        <x:v>否</x:v>
      </x:c>
      <x:c r="R116" t="str">
        <x:v>否</x:v>
      </x:c>
      <x:c r="S116" t="str">
        <x:v>前置模块已完成</x:v>
      </x:c>
      <x:c r="T116" t="str">
        <x:v>作用条件真实成立</x:v>
      </x:c>
      <x:c r="U116" t="str">
        <x:v>得令、有根、有援可增强</x:v>
      </x:c>
      <x:c r="V116" t="str">
        <x:v>失令、孤立或受制可削弱</x:v>
      </x:c>
      <x:c r="W116" t="str">
        <x:v>禁止用关系名称直接替代实际效应</x:v>
      </x:c>
      <x:c r="X116" t="str">
        <x:v>特殊格局与动态岁运另模块处理</x:v>
      </x:c>
      <x:c r="Y116" t="str">
        <x:v>按证据修正有效旺衰</x:v>
      </x:c>
      <x:c r="Z116" t="str">
        <x:v>不得直接推出喜忌用神</x:v>
      </x:c>
      <x:c r="AA116" t="str">
        <x:v>争议降置信</x:v>
      </x:c>
      <x:c r="AB116" t="str">
        <x:v>若有效旺衰依赖自刑、六破等争议规则，应降低置信度并在M21保留替代解释。</x:v>
      </x:c>
      <x:c r="AC116" t="str">
        <x:v>中等</x:v>
      </x:c>
      <x:c r="AD116" t="str">
        <x:v>现代综合</x:v>
      </x:c>
      <x:c r="AE116" t="str">
        <x:v>有效力量必须承接原始力量与实际效应，逐对象、逐节点修正。</x:v>
      </x:c>
      <x:c r="AF116" t="str">
        <x:v>保留证据链、条件、反证和替代方案。</x:v>
      </x:c>
      <x:c r="AG116" t="str">
        <x:v>把争议口诀、固定比例或喜忌结论硬编码到M08。</x:v>
      </x:c>
      <x:c r="AH116" t="str">
        <x:v>https://zh.wikisource.org/zh-hans/滴天髓 ; https://zh.wikisource.org/zh-hans/淵海子平 ; https://zh.wikisource.org/wiki/三命通會</x:v>
      </x:c>
      <x:c r="AI116" t="str">
        <x:v>待验证</x:v>
      </x:c>
      <x:c r="AJ116" t="str">
        <x:v>初审</x:v>
      </x:c>
      <x:c r="AK116" t="n">
        <x:v>46255</x:v>
      </x:c>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E7:E116">
      <x:formula1>'99_下拉选项'!$BG$4:$BG$22</x:formula1>
    </x:dataValidation>
  </x:dataValidations>
  <x:pageMargins left="0.7" right="0.7" top="0.75" bottom="0.75" header="0.3" footer="0.3"/>
  <x:tableParts count="1">
    <x:tablePart xmlns:r="http://schemas.openxmlformats.org/officeDocument/2006/relationships" r:id="Rcad9c08bef1042d3"/>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综合M03月令根气、M07原始力量与M08有效力量，按得令、得地、得势、得生、受制、受泄、受耗及双侧净优势，输出日主七级旺衰、反向证据与置信度。本版录入90条正式规则。</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填写约束：一行只写一条原子规则；只读取M03/M07/M08已经确认的有效证据，不在M09重算合冲刑害；同源节点必须去重；月令不是一票否决；旺衰与喜忌、格局严格分离。示例行序号9999，不计入正式规则。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v>M09-LING-0001-V1.0</x:v>
      </x:c>
      <x:c r="B7" s="74" t="str">
        <x:v>M09</x:v>
      </x:c>
      <x:c r="C7" s="74" t="str">
        <x:v>LING</x:v>
      </x:c>
      <x:c r="D7" s="79" t="n">
        <x:v>1</x:v>
      </x:c>
      <x:c r="E7" s="74" t="str">
        <x:v>V1.0</x:v>
      </x:c>
      <x:c r="F7" s="68" t="str">
        <x:v>得令是日主偏强的高权重证据但非充分条件</x:v>
      </x:c>
      <x:c r="G7" s="82" t="str">
        <x:v>综合层</x:v>
      </x:c>
      <x:c r="H7" s="68" t="str">
        <x:v>得令</x:v>
      </x:c>
      <x:c r="I7" s="68" t="str">
        <x:v>支持偏旺</x:v>
      </x:c>
      <x:c r="J7" s="68" t="str">
        <x:v>M03确认日主五行处于当令或获得强季令支持</x:v>
      </x:c>
      <x:c r="K7" s="68" t="str">
        <x:v>高</x:v>
      </x:c>
      <x:c r="L7" s="82" t="str">
        <x:v>强</x:v>
      </x:c>
      <x:c r="M7" s="68" t="str">
        <x:v>M03/M08完成</x:v>
      </x:c>
      <x:c r="N7" s="68" t="str">
        <x:v>季令支持已按节气与月令真实有效性确认</x:v>
      </x:c>
      <x:c r="O7" s="68" t="str">
        <x:v>同时有强根、印比成势</x:v>
      </x:c>
      <x:c r="P7" s="68" t="str">
        <x:v>无根、强官杀、强食伤或财星持续耗身</x:v>
      </x:c>
      <x:c r="Q7" s="90" t="str">
        <x:v>不得仅凭得令直接判身旺</x:v>
      </x:c>
      <x:c r="R7" s="68" t="str">
        <x:v>特殊格局转M14</x:v>
      </x:c>
      <x:c r="S7" s="68" t="str">
        <x:v>若负荷侧形成明显有效合力，得令也可能只维持中和或偏弱</x:v>
      </x:c>
      <x:c r="T7" s="82" t="str">
        <x:v>否</x:v>
      </x:c>
      <x:c r="U7" s="82" t="str">
        <x:v>中和偏旺</x:v>
      </x:c>
      <x:c r="V7" s="84" t="str">
        <x:v>得令高权重</x:v>
      </x:c>
      <x:c r="W7" s="84" t="str">
        <x:v>日主得令，属于偏强的重要证据；仍需与有效根气、印比及制泄耗合并裁定。</x:v>
      </x:c>
      <x:c r="X7" s="82" t="str">
        <x:v>较高</x:v>
      </x:c>
      <x:c r="Y7" s="82" t="str">
        <x:v>旺衰扶抑</x:v>
      </x:c>
      <x:c r="Z7" s="68" t="str">
        <x:v>月令为提纲但四柱仍有损益之权。</x:v>
      </x:c>
      <x:c r="AA7" s="68" t="str">
        <x:v>得令且多根、印比有力时，偏旺证据明显。</x:v>
      </x:c>
      <x:c r="AB7" s="90" t="str">
        <x:v>春木得令便无视重金克制而直接判旺。</x:v>
      </x:c>
      <x:c r="AC7" s="68" t="str">
        <x:v>https://zh.wikisource.org/wiki/%E6%B7%B5%E6%B5%B7%E5%AD%90%E5%B9%B3%E5%A4%A7%E5%85%A8 ; https://zh.wikisource.org/wiki/%E6%BB%B4%E5%A4%A9%E9%AB%93%E9%97%A1%E5%BE%AE</x:v>
      </x:c>
      <x:c r="AD7" s="82" t="str">
        <x:v>采用</x:v>
      </x:c>
      <x:c r="AE7" s="82" t="str">
        <x:v>初审</x:v>
      </x:c>
      <x:c r="AF7" s="87" t="n">
        <x:v>46255</x:v>
      </x:c>
    </x:row>
    <x:row r="8">
      <x:c r="A8" s="72" t="str">
        <x:f>IF(OR(C8="",D8=""),"",B8&amp;"-"&amp;UPPER(C8)&amp;"-"&amp;TEXT(D8,"0000")&amp;"-"&amp;E8)</x:f>
        <x:v>M09-LING-0002-V1.0</x:v>
      </x:c>
      <x:c r="B8" s="74" t="str">
        <x:v>M09</x:v>
      </x:c>
      <x:c r="C8" s="74" t="str">
        <x:v>LING</x:v>
      </x:c>
      <x:c r="D8" s="79" t="n">
        <x:v>2</x:v>
      </x:c>
      <x:c r="E8" s="74" t="str">
        <x:v>V1.0</x:v>
      </x:c>
      <x:c r="F8" s="68" t="str">
        <x:v>旺令比相令提供更直接的季节扶持</x:v>
      </x:c>
      <x:c r="G8" s="82" t="str">
        <x:v>综合层</x:v>
      </x:c>
      <x:c r="H8" s="68" t="str">
        <x:v>得令</x:v>
      </x:c>
      <x:c r="I8" s="68" t="str">
        <x:v>支持偏旺</x:v>
      </x:c>
      <x:c r="J8" s="68" t="str">
        <x:v>M03将日主五行判为旺令或相令</x:v>
      </x:c>
      <x:c r="K8" s="68" t="str">
        <x:v>中高</x:v>
      </x:c>
      <x:c r="L8" s="82" t="str">
        <x:v>中</x:v>
      </x:c>
      <x:c r="M8" s="68" t="str">
        <x:v>M03完成</x:v>
      </x:c>
      <x:c r="N8" s="68" t="str">
        <x:v>旺相状态已区分</x:v>
      </x:c>
      <x:c r="O8" s="68" t="str">
        <x:v>旺令并见根气</x:v>
      </x:c>
      <x:c r="P8" s="68" t="str">
        <x:v>相令但生源弱或受阻</x:v>
      </x:c>
      <x:c r="Q8" s="90" t="str">
        <x:v>不得把旺与相完全等权</x:v>
      </x:c>
      <x:c r="R8" s="68" t="str">
        <x:v>四季土月按M03细分</x:v>
      </x:c>
      <x:c r="S8" s="68" t="str">
        <x:v>相令仍可因强根与印比升级，旺令也可因强耗制下调</x:v>
      </x:c>
      <x:c r="T8" s="82" t="str">
        <x:v>否</x:v>
      </x:c>
      <x:c r="U8" s="82" t="str">
        <x:v>中和偏旺</x:v>
      </x:c>
      <x:c r="V8" s="84" t="str">
        <x:v>旺相层级</x:v>
      </x:c>
      <x:c r="W8" s="84" t="str">
        <x:v>旺令提供更直接季节优势；相令为间接支持，两者不作机械等权。</x:v>
      </x:c>
      <x:c r="X8" s="82" t="str">
        <x:v>较高</x:v>
      </x:c>
      <x:c r="Y8" s="82" t="str">
        <x:v>现代综合</x:v>
      </x:c>
      <x:c r="Z8" s="68" t="str">
        <x:v>月令权重高但不是单项充分条件；必须结合M08有效根气、印比与制泄耗，且同源季令证据去重。</x:v>
      </x:c>
      <x:c r="AA8" s="68" t="str">
        <x:v>正例：当“M03将日主五行判为旺令或相令”真实成立，且必要条件与增强条件同向时，按“旺令比相令提供更直接的季节扶持”记录对应旺衰证据。</x:v>
      </x:c>
      <x:c r="AB8" s="90" t="str">
        <x:v>反例：只有表面条件，但出现“不得把旺与相完全等权”或关键有效性未成立时，不得套用本规则。</x:v>
      </x:c>
      <x:c r="AC8" s="68" t="str">
        <x:v>https://zh.wikisource.org/wiki/%E6%B7%B5%E6%B5%B7%E5%AD%90%E5%B9%B3%E5%A4%A7%E5%85%A8 ; https://zh.wikisource.org/wiki/%E6%BB%B4%E5%A4%A9%E9%AB%93%E9%97%A1%E5%BE%AE</x:v>
      </x:c>
      <x:c r="AD8" s="82" t="str">
        <x:v>采用</x:v>
      </x:c>
      <x:c r="AE8" s="82" t="str">
        <x:v>初审</x:v>
      </x:c>
      <x:c r="AF8" s="87" t="n">
        <x:v>46255</x:v>
      </x:c>
    </x:row>
    <x:row r="9">
      <x:c r="A9" s="72" t="str">
        <x:f>IF(OR(C9="",D9=""),"",B9&amp;"-"&amp;UPPER(C9)&amp;"-"&amp;TEXT(D9,"0000")&amp;"-"&amp;E9)</x:f>
        <x:v>M09-LING-0003-V1.0</x:v>
      </x:c>
      <x:c r="B9" s="74" t="str">
        <x:v>M09</x:v>
      </x:c>
      <x:c r="C9" s="74" t="str">
        <x:v>LING</x:v>
      </x:c>
      <x:c r="D9" s="79" t="n">
        <x:v>3</x:v>
      </x:c>
      <x:c r="E9" s="74" t="str">
        <x:v>V1.0</x:v>
      </x:c>
      <x:c r="F9" s="68" t="str">
        <x:v>休囚死是季节不利证据而不是日主弱的充分条件</x:v>
      </x:c>
      <x:c r="G9" s="82" t="str">
        <x:v>综合层</x:v>
      </x:c>
      <x:c r="H9" s="68" t="str">
        <x:v>得令</x:v>
      </x:c>
      <x:c r="I9" s="68" t="str">
        <x:v>支持偏弱</x:v>
      </x:c>
      <x:c r="J9" s="68" t="str">
        <x:v>M03判日主五行为休、囚或死</x:v>
      </x:c>
      <x:c r="K9" s="68" t="str">
        <x:v>中高</x:v>
      </x:c>
      <x:c r="L9" s="82" t="str">
        <x:v>中</x:v>
      </x:c>
      <x:c r="M9" s="68" t="str">
        <x:v>M03/M08完成</x:v>
      </x:c>
      <x:c r="N9" s="68" t="str">
        <x:v>季节状态真实</x:v>
      </x:c>
      <x:c r="O9" s="68" t="str">
        <x:v>失令同时无根无援</x:v>
      </x:c>
      <x:c r="P9" s="68" t="str">
        <x:v>根深、印比成势、有效生源强</x:v>
      </x:c>
      <x:c r="Q9" s="90" t="str">
        <x:v>不得由失令直接推出弱或极弱</x:v>
      </x:c>
      <x:c r="R9" s="68" t="str">
        <x:v>特殊格局另审</x:v>
      </x:c>
      <x:c r="S9" s="68" t="str">
        <x:v>若日主虽失令但多重有效根与印比成势，可反转为中和偏旺甚至旺</x:v>
      </x:c>
      <x:c r="T9" s="82" t="str">
        <x:v>否</x:v>
      </x:c>
      <x:c r="U9" s="82" t="str">
        <x:v>中和偏弱</x:v>
      </x:c>
      <x:c r="V9" s="84" t="str">
        <x:v>失令证据</x:v>
      </x:c>
      <x:c r="W9" s="84" t="str">
        <x:v>日主失令构成偏弱证据，但是否身弱取决于有效根气、印比和制泄耗。</x:v>
      </x:c>
      <x:c r="X9" s="82" t="str">
        <x:v>较高</x:v>
      </x:c>
      <x:c r="Y9" s="82" t="str">
        <x:v>现代综合</x:v>
      </x:c>
      <x:c r="Z9" s="68" t="str">
        <x:v>月令权重高但不是单项充分条件；必须结合M08有效根气、印比与制泄耗，且同源季令证据去重。</x:v>
      </x:c>
      <x:c r="AA9" s="68" t="str">
        <x:v>正例：当“M03判日主五行为休、囚或死”真实成立，且必要条件与增强条件同向时，按“休囚死是季节不利证据而不是日主弱的充分条件”记录对应旺衰证据。</x:v>
      </x:c>
      <x:c r="AB9" s="90" t="str">
        <x:v>反例：只有表面条件，但出现“不得由失令直接推出弱或极弱”或关键有效性未成立时，不得套用本规则。</x:v>
      </x:c>
      <x:c r="AC9" s="68" t="str">
        <x:v>https://zh.wikisource.org/wiki/%E6%B7%B5%E6%B5%B7%E5%AD%90%E5%B9%B3%E5%A4%A7%E5%85%A8 ; https://zh.wikisource.org/wiki/%E6%BB%B4%E5%A4%A9%E9%AB%93%E9%97%A1%E5%BE%AE</x:v>
      </x:c>
      <x:c r="AD9" s="82" t="str">
        <x:v>采用</x:v>
      </x:c>
      <x:c r="AE9" s="82" t="str">
        <x:v>初审</x:v>
      </x:c>
      <x:c r="AF9" s="87" t="n">
        <x:v>46255</x:v>
      </x:c>
    </x:row>
    <x:row r="10">
      <x:c r="A10" s="72" t="str">
        <x:f>IF(OR(C10="",D10=""),"",B10&amp;"-"&amp;UPPER(C10)&amp;"-"&amp;TEXT(D10,"0000")&amp;"-"&amp;E10)</x:f>
        <x:v>M09-LING-0004-V1.0</x:v>
      </x:c>
      <x:c r="B10" s="74" t="str">
        <x:v>M09</x:v>
      </x:c>
      <x:c r="C10" s="74" t="str">
        <x:v>LING</x:v>
      </x:c>
      <x:c r="D10" s="79" t="n">
        <x:v>4</x:v>
      </x:c>
      <x:c r="E10" s="74" t="str">
        <x:v>V1.0</x:v>
      </x:c>
      <x:c r="F10" s="68" t="str">
        <x:v>得令但无有效根时承载能力需单独核查</x:v>
      </x:c>
      <x:c r="G10" s="82" t="str">
        <x:v>综合层</x:v>
      </x:c>
      <x:c r="H10" s="68" t="str">
        <x:v>得令</x:v>
      </x:c>
      <x:c r="I10" s="68" t="str">
        <x:v>条件性支持偏旺</x:v>
      </x:c>
      <x:c r="J10" s="68" t="str">
        <x:v>得令但M08显示无有效根或仅微根</x:v>
      </x:c>
      <x:c r="K10" s="68" t="str">
        <x:v>高</x:v>
      </x:c>
      <x:c r="L10" s="82" t="str">
        <x:v>强</x:v>
      </x:c>
      <x:c r="M10" s="68" t="str">
        <x:v>M03/M08完成</x:v>
      </x:c>
      <x:c r="N10" s="68" t="str">
        <x:v>日主确实缺少有效根</x:v>
      </x:c>
      <x:c r="O10" s="68" t="str">
        <x:v>有强印持续生身、比劫得势</x:v>
      </x:c>
      <x:c r="P10" s="68" t="str">
        <x:v>财官食伤成势且无落脚点</x:v>
      </x:c>
      <x:c r="Q10" s="90" t="str">
        <x:v>禁止固定判为旺或弱</x:v>
      </x:c>
      <x:c r="R10" s="68" t="str">
        <x:v>若日主本身在干支形成其他独立承载则重审</x:v>
      </x:c>
      <x:c r="S10" s="68" t="str">
        <x:v>无根不必然弱，但对持续承受泄耗制约不利</x:v>
      </x:c>
      <x:c r="T10" s="82" t="str">
        <x:v>否</x:v>
      </x:c>
      <x:c r="U10" s="82" t="str">
        <x:v>中和</x:v>
      </x:c>
      <x:c r="V10" s="84" t="str">
        <x:v>得令无根边界</x:v>
      </x:c>
      <x:c r="W10" s="84" t="str">
        <x:v>日主虽得令，但有效根不足；季令优势能否转化为稳定承载需与印比和负荷侧共同判断。</x:v>
      </x:c>
      <x:c r="X10" s="82" t="str">
        <x:v>较高</x:v>
      </x:c>
      <x:c r="Y10" s="82" t="str">
        <x:v>现代综合</x:v>
      </x:c>
      <x:c r="Z10" s="68" t="str">
        <x:v>解决“得令但无根”边界，不设固定等级。</x:v>
      </x:c>
      <x:c r="AA10" s="68" t="str">
        <x:v>正例：当“得令但M08显示无有效根或仅微根”真实成立，且必要条件与增强条件同向时，按“得令但无有效根时承载能力需单独核查”记录对应旺衰证据。</x:v>
      </x:c>
      <x:c r="AB10" s="90" t="str">
        <x:v>反例：只有表面条件，但出现“禁止固定判为旺或弱”或关键有效性未成立时，不得套用本规则。</x:v>
      </x:c>
      <x:c r="AC10" s="68" t="str">
        <x:v>https://zh.wikisource.org/wiki/%E6%B7%B5%E6%B5%B7%E5%AD%90%E5%B9%B3%E5%A4%A7%E5%85%A8 ; https://zh.wikisource.org/wiki/%E6%BB%B4%E5%A4%A9%E9%AB%93%E9%97%A1%E5%BE%AE</x:v>
      </x:c>
      <x:c r="AD10" s="82" t="str">
        <x:v>采用</x:v>
      </x:c>
      <x:c r="AE10" s="82" t="str">
        <x:v>初审</x:v>
      </x:c>
      <x:c r="AF10" s="87" t="n">
        <x:v>46255</x:v>
      </x:c>
    </x:row>
    <x:row r="11">
      <x:c r="A11" s="72" t="str">
        <x:f>IF(OR(C11="",D11=""),"",B11&amp;"-"&amp;UPPER(C11)&amp;"-"&amp;TEXT(D11,"0000")&amp;"-"&amp;E11)</x:f>
        <x:v>M09-LING-0005-V1.0</x:v>
      </x:c>
      <x:c r="B11" s="74" t="str">
        <x:v>M09</x:v>
      </x:c>
      <x:c r="C11" s="74" t="str">
        <x:v>LING</x:v>
      </x:c>
      <x:c r="D11" s="79" t="n">
        <x:v>5</x:v>
      </x:c>
      <x:c r="E11" s="74" t="str">
        <x:v>V1.0</x:v>
      </x:c>
      <x:c r="F11" s="68" t="str">
        <x:v>失令但根深印比成势可反转季节劣势</x:v>
      </x:c>
      <x:c r="G11" s="82" t="str">
        <x:v>综合层</x:v>
      </x:c>
      <x:c r="H11" s="68" t="str">
        <x:v>得令</x:v>
      </x:c>
      <x:c r="I11" s="68" t="str">
        <x:v>支持偏旺</x:v>
      </x:c>
      <x:c r="J11" s="68" t="str">
        <x:v>失令，同时M08显示多重有效强根且印比形成明显扶身势</x:v>
      </x:c>
      <x:c r="K11" s="68" t="str">
        <x:v>高</x:v>
      </x:c>
      <x:c r="L11" s="82" t="str">
        <x:v>强</x:v>
      </x:c>
      <x:c r="M11" s="68" t="str">
        <x:v>M08完成</x:v>
      </x:c>
      <x:c r="N11" s="68" t="str">
        <x:v>根气和印比均为有效而非名义存在</x:v>
      </x:c>
      <x:c r="O11" s="68" t="str">
        <x:v>比劫透根、印源连续</x:v>
      </x:c>
      <x:c r="P11" s="68" t="str">
        <x:v>根被实质破坏或负荷侧形成更强集团</x:v>
      </x:c>
      <x:c r="Q11" s="90" t="str">
        <x:v>不得把失令设为一票否决</x:v>
      </x:c>
      <x:c r="R11" s="68" t="str">
        <x:v>从格与专旺候选转M14</x:v>
      </x:c>
      <x:c r="S11" s="68" t="str">
        <x:v>若负荷侧明显弱于扶身侧，失令日主仍可判偏旺或旺</x:v>
      </x:c>
      <x:c r="T11" s="82" t="str">
        <x:v>否</x:v>
      </x:c>
      <x:c r="U11" s="82" t="str">
        <x:v>中和偏旺</x:v>
      </x:c>
      <x:c r="V11" s="84" t="str">
        <x:v>失令反强</x:v>
      </x:c>
      <x:c r="W11" s="84" t="str">
        <x:v>日主失令，但有效根深、印比成势，可抵消乃至反转季节劣势。</x:v>
      </x:c>
      <x:c r="X11" s="82" t="str">
        <x:v>较高</x:v>
      </x:c>
      <x:c r="Y11" s="82" t="str">
        <x:v>现代综合</x:v>
      </x:c>
      <x:c r="Z11" s="68" t="str">
        <x:v>对应经典“失时不弱”的条件化表达。</x:v>
      </x:c>
      <x:c r="AA11" s="68" t="str">
        <x:v>秋木失令但寅卯多根、甲乙透而水生有力，可不作弱论。</x:v>
      </x:c>
      <x:c r="AB11" s="90" t="str">
        <x:v>失令即固定判弱。</x:v>
      </x:c>
      <x:c r="AC11" s="68" t="str">
        <x:v>https://zh.wikisource.org/wiki/%E6%B7%B5%E6%B5%B7%E5%AD%90%E5%B9%B3%E5%A4%A7%E5%85%A8 ; https://zh.wikisource.org/wiki/%E6%BB%B4%E5%A4%A9%E9%AB%93%E9%97%A1%E5%BE%AE</x:v>
      </x:c>
      <x:c r="AD11" s="82" t="str">
        <x:v>采用</x:v>
      </x:c>
      <x:c r="AE11" s="82" t="str">
        <x:v>初审</x:v>
      </x:c>
      <x:c r="AF11" s="87" t="n">
        <x:v>46255</x:v>
      </x:c>
    </x:row>
    <x:row r="12">
      <x:c r="A12" s="72" t="str">
        <x:f>IF(OR(C12="",D12=""),"",B12&amp;"-"&amp;UPPER(C12)&amp;"-"&amp;TEXT(D12,"0000")&amp;"-"&amp;E12)</x:f>
        <x:v>M09-LING-0006-V1.0</x:v>
      </x:c>
      <x:c r="B12" s="74" t="str">
        <x:v>M09</x:v>
      </x:c>
      <x:c r="C12" s="74" t="str">
        <x:v>LING</x:v>
      </x:c>
      <x:c r="D12" s="79" t="n">
        <x:v>6</x:v>
      </x:c>
      <x:c r="E12" s="74" t="str">
        <x:v>V1.0</x:v>
      </x:c>
      <x:c r="F12" s="68" t="str">
        <x:v>月令节点兼具根气时必须去重计权</x:v>
      </x:c>
      <x:c r="G12" s="82" t="str">
        <x:v>综合层</x:v>
      </x:c>
      <x:c r="H12" s="68" t="str">
        <x:v>得令</x:v>
      </x:c>
      <x:c r="I12" s="68" t="str">
        <x:v>证据去重</x:v>
      </x:c>
      <x:c r="J12" s="68" t="str">
        <x:v>同一月支既提供季令支持又承载日主根气</x:v>
      </x:c>
      <x:c r="K12" s="68" t="str">
        <x:v>高</x:v>
      </x:c>
      <x:c r="L12" s="82" t="str">
        <x:v>中</x:v>
      </x:c>
      <x:c r="M12" s="68" t="str">
        <x:v>M03/M08完成</x:v>
      </x:c>
      <x:c r="N12" s="68" t="str">
        <x:v>确认是同一地支节点</x:v>
      </x:c>
      <x:c r="O12" s="68" t="str">
        <x:v>另有独立根、透干或生源</x:v>
      </x:c>
      <x:c r="P12" s="68"/>
      <x:c r="Q12" s="90" t="str">
        <x:v>禁止月令旺、月支根、同党三个标签重复全额累加</x:v>
      </x:c>
      <x:c r="R12" s="68" t="str">
        <x:v>可分别保留解释标签</x:v>
      </x:c>
      <x:c r="S12" s="68" t="str">
        <x:v>独立节点越多才代表新增证据容量</x:v>
      </x:c>
      <x:c r="T12" s="82" t="str">
        <x:v>是</x:v>
      </x:c>
      <x:c r="U12" s="82" t="str">
        <x:v>中和偏旺</x:v>
      </x:c>
      <x:c r="V12" s="84" t="str">
        <x:v>季令根气去重</x:v>
      </x:c>
      <x:c r="W12" s="84" t="str">
        <x:v>月令与月支根气可分别解释，但同一节点不重复按多个决定性证据累加。</x:v>
      </x:c>
      <x:c r="X12" s="82" t="str">
        <x:v>较高</x:v>
      </x:c>
      <x:c r="Y12" s="82" t="str">
        <x:v>现代综合</x:v>
      </x:c>
      <x:c r="Z12" s="68" t="str">
        <x:v>月令权重高但不是单项充分条件；必须结合M08有效根气、印比与制泄耗，且同源季令证据去重。</x:v>
      </x:c>
      <x:c r="AA12" s="68" t="str">
        <x:v>正例：当“同一月支既提供季令支持又承载日主根气”真实成立，且必要条件与增强条件同向时，按“月令节点兼具根气时必须去重计权”记录对应旺衰证据。</x:v>
      </x:c>
      <x:c r="AB12" s="90" t="str">
        <x:v>反例：只有表面条件，但出现“禁止月令旺、月支根、同党三个标签重复全额累加”或关键有效性未成立时，不得套用本规则。</x:v>
      </x:c>
      <x:c r="AC12" s="68" t="str">
        <x:v>https://zh.wikisource.org/wiki/%E6%B7%B5%E6%B5%B7%E5%AD%90%E5%B9%B3%E5%A4%A7%E5%85%A8 ; https://zh.wikisource.org/wiki/%E6%BB%B4%E5%A4%A9%E9%AB%93%E9%97%A1%E5%BE%AE</x:v>
      </x:c>
      <x:c r="AD12" s="82" t="str">
        <x:v>采用</x:v>
      </x:c>
      <x:c r="AE12" s="82" t="str">
        <x:v>初审</x:v>
      </x:c>
      <x:c r="AF12" s="87" t="n">
        <x:v>46255</x:v>
      </x:c>
    </x:row>
    <x:row r="13">
      <x:c r="A13" s="72" t="str">
        <x:f>IF(OR(C13="",D13=""),"",B13&amp;"-"&amp;UPPER(C13)&amp;"-"&amp;TEXT(D13,"0000")&amp;"-"&amp;E13)</x:f>
        <x:v>M09-LING-0007-V1.0</x:v>
      </x:c>
      <x:c r="B13" s="74" t="str">
        <x:v>M09</x:v>
      </x:c>
      <x:c r="C13" s="74" t="str">
        <x:v>LING</x:v>
      </x:c>
      <x:c r="D13" s="79" t="n">
        <x:v>7</x:v>
      </x:c>
      <x:c r="E13" s="74" t="str">
        <x:v>V1.0</x:v>
      </x:c>
      <x:c r="F13" s="68" t="str">
        <x:v>月令受合冲改性后的季令证据承接M08而非重算</x:v>
      </x:c>
      <x:c r="G13" s="82" t="str">
        <x:v>综合层</x:v>
      </x:c>
      <x:c r="H13" s="68" t="str">
        <x:v>得令</x:v>
      </x:c>
      <x:c r="I13" s="68" t="str">
        <x:v>条件性</x:v>
      </x:c>
      <x:c r="J13" s="68" t="str">
        <x:v>月支参与合化、会局或强冲且M08已给出有效性修正</x:v>
      </x:c>
      <x:c r="K13" s="68" t="str">
        <x:v>高</x:v>
      </x:c>
      <x:c r="L13" s="82" t="str">
        <x:v>中</x:v>
      </x:c>
      <x:c r="M13" s="68" t="str">
        <x:v>M06/M08完成</x:v>
      </x:c>
      <x:c r="N13" s="68" t="str">
        <x:v>M08已明确是否改性或仅受扰</x:v>
      </x:c>
      <x:c r="O13" s="68" t="str">
        <x:v>改性成立且全局气势一致</x:v>
      </x:c>
      <x:c r="P13" s="68" t="str">
        <x:v>关系仅存在但未产生实质改性</x:v>
      </x:c>
      <x:c r="Q13" s="90" t="str">
        <x:v>禁止在M09依据关系名称再次扣减或加成月令</x:v>
      </x:c>
      <x:c r="R13" s="68" t="str">
        <x:v>争议效应降低置信度</x:v>
      </x:c>
      <x:c r="S13" s="68" t="str">
        <x:v>M08若判未改性，原季令证据应保留</x:v>
      </x:c>
      <x:c r="T13" s="82" t="str">
        <x:v>是</x:v>
      </x:c>
      <x:c r="U13" s="82" t="str">
        <x:v>中和</x:v>
      </x:c>
      <x:c r="V13" s="84" t="str">
        <x:v>季令效应承接</x:v>
      </x:c>
      <x:c r="W13" s="84" t="str">
        <x:v>月令是否仍能支持日主，以M08有效性结论为准；M09不重复处理合冲。</x:v>
      </x:c>
      <x:c r="X13" s="82" t="str">
        <x:v>较高</x:v>
      </x:c>
      <x:c r="Y13" s="82" t="str">
        <x:v>现代综合</x:v>
      </x:c>
      <x:c r="Z13" s="68" t="str">
        <x:v>月令权重高但不是单项充分条件；必须结合M08有效根气、印比与制泄耗，且同源季令证据去重。</x:v>
      </x:c>
      <x:c r="AA13" s="68" t="str">
        <x:v>正例：当“月支参与合化、会局或强冲且M08已给出有效性修正”真实成立，且必要条件与增强条件同向时，按“月令受合冲改性后的季令证据承接M08而非重算”记录对应旺衰证据。</x:v>
      </x:c>
      <x:c r="AB13" s="90" t="str">
        <x:v>反例：只有表面条件，但出现“禁止在M09依据关系名称再次扣减或加成月令”或关键有效性未成立时，不得套用本规则。</x:v>
      </x:c>
      <x:c r="AC13" s="68" t="str">
        <x:v>https://zh.wikisource.org/wiki/%E6%B7%B5%E6%B5%B7%E5%AD%90%E5%B9%B3%E5%A4%A7%E5%85%A8 ; https://zh.wikisource.org/wiki/%E6%BB%B4%E5%A4%A9%E9%AB%93%E9%97%A1%E5%BE%AE</x:v>
      </x:c>
      <x:c r="AD13" s="82" t="str">
        <x:v>采用</x:v>
      </x:c>
      <x:c r="AE13" s="82" t="str">
        <x:v>初审</x:v>
      </x:c>
      <x:c r="AF13" s="87" t="n">
        <x:v>46255</x:v>
      </x:c>
    </x:row>
    <x:row r="14">
      <x:c r="A14" s="72" t="str">
        <x:f>IF(OR(C14="",D14=""),"",B14&amp;"-"&amp;UPPER(C14)&amp;"-"&amp;TEXT(D14,"0000")&amp;"-"&amp;E14)</x:f>
        <x:v>M09-LING-0008-V1.0</x:v>
      </x:c>
      <x:c r="B14" s="74" t="str">
        <x:v>M09</x:v>
      </x:c>
      <x:c r="C14" s="74" t="str">
        <x:v>LING</x:v>
      </x:c>
      <x:c r="D14" s="79" t="n">
        <x:v>8</x:v>
      </x:c>
      <x:c r="E14" s="74" t="str">
        <x:v>V1.0</x:v>
      </x:c>
      <x:c r="F14" s="68" t="str">
        <x:v>四季土月必须使用M03细分结果而非统一按土旺处理</x:v>
      </x:c>
      <x:c r="G14" s="82" t="str">
        <x:v>综合层</x:v>
      </x:c>
      <x:c r="H14" s="68" t="str">
        <x:v>得令</x:v>
      </x:c>
      <x:c r="I14" s="68" t="str">
        <x:v>条件性</x:v>
      </x:c>
      <x:c r="J14" s="68" t="str">
        <x:v>出生于辰戌丑未月</x:v>
      </x:c>
      <x:c r="K14" s="68" t="str">
        <x:v>中高</x:v>
      </x:c>
      <x:c r="L14" s="82" t="str">
        <x:v>中</x:v>
      </x:c>
      <x:c r="M14" s="68" t="str">
        <x:v>M03完成</x:v>
      </x:c>
      <x:c r="N14" s="68" t="str">
        <x:v>使用M03对本中余气与节气深浅的判定</x:v>
      </x:c>
      <x:c r="O14" s="68" t="str">
        <x:v>日主土且本气得权</x:v>
      </x:c>
      <x:c r="P14" s="68" t="str">
        <x:v>月内他气占权或土气未形成有效支持</x:v>
      </x:c>
      <x:c r="Q14" s="90" t="str">
        <x:v>禁止把四季月一律视为土日主强、非土日主弱</x:v>
      </x:c>
      <x:c r="R14" s="68" t="str">
        <x:v>流派分歧转M21</x:v>
      </x:c>
      <x:c r="S14" s="68" t="str">
        <x:v>不同节气段与藏干有效性会改变季令证据强度</x:v>
      </x:c>
      <x:c r="T14" s="82" t="str">
        <x:v>否</x:v>
      </x:c>
      <x:c r="U14" s="82" t="str">
        <x:v>中和</x:v>
      </x:c>
      <x:c r="V14" s="84" t="str">
        <x:v>四季月细分</x:v>
      </x:c>
      <x:c r="W14" s="84" t="str">
        <x:v>四季土月的季令证据按M03细分，不采用“一见辰戌丑未即土旺”的统一结论。</x:v>
      </x:c>
      <x:c r="X14" s="82" t="str">
        <x:v>中等</x:v>
      </x:c>
      <x:c r="Y14" s="82" t="str">
        <x:v>现代综合</x:v>
      </x:c>
      <x:c r="Z14" s="68" t="str">
        <x:v>四季月司令细分存在流派差异，采用条件化接口。</x:v>
      </x:c>
      <x:c r="AA14" s="68" t="str">
        <x:v>土日主生未月且土本气得权，可获得强季令支持。</x:v>
      </x:c>
      <x:c r="AB14" s="90" t="str">
        <x:v>辰月所有天干一律按土旺处理。</x:v>
      </x:c>
      <x:c r="AC14" s="68" t="str">
        <x:v>https://zh.wikisource.org/wiki/%E6%B7%B5%E6%B5%B7%E5%AD%90%E5%B9%B3%E5%A4%A7%E5%85%A8 ; https://zh.wikisource.org/wiki/%E6%BB%B4%E5%A4%A9%E9%AB%93%E9%97%A1%E5%BE%AE</x:v>
      </x:c>
      <x:c r="AD14" s="82" t="str">
        <x:v>待验证</x:v>
      </x:c>
      <x:c r="AE14" s="82" t="str">
        <x:v>初审</x:v>
      </x:c>
      <x:c r="AF14" s="87" t="n">
        <x:v>46255</x:v>
      </x:c>
    </x:row>
    <x:row r="15">
      <x:c r="A15" s="72" t="str">
        <x:f>IF(OR(C15="",D15=""),"",B15&amp;"-"&amp;UPPER(C15)&amp;"-"&amp;TEXT(D15,"0000")&amp;"-"&amp;E15)</x:f>
        <x:v>M09-LING-0009-V1.0</x:v>
      </x:c>
      <x:c r="B15" s="74" t="str">
        <x:v>M09</x:v>
      </x:c>
      <x:c r="C15" s="74" t="str">
        <x:v>LING</x:v>
      </x:c>
      <x:c r="D15" s="79" t="n">
        <x:v>9</x:v>
      </x:c>
      <x:c r="E15" s="74" t="str">
        <x:v>V1.0</x:v>
      </x:c>
      <x:c r="F15" s="68" t="str">
        <x:v>交节附近月令未核实时不得给出高置信旺衰</x:v>
      </x:c>
      <x:c r="G15" s="82" t="str">
        <x:v>综合层</x:v>
      </x:c>
      <x:c r="H15" s="68" t="str">
        <x:v>得令</x:v>
      </x:c>
      <x:c r="I15" s="68" t="str">
        <x:v>降低置信度</x:v>
      </x:c>
      <x:c r="J15" s="68" t="str">
        <x:v>出生时间接近交节且月令存在不确定</x:v>
      </x:c>
      <x:c r="K15" s="68" t="str">
        <x:v>高</x:v>
      </x:c>
      <x:c r="L15" s="82" t="str">
        <x:v>强</x:v>
      </x:c>
      <x:c r="M15" s="68" t="str">
        <x:v>M03完成</x:v>
      </x:c>
      <x:c r="N15" s="68" t="str">
        <x:v>交节时间尚未核实</x:v>
      </x:c>
      <x:c r="O15" s="68" t="str">
        <x:v>核对出生地、时区与精确交节</x:v>
      </x:c>
      <x:c r="P15" s="68"/>
      <x:c r="Q15" s="90" t="str">
        <x:v>禁止在月令不确定时输出确定旺衰</x:v>
      </x:c>
      <x:c r="R15" s="68" t="str">
        <x:v>若两个月令对日主证据方向相同，可降低影响</x:v>
      </x:c>
      <x:c r="S15" s="68" t="str">
        <x:v>相邻月令可能使旺衰方向反转</x:v>
      </x:c>
      <x:c r="T15" s="82" t="str">
        <x:v>否</x:v>
      </x:c>
      <x:c r="U15" s="82" t="str">
        <x:v>中和</x:v>
      </x:c>
      <x:c r="V15" s="84" t="str">
        <x:v>月令不确定</x:v>
      </x:c>
      <x:c r="W15" s="84" t="str">
        <x:v>出生临近交节，月令尚有不确定；日主旺衰只能给条件性候选并降低置信度。</x:v>
      </x:c>
      <x:c r="X15" s="82" t="str">
        <x:v>较高</x:v>
      </x:c>
      <x:c r="Y15" s="82" t="str">
        <x:v>现代综合</x:v>
      </x:c>
      <x:c r="Z15" s="68" t="str">
        <x:v>月令权重高但不是单项充分条件；必须结合M08有效根气、印比与制泄耗，且同源季令证据去重。</x:v>
      </x:c>
      <x:c r="AA15" s="68" t="str">
        <x:v>正例：当“出生时间接近交节且月令存在不确定”真实成立，且必要条件与增强条件同向时，按“交节附近月令未核实时不得给出高置信旺衰”记录对应旺衰证据。</x:v>
      </x:c>
      <x:c r="AB15" s="90" t="str">
        <x:v>反例：只有表面条件，但出现“禁止在月令不确定时输出确定旺衰”或关键有效性未成立时，不得套用本规则。</x:v>
      </x:c>
      <x:c r="AC15" s="68" t="str">
        <x:v>https://zh.wikisource.org/wiki/%E6%B7%B5%E6%B5%B7%E5%AD%90%E5%B9%B3%E5%A4%A7%E5%85%A8 ; https://zh.wikisource.org/wiki/%E6%BB%B4%E5%A4%A9%E9%AB%93%E9%97%A1%E5%BE%AE</x:v>
      </x:c>
      <x:c r="AD15" s="82" t="str">
        <x:v>采用</x:v>
      </x:c>
      <x:c r="AE15" s="82" t="str">
        <x:v>初审</x:v>
      </x:c>
      <x:c r="AF15" s="87" t="n">
        <x:v>46255</x:v>
      </x:c>
    </x:row>
    <x:row r="16">
      <x:c r="A16" s="72" t="str">
        <x:f>IF(OR(C16="",D16=""),"",B16&amp;"-"&amp;UPPER(C16)&amp;"-"&amp;TEXT(D16,"0000")&amp;"-"&amp;E16)</x:f>
        <x:v>M09-LING-0010-V1.0</x:v>
      </x:c>
      <x:c r="B16" s="74" t="str">
        <x:v>M09</x:v>
      </x:c>
      <x:c r="C16" s="74" t="str">
        <x:v>LING</x:v>
      </x:c>
      <x:c r="D16" s="79" t="n">
        <x:v>10</x:v>
      </x:c>
      <x:c r="E16" s="74" t="str">
        <x:v>V1.0</x:v>
      </x:c>
      <x:c r="F16" s="68" t="str">
        <x:v>季令证据必须服从全局有效力量而非覆盖其他维度</x:v>
      </x:c>
      <x:c r="G16" s="82" t="str">
        <x:v>综合层</x:v>
      </x:c>
      <x:c r="H16" s="68" t="str">
        <x:v>得令</x:v>
      </x:c>
      <x:c r="I16" s="68" t="str">
        <x:v>综合约束</x:v>
      </x:c>
      <x:c r="J16" s="68" t="str">
        <x:v>任何日主旺衰裁定</x:v>
      </x:c>
      <x:c r="K16" s="68" t="str">
        <x:v>高</x:v>
      </x:c>
      <x:c r="L16" s="82" t="str">
        <x:v>决定性</x:v>
      </x:c>
      <x:c r="M16" s="68" t="str">
        <x:v>M03/M08完成</x:v>
      </x:c>
      <x:c r="N16" s="68" t="str">
        <x:v>已取得季令、根气、印比与制泄耗证据</x:v>
      </x:c>
      <x:c r="O16" s="68" t="str">
        <x:v>多维证据同向</x:v>
      </x:c>
      <x:c r="P16" s="68" t="str">
        <x:v>多维证据显著反向</x:v>
      </x:c>
      <x:c r="Q16" s="90" t="str">
        <x:v>禁止以月令单项覆盖M08其余强证据</x:v>
      </x:c>
      <x:c r="R16" s="68" t="str">
        <x:v>特殊格局转M14</x:v>
      </x:c>
      <x:c r="S16" s="68" t="str">
        <x:v>得时不旺、失时不弱均可能成立</x:v>
      </x:c>
      <x:c r="T16" s="82" t="str">
        <x:v>否</x:v>
      </x:c>
      <x:c r="U16" s="82" t="str">
        <x:v>中和</x:v>
      </x:c>
      <x:c r="V16" s="84" t="str">
        <x:v>季令非一票否决</x:v>
      </x:c>
      <x:c r="W16" s="84" t="str">
        <x:v>月令权重高，但最终旺衰必须服从全局有效力量的合成结果。</x:v>
      </x:c>
      <x:c r="X16" s="82" t="str">
        <x:v>较高</x:v>
      </x:c>
      <x:c r="Y16" s="82" t="str">
        <x:v>旺衰扶抑</x:v>
      </x:c>
      <x:c r="Z16" s="68" t="str">
        <x:v>经典文本明确月令虽重，年日时仍有损益之权。</x:v>
      </x:c>
      <x:c r="AA16" s="68" t="str">
        <x:v>得令木遇庚辛申酉成势且无火制，仍可受压明显。</x:v>
      </x:c>
      <x:c r="AB16" s="90" t="str">
        <x:v>只看月令不看四柱其他力量。</x:v>
      </x:c>
      <x:c r="AC16" s="68" t="str">
        <x:v>https://zh.wikisource.org/wiki/%E6%B7%B5%E6%B5%B7%E5%AD%90%E5%B9%B3%E5%A4%A7%E5%85%A8 ; https://zh.wikisource.org/wiki/%E6%BB%B4%E5%A4%A9%E9%AB%93%E9%97%A1%E5%BE%AE</x:v>
      </x:c>
      <x:c r="AD16" s="82" t="str">
        <x:v>采用</x:v>
      </x:c>
      <x:c r="AE16" s="82" t="str">
        <x:v>初审</x:v>
      </x:c>
      <x:c r="AF16" s="87" t="n">
        <x:v>46255</x:v>
      </x:c>
    </x:row>
    <x:row r="17">
      <x:c r="A17" s="72" t="str">
        <x:f>IF(OR(C17="",D17=""),"",B17&amp;"-"&amp;UPPER(C17)&amp;"-"&amp;TEXT(D17,"0000")&amp;"-"&amp;E17)</x:f>
        <x:v>M09-DI-0011-V1.0</x:v>
      </x:c>
      <x:c r="B17" s="74" t="str">
        <x:v>M09</x:v>
      </x:c>
      <x:c r="C17" s="74" t="str">
        <x:v>DI</x:v>
      </x:c>
      <x:c r="D17" s="79" t="n">
        <x:v>11</x:v>
      </x:c>
      <x:c r="E17" s="74" t="str">
        <x:v>V1.0</x:v>
      </x:c>
      <x:c r="F17" s="68" t="str">
        <x:v>有效本气根是得地的强支持证据</x:v>
      </x:c>
      <x:c r="G17" s="82" t="str">
        <x:v>综合层</x:v>
      </x:c>
      <x:c r="H17" s="68" t="str">
        <x:v>得地</x:v>
      </x:c>
      <x:c r="I17" s="68" t="str">
        <x:v>支持偏旺</x:v>
      </x:c>
      <x:c r="J17" s="68" t="str">
        <x:v>M08确认日主在地支拥有有效本气根</x:v>
      </x:c>
      <x:c r="K17" s="68" t="str">
        <x:v>高</x:v>
      </x:c>
      <x:c r="L17" s="82" t="str">
        <x:v>强</x:v>
      </x:c>
      <x:c r="M17" s="68" t="str">
        <x:v>M03/M08完成</x:v>
      </x:c>
      <x:c r="N17" s="68" t="str">
        <x:v>本气根未被实质冲散或改性</x:v>
      </x:c>
      <x:c r="O17" s="68" t="str">
        <x:v>根得令、有同党、透干呼应</x:v>
      </x:c>
      <x:c r="P17" s="68" t="str">
        <x:v>根孤弱或调用受限</x:v>
      </x:c>
      <x:c r="Q17" s="90" t="str">
        <x:v>不得由一处本气根直接判旺</x:v>
      </x:c>
      <x:c r="R17" s="68" t="str">
        <x:v>从格候选另审</x:v>
      </x:c>
      <x:c r="S17" s="68" t="str">
        <x:v>若同时有强负荷侧，一处强根可能仅保证不至极弱</x:v>
      </x:c>
      <x:c r="T17" s="82" t="str">
        <x:v>否</x:v>
      </x:c>
      <x:c r="U17" s="82" t="str">
        <x:v>中和偏旺</x:v>
      </x:c>
      <x:c r="V17" s="84" t="str">
        <x:v>本气根支持</x:v>
      </x:c>
      <x:c r="W17" s="84" t="str">
        <x:v>日主有有效本气根，得地证据强；仍需比较扶身与制泄耗总势。</x:v>
      </x:c>
      <x:c r="X17" s="82" t="str">
        <x:v>较高</x:v>
      </x:c>
      <x:c r="Y17" s="82" t="str">
        <x:v>现代综合</x:v>
      </x:c>
      <x:c r="Z17" s="68" t="str">
        <x:v>得地按有效根气的层级、独立性与可调用性判断；根的存在与实际承载能力分开记录。</x:v>
      </x:c>
      <x:c r="AA17" s="68" t="str">
        <x:v>正例：当“M08确认日主在地支拥有有效本气根”真实成立，且必要条件与增强条件同向时，按“有效本气根是得地的强支持证据”记录对应旺衰证据。</x:v>
      </x:c>
      <x:c r="AB17" s="90" t="str">
        <x:v>反例：只有表面条件，但出现“不得由一处本气根直接判旺”或关键有效性未成立时，不得套用本规则。</x:v>
      </x:c>
      <x:c r="AC17" s="68" t="str">
        <x:v>https://zh.wikisource.org/wiki/%E6%B7%B5%E6%B5%B7%E5%AD%90%E5%B9%B3%E5%A4%A7%E5%85%A8 ; https://zh.wikisource.org/wiki/%E6%BB%B4%E5%A4%A9%E9%AB%93%E9%97%A1%E5%BE%AE</x:v>
      </x:c>
      <x:c r="AD17" s="82" t="str">
        <x:v>采用</x:v>
      </x:c>
      <x:c r="AE17" s="82" t="str">
        <x:v>初审</x:v>
      </x:c>
      <x:c r="AF17" s="87" t="n">
        <x:v>46255</x:v>
      </x:c>
    </x:row>
    <x:row r="18">
      <x:c r="A18" s="72" t="str">
        <x:f>IF(OR(C18="",D18=""),"",B18&amp;"-"&amp;UPPER(C18)&amp;"-"&amp;TEXT(D18,"0000")&amp;"-"&amp;E18)</x:f>
        <x:v>M09-DI-0012-V1.0</x:v>
      </x:c>
      <x:c r="B18" s="74" t="str">
        <x:v>M09</x:v>
      </x:c>
      <x:c r="C18" s="74" t="str">
        <x:v>DI</x:v>
      </x:c>
      <x:c r="D18" s="79" t="n">
        <x:v>12</x:v>
      </x:c>
      <x:c r="E18" s="74" t="str">
        <x:v>V1.0</x:v>
      </x:c>
      <x:c r="F18" s="68" t="str">
        <x:v>有效中气根提供中等级得地支持</x:v>
      </x:c>
      <x:c r="G18" s="82" t="str">
        <x:v>综合层</x:v>
      </x:c>
      <x:c r="H18" s="68" t="str">
        <x:v>得地</x:v>
      </x:c>
      <x:c r="I18" s="68" t="str">
        <x:v>支持偏旺</x:v>
      </x:c>
      <x:c r="J18" s="68" t="str">
        <x:v>M08确认日主有有效中气根</x:v>
      </x:c>
      <x:c r="K18" s="68" t="str">
        <x:v>中</x:v>
      </x:c>
      <x:c r="L18" s="82" t="str">
        <x:v>中</x:v>
      </x:c>
      <x:c r="M18" s="68" t="str">
        <x:v>M03/M08完成</x:v>
      </x:c>
      <x:c r="N18" s="68" t="str">
        <x:v>中气根真实存在且未失效</x:v>
      </x:c>
      <x:c r="O18" s="68" t="str">
        <x:v>另有同类根或印比生扶</x:v>
      </x:c>
      <x:c r="P18" s="68" t="str">
        <x:v>根支受强作用或失令孤立</x:v>
      </x:c>
      <x:c r="Q18" s="90" t="str">
        <x:v>不得把中气根等同本气强根</x:v>
      </x:c>
      <x:c r="R18" s="68" t="str">
        <x:v>特殊格局另审</x:v>
      </x:c>
      <x:c r="S18" s="68" t="str">
        <x:v>中气根通常能否定完全无根，但承载不一定充分</x:v>
      </x:c>
      <x:c r="T18" s="82" t="str">
        <x:v>否</x:v>
      </x:c>
      <x:c r="U18" s="82" t="str">
        <x:v>中和</x:v>
      </x:c>
      <x:c r="V18" s="84" t="str">
        <x:v>中气根支持</x:v>
      </x:c>
      <x:c r="W18" s="84" t="str">
        <x:v>日主有有效中气根，获得中等级得地支持。</x:v>
      </x:c>
      <x:c r="X18" s="82" t="str">
        <x:v>较高</x:v>
      </x:c>
      <x:c r="Y18" s="82" t="str">
        <x:v>现代综合</x:v>
      </x:c>
      <x:c r="Z18" s="68" t="str">
        <x:v>得地按有效根气的层级、独立性与可调用性判断；根的存在与实际承载能力分开记录。</x:v>
      </x:c>
      <x:c r="AA18" s="68" t="str">
        <x:v>正例：当“M08确认日主有有效中气根”真实成立，且必要条件与增强条件同向时，按“有效中气根提供中等级得地支持”记录对应旺衰证据。</x:v>
      </x:c>
      <x:c r="AB18" s="90" t="str">
        <x:v>反例：只有表面条件，但出现“不得把中气根等同本气强根”或关键有效性未成立时，不得套用本规则。</x:v>
      </x:c>
      <x:c r="AC18" s="68" t="str">
        <x:v>https://zh.wikisource.org/wiki/%E6%B7%B5%E6%B5%B7%E5%AD%90%E5%B9%B3%E5%A4%A7%E5%85%A8 ; https://zh.wikisource.org/wiki/%E6%BB%B4%E5%A4%A9%E9%AB%93%E9%97%A1%E5%BE%AE</x:v>
      </x:c>
      <x:c r="AD18" s="82" t="str">
        <x:v>采用</x:v>
      </x:c>
      <x:c r="AE18" s="82" t="str">
        <x:v>初审</x:v>
      </x:c>
      <x:c r="AF18" s="87" t="n">
        <x:v>46255</x:v>
      </x:c>
    </x:row>
    <x:row r="19">
      <x:c r="A19" s="72" t="str">
        <x:f>IF(OR(C19="",D19=""),"",B19&amp;"-"&amp;UPPER(C19)&amp;"-"&amp;TEXT(D19,"0000")&amp;"-"&amp;E19)</x:f>
        <x:v>M09-DI-0013-V1.0</x:v>
      </x:c>
      <x:c r="B19" s="74" t="str">
        <x:v>M09</x:v>
      </x:c>
      <x:c r="C19" s="74" t="str">
        <x:v>DI</x:v>
      </x:c>
      <x:c r="D19" s="79" t="n">
        <x:v>13</x:v>
      </x:c>
      <x:c r="E19" s="74" t="str">
        <x:v>V1.0</x:v>
      </x:c>
      <x:c r="F19" s="68" t="str">
        <x:v>有效余气根主要用于否定完全无根</x:v>
      </x:c>
      <x:c r="G19" s="82" t="str">
        <x:v>综合层</x:v>
      </x:c>
      <x:c r="H19" s="68" t="str">
        <x:v>得地</x:v>
      </x:c>
      <x:c r="I19" s="68" t="str">
        <x:v>轻度支持偏旺</x:v>
      </x:c>
      <x:c r="J19" s="68" t="str">
        <x:v>M08确认日主仅有余气根</x:v>
      </x:c>
      <x:c r="K19" s="68" t="str">
        <x:v>中低</x:v>
      </x:c>
      <x:c r="L19" s="82" t="str">
        <x:v>弱</x:v>
      </x:c>
      <x:c r="M19" s="68" t="str">
        <x:v>M03/M08完成</x:v>
      </x:c>
      <x:c r="N19" s="68" t="str">
        <x:v>余气根尚有效</x:v>
      </x:c>
      <x:c r="O19" s="68" t="str">
        <x:v>同支得令、透干或另有生扶</x:v>
      </x:c>
      <x:c r="P19" s="68" t="str">
        <x:v>余气受损、失令且孤立</x:v>
      </x:c>
      <x:c r="Q19" s="90" t="str">
        <x:v>不得凭单一余气根判身强</x:v>
      </x:c>
      <x:c r="R19" s="68" t="str">
        <x:v>从格边界需特别审查</x:v>
      </x:c>
      <x:c r="S19" s="68" t="str">
        <x:v>若其余扶身证据几乎为空，余气根未必足以阻止极弱候选</x:v>
      </x:c>
      <x:c r="T19" s="82" t="str">
        <x:v>否</x:v>
      </x:c>
      <x:c r="U19" s="82" t="str">
        <x:v>中和偏弱</x:v>
      </x:c>
      <x:c r="V19" s="84" t="str">
        <x:v>余气根边界</x:v>
      </x:c>
      <x:c r="W19" s="84" t="str">
        <x:v>日主有余气根，可否定“完全无根”；但其承载较弱，不能单独支撑身旺。</x:v>
      </x:c>
      <x:c r="X19" s="82" t="str">
        <x:v>较高</x:v>
      </x:c>
      <x:c r="Y19" s="82" t="str">
        <x:v>现代综合</x:v>
      </x:c>
      <x:c r="Z19" s="68" t="str">
        <x:v>得地按有效根气的层级、独立性与可调用性判断；根的存在与实际承载能力分开记录。</x:v>
      </x:c>
      <x:c r="AA19" s="68" t="str">
        <x:v>正例：当“M08确认日主仅有余气根”真实成立，且必要条件与增强条件同向时，按“有效余气根主要用于否定完全无根”记录对应旺衰证据。</x:v>
      </x:c>
      <x:c r="AB19" s="90" t="str">
        <x:v>反例：只有表面条件，但出现“不得凭单一余气根判身强”或关键有效性未成立时，不得套用本规则。</x:v>
      </x:c>
      <x:c r="AC19" s="68" t="str">
        <x:v>https://zh.wikisource.org/wiki/%E6%B7%B5%E6%B5%B7%E5%AD%90%E5%B9%B3%E5%A4%A7%E5%85%A8 ; https://zh.wikisource.org/wiki/%E6%BB%B4%E5%A4%A9%E9%AB%93%E9%97%A1%E5%BE%AE</x:v>
      </x:c>
      <x:c r="AD19" s="82" t="str">
        <x:v>采用</x:v>
      </x:c>
      <x:c r="AE19" s="82" t="str">
        <x:v>初审</x:v>
      </x:c>
      <x:c r="AF19" s="87" t="n">
        <x:v>46255</x:v>
      </x:c>
    </x:row>
    <x:row r="20">
      <x:c r="A20" s="72" t="str">
        <x:f>IF(OR(C20="",D20=""),"",B20&amp;"-"&amp;UPPER(C20)&amp;"-"&amp;TEXT(D20,"0000")&amp;"-"&amp;E20)</x:f>
        <x:v>M09-DI-0014-V1.0</x:v>
      </x:c>
      <x:c r="B20" s="74" t="str">
        <x:v>M09</x:v>
      </x:c>
      <x:c r="C20" s="74" t="str">
        <x:v>DI</x:v>
      </x:c>
      <x:c r="D20" s="79" t="n">
        <x:v>14</x:v>
      </x:c>
      <x:c r="E20" s="74" t="str">
        <x:v>V1.0</x:v>
      </x:c>
      <x:c r="F20" s="68" t="str">
        <x:v>多重独立有效根显著提高日主承载稳定性</x:v>
      </x:c>
      <x:c r="G20" s="82" t="str">
        <x:v>综合层</x:v>
      </x:c>
      <x:c r="H20" s="68" t="str">
        <x:v>得地</x:v>
      </x:c>
      <x:c r="I20" s="68" t="str">
        <x:v>支持偏旺</x:v>
      </x:c>
      <x:c r="J20" s="68" t="str">
        <x:v>日主在两个以上独立地支拥有有效根</x:v>
      </x:c>
      <x:c r="K20" s="68" t="str">
        <x:v>高</x:v>
      </x:c>
      <x:c r="L20" s="82" t="str">
        <x:v>强</x:v>
      </x:c>
      <x:c r="M20" s="68" t="str">
        <x:v>M08完成</x:v>
      </x:c>
      <x:c r="N20" s="68" t="str">
        <x:v>根位彼此独立且未因同一成局被重复计权</x:v>
      </x:c>
      <x:c r="O20" s="68" t="str">
        <x:v>根位分布广且至少一处强根</x:v>
      </x:c>
      <x:c r="P20" s="68" t="str">
        <x:v>多个根同时受制或共享同一有限来源</x:v>
      </x:c>
      <x:c r="Q20" s="90" t="str">
        <x:v>禁止把重复同一支或同一节点当多根</x:v>
      </x:c>
      <x:c r="R20" s="68" t="str">
        <x:v>合化成局后按M08重算</x:v>
      </x:c>
      <x:c r="S20" s="68" t="str">
        <x:v>根越独立，单一根受损越不易使日主失去承载</x:v>
      </x:c>
      <x:c r="T20" s="82" t="str">
        <x:v>否</x:v>
      </x:c>
      <x:c r="U20" s="82" t="str">
        <x:v>旺</x:v>
      </x:c>
      <x:c r="V20" s="84" t="str">
        <x:v>多根承载</x:v>
      </x:c>
      <x:c r="W20" s="84" t="str">
        <x:v>日主拥有多处独立有效根，得地稳定性高，是偏旺或旺的重要证据。</x:v>
      </x:c>
      <x:c r="X20" s="82" t="str">
        <x:v>较高</x:v>
      </x:c>
      <x:c r="Y20" s="82" t="str">
        <x:v>现代综合</x:v>
      </x:c>
      <x:c r="Z20" s="68" t="str">
        <x:v>得地按有效根气的层级、独立性与可调用性判断；根的存在与实际承载能力分开记录。</x:v>
      </x:c>
      <x:c r="AA20" s="68" t="str">
        <x:v>正例：当“日主在两个以上独立地支拥有有效根”真实成立，且必要条件与增强条件同向时，按“多重独立有效根显著提高日主承载稳定性”记录对应旺衰证据。</x:v>
      </x:c>
      <x:c r="AB20" s="90" t="str">
        <x:v>反例：只有表面条件，但出现“禁止把重复同一支或同一节点当多根”或关键有效性未成立时，不得套用本规则。</x:v>
      </x:c>
      <x:c r="AC20" s="68" t="str">
        <x:v>https://zh.wikisource.org/wiki/%E6%B7%B5%E6%B5%B7%E5%AD%90%E5%B9%B3%E5%A4%A7%E5%85%A8 ; https://zh.wikisource.org/wiki/%E6%BB%B4%E5%A4%A9%E9%AB%93%E9%97%A1%E5%BE%AE</x:v>
      </x:c>
      <x:c r="AD20" s="82" t="str">
        <x:v>采用</x:v>
      </x:c>
      <x:c r="AE20" s="82" t="str">
        <x:v>初审</x:v>
      </x:c>
      <x:c r="AF20" s="87" t="n">
        <x:v>46255</x:v>
      </x:c>
    </x:row>
    <x:row r="21">
      <x:c r="A21" s="72" t="str">
        <x:f>IF(OR(C21="",D21=""),"",B21&amp;"-"&amp;UPPER(C21)&amp;"-"&amp;TEXT(D21,"0000")&amp;"-"&amp;E21)</x:f>
        <x:v>M09-DI-0015-V1.0</x:v>
      </x:c>
      <x:c r="B21" s="74" t="str">
        <x:v>M09</x:v>
      </x:c>
      <x:c r="C21" s="74" t="str">
        <x:v>DI</x:v>
      </x:c>
      <x:c r="D21" s="79" t="n">
        <x:v>15</x:v>
      </x:c>
      <x:c r="E21" s="74" t="str">
        <x:v>V1.0</x:v>
      </x:c>
      <x:c r="F21" s="68" t="str">
        <x:v>同类根可以扶身但不与同干直接根完全等权</x:v>
      </x:c>
      <x:c r="G21" s="82" t="str">
        <x:v>综合层</x:v>
      </x:c>
      <x:c r="H21" s="68" t="str">
        <x:v>得地</x:v>
      </x:c>
      <x:c r="I21" s="68" t="str">
        <x:v>支持偏旺</x:v>
      </x:c>
      <x:c r="J21" s="68" t="str">
        <x:v>日主在地支获得同五行异阴阳的同类根</x:v>
      </x:c>
      <x:c r="K21" s="68" t="str">
        <x:v>中</x:v>
      </x:c>
      <x:c r="L21" s="82" t="str">
        <x:v>中</x:v>
      </x:c>
      <x:c r="M21" s="68" t="str">
        <x:v>M03/M08完成</x:v>
      </x:c>
      <x:c r="N21" s="68" t="str">
        <x:v>同类根真实有效</x:v>
      </x:c>
      <x:c r="O21" s="68" t="str">
        <x:v>同类根得令、同党透出</x:v>
      </x:c>
      <x:c r="P21" s="68" t="str">
        <x:v>同类根孤弱或被强制</x:v>
      </x:c>
      <x:c r="Q21" s="90" t="str">
        <x:v>禁止把同类根与日主同干本气根机械等权</x:v>
      </x:c>
      <x:c r="R21" s="68" t="str">
        <x:v>不同流派对根定义分歧转M21</x:v>
      </x:c>
      <x:c r="S21" s="68" t="str">
        <x:v>同类根仍属于五行层面的承载支持</x:v>
      </x:c>
      <x:c r="T21" s="82" t="str">
        <x:v>否</x:v>
      </x:c>
      <x:c r="U21" s="82" t="str">
        <x:v>中和偏旺</x:v>
      </x:c>
      <x:c r="V21" s="84" t="str">
        <x:v>同类根支持</x:v>
      </x:c>
      <x:c r="W21" s="84" t="str">
        <x:v>同类根可支持日主五行，但与同干直接根区分记录，不机械等权。</x:v>
      </x:c>
      <x:c r="X21" s="82" t="str">
        <x:v>中等</x:v>
      </x:c>
      <x:c r="Y21" s="82" t="str">
        <x:v>现代综合</x:v>
      </x:c>
      <x:c r="Z21" s="68" t="str">
        <x:v>兼容不同流派的通根口径。</x:v>
      </x:c>
      <x:c r="AA21" s="68" t="str">
        <x:v>正例：当“日主在地支获得同五行异阴阳的同类根”真实成立，且必要条件与增强条件同向时，按“同类根可以扶身但不与同干直接根完全等权”记录对应旺衰证据。</x:v>
      </x:c>
      <x:c r="AB21" s="90" t="str">
        <x:v>反例：只有表面条件，但出现“禁止把同类根与日主同干本气根机械等权”或关键有效性未成立时，不得套用本规则。</x:v>
      </x:c>
      <x:c r="AC21" s="68" t="str">
        <x:v>https://zh.wikisource.org/wiki/%E6%B7%B5%E6%B5%B7%E5%AD%90%E5%B9%B3%E5%A4%A7%E5%85%A8 ; https://zh.wikisource.org/wiki/%E6%BB%B4%E5%A4%A9%E9%AB%93%E9%97%A1%E5%BE%AE</x:v>
      </x:c>
      <x:c r="AD21" s="82" t="str">
        <x:v>待验证</x:v>
      </x:c>
      <x:c r="AE21" s="82" t="str">
        <x:v>初审</x:v>
      </x:c>
      <x:c r="AF21" s="87" t="n">
        <x:v>46255</x:v>
      </x:c>
    </x:row>
    <x:row r="22">
      <x:c r="A22" s="72" t="str">
        <x:f>IF(OR(C22="",D22=""),"",B22&amp;"-"&amp;UPPER(C22)&amp;"-"&amp;TEXT(D22,"0000")&amp;"-"&amp;E22)</x:f>
        <x:v>M09-DI-0016-V1.0</x:v>
      </x:c>
      <x:c r="B22" s="74" t="str">
        <x:v>M09</x:v>
      </x:c>
      <x:c r="C22" s="74" t="str">
        <x:v>DI</x:v>
      </x:c>
      <x:c r="D22" s="79" t="n">
        <x:v>16</x:v>
      </x:c>
      <x:c r="E22" s="74" t="str">
        <x:v>V1.0</x:v>
      </x:c>
      <x:c r="F22" s="68" t="str">
        <x:v>无有效根是日主偏弱的重要证据</x:v>
      </x:c>
      <x:c r="G22" s="82" t="str">
        <x:v>综合层</x:v>
      </x:c>
      <x:c r="H22" s="68" t="str">
        <x:v>得地</x:v>
      </x:c>
      <x:c r="I22" s="68" t="str">
        <x:v>支持偏弱</x:v>
      </x:c>
      <x:c r="J22" s="68" t="str">
        <x:v>M08确认日主无有效根</x:v>
      </x:c>
      <x:c r="K22" s="68" t="str">
        <x:v>高</x:v>
      </x:c>
      <x:c r="L22" s="82" t="str">
        <x:v>强</x:v>
      </x:c>
      <x:c r="M22" s="68" t="str">
        <x:v>M08完成</x:v>
      </x:c>
      <x:c r="N22" s="68" t="str">
        <x:v>不存在可调用的本中余气根</x:v>
      </x:c>
      <x:c r="O22" s="68" t="str">
        <x:v>同时失令、无强印比</x:v>
      </x:c>
      <x:c r="P22" s="68" t="str">
        <x:v>得令或强印比持续生扶</x:v>
      </x:c>
      <x:c r="Q22" s="90" t="str">
        <x:v>不得由无根单独判极弱</x:v>
      </x:c>
      <x:c r="R22" s="68" t="str">
        <x:v>从格条件另审</x:v>
      </x:c>
      <x:c r="S22" s="68" t="str">
        <x:v>天干有印比或得令可使无根日主仍保持一定力量</x:v>
      </x:c>
      <x:c r="T22" s="82" t="str">
        <x:v>否</x:v>
      </x:c>
      <x:c r="U22" s="82" t="str">
        <x:v>弱</x:v>
      </x:c>
      <x:c r="V22" s="84" t="str">
        <x:v>无根证据</x:v>
      </x:c>
      <x:c r="W22" s="84" t="str">
        <x:v>日主无有效根，得地不足，是偏弱的重要证据；但不能单独推出极弱。</x:v>
      </x:c>
      <x:c r="X22" s="82" t="str">
        <x:v>较高</x:v>
      </x:c>
      <x:c r="Y22" s="82" t="str">
        <x:v>现代综合</x:v>
      </x:c>
      <x:c r="Z22" s="68" t="str">
        <x:v>得地按有效根气的层级、独立性与可调用性判断；根的存在与实际承载能力分开记录。</x:v>
      </x:c>
      <x:c r="AA22" s="68" t="str">
        <x:v>正例：当“M08确认日主无有效根”真实成立，且必要条件与增强条件同向时，按“无有效根是日主偏弱的重要证据”记录对应旺衰证据。</x:v>
      </x:c>
      <x:c r="AB22" s="90" t="str">
        <x:v>反例：只有表面条件，但出现“不得由无根单独判极弱”或关键有效性未成立时，不得套用本规则。</x:v>
      </x:c>
      <x:c r="AC22" s="68" t="str">
        <x:v>https://zh.wikisource.org/wiki/%E6%B7%B5%E6%B5%B7%E5%AD%90%E5%B9%B3%E5%A4%A7%E5%85%A8 ; https://zh.wikisource.org/wiki/%E6%BB%B4%E5%A4%A9%E9%AB%93%E9%97%A1%E5%BE%AE</x:v>
      </x:c>
      <x:c r="AD22" s="82" t="str">
        <x:v>采用</x:v>
      </x:c>
      <x:c r="AE22" s="82" t="str">
        <x:v>初审</x:v>
      </x:c>
      <x:c r="AF22" s="87" t="n">
        <x:v>46255</x:v>
      </x:c>
    </x:row>
    <x:row r="23">
      <x:c r="A23" s="72" t="str">
        <x:f>IF(OR(C23="",D23=""),"",B23&amp;"-"&amp;UPPER(C23)&amp;"-"&amp;TEXT(D23,"0000")&amp;"-"&amp;E23)</x:f>
        <x:v>M09-DI-0017-V1.0</x:v>
      </x:c>
      <x:c r="B23" s="74" t="str">
        <x:v>M09</x:v>
      </x:c>
      <x:c r="C23" s="74" t="str">
        <x:v>DI</x:v>
      </x:c>
      <x:c r="D23" s="79" t="n">
        <x:v>17</x:v>
      </x:c>
      <x:c r="E23" s="74" t="str">
        <x:v>V1.0</x:v>
      </x:c>
      <x:c r="F23" s="68" t="str">
        <x:v>唯一有效根被实质冲散时应显著下调日主承载</x:v>
      </x:c>
      <x:c r="G23" s="82" t="str">
        <x:v>综合层</x:v>
      </x:c>
      <x:c r="H23" s="68" t="str">
        <x:v>得地</x:v>
      </x:c>
      <x:c r="I23" s="68" t="str">
        <x:v>支持偏弱</x:v>
      </x:c>
      <x:c r="J23" s="68" t="str">
        <x:v>日主仅一根且M08判该根实质冲散/失效</x:v>
      </x:c>
      <x:c r="K23" s="68" t="str">
        <x:v>高</x:v>
      </x:c>
      <x:c r="L23" s="82" t="str">
        <x:v>强</x:v>
      </x:c>
      <x:c r="M23" s="68" t="str">
        <x:v>M08完成</x:v>
      </x:c>
      <x:c r="N23" s="68" t="str">
        <x:v>确属唯一有效根</x:v>
      </x:c>
      <x:c r="O23" s="68" t="str">
        <x:v>同时失令、印比弱</x:v>
      </x:c>
      <x:c r="P23" s="68" t="str">
        <x:v>另有新根、强印或成势比劫</x:v>
      </x:c>
      <x:c r="Q23" s="90" t="str">
        <x:v>禁止把普通受冲等同根失效</x:v>
      </x:c>
      <x:c r="R23" s="68" t="str">
        <x:v>动态岁运另模块</x:v>
      </x:c>
      <x:c r="S23" s="68" t="str">
        <x:v>唯一根失效会使日主承载出现质变</x:v>
      </x:c>
      <x:c r="T23" s="82" t="str">
        <x:v>是</x:v>
      </x:c>
      <x:c r="U23" s="82" t="str">
        <x:v>弱</x:v>
      </x:c>
      <x:c r="V23" s="84" t="str">
        <x:v>唯一根失效</x:v>
      </x:c>
      <x:c r="W23" s="84" t="str">
        <x:v>日主唯一有效根已失效，得地证据显著下降；需重新评估是否进入弱或极弱候选。</x:v>
      </x:c>
      <x:c r="X23" s="82" t="str">
        <x:v>较高</x:v>
      </x:c>
      <x:c r="Y23" s="82" t="str">
        <x:v>现代综合</x:v>
      </x:c>
      <x:c r="Z23" s="68" t="str">
        <x:v>得地按有效根气的层级、独立性与可调用性判断；根的存在与实际承载能力分开记录。</x:v>
      </x:c>
      <x:c r="AA23" s="68" t="str">
        <x:v>正例：当“日主仅一根且M08判该根实质冲散/失效”真实成立，且必要条件与增强条件同向时，按“唯一有效根被实质冲散时应显著下调日主承载”记录对应旺衰证据。</x:v>
      </x:c>
      <x:c r="AB23" s="90" t="str">
        <x:v>反例：只有表面条件，但出现“禁止把普通受冲等同根失效”或关键有效性未成立时，不得套用本规则。</x:v>
      </x:c>
      <x:c r="AC23" s="68" t="str">
        <x:v>https://zh.wikisource.org/wiki/%E6%B7%B5%E6%B5%B7%E5%AD%90%E5%B9%B3%E5%A4%A7%E5%85%A8 ; https://zh.wikisource.org/wiki/%E6%BB%B4%E5%A4%A9%E9%AB%93%E9%97%A1%E5%BE%AE</x:v>
      </x:c>
      <x:c r="AD23" s="82" t="str">
        <x:v>采用</x:v>
      </x:c>
      <x:c r="AE23" s="82" t="str">
        <x:v>初审</x:v>
      </x:c>
      <x:c r="AF23" s="87" t="n">
        <x:v>46255</x:v>
      </x:c>
    </x:row>
    <x:row r="24">
      <x:c r="A24" s="72" t="str">
        <x:f>IF(OR(C24="",D24=""),"",B24&amp;"-"&amp;UPPER(C24)&amp;"-"&amp;TEXT(D24,"0000")&amp;"-"&amp;E24)</x:f>
        <x:v>M09-DI-0018-V1.0</x:v>
      </x:c>
      <x:c r="B24" s="74" t="str">
        <x:v>M09</x:v>
      </x:c>
      <x:c r="C24" s="74" t="str">
        <x:v>DI</x:v>
      </x:c>
      <x:c r="D24" s="79" t="n">
        <x:v>18</x:v>
      </x:c>
      <x:c r="E24" s="74" t="str">
        <x:v>V1.0</x:v>
      </x:c>
      <x:c r="F24" s="68" t="str">
        <x:v>强根受冲但M08判为冲动时不得下调为无根</x:v>
      </x:c>
      <x:c r="G24" s="82" t="str">
        <x:v>综合层</x:v>
      </x:c>
      <x:c r="H24" s="68" t="str">
        <x:v>得地</x:v>
      </x:c>
      <x:c r="I24" s="68" t="str">
        <x:v>保持支持</x:v>
      </x:c>
      <x:c r="J24" s="68" t="str">
        <x:v>日主强根受冲且M08结论为冲动/激活而非冲散</x:v>
      </x:c>
      <x:c r="K24" s="68" t="str">
        <x:v>高</x:v>
      </x:c>
      <x:c r="L24" s="82" t="str">
        <x:v>中</x:v>
      </x:c>
      <x:c r="M24" s="68" t="str">
        <x:v>M08完成</x:v>
      </x:c>
      <x:c r="N24" s="68" t="str">
        <x:v>M08已确认根性保留</x:v>
      </x:c>
      <x:c r="O24" s="68" t="str">
        <x:v>根得令有援</x:v>
      </x:c>
      <x:c r="P24" s="68"/>
      <x:c r="Q24" s="90" t="str">
        <x:v>禁止看到冲就拔根</x:v>
      </x:c>
      <x:c r="R24" s="68" t="str">
        <x:v>若后续动态作用另审</x:v>
      </x:c>
      <x:c r="S24" s="68" t="str">
        <x:v>根的稳定性可下降，但承载仍存在</x:v>
      </x:c>
      <x:c r="T24" s="82" t="str">
        <x:v>是</x:v>
      </x:c>
      <x:c r="U24" s="82" t="str">
        <x:v>中和偏旺</x:v>
      </x:c>
      <x:c r="V24" s="84" t="str">
        <x:v>冲根保留</x:v>
      </x:c>
      <x:c r="W24" s="84" t="str">
        <x:v>该根虽被冲动，但有效根性仍在，不按无根处理。</x:v>
      </x:c>
      <x:c r="X24" s="82" t="str">
        <x:v>较高</x:v>
      </x:c>
      <x:c r="Y24" s="82" t="str">
        <x:v>现代综合</x:v>
      </x:c>
      <x:c r="Z24" s="68" t="str">
        <x:v>得地按有效根气的层级、独立性与可调用性判断；根的存在与实际承载能力分开记录。</x:v>
      </x:c>
      <x:c r="AA24" s="68" t="str">
        <x:v>正例：当“日主强根受冲且M08结论为冲动/激活而非冲散”真实成立，且必要条件与增强条件同向时，按“强根受冲但M08判为冲动时不得下调为无根”记录对应旺衰证据。</x:v>
      </x:c>
      <x:c r="AB24" s="90" t="str">
        <x:v>反例：只有表面条件，但出现“禁止看到冲就拔根”或关键有效性未成立时，不得套用本规则。</x:v>
      </x:c>
      <x:c r="AC24" s="68" t="str">
        <x:v>https://zh.wikisource.org/wiki/%E6%B7%B5%E6%B5%B7%E5%AD%90%E5%B9%B3%E5%A4%A7%E5%85%A8 ; https://zh.wikisource.org/wiki/%E6%BB%B4%E5%A4%A9%E9%AB%93%E9%97%A1%E5%BE%AE</x:v>
      </x:c>
      <x:c r="AD24" s="82" t="str">
        <x:v>采用</x:v>
      </x:c>
      <x:c r="AE24" s="82" t="str">
        <x:v>初审</x:v>
      </x:c>
      <x:c r="AF24" s="87" t="n">
        <x:v>46255</x:v>
      </x:c>
    </x:row>
    <x:row r="25">
      <x:c r="A25" s="72" t="str">
        <x:f>IF(OR(C25="",D25=""),"",B25&amp;"-"&amp;UPPER(C25)&amp;"-"&amp;TEXT(D25,"0000")&amp;"-"&amp;E25)</x:f>
        <x:v>M09-DI-0019-V1.0</x:v>
      </x:c>
      <x:c r="B25" s="74" t="str">
        <x:v>M09</x:v>
      </x:c>
      <x:c r="C25" s="74" t="str">
        <x:v>DI</x:v>
      </x:c>
      <x:c r="D25" s="79" t="n">
        <x:v>19</x:v>
      </x:c>
      <x:c r="E25" s="74" t="str">
        <x:v>V1.0</x:v>
      </x:c>
      <x:c r="F25" s="68" t="str">
        <x:v>月支根与得令来自同一节点时不得重复全额计权</x:v>
      </x:c>
      <x:c r="G25" s="82" t="str">
        <x:v>综合层</x:v>
      </x:c>
      <x:c r="H25" s="68" t="str">
        <x:v>得地</x:v>
      </x:c>
      <x:c r="I25" s="68" t="str">
        <x:v>证据去重</x:v>
      </x:c>
      <x:c r="J25" s="68" t="str">
        <x:v>月支同时为日主季令支持与根位</x:v>
      </x:c>
      <x:c r="K25" s="68" t="str">
        <x:v>高</x:v>
      </x:c>
      <x:c r="L25" s="82" t="str">
        <x:v>中</x:v>
      </x:c>
      <x:c r="M25" s="68" t="str">
        <x:v>M03/M08完成</x:v>
      </x:c>
      <x:c r="N25" s="68" t="str">
        <x:v>同一月支节点</x:v>
      </x:c>
      <x:c r="O25" s="68" t="str">
        <x:v>另有年日时独立根</x:v>
      </x:c>
      <x:c r="P25" s="68"/>
      <x:c r="Q25" s="90" t="str">
        <x:v>禁止得令+月支本气根重复形成两份决定性证据</x:v>
      </x:c>
      <x:c r="R25" s="68" t="str">
        <x:v>可保留两种解释标签</x:v>
      </x:c>
      <x:c r="S25" s="68" t="str">
        <x:v>真正新增支持来自其他独立节点</x:v>
      </x:c>
      <x:c r="T25" s="82" t="str">
        <x:v>是</x:v>
      </x:c>
      <x:c r="U25" s="82" t="str">
        <x:v>中和偏旺</x:v>
      </x:c>
      <x:c r="V25" s="84" t="str">
        <x:v>月支去重</x:v>
      </x:c>
      <x:c r="W25" s="84" t="str">
        <x:v>月支既得令又通根时保留两类说明，但总权重需去重。</x:v>
      </x:c>
      <x:c r="X25" s="82" t="str">
        <x:v>较高</x:v>
      </x:c>
      <x:c r="Y25" s="82" t="str">
        <x:v>现代综合</x:v>
      </x:c>
      <x:c r="Z25" s="68" t="str">
        <x:v>得地按有效根气的层级、独立性与可调用性判断；根的存在与实际承载能力分开记录。</x:v>
      </x:c>
      <x:c r="AA25" s="68" t="str">
        <x:v>正例：当“月支同时为日主季令支持与根位”真实成立，且必要条件与增强条件同向时，按“月支根与得令来自同一节点时不得重复全额计权”记录对应旺衰证据。</x:v>
      </x:c>
      <x:c r="AB25" s="90" t="str">
        <x:v>反例：只有表面条件，但出现“禁止得令+月支本气根重复形成两份决定性证据”或关键有效性未成立时，不得套用本规则。</x:v>
      </x:c>
      <x:c r="AC25" s="68" t="str">
        <x:v>https://zh.wikisource.org/wiki/%E6%B7%B5%E6%B5%B7%E5%AD%90%E5%B9%B3%E5%A4%A7%E5%85%A8 ; https://zh.wikisource.org/wiki/%E6%BB%B4%E5%A4%A9%E9%AB%93%E9%97%A1%E5%BE%AE</x:v>
      </x:c>
      <x:c r="AD25" s="82" t="str">
        <x:v>采用</x:v>
      </x:c>
      <x:c r="AE25" s="82" t="str">
        <x:v>初审</x:v>
      </x:c>
      <x:c r="AF25" s="87" t="n">
        <x:v>46255</x:v>
      </x:c>
    </x:row>
    <x:row r="26">
      <x:c r="A26" s="72" t="str">
        <x:f>IF(OR(C26="",D26=""),"",B26&amp;"-"&amp;UPPER(C26)&amp;"-"&amp;TEXT(D26,"0000")&amp;"-"&amp;E26)</x:f>
        <x:v>M09-DI-0020-V1.0</x:v>
      </x:c>
      <x:c r="B26" s="74" t="str">
        <x:v>M09</x:v>
      </x:c>
      <x:c r="C26" s="74" t="str">
        <x:v>DI</x:v>
      </x:c>
      <x:c r="D26" s="79" t="n">
        <x:v>20</x:v>
      </x:c>
      <x:c r="E26" s="74" t="str">
        <x:v>V1.0</x:v>
      </x:c>
      <x:c r="F26" s="68" t="str">
        <x:v>日支根属于直接承载节点但不设置固定倍权</x:v>
      </x:c>
      <x:c r="G26" s="82" t="str">
        <x:v>综合层</x:v>
      </x:c>
      <x:c r="H26" s="68" t="str">
        <x:v>得地</x:v>
      </x:c>
      <x:c r="I26" s="68" t="str">
        <x:v>支持偏旺</x:v>
      </x:c>
      <x:c r="J26" s="68" t="str">
        <x:v>日支藏有日主有效根</x:v>
      </x:c>
      <x:c r="K26" s="68" t="str">
        <x:v>中高</x:v>
      </x:c>
      <x:c r="L26" s="82" t="str">
        <x:v>中</x:v>
      </x:c>
      <x:c r="M26" s="68" t="str">
        <x:v>M08完成</x:v>
      </x:c>
      <x:c r="N26" s="68" t="str">
        <x:v>根性有效</x:v>
      </x:c>
      <x:c r="O26" s="68" t="str">
        <x:v>坐下本气根且得令有援</x:v>
      </x:c>
      <x:c r="P26" s="68" t="str">
        <x:v>日支根受合绊、改性或强制</x:v>
      </x:c>
      <x:c r="Q26" s="90" t="str">
        <x:v>禁止把坐根设为固定倍数</x:v>
      </x:c>
      <x:c r="R26" s="68" t="str">
        <x:v>位置权重流派差异转M21</x:v>
      </x:c>
      <x:c r="S26" s="68" t="str">
        <x:v>坐下根常具有直接性，但强弱仍由根级和全局决定</x:v>
      </x:c>
      <x:c r="T26" s="82" t="str">
        <x:v>否</x:v>
      </x:c>
      <x:c r="U26" s="82" t="str">
        <x:v>中和偏旺</x:v>
      </x:c>
      <x:c r="V26" s="84" t="str">
        <x:v>日支根直接性</x:v>
      </x:c>
      <x:c r="W26" s="84" t="str">
        <x:v>日支有效根可视为较直接的承载证据，但不使用固定倍权。</x:v>
      </x:c>
      <x:c r="X26" s="82" t="str">
        <x:v>中等</x:v>
      </x:c>
      <x:c r="Y26" s="82" t="str">
        <x:v>现代综合</x:v>
      </x:c>
      <x:c r="Z26" s="68" t="str">
        <x:v>位置权重属于模型化处理，需通过案例回归验证。</x:v>
      </x:c>
      <x:c r="AA26" s="68" t="str">
        <x:v>正例：当“日支藏有日主有效根”真实成立，且必要条件与增强条件同向时，按“日支根属于直接承载节点但不设置固定倍权”记录对应旺衰证据。</x:v>
      </x:c>
      <x:c r="AB26" s="90" t="str">
        <x:v>反例：只有表面条件，但出现“禁止把坐根设为固定倍数”或关键有效性未成立时，不得套用本规则。</x:v>
      </x:c>
      <x:c r="AC26" s="68" t="str">
        <x:v>https://zh.wikisource.org/wiki/%E6%B7%B5%E6%B5%B7%E5%AD%90%E5%B9%B3%E5%A4%A7%E5%85%A8 ; https://zh.wikisource.org/wiki/%E6%BB%B4%E5%A4%A9%E9%AB%93%E9%97%A1%E5%BE%AE</x:v>
      </x:c>
      <x:c r="AD26" s="82" t="str">
        <x:v>待验证</x:v>
      </x:c>
      <x:c r="AE26" s="82" t="str">
        <x:v>初审</x:v>
      </x:c>
      <x:c r="AF26" s="87" t="n">
        <x:v>46255</x:v>
      </x:c>
    </x:row>
    <x:row r="27">
      <x:c r="A27" s="72" t="str">
        <x:f>IF(OR(C27="",D27=""),"",B27&amp;"-"&amp;UPPER(C27)&amp;"-"&amp;TEXT(D27,"0000")&amp;"-"&amp;E27)</x:f>
        <x:v>M09-DI-0021-V1.0</x:v>
      </x:c>
      <x:c r="B27" s="74" t="str">
        <x:v>M09</x:v>
      </x:c>
      <x:c r="C27" s="74" t="str">
        <x:v>DI</x:v>
      </x:c>
      <x:c r="D27" s="79" t="n">
        <x:v>21</x:v>
      </x:c>
      <x:c r="E27" s="74" t="str">
        <x:v>V1.0</x:v>
      </x:c>
      <x:c r="F27" s="68" t="str">
        <x:v>多根受损只修正对应节点不连坐删除其他根</x:v>
      </x:c>
      <x:c r="G27" s="82" t="str">
        <x:v>综合层</x:v>
      </x:c>
      <x:c r="H27" s="68" t="str">
        <x:v>得地</x:v>
      </x:c>
      <x:c r="I27" s="68" t="str">
        <x:v>局部减弱</x:v>
      </x:c>
      <x:c r="J27" s="68" t="str">
        <x:v>日主有多重根，其中部分根被M08判受损</x:v>
      </x:c>
      <x:c r="K27" s="68" t="str">
        <x:v>中高</x:v>
      </x:c>
      <x:c r="L27" s="82" t="str">
        <x:v>中</x:v>
      </x:c>
      <x:c r="M27" s="68" t="str">
        <x:v>M08完成</x:v>
      </x:c>
      <x:c r="N27" s="68" t="str">
        <x:v>根位独立</x:v>
      </x:c>
      <x:c r="O27" s="68" t="str">
        <x:v>未受损根仍得令有援</x:v>
      </x:c>
      <x:c r="P27" s="68" t="str">
        <x:v>多个根共享同一支或同时被改性</x:v>
      </x:c>
      <x:c r="Q27" s="90" t="str">
        <x:v>禁止一个根受损即把全部得地判零</x:v>
      </x:c>
      <x:c r="R27" s="68" t="str">
        <x:v>合局改性按M08处理</x:v>
      </x:c>
      <x:c r="S27" s="68" t="str">
        <x:v>剩余独立根越强，日主仍可保持中和以上</x:v>
      </x:c>
      <x:c r="T27" s="82" t="str">
        <x:v>是</x:v>
      </x:c>
      <x:c r="U27" s="82" t="str">
        <x:v>中和</x:v>
      </x:c>
      <x:c r="V27" s="84" t="str">
        <x:v>根位局部修正</x:v>
      </x:c>
      <x:c r="W27" s="84" t="str">
        <x:v>部分根气受损只影响对应节点；其余独立有效根继续保留。</x:v>
      </x:c>
      <x:c r="X27" s="82" t="str">
        <x:v>较高</x:v>
      </x:c>
      <x:c r="Y27" s="82" t="str">
        <x:v>现代综合</x:v>
      </x:c>
      <x:c r="Z27" s="68" t="str">
        <x:v>得地按有效根气的层级、独立性与可调用性判断；根的存在与实际承载能力分开记录。</x:v>
      </x:c>
      <x:c r="AA27" s="68" t="str">
        <x:v>正例：当“日主有多重根，其中部分根被M08判受损”真实成立，且必要条件与增强条件同向时，按“多根受损只修正对应节点不连坐删除其他根”记录对应旺衰证据。</x:v>
      </x:c>
      <x:c r="AB27" s="90" t="str">
        <x:v>反例：只有表面条件，但出现“禁止一个根受损即把全部得地判零”或关键有效性未成立时，不得套用本规则。</x:v>
      </x:c>
      <x:c r="AC27" s="68" t="str">
        <x:v>https://zh.wikisource.org/wiki/%E6%B7%B5%E6%B5%B7%E5%AD%90%E5%B9%B3%E5%A4%A7%E5%85%A8 ; https://zh.wikisource.org/wiki/%E6%BB%B4%E5%A4%A9%E9%AB%93%E9%97%A1%E5%BE%AE</x:v>
      </x:c>
      <x:c r="AD27" s="82" t="str">
        <x:v>采用</x:v>
      </x:c>
      <x:c r="AE27" s="82" t="str">
        <x:v>初审</x:v>
      </x:c>
      <x:c r="AF27" s="87" t="n">
        <x:v>46255</x:v>
      </x:c>
    </x:row>
    <x:row r="28">
      <x:c r="A28" s="72" t="str">
        <x:f>IF(OR(C28="",D28=""),"",B28&amp;"-"&amp;UPPER(C28)&amp;"-"&amp;TEXT(D28,"0000")&amp;"-"&amp;E28)</x:f>
        <x:v>M09-DI-0022-V1.0</x:v>
      </x:c>
      <x:c r="B28" s="74" t="str">
        <x:v>M09</x:v>
      </x:c>
      <x:c r="C28" s="74" t="str">
        <x:v>DI</x:v>
      </x:c>
      <x:c r="D28" s="79" t="n">
        <x:v>22</x:v>
      </x:c>
      <x:c r="E28" s="74" t="str">
        <x:v>V1.0</x:v>
      </x:c>
      <x:c r="F28" s="68" t="str">
        <x:v>根气存在与根气可调用必须分别记录</x:v>
      </x:c>
      <x:c r="G28" s="82" t="str">
        <x:v>综合层</x:v>
      </x:c>
      <x:c r="H28" s="68" t="str">
        <x:v>得地</x:v>
      </x:c>
      <x:c r="I28" s="68" t="str">
        <x:v>条件性</x:v>
      </x:c>
      <x:c r="J28" s="68" t="str">
        <x:v>M03有根但M08判合绊、寒凝或其他调用受限</x:v>
      </x:c>
      <x:c r="K28" s="68" t="str">
        <x:v>中高</x:v>
      </x:c>
      <x:c r="L28" s="82" t="str">
        <x:v>中</x:v>
      </x:c>
      <x:c r="M28" s="68" t="str">
        <x:v>M08完成</x:v>
      </x:c>
      <x:c r="N28" s="68" t="str">
        <x:v>原根存在且有效性受限</x:v>
      </x:c>
      <x:c r="O28" s="68" t="str">
        <x:v>有透达通道或救应</x:v>
      </x:c>
      <x:c r="P28" s="68" t="str">
        <x:v>长期冻结、实质改性或被制</x:v>
      </x:c>
      <x:c r="Q28" s="90" t="str">
        <x:v>禁止把“有根”直接等同“根力完整”</x:v>
      </x:c>
      <x:c r="R28" s="68" t="str">
        <x:v>不同作用类型按M08输出</x:v>
      </x:c>
      <x:c r="S28" s="68" t="str">
        <x:v>受限根可以防止极弱但未必足以支撑偏旺</x:v>
      </x:c>
      <x:c r="T28" s="82" t="str">
        <x:v>否</x:v>
      </x:c>
      <x:c r="U28" s="82" t="str">
        <x:v>中和</x:v>
      </x:c>
      <x:c r="V28" s="84" t="str">
        <x:v>根气可调用性</x:v>
      </x:c>
      <x:c r="W28" s="84" t="str">
        <x:v>日主虽有根，但根气调用受限；得地证据按有效等级而非存在性计入。</x:v>
      </x:c>
      <x:c r="X28" s="82" t="str">
        <x:v>较高</x:v>
      </x:c>
      <x:c r="Y28" s="82" t="str">
        <x:v>现代综合</x:v>
      </x:c>
      <x:c r="Z28" s="68" t="str">
        <x:v>得地按有效根气的层级、独立性与可调用性判断；根的存在与实际承载能力分开记录。</x:v>
      </x:c>
      <x:c r="AA28" s="68" t="str">
        <x:v>正例：当“M03有根但M08判合绊、寒凝或其他调用受限”真实成立，且必要条件与增强条件同向时，按“根气存在与根气可调用必须分别记录”记录对应旺衰证据。</x:v>
      </x:c>
      <x:c r="AB28" s="90" t="str">
        <x:v>反例：只有表面条件，但出现“禁止把“有根”直接等同“根力完整””或关键有效性未成立时，不得套用本规则。</x:v>
      </x:c>
      <x:c r="AC28" s="68" t="str">
        <x:v>https://zh.wikisource.org/wiki/%E6%B7%B5%E6%B5%B7%E5%AD%90%E5%B9%B3%E5%A4%A7%E5%85%A8 ; https://zh.wikisource.org/wiki/%E6%BB%B4%E5%A4%A9%E9%AB%93%E9%97%A1%E5%BE%AE</x:v>
      </x:c>
      <x:c r="AD28" s="82" t="str">
        <x:v>采用</x:v>
      </x:c>
      <x:c r="AE28" s="82" t="str">
        <x:v>初审</x:v>
      </x:c>
      <x:c r="AF28" s="87" t="n">
        <x:v>46255</x:v>
      </x:c>
    </x:row>
    <x:row r="29">
      <x:c r="A29" s="72" t="str">
        <x:f>IF(OR(C29="",D29=""),"",B29&amp;"-"&amp;UPPER(C29)&amp;"-"&amp;TEXT(D29,"0000")&amp;"-"&amp;E29)</x:f>
        <x:v>M09-SHI-0023-V1.0</x:v>
      </x:c>
      <x:c r="B29" s="74" t="str">
        <x:v>M09</x:v>
      </x:c>
      <x:c r="C29" s="74" t="str">
        <x:v>SHI</x:v>
      </x:c>
      <x:c r="D29" s="79" t="n">
        <x:v>23</x:v>
      </x:c>
      <x:c r="E29" s="74" t="str">
        <x:v>V1.0</x:v>
      </x:c>
      <x:c r="F29" s="68" t="str">
        <x:v>得势以有效印比形成扶身集团为核心</x:v>
      </x:c>
      <x:c r="G29" s="82" t="str">
        <x:v>综合层</x:v>
      </x:c>
      <x:c r="H29" s="68" t="str">
        <x:v>得势</x:v>
      </x:c>
      <x:c r="I29" s="68" t="str">
        <x:v>支持偏旺</x:v>
      </x:c>
      <x:c r="J29" s="68" t="str">
        <x:v>M08显示比劫与印星对应五行在多个独立节点形成同向扶身</x:v>
      </x:c>
      <x:c r="K29" s="68" t="str">
        <x:v>高</x:v>
      </x:c>
      <x:c r="L29" s="82" t="str">
        <x:v>强</x:v>
      </x:c>
      <x:c r="M29" s="68" t="str">
        <x:v>M08完成</x:v>
      </x:c>
      <x:c r="N29" s="68" t="str">
        <x:v>扶身节点真实有效且方向一致</x:v>
      </x:c>
      <x:c r="O29" s="68" t="str">
        <x:v>比劫透根、印源连续、地支有承载</x:v>
      </x:c>
      <x:c r="P29" s="68" t="str">
        <x:v>扶身五行虽多但弱、被合制或无根</x:v>
      </x:c>
      <x:c r="Q29" s="90" t="str">
        <x:v>禁止用“印比数量多”直接替代得势</x:v>
      </x:c>
      <x:c r="R29" s="68" t="str">
        <x:v>从旺专旺转M14</x:v>
      </x:c>
      <x:c r="S29" s="68" t="str">
        <x:v>若负荷侧更强，印比成群也未必足以定旺</x:v>
      </x:c>
      <x:c r="T29" s="82" t="str">
        <x:v>否</x:v>
      </x:c>
      <x:c r="U29" s="82" t="str">
        <x:v>旺</x:v>
      </x:c>
      <x:c r="V29" s="84" t="str">
        <x:v>扶身成势</x:v>
      </x:c>
      <x:c r="W29" s="84" t="str">
        <x:v>有效印比在多个节点形成扶身集团，可判为得势的重要证据。</x:v>
      </x:c>
      <x:c r="X29" s="82" t="str">
        <x:v>较高</x:v>
      </x:c>
      <x:c r="Y29" s="82" t="str">
        <x:v>现代综合</x:v>
      </x:c>
      <x:c r="Z29" s="68" t="str">
        <x:v>得势强调全局扶身集团的有效方向与稳定性，数量需经过根气、透达、作用通路和证据容量修正。</x:v>
      </x:c>
      <x:c r="AA29" s="68" t="str">
        <x:v>正例：当“M08显示比劫与印星对应五行在多个独立节点形成同向扶身”真实成立，且必要条件与增强条件同向时，按“得势以有效印比形成扶身集团为核心”记录对应旺衰证据。</x:v>
      </x:c>
      <x:c r="AB29" s="90" t="str">
        <x:v>反例：只有表面条件，但出现“禁止用“印比数量多”直接替代得势”或关键有效性未成立时，不得套用本规则。</x:v>
      </x:c>
      <x:c r="AC29" s="68" t="str">
        <x:v>https://zh.wikisource.org/wiki/%E6%B7%B5%E6%B5%B7%E5%AD%90%E5%B9%B3%E5%A4%A7%E5%85%A8 ; https://zh.wikisource.org/wiki/%E6%BB%B4%E5%A4%A9%E9%AB%93%E9%97%A1%E5%BE%AE</x:v>
      </x:c>
      <x:c r="AD29" s="82" t="str">
        <x:v>采用</x:v>
      </x:c>
      <x:c r="AE29" s="82" t="str">
        <x:v>初审</x:v>
      </x:c>
      <x:c r="AF29" s="87" t="n">
        <x:v>46255</x:v>
      </x:c>
    </x:row>
    <x:row r="30">
      <x:c r="A30" s="72" t="str">
        <x:f>IF(OR(C30="",D30=""),"",B30&amp;"-"&amp;UPPER(C30)&amp;"-"&amp;TEXT(D30,"0000")&amp;"-"&amp;E30)</x:f>
        <x:v>M09-SHI-0024-V1.0</x:v>
      </x:c>
      <x:c r="B30" s="74" t="str">
        <x:v>M09</x:v>
      </x:c>
      <x:c r="C30" s="74" t="str">
        <x:v>SHI</x:v>
      </x:c>
      <x:c r="D30" s="79" t="n">
        <x:v>24</x:v>
      </x:c>
      <x:c r="E30" s="74" t="str">
        <x:v>V1.0</x:v>
      </x:c>
      <x:c r="F30" s="68" t="str">
        <x:v>比劫有效成群比孤立浮干更能构成得势</x:v>
      </x:c>
      <x:c r="G30" s="82" t="str">
        <x:v>综合层</x:v>
      </x:c>
      <x:c r="H30" s="68" t="str">
        <x:v>得势</x:v>
      </x:c>
      <x:c r="I30" s="68" t="str">
        <x:v>支持偏旺</x:v>
      </x:c>
      <x:c r="J30" s="68" t="str">
        <x:v>多个比劫有效且至少部分通根</x:v>
      </x:c>
      <x:c r="K30" s="68" t="str">
        <x:v>高</x:v>
      </x:c>
      <x:c r="L30" s="82" t="str">
        <x:v>强</x:v>
      </x:c>
      <x:c r="M30" s="68" t="str">
        <x:v>M08完成</x:v>
      </x:c>
      <x:c r="N30" s="68" t="str">
        <x:v>比劫均可调用</x:v>
      </x:c>
      <x:c r="O30" s="68" t="str">
        <x:v>得令、多根、支干呼应</x:v>
      </x:c>
      <x:c r="P30" s="68" t="str">
        <x:v>比劫多数浮弱、无根或受制</x:v>
      </x:c>
      <x:c r="Q30" s="90" t="str">
        <x:v>不得按比劫个数机械计分</x:v>
      </x:c>
      <x:c r="R30" s="68" t="str">
        <x:v>比劫作用于财等功能转M10/M11</x:v>
      </x:c>
      <x:c r="S30" s="68" t="str">
        <x:v>有效比劫集团可直接提高日主同类力量</x:v>
      </x:c>
      <x:c r="T30" s="82" t="str">
        <x:v>否</x:v>
      </x:c>
      <x:c r="U30" s="82" t="str">
        <x:v>旺</x:v>
      </x:c>
      <x:c r="V30" s="84" t="str">
        <x:v>比劫得势</x:v>
      </x:c>
      <x:c r="W30" s="84" t="str">
        <x:v>比劫有效成群且有根，构成日主得势的强证据。</x:v>
      </x:c>
      <x:c r="X30" s="82" t="str">
        <x:v>较高</x:v>
      </x:c>
      <x:c r="Y30" s="82" t="str">
        <x:v>现代综合</x:v>
      </x:c>
      <x:c r="Z30" s="68" t="str">
        <x:v>得势强调全局扶身集团的有效方向与稳定性，数量需经过根气、透达、作用通路和证据容量修正。</x:v>
      </x:c>
      <x:c r="AA30" s="68" t="str">
        <x:v>正例：当“多个比劫有效且至少部分通根”真实成立，且必要条件与增强条件同向时，按“比劫有效成群比孤立浮干更能构成得势”记录对应旺衰证据。</x:v>
      </x:c>
      <x:c r="AB30" s="90" t="str">
        <x:v>反例：只有表面条件，但出现“不得按比劫个数机械计分”或关键有效性未成立时，不得套用本规则。</x:v>
      </x:c>
      <x:c r="AC30" s="68" t="str">
        <x:v>https://zh.wikisource.org/wiki/%E6%B7%B5%E6%B5%B7%E5%AD%90%E5%B9%B3%E5%A4%A7%E5%85%A8 ; https://zh.wikisource.org/wiki/%E6%BB%B4%E5%A4%A9%E9%AB%93%E9%97%A1%E5%BE%AE</x:v>
      </x:c>
      <x:c r="AD30" s="82" t="str">
        <x:v>采用</x:v>
      </x:c>
      <x:c r="AE30" s="82" t="str">
        <x:v>初审</x:v>
      </x:c>
      <x:c r="AF30" s="87" t="n">
        <x:v>46255</x:v>
      </x:c>
    </x:row>
    <x:row r="31">
      <x:c r="A31" s="72" t="str">
        <x:f>IF(OR(C31="",D31=""),"",B31&amp;"-"&amp;UPPER(C31)&amp;"-"&amp;TEXT(D31,"0000")&amp;"-"&amp;E31)</x:f>
        <x:v>M09-SHI-0025-V1.0</x:v>
      </x:c>
      <x:c r="B31" s="74" t="str">
        <x:v>M09</x:v>
      </x:c>
      <x:c r="C31" s="74" t="str">
        <x:v>SHI</x:v>
      </x:c>
      <x:c r="D31" s="79" t="n">
        <x:v>25</x:v>
      </x:c>
      <x:c r="E31" s="74" t="str">
        <x:v>V1.0</x:v>
      </x:c>
      <x:c r="F31" s="68" t="str">
        <x:v>印星成势属于得生与得势的共享证据需去重</x:v>
      </x:c>
      <x:c r="G31" s="82" t="str">
        <x:v>综合层</x:v>
      </x:c>
      <x:c r="H31" s="68" t="str">
        <x:v>得势</x:v>
      </x:c>
      <x:c r="I31" s="68" t="str">
        <x:v>证据去重</x:v>
      </x:c>
      <x:c r="J31" s="68" t="str">
        <x:v>多个有效印星既作为生源又构成扶身集团</x:v>
      </x:c>
      <x:c r="K31" s="68" t="str">
        <x:v>高</x:v>
      </x:c>
      <x:c r="L31" s="82" t="str">
        <x:v>中</x:v>
      </x:c>
      <x:c r="M31" s="68" t="str">
        <x:v>M08完成</x:v>
      </x:c>
      <x:c r="N31" s="68" t="str">
        <x:v>印星确实形成同向扶身</x:v>
      </x:c>
      <x:c r="O31" s="68" t="str">
        <x:v>另有独立比劫或根位</x:v>
      </x:c>
      <x:c r="P31" s="68" t="str">
        <x:v>印被财破、合绊或生身通路阻断</x:v>
      </x:c>
      <x:c r="Q31" s="90" t="str">
        <x:v>禁止同一批印星同时在得生和得势中重复全额累加</x:v>
      </x:c>
      <x:c r="R31" s="68" t="str">
        <x:v>可分别保留解释标签</x:v>
      </x:c>
      <x:c r="S31" s="68" t="str">
        <x:v>新增独立节点才增加证据容量</x:v>
      </x:c>
      <x:c r="T31" s="82" t="str">
        <x:v>是</x:v>
      </x:c>
      <x:c r="U31" s="82" t="str">
        <x:v>中和偏旺</x:v>
      </x:c>
      <x:c r="V31" s="84" t="str">
        <x:v>印势去重</x:v>
      </x:c>
      <x:c r="W31" s="84" t="str">
        <x:v>印星成势可同时解释为得生与得势，但同源证据必须去重。</x:v>
      </x:c>
      <x:c r="X31" s="82" t="str">
        <x:v>较高</x:v>
      </x:c>
      <x:c r="Y31" s="82" t="str">
        <x:v>现代综合</x:v>
      </x:c>
      <x:c r="Z31" s="68" t="str">
        <x:v>得势强调全局扶身集团的有效方向与稳定性，数量需经过根气、透达、作用通路和证据容量修正。</x:v>
      </x:c>
      <x:c r="AA31" s="68" t="str">
        <x:v>正例：当“多个有效印星既作为生源又构成扶身集团”真实成立，且必要条件与增强条件同向时，按“印星成势属于得生与得势的共享证据需去重”记录对应旺衰证据。</x:v>
      </x:c>
      <x:c r="AB31" s="90" t="str">
        <x:v>反例：只有表面条件，但出现“禁止同一批印星同时在得生和得势中重复全额累加”或关键有效性未成立时，不得套用本规则。</x:v>
      </x:c>
      <x:c r="AC31" s="68" t="str">
        <x:v>https://zh.wikisource.org/wiki/%E6%B7%B5%E6%B5%B7%E5%AD%90%E5%B9%B3%E5%A4%A7%E5%85%A8 ; https://zh.wikisource.org/wiki/%E6%BB%B4%E5%A4%A9%E9%AB%93%E9%97%A1%E5%BE%AE</x:v>
      </x:c>
      <x:c r="AD31" s="82" t="str">
        <x:v>采用</x:v>
      </x:c>
      <x:c r="AE31" s="82" t="str">
        <x:v>初审</x:v>
      </x:c>
      <x:c r="AF31" s="87" t="n">
        <x:v>46255</x:v>
      </x:c>
    </x:row>
    <x:row r="32">
      <x:c r="A32" s="72" t="str">
        <x:f>IF(OR(C32="",D32=""),"",B32&amp;"-"&amp;UPPER(C32)&amp;"-"&amp;TEXT(D32,"0000")&amp;"-"&amp;E32)</x:f>
        <x:v>M09-SHI-0026-V1.0</x:v>
      </x:c>
      <x:c r="B32" s="74" t="str">
        <x:v>M09</x:v>
      </x:c>
      <x:c r="C32" s="74" t="str">
        <x:v>SHI</x:v>
      </x:c>
      <x:c r="D32" s="79" t="n">
        <x:v>26</x:v>
      </x:c>
      <x:c r="E32" s="74" t="str">
        <x:v>V1.0</x:v>
      </x:c>
      <x:c r="F32" s="68" t="str">
        <x:v>数量优势必须经过质量筛选后才能形成势</x:v>
      </x:c>
      <x:c r="G32" s="82" t="str">
        <x:v>综合层</x:v>
      </x:c>
      <x:c r="H32" s="68" t="str">
        <x:v>得势</x:v>
      </x:c>
      <x:c r="I32" s="68" t="str">
        <x:v>条件性支持偏旺</x:v>
      </x:c>
      <x:c r="J32" s="68" t="str">
        <x:v>同类或印星数量较多</x:v>
      </x:c>
      <x:c r="K32" s="68" t="str">
        <x:v>中</x:v>
      </x:c>
      <x:c r="L32" s="82" t="str">
        <x:v>中</x:v>
      </x:c>
      <x:c r="M32" s="68" t="str">
        <x:v>M08完成</x:v>
      </x:c>
      <x:c r="N32" s="68" t="str">
        <x:v>多数节点具有有效力量</x:v>
      </x:c>
      <x:c r="O32" s="68" t="str">
        <x:v>得令、通根、透达</x:v>
      </x:c>
      <x:c r="P32" s="68" t="str">
        <x:v>多数节点微弱、受制或共享同一来源</x:v>
      </x:c>
      <x:c r="Q32" s="90" t="str">
        <x:v>禁止数量多数直接判得势</x:v>
      </x:c>
      <x:c r="R32" s="68" t="str">
        <x:v>特殊格局另审</x:v>
      </x:c>
      <x:c r="S32" s="68" t="str">
        <x:v>三个弱浮干可能不如一处强根加有力印源</x:v>
      </x:c>
      <x:c r="T32" s="82" t="str">
        <x:v>否</x:v>
      </x:c>
      <x:c r="U32" s="82" t="str">
        <x:v>中和偏旺</x:v>
      </x:c>
      <x:c r="V32" s="84" t="str">
        <x:v>数量质量分离</x:v>
      </x:c>
      <x:c r="W32" s="84" t="str">
        <x:v>扶身元素数量多只是候选；只有有效力量和方向一致时才构成得势。</x:v>
      </x:c>
      <x:c r="X32" s="82" t="str">
        <x:v>较高</x:v>
      </x:c>
      <x:c r="Y32" s="82" t="str">
        <x:v>现代综合</x:v>
      </x:c>
      <x:c r="Z32" s="68" t="str">
        <x:v>得势强调全局扶身集团的有效方向与稳定性，数量需经过根气、透达、作用通路和证据容量修正。</x:v>
      </x:c>
      <x:c r="AA32" s="68" t="str">
        <x:v>正例：当“同类或印星数量较多”真实成立，且必要条件与增强条件同向时，按“数量优势必须经过质量筛选后才能形成势”记录对应旺衰证据。</x:v>
      </x:c>
      <x:c r="AB32" s="90" t="str">
        <x:v>反例：只有表面条件，但出现“禁止数量多数直接判得势”或关键有效性未成立时，不得套用本规则。</x:v>
      </x:c>
      <x:c r="AC32" s="68" t="str">
        <x:v>https://zh.wikisource.org/wiki/%E6%B7%B5%E6%B5%B7%E5%AD%90%E5%B9%B3%E5%A4%A7%E5%85%A8 ; https://zh.wikisource.org/wiki/%E6%BB%B4%E5%A4%A9%E9%AB%93%E9%97%A1%E5%BE%AE</x:v>
      </x:c>
      <x:c r="AD32" s="82" t="str">
        <x:v>采用</x:v>
      </x:c>
      <x:c r="AE32" s="82" t="str">
        <x:v>初审</x:v>
      </x:c>
      <x:c r="AF32" s="87" t="n">
        <x:v>46255</x:v>
      </x:c>
    </x:row>
    <x:row r="33">
      <x:c r="A33" s="72" t="str">
        <x:f>IF(OR(C33="",D33=""),"",B33&amp;"-"&amp;UPPER(C33)&amp;"-"&amp;TEXT(D33,"0000")&amp;"-"&amp;E33)</x:f>
        <x:v>M09-SHI-0027-V1.0</x:v>
      </x:c>
      <x:c r="B33" s="74" t="str">
        <x:v>M09</x:v>
      </x:c>
      <x:c r="C33" s="74" t="str">
        <x:v>SHI</x:v>
      </x:c>
      <x:c r="D33" s="79" t="n">
        <x:v>27</x:v>
      </x:c>
      <x:c r="E33" s="74" t="str">
        <x:v>V1.0</x:v>
      </x:c>
      <x:c r="F33" s="68" t="str">
        <x:v>扶身节点覆盖天干地支通常比单层聚集更稳定</x:v>
      </x:c>
      <x:c r="G33" s="82" t="str">
        <x:v>综合层</x:v>
      </x:c>
      <x:c r="H33" s="68" t="str">
        <x:v>得势</x:v>
      </x:c>
      <x:c r="I33" s="68" t="str">
        <x:v>支持偏旺</x:v>
      </x:c>
      <x:c r="J33" s="68" t="str">
        <x:v>有效印比同时分布于天干与地支</x:v>
      </x:c>
      <x:c r="K33" s="68" t="str">
        <x:v>中高</x:v>
      </x:c>
      <x:c r="L33" s="82" t="str">
        <x:v>中</x:v>
      </x:c>
      <x:c r="M33" s="68" t="str">
        <x:v>M08完成</x:v>
      </x:c>
      <x:c r="N33" s="68" t="str">
        <x:v>干支均有可调用节点</x:v>
      </x:c>
      <x:c r="O33" s="68" t="str">
        <x:v>根透相应、位置连续</x:v>
      </x:c>
      <x:c r="P33" s="68" t="str">
        <x:v>一层被合化或另一层全浮弱</x:v>
      </x:c>
      <x:c r="Q33" s="90" t="str">
        <x:v>禁止设定固定位置倍数</x:v>
      </x:c>
      <x:c r="R33" s="68" t="str">
        <x:v>位置权重需案例验证</x:v>
      </x:c>
      <x:c r="S33" s="68" t="str">
        <x:v>干支呼应有助于提高支持稳定性</x:v>
      </x:c>
      <x:c r="T33" s="82" t="str">
        <x:v>否</x:v>
      </x:c>
      <x:c r="U33" s="82" t="str">
        <x:v>中和偏旺</x:v>
      </x:c>
      <x:c r="V33" s="84" t="str">
        <x:v>干支扶身覆盖</x:v>
      </x:c>
      <x:c r="W33" s="84" t="str">
        <x:v>扶身力量同时落在干支，通常比单层孤立聚集更稳定。</x:v>
      </x:c>
      <x:c r="X33" s="82" t="str">
        <x:v>中等</x:v>
      </x:c>
      <x:c r="Y33" s="82" t="str">
        <x:v>现代综合</x:v>
      </x:c>
      <x:c r="Z33" s="68" t="str">
        <x:v>作为稳定性证据而非固定加分项。</x:v>
      </x:c>
      <x:c r="AA33" s="68" t="str">
        <x:v>正例：当“有效印比同时分布于天干与地支”真实成立，且必要条件与增强条件同向时，按“扶身节点覆盖天干地支通常比单层聚集更稳定”记录对应旺衰证据。</x:v>
      </x:c>
      <x:c r="AB33" s="90" t="str">
        <x:v>反例：只有表面条件，但出现“禁止设定固定位置倍数”或关键有效性未成立时，不得套用本规则。</x:v>
      </x:c>
      <x:c r="AC33" s="68" t="str">
        <x:v>https://zh.wikisource.org/wiki/%E6%B7%B5%E6%B5%B7%E5%AD%90%E5%B9%B3%E5%A4%A7%E5%85%A8 ; https://zh.wikisource.org/wiki/%E6%BB%B4%E5%A4%A9%E9%AB%93%E9%97%A1%E5%BE%AE</x:v>
      </x:c>
      <x:c r="AD33" s="82" t="str">
        <x:v>待验证</x:v>
      </x:c>
      <x:c r="AE33" s="82" t="str">
        <x:v>初审</x:v>
      </x:c>
      <x:c r="AF33" s="87" t="n">
        <x:v>46255</x:v>
      </x:c>
    </x:row>
    <x:row r="34">
      <x:c r="A34" s="72" t="str">
        <x:f>IF(OR(C34="",D34=""),"",B34&amp;"-"&amp;UPPER(C34)&amp;"-"&amp;TEXT(D34,"0000")&amp;"-"&amp;E34)</x:f>
        <x:v>M09-SHI-0028-V1.0</x:v>
      </x:c>
      <x:c r="B34" s="74" t="str">
        <x:v>M09</x:v>
      </x:c>
      <x:c r="C34" s="74" t="str">
        <x:v>SHI</x:v>
      </x:c>
      <x:c r="D34" s="79" t="n">
        <x:v>28</x:v>
      </x:c>
      <x:c r="E34" s="74" t="str">
        <x:v>V1.0</x:v>
      </x:c>
      <x:c r="F34" s="68" t="str">
        <x:v>扶身集团内部生扶链通畅可提高得势有效性</x:v>
      </x:c>
      <x:c r="G34" s="82" t="str">
        <x:v>综合层</x:v>
      </x:c>
      <x:c r="H34" s="68" t="str">
        <x:v>得势</x:v>
      </x:c>
      <x:c r="I34" s="68" t="str">
        <x:v>支持偏旺</x:v>
      </x:c>
      <x:c r="J34" s="68" t="str">
        <x:v>印→日主/比劫的生扶路径在M08中有效</x:v>
      </x:c>
      <x:c r="K34" s="68" t="str">
        <x:v>中高</x:v>
      </x:c>
      <x:c r="L34" s="82" t="str">
        <x:v>中</x:v>
      </x:c>
      <x:c r="M34" s="68" t="str">
        <x:v>M08完成</x:v>
      </x:c>
      <x:c r="N34" s="68" t="str">
        <x:v>生扶链连续且中间节点可用</x:v>
      </x:c>
      <x:c r="O34" s="68" t="str">
        <x:v>印根强、日主有根承载</x:v>
      </x:c>
      <x:c r="P34" s="68" t="str">
        <x:v>链条过长、桥弱或受阻</x:v>
      </x:c>
      <x:c r="Q34" s="90" t="str">
        <x:v>禁止跨越缺失五行直接相生</x:v>
      </x:c>
      <x:c r="R34" s="68" t="str">
        <x:v>复杂流通转M12</x:v>
      </x:c>
      <x:c r="S34" s="68" t="str">
        <x:v>路径通畅使扶身集团更能转化为日主可用力量</x:v>
      </x:c>
      <x:c r="T34" s="82" t="str">
        <x:v>否</x:v>
      </x:c>
      <x:c r="U34" s="82" t="str">
        <x:v>中和偏旺</x:v>
      </x:c>
      <x:c r="V34" s="84" t="str">
        <x:v>扶身链有效</x:v>
      </x:c>
      <x:c r="W34" s="84" t="str">
        <x:v>扶身集团内部生扶通畅，得势证据上调。</x:v>
      </x:c>
      <x:c r="X34" s="82" t="str">
        <x:v>较高</x:v>
      </x:c>
      <x:c r="Y34" s="82" t="str">
        <x:v>现代综合</x:v>
      </x:c>
      <x:c r="Z34" s="68" t="str">
        <x:v>得势强调全局扶身集团的有效方向与稳定性，数量需经过根气、透达、作用通路和证据容量修正。</x:v>
      </x:c>
      <x:c r="AA34" s="68" t="str">
        <x:v>正例：当“印→日主/比劫的生扶路径在M08中有效”真实成立，且必要条件与增强条件同向时，按“扶身集团内部生扶链通畅可提高得势有效性”记录对应旺衰证据。</x:v>
      </x:c>
      <x:c r="AB34" s="90" t="str">
        <x:v>反例：只有表面条件，但出现“禁止跨越缺失五行直接相生”或关键有效性未成立时，不得套用本规则。</x:v>
      </x:c>
      <x:c r="AC34" s="68" t="str">
        <x:v>https://zh.wikisource.org/wiki/%E6%B7%B5%E6%B5%B7%E5%AD%90%E5%B9%B3%E5%A4%A7%E5%85%A8 ; https://zh.wikisource.org/wiki/%E6%BB%B4%E5%A4%A9%E9%AB%93%E9%97%A1%E5%BE%AE</x:v>
      </x:c>
      <x:c r="AD34" s="82" t="str">
        <x:v>采用</x:v>
      </x:c>
      <x:c r="AE34" s="82" t="str">
        <x:v>初审</x:v>
      </x:c>
      <x:c r="AF34" s="87" t="n">
        <x:v>46255</x:v>
      </x:c>
    </x:row>
    <x:row r="35">
      <x:c r="A35" s="72" t="str">
        <x:f>IF(OR(C35="",D35=""),"",B35&amp;"-"&amp;UPPER(C35)&amp;"-"&amp;TEXT(D35,"0000")&amp;"-"&amp;E35)</x:f>
        <x:v>M09-SHI-0029-V1.0</x:v>
      </x:c>
      <x:c r="B35" s="74" t="str">
        <x:v>M09</x:v>
      </x:c>
      <x:c r="C35" s="74" t="str">
        <x:v>SHI</x:v>
      </x:c>
      <x:c r="D35" s="79" t="n">
        <x:v>29</x:v>
      </x:c>
      <x:c r="E35" s="74" t="str">
        <x:v>V1.0</x:v>
      </x:c>
      <x:c r="F35" s="68" t="str">
        <x:v>扶身集团被强力分割时得势等级下调</x:v>
      </x:c>
      <x:c r="G35" s="82" t="str">
        <x:v>综合层</x:v>
      </x:c>
      <x:c r="H35" s="68" t="str">
        <x:v>得势</x:v>
      </x:c>
      <x:c r="I35" s="68" t="str">
        <x:v>支持偏弱</x:v>
      </x:c>
      <x:c r="J35" s="68" t="str">
        <x:v>印比虽多但被M08判大面积合绊、冲散、隔断或改性</x:v>
      </x:c>
      <x:c r="K35" s="68" t="str">
        <x:v>高</x:v>
      </x:c>
      <x:c r="L35" s="82" t="str">
        <x:v>强</x:v>
      </x:c>
      <x:c r="M35" s="68" t="str">
        <x:v>M08完成</x:v>
      </x:c>
      <x:c r="N35" s="68" t="str">
        <x:v>实际调用受限</x:v>
      </x:c>
      <x:c r="O35" s="68" t="str">
        <x:v>仍有独立强根与未受损扶身节点</x:v>
      </x:c>
      <x:c r="P35" s="68" t="str">
        <x:v>关系仅存在而效应轻微</x:v>
      </x:c>
      <x:c r="Q35" s="90" t="str">
        <x:v>禁止只看原始数量不看有效性</x:v>
      </x:c>
      <x:c r="R35" s="68" t="str">
        <x:v>M08争议效应降低置信度</x:v>
      </x:c>
      <x:c r="S35" s="68" t="str">
        <x:v>剩余有效节点越少，得势越难成立</x:v>
      </x:c>
      <x:c r="T35" s="82" t="str">
        <x:v>否</x:v>
      </x:c>
      <x:c r="U35" s="82" t="str">
        <x:v>中和</x:v>
      </x:c>
      <x:c r="V35" s="84" t="str">
        <x:v>得势受阻</x:v>
      </x:c>
      <x:c r="W35" s="84" t="str">
        <x:v>原局印比虽多，但有效扶身被分割或冻结，得势证据需下调。</x:v>
      </x:c>
      <x:c r="X35" s="82" t="str">
        <x:v>较高</x:v>
      </x:c>
      <x:c r="Y35" s="82" t="str">
        <x:v>现代综合</x:v>
      </x:c>
      <x:c r="Z35" s="68" t="str">
        <x:v>得势强调全局扶身集团的有效方向与稳定性，数量需经过根气、透达、作用通路和证据容量修正。</x:v>
      </x:c>
      <x:c r="AA35" s="68" t="str">
        <x:v>正例：当“印比虽多但被M08判大面积合绊、冲散、隔断或改性”真实成立，且必要条件与增强条件同向时，按“扶身集团被强力分割时得势等级下调”记录对应旺衰证据。</x:v>
      </x:c>
      <x:c r="AB35" s="90" t="str">
        <x:v>反例：只有表面条件，但出现“禁止只看原始数量不看有效性”或关键有效性未成立时，不得套用本规则。</x:v>
      </x:c>
      <x:c r="AC35" s="68" t="str">
        <x:v>https://zh.wikisource.org/wiki/%E6%B7%B5%E6%B5%B7%E5%AD%90%E5%B9%B3%E5%A4%A7%E5%85%A8 ; https://zh.wikisource.org/wiki/%E6%BB%B4%E5%A4%A9%E9%AB%93%E9%97%A1%E5%BE%AE</x:v>
      </x:c>
      <x:c r="AD35" s="82" t="str">
        <x:v>采用</x:v>
      </x:c>
      <x:c r="AE35" s="82" t="str">
        <x:v>初审</x:v>
      </x:c>
      <x:c r="AF35" s="87" t="n">
        <x:v>46255</x:v>
      </x:c>
    </x:row>
    <x:row r="36">
      <x:c r="A36" s="72" t="str">
        <x:f>IF(OR(C36="",D36=""),"",B36&amp;"-"&amp;UPPER(C36)&amp;"-"&amp;TEXT(D36,"0000")&amp;"-"&amp;E36)</x:f>
        <x:v>M09-SHI-0030-V1.0</x:v>
      </x:c>
      <x:c r="B36" s="74" t="str">
        <x:v>M09</x:v>
      </x:c>
      <x:c r="C36" s="74" t="str">
        <x:v>SHI</x:v>
      </x:c>
      <x:c r="D36" s="79" t="n">
        <x:v>30</x:v>
      </x:c>
      <x:c r="E36" s="74" t="str">
        <x:v>V1.0</x:v>
      </x:c>
      <x:c r="F36" s="68" t="str">
        <x:v>负荷侧形成更强集团可压过日主已有得势</x:v>
      </x:c>
      <x:c r="G36" s="82" t="str">
        <x:v>综合层</x:v>
      </x:c>
      <x:c r="H36" s="68" t="str">
        <x:v>得势</x:v>
      </x:c>
      <x:c r="I36" s="68" t="str">
        <x:v>支持偏弱</x:v>
      </x:c>
      <x:c r="J36" s="68" t="str">
        <x:v>日主有印比势，但官杀/食伤/财一侧形成更强有效合力</x:v>
      </x:c>
      <x:c r="K36" s="68" t="str">
        <x:v>高</x:v>
      </x:c>
      <x:c r="L36" s="82" t="str">
        <x:v>强</x:v>
      </x:c>
      <x:c r="M36" s="68" t="str">
        <x:v>M08完成</x:v>
      </x:c>
      <x:c r="N36" s="68" t="str">
        <x:v>比较的是有效力量而非数量</x:v>
      </x:c>
      <x:c r="O36" s="68" t="str">
        <x:v>扶身侧有强根与持续生源</x:v>
      </x:c>
      <x:c r="P36" s="68" t="str">
        <x:v>负荷侧被制化或无法作用日主</x:v>
      </x:c>
      <x:c r="Q36" s="90" t="str">
        <x:v>禁止看到印比成势便排除偏弱</x:v>
      </x:c>
      <x:c r="R36" s="68" t="str">
        <x:v>特殊格局转M14</x:v>
      </x:c>
      <x:c r="S36" s="68" t="str">
        <x:v>两侧都强时可能落在中和或向更强一侧偏移</x:v>
      </x:c>
      <x:c r="T36" s="82" t="str">
        <x:v>否</x:v>
      </x:c>
      <x:c r="U36" s="82" t="str">
        <x:v>中和</x:v>
      </x:c>
      <x:c r="V36" s="84" t="str">
        <x:v>双集团对比</x:v>
      </x:c>
      <x:c r="W36" s="84" t="str">
        <x:v>日主虽得势，但若制泄耗集团更强，旺衰仍可能回落至中和或偏弱。</x:v>
      </x:c>
      <x:c r="X36" s="82" t="str">
        <x:v>较高</x:v>
      </x:c>
      <x:c r="Y36" s="82" t="str">
        <x:v>现代综合</x:v>
      </x:c>
      <x:c r="Z36" s="68" t="str">
        <x:v>得势强调全局扶身集团的有效方向与稳定性，数量需经过根气、透达、作用通路和证据容量修正。</x:v>
      </x:c>
      <x:c r="AA36" s="68" t="str">
        <x:v>正例：当“日主有印比势，但官杀/食伤/财一侧形成更强有效合力”真实成立，且必要条件与增强条件同向时，按“负荷侧形成更强集团可压过日主已有得势”记录对应旺衰证据。</x:v>
      </x:c>
      <x:c r="AB36" s="90" t="str">
        <x:v>反例：只有表面条件，但出现“禁止看到印比成势便排除偏弱”或关键有效性未成立时，不得套用本规则。</x:v>
      </x:c>
      <x:c r="AC36" s="68" t="str">
        <x:v>https://zh.wikisource.org/wiki/%E6%B7%B5%E6%B5%B7%E5%AD%90%E5%B9%B3%E5%A4%A7%E5%85%A8 ; https://zh.wikisource.org/wiki/%E6%BB%B4%E5%A4%A9%E9%AB%93%E9%97%A1%E5%BE%AE</x:v>
      </x:c>
      <x:c r="AD36" s="82" t="str">
        <x:v>采用</x:v>
      </x:c>
      <x:c r="AE36" s="82" t="str">
        <x:v>初审</x:v>
      </x:c>
      <x:c r="AF36" s="87" t="n">
        <x:v>46255</x:v>
      </x:c>
    </x:row>
    <x:row r="37">
      <x:c r="A37" s="72" t="str">
        <x:f>IF(OR(C37="",D37=""),"",B37&amp;"-"&amp;UPPER(C37)&amp;"-"&amp;TEXT(D37,"0000")&amp;"-"&amp;E37)</x:f>
        <x:v>M09-SHI-0031-V1.0</x:v>
      </x:c>
      <x:c r="B37" s="74" t="str">
        <x:v>M09</x:v>
      </x:c>
      <x:c r="C37" s="74" t="str">
        <x:v>SHI</x:v>
      </x:c>
      <x:c r="D37" s="79" t="n">
        <x:v>31</x:v>
      </x:c>
      <x:c r="E37" s="74" t="str">
        <x:v>V1.0</x:v>
      </x:c>
      <x:c r="F37" s="68" t="str">
        <x:v>单一极强扶身节点可抵消多个弱反向节点</x:v>
      </x:c>
      <x:c r="G37" s="82" t="str">
        <x:v>综合层</x:v>
      </x:c>
      <x:c r="H37" s="68" t="str">
        <x:v>得势</x:v>
      </x:c>
      <x:c r="I37" s="68" t="str">
        <x:v>支持偏旺</x:v>
      </x:c>
      <x:c r="J37" s="68" t="str">
        <x:v>存在一个决定性有效根/印源，而反向节点多数微弱</x:v>
      </x:c>
      <x:c r="K37" s="68" t="str">
        <x:v>中高</x:v>
      </x:c>
      <x:c r="L37" s="82" t="str">
        <x:v>中</x:v>
      </x:c>
      <x:c r="M37" s="68" t="str">
        <x:v>M08完成</x:v>
      </x:c>
      <x:c r="N37" s="68" t="str">
        <x:v>强节点确有决定性承载</x:v>
      </x:c>
      <x:c r="O37" s="68" t="str">
        <x:v>另有同向支持</x:v>
      </x:c>
      <x:c r="P37" s="68" t="str">
        <x:v>反向节点中存在强势集团</x:v>
      </x:c>
      <x:c r="Q37" s="90" t="str">
        <x:v>禁止以节点数量多数决定胜负</x:v>
      </x:c>
      <x:c r="R37" s="68" t="str">
        <x:v>极端案例降低置信度</x:v>
      </x:c>
      <x:c r="S37" s="68" t="str">
        <x:v>证据质量高于简单计数</x:v>
      </x:c>
      <x:c r="T37" s="82" t="str">
        <x:v>否</x:v>
      </x:c>
      <x:c r="U37" s="82" t="str">
        <x:v>中和偏旺</x:v>
      </x:c>
      <x:c r="V37" s="84" t="str">
        <x:v>强证据优先</x:v>
      </x:c>
      <x:c r="W37" s="84" t="str">
        <x:v>一个决定性扶身节点可强于多个微弱反向节点，旺衰比较以有效质量为先。</x:v>
      </x:c>
      <x:c r="X37" s="82" t="str">
        <x:v>较高</x:v>
      </x:c>
      <x:c r="Y37" s="82" t="str">
        <x:v>现代综合</x:v>
      </x:c>
      <x:c r="Z37" s="68" t="str">
        <x:v>得势强调全局扶身集团的有效方向与稳定性，数量需经过根气、透达、作用通路和证据容量修正。</x:v>
      </x:c>
      <x:c r="AA37" s="68" t="str">
        <x:v>正例：当“存在一个决定性有效根/印源，而反向节点多数微弱”真实成立，且必要条件与增强条件同向时，按“单一极强扶身节点可抵消多个弱反向节点”记录对应旺衰证据。</x:v>
      </x:c>
      <x:c r="AB37" s="90" t="str">
        <x:v>反例：只有表面条件，但出现“禁止以节点数量多数决定胜负”或关键有效性未成立时，不得套用本规则。</x:v>
      </x:c>
      <x:c r="AC37" s="68" t="str">
        <x:v>https://zh.wikisource.org/wiki/%E6%B7%B5%E6%B5%B7%E5%AD%90%E5%B9%B3%E5%A4%A7%E5%85%A8 ; https://zh.wikisource.org/wiki/%E6%BB%B4%E5%A4%A9%E9%AB%93%E9%97%A1%E5%BE%AE</x:v>
      </x:c>
      <x:c r="AD37" s="82" t="str">
        <x:v>采用</x:v>
      </x:c>
      <x:c r="AE37" s="82" t="str">
        <x:v>初审</x:v>
      </x:c>
      <x:c r="AF37" s="87" t="n">
        <x:v>46255</x:v>
      </x:c>
    </x:row>
    <x:row r="38">
      <x:c r="A38" s="72" t="str">
        <x:f>IF(OR(C38="",D38=""),"",B38&amp;"-"&amp;UPPER(C38)&amp;"-"&amp;TEXT(D38,"0000")&amp;"-"&amp;E38)</x:f>
        <x:v>M09-SHI-0032-V1.0</x:v>
      </x:c>
      <x:c r="B38" s="74" t="str">
        <x:v>M09</x:v>
      </x:c>
      <x:c r="C38" s="74" t="str">
        <x:v>SHI</x:v>
      </x:c>
      <x:c r="D38" s="79" t="n">
        <x:v>32</x:v>
      </x:c>
      <x:c r="E38" s="74" t="str">
        <x:v>V1.0</x:v>
      </x:c>
      <x:c r="F38" s="68" t="str">
        <x:v>得势是全局方向概念而非单一十神数量标签</x:v>
      </x:c>
      <x:c r="G38" s="82" t="str">
        <x:v>综合层</x:v>
      </x:c>
      <x:c r="H38" s="68" t="str">
        <x:v>得势</x:v>
      </x:c>
      <x:c r="I38" s="68" t="str">
        <x:v>边界</x:v>
      </x:c>
      <x:c r="J38" s="68" t="str">
        <x:v>任何得势判断</x:v>
      </x:c>
      <x:c r="K38" s="68" t="str">
        <x:v>高</x:v>
      </x:c>
      <x:c r="L38" s="82" t="str">
        <x:v>决定性</x:v>
      </x:c>
      <x:c r="M38" s="68" t="str">
        <x:v>M08完成</x:v>
      </x:c>
      <x:c r="N38" s="68" t="str">
        <x:v>至少比较根、印、比与负荷侧</x:v>
      </x:c>
      <x:c r="O38" s="68" t="str">
        <x:v>多维扶身证据同向</x:v>
      </x:c>
      <x:c r="P38" s="68" t="str">
        <x:v>仅某一类十神数量多</x:v>
      </x:c>
      <x:c r="Q38" s="90" t="str">
        <x:v>禁止把“印多”或“比劫多”直接等同得势</x:v>
      </x:c>
      <x:c r="R38" s="68" t="str">
        <x:v>十神功能转M10</x:v>
      </x:c>
      <x:c r="S38" s="68" t="str">
        <x:v>得势应体现全局力量向日主集中</x:v>
      </x:c>
      <x:c r="T38" s="82" t="str">
        <x:v>否</x:v>
      </x:c>
      <x:c r="U38" s="82" t="str">
        <x:v>中和</x:v>
      </x:c>
      <x:c r="V38" s="84" t="str">
        <x:v>得势定义</x:v>
      </x:c>
      <x:c r="W38" s="84" t="str">
        <x:v>得势只在全局有效力量明显向日主集中时成立，不以单一十神数量代替。</x:v>
      </x:c>
      <x:c r="X38" s="82" t="str">
        <x:v>较高</x:v>
      </x:c>
      <x:c r="Y38" s="82" t="str">
        <x:v>现代综合</x:v>
      </x:c>
      <x:c r="Z38" s="68" t="str">
        <x:v>得势强调全局扶身集团的有效方向与稳定性，数量需经过根气、透达、作用通路和证据容量修正。</x:v>
      </x:c>
      <x:c r="AA38" s="68" t="str">
        <x:v>正例：当“任何得势判断”真实成立，且必要条件与增强条件同向时，按“得势是全局方向概念而非单一十神数量标签”记录对应旺衰证据。</x:v>
      </x:c>
      <x:c r="AB38" s="90" t="str">
        <x:v>反例：只有表面条件，但出现“禁止把“印多”或“比劫多”直接等同得势”或关键有效性未成立时，不得套用本规则。</x:v>
      </x:c>
      <x:c r="AC38" s="68" t="str">
        <x:v>https://zh.wikisource.org/wiki/%E6%B7%B5%E6%B5%B7%E5%AD%90%E5%B9%B3%E5%A4%A7%E5%85%A8 ; https://zh.wikisource.org/wiki/%E6%BB%B4%E5%A4%A9%E9%AB%93%E9%97%A1%E5%BE%AE</x:v>
      </x:c>
      <x:c r="AD38" s="82" t="str">
        <x:v>采用</x:v>
      </x:c>
      <x:c r="AE38" s="82" t="str">
        <x:v>初审</x:v>
      </x:c>
      <x:c r="AF38" s="87" t="n">
        <x:v>46255</x:v>
      </x:c>
    </x:row>
    <x:row r="39">
      <x:c r="A39" s="72" t="str">
        <x:f>IF(OR(C39="",D39=""),"",B39&amp;"-"&amp;UPPER(C39)&amp;"-"&amp;TEXT(D39,"0000")&amp;"-"&amp;E39)</x:f>
        <x:v>M09-SHENG-0033-V1.0</x:v>
      </x:c>
      <x:c r="B39" s="74" t="str">
        <x:v>M09</x:v>
      </x:c>
      <x:c r="C39" s="74" t="str">
        <x:v>SHENG</x:v>
      </x:c>
      <x:c r="D39" s="79" t="n">
        <x:v>33</x:v>
      </x:c>
      <x:c r="E39" s="74" t="str">
        <x:v>V1.0</x:v>
      </x:c>
      <x:c r="F39" s="68" t="str">
        <x:v>有效印星是日主得生的直接证据</x:v>
      </x:c>
      <x:c r="G39" s="82" t="str">
        <x:v>综合层</x:v>
      </x:c>
      <x:c r="H39" s="68" t="str">
        <x:v>得生</x:v>
      </x:c>
      <x:c r="I39" s="68" t="str">
        <x:v>支持偏旺</x:v>
      </x:c>
      <x:c r="J39" s="68" t="str">
        <x:v>M08确认生日主的五行具有有效力量并有作用通路</x:v>
      </x:c>
      <x:c r="K39" s="68" t="str">
        <x:v>高</x:v>
      </x:c>
      <x:c r="L39" s="82" t="str">
        <x:v>强</x:v>
      </x:c>
      <x:c r="M39" s="68" t="str">
        <x:v>M08完成</x:v>
      </x:c>
      <x:c r="N39" s="68" t="str">
        <x:v>生源自身有力且可到达日主</x:v>
      </x:c>
      <x:c r="O39" s="68" t="str">
        <x:v>生源得令、有根、透达</x:v>
      </x:c>
      <x:c r="P39" s="68" t="str">
        <x:v>生源无根、被制、被合绊或通路阻断</x:v>
      </x:c>
      <x:c r="Q39" s="90" t="str">
        <x:v>禁止印星一出现就按强生扶</x:v>
      </x:c>
      <x:c r="R39" s="68" t="str">
        <x:v>十神清纯度转M10</x:v>
      </x:c>
      <x:c r="S39" s="68" t="str">
        <x:v>有效印越强，日主获得的持续补给越明显</x:v>
      </x:c>
      <x:c r="T39" s="82" t="str">
        <x:v>否</x:v>
      </x:c>
      <x:c r="U39" s="82" t="str">
        <x:v>中和偏旺</x:v>
      </x:c>
      <x:c r="V39" s="84" t="str">
        <x:v>有效得生</x:v>
      </x:c>
      <x:c r="W39" s="84" t="str">
        <x:v>日主获得有效印星生扶，是偏强的重要证据。</x:v>
      </x:c>
      <x:c r="X39" s="82" t="str">
        <x:v>较高</x:v>
      </x:c>
      <x:c r="Y39" s="82" t="str">
        <x:v>现代综合</x:v>
      </x:c>
      <x:c r="Z39" s="68" t="str">
        <x:v>得生只计算能够实际到达日主的有效生源；生源自身力量、通路和承载上限共同限制支持强度。</x:v>
      </x:c>
      <x:c r="AA39" s="68" t="str">
        <x:v>正例：当“M08确认生日主的五行具有有效力量并有作用通路”真实成立，且必要条件与增强条件同向时，按“有效印星是日主得生的直接证据”记录对应旺衰证据。</x:v>
      </x:c>
      <x:c r="AB39" s="90" t="str">
        <x:v>反例：只有表面条件，但出现“禁止印星一出现就按强生扶”或关键有效性未成立时，不得套用本规则。</x:v>
      </x:c>
      <x:c r="AC39" s="68" t="str">
        <x:v>https://zh.wikisource.org/wiki/%E6%B7%B5%E6%B5%B7%E5%AD%90%E5%B9%B3%E5%A4%A7%E5%85%A8 ; https://zh.wikisource.org/wiki/%E6%BB%B4%E5%A4%A9%E9%AB%93%E9%97%A1%E5%BE%AE</x:v>
      </x:c>
      <x:c r="AD39" s="82" t="str">
        <x:v>采用</x:v>
      </x:c>
      <x:c r="AE39" s="82" t="str">
        <x:v>初审</x:v>
      </x:c>
      <x:c r="AF39" s="87" t="n">
        <x:v>46255</x:v>
      </x:c>
    </x:row>
    <x:row r="40">
      <x:c r="A40" s="72" t="str">
        <x:f>IF(OR(C40="",D40=""),"",B40&amp;"-"&amp;UPPER(C40)&amp;"-"&amp;TEXT(D40,"0000")&amp;"-"&amp;E40)</x:f>
        <x:v>M09-SHENG-0034-V1.0</x:v>
      </x:c>
      <x:c r="B40" s="74" t="str">
        <x:v>M09</x:v>
      </x:c>
      <x:c r="C40" s="74" t="str">
        <x:v>SHENG</x:v>
      </x:c>
      <x:c r="D40" s="79" t="n">
        <x:v>34</x:v>
      </x:c>
      <x:c r="E40" s="74" t="str">
        <x:v>V1.0</x:v>
      </x:c>
      <x:c r="F40" s="68" t="str">
        <x:v>印星旺但被财破或合绊时得生按有效性下调</x:v>
      </x:c>
      <x:c r="G40" s="82" t="str">
        <x:v>综合层</x:v>
      </x:c>
      <x:c r="H40" s="68" t="str">
        <x:v>得生</x:v>
      </x:c>
      <x:c r="I40" s="68" t="str">
        <x:v>支持偏弱</x:v>
      </x:c>
      <x:c r="J40" s="68" t="str">
        <x:v>原始印旺但M08显示其被强财克制、合绊或改性</x:v>
      </x:c>
      <x:c r="K40" s="68" t="str">
        <x:v>高</x:v>
      </x:c>
      <x:c r="L40" s="82" t="str">
        <x:v>强</x:v>
      </x:c>
      <x:c r="M40" s="68" t="str">
        <x:v>M08完成</x:v>
      </x:c>
      <x:c r="N40" s="68" t="str">
        <x:v>破坏效应已成立</x:v>
      </x:c>
      <x:c r="O40" s="68" t="str">
        <x:v>另有独立印源或救应</x:v>
      </x:c>
      <x:c r="P40" s="68" t="str">
        <x:v>关系仅存在未形成实质效应</x:v>
      </x:c>
      <x:c r="Q40" s="90" t="str">
        <x:v>禁止按原始印量满额计入</x:v>
      </x:c>
      <x:c r="R40" s="68" t="str">
        <x:v>制化组合转M11</x:v>
      </x:c>
      <x:c r="S40" s="68" t="str">
        <x:v>名义印旺不等于日主实际得生强</x:v>
      </x:c>
      <x:c r="T40" s="82" t="str">
        <x:v>否</x:v>
      </x:c>
      <x:c r="U40" s="82" t="str">
        <x:v>中和</x:v>
      </x:c>
      <x:c r="V40" s="84" t="str">
        <x:v>印源受损</x:v>
      </x:c>
      <x:c r="W40" s="84" t="str">
        <x:v>印星虽旺，但其生身通路受损；得生证据按M08有效水平计入。</x:v>
      </x:c>
      <x:c r="X40" s="82" t="str">
        <x:v>较高</x:v>
      </x:c>
      <x:c r="Y40" s="82" t="str">
        <x:v>现代综合</x:v>
      </x:c>
      <x:c r="Z40" s="68" t="str">
        <x:v>得生只计算能够实际到达日主的有效生源；生源自身力量、通路和承载上限共同限制支持强度。</x:v>
      </x:c>
      <x:c r="AA40" s="68" t="str">
        <x:v>正例：当“原始印旺但M08显示其被强财克制、合绊或改性”真实成立，且必要条件与增强条件同向时，按“印星旺但被财破或合绊时得生按有效性下调”记录对应旺衰证据。</x:v>
      </x:c>
      <x:c r="AB40" s="90" t="str">
        <x:v>反例：只有表面条件，但出现“禁止按原始印量满额计入”或关键有效性未成立时，不得套用本规则。</x:v>
      </x:c>
      <x:c r="AC40" s="68" t="str">
        <x:v>https://zh.wikisource.org/wiki/%E6%B7%B5%E6%B5%B7%E5%AD%90%E5%B9%B3%E5%A4%A7%E5%85%A8 ; https://zh.wikisource.org/wiki/%E6%BB%B4%E5%A4%A9%E9%AB%93%E9%97%A1%E5%BE%AE</x:v>
      </x:c>
      <x:c r="AD40" s="82" t="str">
        <x:v>采用</x:v>
      </x:c>
      <x:c r="AE40" s="82" t="str">
        <x:v>初审</x:v>
      </x:c>
      <x:c r="AF40" s="87" t="n">
        <x:v>46255</x:v>
      </x:c>
    </x:row>
    <x:row r="41">
      <x:c r="A41" s="72" t="str">
        <x:f>IF(OR(C41="",D41=""),"",B41&amp;"-"&amp;UPPER(C41)&amp;"-"&amp;TEXT(D41,"0000")&amp;"-"&amp;E41)</x:f>
        <x:v>M09-SHENG-0035-V1.0</x:v>
      </x:c>
      <x:c r="B41" s="74" t="str">
        <x:v>M09</x:v>
      </x:c>
      <x:c r="C41" s="74" t="str">
        <x:v>SHENG</x:v>
      </x:c>
      <x:c r="D41" s="79" t="n">
        <x:v>35</x:v>
      </x:c>
      <x:c r="E41" s="74" t="str">
        <x:v>V1.0</x:v>
      </x:c>
      <x:c r="F41" s="68" t="str">
        <x:v>无根日主即使得强印也需检查承载落点</x:v>
      </x:c>
      <x:c r="G41" s="82" t="str">
        <x:v>综合层</x:v>
      </x:c>
      <x:c r="H41" s="68" t="str">
        <x:v>得生</x:v>
      </x:c>
      <x:c r="I41" s="68" t="str">
        <x:v>条件性支持偏旺</x:v>
      </x:c>
      <x:c r="J41" s="68" t="str">
        <x:v>日主无有效根但有强印生身</x:v>
      </x:c>
      <x:c r="K41" s="68" t="str">
        <x:v>高</x:v>
      </x:c>
      <x:c r="L41" s="82" t="str">
        <x:v>中</x:v>
      </x:c>
      <x:c r="M41" s="68" t="str">
        <x:v>M08/M09得地证据已取得</x:v>
      </x:c>
      <x:c r="N41" s="68" t="str">
        <x:v>印源有效且日主至少有天干承载</x:v>
      </x:c>
      <x:c r="O41" s="68" t="str">
        <x:v>另有比劫或后续根气</x:v>
      </x:c>
      <x:c r="P41" s="68" t="str">
        <x:v>强泄耗制持续作用且无任何落脚点</x:v>
      </x:c>
      <x:c r="Q41" s="90" t="str">
        <x:v>禁止强印直接等同身旺</x:v>
      </x:c>
      <x:c r="R41" s="68" t="str">
        <x:v>从格候选另审</x:v>
      </x:c>
      <x:c r="S41" s="68" t="str">
        <x:v>强印可显著抬高日主，但无根会降低持续承载稳定性</x:v>
      </x:c>
      <x:c r="T41" s="82" t="str">
        <x:v>否</x:v>
      </x:c>
      <x:c r="U41" s="82" t="str">
        <x:v>中和</x:v>
      </x:c>
      <x:c r="V41" s="84" t="str">
        <x:v>强印无根边界</x:v>
      </x:c>
      <x:c r="W41" s="84" t="str">
        <x:v>日主无根但得强印，可获得明显生扶；是否偏旺仍取决于承载与负荷侧。</x:v>
      </x:c>
      <x:c r="X41" s="82" t="str">
        <x:v>较高</x:v>
      </x:c>
      <x:c r="Y41" s="82" t="str">
        <x:v>现代综合</x:v>
      </x:c>
      <x:c r="Z41" s="68" t="str">
        <x:v>得生只计算能够实际到达日主的有效生源；生源自身力量、通路和承载上限共同限制支持强度。</x:v>
      </x:c>
      <x:c r="AA41" s="68" t="str">
        <x:v>正例：当“日主无有效根但有强印生身”真实成立，且必要条件与增强条件同向时，按“无根日主即使得强印也需检查承载落点”记录对应旺衰证据。</x:v>
      </x:c>
      <x:c r="AB41" s="90" t="str">
        <x:v>反例：只有表面条件，但出现“禁止强印直接等同身旺”或关键有效性未成立时，不得套用本规则。</x:v>
      </x:c>
      <x:c r="AC41" s="68" t="str">
        <x:v>https://zh.wikisource.org/wiki/%E6%B7%B5%E6%B5%B7%E5%AD%90%E5%B9%B3%E5%A4%A7%E5%85%A8 ; https://zh.wikisource.org/wiki/%E6%BB%B4%E5%A4%A9%E9%AB%93%E9%97%A1%E5%BE%AE</x:v>
      </x:c>
      <x:c r="AD41" s="82" t="str">
        <x:v>采用</x:v>
      </x:c>
      <x:c r="AE41" s="82" t="str">
        <x:v>初审</x:v>
      </x:c>
      <x:c r="AF41" s="87" t="n">
        <x:v>46255</x:v>
      </x:c>
    </x:row>
    <x:row r="42">
      <x:c r="A42" s="72" t="str">
        <x:f>IF(OR(C42="",D42=""),"",B42&amp;"-"&amp;UPPER(C42)&amp;"-"&amp;TEXT(D42,"0000")&amp;"-"&amp;E42)</x:f>
        <x:v>M09-SHENG-0036-V1.0</x:v>
      </x:c>
      <x:c r="B42" s="74" t="str">
        <x:v>M09</x:v>
      </x:c>
      <x:c r="C42" s="74" t="str">
        <x:v>SHENG</x:v>
      </x:c>
      <x:c r="D42" s="79" t="n">
        <x:v>36</x:v>
      </x:c>
      <x:c r="E42" s="74" t="str">
        <x:v>V1.0</x:v>
      </x:c>
      <x:c r="F42" s="68" t="str">
        <x:v>多重独立印源可提高得生稳定性但边际递减</x:v>
      </x:c>
      <x:c r="G42" s="82" t="str">
        <x:v>综合层</x:v>
      </x:c>
      <x:c r="H42" s="68" t="str">
        <x:v>得生</x:v>
      </x:c>
      <x:c r="I42" s="68" t="str">
        <x:v>支持偏旺</x:v>
      </x:c>
      <x:c r="J42" s="68" t="str">
        <x:v>存在两个以上独立有效印源</x:v>
      </x:c>
      <x:c r="K42" s="68" t="str">
        <x:v>中高</x:v>
      </x:c>
      <x:c r="L42" s="82" t="str">
        <x:v>中</x:v>
      </x:c>
      <x:c r="M42" s="68" t="str">
        <x:v>M08完成</x:v>
      </x:c>
      <x:c r="N42" s="68" t="str">
        <x:v>印源彼此独立</x:v>
      </x:c>
      <x:c r="O42" s="68" t="str">
        <x:v>印源有根且生扶链短</x:v>
      </x:c>
      <x:c r="P42" s="68" t="str">
        <x:v>多个印源共享同一根或共同受制</x:v>
      </x:c>
      <x:c r="Q42" s="90" t="str">
        <x:v>禁止按印星数量线性叠加</x:v>
      </x:c>
      <x:c r="R42" s="68" t="str">
        <x:v>印过旺功能问题转M10/M11</x:v>
      </x:c>
      <x:c r="S42" s="68" t="str">
        <x:v>第二、第三印源主要增加稳定性而非无限增力</x:v>
      </x:c>
      <x:c r="T42" s="82" t="str">
        <x:v>否</x:v>
      </x:c>
      <x:c r="U42" s="82" t="str">
        <x:v>旺</x:v>
      </x:c>
      <x:c r="V42" s="84" t="str">
        <x:v>多印得生</x:v>
      </x:c>
      <x:c r="W42" s="84" t="str">
        <x:v>多重独立有效印源提高日主得生稳定性，但不线性累加。</x:v>
      </x:c>
      <x:c r="X42" s="82" t="str">
        <x:v>较高</x:v>
      </x:c>
      <x:c r="Y42" s="82" t="str">
        <x:v>现代综合</x:v>
      </x:c>
      <x:c r="Z42" s="68" t="str">
        <x:v>得生只计算能够实际到达日主的有效生源；生源自身力量、通路和承载上限共同限制支持强度。</x:v>
      </x:c>
      <x:c r="AA42" s="68" t="str">
        <x:v>正例：当“存在两个以上独立有效印源”真实成立，且必要条件与增强条件同向时，按“多重独立印源可提高得生稳定性但边际递减”记录对应旺衰证据。</x:v>
      </x:c>
      <x:c r="AB42" s="90" t="str">
        <x:v>反例：只有表面条件，但出现“禁止按印星数量线性叠加”或关键有效性未成立时，不得套用本规则。</x:v>
      </x:c>
      <x:c r="AC42" s="68" t="str">
        <x:v>https://zh.wikisource.org/wiki/%E6%B7%B5%E6%B5%B7%E5%AD%90%E5%B9%B3%E5%A4%A7%E5%85%A8 ; https://zh.wikisource.org/wiki/%E6%BB%B4%E5%A4%A9%E9%AB%93%E9%97%A1%E5%BE%AE</x:v>
      </x:c>
      <x:c r="AD42" s="82" t="str">
        <x:v>采用</x:v>
      </x:c>
      <x:c r="AE42" s="82" t="str">
        <x:v>初审</x:v>
      </x:c>
      <x:c r="AF42" s="87" t="n">
        <x:v>46255</x:v>
      </x:c>
    </x:row>
    <x:row r="43">
      <x:c r="A43" s="72" t="str">
        <x:f>IF(OR(C43="",D43=""),"",B43&amp;"-"&amp;UPPER(C43)&amp;"-"&amp;TEXT(D43,"0000")&amp;"-"&amp;E43)</x:f>
        <x:v>M09-SHENG-0037-V1.0</x:v>
      </x:c>
      <x:c r="B43" s="74" t="str">
        <x:v>M09</x:v>
      </x:c>
      <x:c r="C43" s="74" t="str">
        <x:v>SHENG</x:v>
      </x:c>
      <x:c r="D43" s="79" t="n">
        <x:v>37</x:v>
      </x:c>
      <x:c r="E43" s="74" t="str">
        <x:v>V1.0</x:v>
      </x:c>
      <x:c r="F43" s="68" t="str">
        <x:v>生源力量上限限制日主得生等级</x:v>
      </x:c>
      <x:c r="G43" s="82" t="str">
        <x:v>综合层</x:v>
      </x:c>
      <x:c r="H43" s="68" t="str">
        <x:v>得生</x:v>
      </x:c>
      <x:c r="I43" s="68" t="str">
        <x:v>边界</x:v>
      </x:c>
      <x:c r="J43" s="68" t="str">
        <x:v>日主存在生源</x:v>
      </x:c>
      <x:c r="K43" s="68" t="str">
        <x:v>中高</x:v>
      </x:c>
      <x:c r="L43" s="82" t="str">
        <x:v>中</x:v>
      </x:c>
      <x:c r="M43" s="68" t="str">
        <x:v>M08完成</x:v>
      </x:c>
      <x:c r="N43" s="68" t="str">
        <x:v>生源自身有效旺衰已知</x:v>
      </x:c>
      <x:c r="O43" s="68" t="str">
        <x:v>生源强且通根</x:v>
      </x:c>
      <x:c r="P43" s="68" t="str">
        <x:v>生源极弱或无根</x:v>
      </x:c>
      <x:c r="Q43" s="90" t="str">
        <x:v>禁止弱生源提供超过自身能力的强扶持</x:v>
      </x:c>
      <x:c r="R43" s="68" t="str">
        <x:v>多个独立生源可合并</x:v>
      </x:c>
      <x:c r="S43" s="68" t="str">
        <x:v>生源弱时即使位置相邻也只能形成低等级支持</x:v>
      </x:c>
      <x:c r="T43" s="82" t="str">
        <x:v>是</x:v>
      </x:c>
      <x:c r="U43" s="82" t="str">
        <x:v>中和</x:v>
      </x:c>
      <x:c r="V43" s="84" t="str">
        <x:v>生源容量</x:v>
      </x:c>
      <x:c r="W43" s="84" t="str">
        <x:v>日主得生强度不能高于生源自身可提供的有效能力。</x:v>
      </x:c>
      <x:c r="X43" s="82" t="str">
        <x:v>较高</x:v>
      </x:c>
      <x:c r="Y43" s="82" t="str">
        <x:v>现代综合</x:v>
      </x:c>
      <x:c r="Z43" s="68" t="str">
        <x:v>得生只计算能够实际到达日主的有效生源；生源自身力量、通路和承载上限共同限制支持强度。</x:v>
      </x:c>
      <x:c r="AA43" s="68" t="str">
        <x:v>正例：当“日主存在生源”真实成立，且必要条件与增强条件同向时，按“生源力量上限限制日主得生等级”记录对应旺衰证据。</x:v>
      </x:c>
      <x:c r="AB43" s="90" t="str">
        <x:v>反例：只有表面条件，但出现“禁止弱生源提供超过自身能力的强扶持”或关键有效性未成立时，不得套用本规则。</x:v>
      </x:c>
      <x:c r="AC43" s="68" t="str">
        <x:v>https://zh.wikisource.org/wiki/%E6%B7%B5%E6%B5%B7%E5%AD%90%E5%B9%B3%E5%A4%A7%E5%85%A8 ; https://zh.wikisource.org/wiki/%E6%BB%B4%E5%A4%A9%E9%AB%93%E9%97%A1%E5%BE%AE</x:v>
      </x:c>
      <x:c r="AD43" s="82" t="str">
        <x:v>采用</x:v>
      </x:c>
      <x:c r="AE43" s="82" t="str">
        <x:v>初审</x:v>
      </x:c>
      <x:c r="AF43" s="87" t="n">
        <x:v>46255</x:v>
      </x:c>
    </x:row>
    <x:row r="44">
      <x:c r="A44" s="72" t="str">
        <x:f>IF(OR(C44="",D44=""),"",B44&amp;"-"&amp;UPPER(C44)&amp;"-"&amp;TEXT(D44,"0000")&amp;"-"&amp;E44)</x:f>
        <x:v>M09-SHENG-0038-V1.0</x:v>
      </x:c>
      <x:c r="B44" s="74" t="str">
        <x:v>M09</x:v>
      </x:c>
      <x:c r="C44" s="74" t="str">
        <x:v>SHENG</x:v>
      </x:c>
      <x:c r="D44" s="79" t="n">
        <x:v>38</x:v>
      </x:c>
      <x:c r="E44" s="74" t="str">
        <x:v>V1.0</x:v>
      </x:c>
      <x:c r="F44" s="68" t="str">
        <x:v>长生扶链的末端支持应低于直接生扶</x:v>
      </x:c>
      <x:c r="G44" s="82" t="str">
        <x:v>综合层</x:v>
      </x:c>
      <x:c r="H44" s="68" t="str">
        <x:v>得生</x:v>
      </x:c>
      <x:c r="I44" s="68" t="str">
        <x:v>支持偏旺</x:v>
      </x:c>
      <x:c r="J44" s="68" t="str">
        <x:v>生扶需经过两段以上五行链条到达日主</x:v>
      </x:c>
      <x:c r="K44" s="68" t="str">
        <x:v>中</x:v>
      </x:c>
      <x:c r="L44" s="82" t="str">
        <x:v>中</x:v>
      </x:c>
      <x:c r="M44" s="68" t="str">
        <x:v>M08完成</x:v>
      </x:c>
      <x:c r="N44" s="68" t="str">
        <x:v>中间桥梁均有效</x:v>
      </x:c>
      <x:c r="O44" s="68" t="str">
        <x:v>链条短、桥强、连续</x:v>
      </x:c>
      <x:c r="P44" s="68" t="str">
        <x:v>桥弱、缺桥、被克或过度分流</x:v>
      </x:c>
      <x:c r="Q44" s="90" t="str">
        <x:v>禁止跨级或等量传递</x:v>
      </x:c>
      <x:c r="R44" s="68" t="str">
        <x:v>完整流通转M12</x:v>
      </x:c>
      <x:c r="S44" s="68" t="str">
        <x:v>链越长末端支持通常越衰减</x:v>
      </x:c>
      <x:c r="T44" s="82" t="str">
        <x:v>否</x:v>
      </x:c>
      <x:c r="U44" s="82" t="str">
        <x:v>中和偏旺</x:v>
      </x:c>
      <x:c r="V44" s="84" t="str">
        <x:v>链式得生</x:v>
      </x:c>
      <x:c r="W44" s="84" t="str">
        <x:v>日主通过连续生扶链获益，但末端支持低于同等条件下的直接生扶。</x:v>
      </x:c>
      <x:c r="X44" s="82" t="str">
        <x:v>中等</x:v>
      </x:c>
      <x:c r="Y44" s="82" t="str">
        <x:v>现代综合</x:v>
      </x:c>
      <x:c r="Z44" s="68" t="str">
        <x:v>为M12流通路径保留接口。</x:v>
      </x:c>
      <x:c r="AA44" s="68" t="str">
        <x:v>正例：当“生扶需经过两段以上五行链条到达日主”真实成立，且必要条件与增强条件同向时，按“长生扶链的末端支持应低于直接生扶”记录对应旺衰证据。</x:v>
      </x:c>
      <x:c r="AB44" s="90" t="str">
        <x:v>反例：只有表面条件，但出现“禁止跨级或等量传递”或关键有效性未成立时，不得套用本规则。</x:v>
      </x:c>
      <x:c r="AC44" s="68" t="str">
        <x:v>https://zh.wikisource.org/wiki/%E6%B7%B5%E6%B5%B7%E5%AD%90%E5%B9%B3%E5%A4%A7%E5%85%A8 ; https://zh.wikisource.org/wiki/%E6%BB%B4%E5%A4%A9%E9%AB%93%E9%97%A1%E5%BE%AE</x:v>
      </x:c>
      <x:c r="AD44" s="82" t="str">
        <x:v>采用</x:v>
      </x:c>
      <x:c r="AE44" s="82" t="str">
        <x:v>初审</x:v>
      </x:c>
      <x:c r="AF44" s="87" t="n">
        <x:v>46255</x:v>
      </x:c>
    </x:row>
    <x:row r="45">
      <x:c r="A45" s="72" t="str">
        <x:f>IF(OR(C45="",D45=""),"",B45&amp;"-"&amp;UPPER(C45)&amp;"-"&amp;TEXT(D45,"0000")&amp;"-"&amp;E45)</x:f>
        <x:v>M09-SHENG-0039-V1.0</x:v>
      </x:c>
      <x:c r="B45" s="74" t="str">
        <x:v>M09</x:v>
      </x:c>
      <x:c r="C45" s="74" t="str">
        <x:v>SHENG</x:v>
      </x:c>
      <x:c r="D45" s="79" t="n">
        <x:v>39</x:v>
      </x:c>
      <x:c r="E45" s="74" t="str">
        <x:v>V1.0</x:v>
      </x:c>
      <x:c r="F45" s="68" t="str">
        <x:v>印比同向时得生与得势可互相增强但同源去重</x:v>
      </x:c>
      <x:c r="G45" s="82" t="str">
        <x:v>综合层</x:v>
      </x:c>
      <x:c r="H45" s="68" t="str">
        <x:v>得生</x:v>
      </x:c>
      <x:c r="I45" s="68" t="str">
        <x:v>支持偏旺</x:v>
      </x:c>
      <x:c r="J45" s="68" t="str">
        <x:v>有效印生身且比劫同时提供承载</x:v>
      </x:c>
      <x:c r="K45" s="68" t="str">
        <x:v>高</x:v>
      </x:c>
      <x:c r="L45" s="82" t="str">
        <x:v>强</x:v>
      </x:c>
      <x:c r="M45" s="68" t="str">
        <x:v>M08完成</x:v>
      </x:c>
      <x:c r="N45" s="68" t="str">
        <x:v>印与比劫为独立节点</x:v>
      </x:c>
      <x:c r="O45" s="68" t="str">
        <x:v>根深、透干呼应</x:v>
      </x:c>
      <x:c r="P45" s="68" t="str">
        <x:v>印比均来自同一有限节点</x:v>
      </x:c>
      <x:c r="Q45" s="90" t="str">
        <x:v>禁止同一节点同时在得生、得势重复满额</x:v>
      </x:c>
      <x:c r="R45" s="68"/>
      <x:c r="S45" s="68" t="str">
        <x:v>印提供补给、比劫提供同类承载，组合后稳定性提高</x:v>
      </x:c>
      <x:c r="T45" s="82" t="str">
        <x:v>否</x:v>
      </x:c>
      <x:c r="U45" s="82" t="str">
        <x:v>旺</x:v>
      </x:c>
      <x:c r="V45" s="84" t="str">
        <x:v>印比协同</x:v>
      </x:c>
      <x:c r="W45" s="84" t="str">
        <x:v>印与比劫均有效且来源独立时，日主扶身结构更稳定。</x:v>
      </x:c>
      <x:c r="X45" s="82" t="str">
        <x:v>较高</x:v>
      </x:c>
      <x:c r="Y45" s="82" t="str">
        <x:v>现代综合</x:v>
      </x:c>
      <x:c r="Z45" s="68" t="str">
        <x:v>得生只计算能够实际到达日主的有效生源；生源自身力量、通路和承载上限共同限制支持强度。</x:v>
      </x:c>
      <x:c r="AA45" s="68" t="str">
        <x:v>正例：当“有效印生身且比劫同时提供承载”真实成立，且必要条件与增强条件同向时，按“印比同向时得生与得势可互相增强但同源去重”记录对应旺衰证据。</x:v>
      </x:c>
      <x:c r="AB45" s="90" t="str">
        <x:v>反例：只有表面条件，但出现“禁止同一节点同时在得生、得势重复满额”或关键有效性未成立时，不得套用本规则。</x:v>
      </x:c>
      <x:c r="AC45" s="68" t="str">
        <x:v>https://zh.wikisource.org/wiki/%E6%B7%B5%E6%B5%B7%E5%AD%90%E5%B9%B3%E5%A4%A7%E5%85%A8 ; https://zh.wikisource.org/wiki/%E6%BB%B4%E5%A4%A9%E9%AB%93%E9%97%A1%E5%BE%AE</x:v>
      </x:c>
      <x:c r="AD45" s="82" t="str">
        <x:v>采用</x:v>
      </x:c>
      <x:c r="AE45" s="82" t="str">
        <x:v>初审</x:v>
      </x:c>
      <x:c r="AF45" s="87" t="n">
        <x:v>46255</x:v>
      </x:c>
    </x:row>
    <x:row r="46">
      <x:c r="A46" s="72" t="str">
        <x:f>IF(OR(C46="",D46=""),"",B46&amp;"-"&amp;UPPER(C46)&amp;"-"&amp;TEXT(D46,"0000")&amp;"-"&amp;E46)</x:f>
        <x:v>M09-SHENG-0040-V1.0</x:v>
      </x:c>
      <x:c r="B46" s="74" t="str">
        <x:v>M09</x:v>
      </x:c>
      <x:c r="C46" s="74" t="str">
        <x:v>SHENG</x:v>
      </x:c>
      <x:c r="D46" s="79" t="n">
        <x:v>40</x:v>
      </x:c>
      <x:c r="E46" s="74" t="str">
        <x:v>V1.0</x:v>
      </x:c>
      <x:c r="F46" s="68" t="str">
        <x:v>印多不自动等于身旺</x:v>
      </x:c>
      <x:c r="G46" s="82" t="str">
        <x:v>综合层</x:v>
      </x:c>
      <x:c r="H46" s="68" t="str">
        <x:v>得生</x:v>
      </x:c>
      <x:c r="I46" s="68" t="str">
        <x:v>边界</x:v>
      </x:c>
      <x:c r="J46" s="68" t="str">
        <x:v>原局印星数量或五行力量很高</x:v>
      </x:c>
      <x:c r="K46" s="68" t="str">
        <x:v>高</x:v>
      </x:c>
      <x:c r="L46" s="82" t="str">
        <x:v>决定性</x:v>
      </x:c>
      <x:c r="M46" s="68" t="str">
        <x:v>M08完成</x:v>
      </x:c>
      <x:c r="N46" s="68" t="str">
        <x:v>同时检查日主根气与印的实际通路</x:v>
      </x:c>
      <x:c r="O46" s="68" t="str">
        <x:v>日主有根且印可持续生身</x:v>
      </x:c>
      <x:c r="P46" s="68" t="str">
        <x:v>印被制、被冻结、无通路或日主承载极弱</x:v>
      </x:c>
      <x:c r="Q46" s="90" t="str">
        <x:v>禁止“印多=身旺”</x:v>
      </x:c>
      <x:c r="R46" s="68" t="str">
        <x:v>印多造成其他功能问题转M10/M11</x:v>
      </x:c>
      <x:c r="S46" s="68" t="str">
        <x:v>印旺只是支持侧证据，最终仍需与负荷侧比较</x:v>
      </x:c>
      <x:c r="T46" s="82" t="str">
        <x:v>否</x:v>
      </x:c>
      <x:c r="U46" s="82" t="str">
        <x:v>中和</x:v>
      </x:c>
      <x:c r="V46" s="84" t="str">
        <x:v>印多非旺充分条件</x:v>
      </x:c>
      <x:c r="W46" s="84" t="str">
        <x:v>印星多或旺不等于日主必旺；应以有效生身和日主承载为准。</x:v>
      </x:c>
      <x:c r="X46" s="82" t="str">
        <x:v>较高</x:v>
      </x:c>
      <x:c r="Y46" s="82" t="str">
        <x:v>现代综合</x:v>
      </x:c>
      <x:c r="Z46" s="68" t="str">
        <x:v>得生只计算能够实际到达日主的有效生源；生源自身力量、通路和承载上限共同限制支持强度。</x:v>
      </x:c>
      <x:c r="AA46" s="68" t="str">
        <x:v>正例：当“原局印星数量或五行力量很高”真实成立，且必要条件与增强条件同向时，按“印多不自动等于身旺”记录对应旺衰证据。</x:v>
      </x:c>
      <x:c r="AB46" s="90" t="str">
        <x:v>反例：只有表面条件，但出现“禁止“印多=身旺””或关键有效性未成立时，不得套用本规则。</x:v>
      </x:c>
      <x:c r="AC46" s="68" t="str">
        <x:v>https://zh.wikisource.org/wiki/%E6%B7%B5%E6%B5%B7%E5%AD%90%E5%B9%B3%E5%A4%A7%E5%85%A8 ; https://zh.wikisource.org/wiki/%E6%BB%B4%E5%A4%A9%E9%AB%93%E9%97%A1%E5%BE%AE</x:v>
      </x:c>
      <x:c r="AD46" s="82" t="str">
        <x:v>采用</x:v>
      </x:c>
      <x:c r="AE46" s="82" t="str">
        <x:v>初审</x:v>
      </x:c>
      <x:c r="AF46" s="87" t="n">
        <x:v>46255</x:v>
      </x:c>
    </x:row>
    <x:row r="47">
      <x:c r="A47" s="72" t="str">
        <x:f>IF(OR(C47="",D47=""),"",B47&amp;"-"&amp;UPPER(C47)&amp;"-"&amp;TEXT(D47,"0000")&amp;"-"&amp;E47)</x:f>
        <x:v>M09-KE-0041-V1.0</x:v>
      </x:c>
      <x:c r="B47" s="74" t="str">
        <x:v>M09</x:v>
      </x:c>
      <x:c r="C47" s="74" t="str">
        <x:v>KE</x:v>
      </x:c>
      <x:c r="D47" s="79" t="n">
        <x:v>41</x:v>
      </x:c>
      <x:c r="E47" s="74" t="str">
        <x:v>V1.0</x:v>
      </x:c>
      <x:c r="F47" s="68" t="str">
        <x:v>有效官杀直接制身构成强偏弱证据</x:v>
      </x:c>
      <x:c r="G47" s="82" t="str">
        <x:v>综合层</x:v>
      </x:c>
      <x:c r="H47" s="68" t="str">
        <x:v>受制</x:v>
      </x:c>
      <x:c r="I47" s="68" t="str">
        <x:v>支持偏弱</x:v>
      </x:c>
      <x:c r="J47" s="68" t="str">
        <x:v>M08确认克日主五行有效且有直接作用通路</x:v>
      </x:c>
      <x:c r="K47" s="68" t="str">
        <x:v>高</x:v>
      </x:c>
      <x:c r="L47" s="82" t="str">
        <x:v>强</x:v>
      </x:c>
      <x:c r="M47" s="68" t="str">
        <x:v>M08完成</x:v>
      </x:c>
      <x:c r="N47" s="68" t="str">
        <x:v>官杀对应五行真实有力</x:v>
      </x:c>
      <x:c r="O47" s="68" t="str">
        <x:v>官杀得令、通根、透达且贴近日主作用链</x:v>
      </x:c>
      <x:c r="P47" s="68" t="str">
        <x:v>官杀弱、被制、被合或被化泄</x:v>
      </x:c>
      <x:c r="Q47" s="90" t="str">
        <x:v>禁止官杀出现即判强制身</x:v>
      </x:c>
      <x:c r="R47" s="68" t="str">
        <x:v>杀印相生等组合转M11</x:v>
      </x:c>
      <x:c r="S47" s="68" t="str">
        <x:v>官杀越强且日主根弱，制身压力越显著</x:v>
      </x:c>
      <x:c r="T47" s="82" t="str">
        <x:v>否</x:v>
      </x:c>
      <x:c r="U47" s="82" t="str">
        <x:v>弱</x:v>
      </x:c>
      <x:c r="V47" s="84" t="str">
        <x:v>官杀制身</x:v>
      </x:c>
      <x:c r="W47" s="84" t="str">
        <x:v>日主受到有效官杀直接制约，是偏弱的重要证据。</x:v>
      </x:c>
      <x:c r="X47" s="82" t="str">
        <x:v>较高</x:v>
      </x:c>
      <x:c r="Y47" s="82" t="str">
        <x:v>现代综合</x:v>
      </x:c>
      <x:c r="Z47" s="68" t="str">
        <x:v>受制按官杀对应五行的有效力量、直接作用通路与制化后的剩余压力判断，不按官杀数量机械计权。</x:v>
      </x:c>
      <x:c r="AA47" s="68" t="str">
        <x:v>正例：当“M08确认克日主五行有效且有直接作用通路”真实成立，且必要条件与增强条件同向时，按“有效官杀直接制身构成强偏弱证据”记录对应旺衰证据。</x:v>
      </x:c>
      <x:c r="AB47" s="90" t="str">
        <x:v>反例：只有表面条件，但出现“禁止官杀出现即判强制身”或关键有效性未成立时，不得套用本规则。</x:v>
      </x:c>
      <x:c r="AC47" s="68" t="str">
        <x:v>https://zh.wikisource.org/wiki/%E6%B7%B5%E6%B5%B7%E5%AD%90%E5%B9%B3%E5%A4%A7%E5%85%A8 ; https://zh.wikisource.org/wiki/%E6%BB%B4%E5%A4%A9%E9%AB%93%E9%97%A1%E5%BE%AE</x:v>
      </x:c>
      <x:c r="AD47" s="82" t="str">
        <x:v>采用</x:v>
      </x:c>
      <x:c r="AE47" s="82" t="str">
        <x:v>初审</x:v>
      </x:c>
      <x:c r="AF47" s="87" t="n">
        <x:v>46255</x:v>
      </x:c>
    </x:row>
    <x:row r="48">
      <x:c r="A48" s="72" t="str">
        <x:f>IF(OR(C48="",D48=""),"",B48&amp;"-"&amp;UPPER(C48)&amp;"-"&amp;TEXT(D48,"0000")&amp;"-"&amp;E48)</x:f>
        <x:v>M09-KE-0042-V1.0</x:v>
      </x:c>
      <x:c r="B48" s="74" t="str">
        <x:v>M09</x:v>
      </x:c>
      <x:c r="C48" s="74" t="str">
        <x:v>KE</x:v>
      </x:c>
      <x:c r="D48" s="79" t="n">
        <x:v>42</x:v>
      </x:c>
      <x:c r="E48" s="74" t="str">
        <x:v>V1.0</x:v>
      </x:c>
      <x:c r="F48" s="68" t="str">
        <x:v>官杀数量多但大多无根无气时不形成强制身</x:v>
      </x:c>
      <x:c r="G48" s="82" t="str">
        <x:v>综合层</x:v>
      </x:c>
      <x:c r="H48" s="68" t="str">
        <x:v>受制</x:v>
      </x:c>
      <x:c r="I48" s="68" t="str">
        <x:v>条件性支持偏弱</x:v>
      </x:c>
      <x:c r="J48" s="68" t="str">
        <x:v>官杀数量多但M08判有效力量低</x:v>
      </x:c>
      <x:c r="K48" s="68" t="str">
        <x:v>中</x:v>
      </x:c>
      <x:c r="L48" s="82" t="str">
        <x:v>中</x:v>
      </x:c>
      <x:c r="M48" s="68" t="str">
        <x:v>M08完成</x:v>
      </x:c>
      <x:c r="N48" s="68" t="str">
        <x:v>多数官杀为弱节点</x:v>
      </x:c>
      <x:c r="O48" s="68"/>
      <x:c r="P48" s="68" t="str">
        <x:v>官杀得令成势或另有强根</x:v>
      </x:c>
      <x:c r="Q48" s="90" t="str">
        <x:v>禁止按官杀个数机械判身弱</x:v>
      </x:c>
      <x:c r="R48" s="68" t="str">
        <x:v>十神混杂转M10</x:v>
      </x:c>
      <x:c r="S48" s="68" t="str">
        <x:v>弱官杀数量多未必等于强压力</x:v>
      </x:c>
      <x:c r="T48" s="82" t="str">
        <x:v>否</x:v>
      </x:c>
      <x:c r="U48" s="82" t="str">
        <x:v>中和</x:v>
      </x:c>
      <x:c r="V48" s="84" t="str">
        <x:v>官杀质量优先</x:v>
      </x:c>
      <x:c r="W48" s="84" t="str">
        <x:v>官杀数量多但有效力量弱，制身证据按实际质量计入，不按数量定弱。</x:v>
      </x:c>
      <x:c r="X48" s="82" t="str">
        <x:v>较高</x:v>
      </x:c>
      <x:c r="Y48" s="82" t="str">
        <x:v>现代综合</x:v>
      </x:c>
      <x:c r="Z48" s="68" t="str">
        <x:v>受制按官杀对应五行的有效力量、直接作用通路与制化后的剩余压力判断，不按官杀数量机械计权。</x:v>
      </x:c>
      <x:c r="AA48" s="68" t="str">
        <x:v>正例：当“官杀数量多但M08判有效力量低”真实成立，且必要条件与增强条件同向时，按“官杀数量多但大多无根无气时不形成强制身”记录对应旺衰证据。</x:v>
      </x:c>
      <x:c r="AB48" s="90" t="str">
        <x:v>反例：只有表面条件，但出现“禁止按官杀个数机械判身弱”或关键有效性未成立时，不得套用本规则。</x:v>
      </x:c>
      <x:c r="AC48" s="68" t="str">
        <x:v>https://zh.wikisource.org/wiki/%E6%B7%B5%E6%B5%B7%E5%AD%90%E5%B9%B3%E5%A4%A7%E5%85%A8 ; https://zh.wikisource.org/wiki/%E6%BB%B4%E5%A4%A9%E9%AB%93%E9%97%A1%E5%BE%AE</x:v>
      </x:c>
      <x:c r="AD48" s="82" t="str">
        <x:v>采用</x:v>
      </x:c>
      <x:c r="AE48" s="82" t="str">
        <x:v>初审</x:v>
      </x:c>
      <x:c r="AF48" s="87" t="n">
        <x:v>46255</x:v>
      </x:c>
    </x:row>
    <x:row r="49">
      <x:c r="A49" s="72" t="str">
        <x:f>IF(OR(C49="",D49=""),"",B49&amp;"-"&amp;UPPER(C49)&amp;"-"&amp;TEXT(D49,"0000")&amp;"-"&amp;E49)</x:f>
        <x:v>M09-KE-0043-V1.0</x:v>
      </x:c>
      <x:c r="B49" s="74" t="str">
        <x:v>M09</x:v>
      </x:c>
      <x:c r="C49" s="74" t="str">
        <x:v>KE</x:v>
      </x:c>
      <x:c r="D49" s="79" t="n">
        <x:v>43</x:v>
      </x:c>
      <x:c r="E49" s="74" t="str">
        <x:v>V1.0</x:v>
      </x:c>
      <x:c r="F49" s="68" t="str">
        <x:v>官杀得令通根成势时可形成决定性制身压力</x:v>
      </x:c>
      <x:c r="G49" s="82" t="str">
        <x:v>综合层</x:v>
      </x:c>
      <x:c r="H49" s="68" t="str">
        <x:v>受制</x:v>
      </x:c>
      <x:c r="I49" s="68" t="str">
        <x:v>支持偏弱</x:v>
      </x:c>
      <x:c r="J49" s="68" t="str">
        <x:v>官杀五行得令、多根并透达，M08判旺或极旺</x:v>
      </x:c>
      <x:c r="K49" s="68" t="str">
        <x:v>高</x:v>
      </x:c>
      <x:c r="L49" s="82" t="str">
        <x:v>决定性</x:v>
      </x:c>
      <x:c r="M49" s="68" t="str">
        <x:v>M08完成</x:v>
      </x:c>
      <x:c r="N49" s="68" t="str">
        <x:v>官杀可直接作用日主</x:v>
      </x:c>
      <x:c r="O49" s="68" t="str">
        <x:v>日主失令无根、印比弱</x:v>
      </x:c>
      <x:c r="P49" s="68" t="str">
        <x:v>官杀被有效制化或日主亦强根成势</x:v>
      </x:c>
      <x:c r="Q49" s="90" t="str">
        <x:v>不得在制化已成立时重复满额计压</x:v>
      </x:c>
      <x:c r="R49" s="68" t="str">
        <x:v>特殊格局转M14</x:v>
      </x:c>
      <x:c r="S49" s="68" t="str">
        <x:v>日主若同时强旺，结果可能回到中和偏弱而非极弱</x:v>
      </x:c>
      <x:c r="T49" s="82" t="str">
        <x:v>否</x:v>
      </x:c>
      <x:c r="U49" s="82" t="str">
        <x:v>弱</x:v>
      </x:c>
      <x:c r="V49" s="84" t="str">
        <x:v>官杀成势</x:v>
      </x:c>
      <x:c r="W49" s="84" t="str">
        <x:v>官杀有效成势并直接制身时，是日主偏弱或弱的强证据。</x:v>
      </x:c>
      <x:c r="X49" s="82" t="str">
        <x:v>较高</x:v>
      </x:c>
      <x:c r="Y49" s="82" t="str">
        <x:v>现代综合</x:v>
      </x:c>
      <x:c r="Z49" s="68" t="str">
        <x:v>受制按官杀对应五行的有效力量、直接作用通路与制化后的剩余压力判断，不按官杀数量机械计权。</x:v>
      </x:c>
      <x:c r="AA49" s="68" t="str">
        <x:v>正例：当“官杀五行得令、多根并透达，M08判旺或极旺”真实成立，且必要条件与增强条件同向时，按“官杀得令通根成势时可形成决定性制身压力”记录对应旺衰证据。</x:v>
      </x:c>
      <x:c r="AB49" s="90" t="str">
        <x:v>反例：只有表面条件，但出现“不得在制化已成立时重复满额计压”或关键有效性未成立时，不得套用本规则。</x:v>
      </x:c>
      <x:c r="AC49" s="68" t="str">
        <x:v>https://zh.wikisource.org/wiki/%E6%B7%B5%E6%B5%B7%E5%AD%90%E5%B9%B3%E5%A4%A7%E5%85%A8 ; https://zh.wikisource.org/wiki/%E6%BB%B4%E5%A4%A9%E9%AB%93%E9%97%A1%E5%BE%AE</x:v>
      </x:c>
      <x:c r="AD49" s="82" t="str">
        <x:v>采用</x:v>
      </x:c>
      <x:c r="AE49" s="82" t="str">
        <x:v>初审</x:v>
      </x:c>
      <x:c r="AF49" s="87" t="n">
        <x:v>46255</x:v>
      </x:c>
    </x:row>
    <x:row r="50">
      <x:c r="A50" s="72" t="str">
        <x:f>IF(OR(C50="",D50=""),"",B50&amp;"-"&amp;UPPER(C50)&amp;"-"&amp;TEXT(D50,"0000")&amp;"-"&amp;E50)</x:f>
        <x:v>M09-KE-0044-V1.0</x:v>
      </x:c>
      <x:c r="B50" s="74" t="str">
        <x:v>M09</x:v>
      </x:c>
      <x:c r="C50" s="74" t="str">
        <x:v>KE</x:v>
      </x:c>
      <x:c r="D50" s="79" t="n">
        <x:v>44</x:v>
      </x:c>
      <x:c r="E50" s="74" t="str">
        <x:v>V1.0</x:v>
      </x:c>
      <x:c r="F50" s="68" t="str">
        <x:v>官杀被食伤制或被合住时按剩余有效压力计入</x:v>
      </x:c>
      <x:c r="G50" s="82" t="str">
        <x:v>综合层</x:v>
      </x:c>
      <x:c r="H50" s="68" t="str">
        <x:v>受制</x:v>
      </x:c>
      <x:c r="I50" s="68" t="str">
        <x:v>减弱偏弱证据</x:v>
      </x:c>
      <x:c r="J50" s="68" t="str">
        <x:v>M08/M06已确认官杀受到实质制约或冻结</x:v>
      </x:c>
      <x:c r="K50" s="68" t="str">
        <x:v>高</x:v>
      </x:c>
      <x:c r="L50" s="82" t="str">
        <x:v>强</x:v>
      </x:c>
      <x:c r="M50" s="68" t="str">
        <x:v>M08完成</x:v>
      </x:c>
      <x:c r="N50" s="68" t="str">
        <x:v>制约效果真实成立</x:v>
      </x:c>
      <x:c r="O50" s="68" t="str">
        <x:v>制约者强且通路直接</x:v>
      </x:c>
      <x:c r="P50" s="68" t="str">
        <x:v>制约者弱或另被破坏</x:v>
      </x:c>
      <x:c r="Q50" s="90" t="str">
        <x:v>禁止同时把官杀原始旺度与受制后旺度重复计入</x:v>
      </x:c>
      <x:c r="R50" s="68" t="str">
        <x:v>食神制杀成立与否转M11</x:v>
      </x:c>
      <x:c r="S50" s="68" t="str">
        <x:v>受制越有效，日主实际压力越低</x:v>
      </x:c>
      <x:c r="T50" s="82" t="str">
        <x:v>是</x:v>
      </x:c>
      <x:c r="U50" s="82" t="str">
        <x:v>中和</x:v>
      </x:c>
      <x:c r="V50" s="84" t="str">
        <x:v>官杀压力修正</x:v>
      </x:c>
      <x:c r="W50" s="84" t="str">
        <x:v>官杀已被有效制约，日主只承受其剩余压力，不按原始旺度满额计入。</x:v>
      </x:c>
      <x:c r="X50" s="82" t="str">
        <x:v>较高</x:v>
      </x:c>
      <x:c r="Y50" s="82" t="str">
        <x:v>现代综合</x:v>
      </x:c>
      <x:c r="Z50" s="68" t="str">
        <x:v>受制按官杀对应五行的有效力量、直接作用通路与制化后的剩余压力判断，不按官杀数量机械计权。</x:v>
      </x:c>
      <x:c r="AA50" s="68" t="str">
        <x:v>正例：当“M08/M06已确认官杀受到实质制约或冻结”真实成立，且必要条件与增强条件同向时，按“官杀被食伤制或被合住时按剩余有效压力计入”记录对应旺衰证据。</x:v>
      </x:c>
      <x:c r="AB50" s="90" t="str">
        <x:v>反例：只有表面条件，但出现“禁止同时把官杀原始旺度与受制后旺度重复计入”或关键有效性未成立时，不得套用本规则。</x:v>
      </x:c>
      <x:c r="AC50" s="68" t="str">
        <x:v>https://zh.wikisource.org/wiki/%E6%B7%B5%E6%B5%B7%E5%AD%90%E5%B9%B3%E5%A4%A7%E5%85%A8 ; https://zh.wikisource.org/wiki/%E6%BB%B4%E5%A4%A9%E9%AB%93%E9%97%A1%E5%BE%AE</x:v>
      </x:c>
      <x:c r="AD50" s="82" t="str">
        <x:v>采用</x:v>
      </x:c>
      <x:c r="AE50" s="82" t="str">
        <x:v>初审</x:v>
      </x:c>
      <x:c r="AF50" s="87" t="n">
        <x:v>46255</x:v>
      </x:c>
    </x:row>
    <x:row r="51">
      <x:c r="A51" s="72" t="str">
        <x:f>IF(OR(C51="",D51=""),"",B51&amp;"-"&amp;UPPER(C51)&amp;"-"&amp;TEXT(D51,"0000")&amp;"-"&amp;E51)</x:f>
        <x:v>M09-KE-0045-V1.0</x:v>
      </x:c>
      <x:c r="B51" s="74" t="str">
        <x:v>M09</x:v>
      </x:c>
      <x:c r="C51" s="74" t="str">
        <x:v>KE</x:v>
      </x:c>
      <x:c r="D51" s="79" t="n">
        <x:v>45</x:v>
      </x:c>
      <x:c r="E51" s="74" t="str">
        <x:v>V1.0</x:v>
      </x:c>
      <x:c r="F51" s="68" t="str">
        <x:v>官杀生印再生日主时制身与得生需按流向拆分</x:v>
      </x:c>
      <x:c r="G51" s="82" t="str">
        <x:v>综合层</x:v>
      </x:c>
      <x:c r="H51" s="68" t="str">
        <x:v>受制</x:v>
      </x:c>
      <x:c r="I51" s="68" t="str">
        <x:v>条件性</x:v>
      </x:c>
      <x:c r="J51" s="68" t="str">
        <x:v>官杀→印→日主的生化路径在M08中有效</x:v>
      </x:c>
      <x:c r="K51" s="68" t="str">
        <x:v>高</x:v>
      </x:c>
      <x:c r="L51" s="82" t="str">
        <x:v>中</x:v>
      </x:c>
      <x:c r="M51" s="68" t="str">
        <x:v>M08完成</x:v>
      </x:c>
      <x:c r="N51" s="68" t="str">
        <x:v>印星有力且能承接官杀之气</x:v>
      </x:c>
      <x:c r="O51" s="68" t="str">
        <x:v>官杀、印、日主三段连续</x:v>
      </x:c>
      <x:c r="P51" s="68" t="str">
        <x:v>印弱、被财破或路径中断</x:v>
      </x:c>
      <x:c r="Q51" s="90" t="str">
        <x:v>禁止官杀既全额制身又全额生印重复计权</x:v>
      </x:c>
      <x:c r="R51" s="68" t="str">
        <x:v>杀印相生组合转M11</x:v>
      </x:c>
      <x:c r="S51" s="68" t="str">
        <x:v>有效转化越强，直接制身压力越低、得生支持越高</x:v>
      </x:c>
      <x:c r="T51" s="82" t="str">
        <x:v>否</x:v>
      </x:c>
      <x:c r="U51" s="82" t="str">
        <x:v>中和</x:v>
      </x:c>
      <x:c r="V51" s="84" t="str">
        <x:v>官印流向拆分</x:v>
      </x:c>
      <x:c r="W51" s="84" t="str">
        <x:v>官杀之气若有效转入印再生身，应降低直接制身权重，并另计得生。</x:v>
      </x:c>
      <x:c r="X51" s="82" t="str">
        <x:v>较高</x:v>
      </x:c>
      <x:c r="Y51" s="82" t="str">
        <x:v>现代综合</x:v>
      </x:c>
      <x:c r="Z51" s="68" t="str">
        <x:v>受制按官杀对应五行的有效力量、直接作用通路与制化后的剩余压力判断，不按官杀数量机械计权。</x:v>
      </x:c>
      <x:c r="AA51" s="68" t="str">
        <x:v>正例：当“官杀→印→日主的生化路径在M08中有效”真实成立，且必要条件与增强条件同向时，按“官杀生印再生日主时制身与得生需按流向拆分”记录对应旺衰证据。</x:v>
      </x:c>
      <x:c r="AB51" s="90" t="str">
        <x:v>反例：只有表面条件，但出现“禁止官杀既全额制身又全额生印重复计权”或关键有效性未成立时，不得套用本规则。</x:v>
      </x:c>
      <x:c r="AC51" s="68" t="str">
        <x:v>https://zh.wikisource.org/wiki/%E6%B7%B5%E6%B5%B7%E5%AD%90%E5%B9%B3%E5%A4%A7%E5%85%A8 ; https://zh.wikisource.org/wiki/%E6%BB%B4%E5%A4%A9%E9%AB%93%E9%97%A1%E5%BE%AE</x:v>
      </x:c>
      <x:c r="AD51" s="82" t="str">
        <x:v>采用</x:v>
      </x:c>
      <x:c r="AE51" s="82" t="str">
        <x:v>初审</x:v>
      </x:c>
      <x:c r="AF51" s="87" t="n">
        <x:v>46255</x:v>
      </x:c>
    </x:row>
    <x:row r="52">
      <x:c r="A52" s="72" t="str">
        <x:f>IF(OR(C52="",D52=""),"",B52&amp;"-"&amp;UPPER(C52)&amp;"-"&amp;TEXT(D52,"0000")&amp;"-"&amp;E52)</x:f>
        <x:v>M09-KE-0046-V1.0</x:v>
      </x:c>
      <x:c r="B52" s="74" t="str">
        <x:v>M09</x:v>
      </x:c>
      <x:c r="C52" s="74" t="str">
        <x:v>KE</x:v>
      </x:c>
      <x:c r="D52" s="79" t="n">
        <x:v>46</x:v>
      </x:c>
      <x:c r="E52" s="74" t="str">
        <x:v>V1.0</x:v>
      </x:c>
      <x:c r="F52" s="68" t="str">
        <x:v>日主根弱时同等官杀压力的伤害更显著</x:v>
      </x:c>
      <x:c r="G52" s="82" t="str">
        <x:v>综合层</x:v>
      </x:c>
      <x:c r="H52" s="68" t="str">
        <x:v>受制</x:v>
      </x:c>
      <x:c r="I52" s="68" t="str">
        <x:v>支持偏弱</x:v>
      </x:c>
      <x:c r="J52" s="68" t="str">
        <x:v>官杀有效且日主有效根少或弱</x:v>
      </x:c>
      <x:c r="K52" s="68" t="str">
        <x:v>高</x:v>
      </x:c>
      <x:c r="L52" s="82" t="str">
        <x:v>强</x:v>
      </x:c>
      <x:c r="M52" s="68" t="str">
        <x:v>M08完成</x:v>
      </x:c>
      <x:c r="N52" s="68" t="str">
        <x:v>日主承载不足</x:v>
      </x:c>
      <x:c r="O52" s="68" t="str">
        <x:v>同时失令、无印比</x:v>
      </x:c>
      <x:c r="P52" s="68" t="str">
        <x:v>日主多根或印比强</x:v>
      </x:c>
      <x:c r="Q52" s="90" t="str">
        <x:v>禁止用固定百分比量化伤害</x:v>
      </x:c>
      <x:c r="R52" s="68"/>
      <x:c r="S52" s="68" t="str">
        <x:v>承载越弱，相同制身压力越容易推动等级下调</x:v>
      </x:c>
      <x:c r="T52" s="82" t="str">
        <x:v>否</x:v>
      </x:c>
      <x:c r="U52" s="82" t="str">
        <x:v>弱</x:v>
      </x:c>
      <x:c r="V52" s="84" t="str">
        <x:v>弱根受制</x:v>
      </x:c>
      <x:c r="W52" s="84" t="str">
        <x:v>日主承载偏弱时，同等官杀压力更容易形成身弱结论。</x:v>
      </x:c>
      <x:c r="X52" s="82" t="str">
        <x:v>较高</x:v>
      </x:c>
      <x:c r="Y52" s="82" t="str">
        <x:v>现代综合</x:v>
      </x:c>
      <x:c r="Z52" s="68" t="str">
        <x:v>受制按官杀对应五行的有效力量、直接作用通路与制化后的剩余压力判断，不按官杀数量机械计权。</x:v>
      </x:c>
      <x:c r="AA52" s="68" t="str">
        <x:v>正例：当“官杀有效且日主有效根少或弱”真实成立，且必要条件与增强条件同向时，按“日主根弱时同等官杀压力的伤害更显著”记录对应旺衰证据。</x:v>
      </x:c>
      <x:c r="AB52" s="90" t="str">
        <x:v>反例：只有表面条件，但出现“禁止用固定百分比量化伤害”或关键有效性未成立时，不得套用本规则。</x:v>
      </x:c>
      <x:c r="AC52" s="68" t="str">
        <x:v>https://zh.wikisource.org/wiki/%E6%B7%B5%E6%B5%B7%E5%AD%90%E5%B9%B3%E5%A4%A7%E5%85%A8 ; https://zh.wikisource.org/wiki/%E6%BB%B4%E5%A4%A9%E9%AB%93%E9%97%A1%E5%BE%AE</x:v>
      </x:c>
      <x:c r="AD52" s="82" t="str">
        <x:v>采用</x:v>
      </x:c>
      <x:c r="AE52" s="82" t="str">
        <x:v>初审</x:v>
      </x:c>
      <x:c r="AF52" s="87" t="n">
        <x:v>46255</x:v>
      </x:c>
    </x:row>
    <x:row r="53">
      <x:c r="A53" s="72" t="str">
        <x:f>IF(OR(C53="",D53=""),"",B53&amp;"-"&amp;UPPER(C53)&amp;"-"&amp;TEXT(D53,"0000")&amp;"-"&amp;E53)</x:f>
        <x:v>M09-KE-0047-V1.0</x:v>
      </x:c>
      <x:c r="B53" s="74" t="str">
        <x:v>M09</x:v>
      </x:c>
      <x:c r="C53" s="74" t="str">
        <x:v>KE</x:v>
      </x:c>
      <x:c r="D53" s="79" t="n">
        <x:v>47</x:v>
      </x:c>
      <x:c r="E53" s="74" t="str">
        <x:v>V1.0</x:v>
      </x:c>
      <x:c r="F53" s="68" t="str">
        <x:v>日主强根得势时可承受一定官杀而不必判弱</x:v>
      </x:c>
      <x:c r="G53" s="82" t="str">
        <x:v>综合层</x:v>
      </x:c>
      <x:c r="H53" s="68" t="str">
        <x:v>受制</x:v>
      </x:c>
      <x:c r="I53" s="68" t="str">
        <x:v>中和约束</x:v>
      </x:c>
      <x:c r="J53" s="68" t="str">
        <x:v>日主多根得势，同时存在中等官杀压力</x:v>
      </x:c>
      <x:c r="K53" s="68" t="str">
        <x:v>高</x:v>
      </x:c>
      <x:c r="L53" s="82" t="str">
        <x:v>中</x:v>
      </x:c>
      <x:c r="M53" s="68" t="str">
        <x:v>M08完成</x:v>
      </x:c>
      <x:c r="N53" s="68" t="str">
        <x:v>扶身侧有明显承载</x:v>
      </x:c>
      <x:c r="O53" s="68" t="str">
        <x:v>印比持续有效</x:v>
      </x:c>
      <x:c r="P53" s="68" t="str">
        <x:v>官杀极旺成势或根气被破坏</x:v>
      </x:c>
      <x:c r="Q53" s="90" t="str">
        <x:v>禁止“见官杀=身弱”</x:v>
      </x:c>
      <x:c r="R53" s="68" t="str">
        <x:v>格局功能转M14/M15</x:v>
      </x:c>
      <x:c r="S53" s="68" t="str">
        <x:v>强日主受适度官杀可能仍在中和偏旺或中和</x:v>
      </x:c>
      <x:c r="T53" s="82" t="str">
        <x:v>否</x:v>
      </x:c>
      <x:c r="U53" s="82" t="str">
        <x:v>中和</x:v>
      </x:c>
      <x:c r="V53" s="84" t="str">
        <x:v>强身承压</x:v>
      </x:c>
      <x:c r="W53" s="84" t="str">
        <x:v>日主根深得势时可承受一定官杀，不能因存在官杀就直接判弱。</x:v>
      </x:c>
      <x:c r="X53" s="82" t="str">
        <x:v>较高</x:v>
      </x:c>
      <x:c r="Y53" s="82" t="str">
        <x:v>现代综合</x:v>
      </x:c>
      <x:c r="Z53" s="68" t="str">
        <x:v>受制按官杀对应五行的有效力量、直接作用通路与制化后的剩余压力判断，不按官杀数量机械计权。</x:v>
      </x:c>
      <x:c r="AA53" s="68" t="str">
        <x:v>正例：当“日主多根得势，同时存在中等官杀压力”真实成立，且必要条件与增强条件同向时，按“日主强根得势时可承受一定官杀而不必判弱”记录对应旺衰证据。</x:v>
      </x:c>
      <x:c r="AB53" s="90" t="str">
        <x:v>反例：只有表面条件，但出现“禁止“见官杀=身弱””或关键有效性未成立时，不得套用本规则。</x:v>
      </x:c>
      <x:c r="AC53" s="68" t="str">
        <x:v>https://zh.wikisource.org/wiki/%E6%B7%B5%E6%B5%B7%E5%AD%90%E5%B9%B3%E5%A4%A7%E5%85%A8 ; https://zh.wikisource.org/wiki/%E6%BB%B4%E5%A4%A9%E9%AB%93%E9%97%A1%E5%BE%AE</x:v>
      </x:c>
      <x:c r="AD53" s="82" t="str">
        <x:v>采用</x:v>
      </x:c>
      <x:c r="AE53" s="82" t="str">
        <x:v>初审</x:v>
      </x:c>
      <x:c r="AF53" s="87" t="n">
        <x:v>46255</x:v>
      </x:c>
    </x:row>
    <x:row r="54">
      <x:c r="A54" s="72" t="str">
        <x:f>IF(OR(C54="",D54=""),"",B54&amp;"-"&amp;UPPER(C54)&amp;"-"&amp;TEXT(D54,"0000")&amp;"-"&amp;E54)</x:f>
        <x:v>M09-KE-0048-V1.0</x:v>
      </x:c>
      <x:c r="B54" s="74" t="str">
        <x:v>M09</x:v>
      </x:c>
      <x:c r="C54" s="74" t="str">
        <x:v>KE</x:v>
      </x:c>
      <x:c r="D54" s="79" t="n">
        <x:v>48</x:v>
      </x:c>
      <x:c r="E54" s="74" t="str">
        <x:v>V1.0</x:v>
      </x:c>
      <x:c r="F54" s="68" t="str">
        <x:v>多个官杀压力共享同一来源时按容量去重</x:v>
      </x:c>
      <x:c r="G54" s="82" t="str">
        <x:v>综合层</x:v>
      </x:c>
      <x:c r="H54" s="68" t="str">
        <x:v>受制</x:v>
      </x:c>
      <x:c r="I54" s="68" t="str">
        <x:v>证据去重</x:v>
      </x:c>
      <x:c r="J54" s="68" t="str">
        <x:v>多个官杀节点主要依赖同一根或同一生源</x:v>
      </x:c>
      <x:c r="K54" s="68" t="str">
        <x:v>中高</x:v>
      </x:c>
      <x:c r="L54" s="82" t="str">
        <x:v>中</x:v>
      </x:c>
      <x:c r="M54" s="68" t="str">
        <x:v>M08完成</x:v>
      </x:c>
      <x:c r="N54" s="68" t="str">
        <x:v>来源依赖关系已识别</x:v>
      </x:c>
      <x:c r="O54" s="68" t="str">
        <x:v>另有独立官杀根源</x:v>
      </x:c>
      <x:c r="P54" s="68"/>
      <x:c r="Q54" s="90" t="str">
        <x:v>禁止同一有限来源被多个官杀节点重复全额调用</x:v>
      </x:c>
      <x:c r="R54" s="68" t="str">
        <x:v>成局改性按M08</x:v>
      </x:c>
      <x:c r="S54" s="68" t="str">
        <x:v>独立来源才代表新增压力容量</x:v>
      </x:c>
      <x:c r="T54" s="82" t="str">
        <x:v>是</x:v>
      </x:c>
      <x:c r="U54" s="82" t="str">
        <x:v>中和偏弱</x:v>
      </x:c>
      <x:c r="V54" s="84" t="str">
        <x:v>官杀容量去重</x:v>
      </x:c>
      <x:c r="W54" s="84" t="str">
        <x:v>官杀多处出现但共享同一有限来源时，制身压力需去重计入。</x:v>
      </x:c>
      <x:c r="X54" s="82" t="str">
        <x:v>较高</x:v>
      </x:c>
      <x:c r="Y54" s="82" t="str">
        <x:v>现代综合</x:v>
      </x:c>
      <x:c r="Z54" s="68" t="str">
        <x:v>受制按官杀对应五行的有效力量、直接作用通路与制化后的剩余压力判断，不按官杀数量机械计权。</x:v>
      </x:c>
      <x:c r="AA54" s="68" t="str">
        <x:v>正例：当“多个官杀节点主要依赖同一根或同一生源”真实成立，且必要条件与增强条件同向时，按“多个官杀压力共享同一来源时按容量去重”记录对应旺衰证据。</x:v>
      </x:c>
      <x:c r="AB54" s="90" t="str">
        <x:v>反例：只有表面条件，但出现“禁止同一有限来源被多个官杀节点重复全额调用”或关键有效性未成立时，不得套用本规则。</x:v>
      </x:c>
      <x:c r="AC54" s="68" t="str">
        <x:v>https://zh.wikisource.org/wiki/%E6%B7%B5%E6%B5%B7%E5%AD%90%E5%B9%B3%E5%A4%A7%E5%85%A8 ; https://zh.wikisource.org/wiki/%E6%BB%B4%E5%A4%A9%E9%AB%93%E9%97%A1%E5%BE%AE</x:v>
      </x:c>
      <x:c r="AD54" s="82" t="str">
        <x:v>采用</x:v>
      </x:c>
      <x:c r="AE54" s="82" t="str">
        <x:v>初审</x:v>
      </x:c>
      <x:c r="AF54" s="87" t="n">
        <x:v>46255</x:v>
      </x:c>
    </x:row>
    <x:row r="55">
      <x:c r="A55" s="72" t="str">
        <x:f>IF(OR(C55="",D55=""),"",B55&amp;"-"&amp;UPPER(C55)&amp;"-"&amp;TEXT(D55,"0000")&amp;"-"&amp;E55)</x:f>
        <x:v>M09-XIE-0049-V1.0</x:v>
      </x:c>
      <x:c r="B55" s="74" t="str">
        <x:v>M09</x:v>
      </x:c>
      <x:c r="C55" s="74" t="str">
        <x:v>XIE</x:v>
      </x:c>
      <x:c r="D55" s="79" t="n">
        <x:v>49</x:v>
      </x:c>
      <x:c r="E55" s="74" t="str">
        <x:v>V1.0</x:v>
      </x:c>
      <x:c r="F55" s="68" t="str">
        <x:v>有效食伤泄身构成日主偏弱证据</x:v>
      </x:c>
      <x:c r="G55" s="82" t="str">
        <x:v>综合层</x:v>
      </x:c>
      <x:c r="H55" s="68" t="str">
        <x:v>受泄</x:v>
      </x:c>
      <x:c r="I55" s="68" t="str">
        <x:v>支持偏弱</x:v>
      </x:c>
      <x:c r="J55" s="68" t="str">
        <x:v>M08确认日主所生五行有效且有泄出通路</x:v>
      </x:c>
      <x:c r="K55" s="68" t="str">
        <x:v>高</x:v>
      </x:c>
      <x:c r="L55" s="82" t="str">
        <x:v>强</x:v>
      </x:c>
      <x:c r="M55" s="68" t="str">
        <x:v>M08完成</x:v>
      </x:c>
      <x:c r="N55" s="68" t="str">
        <x:v>食伤对应五行真实有力</x:v>
      </x:c>
      <x:c r="O55" s="68" t="str">
        <x:v>食伤得令、通根、透达</x:v>
      </x:c>
      <x:c r="P55" s="68" t="str">
        <x:v>食伤被印制、合绊或无根</x:v>
      </x:c>
      <x:c r="Q55" s="90" t="str">
        <x:v>禁止食伤出现即判泄身强</x:v>
      </x:c>
      <x:c r="R55" s="68" t="str">
        <x:v>食伤功能转M10</x:v>
      </x:c>
      <x:c r="S55" s="68" t="str">
        <x:v>日主根越弱、食伤越旺，泄身影响越大</x:v>
      </x:c>
      <x:c r="T55" s="82" t="str">
        <x:v>否</x:v>
      </x:c>
      <x:c r="U55" s="82" t="str">
        <x:v>中和偏弱</x:v>
      </x:c>
      <x:c r="V55" s="84" t="str">
        <x:v>食伤泄身</x:v>
      </x:c>
      <x:c r="W55" s="84" t="str">
        <x:v>日主有有效食伤泄出，是偏弱证据；强度取决于食伤有效力量与日主承载。</x:v>
      </x:c>
      <x:c r="X55" s="82" t="str">
        <x:v>较高</x:v>
      </x:c>
      <x:c r="Y55" s="82" t="str">
        <x:v>现代综合</x:v>
      </x:c>
      <x:c r="Z55" s="68" t="str">
        <x:v>受泄按食伤有效力量与日主承载比较；泄身与克身机制不同，连续泄耗链还需服从源头容量。</x:v>
      </x:c>
      <x:c r="AA55" s="68" t="str">
        <x:v>正例：当“M08确认日主所生五行有效且有泄出通路”真实成立，且必要条件与增强条件同向时，按“有效食伤泄身构成日主偏弱证据”记录对应旺衰证据。</x:v>
      </x:c>
      <x:c r="AB55" s="90" t="str">
        <x:v>反例：只有表面条件，但出现“禁止食伤出现即判泄身强”或关键有效性未成立时，不得套用本规则。</x:v>
      </x:c>
      <x:c r="AC55" s="68" t="str">
        <x:v>https://zh.wikisource.org/wiki/%E6%B7%B5%E6%B5%B7%E5%AD%90%E5%B9%B3%E5%A4%A7%E5%85%A8 ; https://zh.wikisource.org/wiki/%E6%BB%B4%E5%A4%A9%E9%AB%93%E9%97%A1%E5%BE%AE</x:v>
      </x:c>
      <x:c r="AD55" s="82" t="str">
        <x:v>采用</x:v>
      </x:c>
      <x:c r="AE55" s="82" t="str">
        <x:v>初审</x:v>
      </x:c>
      <x:c r="AF55" s="87" t="n">
        <x:v>46255</x:v>
      </x:c>
    </x:row>
    <x:row r="56">
      <x:c r="A56" s="72" t="str">
        <x:f>IF(OR(C56="",D56=""),"",B56&amp;"-"&amp;UPPER(C56)&amp;"-"&amp;TEXT(D56,"0000")&amp;"-"&amp;E56)</x:f>
        <x:v>M09-XIE-0050-V1.0</x:v>
      </x:c>
      <x:c r="B56" s="74" t="str">
        <x:v>M09</x:v>
      </x:c>
      <x:c r="C56" s="74" t="str">
        <x:v>XIE</x:v>
      </x:c>
      <x:c r="D56" s="79" t="n">
        <x:v>50</x:v>
      </x:c>
      <x:c r="E56" s="74" t="str">
        <x:v>V1.0</x:v>
      </x:c>
      <x:c r="F56" s="68" t="str">
        <x:v>食伤数量多但有效性低时不得按强泄处理</x:v>
      </x:c>
      <x:c r="G56" s="82" t="str">
        <x:v>综合层</x:v>
      </x:c>
      <x:c r="H56" s="68" t="str">
        <x:v>受泄</x:v>
      </x:c>
      <x:c r="I56" s="68" t="str">
        <x:v>条件性支持偏弱</x:v>
      </x:c>
      <x:c r="J56" s="68" t="str">
        <x:v>食伤多现但M08判弱或失效</x:v>
      </x:c>
      <x:c r="K56" s="68" t="str">
        <x:v>中</x:v>
      </x:c>
      <x:c r="L56" s="82" t="str">
        <x:v>中</x:v>
      </x:c>
      <x:c r="M56" s="68" t="str">
        <x:v>M08完成</x:v>
      </x:c>
      <x:c r="N56" s="68" t="str">
        <x:v>多数食伤节点弱</x:v>
      </x:c>
      <x:c r="O56" s="68"/>
      <x:c r="P56" s="68" t="str">
        <x:v>食伤得令成势</x:v>
      </x:c>
      <x:c r="Q56" s="90" t="str">
        <x:v>禁止按数量机械判身弱</x:v>
      </x:c>
      <x:c r="R56" s="68" t="str">
        <x:v>十神混杂另审</x:v>
      </x:c>
      <x:c r="S56" s="68" t="str">
        <x:v>弱食伤可形成表达通路但未必造成明显泄身</x:v>
      </x:c>
      <x:c r="T56" s="82" t="str">
        <x:v>否</x:v>
      </x:c>
      <x:c r="U56" s="82" t="str">
        <x:v>中和</x:v>
      </x:c>
      <x:c r="V56" s="84" t="str">
        <x:v>食伤质量优先</x:v>
      </x:c>
      <x:c r="W56" s="84" t="str">
        <x:v>食伤数量多但有效力量低，泄身证据应按实际质量而非数量计入。</x:v>
      </x:c>
      <x:c r="X56" s="82" t="str">
        <x:v>较高</x:v>
      </x:c>
      <x:c r="Y56" s="82" t="str">
        <x:v>现代综合</x:v>
      </x:c>
      <x:c r="Z56" s="68" t="str">
        <x:v>受泄按食伤有效力量与日主承载比较；泄身与克身机制不同，连续泄耗链还需服从源头容量。</x:v>
      </x:c>
      <x:c r="AA56" s="68" t="str">
        <x:v>正例：当“食伤多现但M08判弱或失效”真实成立，且必要条件与增强条件同向时，按“食伤数量多但有效性低时不得按强泄处理”记录对应旺衰证据。</x:v>
      </x:c>
      <x:c r="AB56" s="90" t="str">
        <x:v>反例：只有表面条件，但出现“禁止按数量机械判身弱”或关键有效性未成立时，不得套用本规则。</x:v>
      </x:c>
      <x:c r="AC56" s="68" t="str">
        <x:v>https://zh.wikisource.org/wiki/%E6%B7%B5%E6%B5%B7%E5%AD%90%E5%B9%B3%E5%A4%A7%E5%85%A8 ; https://zh.wikisource.org/wiki/%E6%BB%B4%E5%A4%A9%E9%AB%93%E9%97%A1%E5%BE%AE</x:v>
      </x:c>
      <x:c r="AD56" s="82" t="str">
        <x:v>采用</x:v>
      </x:c>
      <x:c r="AE56" s="82" t="str">
        <x:v>初审</x:v>
      </x:c>
      <x:c r="AF56" s="87" t="n">
        <x:v>46255</x:v>
      </x:c>
    </x:row>
    <x:row r="57">
      <x:c r="A57" s="72" t="str">
        <x:f>IF(OR(C57="",D57=""),"",B57&amp;"-"&amp;UPPER(C57)&amp;"-"&amp;TEXT(D57,"0000")&amp;"-"&amp;E57)</x:f>
        <x:v>M09-XIE-0051-V1.0</x:v>
      </x:c>
      <x:c r="B57" s="74" t="str">
        <x:v>M09</x:v>
      </x:c>
      <x:c r="C57" s="74" t="str">
        <x:v>XIE</x:v>
      </x:c>
      <x:c r="D57" s="79" t="n">
        <x:v>51</x:v>
      </x:c>
      <x:c r="E57" s="74" t="str">
        <x:v>V1.0</x:v>
      </x:c>
      <x:c r="F57" s="68" t="str">
        <x:v>强根日主可承受中等泄身而保持中和以上</x:v>
      </x:c>
      <x:c r="G57" s="82" t="str">
        <x:v>综合层</x:v>
      </x:c>
      <x:c r="H57" s="68" t="str">
        <x:v>受泄</x:v>
      </x:c>
      <x:c r="I57" s="68" t="str">
        <x:v>中和约束</x:v>
      </x:c>
      <x:c r="J57" s="68" t="str">
        <x:v>日主多根得势，食伤为中等有效</x:v>
      </x:c>
      <x:c r="K57" s="68" t="str">
        <x:v>中高</x:v>
      </x:c>
      <x:c r="L57" s="82" t="str">
        <x:v>中</x:v>
      </x:c>
      <x:c r="M57" s="68" t="str">
        <x:v>M08完成</x:v>
      </x:c>
      <x:c r="N57" s="68" t="str">
        <x:v>日主承载强</x:v>
      </x:c>
      <x:c r="O57" s="68" t="str">
        <x:v>同时有印比补给</x:v>
      </x:c>
      <x:c r="P57" s="68" t="str">
        <x:v>食伤极旺且财再承接</x:v>
      </x:c>
      <x:c r="Q57" s="90" t="str">
        <x:v>禁止“食伤旺=日主弱”</x:v>
      </x:c>
      <x:c r="R57" s="68" t="str">
        <x:v>格局泄秀转M11/M14</x:v>
      </x:c>
      <x:c r="S57" s="68" t="str">
        <x:v>适度泄身可能只降低过旺程度</x:v>
      </x:c>
      <x:c r="T57" s="82" t="str">
        <x:v>否</x:v>
      </x:c>
      <x:c r="U57" s="82" t="str">
        <x:v>中和偏旺</x:v>
      </x:c>
      <x:c r="V57" s="84" t="str">
        <x:v>强身可泄</x:v>
      </x:c>
      <x:c r="W57" s="84" t="str">
        <x:v>日主根深得势时，中等食伤泄出未必使其转弱，可能仅由旺降至偏旺或中和。</x:v>
      </x:c>
      <x:c r="X57" s="82" t="str">
        <x:v>较高</x:v>
      </x:c>
      <x:c r="Y57" s="82" t="str">
        <x:v>现代综合</x:v>
      </x:c>
      <x:c r="Z57" s="68" t="str">
        <x:v>受泄按食伤有效力量与日主承载比较；泄身与克身机制不同，连续泄耗链还需服从源头容量。</x:v>
      </x:c>
      <x:c r="AA57" s="68" t="str">
        <x:v>正例：当“日主多根得势，食伤为中等有效”真实成立，且必要条件与增强条件同向时，按“强根日主可承受中等泄身而保持中和以上”记录对应旺衰证据。</x:v>
      </x:c>
      <x:c r="AB57" s="90" t="str">
        <x:v>反例：只有表面条件，但出现“禁止“食伤旺=日主弱””或关键有效性未成立时，不得套用本规则。</x:v>
      </x:c>
      <x:c r="AC57" s="68" t="str">
        <x:v>https://zh.wikisource.org/wiki/%E6%B7%B5%E6%B5%B7%E5%AD%90%E5%B9%B3%E5%A4%A7%E5%85%A8 ; https://zh.wikisource.org/wiki/%E6%BB%B4%E5%A4%A9%E9%AB%93%E9%97%A1%E5%BE%AE</x:v>
      </x:c>
      <x:c r="AD57" s="82" t="str">
        <x:v>采用</x:v>
      </x:c>
      <x:c r="AE57" s="82" t="str">
        <x:v>初审</x:v>
      </x:c>
      <x:c r="AF57" s="87" t="n">
        <x:v>46255</x:v>
      </x:c>
    </x:row>
    <x:row r="58">
      <x:c r="A58" s="72" t="str">
        <x:f>IF(OR(C58="",D58=""),"",B58&amp;"-"&amp;UPPER(C58)&amp;"-"&amp;TEXT(D58,"0000")&amp;"-"&amp;E58)</x:f>
        <x:v>M09-XIE-0052-V1.0</x:v>
      </x:c>
      <x:c r="B58" s="74" t="str">
        <x:v>M09</x:v>
      </x:c>
      <x:c r="C58" s="74" t="str">
        <x:v>XIE</x:v>
      </x:c>
      <x:c r="D58" s="79" t="n">
        <x:v>52</x:v>
      </x:c>
      <x:c r="E58" s="74" t="str">
        <x:v>V1.0</x:v>
      </x:c>
      <x:c r="F58" s="68" t="str">
        <x:v>食伤成势且日主根弱时可形成决定性泄身</x:v>
      </x:c>
      <x:c r="G58" s="82" t="str">
        <x:v>综合层</x:v>
      </x:c>
      <x:c r="H58" s="68" t="str">
        <x:v>受泄</x:v>
      </x:c>
      <x:c r="I58" s="68" t="str">
        <x:v>支持偏弱</x:v>
      </x:c>
      <x:c r="J58" s="68" t="str">
        <x:v>食伤五行旺/极旺且日主根气弱</x:v>
      </x:c>
      <x:c r="K58" s="68" t="str">
        <x:v>高</x:v>
      </x:c>
      <x:c r="L58" s="82" t="str">
        <x:v>决定性</x:v>
      </x:c>
      <x:c r="M58" s="68" t="str">
        <x:v>M08完成</x:v>
      </x:c>
      <x:c r="N58" s="68" t="str">
        <x:v>泄出通路连续</x:v>
      </x:c>
      <x:c r="O58" s="68" t="str">
        <x:v>食伤得令多根、财星承接</x:v>
      </x:c>
      <x:c r="P58" s="68" t="str">
        <x:v>食伤被强印制或合化转性</x:v>
      </x:c>
      <x:c r="Q58" s="90" t="str">
        <x:v>不得忽略印星对食伤的有效制约</x:v>
      </x:c>
      <x:c r="R58" s="68" t="str">
        <x:v>从儿候选转M14</x:v>
      </x:c>
      <x:c r="S58" s="68" t="str">
        <x:v>极端单向泄出可能触发特殊格局候选</x:v>
      </x:c>
      <x:c r="T58" s="82" t="str">
        <x:v>否</x:v>
      </x:c>
      <x:c r="U58" s="82" t="str">
        <x:v>弱</x:v>
      </x:c>
      <x:c r="V58" s="84" t="str">
        <x:v>食伤成势</x:v>
      </x:c>
      <x:c r="W58" s="84" t="str">
        <x:v>食伤有效成势而日主承载弱时，泄身压力可成为主导。</x:v>
      </x:c>
      <x:c r="X58" s="82" t="str">
        <x:v>较高</x:v>
      </x:c>
      <x:c r="Y58" s="82" t="str">
        <x:v>现代综合</x:v>
      </x:c>
      <x:c r="Z58" s="68" t="str">
        <x:v>受泄按食伤有效力量与日主承载比较；泄身与克身机制不同，连续泄耗链还需服从源头容量。</x:v>
      </x:c>
      <x:c r="AA58" s="68" t="str">
        <x:v>正例：当“食伤五行旺/极旺且日主根气弱”真实成立，且必要条件与增强条件同向时，按“食伤成势且日主根弱时可形成决定性泄身”记录对应旺衰证据。</x:v>
      </x:c>
      <x:c r="AB58" s="90" t="str">
        <x:v>反例：只有表面条件，但出现“不得忽略印星对食伤的有效制约”或关键有效性未成立时，不得套用本规则。</x:v>
      </x:c>
      <x:c r="AC58" s="68" t="str">
        <x:v>https://zh.wikisource.org/wiki/%E6%B7%B5%E6%B5%B7%E5%AD%90%E5%B9%B3%E5%A4%A7%E5%85%A8 ; https://zh.wikisource.org/wiki/%E6%BB%B4%E5%A4%A9%E9%AB%93%E9%97%A1%E5%BE%AE</x:v>
      </x:c>
      <x:c r="AD58" s="82" t="str">
        <x:v>采用</x:v>
      </x:c>
      <x:c r="AE58" s="82" t="str">
        <x:v>初审</x:v>
      </x:c>
      <x:c r="AF58" s="87" t="n">
        <x:v>46255</x:v>
      </x:c>
    </x:row>
    <x:row r="59">
      <x:c r="A59" s="72" t="str">
        <x:f>IF(OR(C59="",D59=""),"",B59&amp;"-"&amp;UPPER(C59)&amp;"-"&amp;TEXT(D59,"0000")&amp;"-"&amp;E59)</x:f>
        <x:v>M09-XIE-0053-V1.0</x:v>
      </x:c>
      <x:c r="B59" s="74" t="str">
        <x:v>M09</x:v>
      </x:c>
      <x:c r="C59" s="74" t="str">
        <x:v>XIE</x:v>
      </x:c>
      <x:c r="D59" s="79" t="n">
        <x:v>53</x:v>
      </x:c>
      <x:c r="E59" s="74" t="str">
        <x:v>V1.0</x:v>
      </x:c>
      <x:c r="F59" s="68" t="str">
        <x:v>食伤被强印制约时按剩余泄力计入</x:v>
      </x:c>
      <x:c r="G59" s="82" t="str">
        <x:v>综合层</x:v>
      </x:c>
      <x:c r="H59" s="68" t="str">
        <x:v>受泄</x:v>
      </x:c>
      <x:c r="I59" s="68" t="str">
        <x:v>减弱偏弱证据</x:v>
      </x:c>
      <x:c r="J59" s="68" t="str">
        <x:v>M08确认食伤被有效印星克制或冻结</x:v>
      </x:c>
      <x:c r="K59" s="68" t="str">
        <x:v>高</x:v>
      </x:c>
      <x:c r="L59" s="82" t="str">
        <x:v>强</x:v>
      </x:c>
      <x:c r="M59" s="68" t="str">
        <x:v>M08完成</x:v>
      </x:c>
      <x:c r="N59" s="68" t="str">
        <x:v>印制真实有效</x:v>
      </x:c>
      <x:c r="O59" s="68" t="str">
        <x:v>印得令有根</x:v>
      </x:c>
      <x:c r="P59" s="68" t="str">
        <x:v>印弱、被财破或制约不及</x:v>
      </x:c>
      <x:c r="Q59" s="90" t="str">
        <x:v>禁止同时按食伤原旺度和受制后旺度双计</x:v>
      </x:c>
      <x:c r="R59" s="68" t="str">
        <x:v>枭夺食等功能转M10/M11</x:v>
      </x:c>
      <x:c r="S59" s="68" t="str">
        <x:v>食伤剩余力量越低，泄身证据越弱</x:v>
      </x:c>
      <x:c r="T59" s="82" t="str">
        <x:v>是</x:v>
      </x:c>
      <x:c r="U59" s="82" t="str">
        <x:v>中和</x:v>
      </x:c>
      <x:c r="V59" s="84" t="str">
        <x:v>食伤泄力修正</x:v>
      </x:c>
      <x:c r="W59" s="84" t="str">
        <x:v>食伤已受有效制约，日主只按其剩余泄力承受影响。</x:v>
      </x:c>
      <x:c r="X59" s="82" t="str">
        <x:v>较高</x:v>
      </x:c>
      <x:c r="Y59" s="82" t="str">
        <x:v>现代综合</x:v>
      </x:c>
      <x:c r="Z59" s="68" t="str">
        <x:v>受泄按食伤有效力量与日主承载比较；泄身与克身机制不同，连续泄耗链还需服从源头容量。</x:v>
      </x:c>
      <x:c r="AA59" s="68" t="str">
        <x:v>正例：当“M08确认食伤被有效印星克制或冻结”真实成立，且必要条件与增强条件同向时，按“食伤被强印制约时按剩余泄力计入”记录对应旺衰证据。</x:v>
      </x:c>
      <x:c r="AB59" s="90" t="str">
        <x:v>反例：只有表面条件，但出现“禁止同时按食伤原旺度和受制后旺度双计”或关键有效性未成立时，不得套用本规则。</x:v>
      </x:c>
      <x:c r="AC59" s="68" t="str">
        <x:v>https://zh.wikisource.org/wiki/%E6%B7%B5%E6%B5%B7%E5%AD%90%E5%B9%B3%E5%A4%A7%E5%85%A8 ; https://zh.wikisource.org/wiki/%E6%BB%B4%E5%A4%A9%E9%AB%93%E9%97%A1%E5%BE%AE</x:v>
      </x:c>
      <x:c r="AD59" s="82" t="str">
        <x:v>采用</x:v>
      </x:c>
      <x:c r="AE59" s="82" t="str">
        <x:v>初审</x:v>
      </x:c>
      <x:c r="AF59" s="87" t="n">
        <x:v>46255</x:v>
      </x:c>
    </x:row>
    <x:row r="60">
      <x:c r="A60" s="72" t="str">
        <x:f>IF(OR(C60="",D60=""),"",B60&amp;"-"&amp;UPPER(C60)&amp;"-"&amp;TEXT(D60,"0000")&amp;"-"&amp;E60)</x:f>
        <x:v>M09-XIE-0054-V1.0</x:v>
      </x:c>
      <x:c r="B60" s="74" t="str">
        <x:v>M09</x:v>
      </x:c>
      <x:c r="C60" s="74" t="str">
        <x:v>XIE</x:v>
      </x:c>
      <x:c r="D60" s="79" t="n">
        <x:v>54</x:v>
      </x:c>
      <x:c r="E60" s="74" t="str">
        <x:v>V1.0</x:v>
      </x:c>
      <x:c r="F60" s="68" t="str">
        <x:v>食伤继续生财形成连续外泄时总耗泄需看链路有效性</x:v>
      </x:c>
      <x:c r="G60" s="82" t="str">
        <x:v>综合层</x:v>
      </x:c>
      <x:c r="H60" s="68" t="str">
        <x:v>受泄</x:v>
      </x:c>
      <x:c r="I60" s="68" t="str">
        <x:v>支持偏弱</x:v>
      </x:c>
      <x:c r="J60" s="68" t="str">
        <x:v>日主→食伤→财的连续路径在M08中有效</x:v>
      </x:c>
      <x:c r="K60" s="68" t="str">
        <x:v>中高</x:v>
      </x:c>
      <x:c r="L60" s="82" t="str">
        <x:v>强</x:v>
      </x:c>
      <x:c r="M60" s="68" t="str">
        <x:v>M08完成</x:v>
      </x:c>
      <x:c r="N60" s="68" t="str">
        <x:v>食伤与财均能承接</x:v>
      </x:c>
      <x:c r="O60" s="68" t="str">
        <x:v>链条短且财有根</x:v>
      </x:c>
      <x:c r="P60" s="68" t="str">
        <x:v>财弱、桥断或食伤被制</x:v>
      </x:c>
      <x:c r="Q60" s="90" t="str">
        <x:v>禁止把泄与耗简单相加为固定分数</x:v>
      </x:c>
      <x:c r="R60" s="68" t="str">
        <x:v>完整流通转M12</x:v>
      </x:c>
      <x:c r="S60" s="68" t="str">
        <x:v>连续外泄比单一食伤泄身更容易降低日主有效承载</x:v>
      </x:c>
      <x:c r="T60" s="82" t="str">
        <x:v>否</x:v>
      </x:c>
      <x:c r="U60" s="82" t="str">
        <x:v>弱</x:v>
      </x:c>
      <x:c r="V60" s="84" t="str">
        <x:v>连续泄耗</x:v>
      </x:c>
      <x:c r="W60" s="84" t="str">
        <x:v>食伤生财路径有效时，日主力量可持续向外传递；需同时考虑泄与耗的连续性。</x:v>
      </x:c>
      <x:c r="X60" s="82" t="str">
        <x:v>较高</x:v>
      </x:c>
      <x:c r="Y60" s="82" t="str">
        <x:v>现代综合</x:v>
      </x:c>
      <x:c r="Z60" s="68" t="str">
        <x:v>受泄按食伤有效力量与日主承载比较；泄身与克身机制不同，连续泄耗链还需服从源头容量。</x:v>
      </x:c>
      <x:c r="AA60" s="68" t="str">
        <x:v>正例：当“日主→食伤→财的连续路径在M08中有效”真实成立，且必要条件与增强条件同向时，按“食伤继续生财形成连续外泄时总耗泄需看链路有效性”记录对应旺衰证据。</x:v>
      </x:c>
      <x:c r="AB60" s="90" t="str">
        <x:v>反例：只有表面条件，但出现“禁止把泄与耗简单相加为固定分数”或关键有效性未成立时，不得套用本规则。</x:v>
      </x:c>
      <x:c r="AC60" s="68" t="str">
        <x:v>https://zh.wikisource.org/wiki/%E6%B7%B5%E6%B5%B7%E5%AD%90%E5%B9%B3%E5%A4%A7%E5%85%A8 ; https://zh.wikisource.org/wiki/%E6%BB%B4%E5%A4%A9%E9%AB%93%E9%97%A1%E5%BE%AE</x:v>
      </x:c>
      <x:c r="AD60" s="82" t="str">
        <x:v>采用</x:v>
      </x:c>
      <x:c r="AE60" s="82" t="str">
        <x:v>初审</x:v>
      </x:c>
      <x:c r="AF60" s="87" t="n">
        <x:v>46255</x:v>
      </x:c>
    </x:row>
    <x:row r="61">
      <x:c r="A61" s="72" t="str">
        <x:f>IF(OR(C61="",D61=""),"",B61&amp;"-"&amp;UPPER(C61)&amp;"-"&amp;TEXT(D61,"0000")&amp;"-"&amp;E61)</x:f>
        <x:v>M09-XIE-0055-V1.0</x:v>
      </x:c>
      <x:c r="B61" s="74" t="str">
        <x:v>M09</x:v>
      </x:c>
      <x:c r="C61" s="74" t="str">
        <x:v>XIE</x:v>
      </x:c>
      <x:c r="D61" s="79" t="n">
        <x:v>55</x:v>
      </x:c>
      <x:c r="E61" s="74" t="str">
        <x:v>V1.0</x:v>
      </x:c>
      <x:c r="F61" s="68" t="str">
        <x:v>泄身与克身性质不同但均属于负荷侧</x:v>
      </x:c>
      <x:c r="G61" s="82" t="str">
        <x:v>综合层</x:v>
      </x:c>
      <x:c r="H61" s="68" t="str">
        <x:v>受泄</x:v>
      </x:c>
      <x:c r="I61" s="68" t="str">
        <x:v>边界</x:v>
      </x:c>
      <x:c r="J61" s="68" t="str">
        <x:v>综合旺衰比较</x:v>
      </x:c>
      <x:c r="K61" s="68" t="str">
        <x:v>中</x:v>
      </x:c>
      <x:c r="L61" s="82" t="str">
        <x:v>中</x:v>
      </x:c>
      <x:c r="M61" s="68" t="str">
        <x:v>M08完成</x:v>
      </x:c>
      <x:c r="N61" s="68" t="str">
        <x:v>食伤与官杀已分别评估</x:v>
      </x:c>
      <x:c r="O61" s="68"/>
      <x:c r="P61" s="68"/>
      <x:c r="Q61" s="90" t="str">
        <x:v>禁止把泄与克完全等同或重复计算</x:v>
      </x:c>
      <x:c r="R61" s="68"/>
      <x:c r="S61" s="68" t="str">
        <x:v>泄偏向输出消耗，克偏向外部制约，二者作用机制不同</x:v>
      </x:c>
      <x:c r="T61" s="82" t="str">
        <x:v>是</x:v>
      </x:c>
      <x:c r="U61" s="82" t="str">
        <x:v>中和</x:v>
      </x:c>
      <x:c r="V61" s="84" t="str">
        <x:v>泄克分型</x:v>
      </x:c>
      <x:c r="W61" s="84" t="str">
        <x:v>受泄与受制均会降低日主相对力量，但机制不同，必须分项记录后再综合。</x:v>
      </x:c>
      <x:c r="X61" s="82" t="str">
        <x:v>较高</x:v>
      </x:c>
      <x:c r="Y61" s="82" t="str">
        <x:v>现代综合</x:v>
      </x:c>
      <x:c r="Z61" s="68" t="str">
        <x:v>受泄按食伤有效力量与日主承载比较；泄身与克身机制不同，连续泄耗链还需服从源头容量。</x:v>
      </x:c>
      <x:c r="AA61" s="68" t="str">
        <x:v>正例：当“综合旺衰比较”真实成立，且必要条件与增强条件同向时，按“泄身与克身性质不同但均属于负荷侧”记录对应旺衰证据。</x:v>
      </x:c>
      <x:c r="AB61" s="90" t="str">
        <x:v>反例：只有表面条件，但出现“禁止把泄与克完全等同或重复计算”或关键有效性未成立时，不得套用本规则。</x:v>
      </x:c>
      <x:c r="AC61" s="68" t="str">
        <x:v>https://zh.wikisource.org/wiki/%E6%B7%B5%E6%B5%B7%E5%AD%90%E5%B9%B3%E5%A4%A7%E5%85%A8 ; https://zh.wikisource.org/wiki/%E6%BB%B4%E5%A4%A9%E9%AB%93%E9%97%A1%E5%BE%AE</x:v>
      </x:c>
      <x:c r="AD61" s="82" t="str">
        <x:v>采用</x:v>
      </x:c>
      <x:c r="AE61" s="82" t="str">
        <x:v>初审</x:v>
      </x:c>
      <x:c r="AF61" s="87" t="n">
        <x:v>46255</x:v>
      </x:c>
    </x:row>
    <x:row r="62">
      <x:c r="A62" s="72" t="str">
        <x:f>IF(OR(C62="",D62=""),"",B62&amp;"-"&amp;UPPER(C62)&amp;"-"&amp;TEXT(D62,"0000")&amp;"-"&amp;E62)</x:f>
        <x:v>M09-XIE-0056-V1.0</x:v>
      </x:c>
      <x:c r="B62" s="74" t="str">
        <x:v>M09</x:v>
      </x:c>
      <x:c r="C62" s="74" t="str">
        <x:v>XIE</x:v>
      </x:c>
      <x:c r="D62" s="79" t="n">
        <x:v>56</x:v>
      </x:c>
      <x:c r="E62" s="74" t="str">
        <x:v>V1.0</x:v>
      </x:c>
      <x:c r="F62" s="68" t="str">
        <x:v>食伤过弱或通路不畅时只记录名义泄出</x:v>
      </x:c>
      <x:c r="G62" s="82" t="str">
        <x:v>综合层</x:v>
      </x:c>
      <x:c r="H62" s="68" t="str">
        <x:v>受泄</x:v>
      </x:c>
      <x:c r="I62" s="68" t="str">
        <x:v>中和约束</x:v>
      </x:c>
      <x:c r="J62" s="68" t="str">
        <x:v>食伤存在但无根、被阻或无法透达</x:v>
      </x:c>
      <x:c r="K62" s="68" t="str">
        <x:v>中</x:v>
      </x:c>
      <x:c r="L62" s="82" t="str">
        <x:v>弱</x:v>
      </x:c>
      <x:c r="M62" s="68" t="str">
        <x:v>M08完成</x:v>
      </x:c>
      <x:c r="N62" s="68" t="str">
        <x:v>有效性低</x:v>
      </x:c>
      <x:c r="O62" s="68"/>
      <x:c r="P62" s="68" t="str">
        <x:v>岁运引动另审</x:v>
      </x:c>
      <x:c r="Q62" s="90" t="str">
        <x:v>禁止把藏而不动的弱食伤视为强泄</x:v>
      </x:c>
      <x:c r="R62" s="68" t="str">
        <x:v>动态转D0</x:v>
      </x:c>
      <x:c r="S62" s="68" t="str">
        <x:v>名义存在不代表持续消耗</x:v>
      </x:c>
      <x:c r="T62" s="82" t="str">
        <x:v>是</x:v>
      </x:c>
      <x:c r="U62" s="82" t="str">
        <x:v>中和</x:v>
      </x:c>
      <x:c r="V62" s="84" t="str">
        <x:v>名义泄出</x:v>
      </x:c>
      <x:c r="W62" s="84" t="str">
        <x:v>食伤虽存在但有效性低，只构成轻度泄身证据，不足以主导日主旺衰。</x:v>
      </x:c>
      <x:c r="X62" s="82" t="str">
        <x:v>较高</x:v>
      </x:c>
      <x:c r="Y62" s="82" t="str">
        <x:v>现代综合</x:v>
      </x:c>
      <x:c r="Z62" s="68" t="str">
        <x:v>受泄按食伤有效力量与日主承载比较；泄身与克身机制不同，连续泄耗链还需服从源头容量。</x:v>
      </x:c>
      <x:c r="AA62" s="68" t="str">
        <x:v>正例：当“食伤存在但无根、被阻或无法透达”真实成立，且必要条件与增强条件同向时，按“食伤过弱或通路不畅时只记录名义泄出”记录对应旺衰证据。</x:v>
      </x:c>
      <x:c r="AB62" s="90" t="str">
        <x:v>反例：只有表面条件，但出现“禁止把藏而不动的弱食伤视为强泄”或关键有效性未成立时，不得套用本规则。</x:v>
      </x:c>
      <x:c r="AC62" s="68" t="str">
        <x:v>https://zh.wikisource.org/wiki/%E6%B7%B5%E6%B5%B7%E5%AD%90%E5%B9%B3%E5%A4%A7%E5%85%A8 ; https://zh.wikisource.org/wiki/%E6%BB%B4%E5%A4%A9%E9%AB%93%E9%97%A1%E5%BE%AE</x:v>
      </x:c>
      <x:c r="AD62" s="82" t="str">
        <x:v>采用</x:v>
      </x:c>
      <x:c r="AE62" s="82" t="str">
        <x:v>初审</x:v>
      </x:c>
      <x:c r="AF62" s="87" t="n">
        <x:v>46255</x:v>
      </x:c>
    </x:row>
    <x:row r="63">
      <x:c r="A63" s="72" t="str">
        <x:f>IF(OR(C63="",D63=""),"",B63&amp;"-"&amp;UPPER(C63)&amp;"-"&amp;TEXT(D63,"0000")&amp;"-"&amp;E63)</x:f>
        <x:v>M09-HAO-0057-V1.0</x:v>
      </x:c>
      <x:c r="B63" s="74" t="str">
        <x:v>M09</x:v>
      </x:c>
      <x:c r="C63" s="74" t="str">
        <x:v>HAO</x:v>
      </x:c>
      <x:c r="D63" s="79" t="n">
        <x:v>57</x:v>
      </x:c>
      <x:c r="E63" s="74" t="str">
        <x:v>V1.0</x:v>
      </x:c>
      <x:c r="F63" s="68" t="str">
        <x:v>有效财星构成日主主动耗力证据</x:v>
      </x:c>
      <x:c r="G63" s="82" t="str">
        <x:v>综合层</x:v>
      </x:c>
      <x:c r="H63" s="68" t="str">
        <x:v>受耗</x:v>
      </x:c>
      <x:c r="I63" s="68" t="str">
        <x:v>支持偏弱</x:v>
      </x:c>
      <x:c r="J63" s="68" t="str">
        <x:v>M08确认日主所克五行有效且能形成持续承载对象</x:v>
      </x:c>
      <x:c r="K63" s="68" t="str">
        <x:v>中高</x:v>
      </x:c>
      <x:c r="L63" s="82" t="str">
        <x:v>中</x:v>
      </x:c>
      <x:c r="M63" s="68" t="str">
        <x:v>M08完成</x:v>
      </x:c>
      <x:c r="N63" s="68" t="str">
        <x:v>财星有效</x:v>
      </x:c>
      <x:c r="O63" s="68" t="str">
        <x:v>财得令成势且日主主动克制通路明确</x:v>
      </x:c>
      <x:c r="P63" s="68" t="str">
        <x:v>财弱、被比劫制或被合化</x:v>
      </x:c>
      <x:c r="Q63" s="90" t="str">
        <x:v>禁止财星一出现就按强耗身</x:v>
      </x:c>
      <x:c r="R63" s="68" t="str">
        <x:v>财星功能转M10</x:v>
      </x:c>
      <x:c r="S63" s="68" t="str">
        <x:v>财越旺而日主越弱，耗身压力越明显</x:v>
      </x:c>
      <x:c r="T63" s="82" t="str">
        <x:v>否</x:v>
      </x:c>
      <x:c r="U63" s="82" t="str">
        <x:v>中和偏弱</x:v>
      </x:c>
      <x:c r="V63" s="84" t="str">
        <x:v>财星耗身</x:v>
      </x:c>
      <x:c r="W63" s="84" t="str">
        <x:v>有效财星会占用日主克制与承载能力，是偏弱证据之一。</x:v>
      </x:c>
      <x:c r="X63" s="82" t="str">
        <x:v>较高</x:v>
      </x:c>
      <x:c r="Y63" s="82" t="str">
        <x:v>现代综合</x:v>
      </x:c>
      <x:c r="Z63" s="68" t="str">
        <x:v>受耗按财星有效力量及日主主动克制的持续负荷判断；财星存在、财旺与实际耗身必须分开。</x:v>
      </x:c>
      <x:c r="AA63" s="68" t="str">
        <x:v>正例：当“M08确认日主所克五行有效且能形成持续承载对象”真实成立，且必要条件与增强条件同向时，按“有效财星构成日主主动耗力证据”记录对应旺衰证据。</x:v>
      </x:c>
      <x:c r="AB63" s="90" t="str">
        <x:v>反例：只有表面条件，但出现“禁止财星一出现就按强耗身”或关键有效性未成立时，不得套用本规则。</x:v>
      </x:c>
      <x:c r="AC63" s="68" t="str">
        <x:v>https://zh.wikisource.org/wiki/%E6%B7%B5%E6%B5%B7%E5%AD%90%E5%B9%B3%E5%A4%A7%E5%85%A8 ; https://zh.wikisource.org/wiki/%E6%BB%B4%E5%A4%A9%E9%AB%93%E9%97%A1%E5%BE%AE</x:v>
      </x:c>
      <x:c r="AD63" s="82" t="str">
        <x:v>采用</x:v>
      </x:c>
      <x:c r="AE63" s="82" t="str">
        <x:v>初审</x:v>
      </x:c>
      <x:c r="AF63" s="87" t="n">
        <x:v>46255</x:v>
      </x:c>
    </x:row>
    <x:row r="64">
      <x:c r="A64" s="72" t="str">
        <x:f>IF(OR(C64="",D64=""),"",B64&amp;"-"&amp;UPPER(C64)&amp;"-"&amp;TEXT(D64,"0000")&amp;"-"&amp;E64)</x:f>
        <x:v>M09-HAO-0058-V1.0</x:v>
      </x:c>
      <x:c r="B64" s="74" t="str">
        <x:v>M09</x:v>
      </x:c>
      <x:c r="C64" s="74" t="str">
        <x:v>HAO</x:v>
      </x:c>
      <x:c r="D64" s="79" t="n">
        <x:v>58</x:v>
      </x:c>
      <x:c r="E64" s="74" t="str">
        <x:v>V1.0</x:v>
      </x:c>
      <x:c r="F64" s="68" t="str">
        <x:v>财星成势而日主根弱时耗身影响显著</x:v>
      </x:c>
      <x:c r="G64" s="82" t="str">
        <x:v>综合层</x:v>
      </x:c>
      <x:c r="H64" s="68" t="str">
        <x:v>受耗</x:v>
      </x:c>
      <x:c r="I64" s="68" t="str">
        <x:v>支持偏弱</x:v>
      </x:c>
      <x:c r="J64" s="68" t="str">
        <x:v>财星旺/极旺且日主有效根弱</x:v>
      </x:c>
      <x:c r="K64" s="68" t="str">
        <x:v>高</x:v>
      </x:c>
      <x:c r="L64" s="82" t="str">
        <x:v>强</x:v>
      </x:c>
      <x:c r="M64" s="68" t="str">
        <x:v>M08完成</x:v>
      </x:c>
      <x:c r="N64" s="68" t="str">
        <x:v>财星可被日主作用且未受强比劫分担</x:v>
      </x:c>
      <x:c r="O64" s="68" t="str">
        <x:v>同时食伤生财</x:v>
      </x:c>
      <x:c r="P64" s="68" t="str">
        <x:v>财受制或日主有强印比</x:v>
      </x:c>
      <x:c r="Q64" s="90" t="str">
        <x:v>禁止直接从财旺推出富贵或喜忌</x:v>
      </x:c>
      <x:c r="R64" s="68" t="str">
        <x:v>从财候选转M14</x:v>
      </x:c>
      <x:c r="S64" s="68" t="str">
        <x:v>极端财势可能使日主进入弱/极弱候选</x:v>
      </x:c>
      <x:c r="T64" s="82" t="str">
        <x:v>否</x:v>
      </x:c>
      <x:c r="U64" s="82" t="str">
        <x:v>弱</x:v>
      </x:c>
      <x:c r="V64" s="84" t="str">
        <x:v>财旺耗身</x:v>
      </x:c>
      <x:c r="W64" s="84" t="str">
        <x:v>财星有效成势而日主承载弱时，耗身可成为重要负荷。</x:v>
      </x:c>
      <x:c r="X64" s="82" t="str">
        <x:v>较高</x:v>
      </x:c>
      <x:c r="Y64" s="82" t="str">
        <x:v>现代综合</x:v>
      </x:c>
      <x:c r="Z64" s="68" t="str">
        <x:v>受耗按财星有效力量及日主主动克制的持续负荷判断；财星存在、财旺与实际耗身必须分开。</x:v>
      </x:c>
      <x:c r="AA64" s="68" t="str">
        <x:v>正例：当“财星旺/极旺且日主有效根弱”真实成立，且必要条件与增强条件同向时，按“财星成势而日主根弱时耗身影响显著”记录对应旺衰证据。</x:v>
      </x:c>
      <x:c r="AB64" s="90" t="str">
        <x:v>反例：只有表面条件，但出现“禁止直接从财旺推出富贵或喜忌”或关键有效性未成立时，不得套用本规则。</x:v>
      </x:c>
      <x:c r="AC64" s="68" t="str">
        <x:v>https://zh.wikisource.org/wiki/%E6%B7%B5%E6%B5%B7%E5%AD%90%E5%B9%B3%E5%A4%A7%E5%85%A8 ; https://zh.wikisource.org/wiki/%E6%BB%B4%E5%A4%A9%E9%AB%93%E9%97%A1%E5%BE%AE</x:v>
      </x:c>
      <x:c r="AD64" s="82" t="str">
        <x:v>采用</x:v>
      </x:c>
      <x:c r="AE64" s="82" t="str">
        <x:v>初审</x:v>
      </x:c>
      <x:c r="AF64" s="87" t="n">
        <x:v>46255</x:v>
      </x:c>
    </x:row>
    <x:row r="65">
      <x:c r="A65" s="72" t="str">
        <x:f>IF(OR(C65="",D65=""),"",B65&amp;"-"&amp;UPPER(C65)&amp;"-"&amp;TEXT(D65,"0000")&amp;"-"&amp;E65)</x:f>
        <x:v>M09-HAO-0059-V1.0</x:v>
      </x:c>
      <x:c r="B65" s="74" t="str">
        <x:v>M09</x:v>
      </x:c>
      <x:c r="C65" s="74" t="str">
        <x:v>HAO</x:v>
      </x:c>
      <x:c r="D65" s="79" t="n">
        <x:v>59</x:v>
      </x:c>
      <x:c r="E65" s="74" t="str">
        <x:v>V1.0</x:v>
      </x:c>
      <x:c r="F65" s="68" t="str">
        <x:v>财星弱或受比劫制约时耗身证据下调</x:v>
      </x:c>
      <x:c r="G65" s="82" t="str">
        <x:v>综合层</x:v>
      </x:c>
      <x:c r="H65" s="68" t="str">
        <x:v>受耗</x:v>
      </x:c>
      <x:c r="I65" s="68" t="str">
        <x:v>减弱偏弱证据</x:v>
      </x:c>
      <x:c r="J65" s="68" t="str">
        <x:v>财星原有但M08判弱、受制或失效</x:v>
      </x:c>
      <x:c r="K65" s="68" t="str">
        <x:v>中高</x:v>
      </x:c>
      <x:c r="L65" s="82" t="str">
        <x:v>中</x:v>
      </x:c>
      <x:c r="M65" s="68" t="str">
        <x:v>M08完成</x:v>
      </x:c>
      <x:c r="N65" s="68" t="str">
        <x:v>财有效性已修正</x:v>
      </x:c>
      <x:c r="O65" s="68"/>
      <x:c r="P65" s="68" t="str">
        <x:v>财另有独立强根</x:v>
      </x:c>
      <x:c r="Q65" s="90" t="str">
        <x:v>禁止仍按原始财量满额耗身</x:v>
      </x:c>
      <x:c r="R65" s="68" t="str">
        <x:v>十神关系转M10/M11</x:v>
      </x:c>
      <x:c r="S65" s="68" t="str">
        <x:v>剩余财力越低，日主耗力越少</x:v>
      </x:c>
      <x:c r="T65" s="82" t="str">
        <x:v>是</x:v>
      </x:c>
      <x:c r="U65" s="82" t="str">
        <x:v>中和</x:v>
      </x:c>
      <x:c r="V65" s="84" t="str">
        <x:v>财耗修正</x:v>
      </x:c>
      <x:c r="W65" s="84" t="str">
        <x:v>财星实际有效性低，日主耗身压力相应下调。</x:v>
      </x:c>
      <x:c r="X65" s="82" t="str">
        <x:v>较高</x:v>
      </x:c>
      <x:c r="Y65" s="82" t="str">
        <x:v>现代综合</x:v>
      </x:c>
      <x:c r="Z65" s="68" t="str">
        <x:v>受耗按财星有效力量及日主主动克制的持续负荷判断；财星存在、财旺与实际耗身必须分开。</x:v>
      </x:c>
      <x:c r="AA65" s="68" t="str">
        <x:v>正例：当“财星原有但M08判弱、受制或失效”真实成立，且必要条件与增强条件同向时，按“财星弱或受比劫制约时耗身证据下调”记录对应旺衰证据。</x:v>
      </x:c>
      <x:c r="AB65" s="90" t="str">
        <x:v>反例：只有表面条件，但出现“禁止仍按原始财量满额耗身”或关键有效性未成立时，不得套用本规则。</x:v>
      </x:c>
      <x:c r="AC65" s="68" t="str">
        <x:v>https://zh.wikisource.org/wiki/%E6%B7%B5%E6%B5%B7%E5%AD%90%E5%B9%B3%E5%A4%A7%E5%85%A8 ; https://zh.wikisource.org/wiki/%E6%BB%B4%E5%A4%A9%E9%AB%93%E9%97%A1%E5%BE%AE</x:v>
      </x:c>
      <x:c r="AD65" s="82" t="str">
        <x:v>采用</x:v>
      </x:c>
      <x:c r="AE65" s="82" t="str">
        <x:v>初审</x:v>
      </x:c>
      <x:c r="AF65" s="87" t="n">
        <x:v>46255</x:v>
      </x:c>
    </x:row>
    <x:row r="66">
      <x:c r="A66" s="72" t="str">
        <x:f>IF(OR(C66="",D66=""),"",B66&amp;"-"&amp;UPPER(C66)&amp;"-"&amp;TEXT(D66,"0000")&amp;"-"&amp;E66)</x:f>
        <x:v>M09-HAO-0060-V1.0</x:v>
      </x:c>
      <x:c r="B66" s="74" t="str">
        <x:v>M09</x:v>
      </x:c>
      <x:c r="C66" s="74" t="str">
        <x:v>HAO</x:v>
      </x:c>
      <x:c r="D66" s="79" t="n">
        <x:v>60</x:v>
      </x:c>
      <x:c r="E66" s="74" t="str">
        <x:v>V1.0</x:v>
      </x:c>
      <x:c r="F66" s="68" t="str">
        <x:v>强旺日主可任一定财而不必转弱</x:v>
      </x:c>
      <x:c r="G66" s="82" t="str">
        <x:v>综合层</x:v>
      </x:c>
      <x:c r="H66" s="68" t="str">
        <x:v>受耗</x:v>
      </x:c>
      <x:c r="I66" s="68" t="str">
        <x:v>中和约束</x:v>
      </x:c>
      <x:c r="J66" s="68" t="str">
        <x:v>日主多根得势，财为中等有效</x:v>
      </x:c>
      <x:c r="K66" s="68" t="str">
        <x:v>中高</x:v>
      </x:c>
      <x:c r="L66" s="82" t="str">
        <x:v>中</x:v>
      </x:c>
      <x:c r="M66" s="68" t="str">
        <x:v>M08完成</x:v>
      </x:c>
      <x:c r="N66" s="68" t="str">
        <x:v>扶身侧明显</x:v>
      </x:c>
      <x:c r="O66" s="68" t="str">
        <x:v>印比有续航</x:v>
      </x:c>
      <x:c r="P66" s="68" t="str">
        <x:v>财极旺且食伤持续生财</x:v>
      </x:c>
      <x:c r="Q66" s="90" t="str">
        <x:v>禁止“财多=身弱”的单句判断</x:v>
      </x:c>
      <x:c r="R66" s="68" t="str">
        <x:v>身财两停等组合转M11</x:v>
      </x:c>
      <x:c r="S66" s="68" t="str">
        <x:v>日主强时财耗可能只降低过旺程度</x:v>
      </x:c>
      <x:c r="T66" s="82" t="str">
        <x:v>否</x:v>
      </x:c>
      <x:c r="U66" s="82" t="str">
        <x:v>中和偏旺</x:v>
      </x:c>
      <x:c r="V66" s="84" t="str">
        <x:v>强身任财</x:v>
      </x:c>
      <x:c r="W66" s="84" t="str">
        <x:v>日主根深得势时可承受一定财星耗力，不因有财就直接判弱。</x:v>
      </x:c>
      <x:c r="X66" s="82" t="str">
        <x:v>较高</x:v>
      </x:c>
      <x:c r="Y66" s="82" t="str">
        <x:v>现代综合</x:v>
      </x:c>
      <x:c r="Z66" s="68" t="str">
        <x:v>受耗按财星有效力量及日主主动克制的持续负荷判断；财星存在、财旺与实际耗身必须分开。</x:v>
      </x:c>
      <x:c r="AA66" s="68" t="str">
        <x:v>正例：当“日主多根得势，财为中等有效”真实成立，且必要条件与增强条件同向时，按“强旺日主可任一定财而不必转弱”记录对应旺衰证据。</x:v>
      </x:c>
      <x:c r="AB66" s="90" t="str">
        <x:v>反例：只有表面条件，但出现“禁止“财多=身弱”的单句判断”或关键有效性未成立时，不得套用本规则。</x:v>
      </x:c>
      <x:c r="AC66" s="68" t="str">
        <x:v>https://zh.wikisource.org/wiki/%E6%B7%B5%E6%B5%B7%E5%AD%90%E5%B9%B3%E5%A4%A7%E5%85%A8 ; https://zh.wikisource.org/wiki/%E6%BB%B4%E5%A4%A9%E9%AB%93%E9%97%A1%E5%BE%AE</x:v>
      </x:c>
      <x:c r="AD66" s="82" t="str">
        <x:v>采用</x:v>
      </x:c>
      <x:c r="AE66" s="82" t="str">
        <x:v>初审</x:v>
      </x:c>
      <x:c r="AF66" s="87" t="n">
        <x:v>46255</x:v>
      </x:c>
    </x:row>
    <x:row r="67">
      <x:c r="A67" s="72" t="str">
        <x:f>IF(OR(C67="",D67=""),"",B67&amp;"-"&amp;UPPER(C67)&amp;"-"&amp;TEXT(D67,"0000")&amp;"-"&amp;E67)</x:f>
        <x:v>M09-HAO-0061-V1.0</x:v>
      </x:c>
      <x:c r="B67" s="74" t="str">
        <x:v>M09</x:v>
      </x:c>
      <x:c r="C67" s="74" t="str">
        <x:v>HAO</x:v>
      </x:c>
      <x:c r="D67" s="79" t="n">
        <x:v>61</x:v>
      </x:c>
      <x:c r="E67" s="74" t="str">
        <x:v>V1.0</x:v>
      </x:c>
      <x:c r="F67" s="68" t="str">
        <x:v>财耗与食伤生财共享同一外泄链时需去重</x:v>
      </x:c>
      <x:c r="G67" s="82" t="str">
        <x:v>综合层</x:v>
      </x:c>
      <x:c r="H67" s="68" t="str">
        <x:v>受耗</x:v>
      </x:c>
      <x:c r="I67" s="68" t="str">
        <x:v>证据去重</x:v>
      </x:c>
      <x:c r="J67" s="68" t="str">
        <x:v>同一食伤→财链同时被记录为泄身和耗身</x:v>
      </x:c>
      <x:c r="K67" s="68" t="str">
        <x:v>高</x:v>
      </x:c>
      <x:c r="L67" s="82" t="str">
        <x:v>中</x:v>
      </x:c>
      <x:c r="M67" s="68" t="str">
        <x:v>M08完成</x:v>
      </x:c>
      <x:c r="N67" s="68" t="str">
        <x:v>属于同一连续路径</x:v>
      </x:c>
      <x:c r="O67" s="68" t="str">
        <x:v>另有独立财源或独立食伤</x:v>
      </x:c>
      <x:c r="P67" s="68"/>
      <x:c r="Q67" s="90" t="str">
        <x:v>禁止把同一股力量按泄与耗重复全额累加</x:v>
      </x:c>
      <x:c r="R67" s="68" t="str">
        <x:v>M12可进一步描述链路</x:v>
      </x:c>
      <x:c r="S67" s="68" t="str">
        <x:v>连续链可加重外泄，但总容量受源头限制</x:v>
      </x:c>
      <x:c r="T67" s="82" t="str">
        <x:v>是</x:v>
      </x:c>
      <x:c r="U67" s="82" t="str">
        <x:v>中和偏弱</x:v>
      </x:c>
      <x:c r="V67" s="84" t="str">
        <x:v>泄耗链去重</x:v>
      </x:c>
      <x:c r="W67" s="84" t="str">
        <x:v>同一食伤生财链可说明连续外泄，但泄与耗不得脱离源头容量重复满额计权。</x:v>
      </x:c>
      <x:c r="X67" s="82" t="str">
        <x:v>较高</x:v>
      </x:c>
      <x:c r="Y67" s="82" t="str">
        <x:v>现代综合</x:v>
      </x:c>
      <x:c r="Z67" s="68" t="str">
        <x:v>受耗按财星有效力量及日主主动克制的持续负荷判断；财星存在、财旺与实际耗身必须分开。</x:v>
      </x:c>
      <x:c r="AA67" s="68" t="str">
        <x:v>正例：当“同一食伤→财链同时被记录为泄身和耗身”真实成立，且必要条件与增强条件同向时，按“财耗与食伤生财共享同一外泄链时需去重”记录对应旺衰证据。</x:v>
      </x:c>
      <x:c r="AB67" s="90" t="str">
        <x:v>反例：只有表面条件，但出现“禁止把同一股力量按泄与耗重复全额累加”或关键有效性未成立时，不得套用本规则。</x:v>
      </x:c>
      <x:c r="AC67" s="68" t="str">
        <x:v>https://zh.wikisource.org/wiki/%E6%B7%B5%E6%B5%B7%E5%AD%90%E5%B9%B3%E5%A4%A7%E5%85%A8 ; https://zh.wikisource.org/wiki/%E6%BB%B4%E5%A4%A9%E9%AB%93%E9%97%A1%E5%BE%AE</x:v>
      </x:c>
      <x:c r="AD67" s="82" t="str">
        <x:v>采用</x:v>
      </x:c>
      <x:c r="AE67" s="82" t="str">
        <x:v>初审</x:v>
      </x:c>
      <x:c r="AF67" s="87" t="n">
        <x:v>46255</x:v>
      </x:c>
    </x:row>
    <x:row r="68">
      <x:c r="A68" s="72" t="str">
        <x:f>IF(OR(C68="",D68=""),"",B68&amp;"-"&amp;UPPER(C68)&amp;"-"&amp;TEXT(D68,"0000")&amp;"-"&amp;E68)</x:f>
        <x:v>M09-HAO-0062-V1.0</x:v>
      </x:c>
      <x:c r="B68" s="74" t="str">
        <x:v>M09</x:v>
      </x:c>
      <x:c r="C68" s="74" t="str">
        <x:v>HAO</x:v>
      </x:c>
      <x:c r="D68" s="79" t="n">
        <x:v>62</x:v>
      </x:c>
      <x:c r="E68" s="74" t="str">
        <x:v>V1.0</x:v>
      </x:c>
      <x:c r="F68" s="68" t="str">
        <x:v>财官食伤多不等于日主必弱</x:v>
      </x:c>
      <x:c r="G68" s="82" t="str">
        <x:v>综合层</x:v>
      </x:c>
      <x:c r="H68" s="68" t="str">
        <x:v>受耗</x:v>
      </x:c>
      <x:c r="I68" s="68" t="str">
        <x:v>边界</x:v>
      </x:c>
      <x:c r="J68" s="68" t="str">
        <x:v>财、官杀、食伤类别或数量较多</x:v>
      </x:c>
      <x:c r="K68" s="68" t="str">
        <x:v>高</x:v>
      </x:c>
      <x:c r="L68" s="82" t="str">
        <x:v>决定性</x:v>
      </x:c>
      <x:c r="M68" s="68" t="str">
        <x:v>M08完成</x:v>
      </x:c>
      <x:c r="N68" s="68" t="str">
        <x:v>分别评估三类有效力量与通路</x:v>
      </x:c>
      <x:c r="O68" s="68" t="str">
        <x:v>三类都强且日主承载弱</x:v>
      </x:c>
      <x:c r="P68" s="68" t="str">
        <x:v>多而弱、被制化或互相转流</x:v>
      </x:c>
      <x:c r="Q68" s="90" t="str">
        <x:v>禁止按十神类别数量直接判弱</x:v>
      </x:c>
      <x:c r="R68" s="68" t="str">
        <x:v>格局与组合转M10-M15</x:v>
      </x:c>
      <x:c r="S68" s="68" t="str">
        <x:v>只有实际制泄耗合力超过扶身侧时才形成身弱</x:v>
      </x:c>
      <x:c r="T68" s="82" t="str">
        <x:v>否</x:v>
      </x:c>
      <x:c r="U68" s="82" t="str">
        <x:v>中和</x:v>
      </x:c>
      <x:c r="V68" s="84" t="str">
        <x:v>多负荷非弱充分条件</x:v>
      </x:c>
      <x:c r="W68" s="84" t="str">
        <x:v>财官食伤多只是负荷候选；是否身弱取决于它们的有效力量、通路与日主承载。</x:v>
      </x:c>
      <x:c r="X68" s="82" t="str">
        <x:v>较高</x:v>
      </x:c>
      <x:c r="Y68" s="82" t="str">
        <x:v>现代综合</x:v>
      </x:c>
      <x:c r="Z68" s="68" t="str">
        <x:v>受耗按财星有效力量及日主主动克制的持续负荷判断；财星存在、财旺与实际耗身必须分开。</x:v>
      </x:c>
      <x:c r="AA68" s="68" t="str">
        <x:v>正例：当“财、官杀、食伤类别或数量较多”真实成立，且必要条件与增强条件同向时，按“财官食伤多不等于日主必弱”记录对应旺衰证据。</x:v>
      </x:c>
      <x:c r="AB68" s="90" t="str">
        <x:v>反例：只有表面条件，但出现“禁止按十神类别数量直接判弱”或关键有效性未成立时，不得套用本规则。</x:v>
      </x:c>
      <x:c r="AC68" s="68" t="str">
        <x:v>https://zh.wikisource.org/wiki/%E6%B7%B5%E6%B5%B7%E5%AD%90%E5%B9%B3%E5%A4%A7%E5%85%A8 ; https://zh.wikisource.org/wiki/%E6%BB%B4%E5%A4%A9%E9%AB%93%E9%97%A1%E5%BE%AE</x:v>
      </x:c>
      <x:c r="AD68" s="82" t="str">
        <x:v>采用</x:v>
      </x:c>
      <x:c r="AE68" s="82" t="str">
        <x:v>初审</x:v>
      </x:c>
      <x:c r="AF68" s="87" t="n">
        <x:v>46255</x:v>
      </x:c>
    </x:row>
    <x:row r="69">
      <x:c r="A69" s="72" t="str">
        <x:f>IF(OR(C69="",D69=""),"",B69&amp;"-"&amp;UPPER(C69)&amp;"-"&amp;TEXT(D69,"0000")&amp;"-"&amp;E69)</x:f>
        <x:v>M09-SYN-0063-V1.0</x:v>
      </x:c>
      <x:c r="B69" s="74" t="str">
        <x:v>M09</x:v>
      </x:c>
      <x:c r="C69" s="74" t="str">
        <x:v>SYN</x:v>
      </x:c>
      <x:c r="D69" s="79" t="n">
        <x:v>63</x:v>
      </x:c>
      <x:c r="E69" s="74" t="str">
        <x:v>V1.0</x:v>
      </x:c>
      <x:c r="F69" s="68" t="str">
        <x:v>日主旺衰先分扶身侧与负荷侧再比较净优势</x:v>
      </x:c>
      <x:c r="G69" s="82" t="str">
        <x:v>综合层</x:v>
      </x:c>
      <x:c r="H69" s="68" t="str">
        <x:v>综合比较</x:v>
      </x:c>
      <x:c r="I69" s="68" t="str">
        <x:v>双向</x:v>
      </x:c>
      <x:c r="J69" s="68" t="str">
        <x:v>扶身侧包括有效根、比劫、印；负荷侧包括有效官杀、食伤、财</x:v>
      </x:c>
      <x:c r="K69" s="68" t="str">
        <x:v>高</x:v>
      </x:c>
      <x:c r="L69" s="82" t="str">
        <x:v>决定性</x:v>
      </x:c>
      <x:c r="M69" s="68" t="str">
        <x:v>M03/M08完成</x:v>
      </x:c>
      <x:c r="N69" s="68" t="str">
        <x:v>各分项均已按有效性修正</x:v>
      </x:c>
      <x:c r="O69" s="68" t="str">
        <x:v>一侧多维强证据同向</x:v>
      </x:c>
      <x:c r="P69" s="68" t="str">
        <x:v>双方证据高度冲突</x:v>
      </x:c>
      <x:c r="Q69" s="90" t="str">
        <x:v>禁止使用原始数量代替有效净优势</x:v>
      </x:c>
      <x:c r="R69" s="68" t="str">
        <x:v>特殊格局转M14</x:v>
      </x:c>
      <x:c r="S69" s="68" t="str">
        <x:v>净优势小则落在中和附近，净优势大才进入旺/弱</x:v>
      </x:c>
      <x:c r="T69" s="82" t="str">
        <x:v>否</x:v>
      </x:c>
      <x:c r="U69" s="82" t="str">
        <x:v>中和</x:v>
      </x:c>
      <x:c r="V69" s="84" t="str">
        <x:v>双侧净优势</x:v>
      </x:c>
      <x:c r="W69" s="84" t="str">
        <x:v>日主旺衰以扶身侧与制泄耗侧的有效净优势裁定，而非按元素数量投票。</x:v>
      </x:c>
      <x:c r="X69" s="82" t="str">
        <x:v>较高</x:v>
      </x:c>
      <x:c r="Y69" s="82" t="str">
        <x:v>现代综合</x:v>
      </x:c>
      <x:c r="Z69" s="68" t="str">
        <x:v>综合裁定比较扶身侧与负荷侧的有效净优势，采用强证据优先、同源去重、反证保留和冲突降置信。</x:v>
      </x:c>
      <x:c r="AA69" s="68" t="str">
        <x:v>正例：当“扶身侧包括有效根、比劫、印；负荷侧包括有效官杀、食伤、财”真实成立，且必要条件与增强条件同向时，按“日主旺衰先分扶身侧与负荷侧再比较净优势”记录对应旺衰证据。</x:v>
      </x:c>
      <x:c r="AB69" s="90" t="str">
        <x:v>反例：只有表面条件，但出现“禁止使用原始数量代替有效净优势”或关键有效性未成立时，不得套用本规则。</x:v>
      </x:c>
      <x:c r="AC69" s="68" t="str">
        <x:v>https://zh.wikisource.org/wiki/%E6%B7%B5%E6%B5%B7%E5%AD%90%E5%B9%B3%E5%A4%A7%E5%85%A8 ; https://zh.wikisource.org/wiki/%E6%BB%B4%E5%A4%A9%E9%AB%93%E9%97%A1%E5%BE%AE</x:v>
      </x:c>
      <x:c r="AD69" s="82" t="str">
        <x:v>采用</x:v>
      </x:c>
      <x:c r="AE69" s="82" t="str">
        <x:v>初审</x:v>
      </x:c>
      <x:c r="AF69" s="87" t="n">
        <x:v>46255</x:v>
      </x:c>
    </x:row>
    <x:row r="70">
      <x:c r="A70" s="72" t="str">
        <x:f>IF(OR(C70="",D70=""),"",B70&amp;"-"&amp;UPPER(C70)&amp;"-"&amp;TEXT(D70,"0000")&amp;"-"&amp;E70)</x:f>
        <x:v>M09-SYN-0064-V1.0</x:v>
      </x:c>
      <x:c r="B70" s="74" t="str">
        <x:v>M09</x:v>
      </x:c>
      <x:c r="C70" s="74" t="str">
        <x:v>SYN</x:v>
      </x:c>
      <x:c r="D70" s="79" t="n">
        <x:v>64</x:v>
      </x:c>
      <x:c r="E70" s="74" t="str">
        <x:v>V1.0</x:v>
      </x:c>
      <x:c r="F70" s="68" t="str">
        <x:v>扶身侧必须包含日主自身承载而不只统计印比</x:v>
      </x:c>
      <x:c r="G70" s="82" t="str">
        <x:v>综合层</x:v>
      </x:c>
      <x:c r="H70" s="68" t="str">
        <x:v>综合比较</x:v>
      </x:c>
      <x:c r="I70" s="68" t="str">
        <x:v>支持偏旺</x:v>
      </x:c>
      <x:c r="J70" s="68" t="str">
        <x:v>评估日主扶身侧</x:v>
      </x:c>
      <x:c r="K70" s="68" t="str">
        <x:v>高</x:v>
      </x:c>
      <x:c r="L70" s="82" t="str">
        <x:v>强</x:v>
      </x:c>
      <x:c r="M70" s="68" t="str">
        <x:v>M08完成</x:v>
      </x:c>
      <x:c r="N70" s="68" t="str">
        <x:v>至少纳入有效根气</x:v>
      </x:c>
      <x:c r="O70" s="68" t="str">
        <x:v>多根且印比有效</x:v>
      </x:c>
      <x:c r="P70" s="68" t="str">
        <x:v>日主无根而印比浮弱</x:v>
      </x:c>
      <x:c r="Q70" s="90" t="str">
        <x:v>禁止只把印比数量当日主力量</x:v>
      </x:c>
      <x:c r="R70" s="68"/>
      <x:c r="S70" s="68" t="str">
        <x:v>根气决定扶持能否落地与持续</x:v>
      </x:c>
      <x:c r="T70" s="82" t="str">
        <x:v>是</x:v>
      </x:c>
      <x:c r="U70" s="82" t="str">
        <x:v>中和偏旺</x:v>
      </x:c>
      <x:c r="V70" s="84" t="str">
        <x:v>承载纳入扶身</x:v>
      </x:c>
      <x:c r="W70" s="84" t="str">
        <x:v>扶身侧必须同时考虑日主有效根气与印比支持，不能只看外部帮扶。</x:v>
      </x:c>
      <x:c r="X70" s="82" t="str">
        <x:v>较高</x:v>
      </x:c>
      <x:c r="Y70" s="82" t="str">
        <x:v>现代综合</x:v>
      </x:c>
      <x:c r="Z70" s="68" t="str">
        <x:v>综合裁定比较扶身侧与负荷侧的有效净优势，采用强证据优先、同源去重、反证保留和冲突降置信。</x:v>
      </x:c>
      <x:c r="AA70" s="68" t="str">
        <x:v>正例：当“评估日主扶身侧”真实成立，且必要条件与增强条件同向时，按“扶身侧必须包含日主自身承载而不只统计印比”记录对应旺衰证据。</x:v>
      </x:c>
      <x:c r="AB70" s="90" t="str">
        <x:v>反例：只有表面条件，但出现“禁止只把印比数量当日主力量”或关键有效性未成立时，不得套用本规则。</x:v>
      </x:c>
      <x:c r="AC70" s="68" t="str">
        <x:v>https://zh.wikisource.org/wiki/%E6%B7%B5%E6%B5%B7%E5%AD%90%E5%B9%B3%E5%A4%A7%E5%85%A8 ; https://zh.wikisource.org/wiki/%E6%BB%B4%E5%A4%A9%E9%AB%93%E9%97%A1%E5%BE%AE</x:v>
      </x:c>
      <x:c r="AD70" s="82" t="str">
        <x:v>采用</x:v>
      </x:c>
      <x:c r="AE70" s="82" t="str">
        <x:v>初审</x:v>
      </x:c>
      <x:c r="AF70" s="87" t="n">
        <x:v>46255</x:v>
      </x:c>
    </x:row>
    <x:row r="71">
      <x:c r="A71" s="72" t="str">
        <x:f>IF(OR(C71="",D71=""),"",B71&amp;"-"&amp;UPPER(C71)&amp;"-"&amp;TEXT(D71,"0000")&amp;"-"&amp;E71)</x:f>
        <x:v>M09-SYN-0065-V1.0</x:v>
      </x:c>
      <x:c r="B71" s="74" t="str">
        <x:v>M09</x:v>
      </x:c>
      <x:c r="C71" s="74" t="str">
        <x:v>SYN</x:v>
      </x:c>
      <x:c r="D71" s="79" t="n">
        <x:v>65</x:v>
      </x:c>
      <x:c r="E71" s="74" t="str">
        <x:v>V1.0</x:v>
      </x:c>
      <x:c r="F71" s="68" t="str">
        <x:v>负荷侧三类力量必须按实际通路分别计算后再合并</x:v>
      </x:c>
      <x:c r="G71" s="82" t="str">
        <x:v>综合层</x:v>
      </x:c>
      <x:c r="H71" s="68" t="str">
        <x:v>综合比较</x:v>
      </x:c>
      <x:c r="I71" s="68" t="str">
        <x:v>支持偏弱</x:v>
      </x:c>
      <x:c r="J71" s="68" t="str">
        <x:v>官杀、食伤、财同时出现</x:v>
      </x:c>
      <x:c r="K71" s="68" t="str">
        <x:v>高</x:v>
      </x:c>
      <x:c r="L71" s="82" t="str">
        <x:v>强</x:v>
      </x:c>
      <x:c r="M71" s="68" t="str">
        <x:v>M08完成</x:v>
      </x:c>
      <x:c r="N71" s="68" t="str">
        <x:v>三类均已有有效性结论</x:v>
      </x:c>
      <x:c r="O71" s="68" t="str">
        <x:v>多条独立通路同时成立</x:v>
      </x:c>
      <x:c r="P71" s="68" t="str">
        <x:v>多类力量共享同一来源或互相制化</x:v>
      </x:c>
      <x:c r="Q71" s="90" t="str">
        <x:v>禁止简单相加固定分值</x:v>
      </x:c>
      <x:c r="R71" s="68" t="str">
        <x:v>组合制化转M11</x:v>
      </x:c>
      <x:c r="S71" s="68" t="str">
        <x:v>独立且有效的压力通路越多，偏弱证据越稳</x:v>
      </x:c>
      <x:c r="T71" s="82" t="str">
        <x:v>否</x:v>
      </x:c>
      <x:c r="U71" s="82" t="str">
        <x:v>中和偏弱</x:v>
      </x:c>
      <x:c r="V71" s="84" t="str">
        <x:v>多负荷合并</x:v>
      </x:c>
      <x:c r="W71" s="84" t="str">
        <x:v>受制、受泄、受耗应先分项判断，再按独立有效通路合并。</x:v>
      </x:c>
      <x:c r="X71" s="82" t="str">
        <x:v>较高</x:v>
      </x:c>
      <x:c r="Y71" s="82" t="str">
        <x:v>现代综合</x:v>
      </x:c>
      <x:c r="Z71" s="68" t="str">
        <x:v>综合裁定比较扶身侧与负荷侧的有效净优势，采用强证据优先、同源去重、反证保留和冲突降置信。</x:v>
      </x:c>
      <x:c r="AA71" s="68" t="str">
        <x:v>正例：当“官杀、食伤、财同时出现”真实成立，且必要条件与增强条件同向时，按“负荷侧三类力量必须按实际通路分别计算后再合并”记录对应旺衰证据。</x:v>
      </x:c>
      <x:c r="AB71" s="90" t="str">
        <x:v>反例：只有表面条件，但出现“禁止简单相加固定分值”或关键有效性未成立时，不得套用本规则。</x:v>
      </x:c>
      <x:c r="AC71" s="68" t="str">
        <x:v>https://zh.wikisource.org/wiki/%E6%B7%B5%E6%B5%B7%E5%AD%90%E5%B9%B3%E5%A4%A7%E5%85%A8 ; https://zh.wikisource.org/wiki/%E6%BB%B4%E5%A4%A9%E9%AB%93%E9%97%A1%E5%BE%AE</x:v>
      </x:c>
      <x:c r="AD71" s="82" t="str">
        <x:v>采用</x:v>
      </x:c>
      <x:c r="AE71" s="82" t="str">
        <x:v>初审</x:v>
      </x:c>
      <x:c r="AF71" s="87" t="n">
        <x:v>46255</x:v>
      </x:c>
    </x:row>
    <x:row r="72">
      <x:c r="A72" s="72" t="str">
        <x:f>IF(OR(C72="",D72=""),"",B72&amp;"-"&amp;UPPER(C72)&amp;"-"&amp;TEXT(D72,"0000")&amp;"-"&amp;E72)</x:f>
        <x:v>M09-SYN-0066-V1.0</x:v>
      </x:c>
      <x:c r="B72" s="74" t="str">
        <x:v>M09</x:v>
      </x:c>
      <x:c r="C72" s="74" t="str">
        <x:v>SYN</x:v>
      </x:c>
      <x:c r="D72" s="79" t="n">
        <x:v>66</x:v>
      </x:c>
      <x:c r="E72" s="74" t="str">
        <x:v>V1.0</x:v>
      </x:c>
      <x:c r="F72" s="68" t="str">
        <x:v>一个决定性强证据可压过多个微弱证据</x:v>
      </x:c>
      <x:c r="G72" s="82" t="str">
        <x:v>综合层</x:v>
      </x:c>
      <x:c r="H72" s="68" t="str">
        <x:v>综合比较</x:v>
      </x:c>
      <x:c r="I72" s="68" t="str">
        <x:v>证据质量优先</x:v>
      </x:c>
      <x:c r="J72" s="68" t="str">
        <x:v>一侧有决定性强证据，另一侧仅多个弱证据</x:v>
      </x:c>
      <x:c r="K72" s="68" t="str">
        <x:v>高</x:v>
      </x:c>
      <x:c r="L72" s="82" t="str">
        <x:v>强</x:v>
      </x:c>
      <x:c r="M72" s="68" t="str">
        <x:v>M08完成</x:v>
      </x:c>
      <x:c r="N72" s="68" t="str">
        <x:v>强证据来源独立且真实</x:v>
      </x:c>
      <x:c r="O72" s="68" t="str">
        <x:v>强证据另有同向支持</x:v>
      </x:c>
      <x:c r="P72" s="68" t="str">
        <x:v>对侧存在未识别的强根或强势</x:v>
      </x:c>
      <x:c r="Q72" s="90" t="str">
        <x:v>禁止按证据条数多数裁决</x:v>
      </x:c>
      <x:c r="R72" s="68" t="str">
        <x:v>极端边界降低置信度</x:v>
      </x:c>
      <x:c r="S72" s="68" t="str">
        <x:v>力量质量优先于证据数量</x:v>
      </x:c>
      <x:c r="T72" s="82" t="str">
        <x:v>否</x:v>
      </x:c>
      <x:c r="U72" s="82" t="str">
        <x:v>中和</x:v>
      </x:c>
      <x:c r="V72" s="84" t="str">
        <x:v>强证据优先</x:v>
      </x:c>
      <x:c r="W72" s="84" t="str">
        <x:v>旺衰裁定以有效强度优先；一个决定性证据可高于多个微弱证据。</x:v>
      </x:c>
      <x:c r="X72" s="82" t="str">
        <x:v>较高</x:v>
      </x:c>
      <x:c r="Y72" s="82" t="str">
        <x:v>现代综合</x:v>
      </x:c>
      <x:c r="Z72" s="68" t="str">
        <x:v>综合裁定比较扶身侧与负荷侧的有效净优势，采用强证据优先、同源去重、反证保留和冲突降置信。</x:v>
      </x:c>
      <x:c r="AA72" s="68" t="str">
        <x:v>正例：当“一侧有决定性强证据，另一侧仅多个弱证据”真实成立，且必要条件与增强条件同向时，按“一个决定性强证据可压过多个微弱证据”记录对应旺衰证据。</x:v>
      </x:c>
      <x:c r="AB72" s="90" t="str">
        <x:v>反例：只有表面条件，但出现“禁止按证据条数多数裁决”或关键有效性未成立时，不得套用本规则。</x:v>
      </x:c>
      <x:c r="AC72" s="68" t="str">
        <x:v>https://zh.wikisource.org/wiki/%E6%B7%B5%E6%B5%B7%E5%AD%90%E5%B9%B3%E5%A4%A7%E5%85%A8 ; https://zh.wikisource.org/wiki/%E6%BB%B4%E5%A4%A9%E9%AB%93%E9%97%A1%E5%BE%AE</x:v>
      </x:c>
      <x:c r="AD72" s="82" t="str">
        <x:v>采用</x:v>
      </x:c>
      <x:c r="AE72" s="82" t="str">
        <x:v>初审</x:v>
      </x:c>
      <x:c r="AF72" s="87" t="n">
        <x:v>46255</x:v>
      </x:c>
    </x:row>
    <x:row r="73">
      <x:c r="A73" s="72" t="str">
        <x:f>IF(OR(C73="",D73=""),"",B73&amp;"-"&amp;UPPER(C73)&amp;"-"&amp;TEXT(D73,"0000")&amp;"-"&amp;E73)</x:f>
        <x:v>M09-SYN-0067-V1.0</x:v>
      </x:c>
      <x:c r="B73" s="74" t="str">
        <x:v>M09</x:v>
      </x:c>
      <x:c r="C73" s="74" t="str">
        <x:v>SYN</x:v>
      </x:c>
      <x:c r="D73" s="79" t="n">
        <x:v>67</x:v>
      </x:c>
      <x:c r="E73" s="74" t="str">
        <x:v>V1.0</x:v>
      </x:c>
      <x:c r="F73" s="68" t="str">
        <x:v>同一干支节点跨维度出现时必须做证据容量去重</x:v>
      </x:c>
      <x:c r="G73" s="82" t="str">
        <x:v>综合层</x:v>
      </x:c>
      <x:c r="H73" s="68" t="str">
        <x:v>综合比较</x:v>
      </x:c>
      <x:c r="I73" s="68" t="str">
        <x:v>证据去重</x:v>
      </x:c>
      <x:c r="J73" s="68" t="str">
        <x:v>同一节点同时被记为得令、得地、得势或得生来源</x:v>
      </x:c>
      <x:c r="K73" s="68" t="str">
        <x:v>高</x:v>
      </x:c>
      <x:c r="L73" s="82" t="str">
        <x:v>决定性</x:v>
      </x:c>
      <x:c r="M73" s="68" t="str">
        <x:v>M03/M08完成</x:v>
      </x:c>
      <x:c r="N73" s="68" t="str">
        <x:v>确认事实来源相同</x:v>
      </x:c>
      <x:c r="O73" s="68" t="str">
        <x:v>另有独立节点</x:v>
      </x:c>
      <x:c r="P73" s="68"/>
      <x:c r="Q73" s="90" t="str">
        <x:v>禁止同一节点跨字段重复全额计权</x:v>
      </x:c>
      <x:c r="R73" s="68" t="str">
        <x:v>保留多标签用于解释</x:v>
      </x:c>
      <x:c r="S73" s="68" t="str">
        <x:v>去重后仍可保留其多重功能说明</x:v>
      </x:c>
      <x:c r="T73" s="82" t="str">
        <x:v>是</x:v>
      </x:c>
      <x:c r="U73" s="82" t="str">
        <x:v>中和</x:v>
      </x:c>
      <x:c r="V73" s="84" t="str">
        <x:v>跨维去重</x:v>
      </x:c>
      <x:c r="W73" s="84" t="str">
        <x:v>同一干支节点可有多重意义，但其力量容量不得在多个维度中重复全额使用。</x:v>
      </x:c>
      <x:c r="X73" s="82" t="str">
        <x:v>较高</x:v>
      </x:c>
      <x:c r="Y73" s="82" t="str">
        <x:v>现代综合</x:v>
      </x:c>
      <x:c r="Z73" s="68" t="str">
        <x:v>综合裁定比较扶身侧与负荷侧的有效净优势，采用强证据优先、同源去重、反证保留和冲突降置信。</x:v>
      </x:c>
      <x:c r="AA73" s="68" t="str">
        <x:v>正例：当“同一节点同时被记为得令、得地、得势或得生来源”真实成立，且必要条件与增强条件同向时，按“同一干支节点跨维度出现时必须做证据容量去重”记录对应旺衰证据。</x:v>
      </x:c>
      <x:c r="AB73" s="90" t="str">
        <x:v>反例：只有表面条件，但出现“禁止同一节点跨字段重复全额计权”或关键有效性未成立时，不得套用本规则。</x:v>
      </x:c>
      <x:c r="AC73" s="68" t="str">
        <x:v>https://zh.wikisource.org/wiki/%E6%B7%B5%E6%B5%B7%E5%AD%90%E5%B9%B3%E5%A4%A7%E5%85%A8 ; https://zh.wikisource.org/wiki/%E6%BB%B4%E5%A4%A9%E9%AB%93%E9%97%A1%E5%BE%AE</x:v>
      </x:c>
      <x:c r="AD73" s="82" t="str">
        <x:v>采用</x:v>
      </x:c>
      <x:c r="AE73" s="82" t="str">
        <x:v>初审</x:v>
      </x:c>
      <x:c r="AF73" s="87" t="n">
        <x:v>46255</x:v>
      </x:c>
    </x:row>
    <x:row r="74">
      <x:c r="A74" s="72" t="str">
        <x:f>IF(OR(C74="",D74=""),"",B74&amp;"-"&amp;UPPER(C74)&amp;"-"&amp;TEXT(D74,"0000")&amp;"-"&amp;E74)</x:f>
        <x:v>M09-SYN-0068-V1.0</x:v>
      </x:c>
      <x:c r="B74" s="74" t="str">
        <x:v>M09</x:v>
      </x:c>
      <x:c r="C74" s="74" t="str">
        <x:v>SYN</x:v>
      </x:c>
      <x:c r="D74" s="79" t="n">
        <x:v>68</x:v>
      </x:c>
      <x:c r="E74" s="74" t="str">
        <x:v>V1.0</x:v>
      </x:c>
      <x:c r="F74" s="68" t="str">
        <x:v>两侧都强且差距不大时优先落在中和区而非同时判旺弱</x:v>
      </x:c>
      <x:c r="G74" s="82" t="str">
        <x:v>综合层</x:v>
      </x:c>
      <x:c r="H74" s="68" t="str">
        <x:v>综合比较</x:v>
      </x:c>
      <x:c r="I74" s="68" t="str">
        <x:v>中和</x:v>
      </x:c>
      <x:c r="J74" s="68" t="str">
        <x:v>扶身侧和负荷侧均有多项强证据且净差较小</x:v>
      </x:c>
      <x:c r="K74" s="68" t="str">
        <x:v>高</x:v>
      </x:c>
      <x:c r="L74" s="82" t="str">
        <x:v>强</x:v>
      </x:c>
      <x:c r="M74" s="68" t="str">
        <x:v>M08完成</x:v>
      </x:c>
      <x:c r="N74" s="68" t="str">
        <x:v>两侧强度接近</x:v>
      </x:c>
      <x:c r="O74" s="68" t="str">
        <x:v>各自有独立根源</x:v>
      </x:c>
      <x:c r="P74" s="68" t="str">
        <x:v>一侧出现决定性新增证据</x:v>
      </x:c>
      <x:c r="Q74" s="90" t="str">
        <x:v>禁止同时输出“身旺又身弱”</x:v>
      </x:c>
      <x:c r="R74" s="68" t="str">
        <x:v>可输出中和偏向</x:v>
      </x:c>
      <x:c r="S74" s="68" t="str">
        <x:v>强强对峙首先说明力量大而相对平衡</x:v>
      </x:c>
      <x:c r="T74" s="82" t="str">
        <x:v>否</x:v>
      </x:c>
      <x:c r="U74" s="82" t="str">
        <x:v>中和</x:v>
      </x:c>
      <x:c r="V74" s="84" t="str">
        <x:v>强强平衡</x:v>
      </x:c>
      <x:c r="W74" s="84" t="str">
        <x:v>扶身与负荷两侧都强且净差不大时，日主更接近中和或中和偏向。</x:v>
      </x:c>
      <x:c r="X74" s="82" t="str">
        <x:v>较高</x:v>
      </x:c>
      <x:c r="Y74" s="82" t="str">
        <x:v>现代综合</x:v>
      </x:c>
      <x:c r="Z74" s="68" t="str">
        <x:v>综合裁定比较扶身侧与负荷侧的有效净优势，采用强证据优先、同源去重、反证保留和冲突降置信。</x:v>
      </x:c>
      <x:c r="AA74" s="68" t="str">
        <x:v>正例：当“扶身侧和负荷侧均有多项强证据且净差较小”真实成立，且必要条件与增强条件同向时，按“两侧都强且差距不大时优先落在中和区而非同时判旺弱”记录对应旺衰证据。</x:v>
      </x:c>
      <x:c r="AB74" s="90" t="str">
        <x:v>反例：只有表面条件，但出现“禁止同时输出“身旺又身弱””或关键有效性未成立时，不得套用本规则。</x:v>
      </x:c>
      <x:c r="AC74" s="68" t="str">
        <x:v>https://zh.wikisource.org/wiki/%E6%B7%B5%E6%B5%B7%E5%AD%90%E5%B9%B3%E5%A4%A7%E5%85%A8 ; https://zh.wikisource.org/wiki/%E6%BB%B4%E5%A4%A9%E9%AB%93%E9%97%A1%E5%BE%AE</x:v>
      </x:c>
      <x:c r="AD74" s="82" t="str">
        <x:v>采用</x:v>
      </x:c>
      <x:c r="AE74" s="82" t="str">
        <x:v>初审</x:v>
      </x:c>
      <x:c r="AF74" s="87" t="n">
        <x:v>46255</x:v>
      </x:c>
    </x:row>
    <x:row r="75">
      <x:c r="A75" s="72" t="str">
        <x:f>IF(OR(C75="",D75=""),"",B75&amp;"-"&amp;UPPER(C75)&amp;"-"&amp;TEXT(D75,"0000")&amp;"-"&amp;E75)</x:f>
        <x:v>M09-SYN-0069-V1.0</x:v>
      </x:c>
      <x:c r="B75" s="74" t="str">
        <x:v>M09</x:v>
      </x:c>
      <x:c r="C75" s="74" t="str">
        <x:v>SYN</x:v>
      </x:c>
      <x:c r="D75" s="79" t="n">
        <x:v>69</x:v>
      </x:c>
      <x:c r="E75" s="74" t="str">
        <x:v>V1.0</x:v>
      </x:c>
      <x:c r="F75" s="68" t="str">
        <x:v>两侧都弱时仍按相对净差裁定而不是自动中和</x:v>
      </x:c>
      <x:c r="G75" s="82" t="str">
        <x:v>综合层</x:v>
      </x:c>
      <x:c r="H75" s="68" t="str">
        <x:v>综合比较</x:v>
      </x:c>
      <x:c r="I75" s="68" t="str">
        <x:v>双向</x:v>
      </x:c>
      <x:c r="J75" s="68" t="str">
        <x:v>扶身侧与负荷侧都缺乏强证据</x:v>
      </x:c>
      <x:c r="K75" s="68" t="str">
        <x:v>中</x:v>
      </x:c>
      <x:c r="L75" s="82" t="str">
        <x:v>中</x:v>
      </x:c>
      <x:c r="M75" s="68" t="str">
        <x:v>M08完成</x:v>
      </x:c>
      <x:c r="N75" s="68" t="str">
        <x:v>各侧均为弱证据</x:v>
      </x:c>
      <x:c r="O75" s="68" t="str">
        <x:v>一侧仍有明确轻微优势</x:v>
      </x:c>
      <x:c r="P75" s="68"/>
      <x:c r="Q75" s="90" t="str">
        <x:v>禁止“双方都弱=中和”</x:v>
      </x:c>
      <x:c r="R75" s="68" t="str">
        <x:v>极弱特殊格局另审</x:v>
      </x:c>
      <x:c r="S75" s="68" t="str">
        <x:v>整体能量低仍可能偏弱或偏旺</x:v>
      </x:c>
      <x:c r="T75" s="82" t="str">
        <x:v>否</x:v>
      </x:c>
      <x:c r="U75" s="82" t="str">
        <x:v>中和</x:v>
      </x:c>
      <x:c r="V75" s="84" t="str">
        <x:v>弱弱比较</x:v>
      </x:c>
      <x:c r="W75" s="84" t="str">
        <x:v>两侧都弱时仍比较相对优势；中和要求净差小，而非双方绝对力量都低。</x:v>
      </x:c>
      <x:c r="X75" s="82" t="str">
        <x:v>较高</x:v>
      </x:c>
      <x:c r="Y75" s="82" t="str">
        <x:v>现代综合</x:v>
      </x:c>
      <x:c r="Z75" s="68" t="str">
        <x:v>综合裁定比较扶身侧与负荷侧的有效净优势，采用强证据优先、同源去重、反证保留和冲突降置信。</x:v>
      </x:c>
      <x:c r="AA75" s="68" t="str">
        <x:v>正例：当“扶身侧与负荷侧都缺乏强证据”真实成立，且必要条件与增强条件同向时，按“两侧都弱时仍按相对净差裁定而不是自动中和”记录对应旺衰证据。</x:v>
      </x:c>
      <x:c r="AB75" s="90" t="str">
        <x:v>反例：只有表面条件，但出现“禁止“双方都弱=中和””或关键有效性未成立时，不得套用本规则。</x:v>
      </x:c>
      <x:c r="AC75" s="68" t="str">
        <x:v>https://zh.wikisource.org/wiki/%E6%B7%B5%E6%B5%B7%E5%AD%90%E5%B9%B3%E5%A4%A7%E5%85%A8 ; https://zh.wikisource.org/wiki/%E6%BB%B4%E5%A4%A9%E9%AB%93%E9%97%A1%E5%BE%AE</x:v>
      </x:c>
      <x:c r="AD75" s="82" t="str">
        <x:v>采用</x:v>
      </x:c>
      <x:c r="AE75" s="82" t="str">
        <x:v>初审</x:v>
      </x:c>
      <x:c r="AF75" s="87" t="n">
        <x:v>46255</x:v>
      </x:c>
    </x:row>
    <x:row r="76">
      <x:c r="A76" s="72" t="str">
        <x:f>IF(OR(C76="",D76=""),"",B76&amp;"-"&amp;UPPER(C76)&amp;"-"&amp;TEXT(D76,"0000")&amp;"-"&amp;E76)</x:f>
        <x:v>M09-SYN-0070-V1.0</x:v>
      </x:c>
      <x:c r="B76" s="74" t="str">
        <x:v>M09</x:v>
      </x:c>
      <x:c r="C76" s="74" t="str">
        <x:v>SYN</x:v>
      </x:c>
      <x:c r="D76" s="79" t="n">
        <x:v>70</x:v>
      </x:c>
      <x:c r="E76" s="74" t="str">
        <x:v>V1.0</x:v>
      </x:c>
      <x:c r="F76" s="68" t="str">
        <x:v>M08五行旺衰必须转换为相对日主角色后才能进入M09</x:v>
      </x:c>
      <x:c r="G76" s="82" t="str">
        <x:v>综合层</x:v>
      </x:c>
      <x:c r="H76" s="68" t="str">
        <x:v>综合比较</x:v>
      </x:c>
      <x:c r="I76" s="68" t="str">
        <x:v>边界</x:v>
      </x:c>
      <x:c r="J76" s="68" t="str">
        <x:v>读取木火土金水有效旺衰</x:v>
      </x:c>
      <x:c r="K76" s="68" t="str">
        <x:v>高</x:v>
      </x:c>
      <x:c r="L76" s="82" t="str">
        <x:v>决定性</x:v>
      </x:c>
      <x:c r="M76" s="68" t="str">
        <x:v>M08完成</x:v>
      </x:c>
      <x:c r="N76" s="68" t="str">
        <x:v>每个五行已映射为日主的比劫、印、食伤、财、官杀角色</x:v>
      </x:c>
      <x:c r="O76" s="68"/>
      <x:c r="P76" s="68"/>
      <x:c r="Q76" s="90" t="str">
        <x:v>禁止把某五行旺直接等同日主旺或弱</x:v>
      </x:c>
      <x:c r="R76" s="68" t="str">
        <x:v>十神细分转M10</x:v>
      </x:c>
      <x:c r="S76" s="68" t="str">
        <x:v>同一旺五行对不同日主可分别是扶身或负荷</x:v>
      </x:c>
      <x:c r="T76" s="82" t="str">
        <x:v>是</x:v>
      </x:c>
      <x:c r="U76" s="82" t="str">
        <x:v>中和</x:v>
      </x:c>
      <x:c r="V76" s="84" t="str">
        <x:v>五行角色转换</x:v>
      </x:c>
      <x:c r="W76" s="84" t="str">
        <x:v>M08的五行有效旺衰需先按日主映射为扶身或负荷角色，才能参与M09裁定。</x:v>
      </x:c>
      <x:c r="X76" s="82" t="str">
        <x:v>较高</x:v>
      </x:c>
      <x:c r="Y76" s="82" t="str">
        <x:v>现代综合</x:v>
      </x:c>
      <x:c r="Z76" s="68" t="str">
        <x:v>综合裁定比较扶身侧与负荷侧的有效净优势，采用强证据优先、同源去重、反证保留和冲突降置信。</x:v>
      </x:c>
      <x:c r="AA76" s="68" t="str">
        <x:v>正例：当“读取木火土金水有效旺衰”真实成立，且必要条件与增强条件同向时，按“M08五行旺衰必须转换为相对日主角色后才能进入M09”记录对应旺衰证据。</x:v>
      </x:c>
      <x:c r="AB76" s="90" t="str">
        <x:v>反例：只有表面条件，但出现“禁止把某五行旺直接等同日主旺或弱”或关键有效性未成立时，不得套用本规则。</x:v>
      </x:c>
      <x:c r="AC76" s="68" t="str">
        <x:v>https://zh.wikisource.org/wiki/%E6%B7%B5%E6%B5%B7%E5%AD%90%E5%B9%B3%E5%A4%A7%E5%85%A8 ; https://zh.wikisource.org/wiki/%E6%BB%B4%E5%A4%A9%E9%AB%93%E9%97%A1%E5%BE%AE</x:v>
      </x:c>
      <x:c r="AD76" s="82" t="str">
        <x:v>采用</x:v>
      </x:c>
      <x:c r="AE76" s="82" t="str">
        <x:v>初审</x:v>
      </x:c>
      <x:c r="AF76" s="87" t="n">
        <x:v>46255</x:v>
      </x:c>
    </x:row>
    <x:row r="77">
      <x:c r="A77" s="72" t="str">
        <x:f>IF(OR(C77="",D77=""),"",B77&amp;"-"&amp;UPPER(C77)&amp;"-"&amp;TEXT(D77,"0000")&amp;"-"&amp;E77)</x:f>
        <x:v>M09-SYN-0071-V1.0</x:v>
      </x:c>
      <x:c r="B77" s="74" t="str">
        <x:v>M09</x:v>
      </x:c>
      <x:c r="C77" s="74" t="str">
        <x:v>SYN</x:v>
      </x:c>
      <x:c r="D77" s="79" t="n">
        <x:v>71</x:v>
      </x:c>
      <x:c r="E77" s="74" t="str">
        <x:v>V1.0</x:v>
      </x:c>
      <x:c r="F77" s="68" t="str">
        <x:v>反向证据必须与主结论同时保存</x:v>
      </x:c>
      <x:c r="G77" s="82" t="str">
        <x:v>综合层</x:v>
      </x:c>
      <x:c r="H77" s="68" t="str">
        <x:v>综合比较</x:v>
      </x:c>
      <x:c r="I77" s="68" t="str">
        <x:v>治理</x:v>
      </x:c>
      <x:c r="J77" s="68" t="str">
        <x:v>形成任何七级旺衰结论</x:v>
      </x:c>
      <x:c r="K77" s="68" t="str">
        <x:v>高</x:v>
      </x:c>
      <x:c r="L77" s="82" t="str">
        <x:v>决定性</x:v>
      </x:c>
      <x:c r="M77" s="68" t="str">
        <x:v>M03/M08完成</x:v>
      </x:c>
      <x:c r="N77" s="68" t="str">
        <x:v>至少记录一条最强反向证据或明确无强反证</x:v>
      </x:c>
      <x:c r="O77" s="68" t="str">
        <x:v>主证据一致</x:v>
      </x:c>
      <x:c r="P77" s="68" t="str">
        <x:v>反证与主证据同强且未解决</x:v>
      </x:c>
      <x:c r="Q77" s="90" t="str">
        <x:v>禁止只列支持主结论的证据</x:v>
      </x:c>
      <x:c r="R77" s="68" t="str">
        <x:v>确无反证可注明</x:v>
      </x:c>
      <x:c r="S77" s="68" t="str">
        <x:v>反证越强，置信度越低或结论向中和收缩</x:v>
      </x:c>
      <x:c r="T77" s="82" t="str">
        <x:v>是</x:v>
      </x:c>
      <x:c r="U77" s="82" t="str">
        <x:v>中和</x:v>
      </x:c>
      <x:c r="V77" s="84" t="str">
        <x:v>反证保留</x:v>
      </x:c>
      <x:c r="W77" s="84" t="str">
        <x:v>日主旺衰结论必须同时列出最强支持证据与最强反向证据。</x:v>
      </x:c>
      <x:c r="X77" s="82" t="str">
        <x:v>较高</x:v>
      </x:c>
      <x:c r="Y77" s="82" t="str">
        <x:v>现代综合</x:v>
      </x:c>
      <x:c r="Z77" s="68" t="str">
        <x:v>综合裁定比较扶身侧与负荷侧的有效净优势，采用强证据优先、同源去重、反证保留和冲突降置信。</x:v>
      </x:c>
      <x:c r="AA77" s="68" t="str">
        <x:v>正例：当“形成任何七级旺衰结论”真实成立，且必要条件与增强条件同向时，按“反向证据必须与主结论同时保存”记录对应旺衰证据。</x:v>
      </x:c>
      <x:c r="AB77" s="90" t="str">
        <x:v>反例：只有表面条件，但出现“禁止只列支持主结论的证据”或关键有效性未成立时，不得套用本规则。</x:v>
      </x:c>
      <x:c r="AC77" s="68" t="str">
        <x:v>https://zh.wikisource.org/wiki/%E6%B7%B5%E6%B5%B7%E5%AD%90%E5%B9%B3%E5%A4%A7%E5%85%A8 ; https://zh.wikisource.org/wiki/%E6%BB%B4%E5%A4%A9%E9%AB%93%E9%97%A1%E5%BE%AE</x:v>
      </x:c>
      <x:c r="AD77" s="82" t="str">
        <x:v>采用</x:v>
      </x:c>
      <x:c r="AE77" s="82" t="str">
        <x:v>初审</x:v>
      </x:c>
      <x:c r="AF77" s="87" t="n">
        <x:v>46255</x:v>
      </x:c>
    </x:row>
    <x:row r="78">
      <x:c r="A78" s="72" t="str">
        <x:f>IF(OR(C78="",D78=""),"",B78&amp;"-"&amp;UPPER(C78)&amp;"-"&amp;TEXT(D78,"0000")&amp;"-"&amp;E78)</x:f>
        <x:v>M09-SYN-0072-V1.0</x:v>
      </x:c>
      <x:c r="B78" s="74" t="str">
        <x:v>M09</x:v>
      </x:c>
      <x:c r="C78" s="74" t="str">
        <x:v>SYN</x:v>
      </x:c>
      <x:c r="D78" s="79" t="n">
        <x:v>72</x:v>
      </x:c>
      <x:c r="E78" s="74" t="str">
        <x:v>V1.0</x:v>
      </x:c>
      <x:c r="F78" s="68" t="str">
        <x:v>证据冲突未被M08解决时先降低置信度而非强行定级</x:v>
      </x:c>
      <x:c r="G78" s="82" t="str">
        <x:v>综合层</x:v>
      </x:c>
      <x:c r="H78" s="68" t="str">
        <x:v>综合比较</x:v>
      </x:c>
      <x:c r="I78" s="68" t="str">
        <x:v>降低置信度</x:v>
      </x:c>
      <x:c r="J78" s="68" t="str">
        <x:v>关键根气、合化或作用效应仍存在争议</x:v>
      </x:c>
      <x:c r="K78" s="68" t="str">
        <x:v>高</x:v>
      </x:c>
      <x:c r="L78" s="82" t="str">
        <x:v>强</x:v>
      </x:c>
      <x:c r="M78" s="68" t="str">
        <x:v>M08/M21信息可用</x:v>
      </x:c>
      <x:c r="N78" s="68" t="str">
        <x:v>争议足以影响旺衰方向</x:v>
      </x:c>
      <x:c r="O78" s="68" t="str">
        <x:v>多数非争议证据同向</x:v>
      </x:c>
      <x:c r="P78" s="68" t="str">
        <x:v>争议对最终等级无实质影响</x:v>
      </x:c>
      <x:c r="Q78" s="90" t="str">
        <x:v>禁止以低置信争议规则压过多项稳定证据</x:v>
      </x:c>
      <x:c r="R78" s="68" t="str">
        <x:v>可给相邻双候选</x:v>
      </x:c>
      <x:c r="S78" s="68" t="str">
        <x:v>不确定性本身必须进入结果</x:v>
      </x:c>
      <x:c r="T78" s="82" t="str">
        <x:v>否</x:v>
      </x:c>
      <x:c r="U78" s="82" t="str">
        <x:v>中和</x:v>
      </x:c>
      <x:c r="V78" s="84" t="str">
        <x:v>冲突降置信</x:v>
      </x:c>
      <x:c r="W78" s="84" t="str">
        <x:v>关键证据存在未决争议时，输出相邻旺衰候选并降低置信度，不强行定级。</x:v>
      </x:c>
      <x:c r="X78" s="82" t="str">
        <x:v>较高</x:v>
      </x:c>
      <x:c r="Y78" s="82" t="str">
        <x:v>现代综合</x:v>
      </x:c>
      <x:c r="Z78" s="68" t="str">
        <x:v>综合裁定比较扶身侧与负荷侧的有效净优势，采用强证据优先、同源去重、反证保留和冲突降置信。</x:v>
      </x:c>
      <x:c r="AA78" s="68" t="str">
        <x:v>正例：当“关键根气、合化或作用效应仍存在争议”真实成立，且必要条件与增强条件同向时，按“证据冲突未被M08解决时先降低置信度而非强行定级”记录对应旺衰证据。</x:v>
      </x:c>
      <x:c r="AB78" s="90" t="str">
        <x:v>反例：只有表面条件，但出现“禁止以低置信争议规则压过多项稳定证据”或关键有效性未成立时，不得套用本规则。</x:v>
      </x:c>
      <x:c r="AC78" s="68" t="str">
        <x:v>https://zh.wikisource.org/wiki/%E6%B7%B5%E6%B5%B7%E5%AD%90%E5%B9%B3%E5%A4%A7%E5%85%A8 ; https://zh.wikisource.org/wiki/%E6%BB%B4%E5%A4%A9%E9%AB%93%E9%97%A1%E5%BE%AE</x:v>
      </x:c>
      <x:c r="AD78" s="82" t="str">
        <x:v>采用</x:v>
      </x:c>
      <x:c r="AE78" s="82" t="str">
        <x:v>初审</x:v>
      </x:c>
      <x:c r="AF78" s="87" t="n">
        <x:v>46255</x:v>
      </x:c>
    </x:row>
    <x:row r="79">
      <x:c r="A79" s="72" t="str">
        <x:f>IF(OR(C79="",D79=""),"",B79&amp;"-"&amp;UPPER(C79)&amp;"-"&amp;TEXT(D79,"0000")&amp;"-"&amp;E79)</x:f>
        <x:v>M09-GRADE-0073-V1.0</x:v>
      </x:c>
      <x:c r="B79" s="74" t="str">
        <x:v>M09</x:v>
      </x:c>
      <x:c r="C79" s="74" t="str">
        <x:v>GRADE</x:v>
      </x:c>
      <x:c r="D79" s="79" t="n">
        <x:v>73</x:v>
      </x:c>
      <x:c r="E79" s="74" t="str">
        <x:v>V1.0</x:v>
      </x:c>
      <x:c r="F79" s="68" t="str">
        <x:v>极弱要求扶身侧近乎失效且负荷侧形成单向主导</x:v>
      </x:c>
      <x:c r="G79" s="82" t="str">
        <x:v>综合层</x:v>
      </x:c>
      <x:c r="H79" s="68" t="str">
        <x:v>综合分级</x:v>
      </x:c>
      <x:c r="I79" s="68" t="str">
        <x:v>支持极弱</x:v>
      </x:c>
      <x:c r="J79" s="68" t="str">
        <x:v>失令/无有效根/印比弱，同时制泄耗至少一类强势且无强反证</x:v>
      </x:c>
      <x:c r="K79" s="68" t="str">
        <x:v>高</x:v>
      </x:c>
      <x:c r="L79" s="82" t="str">
        <x:v>决定性</x:v>
      </x:c>
      <x:c r="M79" s="68" t="str">
        <x:v>M03/M08完成</x:v>
      </x:c>
      <x:c r="N79" s="68" t="str">
        <x:v>扶身侧缺乏可持续承载</x:v>
      </x:c>
      <x:c r="O79" s="68" t="str">
        <x:v>多类负荷同向或一类决定性成势</x:v>
      </x:c>
      <x:c r="P79" s="68" t="str">
        <x:v>仍有强根、强印或有效比劫集团</x:v>
      </x:c>
      <x:c r="Q79" s="90" t="str">
        <x:v>禁止单凭无根或失令判极弱</x:v>
      </x:c>
      <x:c r="R79" s="68" t="str">
        <x:v>是否从格转M14</x:v>
      </x:c>
      <x:c r="S79" s="68" t="str">
        <x:v>有一处强扶身反证时通常应回到弱或中和偏弱</x:v>
      </x:c>
      <x:c r="T79" s="82" t="str">
        <x:v>是</x:v>
      </x:c>
      <x:c r="U79" s="82" t="str">
        <x:v>极弱</x:v>
      </x:c>
      <x:c r="V79" s="84" t="str">
        <x:v>七级极弱</x:v>
      </x:c>
      <x:c r="W79" s="84" t="str">
        <x:v>扶身侧近乎失效、负荷侧单向主导且无强反证，可判日主极弱；从格另审。</x:v>
      </x:c>
      <x:c r="X79" s="82" t="str">
        <x:v>较高</x:v>
      </x:c>
      <x:c r="Y79" s="82" t="str">
        <x:v>现代综合</x:v>
      </x:c>
      <x:c r="Z79" s="68" t="str">
        <x:v>七级分级依据双侧净优势和是否存在决定性证据；中和区看轻度偏向，极端等级要求多维同向且缺少强反证。</x:v>
      </x:c>
      <x:c r="AA79" s="68" t="str">
        <x:v>正例：当“失令/无有效根/印比弱，同时制泄耗至少一类强势且无强反证”真实成立，且必要条件与增强条件同向时，按“极弱要求扶身侧近乎失效且负荷侧形成单向主导”记录对应旺衰证据。</x:v>
      </x:c>
      <x:c r="AB79" s="90" t="str">
        <x:v>反例：只有表面条件，但出现“禁止单凭无根或失令判极弱”或关键有效性未成立时，不得套用本规则。</x:v>
      </x:c>
      <x:c r="AC79" s="68" t="str">
        <x:v>https://zh.wikisource.org/wiki/%E6%B7%B5%E6%B5%B7%E5%AD%90%E5%B9%B3%E5%A4%A7%E5%85%A8 ; https://zh.wikisource.org/wiki/%E6%BB%B4%E5%A4%A9%E9%AB%93%E9%97%A1%E5%BE%AE</x:v>
      </x:c>
      <x:c r="AD79" s="82" t="str">
        <x:v>采用</x:v>
      </x:c>
      <x:c r="AE79" s="82" t="str">
        <x:v>初审</x:v>
      </x:c>
      <x:c r="AF79" s="87" t="n">
        <x:v>46255</x:v>
      </x:c>
    </x:row>
    <x:row r="80">
      <x:c r="A80" s="72" t="str">
        <x:f>IF(OR(C80="",D80=""),"",B80&amp;"-"&amp;UPPER(C80)&amp;"-"&amp;TEXT(D80,"0000")&amp;"-"&amp;E80)</x:f>
        <x:v>M09-GRADE-0074-V1.0</x:v>
      </x:c>
      <x:c r="B80" s="74" t="str">
        <x:v>M09</x:v>
      </x:c>
      <x:c r="C80" s="74" t="str">
        <x:v>GRADE</x:v>
      </x:c>
      <x:c r="D80" s="79" t="n">
        <x:v>74</x:v>
      </x:c>
      <x:c r="E80" s="74" t="str">
        <x:v>V1.0</x:v>
      </x:c>
      <x:c r="F80" s="68" t="str">
        <x:v>弱表示负荷侧明显占优但日主仍有一定承载</x:v>
      </x:c>
      <x:c r="G80" s="82" t="str">
        <x:v>综合层</x:v>
      </x:c>
      <x:c r="H80" s="68" t="str">
        <x:v>综合分级</x:v>
      </x:c>
      <x:c r="I80" s="68" t="str">
        <x:v>支持偏弱</x:v>
      </x:c>
      <x:c r="J80" s="68" t="str">
        <x:v>负荷侧明显强于扶身侧，且日主仍有有效根/印比之一</x:v>
      </x:c>
      <x:c r="K80" s="68" t="str">
        <x:v>高</x:v>
      </x:c>
      <x:c r="L80" s="82" t="str">
        <x:v>强</x:v>
      </x:c>
      <x:c r="M80" s="68" t="str">
        <x:v>M03/M08完成</x:v>
      </x:c>
      <x:c r="N80" s="68" t="str">
        <x:v>净差明显向负荷侧</x:v>
      </x:c>
      <x:c r="O80" s="68" t="str">
        <x:v>失令、根弱、制泄耗连续</x:v>
      </x:c>
      <x:c r="P80" s="68" t="str">
        <x:v>扶身侧出现强根或强印比集团</x:v>
      </x:c>
      <x:c r="Q80" s="90" t="str">
        <x:v>禁止有承载即自动判中和</x:v>
      </x:c>
      <x:c r="R80" s="68"/>
      <x:c r="S80" s="68" t="str">
        <x:v>弱区别于极弱的关键是仍保留一定有效扶持</x:v>
      </x:c>
      <x:c r="T80" s="82" t="str">
        <x:v>是</x:v>
      </x:c>
      <x:c r="U80" s="82" t="str">
        <x:v>弱</x:v>
      </x:c>
      <x:c r="V80" s="84" t="str">
        <x:v>七级弱</x:v>
      </x:c>
      <x:c r="W80" s="84" t="str">
        <x:v>制泄耗明显占优，但日主仍保留一定有效承载，判为弱。</x:v>
      </x:c>
      <x:c r="X80" s="82" t="str">
        <x:v>较高</x:v>
      </x:c>
      <x:c r="Y80" s="82" t="str">
        <x:v>现代综合</x:v>
      </x:c>
      <x:c r="Z80" s="68" t="str">
        <x:v>七级分级依据双侧净优势和是否存在决定性证据；中和区看轻度偏向，极端等级要求多维同向且缺少强反证。</x:v>
      </x:c>
      <x:c r="AA80" s="68" t="str">
        <x:v>正例：当“负荷侧明显强于扶身侧，且日主仍有有效根/印比之一”真实成立，且必要条件与增强条件同向时，按“弱表示负荷侧明显占优但日主仍有一定承载”记录对应旺衰证据。</x:v>
      </x:c>
      <x:c r="AB80" s="90" t="str">
        <x:v>反例：只有表面条件，但出现“禁止有承载即自动判中和”或关键有效性未成立时，不得套用本规则。</x:v>
      </x:c>
      <x:c r="AC80" s="68" t="str">
        <x:v>https://zh.wikisource.org/wiki/%E6%B7%B5%E6%B5%B7%E5%AD%90%E5%B9%B3%E5%A4%A7%E5%85%A8 ; https://zh.wikisource.org/wiki/%E6%BB%B4%E5%A4%A9%E9%AB%93%E9%97%A1%E5%BE%AE</x:v>
      </x:c>
      <x:c r="AD80" s="82" t="str">
        <x:v>采用</x:v>
      </x:c>
      <x:c r="AE80" s="82" t="str">
        <x:v>初审</x:v>
      </x:c>
      <x:c r="AF80" s="87" t="n">
        <x:v>46255</x:v>
      </x:c>
    </x:row>
    <x:row r="81">
      <x:c r="A81" s="72" t="str">
        <x:f>IF(OR(C81="",D81=""),"",B81&amp;"-"&amp;UPPER(C81)&amp;"-"&amp;TEXT(D81,"0000")&amp;"-"&amp;E81)</x:f>
        <x:v>M09-GRADE-0075-V1.0</x:v>
      </x:c>
      <x:c r="B81" s="74" t="str">
        <x:v>M09</x:v>
      </x:c>
      <x:c r="C81" s="74" t="str">
        <x:v>GRADE</x:v>
      </x:c>
      <x:c r="D81" s="79" t="n">
        <x:v>75</x:v>
      </x:c>
      <x:c r="E81" s="74" t="str">
        <x:v>V1.0</x:v>
      </x:c>
      <x:c r="F81" s="68" t="str">
        <x:v>中和偏弱表示负荷侧轻度占优且无决定性差距</x:v>
      </x:c>
      <x:c r="G81" s="82" t="str">
        <x:v>综合层</x:v>
      </x:c>
      <x:c r="H81" s="68" t="str">
        <x:v>综合分级</x:v>
      </x:c>
      <x:c r="I81" s="68" t="str">
        <x:v>轻度支持偏弱</x:v>
      </x:c>
      <x:c r="J81" s="68" t="str">
        <x:v>负荷侧略强于扶身侧，但两边都有有效证据</x:v>
      </x:c>
      <x:c r="K81" s="68" t="str">
        <x:v>高</x:v>
      </x:c>
      <x:c r="L81" s="82" t="str">
        <x:v>中</x:v>
      </x:c>
      <x:c r="M81" s="68" t="str">
        <x:v>M03/M08完成</x:v>
      </x:c>
      <x:c r="N81" s="68" t="str">
        <x:v>净优势存在但不大</x:v>
      </x:c>
      <x:c r="O81" s="68" t="str">
        <x:v>失令或单项强负荷</x:v>
      </x:c>
      <x:c r="P81" s="68" t="str">
        <x:v>扶身侧多根或强印比</x:v>
      </x:c>
      <x:c r="Q81" s="90" t="str">
        <x:v>禁止因一项失令直接降为弱</x:v>
      </x:c>
      <x:c r="R81" s="68"/>
      <x:c r="S81" s="68" t="str">
        <x:v>若去掉一项中等证据即可回到中和，通常属于偏弱而非弱</x:v>
      </x:c>
      <x:c r="T81" s="82" t="str">
        <x:v>是</x:v>
      </x:c>
      <x:c r="U81" s="82" t="str">
        <x:v>中和偏弱</x:v>
      </x:c>
      <x:c r="V81" s="84" t="str">
        <x:v>七级中和偏弱</x:v>
      </x:c>
      <x:c r="W81" s="84" t="str">
        <x:v>日主扶身与负荷总体接近，但负荷侧略占优势，判中和偏弱。</x:v>
      </x:c>
      <x:c r="X81" s="82" t="str">
        <x:v>较高</x:v>
      </x:c>
      <x:c r="Y81" s="82" t="str">
        <x:v>现代综合</x:v>
      </x:c>
      <x:c r="Z81" s="68" t="str">
        <x:v>七级分级依据双侧净优势和是否存在决定性证据；中和区看轻度偏向，极端等级要求多维同向且缺少强反证。</x:v>
      </x:c>
      <x:c r="AA81" s="68" t="str">
        <x:v>正例：当“负荷侧略强于扶身侧，但两边都有有效证据”真实成立，且必要条件与增强条件同向时，按“中和偏弱表示负荷侧轻度占优且无决定性差距”记录对应旺衰证据。</x:v>
      </x:c>
      <x:c r="AB81" s="90" t="str">
        <x:v>反例：只有表面条件，但出现“禁止因一项失令直接降为弱”或关键有效性未成立时，不得套用本规则。</x:v>
      </x:c>
      <x:c r="AC81" s="68" t="str">
        <x:v>https://zh.wikisource.org/wiki/%E6%B7%B5%E6%B5%B7%E5%AD%90%E5%B9%B3%E5%A4%A7%E5%85%A8 ; https://zh.wikisource.org/wiki/%E6%BB%B4%E5%A4%A9%E9%AB%93%E9%97%A1%E5%BE%AE</x:v>
      </x:c>
      <x:c r="AD81" s="82" t="str">
        <x:v>采用</x:v>
      </x:c>
      <x:c r="AE81" s="82" t="str">
        <x:v>初审</x:v>
      </x:c>
      <x:c r="AF81" s="87" t="n">
        <x:v>46255</x:v>
      </x:c>
    </x:row>
    <x:row r="82">
      <x:c r="A82" s="72" t="str">
        <x:f>IF(OR(C82="",D82=""),"",B82&amp;"-"&amp;UPPER(C82)&amp;"-"&amp;TEXT(D82,"0000")&amp;"-"&amp;E82)</x:f>
        <x:v>M09-GRADE-0076-V1.0</x:v>
      </x:c>
      <x:c r="B82" s="74" t="str">
        <x:v>M09</x:v>
      </x:c>
      <x:c r="C82" s="74" t="str">
        <x:v>GRADE</x:v>
      </x:c>
      <x:c r="D82" s="79" t="n">
        <x:v>76</x:v>
      </x:c>
      <x:c r="E82" s="74" t="str">
        <x:v>V1.0</x:v>
      </x:c>
      <x:c r="F82" s="68" t="str">
        <x:v>中和要求两侧有效力量大体相抵且无一方形成主导</x:v>
      </x:c>
      <x:c r="G82" s="82" t="str">
        <x:v>综合层</x:v>
      </x:c>
      <x:c r="H82" s="68" t="str">
        <x:v>综合分级</x:v>
      </x:c>
      <x:c r="I82" s="68" t="str">
        <x:v>中和</x:v>
      </x:c>
      <x:c r="J82" s="68" t="str">
        <x:v>扶身侧与负荷侧净差小，且均不存在未被抵消的决定性优势</x:v>
      </x:c>
      <x:c r="K82" s="68" t="str">
        <x:v>高</x:v>
      </x:c>
      <x:c r="L82" s="82" t="str">
        <x:v>强</x:v>
      </x:c>
      <x:c r="M82" s="68" t="str">
        <x:v>M03/M08完成</x:v>
      </x:c>
      <x:c r="N82" s="68" t="str">
        <x:v>两侧证据可比较</x:v>
      </x:c>
      <x:c r="O82" s="68" t="str">
        <x:v>多维证据相互制衡</x:v>
      </x:c>
      <x:c r="P82" s="68" t="str">
        <x:v>一侧出现决定性成势</x:v>
      </x:c>
      <x:c r="Q82" s="90" t="str">
        <x:v>禁止把中和理解为五行数量相等</x:v>
      </x:c>
      <x:c r="R82" s="68"/>
      <x:c r="S82" s="68" t="str">
        <x:v>中和是相对平衡，不要求绝对均等</x:v>
      </x:c>
      <x:c r="T82" s="82" t="str">
        <x:v>是</x:v>
      </x:c>
      <x:c r="U82" s="82" t="str">
        <x:v>中和</x:v>
      </x:c>
      <x:c r="V82" s="84" t="str">
        <x:v>七级中和</x:v>
      </x:c>
      <x:c r="W82" s="84" t="str">
        <x:v>扶身与制泄耗两侧有效力量大体相抵、无明显主导，判为中和。</x:v>
      </x:c>
      <x:c r="X82" s="82" t="str">
        <x:v>较高</x:v>
      </x:c>
      <x:c r="Y82" s="82" t="str">
        <x:v>现代综合</x:v>
      </x:c>
      <x:c r="Z82" s="68" t="str">
        <x:v>七级分级依据双侧净优势和是否存在决定性证据；中和区看轻度偏向，极端等级要求多维同向且缺少强反证。</x:v>
      </x:c>
      <x:c r="AA82" s="68" t="str">
        <x:v>正例：当“扶身侧与负荷侧净差小，且均不存在未被抵消的决定性优势”真实成立，且必要条件与增强条件同向时，按“中和要求两侧有效力量大体相抵且无一方形成主导”记录对应旺衰证据。</x:v>
      </x:c>
      <x:c r="AB82" s="90" t="str">
        <x:v>反例：只有表面条件，但出现“禁止把中和理解为五行数量相等”或关键有效性未成立时，不得套用本规则。</x:v>
      </x:c>
      <x:c r="AC82" s="68" t="str">
        <x:v>https://zh.wikisource.org/wiki/%E6%B7%B5%E6%B5%B7%E5%AD%90%E5%B9%B3%E5%A4%A7%E5%85%A8 ; https://zh.wikisource.org/wiki/%E6%BB%B4%E5%A4%A9%E9%AB%93%E9%97%A1%E5%BE%AE</x:v>
      </x:c>
      <x:c r="AD82" s="82" t="str">
        <x:v>采用</x:v>
      </x:c>
      <x:c r="AE82" s="82" t="str">
        <x:v>初审</x:v>
      </x:c>
      <x:c r="AF82" s="87" t="n">
        <x:v>46255</x:v>
      </x:c>
    </x:row>
    <x:row r="83">
      <x:c r="A83" s="72" t="str">
        <x:f>IF(OR(C83="",D83=""),"",B83&amp;"-"&amp;UPPER(C83)&amp;"-"&amp;TEXT(D83,"0000")&amp;"-"&amp;E83)</x:f>
        <x:v>M09-GRADE-0077-V1.0</x:v>
      </x:c>
      <x:c r="B83" s="74" t="str">
        <x:v>M09</x:v>
      </x:c>
      <x:c r="C83" s="74" t="str">
        <x:v>GRADE</x:v>
      </x:c>
      <x:c r="D83" s="79" t="n">
        <x:v>77</x:v>
      </x:c>
      <x:c r="E83" s="74" t="str">
        <x:v>V1.0</x:v>
      </x:c>
      <x:c r="F83" s="68" t="str">
        <x:v>中和偏旺表示扶身侧轻度占优且无决定性差距</x:v>
      </x:c>
      <x:c r="G83" s="82" t="str">
        <x:v>综合层</x:v>
      </x:c>
      <x:c r="H83" s="68" t="str">
        <x:v>综合分级</x:v>
      </x:c>
      <x:c r="I83" s="68" t="str">
        <x:v>轻度支持偏旺</x:v>
      </x:c>
      <x:c r="J83" s="68" t="str">
        <x:v>扶身侧略强于负荷侧，但两边都有有效证据</x:v>
      </x:c>
      <x:c r="K83" s="68" t="str">
        <x:v>高</x:v>
      </x:c>
      <x:c r="L83" s="82" t="str">
        <x:v>中</x:v>
      </x:c>
      <x:c r="M83" s="68" t="str">
        <x:v>M03/M08完成</x:v>
      </x:c>
      <x:c r="N83" s="68" t="str">
        <x:v>净优势存在但不大</x:v>
      </x:c>
      <x:c r="O83" s="68" t="str">
        <x:v>得令、多根或印比有效</x:v>
      </x:c>
      <x:c r="P83" s="68" t="str">
        <x:v>官杀食伤财一侧出现强集团</x:v>
      </x:c>
      <x:c r="Q83" s="90" t="str">
        <x:v>禁止得令即直接判偏旺</x:v>
      </x:c>
      <x:c r="R83" s="68"/>
      <x:c r="S83" s="68" t="str">
        <x:v>若去掉一项中等扶身证据即可回到中和，通常属于偏旺而非旺</x:v>
      </x:c>
      <x:c r="T83" s="82" t="str">
        <x:v>是</x:v>
      </x:c>
      <x:c r="U83" s="82" t="str">
        <x:v>中和偏旺</x:v>
      </x:c>
      <x:c r="V83" s="84" t="str">
        <x:v>七级中和偏旺</x:v>
      </x:c>
      <x:c r="W83" s="84" t="str">
        <x:v>日主扶身与负荷总体接近，但扶身侧略占优势，判中和偏旺。</x:v>
      </x:c>
      <x:c r="X83" s="82" t="str">
        <x:v>较高</x:v>
      </x:c>
      <x:c r="Y83" s="82" t="str">
        <x:v>现代综合</x:v>
      </x:c>
      <x:c r="Z83" s="68" t="str">
        <x:v>七级分级依据双侧净优势和是否存在决定性证据；中和区看轻度偏向，极端等级要求多维同向且缺少强反证。</x:v>
      </x:c>
      <x:c r="AA83" s="68" t="str">
        <x:v>正例：当“扶身侧略强于负荷侧，但两边都有有效证据”真实成立，且必要条件与增强条件同向时，按“中和偏旺表示扶身侧轻度占优且无决定性差距”记录对应旺衰证据。</x:v>
      </x:c>
      <x:c r="AB83" s="90" t="str">
        <x:v>反例：只有表面条件，但出现“禁止得令即直接判偏旺”或关键有效性未成立时，不得套用本规则。</x:v>
      </x:c>
      <x:c r="AC83" s="68" t="str">
        <x:v>https://zh.wikisource.org/wiki/%E6%B7%B5%E6%B5%B7%E5%AD%90%E5%B9%B3%E5%A4%A7%E5%85%A8 ; https://zh.wikisource.org/wiki/%E6%BB%B4%E5%A4%A9%E9%AB%93%E9%97%A1%E5%BE%AE</x:v>
      </x:c>
      <x:c r="AD83" s="82" t="str">
        <x:v>采用</x:v>
      </x:c>
      <x:c r="AE83" s="82" t="str">
        <x:v>初审</x:v>
      </x:c>
      <x:c r="AF83" s="87" t="n">
        <x:v>46255</x:v>
      </x:c>
    </x:row>
    <x:row r="84">
      <x:c r="A84" s="72" t="str">
        <x:f>IF(OR(C84="",D84=""),"",B84&amp;"-"&amp;UPPER(C84)&amp;"-"&amp;TEXT(D84,"0000")&amp;"-"&amp;E84)</x:f>
        <x:v>M09-GRADE-0078-V1.0</x:v>
      </x:c>
      <x:c r="B84" s="74" t="str">
        <x:v>M09</x:v>
      </x:c>
      <x:c r="C84" s="74" t="str">
        <x:v>GRADE</x:v>
      </x:c>
      <x:c r="D84" s="79" t="n">
        <x:v>78</x:v>
      </x:c>
      <x:c r="E84" s="74" t="str">
        <x:v>V1.0</x:v>
      </x:c>
      <x:c r="F84" s="68" t="str">
        <x:v>旺要求扶身侧明显占优且日主具有稳定承载</x:v>
      </x:c>
      <x:c r="G84" s="82" t="str">
        <x:v>综合层</x:v>
      </x:c>
      <x:c r="H84" s="68" t="str">
        <x:v>综合分级</x:v>
      </x:c>
      <x:c r="I84" s="68" t="str">
        <x:v>支持偏旺</x:v>
      </x:c>
      <x:c r="J84" s="68" t="str">
        <x:v>有效根、印比与季令等多项扶身证据明显强于负荷侧</x:v>
      </x:c>
      <x:c r="K84" s="68" t="str">
        <x:v>高</x:v>
      </x:c>
      <x:c r="L84" s="82" t="str">
        <x:v>强</x:v>
      </x:c>
      <x:c r="M84" s="68" t="str">
        <x:v>M03/M08完成</x:v>
      </x:c>
      <x:c r="N84" s="68" t="str">
        <x:v>至少有稳定根气或等价承载</x:v>
      </x:c>
      <x:c r="O84" s="68" t="str">
        <x:v>得令、多根、印比成势</x:v>
      </x:c>
      <x:c r="P84" s="68" t="str">
        <x:v>负荷侧出现决定性强压</x:v>
      </x:c>
      <x:c r="Q84" s="90" t="str">
        <x:v>禁止一项强证据单独判旺</x:v>
      </x:c>
      <x:c r="R84" s="68" t="str">
        <x:v>特殊格局转M14</x:v>
      </x:c>
      <x:c r="S84" s="68" t="str">
        <x:v>旺区别于极旺在于仍存在有意义的负荷或制衡</x:v>
      </x:c>
      <x:c r="T84" s="82" t="str">
        <x:v>是</x:v>
      </x:c>
      <x:c r="U84" s="82" t="str">
        <x:v>旺</x:v>
      </x:c>
      <x:c r="V84" s="84" t="str">
        <x:v>七级旺</x:v>
      </x:c>
      <x:c r="W84" s="84" t="str">
        <x:v>扶身侧明显占优且承载稳定，判日主旺。</x:v>
      </x:c>
      <x:c r="X84" s="82" t="str">
        <x:v>较高</x:v>
      </x:c>
      <x:c r="Y84" s="82" t="str">
        <x:v>现代综合</x:v>
      </x:c>
      <x:c r="Z84" s="68" t="str">
        <x:v>七级分级依据双侧净优势和是否存在决定性证据；中和区看轻度偏向，极端等级要求多维同向且缺少强反证。</x:v>
      </x:c>
      <x:c r="AA84" s="68" t="str">
        <x:v>正例：当“有效根、印比与季令等多项扶身证据明显强于负荷侧”真实成立，且必要条件与增强条件同向时，按“旺要求扶身侧明显占优且日主具有稳定承载”记录对应旺衰证据。</x:v>
      </x:c>
      <x:c r="AB84" s="90" t="str">
        <x:v>反例：只有表面条件，但出现“禁止一项强证据单独判旺”或关键有效性未成立时，不得套用本规则。</x:v>
      </x:c>
      <x:c r="AC84" s="68" t="str">
        <x:v>https://zh.wikisource.org/wiki/%E6%B7%B5%E6%B5%B7%E5%AD%90%E5%B9%B3%E5%A4%A7%E5%85%A8 ; https://zh.wikisource.org/wiki/%E6%BB%B4%E5%A4%A9%E9%AB%93%E9%97%A1%E5%BE%AE</x:v>
      </x:c>
      <x:c r="AD84" s="82" t="str">
        <x:v>采用</x:v>
      </x:c>
      <x:c r="AE84" s="82" t="str">
        <x:v>初审</x:v>
      </x:c>
      <x:c r="AF84" s="87" t="n">
        <x:v>46255</x:v>
      </x:c>
    </x:row>
    <x:row r="85">
      <x:c r="A85" s="72" t="str">
        <x:f>IF(OR(C85="",D85=""),"",B85&amp;"-"&amp;UPPER(C85)&amp;"-"&amp;TEXT(D85,"0000")&amp;"-"&amp;E85)</x:f>
        <x:v>M09-GRADE-0079-V1.0</x:v>
      </x:c>
      <x:c r="B85" s="74" t="str">
        <x:v>M09</x:v>
      </x:c>
      <x:c r="C85" s="74" t="str">
        <x:v>GRADE</x:v>
      </x:c>
      <x:c r="D85" s="79" t="n">
        <x:v>79</x:v>
      </x:c>
      <x:c r="E85" s="74" t="str">
        <x:v>V1.0</x:v>
      </x:c>
      <x:c r="F85" s="68" t="str">
        <x:v>极旺要求扶身侧高度集中且负荷侧缺乏有效制衡</x:v>
      </x:c>
      <x:c r="G85" s="82" t="str">
        <x:v>综合层</x:v>
      </x:c>
      <x:c r="H85" s="68" t="str">
        <x:v>综合分级</x:v>
      </x:c>
      <x:c r="I85" s="68" t="str">
        <x:v>支持极旺</x:v>
      </x:c>
      <x:c r="J85" s="68" t="str">
        <x:v>得令或强季令、多重强根、印比成势且制泄耗普遍弱或失效</x:v>
      </x:c>
      <x:c r="K85" s="68" t="str">
        <x:v>高</x:v>
      </x:c>
      <x:c r="L85" s="82" t="str">
        <x:v>决定性</x:v>
      </x:c>
      <x:c r="M85" s="68" t="str">
        <x:v>M03/M08完成</x:v>
      </x:c>
      <x:c r="N85" s="68" t="str">
        <x:v>多维扶身强证据同向</x:v>
      </x:c>
      <x:c r="O85" s="68" t="str">
        <x:v>全局气势高度集中于日主一侧</x:v>
      </x:c>
      <x:c r="P85" s="68" t="str">
        <x:v>存在强官杀/食伤/财有效制衡</x:v>
      </x:c>
      <x:c r="Q85" s="90" t="str">
        <x:v>禁止仅因印比多判极旺</x:v>
      </x:c>
      <x:c r="R85" s="68" t="str">
        <x:v>专旺从旺候选转M14</x:v>
      </x:c>
      <x:c r="S85" s="68" t="str">
        <x:v>出现一项强制衡时通常回落至旺</x:v>
      </x:c>
      <x:c r="T85" s="82" t="str">
        <x:v>是</x:v>
      </x:c>
      <x:c r="U85" s="82" t="str">
        <x:v>极旺</x:v>
      </x:c>
      <x:c r="V85" s="84" t="str">
        <x:v>七级极旺</x:v>
      </x:c>
      <x:c r="W85" s="84" t="str">
        <x:v>扶身侧高度集中、负荷侧缺乏有效制衡，可判日主极旺；特殊格局另审。</x:v>
      </x:c>
      <x:c r="X85" s="82" t="str">
        <x:v>较高</x:v>
      </x:c>
      <x:c r="Y85" s="82" t="str">
        <x:v>现代综合</x:v>
      </x:c>
      <x:c r="Z85" s="68" t="str">
        <x:v>七级分级依据双侧净优势和是否存在决定性证据；中和区看轻度偏向，极端等级要求多维同向且缺少强反证。</x:v>
      </x:c>
      <x:c r="AA85" s="68" t="str">
        <x:v>正例：当“得令或强季令、多重强根、印比成势且制泄耗普遍弱或失效”真实成立，且必要条件与增强条件同向时，按“极旺要求扶身侧高度集中且负荷侧缺乏有效制衡”记录对应旺衰证据。</x:v>
      </x:c>
      <x:c r="AB85" s="90" t="str">
        <x:v>反例：只有表面条件，但出现“禁止仅因印比多判极旺”或关键有效性未成立时，不得套用本规则。</x:v>
      </x:c>
      <x:c r="AC85" s="68" t="str">
        <x:v>https://zh.wikisource.org/wiki/%E6%B7%B5%E6%B5%B7%E5%AD%90%E5%B9%B3%E5%A4%A7%E5%85%A8 ; https://zh.wikisource.org/wiki/%E6%BB%B4%E5%A4%A9%E9%AB%93%E9%97%A1%E5%BE%AE</x:v>
      </x:c>
      <x:c r="AD85" s="82" t="str">
        <x:v>采用</x:v>
      </x:c>
      <x:c r="AE85" s="82" t="str">
        <x:v>初审</x:v>
      </x:c>
      <x:c r="AF85" s="87" t="n">
        <x:v>46255</x:v>
      </x:c>
    </x:row>
    <x:row r="86">
      <x:c r="A86" s="72" t="str">
        <x:f>IF(OR(C86="",D86=""),"",B86&amp;"-"&amp;UPPER(C86)&amp;"-"&amp;TEXT(D86,"0000")&amp;"-"&amp;E86)</x:f>
        <x:v>M09-GRADE-0080-V1.0</x:v>
      </x:c>
      <x:c r="B86" s="74" t="str">
        <x:v>M09</x:v>
      </x:c>
      <x:c r="C86" s="74" t="str">
        <x:v>GRADE</x:v>
      </x:c>
      <x:c r="D86" s="79" t="n">
        <x:v>80</x:v>
      </x:c>
      <x:c r="E86" s="74" t="str">
        <x:v>V1.0</x:v>
      </x:c>
      <x:c r="F86" s="68" t="str">
        <x:v>相邻等级边界应优先给主级加次级候选而非跨两级跳判</x:v>
      </x:c>
      <x:c r="G86" s="82" t="str">
        <x:v>综合层</x:v>
      </x:c>
      <x:c r="H86" s="68" t="str">
        <x:v>综合分级</x:v>
      </x:c>
      <x:c r="I86" s="68" t="str">
        <x:v>治理</x:v>
      </x:c>
      <x:c r="J86" s="68" t="str">
        <x:v>关键证据只产生轻微净差或存在中等反证</x:v>
      </x:c>
      <x:c r="K86" s="68" t="str">
        <x:v>中高</x:v>
      </x:c>
      <x:c r="L86" s="82" t="str">
        <x:v>中</x:v>
      </x:c>
      <x:c r="M86" s="68" t="str">
        <x:v>M03/M08完成</x:v>
      </x:c>
      <x:c r="N86" s="68" t="str">
        <x:v>主级与相邻级均有合理证据</x:v>
      </x:c>
      <x:c r="O86" s="68" t="str">
        <x:v>后续案例验证支持</x:v>
      </x:c>
      <x:c r="P86" s="68" t="str">
        <x:v>出现决定性新增证据</x:v>
      </x:c>
      <x:c r="Q86" s="90" t="str">
        <x:v>禁止无充分理由从中和直接跳至极旺/极弱</x:v>
      </x:c>
      <x:c r="R86" s="68" t="str">
        <x:v>可给“中和偏弱（接近弱）”等内部标签</x:v>
      </x:c>
      <x:c r="S86" s="68" t="str">
        <x:v>边界输出有助于后续M20回归</x:v>
      </x:c>
      <x:c r="T86" s="82" t="str">
        <x:v>是</x:v>
      </x:c>
      <x:c r="U86" s="82" t="str">
        <x:v>中和</x:v>
      </x:c>
      <x:c r="V86" s="84" t="str">
        <x:v>等级边界</x:v>
      </x:c>
      <x:c r="W86" s="84" t="str">
        <x:v>证据处于边界时优先保留相邻候选，并说明偏向与反证，不做无依据的大幅跳级。</x:v>
      </x:c>
      <x:c r="X86" s="82" t="str">
        <x:v>较高</x:v>
      </x:c>
      <x:c r="Y86" s="82" t="str">
        <x:v>现代综合</x:v>
      </x:c>
      <x:c r="Z86" s="68" t="str">
        <x:v>七级分级依据双侧净优势和是否存在决定性证据；中和区看轻度偏向，极端等级要求多维同向且缺少强反证。</x:v>
      </x:c>
      <x:c r="AA86" s="68" t="str">
        <x:v>正例：当“关键证据只产生轻微净差或存在中等反证”真实成立，且必要条件与增强条件同向时，按“相邻等级边界应优先给主级加次级候选而非跨两级跳判”记录对应旺衰证据。</x:v>
      </x:c>
      <x:c r="AB86" s="90" t="str">
        <x:v>反例：只有表面条件，但出现“禁止无充分理由从中和直接跳至极旺/极弱”或关键有效性未成立时，不得套用本规则。</x:v>
      </x:c>
      <x:c r="AC86" s="68" t="str">
        <x:v>https://zh.wikisource.org/wiki/%E6%B7%B5%E6%B5%B7%E5%AD%90%E5%B9%B3%E5%A4%A7%E5%85%A8 ; https://zh.wikisource.org/wiki/%E6%BB%B4%E5%A4%A9%E9%AB%93%E9%97%A1%E5%BE%AE</x:v>
      </x:c>
      <x:c r="AD86" s="82" t="str">
        <x:v>采用</x:v>
      </x:c>
      <x:c r="AE86" s="82" t="str">
        <x:v>初审</x:v>
      </x:c>
      <x:c r="AF86" s="87" t="n">
        <x:v>46255</x:v>
      </x:c>
    </x:row>
    <x:row r="87">
      <x:c r="A87" s="72" t="str">
        <x:f>IF(OR(C87="",D87=""),"",B87&amp;"-"&amp;UPPER(C87)&amp;"-"&amp;TEXT(D87,"0000")&amp;"-"&amp;E87)</x:f>
        <x:v>M09-BOUND-0081-V1.0</x:v>
      </x:c>
      <x:c r="B87" s="74" t="str">
        <x:v>M09</x:v>
      </x:c>
      <x:c r="C87" s="74" t="str">
        <x:v>BOUND</x:v>
      </x:c>
      <x:c r="D87" s="79" t="n">
        <x:v>81</x:v>
      </x:c>
      <x:c r="E87" s="74" t="str">
        <x:v>V1.0</x:v>
      </x:c>
      <x:c r="F87" s="68" t="str">
        <x:v>M09禁止固定分值总和代替旺衰裁定</x:v>
      </x:c>
      <x:c r="G87" s="82" t="str">
        <x:v>综合层</x:v>
      </x:c>
      <x:c r="H87" s="68" t="str">
        <x:v>判断边界</x:v>
      </x:c>
      <x:c r="I87" s="68" t="str">
        <x:v>治理</x:v>
      </x:c>
      <x:c r="J87" s="68" t="str">
        <x:v>任何日主旺衰综合</x:v>
      </x:c>
      <x:c r="K87" s="68" t="str">
        <x:v>高</x:v>
      </x:c>
      <x:c r="L87" s="82" t="str">
        <x:v>决定性</x:v>
      </x:c>
      <x:c r="M87" s="68" t="str">
        <x:v>M03/M08完成</x:v>
      </x:c>
      <x:c r="N87" s="68" t="str">
        <x:v>证据采用等级与方向而非机械总分</x:v>
      </x:c>
      <x:c r="O87" s="68" t="str">
        <x:v>可用内部参考权重辅助排序</x:v>
      </x:c>
      <x:c r="P87" s="68"/>
      <x:c r="Q87" s="90" t="str">
        <x:v>禁止用固定百分比或简单加减分输出最终等级</x:v>
      </x:c>
      <x:c r="R87" s="68" t="str">
        <x:v>可在M20测试中保存辅助评分但不得覆盖规则结论</x:v>
      </x:c>
      <x:c r="S87" s="68" t="str">
        <x:v>相同分数可能由完全不同的结构产生</x:v>
      </x:c>
      <x:c r="T87" s="82" t="str">
        <x:v>是</x:v>
      </x:c>
      <x:c r="U87" s="82" t="str">
        <x:v>中和</x:v>
      </x:c>
      <x:c r="V87" s="84" t="str">
        <x:v>非机械计分</x:v>
      </x:c>
      <x:c r="W87" s="84" t="str">
        <x:v>参考权重只帮助组织证据，最终七级旺衰必须由结构与有效力量裁定。</x:v>
      </x:c>
      <x:c r="X87" s="82" t="str">
        <x:v>较高</x:v>
      </x:c>
      <x:c r="Y87" s="82" t="str">
        <x:v>现代综合</x:v>
      </x:c>
      <x:c r="Z87" s="68" t="str">
        <x:v>该规则属于M09治理边界，用于防止机械计分、数量投票、越级定喜忌/格局及静动态混用。</x:v>
      </x:c>
      <x:c r="AA87" s="68" t="str">
        <x:v>正例：当“任何日主旺衰综合”真实成立，且必要条件与增强条件同向时，按“M09禁止固定分值总和代替旺衰裁定”记录对应旺衰证据。</x:v>
      </x:c>
      <x:c r="AB87" s="90" t="str">
        <x:v>反例：只有表面条件，但出现“禁止用固定百分比或简单加减分输出最终等级”或关键有效性未成立时，不得套用本规则。</x:v>
      </x:c>
      <x:c r="AC87" s="68" t="str">
        <x:v>https://zh.wikisource.org/wiki/%E6%B7%B5%E6%B5%B7%E5%AD%90%E5%B9%B3%E5%A4%A7%E5%85%A8 ; https://zh.wikisource.org/wiki/%E6%BB%B4%E5%A4%A9%E9%AB%93%E9%97%A1%E5%BE%AE</x:v>
      </x:c>
      <x:c r="AD87" s="82" t="str">
        <x:v>采用</x:v>
      </x:c>
      <x:c r="AE87" s="82" t="str">
        <x:v>初审</x:v>
      </x:c>
      <x:c r="AF87" s="87" t="n">
        <x:v>46255</x:v>
      </x:c>
    </x:row>
    <x:row r="88">
      <x:c r="A88" s="72" t="str">
        <x:f>IF(OR(C88="",D88=""),"",B88&amp;"-"&amp;UPPER(C88)&amp;"-"&amp;TEXT(D88,"0000")&amp;"-"&amp;E88)</x:f>
        <x:v>M09-BOUND-0082-V1.0</x:v>
      </x:c>
      <x:c r="B88" s="74" t="str">
        <x:v>M09</x:v>
      </x:c>
      <x:c r="C88" s="74" t="str">
        <x:v>BOUND</x:v>
      </x:c>
      <x:c r="D88" s="79" t="n">
        <x:v>82</x:v>
      </x:c>
      <x:c r="E88" s="74" t="str">
        <x:v>V1.0</x:v>
      </x:c>
      <x:c r="F88" s="68" t="str">
        <x:v>M09禁止按五行或十神数量投票决定身强身弱</x:v>
      </x:c>
      <x:c r="G88" s="82" t="str">
        <x:v>综合层</x:v>
      </x:c>
      <x:c r="H88" s="68" t="str">
        <x:v>判断边界</x:v>
      </x:c>
      <x:c r="I88" s="68" t="str">
        <x:v>治理</x:v>
      </x:c>
      <x:c r="J88" s="68" t="str">
        <x:v>任何日主旺衰综合</x:v>
      </x:c>
      <x:c r="K88" s="68" t="str">
        <x:v>高</x:v>
      </x:c>
      <x:c r="L88" s="82" t="str">
        <x:v>决定性</x:v>
      </x:c>
      <x:c r="M88" s="68" t="str">
        <x:v>M08完成</x:v>
      </x:c>
      <x:c r="N88" s="68" t="str">
        <x:v>所有节点先看有效质量</x:v>
      </x:c>
      <x:c r="O88" s="68"/>
      <x:c r="P88" s="68"/>
      <x:c r="Q88" s="90" t="str">
        <x:v>禁止“印比多所以旺”“财官食伤多所以弱”</x:v>
      </x:c>
      <x:c r="R88" s="68" t="str">
        <x:v>数量可作低层提示</x:v>
      </x:c>
      <x:c r="S88" s="68" t="str">
        <x:v>数量必须经过得令、根气、透达和作用通路修正</x:v>
      </x:c>
      <x:c r="T88" s="82" t="str">
        <x:v>是</x:v>
      </x:c>
      <x:c r="U88" s="82" t="str">
        <x:v>中和</x:v>
      </x:c>
      <x:c r="V88" s="84" t="str">
        <x:v>数量非结论</x:v>
      </x:c>
      <x:c r="W88" s="84" t="str">
        <x:v>五行与十神数量只能作为候选证据，不能直接决定日主旺衰。</x:v>
      </x:c>
      <x:c r="X88" s="82" t="str">
        <x:v>较高</x:v>
      </x:c>
      <x:c r="Y88" s="82" t="str">
        <x:v>现代综合</x:v>
      </x:c>
      <x:c r="Z88" s="68" t="str">
        <x:v>该规则属于M09治理边界，用于防止机械计分、数量投票、越级定喜忌/格局及静动态混用。</x:v>
      </x:c>
      <x:c r="AA88" s="68" t="str">
        <x:v>正例：当“任何日主旺衰综合”真实成立，且必要条件与增强条件同向时，按“M09禁止按五行或十神数量投票决定身强身弱”记录对应旺衰证据。</x:v>
      </x:c>
      <x:c r="AB88" s="90" t="str">
        <x:v>反例：只有表面条件，但出现“禁止“印比多所以旺”“财官食伤多所以弱””或关键有效性未成立时，不得套用本规则。</x:v>
      </x:c>
      <x:c r="AC88" s="68" t="str">
        <x:v>https://zh.wikisource.org/wiki/%E6%B7%B5%E6%B5%B7%E5%AD%90%E5%B9%B3%E5%A4%A7%E5%85%A8 ; https://zh.wikisource.org/wiki/%E6%BB%B4%E5%A4%A9%E9%AB%93%E9%97%A1%E5%BE%AE</x:v>
      </x:c>
      <x:c r="AD88" s="82" t="str">
        <x:v>采用</x:v>
      </x:c>
      <x:c r="AE88" s="82" t="str">
        <x:v>初审</x:v>
      </x:c>
      <x:c r="AF88" s="87" t="n">
        <x:v>46255</x:v>
      </x:c>
    </x:row>
    <x:row r="89">
      <x:c r="A89" s="72" t="str">
        <x:f>IF(OR(C89="",D89=""),"",B89&amp;"-"&amp;UPPER(C89)&amp;"-"&amp;TEXT(D89,"0000")&amp;"-"&amp;E89)</x:f>
        <x:v>M09-BOUND-0083-V1.0</x:v>
      </x:c>
      <x:c r="B89" s="74" t="str">
        <x:v>M09</x:v>
      </x:c>
      <x:c r="C89" s="74" t="str">
        <x:v>BOUND</x:v>
      </x:c>
      <x:c r="D89" s="79" t="n">
        <x:v>83</x:v>
      </x:c>
      <x:c r="E89" s="74" t="str">
        <x:v>V1.0</x:v>
      </x:c>
      <x:c r="F89" s="68" t="str">
        <x:v>日主旺衰与喜忌用神严格分离</x:v>
      </x:c>
      <x:c r="G89" s="82" t="str">
        <x:v>综合层</x:v>
      </x:c>
      <x:c r="H89" s="68" t="str">
        <x:v>判断边界</x:v>
      </x:c>
      <x:c r="I89" s="68" t="str">
        <x:v>禁止越级</x:v>
      </x:c>
      <x:c r="J89" s="68" t="str">
        <x:v>已得到七级旺衰</x:v>
      </x:c>
      <x:c r="K89" s="68" t="str">
        <x:v>高</x:v>
      </x:c>
      <x:c r="L89" s="82" t="str">
        <x:v>决定性</x:v>
      </x:c>
      <x:c r="M89" s="68" t="str">
        <x:v>M09完成</x:v>
      </x:c>
      <x:c r="N89" s="68" t="str">
        <x:v>只输出力量事实</x:v>
      </x:c>
      <x:c r="O89" s="68"/>
      <x:c r="P89" s="68"/>
      <x:c r="Q89" s="90" t="str">
        <x:v>禁止身旺直接等于忌印比、身弱直接等于喜印比</x:v>
      </x:c>
      <x:c r="R89" s="68" t="str">
        <x:v>喜忌转M16/M17/M18</x:v>
      </x:c>
      <x:c r="S89" s="68" t="str">
        <x:v>格局、调候、病药可能改变最终用神</x:v>
      </x:c>
      <x:c r="T89" s="82" t="str">
        <x:v>是</x:v>
      </x:c>
      <x:c r="U89" s="82" t="str">
        <x:v>中和</x:v>
      </x:c>
      <x:c r="V89" s="84" t="str">
        <x:v>旺衰喜忌分离</x:v>
      </x:c>
      <x:c r="W89" s="84" t="str">
        <x:v>M09只判断日主力量，不直接确定喜神、忌神或用神。</x:v>
      </x:c>
      <x:c r="X89" s="82" t="str">
        <x:v>较高</x:v>
      </x:c>
      <x:c r="Y89" s="82" t="str">
        <x:v>现代综合</x:v>
      </x:c>
      <x:c r="Z89" s="68" t="str">
        <x:v>该规则属于M09治理边界，用于防止机械计分、数量投票、越级定喜忌/格局及静动态混用。</x:v>
      </x:c>
      <x:c r="AA89" s="68" t="str">
        <x:v>正例：当“已得到七级旺衰”真实成立，且必要条件与增强条件同向时，按“日主旺衰与喜忌用神严格分离”记录对应旺衰证据。</x:v>
      </x:c>
      <x:c r="AB89" s="90" t="str">
        <x:v>反例：只有表面条件，但出现“禁止身旺直接等于忌印比、身弱直接等于喜印比”或关键有效性未成立时，不得套用本规则。</x:v>
      </x:c>
      <x:c r="AC89" s="68" t="str">
        <x:v>https://zh.wikisource.org/wiki/%E6%B7%B5%E6%B5%B7%E5%AD%90%E5%B9%B3%E5%A4%A7%E5%85%A8 ; https://zh.wikisource.org/wiki/%E6%BB%B4%E5%A4%A9%E9%AB%93%E9%97%A1%E5%BE%AE</x:v>
      </x:c>
      <x:c r="AD89" s="82" t="str">
        <x:v>采用</x:v>
      </x:c>
      <x:c r="AE89" s="82" t="str">
        <x:v>初审</x:v>
      </x:c>
      <x:c r="AF89" s="87" t="n">
        <x:v>46255</x:v>
      </x:c>
    </x:row>
    <x:row r="90">
      <x:c r="A90" s="72" t="str">
        <x:f>IF(OR(C90="",D90=""),"",B90&amp;"-"&amp;UPPER(C90)&amp;"-"&amp;TEXT(D90,"0000")&amp;"-"&amp;E90)</x:f>
        <x:v>M09-BOUND-0084-V1.0</x:v>
      </x:c>
      <x:c r="B90" s="74" t="str">
        <x:v>M09</x:v>
      </x:c>
      <x:c r="C90" s="74" t="str">
        <x:v>BOUND</x:v>
      </x:c>
      <x:c r="D90" s="79" t="n">
        <x:v>84</x:v>
      </x:c>
      <x:c r="E90" s="74" t="str">
        <x:v>V1.0</x:v>
      </x:c>
      <x:c r="F90" s="68" t="str">
        <x:v>极旺极弱只生成特殊格局候选不在M09确认从格</x:v>
      </x:c>
      <x:c r="G90" s="82" t="str">
        <x:v>综合层</x:v>
      </x:c>
      <x:c r="H90" s="68" t="str">
        <x:v>判断边界</x:v>
      </x:c>
      <x:c r="I90" s="68" t="str">
        <x:v>转审</x:v>
      </x:c>
      <x:c r="J90" s="68" t="str">
        <x:v>日主被判极旺或极弱</x:v>
      </x:c>
      <x:c r="K90" s="68" t="str">
        <x:v>高</x:v>
      </x:c>
      <x:c r="L90" s="82" t="str">
        <x:v>决定性</x:v>
      </x:c>
      <x:c r="M90" s="68" t="str">
        <x:v>M09完成</x:v>
      </x:c>
      <x:c r="N90" s="68" t="str">
        <x:v>达到极端等级</x:v>
      </x:c>
      <x:c r="O90" s="68" t="str">
        <x:v>气势高度单向</x:v>
      </x:c>
      <x:c r="P90" s="68" t="str">
        <x:v>存在强反证</x:v>
      </x:c>
      <x:c r="Q90" s="90" t="str">
        <x:v>禁止在M09直接宣布从旺、从弱、从财、从杀等格局成立</x:v>
      </x:c>
      <x:c r="R90" s="68" t="str">
        <x:v>M14按严格条件淘汰</x:v>
      </x:c>
      <x:c r="S90" s="68" t="str">
        <x:v>常规格旺衰极端与特殊格局成立是两个结论</x:v>
      </x:c>
      <x:c r="T90" s="82" t="str">
        <x:v>是</x:v>
      </x:c>
      <x:c r="U90" s="82" t="str">
        <x:v>极弱</x:v>
      </x:c>
      <x:c r="V90" s="84" t="str">
        <x:v>特殊格局接口</x:v>
      </x:c>
      <x:c r="W90" s="84" t="str">
        <x:v>日主极旺/极弱仅触发特殊格局候选，是否从格或专旺转M14严格判断。</x:v>
      </x:c>
      <x:c r="X90" s="82" t="str">
        <x:v>较高</x:v>
      </x:c>
      <x:c r="Y90" s="82" t="str">
        <x:v>现代综合</x:v>
      </x:c>
      <x:c r="Z90" s="68" t="str">
        <x:v>该规则属于M09治理边界，用于防止机械计分、数量投票、越级定喜忌/格局及静动态混用。</x:v>
      </x:c>
      <x:c r="AA90" s="68" t="str">
        <x:v>正例：当“日主被判极旺或极弱”真实成立，且必要条件与增强条件同向时，按“极旺极弱只生成特殊格局候选不在M09确认从格”记录对应旺衰证据。</x:v>
      </x:c>
      <x:c r="AB90" s="90" t="str">
        <x:v>反例：只有表面条件，但出现“禁止在M09直接宣布从旺、从弱、从财、从杀等格局成立”或关键有效性未成立时，不得套用本规则。</x:v>
      </x:c>
      <x:c r="AC90" s="68" t="str">
        <x:v>https://zh.wikisource.org/wiki/%E6%B7%B5%E6%B5%B7%E5%AD%90%E5%B9%B3%E5%A4%A7%E5%85%A8 ; https://zh.wikisource.org/wiki/%E6%BB%B4%E5%A4%A9%E9%AB%93%E9%97%A1%E5%BE%AE</x:v>
      </x:c>
      <x:c r="AD90" s="82" t="str">
        <x:v>采用</x:v>
      </x:c>
      <x:c r="AE90" s="82" t="str">
        <x:v>初审</x:v>
      </x:c>
      <x:c r="AF90" s="87" t="n">
        <x:v>46255</x:v>
      </x:c>
    </x:row>
    <x:row r="91">
      <x:c r="A91" s="72" t="str">
        <x:f>IF(OR(C91="",D91=""),"",B91&amp;"-"&amp;UPPER(C91)&amp;"-"&amp;TEXT(D91,"0000")&amp;"-"&amp;E91)</x:f>
        <x:v>M09-BOUND-0085-V1.0</x:v>
      </x:c>
      <x:c r="B91" s="74" t="str">
        <x:v>M09</x:v>
      </x:c>
      <x:c r="C91" s="74" t="str">
        <x:v>BOUND</x:v>
      </x:c>
      <x:c r="D91" s="79" t="n">
        <x:v>85</x:v>
      </x:c>
      <x:c r="E91" s="74" t="str">
        <x:v>V1.0</x:v>
      </x:c>
      <x:c r="F91" s="68" t="str">
        <x:v>寒暖燥湿只通过M08有效性影响M09不直接定身强弱</x:v>
      </x:c>
      <x:c r="G91" s="82" t="str">
        <x:v>综合层</x:v>
      </x:c>
      <x:c r="H91" s="68" t="str">
        <x:v>判断边界</x:v>
      </x:c>
      <x:c r="I91" s="68" t="str">
        <x:v>接口</x:v>
      </x:c>
      <x:c r="J91" s="68" t="str">
        <x:v>原局存在明显寒凝、燥烈、湿滞等气候问题</x:v>
      </x:c>
      <x:c r="K91" s="68" t="str">
        <x:v>中高</x:v>
      </x:c>
      <x:c r="L91" s="82" t="str">
        <x:v>中</x:v>
      </x:c>
      <x:c r="M91" s="68" t="str">
        <x:v>M08/M13接口</x:v>
      </x:c>
      <x:c r="N91" s="68" t="str">
        <x:v>M08已体现其对根源透达的实际影响</x:v>
      </x:c>
      <x:c r="O91" s="68" t="str">
        <x:v>气候问题确实削弱某扶身节点</x:v>
      </x:c>
      <x:c r="P91" s="68" t="str">
        <x:v>仅为调候需要但不改变有效力量</x:v>
      </x:c>
      <x:c r="Q91" s="90" t="str">
        <x:v>禁止“寒=身弱”“燥=身旺”等直接映射</x:v>
      </x:c>
      <x:c r="R91" s="68" t="str">
        <x:v>调候主问题转M13</x:v>
      </x:c>
      <x:c r="S91" s="68" t="str">
        <x:v>气候与旺衰相关但不是同一维度</x:v>
      </x:c>
      <x:c r="T91" s="82" t="str">
        <x:v>是</x:v>
      </x:c>
      <x:c r="U91" s="82" t="str">
        <x:v>中和</x:v>
      </x:c>
      <x:c r="V91" s="84" t="str">
        <x:v>调候旺衰分离</x:v>
      </x:c>
      <x:c r="W91" s="84" t="str">
        <x:v>寒暖燥湿只有在已影响五行有效力量时才进入M09；调候需求另由M13判断。</x:v>
      </x:c>
      <x:c r="X91" s="82" t="str">
        <x:v>较高</x:v>
      </x:c>
      <x:c r="Y91" s="82" t="str">
        <x:v>现代综合</x:v>
      </x:c>
      <x:c r="Z91" s="68" t="str">
        <x:v>该规则属于M09治理边界，用于防止机械计分、数量投票、越级定喜忌/格局及静动态混用。</x:v>
      </x:c>
      <x:c r="AA91" s="68" t="str">
        <x:v>正例：当“原局存在明显寒凝、燥烈、湿滞等气候问题”真实成立，且必要条件与增强条件同向时，按“寒暖燥湿只通过M08有效性影响M09不直接定身强弱”记录对应旺衰证据。</x:v>
      </x:c>
      <x:c r="AB91" s="90" t="str">
        <x:v>反例：只有表面条件，但出现“禁止“寒=身弱”“燥=身旺”等直接映射”或关键有效性未成立时，不得套用本规则。</x:v>
      </x:c>
      <x:c r="AC91" s="68" t="str">
        <x:v>https://zh.wikisource.org/wiki/%E6%B7%B5%E6%B5%B7%E5%AD%90%E5%B9%B3%E5%A4%A7%E5%85%A8 ; https://zh.wikisource.org/wiki/%E6%BB%B4%E5%A4%A9%E9%AB%93%E9%97%A1%E5%BE%AE</x:v>
      </x:c>
      <x:c r="AD91" s="82" t="str">
        <x:v>采用</x:v>
      </x:c>
      <x:c r="AE91" s="82" t="str">
        <x:v>初审</x:v>
      </x:c>
      <x:c r="AF91" s="87" t="n">
        <x:v>46255</x:v>
      </x:c>
    </x:row>
    <x:row r="92">
      <x:c r="A92" s="72" t="str">
        <x:f>IF(OR(C92="",D92=""),"",B92&amp;"-"&amp;UPPER(C92)&amp;"-"&amp;TEXT(D92,"0000")&amp;"-"&amp;E92)</x:f>
        <x:v>M09-BOUND-0086-V1.0</x:v>
      </x:c>
      <x:c r="B92" s="74" t="str">
        <x:v>M09</x:v>
      </x:c>
      <x:c r="C92" s="74" t="str">
        <x:v>BOUND</x:v>
      </x:c>
      <x:c r="D92" s="79" t="n">
        <x:v>86</x:v>
      </x:c>
      <x:c r="E92" s="74" t="str">
        <x:v>V1.0</x:v>
      </x:c>
      <x:c r="F92" s="68" t="str">
        <x:v>原局静态旺衰不得混入大运流年动态增减</x:v>
      </x:c>
      <x:c r="G92" s="82" t="str">
        <x:v>综合层</x:v>
      </x:c>
      <x:c r="H92" s="68" t="str">
        <x:v>判断边界</x:v>
      </x:c>
      <x:c r="I92" s="68" t="str">
        <x:v>治理</x:v>
      </x:c>
      <x:c r="J92" s="68" t="str">
        <x:v>M09原局分析</x:v>
      </x:c>
      <x:c r="K92" s="68" t="str">
        <x:v>高</x:v>
      </x:c>
      <x:c r="L92" s="82" t="str">
        <x:v>决定性</x:v>
      </x:c>
      <x:c r="M92" s="68" t="str">
        <x:v>原局四柱已确定</x:v>
      </x:c>
      <x:c r="N92" s="68" t="str">
        <x:v>只读取原局M03/M08结果</x:v>
      </x:c>
      <x:c r="O92" s="68"/>
      <x:c r="P92" s="68"/>
      <x:c r="Q92" s="90" t="str">
        <x:v>禁止用未来大运流年反推原局身强身弱</x:v>
      </x:c>
      <x:c r="R92" s="68" t="str">
        <x:v>动态作用转D0岁运引擎</x:v>
      </x:c>
      <x:c r="S92" s="68" t="str">
        <x:v>原局等级可在岁运被临时改变但不重写出生结构</x:v>
      </x:c>
      <x:c r="T92" s="82" t="str">
        <x:v>是</x:v>
      </x:c>
      <x:c r="U92" s="82" t="str">
        <x:v>中和</x:v>
      </x:c>
      <x:c r="V92" s="84" t="str">
        <x:v>静动态分离</x:v>
      </x:c>
      <x:c r="W92" s="84" t="str">
        <x:v>M09输出原局静态日主旺衰，不混入大运流年力量。</x:v>
      </x:c>
      <x:c r="X92" s="82" t="str">
        <x:v>较高</x:v>
      </x:c>
      <x:c r="Y92" s="82" t="str">
        <x:v>现代综合</x:v>
      </x:c>
      <x:c r="Z92" s="68" t="str">
        <x:v>该规则属于M09治理边界，用于防止机械计分、数量投票、越级定喜忌/格局及静动态混用。</x:v>
      </x:c>
      <x:c r="AA92" s="68" t="str">
        <x:v>正例：当“M09原局分析”真实成立，且必要条件与增强条件同向时，按“原局静态旺衰不得混入大运流年动态增减”记录对应旺衰证据。</x:v>
      </x:c>
      <x:c r="AB92" s="90" t="str">
        <x:v>反例：只有表面条件，但出现“禁止用未来大运流年反推原局身强身弱”或关键有效性未成立时，不得套用本规则。</x:v>
      </x:c>
      <x:c r="AC92" s="68" t="str">
        <x:v>https://zh.wikisource.org/wiki/%E6%B7%B5%E6%B5%B7%E5%AD%90%E5%B9%B3%E5%A4%A7%E5%85%A8 ; https://zh.wikisource.org/wiki/%E6%BB%B4%E5%A4%A9%E9%AB%93%E9%97%A1%E5%BE%AE</x:v>
      </x:c>
      <x:c r="AD92" s="82" t="str">
        <x:v>采用</x:v>
      </x:c>
      <x:c r="AE92" s="82" t="str">
        <x:v>初审</x:v>
      </x:c>
      <x:c r="AF92" s="87" t="n">
        <x:v>46255</x:v>
      </x:c>
    </x:row>
    <x:row r="93">
      <x:c r="A93" s="72" t="str">
        <x:f>IF(OR(C93="",D93=""),"",B93&amp;"-"&amp;UPPER(C93)&amp;"-"&amp;TEXT(D93,"0000")&amp;"-"&amp;E93)</x:f>
        <x:v>M09-BOUND-0087-V1.0</x:v>
      </x:c>
      <x:c r="B93" s="74" t="str">
        <x:v>M09</x:v>
      </x:c>
      <x:c r="C93" s="74" t="str">
        <x:v>BOUND</x:v>
      </x:c>
      <x:c r="D93" s="79" t="n">
        <x:v>87</x:v>
      </x:c>
      <x:c r="E93" s="74" t="str">
        <x:v>V1.0</x:v>
      </x:c>
      <x:c r="F93" s="68" t="str">
        <x:v>性别不参与原局日主旺衰计算</x:v>
      </x:c>
      <x:c r="G93" s="82" t="str">
        <x:v>综合层</x:v>
      </x:c>
      <x:c r="H93" s="68" t="str">
        <x:v>判断边界</x:v>
      </x:c>
      <x:c r="I93" s="68" t="str">
        <x:v>治理</x:v>
      </x:c>
      <x:c r="J93" s="68" t="str">
        <x:v>任何日主旺衰综合</x:v>
      </x:c>
      <x:c r="K93" s="68" t="str">
        <x:v>高</x:v>
      </x:c>
      <x:c r="L93" s="82" t="str">
        <x:v>决定性</x:v>
      </x:c>
      <x:c r="M93" s="68" t="str">
        <x:v>原局四柱已确定</x:v>
      </x:c>
      <x:c r="N93" s="68"/>
      <x:c r="O93" s="68"/>
      <x:c r="P93" s="68"/>
      <x:c r="Q93" s="90" t="str">
        <x:v>禁止因男命女命改变同一八字的旺衰等级</x:v>
      </x:c>
      <x:c r="R93" s="68" t="str">
        <x:v>性别只在特定上层解释模型使用</x:v>
      </x:c>
      <x:c r="S93" s="68" t="str">
        <x:v>相同四柱在M09应得到相同旺衰结论</x:v>
      </x:c>
      <x:c r="T93" s="82" t="str">
        <x:v>是</x:v>
      </x:c>
      <x:c r="U93" s="82" t="str">
        <x:v>中和</x:v>
      </x:c>
      <x:c r="V93" s="84" t="str">
        <x:v>性别无关旺衰</x:v>
      </x:c>
      <x:c r="W93" s="84" t="str">
        <x:v>日主旺衰是原局结构判断，性别不改变同一四柱的力量结论。</x:v>
      </x:c>
      <x:c r="X93" s="82" t="str">
        <x:v>较高</x:v>
      </x:c>
      <x:c r="Y93" s="82" t="str">
        <x:v>现代综合</x:v>
      </x:c>
      <x:c r="Z93" s="68" t="str">
        <x:v>该规则属于M09治理边界，用于防止机械计分、数量投票、越级定喜忌/格局及静动态混用。</x:v>
      </x:c>
      <x:c r="AA93" s="68" t="str">
        <x:v>正例：当“任何日主旺衰综合”真实成立，且必要条件与增强条件同向时，按“性别不参与原局日主旺衰计算”记录对应旺衰证据。</x:v>
      </x:c>
      <x:c r="AB93" s="90" t="str">
        <x:v>反例：只有表面条件，但出现“禁止因男命女命改变同一八字的旺衰等级”或关键有效性未成立时，不得套用本规则。</x:v>
      </x:c>
      <x:c r="AC93" s="68" t="str">
        <x:v>https://zh.wikisource.org/wiki/%E6%B7%B5%E6%B5%B7%E5%AD%90%E5%B9%B3%E5%A4%A7%E5%85%A8 ; https://zh.wikisource.org/wiki/%E6%BB%B4%E5%A4%A9%E9%AB%93%E9%97%A1%E5%BE%AE</x:v>
      </x:c>
      <x:c r="AD93" s="82" t="str">
        <x:v>采用</x:v>
      </x:c>
      <x:c r="AE93" s="82" t="str">
        <x:v>初审</x:v>
      </x:c>
      <x:c r="AF93" s="87" t="n">
        <x:v>46255</x:v>
      </x:c>
    </x:row>
    <x:row r="94">
      <x:c r="A94" s="72" t="str">
        <x:f>IF(OR(C94="",D94=""),"",B94&amp;"-"&amp;UPPER(C94)&amp;"-"&amp;TEXT(D94,"0000")&amp;"-"&amp;E94)</x:f>
        <x:v>M09-BOUND-0088-V1.0</x:v>
      </x:c>
      <x:c r="B94" s="74" t="str">
        <x:v>M09</x:v>
      </x:c>
      <x:c r="C94" s="74" t="str">
        <x:v>BOUND</x:v>
      </x:c>
      <x:c r="D94" s="79" t="n">
        <x:v>88</x:v>
      </x:c>
      <x:c r="E94" s="74" t="str">
        <x:v>V1.0</x:v>
      </x:c>
      <x:c r="F94" s="68" t="str">
        <x:v>十神功能成败不在M09提前裁定</x:v>
      </x:c>
      <x:c r="G94" s="82" t="str">
        <x:v>综合层</x:v>
      </x:c>
      <x:c r="H94" s="68" t="str">
        <x:v>判断边界</x:v>
      </x:c>
      <x:c r="I94" s="68" t="str">
        <x:v>禁止越级</x:v>
      </x:c>
      <x:c r="J94" s="68" t="str">
        <x:v>发现食神制杀、杀印相生、伤官配印等候选</x:v>
      </x:c>
      <x:c r="K94" s="68" t="str">
        <x:v>高</x:v>
      </x:c>
      <x:c r="L94" s="82" t="str">
        <x:v>决定性</x:v>
      </x:c>
      <x:c r="M94" s="68" t="str">
        <x:v>M09完成</x:v>
      </x:c>
      <x:c r="N94" s="68" t="str">
        <x:v>M09仅把对应五行作用作为制泄耗或生扶证据</x:v>
      </x:c>
      <x:c r="O94" s="68"/>
      <x:c r="P94" s="68"/>
      <x:c r="Q94" s="90" t="str">
        <x:v>禁止从日主旺衰层直接宣布十神组合成立</x:v>
      </x:c>
      <x:c r="R94" s="68" t="str">
        <x:v>组合转M10/M11</x:v>
      </x:c>
      <x:c r="S94" s="68" t="str">
        <x:v>相同力量可形成不同十神功能结构</x:v>
      </x:c>
      <x:c r="T94" s="82" t="str">
        <x:v>是</x:v>
      </x:c>
      <x:c r="U94" s="82" t="str">
        <x:v>中和</x:v>
      </x:c>
      <x:c r="V94" s="84" t="str">
        <x:v>十神功能接口</x:v>
      </x:c>
      <x:c r="W94" s="84" t="str">
        <x:v>M09只记录相关力量对日主的影响；十神功能、清纯度与组合成立转M10/M11。</x:v>
      </x:c>
      <x:c r="X94" s="82" t="str">
        <x:v>较高</x:v>
      </x:c>
      <x:c r="Y94" s="82" t="str">
        <x:v>现代综合</x:v>
      </x:c>
      <x:c r="Z94" s="68" t="str">
        <x:v>该规则属于M09治理边界，用于防止机械计分、数量投票、越级定喜忌/格局及静动态混用。</x:v>
      </x:c>
      <x:c r="AA94" s="68" t="str">
        <x:v>正例：当“发现食神制杀、杀印相生、伤官配印等候选”真实成立，且必要条件与增强条件同向时，按“十神功能成败不在M09提前裁定”记录对应旺衰证据。</x:v>
      </x:c>
      <x:c r="AB94" s="90" t="str">
        <x:v>反例：只有表面条件，但出现“禁止从日主旺衰层直接宣布十神组合成立”或关键有效性未成立时，不得套用本规则。</x:v>
      </x:c>
      <x:c r="AC94" s="68" t="str">
        <x:v>https://zh.wikisource.org/wiki/%E6%B7%B5%E6%B5%B7%E5%AD%90%E5%B9%B3%E5%A4%A7%E5%85%A8 ; https://zh.wikisource.org/wiki/%E6%BB%B4%E5%A4%A9%E9%AB%93%E9%97%A1%E5%BE%AE</x:v>
      </x:c>
      <x:c r="AD94" s="82" t="str">
        <x:v>采用</x:v>
      </x:c>
      <x:c r="AE94" s="82" t="str">
        <x:v>初审</x:v>
      </x:c>
      <x:c r="AF94" s="87" t="n">
        <x:v>46255</x:v>
      </x:c>
    </x:row>
    <x:row r="95">
      <x:c r="A95" s="72" t="str">
        <x:f>IF(OR(C95="",D95=""),"",B95&amp;"-"&amp;UPPER(C95)&amp;"-"&amp;TEXT(D95,"0000")&amp;"-"&amp;E95)</x:f>
        <x:v>M09-BOUND-0089-V1.0</x:v>
      </x:c>
      <x:c r="B95" s="74" t="str">
        <x:v>M09</x:v>
      </x:c>
      <x:c r="C95" s="74" t="str">
        <x:v>BOUND</x:v>
      </x:c>
      <x:c r="D95" s="79" t="n">
        <x:v>89</x:v>
      </x:c>
      <x:c r="E95" s="74" t="str">
        <x:v>V1.0</x:v>
      </x:c>
      <x:c r="F95" s="68" t="str">
        <x:v>最终旺衰输出必须包含正证、反证、关键转折和置信度</x:v>
      </x:c>
      <x:c r="G95" s="82" t="str">
        <x:v>综合层</x:v>
      </x:c>
      <x:c r="H95" s="68" t="str">
        <x:v>判断边界</x:v>
      </x:c>
      <x:c r="I95" s="68" t="str">
        <x:v>治理</x:v>
      </x:c>
      <x:c r="J95" s="68" t="str">
        <x:v>形成最终日主旺衰</x:v>
      </x:c>
      <x:c r="K95" s="68" t="str">
        <x:v>高</x:v>
      </x:c>
      <x:c r="L95" s="82" t="str">
        <x:v>决定性</x:v>
      </x:c>
      <x:c r="M95" s="68" t="str">
        <x:v>M09完成</x:v>
      </x:c>
      <x:c r="N95" s="68" t="str">
        <x:v>至少列主支持证据、主反向证据与边界说明</x:v>
      </x:c>
      <x:c r="O95" s="68" t="str">
        <x:v>证据高度一致可给较高置信</x:v>
      </x:c>
      <x:c r="P95" s="68" t="str">
        <x:v>关键效应待验证或月令不确定</x:v>
      </x:c>
      <x:c r="Q95" s="90" t="str">
        <x:v>禁止只给“身旺/身弱”标签</x:v>
      </x:c>
      <x:c r="R95" s="68"/>
      <x:c r="S95" s="68" t="str">
        <x:v>可追溯输出便于M20复盘</x:v>
      </x:c>
      <x:c r="T95" s="82" t="str">
        <x:v>是</x:v>
      </x:c>
      <x:c r="U95" s="82" t="str">
        <x:v>中和</x:v>
      </x:c>
      <x:c r="V95" s="84" t="str">
        <x:v>旺衰输出规范</x:v>
      </x:c>
      <x:c r="W95" s="84" t="str">
        <x:v>最终输出须包含：旺衰等级、得令/得地/得势/得生、主要制泄耗、最强反证、关键转折与置信度。</x:v>
      </x:c>
      <x:c r="X95" s="82" t="str">
        <x:v>较高</x:v>
      </x:c>
      <x:c r="Y95" s="82" t="str">
        <x:v>现代综合</x:v>
      </x:c>
      <x:c r="Z95" s="68" t="str">
        <x:v>该规则属于M09治理边界，用于防止机械计分、数量投票、越级定喜忌/格局及静动态混用。</x:v>
      </x:c>
      <x:c r="AA95" s="68" t="str">
        <x:v>正例：当“形成最终日主旺衰”真实成立，且必要条件与增强条件同向时，按“最终旺衰输出必须包含正证、反证、关键转折和置信度”记录对应旺衰证据。</x:v>
      </x:c>
      <x:c r="AB95" s="90" t="str">
        <x:v>反例：只有表面条件，但出现“禁止只给“身旺/身弱”标签”或关键有效性未成立时，不得套用本规则。</x:v>
      </x:c>
      <x:c r="AC95" s="68" t="str">
        <x:v>https://zh.wikisource.org/wiki/%E6%B7%B5%E6%B5%B7%E5%AD%90%E5%B9%B3%E5%A4%A7%E5%85%A8 ; https://zh.wikisource.org/wiki/%E6%BB%B4%E5%A4%A9%E9%AB%93%E9%97%A1%E5%BE%AE</x:v>
      </x:c>
      <x:c r="AD95" s="82" t="str">
        <x:v>采用</x:v>
      </x:c>
      <x:c r="AE95" s="82" t="str">
        <x:v>初审</x:v>
      </x:c>
      <x:c r="AF95" s="87" t="n">
        <x:v>46255</x:v>
      </x:c>
    </x:row>
    <x:row r="96">
      <x:c r="A96" s="72" t="str">
        <x:f>IF(OR(C96="",D96=""),"",B96&amp;"-"&amp;UPPER(C96)&amp;"-"&amp;TEXT(D96,"0000")&amp;"-"&amp;E96)</x:f>
        <x:v>M09-BOUND-0090-V1.0</x:v>
      </x:c>
      <x:c r="B96" s="74" t="str">
        <x:v>M09</x:v>
      </x:c>
      <x:c r="C96" s="74" t="str">
        <x:v>BOUND</x:v>
      </x:c>
      <x:c r="D96" s="79" t="n">
        <x:v>90</x:v>
      </x:c>
      <x:c r="E96" s="74" t="str">
        <x:v>V1.0</x:v>
      </x:c>
      <x:c r="F96" s="68" t="str">
        <x:v>中和偏旺与中和偏弱必须由轻度净优势而非主观感觉区分</x:v>
      </x:c>
      <x:c r="G96" s="82" t="str">
        <x:v>综合层</x:v>
      </x:c>
      <x:c r="H96" s="68" t="str">
        <x:v>判断边界</x:v>
      </x:c>
      <x:c r="I96" s="68" t="str">
        <x:v>治理</x:v>
      </x:c>
      <x:c r="J96" s="68" t="str">
        <x:v>旺衰位于中和附近</x:v>
      </x:c>
      <x:c r="K96" s="68" t="str">
        <x:v>高</x:v>
      </x:c>
      <x:c r="L96" s="82" t="str">
        <x:v>强</x:v>
      </x:c>
      <x:c r="M96" s="68" t="str">
        <x:v>M03/M08完成</x:v>
      </x:c>
      <x:c r="N96" s="68" t="str">
        <x:v>两侧均有有效证据且差距较小</x:v>
      </x:c>
      <x:c r="O96" s="68" t="str">
        <x:v>一侧存在可明确指出的轻度净优势</x:v>
      </x:c>
      <x:c r="P96" s="68" t="str">
        <x:v>两侧完全对等或差异来自待验证规则</x:v>
      </x:c>
      <x:c r="Q96" s="90" t="str">
        <x:v>禁止在无净优势证据时随意选偏旺或偏弱</x:v>
      </x:c>
      <x:c r="R96" s="68" t="str">
        <x:v>无法裁定时输出中和并降低置信度</x:v>
      </x:c>
      <x:c r="S96" s="68" t="str">
        <x:v>偏向必须能回溯到一至两条关键有效证据</x:v>
      </x:c>
      <x:c r="T96" s="82" t="str">
        <x:v>是</x:v>
      </x:c>
      <x:c r="U96" s="82" t="str">
        <x:v>中和</x:v>
      </x:c>
      <x:c r="V96" s="84" t="str">
        <x:v>中和偏向分界</x:v>
      </x:c>
      <x:c r="W96" s="84" t="str">
        <x:v>中和偏旺/偏弱必须指出造成轻度净优势的具体证据；无法指出时不得强行偏向。</x:v>
      </x:c>
      <x:c r="X96" s="82" t="str">
        <x:v>较高</x:v>
      </x:c>
      <x:c r="Y96" s="82" t="str">
        <x:v>现代综合</x:v>
      </x:c>
      <x:c r="Z96" s="68" t="str">
        <x:v>该规则属于M09治理边界，用于防止机械计分、数量投票、越级定喜忌/格局及静动态混用。</x:v>
      </x:c>
      <x:c r="AA96" s="68" t="str">
        <x:v>正例：当“旺衰位于中和附近”真实成立，且必要条件与增强条件同向时，按“中和偏旺与中和偏弱必须由轻度净优势而非主观感觉区分”记录对应旺衰证据。</x:v>
      </x:c>
      <x:c r="AB96" s="90" t="str">
        <x:v>反例：只有表面条件，但出现“禁止在无净优势证据时随意选偏旺或偏弱”或关键有效性未成立时，不得套用本规则。</x:v>
      </x:c>
      <x:c r="AC96" s="68" t="str">
        <x:v>https://zh.wikisource.org/wiki/%E6%B7%B5%E6%B5%B7%E5%AD%90%E5%B9%B3%E5%A4%A7%E5%85%A8 ; https://zh.wikisource.org/wiki/%E6%BB%B4%E5%A4%A9%E9%AB%93%E9%97%A1%E5%BE%AE</x:v>
      </x:c>
      <x:c r="AD96" s="82" t="str">
        <x:v>采用</x:v>
      </x:c>
      <x:c r="AE96" s="82" t="str">
        <x:v>初审</x:v>
      </x:c>
      <x:c r="AF96" s="87" t="n">
        <x:v>46255</x:v>
      </x:c>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 type="list" sqref="E6:E130">
      <x:formula1>'99_下拉选项'!$BG$4:$BG$14</x:formula1>
    </x:dataValidation>
    <x:dataValidation type="list" sqref="E7:E105">
      <x:formula1>'99_下拉选项'!$BG$4:$BG$22</x:formula1>
    </x:dataValidation>
  </x:dataValidations>
  <x:pageMargins left="0.7" right="0.7" top="0.75" bottom="0.75" header="0.3" footer="0.3"/>
  <x:tableParts count="1">
    <x:tablePart xmlns:r="http://schemas.openxmlformats.org/officeDocument/2006/relationships" r:id="Rfb838bca12a5499c"/>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v>M10-PRES-0001-V1.0</x:v>
      </x:c>
      <x:c r="B7" s="74" t="str">
        <x:v>M10</x:v>
      </x:c>
      <x:c r="C7" s="74" t="str">
        <x:v>PRES</x:v>
      </x:c>
      <x:c r="D7" s="215" t="n">
        <x:v>1</x:v>
      </x:c>
      <x:c r="E7" s="74" t="str">
        <x:v>V1.0</x:v>
      </x:c>
      <x:c r="F7" s="68" t="str">
        <x:v>十神透干属于明确显性存在</x:v>
      </x:c>
      <x:c r="G7" s="82" t="str">
        <x:v>结构层</x:v>
      </x:c>
      <x:c r="H7" s="82" t="str">
        <x:v>比肩</x:v>
      </x:c>
      <x:c r="I7" s="82" t="str">
        <x:v>透干</x:v>
      </x:c>
      <x:c r="J7" s="82" t="str">
        <x:v>待定</x:v>
      </x:c>
      <x:c r="K7" s="82" t="str">
        <x:v>待定</x:v>
      </x:c>
      <x:c r="L7" s="82" t="str">
        <x:v>待定</x:v>
      </x:c>
      <x:c r="M7" s="68" t="str">
        <x:v>按M08核查</x:v>
      </x:c>
      <x:c r="N7" s="68" t="str">
        <x:v>按M06/M08核查</x:v>
      </x:c>
      <x:c r="O7" s="82" t="str">
        <x:v>待定</x:v>
      </x:c>
      <x:c r="P7" s="68" t="str">
        <x:v>转M11/M14判断</x:v>
      </x:c>
      <x:c r="Q7" s="68" t="str">
        <x:v>存在层面明确，但实际帮身或分力取决于有效旺衰</x:v>
      </x:c>
      <x:c r="R7" s="82" t="str">
        <x:v>待定</x:v>
      </x:c>
      <x:c r="S7" s="68" t="str">
        <x:v>目标十神出现在四柱天干</x:v>
      </x:c>
      <x:c r="T7" s="68" t="str">
        <x:v>M02十神映射、M08五行有效旺衰、M09日主旺衰已完成</x:v>
      </x:c>
      <x:c r="U7" s="68" t="str">
        <x:v>先依据日主阴阳生克正确映射该天干十神</x:v>
      </x:c>
      <x:c r="V7" s="68" t="str">
        <x:v>得令、有根、透干、同党或生源形成独立有效证据</x:v>
      </x:c>
      <x:c r="W7" s="68" t="str">
        <x:v>失令、无根、被合绊、被制、改性或作用路径受阻</x:v>
      </x:c>
      <x:c r="X7" s="90" t="str">
        <x:v>不得以十神名称、数量或单一旺弱证据直接完成定性</x:v>
      </x:c>
      <x:c r="Y7" s="68" t="str">
        <x:v>特殊格局、从化候选及明确组合转M11/M14另审</x:v>
      </x:c>
      <x:c r="Z7" s="68" t="str">
        <x:v>不得由透干直接推出十神旺、清纯、有用或为喜忌</x:v>
      </x:c>
      <x:c r="AA7" s="84" t="str">
        <x:v>十神显性存在</x:v>
      </x:c>
      <x:c r="AB7" s="84" t="str">
        <x:v>十神透干属于明确显性存在：当“目标十神出现在四柱天干”成立时，按本规则记录十神的有效功能；同时保留制化、承载和反向证据。</x:v>
      </x:c>
      <x:c r="AC7" s="82" t="str">
        <x:v>较高</x:v>
      </x:c>
      <x:c r="AD7" s="82" t="str">
        <x:v>现代综合</x:v>
      </x:c>
      <x:c r="AE7" s="68" t="str">
        <x:v>十神必须分开判断存在性、力量、清纯度、功能性与喜忌性；M10只形成结构层结论和候选，不越级替代M11—M18。</x:v>
      </x:c>
      <x:c r="AF7" s="68" t="str">
        <x:v>相关条件真实成立，且增强条件有效时，可按“十神透干属于明确显性存在”记录对应功能。</x:v>
      </x:c>
      <x:c r="AG7" s="90" t="str">
        <x:v>仅见表面十神名称或数量，但“不得以十神名称、数量或单一旺弱证据直接完成定性”所述限制存在时，不得套用本规则。</x:v>
      </x:c>
      <x:c r="AH7" s="68" t="str">
        <x:v>https://zh.wikisource.org/wiki/%E6%B8%8A%E6%B5%B7%E5%AD%90%E5%B9%B3%E5%A4%A7%E5%85%A8 ; https://zh.wikisource.org/wiki/%E6%BB%B4%E5%A4%A9%E9%AB%93%E9%97%A1%E5%BE%AE</x:v>
      </x:c>
      <x:c r="AI7" s="82" t="str">
        <x:v>采用</x:v>
      </x:c>
      <x:c r="AJ7" s="82" t="str">
        <x:v>初审</x:v>
      </x:c>
      <x:c r="AK7" s="87" t="n">
        <x:v>46255</x:v>
      </x:c>
    </x:row>
    <x:row r="8">
      <x:c r="A8" s="72" t="str">
        <x:f>IF(OR(C8="",D8=""),"",B8&amp;"-"&amp;UPPER(C8)&amp;"-"&amp;TEXT(D8,"0000")&amp;"-"&amp;E8)</x:f>
        <x:v>M10-PRES-0002-V1.0</x:v>
      </x:c>
      <x:c r="B8" s="74" t="str">
        <x:v>M10</x:v>
      </x:c>
      <x:c r="C8" s="74" t="str">
        <x:v>PRES</x:v>
      </x:c>
      <x:c r="D8" s="215" t="n">
        <x:v>2</x:v>
      </x:c>
      <x:c r="E8" s="74" t="str">
        <x:v>V1.0</x:v>
      </x:c>
      <x:c r="F8" s="68" t="str">
        <x:v>藏于地支本气属于稳定的隐性存在</x:v>
      </x:c>
      <x:c r="G8" s="82" t="str">
        <x:v>结构层</x:v>
      </x:c>
      <x:c r="H8" s="82" t="str">
        <x:v>劫财</x:v>
      </x:c>
      <x:c r="I8" s="82" t="str">
        <x:v>藏支本气</x:v>
      </x:c>
      <x:c r="J8" s="82" t="str">
        <x:v>待定</x:v>
      </x:c>
      <x:c r="K8" s="82" t="str">
        <x:v>待定</x:v>
      </x:c>
      <x:c r="L8" s="82" t="str">
        <x:v>待定</x:v>
      </x:c>
      <x:c r="M8" s="68" t="str">
        <x:v>按M08核查</x:v>
      </x:c>
      <x:c r="N8" s="68" t="str">
        <x:v>按M06/M08核查</x:v>
      </x:c>
      <x:c r="O8" s="82" t="str">
        <x:v>待定</x:v>
      </x:c>
      <x:c r="P8" s="68" t="str">
        <x:v>转M11/M14判断</x:v>
      </x:c>
      <x:c r="Q8" s="68" t="str">
        <x:v>需结合M09日主承载判断</x:v>
      </x:c>
      <x:c r="R8" s="82" t="str">
        <x:v>待定</x:v>
      </x:c>
      <x:c r="S8" s="68" t="str">
        <x:v>目标十神对应天干藏于某地支本气</x:v>
      </x:c>
      <x:c r="T8" s="68" t="str">
        <x:v>M02十神映射、M08五行有效旺衰、M09日主旺衰已完成</x:v>
      </x:c>
      <x:c r="U8" s="68" t="str">
        <x:v>相关十神已由M02正确映射，并以M08有效力量为准</x:v>
      </x:c>
      <x:c r="V8" s="68" t="str">
        <x:v>得令、有根、透干、同党或生源形成独立有效证据</x:v>
      </x:c>
      <x:c r="W8" s="68" t="str">
        <x:v>失令、无根、被合绊、被制、改性或作用路径受阻</x:v>
      </x:c>
      <x:c r="X8" s="90" t="str">
        <x:v>不得以十神名称、数量或单一旺弱证据直接完成定性</x:v>
      </x:c>
      <x:c r="Y8" s="68" t="str">
        <x:v>特殊格局、从化候选及明确组合转M11/M14另审</x:v>
      </x:c>
      <x:c r="Z8" s="68" t="str">
        <x:v>不得由本气藏支直接推出已经透达或一定发挥强功能</x:v>
      </x:c>
      <x:c r="AA8" s="84" t="str">
        <x:v>十神本气藏支</x:v>
      </x:c>
      <x:c r="AB8" s="84" t="str">
        <x:v>藏于地支本气属于稳定的隐性存在：当“目标十神对应天干藏于某地支本气”成立时，按本规则记录十神的有效功能；同时保留制化、承载和反向证据。</x:v>
      </x:c>
      <x:c r="AC8" s="82" t="str">
        <x:v>较高</x:v>
      </x:c>
      <x:c r="AD8" s="82" t="str">
        <x:v>现代综合</x:v>
      </x:c>
      <x:c r="AE8" s="68" t="str">
        <x:v>十神必须分开判断存在性、力量、清纯度、功能性与喜忌性；M10只形成结构层结论和候选，不越级替代M11—M18。</x:v>
      </x:c>
      <x:c r="AF8" s="68" t="str">
        <x:v>相关条件真实成立，且增强条件有效时，可按“藏于地支本气属于稳定的隐性存在”记录对应功能。</x:v>
      </x:c>
      <x:c r="AG8" s="90" t="str">
        <x:v>仅见表面十神名称或数量，但“不得以十神名称、数量或单一旺弱证据直接完成定性”所述限制存在时，不得套用本规则。</x:v>
      </x:c>
      <x:c r="AH8" s="68" t="str">
        <x:v>https://zh.wikisource.org/wiki/%E6%B8%8A%E6%B5%B7%E5%AD%90%E5%B9%B3%E5%A4%A7%E5%85%A8 ; https://zh.wikisource.org/wiki/%E6%BB%B4%E5%A4%A9%E9%AB%93%E9%97%A1%E5%BE%AE</x:v>
      </x:c>
      <x:c r="AI8" s="82" t="str">
        <x:v>采用</x:v>
      </x:c>
      <x:c r="AJ8" s="82" t="str">
        <x:v>初审</x:v>
      </x:c>
      <x:c r="AK8" s="87" t="n">
        <x:v>46255</x:v>
      </x:c>
    </x:row>
    <x:row r="9">
      <x:c r="A9" s="72" t="str">
        <x:f>IF(OR(C9="",D9=""),"",B9&amp;"-"&amp;UPPER(C9)&amp;"-"&amp;TEXT(D9,"0000")&amp;"-"&amp;E9)</x:f>
        <x:v>M10-PRES-0003-V1.0</x:v>
      </x:c>
      <x:c r="B9" s="74" t="str">
        <x:v>M10</x:v>
      </x:c>
      <x:c r="C9" s="74" t="str">
        <x:v>PRES</x:v>
      </x:c>
      <x:c r="D9" s="215" t="n">
        <x:v>3</x:v>
      </x:c>
      <x:c r="E9" s="74" t="str">
        <x:v>V1.0</x:v>
      </x:c>
      <x:c r="F9" s="68" t="str">
        <x:v>藏于地支中气属于中层隐性存在</x:v>
      </x:c>
      <x:c r="G9" s="82" t="str">
        <x:v>结构层</x:v>
      </x:c>
      <x:c r="H9" s="82" t="str">
        <x:v>食神</x:v>
      </x:c>
      <x:c r="I9" s="82" t="str">
        <x:v>藏支中气</x:v>
      </x:c>
      <x:c r="J9" s="82" t="str">
        <x:v>待定</x:v>
      </x:c>
      <x:c r="K9" s="82" t="str">
        <x:v>待定</x:v>
      </x:c>
      <x:c r="L9" s="82" t="str">
        <x:v>待定</x:v>
      </x:c>
      <x:c r="M9" s="68" t="str">
        <x:v>按M08核查</x:v>
      </x:c>
      <x:c r="N9" s="68" t="str">
        <x:v>按M06/M08核查</x:v>
      </x:c>
      <x:c r="O9" s="82" t="str">
        <x:v>待定</x:v>
      </x:c>
      <x:c r="P9" s="68" t="str">
        <x:v>转M11/M14判断</x:v>
      </x:c>
      <x:c r="Q9" s="68" t="str">
        <x:v>需结合M09日主承载判断</x:v>
      </x:c>
      <x:c r="R9" s="82" t="str">
        <x:v>待定</x:v>
      </x:c>
      <x:c r="S9" s="68" t="str">
        <x:v>目标十神对应天干藏于某地支中气</x:v>
      </x:c>
      <x:c r="T9" s="68" t="str">
        <x:v>M02十神映射、M08五行有效旺衰、M09日主旺衰已完成</x:v>
      </x:c>
      <x:c r="U9" s="68" t="str">
        <x:v>相关十神已由M02正确映射，并以M08有效力量为准</x:v>
      </x:c>
      <x:c r="V9" s="68" t="str">
        <x:v>得令、有根、透干、同党或生源形成独立有效证据</x:v>
      </x:c>
      <x:c r="W9" s="68" t="str">
        <x:v>失令、无根、被合绊、被制、改性或作用路径受阻</x:v>
      </x:c>
      <x:c r="X9" s="90" t="str">
        <x:v>不得以十神名称、数量或单一旺弱证据直接完成定性</x:v>
      </x:c>
      <x:c r="Y9" s="68" t="str">
        <x:v>特殊格局、从化候选及明确组合转M11/M14另审</x:v>
      </x:c>
      <x:c r="Z9" s="68" t="str">
        <x:v>不得把中气藏干与本气、透干等权</x:v>
      </x:c>
      <x:c r="AA9" s="84" t="str">
        <x:v>十神中气藏支</x:v>
      </x:c>
      <x:c r="AB9" s="84" t="str">
        <x:v>藏于地支中气属于中层隐性存在：当“目标十神对应天干藏于某地支中气”成立时，按本规则记录十神的有效功能；同时保留制化、承载和反向证据。</x:v>
      </x:c>
      <x:c r="AC9" s="82" t="str">
        <x:v>较高</x:v>
      </x:c>
      <x:c r="AD9" s="82" t="str">
        <x:v>现代综合</x:v>
      </x:c>
      <x:c r="AE9" s="68" t="str">
        <x:v>十神必须分开判断存在性、力量、清纯度、功能性与喜忌性；M10只形成结构层结论和候选，不越级替代M11—M18。</x:v>
      </x:c>
      <x:c r="AF9" s="68" t="str">
        <x:v>相关条件真实成立，且增强条件有效时，可按“藏于地支中气属于中层隐性存在”记录对应功能。</x:v>
      </x:c>
      <x:c r="AG9" s="90" t="str">
        <x:v>仅见表面十神名称或数量，但“不得以十神名称、数量或单一旺弱证据直接完成定性”所述限制存在时，不得套用本规则。</x:v>
      </x:c>
      <x:c r="AH9" s="68" t="str">
        <x:v>https://zh.wikisource.org/wiki/%E6%B8%8A%E6%B5%B7%E5%AD%90%E5%B9%B3%E5%A4%A7%E5%85%A8 ; https://zh.wikisource.org/wiki/%E6%BB%B4%E5%A4%A9%E9%AB%93%E9%97%A1%E5%BE%AE</x:v>
      </x:c>
      <x:c r="AI9" s="82" t="str">
        <x:v>采用</x:v>
      </x:c>
      <x:c r="AJ9" s="82" t="str">
        <x:v>初审</x:v>
      </x:c>
      <x:c r="AK9" s="87" t="n">
        <x:v>46255</x:v>
      </x:c>
    </x:row>
    <x:row r="10">
      <x:c r="A10" s="72" t="str">
        <x:f>IF(OR(C10="",D10=""),"",B10&amp;"-"&amp;UPPER(C10)&amp;"-"&amp;TEXT(D10,"0000")&amp;"-"&amp;E10)</x:f>
        <x:v>M10-PRES-0004-V1.0</x:v>
      </x:c>
      <x:c r="B10" s="74" t="str">
        <x:v>M10</x:v>
      </x:c>
      <x:c r="C10" s="74" t="str">
        <x:v>PRES</x:v>
      </x:c>
      <x:c r="D10" s="215" t="n">
        <x:v>4</x:v>
      </x:c>
      <x:c r="E10" s="74" t="str">
        <x:v>V1.0</x:v>
      </x:c>
      <x:c r="F10" s="68" t="str">
        <x:v>藏于地支余气属于弱层隐性存在</x:v>
      </x:c>
      <x:c r="G10" s="82" t="str">
        <x:v>结构层</x:v>
      </x:c>
      <x:c r="H10" s="82" t="str">
        <x:v>伤官</x:v>
      </x:c>
      <x:c r="I10" s="82" t="str">
        <x:v>藏支余气</x:v>
      </x:c>
      <x:c r="J10" s="82" t="str">
        <x:v>待定</x:v>
      </x:c>
      <x:c r="K10" s="82" t="str">
        <x:v>待定</x:v>
      </x:c>
      <x:c r="L10" s="82" t="str">
        <x:v>待定</x:v>
      </x:c>
      <x:c r="M10" s="68" t="str">
        <x:v>按M08核查</x:v>
      </x:c>
      <x:c r="N10" s="68" t="str">
        <x:v>按M06/M08核查</x:v>
      </x:c>
      <x:c r="O10" s="82" t="str">
        <x:v>待定</x:v>
      </x:c>
      <x:c r="P10" s="68" t="str">
        <x:v>转M11/M14判断</x:v>
      </x:c>
      <x:c r="Q10" s="68" t="str">
        <x:v>需结合M09日主承载判断</x:v>
      </x:c>
      <x:c r="R10" s="82" t="str">
        <x:v>待定</x:v>
      </x:c>
      <x:c r="S10" s="68" t="str">
        <x:v>目标十神对应天干藏于某地支余气</x:v>
      </x:c>
      <x:c r="T10" s="68" t="str">
        <x:v>M02十神映射、M08五行有效旺衰、M09日主旺衰已完成</x:v>
      </x:c>
      <x:c r="U10" s="68" t="str">
        <x:v>相关十神已由M02正确映射，并以M08有效力量为准</x:v>
      </x:c>
      <x:c r="V10" s="68" t="str">
        <x:v>得令、有根、透干、同党或生源形成独立有效证据</x:v>
      </x:c>
      <x:c r="W10" s="68" t="str">
        <x:v>失令、无根、被合绊、被制、改性或作用路径受阻</x:v>
      </x:c>
      <x:c r="X10" s="90" t="str">
        <x:v>不得以十神名称、数量或单一旺弱证据直接完成定性</x:v>
      </x:c>
      <x:c r="Y10" s="68" t="str">
        <x:v>特殊格局、从化候选及明确组合转M11/M14另审</x:v>
      </x:c>
      <x:c r="Z10" s="68" t="str">
        <x:v>不得把余气存在直接写成该十神旺或主导</x:v>
      </x:c>
      <x:c r="AA10" s="84" t="str">
        <x:v>十神余气藏支</x:v>
      </x:c>
      <x:c r="AB10" s="84" t="str">
        <x:v>藏于地支余气属于弱层隐性存在：当“目标十神对应天干藏于某地支余气”成立时，按本规则记录十神的有效功能；同时保留制化、承载和反向证据。</x:v>
      </x:c>
      <x:c r="AC10" s="82" t="str">
        <x:v>较高</x:v>
      </x:c>
      <x:c r="AD10" s="82" t="str">
        <x:v>现代综合</x:v>
      </x:c>
      <x:c r="AE10" s="68" t="str">
        <x:v>十神必须分开判断存在性、力量、清纯度、功能性与喜忌性；M10只形成结构层结论和候选，不越级替代M11—M18。</x:v>
      </x:c>
      <x:c r="AF10" s="68" t="str">
        <x:v>相关条件真实成立，且增强条件有效时，可按“藏于地支余气属于弱层隐性存在”记录对应功能。</x:v>
      </x:c>
      <x:c r="AG10" s="90" t="str">
        <x:v>仅见表面十神名称或数量，但“不得以十神名称、数量或单一旺弱证据直接完成定性”所述限制存在时，不得套用本规则。</x:v>
      </x:c>
      <x:c r="AH10" s="68" t="str">
        <x:v>https://zh.wikisource.org/wiki/%E6%B8%8A%E6%B5%B7%E5%AD%90%E5%B9%B3%E5%A4%A7%E5%85%A8 ; https://zh.wikisource.org/wiki/%E6%BB%B4%E5%A4%A9%E9%AB%93%E9%97%A1%E5%BE%AE</x:v>
      </x:c>
      <x:c r="AI10" s="82" t="str">
        <x:v>采用</x:v>
      </x:c>
      <x:c r="AJ10" s="82" t="str">
        <x:v>初审</x:v>
      </x:c>
      <x:c r="AK10" s="87" t="n">
        <x:v>46255</x:v>
      </x:c>
    </x:row>
    <x:row r="11">
      <x:c r="A11" s="72" t="str">
        <x:f>IF(OR(C11="",D11=""),"",B11&amp;"-"&amp;UPPER(C11)&amp;"-"&amp;TEXT(D11,"0000")&amp;"-"&amp;E11)</x:f>
        <x:v>M10-PRES-0005-V1.0</x:v>
      </x:c>
      <x:c r="B11" s="74" t="str">
        <x:v>M10</x:v>
      </x:c>
      <x:c r="C11" s="74" t="str">
        <x:v>PRES</x:v>
      </x:c>
      <x:c r="D11" s="215" t="n">
        <x:v>5</x:v>
      </x:c>
      <x:c r="E11" s="74" t="str">
        <x:v>V1.0</x:v>
      </x:c>
      <x:c r="F11" s="68" t="str">
        <x:v>同一十神多处出现只证明节点增多</x:v>
      </x:c>
      <x:c r="G11" s="82" t="str">
        <x:v>结构层</x:v>
      </x:c>
      <x:c r="H11" s="82" t="str">
        <x:v>偏财</x:v>
      </x:c>
      <x:c r="I11" s="82" t="str">
        <x:v>多处出现</x:v>
      </x:c>
      <x:c r="J11" s="82" t="str">
        <x:v>待定</x:v>
      </x:c>
      <x:c r="K11" s="82" t="str">
        <x:v>待定</x:v>
      </x:c>
      <x:c r="L11" s="82" t="str">
        <x:v>待定</x:v>
      </x:c>
      <x:c r="M11" s="68" t="str">
        <x:v>按M08核查</x:v>
      </x:c>
      <x:c r="N11" s="68" t="str">
        <x:v>按M06/M08核查</x:v>
      </x:c>
      <x:c r="O11" s="82" t="str">
        <x:v>待定</x:v>
      </x:c>
      <x:c r="P11" s="68" t="str">
        <x:v>转M11/M14判断</x:v>
      </x:c>
      <x:c r="Q11" s="68" t="str">
        <x:v>需结合M09日主承载判断</x:v>
      </x:c>
      <x:c r="R11" s="82" t="str">
        <x:v>待定</x:v>
      </x:c>
      <x:c r="S11" s="68" t="str">
        <x:v>同一十神在两个及以上独立干支节点出现</x:v>
      </x:c>
      <x:c r="T11" s="68" t="str">
        <x:v>M02十神映射、M08五行有效旺衰、M09日主旺衰已完成</x:v>
      </x:c>
      <x:c r="U11" s="68" t="str">
        <x:v>相关十神已由M02正确映射，并以M08有效力量为准</x:v>
      </x:c>
      <x:c r="V11" s="68" t="str">
        <x:v>得令、有根、透干、同党或生源形成独立有效证据</x:v>
      </x:c>
      <x:c r="W11" s="68" t="str">
        <x:v>失令、无根、被合绊、被制、改性或作用路径受阻</x:v>
      </x:c>
      <x:c r="X11" s="90" t="str">
        <x:v>不得以十神名称、数量或单一旺弱证据直接完成定性</x:v>
      </x:c>
      <x:c r="Y11" s="68" t="str">
        <x:v>特殊格局、从化候选及明确组合转M11/M14另审</x:v>
      </x:c>
      <x:c r="Z11" s="68" t="str">
        <x:v>不得按出现次数线性累加十神力量或直接判成势</x:v>
      </x:c>
      <x:c r="AA11" s="84" t="str">
        <x:v>十神多节点存在</x:v>
      </x:c>
      <x:c r="AB11" s="84" t="str">
        <x:v>同一十神多处出现只证明节点增多：当“同一十神在两个及以上独立干支节点出现”成立时，按本规则记录十神的有效功能；同时保留制化、承载和反向证据。</x:v>
      </x:c>
      <x:c r="AC11" s="82" t="str">
        <x:v>较高</x:v>
      </x:c>
      <x:c r="AD11" s="82" t="str">
        <x:v>现代综合</x:v>
      </x:c>
      <x:c r="AE11" s="68" t="str">
        <x:v>十神必须分开判断存在性、力量、清纯度、功能性与喜忌性；M10只形成结构层结论和候选，不越级替代M11—M18。</x:v>
      </x:c>
      <x:c r="AF11" s="68" t="str">
        <x:v>相关条件真实成立，且增强条件有效时，可按“同一十神多处出现只证明节点增多”记录对应功能。</x:v>
      </x:c>
      <x:c r="AG11" s="90" t="str">
        <x:v>仅见表面十神名称或数量，但“不得以十神名称、数量或单一旺弱证据直接完成定性”所述限制存在时，不得套用本规则。</x:v>
      </x:c>
      <x:c r="AH11" s="68" t="str">
        <x:v>https://zh.wikisource.org/wiki/%E6%B8%8A%E6%B5%B7%E5%AD%90%E5%B9%B3%E5%A4%A7%E5%85%A8 ; https://zh.wikisource.org/wiki/%E6%BB%B4%E5%A4%A9%E9%AB%93%E9%97%A1%E5%BE%AE</x:v>
      </x:c>
      <x:c r="AI11" s="82" t="str">
        <x:v>采用</x:v>
      </x:c>
      <x:c r="AJ11" s="82" t="str">
        <x:v>初审</x:v>
      </x:c>
      <x:c r="AK11" s="87" t="n">
        <x:v>46255</x:v>
      </x:c>
    </x:row>
    <x:row r="12">
      <x:c r="A12" s="72" t="str">
        <x:f>IF(OR(C12="",D12=""),"",B12&amp;"-"&amp;UPPER(C12)&amp;"-"&amp;TEXT(D12,"0000")&amp;"-"&amp;E12)</x:f>
        <x:v>M10-PRES-0006-V1.0</x:v>
      </x:c>
      <x:c r="B12" s="74" t="str">
        <x:v>M10</x:v>
      </x:c>
      <x:c r="C12" s="74" t="str">
        <x:v>PRES</x:v>
      </x:c>
      <x:c r="D12" s="215" t="n">
        <x:v>6</x:v>
      </x:c>
      <x:c r="E12" s="74" t="str">
        <x:v>V1.0</x:v>
      </x:c>
      <x:c r="F12" s="68" t="str">
        <x:v>十神完全不现仅表示原局无直接节点</x:v>
      </x:c>
      <x:c r="G12" s="82" t="str">
        <x:v>结构层</x:v>
      </x:c>
      <x:c r="H12" s="82" t="str">
        <x:v>正财</x:v>
      </x:c>
      <x:c r="I12" s="82" t="str">
        <x:v>完全不现</x:v>
      </x:c>
      <x:c r="J12" s="82" t="str">
        <x:v>极弱</x:v>
      </x:c>
      <x:c r="K12" s="82" t="str">
        <x:v>极弱</x:v>
      </x:c>
      <x:c r="L12" s="82" t="str">
        <x:v>待定</x:v>
      </x:c>
      <x:c r="M12" s="68" t="str">
        <x:v>按M08核查</x:v>
      </x:c>
      <x:c r="N12" s="68" t="str">
        <x:v>按M06/M08核查</x:v>
      </x:c>
      <x:c r="O12" s="82" t="str">
        <x:v>待定</x:v>
      </x:c>
      <x:c r="P12" s="68" t="str">
        <x:v>转M11/M14判断</x:v>
      </x:c>
      <x:c r="Q12" s="68" t="str">
        <x:v>需结合M09日主承载判断</x:v>
      </x:c>
      <x:c r="R12" s="82" t="str">
        <x:v>待定</x:v>
      </x:c>
      <x:c r="S12" s="68" t="str">
        <x:v>四柱明干与藏干均未出现目标十神</x:v>
      </x:c>
      <x:c r="T12" s="68" t="str">
        <x:v>M02十神映射、M08五行有效旺衰、M09日主旺衰已完成</x:v>
      </x:c>
      <x:c r="U12" s="68" t="str">
        <x:v>相关十神已由M02正确映射，并以M08有效力量为准</x:v>
      </x:c>
      <x:c r="V12" s="68" t="str">
        <x:v>得令、有根、透干、同党或生源形成独立有效证据</x:v>
      </x:c>
      <x:c r="W12" s="68" t="str">
        <x:v>失令、无根、被合绊、被制、改性或作用路径受阻</x:v>
      </x:c>
      <x:c r="X12" s="90" t="str">
        <x:v>不得以十神名称、数量或单一旺弱证据直接完成定性</x:v>
      </x:c>
      <x:c r="Y12" s="68" t="str">
        <x:v>特殊格局、从化候选及明确组合转M11/M14另审</x:v>
      </x:c>
      <x:c r="Z12" s="68" t="str">
        <x:v>不得由原局不现直接推出人生领域缺失、没有某类亲属或具体事件不会发生</x:v>
      </x:c>
      <x:c r="AA12" s="84" t="str">
        <x:v>十神原局不现</x:v>
      </x:c>
      <x:c r="AB12" s="84" t="str">
        <x:v>十神完全不现仅表示原局无直接节点：当“四柱明干与藏干均未出现目标十神”成立时，按本规则记录十神的有效功能；同时保留制化、承载和反向证据。</x:v>
      </x:c>
      <x:c r="AC12" s="82" t="str">
        <x:v>较高</x:v>
      </x:c>
      <x:c r="AD12" s="82" t="str">
        <x:v>现代综合</x:v>
      </x:c>
      <x:c r="AE12" s="68" t="str">
        <x:v>十神必须分开判断存在性、力量、清纯度、功能性与喜忌性；M10只形成结构层结论和候选，不越级替代M11—M18。</x:v>
      </x:c>
      <x:c r="AF12" s="68" t="str">
        <x:v>相关条件真实成立，且增强条件有效时，可按“十神完全不现仅表示原局无直接节点”记录对应功能。</x:v>
      </x:c>
      <x:c r="AG12" s="90" t="str">
        <x:v>仅见表面十神名称或数量，但“不得以十神名称、数量或单一旺弱证据直接完成定性”所述限制存在时，不得套用本规则。</x:v>
      </x:c>
      <x:c r="AH12" s="68" t="str">
        <x:v>https://zh.wikisource.org/wiki/%E6%B8%8A%E6%B5%B7%E5%AD%90%E5%B9%B3%E5%A4%A7%E5%85%A8 ; https://zh.wikisource.org/wiki/%E6%BB%B4%E5%A4%A9%E9%AB%93%E9%97%A1%E5%BE%AE</x:v>
      </x:c>
      <x:c r="AI12" s="82" t="str">
        <x:v>采用</x:v>
      </x:c>
      <x:c r="AJ12" s="82" t="str">
        <x:v>初审</x:v>
      </x:c>
      <x:c r="AK12" s="87" t="n">
        <x:v>46255</x:v>
      </x:c>
    </x:row>
    <x:row r="13">
      <x:c r="A13" s="72" t="str">
        <x:f>IF(OR(C13="",D13=""),"",B13&amp;"-"&amp;UPPER(C13)&amp;"-"&amp;TEXT(D13,"0000")&amp;"-"&amp;E13)</x:f>
        <x:v>M10-PRES-0007-V1.0</x:v>
      </x:c>
      <x:c r="B13" s="74" t="str">
        <x:v>M10</x:v>
      </x:c>
      <x:c r="C13" s="74" t="str">
        <x:v>PRES</x:v>
      </x:c>
      <x:c r="D13" s="215" t="n">
        <x:v>7</x:v>
      </x:c>
      <x:c r="E13" s="74" t="str">
        <x:v>V1.0</x:v>
      </x:c>
      <x:c r="F13" s="68" t="str">
        <x:v>透干且通根应同时记录存在方式与承载</x:v>
      </x:c>
      <x:c r="G13" s="82" t="str">
        <x:v>结构层</x:v>
      </x:c>
      <x:c r="H13" s="82" t="str">
        <x:v>七杀</x:v>
      </x:c>
      <x:c r="I13" s="82" t="str">
        <x:v>透干</x:v>
      </x:c>
      <x:c r="J13" s="82" t="str">
        <x:v>待定</x:v>
      </x:c>
      <x:c r="K13" s="82" t="str">
        <x:v>待定</x:v>
      </x:c>
      <x:c r="L13" s="82" t="str">
        <x:v>待定</x:v>
      </x:c>
      <x:c r="M13" s="68" t="str">
        <x:v>按M08核查</x:v>
      </x:c>
      <x:c r="N13" s="68" t="str">
        <x:v>按M06/M08核查</x:v>
      </x:c>
      <x:c r="O13" s="82" t="str">
        <x:v>待定</x:v>
      </x:c>
      <x:c r="P13" s="68" t="str">
        <x:v>转M11/M14判断</x:v>
      </x:c>
      <x:c r="Q13" s="68" t="str">
        <x:v>七杀制身路径更容易形成，但仍须审制化与日主承载</x:v>
      </x:c>
      <x:c r="R13" s="82" t="str">
        <x:v>待定</x:v>
      </x:c>
      <x:c r="S13" s="68" t="str">
        <x:v>七杀透干并在地支有有效同类根</x:v>
      </x:c>
      <x:c r="T13" s="68" t="str">
        <x:v>M02十神映射、M08五行有效旺衰、M09日主旺衰已完成</x:v>
      </x:c>
      <x:c r="U13" s="68" t="str">
        <x:v>相关十神已由M02正确映射，并以M08有效力量为准</x:v>
      </x:c>
      <x:c r="V13" s="68" t="str">
        <x:v>得令、有根、透干、同党或生源形成独立有效证据</x:v>
      </x:c>
      <x:c r="W13" s="68" t="str">
        <x:v>失令、无根、被合绊、被制、改性或作用路径受阻</x:v>
      </x:c>
      <x:c r="X13" s="90" t="str">
        <x:v>不得以十神名称、数量或单一旺弱证据直接完成定性</x:v>
      </x:c>
      <x:c r="Y13" s="68" t="str">
        <x:v>特殊格局、从化候选及明确组合转M11/M14另审</x:v>
      </x:c>
      <x:c r="Z13" s="68" t="str">
        <x:v>不得直接推出吉凶、具体事件、亲属结果或最终喜忌</x:v>
      </x:c>
      <x:c r="AA13" s="84" t="str">
        <x:v>十神透根相应</x:v>
      </x:c>
      <x:c r="AB13" s="84" t="str">
        <x:v>透干且通根应同时记录存在方式与承载：当“七杀透干并在地支有有效同类根”成立时，按本规则记录十神的有效功能；同时保留制化、承载和反向证据。</x:v>
      </x:c>
      <x:c r="AC13" s="82" t="str">
        <x:v>较高</x:v>
      </x:c>
      <x:c r="AD13" s="82" t="str">
        <x:v>现代综合</x:v>
      </x:c>
      <x:c r="AE13" s="68" t="str">
        <x:v>十神必须分开判断存在性、力量、清纯度、功能性与喜忌性；M10只形成结构层结论和候选，不越级替代M11—M18。</x:v>
      </x:c>
      <x:c r="AF13" s="68" t="str">
        <x:v>相关条件真实成立，且增强条件有效时，可按“透干且通根应同时记录存在方式与承载”记录对应功能。</x:v>
      </x:c>
      <x:c r="AG13" s="90" t="str">
        <x:v>仅见表面十神名称或数量，但“不得以十神名称、数量或单一旺弱证据直接完成定性”所述限制存在时，不得套用本规则。</x:v>
      </x:c>
      <x:c r="AH13" s="68" t="str">
        <x:v>https://zh.wikisource.org/wiki/%E6%B8%8A%E6%B5%B7%E5%AD%90%E5%B9%B3%E5%A4%A7%E5%85%A8 ; https://zh.wikisource.org/wiki/%E6%BB%B4%E5%A4%A9%E9%AB%93%E9%97%A1%E5%BE%AE</x:v>
      </x:c>
      <x:c r="AI13" s="82" t="str">
        <x:v>采用</x:v>
      </x:c>
      <x:c r="AJ13" s="82" t="str">
        <x:v>初审</x:v>
      </x:c>
      <x:c r="AK13" s="87" t="n">
        <x:v>46255</x:v>
      </x:c>
    </x:row>
    <x:row r="14">
      <x:c r="A14" s="72" t="str">
        <x:f>IF(OR(C14="",D14=""),"",B14&amp;"-"&amp;UPPER(C14)&amp;"-"&amp;TEXT(D14,"0000")&amp;"-"&amp;E14)</x:f>
        <x:v>M10-PRES-0008-V1.0</x:v>
      </x:c>
      <x:c r="B14" s="74" t="str">
        <x:v>M10</x:v>
      </x:c>
      <x:c r="C14" s="74" t="str">
        <x:v>PRES</x:v>
      </x:c>
      <x:c r="D14" s="215" t="n">
        <x:v>8</x:v>
      </x:c>
      <x:c r="E14" s="74" t="str">
        <x:v>V1.0</x:v>
      </x:c>
      <x:c r="F14" s="68" t="str">
        <x:v>藏而不透不等于十神不存在</x:v>
      </x:c>
      <x:c r="G14" s="82" t="str">
        <x:v>结构层</x:v>
      </x:c>
      <x:c r="H14" s="82" t="str">
        <x:v>正官</x:v>
      </x:c>
      <x:c r="I14" s="82" t="str">
        <x:v>藏支本气</x:v>
      </x:c>
      <x:c r="J14" s="82" t="str">
        <x:v>待定</x:v>
      </x:c>
      <x:c r="K14" s="82" t="str">
        <x:v>待定</x:v>
      </x:c>
      <x:c r="L14" s="82" t="str">
        <x:v>待定</x:v>
      </x:c>
      <x:c r="M14" s="68" t="str">
        <x:v>按M08核查</x:v>
      </x:c>
      <x:c r="N14" s="68" t="str">
        <x:v>按M06/M08核查</x:v>
      </x:c>
      <x:c r="O14" s="82" t="str">
        <x:v>待定</x:v>
      </x:c>
      <x:c r="P14" s="68" t="str">
        <x:v>转M11/M14判断</x:v>
      </x:c>
      <x:c r="Q14" s="68" t="str">
        <x:v>原局存在官星基础，但显性作用和组合接口较弱</x:v>
      </x:c>
      <x:c r="R14" s="82" t="str">
        <x:v>待定</x:v>
      </x:c>
      <x:c r="S14" s="68" t="str">
        <x:v>正官只见于地支藏干而天干不透</x:v>
      </x:c>
      <x:c r="T14" s="68" t="str">
        <x:v>M02十神映射、M08五行有效旺衰、M09日主旺衰已完成</x:v>
      </x:c>
      <x:c r="U14" s="68" t="str">
        <x:v>相关十神已由M02正确映射，并以M08有效力量为准</x:v>
      </x:c>
      <x:c r="V14" s="68" t="str">
        <x:v>得令、有根、透干、同党或生源形成独立有效证据</x:v>
      </x:c>
      <x:c r="W14" s="68" t="str">
        <x:v>失令、无根、被合绊、被制、改性或作用路径受阻</x:v>
      </x:c>
      <x:c r="X14" s="90" t="str">
        <x:v>不得以十神名称、数量或单一旺弱证据直接完成定性</x:v>
      </x:c>
      <x:c r="Y14" s="68" t="str">
        <x:v>特殊格局、从化候选及明确组合转M11/M14另审</x:v>
      </x:c>
      <x:c r="Z14" s="68" t="str">
        <x:v>不得直接推出吉凶、具体事件、亲属结果或最终喜忌</x:v>
      </x:c>
      <x:c r="AA14" s="84" t="str">
        <x:v>十神藏而不透</x:v>
      </x:c>
      <x:c r="AB14" s="84" t="str">
        <x:v>藏而不透不等于十神不存在：当“正官只见于地支藏干而天干不透”成立时，按本规则记录十神的有效功能；同时保留制化、承载和反向证据。</x:v>
      </x:c>
      <x:c r="AC14" s="82" t="str">
        <x:v>较高</x:v>
      </x:c>
      <x:c r="AD14" s="82" t="str">
        <x:v>现代综合</x:v>
      </x:c>
      <x:c r="AE14" s="68" t="str">
        <x:v>十神必须分开判断存在性、力量、清纯度、功能性与喜忌性；M10只形成结构层结论和候选，不越级替代M11—M18。</x:v>
      </x:c>
      <x:c r="AF14" s="68" t="str">
        <x:v>相关条件真实成立，且增强条件有效时，可按“藏而不透不等于十神不存在”记录对应功能。</x:v>
      </x:c>
      <x:c r="AG14" s="90" t="str">
        <x:v>仅见表面十神名称或数量，但“不得以十神名称、数量或单一旺弱证据直接完成定性”所述限制存在时，不得套用本规则。</x:v>
      </x:c>
      <x:c r="AH14" s="68" t="str">
        <x:v>https://zh.wikisource.org/wiki/%E6%B8%8A%E6%B5%B7%E5%AD%90%E5%B9%B3%E5%A4%A7%E5%85%A8 ; https://zh.wikisource.org/wiki/%E6%BB%B4%E5%A4%A9%E9%AB%93%E9%97%A1%E5%BE%AE</x:v>
      </x:c>
      <x:c r="AI14" s="82" t="str">
        <x:v>采用</x:v>
      </x:c>
      <x:c r="AJ14" s="82" t="str">
        <x:v>初审</x:v>
      </x:c>
      <x:c r="AK14" s="87" t="n">
        <x:v>46255</x:v>
      </x:c>
    </x:row>
    <x:row r="15">
      <x:c r="A15" s="72" t="str">
        <x:f>IF(OR(C15="",D15=""),"",B15&amp;"-"&amp;UPPER(C15)&amp;"-"&amp;TEXT(D15,"0000")&amp;"-"&amp;E15)</x:f>
        <x:v>M10-PRES-0009-V1.0</x:v>
      </x:c>
      <x:c r="B15" s="74" t="str">
        <x:v>M10</x:v>
      </x:c>
      <x:c r="C15" s="74" t="str">
        <x:v>PRES</x:v>
      </x:c>
      <x:c r="D15" s="215" t="n">
        <x:v>9</x:v>
      </x:c>
      <x:c r="E15" s="74" t="str">
        <x:v>V1.0</x:v>
      </x:c>
      <x:c r="F15" s="68" t="str">
        <x:v>同一地支含多个藏干时各十神分别识别</x:v>
      </x:c>
      <x:c r="G15" s="82" t="str">
        <x:v>结构层</x:v>
      </x:c>
      <x:c r="H15" s="82" t="str">
        <x:v>偏印</x:v>
      </x:c>
      <x:c r="I15" s="82" t="str">
        <x:v>藏支中气</x:v>
      </x:c>
      <x:c r="J15" s="82" t="str">
        <x:v>待定</x:v>
      </x:c>
      <x:c r="K15" s="82" t="str">
        <x:v>待定</x:v>
      </x:c>
      <x:c r="L15" s="82" t="str">
        <x:v>待定</x:v>
      </x:c>
      <x:c r="M15" s="68" t="str">
        <x:v>按M08核查</x:v>
      </x:c>
      <x:c r="N15" s="68" t="str">
        <x:v>按M06/M08核查</x:v>
      </x:c>
      <x:c r="O15" s="82" t="str">
        <x:v>待定</x:v>
      </x:c>
      <x:c r="P15" s="68" t="str">
        <x:v>转M11/M14判断</x:v>
      </x:c>
      <x:c r="Q15" s="68" t="str">
        <x:v>需结合M09日主承载判断</x:v>
      </x:c>
      <x:c r="R15" s="82" t="str">
        <x:v>待定</x:v>
      </x:c>
      <x:c r="S15" s="68" t="str">
        <x:v>一个地支藏干映射出两个或三个不同十神</x:v>
      </x:c>
      <x:c r="T15" s="68" t="str">
        <x:v>M02十神映射、M08五行有效旺衰、M09日主旺衰已完成</x:v>
      </x:c>
      <x:c r="U15" s="68" t="str">
        <x:v>相关十神已由M02正确映射，并以M08有效力量为准</x:v>
      </x:c>
      <x:c r="V15" s="68" t="str">
        <x:v>得令、有根、透干、同党或生源形成独立有效证据</x:v>
      </x:c>
      <x:c r="W15" s="68" t="str">
        <x:v>失令、无根、被合绊、被制、改性或作用路径受阻</x:v>
      </x:c>
      <x:c r="X15" s="90" t="str">
        <x:v>不得以十神名称、数量或单一旺弱证据直接完成定性</x:v>
      </x:c>
      <x:c r="Y15" s="68" t="str">
        <x:v>特殊格局、从化候选及明确组合转M11/M14另审</x:v>
      </x:c>
      <x:c r="Z15" s="68" t="str">
        <x:v>不得把整支只按本气十神代表而删除中余气十神</x:v>
      </x:c>
      <x:c r="AA15" s="84" t="str">
        <x:v>藏干十神分项识别</x:v>
      </x:c>
      <x:c r="AB15" s="84" t="str">
        <x:v>同一地支含多个藏干时各十神分别识别：当“一个地支藏干映射出两个或三个不同十神”成立时，按本规则记录十神的有效功能；同时保留制化、承载和反向证据。</x:v>
      </x:c>
      <x:c r="AC15" s="82" t="str">
        <x:v>较高</x:v>
      </x:c>
      <x:c r="AD15" s="82" t="str">
        <x:v>现代综合</x:v>
      </x:c>
      <x:c r="AE15" s="68" t="str">
        <x:v>十神必须分开判断存在性、力量、清纯度、功能性与喜忌性；M10只形成结构层结论和候选，不越级替代M11—M18。</x:v>
      </x:c>
      <x:c r="AF15" s="68" t="str">
        <x:v>相关条件真实成立，且增强条件有效时，可按“同一地支含多个藏干时各十神分别识别”记录对应功能。</x:v>
      </x:c>
      <x:c r="AG15" s="90" t="str">
        <x:v>仅见表面十神名称或数量，但“不得以十神名称、数量或单一旺弱证据直接完成定性”所述限制存在时，不得套用本规则。</x:v>
      </x:c>
      <x:c r="AH15" s="68" t="str">
        <x:v>https://zh.wikisource.org/wiki/%E6%B8%8A%E6%B5%B7%E5%AD%90%E5%B9%B3%E5%A4%A7%E5%85%A8 ; https://zh.wikisource.org/wiki/%E6%BB%B4%E5%A4%A9%E9%AB%93%E9%97%A1%E5%BE%AE</x:v>
      </x:c>
      <x:c r="AI15" s="82" t="str">
        <x:v>采用</x:v>
      </x:c>
      <x:c r="AJ15" s="82" t="str">
        <x:v>初审</x:v>
      </x:c>
      <x:c r="AK15" s="87" t="n">
        <x:v>46255</x:v>
      </x:c>
    </x:row>
    <x:row r="16">
      <x:c r="A16" s="72" t="str">
        <x:f>IF(OR(C16="",D16=""),"",B16&amp;"-"&amp;UPPER(C16)&amp;"-"&amp;TEXT(D16,"0000")&amp;"-"&amp;E16)</x:f>
        <x:v>M10-PRES-0010-V1.0</x:v>
      </x:c>
      <x:c r="B16" s="74" t="str">
        <x:v>M10</x:v>
      </x:c>
      <x:c r="C16" s="74" t="str">
        <x:v>PRES</x:v>
      </x:c>
      <x:c r="D16" s="215" t="n">
        <x:v>10</x:v>
      </x:c>
      <x:c r="E16" s="74" t="str">
        <x:v>V1.0</x:v>
      </x:c>
      <x:c r="F16" s="68" t="str">
        <x:v>正偏同类十神并见先生成混杂候选</x:v>
      </x:c>
      <x:c r="G16" s="82" t="str">
        <x:v>结构层</x:v>
      </x:c>
      <x:c r="H16" s="82" t="str">
        <x:v>正印</x:v>
      </x:c>
      <x:c r="I16" s="82" t="str">
        <x:v>多处出现</x:v>
      </x:c>
      <x:c r="J16" s="82" t="str">
        <x:v>待定</x:v>
      </x:c>
      <x:c r="K16" s="82" t="str">
        <x:v>待定</x:v>
      </x:c>
      <x:c r="L16" s="82" t="str">
        <x:v>有杂</x:v>
      </x:c>
      <x:c r="M16" s="68" t="str">
        <x:v>按M08核查</x:v>
      </x:c>
      <x:c r="N16" s="68" t="str">
        <x:v>按M06/M08核查</x:v>
      </x:c>
      <x:c r="O16" s="82" t="str">
        <x:v>待定</x:v>
      </x:c>
      <x:c r="P16" s="68" t="str">
        <x:v>转M11/M14判断</x:v>
      </x:c>
      <x:c r="Q16" s="68" t="str">
        <x:v>需结合M09日主承载判断</x:v>
      </x:c>
      <x:c r="R16" s="82" t="str">
        <x:v>待定</x:v>
      </x:c>
      <x:c r="S16" s="68" t="str">
        <x:v>同一功能群的正、偏十神同时有效存在</x:v>
      </x:c>
      <x:c r="T16" s="68" t="str">
        <x:v>M02十神映射、M08五行有效旺衰、M09日主旺衰已完成</x:v>
      </x:c>
      <x:c r="U16" s="68" t="str">
        <x:v>相关十神已由M02正确映射，并以M08有效力量为准</x:v>
      </x:c>
      <x:c r="V16" s="68" t="str">
        <x:v>得令、有根、透干、同党或生源形成独立有效证据</x:v>
      </x:c>
      <x:c r="W16" s="68" t="str">
        <x:v>失令、无根、被合绊、被制、改性或作用路径受阻</x:v>
      </x:c>
      <x:c r="X16" s="90" t="str">
        <x:v>不得以十神名称、数量或单一旺弱证据直接完成定性</x:v>
      </x:c>
      <x:c r="Y16" s="68" t="str">
        <x:v>特殊格局、从化候选及明确组合转M11/M14另审</x:v>
      </x:c>
      <x:c r="Z16" s="68" t="str">
        <x:v>不得仅因正偏并见直接判严重混杂或凶</x:v>
      </x:c>
      <x:c r="AA16" s="84" t="str">
        <x:v>正偏并见候选</x:v>
      </x:c>
      <x:c r="AB16" s="84" t="str">
        <x:v>正偏同类十神并见先生成混杂候选：当“同一功能群的正、偏十神同时有效存在”成立时，按本规则记录十神的有效功能；同时保留制化、承载和反向证据。</x:v>
      </x:c>
      <x:c r="AC16" s="82" t="str">
        <x:v>较高</x:v>
      </x:c>
      <x:c r="AD16" s="82" t="str">
        <x:v>现代综合</x:v>
      </x:c>
      <x:c r="AE16" s="68" t="str">
        <x:v>十神必须分开判断存在性、力量、清纯度、功能性与喜忌性；M10只形成结构层结论和候选，不越级替代M11—M18。</x:v>
      </x:c>
      <x:c r="AF16" s="68" t="str">
        <x:v>相关条件真实成立，且增强条件有效时，可按“正偏同类十神并见先生成混杂候选”记录对应功能。</x:v>
      </x:c>
      <x:c r="AG16" s="90" t="str">
        <x:v>仅见表面十神名称或数量，但“不得以十神名称、数量或单一旺弱证据直接完成定性”所述限制存在时，不得套用本规则。</x:v>
      </x:c>
      <x:c r="AH16" s="68" t="str">
        <x:v>https://zh.wikisource.org/wiki/%E6%B8%8A%E6%B5%B7%E5%AD%90%E5%B9%B3%E5%A4%A7%E5%85%A8 ; https://zh.wikisource.org/wiki/%E6%BB%B4%E5%A4%A9%E9%AB%93%E9%97%A1%E5%BE%AE</x:v>
      </x:c>
      <x:c r="AI16" s="82" t="str">
        <x:v>采用</x:v>
      </x:c>
      <x:c r="AJ16" s="82" t="str">
        <x:v>初审</x:v>
      </x:c>
      <x:c r="AK16" s="87" t="n">
        <x:v>46255</x:v>
      </x:c>
    </x:row>
    <x:row r="17">
      <x:c r="A17" s="72" t="str">
        <x:f>IF(OR(C17="",D17=""),"",B17&amp;"-"&amp;UPPER(C17)&amp;"-"&amp;TEXT(D17,"0000")&amp;"-"&amp;E17)</x:f>
        <x:v>M10-PRES-0011-V1.0</x:v>
      </x:c>
      <x:c r="B17" s="74" t="str">
        <x:v>M10</x:v>
      </x:c>
      <x:c r="C17" s="74" t="str">
        <x:v>PRES</x:v>
      </x:c>
      <x:c r="D17" s="215" t="n">
        <x:v>11</x:v>
      </x:c>
      <x:c r="E17" s="74" t="str">
        <x:v>V1.0</x:v>
      </x:c>
      <x:c r="F17" s="68" t="str">
        <x:v>十神存在必须以日主为参照映射</x:v>
      </x:c>
      <x:c r="G17" s="82" t="str">
        <x:v>结构层</x:v>
      </x:c>
      <x:c r="H17" s="82" t="str">
        <x:v>食神</x:v>
      </x:c>
      <x:c r="I17" s="82" t="str">
        <x:v>待定</x:v>
      </x:c>
      <x:c r="J17" s="82" t="str">
        <x:v>待定</x:v>
      </x:c>
      <x:c r="K17" s="82" t="str">
        <x:v>待定</x:v>
      </x:c>
      <x:c r="L17" s="82" t="str">
        <x:v>待定</x:v>
      </x:c>
      <x:c r="M17" s="68" t="str">
        <x:v>按M08核查</x:v>
      </x:c>
      <x:c r="N17" s="68" t="str">
        <x:v>按M06/M08核查</x:v>
      </x:c>
      <x:c r="O17" s="82" t="str">
        <x:v>待定</x:v>
      </x:c>
      <x:c r="P17" s="68" t="str">
        <x:v>转M11/M14判断</x:v>
      </x:c>
      <x:c r="Q17" s="68" t="str">
        <x:v>需结合M09日主承载判断</x:v>
      </x:c>
      <x:c r="R17" s="82" t="str">
        <x:v>待定</x:v>
      </x:c>
      <x:c r="S17" s="68" t="str">
        <x:v>识别食神、伤官等十神时必须先确定日主天干及阴阳</x:v>
      </x:c>
      <x:c r="T17" s="68" t="str">
        <x:v>M02十神映射、M08五行有效旺衰、M09日主旺衰已完成</x:v>
      </x:c>
      <x:c r="U17" s="68" t="str">
        <x:v>日主天干准确、阴阳生克映射无误</x:v>
      </x:c>
      <x:c r="V17" s="68" t="str">
        <x:v>得令、有根、透干、同党或生源形成独立有效证据</x:v>
      </x:c>
      <x:c r="W17" s="68" t="str">
        <x:v>失令、无根、被合绊、被制、改性或作用路径受阻</x:v>
      </x:c>
      <x:c r="X17" s="90" t="str">
        <x:v>不得以十神名称、数量或单一旺弱证据直接完成定性</x:v>
      </x:c>
      <x:c r="Y17" s="68" t="str">
        <x:v>特殊格局、从化候选及明确组合转M11/M14另审</x:v>
      </x:c>
      <x:c r="Z17" s="68" t="str">
        <x:v>不得给某个固定天干脱离日主贴永久十神标签</x:v>
      </x:c>
      <x:c r="AA17" s="84" t="str">
        <x:v>十神相对映射</x:v>
      </x:c>
      <x:c r="AB17" s="84" t="str">
        <x:v>十神存在必须以日主为参照映射：当“识别食神、伤官等十神时必须先确定日主天干及阴阳”成立时，按本规则记录十神的有效功能；同时保留制化、承载和反向证据。</x:v>
      </x:c>
      <x:c r="AC17" s="82" t="str">
        <x:v>较高</x:v>
      </x:c>
      <x:c r="AD17" s="82" t="str">
        <x:v>现代综合</x:v>
      </x:c>
      <x:c r="AE17" s="68" t="str">
        <x:v>十神必须分开判断存在性、力量、清纯度、功能性与喜忌性；M10只形成结构层结论和候选，不越级替代M11—M18。</x:v>
      </x:c>
      <x:c r="AF17" s="68" t="str">
        <x:v>相关条件真实成立，且增强条件有效时，可按“十神存在必须以日主为参照映射”记录对应功能。</x:v>
      </x:c>
      <x:c r="AG17" s="90" t="str">
        <x:v>仅见表面十神名称或数量，但“不得以十神名称、数量或单一旺弱证据直接完成定性”所述限制存在时，不得套用本规则。</x:v>
      </x:c>
      <x:c r="AH17" s="68" t="str">
        <x:v>https://zh.wikisource.org/wiki/%E6%B8%8A%E6%B5%B7%E5%AD%90%E5%B9%B3%E5%A4%A7%E5%85%A8 ; https://zh.wikisource.org/wiki/%E6%BB%B4%E5%A4%A9%E9%AB%93%E9%97%A1%E5%BE%AE</x:v>
      </x:c>
      <x:c r="AI17" s="82" t="str">
        <x:v>采用</x:v>
      </x:c>
      <x:c r="AJ17" s="82" t="str">
        <x:v>初审</x:v>
      </x:c>
      <x:c r="AK17" s="87" t="n">
        <x:v>46255</x:v>
      </x:c>
    </x:row>
    <x:row r="18">
      <x:c r="A18" s="72" t="str">
        <x:f>IF(OR(C18="",D18=""),"",B18&amp;"-"&amp;UPPER(C18)&amp;"-"&amp;TEXT(D18,"0000")&amp;"-"&amp;E18)</x:f>
        <x:v>M10-PRES-0012-V1.0</x:v>
      </x:c>
      <x:c r="B18" s="74" t="str">
        <x:v>M10</x:v>
      </x:c>
      <x:c r="C18" s="74" t="str">
        <x:v>PRES</x:v>
      </x:c>
      <x:c r="D18" s="215" t="n">
        <x:v>12</x:v>
      </x:c>
      <x:c r="E18" s="74" t="str">
        <x:v>V1.0</x:v>
      </x:c>
      <x:c r="F18" s="68" t="str">
        <x:v>静态原局存在与岁运引动必须分开</x:v>
      </x:c>
      <x:c r="G18" s="82" t="str">
        <x:v>结构层</x:v>
      </x:c>
      <x:c r="H18" s="82" t="str">
        <x:v>正官</x:v>
      </x:c>
      <x:c r="I18" s="82" t="str">
        <x:v>待定</x:v>
      </x:c>
      <x:c r="J18" s="82" t="str">
        <x:v>待定</x:v>
      </x:c>
      <x:c r="K18" s="82" t="str">
        <x:v>待定</x:v>
      </x:c>
      <x:c r="L18" s="82" t="str">
        <x:v>待定</x:v>
      </x:c>
      <x:c r="M18" s="68" t="str">
        <x:v>按M08核查</x:v>
      </x:c>
      <x:c r="N18" s="68" t="str">
        <x:v>按M06/M08核查</x:v>
      </x:c>
      <x:c r="O18" s="82" t="str">
        <x:v>待定</x:v>
      </x:c>
      <x:c r="P18" s="68" t="str">
        <x:v>转M11/M14判断</x:v>
      </x:c>
      <x:c r="Q18" s="68" t="str">
        <x:v>需结合M09日主承载判断</x:v>
      </x:c>
      <x:c r="R18" s="82" t="str">
        <x:v>待定</x:v>
      </x:c>
      <x:c r="S18" s="68" t="str">
        <x:v>M10只处理原局十神存在，不使用未来岁运补入作为原局存在证据</x:v>
      </x:c>
      <x:c r="T18" s="68" t="str">
        <x:v>M02十神映射、M08五行有效旺衰、M09日主旺衰已完成</x:v>
      </x:c>
      <x:c r="U18" s="68" t="str">
        <x:v>相关十神已由M02正确映射，并以M08有效力量为准</x:v>
      </x:c>
      <x:c r="V18" s="68" t="str">
        <x:v>得令、有根、透干、同党或生源形成独立有效证据</x:v>
      </x:c>
      <x:c r="W18" s="68" t="str">
        <x:v>失令、无根、被合绊、被制、改性或作用路径受阻</x:v>
      </x:c>
      <x:c r="X18" s="90" t="str">
        <x:v>不得以十神名称、数量或单一旺弱证据直接完成定性</x:v>
      </x:c>
      <x:c r="Y18" s="68" t="str">
        <x:v>岁运作用转专门的大运流年引擎</x:v>
      </x:c>
      <x:c r="Z18" s="68" t="str">
        <x:v>不得把未来可能出现的十神提前计入原局静态力量</x:v>
      </x:c>
      <x:c r="AA18" s="84" t="str">
        <x:v>静动态存在分离</x:v>
      </x:c>
      <x:c r="AB18" s="84" t="str">
        <x:v>静态原局存在与岁运引动必须分开：当“M10只处理原局十神存在，不使用未来岁运补入作为原局存在证据”成立时，按本规则记录十神的有效功能；同时保留制化、承载和反向证据。</x:v>
      </x:c>
      <x:c r="AC18" s="82" t="str">
        <x:v>较高</x:v>
      </x:c>
      <x:c r="AD18" s="82" t="str">
        <x:v>现代综合</x:v>
      </x:c>
      <x:c r="AE18" s="68" t="str">
        <x:v>十神必须分开判断存在性、力量、清纯度、功能性与喜忌性；M10只形成结构层结论和候选，不越级替代M11—M18。</x:v>
      </x:c>
      <x:c r="AF18" s="68" t="str">
        <x:v>相关条件真实成立，且增强条件有效时，可按“静态原局存在与岁运引动必须分开”记录对应功能。</x:v>
      </x:c>
      <x:c r="AG18" s="90" t="str">
        <x:v>仅见表面十神名称或数量，但“不得以十神名称、数量或单一旺弱证据直接完成定性”所述限制存在时，不得套用本规则。</x:v>
      </x:c>
      <x:c r="AH18" s="68" t="str">
        <x:v>https://zh.wikisource.org/wiki/%E6%B8%8A%E6%B5%B7%E5%AD%90%E5%B9%B3%E5%A4%A7%E5%85%A8 ; https://zh.wikisource.org/wiki/%E6%BB%B4%E5%A4%A9%E9%AB%93%E9%97%A1%E5%BE%AE</x:v>
      </x:c>
      <x:c r="AI18" s="82" t="str">
        <x:v>采用</x:v>
      </x:c>
      <x:c r="AJ18" s="82" t="str">
        <x:v>初审</x:v>
      </x:c>
      <x:c r="AK18" s="87" t="n">
        <x:v>46255</x:v>
      </x:c>
    </x:row>
    <x:row r="19">
      <x:c r="A19" s="72" t="str">
        <x:f>IF(OR(C19="",D19=""),"",B19&amp;"-"&amp;UPPER(C19)&amp;"-"&amp;TEXT(D19,"0000")&amp;"-"&amp;E19)</x:f>
        <x:v>M10-POWER-0013-V1.0</x:v>
      </x:c>
      <x:c r="B19" s="74" t="str">
        <x:v>M10</x:v>
      </x:c>
      <x:c r="C19" s="74" t="str">
        <x:v>POWER</x:v>
      </x:c>
      <x:c r="D19" s="215" t="n">
        <x:v>13</x:v>
      </x:c>
      <x:c r="E19" s="74" t="str">
        <x:v>V1.0</x:v>
      </x:c>
      <x:c r="F19" s="68" t="str">
        <x:v>十神有效力量继承对应五行的M08结果</x:v>
      </x:c>
      <x:c r="G19" s="82" t="str">
        <x:v>结构层</x:v>
      </x:c>
      <x:c r="H19" s="82" t="str">
        <x:v>比肩</x:v>
      </x:c>
      <x:c r="I19" s="82" t="str">
        <x:v>待定</x:v>
      </x:c>
      <x:c r="J19" s="82" t="str">
        <x:v>待定</x:v>
      </x:c>
      <x:c r="K19" s="82" t="str">
        <x:v>待定</x:v>
      </x:c>
      <x:c r="L19" s="82" t="str">
        <x:v>待定</x:v>
      </x:c>
      <x:c r="M19" s="68" t="str">
        <x:v>按M08核查</x:v>
      </x:c>
      <x:c r="N19" s="68" t="str">
        <x:v>按M06/M08核查</x:v>
      </x:c>
      <x:c r="O19" s="82" t="str">
        <x:v>待定</x:v>
      </x:c>
      <x:c r="P19" s="68" t="str">
        <x:v>转M11/M14判断</x:v>
      </x:c>
      <x:c r="Q19" s="68" t="str">
        <x:v>需结合M09日主承载判断</x:v>
      </x:c>
      <x:c r="R19" s="82" t="str">
        <x:v>待定</x:v>
      </x:c>
      <x:c r="S19" s="68" t="str">
        <x:v>目标十神已映射到具体干支节点，并有M08有效旺衰结果</x:v>
      </x:c>
      <x:c r="T19" s="68" t="str">
        <x:v>M02十神映射、M08五行有效旺衰、M09日主旺衰已完成</x:v>
      </x:c>
      <x:c r="U19" s="68" t="str">
        <x:v>必须按具体节点读取M08，而非只看五行总量</x:v>
      </x:c>
      <x:c r="V19" s="68" t="str">
        <x:v>得令、有根、透干、同党或生源形成独立有效证据</x:v>
      </x:c>
      <x:c r="W19" s="68" t="str">
        <x:v>失令、无根、被合绊、被制、改性或作用路径受阻</x:v>
      </x:c>
      <x:c r="X19" s="90" t="str">
        <x:v>不得以十神名称、数量或单一旺弱证据直接完成定性</x:v>
      </x:c>
      <x:c r="Y19" s="68" t="str">
        <x:v>特殊格局、从化候选及明确组合转M11/M14另审</x:v>
      </x:c>
      <x:c r="Z19" s="68" t="str">
        <x:v>不得直接推出吉凶、具体事件、亲属结果或最终喜忌</x:v>
      </x:c>
      <x:c r="AA19" s="84" t="str">
        <x:v>十神力量继承</x:v>
      </x:c>
      <x:c r="AB19" s="84" t="str">
        <x:v>十神有效力量继承对应五行的M08结果：当“目标十神已映射到具体干支节点，并有M08有效旺衰结果”成立时，按本规则记录十神的有效功能；同时保留制化、承载和反向证据。</x:v>
      </x:c>
      <x:c r="AC19" s="82" t="str">
        <x:v>较高</x:v>
      </x:c>
      <x:c r="AD19" s="82" t="str">
        <x:v>现代综合</x:v>
      </x:c>
      <x:c r="AE19" s="68" t="str">
        <x:v>十神必须分开判断存在性、力量、清纯度、功能性与喜忌性；M10只形成结构层结论和候选，不越级替代M11—M18。</x:v>
      </x:c>
      <x:c r="AF19" s="68" t="str">
        <x:v>相关条件真实成立，且增强条件有效时，可按“十神有效力量继承对应五行的M08结果”记录对应功能。</x:v>
      </x:c>
      <x:c r="AG19" s="90" t="str">
        <x:v>仅见表面十神名称或数量，但“不得以十神名称、数量或单一旺弱证据直接完成定性”所述限制存在时，不得套用本规则。</x:v>
      </x:c>
      <x:c r="AH19" s="68" t="str">
        <x:v>https://zh.wikisource.org/wiki/%E6%B8%8A%E6%B5%B7%E5%AD%90%E5%B9%B3%E5%A4%A7%E5%85%A8 ; https://zh.wikisource.org/wiki/%E6%BB%B4%E5%A4%A9%E9%AB%93%E9%97%A1%E5%BE%AE</x:v>
      </x:c>
      <x:c r="AI19" s="82" t="str">
        <x:v>采用</x:v>
      </x:c>
      <x:c r="AJ19" s="82" t="str">
        <x:v>初审</x:v>
      </x:c>
      <x:c r="AK19" s="87" t="n">
        <x:v>46255</x:v>
      </x:c>
    </x:row>
    <x:row r="20">
      <x:c r="A20" s="72" t="str">
        <x:f>IF(OR(C20="",D20=""),"",B20&amp;"-"&amp;UPPER(C20)&amp;"-"&amp;TEXT(D20,"0000")&amp;"-"&amp;E20)</x:f>
        <x:v>M10-POWER-0014-V1.0</x:v>
      </x:c>
      <x:c r="B20" s="74" t="str">
        <x:v>M10</x:v>
      </x:c>
      <x:c r="C20" s="74" t="str">
        <x:v>POWER</x:v>
      </x:c>
      <x:c r="D20" s="215" t="n">
        <x:v>14</x:v>
      </x:c>
      <x:c r="E20" s="74" t="str">
        <x:v>V1.0</x:v>
      </x:c>
      <x:c r="F20" s="68" t="str">
        <x:v>十神原始力量与有效力量必须分开</x:v>
      </x:c>
      <x:c r="G20" s="82" t="str">
        <x:v>结构层</x:v>
      </x:c>
      <x:c r="H20" s="82" t="str">
        <x:v>劫财</x:v>
      </x:c>
      <x:c r="I20" s="82" t="str">
        <x:v>待定</x:v>
      </x:c>
      <x:c r="J20" s="82" t="str">
        <x:v>旺</x:v>
      </x:c>
      <x:c r="K20" s="82" t="str">
        <x:v>待定</x:v>
      </x:c>
      <x:c r="L20" s="82" t="str">
        <x:v>待定</x:v>
      </x:c>
      <x:c r="M20" s="68" t="str">
        <x:v>按M08核查</x:v>
      </x:c>
      <x:c r="N20" s="68" t="str">
        <x:v>按M06/M08核查</x:v>
      </x:c>
      <x:c r="O20" s="82" t="str">
        <x:v>待定</x:v>
      </x:c>
      <x:c r="P20" s="68" t="str">
        <x:v>转M11/M14判断</x:v>
      </x:c>
      <x:c r="Q20" s="68" t="str">
        <x:v>需结合M09日主承载判断</x:v>
      </x:c>
      <x:c r="R20" s="82" t="str">
        <x:v>待定</x:v>
      </x:c>
      <x:c r="S20" s="68" t="str">
        <x:v>十神节点在M07原始有力，但经M06/M08受到合冲制化修正</x:v>
      </x:c>
      <x:c r="T20" s="68" t="str">
        <x:v>M02十神映射、M08五行有效旺衰、M09日主旺衰已完成</x:v>
      </x:c>
      <x:c r="U20" s="68" t="str">
        <x:v>相关十神已由M02正确映射，并以M08有效力量为准</x:v>
      </x:c>
      <x:c r="V20" s="68" t="str">
        <x:v>得令、有根、透干、同党或生源形成独立有效证据</x:v>
      </x:c>
      <x:c r="W20" s="68" t="str">
        <x:v>失令、无根、被合绊、被制、改性或作用路径受阻</x:v>
      </x:c>
      <x:c r="X20" s="90" t="str">
        <x:v>不得以十神名称、数量或单一旺弱证据直接完成定性</x:v>
      </x:c>
      <x:c r="Y20" s="68" t="str">
        <x:v>特殊格局、从化候选及明确组合转M11/M14另审</x:v>
      </x:c>
      <x:c r="Z20" s="68" t="str">
        <x:v>不得用原始旺衰替代有效旺衰</x:v>
      </x:c>
      <x:c r="AA20" s="84" t="str">
        <x:v>十神原效分离</x:v>
      </x:c>
      <x:c r="AB20" s="84" t="str">
        <x:v>十神原始力量与有效力量必须分开：当“十神节点在M07原始有力，但经M06/M08受到合冲制化修正”成立时，按本规则记录十神的有效功能；同时保留制化、承载和反向证据。</x:v>
      </x:c>
      <x:c r="AC20" s="82" t="str">
        <x:v>较高</x:v>
      </x:c>
      <x:c r="AD20" s="82" t="str">
        <x:v>现代综合</x:v>
      </x:c>
      <x:c r="AE20" s="68" t="str">
        <x:v>十神必须分开判断存在性、力量、清纯度、功能性与喜忌性；M10只形成结构层结论和候选，不越级替代M11—M18。</x:v>
      </x:c>
      <x:c r="AF20" s="68" t="str">
        <x:v>相关条件真实成立，且增强条件有效时，可按“十神原始力量与有效力量必须分开”记录对应功能。</x:v>
      </x:c>
      <x:c r="AG20" s="90" t="str">
        <x:v>仅见表面十神名称或数量，但“不得以十神名称、数量或单一旺弱证据直接完成定性”所述限制存在时，不得套用本规则。</x:v>
      </x:c>
      <x:c r="AH20" s="68" t="str">
        <x:v>https://zh.wikisource.org/wiki/%E6%B8%8A%E6%B5%B7%E5%AD%90%E5%B9%B3%E5%A4%A7%E5%85%A8 ; https://zh.wikisource.org/wiki/%E6%BB%B4%E5%A4%A9%E9%AB%93%E9%97%A1%E5%BE%AE</x:v>
      </x:c>
      <x:c r="AI20" s="82" t="str">
        <x:v>采用</x:v>
      </x:c>
      <x:c r="AJ20" s="82" t="str">
        <x:v>初审</x:v>
      </x:c>
      <x:c r="AK20" s="87" t="n">
        <x:v>46255</x:v>
      </x:c>
    </x:row>
    <x:row r="21">
      <x:c r="A21" s="72" t="str">
        <x:f>IF(OR(C21="",D21=""),"",B21&amp;"-"&amp;UPPER(C21)&amp;"-"&amp;TEXT(D21,"0000")&amp;"-"&amp;E21)</x:f>
        <x:v>M10-POWER-0015-V1.0</x:v>
      </x:c>
      <x:c r="B21" s="74" t="str">
        <x:v>M10</x:v>
      </x:c>
      <x:c r="C21" s="74" t="str">
        <x:v>POWER</x:v>
      </x:c>
      <x:c r="D21" s="215" t="n">
        <x:v>15</x:v>
      </x:c>
      <x:c r="E21" s="74" t="str">
        <x:v>V1.0</x:v>
      </x:c>
      <x:c r="F21" s="68" t="str">
        <x:v>多节点十神力量采用独立节点汇总而非次数计分</x:v>
      </x:c>
      <x:c r="G21" s="82" t="str">
        <x:v>结构层</x:v>
      </x:c>
      <x:c r="H21" s="82" t="str">
        <x:v>食神</x:v>
      </x:c>
      <x:c r="I21" s="82" t="str">
        <x:v>多处出现</x:v>
      </x:c>
      <x:c r="J21" s="82" t="str">
        <x:v>待定</x:v>
      </x:c>
      <x:c r="K21" s="82" t="str">
        <x:v>待定</x:v>
      </x:c>
      <x:c r="L21" s="82" t="str">
        <x:v>待定</x:v>
      </x:c>
      <x:c r="M21" s="68" t="str">
        <x:v>按M08核查</x:v>
      </x:c>
      <x:c r="N21" s="68" t="str">
        <x:v>按M06/M08核查</x:v>
      </x:c>
      <x:c r="O21" s="82" t="str">
        <x:v>待定</x:v>
      </x:c>
      <x:c r="P21" s="68" t="str">
        <x:v>转M11/M14判断</x:v>
      </x:c>
      <x:c r="Q21" s="68" t="str">
        <x:v>需结合M09日主承载判断</x:v>
      </x:c>
      <x:c r="R21" s="82" t="str">
        <x:v>待定</x:v>
      </x:c>
      <x:c r="S21" s="68" t="str">
        <x:v>同一十神在多个独立节点出现</x:v>
      </x:c>
      <x:c r="T21" s="68" t="str">
        <x:v>M02十神映射、M08五行有效旺衰、M09日主旺衰已完成</x:v>
      </x:c>
      <x:c r="U21" s="68" t="str">
        <x:v>相关十神已由M02正确映射，并以M08有效力量为准</x:v>
      </x:c>
      <x:c r="V21" s="68" t="str">
        <x:v>得令、有根、透干、同党或生源形成独立有效证据</x:v>
      </x:c>
      <x:c r="W21" s="68" t="str">
        <x:v>失令、无根、被合绊、被制、改性或作用路径受阻</x:v>
      </x:c>
      <x:c r="X21" s="90" t="str">
        <x:v>不得以十神名称、数量或单一旺弱证据直接完成定性</x:v>
      </x:c>
      <x:c r="Y21" s="68" t="str">
        <x:v>特殊格局、从化候选及明确组合转M11/M14另审</x:v>
      </x:c>
      <x:c r="Z21" s="68" t="str">
        <x:v>不得以出现三个就必然旺、出现一个就必然弱</x:v>
      </x:c>
      <x:c r="AA21" s="84" t="str">
        <x:v>十神多节点汇总</x:v>
      </x:c>
      <x:c r="AB21" s="84" t="str">
        <x:v>多节点十神力量采用独立节点汇总而非次数计分：当“同一十神在多个独立节点出现”成立时，按本规则记录十神的有效功能；同时保留制化、承载和反向证据。</x:v>
      </x:c>
      <x:c r="AC21" s="82" t="str">
        <x:v>较高</x:v>
      </x:c>
      <x:c r="AD21" s="82" t="str">
        <x:v>现代综合</x:v>
      </x:c>
      <x:c r="AE21" s="68" t="str">
        <x:v>十神必须分开判断存在性、力量、清纯度、功能性与喜忌性；M10只形成结构层结论和候选，不越级替代M11—M18。</x:v>
      </x:c>
      <x:c r="AF21" s="68" t="str">
        <x:v>相关条件真实成立，且增强条件有效时，可按“多节点十神力量采用独立节点汇总而非次数计分”记录对应功能。</x:v>
      </x:c>
      <x:c r="AG21" s="90" t="str">
        <x:v>仅见表面十神名称或数量，但“不得以十神名称、数量或单一旺弱证据直接完成定性”所述限制存在时，不得套用本规则。</x:v>
      </x:c>
      <x:c r="AH21" s="68" t="str">
        <x:v>https://zh.wikisource.org/wiki/%E6%B8%8A%E6%B5%B7%E5%AD%90%E5%B9%B3%E5%A4%A7%E5%85%A8 ; https://zh.wikisource.org/wiki/%E6%BB%B4%E5%A4%A9%E9%AB%93%E9%97%A1%E5%BE%AE</x:v>
      </x:c>
      <x:c r="AI21" s="82" t="str">
        <x:v>采用</x:v>
      </x:c>
      <x:c r="AJ21" s="82" t="str">
        <x:v>初审</x:v>
      </x:c>
      <x:c r="AK21" s="87" t="n">
        <x:v>46255</x:v>
      </x:c>
    </x:row>
    <x:row r="22">
      <x:c r="A22" s="72" t="str">
        <x:f>IF(OR(C22="",D22=""),"",B22&amp;"-"&amp;UPPER(C22)&amp;"-"&amp;TEXT(D22,"0000")&amp;"-"&amp;E22)</x:f>
        <x:v>M10-POWER-0016-V1.0</x:v>
      </x:c>
      <x:c r="B22" s="74" t="str">
        <x:v>M10</x:v>
      </x:c>
      <x:c r="C22" s="74" t="str">
        <x:v>POWER</x:v>
      </x:c>
      <x:c r="D22" s="215" t="n">
        <x:v>16</x:v>
      </x:c>
      <x:c r="E22" s="74" t="str">
        <x:v>V1.0</x:v>
      </x:c>
      <x:c r="F22" s="68" t="str">
        <x:v>得令提高十神力量但不是旺的充分条件</x:v>
      </x:c>
      <x:c r="G22" s="82" t="str">
        <x:v>结构层</x:v>
      </x:c>
      <x:c r="H22" s="82" t="str">
        <x:v>伤官</x:v>
      </x:c>
      <x:c r="I22" s="82" t="str">
        <x:v>待定</x:v>
      </x:c>
      <x:c r="J22" s="82" t="str">
        <x:v>待定</x:v>
      </x:c>
      <x:c r="K22" s="82" t="str">
        <x:v>中和偏旺</x:v>
      </x:c>
      <x:c r="L22" s="82" t="str">
        <x:v>待定</x:v>
      </x:c>
      <x:c r="M22" s="68" t="str">
        <x:v>按M08核查</x:v>
      </x:c>
      <x:c r="N22" s="68" t="str">
        <x:v>按M06/M08核查</x:v>
      </x:c>
      <x:c r="O22" s="82" t="str">
        <x:v>待定</x:v>
      </x:c>
      <x:c r="P22" s="68" t="str">
        <x:v>转M11/M14判断</x:v>
      </x:c>
      <x:c r="Q22" s="68" t="str">
        <x:v>需结合M09日主承载判断</x:v>
      </x:c>
      <x:c r="R22" s="82" t="str">
        <x:v>待定</x:v>
      </x:c>
      <x:c r="S22" s="68" t="str">
        <x:v>目标十神对应五行获得强季令支持</x:v>
      </x:c>
      <x:c r="T22" s="68" t="str">
        <x:v>M02十神映射、M08五行有效旺衰、M09日主旺衰已完成</x:v>
      </x:c>
      <x:c r="U22" s="68" t="str">
        <x:v>相关十神已由M02正确映射，并以M08有效力量为准</x:v>
      </x:c>
      <x:c r="V22" s="68" t="str">
        <x:v>得令、有根、透干、同党或生源形成独立有效证据</x:v>
      </x:c>
      <x:c r="W22" s="68" t="str">
        <x:v>失令、无根、被合绊、被制、改性或作用路径受阻</x:v>
      </x:c>
      <x:c r="X22" s="90" t="str">
        <x:v>不得以十神名称、数量或单一旺弱证据直接完成定性</x:v>
      </x:c>
      <x:c r="Y22" s="68" t="str">
        <x:v>特殊格局、从化候选及明确组合转M11/M14另审</x:v>
      </x:c>
      <x:c r="Z22" s="68" t="str">
        <x:v>不得由得令单项直接判十神旺</x:v>
      </x:c>
      <x:c r="AA22" s="84" t="str">
        <x:v>十神季令支持</x:v>
      </x:c>
      <x:c r="AB22" s="84" t="str">
        <x:v>得令提高十神力量但不是旺的充分条件：当“目标十神对应五行获得强季令支持”成立时，按本规则记录十神的有效功能；同时保留制化、承载和反向证据。</x:v>
      </x:c>
      <x:c r="AC22" s="82" t="str">
        <x:v>较高</x:v>
      </x:c>
      <x:c r="AD22" s="82" t="str">
        <x:v>现代综合</x:v>
      </x:c>
      <x:c r="AE22" s="68" t="str">
        <x:v>十神必须分开判断存在性、力量、清纯度、功能性与喜忌性；M10只形成结构层结论和候选，不越级替代M11—M18。</x:v>
      </x:c>
      <x:c r="AF22" s="68" t="str">
        <x:v>相关条件真实成立，且增强条件有效时，可按“得令提高十神力量但不是旺的充分条件”记录对应功能。</x:v>
      </x:c>
      <x:c r="AG22" s="90" t="str">
        <x:v>仅见表面十神名称或数量，但“不得以十神名称、数量或单一旺弱证据直接完成定性”所述限制存在时，不得套用本规则。</x:v>
      </x:c>
      <x:c r="AH22" s="68" t="str">
        <x:v>https://zh.wikisource.org/wiki/%E6%B8%8A%E6%B5%B7%E5%AD%90%E5%B9%B3%E5%A4%A7%E5%85%A8 ; https://zh.wikisource.org/wiki/%E6%BB%B4%E5%A4%A9%E9%AB%93%E9%97%A1%E5%BE%AE</x:v>
      </x:c>
      <x:c r="AI22" s="82" t="str">
        <x:v>采用</x:v>
      </x:c>
      <x:c r="AJ22" s="82" t="str">
        <x:v>初审</x:v>
      </x:c>
      <x:c r="AK22" s="87" t="n">
        <x:v>46255</x:v>
      </x:c>
    </x:row>
    <x:row r="23">
      <x:c r="A23" s="72" t="str">
        <x:f>IF(OR(C23="",D23=""),"",B23&amp;"-"&amp;UPPER(C23)&amp;"-"&amp;TEXT(D23,"0000")&amp;"-"&amp;E23)</x:f>
        <x:v>M10-POWER-0017-V1.0</x:v>
      </x:c>
      <x:c r="B23" s="74" t="str">
        <x:v>M10</x:v>
      </x:c>
      <x:c r="C23" s="74" t="str">
        <x:v>POWER</x:v>
      </x:c>
      <x:c r="D23" s="215" t="n">
        <x:v>17</x:v>
      </x:c>
      <x:c r="E23" s="74" t="str">
        <x:v>V1.0</x:v>
      </x:c>
      <x:c r="F23" s="68" t="str">
        <x:v>有效根气增强十神持续作用能力</x:v>
      </x:c>
      <x:c r="G23" s="82" t="str">
        <x:v>结构层</x:v>
      </x:c>
      <x:c r="H23" s="82" t="str">
        <x:v>偏财</x:v>
      </x:c>
      <x:c r="I23" s="82" t="str">
        <x:v>待定</x:v>
      </x:c>
      <x:c r="J23" s="82" t="str">
        <x:v>待定</x:v>
      </x:c>
      <x:c r="K23" s="82" t="str">
        <x:v>中和偏旺</x:v>
      </x:c>
      <x:c r="L23" s="82" t="str">
        <x:v>待定</x:v>
      </x:c>
      <x:c r="M23" s="68" t="str">
        <x:v>按M08核查</x:v>
      </x:c>
      <x:c r="N23" s="68" t="str">
        <x:v>按M06/M08核查</x:v>
      </x:c>
      <x:c r="O23" s="82" t="str">
        <x:v>待定</x:v>
      </x:c>
      <x:c r="P23" s="68" t="str">
        <x:v>转M11/M14判断</x:v>
      </x:c>
      <x:c r="Q23" s="68" t="str">
        <x:v>需结合M09日主承载判断</x:v>
      </x:c>
      <x:c r="R23" s="82" t="str">
        <x:v>待定</x:v>
      </x:c>
      <x:c r="S23" s="68" t="str">
        <x:v>财星透干或藏支且存在可调用的有效根</x:v>
      </x:c>
      <x:c r="T23" s="68" t="str">
        <x:v>M02十神映射、M08五行有效旺衰、M09日主旺衰已完成</x:v>
      </x:c>
      <x:c r="U23" s="68" t="str">
        <x:v>相关十神已由M02正确映射，并以M08有效力量为准</x:v>
      </x:c>
      <x:c r="V23" s="68" t="str">
        <x:v>得令、有根、透干、同党或生源形成独立有效证据</x:v>
      </x:c>
      <x:c r="W23" s="68" t="str">
        <x:v>失令、无根、被合绊、被制、改性或作用路径受阻</x:v>
      </x:c>
      <x:c r="X23" s="90" t="str">
        <x:v>不得以十神名称、数量或单一旺弱证据直接完成定性</x:v>
      </x:c>
      <x:c r="Y23" s="68" t="str">
        <x:v>特殊格局、从化候选及明确组合转M11/M14另审</x:v>
      </x:c>
      <x:c r="Z23" s="68" t="str">
        <x:v>不得直接推出吉凶、具体事件、亲属结果或最终喜忌</x:v>
      </x:c>
      <x:c r="AA23" s="84" t="str">
        <x:v>十神根气支持</x:v>
      </x:c>
      <x:c r="AB23" s="84" t="str">
        <x:v>有效根气增强十神持续作用能力：当“财星透干或藏支且存在可调用的有效根”成立时，按本规则记录十神的有效功能；同时保留制化、承载和反向证据。</x:v>
      </x:c>
      <x:c r="AC23" s="82" t="str">
        <x:v>较高</x:v>
      </x:c>
      <x:c r="AD23" s="82" t="str">
        <x:v>现代综合</x:v>
      </x:c>
      <x:c r="AE23" s="68" t="str">
        <x:v>十神必须分开判断存在性、力量、清纯度、功能性与喜忌性；M10只形成结构层结论和候选，不越级替代M11—M18。</x:v>
      </x:c>
      <x:c r="AF23" s="68" t="str">
        <x:v>相关条件真实成立，且增强条件有效时，可按“有效根气增强十神持续作用能力”记录对应功能。</x:v>
      </x:c>
      <x:c r="AG23" s="90" t="str">
        <x:v>仅见表面十神名称或数量，但“不得以十神名称、数量或单一旺弱证据直接完成定性”所述限制存在时，不得套用本规则。</x:v>
      </x:c>
      <x:c r="AH23" s="68" t="str">
        <x:v>https://zh.wikisource.org/wiki/%E6%B8%8A%E6%B5%B7%E5%AD%90%E5%B9%B3%E5%A4%A7%E5%85%A8 ; https://zh.wikisource.org/wiki/%E6%BB%B4%E5%A4%A9%E9%AB%93%E9%97%A1%E5%BE%AE</x:v>
      </x:c>
      <x:c r="AI23" s="82" t="str">
        <x:v>采用</x:v>
      </x:c>
      <x:c r="AJ23" s="82" t="str">
        <x:v>初审</x:v>
      </x:c>
      <x:c r="AK23" s="87" t="n">
        <x:v>46255</x:v>
      </x:c>
    </x:row>
    <x:row r="24">
      <x:c r="A24" s="72" t="str">
        <x:f>IF(OR(C24="",D24=""),"",B24&amp;"-"&amp;UPPER(C24)&amp;"-"&amp;TEXT(D24,"0000")&amp;"-"&amp;E24)</x:f>
        <x:v>M10-POWER-0018-V1.0</x:v>
      </x:c>
      <x:c r="B24" s="74" t="str">
        <x:v>M10</x:v>
      </x:c>
      <x:c r="C24" s="74" t="str">
        <x:v>POWER</x:v>
      </x:c>
      <x:c r="D24" s="215" t="n">
        <x:v>18</x:v>
      </x:c>
      <x:c r="E24" s="74" t="str">
        <x:v>V1.0</x:v>
      </x:c>
      <x:c r="F24" s="68" t="str">
        <x:v>无根透干属于显而承载不足的候选</x:v>
      </x:c>
      <x:c r="G24" s="82" t="str">
        <x:v>结构层</x:v>
      </x:c>
      <x:c r="H24" s="82" t="str">
        <x:v>正财</x:v>
      </x:c>
      <x:c r="I24" s="82" t="str">
        <x:v>透干</x:v>
      </x:c>
      <x:c r="J24" s="82" t="str">
        <x:v>待定</x:v>
      </x:c>
      <x:c r="K24" s="82" t="str">
        <x:v>中和偏弱</x:v>
      </x:c>
      <x:c r="L24" s="82" t="str">
        <x:v>待定</x:v>
      </x:c>
      <x:c r="M24" s="68" t="str">
        <x:v>按M08核查</x:v>
      </x:c>
      <x:c r="N24" s="68" t="str">
        <x:v>按M06/M08核查</x:v>
      </x:c>
      <x:c r="O24" s="82" t="str">
        <x:v>待定</x:v>
      </x:c>
      <x:c r="P24" s="68" t="str">
        <x:v>转M11/M14判断</x:v>
      </x:c>
      <x:c r="Q24" s="68" t="str">
        <x:v>需结合M09日主承载判断</x:v>
      </x:c>
      <x:c r="R24" s="82" t="str">
        <x:v>待定</x:v>
      </x:c>
      <x:c r="S24" s="68" t="str">
        <x:v>财星透干但M08确认无有效根、无强生源</x:v>
      </x:c>
      <x:c r="T24" s="68" t="str">
        <x:v>M02十神映射、M08五行有效旺衰、M09日主旺衰已完成</x:v>
      </x:c>
      <x:c r="U24" s="68" t="str">
        <x:v>相关十神已由M02正确映射，并以M08有效力量为准</x:v>
      </x:c>
      <x:c r="V24" s="68" t="str">
        <x:v>得令、有根、透干、同党或生源形成独立有效证据</x:v>
      </x:c>
      <x:c r="W24" s="68" t="str">
        <x:v>失令、无根、被合绊、被制、改性或作用路径受阻</x:v>
      </x:c>
      <x:c r="X24" s="90" t="str">
        <x:v>不得以十神名称、数量或单一旺弱证据直接完成定性</x:v>
      </x:c>
      <x:c r="Y24" s="68" t="str">
        <x:v>特殊格局、从化候选及明确组合转M11/M14另审</x:v>
      </x:c>
      <x:c r="Z24" s="68" t="str">
        <x:v>不得把透干等同有力</x:v>
      </x:c>
      <x:c r="AA24" s="84" t="str">
        <x:v>十神浮显</x:v>
      </x:c>
      <x:c r="AB24" s="84" t="str">
        <x:v>无根透干属于显而承载不足的候选：当“财星透干但M08确认无有效根、无强生源”成立时，按本规则记录十神的有效功能；同时保留制化、承载和反向证据。</x:v>
      </x:c>
      <x:c r="AC24" s="82" t="str">
        <x:v>较高</x:v>
      </x:c>
      <x:c r="AD24" s="82" t="str">
        <x:v>现代综合</x:v>
      </x:c>
      <x:c r="AE24" s="68" t="str">
        <x:v>十神必须分开判断存在性、力量、清纯度、功能性与喜忌性；M10只形成结构层结论和候选，不越级替代M11—M18。</x:v>
      </x:c>
      <x:c r="AF24" s="68" t="str">
        <x:v>相关条件真实成立，且增强条件有效时，可按“无根透干属于显而承载不足的候选”记录对应功能。</x:v>
      </x:c>
      <x:c r="AG24" s="90" t="str">
        <x:v>仅见表面十神名称或数量，但“不得以十神名称、数量或单一旺弱证据直接完成定性”所述限制存在时，不得套用本规则。</x:v>
      </x:c>
      <x:c r="AH24" s="68" t="str">
        <x:v>https://zh.wikisource.org/wiki/%E6%B8%8A%E6%B5%B7%E5%AD%90%E5%B9%B3%E5%A4%A7%E5%85%A8 ; https://zh.wikisource.org/wiki/%E6%BB%B4%E5%A4%A9%E9%AB%93%E9%97%A1%E5%BE%AE</x:v>
      </x:c>
      <x:c r="AI24" s="82" t="str">
        <x:v>采用</x:v>
      </x:c>
      <x:c r="AJ24" s="82" t="str">
        <x:v>初审</x:v>
      </x:c>
      <x:c r="AK24" s="87" t="n">
        <x:v>46255</x:v>
      </x:c>
    </x:row>
    <x:row r="25">
      <x:c r="A25" s="72" t="str">
        <x:f>IF(OR(C25="",D25=""),"",B25&amp;"-"&amp;UPPER(C25)&amp;"-"&amp;TEXT(D25,"0000")&amp;"-"&amp;E25)</x:f>
        <x:v>M10-POWER-0019-V1.0</x:v>
      </x:c>
      <x:c r="B25" s="74" t="str">
        <x:v>M10</x:v>
      </x:c>
      <x:c r="C25" s="74" t="str">
        <x:v>POWER</x:v>
      </x:c>
      <x:c r="D25" s="215" t="n">
        <x:v>19</x:v>
      </x:c>
      <x:c r="E25" s="74" t="str">
        <x:v>V1.0</x:v>
      </x:c>
      <x:c r="F25" s="68" t="str">
        <x:v>生源有力可增强官杀实际压力</x:v>
      </x:c>
      <x:c r="G25" s="82" t="str">
        <x:v>结构层</x:v>
      </x:c>
      <x:c r="H25" s="82" t="str">
        <x:v>七杀</x:v>
      </x:c>
      <x:c r="I25" s="82" t="str">
        <x:v>待定</x:v>
      </x:c>
      <x:c r="J25" s="82" t="str">
        <x:v>待定</x:v>
      </x:c>
      <x:c r="K25" s="82" t="str">
        <x:v>中和偏旺</x:v>
      </x:c>
      <x:c r="L25" s="82" t="str">
        <x:v>待定</x:v>
      </x:c>
      <x:c r="M25" s="68" t="str">
        <x:v>财星提供有效生源</x:v>
      </x:c>
      <x:c r="N25" s="68" t="str">
        <x:v>按M06/M08核查</x:v>
      </x:c>
      <x:c r="O25" s="82" t="str">
        <x:v>待定</x:v>
      </x:c>
      <x:c r="P25" s="68" t="str">
        <x:v>转M11/M14判断</x:v>
      </x:c>
      <x:c r="Q25" s="68" t="str">
        <x:v>需结合M09日主承载判断</x:v>
      </x:c>
      <x:c r="R25" s="82" t="str">
        <x:v>待定</x:v>
      </x:c>
      <x:c r="S25" s="68" t="str">
        <x:v>财星有效生官杀，且生扶通路未被阻断</x:v>
      </x:c>
      <x:c r="T25" s="68" t="str">
        <x:v>M02十神映射、M08五行有效旺衰、M09日主旺衰已完成</x:v>
      </x:c>
      <x:c r="U25" s="68" t="str">
        <x:v>相关十神已由M02正确映射，并以M08有效力量为准</x:v>
      </x:c>
      <x:c r="V25" s="68" t="str">
        <x:v>得令、有根、透干、同党或生源形成独立有效证据</x:v>
      </x:c>
      <x:c r="W25" s="68" t="str">
        <x:v>失令、无根、被合绊、被制、改性或作用路径受阻</x:v>
      </x:c>
      <x:c r="X25" s="90" t="str">
        <x:v>不得以十神名称、数量或单一旺弱证据直接完成定性</x:v>
      </x:c>
      <x:c r="Y25" s="68" t="str">
        <x:v>特殊格局、从化候选及明确组合转M11/M14另审</x:v>
      </x:c>
      <x:c r="Z25" s="68" t="str">
        <x:v>不得直接推出吉凶、具体事件、亲属结果或最终喜忌</x:v>
      </x:c>
      <x:c r="AA25" s="84" t="str">
        <x:v>官杀受生增强</x:v>
      </x:c>
      <x:c r="AB25" s="84" t="str">
        <x:v>生源有力可增强官杀实际压力：当“财星有效生官杀，且生扶通路未被阻断”成立时，按本规则记录十神的有效功能；同时保留制化、承载和反向证据。</x:v>
      </x:c>
      <x:c r="AC25" s="82" t="str">
        <x:v>较高</x:v>
      </x:c>
      <x:c r="AD25" s="82" t="str">
        <x:v>现代综合</x:v>
      </x:c>
      <x:c r="AE25" s="68" t="str">
        <x:v>十神必须分开判断存在性、力量、清纯度、功能性与喜忌性；M10只形成结构层结论和候选，不越级替代M11—M18。</x:v>
      </x:c>
      <x:c r="AF25" s="68" t="str">
        <x:v>相关条件真实成立，且增强条件有效时，可按“生源有力可增强官杀实际压力”记录对应功能。</x:v>
      </x:c>
      <x:c r="AG25" s="90" t="str">
        <x:v>仅见表面十神名称或数量，但“不得以十神名称、数量或单一旺弱证据直接完成定性”所述限制存在时，不得套用本规则。</x:v>
      </x:c>
      <x:c r="AH25" s="68" t="str">
        <x:v>https://zh.wikisource.org/wiki/%E6%B8%8A%E6%B5%B7%E5%AD%90%E5%B9%B3%E5%A4%A7%E5%85%A8 ; https://zh.wikisource.org/wiki/%E6%BB%B4%E5%A4%A9%E9%AB%93%E9%97%A1%E5%BE%AE</x:v>
      </x:c>
      <x:c r="AI25" s="82" t="str">
        <x:v>采用</x:v>
      </x:c>
      <x:c r="AJ25" s="82" t="str">
        <x:v>初审</x:v>
      </x:c>
      <x:c r="AK25" s="87" t="n">
        <x:v>46255</x:v>
      </x:c>
    </x:row>
    <x:row r="26">
      <x:c r="A26" s="72" t="str">
        <x:f>IF(OR(C26="",D26=""),"",B26&amp;"-"&amp;UPPER(C26)&amp;"-"&amp;TEXT(D26,"0000")&amp;"-"&amp;E26)</x:f>
        <x:v>M10-POWER-0020-V1.0</x:v>
      </x:c>
      <x:c r="B26" s="74" t="str">
        <x:v>M10</x:v>
      </x:c>
      <x:c r="C26" s="74" t="str">
        <x:v>POWER</x:v>
      </x:c>
      <x:c r="D26" s="215" t="n">
        <x:v>20</x:v>
      </x:c>
      <x:c r="E26" s="74" t="str">
        <x:v>V1.0</x:v>
      </x:c>
      <x:c r="F26" s="68" t="str">
        <x:v>十神受制时须按实际克制效应下调</x:v>
      </x:c>
      <x:c r="G26" s="82" t="str">
        <x:v>结构层</x:v>
      </x:c>
      <x:c r="H26" s="82" t="str">
        <x:v>正官</x:v>
      </x:c>
      <x:c r="I26" s="82" t="str">
        <x:v>待定</x:v>
      </x:c>
      <x:c r="J26" s="82" t="str">
        <x:v>待定</x:v>
      </x:c>
      <x:c r="K26" s="82" t="str">
        <x:v>中和偏弱</x:v>
      </x:c>
      <x:c r="L26" s="82" t="str">
        <x:v>待定</x:v>
      </x:c>
      <x:c r="M26" s="68" t="str">
        <x:v>按M08核查</x:v>
      </x:c>
      <x:c r="N26" s="68" t="str">
        <x:v>受伤官或合冲实际制约</x:v>
      </x:c>
      <x:c r="O26" s="82" t="str">
        <x:v>受限</x:v>
      </x:c>
      <x:c r="P26" s="68" t="str">
        <x:v>转M11/M14判断</x:v>
      </x:c>
      <x:c r="Q26" s="68" t="str">
        <x:v>需结合M09日主承载判断</x:v>
      </x:c>
      <x:c r="R26" s="82" t="str">
        <x:v>待定</x:v>
      </x:c>
      <x:c r="S26" s="68" t="str">
        <x:v>正官遭有效伤官克制、合绊或改性，M06/M08确认作用成立</x:v>
      </x:c>
      <x:c r="T26" s="68" t="str">
        <x:v>M02十神映射、M08五行有效旺衰、M09日主旺衰已完成</x:v>
      </x:c>
      <x:c r="U26" s="68" t="str">
        <x:v>相关十神已由M02正确映射，并以M08有效力量为准</x:v>
      </x:c>
      <x:c r="V26" s="68" t="str">
        <x:v>得令、有根、透干、同党或生源形成独立有效证据</x:v>
      </x:c>
      <x:c r="W26" s="68" t="str">
        <x:v>失令、无根、被合绊、被制、改性或作用路径受阻</x:v>
      </x:c>
      <x:c r="X26" s="90" t="str">
        <x:v>不得以十神名称、数量或单一旺弱证据直接完成定性</x:v>
      </x:c>
      <x:c r="Y26" s="68" t="str">
        <x:v>特殊格局、从化候选及明确组合转M11/M14另审</x:v>
      </x:c>
      <x:c r="Z26" s="68" t="str">
        <x:v>不得直接推出吉凶、具体事件、亲属结果或最终喜忌</x:v>
      </x:c>
      <x:c r="AA26" s="84" t="str">
        <x:v>十神受制修正</x:v>
      </x:c>
      <x:c r="AB26" s="84" t="str">
        <x:v>十神受制时须按实际克制效应下调：当“正官遭有效伤官克制、合绊或改性，M06/M08确认作用成立”成立时，按本规则记录十神的有效功能；同时保留制化、承载和反向证据。</x:v>
      </x:c>
      <x:c r="AC26" s="82" t="str">
        <x:v>较高</x:v>
      </x:c>
      <x:c r="AD26" s="82" t="str">
        <x:v>现代综合</x:v>
      </x:c>
      <x:c r="AE26" s="68" t="str">
        <x:v>十神必须分开判断存在性、力量、清纯度、功能性与喜忌性；M10只形成结构层结论和候选，不越级替代M11—M18。</x:v>
      </x:c>
      <x:c r="AF26" s="68" t="str">
        <x:v>相关条件真实成立，且增强条件有效时，可按“十神受制时须按实际克制效应下调”记录对应功能。</x:v>
      </x:c>
      <x:c r="AG26" s="90" t="str">
        <x:v>仅见表面十神名称或数量，但“不得以十神名称、数量或单一旺弱证据直接完成定性”所述限制存在时，不得套用本规则。</x:v>
      </x:c>
      <x:c r="AH26" s="68" t="str">
        <x:v>https://zh.wikisource.org/wiki/%E6%B8%8A%E6%B5%B7%E5%AD%90%E5%B9%B3%E5%A4%A7%E5%85%A8 ; https://zh.wikisource.org/wiki/%E6%BB%B4%E5%A4%A9%E9%AB%93%E9%97%A1%E5%BE%AE</x:v>
      </x:c>
      <x:c r="AI26" s="82" t="str">
        <x:v>采用</x:v>
      </x:c>
      <x:c r="AJ26" s="82" t="str">
        <x:v>初审</x:v>
      </x:c>
      <x:c r="AK26" s="87" t="n">
        <x:v>46255</x:v>
      </x:c>
    </x:row>
    <x:row r="27">
      <x:c r="A27" s="72" t="str">
        <x:f>IF(OR(C27="",D27=""),"",B27&amp;"-"&amp;UPPER(C27)&amp;"-"&amp;TEXT(D27,"0000")&amp;"-"&amp;E27)</x:f>
        <x:v>M10-POWER-0021-V1.0</x:v>
      </x:c>
      <x:c r="B27" s="74" t="str">
        <x:v>M10</x:v>
      </x:c>
      <x:c r="C27" s="74" t="str">
        <x:v>POWER</x:v>
      </x:c>
      <x:c r="D27" s="215" t="n">
        <x:v>21</x:v>
      </x:c>
      <x:c r="E27" s="74" t="str">
        <x:v>V1.0</x:v>
      </x:c>
      <x:c r="F27" s="68" t="str">
        <x:v>被合化改性的节点不再按原十神全额调用</x:v>
      </x:c>
      <x:c r="G27" s="82" t="str">
        <x:v>结构层</x:v>
      </x:c>
      <x:c r="H27" s="82" t="str">
        <x:v>偏印</x:v>
      </x:c>
      <x:c r="I27" s="82" t="str">
        <x:v>待定</x:v>
      </x:c>
      <x:c r="J27" s="82" t="str">
        <x:v>待定</x:v>
      </x:c>
      <x:c r="K27" s="82" t="str">
        <x:v>待定</x:v>
      </x:c>
      <x:c r="L27" s="82" t="str">
        <x:v>待定</x:v>
      </x:c>
      <x:c r="M27" s="68" t="str">
        <x:v>按M08核查</x:v>
      </x:c>
      <x:c r="N27" s="68" t="str">
        <x:v>按M06/M08核查</x:v>
      </x:c>
      <x:c r="O27" s="82" t="str">
        <x:v>转化</x:v>
      </x:c>
      <x:c r="P27" s="68" t="str">
        <x:v>转M11/M14判断</x:v>
      </x:c>
      <x:c r="Q27" s="68" t="str">
        <x:v>需结合M09日主承载判断</x:v>
      </x:c>
      <x:c r="R27" s="82" t="str">
        <x:v>待定</x:v>
      </x:c>
      <x:c r="S27" s="68" t="str">
        <x:v>原偏印节点经M06确认发生实质五行改性</x:v>
      </x:c>
      <x:c r="T27" s="68" t="str">
        <x:v>M02十神映射、M08五行有效旺衰、M09日主旺衰已完成</x:v>
      </x:c>
      <x:c r="U27" s="68" t="str">
        <x:v>相关十神已由M02正确映射，并以M08有效力量为准</x:v>
      </x:c>
      <x:c r="V27" s="68" t="str">
        <x:v>得令、有根、透干、同党或生源形成独立有效证据</x:v>
      </x:c>
      <x:c r="W27" s="68" t="str">
        <x:v>失令、无根、被合绊、被制、改性或作用路径受阻</x:v>
      </x:c>
      <x:c r="X27" s="90" t="str">
        <x:v>不得以十神名称、数量或单一旺弱证据直接完成定性</x:v>
      </x:c>
      <x:c r="Y27" s="68" t="str">
        <x:v>特殊格局、从化候选及明确组合转M11/M14另审</x:v>
      </x:c>
      <x:c r="Z27" s="68" t="str">
        <x:v>不得在改性后同时把原十神与化神重复全额计力</x:v>
      </x:c>
      <x:c r="AA27" s="84" t="str">
        <x:v>十神改性重算</x:v>
      </x:c>
      <x:c r="AB27" s="84" t="str">
        <x:v>被合化改性的节点不再按原十神全额调用：当“原偏印节点经M06确认发生实质五行改性”成立时，按本规则记录十神的有效功能；同时保留制化、承载和反向证据。</x:v>
      </x:c>
      <x:c r="AC27" s="82" t="str">
        <x:v>较高</x:v>
      </x:c>
      <x:c r="AD27" s="82" t="str">
        <x:v>现代综合</x:v>
      </x:c>
      <x:c r="AE27" s="68" t="str">
        <x:v>十神必须分开判断存在性、力量、清纯度、功能性与喜忌性；M10只形成结构层结论和候选，不越级替代M11—M18。</x:v>
      </x:c>
      <x:c r="AF27" s="68" t="str">
        <x:v>相关条件真实成立，且增强条件有效时，可按“被合化改性的节点不再按原十神全额调用”记录对应功能。</x:v>
      </x:c>
      <x:c r="AG27" s="90" t="str">
        <x:v>仅见表面十神名称或数量，但“不得以十神名称、数量或单一旺弱证据直接完成定性”所述限制存在时，不得套用本规则。</x:v>
      </x:c>
      <x:c r="AH27" s="68" t="str">
        <x:v>https://zh.wikisource.org/wiki/%E6%B8%8A%E6%B5%B7%E5%AD%90%E5%B9%B3%E5%A4%A7%E5%85%A8 ; https://zh.wikisource.org/wiki/%E6%BB%B4%E5%A4%A9%E9%AB%93%E9%97%A1%E5%BE%AE</x:v>
      </x:c>
      <x:c r="AI27" s="82" t="str">
        <x:v>采用</x:v>
      </x:c>
      <x:c r="AJ27" s="82" t="str">
        <x:v>初审</x:v>
      </x:c>
      <x:c r="AK27" s="87" t="n">
        <x:v>46255</x:v>
      </x:c>
    </x:row>
    <x:row r="28">
      <x:c r="A28" s="72" t="str">
        <x:f>IF(OR(C28="",D28=""),"",B28&amp;"-"&amp;UPPER(C28)&amp;"-"&amp;TEXT(D28,"0000")&amp;"-"&amp;E28)</x:f>
        <x:v>M10-POWER-0022-V1.0</x:v>
      </x:c>
      <x:c r="B28" s="74" t="str">
        <x:v>M10</x:v>
      </x:c>
      <x:c r="C28" s="74" t="str">
        <x:v>POWER</x:v>
      </x:c>
      <x:c r="D28" s="215" t="n">
        <x:v>22</x:v>
      </x:c>
      <x:c r="E28" s="74" t="str">
        <x:v>V1.0</x:v>
      </x:c>
      <x:c r="F28" s="68" t="str">
        <x:v>同源季令根气透干证据必须去重</x:v>
      </x:c>
      <x:c r="G28" s="82" t="str">
        <x:v>结构层</x:v>
      </x:c>
      <x:c r="H28" s="82" t="str">
        <x:v>正印</x:v>
      </x:c>
      <x:c r="I28" s="82" t="str">
        <x:v>待定</x:v>
      </x:c>
      <x:c r="J28" s="82" t="str">
        <x:v>待定</x:v>
      </x:c>
      <x:c r="K28" s="82" t="str">
        <x:v>待定</x:v>
      </x:c>
      <x:c r="L28" s="82" t="str">
        <x:v>待定</x:v>
      </x:c>
      <x:c r="M28" s="68" t="str">
        <x:v>按M08核查</x:v>
      </x:c>
      <x:c r="N28" s="68" t="str">
        <x:v>按M06/M08核查</x:v>
      </x:c>
      <x:c r="O28" s="82" t="str">
        <x:v>待定</x:v>
      </x:c>
      <x:c r="P28" s="68" t="str">
        <x:v>转M11/M14判断</x:v>
      </x:c>
      <x:c r="Q28" s="68" t="str">
        <x:v>需结合M09日主承载判断</x:v>
      </x:c>
      <x:c r="R28" s="82" t="str">
        <x:v>待定</x:v>
      </x:c>
      <x:c r="S28" s="68" t="str">
        <x:v>同一干支节点同时提供得令、通根、透出等多个标签</x:v>
      </x:c>
      <x:c r="T28" s="68" t="str">
        <x:v>M02十神映射、M08五行有效旺衰、M09日主旺衰已完成</x:v>
      </x:c>
      <x:c r="U28" s="68" t="str">
        <x:v>相关十神已由M02正确映射，并以M08有效力量为准</x:v>
      </x:c>
      <x:c r="V28" s="68" t="str">
        <x:v>得令、有根、透干、同党或生源形成独立有效证据</x:v>
      </x:c>
      <x:c r="W28" s="68" t="str">
        <x:v>失令、无根、被合绊、被制、改性或作用路径受阻</x:v>
      </x:c>
      <x:c r="X28" s="90" t="str">
        <x:v>不得以十神名称、数量或单一旺弱证据直接完成定性</x:v>
      </x:c>
      <x:c r="Y28" s="68" t="str">
        <x:v>特殊格局、从化候选及明确组合转M11/M14另审</x:v>
      </x:c>
      <x:c r="Z28" s="68" t="str">
        <x:v>不得把同一节点的多个标签重复按决定性权重累加</x:v>
      </x:c>
      <x:c r="AA28" s="84" t="str">
        <x:v>十神证据去重</x:v>
      </x:c>
      <x:c r="AB28" s="84" t="str">
        <x:v>同源季令根气透干证据必须去重：当“同一干支节点同时提供得令、通根、透出等多个标签”成立时，按本规则记录十神的有效功能；同时保留制化、承载和反向证据。</x:v>
      </x:c>
      <x:c r="AC28" s="82" t="str">
        <x:v>较高</x:v>
      </x:c>
      <x:c r="AD28" s="82" t="str">
        <x:v>现代综合</x:v>
      </x:c>
      <x:c r="AE28" s="68" t="str">
        <x:v>十神必须分开判断存在性、力量、清纯度、功能性与喜忌性；M10只形成结构层结论和候选，不越级替代M11—M18。</x:v>
      </x:c>
      <x:c r="AF28" s="68" t="str">
        <x:v>相关条件真实成立，且增强条件有效时，可按“同源季令根气透干证据必须去重”记录对应功能。</x:v>
      </x:c>
      <x:c r="AG28" s="90" t="str">
        <x:v>仅见表面十神名称或数量，但“不得以十神名称、数量或单一旺弱证据直接完成定性”所述限制存在时，不得套用本规则。</x:v>
      </x:c>
      <x:c r="AH28" s="68" t="str">
        <x:v>https://zh.wikisource.org/wiki/%E6%B8%8A%E6%B5%B7%E5%AD%90%E5%B9%B3%E5%A4%A7%E5%85%A8 ; https://zh.wikisource.org/wiki/%E6%BB%B4%E5%A4%A9%E9%AB%93%E9%97%A1%E5%BE%AE</x:v>
      </x:c>
      <x:c r="AI28" s="82" t="str">
        <x:v>采用</x:v>
      </x:c>
      <x:c r="AJ28" s="82" t="str">
        <x:v>初审</x:v>
      </x:c>
      <x:c r="AK28" s="87" t="n">
        <x:v>46255</x:v>
      </x:c>
    </x:row>
    <x:row r="29">
      <x:c r="A29" s="72" t="str">
        <x:f>IF(OR(C29="",D29=""),"",B29&amp;"-"&amp;UPPER(C29)&amp;"-"&amp;TEXT(D29,"0000")&amp;"-"&amp;E29)</x:f>
        <x:v>M10-POWER-0023-V1.0</x:v>
      </x:c>
      <x:c r="B29" s="74" t="str">
        <x:v>M10</x:v>
      </x:c>
      <x:c r="C29" s="74" t="str">
        <x:v>POWER</x:v>
      </x:c>
      <x:c r="D29" s="215" t="n">
        <x:v>23</x:v>
      </x:c>
      <x:c r="E29" s="74" t="str">
        <x:v>V1.0</x:v>
      </x:c>
      <x:c r="F29" s="68" t="str">
        <x:v>藏支弱十神不等于零力量</x:v>
      </x:c>
      <x:c r="G29" s="82" t="str">
        <x:v>结构层</x:v>
      </x:c>
      <x:c r="H29" s="82" t="str">
        <x:v>食神</x:v>
      </x:c>
      <x:c r="I29" s="82" t="str">
        <x:v>藏支余气</x:v>
      </x:c>
      <x:c r="J29" s="82" t="str">
        <x:v>待定</x:v>
      </x:c>
      <x:c r="K29" s="82" t="str">
        <x:v>弱</x:v>
      </x:c>
      <x:c r="L29" s="82" t="str">
        <x:v>待定</x:v>
      </x:c>
      <x:c r="M29" s="68" t="str">
        <x:v>按M08核查</x:v>
      </x:c>
      <x:c r="N29" s="68" t="str">
        <x:v>按M06/M08核查</x:v>
      </x:c>
      <x:c r="O29" s="82" t="str">
        <x:v>待定</x:v>
      </x:c>
      <x:c r="P29" s="68" t="str">
        <x:v>转M11/M14判断</x:v>
      </x:c>
      <x:c r="Q29" s="68" t="str">
        <x:v>需结合M09日主承载判断</x:v>
      </x:c>
      <x:c r="R29" s="82" t="str">
        <x:v>待定</x:v>
      </x:c>
      <x:c r="S29" s="68" t="str">
        <x:v>食神仅藏中余气但其根位未被实质破坏</x:v>
      </x:c>
      <x:c r="T29" s="68" t="str">
        <x:v>M02十神映射、M08五行有效旺衰、M09日主旺衰已完成</x:v>
      </x:c>
      <x:c r="U29" s="68" t="str">
        <x:v>相关十神已由M02正确映射，并以M08有效力量为准</x:v>
      </x:c>
      <x:c r="V29" s="68" t="str">
        <x:v>得令、有根、透干、同党或生源形成独立有效证据</x:v>
      </x:c>
      <x:c r="W29" s="68" t="str">
        <x:v>失令、无根、被合绊、被制、改性或作用路径受阻</x:v>
      </x:c>
      <x:c r="X29" s="90" t="str">
        <x:v>不得以十神名称、数量或单一旺弱证据直接完成定性</x:v>
      </x:c>
      <x:c r="Y29" s="68" t="str">
        <x:v>特殊格局、从化候选及明确组合转M11/M14另审</x:v>
      </x:c>
      <x:c r="Z29" s="68" t="str">
        <x:v>不得因不透干将该十神直接删除</x:v>
      </x:c>
      <x:c r="AA29" s="84" t="str">
        <x:v>隐性弱十神保留</x:v>
      </x:c>
      <x:c r="AB29" s="84" t="str">
        <x:v>藏支弱十神不等于零力量：当“食神仅藏中余气但其根位未被实质破坏”成立时，按本规则记录十神的有效功能；同时保留制化、承载和反向证据。</x:v>
      </x:c>
      <x:c r="AC29" s="82" t="str">
        <x:v>较高</x:v>
      </x:c>
      <x:c r="AD29" s="82" t="str">
        <x:v>现代综合</x:v>
      </x:c>
      <x:c r="AE29" s="68" t="str">
        <x:v>十神必须分开判断存在性、力量、清纯度、功能性与喜忌性；M10只形成结构层结论和候选，不越级替代M11—M18。</x:v>
      </x:c>
      <x:c r="AF29" s="68" t="str">
        <x:v>相关条件真实成立，且增强条件有效时，可按“藏支弱十神不等于零力量”记录对应功能。</x:v>
      </x:c>
      <x:c r="AG29" s="90" t="str">
        <x:v>仅见表面十神名称或数量，但“不得以十神名称、数量或单一旺弱证据直接完成定性”所述限制存在时，不得套用本规则。</x:v>
      </x:c>
      <x:c r="AH29" s="68" t="str">
        <x:v>https://zh.wikisource.org/wiki/%E6%B8%8A%E6%B5%B7%E5%AD%90%E5%B9%B3%E5%A4%A7%E5%85%A8 ; https://zh.wikisource.org/wiki/%E6%BB%B4%E5%A4%A9%E9%AB%93%E9%97%A1%E5%BE%AE</x:v>
      </x:c>
      <x:c r="AI29" s="82" t="str">
        <x:v>采用</x:v>
      </x:c>
      <x:c r="AJ29" s="82" t="str">
        <x:v>初审</x:v>
      </x:c>
      <x:c r="AK29" s="87" t="n">
        <x:v>46255</x:v>
      </x:c>
    </x:row>
    <x:row r="30">
      <x:c r="A30" s="72" t="str">
        <x:f>IF(OR(C30="",D30=""),"",B30&amp;"-"&amp;UPPER(C30)&amp;"-"&amp;TEXT(D30,"0000")&amp;"-"&amp;E30)</x:f>
        <x:v>M10-POWER-0024-V1.0</x:v>
      </x:c>
      <x:c r="B30" s="74" t="str">
        <x:v>M10</x:v>
      </x:c>
      <x:c r="C30" s="74" t="str">
        <x:v>POWER</x:v>
      </x:c>
      <x:c r="D30" s="215" t="n">
        <x:v>24</x:v>
      </x:c>
      <x:c r="E30" s="74" t="str">
        <x:v>V1.0</x:v>
      </x:c>
      <x:c r="F30" s="68" t="str">
        <x:v>十神旺衰统一采用七级有效等级</x:v>
      </x:c>
      <x:c r="G30" s="82" t="str">
        <x:v>结构层</x:v>
      </x:c>
      <x:c r="H30" s="82" t="str">
        <x:v>七杀</x:v>
      </x:c>
      <x:c r="I30" s="82" t="str">
        <x:v>待定</x:v>
      </x:c>
      <x:c r="J30" s="82" t="str">
        <x:v>待定</x:v>
      </x:c>
      <x:c r="K30" s="82" t="str">
        <x:v>待定</x:v>
      </x:c>
      <x:c r="L30" s="82" t="str">
        <x:v>待定</x:v>
      </x:c>
      <x:c r="M30" s="68" t="str">
        <x:v>按M08核查</x:v>
      </x:c>
      <x:c r="N30" s="68" t="str">
        <x:v>按M06/M08核查</x:v>
      </x:c>
      <x:c r="O30" s="82" t="str">
        <x:v>待定</x:v>
      </x:c>
      <x:c r="P30" s="68" t="str">
        <x:v>转M11/M14判断</x:v>
      </x:c>
      <x:c r="Q30" s="68" t="str">
        <x:v>需结合M09日主承载判断</x:v>
      </x:c>
      <x:c r="R30" s="82" t="str">
        <x:v>待定</x:v>
      </x:c>
      <x:c r="S30" s="68" t="str">
        <x:v>综合M08节点力量后需输出极弱至极旺七级之一</x:v>
      </x:c>
      <x:c r="T30" s="68" t="str">
        <x:v>M02十神映射、M08五行有效旺衰、M09日主旺衰已完成</x:v>
      </x:c>
      <x:c r="U30" s="68" t="str">
        <x:v>相关十神已由M02正确映射，并以M08有效力量为准</x:v>
      </x:c>
      <x:c r="V30" s="68" t="str">
        <x:v>得令、有根、透干、同党或生源形成独立有效证据</x:v>
      </x:c>
      <x:c r="W30" s="68" t="str">
        <x:v>失令、无根、被合绊、被制、改性或作用路径受阻</x:v>
      </x:c>
      <x:c r="X30" s="90" t="str">
        <x:v>不得以十神名称、数量或单一旺弱证据直接完成定性</x:v>
      </x:c>
      <x:c r="Y30" s="68" t="str">
        <x:v>特殊格局、从化候选及明确组合转M11/M14另审</x:v>
      </x:c>
      <x:c r="Z30" s="68" t="str">
        <x:v>不得直接推出吉凶、具体事件、亲属结果或最终喜忌</x:v>
      </x:c>
      <x:c r="AA30" s="84" t="str">
        <x:v>十神七级分级</x:v>
      </x:c>
      <x:c r="AB30" s="84" t="str">
        <x:v>十神有效旺衰须按极弱、弱、中和偏弱、中和、中和偏旺、旺、极旺输出，并附主要正反证据。</x:v>
      </x:c>
      <x:c r="AC30" s="82" t="str">
        <x:v>较高</x:v>
      </x:c>
      <x:c r="AD30" s="82" t="str">
        <x:v>现代综合</x:v>
      </x:c>
      <x:c r="AE30" s="68" t="str">
        <x:v>十神必须分开判断存在性、力量、清纯度、功能性与喜忌性；M10只形成结构层结论和候选，不越级替代M11—M18。</x:v>
      </x:c>
      <x:c r="AF30" s="68" t="str">
        <x:v>相关条件真实成立，且增强条件有效时，可按“十神旺衰统一采用七级有效等级”记录对应功能。</x:v>
      </x:c>
      <x:c r="AG30" s="90" t="str">
        <x:v>仅见表面十神名称或数量，但“不得以十神名称、数量或单一旺弱证据直接完成定性”所述限制存在时，不得套用本规则。</x:v>
      </x:c>
      <x:c r="AH30" s="68" t="str">
        <x:v>https://zh.wikisource.org/wiki/%E6%B8%8A%E6%B5%B7%E5%AD%90%E5%B9%B3%E5%A4%A7%E5%85%A8 ; https://zh.wikisource.org/wiki/%E6%BB%B4%E5%A4%A9%E9%AB%93%E9%97%A1%E5%BE%AE</x:v>
      </x:c>
      <x:c r="AI30" s="82" t="str">
        <x:v>采用</x:v>
      </x:c>
      <x:c r="AJ30" s="82" t="str">
        <x:v>初审</x:v>
      </x:c>
      <x:c r="AK30" s="87" t="n">
        <x:v>46255</x:v>
      </x:c>
    </x:row>
    <x:row r="31">
      <x:c r="A31" s="72" t="str">
        <x:f>IF(OR(C31="",D31=""),"",B31&amp;"-"&amp;UPPER(C31)&amp;"-"&amp;TEXT(D31,"0000")&amp;"-"&amp;E31)</x:f>
        <x:v>M10-PURE-0025-V1.0</x:v>
      </x:c>
      <x:c r="B31" s="74" t="str">
        <x:v>M10</x:v>
      </x:c>
      <x:c r="C31" s="74" t="str">
        <x:v>PURE</x:v>
      </x:c>
      <x:c r="D31" s="215" t="n">
        <x:v>25</x:v>
      </x:c>
      <x:c r="E31" s="74" t="str">
        <x:v>V1.0</x:v>
      </x:c>
      <x:c r="F31" s="68" t="str">
        <x:v>同一功能群仅一类十神有效主导时可判较清</x:v>
      </x:c>
      <x:c r="G31" s="82" t="str">
        <x:v>结构层</x:v>
      </x:c>
      <x:c r="H31" s="82" t="str">
        <x:v>正官</x:v>
      </x:c>
      <x:c r="I31" s="82" t="str">
        <x:v>待定</x:v>
      </x:c>
      <x:c r="J31" s="82" t="str">
        <x:v>待定</x:v>
      </x:c>
      <x:c r="K31" s="82" t="str">
        <x:v>待定</x:v>
      </x:c>
      <x:c r="L31" s="82" t="str">
        <x:v>较清</x:v>
      </x:c>
      <x:c r="M31" s="68" t="str">
        <x:v>按M08核查</x:v>
      </x:c>
      <x:c r="N31" s="68" t="str">
        <x:v>按M06/M08核查</x:v>
      </x:c>
      <x:c r="O31" s="82" t="str">
        <x:v>待定</x:v>
      </x:c>
      <x:c r="P31" s="68" t="str">
        <x:v>转M11/M14判断</x:v>
      </x:c>
      <x:c r="Q31" s="68" t="str">
        <x:v>需结合M09日主承载判断</x:v>
      </x:c>
      <x:c r="R31" s="82" t="str">
        <x:v>待定</x:v>
      </x:c>
      <x:c r="S31" s="68" t="str">
        <x:v>官杀功能群中正官明显有效，七杀不现或极弱</x:v>
      </x:c>
      <x:c r="T31" s="68" t="str">
        <x:v>M02十神映射、M08五行有效旺衰、M09日主旺衰已完成</x:v>
      </x:c>
      <x:c r="U31" s="68" t="str">
        <x:v>相关十神已由M02正确映射，并以M08有效力量为准</x:v>
      </x:c>
      <x:c r="V31" s="68" t="str">
        <x:v>得令、有根、透干、同党或生源形成独立有效证据</x:v>
      </x:c>
      <x:c r="W31" s="68" t="str">
        <x:v>失令、无根、被合绊、被制、改性或作用路径受阻</x:v>
      </x:c>
      <x:c r="X31" s="90" t="str">
        <x:v>不得以十神名称、数量或单一旺弱证据直接完成定性</x:v>
      </x:c>
      <x:c r="Y31" s="68" t="str">
        <x:v>特殊格局、从化候选及明确组合转M11/M14另审</x:v>
      </x:c>
      <x:c r="Z31" s="68" t="str">
        <x:v>不得由较清直接推出正官为喜或格局成立</x:v>
      </x:c>
      <x:c r="AA31" s="84" t="str">
        <x:v>官杀较清</x:v>
      </x:c>
      <x:c r="AB31" s="84" t="str">
        <x:v>同一功能群仅一类十神有效主导时可判较清：当“官杀功能群中正官明显有效，七杀不现或极弱”成立时，按本规则记录十神的有效功能；同时保留制化、承载和反向证据。</x:v>
      </x:c>
      <x:c r="AC31" s="82" t="str">
        <x:v>较高</x:v>
      </x:c>
      <x:c r="AD31" s="82" t="str">
        <x:v>现代综合</x:v>
      </x:c>
      <x:c r="AE31" s="68" t="str">
        <x:v>十神必须分开判断存在性、力量、清纯度、功能性与喜忌性；M10只形成结构层结论和候选，不越级替代M11—M18。</x:v>
      </x:c>
      <x:c r="AF31" s="68" t="str">
        <x:v>相关条件真实成立，且增强条件有效时，可按“同一功能群仅一类十神有效主导时可判较清”记录对应功能。</x:v>
      </x:c>
      <x:c r="AG31" s="90" t="str">
        <x:v>仅见表面十神名称或数量，但“不得以十神名称、数量或单一旺弱证据直接完成定性”所述限制存在时，不得套用本规则。</x:v>
      </x:c>
      <x:c r="AH31" s="68" t="str">
        <x:v>https://zh.wikisource.org/wiki/%E6%B8%8A%E6%B5%B7%E5%AD%90%E5%B9%B3%E5%A4%A7%E5%85%A8 ; https://zh.wikisource.org/wiki/%E6%BB%B4%E5%A4%A9%E9%AB%93%E9%97%A1%E5%BE%AE</x:v>
      </x:c>
      <x:c r="AI31" s="82" t="str">
        <x:v>采用</x:v>
      </x:c>
      <x:c r="AJ31" s="82" t="str">
        <x:v>初审</x:v>
      </x:c>
      <x:c r="AK31" s="87" t="n">
        <x:v>46255</x:v>
      </x:c>
    </x:row>
    <x:row r="32">
      <x:c r="A32" s="72" t="str">
        <x:f>IF(OR(C32="",D32=""),"",B32&amp;"-"&amp;UPPER(C32)&amp;"-"&amp;TEXT(D32,"0000")&amp;"-"&amp;E32)</x:f>
        <x:v>M10-PURE-0026-V1.0</x:v>
      </x:c>
      <x:c r="B32" s="74" t="str">
        <x:v>M10</x:v>
      </x:c>
      <x:c r="C32" s="74" t="str">
        <x:v>PURE</x:v>
      </x:c>
      <x:c r="D32" s="215" t="n">
        <x:v>26</x:v>
      </x:c>
      <x:c r="E32" s="74" t="str">
        <x:v>V1.0</x:v>
      </x:c>
      <x:c r="F32" s="68" t="str">
        <x:v>七杀主导而正官无效时不按官杀混杂处理</x:v>
      </x:c>
      <x:c r="G32" s="82" t="str">
        <x:v>结构层</x:v>
      </x:c>
      <x:c r="H32" s="82" t="str">
        <x:v>七杀</x:v>
      </x:c>
      <x:c r="I32" s="82" t="str">
        <x:v>待定</x:v>
      </x:c>
      <x:c r="J32" s="82" t="str">
        <x:v>待定</x:v>
      </x:c>
      <x:c r="K32" s="82" t="str">
        <x:v>待定</x:v>
      </x:c>
      <x:c r="L32" s="82" t="str">
        <x:v>较清</x:v>
      </x:c>
      <x:c r="M32" s="68" t="str">
        <x:v>按M08核查</x:v>
      </x:c>
      <x:c r="N32" s="68" t="str">
        <x:v>按M06/M08核查</x:v>
      </x:c>
      <x:c r="O32" s="82" t="str">
        <x:v>待定</x:v>
      </x:c>
      <x:c r="P32" s="68" t="str">
        <x:v>转M11/M14判断</x:v>
      </x:c>
      <x:c r="Q32" s="68" t="str">
        <x:v>需结合M09日主承载判断</x:v>
      </x:c>
      <x:c r="R32" s="82" t="str">
        <x:v>待定</x:v>
      </x:c>
      <x:c r="S32" s="68" t="str">
        <x:v>七杀有效主导，正官不现或仅有失效弱节点</x:v>
      </x:c>
      <x:c r="T32" s="68" t="str">
        <x:v>M02十神映射、M08五行有效旺衰、M09日主旺衰已完成</x:v>
      </x:c>
      <x:c r="U32" s="68" t="str">
        <x:v>相关十神已由M02正确映射，并以M08有效力量为准</x:v>
      </x:c>
      <x:c r="V32" s="68" t="str">
        <x:v>得令、有根、透干、同党或生源形成独立有效证据</x:v>
      </x:c>
      <x:c r="W32" s="68" t="str">
        <x:v>失令、无根、被合绊、被制、改性或作用路径受阻</x:v>
      </x:c>
      <x:c r="X32" s="90" t="str">
        <x:v>不得以十神名称、数量或单一旺弱证据直接完成定性</x:v>
      </x:c>
      <x:c r="Y32" s="68" t="str">
        <x:v>特殊格局、从化候选及明确组合转M11/M14另审</x:v>
      </x:c>
      <x:c r="Z32" s="68" t="str">
        <x:v>不得直接推出吉凶、具体事件、亲属结果或最终喜忌</x:v>
      </x:c>
      <x:c r="AA32" s="84" t="str">
        <x:v>七杀较清</x:v>
      </x:c>
      <x:c r="AB32" s="84" t="str">
        <x:v>七杀主导而正官无效时不按官杀混杂处理：当“七杀有效主导，正官不现或仅有失效弱节点”成立时，按本规则记录十神的有效功能；同时保留制化、承载和反向证据。</x:v>
      </x:c>
      <x:c r="AC32" s="82" t="str">
        <x:v>较高</x:v>
      </x:c>
      <x:c r="AD32" s="82" t="str">
        <x:v>现代综合</x:v>
      </x:c>
      <x:c r="AE32" s="68" t="str">
        <x:v>十神必须分开判断存在性、力量、清纯度、功能性与喜忌性；M10只形成结构层结论和候选，不越级替代M11—M18。</x:v>
      </x:c>
      <x:c r="AF32" s="68" t="str">
        <x:v>相关条件真实成立，且增强条件有效时，可按“七杀主导而正官无效时不按官杀混杂处理”记录对应功能。</x:v>
      </x:c>
      <x:c r="AG32" s="90" t="str">
        <x:v>仅见表面十神名称或数量，但“不得以十神名称、数量或单一旺弱证据直接完成定性”所述限制存在时，不得套用本规则。</x:v>
      </x:c>
      <x:c r="AH32" s="68" t="str">
        <x:v>https://zh.wikisource.org/wiki/%E6%B8%8A%E6%B5%B7%E5%AD%90%E5%B9%B3%E5%A4%A7%E5%85%A8 ; https://zh.wikisource.org/wiki/%E6%BB%B4%E5%A4%A9%E9%AB%93%E9%97%A1%E5%BE%AE</x:v>
      </x:c>
      <x:c r="AI32" s="82" t="str">
        <x:v>采用</x:v>
      </x:c>
      <x:c r="AJ32" s="82" t="str">
        <x:v>初审</x:v>
      </x:c>
      <x:c r="AK32" s="87" t="n">
        <x:v>46255</x:v>
      </x:c>
    </x:row>
    <x:row r="33">
      <x:c r="A33" s="72" t="str">
        <x:f>IF(OR(C33="",D33=""),"",B33&amp;"-"&amp;UPPER(C33)&amp;"-"&amp;TEXT(D33,"0000")&amp;"-"&amp;E33)</x:f>
        <x:v>M10-PURE-0027-V1.0</x:v>
      </x:c>
      <x:c r="B33" s="74" t="str">
        <x:v>M10</x:v>
      </x:c>
      <x:c r="C33" s="74" t="str">
        <x:v>PURE</x:v>
      </x:c>
      <x:c r="D33" s="215" t="n">
        <x:v>27</x:v>
      </x:c>
      <x:c r="E33" s="74" t="str">
        <x:v>V1.0</x:v>
      </x:c>
      <x:c r="F33" s="68" t="str">
        <x:v>食伤正偏并见先判有杂而非自动混杂</x:v>
      </x:c>
      <x:c r="G33" s="82" t="str">
        <x:v>结构层</x:v>
      </x:c>
      <x:c r="H33" s="82" t="str">
        <x:v>食神</x:v>
      </x:c>
      <x:c r="I33" s="82" t="str">
        <x:v>待定</x:v>
      </x:c>
      <x:c r="J33" s="82" t="str">
        <x:v>待定</x:v>
      </x:c>
      <x:c r="K33" s="82" t="str">
        <x:v>待定</x:v>
      </x:c>
      <x:c r="L33" s="82" t="str">
        <x:v>有杂</x:v>
      </x:c>
      <x:c r="M33" s="68" t="str">
        <x:v>按M08核查</x:v>
      </x:c>
      <x:c r="N33" s="68" t="str">
        <x:v>按M06/M08核查</x:v>
      </x:c>
      <x:c r="O33" s="82" t="str">
        <x:v>待定</x:v>
      </x:c>
      <x:c r="P33" s="68" t="str">
        <x:v>转M11/M14判断</x:v>
      </x:c>
      <x:c r="Q33" s="68" t="str">
        <x:v>需结合M09日主承载判断</x:v>
      </x:c>
      <x:c r="R33" s="82" t="str">
        <x:v>待定</x:v>
      </x:c>
      <x:c r="S33" s="68" t="str">
        <x:v>食神与伤官均存在，但一方明显主导、另一方弱</x:v>
      </x:c>
      <x:c r="T33" s="68" t="str">
        <x:v>M02十神映射、M08五行有效旺衰、M09日主旺衰已完成</x:v>
      </x:c>
      <x:c r="U33" s="68" t="str">
        <x:v>相关十神已由M02正确映射，并以M08有效力量为准</x:v>
      </x:c>
      <x:c r="V33" s="68" t="str">
        <x:v>得令、有根、透干、同党或生源形成独立有效证据</x:v>
      </x:c>
      <x:c r="W33" s="68" t="str">
        <x:v>失令、无根、被合绊、被制、改性或作用路径受阻</x:v>
      </x:c>
      <x:c r="X33" s="90" t="str">
        <x:v>不得以十神名称、数量或单一旺弱证据直接完成定性</x:v>
      </x:c>
      <x:c r="Y33" s="68" t="str">
        <x:v>特殊格局、从化候选及明确组合转M11/M14另审</x:v>
      </x:c>
      <x:c r="Z33" s="68" t="str">
        <x:v>不得直接推出吉凶、具体事件、亲属结果或最终喜忌</x:v>
      </x:c>
      <x:c r="AA33" s="84" t="str">
        <x:v>食伤有杂</x:v>
      </x:c>
      <x:c r="AB33" s="84" t="str">
        <x:v>食伤正偏并见先判有杂而非自动混杂：当“食神与伤官均存在，但一方明显主导、另一方弱”成立时，按本规则记录十神的有效功能；同时保留制化、承载和反向证据。</x:v>
      </x:c>
      <x:c r="AC33" s="82" t="str">
        <x:v>较高</x:v>
      </x:c>
      <x:c r="AD33" s="82" t="str">
        <x:v>现代综合</x:v>
      </x:c>
      <x:c r="AE33" s="68" t="str">
        <x:v>十神必须分开判断存在性、力量、清纯度、功能性与喜忌性；M10只形成结构层结论和候选，不越级替代M11—M18。</x:v>
      </x:c>
      <x:c r="AF33" s="68" t="str">
        <x:v>相关条件真实成立，且增强条件有效时，可按“食伤正偏并见先判有杂而非自动混杂”记录对应功能。</x:v>
      </x:c>
      <x:c r="AG33" s="90" t="str">
        <x:v>仅见表面十神名称或数量，但“不得以十神名称、数量或单一旺弱证据直接完成定性”所述限制存在时，不得套用本规则。</x:v>
      </x:c>
      <x:c r="AH33" s="68" t="str">
        <x:v>https://zh.wikisource.org/wiki/%E6%B8%8A%E6%B5%B7%E5%AD%90%E5%B9%B3%E5%A4%A7%E5%85%A8 ; https://zh.wikisource.org/wiki/%E6%BB%B4%E5%A4%A9%E9%AB%93%E9%97%A1%E5%BE%AE</x:v>
      </x:c>
      <x:c r="AI33" s="82" t="str">
        <x:v>采用</x:v>
      </x:c>
      <x:c r="AJ33" s="82" t="str">
        <x:v>初审</x:v>
      </x:c>
      <x:c r="AK33" s="87" t="n">
        <x:v>46255</x:v>
      </x:c>
    </x:row>
    <x:row r="34">
      <x:c r="A34" s="72" t="str">
        <x:f>IF(OR(C34="",D34=""),"",B34&amp;"-"&amp;UPPER(C34)&amp;"-"&amp;TEXT(D34,"0000")&amp;"-"&amp;E34)</x:f>
        <x:v>M10-PURE-0028-V1.0</x:v>
      </x:c>
      <x:c r="B34" s="74" t="str">
        <x:v>M10</x:v>
      </x:c>
      <x:c r="C34" s="74" t="str">
        <x:v>PURE</x:v>
      </x:c>
      <x:c r="D34" s="215" t="n">
        <x:v>28</x:v>
      </x:c>
      <x:c r="E34" s="74" t="str">
        <x:v>V1.0</x:v>
      </x:c>
      <x:c r="F34" s="68" t="str">
        <x:v>食伤两类均旺且透达时混杂程度上升</x:v>
      </x:c>
      <x:c r="G34" s="82" t="str">
        <x:v>结构层</x:v>
      </x:c>
      <x:c r="H34" s="82" t="str">
        <x:v>伤官</x:v>
      </x:c>
      <x:c r="I34" s="82" t="str">
        <x:v>待定</x:v>
      </x:c>
      <x:c r="J34" s="82" t="str">
        <x:v>待定</x:v>
      </x:c>
      <x:c r="K34" s="82" t="str">
        <x:v>待定</x:v>
      </x:c>
      <x:c r="L34" s="82" t="str">
        <x:v>混杂</x:v>
      </x:c>
      <x:c r="M34" s="68" t="str">
        <x:v>按M08核查</x:v>
      </x:c>
      <x:c r="N34" s="68" t="str">
        <x:v>按M06/M08核查</x:v>
      </x:c>
      <x:c r="O34" s="82" t="str">
        <x:v>待定</x:v>
      </x:c>
      <x:c r="P34" s="68" t="str">
        <x:v>转M11/M14判断</x:v>
      </x:c>
      <x:c r="Q34" s="68" t="str">
        <x:v>需结合M09日主承载判断</x:v>
      </x:c>
      <x:c r="R34" s="82" t="str">
        <x:v>待定</x:v>
      </x:c>
      <x:c r="S34" s="68" t="str">
        <x:v>食神与伤官同时有效且均达到中和偏旺以上</x:v>
      </x:c>
      <x:c r="T34" s="68" t="str">
        <x:v>M02十神映射、M08五行有效旺衰、M09日主旺衰已完成</x:v>
      </x:c>
      <x:c r="U34" s="68" t="str">
        <x:v>相关十神已由M02正确映射，并以M08有效力量为准</x:v>
      </x:c>
      <x:c r="V34" s="68" t="str">
        <x:v>得令、有根、透干、同党或生源形成独立有效证据</x:v>
      </x:c>
      <x:c r="W34" s="68" t="str">
        <x:v>失令、无根、被合绊、被制、改性或作用路径受阻</x:v>
      </x:c>
      <x:c r="X34" s="90" t="str">
        <x:v>不得以十神名称、数量或单一旺弱证据直接完成定性</x:v>
      </x:c>
      <x:c r="Y34" s="68" t="str">
        <x:v>特殊格局、从化候选及明确组合转M11/M14另审</x:v>
      </x:c>
      <x:c r="Z34" s="68" t="str">
        <x:v>不得直接推出吉凶、具体事件、亲属结果或最终喜忌</x:v>
      </x:c>
      <x:c r="AA34" s="84" t="str">
        <x:v>食伤混杂候选</x:v>
      </x:c>
      <x:c r="AB34" s="84" t="str">
        <x:v>食伤两类均旺且透达时混杂程度上升：当“食神与伤官同时有效且均达到中和偏旺以上”成立时，按本规则记录十神的有效功能；同时保留制化、承载和反向证据。</x:v>
      </x:c>
      <x:c r="AC34" s="82" t="str">
        <x:v>较高</x:v>
      </x:c>
      <x:c r="AD34" s="82" t="str">
        <x:v>现代综合</x:v>
      </x:c>
      <x:c r="AE34" s="68" t="str">
        <x:v>十神必须分开判断存在性、力量、清纯度、功能性与喜忌性；M10只形成结构层结论和候选，不越级替代M11—M18。</x:v>
      </x:c>
      <x:c r="AF34" s="68" t="str">
        <x:v>相关条件真实成立，且增强条件有效时，可按“食伤两类均旺且透达时混杂程度上升”记录对应功能。</x:v>
      </x:c>
      <x:c r="AG34" s="90" t="str">
        <x:v>仅见表面十神名称或数量，但“不得以十神名称、数量或单一旺弱证据直接完成定性”所述限制存在时，不得套用本规则。</x:v>
      </x:c>
      <x:c r="AH34" s="68" t="str">
        <x:v>https://zh.wikisource.org/wiki/%E6%B8%8A%E6%B5%B7%E5%AD%90%E5%B9%B3%E5%A4%A7%E5%85%A8 ; https://zh.wikisource.org/wiki/%E6%BB%B4%E5%A4%A9%E9%AB%93%E9%97%A1%E5%BE%AE</x:v>
      </x:c>
      <x:c r="AI34" s="82" t="str">
        <x:v>采用</x:v>
      </x:c>
      <x:c r="AJ34" s="82" t="str">
        <x:v>初审</x:v>
      </x:c>
      <x:c r="AK34" s="87" t="n">
        <x:v>46255</x:v>
      </x:c>
    </x:row>
    <x:row r="35">
      <x:c r="A35" s="72" t="str">
        <x:f>IF(OR(C35="",D35=""),"",B35&amp;"-"&amp;UPPER(C35)&amp;"-"&amp;TEXT(D35,"0000")&amp;"-"&amp;E35)</x:f>
        <x:v>M10-PURE-0029-V1.0</x:v>
      </x:c>
      <x:c r="B35" s="74" t="str">
        <x:v>M10</x:v>
      </x:c>
      <x:c r="C35" s="74" t="str">
        <x:v>PURE</x:v>
      </x:c>
      <x:c r="D35" s="215" t="n">
        <x:v>29</x:v>
      </x:c>
      <x:c r="E35" s="74" t="str">
        <x:v>V1.0</x:v>
      </x:c>
      <x:c r="F35" s="68" t="str">
        <x:v>印枭并见但偏印失效时可降低混杂等级</x:v>
      </x:c>
      <x:c r="G35" s="82" t="str">
        <x:v>结构层</x:v>
      </x:c>
      <x:c r="H35" s="82" t="str">
        <x:v>正印</x:v>
      </x:c>
      <x:c r="I35" s="82" t="str">
        <x:v>待定</x:v>
      </x:c>
      <x:c r="J35" s="82" t="str">
        <x:v>待定</x:v>
      </x:c>
      <x:c r="K35" s="82" t="str">
        <x:v>待定</x:v>
      </x:c>
      <x:c r="L35" s="82" t="str">
        <x:v>较清</x:v>
      </x:c>
      <x:c r="M35" s="68" t="str">
        <x:v>按M08核查</x:v>
      </x:c>
      <x:c r="N35" s="68" t="str">
        <x:v>按M06/M08核查</x:v>
      </x:c>
      <x:c r="O35" s="82" t="str">
        <x:v>待定</x:v>
      </x:c>
      <x:c r="P35" s="68" t="str">
        <x:v>转M11/M14判断</x:v>
      </x:c>
      <x:c r="Q35" s="68" t="str">
        <x:v>需结合M09日主承载判断</x:v>
      </x:c>
      <x:c r="R35" s="82" t="str">
        <x:v>待定</x:v>
      </x:c>
      <x:c r="S35" s="68" t="str">
        <x:v>正印有效而偏印仅名义存在、被制或改性</x:v>
      </x:c>
      <x:c r="T35" s="68" t="str">
        <x:v>M02十神映射、M08五行有效旺衰、M09日主旺衰已完成</x:v>
      </x:c>
      <x:c r="U35" s="68" t="str">
        <x:v>相关十神已由M02正确映射，并以M08有效力量为准</x:v>
      </x:c>
      <x:c r="V35" s="68" t="str">
        <x:v>得令、有根、透干、同党或生源形成独立有效证据</x:v>
      </x:c>
      <x:c r="W35" s="68" t="str">
        <x:v>失令、无根、被合绊、被制、改性或作用路径受阻</x:v>
      </x:c>
      <x:c r="X35" s="90" t="str">
        <x:v>不得以十神名称、数量或单一旺弱证据直接完成定性</x:v>
      </x:c>
      <x:c r="Y35" s="68" t="str">
        <x:v>特殊格局、从化候选及明确组合转M11/M14另审</x:v>
      </x:c>
      <x:c r="Z35" s="68" t="str">
        <x:v>不得直接推出吉凶、具体事件、亲属结果或最终喜忌</x:v>
      </x:c>
      <x:c r="AA35" s="84" t="str">
        <x:v>印枭主次清晰</x:v>
      </x:c>
      <x:c r="AB35" s="84" t="str">
        <x:v>印枭并见但偏印失效时可降低混杂等级：当“正印有效而偏印仅名义存在、被制或改性”成立时，按本规则记录十神的有效功能；同时保留制化、承载和反向证据。</x:v>
      </x:c>
      <x:c r="AC35" s="82" t="str">
        <x:v>较高</x:v>
      </x:c>
      <x:c r="AD35" s="82" t="str">
        <x:v>现代综合</x:v>
      </x:c>
      <x:c r="AE35" s="68" t="str">
        <x:v>十神必须分开判断存在性、力量、清纯度、功能性与喜忌性；M10只形成结构层结论和候选，不越级替代M11—M18。</x:v>
      </x:c>
      <x:c r="AF35" s="68" t="str">
        <x:v>相关条件真实成立，且增强条件有效时，可按“印枭并见但偏印失效时可降低混杂等级”记录对应功能。</x:v>
      </x:c>
      <x:c r="AG35" s="90" t="str">
        <x:v>仅见表面十神名称或数量，但“不得以十神名称、数量或单一旺弱证据直接完成定性”所述限制存在时，不得套用本规则。</x:v>
      </x:c>
      <x:c r="AH35" s="68" t="str">
        <x:v>https://zh.wikisource.org/wiki/%E6%B8%8A%E6%B5%B7%E5%AD%90%E5%B9%B3%E5%A4%A7%E5%85%A8 ; https://zh.wikisource.org/wiki/%E6%BB%B4%E5%A4%A9%E9%AB%93%E9%97%A1%E5%BE%AE</x:v>
      </x:c>
      <x:c r="AI35" s="82" t="str">
        <x:v>采用</x:v>
      </x:c>
      <x:c r="AJ35" s="82" t="str">
        <x:v>初审</x:v>
      </x:c>
      <x:c r="AK35" s="87" t="n">
        <x:v>46255</x:v>
      </x:c>
    </x:row>
    <x:row r="36">
      <x:c r="A36" s="72" t="str">
        <x:f>IF(OR(C36="",D36=""),"",B36&amp;"-"&amp;UPPER(C36)&amp;"-"&amp;TEXT(D36,"0000")&amp;"-"&amp;E36)</x:f>
        <x:v>M10-PURE-0030-V1.0</x:v>
      </x:c>
      <x:c r="B36" s="74" t="str">
        <x:v>M10</x:v>
      </x:c>
      <x:c r="C36" s="74" t="str">
        <x:v>PURE</x:v>
      </x:c>
      <x:c r="D36" s="215" t="n">
        <x:v>30</x:v>
      </x:c>
      <x:c r="E36" s="74" t="str">
        <x:v>V1.0</x:v>
      </x:c>
      <x:c r="F36" s="68" t="str">
        <x:v>正偏财并见不等于财星失效</x:v>
      </x:c>
      <x:c r="G36" s="82" t="str">
        <x:v>结构层</x:v>
      </x:c>
      <x:c r="H36" s="82" t="str">
        <x:v>偏财</x:v>
      </x:c>
      <x:c r="I36" s="82" t="str">
        <x:v>待定</x:v>
      </x:c>
      <x:c r="J36" s="82" t="str">
        <x:v>待定</x:v>
      </x:c>
      <x:c r="K36" s="82" t="str">
        <x:v>待定</x:v>
      </x:c>
      <x:c r="L36" s="82" t="str">
        <x:v>有杂</x:v>
      </x:c>
      <x:c r="M36" s="68" t="str">
        <x:v>按M08核查</x:v>
      </x:c>
      <x:c r="N36" s="68" t="str">
        <x:v>按M06/M08核查</x:v>
      </x:c>
      <x:c r="O36" s="82" t="str">
        <x:v>正常发挥</x:v>
      </x:c>
      <x:c r="P36" s="68" t="str">
        <x:v>转M11/M14判断</x:v>
      </x:c>
      <x:c r="Q36" s="68" t="str">
        <x:v>需结合M09日主承载判断</x:v>
      </x:c>
      <x:c r="R36" s="82" t="str">
        <x:v>待定</x:v>
      </x:c>
      <x:c r="S36" s="68" t="str">
        <x:v>正财偏财同时有效存在</x:v>
      </x:c>
      <x:c r="T36" s="68" t="str">
        <x:v>M02十神映射、M08五行有效旺衰、M09日主旺衰已完成</x:v>
      </x:c>
      <x:c r="U36" s="68" t="str">
        <x:v>相关十神已由M02正确映射，并以M08有效力量为准</x:v>
      </x:c>
      <x:c r="V36" s="68" t="str">
        <x:v>得令、有根、透干、同党或生源形成独立有效证据</x:v>
      </x:c>
      <x:c r="W36" s="68" t="str">
        <x:v>失令、无根、被合绊、被制、改性或作用路径受阻</x:v>
      </x:c>
      <x:c r="X36" s="90" t="str">
        <x:v>不得以十神名称、数量或单一旺弱证据直接完成定性</x:v>
      </x:c>
      <x:c r="Y36" s="68" t="str">
        <x:v>特殊格局、从化候选及明确组合转M11/M14另审</x:v>
      </x:c>
      <x:c r="Z36" s="68" t="str">
        <x:v>不得由正偏财并见直接推出破格、婚恋或财富事件</x:v>
      </x:c>
      <x:c r="AA36" s="84" t="str">
        <x:v>财星正偏并见</x:v>
      </x:c>
      <x:c r="AB36" s="84" t="str">
        <x:v>正偏财并见不等于财星失效：当“正财偏财同时有效存在”成立时，按本规则记录十神的有效功能；同时保留制化、承载和反向证据。</x:v>
      </x:c>
      <x:c r="AC36" s="82" t="str">
        <x:v>较高</x:v>
      </x:c>
      <x:c r="AD36" s="82" t="str">
        <x:v>现代综合</x:v>
      </x:c>
      <x:c r="AE36" s="68" t="str">
        <x:v>十神必须分开判断存在性、力量、清纯度、功能性与喜忌性；M10只形成结构层结论和候选，不越级替代M11—M18。</x:v>
      </x:c>
      <x:c r="AF36" s="68" t="str">
        <x:v>相关条件真实成立，且增强条件有效时，可按“正偏财并见不等于财星失效”记录对应功能。</x:v>
      </x:c>
      <x:c r="AG36" s="90" t="str">
        <x:v>仅见表面十神名称或数量，但“不得以十神名称、数量或单一旺弱证据直接完成定性”所述限制存在时，不得套用本规则。</x:v>
      </x:c>
      <x:c r="AH36" s="68" t="str">
        <x:v>https://zh.wikisource.org/wiki/%E6%B8%8A%E6%B5%B7%E5%AD%90%E5%B9%B3%E5%A4%A7%E5%85%A8 ; https://zh.wikisource.org/wiki/%E6%BB%B4%E5%A4%A9%E9%AB%93%E9%97%A1%E5%BE%AE</x:v>
      </x:c>
      <x:c r="AI36" s="82" t="str">
        <x:v>采用</x:v>
      </x:c>
      <x:c r="AJ36" s="82" t="str">
        <x:v>初审</x:v>
      </x:c>
      <x:c r="AK36" s="87" t="n">
        <x:v>46255</x:v>
      </x:c>
    </x:row>
    <x:row r="37">
      <x:c r="A37" s="72" t="str">
        <x:f>IF(OR(C37="",D37=""),"",B37&amp;"-"&amp;UPPER(C37)&amp;"-"&amp;TEXT(D37,"0000")&amp;"-"&amp;E37)</x:f>
        <x:v>M10-PURE-0031-V1.0</x:v>
      </x:c>
      <x:c r="B37" s="74" t="str">
        <x:v>M10</x:v>
      </x:c>
      <x:c r="C37" s="74" t="str">
        <x:v>PURE</x:v>
      </x:c>
      <x:c r="D37" s="215" t="n">
        <x:v>31</x:v>
      </x:c>
      <x:c r="E37" s="74" t="str">
        <x:v>V1.0</x:v>
      </x:c>
      <x:c r="F37" s="68" t="str">
        <x:v>同一十神多处出现属于数量问题而非清纯问题</x:v>
      </x:c>
      <x:c r="G37" s="82" t="str">
        <x:v>结构层</x:v>
      </x:c>
      <x:c r="H37" s="82" t="str">
        <x:v>比肩</x:v>
      </x:c>
      <x:c r="I37" s="82" t="str">
        <x:v>多处出现</x:v>
      </x:c>
      <x:c r="J37" s="82" t="str">
        <x:v>待定</x:v>
      </x:c>
      <x:c r="K37" s="82" t="str">
        <x:v>待定</x:v>
      </x:c>
      <x:c r="L37" s="82" t="str">
        <x:v>清纯</x:v>
      </x:c>
      <x:c r="M37" s="68" t="str">
        <x:v>按M08核查</x:v>
      </x:c>
      <x:c r="N37" s="68" t="str">
        <x:v>按M06/M08核查</x:v>
      </x:c>
      <x:c r="O37" s="82" t="str">
        <x:v>待定</x:v>
      </x:c>
      <x:c r="P37" s="68" t="str">
        <x:v>转M11/M14判断</x:v>
      </x:c>
      <x:c r="Q37" s="68" t="str">
        <x:v>需结合M09日主承载判断</x:v>
      </x:c>
      <x:c r="R37" s="82" t="str">
        <x:v>待定</x:v>
      </x:c>
      <x:c r="S37" s="68" t="str">
        <x:v>比肩在多个节点重复出现，但未混入劫财</x:v>
      </x:c>
      <x:c r="T37" s="68" t="str">
        <x:v>M02十神映射、M08五行有效旺衰、M09日主旺衰已完成</x:v>
      </x:c>
      <x:c r="U37" s="68" t="str">
        <x:v>相关十神已由M02正确映射，并以M08有效力量为准</x:v>
      </x:c>
      <x:c r="V37" s="68" t="str">
        <x:v>得令、有根、透干、同党或生源形成独立有效证据</x:v>
      </x:c>
      <x:c r="W37" s="68" t="str">
        <x:v>失令、无根、被合绊、被制、改性或作用路径受阻</x:v>
      </x:c>
      <x:c r="X37" s="90" t="str">
        <x:v>不得以十神名称、数量或单一旺弱证据直接完成定性</x:v>
      </x:c>
      <x:c r="Y37" s="68" t="str">
        <x:v>特殊格局、从化候选及明确组合转M11/M14另审</x:v>
      </x:c>
      <x:c r="Z37" s="68" t="str">
        <x:v>不得直接推出吉凶、具体事件、亲属结果或最终喜忌</x:v>
      </x:c>
      <x:c r="AA37" s="84" t="str">
        <x:v>同类重复非混杂</x:v>
      </x:c>
      <x:c r="AB37" s="84" t="str">
        <x:v>同一十神多处出现属于数量问题而非清纯问题：当“比肩在多个节点重复出现，但未混入劫财”成立时，按本规则记录十神的有效功能；同时保留制化、承载和反向证据。</x:v>
      </x:c>
      <x:c r="AC37" s="82" t="str">
        <x:v>较高</x:v>
      </x:c>
      <x:c r="AD37" s="82" t="str">
        <x:v>现代综合</x:v>
      </x:c>
      <x:c r="AE37" s="68" t="str">
        <x:v>十神必须分开判断存在性、力量、清纯度、功能性与喜忌性；M10只形成结构层结论和候选，不越级替代M11—M18。</x:v>
      </x:c>
      <x:c r="AF37" s="68" t="str">
        <x:v>相关条件真实成立，且增强条件有效时，可按“同一十神多处出现属于数量问题而非清纯问题”记录对应功能。</x:v>
      </x:c>
      <x:c r="AG37" s="90" t="str">
        <x:v>仅见表面十神名称或数量，但“不得以十神名称、数量或单一旺弱证据直接完成定性”所述限制存在时，不得套用本规则。</x:v>
      </x:c>
      <x:c r="AH37" s="68" t="str">
        <x:v>https://zh.wikisource.org/wiki/%E6%B8%8A%E6%B5%B7%E5%AD%90%E5%B9%B3%E5%A4%A7%E5%85%A8 ; https://zh.wikisource.org/wiki/%E6%BB%B4%E5%A4%A9%E9%AB%93%E9%97%A1%E5%BE%AE</x:v>
      </x:c>
      <x:c r="AI37" s="82" t="str">
        <x:v>采用</x:v>
      </x:c>
      <x:c r="AJ37" s="82" t="str">
        <x:v>初审</x:v>
      </x:c>
      <x:c r="AK37" s="87" t="n">
        <x:v>46255</x:v>
      </x:c>
    </x:row>
    <x:row r="38">
      <x:c r="A38" s="72" t="str">
        <x:f>IF(OR(C38="",D38=""),"",B38&amp;"-"&amp;UPPER(C38)&amp;"-"&amp;TEXT(D38,"0000")&amp;"-"&amp;E38)</x:f>
        <x:v>M10-PURE-0032-V1.0</x:v>
      </x:c>
      <x:c r="B38" s="74" t="str">
        <x:v>M10</x:v>
      </x:c>
      <x:c r="C38" s="74" t="str">
        <x:v>PURE</x:v>
      </x:c>
      <x:c r="D38" s="215" t="n">
        <x:v>32</x:v>
      </x:c>
      <x:c r="E38" s="74" t="str">
        <x:v>V1.0</x:v>
      </x:c>
      <x:c r="F38" s="68" t="str">
        <x:v>清纯度与喜忌价值必须分开</x:v>
      </x:c>
      <x:c r="G38" s="82" t="str">
        <x:v>结构层</x:v>
      </x:c>
      <x:c r="H38" s="82" t="str">
        <x:v>正印</x:v>
      </x:c>
      <x:c r="I38" s="82" t="str">
        <x:v>待定</x:v>
      </x:c>
      <x:c r="J38" s="82" t="str">
        <x:v>待定</x:v>
      </x:c>
      <x:c r="K38" s="82" t="str">
        <x:v>待定</x:v>
      </x:c>
      <x:c r="L38" s="82" t="str">
        <x:v>待定</x:v>
      </x:c>
      <x:c r="M38" s="68" t="str">
        <x:v>按M08核查</x:v>
      </x:c>
      <x:c r="N38" s="68" t="str">
        <x:v>按M06/M08核查</x:v>
      </x:c>
      <x:c r="O38" s="82" t="str">
        <x:v>待定</x:v>
      </x:c>
      <x:c r="P38" s="68" t="str">
        <x:v>转M11/M14判断</x:v>
      </x:c>
      <x:c r="Q38" s="68" t="str">
        <x:v>需结合M09日主承载判断</x:v>
      </x:c>
      <x:c r="R38" s="82" t="str">
        <x:v>待定</x:v>
      </x:c>
      <x:c r="S38" s="68" t="str">
        <x:v>十神清纯度已完成判断</x:v>
      </x:c>
      <x:c r="T38" s="68" t="str">
        <x:v>M02十神映射、M08五行有效旺衰、M09日主旺衰已完成</x:v>
      </x:c>
      <x:c r="U38" s="68" t="str">
        <x:v>相关十神已由M02正确映射，并以M08有效力量为准</x:v>
      </x:c>
      <x:c r="V38" s="68" t="str">
        <x:v>得令、有根、透干、同党或生源形成独立有效证据</x:v>
      </x:c>
      <x:c r="W38" s="68" t="str">
        <x:v>失令、无根、被合绊、被制、改性或作用路径受阻</x:v>
      </x:c>
      <x:c r="X38" s="90" t="str">
        <x:v>不得以十神名称、数量或单一旺弱证据直接完成定性</x:v>
      </x:c>
      <x:c r="Y38" s="68" t="str">
        <x:v>特殊格局、从化候选及明确组合转M11/M14另审</x:v>
      </x:c>
      <x:c r="Z38" s="68" t="str">
        <x:v>不得由清纯直接判喜，也不得由混杂直接判忌</x:v>
      </x:c>
      <x:c r="AA38" s="84" t="str">
        <x:v>清纯喜忌分离</x:v>
      </x:c>
      <x:c r="AB38" s="84" t="str">
        <x:v>清纯度与喜忌价值必须分开：当“十神清纯度已完成判断”成立时，按本规则记录十神的有效功能；同时保留制化、承载和反向证据。</x:v>
      </x:c>
      <x:c r="AC38" s="82" t="str">
        <x:v>较高</x:v>
      </x:c>
      <x:c r="AD38" s="82" t="str">
        <x:v>现代综合</x:v>
      </x:c>
      <x:c r="AE38" s="68" t="str">
        <x:v>十神必须分开判断存在性、力量、清纯度、功能性与喜忌性；M10只形成结构层结论和候选，不越级替代M11—M18。</x:v>
      </x:c>
      <x:c r="AF38" s="68" t="str">
        <x:v>相关条件真实成立，且增强条件有效时，可按“清纯度与喜忌价值必须分开”记录对应功能。</x:v>
      </x:c>
      <x:c r="AG38" s="90" t="str">
        <x:v>仅见表面十神名称或数量，但“不得以十神名称、数量或单一旺弱证据直接完成定性”所述限制存在时，不得套用本规则。</x:v>
      </x:c>
      <x:c r="AH38" s="68" t="str">
        <x:v>https://zh.wikisource.org/wiki/%E6%B8%8A%E6%B5%B7%E5%AD%90%E5%B9%B3%E5%A4%A7%E5%85%A8 ; https://zh.wikisource.org/wiki/%E6%BB%B4%E5%A4%A9%E9%AB%93%E9%97%A1%E5%BE%AE</x:v>
      </x:c>
      <x:c r="AI38" s="82" t="str">
        <x:v>采用</x:v>
      </x:c>
      <x:c r="AJ38" s="82" t="str">
        <x:v>初审</x:v>
      </x:c>
      <x:c r="AK38" s="87" t="n">
        <x:v>46255</x:v>
      </x:c>
    </x:row>
    <x:row r="39">
      <x:c r="A39" s="72" t="str">
        <x:f>IF(OR(C39="",D39=""),"",B39&amp;"-"&amp;UPPER(C39)&amp;"-"&amp;TEXT(D39,"0000")&amp;"-"&amp;E39)</x:f>
        <x:v>M10-BIJIE-0033-V1.0</x:v>
      </x:c>
      <x:c r="B39" s="74" t="str">
        <x:v>M10</x:v>
      </x:c>
      <x:c r="C39" s="74" t="str">
        <x:v>BIJIE</x:v>
      </x:c>
      <x:c r="D39" s="215" t="n">
        <x:v>33</x:v>
      </x:c>
      <x:c r="E39" s="74" t="str">
        <x:v>V1.0</x:v>
      </x:c>
      <x:c r="F39" s="68" t="str">
        <x:v>比肩有效时首先提供同类扶身</x:v>
      </x:c>
      <x:c r="G39" s="82" t="str">
        <x:v>结构层</x:v>
      </x:c>
      <x:c r="H39" s="82" t="str">
        <x:v>比肩</x:v>
      </x:c>
      <x:c r="I39" s="82" t="str">
        <x:v>待定</x:v>
      </x:c>
      <x:c r="J39" s="82" t="str">
        <x:v>待定</x:v>
      </x:c>
      <x:c r="K39" s="82" t="str">
        <x:v>待定</x:v>
      </x:c>
      <x:c r="L39" s="82" t="str">
        <x:v>待定</x:v>
      </x:c>
      <x:c r="M39" s="68" t="str">
        <x:v>按M08核查</x:v>
      </x:c>
      <x:c r="N39" s="68" t="str">
        <x:v>按M06/M08核查</x:v>
      </x:c>
      <x:c r="O39" s="82" t="str">
        <x:v>正常发挥</x:v>
      </x:c>
      <x:c r="P39" s="68" t="str">
        <x:v>转M11/M14判断</x:v>
      </x:c>
      <x:c r="Q39" s="68" t="str">
        <x:v>直接增强日主同类承载与抗制泄耗能力</x:v>
      </x:c>
      <x:c r="R39" s="82" t="str">
        <x:v>待定</x:v>
      </x:c>
      <x:c r="S39" s="68" t="str">
        <x:v>比肩有效存在且未被实质制化</x:v>
      </x:c>
      <x:c r="T39" s="68" t="str">
        <x:v>M02十神映射、M08五行有效旺衰、M09日主旺衰已完成</x:v>
      </x:c>
      <x:c r="U39" s="68" t="str">
        <x:v>相关十神已由M02正确映射，并以M08有效力量为准</x:v>
      </x:c>
      <x:c r="V39" s="68" t="str">
        <x:v>得令、有根、透干、同党或生源形成独立有效证据</x:v>
      </x:c>
      <x:c r="W39" s="68" t="str">
        <x:v>失令、无根、被合绊、被制、改性或作用路径受阻</x:v>
      </x:c>
      <x:c r="X39" s="90" t="str">
        <x:v>不得以十神名称、数量或单一旺弱证据直接完成定性</x:v>
      </x:c>
      <x:c r="Y39" s="68" t="str">
        <x:v>特殊格局、从化候选及明确组合转M11/M14另审</x:v>
      </x:c>
      <x:c r="Z39" s="68" t="str">
        <x:v>不得直接推出吉凶、具体事件、亲属结果或最终喜忌</x:v>
      </x:c>
      <x:c r="AA39" s="84" t="str">
        <x:v>比肩扶身</x:v>
      </x:c>
      <x:c r="AB39" s="84" t="str">
        <x:v>比肩有效时首先提供同类扶身：当“比肩有效存在且未被实质制化”成立时，按本规则记录十神的有效功能；同时保留制化、承载和反向证据。</x:v>
      </x:c>
      <x:c r="AC39" s="82" t="str">
        <x:v>较高</x:v>
      </x:c>
      <x:c r="AD39" s="82" t="str">
        <x:v>现代综合</x:v>
      </x:c>
      <x:c r="AE39" s="68" t="str">
        <x:v>十神必须分开判断存在性、力量、清纯度、功能性与喜忌性；M10只形成结构层结论和候选，不越级替代M11—M18。</x:v>
      </x:c>
      <x:c r="AF39" s="68" t="str">
        <x:v>相关条件真实成立，且增强条件有效时，可按“比肩有效时首先提供同类扶身”记录对应功能。</x:v>
      </x:c>
      <x:c r="AG39" s="90" t="str">
        <x:v>仅见表面十神名称或数量，但“不得以十神名称、数量或单一旺弱证据直接完成定性”所述限制存在时，不得套用本规则。</x:v>
      </x:c>
      <x:c r="AH39" s="68" t="str">
        <x:v>https://zh.wikisource.org/wiki/%E6%B8%8A%E6%B5%B7%E5%AD%90%E5%B9%B3%E5%A4%A7%E5%85%A8 ; https://zh.wikisource.org/wiki/%E6%BB%B4%E5%A4%A9%E9%AB%93%E9%97%A1%E5%BE%AE</x:v>
      </x:c>
      <x:c r="AI39" s="82" t="str">
        <x:v>采用</x:v>
      </x:c>
      <x:c r="AJ39" s="82" t="str">
        <x:v>初审</x:v>
      </x:c>
      <x:c r="AK39" s="87" t="n">
        <x:v>46255</x:v>
      </x:c>
    </x:row>
    <x:row r="40">
      <x:c r="A40" s="72" t="str">
        <x:f>IF(OR(C40="",D40=""),"",B40&amp;"-"&amp;UPPER(C40)&amp;"-"&amp;TEXT(D40,"0000")&amp;"-"&amp;E40)</x:f>
        <x:v>M10-BIJIE-0034-V1.0</x:v>
      </x:c>
      <x:c r="B40" s="74" t="str">
        <x:v>M10</x:v>
      </x:c>
      <x:c r="C40" s="74" t="str">
        <x:v>BIJIE</x:v>
      </x:c>
      <x:c r="D40" s="215" t="n">
        <x:v>34</x:v>
      </x:c>
      <x:c r="E40" s="74" t="str">
        <x:v>V1.0</x:v>
      </x:c>
      <x:c r="F40" s="68" t="str">
        <x:v>劫财有效时同时具有扶身与分财双重功能</x:v>
      </x:c>
      <x:c r="G40" s="82" t="str">
        <x:v>结构层</x:v>
      </x:c>
      <x:c r="H40" s="82" t="str">
        <x:v>劫财</x:v>
      </x:c>
      <x:c r="I40" s="82" t="str">
        <x:v>待定</x:v>
      </x:c>
      <x:c r="J40" s="82" t="str">
        <x:v>待定</x:v>
      </x:c>
      <x:c r="K40" s="82" t="str">
        <x:v>待定</x:v>
      </x:c>
      <x:c r="L40" s="82" t="str">
        <x:v>待定</x:v>
      </x:c>
      <x:c r="M40" s="68" t="str">
        <x:v>按M08核查</x:v>
      </x:c>
      <x:c r="N40" s="68" t="str">
        <x:v>按M06/M08核查</x:v>
      </x:c>
      <x:c r="O40" s="82" t="str">
        <x:v>正常发挥</x:v>
      </x:c>
      <x:c r="P40" s="68" t="str">
        <x:v>转M11/M14判断</x:v>
      </x:c>
      <x:c r="Q40" s="68" t="str">
        <x:v>一方面扶身，另一方面参与对财星的竞争与制约</x:v>
      </x:c>
      <x:c r="R40" s="82" t="str">
        <x:v>待定</x:v>
      </x:c>
      <x:c r="S40" s="68" t="str">
        <x:v>劫财有效且财星也存在</x:v>
      </x:c>
      <x:c r="T40" s="68" t="str">
        <x:v>M02十神映射、M08五行有效旺衰、M09日主旺衰已完成</x:v>
      </x:c>
      <x:c r="U40" s="68" t="str">
        <x:v>相关十神已由M02正确映射，并以M08有效力量为准</x:v>
      </x:c>
      <x:c r="V40" s="68" t="str">
        <x:v>得令、有根、透干、同党或生源形成独立有效证据</x:v>
      </x:c>
      <x:c r="W40" s="68" t="str">
        <x:v>失令、无根、被合绊、被制、改性或作用路径受阻</x:v>
      </x:c>
      <x:c r="X40" s="90" t="str">
        <x:v>不得以十神名称、数量或单一旺弱证据直接完成定性</x:v>
      </x:c>
      <x:c r="Y40" s="68" t="str">
        <x:v>特殊格局、从化候选及明确组合转M11/M14另审</x:v>
      </x:c>
      <x:c r="Z40" s="68" t="str">
        <x:v>不得直接推出吉凶、具体事件、亲属结果或最终喜忌</x:v>
      </x:c>
      <x:c r="AA40" s="84" t="str">
        <x:v>劫财双重功能</x:v>
      </x:c>
      <x:c r="AB40" s="84" t="str">
        <x:v>劫财有效时同时具有扶身与分财双重功能：当“劫财有效且财星也存在”成立时，按本规则记录十神的有效功能；同时保留制化、承载和反向证据。</x:v>
      </x:c>
      <x:c r="AC40" s="82" t="str">
        <x:v>较高</x:v>
      </x:c>
      <x:c r="AD40" s="82" t="str">
        <x:v>现代综合</x:v>
      </x:c>
      <x:c r="AE40" s="68" t="str">
        <x:v>十神必须分开判断存在性、力量、清纯度、功能性与喜忌性；M10只形成结构层结论和候选，不越级替代M11—M18。</x:v>
      </x:c>
      <x:c r="AF40" s="68" t="str">
        <x:v>相关条件真实成立，且增强条件有效时，可按“劫财有效时同时具有扶身与分财双重功能”记录对应功能。</x:v>
      </x:c>
      <x:c r="AG40" s="90" t="str">
        <x:v>仅见表面十神名称或数量，但“不得以十神名称、数量或单一旺弱证据直接完成定性”所述限制存在时，不得套用本规则。</x:v>
      </x:c>
      <x:c r="AH40" s="68" t="str">
        <x:v>https://zh.wikisource.org/wiki/%E6%B8%8A%E6%B5%B7%E5%AD%90%E5%B9%B3%E5%A4%A7%E5%85%A8 ; https://zh.wikisource.org/wiki/%E6%BB%B4%E5%A4%A9%E9%AB%93%E9%97%A1%E5%BE%AE</x:v>
      </x:c>
      <x:c r="AI40" s="82" t="str">
        <x:v>采用</x:v>
      </x:c>
      <x:c r="AJ40" s="82" t="str">
        <x:v>初审</x:v>
      </x:c>
      <x:c r="AK40" s="87" t="n">
        <x:v>46255</x:v>
      </x:c>
    </x:row>
    <x:row r="41">
      <x:c r="A41" s="72" t="str">
        <x:f>IF(OR(C41="",D41=""),"",B41&amp;"-"&amp;UPPER(C41)&amp;"-"&amp;TEXT(D41,"0000")&amp;"-"&amp;E41)</x:f>
        <x:v>M10-BIJIE-0035-V1.0</x:v>
      </x:c>
      <x:c r="B41" s="74" t="str">
        <x:v>M10</x:v>
      </x:c>
      <x:c r="C41" s="74" t="str">
        <x:v>BIJIE</x:v>
      </x:c>
      <x:c r="D41" s="215" t="n">
        <x:v>35</x:v>
      </x:c>
      <x:c r="E41" s="74" t="str">
        <x:v>V1.0</x:v>
      </x:c>
      <x:c r="F41" s="68" t="str">
        <x:v>身弱时有效比肩通常属于有利候选</x:v>
      </x:c>
      <x:c r="G41" s="82" t="str">
        <x:v>结构层</x:v>
      </x:c>
      <x:c r="H41" s="82" t="str">
        <x:v>比肩</x:v>
      </x:c>
      <x:c r="I41" s="82" t="str">
        <x:v>待定</x:v>
      </x:c>
      <x:c r="J41" s="82" t="str">
        <x:v>待定</x:v>
      </x:c>
      <x:c r="K41" s="82" t="str">
        <x:v>待定</x:v>
      </x:c>
      <x:c r="L41" s="82" t="str">
        <x:v>待定</x:v>
      </x:c>
      <x:c r="M41" s="68" t="str">
        <x:v>按M08核查</x:v>
      </x:c>
      <x:c r="N41" s="68" t="str">
        <x:v>按M06/M08核查</x:v>
      </x:c>
      <x:c r="O41" s="82" t="str">
        <x:v>正常发挥</x:v>
      </x:c>
      <x:c r="P41" s="68" t="str">
        <x:v>转M11/M14判断</x:v>
      </x:c>
      <x:c r="Q41" s="68" t="str">
        <x:v>补充承载、分担官杀与财食负荷</x:v>
      </x:c>
      <x:c r="R41" s="82" t="str">
        <x:v>条件性喜神</x:v>
      </x:c>
      <x:c r="S41" s="68" t="str">
        <x:v>M09日主弱或中和偏弱，且比肩有效</x:v>
      </x:c>
      <x:c r="T41" s="68" t="str">
        <x:v>M02十神映射、M08五行有效旺衰、M09日主旺衰已完成</x:v>
      </x:c>
      <x:c r="U41" s="68" t="str">
        <x:v>相关十神已由M02正确映射，并以M08有效力量为准</x:v>
      </x:c>
      <x:c r="V41" s="68" t="str">
        <x:v>得令、有根、透干、同党或生源形成独立有效证据</x:v>
      </x:c>
      <x:c r="W41" s="68" t="str">
        <x:v>失令、无根、被合绊、被制、改性或作用路径受阻</x:v>
      </x:c>
      <x:c r="X41" s="90" t="str">
        <x:v>不得以十神名称、数量或单一旺弱证据直接完成定性</x:v>
      </x:c>
      <x:c r="Y41" s="68" t="str">
        <x:v>特殊格局、从化候选及明确组合转M11/M14另审</x:v>
      </x:c>
      <x:c r="Z41" s="68" t="str">
        <x:v>不得直接推出吉凶、具体事件、亲属结果或最终喜忌</x:v>
      </x:c>
      <x:c r="AA41" s="84" t="str">
        <x:v>身弱比肩候选</x:v>
      </x:c>
      <x:c r="AB41" s="84" t="str">
        <x:v>身弱时有效比肩通常属于有利候选：当“M09日主弱或中和偏弱，且比肩有效”成立时，按本规则记录十神的有效功能；同时保留制化、承载和反向证据。</x:v>
      </x:c>
      <x:c r="AC41" s="82" t="str">
        <x:v>较高</x:v>
      </x:c>
      <x:c r="AD41" s="82" t="str">
        <x:v>现代综合</x:v>
      </x:c>
      <x:c r="AE41" s="68" t="str">
        <x:v>十神必须分开判断存在性、力量、清纯度、功能性与喜忌性；M10只形成结构层结论和候选，不越级替代M11—M18。</x:v>
      </x:c>
      <x:c r="AF41" s="68" t="str">
        <x:v>相关条件真实成立，且增强条件有效时，可按“身弱时有效比肩通常属于有利候选”记录对应功能。</x:v>
      </x:c>
      <x:c r="AG41" s="90" t="str">
        <x:v>仅见表面十神名称或数量，但“不得以十神名称、数量或单一旺弱证据直接完成定性”所述限制存在时，不得套用本规则。</x:v>
      </x:c>
      <x:c r="AH41" s="68" t="str">
        <x:v>https://zh.wikisource.org/wiki/%E6%B8%8A%E6%B5%B7%E5%AD%90%E5%B9%B3%E5%A4%A7%E5%85%A8 ; https://zh.wikisource.org/wiki/%E6%BB%B4%E5%A4%A9%E9%AB%93%E9%97%A1%E5%BE%AE</x:v>
      </x:c>
      <x:c r="AI41" s="82" t="str">
        <x:v>采用</x:v>
      </x:c>
      <x:c r="AJ41" s="82" t="str">
        <x:v>初审</x:v>
      </x:c>
      <x:c r="AK41" s="87" t="n">
        <x:v>46255</x:v>
      </x:c>
    </x:row>
    <x:row r="42">
      <x:c r="A42" s="72" t="str">
        <x:f>IF(OR(C42="",D42=""),"",B42&amp;"-"&amp;UPPER(C42)&amp;"-"&amp;TEXT(D42,"0000")&amp;"-"&amp;E42)</x:f>
        <x:v>M10-BIJIE-0036-V1.0</x:v>
      </x:c>
      <x:c r="B42" s="74" t="str">
        <x:v>M10</x:v>
      </x:c>
      <x:c r="C42" s="74" t="str">
        <x:v>BIJIE</x:v>
      </x:c>
      <x:c r="D42" s="215" t="n">
        <x:v>36</x:v>
      </x:c>
      <x:c r="E42" s="74" t="str">
        <x:v>V1.0</x:v>
      </x:c>
      <x:c r="F42" s="68" t="str">
        <x:v>身旺时劫财继续增强可能成为负荷候选</x:v>
      </x:c>
      <x:c r="G42" s="82" t="str">
        <x:v>结构层</x:v>
      </x:c>
      <x:c r="H42" s="82" t="str">
        <x:v>劫财</x:v>
      </x:c>
      <x:c r="I42" s="82" t="str">
        <x:v>待定</x:v>
      </x:c>
      <x:c r="J42" s="82" t="str">
        <x:v>待定</x:v>
      </x:c>
      <x:c r="K42" s="82" t="str">
        <x:v>待定</x:v>
      </x:c>
      <x:c r="L42" s="82" t="str">
        <x:v>待定</x:v>
      </x:c>
      <x:c r="M42" s="68" t="str">
        <x:v>按M08核查</x:v>
      </x:c>
      <x:c r="N42" s="68" t="str">
        <x:v>按M06/M08核查</x:v>
      </x:c>
      <x:c r="O42" s="82" t="str">
        <x:v>过度</x:v>
      </x:c>
      <x:c r="P42" s="68" t="str">
        <x:v>转M11/M14判断</x:v>
      </x:c>
      <x:c r="Q42" s="68" t="str">
        <x:v>进一步加强身势并可能制财</x:v>
      </x:c>
      <x:c r="R42" s="82" t="str">
        <x:v>条件性忌神</x:v>
      </x:c>
      <x:c r="S42" s="68" t="str">
        <x:v>M09日主旺或极旺，劫财又有力</x:v>
      </x:c>
      <x:c r="T42" s="68" t="str">
        <x:v>M02十神映射、M08五行有效旺衰、M09日主旺衰已完成</x:v>
      </x:c>
      <x:c r="U42" s="68" t="str">
        <x:v>相关十神已由M02正确映射，并以M08有效力量为准</x:v>
      </x:c>
      <x:c r="V42" s="68" t="str">
        <x:v>得令、有根、透干、同党或生源形成独立有效证据</x:v>
      </x:c>
      <x:c r="W42" s="68" t="str">
        <x:v>失令、无根、被合绊、被制、改性或作用路径受阻</x:v>
      </x:c>
      <x:c r="X42" s="90" t="str">
        <x:v>不得以十神名称、数量或单一旺弱证据直接完成定性</x:v>
      </x:c>
      <x:c r="Y42" s="68" t="str">
        <x:v>特殊格局、从化候选及明确组合转M11/M14另审</x:v>
      </x:c>
      <x:c r="Z42" s="68" t="str">
        <x:v>不得直接推出吉凶、具体事件、亲属结果或最终喜忌</x:v>
      </x:c>
      <x:c r="AA42" s="84" t="str">
        <x:v>身旺劫财过度</x:v>
      </x:c>
      <x:c r="AB42" s="84" t="str">
        <x:v>身旺时劫财继续增强可能成为负荷候选：当“M09日主旺或极旺，劫财又有力”成立时，按本规则记录十神的有效功能；同时保留制化、承载和反向证据。</x:v>
      </x:c>
      <x:c r="AC42" s="82" t="str">
        <x:v>较高</x:v>
      </x:c>
      <x:c r="AD42" s="82" t="str">
        <x:v>现代综合</x:v>
      </x:c>
      <x:c r="AE42" s="68" t="str">
        <x:v>十神必须分开判断存在性、力量、清纯度、功能性与喜忌性；M10只形成结构层结论和候选，不越级替代M11—M18。</x:v>
      </x:c>
      <x:c r="AF42" s="68" t="str">
        <x:v>相关条件真实成立，且增强条件有效时，可按“身旺时劫财继续增强可能成为负荷候选”记录对应功能。</x:v>
      </x:c>
      <x:c r="AG42" s="90" t="str">
        <x:v>仅见表面十神名称或数量，但“不得以十神名称、数量或单一旺弱证据直接完成定性”所述限制存在时，不得套用本规则。</x:v>
      </x:c>
      <x:c r="AH42" s="68" t="str">
        <x:v>https://zh.wikisource.org/wiki/%E6%B8%8A%E6%B5%B7%E5%AD%90%E5%B9%B3%E5%A4%A7%E5%85%A8 ; https://zh.wikisource.org/wiki/%E6%BB%B4%E5%A4%A9%E9%AB%93%E9%97%A1%E5%BE%AE</x:v>
      </x:c>
      <x:c r="AI42" s="82" t="str">
        <x:v>采用</x:v>
      </x:c>
      <x:c r="AJ42" s="82" t="str">
        <x:v>初审</x:v>
      </x:c>
      <x:c r="AK42" s="87" t="n">
        <x:v>46255</x:v>
      </x:c>
    </x:row>
    <x:row r="43">
      <x:c r="A43" s="72" t="str">
        <x:f>IF(OR(C43="",D43=""),"",B43&amp;"-"&amp;UPPER(C43)&amp;"-"&amp;TEXT(D43,"0000")&amp;"-"&amp;E43)</x:f>
        <x:v>M10-BIJIE-0037-V1.0</x:v>
      </x:c>
      <x:c r="B43" s="74" t="str">
        <x:v>M10</x:v>
      </x:c>
      <x:c r="C43" s="74" t="str">
        <x:v>BIJIE</x:v>
      </x:c>
      <x:c r="D43" s="215" t="n">
        <x:v>37</x:v>
      </x:c>
      <x:c r="E43" s="74" t="str">
        <x:v>V1.0</x:v>
      </x:c>
      <x:c r="F43" s="68" t="str">
        <x:v>比肩可帮助承受有效官杀制身</x:v>
      </x:c>
      <x:c r="G43" s="82" t="str">
        <x:v>结构层</x:v>
      </x:c>
      <x:c r="H43" s="82" t="str">
        <x:v>比肩</x:v>
      </x:c>
      <x:c r="I43" s="82" t="str">
        <x:v>待定</x:v>
      </x:c>
      <x:c r="J43" s="82" t="str">
        <x:v>待定</x:v>
      </x:c>
      <x:c r="K43" s="82" t="str">
        <x:v>待定</x:v>
      </x:c>
      <x:c r="L43" s="82" t="str">
        <x:v>待定</x:v>
      </x:c>
      <x:c r="M43" s="68" t="str">
        <x:v>按M08核查</x:v>
      </x:c>
      <x:c r="N43" s="68" t="str">
        <x:v>按M06/M08核查</x:v>
      </x:c>
      <x:c r="O43" s="82" t="str">
        <x:v>待定</x:v>
      </x:c>
      <x:c r="P43" s="68" t="str">
        <x:v>转M11/M14判断</x:v>
      </x:c>
      <x:c r="Q43" s="68" t="str">
        <x:v>增强日主抗制能力，但不等于已经化解官杀</x:v>
      </x:c>
      <x:c r="R43" s="82" t="str">
        <x:v>待定</x:v>
      </x:c>
      <x:c r="S43" s="68" t="str">
        <x:v>日主承载不足且官杀有力，比肩自身有效</x:v>
      </x:c>
      <x:c r="T43" s="68" t="str">
        <x:v>M02十神映射、M08五行有效旺衰、M09日主旺衰已完成</x:v>
      </x:c>
      <x:c r="U43" s="68" t="str">
        <x:v>相关十神已由M02正确映射，并以M08有效力量为准</x:v>
      </x:c>
      <x:c r="V43" s="68" t="str">
        <x:v>得令、有根、透干、同党或生源形成独立有效证据</x:v>
      </x:c>
      <x:c r="W43" s="68" t="str">
        <x:v>失令、无根、被合绊、被制、改性或作用路径受阻</x:v>
      </x:c>
      <x:c r="X43" s="90" t="str">
        <x:v>不得以十神名称、数量或单一旺弱证据直接完成定性</x:v>
      </x:c>
      <x:c r="Y43" s="68" t="str">
        <x:v>特殊格局、从化候选及明确组合转M11/M14另审</x:v>
      </x:c>
      <x:c r="Z43" s="68" t="str">
        <x:v>不得直接推出吉凶、具体事件、亲属结果或最终喜忌</x:v>
      </x:c>
      <x:c r="AA43" s="84" t="str">
        <x:v>比肩抗杀</x:v>
      </x:c>
      <x:c r="AB43" s="84" t="str">
        <x:v>比肩可帮助承受有效官杀制身：当“日主承载不足且官杀有力，比肩自身有效”成立时，按本规则记录十神的有效功能；同时保留制化、承载和反向证据。</x:v>
      </x:c>
      <x:c r="AC43" s="82" t="str">
        <x:v>较高</x:v>
      </x:c>
      <x:c r="AD43" s="82" t="str">
        <x:v>现代综合</x:v>
      </x:c>
      <x:c r="AE43" s="68" t="str">
        <x:v>十神必须分开判断存在性、力量、清纯度、功能性与喜忌性；M10只形成结构层结论和候选，不越级替代M11—M18。</x:v>
      </x:c>
      <x:c r="AF43" s="68" t="str">
        <x:v>相关条件真实成立，且增强条件有效时，可按“比肩可帮助承受有效官杀制身”记录对应功能。</x:v>
      </x:c>
      <x:c r="AG43" s="90" t="str">
        <x:v>仅见表面十神名称或数量，但“不得以十神名称、数量或单一旺弱证据直接完成定性”所述限制存在时，不得套用本规则。</x:v>
      </x:c>
      <x:c r="AH43" s="68" t="str">
        <x:v>https://zh.wikisource.org/wiki/%E6%B8%8A%E6%B5%B7%E5%AD%90%E5%B9%B3%E5%A4%A7%E5%85%A8 ; https://zh.wikisource.org/wiki/%E6%BB%B4%E5%A4%A9%E9%AB%93%E9%97%A1%E5%BE%AE</x:v>
      </x:c>
      <x:c r="AI43" s="82" t="str">
        <x:v>采用</x:v>
      </x:c>
      <x:c r="AJ43" s="82" t="str">
        <x:v>初审</x:v>
      </x:c>
      <x:c r="AK43" s="87" t="n">
        <x:v>46255</x:v>
      </x:c>
    </x:row>
    <x:row r="44">
      <x:c r="A44" s="72" t="str">
        <x:f>IF(OR(C44="",D44=""),"",B44&amp;"-"&amp;UPPER(C44)&amp;"-"&amp;TEXT(D44,"0000")&amp;"-"&amp;E44)</x:f>
        <x:v>M10-BIJIE-0038-V1.0</x:v>
      </x:c>
      <x:c r="B44" s="74" t="str">
        <x:v>M10</x:v>
      </x:c>
      <x:c r="C44" s="74" t="str">
        <x:v>BIJIE</x:v>
      </x:c>
      <x:c r="D44" s="215" t="n">
        <x:v>38</x:v>
      </x:c>
      <x:c r="E44" s="74" t="str">
        <x:v>V1.0</x:v>
      </x:c>
      <x:c r="F44" s="68" t="str">
        <x:v>劫财制财必须以双方有效力量匹配为条件</x:v>
      </x:c>
      <x:c r="G44" s="82" t="str">
        <x:v>结构层</x:v>
      </x:c>
      <x:c r="H44" s="82" t="str">
        <x:v>劫财</x:v>
      </x:c>
      <x:c r="I44" s="82" t="str">
        <x:v>待定</x:v>
      </x:c>
      <x:c r="J44" s="82" t="str">
        <x:v>待定</x:v>
      </x:c>
      <x:c r="K44" s="82" t="str">
        <x:v>待定</x:v>
      </x:c>
      <x:c r="L44" s="82" t="str">
        <x:v>待定</x:v>
      </x:c>
      <x:c r="M44" s="68" t="str">
        <x:v>按M08核查</x:v>
      </x:c>
      <x:c r="N44" s="68" t="str">
        <x:v>与财星形成克制</x:v>
      </x:c>
      <x:c r="O44" s="82" t="str">
        <x:v>待定</x:v>
      </x:c>
      <x:c r="P44" s="68" t="str">
        <x:v>可成为比劫制财类局部结构，转M11</x:v>
      </x:c>
      <x:c r="Q44" s="68" t="str">
        <x:v>需结合M09日主承载判断</x:v>
      </x:c>
      <x:c r="R44" s="82" t="str">
        <x:v>待定</x:v>
      </x:c>
      <x:c r="S44" s="68" t="str">
        <x:v>劫财与财星直接形成有效克制关系</x:v>
      </x:c>
      <x:c r="T44" s="68" t="str">
        <x:v>M02十神映射、M08五行有效旺衰、M09日主旺衰已完成</x:v>
      </x:c>
      <x:c r="U44" s="68" t="str">
        <x:v>相关十神已由M02正确映射，并以M08有效力量为准</x:v>
      </x:c>
      <x:c r="V44" s="68" t="str">
        <x:v>得令、有根、透干、同党或生源形成独立有效证据</x:v>
      </x:c>
      <x:c r="W44" s="68" t="str">
        <x:v>失令、无根、被合绊、被制、改性或作用路径受阻</x:v>
      </x:c>
      <x:c r="X44" s="90" t="str">
        <x:v>不得以十神名称、数量或单一旺弱证据直接完成定性</x:v>
      </x:c>
      <x:c r="Y44" s="68" t="str">
        <x:v>特殊格局、从化候选及明确组合转M11/M14另审</x:v>
      </x:c>
      <x:c r="Z44" s="68" t="str">
        <x:v>不得直接推出吉凶、具体事件、亲属结果或最终喜忌</x:v>
      </x:c>
      <x:c r="AA44" s="84" t="str">
        <x:v>劫财制财候选</x:v>
      </x:c>
      <x:c r="AB44" s="84" t="str">
        <x:v>劫财制财必须以双方有效力量匹配为条件：当“劫财与财星直接形成有效克制关系”成立时，按本规则记录十神的有效功能；同时保留制化、承载和反向证据。</x:v>
      </x:c>
      <x:c r="AC44" s="82" t="str">
        <x:v>较高</x:v>
      </x:c>
      <x:c r="AD44" s="82" t="str">
        <x:v>现代综合</x:v>
      </x:c>
      <x:c r="AE44" s="68" t="str">
        <x:v>十神必须分开判断存在性、力量、清纯度、功能性与喜忌性；M10只形成结构层结论和候选，不越级替代M11—M18。</x:v>
      </x:c>
      <x:c r="AF44" s="68" t="str">
        <x:v>相关条件真实成立，且增强条件有效时，可按“劫财制财必须以双方有效力量匹配为条件”记录对应功能。</x:v>
      </x:c>
      <x:c r="AG44" s="90" t="str">
        <x:v>仅见表面十神名称或数量，但“不得以十神名称、数量或单一旺弱证据直接完成定性”所述限制存在时，不得套用本规则。</x:v>
      </x:c>
      <x:c r="AH44" s="68" t="str">
        <x:v>https://zh.wikisource.org/wiki/%E6%B8%8A%E6%B5%B7%E5%AD%90%E5%B9%B3%E5%A4%A7%E5%85%A8 ; https://zh.wikisource.org/wiki/%E6%BB%B4%E5%A4%A9%E9%AB%93%E9%97%A1%E5%BE%AE</x:v>
      </x:c>
      <x:c r="AI44" s="82" t="str">
        <x:v>采用</x:v>
      </x:c>
      <x:c r="AJ44" s="82" t="str">
        <x:v>初审</x:v>
      </x:c>
      <x:c r="AK44" s="87" t="n">
        <x:v>46255</x:v>
      </x:c>
    </x:row>
    <x:row r="45">
      <x:c r="A45" s="72" t="str">
        <x:f>IF(OR(C45="",D45=""),"",B45&amp;"-"&amp;UPPER(C45)&amp;"-"&amp;TEXT(D45,"0000")&amp;"-"&amp;E45)</x:f>
        <x:v>M10-BIJIE-0039-V1.0</x:v>
      </x:c>
      <x:c r="B45" s="74" t="str">
        <x:v>M10</x:v>
      </x:c>
      <x:c r="C45" s="74" t="str">
        <x:v>BIJIE</x:v>
      </x:c>
      <x:c r="D45" s="215" t="n">
        <x:v>39</x:v>
      </x:c>
      <x:c r="E45" s="74" t="str">
        <x:v>V1.0</x:v>
      </x:c>
      <x:c r="F45" s="68" t="str">
        <x:v>比肩被官杀强制时扶身功能会受限</x:v>
      </x:c>
      <x:c r="G45" s="82" t="str">
        <x:v>结构层</x:v>
      </x:c>
      <x:c r="H45" s="82" t="str">
        <x:v>比肩</x:v>
      </x:c>
      <x:c r="I45" s="82" t="str">
        <x:v>待定</x:v>
      </x:c>
      <x:c r="J45" s="82" t="str">
        <x:v>待定</x:v>
      </x:c>
      <x:c r="K45" s="82" t="str">
        <x:v>待定</x:v>
      </x:c>
      <x:c r="L45" s="82" t="str">
        <x:v>待定</x:v>
      </x:c>
      <x:c r="M45" s="68" t="str">
        <x:v>按M08核查</x:v>
      </x:c>
      <x:c r="N45" s="68" t="str">
        <x:v>受官杀有效克制</x:v>
      </x:c>
      <x:c r="O45" s="82" t="str">
        <x:v>受限</x:v>
      </x:c>
      <x:c r="P45" s="68" t="str">
        <x:v>转M11/M14判断</x:v>
      </x:c>
      <x:c r="Q45" s="68" t="str">
        <x:v>可调用扶身能力下降</x:v>
      </x:c>
      <x:c r="R45" s="82" t="str">
        <x:v>待定</x:v>
      </x:c>
      <x:c r="S45" s="68" t="str">
        <x:v>比肩虽存在，但官杀对其形成实质强制</x:v>
      </x:c>
      <x:c r="T45" s="68" t="str">
        <x:v>M02十神映射、M08五行有效旺衰、M09日主旺衰已完成</x:v>
      </x:c>
      <x:c r="U45" s="68" t="str">
        <x:v>相关十神已由M02正确映射，并以M08有效力量为准</x:v>
      </x:c>
      <x:c r="V45" s="68" t="str">
        <x:v>得令、有根、透干、同党或生源形成独立有效证据</x:v>
      </x:c>
      <x:c r="W45" s="68" t="str">
        <x:v>失令、无根、被合绊、被制、改性或作用路径受阻</x:v>
      </x:c>
      <x:c r="X45" s="90" t="str">
        <x:v>不得以十神名称、数量或单一旺弱证据直接完成定性</x:v>
      </x:c>
      <x:c r="Y45" s="68" t="str">
        <x:v>特殊格局、从化候选及明确组合转M11/M14另审</x:v>
      </x:c>
      <x:c r="Z45" s="68" t="str">
        <x:v>不得直接推出吉凶、具体事件、亲属结果或最终喜忌</x:v>
      </x:c>
      <x:c r="AA45" s="84" t="str">
        <x:v>比肩功能受限</x:v>
      </x:c>
      <x:c r="AB45" s="84" t="str">
        <x:v>比肩被官杀强制时扶身功能会受限：当“比肩虽存在，但官杀对其形成实质强制”成立时，按本规则记录十神的有效功能；同时保留制化、承载和反向证据。</x:v>
      </x:c>
      <x:c r="AC45" s="82" t="str">
        <x:v>较高</x:v>
      </x:c>
      <x:c r="AD45" s="82" t="str">
        <x:v>现代综合</x:v>
      </x:c>
      <x:c r="AE45" s="68" t="str">
        <x:v>十神必须分开判断存在性、力量、清纯度、功能性与喜忌性；M10只形成结构层结论和候选，不越级替代M11—M18。</x:v>
      </x:c>
      <x:c r="AF45" s="68" t="str">
        <x:v>相关条件真实成立，且增强条件有效时，可按“比肩被官杀强制时扶身功能会受限”记录对应功能。</x:v>
      </x:c>
      <x:c r="AG45" s="90" t="str">
        <x:v>仅见表面十神名称或数量，但“不得以十神名称、数量或单一旺弱证据直接完成定性”所述限制存在时，不得套用本规则。</x:v>
      </x:c>
      <x:c r="AH45" s="68" t="str">
        <x:v>https://zh.wikisource.org/wiki/%E6%B8%8A%E6%B5%B7%E5%AD%90%E5%B9%B3%E5%A4%A7%E5%85%A8 ; https://zh.wikisource.org/wiki/%E6%BB%B4%E5%A4%A9%E9%AB%93%E9%97%A1%E5%BE%AE</x:v>
      </x:c>
      <x:c r="AI45" s="82" t="str">
        <x:v>采用</x:v>
      </x:c>
      <x:c r="AJ45" s="82" t="str">
        <x:v>初审</x:v>
      </x:c>
      <x:c r="AK45" s="87" t="n">
        <x:v>46255</x:v>
      </x:c>
    </x:row>
    <x:row r="46">
      <x:c r="A46" s="72" t="str">
        <x:f>IF(OR(C46="",D46=""),"",B46&amp;"-"&amp;UPPER(C46)&amp;"-"&amp;TEXT(D46,"0000")&amp;"-"&amp;E46)</x:f>
        <x:v>M10-BIJIE-0040-V1.0</x:v>
      </x:c>
      <x:c r="B46" s="74" t="str">
        <x:v>M10</x:v>
      </x:c>
      <x:c r="C46" s="74" t="str">
        <x:v>BIJIE</x:v>
      </x:c>
      <x:c r="D46" s="215" t="n">
        <x:v>40</x:v>
      </x:c>
      <x:c r="E46" s="74" t="str">
        <x:v>V1.0</x:v>
      </x:c>
      <x:c r="F46" s="68" t="str">
        <x:v>比劫集团成势时应作为整体扶身集团评估</x:v>
      </x:c>
      <x:c r="G46" s="82" t="str">
        <x:v>结构层</x:v>
      </x:c>
      <x:c r="H46" s="82" t="str">
        <x:v>劫财</x:v>
      </x:c>
      <x:c r="I46" s="82" t="str">
        <x:v>多处出现</x:v>
      </x:c>
      <x:c r="J46" s="82" t="str">
        <x:v>待定</x:v>
      </x:c>
      <x:c r="K46" s="82" t="str">
        <x:v>旺</x:v>
      </x:c>
      <x:c r="L46" s="82" t="str">
        <x:v>待定</x:v>
      </x:c>
      <x:c r="M46" s="68" t="str">
        <x:v>按M08核查</x:v>
      </x:c>
      <x:c r="N46" s="68" t="str">
        <x:v>按M06/M08核查</x:v>
      </x:c>
      <x:c r="O46" s="82" t="str">
        <x:v>正常发挥</x:v>
      </x:c>
      <x:c r="P46" s="68" t="str">
        <x:v>转M11/M14判断</x:v>
      </x:c>
      <x:c r="Q46" s="68" t="str">
        <x:v>显著提高扶身侧净优势</x:v>
      </x:c>
      <x:c r="R46" s="82" t="str">
        <x:v>待定</x:v>
      </x:c>
      <x:c r="S46" s="68" t="str">
        <x:v>比肩劫财多节点有效并形成同类集团</x:v>
      </x:c>
      <x:c r="T46" s="68" t="str">
        <x:v>M02十神映射、M08五行有效旺衰、M09日主旺衰已完成</x:v>
      </x:c>
      <x:c r="U46" s="68" t="str">
        <x:v>相关十神已由M02正确映射，并以M08有效力量为准</x:v>
      </x:c>
      <x:c r="V46" s="68" t="str">
        <x:v>得令、有根、透干、同党或生源形成独立有效证据</x:v>
      </x:c>
      <x:c r="W46" s="68" t="str">
        <x:v>失令、无根、被合绊、被制、改性或作用路径受阻</x:v>
      </x:c>
      <x:c r="X46" s="90" t="str">
        <x:v>不得以十神名称、数量或单一旺弱证据直接完成定性</x:v>
      </x:c>
      <x:c r="Y46" s="68" t="str">
        <x:v>特殊格局、从化候选及明确组合转M11/M14另审</x:v>
      </x:c>
      <x:c r="Z46" s="68" t="str">
        <x:v>不得直接推出吉凶、具体事件、亲属结果或最终喜忌</x:v>
      </x:c>
      <x:c r="AA46" s="84" t="str">
        <x:v>比劫集团成势</x:v>
      </x:c>
      <x:c r="AB46" s="84" t="str">
        <x:v>比劫集团成势时应作为整体扶身集团评估：当“比肩劫财多节点有效并形成同类集团”成立时，按本规则记录十神的有效功能；同时保留制化、承载和反向证据。</x:v>
      </x:c>
      <x:c r="AC46" s="82" t="str">
        <x:v>较高</x:v>
      </x:c>
      <x:c r="AD46" s="82" t="str">
        <x:v>现代综合</x:v>
      </x:c>
      <x:c r="AE46" s="68" t="str">
        <x:v>十神必须分开判断存在性、力量、清纯度、功能性与喜忌性；M10只形成结构层结论和候选，不越级替代M11—M18。</x:v>
      </x:c>
      <x:c r="AF46" s="68" t="str">
        <x:v>相关条件真实成立，且增强条件有效时，可按“比劫集团成势时应作为整体扶身集团评估”记录对应功能。</x:v>
      </x:c>
      <x:c r="AG46" s="90" t="str">
        <x:v>仅见表面十神名称或数量，但“不得以十神名称、数量或单一旺弱证据直接完成定性”所述限制存在时，不得套用本规则。</x:v>
      </x:c>
      <x:c r="AH46" s="68" t="str">
        <x:v>https://zh.wikisource.org/wiki/%E6%B8%8A%E6%B5%B7%E5%AD%90%E5%B9%B3%E5%A4%A7%E5%85%A8 ; https://zh.wikisource.org/wiki/%E6%BB%B4%E5%A4%A9%E9%AB%93%E9%97%A1%E5%BE%AE</x:v>
      </x:c>
      <x:c r="AI46" s="82" t="str">
        <x:v>采用</x:v>
      </x:c>
      <x:c r="AJ46" s="82" t="str">
        <x:v>初审</x:v>
      </x:c>
      <x:c r="AK46" s="87" t="n">
        <x:v>46255</x:v>
      </x:c>
    </x:row>
    <x:row r="47">
      <x:c r="A47" s="72" t="str">
        <x:f>IF(OR(C47="",D47=""),"",B47&amp;"-"&amp;UPPER(C47)&amp;"-"&amp;TEXT(D47,"0000")&amp;"-"&amp;E47)</x:f>
        <x:v>M10-BIJIE-0041-V1.0</x:v>
      </x:c>
      <x:c r="B47" s="74" t="str">
        <x:v>M10</x:v>
      </x:c>
      <x:c r="C47" s="74" t="str">
        <x:v>BIJIE</x:v>
      </x:c>
      <x:c r="D47" s="215" t="n">
        <x:v>41</x:v>
      </x:c>
      <x:c r="E47" s="74" t="str">
        <x:v>V1.0</x:v>
      </x:c>
      <x:c r="F47" s="68" t="str">
        <x:v>比劫过旺可阻塞日主向食伤财星的输出</x:v>
      </x:c>
      <x:c r="G47" s="82" t="str">
        <x:v>结构层</x:v>
      </x:c>
      <x:c r="H47" s="82" t="str">
        <x:v>比肩</x:v>
      </x:c>
      <x:c r="I47" s="82" t="str">
        <x:v>待定</x:v>
      </x:c>
      <x:c r="J47" s="82" t="str">
        <x:v>待定</x:v>
      </x:c>
      <x:c r="K47" s="82" t="str">
        <x:v>待定</x:v>
      </x:c>
      <x:c r="L47" s="82" t="str">
        <x:v>待定</x:v>
      </x:c>
      <x:c r="M47" s="68" t="str">
        <x:v>按M08核查</x:v>
      </x:c>
      <x:c r="N47" s="68" t="str">
        <x:v>按M06/M08核查</x:v>
      </x:c>
      <x:c r="O47" s="82" t="str">
        <x:v>过度</x:v>
      </x:c>
      <x:c r="P47" s="68" t="str">
        <x:v>转M11/M14判断</x:v>
      </x:c>
      <x:c r="Q47" s="68" t="str">
        <x:v>同类聚集但输出不足，可能形成壅塞</x:v>
      </x:c>
      <x:c r="R47" s="82" t="str">
        <x:v>条件性忌神</x:v>
      </x:c>
      <x:c r="S47" s="68" t="str">
        <x:v>比劫明显过旺，而食伤财星通道偏弱</x:v>
      </x:c>
      <x:c r="T47" s="68" t="str">
        <x:v>M02十神映射、M08五行有效旺衰、M09日主旺衰已完成</x:v>
      </x:c>
      <x:c r="U47" s="68" t="str">
        <x:v>相关十神已由M02正确映射，并以M08有效力量为准</x:v>
      </x:c>
      <x:c r="V47" s="68" t="str">
        <x:v>得令、有根、透干、同党或生源形成独立有效证据</x:v>
      </x:c>
      <x:c r="W47" s="68" t="str">
        <x:v>失令、无根、被合绊、被制、改性或作用路径受阻</x:v>
      </x:c>
      <x:c r="X47" s="90" t="str">
        <x:v>不得以十神名称、数量或单一旺弱证据直接完成定性</x:v>
      </x:c>
      <x:c r="Y47" s="68" t="str">
        <x:v>特殊格局、从化候选及明确组合转M11/M14另审</x:v>
      </x:c>
      <x:c r="Z47" s="68" t="str">
        <x:v>不得直接推出吉凶、具体事件、亲属结果或最终喜忌</x:v>
      </x:c>
      <x:c r="AA47" s="84" t="str">
        <x:v>比劫壅塞候选</x:v>
      </x:c>
      <x:c r="AB47" s="84" t="str">
        <x:v>比劫过旺可阻塞日主向食伤财星的输出：当“比劫明显过旺，而食伤财星通道偏弱”成立时，按本规则记录十神的有效功能；同时保留制化、承载和反向证据。</x:v>
      </x:c>
      <x:c r="AC47" s="82" t="str">
        <x:v>较高</x:v>
      </x:c>
      <x:c r="AD47" s="82" t="str">
        <x:v>现代综合</x:v>
      </x:c>
      <x:c r="AE47" s="68" t="str">
        <x:v>十神必须分开判断存在性、力量、清纯度、功能性与喜忌性；M10只形成结构层结论和候选，不越级替代M11—M18。</x:v>
      </x:c>
      <x:c r="AF47" s="68" t="str">
        <x:v>相关条件真实成立，且增强条件有效时，可按“比劫过旺可阻塞日主向食伤财星的输出”记录对应功能。</x:v>
      </x:c>
      <x:c r="AG47" s="90" t="str">
        <x:v>仅见表面十神名称或数量，但“不得以十神名称、数量或单一旺弱证据直接完成定性”所述限制存在时，不得套用本规则。</x:v>
      </x:c>
      <x:c r="AH47" s="68" t="str">
        <x:v>https://zh.wikisource.org/wiki/%E6%B8%8A%E6%B5%B7%E5%AD%90%E5%B9%B3%E5%A4%A7%E5%85%A8 ; https://zh.wikisource.org/wiki/%E6%BB%B4%E5%A4%A9%E9%AB%93%E9%97%A1%E5%BE%AE</x:v>
      </x:c>
      <x:c r="AI47" s="82" t="str">
        <x:v>采用</x:v>
      </x:c>
      <x:c r="AJ47" s="82" t="str">
        <x:v>初审</x:v>
      </x:c>
      <x:c r="AK47" s="87" t="n">
        <x:v>46255</x:v>
      </x:c>
    </x:row>
    <x:row r="48">
      <x:c r="A48" s="72" t="str">
        <x:f>IF(OR(C48="",D48=""),"",B48&amp;"-"&amp;UPPER(C48)&amp;"-"&amp;TEXT(D48,"0000")&amp;"-"&amp;E48)</x:f>
        <x:v>M10-BIJIE-0042-V1.0</x:v>
      </x:c>
      <x:c r="B48" s="74" t="str">
        <x:v>M10</x:v>
      </x:c>
      <x:c r="C48" s="74" t="str">
        <x:v>BIJIE</x:v>
      </x:c>
      <x:c r="D48" s="215" t="n">
        <x:v>42</x:v>
      </x:c>
      <x:c r="E48" s="74" t="str">
        <x:v>V1.0</x:v>
      </x:c>
      <x:c r="F48" s="68" t="str">
        <x:v>劫财喜忌不能脱离财星和日主状态</x:v>
      </x:c>
      <x:c r="G48" s="82" t="str">
        <x:v>结构层</x:v>
      </x:c>
      <x:c r="H48" s="82" t="str">
        <x:v>劫财</x:v>
      </x:c>
      <x:c r="I48" s="82" t="str">
        <x:v>待定</x:v>
      </x:c>
      <x:c r="J48" s="82" t="str">
        <x:v>待定</x:v>
      </x:c>
      <x:c r="K48" s="82" t="str">
        <x:v>待定</x:v>
      </x:c>
      <x:c r="L48" s="82" t="str">
        <x:v>待定</x:v>
      </x:c>
      <x:c r="M48" s="68" t="str">
        <x:v>按M08核查</x:v>
      </x:c>
      <x:c r="N48" s="68" t="str">
        <x:v>按M06/M08核查</x:v>
      </x:c>
      <x:c r="O48" s="82" t="str">
        <x:v>待定</x:v>
      </x:c>
      <x:c r="P48" s="68" t="str">
        <x:v>转M11/M14判断</x:v>
      </x:c>
      <x:c r="Q48" s="68" t="str">
        <x:v>需结合M09日主承载判断</x:v>
      </x:c>
      <x:c r="R48" s="82" t="str">
        <x:v>待定</x:v>
      </x:c>
      <x:c r="S48" s="68" t="str">
        <x:v>判断劫财价值时必须同时读取M09日主旺衰与财星有效力量</x:v>
      </x:c>
      <x:c r="T48" s="68" t="str">
        <x:v>M02十神映射、M08五行有效旺衰、M09日主旺衰已完成</x:v>
      </x:c>
      <x:c r="U48" s="68" t="str">
        <x:v>相关十神已由M02正确映射，并以M08有效力量为准</x:v>
      </x:c>
      <x:c r="V48" s="68" t="str">
        <x:v>得令、有根、透干、同党或生源形成独立有效证据</x:v>
      </x:c>
      <x:c r="W48" s="68" t="str">
        <x:v>失令、无根、被合绊、被制、改性或作用路径受阻</x:v>
      </x:c>
      <x:c r="X48" s="90" t="str">
        <x:v>不得以十神名称、数量或单一旺弱证据直接完成定性</x:v>
      </x:c>
      <x:c r="Y48" s="68" t="str">
        <x:v>特殊格局、从化候选及明确组合转M11/M14另审</x:v>
      </x:c>
      <x:c r="Z48" s="68" t="str">
        <x:v>不得用“劫财”名称直接解释为夺财、破财或人际竞争事件</x:v>
      </x:c>
      <x:c r="AA48" s="84" t="str">
        <x:v>劫财喜忌联判</x:v>
      </x:c>
      <x:c r="AB48" s="84" t="str">
        <x:v>劫财喜忌不能脱离财星和日主状态：当“判断劫财价值时必须同时读取M09日主旺衰与财星有效力量”成立时，按本规则记录十神的有效功能；同时保留制化、承载和反向证据。</x:v>
      </x:c>
      <x:c r="AC48" s="82" t="str">
        <x:v>较高</x:v>
      </x:c>
      <x:c r="AD48" s="82" t="str">
        <x:v>现代综合</x:v>
      </x:c>
      <x:c r="AE48" s="68" t="str">
        <x:v>十神必须分开判断存在性、力量、清纯度、功能性与喜忌性；M10只形成结构层结论和候选，不越级替代M11—M18。</x:v>
      </x:c>
      <x:c r="AF48" s="68" t="str">
        <x:v>相关条件真实成立，且增强条件有效时，可按“劫财喜忌不能脱离财星和日主状态”记录对应功能。</x:v>
      </x:c>
      <x:c r="AG48" s="90" t="str">
        <x:v>仅见表面十神名称或数量，但“不得以十神名称、数量或单一旺弱证据直接完成定性”所述限制存在时，不得套用本规则。</x:v>
      </x:c>
      <x:c r="AH48" s="68" t="str">
        <x:v>https://zh.wikisource.org/wiki/%E6%B8%8A%E6%B5%B7%E5%AD%90%E5%B9%B3%E5%A4%A7%E5%85%A8 ; https://zh.wikisource.org/wiki/%E6%BB%B4%E5%A4%A9%E9%AB%93%E9%97%A1%E5%BE%AE</x:v>
      </x:c>
      <x:c r="AI48" s="82" t="str">
        <x:v>采用</x:v>
      </x:c>
      <x:c r="AJ48" s="82" t="str">
        <x:v>初审</x:v>
      </x:c>
      <x:c r="AK48" s="87" t="n">
        <x:v>46255</x:v>
      </x:c>
    </x:row>
    <x:row r="49">
      <x:c r="A49" s="72" t="str">
        <x:f>IF(OR(C49="",D49=""),"",B49&amp;"-"&amp;UPPER(C49)&amp;"-"&amp;TEXT(D49,"0000")&amp;"-"&amp;E49)</x:f>
        <x:v>M10-YIN-0043-V1.0</x:v>
      </x:c>
      <x:c r="B49" s="74" t="str">
        <x:v>M10</x:v>
      </x:c>
      <x:c r="C49" s="74" t="str">
        <x:v>YIN</x:v>
      </x:c>
      <x:c r="D49" s="215" t="n">
        <x:v>43</x:v>
      </x:c>
      <x:c r="E49" s="74" t="str">
        <x:v>V1.0</x:v>
      </x:c>
      <x:c r="F49" s="68" t="str">
        <x:v>有效正印首先提供生身功能</x:v>
      </x:c>
      <x:c r="G49" s="82" t="str">
        <x:v>结构层</x:v>
      </x:c>
      <x:c r="H49" s="82" t="str">
        <x:v>正印</x:v>
      </x:c>
      <x:c r="I49" s="82" t="str">
        <x:v>待定</x:v>
      </x:c>
      <x:c r="J49" s="82" t="str">
        <x:v>待定</x:v>
      </x:c>
      <x:c r="K49" s="82" t="str">
        <x:v>待定</x:v>
      </x:c>
      <x:c r="L49" s="82" t="str">
        <x:v>待定</x:v>
      </x:c>
      <x:c r="M49" s="68" t="str">
        <x:v>按M08核查</x:v>
      </x:c>
      <x:c r="N49" s="68" t="str">
        <x:v>按M06/M08核查</x:v>
      </x:c>
      <x:c r="O49" s="82" t="str">
        <x:v>正常发挥</x:v>
      </x:c>
      <x:c r="P49" s="68" t="str">
        <x:v>转M11/M14判断</x:v>
      </x:c>
      <x:c r="Q49" s="68" t="str">
        <x:v>向日主提供生源和承载</x:v>
      </x:c>
      <x:c r="R49" s="82" t="str">
        <x:v>待定</x:v>
      </x:c>
      <x:c r="S49" s="68" t="str">
        <x:v>正印有效存在且生身路径未被阻断</x:v>
      </x:c>
      <x:c r="T49" s="68" t="str">
        <x:v>M02十神映射、M08五行有效旺衰、M09日主旺衰已完成</x:v>
      </x:c>
      <x:c r="U49" s="68" t="str">
        <x:v>相关十神已由M02正确映射，并以M08有效力量为准</x:v>
      </x:c>
      <x:c r="V49" s="68" t="str">
        <x:v>得令、有根、透干、同党或生源形成独立有效证据</x:v>
      </x:c>
      <x:c r="W49" s="68" t="str">
        <x:v>失令、无根、被合绊、被制、改性或作用路径受阻</x:v>
      </x:c>
      <x:c r="X49" s="90" t="str">
        <x:v>不得以十神名称、数量或单一旺弱证据直接完成定性</x:v>
      </x:c>
      <x:c r="Y49" s="68" t="str">
        <x:v>特殊格局、从化候选及明确组合转M11/M14另审</x:v>
      </x:c>
      <x:c r="Z49" s="68" t="str">
        <x:v>不得直接推出吉凶、具体事件、亲属结果或最终喜忌</x:v>
      </x:c>
      <x:c r="AA49" s="84" t="str">
        <x:v>正印生身</x:v>
      </x:c>
      <x:c r="AB49" s="84" t="str">
        <x:v>有效正印首先提供生身功能：当“正印有效存在且生身路径未被阻断”成立时，按本规则记录十神的有效功能；同时保留制化、承载和反向证据。</x:v>
      </x:c>
      <x:c r="AC49" s="82" t="str">
        <x:v>较高</x:v>
      </x:c>
      <x:c r="AD49" s="82" t="str">
        <x:v>现代综合</x:v>
      </x:c>
      <x:c r="AE49" s="68" t="str">
        <x:v>十神必须分开判断存在性、力量、清纯度、功能性与喜忌性；M10只形成结构层结论和候选，不越级替代M11—M18。</x:v>
      </x:c>
      <x:c r="AF49" s="68" t="str">
        <x:v>相关条件真实成立，且增强条件有效时，可按“有效正印首先提供生身功能”记录对应功能。</x:v>
      </x:c>
      <x:c r="AG49" s="90" t="str">
        <x:v>仅见表面十神名称或数量，但“不得以十神名称、数量或单一旺弱证据直接完成定性”所述限制存在时，不得套用本规则。</x:v>
      </x:c>
      <x:c r="AH49" s="68" t="str">
        <x:v>https://zh.wikisource.org/wiki/%E6%B8%8A%E6%B5%B7%E5%AD%90%E5%B9%B3%E5%A4%A7%E5%85%A8 ; https://zh.wikisource.org/wiki/%E6%BB%B4%E5%A4%A9%E9%AB%93%E9%97%A1%E5%BE%AE</x:v>
      </x:c>
      <x:c r="AI49" s="82" t="str">
        <x:v>采用</x:v>
      </x:c>
      <x:c r="AJ49" s="82" t="str">
        <x:v>初审</x:v>
      </x:c>
      <x:c r="AK49" s="87" t="n">
        <x:v>46255</x:v>
      </x:c>
    </x:row>
    <x:row r="50">
      <x:c r="A50" s="72" t="str">
        <x:f>IF(OR(C50="",D50=""),"",B50&amp;"-"&amp;UPPER(C50)&amp;"-"&amp;TEXT(D50,"0000")&amp;"-"&amp;E50)</x:f>
        <x:v>M10-YIN-0044-V1.0</x:v>
      </x:c>
      <x:c r="B50" s="74" t="str">
        <x:v>M10</x:v>
      </x:c>
      <x:c r="C50" s="74" t="str">
        <x:v>YIN</x:v>
      </x:c>
      <x:c r="D50" s="215" t="n">
        <x:v>44</x:v>
      </x:c>
      <x:c r="E50" s="74" t="str">
        <x:v>V1.0</x:v>
      </x:c>
      <x:c r="F50" s="68" t="str">
        <x:v>有效偏印同样可生身但需另审制食功能</x:v>
      </x:c>
      <x:c r="G50" s="82" t="str">
        <x:v>结构层</x:v>
      </x:c>
      <x:c r="H50" s="82" t="str">
        <x:v>偏印</x:v>
      </x:c>
      <x:c r="I50" s="82" t="str">
        <x:v>待定</x:v>
      </x:c>
      <x:c r="J50" s="82" t="str">
        <x:v>待定</x:v>
      </x:c>
      <x:c r="K50" s="82" t="str">
        <x:v>待定</x:v>
      </x:c>
      <x:c r="L50" s="82" t="str">
        <x:v>待定</x:v>
      </x:c>
      <x:c r="M50" s="68" t="str">
        <x:v>按M08核查</x:v>
      </x:c>
      <x:c r="N50" s="68" t="str">
        <x:v>按M06/M08核查</x:v>
      </x:c>
      <x:c r="O50" s="82" t="str">
        <x:v>正常发挥</x:v>
      </x:c>
      <x:c r="P50" s="68" t="str">
        <x:v>转M11/M14判断</x:v>
      </x:c>
      <x:c r="Q50" s="68" t="str">
        <x:v>可生身，同时可能对食神形成克制</x:v>
      </x:c>
      <x:c r="R50" s="82" t="str">
        <x:v>待定</x:v>
      </x:c>
      <x:c r="S50" s="68" t="str">
        <x:v>偏印有效存在</x:v>
      </x:c>
      <x:c r="T50" s="68" t="str">
        <x:v>M02十神映射、M08五行有效旺衰、M09日主旺衰已完成</x:v>
      </x:c>
      <x:c r="U50" s="68" t="str">
        <x:v>相关十神已由M02正确映射，并以M08有效力量为准</x:v>
      </x:c>
      <x:c r="V50" s="68" t="str">
        <x:v>得令、有根、透干、同党或生源形成独立有效证据</x:v>
      </x:c>
      <x:c r="W50" s="68" t="str">
        <x:v>失令、无根、被合绊、被制、改性或作用路径受阻</x:v>
      </x:c>
      <x:c r="X50" s="90" t="str">
        <x:v>不得以十神名称、数量或单一旺弱证据直接完成定性</x:v>
      </x:c>
      <x:c r="Y50" s="68" t="str">
        <x:v>特殊格局、从化候选及明确组合转M11/M14另审</x:v>
      </x:c>
      <x:c r="Z50" s="68" t="str">
        <x:v>不得直接推出吉凶、具体事件、亲属结果或最终喜忌</x:v>
      </x:c>
      <x:c r="AA50" s="84" t="str">
        <x:v>偏印双向功能</x:v>
      </x:c>
      <x:c r="AB50" s="84" t="str">
        <x:v>有效偏印同样可生身但需另审制食功能：当“偏印有效存在”成立时，按本规则记录十神的有效功能；同时保留制化、承载和反向证据。</x:v>
      </x:c>
      <x:c r="AC50" s="82" t="str">
        <x:v>较高</x:v>
      </x:c>
      <x:c r="AD50" s="82" t="str">
        <x:v>现代综合</x:v>
      </x:c>
      <x:c r="AE50" s="68" t="str">
        <x:v>十神必须分开判断存在性、力量、清纯度、功能性与喜忌性；M10只形成结构层结论和候选，不越级替代M11—M18。</x:v>
      </x:c>
      <x:c r="AF50" s="68" t="str">
        <x:v>相关条件真实成立，且增强条件有效时，可按“有效偏印同样可生身但需另审制食功能”记录对应功能。</x:v>
      </x:c>
      <x:c r="AG50" s="90" t="str">
        <x:v>仅见表面十神名称或数量，但“不得以十神名称、数量或单一旺弱证据直接完成定性”所述限制存在时，不得套用本规则。</x:v>
      </x:c>
      <x:c r="AH50" s="68" t="str">
        <x:v>https://zh.wikisource.org/wiki/%E6%B8%8A%E6%B5%B7%E5%AD%90%E5%B9%B3%E5%A4%A7%E5%85%A8 ; https://zh.wikisource.org/wiki/%E6%BB%B4%E5%A4%A9%E9%AB%93%E9%97%A1%E5%BE%AE</x:v>
      </x:c>
      <x:c r="AI50" s="82" t="str">
        <x:v>采用</x:v>
      </x:c>
      <x:c r="AJ50" s="82" t="str">
        <x:v>初审</x:v>
      </x:c>
      <x:c r="AK50" s="87" t="n">
        <x:v>46255</x:v>
      </x:c>
    </x:row>
    <x:row r="51">
      <x:c r="A51" s="72" t="str">
        <x:f>IF(OR(C51="",D51=""),"",B51&amp;"-"&amp;UPPER(C51)&amp;"-"&amp;TEXT(D51,"0000")&amp;"-"&amp;E51)</x:f>
        <x:v>M10-YIN-0045-V1.0</x:v>
      </x:c>
      <x:c r="B51" s="74" t="str">
        <x:v>M10</x:v>
      </x:c>
      <x:c r="C51" s="74" t="str">
        <x:v>YIN</x:v>
      </x:c>
      <x:c r="D51" s="215" t="n">
        <x:v>45</x:v>
      </x:c>
      <x:c r="E51" s="74" t="str">
        <x:v>V1.0</x:v>
      </x:c>
      <x:c r="F51" s="68" t="str">
        <x:v>身弱时印星有力通常形成生身有利候选</x:v>
      </x:c>
      <x:c r="G51" s="82" t="str">
        <x:v>结构层</x:v>
      </x:c>
      <x:c r="H51" s="82" t="str">
        <x:v>正印</x:v>
      </x:c>
      <x:c r="I51" s="82" t="str">
        <x:v>待定</x:v>
      </x:c>
      <x:c r="J51" s="82" t="str">
        <x:v>待定</x:v>
      </x:c>
      <x:c r="K51" s="82" t="str">
        <x:v>待定</x:v>
      </x:c>
      <x:c r="L51" s="82" t="str">
        <x:v>待定</x:v>
      </x:c>
      <x:c r="M51" s="68" t="str">
        <x:v>按M08核查</x:v>
      </x:c>
      <x:c r="N51" s="68" t="str">
        <x:v>按M06/M08核查</x:v>
      </x:c>
      <x:c r="O51" s="82" t="str">
        <x:v>待定</x:v>
      </x:c>
      <x:c r="P51" s="68" t="str">
        <x:v>转M11/M14判断</x:v>
      </x:c>
      <x:c r="Q51" s="68" t="str">
        <x:v>补充生源、缓解泄耗和官杀压力</x:v>
      </x:c>
      <x:c r="R51" s="82" t="str">
        <x:v>条件性喜神</x:v>
      </x:c>
      <x:c r="S51" s="68" t="str">
        <x:v>M09日主弱或中和偏弱且正印有效</x:v>
      </x:c>
      <x:c r="T51" s="68" t="str">
        <x:v>M02十神映射、M08五行有效旺衰、M09日主旺衰已完成</x:v>
      </x:c>
      <x:c r="U51" s="68" t="str">
        <x:v>相关十神已由M02正确映射，并以M08有效力量为准</x:v>
      </x:c>
      <x:c r="V51" s="68" t="str">
        <x:v>得令、有根、透干、同党或生源形成独立有效证据</x:v>
      </x:c>
      <x:c r="W51" s="68" t="str">
        <x:v>失令、无根、被合绊、被制、改性或作用路径受阻</x:v>
      </x:c>
      <x:c r="X51" s="90" t="str">
        <x:v>不得以十神名称、数量或单一旺弱证据直接完成定性</x:v>
      </x:c>
      <x:c r="Y51" s="68" t="str">
        <x:v>特殊格局、从化候选及明确组合转M11/M14另审</x:v>
      </x:c>
      <x:c r="Z51" s="68" t="str">
        <x:v>不得直接推出吉凶、具体事件、亲属结果或最终喜忌</x:v>
      </x:c>
      <x:c r="AA51" s="84" t="str">
        <x:v>身弱正印候选</x:v>
      </x:c>
      <x:c r="AB51" s="84" t="str">
        <x:v>身弱时印星有力通常形成生身有利候选：当“M09日主弱或中和偏弱且正印有效”成立时，按本规则记录十神的有效功能；同时保留制化、承载和反向证据。</x:v>
      </x:c>
      <x:c r="AC51" s="82" t="str">
        <x:v>较高</x:v>
      </x:c>
      <x:c r="AD51" s="82" t="str">
        <x:v>现代综合</x:v>
      </x:c>
      <x:c r="AE51" s="68" t="str">
        <x:v>十神必须分开判断存在性、力量、清纯度、功能性与喜忌性；M10只形成结构层结论和候选，不越级替代M11—M18。</x:v>
      </x:c>
      <x:c r="AF51" s="68" t="str">
        <x:v>相关条件真实成立，且增强条件有效时，可按“身弱时印星有力通常形成生身有利候选”记录对应功能。</x:v>
      </x:c>
      <x:c r="AG51" s="90" t="str">
        <x:v>仅见表面十神名称或数量，但“不得以十神名称、数量或单一旺弱证据直接完成定性”所述限制存在时，不得套用本规则。</x:v>
      </x:c>
      <x:c r="AH51" s="68" t="str">
        <x:v>https://zh.wikisource.org/wiki/%E6%B8%8A%E6%B5%B7%E5%AD%90%E5%B9%B3%E5%A4%A7%E5%85%A8 ; https://zh.wikisource.org/wiki/%E6%BB%B4%E5%A4%A9%E9%AB%93%E9%97%A1%E5%BE%AE</x:v>
      </x:c>
      <x:c r="AI51" s="82" t="str">
        <x:v>采用</x:v>
      </x:c>
      <x:c r="AJ51" s="82" t="str">
        <x:v>初审</x:v>
      </x:c>
      <x:c r="AK51" s="87" t="n">
        <x:v>46255</x:v>
      </x:c>
    </x:row>
    <x:row r="52">
      <x:c r="A52" s="72" t="str">
        <x:f>IF(OR(C52="",D52=""),"",B52&amp;"-"&amp;UPPER(C52)&amp;"-"&amp;TEXT(D52,"0000")&amp;"-"&amp;E52)</x:f>
        <x:v>M10-YIN-0046-V1.0</x:v>
      </x:c>
      <x:c r="B52" s="74" t="str">
        <x:v>M10</x:v>
      </x:c>
      <x:c r="C52" s="74" t="str">
        <x:v>YIN</x:v>
      </x:c>
      <x:c r="D52" s="215" t="n">
        <x:v>46</x:v>
      </x:c>
      <x:c r="E52" s="74" t="str">
        <x:v>V1.0</x:v>
      </x:c>
      <x:c r="F52" s="68" t="str">
        <x:v>偏印制食只有克制路径真实成立才记录</x:v>
      </x:c>
      <x:c r="G52" s="82" t="str">
        <x:v>结构层</x:v>
      </x:c>
      <x:c r="H52" s="82" t="str">
        <x:v>偏印</x:v>
      </x:c>
      <x:c r="I52" s="82" t="str">
        <x:v>待定</x:v>
      </x:c>
      <x:c r="J52" s="82" t="str">
        <x:v>待定</x:v>
      </x:c>
      <x:c r="K52" s="82" t="str">
        <x:v>待定</x:v>
      </x:c>
      <x:c r="L52" s="82" t="str">
        <x:v>待定</x:v>
      </x:c>
      <x:c r="M52" s="68" t="str">
        <x:v>按M08核查</x:v>
      </x:c>
      <x:c r="N52" s="68" t="str">
        <x:v>对食神形成有效制约</x:v>
      </x:c>
      <x:c r="O52" s="82" t="str">
        <x:v>正常发挥</x:v>
      </x:c>
      <x:c r="P52" s="68" t="str">
        <x:v>枭神夺食候选转M11判断</x:v>
      </x:c>
      <x:c r="Q52" s="68" t="str">
        <x:v>需结合M09日主承载判断</x:v>
      </x:c>
      <x:c r="R52" s="82" t="str">
        <x:v>待定</x:v>
      </x:c>
      <x:c r="S52" s="68" t="str">
        <x:v>偏印与食神形成有效克制，且偏印力量足以作用</x:v>
      </x:c>
      <x:c r="T52" s="68" t="str">
        <x:v>M02十神映射、M08五行有效旺衰、M09日主旺衰已完成</x:v>
      </x:c>
      <x:c r="U52" s="68" t="str">
        <x:v>相关十神已由M02正确映射，并以M08有效力量为准</x:v>
      </x:c>
      <x:c r="V52" s="68" t="str">
        <x:v>得令、有根、透干、同党或生源形成独立有效证据</x:v>
      </x:c>
      <x:c r="W52" s="68" t="str">
        <x:v>失令、无根、被合绊、被制、改性或作用路径受阻</x:v>
      </x:c>
      <x:c r="X52" s="90" t="str">
        <x:v>不得以十神名称、数量或单一旺弱证据直接完成定性</x:v>
      </x:c>
      <x:c r="Y52" s="68" t="str">
        <x:v>特殊格局、从化候选及明确组合转M11/M14另审</x:v>
      </x:c>
      <x:c r="Z52" s="68" t="str">
        <x:v>不得直接推出吉凶、具体事件、亲属结果或最终喜忌</x:v>
      </x:c>
      <x:c r="AA52" s="84" t="str">
        <x:v>偏印制食候选</x:v>
      </x:c>
      <x:c r="AB52" s="84" t="str">
        <x:v>偏印制食只有克制路径真实成立才记录：当“偏印与食神形成有效克制，且偏印力量足以作用”成立时，按本规则记录十神的有效功能；同时保留制化、承载和反向证据。</x:v>
      </x:c>
      <x:c r="AC52" s="82" t="str">
        <x:v>较高</x:v>
      </x:c>
      <x:c r="AD52" s="82" t="str">
        <x:v>现代综合</x:v>
      </x:c>
      <x:c r="AE52" s="68" t="str">
        <x:v>十神必须分开判断存在性、力量、清纯度、功能性与喜忌性；M10只形成结构层结论和候选，不越级替代M11—M18。</x:v>
      </x:c>
      <x:c r="AF52" s="68" t="str">
        <x:v>相关条件真实成立，且增强条件有效时，可按“偏印制食只有克制路径真实成立才记录”记录对应功能。</x:v>
      </x:c>
      <x:c r="AG52" s="90" t="str">
        <x:v>仅见表面十神名称或数量，但“不得以十神名称、数量或单一旺弱证据直接完成定性”所述限制存在时，不得套用本规则。</x:v>
      </x:c>
      <x:c r="AH52" s="68" t="str">
        <x:v>https://zh.wikisource.org/wiki/%E6%B8%8A%E6%B5%B7%E5%AD%90%E5%B9%B3%E5%A4%A7%E5%85%A8 ; https://zh.wikisource.org/wiki/%E6%BB%B4%E5%A4%A9%E9%AB%93%E9%97%A1%E5%BE%AE</x:v>
      </x:c>
      <x:c r="AI52" s="82" t="str">
        <x:v>采用</x:v>
      </x:c>
      <x:c r="AJ52" s="82" t="str">
        <x:v>初审</x:v>
      </x:c>
      <x:c r="AK52" s="87" t="n">
        <x:v>46255</x:v>
      </x:c>
    </x:row>
    <x:row r="53">
      <x:c r="A53" s="72" t="str">
        <x:f>IF(OR(C53="",D53=""),"",B53&amp;"-"&amp;UPPER(C53)&amp;"-"&amp;TEXT(D53,"0000")&amp;"-"&amp;E53)</x:f>
        <x:v>M10-YIN-0047-V1.0</x:v>
      </x:c>
      <x:c r="B53" s="74" t="str">
        <x:v>M10</x:v>
      </x:c>
      <x:c r="C53" s="74" t="str">
        <x:v>YIN</x:v>
      </x:c>
      <x:c r="D53" s="215" t="n">
        <x:v>47</x:v>
      </x:c>
      <x:c r="E53" s="74" t="str">
        <x:v>V1.0</x:v>
      </x:c>
      <x:c r="F53" s="68" t="str">
        <x:v>印星可承接官杀形成化杀生身路径</x:v>
      </x:c>
      <x:c r="G53" s="82" t="str">
        <x:v>结构层</x:v>
      </x:c>
      <x:c r="H53" s="82" t="str">
        <x:v>正印</x:v>
      </x:c>
      <x:c r="I53" s="82" t="str">
        <x:v>待定</x:v>
      </x:c>
      <x:c r="J53" s="82" t="str">
        <x:v>待定</x:v>
      </x:c>
      <x:c r="K53" s="82" t="str">
        <x:v>待定</x:v>
      </x:c>
      <x:c r="L53" s="82" t="str">
        <x:v>待定</x:v>
      </x:c>
      <x:c r="M53" s="68" t="str">
        <x:v>官杀为印星生源</x:v>
      </x:c>
      <x:c r="N53" s="68" t="str">
        <x:v>按M06/M08核查</x:v>
      </x:c>
      <x:c r="O53" s="82" t="str">
        <x:v>正常发挥</x:v>
      </x:c>
      <x:c r="P53" s="68" t="str">
        <x:v>官印相生或杀印相生候选转M11</x:v>
      </x:c>
      <x:c r="Q53" s="68" t="str">
        <x:v>需结合M09日主承载判断</x:v>
      </x:c>
      <x:c r="R53" s="82" t="str">
        <x:v>待定</x:v>
      </x:c>
      <x:c r="S53" s="68" t="str">
        <x:v>官杀生印、印再生日主的链路连续有效</x:v>
      </x:c>
      <x:c r="T53" s="68" t="str">
        <x:v>M02十神映射、M08五行有效旺衰、M09日主旺衰已完成</x:v>
      </x:c>
      <x:c r="U53" s="68" t="str">
        <x:v>相关十神已由M02正确映射，并以M08有效力量为准</x:v>
      </x:c>
      <x:c r="V53" s="68" t="str">
        <x:v>得令、有根、透干、同党或生源形成独立有效证据</x:v>
      </x:c>
      <x:c r="W53" s="68" t="str">
        <x:v>失令、无根、被合绊、被制、改性或作用路径受阻</x:v>
      </x:c>
      <x:c r="X53" s="90" t="str">
        <x:v>不得以十神名称、数量或单一旺弱证据直接完成定性</x:v>
      </x:c>
      <x:c r="Y53" s="68" t="str">
        <x:v>特殊格局、从化候选及明确组合转M11/M14另审</x:v>
      </x:c>
      <x:c r="Z53" s="68" t="str">
        <x:v>不得直接推出吉凶、具体事件、亲属结果或最终喜忌</x:v>
      </x:c>
      <x:c r="AA53" s="84" t="str">
        <x:v>印化官杀接口</x:v>
      </x:c>
      <x:c r="AB53" s="84" t="str">
        <x:v>印星可承接官杀形成化杀生身路径：当“官杀生印、印再生日主的链路连续有效”成立时，按本规则记录十神的有效功能；同时保留制化、承载和反向证据。</x:v>
      </x:c>
      <x:c r="AC53" s="82" t="str">
        <x:v>较高</x:v>
      </x:c>
      <x:c r="AD53" s="82" t="str">
        <x:v>现代综合</x:v>
      </x:c>
      <x:c r="AE53" s="68" t="str">
        <x:v>十神必须分开判断存在性、力量、清纯度、功能性与喜忌性；M10只形成结构层结论和候选，不越级替代M11—M18。</x:v>
      </x:c>
      <x:c r="AF53" s="68" t="str">
        <x:v>相关条件真实成立，且增强条件有效时，可按“印星可承接官杀形成化杀生身路径”记录对应功能。</x:v>
      </x:c>
      <x:c r="AG53" s="90" t="str">
        <x:v>仅见表面十神名称或数量，但“不得以十神名称、数量或单一旺弱证据直接完成定性”所述限制存在时，不得套用本规则。</x:v>
      </x:c>
      <x:c r="AH53" s="68" t="str">
        <x:v>https://zh.wikisource.org/wiki/%E6%B8%8A%E6%B5%B7%E5%AD%90%E5%B9%B3%E5%A4%A7%E5%85%A8 ; https://zh.wikisource.org/wiki/%E6%BB%B4%E5%A4%A9%E9%AB%93%E9%97%A1%E5%BE%AE</x:v>
      </x:c>
      <x:c r="AI53" s="82" t="str">
        <x:v>采用</x:v>
      </x:c>
      <x:c r="AJ53" s="82" t="str">
        <x:v>初审</x:v>
      </x:c>
      <x:c r="AK53" s="87" t="n">
        <x:v>46255</x:v>
      </x:c>
    </x:row>
    <x:row r="54">
      <x:c r="A54" s="72" t="str">
        <x:f>IF(OR(C54="",D54=""),"",B54&amp;"-"&amp;UPPER(C54)&amp;"-"&amp;TEXT(D54,"0000")&amp;"-"&amp;E54)</x:f>
        <x:v>M10-YIN-0048-V1.0</x:v>
      </x:c>
      <x:c r="B54" s="74" t="str">
        <x:v>M10</x:v>
      </x:c>
      <x:c r="C54" s="74" t="str">
        <x:v>YIN</x:v>
      </x:c>
      <x:c r="D54" s="215" t="n">
        <x:v>48</x:v>
      </x:c>
      <x:c r="E54" s="74" t="str">
        <x:v>V1.0</x:v>
      </x:c>
      <x:c r="F54" s="68" t="str">
        <x:v>印星受财星强制时生身功能下降</x:v>
      </x:c>
      <x:c r="G54" s="82" t="str">
        <x:v>结构层</x:v>
      </x:c>
      <x:c r="H54" s="82" t="str">
        <x:v>偏印</x:v>
      </x:c>
      <x:c r="I54" s="82" t="str">
        <x:v>待定</x:v>
      </x:c>
      <x:c r="J54" s="82" t="str">
        <x:v>待定</x:v>
      </x:c>
      <x:c r="K54" s="82" t="str">
        <x:v>待定</x:v>
      </x:c>
      <x:c r="L54" s="82" t="str">
        <x:v>待定</x:v>
      </x:c>
      <x:c r="M54" s="68" t="str">
        <x:v>按M08核查</x:v>
      </x:c>
      <x:c r="N54" s="68" t="str">
        <x:v>受财星有效克制</x:v>
      </x:c>
      <x:c r="O54" s="82" t="str">
        <x:v>受限</x:v>
      </x:c>
      <x:c r="P54" s="68" t="str">
        <x:v>转M11/M14判断</x:v>
      </x:c>
      <x:c r="Q54" s="68" t="str">
        <x:v>生身和承接官杀能力下降</x:v>
      </x:c>
      <x:c r="R54" s="82" t="str">
        <x:v>待定</x:v>
      </x:c>
      <x:c r="S54" s="68" t="str">
        <x:v>财星对印星形成实质有效克制</x:v>
      </x:c>
      <x:c r="T54" s="68" t="str">
        <x:v>M02十神映射、M08五行有效旺衰、M09日主旺衰已完成</x:v>
      </x:c>
      <x:c r="U54" s="68" t="str">
        <x:v>相关十神已由M02正确映射，并以M08有效力量为准</x:v>
      </x:c>
      <x:c r="V54" s="68" t="str">
        <x:v>得令、有根、透干、同党或生源形成独立有效证据</x:v>
      </x:c>
      <x:c r="W54" s="68" t="str">
        <x:v>失令、无根、被合绊、被制、改性或作用路径受阻</x:v>
      </x:c>
      <x:c r="X54" s="90" t="str">
        <x:v>不得以十神名称、数量或单一旺弱证据直接完成定性</x:v>
      </x:c>
      <x:c r="Y54" s="68" t="str">
        <x:v>特殊格局、从化候选及明确组合转M11/M14另审</x:v>
      </x:c>
      <x:c r="Z54" s="68" t="str">
        <x:v>不得直接推出吉凶、具体事件、亲属结果或最终喜忌</x:v>
      </x:c>
      <x:c r="AA54" s="84" t="str">
        <x:v>财制印功能受限</x:v>
      </x:c>
      <x:c r="AB54" s="84" t="str">
        <x:v>印星受财星强制时生身功能下降：当“财星对印星形成实质有效克制”成立时，按本规则记录十神的有效功能；同时保留制化、承载和反向证据。</x:v>
      </x:c>
      <x:c r="AC54" s="82" t="str">
        <x:v>较高</x:v>
      </x:c>
      <x:c r="AD54" s="82" t="str">
        <x:v>现代综合</x:v>
      </x:c>
      <x:c r="AE54" s="68" t="str">
        <x:v>十神必须分开判断存在性、力量、清纯度、功能性与喜忌性；M10只形成结构层结论和候选，不越级替代M11—M18。</x:v>
      </x:c>
      <x:c r="AF54" s="68" t="str">
        <x:v>相关条件真实成立，且增强条件有效时，可按“印星受财星强制时生身功能下降”记录对应功能。</x:v>
      </x:c>
      <x:c r="AG54" s="90" t="str">
        <x:v>仅见表面十神名称或数量，但“不得以十神名称、数量或单一旺弱证据直接完成定性”所述限制存在时，不得套用本规则。</x:v>
      </x:c>
      <x:c r="AH54" s="68" t="str">
        <x:v>https://zh.wikisource.org/wiki/%E6%B8%8A%E6%B5%B7%E5%AD%90%E5%B9%B3%E5%A4%A7%E5%85%A8 ; https://zh.wikisource.org/wiki/%E6%BB%B4%E5%A4%A9%E9%AB%93%E9%97%A1%E5%BE%AE</x:v>
      </x:c>
      <x:c r="AI54" s="82" t="str">
        <x:v>采用</x:v>
      </x:c>
      <x:c r="AJ54" s="82" t="str">
        <x:v>初审</x:v>
      </x:c>
      <x:c r="AK54" s="87" t="n">
        <x:v>46255</x:v>
      </x:c>
    </x:row>
    <x:row r="55">
      <x:c r="A55" s="72" t="str">
        <x:f>IF(OR(C55="",D55=""),"",B55&amp;"-"&amp;UPPER(C55)&amp;"-"&amp;TEXT(D55,"0000")&amp;"-"&amp;E55)</x:f>
        <x:v>M10-YIN-0049-V1.0</x:v>
      </x:c>
      <x:c r="B55" s="74" t="str">
        <x:v>M10</x:v>
      </x:c>
      <x:c r="C55" s="74" t="str">
        <x:v>YIN</x:v>
      </x:c>
      <x:c r="D55" s="215" t="n">
        <x:v>49</x:v>
      </x:c>
      <x:c r="E55" s="74" t="str">
        <x:v>V1.0</x:v>
      </x:c>
      <x:c r="F55" s="68" t="str">
        <x:v>印多但无根无源不等于印星旺</x:v>
      </x:c>
      <x:c r="G55" s="82" t="str">
        <x:v>结构层</x:v>
      </x:c>
      <x:c r="H55" s="82" t="str">
        <x:v>正印</x:v>
      </x:c>
      <x:c r="I55" s="82" t="str">
        <x:v>多处出现</x:v>
      </x:c>
      <x:c r="J55" s="82" t="str">
        <x:v>待定</x:v>
      </x:c>
      <x:c r="K55" s="82" t="str">
        <x:v>中和偏弱</x:v>
      </x:c>
      <x:c r="L55" s="82" t="str">
        <x:v>待定</x:v>
      </x:c>
      <x:c r="M55" s="68" t="str">
        <x:v>按M08核查</x:v>
      </x:c>
      <x:c r="N55" s="68" t="str">
        <x:v>按M06/M08核查</x:v>
      </x:c>
      <x:c r="O55" s="82" t="str">
        <x:v>待定</x:v>
      </x:c>
      <x:c r="P55" s="68" t="str">
        <x:v>转M11/M14判断</x:v>
      </x:c>
      <x:c r="Q55" s="68" t="str">
        <x:v>需结合M09日主承载判断</x:v>
      </x:c>
      <x:c r="R55" s="82" t="str">
        <x:v>待定</x:v>
      </x:c>
      <x:c r="S55" s="68" t="str">
        <x:v>正印多处出现但主要为浮干或弱藏、缺乏有效根源</x:v>
      </x:c>
      <x:c r="T55" s="68" t="str">
        <x:v>M02十神映射、M08五行有效旺衰、M09日主旺衰已完成</x:v>
      </x:c>
      <x:c r="U55" s="68" t="str">
        <x:v>相关十神已由M02正确映射，并以M08有效力量为准</x:v>
      </x:c>
      <x:c r="V55" s="68" t="str">
        <x:v>得令、有根、透干、同党或生源形成独立有效证据</x:v>
      </x:c>
      <x:c r="W55" s="68" t="str">
        <x:v>失令、无根、被合绊、被制、改性或作用路径受阻</x:v>
      </x:c>
      <x:c r="X55" s="90" t="str">
        <x:v>不得以十神名称、数量或单一旺弱证据直接完成定性</x:v>
      </x:c>
      <x:c r="Y55" s="68" t="str">
        <x:v>特殊格局、从化候选及明确组合转M11/M14另审</x:v>
      </x:c>
      <x:c r="Z55" s="68" t="str">
        <x:v>不得用印星数量直接推出身旺</x:v>
      </x:c>
      <x:c r="AA55" s="84" t="str">
        <x:v>印多不等于旺</x:v>
      </x:c>
      <x:c r="AB55" s="84" t="str">
        <x:v>印多但无根无源不等于印星旺：当“正印多处出现但主要为浮干或弱藏、缺乏有效根源”成立时，按本规则记录十神的有效功能；同时保留制化、承载和反向证据。</x:v>
      </x:c>
      <x:c r="AC55" s="82" t="str">
        <x:v>较高</x:v>
      </x:c>
      <x:c r="AD55" s="82" t="str">
        <x:v>现代综合</x:v>
      </x:c>
      <x:c r="AE55" s="68" t="str">
        <x:v>十神必须分开判断存在性、力量、清纯度、功能性与喜忌性；M10只形成结构层结论和候选，不越级替代M11—M18。</x:v>
      </x:c>
      <x:c r="AF55" s="68" t="str">
        <x:v>相关条件真实成立，且增强条件有效时，可按“印多但无根无源不等于印星旺”记录对应功能。</x:v>
      </x:c>
      <x:c r="AG55" s="90" t="str">
        <x:v>仅见表面十神名称或数量，但“不得以十神名称、数量或单一旺弱证据直接完成定性”所述限制存在时，不得套用本规则。</x:v>
      </x:c>
      <x:c r="AH55" s="68" t="str">
        <x:v>https://zh.wikisource.org/wiki/%E6%B8%8A%E6%B5%B7%E5%AD%90%E5%B9%B3%E5%A4%A7%E5%85%A8 ; https://zh.wikisource.org/wiki/%E6%BB%B4%E5%A4%A9%E9%AB%93%E9%97%A1%E5%BE%AE</x:v>
      </x:c>
      <x:c r="AI55" s="82" t="str">
        <x:v>采用</x:v>
      </x:c>
      <x:c r="AJ55" s="82" t="str">
        <x:v>初审</x:v>
      </x:c>
      <x:c r="AK55" s="87" t="n">
        <x:v>46255</x:v>
      </x:c>
    </x:row>
    <x:row r="56">
      <x:c r="A56" s="72" t="str">
        <x:f>IF(OR(C56="",D56=""),"",B56&amp;"-"&amp;UPPER(C56)&amp;"-"&amp;TEXT(D56,"0000")&amp;"-"&amp;E56)</x:f>
        <x:v>M10-YIN-0050-V1.0</x:v>
      </x:c>
      <x:c r="B56" s="74" t="str">
        <x:v>M10</x:v>
      </x:c>
      <x:c r="C56" s="74" t="str">
        <x:v>YIN</x:v>
      </x:c>
      <x:c r="D56" s="215" t="n">
        <x:v>50</x:v>
      </x:c>
      <x:c r="E56" s="74" t="str">
        <x:v>V1.0</x:v>
      </x:c>
      <x:c r="F56" s="68" t="str">
        <x:v>印星过旺可能压制食伤并造成输出不足</x:v>
      </x:c>
      <x:c r="G56" s="82" t="str">
        <x:v>结构层</x:v>
      </x:c>
      <x:c r="H56" s="82" t="str">
        <x:v>偏印</x:v>
      </x:c>
      <x:c r="I56" s="82" t="str">
        <x:v>待定</x:v>
      </x:c>
      <x:c r="J56" s="82" t="str">
        <x:v>待定</x:v>
      </x:c>
      <x:c r="K56" s="82" t="str">
        <x:v>待定</x:v>
      </x:c>
      <x:c r="L56" s="82" t="str">
        <x:v>待定</x:v>
      </x:c>
      <x:c r="M56" s="68" t="str">
        <x:v>按M08核查</x:v>
      </x:c>
      <x:c r="N56" s="68" t="str">
        <x:v>按M06/M08核查</x:v>
      </x:c>
      <x:c r="O56" s="82" t="str">
        <x:v>过度</x:v>
      </x:c>
      <x:c r="P56" s="68" t="str">
        <x:v>转M11/M14判断</x:v>
      </x:c>
      <x:c r="Q56" s="68" t="str">
        <x:v>生身过度并压制输出通道</x:v>
      </x:c>
      <x:c r="R56" s="82" t="str">
        <x:v>条件性忌神</x:v>
      </x:c>
      <x:c r="S56" s="68" t="str">
        <x:v>偏印旺或极旺，食伤偏弱且受其实际克制</x:v>
      </x:c>
      <x:c r="T56" s="68" t="str">
        <x:v>M02十神映射、M08五行有效旺衰、M09日主旺衰已完成</x:v>
      </x:c>
      <x:c r="U56" s="68" t="str">
        <x:v>相关十神已由M02正确映射，并以M08有效力量为准</x:v>
      </x:c>
      <x:c r="V56" s="68" t="str">
        <x:v>得令、有根、透干、同党或生源形成独立有效证据</x:v>
      </x:c>
      <x:c r="W56" s="68" t="str">
        <x:v>失令、无根、被合绊、被制、改性或作用路径受阻</x:v>
      </x:c>
      <x:c r="X56" s="90" t="str">
        <x:v>不得以十神名称、数量或单一旺弱证据直接完成定性</x:v>
      </x:c>
      <x:c r="Y56" s="68" t="str">
        <x:v>特殊格局、从化候选及明确组合转M11/M14另审</x:v>
      </x:c>
      <x:c r="Z56" s="68" t="str">
        <x:v>不得直接推出吉凶、具体事件、亲属结果或最终喜忌</x:v>
      </x:c>
      <x:c r="AA56" s="84" t="str">
        <x:v>印旺制食过度</x:v>
      </x:c>
      <x:c r="AB56" s="84" t="str">
        <x:v>印星过旺可能压制食伤并造成输出不足：当“偏印旺或极旺，食伤偏弱且受其实际克制”成立时，按本规则记录十神的有效功能；同时保留制化、承载和反向证据。</x:v>
      </x:c>
      <x:c r="AC56" s="82" t="str">
        <x:v>较高</x:v>
      </x:c>
      <x:c r="AD56" s="82" t="str">
        <x:v>现代综合</x:v>
      </x:c>
      <x:c r="AE56" s="68" t="str">
        <x:v>十神必须分开判断存在性、力量、清纯度、功能性与喜忌性；M10只形成结构层结论和候选，不越级替代M11—M18。</x:v>
      </x:c>
      <x:c r="AF56" s="68" t="str">
        <x:v>相关条件真实成立，且增强条件有效时，可按“印星过旺可能压制食伤并造成输出不足”记录对应功能。</x:v>
      </x:c>
      <x:c r="AG56" s="90" t="str">
        <x:v>仅见表面十神名称或数量，但“不得以十神名称、数量或单一旺弱证据直接完成定性”所述限制存在时，不得套用本规则。</x:v>
      </x:c>
      <x:c r="AH56" s="68" t="str">
        <x:v>https://zh.wikisource.org/wiki/%E6%B8%8A%E6%B5%B7%E5%AD%90%E5%B9%B3%E5%A4%A7%E5%85%A8 ; https://zh.wikisource.org/wiki/%E6%BB%B4%E5%A4%A9%E9%AB%93%E9%97%A1%E5%BE%AE</x:v>
      </x:c>
      <x:c r="AI56" s="82" t="str">
        <x:v>采用</x:v>
      </x:c>
      <x:c r="AJ56" s="82" t="str">
        <x:v>初审</x:v>
      </x:c>
      <x:c r="AK56" s="87" t="n">
        <x:v>46255</x:v>
      </x:c>
    </x:row>
    <x:row r="57">
      <x:c r="A57" s="72" t="str">
        <x:f>IF(OR(C57="",D57=""),"",B57&amp;"-"&amp;UPPER(C57)&amp;"-"&amp;TEXT(D57,"0000")&amp;"-"&amp;E57)</x:f>
        <x:v>M10-YIN-0051-V1.0</x:v>
      </x:c>
      <x:c r="B57" s="74" t="str">
        <x:v>M10</x:v>
      </x:c>
      <x:c r="C57" s="74" t="str">
        <x:v>YIN</x:v>
      </x:c>
      <x:c r="D57" s="215" t="n">
        <x:v>51</x:v>
      </x:c>
      <x:c r="E57" s="74" t="str">
        <x:v>V1.0</x:v>
      </x:c>
      <x:c r="F57" s="68" t="str">
        <x:v>印星与比劫连续生扶时扶身效果增强</x:v>
      </x:c>
      <x:c r="G57" s="82" t="str">
        <x:v>结构层</x:v>
      </x:c>
      <x:c r="H57" s="82" t="str">
        <x:v>正印</x:v>
      </x:c>
      <x:c r="I57" s="82" t="str">
        <x:v>待定</x:v>
      </x:c>
      <x:c r="J57" s="82" t="str">
        <x:v>待定</x:v>
      </x:c>
      <x:c r="K57" s="82" t="str">
        <x:v>待定</x:v>
      </x:c>
      <x:c r="L57" s="82" t="str">
        <x:v>待定</x:v>
      </x:c>
      <x:c r="M57" s="68" t="str">
        <x:v>印比连续扶身</x:v>
      </x:c>
      <x:c r="N57" s="68" t="str">
        <x:v>按M06/M08核查</x:v>
      </x:c>
      <x:c r="O57" s="82" t="str">
        <x:v>待定</x:v>
      </x:c>
      <x:c r="P57" s="68" t="str">
        <x:v>转M11/M14判断</x:v>
      </x:c>
      <x:c r="Q57" s="68" t="str">
        <x:v>提高扶身侧净优势</x:v>
      </x:c>
      <x:c r="R57" s="82" t="str">
        <x:v>待定</x:v>
      </x:c>
      <x:c r="S57" s="68" t="str">
        <x:v>有效印星生日主且比劫继续提供同类承载</x:v>
      </x:c>
      <x:c r="T57" s="68" t="str">
        <x:v>M02十神映射、M08五行有效旺衰、M09日主旺衰已完成</x:v>
      </x:c>
      <x:c r="U57" s="68" t="str">
        <x:v>相关十神已由M02正确映射，并以M08有效力量为准</x:v>
      </x:c>
      <x:c r="V57" s="68" t="str">
        <x:v>得令、有根、透干、同党或生源形成独立有效证据</x:v>
      </x:c>
      <x:c r="W57" s="68" t="str">
        <x:v>失令、无根、被合绊、被制、改性或作用路径受阻</x:v>
      </x:c>
      <x:c r="X57" s="90" t="str">
        <x:v>不得以十神名称、数量或单一旺弱证据直接完成定性</x:v>
      </x:c>
      <x:c r="Y57" s="68" t="str">
        <x:v>特殊格局、从化候选及明确组合转M11/M14另审</x:v>
      </x:c>
      <x:c r="Z57" s="68" t="str">
        <x:v>不得直接推出吉凶、具体事件、亲属结果或最终喜忌</x:v>
      </x:c>
      <x:c r="AA57" s="84" t="str">
        <x:v>印比协同扶身</x:v>
      </x:c>
      <x:c r="AB57" s="84" t="str">
        <x:v>印星与比劫连续生扶时扶身效果增强：当“有效印星生日主且比劫继续提供同类承载”成立时，按本规则记录十神的有效功能；同时保留制化、承载和反向证据。</x:v>
      </x:c>
      <x:c r="AC57" s="82" t="str">
        <x:v>较高</x:v>
      </x:c>
      <x:c r="AD57" s="82" t="str">
        <x:v>现代综合</x:v>
      </x:c>
      <x:c r="AE57" s="68" t="str">
        <x:v>十神必须分开判断存在性、力量、清纯度、功能性与喜忌性；M10只形成结构层结论和候选，不越级替代M11—M18。</x:v>
      </x:c>
      <x:c r="AF57" s="68" t="str">
        <x:v>相关条件真实成立，且增强条件有效时，可按“印星与比劫连续生扶时扶身效果增强”记录对应功能。</x:v>
      </x:c>
      <x:c r="AG57" s="90" t="str">
        <x:v>仅见表面十神名称或数量，但“不得以十神名称、数量或单一旺弱证据直接完成定性”所述限制存在时，不得套用本规则。</x:v>
      </x:c>
      <x:c r="AH57" s="68" t="str">
        <x:v>https://zh.wikisource.org/wiki/%E6%B8%8A%E6%B5%B7%E5%AD%90%E5%B9%B3%E5%A4%A7%E5%85%A8 ; https://zh.wikisource.org/wiki/%E6%BB%B4%E5%A4%A9%E9%AB%93%E9%97%A1%E5%BE%AE</x:v>
      </x:c>
      <x:c r="AI57" s="82" t="str">
        <x:v>采用</x:v>
      </x:c>
      <x:c r="AJ57" s="82" t="str">
        <x:v>初审</x:v>
      </x:c>
      <x:c r="AK57" s="87" t="n">
        <x:v>46255</x:v>
      </x:c>
    </x:row>
    <x:row r="58">
      <x:c r="A58" s="72" t="str">
        <x:f>IF(OR(C58="",D58=""),"",B58&amp;"-"&amp;UPPER(C58)&amp;"-"&amp;TEXT(D58,"0000")&amp;"-"&amp;E58)</x:f>
        <x:v>M10-YIN-0052-V1.0</x:v>
      </x:c>
      <x:c r="B58" s="74" t="str">
        <x:v>M10</x:v>
      </x:c>
      <x:c r="C58" s="74" t="str">
        <x:v>YIN</x:v>
      </x:c>
      <x:c r="D58" s="215" t="n">
        <x:v>52</x:v>
      </x:c>
      <x:c r="E58" s="74" t="str">
        <x:v>V1.0</x:v>
      </x:c>
      <x:c r="F58" s="68" t="str">
        <x:v>偏印是否为忌须同时判断食神价值与日主需要</x:v>
      </x:c>
      <x:c r="G58" s="82" t="str">
        <x:v>结构层</x:v>
      </x:c>
      <x:c r="H58" s="82" t="str">
        <x:v>偏印</x:v>
      </x:c>
      <x:c r="I58" s="82" t="str">
        <x:v>待定</x:v>
      </x:c>
      <x:c r="J58" s="82" t="str">
        <x:v>待定</x:v>
      </x:c>
      <x:c r="K58" s="82" t="str">
        <x:v>待定</x:v>
      </x:c>
      <x:c r="L58" s="82" t="str">
        <x:v>待定</x:v>
      </x:c>
      <x:c r="M58" s="68" t="str">
        <x:v>按M08核查</x:v>
      </x:c>
      <x:c r="N58" s="68" t="str">
        <x:v>按M06/M08核查</x:v>
      </x:c>
      <x:c r="O58" s="82" t="str">
        <x:v>待定</x:v>
      </x:c>
      <x:c r="P58" s="68" t="str">
        <x:v>转M11/M14判断</x:v>
      </x:c>
      <x:c r="Q58" s="68" t="str">
        <x:v>需结合M09日主承载判断</x:v>
      </x:c>
      <x:c r="R58" s="82" t="str">
        <x:v>待定</x:v>
      </x:c>
      <x:c r="S58" s="68" t="str">
        <x:v>偏印与食神同现，需要判断日主是否需要印、食神是否承担关键功能</x:v>
      </x:c>
      <x:c r="T58" s="68" t="str">
        <x:v>M02十神映射、M08五行有效旺衰、M09日主旺衰已完成</x:v>
      </x:c>
      <x:c r="U58" s="68" t="str">
        <x:v>相关十神已由M02正确映射，并以M08有效力量为准</x:v>
      </x:c>
      <x:c r="V58" s="68" t="str">
        <x:v>得令、有根、透干、同党或生源形成独立有效证据</x:v>
      </x:c>
      <x:c r="W58" s="68" t="str">
        <x:v>失令、无根、被合绊、被制、改性或作用路径受阻</x:v>
      </x:c>
      <x:c r="X58" s="90" t="str">
        <x:v>不得以十神名称、数量或单一旺弱证据直接完成定性</x:v>
      </x:c>
      <x:c r="Y58" s="68" t="str">
        <x:v>特殊格局、从化候选及明确组合转M11/M14另审</x:v>
      </x:c>
      <x:c r="Z58" s="68" t="str">
        <x:v>不得见偏印就直接定枭神夺食或凶</x:v>
      </x:c>
      <x:c r="AA58" s="84" t="str">
        <x:v>偏印价值条件化</x:v>
      </x:c>
      <x:c r="AB58" s="84" t="str">
        <x:v>偏印是否为忌须同时判断食神价值与日主需要：当“偏印与食神同现，需要判断日主是否需要印、食神是否承担关键功能”成立时，按本规则记录十神的有效功能；同时保留制化、承载和反向证据。</x:v>
      </x:c>
      <x:c r="AC58" s="82" t="str">
        <x:v>较高</x:v>
      </x:c>
      <x:c r="AD58" s="82" t="str">
        <x:v>现代综合</x:v>
      </x:c>
      <x:c r="AE58" s="68" t="str">
        <x:v>十神必须分开判断存在性、力量、清纯度、功能性与喜忌性；M10只形成结构层结论和候选，不越级替代M11—M18。</x:v>
      </x:c>
      <x:c r="AF58" s="68" t="str">
        <x:v>相关条件真实成立，且增强条件有效时，可按“偏印是否为忌须同时判断食神价值与日主需要”记录对应功能。</x:v>
      </x:c>
      <x:c r="AG58" s="90" t="str">
        <x:v>仅见表面十神名称或数量，但“不得以十神名称、数量或单一旺弱证据直接完成定性”所述限制存在时，不得套用本规则。</x:v>
      </x:c>
      <x:c r="AH58" s="68" t="str">
        <x:v>https://zh.wikisource.org/wiki/%E6%B8%8A%E6%B5%B7%E5%AD%90%E5%B9%B3%E5%A4%A7%E5%85%A8 ; https://zh.wikisource.org/wiki/%E6%BB%B4%E5%A4%A9%E9%AB%93%E9%97%A1%E5%BE%AE</x:v>
      </x:c>
      <x:c r="AI58" s="82" t="str">
        <x:v>采用</x:v>
      </x:c>
      <x:c r="AJ58" s="82" t="str">
        <x:v>初审</x:v>
      </x:c>
      <x:c r="AK58" s="87" t="n">
        <x:v>46255</x:v>
      </x:c>
    </x:row>
    <x:row r="59">
      <x:c r="A59" s="72" t="str">
        <x:f>IF(OR(C59="",D59=""),"",B59&amp;"-"&amp;UPPER(C59)&amp;"-"&amp;TEXT(D59,"0000")&amp;"-"&amp;E59)</x:f>
        <x:v>M10-SHISHANG-0053-V1.0</x:v>
      </x:c>
      <x:c r="B59" s="74" t="str">
        <x:v>M10</x:v>
      </x:c>
      <x:c r="C59" s="74" t="str">
        <x:v>SHISHANG</x:v>
      </x:c>
      <x:c r="D59" s="215" t="n">
        <x:v>53</x:v>
      </x:c>
      <x:c r="E59" s="74" t="str">
        <x:v>V1.0</x:v>
      </x:c>
      <x:c r="F59" s="68" t="str">
        <x:v>有效食神首先承担泄身输出功能</x:v>
      </x:c>
      <x:c r="G59" s="82" t="str">
        <x:v>结构层</x:v>
      </x:c>
      <x:c r="H59" s="82" t="str">
        <x:v>食神</x:v>
      </x:c>
      <x:c r="I59" s="82" t="str">
        <x:v>待定</x:v>
      </x:c>
      <x:c r="J59" s="82" t="str">
        <x:v>待定</x:v>
      </x:c>
      <x:c r="K59" s="82" t="str">
        <x:v>待定</x:v>
      </x:c>
      <x:c r="L59" s="82" t="str">
        <x:v>待定</x:v>
      </x:c>
      <x:c r="M59" s="68" t="str">
        <x:v>按M08核查</x:v>
      </x:c>
      <x:c r="N59" s="68" t="str">
        <x:v>按M06/M08核查</x:v>
      </x:c>
      <x:c r="O59" s="82" t="str">
        <x:v>正常发挥</x:v>
      </x:c>
      <x:c r="P59" s="68" t="str">
        <x:v>转M11/M14判断</x:v>
      </x:c>
      <x:c r="Q59" s="68" t="str">
        <x:v>泄日主之气并形成输出通道</x:v>
      </x:c>
      <x:c r="R59" s="82" t="str">
        <x:v>待定</x:v>
      </x:c>
      <x:c r="S59" s="68" t="str">
        <x:v>食神有效存在且日主有力量可泄</x:v>
      </x:c>
      <x:c r="T59" s="68" t="str">
        <x:v>M02十神映射、M08五行有效旺衰、M09日主旺衰已完成</x:v>
      </x:c>
      <x:c r="U59" s="68" t="str">
        <x:v>相关十神已由M02正确映射，并以M08有效力量为准</x:v>
      </x:c>
      <x:c r="V59" s="68" t="str">
        <x:v>得令、有根、透干、同党或生源形成独立有效证据</x:v>
      </x:c>
      <x:c r="W59" s="68" t="str">
        <x:v>失令、无根、被合绊、被制、改性或作用路径受阻</x:v>
      </x:c>
      <x:c r="X59" s="90" t="str">
        <x:v>不得以十神名称、数量或单一旺弱证据直接完成定性</x:v>
      </x:c>
      <x:c r="Y59" s="68" t="str">
        <x:v>特殊格局、从化候选及明确组合转M11/M14另审</x:v>
      </x:c>
      <x:c r="Z59" s="68" t="str">
        <x:v>不得直接推出吉凶、具体事件、亲属结果或最终喜忌</x:v>
      </x:c>
      <x:c r="AA59" s="84" t="str">
        <x:v>食神泄身</x:v>
      </x:c>
      <x:c r="AB59" s="84" t="str">
        <x:v>有效食神首先承担泄身输出功能：当“食神有效存在且日主有力量可泄”成立时，按本规则记录十神的有效功能；同时保留制化、承载和反向证据。</x:v>
      </x:c>
      <x:c r="AC59" s="82" t="str">
        <x:v>较高</x:v>
      </x:c>
      <x:c r="AD59" s="82" t="str">
        <x:v>现代综合</x:v>
      </x:c>
      <x:c r="AE59" s="68" t="str">
        <x:v>十神必须分开判断存在性、力量、清纯度、功能性与喜忌性；M10只形成结构层结论和候选，不越级替代M11—M18。</x:v>
      </x:c>
      <x:c r="AF59" s="68" t="str">
        <x:v>相关条件真实成立，且增强条件有效时，可按“有效食神首先承担泄身输出功能”记录对应功能。</x:v>
      </x:c>
      <x:c r="AG59" s="90" t="str">
        <x:v>仅见表面十神名称或数量，但“不得以十神名称、数量或单一旺弱证据直接完成定性”所述限制存在时，不得套用本规则。</x:v>
      </x:c>
      <x:c r="AH59" s="68" t="str">
        <x:v>https://zh.wikisource.org/wiki/%E6%B8%8A%E6%B5%B7%E5%AD%90%E5%B9%B3%E5%A4%A7%E5%85%A8 ; https://zh.wikisource.org/wiki/%E6%BB%B4%E5%A4%A9%E9%AB%93%E9%97%A1%E5%BE%AE</x:v>
      </x:c>
      <x:c r="AI59" s="82" t="str">
        <x:v>采用</x:v>
      </x:c>
      <x:c r="AJ59" s="82" t="str">
        <x:v>初审</x:v>
      </x:c>
      <x:c r="AK59" s="87" t="n">
        <x:v>46255</x:v>
      </x:c>
    </x:row>
    <x:row r="60">
      <x:c r="A60" s="72" t="str">
        <x:f>IF(OR(C60="",D60=""),"",B60&amp;"-"&amp;UPPER(C60)&amp;"-"&amp;TEXT(D60,"0000")&amp;"-"&amp;E60)</x:f>
        <x:v>M10-SHISHANG-0054-V1.0</x:v>
      </x:c>
      <x:c r="B60" s="74" t="str">
        <x:v>M10</x:v>
      </x:c>
      <x:c r="C60" s="74" t="str">
        <x:v>SHISHANG</x:v>
      </x:c>
      <x:c r="D60" s="215" t="n">
        <x:v>54</x:v>
      </x:c>
      <x:c r="E60" s="74" t="str">
        <x:v>V1.0</x:v>
      </x:c>
      <x:c r="F60" s="68" t="str">
        <x:v>有效伤官同样承担泄身且具有克官接口</x:v>
      </x:c>
      <x:c r="G60" s="82" t="str">
        <x:v>结构层</x:v>
      </x:c>
      <x:c r="H60" s="82" t="str">
        <x:v>伤官</x:v>
      </x:c>
      <x:c r="I60" s="82" t="str">
        <x:v>待定</x:v>
      </x:c>
      <x:c r="J60" s="82" t="str">
        <x:v>待定</x:v>
      </x:c>
      <x:c r="K60" s="82" t="str">
        <x:v>待定</x:v>
      </x:c>
      <x:c r="L60" s="82" t="str">
        <x:v>待定</x:v>
      </x:c>
      <x:c r="M60" s="68" t="str">
        <x:v>按M08核查</x:v>
      </x:c>
      <x:c r="N60" s="68" t="str">
        <x:v>按M06/M08核查</x:v>
      </x:c>
      <x:c r="O60" s="82" t="str">
        <x:v>正常发挥</x:v>
      </x:c>
      <x:c r="P60" s="68" t="str">
        <x:v>转M11/M14判断</x:v>
      </x:c>
      <x:c r="Q60" s="68" t="str">
        <x:v>泄身，并可能对正官形成克制</x:v>
      </x:c>
      <x:c r="R60" s="82" t="str">
        <x:v>待定</x:v>
      </x:c>
      <x:c r="S60" s="68" t="str">
        <x:v>伤官有效存在</x:v>
      </x:c>
      <x:c r="T60" s="68" t="str">
        <x:v>M02十神映射、M08五行有效旺衰、M09日主旺衰已完成</x:v>
      </x:c>
      <x:c r="U60" s="68" t="str">
        <x:v>相关十神已由M02正确映射，并以M08有效力量为准</x:v>
      </x:c>
      <x:c r="V60" s="68" t="str">
        <x:v>得令、有根、透干、同党或生源形成独立有效证据</x:v>
      </x:c>
      <x:c r="W60" s="68" t="str">
        <x:v>失令、无根、被合绊、被制、改性或作用路径受阻</x:v>
      </x:c>
      <x:c r="X60" s="90" t="str">
        <x:v>不得以十神名称、数量或单一旺弱证据直接完成定性</x:v>
      </x:c>
      <x:c r="Y60" s="68" t="str">
        <x:v>特殊格局、从化候选及明确组合转M11/M14另审</x:v>
      </x:c>
      <x:c r="Z60" s="68" t="str">
        <x:v>不得直接推出吉凶、具体事件、亲属结果或最终喜忌</x:v>
      </x:c>
      <x:c r="AA60" s="84" t="str">
        <x:v>伤官双向功能</x:v>
      </x:c>
      <x:c r="AB60" s="84" t="str">
        <x:v>有效伤官同样承担泄身且具有克官接口：当“伤官有效存在”成立时，按本规则记录十神的有效功能；同时保留制化、承载和反向证据。</x:v>
      </x:c>
      <x:c r="AC60" s="82" t="str">
        <x:v>较高</x:v>
      </x:c>
      <x:c r="AD60" s="82" t="str">
        <x:v>现代综合</x:v>
      </x:c>
      <x:c r="AE60" s="68" t="str">
        <x:v>十神必须分开判断存在性、力量、清纯度、功能性与喜忌性；M10只形成结构层结论和候选，不越级替代M11—M18。</x:v>
      </x:c>
      <x:c r="AF60" s="68" t="str">
        <x:v>相关条件真实成立，且增强条件有效时，可按“有效伤官同样承担泄身且具有克官接口”记录对应功能。</x:v>
      </x:c>
      <x:c r="AG60" s="90" t="str">
        <x:v>仅见表面十神名称或数量，但“不得以十神名称、数量或单一旺弱证据直接完成定性”所述限制存在时，不得套用本规则。</x:v>
      </x:c>
      <x:c r="AH60" s="68" t="str">
        <x:v>https://zh.wikisource.org/wiki/%E6%B8%8A%E6%B5%B7%E5%AD%90%E5%B9%B3%E5%A4%A7%E5%85%A8 ; https://zh.wikisource.org/wiki/%E6%BB%B4%E5%A4%A9%E9%AB%93%E9%97%A1%E5%BE%AE</x:v>
      </x:c>
      <x:c r="AI60" s="82" t="str">
        <x:v>采用</x:v>
      </x:c>
      <x:c r="AJ60" s="82" t="str">
        <x:v>初审</x:v>
      </x:c>
      <x:c r="AK60" s="87" t="n">
        <x:v>46255</x:v>
      </x:c>
    </x:row>
    <x:row r="61">
      <x:c r="A61" s="72" t="str">
        <x:f>IF(OR(C61="",D61=""),"",B61&amp;"-"&amp;UPPER(C61)&amp;"-"&amp;TEXT(D61,"0000")&amp;"-"&amp;E61)</x:f>
        <x:v>M10-SHISHANG-0055-V1.0</x:v>
      </x:c>
      <x:c r="B61" s="74" t="str">
        <x:v>M10</x:v>
      </x:c>
      <x:c r="C61" s="74" t="str">
        <x:v>SHISHANG</x:v>
      </x:c>
      <x:c r="D61" s="215" t="n">
        <x:v>55</x:v>
      </x:c>
      <x:c r="E61" s="74" t="str">
        <x:v>V1.0</x:v>
      </x:c>
      <x:c r="F61" s="68" t="str">
        <x:v>食神可生财形成连续输出链</x:v>
      </x:c>
      <x:c r="G61" s="82" t="str">
        <x:v>结构层</x:v>
      </x:c>
      <x:c r="H61" s="82" t="str">
        <x:v>食神</x:v>
      </x:c>
      <x:c r="I61" s="82" t="str">
        <x:v>待定</x:v>
      </x:c>
      <x:c r="J61" s="82" t="str">
        <x:v>待定</x:v>
      </x:c>
      <x:c r="K61" s="82" t="str">
        <x:v>待定</x:v>
      </x:c>
      <x:c r="L61" s="82" t="str">
        <x:v>待定</x:v>
      </x:c>
      <x:c r="M61" s="68" t="str">
        <x:v>日主为食神源头，财星为其输出终点</x:v>
      </x:c>
      <x:c r="N61" s="68" t="str">
        <x:v>按M06/M08核查</x:v>
      </x:c>
      <x:c r="O61" s="82" t="str">
        <x:v>待定</x:v>
      </x:c>
      <x:c r="P61" s="68" t="str">
        <x:v>食神生财候选转M11</x:v>
      </x:c>
      <x:c r="Q61" s="68" t="str">
        <x:v>需结合M09日主承载判断</x:v>
      </x:c>
      <x:c r="R61" s="82" t="str">
        <x:v>待定</x:v>
      </x:c>
      <x:c r="S61" s="68" t="str">
        <x:v>食神有效且财星能够承接其生扶</x:v>
      </x:c>
      <x:c r="T61" s="68" t="str">
        <x:v>M02十神映射、M08五行有效旺衰、M09日主旺衰已完成</x:v>
      </x:c>
      <x:c r="U61" s="68" t="str">
        <x:v>相关十神已由M02正确映射，并以M08有效力量为准</x:v>
      </x:c>
      <x:c r="V61" s="68" t="str">
        <x:v>得令、有根、透干、同党或生源形成独立有效证据</x:v>
      </x:c>
      <x:c r="W61" s="68" t="str">
        <x:v>失令、无根、被合绊、被制、改性或作用路径受阻</x:v>
      </x:c>
      <x:c r="X61" s="90" t="str">
        <x:v>不得以十神名称、数量或单一旺弱证据直接完成定性</x:v>
      </x:c>
      <x:c r="Y61" s="68" t="str">
        <x:v>特殊格局、从化候选及明确组合转M11/M14另审</x:v>
      </x:c>
      <x:c r="Z61" s="68" t="str">
        <x:v>不得直接推出吉凶、具体事件、亲属结果或最终喜忌</x:v>
      </x:c>
      <x:c r="AA61" s="84" t="str">
        <x:v>食神生财接口</x:v>
      </x:c>
      <x:c r="AB61" s="84" t="str">
        <x:v>食神可生财形成连续输出链：当“食神有效且财星能够承接其生扶”成立时，按本规则记录十神的有效功能；同时保留制化、承载和反向证据。</x:v>
      </x:c>
      <x:c r="AC61" s="82" t="str">
        <x:v>较高</x:v>
      </x:c>
      <x:c r="AD61" s="82" t="str">
        <x:v>现代综合</x:v>
      </x:c>
      <x:c r="AE61" s="68" t="str">
        <x:v>十神必须分开判断存在性、力量、清纯度、功能性与喜忌性；M10只形成结构层结论和候选，不越级替代M11—M18。</x:v>
      </x:c>
      <x:c r="AF61" s="68" t="str">
        <x:v>相关条件真实成立，且增强条件有效时，可按“食神可生财形成连续输出链”记录对应功能。</x:v>
      </x:c>
      <x:c r="AG61" s="90" t="str">
        <x:v>仅见表面十神名称或数量，但“不得以十神名称、数量或单一旺弱证据直接完成定性”所述限制存在时，不得套用本规则。</x:v>
      </x:c>
      <x:c r="AH61" s="68" t="str">
        <x:v>https://zh.wikisource.org/wiki/%E6%B8%8A%E6%B5%B7%E5%AD%90%E5%B9%B3%E5%A4%A7%E5%85%A8 ; https://zh.wikisource.org/wiki/%E6%BB%B4%E5%A4%A9%E9%AB%93%E9%97%A1%E5%BE%AE</x:v>
      </x:c>
      <x:c r="AI61" s="82" t="str">
        <x:v>采用</x:v>
      </x:c>
      <x:c r="AJ61" s="82" t="str">
        <x:v>初审</x:v>
      </x:c>
      <x:c r="AK61" s="87" t="n">
        <x:v>46255</x:v>
      </x:c>
    </x:row>
    <x:row r="62">
      <x:c r="A62" s="72" t="str">
        <x:f>IF(OR(C62="",D62=""),"",B62&amp;"-"&amp;UPPER(C62)&amp;"-"&amp;TEXT(D62,"0000")&amp;"-"&amp;E62)</x:f>
        <x:v>M10-SHISHANG-0056-V1.0</x:v>
      </x:c>
      <x:c r="B62" s="74" t="str">
        <x:v>M10</x:v>
      </x:c>
      <x:c r="C62" s="74" t="str">
        <x:v>SHISHANG</x:v>
      </x:c>
      <x:c r="D62" s="215" t="n">
        <x:v>56</x:v>
      </x:c>
      <x:c r="E62" s="74" t="str">
        <x:v>V1.0</x:v>
      </x:c>
      <x:c r="F62" s="68" t="str">
        <x:v>伤官生财须财星有效承接才成立</x:v>
      </x:c>
      <x:c r="G62" s="82" t="str">
        <x:v>结构层</x:v>
      </x:c>
      <x:c r="H62" s="82" t="str">
        <x:v>伤官</x:v>
      </x:c>
      <x:c r="I62" s="82" t="str">
        <x:v>待定</x:v>
      </x:c>
      <x:c r="J62" s="82" t="str">
        <x:v>待定</x:v>
      </x:c>
      <x:c r="K62" s="82" t="str">
        <x:v>待定</x:v>
      </x:c>
      <x:c r="L62" s="82" t="str">
        <x:v>待定</x:v>
      </x:c>
      <x:c r="M62" s="68" t="str">
        <x:v>按M08核查</x:v>
      </x:c>
      <x:c r="N62" s="68" t="str">
        <x:v>按M06/M08核查</x:v>
      </x:c>
      <x:c r="O62" s="82" t="str">
        <x:v>待定</x:v>
      </x:c>
      <x:c r="P62" s="68" t="str">
        <x:v>伤官生财候选转M11</x:v>
      </x:c>
      <x:c r="Q62" s="68" t="str">
        <x:v>需结合M09日主承载判断</x:v>
      </x:c>
      <x:c r="R62" s="82" t="str">
        <x:v>待定</x:v>
      </x:c>
      <x:c r="S62" s="68" t="str">
        <x:v>伤官有效，财星存在且生扶通路连续</x:v>
      </x:c>
      <x:c r="T62" s="68" t="str">
        <x:v>M02十神映射、M08五行有效旺衰、M09日主旺衰已完成</x:v>
      </x:c>
      <x:c r="U62" s="68" t="str">
        <x:v>相关十神已由M02正确映射，并以M08有效力量为准</x:v>
      </x:c>
      <x:c r="V62" s="68" t="str">
        <x:v>得令、有根、透干、同党或生源形成独立有效证据</x:v>
      </x:c>
      <x:c r="W62" s="68" t="str">
        <x:v>失令、无根、被合绊、被制、改性或作用路径受阻</x:v>
      </x:c>
      <x:c r="X62" s="90" t="str">
        <x:v>不得以十神名称、数量或单一旺弱证据直接完成定性</x:v>
      </x:c>
      <x:c r="Y62" s="68" t="str">
        <x:v>特殊格局、从化候选及明确组合转M11/M14另审</x:v>
      </x:c>
      <x:c r="Z62" s="68" t="str">
        <x:v>不得直接推出吉凶、具体事件、亲属结果或最终喜忌</x:v>
      </x:c>
      <x:c r="AA62" s="84" t="str">
        <x:v>伤官生财接口</x:v>
      </x:c>
      <x:c r="AB62" s="84" t="str">
        <x:v>伤官生财须财星有效承接才成立：当“伤官有效，财星存在且生扶通路连续”成立时，按本规则记录十神的有效功能；同时保留制化、承载和反向证据。</x:v>
      </x:c>
      <x:c r="AC62" s="82" t="str">
        <x:v>较高</x:v>
      </x:c>
      <x:c r="AD62" s="82" t="str">
        <x:v>现代综合</x:v>
      </x:c>
      <x:c r="AE62" s="68" t="str">
        <x:v>十神必须分开判断存在性、力量、清纯度、功能性与喜忌性；M10只形成结构层结论和候选，不越级替代M11—M18。</x:v>
      </x:c>
      <x:c r="AF62" s="68" t="str">
        <x:v>相关条件真实成立，且增强条件有效时，可按“伤官生财须财星有效承接才成立”记录对应功能。</x:v>
      </x:c>
      <x:c r="AG62" s="90" t="str">
        <x:v>仅见表面十神名称或数量，但“不得以十神名称、数量或单一旺弱证据直接完成定性”所述限制存在时，不得套用本规则。</x:v>
      </x:c>
      <x:c r="AH62" s="68" t="str">
        <x:v>https://zh.wikisource.org/wiki/%E6%B8%8A%E6%B5%B7%E5%AD%90%E5%B9%B3%E5%A4%A7%E5%85%A8 ; https://zh.wikisource.org/wiki/%E6%BB%B4%E5%A4%A9%E9%AB%93%E9%97%A1%E5%BE%AE</x:v>
      </x:c>
      <x:c r="AI62" s="82" t="str">
        <x:v>采用</x:v>
      </x:c>
      <x:c r="AJ62" s="82" t="str">
        <x:v>初审</x:v>
      </x:c>
      <x:c r="AK62" s="87" t="n">
        <x:v>46255</x:v>
      </x:c>
    </x:row>
    <x:row r="63">
      <x:c r="A63" s="72" t="str">
        <x:f>IF(OR(C63="",D63=""),"",B63&amp;"-"&amp;UPPER(C63)&amp;"-"&amp;TEXT(D63,"0000")&amp;"-"&amp;E63)</x:f>
        <x:v>M10-SHISHANG-0057-V1.0</x:v>
      </x:c>
      <x:c r="B63" s="74" t="str">
        <x:v>M10</x:v>
      </x:c>
      <x:c r="C63" s="74" t="str">
        <x:v>SHISHANG</x:v>
      </x:c>
      <x:c r="D63" s="215" t="n">
        <x:v>57</x:v>
      </x:c>
      <x:c r="E63" s="74" t="str">
        <x:v>V1.0</x:v>
      </x:c>
      <x:c r="F63" s="68" t="str">
        <x:v>食神制杀须双方均有效且形成直接制约</x:v>
      </x:c>
      <x:c r="G63" s="82" t="str">
        <x:v>结构层</x:v>
      </x:c>
      <x:c r="H63" s="82" t="str">
        <x:v>食神</x:v>
      </x:c>
      <x:c r="I63" s="82" t="str">
        <x:v>待定</x:v>
      </x:c>
      <x:c r="J63" s="82" t="str">
        <x:v>待定</x:v>
      </x:c>
      <x:c r="K63" s="82" t="str">
        <x:v>待定</x:v>
      </x:c>
      <x:c r="L63" s="82" t="str">
        <x:v>待定</x:v>
      </x:c>
      <x:c r="M63" s="68" t="str">
        <x:v>按M08核查</x:v>
      </x:c>
      <x:c r="N63" s="68" t="str">
        <x:v>对七杀形成有效克制</x:v>
      </x:c>
      <x:c r="O63" s="82" t="str">
        <x:v>待定</x:v>
      </x:c>
      <x:c r="P63" s="68" t="str">
        <x:v>食神制杀候选转M11</x:v>
      </x:c>
      <x:c r="Q63" s="68" t="str">
        <x:v>需结合M09日主承载判断</x:v>
      </x:c>
      <x:c r="R63" s="82" t="str">
        <x:v>待定</x:v>
      </x:c>
      <x:c r="S63" s="68" t="str">
        <x:v>食神与七杀均有效，克制路径真实成立</x:v>
      </x:c>
      <x:c r="T63" s="68" t="str">
        <x:v>M02十神映射、M08五行有效旺衰、M09日主旺衰已完成</x:v>
      </x:c>
      <x:c r="U63" s="68" t="str">
        <x:v>相关十神已由M02正确映射，并以M08有效力量为准</x:v>
      </x:c>
      <x:c r="V63" s="68" t="str">
        <x:v>得令、有根、透干、同党或生源形成独立有效证据</x:v>
      </x:c>
      <x:c r="W63" s="68" t="str">
        <x:v>失令、无根、被合绊、被制、改性或作用路径受阻</x:v>
      </x:c>
      <x:c r="X63" s="90" t="str">
        <x:v>不得以十神名称、数量或单一旺弱证据直接完成定性</x:v>
      </x:c>
      <x:c r="Y63" s="68" t="str">
        <x:v>特殊格局、从化候选及明确组合转M11/M14另审</x:v>
      </x:c>
      <x:c r="Z63" s="68" t="str">
        <x:v>不得直接推出吉凶、具体事件、亲属结果或最终喜忌</x:v>
      </x:c>
      <x:c r="AA63" s="84" t="str">
        <x:v>食神制杀接口</x:v>
      </x:c>
      <x:c r="AB63" s="84" t="str">
        <x:v>食神制杀须双方均有效且形成直接制约：当“食神与七杀均有效，克制路径真实成立”成立时，按本规则记录十神的有效功能；同时保留制化、承载和反向证据。</x:v>
      </x:c>
      <x:c r="AC63" s="82" t="str">
        <x:v>较高</x:v>
      </x:c>
      <x:c r="AD63" s="82" t="str">
        <x:v>现代综合</x:v>
      </x:c>
      <x:c r="AE63" s="68" t="str">
        <x:v>十神必须分开判断存在性、力量、清纯度、功能性与喜忌性；M10只形成结构层结论和候选，不越级替代M11—M18。</x:v>
      </x:c>
      <x:c r="AF63" s="68" t="str">
        <x:v>相关条件真实成立，且增强条件有效时，可按“食神制杀须双方均有效且形成直接制约”记录对应功能。</x:v>
      </x:c>
      <x:c r="AG63" s="90" t="str">
        <x:v>仅见表面十神名称或数量，但“不得以十神名称、数量或单一旺弱证据直接完成定性”所述限制存在时，不得套用本规则。</x:v>
      </x:c>
      <x:c r="AH63" s="68" t="str">
        <x:v>https://zh.wikisource.org/wiki/%E6%B8%8A%E6%B5%B7%E5%AD%90%E5%B9%B3%E5%A4%A7%E5%85%A8 ; https://zh.wikisource.org/wiki/%E6%BB%B4%E5%A4%A9%E9%AB%93%E9%97%A1%E5%BE%AE</x:v>
      </x:c>
      <x:c r="AI63" s="82" t="str">
        <x:v>采用</x:v>
      </x:c>
      <x:c r="AJ63" s="82" t="str">
        <x:v>初审</x:v>
      </x:c>
      <x:c r="AK63" s="87" t="n">
        <x:v>46255</x:v>
      </x:c>
    </x:row>
    <x:row r="64">
      <x:c r="A64" s="72" t="str">
        <x:f>IF(OR(C64="",D64=""),"",B64&amp;"-"&amp;UPPER(C64)&amp;"-"&amp;TEXT(D64,"0000")&amp;"-"&amp;E64)</x:f>
        <x:v>M10-SHISHANG-0058-V1.0</x:v>
      </x:c>
      <x:c r="B64" s="74" t="str">
        <x:v>M10</x:v>
      </x:c>
      <x:c r="C64" s="74" t="str">
        <x:v>SHISHANG</x:v>
      </x:c>
      <x:c r="D64" s="215" t="n">
        <x:v>58</x:v>
      </x:c>
      <x:c r="E64" s="74" t="str">
        <x:v>V1.0</x:v>
      </x:c>
      <x:c r="F64" s="68" t="str">
        <x:v>伤官见官只是冲突候选不是自动凶论</x:v>
      </x:c>
      <x:c r="G64" s="82" t="str">
        <x:v>结构层</x:v>
      </x:c>
      <x:c r="H64" s="82" t="str">
        <x:v>伤官</x:v>
      </x:c>
      <x:c r="I64" s="82" t="str">
        <x:v>待定</x:v>
      </x:c>
      <x:c r="J64" s="82" t="str">
        <x:v>待定</x:v>
      </x:c>
      <x:c r="K64" s="82" t="str">
        <x:v>待定</x:v>
      </x:c>
      <x:c r="L64" s="82" t="str">
        <x:v>待定</x:v>
      </x:c>
      <x:c r="M64" s="68" t="str">
        <x:v>按M08核查</x:v>
      </x:c>
      <x:c r="N64" s="68" t="str">
        <x:v>对正官形成有效克制</x:v>
      </x:c>
      <x:c r="O64" s="82" t="str">
        <x:v>待定</x:v>
      </x:c>
      <x:c r="P64" s="68" t="str">
        <x:v>伤官见官候选转M11</x:v>
      </x:c>
      <x:c r="Q64" s="68" t="str">
        <x:v>需结合M09日主承载判断</x:v>
      </x:c>
      <x:c r="R64" s="82" t="str">
        <x:v>待定</x:v>
      </x:c>
      <x:c r="S64" s="68" t="str">
        <x:v>伤官与正官均有效且形成实质克制</x:v>
      </x:c>
      <x:c r="T64" s="68" t="str">
        <x:v>M02十神映射、M08五行有效旺衰、M09日主旺衰已完成</x:v>
      </x:c>
      <x:c r="U64" s="68" t="str">
        <x:v>相关十神已由M02正确映射，并以M08有效力量为准</x:v>
      </x:c>
      <x:c r="V64" s="68" t="str">
        <x:v>得令、有根、透干、同党或生源形成独立有效证据</x:v>
      </x:c>
      <x:c r="W64" s="68" t="str">
        <x:v>失令、无根、被合绊、被制、改性或作用路径受阻</x:v>
      </x:c>
      <x:c r="X64" s="90" t="str">
        <x:v>不得以十神名称、数量或单一旺弱证据直接完成定性</x:v>
      </x:c>
      <x:c r="Y64" s="68" t="str">
        <x:v>特殊格局、从化候选及明确组合转M11/M14另审</x:v>
      </x:c>
      <x:c r="Z64" s="68" t="str">
        <x:v>不得由伤官见官四字直接推出灾祸、婚姻或职业事件</x:v>
      </x:c>
      <x:c r="AA64" s="84" t="str">
        <x:v>伤官克官接口</x:v>
      </x:c>
      <x:c r="AB64" s="84" t="str">
        <x:v>伤官见官只是冲突候选不是自动凶论：当“伤官与正官均有效且形成实质克制”成立时，按本规则记录十神的有效功能；同时保留制化、承载和反向证据。</x:v>
      </x:c>
      <x:c r="AC64" s="82" t="str">
        <x:v>较高</x:v>
      </x:c>
      <x:c r="AD64" s="82" t="str">
        <x:v>现代综合</x:v>
      </x:c>
      <x:c r="AE64" s="68" t="str">
        <x:v>十神必须分开判断存在性、力量、清纯度、功能性与喜忌性；M10只形成结构层结论和候选，不越级替代M11—M18。</x:v>
      </x:c>
      <x:c r="AF64" s="68" t="str">
        <x:v>相关条件真实成立，且增强条件有效时，可按“伤官见官只是冲突候选不是自动凶论”记录对应功能。</x:v>
      </x:c>
      <x:c r="AG64" s="90" t="str">
        <x:v>仅见表面十神名称或数量，但“不得以十神名称、数量或单一旺弱证据直接完成定性”所述限制存在时，不得套用本规则。</x:v>
      </x:c>
      <x:c r="AH64" s="68" t="str">
        <x:v>https://zh.wikisource.org/wiki/%E6%B8%8A%E6%B5%B7%E5%AD%90%E5%B9%B3%E5%A4%A7%E5%85%A8 ; https://zh.wikisource.org/wiki/%E6%BB%B4%E5%A4%A9%E9%AB%93%E9%97%A1%E5%BE%AE</x:v>
      </x:c>
      <x:c r="AI64" s="82" t="str">
        <x:v>采用</x:v>
      </x:c>
      <x:c r="AJ64" s="82" t="str">
        <x:v>初审</x:v>
      </x:c>
      <x:c r="AK64" s="87" t="n">
        <x:v>46255</x:v>
      </x:c>
    </x:row>
    <x:row r="65">
      <x:c r="A65" s="72" t="str">
        <x:f>IF(OR(C65="",D65=""),"",B65&amp;"-"&amp;UPPER(C65)&amp;"-"&amp;TEXT(D65,"0000")&amp;"-"&amp;E65)</x:f>
        <x:v>M10-SHISHANG-0059-V1.0</x:v>
      </x:c>
      <x:c r="B65" s="74" t="str">
        <x:v>M10</x:v>
      </x:c>
      <x:c r="C65" s="74" t="str">
        <x:v>SHISHANG</x:v>
      </x:c>
      <x:c r="D65" s="215" t="n">
        <x:v>59</x:v>
      </x:c>
      <x:c r="E65" s="74" t="str">
        <x:v>V1.0</x:v>
      </x:c>
      <x:c r="F65" s="68" t="str">
        <x:v>身旺有食伤泄出可形成泄秀候选</x:v>
      </x:c>
      <x:c r="G65" s="82" t="str">
        <x:v>结构层</x:v>
      </x:c>
      <x:c r="H65" s="82" t="str">
        <x:v>食神</x:v>
      </x:c>
      <x:c r="I65" s="82" t="str">
        <x:v>待定</x:v>
      </x:c>
      <x:c r="J65" s="82" t="str">
        <x:v>待定</x:v>
      </x:c>
      <x:c r="K65" s="82" t="str">
        <x:v>待定</x:v>
      </x:c>
      <x:c r="L65" s="82" t="str">
        <x:v>待定</x:v>
      </x:c>
      <x:c r="M65" s="68" t="str">
        <x:v>按M08核查</x:v>
      </x:c>
      <x:c r="N65" s="68" t="str">
        <x:v>按M06/M08核查</x:v>
      </x:c>
      <x:c r="O65" s="82" t="str">
        <x:v>待定</x:v>
      </x:c>
      <x:c r="P65" s="68" t="str">
        <x:v>转M11/M14判断</x:v>
      </x:c>
      <x:c r="Q65" s="68" t="str">
        <x:v>帮助释放过强身势</x:v>
      </x:c>
      <x:c r="R65" s="82" t="str">
        <x:v>条件性喜神</x:v>
      </x:c>
      <x:c r="S65" s="68" t="str">
        <x:v>M09日主旺或中和偏旺，食神有效且输出顺畅</x:v>
      </x:c>
      <x:c r="T65" s="68" t="str">
        <x:v>M02十神映射、M08五行有效旺衰、M09日主旺衰已完成</x:v>
      </x:c>
      <x:c r="U65" s="68" t="str">
        <x:v>相关十神已由M02正确映射，并以M08有效力量为准</x:v>
      </x:c>
      <x:c r="V65" s="68" t="str">
        <x:v>得令、有根、透干、同党或生源形成独立有效证据</x:v>
      </x:c>
      <x:c r="W65" s="68" t="str">
        <x:v>失令、无根、被合绊、被制、改性或作用路径受阻</x:v>
      </x:c>
      <x:c r="X65" s="90" t="str">
        <x:v>不得以十神名称、数量或单一旺弱证据直接完成定性</x:v>
      </x:c>
      <x:c r="Y65" s="68" t="str">
        <x:v>特殊格局、从化候选及明确组合转M11/M14另审</x:v>
      </x:c>
      <x:c r="Z65" s="68" t="str">
        <x:v>不得直接推出吉凶、具体事件、亲属结果或最终喜忌</x:v>
      </x:c>
      <x:c r="AA65" s="84" t="str">
        <x:v>身旺食神泄秀</x:v>
      </x:c>
      <x:c r="AB65" s="84" t="str">
        <x:v>身旺有食伤泄出可形成泄秀候选：当“M09日主旺或中和偏旺，食神有效且输出顺畅”成立时，按本规则记录十神的有效功能；同时保留制化、承载和反向证据。</x:v>
      </x:c>
      <x:c r="AC65" s="82" t="str">
        <x:v>较高</x:v>
      </x:c>
      <x:c r="AD65" s="82" t="str">
        <x:v>现代综合</x:v>
      </x:c>
      <x:c r="AE65" s="68" t="str">
        <x:v>十神必须分开判断存在性、力量、清纯度、功能性与喜忌性；M10只形成结构层结论和候选，不越级替代M11—M18。</x:v>
      </x:c>
      <x:c r="AF65" s="68" t="str">
        <x:v>相关条件真实成立，且增强条件有效时，可按“身旺有食伤泄出可形成泄秀候选”记录对应功能。</x:v>
      </x:c>
      <x:c r="AG65" s="90" t="str">
        <x:v>仅见表面十神名称或数量，但“不得以十神名称、数量或单一旺弱证据直接完成定性”所述限制存在时，不得套用本规则。</x:v>
      </x:c>
      <x:c r="AH65" s="68" t="str">
        <x:v>https://zh.wikisource.org/wiki/%E6%B8%8A%E6%B5%B7%E5%AD%90%E5%B9%B3%E5%A4%A7%E5%85%A8 ; https://zh.wikisource.org/wiki/%E6%BB%B4%E5%A4%A9%E9%AB%93%E9%97%A1%E5%BE%AE</x:v>
      </x:c>
      <x:c r="AI65" s="82" t="str">
        <x:v>采用</x:v>
      </x:c>
      <x:c r="AJ65" s="82" t="str">
        <x:v>初审</x:v>
      </x:c>
      <x:c r="AK65" s="87" t="n">
        <x:v>46255</x:v>
      </x:c>
    </x:row>
    <x:row r="66">
      <x:c r="A66" s="72" t="str">
        <x:f>IF(OR(C66="",D66=""),"",B66&amp;"-"&amp;UPPER(C66)&amp;"-"&amp;TEXT(D66,"0000")&amp;"-"&amp;E66)</x:f>
        <x:v>M10-SHISHANG-0060-V1.0</x:v>
      </x:c>
      <x:c r="B66" s="74" t="str">
        <x:v>M10</x:v>
      </x:c>
      <x:c r="C66" s="74" t="str">
        <x:v>SHISHANG</x:v>
      </x:c>
      <x:c r="D66" s="215" t="n">
        <x:v>60</x:v>
      </x:c>
      <x:c r="E66" s="74" t="str">
        <x:v>V1.0</x:v>
      </x:c>
      <x:c r="F66" s="68" t="str">
        <x:v>身弱食伤过旺会扩大泄身负荷</x:v>
      </x:c>
      <x:c r="G66" s="82" t="str">
        <x:v>结构层</x:v>
      </x:c>
      <x:c r="H66" s="82" t="str">
        <x:v>伤官</x:v>
      </x:c>
      <x:c r="I66" s="82" t="str">
        <x:v>待定</x:v>
      </x:c>
      <x:c r="J66" s="82" t="str">
        <x:v>待定</x:v>
      </x:c>
      <x:c r="K66" s="82" t="str">
        <x:v>待定</x:v>
      </x:c>
      <x:c r="L66" s="82" t="str">
        <x:v>待定</x:v>
      </x:c>
      <x:c r="M66" s="68" t="str">
        <x:v>按M08核查</x:v>
      </x:c>
      <x:c r="N66" s="68" t="str">
        <x:v>按M06/M08核查</x:v>
      </x:c>
      <x:c r="O66" s="82" t="str">
        <x:v>过度</x:v>
      </x:c>
      <x:c r="P66" s="68" t="str">
        <x:v>转M11/M14判断</x:v>
      </x:c>
      <x:c r="Q66" s="68" t="str">
        <x:v>持续泄身导致承载下降</x:v>
      </x:c>
      <x:c r="R66" s="82" t="str">
        <x:v>条件性忌神</x:v>
      </x:c>
      <x:c r="S66" s="68" t="str">
        <x:v>M09日主弱或中和偏弱，伤官旺且印比不足</x:v>
      </x:c>
      <x:c r="T66" s="68" t="str">
        <x:v>M02十神映射、M08五行有效旺衰、M09日主旺衰已完成</x:v>
      </x:c>
      <x:c r="U66" s="68" t="str">
        <x:v>相关十神已由M02正确映射，并以M08有效力量为准</x:v>
      </x:c>
      <x:c r="V66" s="68" t="str">
        <x:v>得令、有根、透干、同党或生源形成独立有效证据</x:v>
      </x:c>
      <x:c r="W66" s="68" t="str">
        <x:v>失令、无根、被合绊、被制、改性或作用路径受阻</x:v>
      </x:c>
      <x:c r="X66" s="90" t="str">
        <x:v>不得以十神名称、数量或单一旺弱证据直接完成定性</x:v>
      </x:c>
      <x:c r="Y66" s="68" t="str">
        <x:v>特殊格局、从化候选及明确组合转M11/M14另审</x:v>
      </x:c>
      <x:c r="Z66" s="68" t="str">
        <x:v>不得直接推出吉凶、具体事件、亲属结果或最终喜忌</x:v>
      </x:c>
      <x:c r="AA66" s="84" t="str">
        <x:v>身弱伤官过泄</x:v>
      </x:c>
      <x:c r="AB66" s="84" t="str">
        <x:v>身弱食伤过旺会扩大泄身负荷：当“M09日主弱或中和偏弱，伤官旺且印比不足”成立时，按本规则记录十神的有效功能；同时保留制化、承载和反向证据。</x:v>
      </x:c>
      <x:c r="AC66" s="82" t="str">
        <x:v>较高</x:v>
      </x:c>
      <x:c r="AD66" s="82" t="str">
        <x:v>现代综合</x:v>
      </x:c>
      <x:c r="AE66" s="68" t="str">
        <x:v>十神必须分开判断存在性、力量、清纯度、功能性与喜忌性；M10只形成结构层结论和候选，不越级替代M11—M18。</x:v>
      </x:c>
      <x:c r="AF66" s="68" t="str">
        <x:v>相关条件真实成立，且增强条件有效时，可按“身弱食伤过旺会扩大泄身负荷”记录对应功能。</x:v>
      </x:c>
      <x:c r="AG66" s="90" t="str">
        <x:v>仅见表面十神名称或数量，但“不得以十神名称、数量或单一旺弱证据直接完成定性”所述限制存在时，不得套用本规则。</x:v>
      </x:c>
      <x:c r="AH66" s="68" t="str">
        <x:v>https://zh.wikisource.org/wiki/%E6%B8%8A%E6%B5%B7%E5%AD%90%E5%B9%B3%E5%A4%A7%E5%85%A8 ; https://zh.wikisource.org/wiki/%E6%BB%B4%E5%A4%A9%E9%AB%93%E9%97%A1%E5%BE%AE</x:v>
      </x:c>
      <x:c r="AI66" s="82" t="str">
        <x:v>采用</x:v>
      </x:c>
      <x:c r="AJ66" s="82" t="str">
        <x:v>初审</x:v>
      </x:c>
      <x:c r="AK66" s="87" t="n">
        <x:v>46255</x:v>
      </x:c>
    </x:row>
    <x:row r="67">
      <x:c r="A67" s="72" t="str">
        <x:f>IF(OR(C67="",D67=""),"",B67&amp;"-"&amp;UPPER(C67)&amp;"-"&amp;TEXT(D67,"0000")&amp;"-"&amp;E67)</x:f>
        <x:v>M10-SHISHANG-0061-V1.0</x:v>
      </x:c>
      <x:c r="B67" s="74" t="str">
        <x:v>M10</x:v>
      </x:c>
      <x:c r="C67" s="74" t="str">
        <x:v>SHISHANG</x:v>
      </x:c>
      <x:c r="D67" s="215" t="n">
        <x:v>61</x:v>
      </x:c>
      <x:c r="E67" s="74" t="str">
        <x:v>V1.0</x:v>
      </x:c>
      <x:c r="F67" s="68" t="str">
        <x:v>食神被偏印强制时输出和制杀功能均受限</x:v>
      </x:c>
      <x:c r="G67" s="82" t="str">
        <x:v>结构层</x:v>
      </x:c>
      <x:c r="H67" s="82" t="str">
        <x:v>食神</x:v>
      </x:c>
      <x:c r="I67" s="82" t="str">
        <x:v>待定</x:v>
      </x:c>
      <x:c r="J67" s="82" t="str">
        <x:v>待定</x:v>
      </x:c>
      <x:c r="K67" s="82" t="str">
        <x:v>待定</x:v>
      </x:c>
      <x:c r="L67" s="82" t="str">
        <x:v>待定</x:v>
      </x:c>
      <x:c r="M67" s="68" t="str">
        <x:v>按M08核查</x:v>
      </x:c>
      <x:c r="N67" s="68" t="str">
        <x:v>受偏印有效克制</x:v>
      </x:c>
      <x:c r="O67" s="82" t="str">
        <x:v>受限</x:v>
      </x:c>
      <x:c r="P67" s="68" t="str">
        <x:v>转M11/M14判断</x:v>
      </x:c>
      <x:c r="Q67" s="68" t="str">
        <x:v>需结合M09日主承载判断</x:v>
      </x:c>
      <x:c r="R67" s="82" t="str">
        <x:v>待定</x:v>
      </x:c>
      <x:c r="S67" s="68" t="str">
        <x:v>偏印对食神形成实质有效克制</x:v>
      </x:c>
      <x:c r="T67" s="68" t="str">
        <x:v>M02十神映射、M08五行有效旺衰、M09日主旺衰已完成</x:v>
      </x:c>
      <x:c r="U67" s="68" t="str">
        <x:v>相关十神已由M02正确映射，并以M08有效力量为准</x:v>
      </x:c>
      <x:c r="V67" s="68" t="str">
        <x:v>得令、有根、透干、同党或生源形成独立有效证据</x:v>
      </x:c>
      <x:c r="W67" s="68" t="str">
        <x:v>失令、无根、被合绊、被制、改性或作用路径受阻</x:v>
      </x:c>
      <x:c r="X67" s="90" t="str">
        <x:v>不得以十神名称、数量或单一旺弱证据直接完成定性</x:v>
      </x:c>
      <x:c r="Y67" s="68" t="str">
        <x:v>特殊格局、从化候选及明确组合转M11/M14另审</x:v>
      </x:c>
      <x:c r="Z67" s="68" t="str">
        <x:v>不得直接推出吉凶、具体事件、亲属结果或最终喜忌</x:v>
      </x:c>
      <x:c r="AA67" s="84" t="str">
        <x:v>食神受枭制</x:v>
      </x:c>
      <x:c r="AB67" s="84" t="str">
        <x:v>食神被偏印强制时输出和制杀功能均受限：当“偏印对食神形成实质有效克制”成立时，按本规则记录十神的有效功能；同时保留制化、承载和反向证据。</x:v>
      </x:c>
      <x:c r="AC67" s="82" t="str">
        <x:v>较高</x:v>
      </x:c>
      <x:c r="AD67" s="82" t="str">
        <x:v>现代综合</x:v>
      </x:c>
      <x:c r="AE67" s="68" t="str">
        <x:v>十神必须分开判断存在性、力量、清纯度、功能性与喜忌性；M10只形成结构层结论和候选，不越级替代M11—M18。</x:v>
      </x:c>
      <x:c r="AF67" s="68" t="str">
        <x:v>相关条件真实成立，且增强条件有效时，可按“食神被偏印强制时输出和制杀功能均受限”记录对应功能。</x:v>
      </x:c>
      <x:c r="AG67" s="90" t="str">
        <x:v>仅见表面十神名称或数量，但“不得以十神名称、数量或单一旺弱证据直接完成定性”所述限制存在时，不得套用本规则。</x:v>
      </x:c>
      <x:c r="AH67" s="68" t="str">
        <x:v>https://zh.wikisource.org/wiki/%E6%B8%8A%E6%B5%B7%E5%AD%90%E5%B9%B3%E5%A4%A7%E5%85%A8 ; https://zh.wikisource.org/wiki/%E6%BB%B4%E5%A4%A9%E9%AB%93%E9%97%A1%E5%BE%AE</x:v>
      </x:c>
      <x:c r="AI67" s="82" t="str">
        <x:v>采用</x:v>
      </x:c>
      <x:c r="AJ67" s="82" t="str">
        <x:v>初审</x:v>
      </x:c>
      <x:c r="AK67" s="87" t="n">
        <x:v>46255</x:v>
      </x:c>
    </x:row>
    <x:row r="68">
      <x:c r="A68" s="72" t="str">
        <x:f>IF(OR(C68="",D68=""),"",B68&amp;"-"&amp;UPPER(C68)&amp;"-"&amp;TEXT(D68,"0000")&amp;"-"&amp;E68)</x:f>
        <x:v>M10-SHISHANG-0062-V1.0</x:v>
      </x:c>
      <x:c r="B68" s="74" t="str">
        <x:v>M10</x:v>
      </x:c>
      <x:c r="C68" s="74" t="str">
        <x:v>SHISHANG</x:v>
      </x:c>
      <x:c r="D68" s="215" t="n">
        <x:v>62</x:v>
      </x:c>
      <x:c r="E68" s="74" t="str">
        <x:v>V1.0</x:v>
      </x:c>
      <x:c r="F68" s="68" t="str">
        <x:v>伤官被印星有效制约时可形成制化候选</x:v>
      </x:c>
      <x:c r="G68" s="82" t="str">
        <x:v>结构层</x:v>
      </x:c>
      <x:c r="H68" s="82" t="str">
        <x:v>伤官</x:v>
      </x:c>
      <x:c r="I68" s="82" t="str">
        <x:v>待定</x:v>
      </x:c>
      <x:c r="J68" s="82" t="str">
        <x:v>待定</x:v>
      </x:c>
      <x:c r="K68" s="82" t="str">
        <x:v>待定</x:v>
      </x:c>
      <x:c r="L68" s="82" t="str">
        <x:v>待定</x:v>
      </x:c>
      <x:c r="M68" s="68" t="str">
        <x:v>按M08核查</x:v>
      </x:c>
      <x:c r="N68" s="68" t="str">
        <x:v>按M06/M08核查</x:v>
      </x:c>
      <x:c r="O68" s="82" t="str">
        <x:v>受限</x:v>
      </x:c>
      <x:c r="P68" s="68" t="str">
        <x:v>伤官配印候选转M11</x:v>
      </x:c>
      <x:c r="Q68" s="68" t="str">
        <x:v>需结合M09日主承载判断</x:v>
      </x:c>
      <x:c r="R68" s="82" t="str">
        <x:v>待定</x:v>
      </x:c>
      <x:c r="S68" s="68" t="str">
        <x:v>印星有力并能直接制伤官</x:v>
      </x:c>
      <x:c r="T68" s="68" t="str">
        <x:v>M02十神映射、M08五行有效旺衰、M09日主旺衰已完成</x:v>
      </x:c>
      <x:c r="U68" s="68" t="str">
        <x:v>相关十神已由M02正确映射，并以M08有效力量为准</x:v>
      </x:c>
      <x:c r="V68" s="68" t="str">
        <x:v>得令、有根、透干、同党或生源形成独立有效证据</x:v>
      </x:c>
      <x:c r="W68" s="68" t="str">
        <x:v>失令、无根、被合绊、被制、改性或作用路径受阻</x:v>
      </x:c>
      <x:c r="X68" s="90" t="str">
        <x:v>不得以十神名称、数量或单一旺弱证据直接完成定性</x:v>
      </x:c>
      <x:c r="Y68" s="68" t="str">
        <x:v>特殊格局、从化候选及明确组合转M11/M14另审</x:v>
      </x:c>
      <x:c r="Z68" s="68" t="str">
        <x:v>不得直接推出吉凶、具体事件、亲属结果或最终喜忌</x:v>
      </x:c>
      <x:c r="AA68" s="84" t="str">
        <x:v>伤官受印制</x:v>
      </x:c>
      <x:c r="AB68" s="84" t="str">
        <x:v>伤官被印星有效制约时可形成制化候选：当“印星有力并能直接制伤官”成立时，按本规则记录十神的有效功能；同时保留制化、承载和反向证据。</x:v>
      </x:c>
      <x:c r="AC68" s="82" t="str">
        <x:v>较高</x:v>
      </x:c>
      <x:c r="AD68" s="82" t="str">
        <x:v>现代综合</x:v>
      </x:c>
      <x:c r="AE68" s="68" t="str">
        <x:v>十神必须分开判断存在性、力量、清纯度、功能性与喜忌性；M10只形成结构层结论和候选，不越级替代M11—M18。</x:v>
      </x:c>
      <x:c r="AF68" s="68" t="str">
        <x:v>相关条件真实成立，且增强条件有效时，可按“伤官被印星有效制约时可形成制化候选”记录对应功能。</x:v>
      </x:c>
      <x:c r="AG68" s="90" t="str">
        <x:v>仅见表面十神名称或数量，但“不得以十神名称、数量或单一旺弱证据直接完成定性”所述限制存在时，不得套用本规则。</x:v>
      </x:c>
      <x:c r="AH68" s="68" t="str">
        <x:v>https://zh.wikisource.org/wiki/%E6%B8%8A%E6%B5%B7%E5%AD%90%E5%B9%B3%E5%A4%A7%E5%85%A8 ; https://zh.wikisource.org/wiki/%E6%BB%B4%E5%A4%A9%E9%AB%93%E9%97%A1%E5%BE%AE</x:v>
      </x:c>
      <x:c r="AI68" s="82" t="str">
        <x:v>采用</x:v>
      </x:c>
      <x:c r="AJ68" s="82" t="str">
        <x:v>初审</x:v>
      </x:c>
      <x:c r="AK68" s="87" t="n">
        <x:v>46255</x:v>
      </x:c>
    </x:row>
    <x:row r="69">
      <x:c r="A69" s="72" t="str">
        <x:f>IF(OR(C69="",D69=""),"",B69&amp;"-"&amp;UPPER(C69)&amp;"-"&amp;TEXT(D69,"0000")&amp;"-"&amp;E69)</x:f>
        <x:v>M10-SHISHANG-0063-V1.0</x:v>
      </x:c>
      <x:c r="B69" s="74" t="str">
        <x:v>M10</x:v>
      </x:c>
      <x:c r="C69" s="74" t="str">
        <x:v>SHISHANG</x:v>
      </x:c>
      <x:c r="D69" s="215" t="n">
        <x:v>63</x:v>
      </x:c>
      <x:c r="E69" s="74" t="str">
        <x:v>V1.0</x:v>
      </x:c>
      <x:c r="F69" s="68" t="str">
        <x:v>食伤集团成势时必须检查日主是否有足够源头</x:v>
      </x:c>
      <x:c r="G69" s="82" t="str">
        <x:v>结构层</x:v>
      </x:c>
      <x:c r="H69" s="82" t="str">
        <x:v>食神</x:v>
      </x:c>
      <x:c r="I69" s="82" t="str">
        <x:v>多处出现</x:v>
      </x:c>
      <x:c r="J69" s="82" t="str">
        <x:v>待定</x:v>
      </x:c>
      <x:c r="K69" s="82" t="str">
        <x:v>旺</x:v>
      </x:c>
      <x:c r="L69" s="82" t="str">
        <x:v>待定</x:v>
      </x:c>
      <x:c r="M69" s="68" t="str">
        <x:v>按M08核查</x:v>
      </x:c>
      <x:c r="N69" s="68" t="str">
        <x:v>按M06/M08核查</x:v>
      </x:c>
      <x:c r="O69" s="82" t="str">
        <x:v>待定</x:v>
      </x:c>
      <x:c r="P69" s="68" t="str">
        <x:v>转M11/M14判断</x:v>
      </x:c>
      <x:c r="Q69" s="68" t="str">
        <x:v>形成强泄身路径</x:v>
      </x:c>
      <x:c r="R69" s="82" t="str">
        <x:v>待定</x:v>
      </x:c>
      <x:c r="S69" s="68" t="str">
        <x:v>食神伤官多节点旺强并形成输出集团</x:v>
      </x:c>
      <x:c r="T69" s="68" t="str">
        <x:v>M02十神映射、M08五行有效旺衰、M09日主旺衰已完成</x:v>
      </x:c>
      <x:c r="U69" s="68" t="str">
        <x:v>除食伤自身有力外，还必须判断日主能否持续供给</x:v>
      </x:c>
      <x:c r="V69" s="68" t="str">
        <x:v>得令、有根、透干、同党或生源形成独立有效证据</x:v>
      </x:c>
      <x:c r="W69" s="68" t="str">
        <x:v>失令、无根、被合绊、被制、改性或作用路径受阻</x:v>
      </x:c>
      <x:c r="X69" s="90" t="str">
        <x:v>不得以十神名称、数量或单一旺弱证据直接完成定性</x:v>
      </x:c>
      <x:c r="Y69" s="68" t="str">
        <x:v>特殊格局、从化候选及明确组合转M11/M14另审</x:v>
      </x:c>
      <x:c r="Z69" s="68" t="str">
        <x:v>不得直接推出吉凶、具体事件、亲属结果或最终喜忌</x:v>
      </x:c>
      <x:c r="AA69" s="84" t="str">
        <x:v>食伤集团成势</x:v>
      </x:c>
      <x:c r="AB69" s="84" t="str">
        <x:v>食伤集团成势时必须检查日主是否有足够源头：当“食神伤官多节点旺强并形成输出集团”成立时，按本规则记录十神的有效功能；同时保留制化、承载和反向证据。</x:v>
      </x:c>
      <x:c r="AC69" s="82" t="str">
        <x:v>较高</x:v>
      </x:c>
      <x:c r="AD69" s="82" t="str">
        <x:v>现代综合</x:v>
      </x:c>
      <x:c r="AE69" s="68" t="str">
        <x:v>十神必须分开判断存在性、力量、清纯度、功能性与喜忌性；M10只形成结构层结论和候选，不越级替代M11—M18。</x:v>
      </x:c>
      <x:c r="AF69" s="68" t="str">
        <x:v>相关条件真实成立，且增强条件有效时，可按“食伤集团成势时必须检查日主是否有足够源头”记录对应功能。</x:v>
      </x:c>
      <x:c r="AG69" s="90" t="str">
        <x:v>仅见表面十神名称或数量，但“不得以十神名称、数量或单一旺弱证据直接完成定性”所述限制存在时，不得套用本规则。</x:v>
      </x:c>
      <x:c r="AH69" s="68" t="str">
        <x:v>https://zh.wikisource.org/wiki/%E6%B8%8A%E6%B5%B7%E5%AD%90%E5%B9%B3%E5%A4%A7%E5%85%A8 ; https://zh.wikisource.org/wiki/%E6%BB%B4%E5%A4%A9%E9%AB%93%E9%97%A1%E5%BE%AE</x:v>
      </x:c>
      <x:c r="AI69" s="82" t="str">
        <x:v>采用</x:v>
      </x:c>
      <x:c r="AJ69" s="82" t="str">
        <x:v>初审</x:v>
      </x:c>
      <x:c r="AK69" s="87" t="n">
        <x:v>46255</x:v>
      </x:c>
    </x:row>
    <x:row r="70">
      <x:c r="A70" s="72" t="str">
        <x:f>IF(OR(C70="",D70=""),"",B70&amp;"-"&amp;UPPER(C70)&amp;"-"&amp;TEXT(D70,"0000")&amp;"-"&amp;E70)</x:f>
        <x:v>M10-SHISHANG-0064-V1.0</x:v>
      </x:c>
      <x:c r="B70" s="74" t="str">
        <x:v>M10</x:v>
      </x:c>
      <x:c r="C70" s="74" t="str">
        <x:v>SHISHANG</x:v>
      </x:c>
      <x:c r="D70" s="215" t="n">
        <x:v>64</x:v>
      </x:c>
      <x:c r="E70" s="74" t="str">
        <x:v>V1.0</x:v>
      </x:c>
      <x:c r="F70" s="68" t="str">
        <x:v>食伤旺不等于食伤为喜</x:v>
      </x:c>
      <x:c r="G70" s="82" t="str">
        <x:v>结构层</x:v>
      </x:c>
      <x:c r="H70" s="82" t="str">
        <x:v>伤官</x:v>
      </x:c>
      <x:c r="I70" s="82" t="str">
        <x:v>待定</x:v>
      </x:c>
      <x:c r="J70" s="82" t="str">
        <x:v>待定</x:v>
      </x:c>
      <x:c r="K70" s="82" t="str">
        <x:v>待定</x:v>
      </x:c>
      <x:c r="L70" s="82" t="str">
        <x:v>待定</x:v>
      </x:c>
      <x:c r="M70" s="68" t="str">
        <x:v>按M08核查</x:v>
      </x:c>
      <x:c r="N70" s="68" t="str">
        <x:v>按M06/M08核查</x:v>
      </x:c>
      <x:c r="O70" s="82" t="str">
        <x:v>待定</x:v>
      </x:c>
      <x:c r="P70" s="68" t="str">
        <x:v>转M11/M14判断</x:v>
      </x:c>
      <x:c r="Q70" s="68" t="str">
        <x:v>需结合M09日主承载判断</x:v>
      </x:c>
      <x:c r="R70" s="82" t="str">
        <x:v>待定</x:v>
      </x:c>
      <x:c r="S70" s="68" t="str">
        <x:v>食伤有效旺衰已经确定</x:v>
      </x:c>
      <x:c r="T70" s="68" t="str">
        <x:v>M02十神映射、M08五行有效旺衰、M09日主旺衰已完成</x:v>
      </x:c>
      <x:c r="U70" s="68" t="str">
        <x:v>相关十神已由M02正确映射，并以M08有效力量为准</x:v>
      </x:c>
      <x:c r="V70" s="68" t="str">
        <x:v>得令、有根、透干、同党或生源形成独立有效证据</x:v>
      </x:c>
      <x:c r="W70" s="68" t="str">
        <x:v>失令、无根、被合绊、被制、改性或作用路径受阻</x:v>
      </x:c>
      <x:c r="X70" s="90" t="str">
        <x:v>不得以十神名称、数量或单一旺弱证据直接完成定性</x:v>
      </x:c>
      <x:c r="Y70" s="68" t="str">
        <x:v>特殊格局、从化候选及明确组合转M11/M14另审</x:v>
      </x:c>
      <x:c r="Z70" s="68" t="str">
        <x:v>不得由食伤旺直接判喜，也不得由食伤弱直接判无用</x:v>
      </x:c>
      <x:c r="AA70" s="84" t="str">
        <x:v>食伤旺弱喜忌分离</x:v>
      </x:c>
      <x:c r="AB70" s="84" t="str">
        <x:v>食伤旺不等于食伤为喜：当“食伤有效旺衰已经确定”成立时，按本规则记录十神的有效功能；同时保留制化、承载和反向证据。</x:v>
      </x:c>
      <x:c r="AC70" s="82" t="str">
        <x:v>较高</x:v>
      </x:c>
      <x:c r="AD70" s="82" t="str">
        <x:v>现代综合</x:v>
      </x:c>
      <x:c r="AE70" s="68" t="str">
        <x:v>十神必须分开判断存在性、力量、清纯度、功能性与喜忌性；M10只形成结构层结论和候选，不越级替代M11—M18。</x:v>
      </x:c>
      <x:c r="AF70" s="68" t="str">
        <x:v>相关条件真实成立，且增强条件有效时，可按“食伤旺不等于食伤为喜”记录对应功能。</x:v>
      </x:c>
      <x:c r="AG70" s="90" t="str">
        <x:v>仅见表面十神名称或数量，但“不得以十神名称、数量或单一旺弱证据直接完成定性”所述限制存在时，不得套用本规则。</x:v>
      </x:c>
      <x:c r="AH70" s="68" t="str">
        <x:v>https://zh.wikisource.org/wiki/%E6%B8%8A%E6%B5%B7%E5%AD%90%E5%B9%B3%E5%A4%A7%E5%85%A8 ; https://zh.wikisource.org/wiki/%E6%BB%B4%E5%A4%A9%E9%AB%93%E9%97%A1%E5%BE%AE</x:v>
      </x:c>
      <x:c r="AI70" s="82" t="str">
        <x:v>采用</x:v>
      </x:c>
      <x:c r="AJ70" s="82" t="str">
        <x:v>初审</x:v>
      </x:c>
      <x:c r="AK70" s="87" t="n">
        <x:v>46255</x:v>
      </x:c>
    </x:row>
    <x:row r="71">
      <x:c r="A71" s="72" t="str">
        <x:f>IF(OR(C71="",D71=""),"",B71&amp;"-"&amp;UPPER(C71)&amp;"-"&amp;TEXT(D71,"0000")&amp;"-"&amp;E71)</x:f>
        <x:v>M10-CAI-0065-V1.0</x:v>
      </x:c>
      <x:c r="B71" s="74" t="str">
        <x:v>M10</x:v>
      </x:c>
      <x:c r="C71" s="74" t="str">
        <x:v>CAI</x:v>
      </x:c>
      <x:c r="D71" s="215" t="n">
        <x:v>65</x:v>
      </x:c>
      <x:c r="E71" s="74" t="str">
        <x:v>V1.0</x:v>
      </x:c>
      <x:c r="F71" s="68" t="str">
        <x:v>有效财星首先承担耗身和承接食伤功能</x:v>
      </x:c>
      <x:c r="G71" s="82" t="str">
        <x:v>结构层</x:v>
      </x:c>
      <x:c r="H71" s="82" t="str">
        <x:v>正财</x:v>
      </x:c>
      <x:c r="I71" s="82" t="str">
        <x:v>待定</x:v>
      </x:c>
      <x:c r="J71" s="82" t="str">
        <x:v>待定</x:v>
      </x:c>
      <x:c r="K71" s="82" t="str">
        <x:v>待定</x:v>
      </x:c>
      <x:c r="L71" s="82" t="str">
        <x:v>待定</x:v>
      </x:c>
      <x:c r="M71" s="68" t="str">
        <x:v>按M08核查</x:v>
      </x:c>
      <x:c r="N71" s="68" t="str">
        <x:v>按M06/M08核查</x:v>
      </x:c>
      <x:c r="O71" s="82" t="str">
        <x:v>正常发挥</x:v>
      </x:c>
      <x:c r="P71" s="68" t="str">
        <x:v>转M11/M14判断</x:v>
      </x:c>
      <x:c r="Q71" s="68" t="str">
        <x:v>日主克财形成耗力，同时财可承接食伤输出</x:v>
      </x:c>
      <x:c r="R71" s="82" t="str">
        <x:v>待定</x:v>
      </x:c>
      <x:c r="S71" s="68" t="str">
        <x:v>正财有效存在</x:v>
      </x:c>
      <x:c r="T71" s="68" t="str">
        <x:v>M02十神映射、M08五行有效旺衰、M09日主旺衰已完成</x:v>
      </x:c>
      <x:c r="U71" s="68" t="str">
        <x:v>相关十神已由M02正确映射，并以M08有效力量为准</x:v>
      </x:c>
      <x:c r="V71" s="68" t="str">
        <x:v>得令、有根、透干、同党或生源形成独立有效证据</x:v>
      </x:c>
      <x:c r="W71" s="68" t="str">
        <x:v>失令、无根、被合绊、被制、改性或作用路径受阻</x:v>
      </x:c>
      <x:c r="X71" s="90" t="str">
        <x:v>不得以十神名称、数量或单一旺弱证据直接完成定性</x:v>
      </x:c>
      <x:c r="Y71" s="68" t="str">
        <x:v>特殊格局、从化候选及明确组合转M11/M14另审</x:v>
      </x:c>
      <x:c r="Z71" s="68" t="str">
        <x:v>不得直接推出吉凶、具体事件、亲属结果或最终喜忌</x:v>
      </x:c>
      <x:c r="AA71" s="84" t="str">
        <x:v>正财基本功能</x:v>
      </x:c>
      <x:c r="AB71" s="84" t="str">
        <x:v>有效财星首先承担耗身和承接食伤功能：当“正财有效存在”成立时，按本规则记录十神的有效功能；同时保留制化、承载和反向证据。</x:v>
      </x:c>
      <x:c r="AC71" s="82" t="str">
        <x:v>较高</x:v>
      </x:c>
      <x:c r="AD71" s="82" t="str">
        <x:v>现代综合</x:v>
      </x:c>
      <x:c r="AE71" s="68" t="str">
        <x:v>十神必须分开判断存在性、力量、清纯度、功能性与喜忌性；M10只形成结构层结论和候选，不越级替代M11—M18。</x:v>
      </x:c>
      <x:c r="AF71" s="68" t="str">
        <x:v>相关条件真实成立，且增强条件有效时，可按“有效财星首先承担耗身和承接食伤功能”记录对应功能。</x:v>
      </x:c>
      <x:c r="AG71" s="90" t="str">
        <x:v>仅见表面十神名称或数量，但“不得以十神名称、数量或单一旺弱证据直接完成定性”所述限制存在时，不得套用本规则。</x:v>
      </x:c>
      <x:c r="AH71" s="68" t="str">
        <x:v>https://zh.wikisource.org/wiki/%E6%B8%8A%E6%B5%B7%E5%AD%90%E5%B9%B3%E5%A4%A7%E5%85%A8 ; https://zh.wikisource.org/wiki/%E6%BB%B4%E5%A4%A9%E9%AB%93%E9%97%A1%E5%BE%AE</x:v>
      </x:c>
      <x:c r="AI71" s="82" t="str">
        <x:v>采用</x:v>
      </x:c>
      <x:c r="AJ71" s="82" t="str">
        <x:v>初审</x:v>
      </x:c>
      <x:c r="AK71" s="87" t="n">
        <x:v>46255</x:v>
      </x:c>
    </x:row>
    <x:row r="72">
      <x:c r="A72" s="72" t="str">
        <x:f>IF(OR(C72="",D72=""),"",B72&amp;"-"&amp;UPPER(C72)&amp;"-"&amp;TEXT(D72,"0000")&amp;"-"&amp;E72)</x:f>
        <x:v>M10-CAI-0066-V1.0</x:v>
      </x:c>
      <x:c r="B72" s="74" t="str">
        <x:v>M10</x:v>
      </x:c>
      <x:c r="C72" s="74" t="str">
        <x:v>CAI</x:v>
      </x:c>
      <x:c r="D72" s="215" t="n">
        <x:v>66</x:v>
      </x:c>
      <x:c r="E72" s="74" t="str">
        <x:v>V1.0</x:v>
      </x:c>
      <x:c r="F72" s="68" t="str">
        <x:v>偏财同样耗身并具有生官杀接口</x:v>
      </x:c>
      <x:c r="G72" s="82" t="str">
        <x:v>结构层</x:v>
      </x:c>
      <x:c r="H72" s="82" t="str">
        <x:v>偏财</x:v>
      </x:c>
      <x:c r="I72" s="82" t="str">
        <x:v>待定</x:v>
      </x:c>
      <x:c r="J72" s="82" t="str">
        <x:v>待定</x:v>
      </x:c>
      <x:c r="K72" s="82" t="str">
        <x:v>待定</x:v>
      </x:c>
      <x:c r="L72" s="82" t="str">
        <x:v>待定</x:v>
      </x:c>
      <x:c r="M72" s="68" t="str">
        <x:v>按M08核查</x:v>
      </x:c>
      <x:c r="N72" s="68" t="str">
        <x:v>按M06/M08核查</x:v>
      </x:c>
      <x:c r="O72" s="82" t="str">
        <x:v>正常发挥</x:v>
      </x:c>
      <x:c r="P72" s="68" t="str">
        <x:v>转M11/M14判断</x:v>
      </x:c>
      <x:c r="Q72" s="68" t="str">
        <x:v>耗身，同时可向官杀提供生源</x:v>
      </x:c>
      <x:c r="R72" s="82" t="str">
        <x:v>待定</x:v>
      </x:c>
      <x:c r="S72" s="68" t="str">
        <x:v>偏财有效存在</x:v>
      </x:c>
      <x:c r="T72" s="68" t="str">
        <x:v>M02十神映射、M08五行有效旺衰、M09日主旺衰已完成</x:v>
      </x:c>
      <x:c r="U72" s="68" t="str">
        <x:v>相关十神已由M02正确映射，并以M08有效力量为准</x:v>
      </x:c>
      <x:c r="V72" s="68" t="str">
        <x:v>得令、有根、透干、同党或生源形成独立有效证据</x:v>
      </x:c>
      <x:c r="W72" s="68" t="str">
        <x:v>失令、无根、被合绊、被制、改性或作用路径受阻</x:v>
      </x:c>
      <x:c r="X72" s="90" t="str">
        <x:v>不得以十神名称、数量或单一旺弱证据直接完成定性</x:v>
      </x:c>
      <x:c r="Y72" s="68" t="str">
        <x:v>特殊格局、从化候选及明确组合转M11/M14另审</x:v>
      </x:c>
      <x:c r="Z72" s="68" t="str">
        <x:v>不得直接推出吉凶、具体事件、亲属结果或最终喜忌</x:v>
      </x:c>
      <x:c r="AA72" s="84" t="str">
        <x:v>偏财基本功能</x:v>
      </x:c>
      <x:c r="AB72" s="84" t="str">
        <x:v>偏财同样耗身并具有生官杀接口：当“偏财有效存在”成立时，按本规则记录十神的有效功能；同时保留制化、承载和反向证据。</x:v>
      </x:c>
      <x:c r="AC72" s="82" t="str">
        <x:v>较高</x:v>
      </x:c>
      <x:c r="AD72" s="82" t="str">
        <x:v>现代综合</x:v>
      </x:c>
      <x:c r="AE72" s="68" t="str">
        <x:v>十神必须分开判断存在性、力量、清纯度、功能性与喜忌性；M10只形成结构层结论和候选，不越级替代M11—M18。</x:v>
      </x:c>
      <x:c r="AF72" s="68" t="str">
        <x:v>相关条件真实成立，且增强条件有效时，可按“偏财同样耗身并具有生官杀接口”记录对应功能。</x:v>
      </x:c>
      <x:c r="AG72" s="90" t="str">
        <x:v>仅见表面十神名称或数量，但“不得以十神名称、数量或单一旺弱证据直接完成定性”所述限制存在时，不得套用本规则。</x:v>
      </x:c>
      <x:c r="AH72" s="68" t="str">
        <x:v>https://zh.wikisource.org/wiki/%E6%B8%8A%E6%B5%B7%E5%AD%90%E5%B9%B3%E5%A4%A7%E5%85%A8 ; https://zh.wikisource.org/wiki/%E6%BB%B4%E5%A4%A9%E9%AB%93%E9%97%A1%E5%BE%AE</x:v>
      </x:c>
      <x:c r="AI72" s="82" t="str">
        <x:v>采用</x:v>
      </x:c>
      <x:c r="AJ72" s="82" t="str">
        <x:v>初审</x:v>
      </x:c>
      <x:c r="AK72" s="87" t="n">
        <x:v>46255</x:v>
      </x:c>
    </x:row>
    <x:row r="73">
      <x:c r="A73" s="72" t="str">
        <x:f>IF(OR(C73="",D73=""),"",B73&amp;"-"&amp;UPPER(C73)&amp;"-"&amp;TEXT(D73,"0000")&amp;"-"&amp;E73)</x:f>
        <x:v>M10-CAI-0067-V1.0</x:v>
      </x:c>
      <x:c r="B73" s="74" t="str">
        <x:v>M10</x:v>
      </x:c>
      <x:c r="C73" s="74" t="str">
        <x:v>CAI</x:v>
      </x:c>
      <x:c r="D73" s="215" t="n">
        <x:v>67</x:v>
      </x:c>
      <x:c r="E73" s="74" t="str">
        <x:v>V1.0</x:v>
      </x:c>
      <x:c r="F73" s="68" t="str">
        <x:v>身旺且财星有效时可形成任财候选</x:v>
      </x:c>
      <x:c r="G73" s="82" t="str">
        <x:v>结构层</x:v>
      </x:c>
      <x:c r="H73" s="82" t="str">
        <x:v>正财</x:v>
      </x:c>
      <x:c r="I73" s="82" t="str">
        <x:v>待定</x:v>
      </x:c>
      <x:c r="J73" s="82" t="str">
        <x:v>待定</x:v>
      </x:c>
      <x:c r="K73" s="82" t="str">
        <x:v>待定</x:v>
      </x:c>
      <x:c r="L73" s="82" t="str">
        <x:v>待定</x:v>
      </x:c>
      <x:c r="M73" s="68" t="str">
        <x:v>按M08核查</x:v>
      </x:c>
      <x:c r="N73" s="68" t="str">
        <x:v>按M06/M08核查</x:v>
      </x:c>
      <x:c r="O73" s="82" t="str">
        <x:v>待定</x:v>
      </x:c>
      <x:c r="P73" s="68" t="str">
        <x:v>转M11/M14判断</x:v>
      </x:c>
      <x:c r="Q73" s="68" t="str">
        <x:v>为强身提供合理耗用出口</x:v>
      </x:c>
      <x:c r="R73" s="82" t="str">
        <x:v>条件性喜神</x:v>
      </x:c>
      <x:c r="S73" s="68" t="str">
        <x:v>M09日主旺或中和偏旺，正财有效且不过度</x:v>
      </x:c>
      <x:c r="T73" s="68" t="str">
        <x:v>M02十神映射、M08五行有效旺衰、M09日主旺衰已完成</x:v>
      </x:c>
      <x:c r="U73" s="68" t="str">
        <x:v>相关十神已由M02正确映射，并以M08有效力量为准</x:v>
      </x:c>
      <x:c r="V73" s="68" t="str">
        <x:v>得令、有根、透干、同党或生源形成独立有效证据</x:v>
      </x:c>
      <x:c r="W73" s="68" t="str">
        <x:v>失令、无根、被合绊、被制、改性或作用路径受阻</x:v>
      </x:c>
      <x:c r="X73" s="90" t="str">
        <x:v>不得以十神名称、数量或单一旺弱证据直接完成定性</x:v>
      </x:c>
      <x:c r="Y73" s="68" t="str">
        <x:v>特殊格局、从化候选及明确组合转M11/M14另审</x:v>
      </x:c>
      <x:c r="Z73" s="68" t="str">
        <x:v>不得直接推出吉凶、具体事件、亲属结果或最终喜忌</x:v>
      </x:c>
      <x:c r="AA73" s="84" t="str">
        <x:v>身旺任财候选</x:v>
      </x:c>
      <x:c r="AB73" s="84" t="str">
        <x:v>身旺且财星有效时可形成任财候选：当“M09日主旺或中和偏旺，正财有效且不过度”成立时，按本规则记录十神的有效功能；同时保留制化、承载和反向证据。</x:v>
      </x:c>
      <x:c r="AC73" s="82" t="str">
        <x:v>较高</x:v>
      </x:c>
      <x:c r="AD73" s="82" t="str">
        <x:v>现代综合</x:v>
      </x:c>
      <x:c r="AE73" s="68" t="str">
        <x:v>十神必须分开判断存在性、力量、清纯度、功能性与喜忌性；M10只形成结构层结论和候选，不越级替代M11—M18。</x:v>
      </x:c>
      <x:c r="AF73" s="68" t="str">
        <x:v>相关条件真实成立，且增强条件有效时，可按“身旺且财星有效时可形成任财候选”记录对应功能。</x:v>
      </x:c>
      <x:c r="AG73" s="90" t="str">
        <x:v>仅见表面十神名称或数量，但“不得以十神名称、数量或单一旺弱证据直接完成定性”所述限制存在时，不得套用本规则。</x:v>
      </x:c>
      <x:c r="AH73" s="68" t="str">
        <x:v>https://zh.wikisource.org/wiki/%E6%B8%8A%E6%B5%B7%E5%AD%90%E5%B9%B3%E5%A4%A7%E5%85%A8 ; https://zh.wikisource.org/wiki/%E6%BB%B4%E5%A4%A9%E9%AB%93%E9%97%A1%E5%BE%AE</x:v>
      </x:c>
      <x:c r="AI73" s="82" t="str">
        <x:v>采用</x:v>
      </x:c>
      <x:c r="AJ73" s="82" t="str">
        <x:v>初审</x:v>
      </x:c>
      <x:c r="AK73" s="87" t="n">
        <x:v>46255</x:v>
      </x:c>
    </x:row>
    <x:row r="74">
      <x:c r="A74" s="72" t="str">
        <x:f>IF(OR(C74="",D74=""),"",B74&amp;"-"&amp;UPPER(C74)&amp;"-"&amp;TEXT(D74,"0000")&amp;"-"&amp;E74)</x:f>
        <x:v>M10-CAI-0068-V1.0</x:v>
      </x:c>
      <x:c r="B74" s="74" t="str">
        <x:v>M10</x:v>
      </x:c>
      <x:c r="C74" s="74" t="str">
        <x:v>CAI</x:v>
      </x:c>
      <x:c r="D74" s="215" t="n">
        <x:v>68</x:v>
      </x:c>
      <x:c r="E74" s="74" t="str">
        <x:v>V1.0</x:v>
      </x:c>
      <x:c r="F74" s="68" t="str">
        <x:v>身弱财旺时财星可能成为主要耗身负荷</x:v>
      </x:c>
      <x:c r="G74" s="82" t="str">
        <x:v>结构层</x:v>
      </x:c>
      <x:c r="H74" s="82" t="str">
        <x:v>偏财</x:v>
      </x:c>
      <x:c r="I74" s="82" t="str">
        <x:v>待定</x:v>
      </x:c>
      <x:c r="J74" s="82" t="str">
        <x:v>待定</x:v>
      </x:c>
      <x:c r="K74" s="82" t="str">
        <x:v>待定</x:v>
      </x:c>
      <x:c r="L74" s="82" t="str">
        <x:v>待定</x:v>
      </x:c>
      <x:c r="M74" s="68" t="str">
        <x:v>按M08核查</x:v>
      </x:c>
      <x:c r="N74" s="68" t="str">
        <x:v>按M06/M08核查</x:v>
      </x:c>
      <x:c r="O74" s="82" t="str">
        <x:v>过度</x:v>
      </x:c>
      <x:c r="P74" s="68" t="str">
        <x:v>转M11/M14判断</x:v>
      </x:c>
      <x:c r="Q74" s="68" t="str">
        <x:v>持续耗身并可能生官杀加压</x:v>
      </x:c>
      <x:c r="R74" s="82" t="str">
        <x:v>条件性忌神</x:v>
      </x:c>
      <x:c r="S74" s="68" t="str">
        <x:v>M09日主弱或中和偏弱，偏财旺且印比不足</x:v>
      </x:c>
      <x:c r="T74" s="68" t="str">
        <x:v>M02十神映射、M08五行有效旺衰、M09日主旺衰已完成</x:v>
      </x:c>
      <x:c r="U74" s="68" t="str">
        <x:v>相关十神已由M02正确映射，并以M08有效力量为准</x:v>
      </x:c>
      <x:c r="V74" s="68" t="str">
        <x:v>得令、有根、透干、同党或生源形成独立有效证据</x:v>
      </x:c>
      <x:c r="W74" s="68" t="str">
        <x:v>失令、无根、被合绊、被制、改性或作用路径受阻</x:v>
      </x:c>
      <x:c r="X74" s="90" t="str">
        <x:v>不得以十神名称、数量或单一旺弱证据直接完成定性</x:v>
      </x:c>
      <x:c r="Y74" s="68" t="str">
        <x:v>特殊格局、从化候选及明确组合转M11/M14另审</x:v>
      </x:c>
      <x:c r="Z74" s="68" t="str">
        <x:v>不得直接推出吉凶、具体事件、亲属结果或最终喜忌</x:v>
      </x:c>
      <x:c r="AA74" s="84" t="str">
        <x:v>财多身弱候选</x:v>
      </x:c>
      <x:c r="AB74" s="84" t="str">
        <x:v>身弱财旺时财星可能成为主要耗身负荷：当“M09日主弱或中和偏弱，偏财旺且印比不足”成立时，按本规则记录十神的有效功能；同时保留制化、承载和反向证据。</x:v>
      </x:c>
      <x:c r="AC74" s="82" t="str">
        <x:v>较高</x:v>
      </x:c>
      <x:c r="AD74" s="82" t="str">
        <x:v>现代综合</x:v>
      </x:c>
      <x:c r="AE74" s="68" t="str">
        <x:v>十神必须分开判断存在性、力量、清纯度、功能性与喜忌性；M10只形成结构层结论和候选，不越级替代M11—M18。</x:v>
      </x:c>
      <x:c r="AF74" s="68" t="str">
        <x:v>相关条件真实成立，且增强条件有效时，可按“身弱财旺时财星可能成为主要耗身负荷”记录对应功能。</x:v>
      </x:c>
      <x:c r="AG74" s="90" t="str">
        <x:v>仅见表面十神名称或数量，但“不得以十神名称、数量或单一旺弱证据直接完成定性”所述限制存在时，不得套用本规则。</x:v>
      </x:c>
      <x:c r="AH74" s="68" t="str">
        <x:v>https://zh.wikisource.org/wiki/%E6%B8%8A%E6%B5%B7%E5%AD%90%E5%B9%B3%E5%A4%A7%E5%85%A8 ; https://zh.wikisource.org/wiki/%E6%BB%B4%E5%A4%A9%E9%AB%93%E9%97%A1%E5%BE%AE</x:v>
      </x:c>
      <x:c r="AI74" s="82" t="str">
        <x:v>采用</x:v>
      </x:c>
      <x:c r="AJ74" s="82" t="str">
        <x:v>初审</x:v>
      </x:c>
      <x:c r="AK74" s="87" t="n">
        <x:v>46255</x:v>
      </x:c>
    </x:row>
    <x:row r="75">
      <x:c r="A75" s="72" t="str">
        <x:f>IF(OR(C75="",D75=""),"",B75&amp;"-"&amp;UPPER(C75)&amp;"-"&amp;TEXT(D75,"0000")&amp;"-"&amp;E75)</x:f>
        <x:v>M10-CAI-0069-V1.0</x:v>
      </x:c>
      <x:c r="B75" s="74" t="str">
        <x:v>M10</x:v>
      </x:c>
      <x:c r="C75" s="74" t="str">
        <x:v>CAI</x:v>
      </x:c>
      <x:c r="D75" s="215" t="n">
        <x:v>69</x:v>
      </x:c>
      <x:c r="E75" s="74" t="str">
        <x:v>V1.0</x:v>
      </x:c>
      <x:c r="F75" s="68" t="str">
        <x:v>财星受比劫强制时有效性下降</x:v>
      </x:c>
      <x:c r="G75" s="82" t="str">
        <x:v>结构层</x:v>
      </x:c>
      <x:c r="H75" s="82" t="str">
        <x:v>正财</x:v>
      </x:c>
      <x:c r="I75" s="82" t="str">
        <x:v>待定</x:v>
      </x:c>
      <x:c r="J75" s="82" t="str">
        <x:v>待定</x:v>
      </x:c>
      <x:c r="K75" s="82" t="str">
        <x:v>待定</x:v>
      </x:c>
      <x:c r="L75" s="82" t="str">
        <x:v>待定</x:v>
      </x:c>
      <x:c r="M75" s="68" t="str">
        <x:v>按M08核查</x:v>
      </x:c>
      <x:c r="N75" s="68" t="str">
        <x:v>受比劫有效克制</x:v>
      </x:c>
      <x:c r="O75" s="82" t="str">
        <x:v>受限</x:v>
      </x:c>
      <x:c r="P75" s="68" t="str">
        <x:v>转M11/M14判断</x:v>
      </x:c>
      <x:c r="Q75" s="68" t="str">
        <x:v>需结合M09日主承载判断</x:v>
      </x:c>
      <x:c r="R75" s="82" t="str">
        <x:v>待定</x:v>
      </x:c>
      <x:c r="S75" s="68" t="str">
        <x:v>比劫对正财形成实质有效克制</x:v>
      </x:c>
      <x:c r="T75" s="68" t="str">
        <x:v>M02十神映射、M08五行有效旺衰、M09日主旺衰已完成</x:v>
      </x:c>
      <x:c r="U75" s="68" t="str">
        <x:v>相关十神已由M02正确映射，并以M08有效力量为准</x:v>
      </x:c>
      <x:c r="V75" s="68" t="str">
        <x:v>得令、有根、透干、同党或生源形成独立有效证据</x:v>
      </x:c>
      <x:c r="W75" s="68" t="str">
        <x:v>失令、无根、被合绊、被制、改性或作用路径受阻</x:v>
      </x:c>
      <x:c r="X75" s="90" t="str">
        <x:v>不得以十神名称、数量或单一旺弱证据直接完成定性</x:v>
      </x:c>
      <x:c r="Y75" s="68" t="str">
        <x:v>特殊格局、从化候选及明确组合转M11/M14另审</x:v>
      </x:c>
      <x:c r="Z75" s="68" t="str">
        <x:v>不得直接推出吉凶、具体事件、亲属结果或最终喜忌</x:v>
      </x:c>
      <x:c r="AA75" s="84" t="str">
        <x:v>财受比劫制</x:v>
      </x:c>
      <x:c r="AB75" s="84" t="str">
        <x:v>财星受比劫强制时有效性下降：当“比劫对正财形成实质有效克制”成立时，按本规则记录十神的有效功能；同时保留制化、承载和反向证据。</x:v>
      </x:c>
      <x:c r="AC75" s="82" t="str">
        <x:v>较高</x:v>
      </x:c>
      <x:c r="AD75" s="82" t="str">
        <x:v>现代综合</x:v>
      </x:c>
      <x:c r="AE75" s="68" t="str">
        <x:v>十神必须分开判断存在性、力量、清纯度、功能性与喜忌性；M10只形成结构层结论和候选，不越级替代M11—M18。</x:v>
      </x:c>
      <x:c r="AF75" s="68" t="str">
        <x:v>相关条件真实成立，且增强条件有效时，可按“财星受比劫强制时有效性下降”记录对应功能。</x:v>
      </x:c>
      <x:c r="AG75" s="90" t="str">
        <x:v>仅见表面十神名称或数量，但“不得以十神名称、数量或单一旺弱证据直接完成定性”所述限制存在时，不得套用本规则。</x:v>
      </x:c>
      <x:c r="AH75" s="68" t="str">
        <x:v>https://zh.wikisource.org/wiki/%E6%B8%8A%E6%B5%B7%E5%AD%90%E5%B9%B3%E5%A4%A7%E5%85%A8 ; https://zh.wikisource.org/wiki/%E6%BB%B4%E5%A4%A9%E9%AB%93%E9%97%A1%E5%BE%AE</x:v>
      </x:c>
      <x:c r="AI75" s="82" t="str">
        <x:v>采用</x:v>
      </x:c>
      <x:c r="AJ75" s="82" t="str">
        <x:v>初审</x:v>
      </x:c>
      <x:c r="AK75" s="87" t="n">
        <x:v>46255</x:v>
      </x:c>
    </x:row>
    <x:row r="76">
      <x:c r="A76" s="72" t="str">
        <x:f>IF(OR(C76="",D76=""),"",B76&amp;"-"&amp;UPPER(C76)&amp;"-"&amp;TEXT(D76,"0000")&amp;"-"&amp;E76)</x:f>
        <x:v>M10-CAI-0070-V1.0</x:v>
      </x:c>
      <x:c r="B76" s="74" t="str">
        <x:v>M10</x:v>
      </x:c>
      <x:c r="C76" s="74" t="str">
        <x:v>CAI</x:v>
      </x:c>
      <x:c r="D76" s="215" t="n">
        <x:v>70</x:v>
      </x:c>
      <x:c r="E76" s="74" t="str">
        <x:v>V1.0</x:v>
      </x:c>
      <x:c r="F76" s="68" t="str">
        <x:v>财星制印须财印力量和路径均成立</x:v>
      </x:c>
      <x:c r="G76" s="82" t="str">
        <x:v>结构层</x:v>
      </x:c>
      <x:c r="H76" s="82" t="str">
        <x:v>偏财</x:v>
      </x:c>
      <x:c r="I76" s="82" t="str">
        <x:v>待定</x:v>
      </x:c>
      <x:c r="J76" s="82" t="str">
        <x:v>待定</x:v>
      </x:c>
      <x:c r="K76" s="82" t="str">
        <x:v>待定</x:v>
      </x:c>
      <x:c r="L76" s="82" t="str">
        <x:v>待定</x:v>
      </x:c>
      <x:c r="M76" s="68" t="str">
        <x:v>按M08核查</x:v>
      </x:c>
      <x:c r="N76" s="68" t="str">
        <x:v>对印星形成有效克制</x:v>
      </x:c>
      <x:c r="O76" s="82" t="str">
        <x:v>待定</x:v>
      </x:c>
      <x:c r="P76" s="68" t="str">
        <x:v>财坏印候选转M11</x:v>
      </x:c>
      <x:c r="Q76" s="68" t="str">
        <x:v>需结合M09日主承载判断</x:v>
      </x:c>
      <x:c r="R76" s="82" t="str">
        <x:v>待定</x:v>
      </x:c>
      <x:c r="S76" s="68" t="str">
        <x:v>偏财与印星形成有效克制</x:v>
      </x:c>
      <x:c r="T76" s="68" t="str">
        <x:v>M02十神映射、M08五行有效旺衰、M09日主旺衰已完成</x:v>
      </x:c>
      <x:c r="U76" s="68" t="str">
        <x:v>相关十神已由M02正确映射，并以M08有效力量为准</x:v>
      </x:c>
      <x:c r="V76" s="68" t="str">
        <x:v>得令、有根、透干、同党或生源形成独立有效证据</x:v>
      </x:c>
      <x:c r="W76" s="68" t="str">
        <x:v>失令、无根、被合绊、被制、改性或作用路径受阻</x:v>
      </x:c>
      <x:c r="X76" s="90" t="str">
        <x:v>不得以十神名称、数量或单一旺弱证据直接完成定性</x:v>
      </x:c>
      <x:c r="Y76" s="68" t="str">
        <x:v>特殊格局、从化候选及明确组合转M11/M14另审</x:v>
      </x:c>
      <x:c r="Z76" s="68" t="str">
        <x:v>不得直接推出吉凶、具体事件、亲属结果或最终喜忌</x:v>
      </x:c>
      <x:c r="AA76" s="84" t="str">
        <x:v>财制印接口</x:v>
      </x:c>
      <x:c r="AB76" s="84" t="str">
        <x:v>财星制印须财印力量和路径均成立：当“偏财与印星形成有效克制”成立时，按本规则记录十神的有效功能；同时保留制化、承载和反向证据。</x:v>
      </x:c>
      <x:c r="AC76" s="82" t="str">
        <x:v>较高</x:v>
      </x:c>
      <x:c r="AD76" s="82" t="str">
        <x:v>现代综合</x:v>
      </x:c>
      <x:c r="AE76" s="68" t="str">
        <x:v>十神必须分开判断存在性、力量、清纯度、功能性与喜忌性；M10只形成结构层结论和候选，不越级替代M11—M18。</x:v>
      </x:c>
      <x:c r="AF76" s="68" t="str">
        <x:v>相关条件真实成立，且增强条件有效时，可按“财星制印须财印力量和路径均成立”记录对应功能。</x:v>
      </x:c>
      <x:c r="AG76" s="90" t="str">
        <x:v>仅见表面十神名称或数量，但“不得以十神名称、数量或单一旺弱证据直接完成定性”所述限制存在时，不得套用本规则。</x:v>
      </x:c>
      <x:c r="AH76" s="68" t="str">
        <x:v>https://zh.wikisource.org/wiki/%E6%B8%8A%E6%B5%B7%E5%AD%90%E5%B9%B3%E5%A4%A7%E5%85%A8 ; https://zh.wikisource.org/wiki/%E6%BB%B4%E5%A4%A9%E9%AB%93%E9%97%A1%E5%BE%AE</x:v>
      </x:c>
      <x:c r="AI76" s="82" t="str">
        <x:v>采用</x:v>
      </x:c>
      <x:c r="AJ76" s="82" t="str">
        <x:v>初审</x:v>
      </x:c>
      <x:c r="AK76" s="87" t="n">
        <x:v>46255</x:v>
      </x:c>
    </x:row>
    <x:row r="77">
      <x:c r="A77" s="72" t="str">
        <x:f>IF(OR(C77="",D77=""),"",B77&amp;"-"&amp;UPPER(C77)&amp;"-"&amp;TEXT(D77,"0000")&amp;"-"&amp;E77)</x:f>
        <x:v>M10-CAI-0071-V1.0</x:v>
      </x:c>
      <x:c r="B77" s="74" t="str">
        <x:v>M10</x:v>
      </x:c>
      <x:c r="C77" s="74" t="str">
        <x:v>CAI</x:v>
      </x:c>
      <x:c r="D77" s="215" t="n">
        <x:v>71</x:v>
      </x:c>
      <x:c r="E77" s="74" t="str">
        <x:v>V1.0</x:v>
      </x:c>
      <x:c r="F77" s="68" t="str">
        <x:v>财生官必须官星能够承接</x:v>
      </x:c>
      <x:c r="G77" s="82" t="str">
        <x:v>结构层</x:v>
      </x:c>
      <x:c r="H77" s="82" t="str">
        <x:v>正财</x:v>
      </x:c>
      <x:c r="I77" s="82" t="str">
        <x:v>待定</x:v>
      </x:c>
      <x:c r="J77" s="82" t="str">
        <x:v>待定</x:v>
      </x:c>
      <x:c r="K77" s="82" t="str">
        <x:v>待定</x:v>
      </x:c>
      <x:c r="L77" s="82" t="str">
        <x:v>待定</x:v>
      </x:c>
      <x:c r="M77" s="68" t="str">
        <x:v>财为官星生源</x:v>
      </x:c>
      <x:c r="N77" s="68" t="str">
        <x:v>按M06/M08核查</x:v>
      </x:c>
      <x:c r="O77" s="82" t="str">
        <x:v>待定</x:v>
      </x:c>
      <x:c r="P77" s="68" t="str">
        <x:v>财官相生候选转M11</x:v>
      </x:c>
      <x:c r="Q77" s="68" t="str">
        <x:v>需结合M09日主承载判断</x:v>
      </x:c>
      <x:c r="R77" s="82" t="str">
        <x:v>待定</x:v>
      </x:c>
      <x:c r="S77" s="68" t="str">
        <x:v>正财有效且正官存在，生扶路径连续</x:v>
      </x:c>
      <x:c r="T77" s="68" t="str">
        <x:v>M02十神映射、M08五行有效旺衰、M09日主旺衰已完成</x:v>
      </x:c>
      <x:c r="U77" s="68" t="str">
        <x:v>相关十神已由M02正确映射，并以M08有效力量为准</x:v>
      </x:c>
      <x:c r="V77" s="68" t="str">
        <x:v>得令、有根、透干、同党或生源形成独立有效证据</x:v>
      </x:c>
      <x:c r="W77" s="68" t="str">
        <x:v>失令、无根、被合绊、被制、改性或作用路径受阻</x:v>
      </x:c>
      <x:c r="X77" s="90" t="str">
        <x:v>不得以十神名称、数量或单一旺弱证据直接完成定性</x:v>
      </x:c>
      <x:c r="Y77" s="68" t="str">
        <x:v>特殊格局、从化候选及明确组合转M11/M14另审</x:v>
      </x:c>
      <x:c r="Z77" s="68" t="str">
        <x:v>不得直接推出吉凶、具体事件、亲属结果或最终喜忌</x:v>
      </x:c>
      <x:c r="AA77" s="84" t="str">
        <x:v>财生官接口</x:v>
      </x:c>
      <x:c r="AB77" s="84" t="str">
        <x:v>财生官必须官星能够承接：当“正财有效且正官存在，生扶路径连续”成立时，按本规则记录十神的有效功能；同时保留制化、承载和反向证据。</x:v>
      </x:c>
      <x:c r="AC77" s="82" t="str">
        <x:v>较高</x:v>
      </x:c>
      <x:c r="AD77" s="82" t="str">
        <x:v>现代综合</x:v>
      </x:c>
      <x:c r="AE77" s="68" t="str">
        <x:v>十神必须分开判断存在性、力量、清纯度、功能性与喜忌性；M10只形成结构层结论和候选，不越级替代M11—M18。</x:v>
      </x:c>
      <x:c r="AF77" s="68" t="str">
        <x:v>相关条件真实成立，且增强条件有效时，可按“财生官必须官星能够承接”记录对应功能。</x:v>
      </x:c>
      <x:c r="AG77" s="90" t="str">
        <x:v>仅见表面十神名称或数量，但“不得以十神名称、数量或单一旺弱证据直接完成定性”所述限制存在时，不得套用本规则。</x:v>
      </x:c>
      <x:c r="AH77" s="68" t="str">
        <x:v>https://zh.wikisource.org/wiki/%E6%B8%8A%E6%B5%B7%E5%AD%90%E5%B9%B3%E5%A4%A7%E5%85%A8 ; https://zh.wikisource.org/wiki/%E6%BB%B4%E5%A4%A9%E9%AB%93%E9%97%A1%E5%BE%AE</x:v>
      </x:c>
      <x:c r="AI77" s="82" t="str">
        <x:v>采用</x:v>
      </x:c>
      <x:c r="AJ77" s="82" t="str">
        <x:v>初审</x:v>
      </x:c>
      <x:c r="AK77" s="87" t="n">
        <x:v>46255</x:v>
      </x:c>
    </x:row>
    <x:row r="78">
      <x:c r="A78" s="72" t="str">
        <x:f>IF(OR(C78="",D78=""),"",B78&amp;"-"&amp;UPPER(C78)&amp;"-"&amp;TEXT(D78,"0000")&amp;"-"&amp;E78)</x:f>
        <x:v>M10-CAI-0072-V1.0</x:v>
      </x:c>
      <x:c r="B78" s="74" t="str">
        <x:v>M10</x:v>
      </x:c>
      <x:c r="C78" s="74" t="str">
        <x:v>CAI</x:v>
      </x:c>
      <x:c r="D78" s="215" t="n">
        <x:v>72</x:v>
      </x:c>
      <x:c r="E78" s="74" t="str">
        <x:v>V1.0</x:v>
      </x:c>
      <x:c r="F78" s="68" t="str">
        <x:v>财生杀会同时增加日主官杀负荷</x:v>
      </x:c>
      <x:c r="G78" s="82" t="str">
        <x:v>结构层</x:v>
      </x:c>
      <x:c r="H78" s="82" t="str">
        <x:v>偏财</x:v>
      </x:c>
      <x:c r="I78" s="82" t="str">
        <x:v>待定</x:v>
      </x:c>
      <x:c r="J78" s="82" t="str">
        <x:v>待定</x:v>
      </x:c>
      <x:c r="K78" s="82" t="str">
        <x:v>待定</x:v>
      </x:c>
      <x:c r="L78" s="82" t="str">
        <x:v>待定</x:v>
      </x:c>
      <x:c r="M78" s="68" t="str">
        <x:v>偏财生杀</x:v>
      </x:c>
      <x:c r="N78" s="68" t="str">
        <x:v>按M06/M08核查</x:v>
      </x:c>
      <x:c r="O78" s="82" t="str">
        <x:v>待定</x:v>
      </x:c>
      <x:c r="P78" s="68" t="str">
        <x:v>转M11/M14判断</x:v>
      </x:c>
      <x:c r="Q78" s="68" t="str">
        <x:v>间接提高七杀制身压力</x:v>
      </x:c>
      <x:c r="R78" s="82" t="str">
        <x:v>待定</x:v>
      </x:c>
      <x:c r="S78" s="68" t="str">
        <x:v>偏财有效生七杀，且七杀能够承接</x:v>
      </x:c>
      <x:c r="T78" s="68" t="str">
        <x:v>M02十神映射、M08五行有效旺衰、M09日主旺衰已完成</x:v>
      </x:c>
      <x:c r="U78" s="68" t="str">
        <x:v>相关十神已由M02正确映射，并以M08有效力量为准</x:v>
      </x:c>
      <x:c r="V78" s="68" t="str">
        <x:v>得令、有根、透干、同党或生源形成独立有效证据</x:v>
      </x:c>
      <x:c r="W78" s="68" t="str">
        <x:v>失令、无根、被合绊、被制、改性或作用路径受阻</x:v>
      </x:c>
      <x:c r="X78" s="90" t="str">
        <x:v>不得以十神名称、数量或单一旺弱证据直接完成定性</x:v>
      </x:c>
      <x:c r="Y78" s="68" t="str">
        <x:v>特殊格局、从化候选及明确组合转M11/M14另审</x:v>
      </x:c>
      <x:c r="Z78" s="68" t="str">
        <x:v>不得直接推出吉凶、具体事件、亲属结果或最终喜忌</x:v>
      </x:c>
      <x:c r="AA78" s="84" t="str">
        <x:v>财生杀加压</x:v>
      </x:c>
      <x:c r="AB78" s="84" t="str">
        <x:v>财生杀会同时增加日主官杀负荷：当“偏财有效生七杀，且七杀能够承接”成立时，按本规则记录十神的有效功能；同时保留制化、承载和反向证据。</x:v>
      </x:c>
      <x:c r="AC78" s="82" t="str">
        <x:v>较高</x:v>
      </x:c>
      <x:c r="AD78" s="82" t="str">
        <x:v>现代综合</x:v>
      </x:c>
      <x:c r="AE78" s="68" t="str">
        <x:v>十神必须分开判断存在性、力量、清纯度、功能性与喜忌性；M10只形成结构层结论和候选，不越级替代M11—M18。</x:v>
      </x:c>
      <x:c r="AF78" s="68" t="str">
        <x:v>相关条件真实成立，且增强条件有效时，可按“财生杀会同时增加日主官杀负荷”记录对应功能。</x:v>
      </x:c>
      <x:c r="AG78" s="90" t="str">
        <x:v>仅见表面十神名称或数量，但“不得以十神名称、数量或单一旺弱证据直接完成定性”所述限制存在时，不得套用本规则。</x:v>
      </x:c>
      <x:c r="AH78" s="68" t="str">
        <x:v>https://zh.wikisource.org/wiki/%E6%B8%8A%E6%B5%B7%E5%AD%90%E5%B9%B3%E5%A4%A7%E5%85%A8 ; https://zh.wikisource.org/wiki/%E6%BB%B4%E5%A4%A9%E9%AB%93%E9%97%A1%E5%BE%AE</x:v>
      </x:c>
      <x:c r="AI78" s="82" t="str">
        <x:v>采用</x:v>
      </x:c>
      <x:c r="AJ78" s="82" t="str">
        <x:v>初审</x:v>
      </x:c>
      <x:c r="AK78" s="87" t="n">
        <x:v>46255</x:v>
      </x:c>
    </x:row>
    <x:row r="79">
      <x:c r="A79" s="72" t="str">
        <x:f>IF(OR(C79="",D79=""),"",B79&amp;"-"&amp;UPPER(C79)&amp;"-"&amp;TEXT(D79,"0000")&amp;"-"&amp;E79)</x:f>
        <x:v>M10-CAI-0073-V1.0</x:v>
      </x:c>
      <x:c r="B79" s="74" t="str">
        <x:v>M10</x:v>
      </x:c>
      <x:c r="C79" s="74" t="str">
        <x:v>CAI</x:v>
      </x:c>
      <x:c r="D79" s="215" t="n">
        <x:v>73</x:v>
      </x:c>
      <x:c r="E79" s="74" t="str">
        <x:v>V1.0</x:v>
      </x:c>
      <x:c r="F79" s="68" t="str">
        <x:v>食伤生财链成立时财星来源更稳定</x:v>
      </x:c>
      <x:c r="G79" s="82" t="str">
        <x:v>结构层</x:v>
      </x:c>
      <x:c r="H79" s="82" t="str">
        <x:v>正财</x:v>
      </x:c>
      <x:c r="I79" s="82" t="str">
        <x:v>待定</x:v>
      </x:c>
      <x:c r="J79" s="82" t="str">
        <x:v>待定</x:v>
      </x:c>
      <x:c r="K79" s="82" t="str">
        <x:v>待定</x:v>
      </x:c>
      <x:c r="L79" s="82" t="str">
        <x:v>待定</x:v>
      </x:c>
      <x:c r="M79" s="68" t="str">
        <x:v>食伤为财星有效生源</x:v>
      </x:c>
      <x:c r="N79" s="68" t="str">
        <x:v>按M06/M08核查</x:v>
      </x:c>
      <x:c r="O79" s="82" t="str">
        <x:v>待定</x:v>
      </x:c>
      <x:c r="P79" s="68" t="str">
        <x:v>转M11/M14判断</x:v>
      </x:c>
      <x:c r="Q79" s="68" t="str">
        <x:v>需结合M09日主承载判断</x:v>
      </x:c>
      <x:c r="R79" s="82" t="str">
        <x:v>待定</x:v>
      </x:c>
      <x:c r="S79" s="68" t="str">
        <x:v>食伤有效生正财且中间无阻断</x:v>
      </x:c>
      <x:c r="T79" s="68" t="str">
        <x:v>M02十神映射、M08五行有效旺衰、M09日主旺衰已完成</x:v>
      </x:c>
      <x:c r="U79" s="68" t="str">
        <x:v>相关十神已由M02正确映射，并以M08有效力量为准</x:v>
      </x:c>
      <x:c r="V79" s="68" t="str">
        <x:v>得令、有根、透干、同党或生源形成独立有效证据</x:v>
      </x:c>
      <x:c r="W79" s="68" t="str">
        <x:v>失令、无根、被合绊、被制、改性或作用路径受阻</x:v>
      </x:c>
      <x:c r="X79" s="90" t="str">
        <x:v>不得以十神名称、数量或单一旺弱证据直接完成定性</x:v>
      </x:c>
      <x:c r="Y79" s="68" t="str">
        <x:v>特殊格局、从化候选及明确组合转M11/M14另审</x:v>
      </x:c>
      <x:c r="Z79" s="68" t="str">
        <x:v>不得直接推出吉凶、具体事件、亲属结果或最终喜忌</x:v>
      </x:c>
      <x:c r="AA79" s="84" t="str">
        <x:v>食伤生财来源</x:v>
      </x:c>
      <x:c r="AB79" s="84" t="str">
        <x:v>食伤生财链成立时财星来源更稳定：当“食伤有效生正财且中间无阻断”成立时，按本规则记录十神的有效功能；同时保留制化、承载和反向证据。</x:v>
      </x:c>
      <x:c r="AC79" s="82" t="str">
        <x:v>较高</x:v>
      </x:c>
      <x:c r="AD79" s="82" t="str">
        <x:v>现代综合</x:v>
      </x:c>
      <x:c r="AE79" s="68" t="str">
        <x:v>十神必须分开判断存在性、力量、清纯度、功能性与喜忌性；M10只形成结构层结论和候选，不越级替代M11—M18。</x:v>
      </x:c>
      <x:c r="AF79" s="68" t="str">
        <x:v>相关条件真实成立，且增强条件有效时，可按“食伤生财链成立时财星来源更稳定”记录对应功能。</x:v>
      </x:c>
      <x:c r="AG79" s="90" t="str">
        <x:v>仅见表面十神名称或数量，但“不得以十神名称、数量或单一旺弱证据直接完成定性”所述限制存在时，不得套用本规则。</x:v>
      </x:c>
      <x:c r="AH79" s="68" t="str">
        <x:v>https://zh.wikisource.org/wiki/%E6%B8%8A%E6%B5%B7%E5%AD%90%E5%B9%B3%E5%A4%A7%E5%85%A8 ; https://zh.wikisource.org/wiki/%E6%BB%B4%E5%A4%A9%E9%AB%93%E9%97%A1%E5%BE%AE</x:v>
      </x:c>
      <x:c r="AI79" s="82" t="str">
        <x:v>采用</x:v>
      </x:c>
      <x:c r="AJ79" s="82" t="str">
        <x:v>初审</x:v>
      </x:c>
      <x:c r="AK79" s="87" t="n">
        <x:v>46255</x:v>
      </x:c>
    </x:row>
    <x:row r="80">
      <x:c r="A80" s="72" t="str">
        <x:f>IF(OR(C80="",D80=""),"",B80&amp;"-"&amp;UPPER(C80)&amp;"-"&amp;TEXT(D80,"0000")&amp;"-"&amp;E80)</x:f>
        <x:v>M10-CAI-0074-V1.0</x:v>
      </x:c>
      <x:c r="B80" s="74" t="str">
        <x:v>M10</x:v>
      </x:c>
      <x:c r="C80" s="74" t="str">
        <x:v>CAI</x:v>
      </x:c>
      <x:c r="D80" s="215" t="n">
        <x:v>74</x:v>
      </x:c>
      <x:c r="E80" s="74" t="str">
        <x:v>V1.0</x:v>
      </x:c>
      <x:c r="F80" s="68" t="str">
        <x:v>财星多现但受制严重时不按财旺处理</x:v>
      </x:c>
      <x:c r="G80" s="82" t="str">
        <x:v>结构层</x:v>
      </x:c>
      <x:c r="H80" s="82" t="str">
        <x:v>偏财</x:v>
      </x:c>
      <x:c r="I80" s="82" t="str">
        <x:v>多处出现</x:v>
      </x:c>
      <x:c r="J80" s="82" t="str">
        <x:v>待定</x:v>
      </x:c>
      <x:c r="K80" s="82" t="str">
        <x:v>中和偏弱</x:v>
      </x:c>
      <x:c r="L80" s="82" t="str">
        <x:v>待定</x:v>
      </x:c>
      <x:c r="M80" s="68" t="str">
        <x:v>按M08核查</x:v>
      </x:c>
      <x:c r="N80" s="68" t="str">
        <x:v>按M06/M08核查</x:v>
      </x:c>
      <x:c r="O80" s="82" t="str">
        <x:v>受限</x:v>
      </x:c>
      <x:c r="P80" s="68" t="str">
        <x:v>转M11/M14判断</x:v>
      </x:c>
      <x:c r="Q80" s="68" t="str">
        <x:v>需结合M09日主承载判断</x:v>
      </x:c>
      <x:c r="R80" s="82" t="str">
        <x:v>待定</x:v>
      </x:c>
      <x:c r="S80" s="68" t="str">
        <x:v>偏财多处出现，但主要节点被比劫制、合绊或改性</x:v>
      </x:c>
      <x:c r="T80" s="68" t="str">
        <x:v>M02十神映射、M08五行有效旺衰、M09日主旺衰已完成</x:v>
      </x:c>
      <x:c r="U80" s="68" t="str">
        <x:v>相关十神已由M02正确映射，并以M08有效力量为准</x:v>
      </x:c>
      <x:c r="V80" s="68" t="str">
        <x:v>得令、有根、透干、同党或生源形成独立有效证据</x:v>
      </x:c>
      <x:c r="W80" s="68" t="str">
        <x:v>失令、无根、被合绊、被制、改性或作用路径受阻</x:v>
      </x:c>
      <x:c r="X80" s="90" t="str">
        <x:v>不得以十神名称、数量或单一旺弱证据直接完成定性</x:v>
      </x:c>
      <x:c r="Y80" s="68" t="str">
        <x:v>特殊格局、从化候选及明确组合转M11/M14另审</x:v>
      </x:c>
      <x:c r="Z80" s="68" t="str">
        <x:v>不得直接推出吉凶、具体事件、亲属结果或最终喜忌</x:v>
      </x:c>
      <x:c r="AA80" s="84" t="str">
        <x:v>财多而效弱</x:v>
      </x:c>
      <x:c r="AB80" s="84" t="str">
        <x:v>财星多现但受制严重时不按财旺处理：当“偏财多处出现，但主要节点被比劫制、合绊或改性”成立时，按本规则记录十神的有效功能；同时保留制化、承载和反向证据。</x:v>
      </x:c>
      <x:c r="AC80" s="82" t="str">
        <x:v>较高</x:v>
      </x:c>
      <x:c r="AD80" s="82" t="str">
        <x:v>现代综合</x:v>
      </x:c>
      <x:c r="AE80" s="68" t="str">
        <x:v>十神必须分开判断存在性、力量、清纯度、功能性与喜忌性；M10只形成结构层结论和候选，不越级替代M11—M18。</x:v>
      </x:c>
      <x:c r="AF80" s="68" t="str">
        <x:v>相关条件真实成立，且增强条件有效时，可按“财星多现但受制严重时不按财旺处理”记录对应功能。</x:v>
      </x:c>
      <x:c r="AG80" s="90" t="str">
        <x:v>仅见表面十神名称或数量，但“不得以十神名称、数量或单一旺弱证据直接完成定性”所述限制存在时，不得套用本规则。</x:v>
      </x:c>
      <x:c r="AH80" s="68" t="str">
        <x:v>https://zh.wikisource.org/wiki/%E6%B8%8A%E6%B5%B7%E5%AD%90%E5%B9%B3%E5%A4%A7%E5%85%A8 ; https://zh.wikisource.org/wiki/%E6%BB%B4%E5%A4%A9%E9%AB%93%E9%97%A1%E5%BE%AE</x:v>
      </x:c>
      <x:c r="AI80" s="82" t="str">
        <x:v>采用</x:v>
      </x:c>
      <x:c r="AJ80" s="82" t="str">
        <x:v>初审</x:v>
      </x:c>
      <x:c r="AK80" s="87" t="n">
        <x:v>46255</x:v>
      </x:c>
    </x:row>
    <x:row r="81">
      <x:c r="A81" s="72" t="str">
        <x:f>IF(OR(C81="",D81=""),"",B81&amp;"-"&amp;UPPER(C81)&amp;"-"&amp;TEXT(D81,"0000")&amp;"-"&amp;E81)</x:f>
        <x:v>M10-CAI-0075-V1.0</x:v>
      </x:c>
      <x:c r="B81" s="74" t="str">
        <x:v>M10</x:v>
      </x:c>
      <x:c r="C81" s="74" t="str">
        <x:v>CAI</x:v>
      </x:c>
      <x:c r="D81" s="215" t="n">
        <x:v>75</x:v>
      </x:c>
      <x:c r="E81" s="74" t="str">
        <x:v>V1.0</x:v>
      </x:c>
      <x:c r="F81" s="68" t="str">
        <x:v>财星旺弱与财富结果必须分离</x:v>
      </x:c>
      <x:c r="G81" s="82" t="str">
        <x:v>结构层</x:v>
      </x:c>
      <x:c r="H81" s="82" t="str">
        <x:v>正财</x:v>
      </x:c>
      <x:c r="I81" s="82" t="str">
        <x:v>待定</x:v>
      </x:c>
      <x:c r="J81" s="82" t="str">
        <x:v>待定</x:v>
      </x:c>
      <x:c r="K81" s="82" t="str">
        <x:v>待定</x:v>
      </x:c>
      <x:c r="L81" s="82" t="str">
        <x:v>待定</x:v>
      </x:c>
      <x:c r="M81" s="68" t="str">
        <x:v>按M08核查</x:v>
      </x:c>
      <x:c r="N81" s="68" t="str">
        <x:v>按M06/M08核查</x:v>
      </x:c>
      <x:c r="O81" s="82" t="str">
        <x:v>待定</x:v>
      </x:c>
      <x:c r="P81" s="68" t="str">
        <x:v>转M11/M14判断</x:v>
      </x:c>
      <x:c r="Q81" s="68" t="str">
        <x:v>需结合M09日主承载判断</x:v>
      </x:c>
      <x:c r="R81" s="82" t="str">
        <x:v>待定</x:v>
      </x:c>
      <x:c r="S81" s="68" t="str">
        <x:v>财星有效旺衰已经确定</x:v>
      </x:c>
      <x:c r="T81" s="68" t="str">
        <x:v>M02十神映射、M08五行有效旺衰、M09日主旺衰已完成</x:v>
      </x:c>
      <x:c r="U81" s="68" t="str">
        <x:v>相关十神已由M02正确映射，并以M08有效力量为准</x:v>
      </x:c>
      <x:c r="V81" s="68" t="str">
        <x:v>得令、有根、透干、同党或生源形成独立有效证据</x:v>
      </x:c>
      <x:c r="W81" s="68" t="str">
        <x:v>失令、无根、被合绊、被制、改性或作用路径受阻</x:v>
      </x:c>
      <x:c r="X81" s="90" t="str">
        <x:v>不得以十神名称、数量或单一旺弱证据直接完成定性</x:v>
      </x:c>
      <x:c r="Y81" s="68" t="str">
        <x:v>特殊格局、从化候选及明确组合转M11/M14另审</x:v>
      </x:c>
      <x:c r="Z81" s="68" t="str">
        <x:v>不得由财旺直接推出富、财弱直接推出贫或具体收入水平</x:v>
      </x:c>
      <x:c r="AA81" s="84" t="str">
        <x:v>财星力量价值分离</x:v>
      </x:c>
      <x:c r="AB81" s="84" t="str">
        <x:v>财星旺弱与财富结果必须分离：当“财星有效旺衰已经确定”成立时，按本规则记录十神的有效功能；同时保留制化、承载和反向证据。</x:v>
      </x:c>
      <x:c r="AC81" s="82" t="str">
        <x:v>较高</x:v>
      </x:c>
      <x:c r="AD81" s="82" t="str">
        <x:v>现代综合</x:v>
      </x:c>
      <x:c r="AE81" s="68" t="str">
        <x:v>十神必须分开判断存在性、力量、清纯度、功能性与喜忌性；M10只形成结构层结论和候选，不越级替代M11—M18。</x:v>
      </x:c>
      <x:c r="AF81" s="68" t="str">
        <x:v>相关条件真实成立，且增强条件有效时，可按“财星旺弱与财富结果必须分离”记录对应功能。</x:v>
      </x:c>
      <x:c r="AG81" s="90" t="str">
        <x:v>仅见表面十神名称或数量，但“不得以十神名称、数量或单一旺弱证据直接完成定性”所述限制存在时，不得套用本规则。</x:v>
      </x:c>
      <x:c r="AH81" s="68" t="str">
        <x:v>https://zh.wikisource.org/wiki/%E6%B8%8A%E6%B5%B7%E5%AD%90%E5%B9%B3%E5%A4%A7%E5%85%A8 ; https://zh.wikisource.org/wiki/%E6%BB%B4%E5%A4%A9%E9%AB%93%E9%97%A1%E5%BE%AE</x:v>
      </x:c>
      <x:c r="AI81" s="82" t="str">
        <x:v>采用</x:v>
      </x:c>
      <x:c r="AJ81" s="82" t="str">
        <x:v>初审</x:v>
      </x:c>
      <x:c r="AK81" s="87" t="n">
        <x:v>46255</x:v>
      </x:c>
    </x:row>
    <x:row r="82">
      <x:c r="A82" s="72" t="str">
        <x:f>IF(OR(C82="",D82=""),"",B82&amp;"-"&amp;UPPER(C82)&amp;"-"&amp;TEXT(D82,"0000")&amp;"-"&amp;E82)</x:f>
        <x:v>M10-CAI-0076-V1.0</x:v>
      </x:c>
      <x:c r="B82" s="74" t="str">
        <x:v>M10</x:v>
      </x:c>
      <x:c r="C82" s="74" t="str">
        <x:v>CAI</x:v>
      </x:c>
      <x:c r="D82" s="215" t="n">
        <x:v>76</x:v>
      </x:c>
      <x:c r="E82" s="74" t="str">
        <x:v>V1.0</x:v>
      </x:c>
      <x:c r="F82" s="68" t="str">
        <x:v>财星喜忌须同时读取日主承载与格局功能</x:v>
      </x:c>
      <x:c r="G82" s="82" t="str">
        <x:v>结构层</x:v>
      </x:c>
      <x:c r="H82" s="82" t="str">
        <x:v>偏财</x:v>
      </x:c>
      <x:c r="I82" s="82" t="str">
        <x:v>待定</x:v>
      </x:c>
      <x:c r="J82" s="82" t="str">
        <x:v>待定</x:v>
      </x:c>
      <x:c r="K82" s="82" t="str">
        <x:v>待定</x:v>
      </x:c>
      <x:c r="L82" s="82" t="str">
        <x:v>待定</x:v>
      </x:c>
      <x:c r="M82" s="68" t="str">
        <x:v>按M08核查</x:v>
      </x:c>
      <x:c r="N82" s="68" t="str">
        <x:v>按M06/M08核查</x:v>
      </x:c>
      <x:c r="O82" s="82" t="str">
        <x:v>待定</x:v>
      </x:c>
      <x:c r="P82" s="68" t="str">
        <x:v>转M11/M14判断</x:v>
      </x:c>
      <x:c r="Q82" s="68" t="str">
        <x:v>需结合M09日主承载判断</x:v>
      </x:c>
      <x:c r="R82" s="82" t="str">
        <x:v>待定</x:v>
      </x:c>
      <x:c r="S82" s="68" t="str">
        <x:v>判断偏财价值时，同时核查M09承载和M11/M14结构角色</x:v>
      </x:c>
      <x:c r="T82" s="68" t="str">
        <x:v>M02十神映射、M08五行有效旺衰、M09日主旺衰已完成</x:v>
      </x:c>
      <x:c r="U82" s="68" t="str">
        <x:v>相关十神已由M02正确映射，并以M08有效力量为准</x:v>
      </x:c>
      <x:c r="V82" s="68" t="str">
        <x:v>得令、有根、透干、同党或生源形成独立有效证据</x:v>
      </x:c>
      <x:c r="W82" s="68" t="str">
        <x:v>失令、无根、被合绊、被制、改性或作用路径受阻</x:v>
      </x:c>
      <x:c r="X82" s="90" t="str">
        <x:v>不得以十神名称、数量或单一旺弱证据直接完成定性</x:v>
      </x:c>
      <x:c r="Y82" s="68" t="str">
        <x:v>特殊格局、从化候选及明确组合转M11/M14另审</x:v>
      </x:c>
      <x:c r="Z82" s="68" t="str">
        <x:v>不得直接推出吉凶、具体事件、亲属结果或最终喜忌</x:v>
      </x:c>
      <x:c r="AA82" s="84" t="str">
        <x:v>财星喜忌联判</x:v>
      </x:c>
      <x:c r="AB82" s="84" t="str">
        <x:v>财星喜忌须同时读取日主承载与格局功能：当“判断偏财价值时，同时核查M09承载和M11/M14结构角色”成立时，按本规则记录十神的有效功能；同时保留制化、承载和反向证据。</x:v>
      </x:c>
      <x:c r="AC82" s="82" t="str">
        <x:v>较高</x:v>
      </x:c>
      <x:c r="AD82" s="82" t="str">
        <x:v>现代综合</x:v>
      </x:c>
      <x:c r="AE82" s="68" t="str">
        <x:v>十神必须分开判断存在性、力量、清纯度、功能性与喜忌性；M10只形成结构层结论和候选，不越级替代M11—M18。</x:v>
      </x:c>
      <x:c r="AF82" s="68" t="str">
        <x:v>相关条件真实成立，且增强条件有效时，可按“财星喜忌须同时读取日主承载与格局功能”记录对应功能。</x:v>
      </x:c>
      <x:c r="AG82" s="90" t="str">
        <x:v>仅见表面十神名称或数量，但“不得以十神名称、数量或单一旺弱证据直接完成定性”所述限制存在时，不得套用本规则。</x:v>
      </x:c>
      <x:c r="AH82" s="68" t="str">
        <x:v>https://zh.wikisource.org/wiki/%E6%B8%8A%E6%B5%B7%E5%AD%90%E5%B9%B3%E5%A4%A7%E5%85%A8 ; https://zh.wikisource.org/wiki/%E6%BB%B4%E5%A4%A9%E9%AB%93%E9%97%A1%E5%BE%AE</x:v>
      </x:c>
      <x:c r="AI82" s="82" t="str">
        <x:v>采用</x:v>
      </x:c>
      <x:c r="AJ82" s="82" t="str">
        <x:v>初审</x:v>
      </x:c>
      <x:c r="AK82" s="87" t="n">
        <x:v>46255</x:v>
      </x:c>
    </x:row>
    <x:row r="83">
      <x:c r="A83" s="72" t="str">
        <x:f>IF(OR(C83="",D83=""),"",B83&amp;"-"&amp;UPPER(C83)&amp;"-"&amp;TEXT(D83,"0000")&amp;"-"&amp;E83)</x:f>
        <x:v>M10-GUANSHA-0077-V1.0</x:v>
      </x:c>
      <x:c r="B83" s="74" t="str">
        <x:v>M10</x:v>
      </x:c>
      <x:c r="C83" s="74" t="str">
        <x:v>GUANSHA</x:v>
      </x:c>
      <x:c r="D83" s="215" t="n">
        <x:v>77</x:v>
      </x:c>
      <x:c r="E83" s="74" t="str">
        <x:v>V1.0</x:v>
      </x:c>
      <x:c r="F83" s="68" t="str">
        <x:v>有效正官首先承担制身和生印接口</x:v>
      </x:c>
      <x:c r="G83" s="82" t="str">
        <x:v>结构层</x:v>
      </x:c>
      <x:c r="H83" s="82" t="str">
        <x:v>正官</x:v>
      </x:c>
      <x:c r="I83" s="82" t="str">
        <x:v>待定</x:v>
      </x:c>
      <x:c r="J83" s="82" t="str">
        <x:v>待定</x:v>
      </x:c>
      <x:c r="K83" s="82" t="str">
        <x:v>待定</x:v>
      </x:c>
      <x:c r="L83" s="82" t="str">
        <x:v>待定</x:v>
      </x:c>
      <x:c r="M83" s="68" t="str">
        <x:v>按M08核查</x:v>
      </x:c>
      <x:c r="N83" s="68" t="str">
        <x:v>按M06/M08核查</x:v>
      </x:c>
      <x:c r="O83" s="82" t="str">
        <x:v>正常发挥</x:v>
      </x:c>
      <x:c r="P83" s="68" t="str">
        <x:v>转M11/M14判断</x:v>
      </x:c>
      <x:c r="Q83" s="68" t="str">
        <x:v>对日主形成规范性克制，并可生印</x:v>
      </x:c>
      <x:c r="R83" s="82" t="str">
        <x:v>待定</x:v>
      </x:c>
      <x:c r="S83" s="68" t="str">
        <x:v>正官有效存在</x:v>
      </x:c>
      <x:c r="T83" s="68" t="str">
        <x:v>M02十神映射、M08五行有效旺衰、M09日主旺衰已完成</x:v>
      </x:c>
      <x:c r="U83" s="68" t="str">
        <x:v>相关十神已由M02正确映射，并以M08有效力量为准</x:v>
      </x:c>
      <x:c r="V83" s="68" t="str">
        <x:v>得令、有根、透干、同党或生源形成独立有效证据</x:v>
      </x:c>
      <x:c r="W83" s="68" t="str">
        <x:v>失令、无根、被合绊、被制、改性或作用路径受阻</x:v>
      </x:c>
      <x:c r="X83" s="90" t="str">
        <x:v>不得以十神名称、数量或单一旺弱证据直接完成定性</x:v>
      </x:c>
      <x:c r="Y83" s="68" t="str">
        <x:v>特殊格局、从化候选及明确组合转M11/M14另审</x:v>
      </x:c>
      <x:c r="Z83" s="68" t="str">
        <x:v>不得直接推出吉凶、具体事件、亲属结果或最终喜忌</x:v>
      </x:c>
      <x:c r="AA83" s="84" t="str">
        <x:v>正官基本功能</x:v>
      </x:c>
      <x:c r="AB83" s="84" t="str">
        <x:v>有效正官首先承担制身和生印接口：当“正官有效存在”成立时，按本规则记录十神的有效功能；同时保留制化、承载和反向证据。</x:v>
      </x:c>
      <x:c r="AC83" s="82" t="str">
        <x:v>较高</x:v>
      </x:c>
      <x:c r="AD83" s="82" t="str">
        <x:v>现代综合</x:v>
      </x:c>
      <x:c r="AE83" s="68" t="str">
        <x:v>十神必须分开判断存在性、力量、清纯度、功能性与喜忌性；M10只形成结构层结论和候选，不越级替代M11—M18。</x:v>
      </x:c>
      <x:c r="AF83" s="68" t="str">
        <x:v>相关条件真实成立，且增强条件有效时，可按“有效正官首先承担制身和生印接口”记录对应功能。</x:v>
      </x:c>
      <x:c r="AG83" s="90" t="str">
        <x:v>仅见表面十神名称或数量，但“不得以十神名称、数量或单一旺弱证据直接完成定性”所述限制存在时，不得套用本规则。</x:v>
      </x:c>
      <x:c r="AH83" s="68" t="str">
        <x:v>https://zh.wikisource.org/wiki/%E6%B8%8A%E6%B5%B7%E5%AD%90%E5%B9%B3%E5%A4%A7%E5%85%A8 ; https://zh.wikisource.org/wiki/%E6%BB%B4%E5%A4%A9%E9%AB%93%E9%97%A1%E5%BE%AE</x:v>
      </x:c>
      <x:c r="AI83" s="82" t="str">
        <x:v>采用</x:v>
      </x:c>
      <x:c r="AJ83" s="82" t="str">
        <x:v>初审</x:v>
      </x:c>
      <x:c r="AK83" s="87" t="n">
        <x:v>46255</x:v>
      </x:c>
    </x:row>
    <x:row r="84">
      <x:c r="A84" s="72" t="str">
        <x:f>IF(OR(C84="",D84=""),"",B84&amp;"-"&amp;UPPER(C84)&amp;"-"&amp;TEXT(D84,"0000")&amp;"-"&amp;E84)</x:f>
        <x:v>M10-GUANSHA-0078-V1.0</x:v>
      </x:c>
      <x:c r="B84" s="74" t="str">
        <x:v>M10</x:v>
      </x:c>
      <x:c r="C84" s="74" t="str">
        <x:v>GUANSHA</x:v>
      </x:c>
      <x:c r="D84" s="215" t="n">
        <x:v>78</x:v>
      </x:c>
      <x:c r="E84" s="74" t="str">
        <x:v>V1.0</x:v>
      </x:c>
      <x:c r="F84" s="68" t="str">
        <x:v>有效七杀形成更直接的制身压力候选</x:v>
      </x:c>
      <x:c r="G84" s="82" t="str">
        <x:v>结构层</x:v>
      </x:c>
      <x:c r="H84" s="82" t="str">
        <x:v>七杀</x:v>
      </x:c>
      <x:c r="I84" s="82" t="str">
        <x:v>待定</x:v>
      </x:c>
      <x:c r="J84" s="82" t="str">
        <x:v>待定</x:v>
      </x:c>
      <x:c r="K84" s="82" t="str">
        <x:v>待定</x:v>
      </x:c>
      <x:c r="L84" s="82" t="str">
        <x:v>待定</x:v>
      </x:c>
      <x:c r="M84" s="68" t="str">
        <x:v>按M08核查</x:v>
      </x:c>
      <x:c r="N84" s="68" t="str">
        <x:v>按M06/M08核查</x:v>
      </x:c>
      <x:c r="O84" s="82" t="str">
        <x:v>正常发挥</x:v>
      </x:c>
      <x:c r="P84" s="68" t="str">
        <x:v>转M11/M14判断</x:v>
      </x:c>
      <x:c r="Q84" s="68" t="str">
        <x:v>对日主形成制身压力，强弱取决于七杀有效力和日主承载</x:v>
      </x:c>
      <x:c r="R84" s="82" t="str">
        <x:v>待定</x:v>
      </x:c>
      <x:c r="S84" s="68" t="str">
        <x:v>七杀有效存在</x:v>
      </x:c>
      <x:c r="T84" s="68" t="str">
        <x:v>M02十神映射、M08五行有效旺衰、M09日主旺衰已完成</x:v>
      </x:c>
      <x:c r="U84" s="68" t="str">
        <x:v>相关十神已由M02正确映射，并以M08有效力量为准</x:v>
      </x:c>
      <x:c r="V84" s="68" t="str">
        <x:v>得令、有根、透干、同党或生源形成独立有效证据</x:v>
      </x:c>
      <x:c r="W84" s="68" t="str">
        <x:v>失令、无根、被合绊、被制、改性或作用路径受阻</x:v>
      </x:c>
      <x:c r="X84" s="90" t="str">
        <x:v>不得以十神名称、数量或单一旺弱证据直接完成定性</x:v>
      </x:c>
      <x:c r="Y84" s="68" t="str">
        <x:v>特殊格局、从化候选及明确组合转M11/M14另审</x:v>
      </x:c>
      <x:c r="Z84" s="68" t="str">
        <x:v>不得直接推出吉凶、具体事件、亲属结果或最终喜忌</x:v>
      </x:c>
      <x:c r="AA84" s="84" t="str">
        <x:v>七杀制身</x:v>
      </x:c>
      <x:c r="AB84" s="84" t="str">
        <x:v>有效七杀形成更直接的制身压力候选：当“七杀有效存在”成立时，按本规则记录十神的有效功能；同时保留制化、承载和反向证据。</x:v>
      </x:c>
      <x:c r="AC84" s="82" t="str">
        <x:v>较高</x:v>
      </x:c>
      <x:c r="AD84" s="82" t="str">
        <x:v>现代综合</x:v>
      </x:c>
      <x:c r="AE84" s="68" t="str">
        <x:v>十神必须分开判断存在性、力量、清纯度、功能性与喜忌性；M10只形成结构层结论和候选，不越级替代M11—M18。</x:v>
      </x:c>
      <x:c r="AF84" s="68" t="str">
        <x:v>相关条件真实成立，且增强条件有效时，可按“有效七杀形成更直接的制身压力候选”记录对应功能。</x:v>
      </x:c>
      <x:c r="AG84" s="90" t="str">
        <x:v>仅见表面十神名称或数量，但“不得以十神名称、数量或单一旺弱证据直接完成定性”所述限制存在时，不得套用本规则。</x:v>
      </x:c>
      <x:c r="AH84" s="68" t="str">
        <x:v>https://zh.wikisource.org/wiki/%E6%B8%8A%E6%B5%B7%E5%AD%90%E5%B9%B3%E5%A4%A7%E5%85%A8 ; https://zh.wikisource.org/wiki/%E6%BB%B4%E5%A4%A9%E9%AB%93%E9%97%A1%E5%BE%AE</x:v>
      </x:c>
      <x:c r="AI84" s="82" t="str">
        <x:v>采用</x:v>
      </x:c>
      <x:c r="AJ84" s="82" t="str">
        <x:v>初审</x:v>
      </x:c>
      <x:c r="AK84" s="87" t="n">
        <x:v>46255</x:v>
      </x:c>
    </x:row>
    <x:row r="85">
      <x:c r="A85" s="72" t="str">
        <x:f>IF(OR(C85="",D85=""),"",B85&amp;"-"&amp;UPPER(C85)&amp;"-"&amp;TEXT(D85,"0000")&amp;"-"&amp;E85)</x:f>
        <x:v>M10-GUANSHA-0079-V1.0</x:v>
      </x:c>
      <x:c r="B85" s="74" t="str">
        <x:v>M10</x:v>
      </x:c>
      <x:c r="C85" s="74" t="str">
        <x:v>GUANSHA</x:v>
      </x:c>
      <x:c r="D85" s="215" t="n">
        <x:v>79</x:v>
      </x:c>
      <x:c r="E85" s="74" t="str">
        <x:v>V1.0</x:v>
      </x:c>
      <x:c r="F85" s="68" t="str">
        <x:v>身旺官星适度可形成制衡候选</x:v>
      </x:c>
      <x:c r="G85" s="82" t="str">
        <x:v>结构层</x:v>
      </x:c>
      <x:c r="H85" s="82" t="str">
        <x:v>正官</x:v>
      </x:c>
      <x:c r="I85" s="82" t="str">
        <x:v>待定</x:v>
      </x:c>
      <x:c r="J85" s="82" t="str">
        <x:v>待定</x:v>
      </x:c>
      <x:c r="K85" s="82" t="str">
        <x:v>待定</x:v>
      </x:c>
      <x:c r="L85" s="82" t="str">
        <x:v>待定</x:v>
      </x:c>
      <x:c r="M85" s="68" t="str">
        <x:v>按M08核查</x:v>
      </x:c>
      <x:c r="N85" s="68" t="str">
        <x:v>按M06/M08核查</x:v>
      </x:c>
      <x:c r="O85" s="82" t="str">
        <x:v>待定</x:v>
      </x:c>
      <x:c r="P85" s="68" t="str">
        <x:v>转M11/M14判断</x:v>
      </x:c>
      <x:c r="Q85" s="68" t="str">
        <x:v>对过强日主形成约束</x:v>
      </x:c>
      <x:c r="R85" s="82" t="str">
        <x:v>条件性喜神</x:v>
      </x:c>
      <x:c r="S85" s="68" t="str">
        <x:v>M09日主旺或中和偏旺，正官有效且不过度</x:v>
      </x:c>
      <x:c r="T85" s="68" t="str">
        <x:v>M02十神映射、M08五行有效旺衰、M09日主旺衰已完成</x:v>
      </x:c>
      <x:c r="U85" s="68" t="str">
        <x:v>相关十神已由M02正确映射，并以M08有效力量为准</x:v>
      </x:c>
      <x:c r="V85" s="68" t="str">
        <x:v>得令、有根、透干、同党或生源形成独立有效证据</x:v>
      </x:c>
      <x:c r="W85" s="68" t="str">
        <x:v>失令、无根、被合绊、被制、改性或作用路径受阻</x:v>
      </x:c>
      <x:c r="X85" s="90" t="str">
        <x:v>不得以十神名称、数量或单一旺弱证据直接完成定性</x:v>
      </x:c>
      <x:c r="Y85" s="68" t="str">
        <x:v>特殊格局、从化候选及明确组合转M11/M14另审</x:v>
      </x:c>
      <x:c r="Z85" s="68" t="str">
        <x:v>不得直接推出吉凶、具体事件、亲属结果或最终喜忌</x:v>
      </x:c>
      <x:c r="AA85" s="84" t="str">
        <x:v>身旺官星制衡</x:v>
      </x:c>
      <x:c r="AB85" s="84" t="str">
        <x:v>身旺官星适度可形成制衡候选：当“M09日主旺或中和偏旺，正官有效且不过度”成立时，按本规则记录十神的有效功能；同时保留制化、承载和反向证据。</x:v>
      </x:c>
      <x:c r="AC85" s="82" t="str">
        <x:v>较高</x:v>
      </x:c>
      <x:c r="AD85" s="82" t="str">
        <x:v>现代综合</x:v>
      </x:c>
      <x:c r="AE85" s="68" t="str">
        <x:v>十神必须分开判断存在性、力量、清纯度、功能性与喜忌性；M10只形成结构层结论和候选，不越级替代M11—M18。</x:v>
      </x:c>
      <x:c r="AF85" s="68" t="str">
        <x:v>相关条件真实成立，且增强条件有效时，可按“身旺官星适度可形成制衡候选”记录对应功能。</x:v>
      </x:c>
      <x:c r="AG85" s="90" t="str">
        <x:v>仅见表面十神名称或数量，但“不得以十神名称、数量或单一旺弱证据直接完成定性”所述限制存在时，不得套用本规则。</x:v>
      </x:c>
      <x:c r="AH85" s="68" t="str">
        <x:v>https://zh.wikisource.org/wiki/%E6%B8%8A%E6%B5%B7%E5%AD%90%E5%B9%B3%E5%A4%A7%E5%85%A8 ; https://zh.wikisource.org/wiki/%E6%BB%B4%E5%A4%A9%E9%AB%93%E9%97%A1%E5%BE%AE</x:v>
      </x:c>
      <x:c r="AI85" s="82" t="str">
        <x:v>采用</x:v>
      </x:c>
      <x:c r="AJ85" s="82" t="str">
        <x:v>初审</x:v>
      </x:c>
      <x:c r="AK85" s="87" t="n">
        <x:v>46255</x:v>
      </x:c>
    </x:row>
    <x:row r="86">
      <x:c r="A86" s="72" t="str">
        <x:f>IF(OR(C86="",D86=""),"",B86&amp;"-"&amp;UPPER(C86)&amp;"-"&amp;TEXT(D86,"0000")&amp;"-"&amp;E86)</x:f>
        <x:v>M10-GUANSHA-0080-V1.0</x:v>
      </x:c>
      <x:c r="B86" s="74" t="str">
        <x:v>M10</x:v>
      </x:c>
      <x:c r="C86" s="74" t="str">
        <x:v>GUANSHA</x:v>
      </x:c>
      <x:c r="D86" s="215" t="n">
        <x:v>80</x:v>
      </x:c>
      <x:c r="E86" s="74" t="str">
        <x:v>V1.0</x:v>
      </x:c>
      <x:c r="F86" s="68" t="str">
        <x:v>身弱杀旺无制化时属于高压力候选</x:v>
      </x:c>
      <x:c r="G86" s="82" t="str">
        <x:v>结构层</x:v>
      </x:c>
      <x:c r="H86" s="82" t="str">
        <x:v>七杀</x:v>
      </x:c>
      <x:c r="I86" s="82" t="str">
        <x:v>待定</x:v>
      </x:c>
      <x:c r="J86" s="82" t="str">
        <x:v>待定</x:v>
      </x:c>
      <x:c r="K86" s="82" t="str">
        <x:v>待定</x:v>
      </x:c>
      <x:c r="L86" s="82" t="str">
        <x:v>待定</x:v>
      </x:c>
      <x:c r="M86" s="68" t="str">
        <x:v>按M08核查</x:v>
      </x:c>
      <x:c r="N86" s="68" t="str">
        <x:v>按M06/M08核查</x:v>
      </x:c>
      <x:c r="O86" s="82" t="str">
        <x:v>过度</x:v>
      </x:c>
      <x:c r="P86" s="68" t="str">
        <x:v>转M11/M14判断</x:v>
      </x:c>
      <x:c r="Q86" s="68" t="str">
        <x:v>制身压力超过承载</x:v>
      </x:c>
      <x:c r="R86" s="82" t="str">
        <x:v>条件性忌神</x:v>
      </x:c>
      <x:c r="S86" s="68" t="str">
        <x:v>M09日主弱或中和偏弱，七杀旺且缺少印化食制</x:v>
      </x:c>
      <x:c r="T86" s="68" t="str">
        <x:v>M02十神映射、M08五行有效旺衰、M09日主旺衰已完成</x:v>
      </x:c>
      <x:c r="U86" s="68" t="str">
        <x:v>相关十神已由M02正确映射，并以M08有效力量为准</x:v>
      </x:c>
      <x:c r="V86" s="68" t="str">
        <x:v>得令、有根、透干、同党或生源形成独立有效证据</x:v>
      </x:c>
      <x:c r="W86" s="68" t="str">
        <x:v>失令、无根、被合绊、被制、改性或作用路径受阻</x:v>
      </x:c>
      <x:c r="X86" s="90" t="str">
        <x:v>不得以十神名称、数量或单一旺弱证据直接完成定性</x:v>
      </x:c>
      <x:c r="Y86" s="68" t="str">
        <x:v>特殊格局、从化候选及明确组合转M11/M14另审</x:v>
      </x:c>
      <x:c r="Z86" s="68" t="str">
        <x:v>不得直接推出吉凶、具体事件、亲属结果或最终喜忌</x:v>
      </x:c>
      <x:c r="AA86" s="84" t="str">
        <x:v>杀旺攻身候选</x:v>
      </x:c>
      <x:c r="AB86" s="84" t="str">
        <x:v>身弱杀旺无制化时属于高压力候选：当“M09日主弱或中和偏弱，七杀旺且缺少印化食制”成立时，按本规则记录十神的有效功能；同时保留制化、承载和反向证据。</x:v>
      </x:c>
      <x:c r="AC86" s="82" t="str">
        <x:v>较高</x:v>
      </x:c>
      <x:c r="AD86" s="82" t="str">
        <x:v>现代综合</x:v>
      </x:c>
      <x:c r="AE86" s="68" t="str">
        <x:v>十神必须分开判断存在性、力量、清纯度、功能性与喜忌性；M10只形成结构层结论和候选，不越级替代M11—M18。</x:v>
      </x:c>
      <x:c r="AF86" s="68" t="str">
        <x:v>相关条件真实成立，且增强条件有效时，可按“身弱杀旺无制化时属于高压力候选”记录对应功能。</x:v>
      </x:c>
      <x:c r="AG86" s="90" t="str">
        <x:v>仅见表面十神名称或数量，但“不得以十神名称、数量或单一旺弱证据直接完成定性”所述限制存在时，不得套用本规则。</x:v>
      </x:c>
      <x:c r="AH86" s="68" t="str">
        <x:v>https://zh.wikisource.org/wiki/%E6%B8%8A%E6%B5%B7%E5%AD%90%E5%B9%B3%E5%A4%A7%E5%85%A8 ; https://zh.wikisource.org/wiki/%E6%BB%B4%E5%A4%A9%E9%AB%93%E9%97%A1%E5%BE%AE</x:v>
      </x:c>
      <x:c r="AI86" s="82" t="str">
        <x:v>采用</x:v>
      </x:c>
      <x:c r="AJ86" s="82" t="str">
        <x:v>初审</x:v>
      </x:c>
      <x:c r="AK86" s="87" t="n">
        <x:v>46255</x:v>
      </x:c>
    </x:row>
    <x:row r="87">
      <x:c r="A87" s="72" t="str">
        <x:f>IF(OR(C87="",D87=""),"",B87&amp;"-"&amp;UPPER(C87)&amp;"-"&amp;TEXT(D87,"0000")&amp;"-"&amp;E87)</x:f>
        <x:v>M10-GUANSHA-0081-V1.0</x:v>
      </x:c>
      <x:c r="B87" s="74" t="str">
        <x:v>M10</x:v>
      </x:c>
      <x:c r="C87" s="74" t="str">
        <x:v>GUANSHA</x:v>
      </x:c>
      <x:c r="D87" s="215" t="n">
        <x:v>81</x:v>
      </x:c>
      <x:c r="E87" s="74" t="str">
        <x:v>V1.0</x:v>
      </x:c>
      <x:c r="F87" s="68" t="str">
        <x:v>正官受伤官有效克制时功能受限</x:v>
      </x:c>
      <x:c r="G87" s="82" t="str">
        <x:v>结构层</x:v>
      </x:c>
      <x:c r="H87" s="82" t="str">
        <x:v>正官</x:v>
      </x:c>
      <x:c r="I87" s="82" t="str">
        <x:v>待定</x:v>
      </x:c>
      <x:c r="J87" s="82" t="str">
        <x:v>待定</x:v>
      </x:c>
      <x:c r="K87" s="82" t="str">
        <x:v>待定</x:v>
      </x:c>
      <x:c r="L87" s="82" t="str">
        <x:v>待定</x:v>
      </x:c>
      <x:c r="M87" s="68" t="str">
        <x:v>按M08核查</x:v>
      </x:c>
      <x:c r="N87" s="68" t="str">
        <x:v>受伤官有效克制</x:v>
      </x:c>
      <x:c r="O87" s="82" t="str">
        <x:v>受限</x:v>
      </x:c>
      <x:c r="P87" s="68" t="str">
        <x:v>转M11/M14判断</x:v>
      </x:c>
      <x:c r="Q87" s="68" t="str">
        <x:v>需结合M09日主承载判断</x:v>
      </x:c>
      <x:c r="R87" s="82" t="str">
        <x:v>待定</x:v>
      </x:c>
      <x:c r="S87" s="68" t="str">
        <x:v>伤官对正官形成实质克制</x:v>
      </x:c>
      <x:c r="T87" s="68" t="str">
        <x:v>M02十神映射、M08五行有效旺衰、M09日主旺衰已完成</x:v>
      </x:c>
      <x:c r="U87" s="68" t="str">
        <x:v>相关十神已由M02正确映射，并以M08有效力量为准</x:v>
      </x:c>
      <x:c r="V87" s="68" t="str">
        <x:v>得令、有根、透干、同党或生源形成独立有效证据</x:v>
      </x:c>
      <x:c r="W87" s="68" t="str">
        <x:v>失令、无根、被合绊、被制、改性或作用路径受阻</x:v>
      </x:c>
      <x:c r="X87" s="90" t="str">
        <x:v>不得以十神名称、数量或单一旺弱证据直接完成定性</x:v>
      </x:c>
      <x:c r="Y87" s="68" t="str">
        <x:v>特殊格局、从化候选及明确组合转M11/M14另审</x:v>
      </x:c>
      <x:c r="Z87" s="68" t="str">
        <x:v>不得直接推出吉凶、具体事件、亲属结果或最终喜忌</x:v>
      </x:c>
      <x:c r="AA87" s="84" t="str">
        <x:v>官受伤官制</x:v>
      </x:c>
      <x:c r="AB87" s="84" t="str">
        <x:v>正官受伤官有效克制时功能受限：当“伤官对正官形成实质克制”成立时，按本规则记录十神的有效功能；同时保留制化、承载和反向证据。</x:v>
      </x:c>
      <x:c r="AC87" s="82" t="str">
        <x:v>较高</x:v>
      </x:c>
      <x:c r="AD87" s="82" t="str">
        <x:v>现代综合</x:v>
      </x:c>
      <x:c r="AE87" s="68" t="str">
        <x:v>十神必须分开判断存在性、力量、清纯度、功能性与喜忌性；M10只形成结构层结论和候选，不越级替代M11—M18。</x:v>
      </x:c>
      <x:c r="AF87" s="68" t="str">
        <x:v>相关条件真实成立，且增强条件有效时，可按“正官受伤官有效克制时功能受限”记录对应功能。</x:v>
      </x:c>
      <x:c r="AG87" s="90" t="str">
        <x:v>仅见表面十神名称或数量，但“不得以十神名称、数量或单一旺弱证据直接完成定性”所述限制存在时，不得套用本规则。</x:v>
      </x:c>
      <x:c r="AH87" s="68" t="str">
        <x:v>https://zh.wikisource.org/wiki/%E6%B8%8A%E6%B5%B7%E5%AD%90%E5%B9%B3%E5%A4%A7%E5%85%A8 ; https://zh.wikisource.org/wiki/%E6%BB%B4%E5%A4%A9%E9%AB%93%E9%97%A1%E5%BE%AE</x:v>
      </x:c>
      <x:c r="AI87" s="82" t="str">
        <x:v>采用</x:v>
      </x:c>
      <x:c r="AJ87" s="82" t="str">
        <x:v>初审</x:v>
      </x:c>
      <x:c r="AK87" s="87" t="n">
        <x:v>46255</x:v>
      </x:c>
    </x:row>
    <x:row r="88">
      <x:c r="A88" s="72" t="str">
        <x:f>IF(OR(C88="",D88=""),"",B88&amp;"-"&amp;UPPER(C88)&amp;"-"&amp;TEXT(D88,"0000")&amp;"-"&amp;E88)</x:f>
        <x:v>M10-GUANSHA-0082-V1.0</x:v>
      </x:c>
      <x:c r="B88" s="74" t="str">
        <x:v>M10</x:v>
      </x:c>
      <x:c r="C88" s="74" t="str">
        <x:v>GUANSHA</x:v>
      </x:c>
      <x:c r="D88" s="215" t="n">
        <x:v>82</x:v>
      </x:c>
      <x:c r="E88" s="74" t="str">
        <x:v>V1.0</x:v>
      </x:c>
      <x:c r="F88" s="68" t="str">
        <x:v>七杀受食神有效制约时制身压力下降</x:v>
      </x:c>
      <x:c r="G88" s="82" t="str">
        <x:v>结构层</x:v>
      </x:c>
      <x:c r="H88" s="82" t="str">
        <x:v>七杀</x:v>
      </x:c>
      <x:c r="I88" s="82" t="str">
        <x:v>待定</x:v>
      </x:c>
      <x:c r="J88" s="82" t="str">
        <x:v>待定</x:v>
      </x:c>
      <x:c r="K88" s="82" t="str">
        <x:v>待定</x:v>
      </x:c>
      <x:c r="L88" s="82" t="str">
        <x:v>待定</x:v>
      </x:c>
      <x:c r="M88" s="68" t="str">
        <x:v>按M08核查</x:v>
      </x:c>
      <x:c r="N88" s="68" t="str">
        <x:v>受食神有效制约</x:v>
      </x:c>
      <x:c r="O88" s="82" t="str">
        <x:v>受限</x:v>
      </x:c>
      <x:c r="P88" s="68" t="str">
        <x:v>食神制杀候选转M11</x:v>
      </x:c>
      <x:c r="Q88" s="68" t="str">
        <x:v>需结合M09日主承载判断</x:v>
      </x:c>
      <x:c r="R88" s="82" t="str">
        <x:v>待定</x:v>
      </x:c>
      <x:c r="S88" s="68" t="str">
        <x:v>食神对七杀形成有效克制且力量匹配</x:v>
      </x:c>
      <x:c r="T88" s="68" t="str">
        <x:v>M02十神映射、M08五行有效旺衰、M09日主旺衰已完成</x:v>
      </x:c>
      <x:c r="U88" s="68" t="str">
        <x:v>相关十神已由M02正确映射，并以M08有效力量为准</x:v>
      </x:c>
      <x:c r="V88" s="68" t="str">
        <x:v>得令、有根、透干、同党或生源形成独立有效证据</x:v>
      </x:c>
      <x:c r="W88" s="68" t="str">
        <x:v>失令、无根、被合绊、被制、改性或作用路径受阻</x:v>
      </x:c>
      <x:c r="X88" s="90" t="str">
        <x:v>不得以十神名称、数量或单一旺弱证据直接完成定性</x:v>
      </x:c>
      <x:c r="Y88" s="68" t="str">
        <x:v>特殊格局、从化候选及明确组合转M11/M14另审</x:v>
      </x:c>
      <x:c r="Z88" s="68" t="str">
        <x:v>不得直接推出吉凶、具体事件、亲属结果或最终喜忌</x:v>
      </x:c>
      <x:c r="AA88" s="84" t="str">
        <x:v>杀受食制</x:v>
      </x:c>
      <x:c r="AB88" s="84" t="str">
        <x:v>七杀受食神有效制约时制身压力下降：当“食神对七杀形成有效克制且力量匹配”成立时，按本规则记录十神的有效功能；同时保留制化、承载和反向证据。</x:v>
      </x:c>
      <x:c r="AC88" s="82" t="str">
        <x:v>较高</x:v>
      </x:c>
      <x:c r="AD88" s="82" t="str">
        <x:v>现代综合</x:v>
      </x:c>
      <x:c r="AE88" s="68" t="str">
        <x:v>十神必须分开判断存在性、力量、清纯度、功能性与喜忌性；M10只形成结构层结论和候选，不越级替代M11—M18。</x:v>
      </x:c>
      <x:c r="AF88" s="68" t="str">
        <x:v>相关条件真实成立，且增强条件有效时，可按“七杀受食神有效制约时制身压力下降”记录对应功能。</x:v>
      </x:c>
      <x:c r="AG88" s="90" t="str">
        <x:v>仅见表面十神名称或数量，但“不得以十神名称、数量或单一旺弱证据直接完成定性”所述限制存在时，不得套用本规则。</x:v>
      </x:c>
      <x:c r="AH88" s="68" t="str">
        <x:v>https://zh.wikisource.org/wiki/%E6%B8%8A%E6%B5%B7%E5%AD%90%E5%B9%B3%E5%A4%A7%E5%85%A8 ; https://zh.wikisource.org/wiki/%E6%BB%B4%E5%A4%A9%E9%AB%93%E9%97%A1%E5%BE%AE</x:v>
      </x:c>
      <x:c r="AI88" s="82" t="str">
        <x:v>采用</x:v>
      </x:c>
      <x:c r="AJ88" s="82" t="str">
        <x:v>初审</x:v>
      </x:c>
      <x:c r="AK88" s="87" t="n">
        <x:v>46255</x:v>
      </x:c>
    </x:row>
    <x:row r="89">
      <x:c r="A89" s="72" t="str">
        <x:f>IF(OR(C89="",D89=""),"",B89&amp;"-"&amp;UPPER(C89)&amp;"-"&amp;TEXT(D89,"0000")&amp;"-"&amp;E89)</x:f>
        <x:v>M10-GUANSHA-0083-V1.0</x:v>
      </x:c>
      <x:c r="B89" s="74" t="str">
        <x:v>M10</x:v>
      </x:c>
      <x:c r="C89" s="74" t="str">
        <x:v>GUANSHA</x:v>
      </x:c>
      <x:c r="D89" s="215" t="n">
        <x:v>83</x:v>
      </x:c>
      <x:c r="E89" s="74" t="str">
        <x:v>V1.0</x:v>
      </x:c>
      <x:c r="F89" s="68" t="str">
        <x:v>七杀生印且印再生身时可由直接压力转为生扶链</x:v>
      </x:c>
      <x:c r="G89" s="82" t="str">
        <x:v>结构层</x:v>
      </x:c>
      <x:c r="H89" s="82" t="str">
        <x:v>七杀</x:v>
      </x:c>
      <x:c r="I89" s="82" t="str">
        <x:v>待定</x:v>
      </x:c>
      <x:c r="J89" s="82" t="str">
        <x:v>待定</x:v>
      </x:c>
      <x:c r="K89" s="82" t="str">
        <x:v>待定</x:v>
      </x:c>
      <x:c r="L89" s="82" t="str">
        <x:v>待定</x:v>
      </x:c>
      <x:c r="M89" s="68" t="str">
        <x:v>按M08核查</x:v>
      </x:c>
      <x:c r="N89" s="68" t="str">
        <x:v>按M06/M08核查</x:v>
      </x:c>
      <x:c r="O89" s="82" t="str">
        <x:v>转化</x:v>
      </x:c>
      <x:c r="P89" s="68" t="str">
        <x:v>杀印相生候选转M11</x:v>
      </x:c>
      <x:c r="Q89" s="68" t="str">
        <x:v>部分制身压力转化为印星生身资源</x:v>
      </x:c>
      <x:c r="R89" s="82" t="str">
        <x:v>待定</x:v>
      </x:c>
      <x:c r="S89" s="68" t="str">
        <x:v>七杀→印→日主链路连续有效</x:v>
      </x:c>
      <x:c r="T89" s="68" t="str">
        <x:v>M02十神映射、M08五行有效旺衰、M09日主旺衰已完成</x:v>
      </x:c>
      <x:c r="U89" s="68" t="str">
        <x:v>相关十神已由M02正确映射，并以M08有效力量为准</x:v>
      </x:c>
      <x:c r="V89" s="68" t="str">
        <x:v>得令、有根、透干、同党或生源形成独立有效证据</x:v>
      </x:c>
      <x:c r="W89" s="68" t="str">
        <x:v>失令、无根、被合绊、被制、改性或作用路径受阻</x:v>
      </x:c>
      <x:c r="X89" s="90" t="str">
        <x:v>不得以十神名称、数量或单一旺弱证据直接完成定性</x:v>
      </x:c>
      <x:c r="Y89" s="68" t="str">
        <x:v>特殊格局、从化候选及明确组合转M11/M14另审</x:v>
      </x:c>
      <x:c r="Z89" s="68" t="str">
        <x:v>不得直接推出吉凶、具体事件、亲属结果或最终喜忌</x:v>
      </x:c>
      <x:c r="AA89" s="84" t="str">
        <x:v>杀印转化</x:v>
      </x:c>
      <x:c r="AB89" s="84" t="str">
        <x:v>七杀生印且印再生身时可由直接压力转为生扶链：当“七杀→印→日主链路连续有效”成立时，按本规则记录十神的有效功能；同时保留制化、承载和反向证据。</x:v>
      </x:c>
      <x:c r="AC89" s="82" t="str">
        <x:v>较高</x:v>
      </x:c>
      <x:c r="AD89" s="82" t="str">
        <x:v>现代综合</x:v>
      </x:c>
      <x:c r="AE89" s="68" t="str">
        <x:v>十神必须分开判断存在性、力量、清纯度、功能性与喜忌性；M10只形成结构层结论和候选，不越级替代M11—M18。</x:v>
      </x:c>
      <x:c r="AF89" s="68" t="str">
        <x:v>相关条件真实成立，且增强条件有效时，可按“七杀生印且印再生身时可由直接压力转为生扶链”记录对应功能。</x:v>
      </x:c>
      <x:c r="AG89" s="90" t="str">
        <x:v>仅见表面十神名称或数量，但“不得以十神名称、数量或单一旺弱证据直接完成定性”所述限制存在时，不得套用本规则。</x:v>
      </x:c>
      <x:c r="AH89" s="68" t="str">
        <x:v>https://zh.wikisource.org/wiki/%E6%B8%8A%E6%B5%B7%E5%AD%90%E5%B9%B3%E5%A4%A7%E5%85%A8 ; https://zh.wikisource.org/wiki/%E6%BB%B4%E5%A4%A9%E9%AB%93%E9%97%A1%E5%BE%AE</x:v>
      </x:c>
      <x:c r="AI89" s="82" t="str">
        <x:v>采用</x:v>
      </x:c>
      <x:c r="AJ89" s="82" t="str">
        <x:v>初审</x:v>
      </x:c>
      <x:c r="AK89" s="87" t="n">
        <x:v>46255</x:v>
      </x:c>
    </x:row>
    <x:row r="90">
      <x:c r="A90" s="72" t="str">
        <x:f>IF(OR(C90="",D90=""),"",B90&amp;"-"&amp;UPPER(C90)&amp;"-"&amp;TEXT(D90,"0000")&amp;"-"&amp;E90)</x:f>
        <x:v>M10-GUANSHA-0084-V1.0</x:v>
      </x:c>
      <x:c r="B90" s="74" t="str">
        <x:v>M10</x:v>
      </x:c>
      <x:c r="C90" s="74" t="str">
        <x:v>GUANSHA</x:v>
      </x:c>
      <x:c r="D90" s="215" t="n">
        <x:v>84</x:v>
      </x:c>
      <x:c r="E90" s="74" t="str">
        <x:v>V1.0</x:v>
      </x:c>
      <x:c r="F90" s="68" t="str">
        <x:v>正官生印形成官印连续链候选</x:v>
      </x:c>
      <x:c r="G90" s="82" t="str">
        <x:v>结构层</x:v>
      </x:c>
      <x:c r="H90" s="82" t="str">
        <x:v>正官</x:v>
      </x:c>
      <x:c r="I90" s="82" t="str">
        <x:v>待定</x:v>
      </x:c>
      <x:c r="J90" s="82" t="str">
        <x:v>待定</x:v>
      </x:c>
      <x:c r="K90" s="82" t="str">
        <x:v>待定</x:v>
      </x:c>
      <x:c r="L90" s="82" t="str">
        <x:v>待定</x:v>
      </x:c>
      <x:c r="M90" s="68" t="str">
        <x:v>按M08核查</x:v>
      </x:c>
      <x:c r="N90" s="68" t="str">
        <x:v>按M06/M08核查</x:v>
      </x:c>
      <x:c r="O90" s="82" t="str">
        <x:v>待定</x:v>
      </x:c>
      <x:c r="P90" s="68" t="str">
        <x:v>官印相生候选转M11</x:v>
      </x:c>
      <x:c r="Q90" s="68" t="str">
        <x:v>需结合M09日主承载判断</x:v>
      </x:c>
      <x:c r="R90" s="82" t="str">
        <x:v>待定</x:v>
      </x:c>
      <x:c r="S90" s="68" t="str">
        <x:v>正官→印→日主链路连续有效</x:v>
      </x:c>
      <x:c r="T90" s="68" t="str">
        <x:v>M02十神映射、M08五行有效旺衰、M09日主旺衰已完成</x:v>
      </x:c>
      <x:c r="U90" s="68" t="str">
        <x:v>相关十神已由M02正确映射，并以M08有效力量为准</x:v>
      </x:c>
      <x:c r="V90" s="68" t="str">
        <x:v>得令、有根、透干、同党或生源形成独立有效证据</x:v>
      </x:c>
      <x:c r="W90" s="68" t="str">
        <x:v>失令、无根、被合绊、被制、改性或作用路径受阻</x:v>
      </x:c>
      <x:c r="X90" s="90" t="str">
        <x:v>不得以十神名称、数量或单一旺弱证据直接完成定性</x:v>
      </x:c>
      <x:c r="Y90" s="68" t="str">
        <x:v>特殊格局、从化候选及明确组合转M11/M14另审</x:v>
      </x:c>
      <x:c r="Z90" s="68" t="str">
        <x:v>不得直接推出吉凶、具体事件、亲属结果或最终喜忌</x:v>
      </x:c>
      <x:c r="AA90" s="84" t="str">
        <x:v>官印相生接口</x:v>
      </x:c>
      <x:c r="AB90" s="84" t="str">
        <x:v>正官生印形成官印连续链候选：当“正官→印→日主链路连续有效”成立时，按本规则记录十神的有效功能；同时保留制化、承载和反向证据。</x:v>
      </x:c>
      <x:c r="AC90" s="82" t="str">
        <x:v>较高</x:v>
      </x:c>
      <x:c r="AD90" s="82" t="str">
        <x:v>现代综合</x:v>
      </x:c>
      <x:c r="AE90" s="68" t="str">
        <x:v>十神必须分开判断存在性、力量、清纯度、功能性与喜忌性；M10只形成结构层结论和候选，不越级替代M11—M18。</x:v>
      </x:c>
      <x:c r="AF90" s="68" t="str">
        <x:v>相关条件真实成立，且增强条件有效时，可按“正官生印形成官印连续链候选”记录对应功能。</x:v>
      </x:c>
      <x:c r="AG90" s="90" t="str">
        <x:v>仅见表面十神名称或数量，但“不得以十神名称、数量或单一旺弱证据直接完成定性”所述限制存在时，不得套用本规则。</x:v>
      </x:c>
      <x:c r="AH90" s="68" t="str">
        <x:v>https://zh.wikisource.org/wiki/%E6%B8%8A%E6%B5%B7%E5%AD%90%E5%B9%B3%E5%A4%A7%E5%85%A8 ; https://zh.wikisource.org/wiki/%E6%BB%B4%E5%A4%A9%E9%AB%93%E9%97%A1%E5%BE%AE</x:v>
      </x:c>
      <x:c r="AI90" s="82" t="str">
        <x:v>采用</x:v>
      </x:c>
      <x:c r="AJ90" s="82" t="str">
        <x:v>初审</x:v>
      </x:c>
      <x:c r="AK90" s="87" t="n">
        <x:v>46255</x:v>
      </x:c>
    </x:row>
    <x:row r="91">
      <x:c r="A91" s="72" t="str">
        <x:f>IF(OR(C91="",D91=""),"",B91&amp;"-"&amp;UPPER(C91)&amp;"-"&amp;TEXT(D91,"0000")&amp;"-"&amp;E91)</x:f>
        <x:v>M10-GUANSHA-0085-V1.0</x:v>
      </x:c>
      <x:c r="B91" s="74" t="str">
        <x:v>M10</x:v>
      </x:c>
      <x:c r="C91" s="74" t="str">
        <x:v>GUANSHA</x:v>
      </x:c>
      <x:c r="D91" s="215" t="n">
        <x:v>85</x:v>
      </x:c>
      <x:c r="E91" s="74" t="str">
        <x:v>V1.0</x:v>
      </x:c>
      <x:c r="F91" s="68" t="str">
        <x:v>财星强生七杀会提高杀的有效压力</x:v>
      </x:c>
      <x:c r="G91" s="82" t="str">
        <x:v>结构层</x:v>
      </x:c>
      <x:c r="H91" s="82" t="str">
        <x:v>七杀</x:v>
      </x:c>
      <x:c r="I91" s="82" t="str">
        <x:v>待定</x:v>
      </x:c>
      <x:c r="J91" s="82" t="str">
        <x:v>待定</x:v>
      </x:c>
      <x:c r="K91" s="82" t="str">
        <x:v>中和偏旺</x:v>
      </x:c>
      <x:c r="L91" s="82" t="str">
        <x:v>待定</x:v>
      </x:c>
      <x:c r="M91" s="68" t="str">
        <x:v>财星生杀</x:v>
      </x:c>
      <x:c r="N91" s="68" t="str">
        <x:v>按M06/M08核查</x:v>
      </x:c>
      <x:c r="O91" s="82" t="str">
        <x:v>待定</x:v>
      </x:c>
      <x:c r="P91" s="68" t="str">
        <x:v>转M11/M14判断</x:v>
      </x:c>
      <x:c r="Q91" s="68" t="str">
        <x:v>需结合M09日主承载判断</x:v>
      </x:c>
      <x:c r="R91" s="82" t="str">
        <x:v>待定</x:v>
      </x:c>
      <x:c r="S91" s="68" t="str">
        <x:v>财星有效生七杀且无通关截断</x:v>
      </x:c>
      <x:c r="T91" s="68" t="str">
        <x:v>M02十神映射、M08五行有效旺衰、M09日主旺衰已完成</x:v>
      </x:c>
      <x:c r="U91" s="68" t="str">
        <x:v>相关十神已由M02正确映射，并以M08有效力量为准</x:v>
      </x:c>
      <x:c r="V91" s="68" t="str">
        <x:v>得令、有根、透干、同党或生源形成独立有效证据</x:v>
      </x:c>
      <x:c r="W91" s="68" t="str">
        <x:v>失令、无根、被合绊、被制、改性或作用路径受阻</x:v>
      </x:c>
      <x:c r="X91" s="90" t="str">
        <x:v>不得以十神名称、数量或单一旺弱证据直接完成定性</x:v>
      </x:c>
      <x:c r="Y91" s="68" t="str">
        <x:v>特殊格局、从化候选及明确组合转M11/M14另审</x:v>
      </x:c>
      <x:c r="Z91" s="68" t="str">
        <x:v>不得直接推出吉凶、具体事件、亲属结果或最终喜忌</x:v>
      </x:c>
      <x:c r="AA91" s="84" t="str">
        <x:v>财生杀增强</x:v>
      </x:c>
      <x:c r="AB91" s="84" t="str">
        <x:v>财星强生七杀会提高杀的有效压力：当“财星有效生七杀且无通关截断”成立时，按本规则记录十神的有效功能；同时保留制化、承载和反向证据。</x:v>
      </x:c>
      <x:c r="AC91" s="82" t="str">
        <x:v>较高</x:v>
      </x:c>
      <x:c r="AD91" s="82" t="str">
        <x:v>现代综合</x:v>
      </x:c>
      <x:c r="AE91" s="68" t="str">
        <x:v>十神必须分开判断存在性、力量、清纯度、功能性与喜忌性；M10只形成结构层结论和候选，不越级替代M11—M18。</x:v>
      </x:c>
      <x:c r="AF91" s="68" t="str">
        <x:v>相关条件真实成立，且增强条件有效时，可按“财星强生七杀会提高杀的有效压力”记录对应功能。</x:v>
      </x:c>
      <x:c r="AG91" s="90" t="str">
        <x:v>仅见表面十神名称或数量，但“不得以十神名称、数量或单一旺弱证据直接完成定性”所述限制存在时，不得套用本规则。</x:v>
      </x:c>
      <x:c r="AH91" s="68" t="str">
        <x:v>https://zh.wikisource.org/wiki/%E6%B8%8A%E6%B5%B7%E5%AD%90%E5%B9%B3%E5%A4%A7%E5%85%A8 ; https://zh.wikisource.org/wiki/%E6%BB%B4%E5%A4%A9%E9%AB%93%E9%97%A1%E5%BE%AE</x:v>
      </x:c>
      <x:c r="AI91" s="82" t="str">
        <x:v>采用</x:v>
      </x:c>
      <x:c r="AJ91" s="82" t="str">
        <x:v>初审</x:v>
      </x:c>
      <x:c r="AK91" s="87" t="n">
        <x:v>46255</x:v>
      </x:c>
    </x:row>
    <x:row r="92">
      <x:c r="A92" s="72" t="str">
        <x:f>IF(OR(C92="",D92=""),"",B92&amp;"-"&amp;UPPER(C92)&amp;"-"&amp;TEXT(D92,"0000")&amp;"-"&amp;E92)</x:f>
        <x:v>M10-GUANSHA-0086-V1.0</x:v>
      </x:c>
      <x:c r="B92" s="74" t="str">
        <x:v>M10</x:v>
      </x:c>
      <x:c r="C92" s="74" t="str">
        <x:v>GUANSHA</x:v>
      </x:c>
      <x:c r="D92" s="215" t="n">
        <x:v>86</x:v>
      </x:c>
      <x:c r="E92" s="74" t="str">
        <x:v>V1.0</x:v>
      </x:c>
      <x:c r="F92" s="68" t="str">
        <x:v>官杀并见先判混杂程度而非直接定凶</x:v>
      </x:c>
      <x:c r="G92" s="82" t="str">
        <x:v>结构层</x:v>
      </x:c>
      <x:c r="H92" s="82" t="str">
        <x:v>正官</x:v>
      </x:c>
      <x:c r="I92" s="82" t="str">
        <x:v>待定</x:v>
      </x:c>
      <x:c r="J92" s="82" t="str">
        <x:v>待定</x:v>
      </x:c>
      <x:c r="K92" s="82" t="str">
        <x:v>待定</x:v>
      </x:c>
      <x:c r="L92" s="82" t="str">
        <x:v>有杂</x:v>
      </x:c>
      <x:c r="M92" s="68" t="str">
        <x:v>按M08核查</x:v>
      </x:c>
      <x:c r="N92" s="68" t="str">
        <x:v>按M06/M08核查</x:v>
      </x:c>
      <x:c r="O92" s="82" t="str">
        <x:v>待定</x:v>
      </x:c>
      <x:c r="P92" s="68" t="str">
        <x:v>转M11/M14判断</x:v>
      </x:c>
      <x:c r="Q92" s="68" t="str">
        <x:v>需结合M09日主承载判断</x:v>
      </x:c>
      <x:c r="R92" s="82" t="str">
        <x:v>待定</x:v>
      </x:c>
      <x:c r="S92" s="68" t="str">
        <x:v>正官七杀同时有效存在</x:v>
      </x:c>
      <x:c r="T92" s="68" t="str">
        <x:v>M02十神映射、M08五行有效旺衰、M09日主旺衰已完成</x:v>
      </x:c>
      <x:c r="U92" s="68" t="str">
        <x:v>相关十神已由M02正确映射，并以M08有效力量为准</x:v>
      </x:c>
      <x:c r="V92" s="68" t="str">
        <x:v>得令、有根、透干、同党或生源形成独立有效证据</x:v>
      </x:c>
      <x:c r="W92" s="68" t="str">
        <x:v>失令、无根、被合绊、被制、改性或作用路径受阻</x:v>
      </x:c>
      <x:c r="X92" s="90" t="str">
        <x:v>不得以十神名称、数量或单一旺弱证据直接完成定性</x:v>
      </x:c>
      <x:c r="Y92" s="68" t="str">
        <x:v>特殊格局、从化候选及明确组合转M11/M14另审</x:v>
      </x:c>
      <x:c r="Z92" s="68" t="str">
        <x:v>不得由官杀并见直接推出婚姻、事业或灾祸结论</x:v>
      </x:c>
      <x:c r="AA92" s="84" t="str">
        <x:v>官杀混杂候选</x:v>
      </x:c>
      <x:c r="AB92" s="84" t="str">
        <x:v>官杀并见先判混杂程度而非直接定凶：当“正官七杀同时有效存在”成立时，按本规则记录十神的有效功能；同时保留制化、承载和反向证据。</x:v>
      </x:c>
      <x:c r="AC92" s="82" t="str">
        <x:v>较高</x:v>
      </x:c>
      <x:c r="AD92" s="82" t="str">
        <x:v>现代综合</x:v>
      </x:c>
      <x:c r="AE92" s="68" t="str">
        <x:v>十神必须分开判断存在性、力量、清纯度、功能性与喜忌性；M10只形成结构层结论和候选，不越级替代M11—M18。</x:v>
      </x:c>
      <x:c r="AF92" s="68" t="str">
        <x:v>相关条件真实成立，且增强条件有效时，可按“官杀并见先判混杂程度而非直接定凶”记录对应功能。</x:v>
      </x:c>
      <x:c r="AG92" s="90" t="str">
        <x:v>仅见表面十神名称或数量，但“不得以十神名称、数量或单一旺弱证据直接完成定性”所述限制存在时，不得套用本规则。</x:v>
      </x:c>
      <x:c r="AH92" s="68" t="str">
        <x:v>https://zh.wikisource.org/wiki/%E6%B8%8A%E6%B5%B7%E5%AD%90%E5%B9%B3%E5%A4%A7%E5%85%A8 ; https://zh.wikisource.org/wiki/%E6%BB%B4%E5%A4%A9%E9%AB%93%E9%97%A1%E5%BE%AE</x:v>
      </x:c>
      <x:c r="AI92" s="82" t="str">
        <x:v>采用</x:v>
      </x:c>
      <x:c r="AJ92" s="82" t="str">
        <x:v>初审</x:v>
      </x:c>
      <x:c r="AK92" s="87" t="n">
        <x:v>46255</x:v>
      </x:c>
    </x:row>
    <x:row r="93">
      <x:c r="A93" s="72" t="str">
        <x:f>IF(OR(C93="",D93=""),"",B93&amp;"-"&amp;UPPER(C93)&amp;"-"&amp;TEXT(D93,"0000")&amp;"-"&amp;E93)</x:f>
        <x:v>M10-GUANSHA-0087-V1.0</x:v>
      </x:c>
      <x:c r="B93" s="74" t="str">
        <x:v>M10</x:v>
      </x:c>
      <x:c r="C93" s="74" t="str">
        <x:v>GUANSHA</x:v>
      </x:c>
      <x:c r="D93" s="215" t="n">
        <x:v>87</x:v>
      </x:c>
      <x:c r="E93" s="74" t="str">
        <x:v>V1.0</x:v>
      </x:c>
      <x:c r="F93" s="68" t="str">
        <x:v>官杀均旺且均直接制身时混杂与压力同步上升</x:v>
      </x:c>
      <x:c r="G93" s="82" t="str">
        <x:v>结构层</x:v>
      </x:c>
      <x:c r="H93" s="82" t="str">
        <x:v>七杀</x:v>
      </x:c>
      <x:c r="I93" s="82" t="str">
        <x:v>待定</x:v>
      </x:c>
      <x:c r="J93" s="82" t="str">
        <x:v>待定</x:v>
      </x:c>
      <x:c r="K93" s="82" t="str">
        <x:v>待定</x:v>
      </x:c>
      <x:c r="L93" s="82" t="str">
        <x:v>混杂</x:v>
      </x:c>
      <x:c r="M93" s="68" t="str">
        <x:v>按M08核查</x:v>
      </x:c>
      <x:c r="N93" s="68" t="str">
        <x:v>按M06/M08核查</x:v>
      </x:c>
      <x:c r="O93" s="82" t="str">
        <x:v>制化失衡</x:v>
      </x:c>
      <x:c r="P93" s="68" t="str">
        <x:v>转M11/M14判断</x:v>
      </x:c>
      <x:c r="Q93" s="68" t="str">
        <x:v>形成多路制身压力</x:v>
      </x:c>
      <x:c r="R93" s="82" t="str">
        <x:v>待定</x:v>
      </x:c>
      <x:c r="S93" s="68" t="str">
        <x:v>正官七杀均达到中和偏旺以上且制身路径均有效</x:v>
      </x:c>
      <x:c r="T93" s="68" t="str">
        <x:v>M02十神映射、M08五行有效旺衰、M09日主旺衰已完成</x:v>
      </x:c>
      <x:c r="U93" s="68" t="str">
        <x:v>相关十神已由M02正确映射，并以M08有效力量为准</x:v>
      </x:c>
      <x:c r="V93" s="68" t="str">
        <x:v>得令、有根、透干、同党或生源形成独立有效证据</x:v>
      </x:c>
      <x:c r="W93" s="68" t="str">
        <x:v>失令、无根、被合绊、被制、改性或作用路径受阻</x:v>
      </x:c>
      <x:c r="X93" s="90" t="str">
        <x:v>不得以十神名称、数量或单一旺弱证据直接完成定性</x:v>
      </x:c>
      <x:c r="Y93" s="68" t="str">
        <x:v>特殊格局、从化候选及明确组合转M11/M14另审</x:v>
      </x:c>
      <x:c r="Z93" s="68" t="str">
        <x:v>不得直接推出吉凶、具体事件、亲属结果或最终喜忌</x:v>
      </x:c>
      <x:c r="AA93" s="84" t="str">
        <x:v>官杀双强</x:v>
      </x:c>
      <x:c r="AB93" s="84" t="str">
        <x:v>官杀均旺且均直接制身时混杂与压力同步上升：当“正官七杀均达到中和偏旺以上且制身路径均有效”成立时，按本规则记录十神的有效功能；同时保留制化、承载和反向证据。</x:v>
      </x:c>
      <x:c r="AC93" s="82" t="str">
        <x:v>较高</x:v>
      </x:c>
      <x:c r="AD93" s="82" t="str">
        <x:v>现代综合</x:v>
      </x:c>
      <x:c r="AE93" s="68" t="str">
        <x:v>十神必须分开判断存在性、力量、清纯度、功能性与喜忌性；M10只形成结构层结论和候选，不越级替代M11—M18。</x:v>
      </x:c>
      <x:c r="AF93" s="68" t="str">
        <x:v>相关条件真实成立，且增强条件有效时，可按“官杀均旺且均直接制身时混杂与压力同步上升”记录对应功能。</x:v>
      </x:c>
      <x:c r="AG93" s="90" t="str">
        <x:v>仅见表面十神名称或数量，但“不得以十神名称、数量或单一旺弱证据直接完成定性”所述限制存在时，不得套用本规则。</x:v>
      </x:c>
      <x:c r="AH93" s="68" t="str">
        <x:v>https://zh.wikisource.org/wiki/%E6%B8%8A%E6%B5%B7%E5%AD%90%E5%B9%B3%E5%A4%A7%E5%85%A8 ; https://zh.wikisource.org/wiki/%E6%BB%B4%E5%A4%A9%E9%AB%93%E9%97%A1%E5%BE%AE</x:v>
      </x:c>
      <x:c r="AI93" s="82" t="str">
        <x:v>采用</x:v>
      </x:c>
      <x:c r="AJ93" s="82" t="str">
        <x:v>初审</x:v>
      </x:c>
      <x:c r="AK93" s="87" t="n">
        <x:v>46255</x:v>
      </x:c>
    </x:row>
    <x:row r="94">
      <x:c r="A94" s="72" t="str">
        <x:f>IF(OR(C94="",D94=""),"",B94&amp;"-"&amp;UPPER(C94)&amp;"-"&amp;TEXT(D94,"0000")&amp;"-"&amp;E94)</x:f>
        <x:v>M10-GUANSHA-0088-V1.0</x:v>
      </x:c>
      <x:c r="B94" s="74" t="str">
        <x:v>M10</x:v>
      </x:c>
      <x:c r="C94" s="74" t="str">
        <x:v>GUANSHA</x:v>
      </x:c>
      <x:c r="D94" s="215" t="n">
        <x:v>88</x:v>
      </x:c>
      <x:c r="E94" s="74" t="str">
        <x:v>V1.0</x:v>
      </x:c>
      <x:c r="F94" s="68" t="str">
        <x:v>官杀一方被合制失效时可形成清化候选</x:v>
      </x:c>
      <x:c r="G94" s="82" t="str">
        <x:v>结构层</x:v>
      </x:c>
      <x:c r="H94" s="82" t="str">
        <x:v>正官</x:v>
      </x:c>
      <x:c r="I94" s="82" t="str">
        <x:v>待定</x:v>
      </x:c>
      <x:c r="J94" s="82" t="str">
        <x:v>待定</x:v>
      </x:c>
      <x:c r="K94" s="82" t="str">
        <x:v>待定</x:v>
      </x:c>
      <x:c r="L94" s="82" t="str">
        <x:v>较清</x:v>
      </x:c>
      <x:c r="M94" s="68" t="str">
        <x:v>按M08核查</x:v>
      </x:c>
      <x:c r="N94" s="68" t="str">
        <x:v>按M06/M08核查</x:v>
      </x:c>
      <x:c r="O94" s="82" t="str">
        <x:v>制化平衡</x:v>
      </x:c>
      <x:c r="P94" s="68" t="str">
        <x:v>转M11/M14判断</x:v>
      </x:c>
      <x:c r="Q94" s="68" t="str">
        <x:v>需结合M09日主承载判断</x:v>
      </x:c>
      <x:c r="R94" s="82" t="str">
        <x:v>待定</x:v>
      </x:c>
      <x:c r="S94" s="68" t="str">
        <x:v>官杀并见，但其中一方被有效合住、制去或改性而功能显著下降</x:v>
      </x:c>
      <x:c r="T94" s="68" t="str">
        <x:v>M02十神映射、M08五行有效旺衰、M09日主旺衰已完成</x:v>
      </x:c>
      <x:c r="U94" s="68" t="str">
        <x:v>相关十神已由M02正确映射，并以M08有效力量为准</x:v>
      </x:c>
      <x:c r="V94" s="68" t="str">
        <x:v>得令、有根、透干、同党或生源形成独立有效证据</x:v>
      </x:c>
      <x:c r="W94" s="68" t="str">
        <x:v>失令、无根、被合绊、被制、改性或作用路径受阻</x:v>
      </x:c>
      <x:c r="X94" s="90" t="str">
        <x:v>不得以十神名称、数量或单一旺弱证据直接完成定性</x:v>
      </x:c>
      <x:c r="Y94" s="68" t="str">
        <x:v>特殊格局、从化候选及明确组合转M11/M14另审</x:v>
      </x:c>
      <x:c r="Z94" s="68" t="str">
        <x:v>不得直接推出吉凶、具体事件、亲属结果或最终喜忌</x:v>
      </x:c>
      <x:c r="AA94" s="84" t="str">
        <x:v>官杀清化候选</x:v>
      </x:c>
      <x:c r="AB94" s="84" t="str">
        <x:v>官杀一方被合制失效时可形成清化候选：当“官杀并见，但其中一方被有效合住、制去或改性而功能显著下降”成立时，按本规则记录十神的有效功能；同时保留制化、承载和反向证据。</x:v>
      </x:c>
      <x:c r="AC94" s="82" t="str">
        <x:v>较高</x:v>
      </x:c>
      <x:c r="AD94" s="82" t="str">
        <x:v>现代综合</x:v>
      </x:c>
      <x:c r="AE94" s="68" t="str">
        <x:v>十神必须分开判断存在性、力量、清纯度、功能性与喜忌性；M10只形成结构层结论和候选，不越级替代M11—M18。</x:v>
      </x:c>
      <x:c r="AF94" s="68" t="str">
        <x:v>相关条件真实成立，且增强条件有效时，可按“官杀一方被合制失效时可形成清化候选”记录对应功能。</x:v>
      </x:c>
      <x:c r="AG94" s="90" t="str">
        <x:v>仅见表面十神名称或数量，但“不得以十神名称、数量或单一旺弱证据直接完成定性”所述限制存在时，不得套用本规则。</x:v>
      </x:c>
      <x:c r="AH94" s="68" t="str">
        <x:v>https://zh.wikisource.org/wiki/%E6%B8%8A%E6%B5%B7%E5%AD%90%E5%B9%B3%E5%A4%A7%E5%85%A8 ; https://zh.wikisource.org/wiki/%E6%BB%B4%E5%A4%A9%E9%AB%93%E9%97%A1%E5%BE%AE</x:v>
      </x:c>
      <x:c r="AI94" s="82" t="str">
        <x:v>采用</x:v>
      </x:c>
      <x:c r="AJ94" s="82" t="str">
        <x:v>初审</x:v>
      </x:c>
      <x:c r="AK94" s="87" t="n">
        <x:v>46255</x:v>
      </x:c>
    </x:row>
    <x:row r="95">
      <x:c r="A95" s="72" t="str">
        <x:f>IF(OR(C95="",D95=""),"",B95&amp;"-"&amp;UPPER(C95)&amp;"-"&amp;TEXT(D95,"0000")&amp;"-"&amp;E95)</x:f>
        <x:v>M10-GUANSHA-0089-V1.0</x:v>
      </x:c>
      <x:c r="B95" s="74" t="str">
        <x:v>M10</x:v>
      </x:c>
      <x:c r="C95" s="74" t="str">
        <x:v>GUANSHA</x:v>
      </x:c>
      <x:c r="D95" s="215" t="n">
        <x:v>89</x:v>
      </x:c>
      <x:c r="E95" s="74" t="str">
        <x:v>V1.0</x:v>
      </x:c>
      <x:c r="F95" s="68" t="str">
        <x:v>官杀虽旺但有强制化不应直接按为害处理</x:v>
      </x:c>
      <x:c r="G95" s="82" t="str">
        <x:v>结构层</x:v>
      </x:c>
      <x:c r="H95" s="82" t="str">
        <x:v>七杀</x:v>
      </x:c>
      <x:c r="I95" s="82" t="str">
        <x:v>待定</x:v>
      </x:c>
      <x:c r="J95" s="82" t="str">
        <x:v>待定</x:v>
      </x:c>
      <x:c r="K95" s="82" t="str">
        <x:v>旺</x:v>
      </x:c>
      <x:c r="L95" s="82" t="str">
        <x:v>待定</x:v>
      </x:c>
      <x:c r="M95" s="68" t="str">
        <x:v>按M08核查</x:v>
      </x:c>
      <x:c r="N95" s="68" t="str">
        <x:v>按M06/M08核查</x:v>
      </x:c>
      <x:c r="O95" s="82" t="str">
        <x:v>制化平衡</x:v>
      </x:c>
      <x:c r="P95" s="68" t="str">
        <x:v>转M11/M14判断</x:v>
      </x:c>
      <x:c r="Q95" s="68" t="str">
        <x:v>需结合M09日主承载判断</x:v>
      </x:c>
      <x:c r="R95" s="82" t="str">
        <x:v>待定</x:v>
      </x:c>
      <x:c r="S95" s="68" t="str">
        <x:v>七杀旺，但食神制杀或印化杀功能稳定有效</x:v>
      </x:c>
      <x:c r="T95" s="68" t="str">
        <x:v>M02十神映射、M08五行有效旺衰、M09日主旺衰已完成</x:v>
      </x:c>
      <x:c r="U95" s="68" t="str">
        <x:v>相关十神已由M02正确映射，并以M08有效力量为准</x:v>
      </x:c>
      <x:c r="V95" s="68" t="str">
        <x:v>得令、有根、透干、同党或生源形成独立有效证据</x:v>
      </x:c>
      <x:c r="W95" s="68" t="str">
        <x:v>失令、无根、被合绊、被制、改性或作用路径受阻</x:v>
      </x:c>
      <x:c r="X95" s="90" t="str">
        <x:v>不得以十神名称、数量或单一旺弱证据直接完成定性</x:v>
      </x:c>
      <x:c r="Y95" s="68" t="str">
        <x:v>特殊格局、从化候选及明确组合转M11/M14另审</x:v>
      </x:c>
      <x:c r="Z95" s="68" t="str">
        <x:v>不得仅凭七杀旺直接定为忌神或为害</x:v>
      </x:c>
      <x:c r="AA95" s="84" t="str">
        <x:v>杀旺有制化</x:v>
      </x:c>
      <x:c r="AB95" s="84" t="str">
        <x:v>官杀虽旺但有强制化不应直接按为害处理：当“七杀旺，但食神制杀或印化杀功能稳定有效”成立时，按本规则记录十神的有效功能；同时保留制化、承载和反向证据。</x:v>
      </x:c>
      <x:c r="AC95" s="82" t="str">
        <x:v>较高</x:v>
      </x:c>
      <x:c r="AD95" s="82" t="str">
        <x:v>现代综合</x:v>
      </x:c>
      <x:c r="AE95" s="68" t="str">
        <x:v>十神必须分开判断存在性、力量、清纯度、功能性与喜忌性；M10只形成结构层结论和候选，不越级替代M11—M18。</x:v>
      </x:c>
      <x:c r="AF95" s="68" t="str">
        <x:v>相关条件真实成立，且增强条件有效时，可按“官杀虽旺但有强制化不应直接按为害处理”记录对应功能。</x:v>
      </x:c>
      <x:c r="AG95" s="90" t="str">
        <x:v>仅见表面十神名称或数量，但“不得以十神名称、数量或单一旺弱证据直接完成定性”所述限制存在时，不得套用本规则。</x:v>
      </x:c>
      <x:c r="AH95" s="68" t="str">
        <x:v>https://zh.wikisource.org/wiki/%E6%B8%8A%E6%B5%B7%E5%AD%90%E5%B9%B3%E5%A4%A7%E5%85%A8 ; https://zh.wikisource.org/wiki/%E6%BB%B4%E5%A4%A9%E9%AB%93%E9%97%A1%E5%BE%AE</x:v>
      </x:c>
      <x:c r="AI95" s="82" t="str">
        <x:v>采用</x:v>
      </x:c>
      <x:c r="AJ95" s="82" t="str">
        <x:v>初审</x:v>
      </x:c>
      <x:c r="AK95" s="87" t="n">
        <x:v>46255</x:v>
      </x:c>
    </x:row>
    <x:row r="96">
      <x:c r="A96" s="72" t="str">
        <x:f>IF(OR(C96="",D96=""),"",B96&amp;"-"&amp;UPPER(C96)&amp;"-"&amp;TEXT(D96,"0000")&amp;"-"&amp;E96)</x:f>
        <x:v>M10-GUANSHA-0090-V1.0</x:v>
      </x:c>
      <x:c r="B96" s="74" t="str">
        <x:v>M10</x:v>
      </x:c>
      <x:c r="C96" s="74" t="str">
        <x:v>GUANSHA</x:v>
      </x:c>
      <x:c r="D96" s="215" t="n">
        <x:v>90</x:v>
      </x:c>
      <x:c r="E96" s="74" t="str">
        <x:v>V1.0</x:v>
      </x:c>
      <x:c r="F96" s="68" t="str">
        <x:v>官杀旺弱与职位权力事件必须分离</x:v>
      </x:c>
      <x:c r="G96" s="82" t="str">
        <x:v>结构层</x:v>
      </x:c>
      <x:c r="H96" s="82" t="str">
        <x:v>正官</x:v>
      </x:c>
      <x:c r="I96" s="82" t="str">
        <x:v>待定</x:v>
      </x:c>
      <x:c r="J96" s="82" t="str">
        <x:v>待定</x:v>
      </x:c>
      <x:c r="K96" s="82" t="str">
        <x:v>待定</x:v>
      </x:c>
      <x:c r="L96" s="82" t="str">
        <x:v>待定</x:v>
      </x:c>
      <x:c r="M96" s="68" t="str">
        <x:v>按M08核查</x:v>
      </x:c>
      <x:c r="N96" s="68" t="str">
        <x:v>按M06/M08核查</x:v>
      </x:c>
      <x:c r="O96" s="82" t="str">
        <x:v>待定</x:v>
      </x:c>
      <x:c r="P96" s="68" t="str">
        <x:v>转M11/M14判断</x:v>
      </x:c>
      <x:c r="Q96" s="68" t="str">
        <x:v>需结合M09日主承载判断</x:v>
      </x:c>
      <x:c r="R96" s="82" t="str">
        <x:v>待定</x:v>
      </x:c>
      <x:c r="S96" s="68" t="str">
        <x:v>官杀有效旺衰已经确定</x:v>
      </x:c>
      <x:c r="T96" s="68" t="str">
        <x:v>M02十神映射、M08五行有效旺衰、M09日主旺衰已完成</x:v>
      </x:c>
      <x:c r="U96" s="68" t="str">
        <x:v>相关十神已由M02正确映射，并以M08有效力量为准</x:v>
      </x:c>
      <x:c r="V96" s="68" t="str">
        <x:v>得令、有根、透干、同党或生源形成独立有效证据</x:v>
      </x:c>
      <x:c r="W96" s="68" t="str">
        <x:v>失令、无根、被合绊、被制、改性或作用路径受阻</x:v>
      </x:c>
      <x:c r="X96" s="90" t="str">
        <x:v>不得以十神名称、数量或单一旺弱证据直接完成定性</x:v>
      </x:c>
      <x:c r="Y96" s="68" t="str">
        <x:v>特殊格局、从化候选及明确组合转M11/M14另审</x:v>
      </x:c>
      <x:c r="Z96" s="68" t="str">
        <x:v>不得由官旺直接推出升职、杀旺直接推出灾害或司法事件</x:v>
      </x:c>
      <x:c r="AA96" s="84" t="str">
        <x:v>官杀力量事件分离</x:v>
      </x:c>
      <x:c r="AB96" s="84" t="str">
        <x:v>官杀旺弱与职位权力事件必须分离：当“官杀有效旺衰已经确定”成立时，按本规则记录十神的有效功能；同时保留制化、承载和反向证据。</x:v>
      </x:c>
      <x:c r="AC96" s="82" t="str">
        <x:v>较高</x:v>
      </x:c>
      <x:c r="AD96" s="82" t="str">
        <x:v>现代综合</x:v>
      </x:c>
      <x:c r="AE96" s="68" t="str">
        <x:v>十神必须分开判断存在性、力量、清纯度、功能性与喜忌性；M10只形成结构层结论和候选，不越级替代M11—M18。</x:v>
      </x:c>
      <x:c r="AF96" s="68" t="str">
        <x:v>相关条件真实成立，且增强条件有效时，可按“官杀旺弱与职位权力事件必须分离”记录对应功能。</x:v>
      </x:c>
      <x:c r="AG96" s="90" t="str">
        <x:v>仅见表面十神名称或数量，但“不得以十神名称、数量或单一旺弱证据直接完成定性”所述限制存在时，不得套用本规则。</x:v>
      </x:c>
      <x:c r="AH96" s="68" t="str">
        <x:v>https://zh.wikisource.org/wiki/%E6%B8%8A%E6%B5%B7%E5%AD%90%E5%B9%B3%E5%A4%A7%E5%85%A8 ; https://zh.wikisource.org/wiki/%E6%BB%B4%E5%A4%A9%E9%AB%93%E9%97%A1%E5%BE%AE</x:v>
      </x:c>
      <x:c r="AI96" s="82" t="str">
        <x:v>采用</x:v>
      </x:c>
      <x:c r="AJ96" s="82" t="str">
        <x:v>初审</x:v>
      </x:c>
      <x:c r="AK96" s="87" t="n">
        <x:v>46255</x:v>
      </x:c>
    </x:row>
    <x:row r="97">
      <x:c r="A97" s="72" t="str">
        <x:f>IF(OR(C97="",D97=""),"",B97&amp;"-"&amp;UPPER(C97)&amp;"-"&amp;TEXT(D97,"0000")&amp;"-"&amp;E97)</x:f>
        <x:v>M10-BAL-0091-V1.0</x:v>
      </x:c>
      <x:c r="B97" s="74" t="str">
        <x:v>M10</x:v>
      </x:c>
      <x:c r="C97" s="74" t="str">
        <x:v>BAL</x:v>
      </x:c>
      <x:c r="D97" s="215" t="n">
        <x:v>91</x:v>
      </x:c>
      <x:c r="E97" s="74" t="str">
        <x:v>V1.0</x:v>
      </x:c>
      <x:c r="F97" s="68" t="str">
        <x:v>十神功能正常需自身有效且作用对象可承接</x:v>
      </x:c>
      <x:c r="G97" s="82" t="str">
        <x:v>结构层</x:v>
      </x:c>
      <x:c r="H97" s="82" t="str">
        <x:v>七杀</x:v>
      </x:c>
      <x:c r="I97" s="82" t="str">
        <x:v>待定</x:v>
      </x:c>
      <x:c r="J97" s="82" t="str">
        <x:v>待定</x:v>
      </x:c>
      <x:c r="K97" s="82" t="str">
        <x:v>待定</x:v>
      </x:c>
      <x:c r="L97" s="82" t="str">
        <x:v>待定</x:v>
      </x:c>
      <x:c r="M97" s="68" t="str">
        <x:v>按M08核查</x:v>
      </x:c>
      <x:c r="N97" s="68" t="str">
        <x:v>按M06/M08核查</x:v>
      </x:c>
      <x:c r="O97" s="82" t="str">
        <x:v>正常发挥</x:v>
      </x:c>
      <x:c r="P97" s="68" t="str">
        <x:v>转M11/M14判断</x:v>
      </x:c>
      <x:c r="Q97" s="68" t="str">
        <x:v>需结合M09日主承载判断</x:v>
      </x:c>
      <x:c r="R97" s="82" t="str">
        <x:v>待定</x:v>
      </x:c>
      <x:c r="S97" s="68" t="str">
        <x:v>七杀有力，同时日主或印食等对象真实存在并能形成作用路径</x:v>
      </x:c>
      <x:c r="T97" s="68" t="str">
        <x:v>M02十神映射、M08五行有效旺衰、M09日主旺衰已完成</x:v>
      </x:c>
      <x:c r="U97" s="68" t="str">
        <x:v>相关十神已由M02正确映射，并以M08有效力量为准</x:v>
      </x:c>
      <x:c r="V97" s="68" t="str">
        <x:v>得令、有根、透干、同党或生源形成独立有效证据</x:v>
      </x:c>
      <x:c r="W97" s="68" t="str">
        <x:v>失令、无根、被合绊、被制、改性或作用路径受阻</x:v>
      </x:c>
      <x:c r="X97" s="90" t="str">
        <x:v>不得以十神名称、数量或单一旺弱证据直接完成定性</x:v>
      </x:c>
      <x:c r="Y97" s="68" t="str">
        <x:v>特殊格局、从化候选及明确组合转M11/M14另审</x:v>
      </x:c>
      <x:c r="Z97" s="68" t="str">
        <x:v>不得直接推出吉凶、具体事件、亲属结果或最终喜忌</x:v>
      </x:c>
      <x:c r="AA97" s="84" t="str">
        <x:v>功能成立基础</x:v>
      </x:c>
      <x:c r="AB97" s="84" t="str">
        <x:v>十神功能正常需自身有效且作用对象可承接：当“七杀有力，同时日主或印食等对象真实存在并能形成作用路径”成立时，按本规则记录十神的有效功能；同时保留制化、承载和反向证据。</x:v>
      </x:c>
      <x:c r="AC97" s="82" t="str">
        <x:v>较高</x:v>
      </x:c>
      <x:c r="AD97" s="82" t="str">
        <x:v>现代综合</x:v>
      </x:c>
      <x:c r="AE97" s="68" t="str">
        <x:v>十神必须分开判断存在性、力量、清纯度、功能性与喜忌性；M10只形成结构层结论和候选，不越级替代M11—M18。</x:v>
      </x:c>
      <x:c r="AF97" s="68" t="str">
        <x:v>相关条件真实成立，且增强条件有效时，可按“十神功能正常需自身有效且作用对象可承接”记录对应功能。</x:v>
      </x:c>
      <x:c r="AG97" s="90" t="str">
        <x:v>仅见表面十神名称或数量，但“不得以十神名称、数量或单一旺弱证据直接完成定性”所述限制存在时，不得套用本规则。</x:v>
      </x:c>
      <x:c r="AH97" s="68" t="str">
        <x:v>https://zh.wikisource.org/wiki/%E6%B8%8A%E6%B5%B7%E5%AD%90%E5%B9%B3%E5%A4%A7%E5%85%A8 ; https://zh.wikisource.org/wiki/%E6%BB%B4%E5%A4%A9%E9%AB%93%E9%97%A1%E5%BE%AE</x:v>
      </x:c>
      <x:c r="AI97" s="82" t="str">
        <x:v>采用</x:v>
      </x:c>
      <x:c r="AJ97" s="82" t="str">
        <x:v>初审</x:v>
      </x:c>
      <x:c r="AK97" s="87" t="n">
        <x:v>46255</x:v>
      </x:c>
    </x:row>
    <x:row r="98">
      <x:c r="A98" s="72" t="str">
        <x:f>IF(OR(C98="",D98=""),"",B98&amp;"-"&amp;UPPER(C98)&amp;"-"&amp;TEXT(D98,"0000")&amp;"-"&amp;E98)</x:f>
        <x:v>M10-BAL-0092-V1.0</x:v>
      </x:c>
      <x:c r="B98" s="74" t="str">
        <x:v>M10</x:v>
      </x:c>
      <x:c r="C98" s="74" t="str">
        <x:v>BAL</x:v>
      </x:c>
      <x:c r="D98" s="215" t="n">
        <x:v>92</x:v>
      </x:c>
      <x:c r="E98" s="74" t="str">
        <x:v>V1.0</x:v>
      </x:c>
      <x:c r="F98" s="68" t="str">
        <x:v>受制不等于完全失效，应按制约程度分级</x:v>
      </x:c>
      <x:c r="G98" s="82" t="str">
        <x:v>结构层</x:v>
      </x:c>
      <x:c r="H98" s="82" t="str">
        <x:v>食神</x:v>
      </x:c>
      <x:c r="I98" s="82" t="str">
        <x:v>待定</x:v>
      </x:c>
      <x:c r="J98" s="82" t="str">
        <x:v>待定</x:v>
      </x:c>
      <x:c r="K98" s="82" t="str">
        <x:v>待定</x:v>
      </x:c>
      <x:c r="L98" s="82" t="str">
        <x:v>待定</x:v>
      </x:c>
      <x:c r="M98" s="68" t="str">
        <x:v>按M08核查</x:v>
      </x:c>
      <x:c r="N98" s="68" t="str">
        <x:v>按M06/M08核查</x:v>
      </x:c>
      <x:c r="O98" s="82" t="str">
        <x:v>受限</x:v>
      </x:c>
      <x:c r="P98" s="68" t="str">
        <x:v>转M11/M14判断</x:v>
      </x:c>
      <x:c r="Q98" s="68" t="str">
        <x:v>需结合M09日主承载判断</x:v>
      </x:c>
      <x:c r="R98" s="82" t="str">
        <x:v>待定</x:v>
      </x:c>
      <x:c r="S98" s="68" t="str">
        <x:v>食神受到偏印或合绊制约，但仍保有根源和其他有效节点</x:v>
      </x:c>
      <x:c r="T98" s="68" t="str">
        <x:v>M02十神映射、M08五行有效旺衰、M09日主旺衰已完成</x:v>
      </x:c>
      <x:c r="U98" s="68" t="str">
        <x:v>相关十神已由M02正确映射，并以M08有效力量为准</x:v>
      </x:c>
      <x:c r="V98" s="68" t="str">
        <x:v>得令、有根、透干、同党或生源形成独立有效证据</x:v>
      </x:c>
      <x:c r="W98" s="68" t="str">
        <x:v>失令、无根、被合绊、被制、改性或作用路径受阻</x:v>
      </x:c>
      <x:c r="X98" s="90" t="str">
        <x:v>不得以十神名称、数量或单一旺弱证据直接完成定性</x:v>
      </x:c>
      <x:c r="Y98" s="68" t="str">
        <x:v>特殊格局、从化候选及明确组合转M11/M14另审</x:v>
      </x:c>
      <x:c r="Z98" s="68" t="str">
        <x:v>不得直接推出吉凶、具体事件、亲属结果或最终喜忌</x:v>
      </x:c>
      <x:c r="AA98" s="84" t="str">
        <x:v>功能受限分级</x:v>
      </x:c>
      <x:c r="AB98" s="84" t="str">
        <x:v>受制不等于完全失效，应按制约程度分级：当“食神受到偏印或合绊制约，但仍保有根源和其他有效节点”成立时，按本规则记录十神的有效功能；同时保留制化、承载和反向证据。</x:v>
      </x:c>
      <x:c r="AC98" s="82" t="str">
        <x:v>较高</x:v>
      </x:c>
      <x:c r="AD98" s="82" t="str">
        <x:v>现代综合</x:v>
      </x:c>
      <x:c r="AE98" s="68" t="str">
        <x:v>十神必须分开判断存在性、力量、清纯度、功能性与喜忌性；M10只形成结构层结论和候选，不越级替代M11—M18。</x:v>
      </x:c>
      <x:c r="AF98" s="68" t="str">
        <x:v>相关条件真实成立，且增强条件有效时，可按“受制不等于完全失效，应按制约程度分级”记录对应功能。</x:v>
      </x:c>
      <x:c r="AG98" s="90" t="str">
        <x:v>仅见表面十神名称或数量，但“不得以十神名称、数量或单一旺弱证据直接完成定性”所述限制存在时，不得套用本规则。</x:v>
      </x:c>
      <x:c r="AH98" s="68" t="str">
        <x:v>https://zh.wikisource.org/wiki/%E6%B8%8A%E6%B5%B7%E5%AD%90%E5%B9%B3%E5%A4%A7%E5%85%A8 ; https://zh.wikisource.org/wiki/%E6%BB%B4%E5%A4%A9%E9%AB%93%E9%97%A1%E5%BE%AE</x:v>
      </x:c>
      <x:c r="AI98" s="82" t="str">
        <x:v>采用</x:v>
      </x:c>
      <x:c r="AJ98" s="82" t="str">
        <x:v>初审</x:v>
      </x:c>
      <x:c r="AK98" s="87" t="n">
        <x:v>46255</x:v>
      </x:c>
    </x:row>
    <x:row r="99">
      <x:c r="A99" s="72" t="str">
        <x:f>IF(OR(C99="",D99=""),"",B99&amp;"-"&amp;UPPER(C99)&amp;"-"&amp;TEXT(D99,"0000")&amp;"-"&amp;E99)</x:f>
        <x:v>M10-BAL-0093-V1.0</x:v>
      </x:c>
      <x:c r="B99" s="74" t="str">
        <x:v>M10</x:v>
      </x:c>
      <x:c r="C99" s="74" t="str">
        <x:v>BAL</x:v>
      </x:c>
      <x:c r="D99" s="215" t="n">
        <x:v>93</x:v>
      </x:c>
      <x:c r="E99" s="74" t="str">
        <x:v>V1.0</x:v>
      </x:c>
      <x:c r="F99" s="68" t="str">
        <x:v>实质改性后原十神功能应标记转化</x:v>
      </x:c>
      <x:c r="G99" s="82" t="str">
        <x:v>结构层</x:v>
      </x:c>
      <x:c r="H99" s="82" t="str">
        <x:v>正官</x:v>
      </x:c>
      <x:c r="I99" s="82" t="str">
        <x:v>待定</x:v>
      </x:c>
      <x:c r="J99" s="82" t="str">
        <x:v>待定</x:v>
      </x:c>
      <x:c r="K99" s="82" t="str">
        <x:v>待定</x:v>
      </x:c>
      <x:c r="L99" s="82" t="str">
        <x:v>待定</x:v>
      </x:c>
      <x:c r="M99" s="68" t="str">
        <x:v>按M08核查</x:v>
      </x:c>
      <x:c r="N99" s="68" t="str">
        <x:v>按M06/M08核查</x:v>
      </x:c>
      <x:c r="O99" s="82" t="str">
        <x:v>转化</x:v>
      </x:c>
      <x:c r="P99" s="68" t="str">
        <x:v>转M11/M14判断</x:v>
      </x:c>
      <x:c r="Q99" s="68" t="str">
        <x:v>需结合M09日主承载判断</x:v>
      </x:c>
      <x:c r="R99" s="82" t="str">
        <x:v>待定</x:v>
      </x:c>
      <x:c r="S99" s="68" t="str">
        <x:v>正官节点经合化等确认五行性质改变</x:v>
      </x:c>
      <x:c r="T99" s="68" t="str">
        <x:v>M02十神映射、M08五行有效旺衰、M09日主旺衰已完成</x:v>
      </x:c>
      <x:c r="U99" s="68" t="str">
        <x:v>相关十神已由M02正确映射，并以M08有效力量为准</x:v>
      </x:c>
      <x:c r="V99" s="68" t="str">
        <x:v>得令、有根、透干、同党或生源形成独立有效证据</x:v>
      </x:c>
      <x:c r="W99" s="68" t="str">
        <x:v>失令、无根、被合绊、被制、改性或作用路径受阻</x:v>
      </x:c>
      <x:c r="X99" s="90" t="str">
        <x:v>不得以十神名称、数量或单一旺弱证据直接完成定性</x:v>
      </x:c>
      <x:c r="Y99" s="68" t="str">
        <x:v>特殊格局、从化候选及明确组合转M11/M14另审</x:v>
      </x:c>
      <x:c r="Z99" s="68" t="str">
        <x:v>不得直接推出吉凶、具体事件、亲属结果或最终喜忌</x:v>
      </x:c>
      <x:c r="AA99" s="84" t="str">
        <x:v>十神功能转化</x:v>
      </x:c>
      <x:c r="AB99" s="84" t="str">
        <x:v>实质改性后原十神功能应标记转化：当“正官节点经合化等确认五行性质改变”成立时，按本规则记录十神的有效功能；同时保留制化、承载和反向证据。</x:v>
      </x:c>
      <x:c r="AC99" s="82" t="str">
        <x:v>较高</x:v>
      </x:c>
      <x:c r="AD99" s="82" t="str">
        <x:v>现代综合</x:v>
      </x:c>
      <x:c r="AE99" s="68" t="str">
        <x:v>十神必须分开判断存在性、力量、清纯度、功能性与喜忌性；M10只形成结构层结论和候选，不越级替代M11—M18。</x:v>
      </x:c>
      <x:c r="AF99" s="68" t="str">
        <x:v>相关条件真实成立，且增强条件有效时，可按“实质改性后原十神功能应标记转化”记录对应功能。</x:v>
      </x:c>
      <x:c r="AG99" s="90" t="str">
        <x:v>仅见表面十神名称或数量，但“不得以十神名称、数量或单一旺弱证据直接完成定性”所述限制存在时，不得套用本规则。</x:v>
      </x:c>
      <x:c r="AH99" s="68" t="str">
        <x:v>https://zh.wikisource.org/wiki/%E6%B8%8A%E6%B5%B7%E5%AD%90%E5%B9%B3%E5%A4%A7%E5%85%A8 ; https://zh.wikisource.org/wiki/%E6%BB%B4%E5%A4%A9%E9%AB%93%E9%97%A1%E5%BE%AE</x:v>
      </x:c>
      <x:c r="AI99" s="82" t="str">
        <x:v>采用</x:v>
      </x:c>
      <x:c r="AJ99" s="82" t="str">
        <x:v>初审</x:v>
      </x:c>
      <x:c r="AK99" s="87" t="n">
        <x:v>46255</x:v>
      </x:c>
    </x:row>
    <x:row r="100">
      <x:c r="A100" s="72" t="str">
        <x:f>IF(OR(C100="",D100=""),"",B100&amp;"-"&amp;UPPER(C100)&amp;"-"&amp;TEXT(D100,"0000")&amp;"-"&amp;E100)</x:f>
        <x:v>M10-BAL-0094-V1.0</x:v>
      </x:c>
      <x:c r="B100" s="74" t="str">
        <x:v>M10</x:v>
      </x:c>
      <x:c r="C100" s="74" t="str">
        <x:v>BAL</x:v>
      </x:c>
      <x:c r="D100" s="215" t="n">
        <x:v>94</x:v>
      </x:c>
      <x:c r="E100" s="74" t="str">
        <x:v>V1.0</x:v>
      </x:c>
      <x:c r="F100" s="68" t="str">
        <x:v>所有有效节点均失去作用路径时才判失效</x:v>
      </x:c>
      <x:c r="G100" s="82" t="str">
        <x:v>结构层</x:v>
      </x:c>
      <x:c r="H100" s="82" t="str">
        <x:v>正财</x:v>
      </x:c>
      <x:c r="I100" s="82" t="str">
        <x:v>待定</x:v>
      </x:c>
      <x:c r="J100" s="82" t="str">
        <x:v>待定</x:v>
      </x:c>
      <x:c r="K100" s="82" t="str">
        <x:v>待定</x:v>
      </x:c>
      <x:c r="L100" s="82" t="str">
        <x:v>待定</x:v>
      </x:c>
      <x:c r="M100" s="68" t="str">
        <x:v>按M08核查</x:v>
      </x:c>
      <x:c r="N100" s="68" t="str">
        <x:v>按M06/M08核查</x:v>
      </x:c>
      <x:c r="O100" s="82" t="str">
        <x:v>失效</x:v>
      </x:c>
      <x:c r="P100" s="68" t="str">
        <x:v>转M11/M14判断</x:v>
      </x:c>
      <x:c r="Q100" s="68" t="str">
        <x:v>需结合M09日主承载判断</x:v>
      </x:c>
      <x:c r="R100" s="82" t="str">
        <x:v>待定</x:v>
      </x:c>
      <x:c r="S100" s="68" t="str">
        <x:v>正财名义存在，但全部节点被制、改性或无法透达</x:v>
      </x:c>
      <x:c r="T100" s="68" t="str">
        <x:v>M02十神映射、M08五行有效旺衰、M09日主旺衰已完成</x:v>
      </x:c>
      <x:c r="U100" s="68" t="str">
        <x:v>相关十神已由M02正确映射，并以M08有效力量为准</x:v>
      </x:c>
      <x:c r="V100" s="68" t="str">
        <x:v>得令、有根、透干、同党或生源形成独立有效证据</x:v>
      </x:c>
      <x:c r="W100" s="68" t="str">
        <x:v>失令、无根、被合绊、被制、改性或作用路径受阻</x:v>
      </x:c>
      <x:c r="X100" s="90" t="str">
        <x:v>不得以十神名称、数量或单一旺弱证据直接完成定性</x:v>
      </x:c>
      <x:c r="Y100" s="68" t="str">
        <x:v>特殊格局、从化候选及明确组合转M11/M14另审</x:v>
      </x:c>
      <x:c r="Z100" s="68" t="str">
        <x:v>不得直接推出吉凶、具体事件、亲属结果或最终喜忌</x:v>
      </x:c>
      <x:c r="AA100" s="84" t="str">
        <x:v>十神功能失效</x:v>
      </x:c>
      <x:c r="AB100" s="84" t="str">
        <x:v>所有有效节点均失去作用路径时才判失效：当“正财名义存在，但全部节点被制、改性或无法透达”成立时，按本规则记录十神的有效功能；同时保留制化、承载和反向证据。</x:v>
      </x:c>
      <x:c r="AC100" s="82" t="str">
        <x:v>较高</x:v>
      </x:c>
      <x:c r="AD100" s="82" t="str">
        <x:v>现代综合</x:v>
      </x:c>
      <x:c r="AE100" s="68" t="str">
        <x:v>十神必须分开判断存在性、力量、清纯度、功能性与喜忌性；M10只形成结构层结论和候选，不越级替代M11—M18。</x:v>
      </x:c>
      <x:c r="AF100" s="68" t="str">
        <x:v>相关条件真实成立，且增强条件有效时，可按“所有有效节点均失去作用路径时才判失效”记录对应功能。</x:v>
      </x:c>
      <x:c r="AG100" s="90" t="str">
        <x:v>仅见表面十神名称或数量，但“不得以十神名称、数量或单一旺弱证据直接完成定性”所述限制存在时，不得套用本规则。</x:v>
      </x:c>
      <x:c r="AH100" s="68" t="str">
        <x:v>https://zh.wikisource.org/wiki/%E6%B8%8A%E6%B5%B7%E5%AD%90%E5%B9%B3%E5%A4%A7%E5%85%A8 ; https://zh.wikisource.org/wiki/%E6%BB%B4%E5%A4%A9%E9%AB%93%E9%97%A1%E5%BE%AE</x:v>
      </x:c>
      <x:c r="AI100" s="82" t="str">
        <x:v>采用</x:v>
      </x:c>
      <x:c r="AJ100" s="82" t="str">
        <x:v>初审</x:v>
      </x:c>
      <x:c r="AK100" s="87" t="n">
        <x:v>46255</x:v>
      </x:c>
    </x:row>
    <x:row r="101">
      <x:c r="A101" s="72" t="str">
        <x:f>IF(OR(C101="",D101=""),"",B101&amp;"-"&amp;UPPER(C101)&amp;"-"&amp;TEXT(D101,"0000")&amp;"-"&amp;E101)</x:f>
        <x:v>M10-BAL-0095-V1.0</x:v>
      </x:c>
      <x:c r="B101" s="74" t="str">
        <x:v>M10</x:v>
      </x:c>
      <x:c r="C101" s="74" t="str">
        <x:v>BAL</x:v>
      </x:c>
      <x:c r="D101" s="215" t="n">
        <x:v>95</x:v>
      </x:c>
      <x:c r="E101" s="74" t="str">
        <x:v>V1.0</x:v>
      </x:c>
      <x:c r="F101" s="68" t="str">
        <x:v>十神作用超过全局承载并制造新阻塞时可判过度</x:v>
      </x:c>
      <x:c r="G101" s="82" t="str">
        <x:v>结构层</x:v>
      </x:c>
      <x:c r="H101" s="82" t="str">
        <x:v>偏印</x:v>
      </x:c>
      <x:c r="I101" s="82" t="str">
        <x:v>待定</x:v>
      </x:c>
      <x:c r="J101" s="82" t="str">
        <x:v>待定</x:v>
      </x:c>
      <x:c r="K101" s="82" t="str">
        <x:v>待定</x:v>
      </x:c>
      <x:c r="L101" s="82" t="str">
        <x:v>待定</x:v>
      </x:c>
      <x:c r="M101" s="68" t="str">
        <x:v>按M08核查</x:v>
      </x:c>
      <x:c r="N101" s="68" t="str">
        <x:v>按M06/M08核查</x:v>
      </x:c>
      <x:c r="O101" s="82" t="str">
        <x:v>过度</x:v>
      </x:c>
      <x:c r="P101" s="68" t="str">
        <x:v>转M11/M14判断</x:v>
      </x:c>
      <x:c r="Q101" s="68" t="str">
        <x:v>需结合M09日主承载判断</x:v>
      </x:c>
      <x:c r="R101" s="82" t="str">
        <x:v>待定</x:v>
      </x:c>
      <x:c r="S101" s="68" t="str">
        <x:v>偏印极旺且持续压制食伤、加重身势或阻断流通</x:v>
      </x:c>
      <x:c r="T101" s="68" t="str">
        <x:v>M02十神映射、M08五行有效旺衰、M09日主旺衰已完成</x:v>
      </x:c>
      <x:c r="U101" s="68" t="str">
        <x:v>相关十神已由M02正确映射，并以M08有效力量为准</x:v>
      </x:c>
      <x:c r="V101" s="68" t="str">
        <x:v>得令、有根、透干、同党或生源形成独立有效证据</x:v>
      </x:c>
      <x:c r="W101" s="68" t="str">
        <x:v>失令、无根、被合绊、被制、改性或作用路径受阻</x:v>
      </x:c>
      <x:c r="X101" s="90" t="str">
        <x:v>不得以十神名称、数量或单一旺弱证据直接完成定性</x:v>
      </x:c>
      <x:c r="Y101" s="68" t="str">
        <x:v>特殊格局、从化候选及明确组合转M11/M14另审</x:v>
      </x:c>
      <x:c r="Z101" s="68" t="str">
        <x:v>不得直接推出吉凶、具体事件、亲属结果或最终喜忌</x:v>
      </x:c>
      <x:c r="AA101" s="84" t="str">
        <x:v>十神功能过度</x:v>
      </x:c>
      <x:c r="AB101" s="84" t="str">
        <x:v>十神作用超过全局承载并制造新阻塞时可判过度：当“偏印极旺且持续压制食伤、加重身势或阻断流通”成立时，按本规则记录十神的有效功能；同时保留制化、承载和反向证据。</x:v>
      </x:c>
      <x:c r="AC101" s="82" t="str">
        <x:v>较高</x:v>
      </x:c>
      <x:c r="AD101" s="82" t="str">
        <x:v>现代综合</x:v>
      </x:c>
      <x:c r="AE101" s="68" t="str">
        <x:v>十神必须分开判断存在性、力量、清纯度、功能性与喜忌性；M10只形成结构层结论和候选，不越级替代M11—M18。</x:v>
      </x:c>
      <x:c r="AF101" s="68" t="str">
        <x:v>相关条件真实成立，且增强条件有效时，可按“十神作用超过全局承载并制造新阻塞时可判过度”记录对应功能。</x:v>
      </x:c>
      <x:c r="AG101" s="90" t="str">
        <x:v>仅见表面十神名称或数量，但“不得以十神名称、数量或单一旺弱证据直接完成定性”所述限制存在时，不得套用本规则。</x:v>
      </x:c>
      <x:c r="AH101" s="68" t="str">
        <x:v>https://zh.wikisource.org/wiki/%E6%B8%8A%E6%B5%B7%E5%AD%90%E5%B9%B3%E5%A4%A7%E5%85%A8 ; https://zh.wikisource.org/wiki/%E6%BB%B4%E5%A4%A9%E9%AB%93%E9%97%A1%E5%BE%AE</x:v>
      </x:c>
      <x:c r="AI101" s="82" t="str">
        <x:v>采用</x:v>
      </x:c>
      <x:c r="AJ101" s="82" t="str">
        <x:v>初审</x:v>
      </x:c>
      <x:c r="AK101" s="87" t="n">
        <x:v>46255</x:v>
      </x:c>
    </x:row>
    <x:row r="102">
      <x:c r="A102" s="72" t="str">
        <x:f>IF(OR(C102="",D102=""),"",B102&amp;"-"&amp;UPPER(C102)&amp;"-"&amp;TEXT(D102,"0000")&amp;"-"&amp;E102)</x:f>
        <x:v>M10-BAL-0096-V1.0</x:v>
      </x:c>
      <x:c r="B102" s="74" t="str">
        <x:v>M10</x:v>
      </x:c>
      <x:c r="C102" s="74" t="str">
        <x:v>BAL</x:v>
      </x:c>
      <x:c r="D102" s="215" t="n">
        <x:v>96</x:v>
      </x:c>
      <x:c r="E102" s="74" t="str">
        <x:v>V1.0</x:v>
      </x:c>
      <x:c r="F102" s="68" t="str">
        <x:v>制杀双方力量匹配且无关键破坏时标记制化平衡</x:v>
      </x:c>
      <x:c r="G102" s="82" t="str">
        <x:v>结构层</x:v>
      </x:c>
      <x:c r="H102" s="82" t="str">
        <x:v>食神</x:v>
      </x:c>
      <x:c r="I102" s="82" t="str">
        <x:v>待定</x:v>
      </x:c>
      <x:c r="J102" s="82" t="str">
        <x:v>待定</x:v>
      </x:c>
      <x:c r="K102" s="82" t="str">
        <x:v>待定</x:v>
      </x:c>
      <x:c r="L102" s="82" t="str">
        <x:v>待定</x:v>
      </x:c>
      <x:c r="M102" s="68" t="str">
        <x:v>按M08核查</x:v>
      </x:c>
      <x:c r="N102" s="68" t="str">
        <x:v>按M06/M08核查</x:v>
      </x:c>
      <x:c r="O102" s="82" t="str">
        <x:v>制化平衡</x:v>
      </x:c>
      <x:c r="P102" s="68" t="str">
        <x:v>食神制杀候选转M11</x:v>
      </x:c>
      <x:c r="Q102" s="68" t="str">
        <x:v>需结合M09日主承载判断</x:v>
      </x:c>
      <x:c r="R102" s="82" t="str">
        <x:v>待定</x:v>
      </x:c>
      <x:c r="S102" s="68" t="str">
        <x:v>食神与七杀有效力量匹配，制约路径稳定</x:v>
      </x:c>
      <x:c r="T102" s="68" t="str">
        <x:v>M02十神映射、M08五行有效旺衰、M09日主旺衰已完成</x:v>
      </x:c>
      <x:c r="U102" s="68" t="str">
        <x:v>相关十神已由M02正确映射，并以M08有效力量为准</x:v>
      </x:c>
      <x:c r="V102" s="68" t="str">
        <x:v>得令、有根、透干、同党或生源形成独立有效证据</x:v>
      </x:c>
      <x:c r="W102" s="68" t="str">
        <x:v>失令、无根、被合绊、被制、改性或作用路径受阻</x:v>
      </x:c>
      <x:c r="X102" s="90" t="str">
        <x:v>不得以十神名称、数量或单一旺弱证据直接完成定性</x:v>
      </x:c>
      <x:c r="Y102" s="68" t="str">
        <x:v>特殊格局、从化候选及明确组合转M11/M14另审</x:v>
      </x:c>
      <x:c r="Z102" s="68" t="str">
        <x:v>不得直接推出吉凶、具体事件、亲属结果或最终喜忌</x:v>
      </x:c>
      <x:c r="AA102" s="84" t="str">
        <x:v>制化平衡候选</x:v>
      </x:c>
      <x:c r="AB102" s="84" t="str">
        <x:v>制杀双方力量匹配且无关键破坏时标记制化平衡：当“食神与七杀有效力量匹配，制约路径稳定”成立时，按本规则记录十神的有效功能；同时保留制化、承载和反向证据。</x:v>
      </x:c>
      <x:c r="AC102" s="82" t="str">
        <x:v>较高</x:v>
      </x:c>
      <x:c r="AD102" s="82" t="str">
        <x:v>现代综合</x:v>
      </x:c>
      <x:c r="AE102" s="68" t="str">
        <x:v>十神必须分开判断存在性、力量、清纯度、功能性与喜忌性；M10只形成结构层结论和候选，不越级替代M11—M18。</x:v>
      </x:c>
      <x:c r="AF102" s="68" t="str">
        <x:v>相关条件真实成立，且增强条件有效时，可按“制杀双方力量匹配且无关键破坏时标记制化平衡”记录对应功能。</x:v>
      </x:c>
      <x:c r="AG102" s="90" t="str">
        <x:v>仅见表面十神名称或数量，但“不得以十神名称、数量或单一旺弱证据直接完成定性”所述限制存在时，不得套用本规则。</x:v>
      </x:c>
      <x:c r="AH102" s="68" t="str">
        <x:v>https://zh.wikisource.org/wiki/%E6%B8%8A%E6%B5%B7%E5%AD%90%E5%B9%B3%E5%A4%A7%E5%85%A8 ; https://zh.wikisource.org/wiki/%E6%BB%B4%E5%A4%A9%E9%AB%93%E9%97%A1%E5%BE%AE</x:v>
      </x:c>
      <x:c r="AI102" s="82" t="str">
        <x:v>采用</x:v>
      </x:c>
      <x:c r="AJ102" s="82" t="str">
        <x:v>初审</x:v>
      </x:c>
      <x:c r="AK102" s="87" t="n">
        <x:v>46255</x:v>
      </x:c>
    </x:row>
    <x:row r="103">
      <x:c r="A103" s="72" t="str">
        <x:f>IF(OR(C103="",D103=""),"",B103&amp;"-"&amp;UPPER(C103)&amp;"-"&amp;TEXT(D103,"0000")&amp;"-"&amp;E103)</x:f>
        <x:v>M10-BAL-0097-V1.0</x:v>
      </x:c>
      <x:c r="B103" s="74" t="str">
        <x:v>M10</x:v>
      </x:c>
      <x:c r="C103" s="74" t="str">
        <x:v>BAL</x:v>
      </x:c>
      <x:c r="D103" s="215" t="n">
        <x:v>97</x:v>
      </x:c>
      <x:c r="E103" s="74" t="str">
        <x:v>V1.0</x:v>
      </x:c>
      <x:c r="F103" s="68" t="str">
        <x:v>制化两端同时过强并彼此破坏时标记制化失衡</x:v>
      </x:c>
      <x:c r="G103" s="82" t="str">
        <x:v>结构层</x:v>
      </x:c>
      <x:c r="H103" s="82" t="str">
        <x:v>伤官</x:v>
      </x:c>
      <x:c r="I103" s="82" t="str">
        <x:v>待定</x:v>
      </x:c>
      <x:c r="J103" s="82" t="str">
        <x:v>待定</x:v>
      </x:c>
      <x:c r="K103" s="82" t="str">
        <x:v>待定</x:v>
      </x:c>
      <x:c r="L103" s="82" t="str">
        <x:v>待定</x:v>
      </x:c>
      <x:c r="M103" s="68" t="str">
        <x:v>按M08核查</x:v>
      </x:c>
      <x:c r="N103" s="68" t="str">
        <x:v>按M06/M08核查</x:v>
      </x:c>
      <x:c r="O103" s="82" t="str">
        <x:v>制化失衡</x:v>
      </x:c>
      <x:c r="P103" s="68" t="str">
        <x:v>转M11/M14判断</x:v>
      </x:c>
      <x:c r="Q103" s="68" t="str">
        <x:v>需结合M09日主承载判断</x:v>
      </x:c>
      <x:c r="R103" s="82" t="str">
        <x:v>待定</x:v>
      </x:c>
      <x:c r="S103" s="68" t="str">
        <x:v>伤官、印或官星形成多方强力冲突且无稳定主导</x:v>
      </x:c>
      <x:c r="T103" s="68" t="str">
        <x:v>M02十神映射、M08五行有效旺衰、M09日主旺衰已完成</x:v>
      </x:c>
      <x:c r="U103" s="68" t="str">
        <x:v>相关十神已由M02正确映射，并以M08有效力量为准</x:v>
      </x:c>
      <x:c r="V103" s="68" t="str">
        <x:v>得令、有根、透干、同党或生源形成独立有效证据</x:v>
      </x:c>
      <x:c r="W103" s="68" t="str">
        <x:v>失令、无根、被合绊、被制、改性或作用路径受阻</x:v>
      </x:c>
      <x:c r="X103" s="90" t="str">
        <x:v>不得以十神名称、数量或单一旺弱证据直接完成定性</x:v>
      </x:c>
      <x:c r="Y103" s="68" t="str">
        <x:v>特殊格局、从化候选及明确组合转M11/M14另审</x:v>
      </x:c>
      <x:c r="Z103" s="68" t="str">
        <x:v>不得直接推出吉凶、具体事件、亲属结果或最终喜忌</x:v>
      </x:c>
      <x:c r="AA103" s="84" t="str">
        <x:v>制化失衡候选</x:v>
      </x:c>
      <x:c r="AB103" s="84" t="str">
        <x:v>制化两端同时过强并彼此破坏时标记制化失衡：当“伤官、印或官星形成多方强力冲突且无稳定主导”成立时，按本规则记录十神的有效功能；同时保留制化、承载和反向证据。</x:v>
      </x:c>
      <x:c r="AC103" s="82" t="str">
        <x:v>较高</x:v>
      </x:c>
      <x:c r="AD103" s="82" t="str">
        <x:v>现代综合</x:v>
      </x:c>
      <x:c r="AE103" s="68" t="str">
        <x:v>十神必须分开判断存在性、力量、清纯度、功能性与喜忌性；M10只形成结构层结论和候选，不越级替代M11—M18。</x:v>
      </x:c>
      <x:c r="AF103" s="68" t="str">
        <x:v>相关条件真实成立，且增强条件有效时，可按“制化两端同时过强并彼此破坏时标记制化失衡”记录对应功能。</x:v>
      </x:c>
      <x:c r="AG103" s="90" t="str">
        <x:v>仅见表面十神名称或数量，但“不得以十神名称、数量或单一旺弱证据直接完成定性”所述限制存在时，不得套用本规则。</x:v>
      </x:c>
      <x:c r="AH103" s="68" t="str">
        <x:v>https://zh.wikisource.org/wiki/%E6%B8%8A%E6%B5%B7%E5%AD%90%E5%B9%B3%E5%A4%A7%E5%85%A8 ; https://zh.wikisource.org/wiki/%E6%BB%B4%E5%A4%A9%E9%AB%93%E9%97%A1%E5%BE%AE</x:v>
      </x:c>
      <x:c r="AI103" s="82" t="str">
        <x:v>采用</x:v>
      </x:c>
      <x:c r="AJ103" s="82" t="str">
        <x:v>初审</x:v>
      </x:c>
      <x:c r="AK103" s="87" t="n">
        <x:v>46255</x:v>
      </x:c>
    </x:row>
    <x:row r="104">
      <x:c r="A104" s="72" t="str">
        <x:f>IF(OR(C104="",D104=""),"",B104&amp;"-"&amp;UPPER(C104)&amp;"-"&amp;TEXT(D104,"0000")&amp;"-"&amp;E104)</x:f>
        <x:v>M10-BAL-0098-V1.0</x:v>
      </x:c>
      <x:c r="B104" s="74" t="str">
        <x:v>M10</x:v>
      </x:c>
      <x:c r="C104" s="74" t="str">
        <x:v>BAL</x:v>
      </x:c>
      <x:c r="D104" s="215" t="n">
        <x:v>98</x:v>
      </x:c>
      <x:c r="E104" s="74" t="str">
        <x:v>V1.0</x:v>
      </x:c>
      <x:c r="F104" s="68" t="str">
        <x:v>同一十神可同时承担多个功能但不得重复计力</x:v>
      </x:c>
      <x:c r="G104" s="82" t="str">
        <x:v>结构层</x:v>
      </x:c>
      <x:c r="H104" s="82" t="str">
        <x:v>正印</x:v>
      </x:c>
      <x:c r="I104" s="82" t="str">
        <x:v>待定</x:v>
      </x:c>
      <x:c r="J104" s="82" t="str">
        <x:v>待定</x:v>
      </x:c>
      <x:c r="K104" s="82" t="str">
        <x:v>待定</x:v>
      </x:c>
      <x:c r="L104" s="82" t="str">
        <x:v>待定</x:v>
      </x:c>
      <x:c r="M104" s="68" t="str">
        <x:v>按M08核查</x:v>
      </x:c>
      <x:c r="N104" s="68" t="str">
        <x:v>按M06/M08核查</x:v>
      </x:c>
      <x:c r="O104" s="82" t="str">
        <x:v>正常发挥</x:v>
      </x:c>
      <x:c r="P104" s="68" t="str">
        <x:v>转M11/M14判断</x:v>
      </x:c>
      <x:c r="Q104" s="68" t="str">
        <x:v>需结合M09日主承载判断</x:v>
      </x:c>
      <x:c r="R104" s="82" t="str">
        <x:v>待定</x:v>
      </x:c>
      <x:c r="S104" s="68" t="str">
        <x:v>正印同时生身、承接官星并制食伤</x:v>
      </x:c>
      <x:c r="T104" s="68" t="str">
        <x:v>M02十神映射、M08五行有效旺衰、M09日主旺衰已完成</x:v>
      </x:c>
      <x:c r="U104" s="68" t="str">
        <x:v>相关十神已由M02正确映射，并以M08有效力量为准</x:v>
      </x:c>
      <x:c r="V104" s="68" t="str">
        <x:v>得令、有根、透干、同党或生源形成独立有效证据</x:v>
      </x:c>
      <x:c r="W104" s="68" t="str">
        <x:v>失令、无根、被合绊、被制、改性或作用路径受阻</x:v>
      </x:c>
      <x:c r="X104" s="90" t="str">
        <x:v>不得以十神名称、数量或单一旺弱证据直接完成定性</x:v>
      </x:c>
      <x:c r="Y104" s="68" t="str">
        <x:v>特殊格局、从化候选及明确组合转M11/M14另审</x:v>
      </x:c>
      <x:c r="Z104" s="68" t="str">
        <x:v>不得因承担三个功能就把同一印星力量重复计算三次</x:v>
      </x:c>
      <x:c r="AA104" s="84" t="str">
        <x:v>一神多职不重复计力</x:v>
      </x:c>
      <x:c r="AB104" s="84" t="str">
        <x:v>同一十神可同时承担多个功能但不得重复计力：当“正印同时生身、承接官星并制食伤”成立时，按本规则记录十神的有效功能；同时保留制化、承载和反向证据。</x:v>
      </x:c>
      <x:c r="AC104" s="82" t="str">
        <x:v>较高</x:v>
      </x:c>
      <x:c r="AD104" s="82" t="str">
        <x:v>现代综合</x:v>
      </x:c>
      <x:c r="AE104" s="68" t="str">
        <x:v>十神必须分开判断存在性、力量、清纯度、功能性与喜忌性；M10只形成结构层结论和候选，不越级替代M11—M18。</x:v>
      </x:c>
      <x:c r="AF104" s="68" t="str">
        <x:v>相关条件真实成立，且增强条件有效时，可按“同一十神可同时承担多个功能但不得重复计力”记录对应功能。</x:v>
      </x:c>
      <x:c r="AG104" s="90" t="str">
        <x:v>仅见表面十神名称或数量，但“不得以十神名称、数量或单一旺弱证据直接完成定性”所述限制存在时，不得套用本规则。</x:v>
      </x:c>
      <x:c r="AH104" s="68" t="str">
        <x:v>https://zh.wikisource.org/wiki/%E6%B8%8A%E6%B5%B7%E5%AD%90%E5%B9%B3%E5%A4%A7%E5%85%A8 ; https://zh.wikisource.org/wiki/%E6%BB%B4%E5%A4%A9%E9%AB%93%E9%97%A1%E5%BE%AE</x:v>
      </x:c>
      <x:c r="AI104" s="82" t="str">
        <x:v>采用</x:v>
      </x:c>
      <x:c r="AJ104" s="82" t="str">
        <x:v>初审</x:v>
      </x:c>
      <x:c r="AK104" s="87" t="n">
        <x:v>46255</x:v>
      </x:c>
    </x:row>
    <x:row r="105">
      <x:c r="A105" s="72" t="str">
        <x:f>IF(OR(C105="",D105=""),"",B105&amp;"-"&amp;UPPER(C105)&amp;"-"&amp;TEXT(D105,"0000")&amp;"-"&amp;E105)</x:f>
        <x:v>M10-BAL-0099-V1.0</x:v>
      </x:c>
      <x:c r="B105" s="74" t="str">
        <x:v>M10</x:v>
      </x:c>
      <x:c r="C105" s="74" t="str">
        <x:v>BAL</x:v>
      </x:c>
      <x:c r="D105" s="215" t="n">
        <x:v>99</x:v>
      </x:c>
      <x:c r="E105" s="74" t="str">
        <x:v>V1.0</x:v>
      </x:c>
      <x:c r="F105" s="68" t="str">
        <x:v>功能价值取决于是否解决主要矛盾</x:v>
      </x:c>
      <x:c r="G105" s="82" t="str">
        <x:v>结构层</x:v>
      </x:c>
      <x:c r="H105" s="82" t="str">
        <x:v>劫财</x:v>
      </x:c>
      <x:c r="I105" s="82" t="str">
        <x:v>待定</x:v>
      </x:c>
      <x:c r="J105" s="82" t="str">
        <x:v>待定</x:v>
      </x:c>
      <x:c r="K105" s="82" t="str">
        <x:v>待定</x:v>
      </x:c>
      <x:c r="L105" s="82" t="str">
        <x:v>待定</x:v>
      </x:c>
      <x:c r="M105" s="68" t="str">
        <x:v>按M08核查</x:v>
      </x:c>
      <x:c r="N105" s="68" t="str">
        <x:v>按M06/M08核查</x:v>
      </x:c>
      <x:c r="O105" s="82" t="str">
        <x:v>待定</x:v>
      </x:c>
      <x:c r="P105" s="68" t="str">
        <x:v>转M11/M14判断</x:v>
      </x:c>
      <x:c r="Q105" s="68" t="str">
        <x:v>需结合M09日主承载判断</x:v>
      </x:c>
      <x:c r="R105" s="82" t="str">
        <x:v>待定</x:v>
      </x:c>
      <x:c r="S105" s="68" t="str">
        <x:v>劫财既能扶身又可能制财，须判断当前原局主要矛盾</x:v>
      </x:c>
      <x:c r="T105" s="68" t="str">
        <x:v>M02十神映射、M08五行有效旺衰、M09日主旺衰已完成</x:v>
      </x:c>
      <x:c r="U105" s="68" t="str">
        <x:v>相关十神已由M02正确映射，并以M08有效力量为准</x:v>
      </x:c>
      <x:c r="V105" s="68" t="str">
        <x:v>得令、有根、透干、同党或生源形成独立有效证据</x:v>
      </x:c>
      <x:c r="W105" s="68" t="str">
        <x:v>失令、无根、被合绊、被制、改性或作用路径受阻</x:v>
      </x:c>
      <x:c r="X105" s="90" t="str">
        <x:v>不得以十神名称、数量或单一旺弱证据直接完成定性</x:v>
      </x:c>
      <x:c r="Y105" s="68" t="str">
        <x:v>特殊格局、从化候选及明确组合转M11/M14另审</x:v>
      </x:c>
      <x:c r="Z105" s="68" t="str">
        <x:v>不得直接推出吉凶、具体事件、亲属结果或最终喜忌</x:v>
      </x:c>
      <x:c r="AA105" s="84" t="str">
        <x:v>功能目标导向</x:v>
      </x:c>
      <x:c r="AB105" s="84" t="str">
        <x:v>功能价值取决于是否解决主要矛盾：当“劫财既能扶身又可能制财，须判断当前原局主要矛盾”成立时，按本规则记录十神的有效功能；同时保留制化、承载和反向证据。</x:v>
      </x:c>
      <x:c r="AC105" s="82" t="str">
        <x:v>较高</x:v>
      </x:c>
      <x:c r="AD105" s="82" t="str">
        <x:v>现代综合</x:v>
      </x:c>
      <x:c r="AE105" s="68" t="str">
        <x:v>十神必须分开判断存在性、力量、清纯度、功能性与喜忌性；M10只形成结构层结论和候选，不越级替代M11—M18。</x:v>
      </x:c>
      <x:c r="AF105" s="68" t="str">
        <x:v>相关条件真实成立，且增强条件有效时，可按“功能价值取决于是否解决主要矛盾”记录对应功能。</x:v>
      </x:c>
      <x:c r="AG105" s="90" t="str">
        <x:v>仅见表面十神名称或数量，但“不得以十神名称、数量或单一旺弱证据直接完成定性”所述限制存在时，不得套用本规则。</x:v>
      </x:c>
      <x:c r="AH105" s="68" t="str">
        <x:v>https://zh.wikisource.org/wiki/%E6%B8%8A%E6%B5%B7%E5%AD%90%E5%B9%B3%E5%A4%A7%E5%85%A8 ; https://zh.wikisource.org/wiki/%E6%BB%B4%E5%A4%A9%E9%AB%93%E9%97%A1%E5%BE%AE</x:v>
      </x:c>
      <x:c r="AI105" s="82" t="str">
        <x:v>采用</x:v>
      </x:c>
      <x:c r="AJ105" s="82" t="str">
        <x:v>初审</x:v>
      </x:c>
      <x:c r="AK105" s="87" t="n">
        <x:v>46255</x:v>
      </x:c>
    </x:row>
    <x:row r="106">
      <x:c r="A106" s="214" t="str">
        <x:f>IF(OR(C106="",D106=""),"",B106&amp;"-"&amp;UPPER(C106)&amp;"-"&amp;TEXT(D106,"0000")&amp;"-"&amp;E106)</x:f>
        <x:v>M10-BAL-0100-V1.0</x:v>
      </x:c>
      <x:c r="B106" s="214" t="str">
        <x:v>M10</x:v>
      </x:c>
      <x:c r="C106" s="214" t="str">
        <x:v>BAL</x:v>
      </x:c>
      <x:c r="D106" s="216" t="n">
        <x:v>100</x:v>
      </x:c>
      <x:c r="E106" s="214" t="str">
        <x:v>V1.0</x:v>
      </x:c>
      <x:c r="F106" s="214" t="str">
        <x:v>功能副作用必须与主要收益同时记录</x:v>
      </x:c>
      <x:c r="G106" s="214" t="str">
        <x:v>结构层</x:v>
      </x:c>
      <x:c r="H106" s="214" t="str">
        <x:v>偏财</x:v>
      </x:c>
      <x:c r="I106" s="214" t="str">
        <x:v>待定</x:v>
      </x:c>
      <x:c r="J106" s="214" t="str">
        <x:v>待定</x:v>
      </x:c>
      <x:c r="K106" s="214" t="str">
        <x:v>待定</x:v>
      </x:c>
      <x:c r="L106" s="214" t="str">
        <x:v>待定</x:v>
      </x:c>
      <x:c r="M106" s="214" t="str">
        <x:v>按M08核查</x:v>
      </x:c>
      <x:c r="N106" s="214" t="str">
        <x:v>按M06/M08核查</x:v>
      </x:c>
      <x:c r="O106" s="214" t="str">
        <x:v>待定</x:v>
      </x:c>
      <x:c r="P106" s="214" t="str">
        <x:v>转M11/M14判断</x:v>
      </x:c>
      <x:c r="Q106" s="214" t="str">
        <x:v>需结合M09日主承载判断</x:v>
      </x:c>
      <x:c r="R106" s="214" t="str">
        <x:v>待定</x:v>
      </x:c>
      <x:c r="S106" s="214" t="str">
        <x:v>偏财能耗身或生官杀，但同时可能制印</x:v>
      </x:c>
      <x:c r="T106" s="214" t="str">
        <x:v>M02十神映射、M08五行有效旺衰、M09日主旺衰已完成</x:v>
      </x:c>
      <x:c r="U106" s="214" t="str">
        <x:v>相关十神已由M02正确映射，并以M08有效力量为准</x:v>
      </x:c>
      <x:c r="V106" s="214" t="str">
        <x:v>得令、有根、透干、同党或生源形成独立有效证据</x:v>
      </x:c>
      <x:c r="W106" s="214" t="str">
        <x:v>失令、无根、被合绊、被制、改性或作用路径受阻</x:v>
      </x:c>
      <x:c r="X106" s="214" t="str">
        <x:v>不得以十神名称、数量或单一旺弱证据直接完成定性</x:v>
      </x:c>
      <x:c r="Y106" s="214" t="str">
        <x:v>特殊格局、从化候选及明确组合转M11/M14另审</x:v>
      </x:c>
      <x:c r="Z106" s="214" t="str">
        <x:v>不得直接推出吉凶、具体事件、亲属结果或最终喜忌</x:v>
      </x:c>
      <x:c r="AA106" s="214" t="str">
        <x:v>功能收益副作用并列</x:v>
      </x:c>
      <x:c r="AB106" s="214" t="str">
        <x:v>十神功能评价应同时记录主要收益、次级作用和副作用，留给M16—M18统一裁决。</x:v>
      </x:c>
      <x:c r="AC106" s="214" t="str">
        <x:v>较高</x:v>
      </x:c>
      <x:c r="AD106" s="214" t="str">
        <x:v>现代综合</x:v>
      </x:c>
      <x:c r="AE106" s="214" t="str">
        <x:v>十神必须分开判断存在性、力量、清纯度、功能性与喜忌性；M10只形成结构层结论和候选，不越级替代M11—M18。</x:v>
      </x:c>
      <x:c r="AF106" s="214" t="str">
        <x:v>相关条件真实成立，且增强条件有效时，可按“功能副作用必须与主要收益同时记录”记录对应功能。</x:v>
      </x:c>
      <x:c r="AG106" s="214" t="str">
        <x:v>仅见表面十神名称或数量，但“不得以十神名称、数量或单一旺弱证据直接完成定性”所述限制存在时，不得套用本规则。</x:v>
      </x:c>
      <x:c r="AH106" s="214" t="str">
        <x:v>https://zh.wikisource.org/wiki/%E6%B8%8A%E6%B5%B7%E5%AD%90%E5%B9%B3%E5%A4%A7%E5%85%A8 ; https://zh.wikisource.org/wiki/%E6%BB%B4%E5%A4%A9%E9%AB%93%E9%97%A1%E5%BE%AE</x:v>
      </x:c>
      <x:c r="AI106" s="214" t="str">
        <x:v>采用</x:v>
      </x:c>
      <x:c r="AJ106" s="214" t="str">
        <x:v>初审</x:v>
      </x:c>
      <x:c r="AK106" s="217" t="n">
        <x:v>46255</x:v>
      </x:c>
    </x:row>
    <x:row r="107">
      <x:c r="A107" s="214" t="str">
        <x:f>IF(OR(C107="",D107=""),"",B107&amp;"-"&amp;UPPER(C107)&amp;"-"&amp;TEXT(D107,"0000")&amp;"-"&amp;E107)</x:f>
        <x:v>M10-ROLE-0101-V1.0</x:v>
      </x:c>
      <x:c r="B107" s="214" t="str">
        <x:v>M10</x:v>
      </x:c>
      <x:c r="C107" s="214" t="str">
        <x:v>ROLE</x:v>
      </x:c>
      <x:c r="D107" s="216" t="n">
        <x:v>101</x:v>
      </x:c>
      <x:c r="E107" s="214" t="str">
        <x:v>V1.0</x:v>
      </x:c>
      <x:c r="F107" s="214" t="str">
        <x:v>十神有力只能生成组合候选不能直接成立格局</x:v>
      </x:c>
      <x:c r="G107" s="214" t="str">
        <x:v>结构层</x:v>
      </x:c>
      <x:c r="H107" s="214" t="str">
        <x:v>食神</x:v>
      </x:c>
      <x:c r="I107" s="214" t="str">
        <x:v>待定</x:v>
      </x:c>
      <x:c r="J107" s="214" t="str">
        <x:v>待定</x:v>
      </x:c>
      <x:c r="K107" s="214" t="str">
        <x:v>待定</x:v>
      </x:c>
      <x:c r="L107" s="214" t="str">
        <x:v>待定</x:v>
      </x:c>
      <x:c r="M107" s="214" t="str">
        <x:v>按M08核查</x:v>
      </x:c>
      <x:c r="N107" s="214" t="str">
        <x:v>按M06/M08核查</x:v>
      </x:c>
      <x:c r="O107" s="214" t="str">
        <x:v>待定</x:v>
      </x:c>
      <x:c r="P107" s="214" t="str">
        <x:v>生成食神制杀或食神生财候选，转M11</x:v>
      </x:c>
      <x:c r="Q107" s="214" t="str">
        <x:v>需结合M09日主承载判断</x:v>
      </x:c>
      <x:c r="R107" s="214" t="str">
        <x:v>待定</x:v>
      </x:c>
      <x:c r="S107" s="214" t="str">
        <x:v>食神有效且七杀或财星等对象存在</x:v>
      </x:c>
      <x:c r="T107" s="214" t="str">
        <x:v>M02十神映射、M08五行有效旺衰、M09日主旺衰已完成</x:v>
      </x:c>
      <x:c r="U107" s="214" t="str">
        <x:v>相关十神已由M02正确映射，并以M08有效力量为准</x:v>
      </x:c>
      <x:c r="V107" s="214" t="str">
        <x:v>得令、有根、透干、同党或生源形成独立有效证据</x:v>
      </x:c>
      <x:c r="W107" s="214" t="str">
        <x:v>失令、无根、被合绊、被制、改性或作用路径受阻</x:v>
      </x:c>
      <x:c r="X107" s="214" t="str">
        <x:v>不得以十神名称、数量或单一旺弱证据直接完成定性</x:v>
      </x:c>
      <x:c r="Y107" s="214" t="str">
        <x:v>特殊格局、从化候选及明确组合转M11/M14另审</x:v>
      </x:c>
      <x:c r="Z107" s="214" t="str">
        <x:v>不得由食神有力直接宣布食神制杀、食神格或格局成立</x:v>
      </x:c>
      <x:c r="AA107" s="214" t="str">
        <x:v>组合候选接口</x:v>
      </x:c>
      <x:c r="AB107" s="214" t="str">
        <x:v>十神有力只能生成组合候选不能直接成立格局：当“食神有效且七杀或财星等对象存在”成立时，按本规则记录十神的有效功能；同时保留制化、承载和反向证据。</x:v>
      </x:c>
      <x:c r="AC107" s="214" t="str">
        <x:v>较高</x:v>
      </x:c>
      <x:c r="AD107" s="214" t="str">
        <x:v>现代综合</x:v>
      </x:c>
      <x:c r="AE107" s="214" t="str">
        <x:v>十神必须分开判断存在性、力量、清纯度、功能性与喜忌性；M10只形成结构层结论和候选，不越级替代M11—M18。</x:v>
      </x:c>
      <x:c r="AF107" s="214" t="str">
        <x:v>相关条件真实成立，且增强条件有效时，可按“十神有力只能生成组合候选不能直接成立格局”记录对应功能。</x:v>
      </x:c>
      <x:c r="AG107" s="214" t="str">
        <x:v>仅见表面十神名称或数量，但“不得以十神名称、数量或单一旺弱证据直接完成定性”所述限制存在时，不得套用本规则。</x:v>
      </x:c>
      <x:c r="AH107" s="214" t="str">
        <x:v>https://zh.wikisource.org/wiki/%E6%B8%8A%E6%B5%B7%E5%AD%90%E5%B9%B3%E5%A4%A7%E5%85%A8 ; https://zh.wikisource.org/wiki/%E6%BB%B4%E5%A4%A9%E9%AB%93%E9%97%A1%E5%BE%AE</x:v>
      </x:c>
      <x:c r="AI107" s="214" t="str">
        <x:v>采用</x:v>
      </x:c>
      <x:c r="AJ107" s="214" t="str">
        <x:v>初审</x:v>
      </x:c>
      <x:c r="AK107" s="217" t="n">
        <x:v>46255</x:v>
      </x:c>
    </x:row>
    <x:row r="108">
      <x:c r="A108" s="214" t="str">
        <x:f>IF(OR(C108="",D108=""),"",B108&amp;"-"&amp;UPPER(C108)&amp;"-"&amp;TEXT(D108,"0000")&amp;"-"&amp;E108)</x:f>
        <x:v>M10-ROLE-0102-V1.0</x:v>
      </x:c>
      <x:c r="B108" s="214" t="str">
        <x:v>M10</x:v>
      </x:c>
      <x:c r="C108" s="214" t="str">
        <x:v>ROLE</x:v>
      </x:c>
      <x:c r="D108" s="216" t="n">
        <x:v>102</x:v>
      </x:c>
      <x:c r="E108" s="214" t="str">
        <x:v>V1.0</x:v>
      </x:c>
      <x:c r="F108" s="214" t="str">
        <x:v>伤官有力且印星存在时只生成伤官配印候选</x:v>
      </x:c>
      <x:c r="G108" s="214" t="str">
        <x:v>结构层</x:v>
      </x:c>
      <x:c r="H108" s="214" t="str">
        <x:v>伤官</x:v>
      </x:c>
      <x:c r="I108" s="214" t="str">
        <x:v>待定</x:v>
      </x:c>
      <x:c r="J108" s="214" t="str">
        <x:v>待定</x:v>
      </x:c>
      <x:c r="K108" s="214" t="str">
        <x:v>待定</x:v>
      </x:c>
      <x:c r="L108" s="214" t="str">
        <x:v>待定</x:v>
      </x:c>
      <x:c r="M108" s="214" t="str">
        <x:v>按M08核查</x:v>
      </x:c>
      <x:c r="N108" s="214" t="str">
        <x:v>按M06/M08核查</x:v>
      </x:c>
      <x:c r="O108" s="214" t="str">
        <x:v>待定</x:v>
      </x:c>
      <x:c r="P108" s="214" t="str">
        <x:v>伤官配印候选转M11</x:v>
      </x:c>
      <x:c r="Q108" s="214" t="str">
        <x:v>需结合M09日主承载判断</x:v>
      </x:c>
      <x:c r="R108" s="214" t="str">
        <x:v>待定</x:v>
      </x:c>
      <x:c r="S108" s="214" t="str">
        <x:v>伤官与印星均有效存在</x:v>
      </x:c>
      <x:c r="T108" s="214" t="str">
        <x:v>M02十神映射、M08五行有效旺衰、M09日主旺衰已完成</x:v>
      </x:c>
      <x:c r="U108" s="214" t="str">
        <x:v>相关十神已由M02正确映射，并以M08有效力量为准</x:v>
      </x:c>
      <x:c r="V108" s="214" t="str">
        <x:v>得令、有根、透干、同党或生源形成独立有效证据</x:v>
      </x:c>
      <x:c r="W108" s="214" t="str">
        <x:v>失令、无根、被合绊、被制、改性或作用路径受阻</x:v>
      </x:c>
      <x:c r="X108" s="214" t="str">
        <x:v>不得以十神名称、数量或单一旺弱证据直接完成定性</x:v>
      </x:c>
      <x:c r="Y108" s="214" t="str">
        <x:v>特殊格局、从化候选及明确组合转M11/M14另审</x:v>
      </x:c>
      <x:c r="Z108" s="214" t="str">
        <x:v>不得直接推出吉凶、具体事件、亲属结果或最终喜忌</x:v>
      </x:c>
      <x:c r="AA108" s="214" t="str">
        <x:v>伤官配印接口</x:v>
      </x:c>
      <x:c r="AB108" s="214" t="str">
        <x:v>伤官有力且印星存在时只生成伤官配印候选：当“伤官与印星均有效存在”成立时，按本规则记录十神的有效功能；同时保留制化、承载和反向证据。</x:v>
      </x:c>
      <x:c r="AC108" s="214" t="str">
        <x:v>较高</x:v>
      </x:c>
      <x:c r="AD108" s="214" t="str">
        <x:v>现代综合</x:v>
      </x:c>
      <x:c r="AE108" s="214" t="str">
        <x:v>十神必须分开判断存在性、力量、清纯度、功能性与喜忌性；M10只形成结构层结论和候选，不越级替代M11—M18。</x:v>
      </x:c>
      <x:c r="AF108" s="214" t="str">
        <x:v>相关条件真实成立，且增强条件有效时，可按“伤官有力且印星存在时只生成伤官配印候选”记录对应功能。</x:v>
      </x:c>
      <x:c r="AG108" s="214" t="str">
        <x:v>仅见表面十神名称或数量，但“不得以十神名称、数量或单一旺弱证据直接完成定性”所述限制存在时，不得套用本规则。</x:v>
      </x:c>
      <x:c r="AH108" s="214" t="str">
        <x:v>https://zh.wikisource.org/wiki/%E6%B8%8A%E6%B5%B7%E5%AD%90%E5%B9%B3%E5%A4%A7%E5%85%A8 ; https://zh.wikisource.org/wiki/%E6%BB%B4%E5%A4%A9%E9%AB%93%E9%97%A1%E5%BE%AE</x:v>
      </x:c>
      <x:c r="AI108" s="214" t="str">
        <x:v>采用</x:v>
      </x:c>
      <x:c r="AJ108" s="214" t="str">
        <x:v>初审</x:v>
      </x:c>
      <x:c r="AK108" s="217" t="n">
        <x:v>46255</x:v>
      </x:c>
    </x:row>
    <x:row r="109">
      <x:c r="A109" s="214" t="str">
        <x:f>IF(OR(C109="",D109=""),"",B109&amp;"-"&amp;UPPER(C109)&amp;"-"&amp;TEXT(D109,"0000")&amp;"-"&amp;E109)</x:f>
        <x:v>M10-ROLE-0103-V1.0</x:v>
      </x:c>
      <x:c r="B109" s="214" t="str">
        <x:v>M10</x:v>
      </x:c>
      <x:c r="C109" s="214" t="str">
        <x:v>ROLE</x:v>
      </x:c>
      <x:c r="D109" s="216" t="n">
        <x:v>103</x:v>
      </x:c>
      <x:c r="E109" s="214" t="str">
        <x:v>V1.0</x:v>
      </x:c>
      <x:c r="F109" s="214" t="str">
        <x:v>官印均有效时只生成官印相生候选</x:v>
      </x:c>
      <x:c r="G109" s="214" t="str">
        <x:v>结构层</x:v>
      </x:c>
      <x:c r="H109" s="214" t="str">
        <x:v>正官</x:v>
      </x:c>
      <x:c r="I109" s="214" t="str">
        <x:v>待定</x:v>
      </x:c>
      <x:c r="J109" s="214" t="str">
        <x:v>待定</x:v>
      </x:c>
      <x:c r="K109" s="214" t="str">
        <x:v>待定</x:v>
      </x:c>
      <x:c r="L109" s="214" t="str">
        <x:v>待定</x:v>
      </x:c>
      <x:c r="M109" s="214" t="str">
        <x:v>按M08核查</x:v>
      </x:c>
      <x:c r="N109" s="214" t="str">
        <x:v>按M06/M08核查</x:v>
      </x:c>
      <x:c r="O109" s="214" t="str">
        <x:v>待定</x:v>
      </x:c>
      <x:c r="P109" s="214" t="str">
        <x:v>官印相生候选转M11</x:v>
      </x:c>
      <x:c r="Q109" s="214" t="str">
        <x:v>需结合M09日主承载判断</x:v>
      </x:c>
      <x:c r="R109" s="214" t="str">
        <x:v>待定</x:v>
      </x:c>
      <x:c r="S109" s="214" t="str">
        <x:v>正官与印星有效且生化路径可能连续</x:v>
      </x:c>
      <x:c r="T109" s="214" t="str">
        <x:v>M02十神映射、M08五行有效旺衰、M09日主旺衰已完成</x:v>
      </x:c>
      <x:c r="U109" s="214" t="str">
        <x:v>相关十神已由M02正确映射，并以M08有效力量为准</x:v>
      </x:c>
      <x:c r="V109" s="214" t="str">
        <x:v>得令、有根、透干、同党或生源形成独立有效证据</x:v>
      </x:c>
      <x:c r="W109" s="214" t="str">
        <x:v>失令、无根、被合绊、被制、改性或作用路径受阻</x:v>
      </x:c>
      <x:c r="X109" s="214" t="str">
        <x:v>不得以十神名称、数量或单一旺弱证据直接完成定性</x:v>
      </x:c>
      <x:c r="Y109" s="214" t="str">
        <x:v>特殊格局、从化候选及明确组合转M11/M14另审</x:v>
      </x:c>
      <x:c r="Z109" s="214" t="str">
        <x:v>不得直接推出吉凶、具体事件、亲属结果或最终喜忌</x:v>
      </x:c>
      <x:c r="AA109" s="214" t="str">
        <x:v>官印组合接口</x:v>
      </x:c>
      <x:c r="AB109" s="214" t="str">
        <x:v>官印均有效时只生成官印相生候选：当“正官与印星有效且生化路径可能连续”成立时，按本规则记录十神的有效功能；同时保留制化、承载和反向证据。</x:v>
      </x:c>
      <x:c r="AC109" s="214" t="str">
        <x:v>较高</x:v>
      </x:c>
      <x:c r="AD109" s="214" t="str">
        <x:v>现代综合</x:v>
      </x:c>
      <x:c r="AE109" s="214" t="str">
        <x:v>十神必须分开判断存在性、力量、清纯度、功能性与喜忌性；M10只形成结构层结论和候选，不越级替代M11—M18。</x:v>
      </x:c>
      <x:c r="AF109" s="214" t="str">
        <x:v>相关条件真实成立，且增强条件有效时，可按“官印均有效时只生成官印相生候选”记录对应功能。</x:v>
      </x:c>
      <x:c r="AG109" s="214" t="str">
        <x:v>仅见表面十神名称或数量，但“不得以十神名称、数量或单一旺弱证据直接完成定性”所述限制存在时，不得套用本规则。</x:v>
      </x:c>
      <x:c r="AH109" s="214" t="str">
        <x:v>https://zh.wikisource.org/wiki/%E6%B8%8A%E6%B5%B7%E5%AD%90%E5%B9%B3%E5%A4%A7%E5%85%A8 ; https://zh.wikisource.org/wiki/%E6%BB%B4%E5%A4%A9%E9%AB%93%E9%97%A1%E5%BE%AE</x:v>
      </x:c>
      <x:c r="AI109" s="214" t="str">
        <x:v>采用</x:v>
      </x:c>
      <x:c r="AJ109" s="214" t="str">
        <x:v>初审</x:v>
      </x:c>
      <x:c r="AK109" s="217" t="n">
        <x:v>46255</x:v>
      </x:c>
    </x:row>
    <x:row r="110">
      <x:c r="A110" s="214" t="str">
        <x:f>IF(OR(C110="",D110=""),"",B110&amp;"-"&amp;UPPER(C110)&amp;"-"&amp;TEXT(D110,"0000")&amp;"-"&amp;E110)</x:f>
        <x:v>M10-ROLE-0104-V1.0</x:v>
      </x:c>
      <x:c r="B110" s="214" t="str">
        <x:v>M10</x:v>
      </x:c>
      <x:c r="C110" s="214" t="str">
        <x:v>ROLE</x:v>
      </x:c>
      <x:c r="D110" s="216" t="n">
        <x:v>104</x:v>
      </x:c>
      <x:c r="E110" s="214" t="str">
        <x:v>V1.0</x:v>
      </x:c>
      <x:c r="F110" s="214" t="str">
        <x:v>杀印均有效时只生成杀印相生候选</x:v>
      </x:c>
      <x:c r="G110" s="214" t="str">
        <x:v>结构层</x:v>
      </x:c>
      <x:c r="H110" s="214" t="str">
        <x:v>七杀</x:v>
      </x:c>
      <x:c r="I110" s="214" t="str">
        <x:v>待定</x:v>
      </x:c>
      <x:c r="J110" s="214" t="str">
        <x:v>待定</x:v>
      </x:c>
      <x:c r="K110" s="214" t="str">
        <x:v>待定</x:v>
      </x:c>
      <x:c r="L110" s="214" t="str">
        <x:v>待定</x:v>
      </x:c>
      <x:c r="M110" s="214" t="str">
        <x:v>按M08核查</x:v>
      </x:c>
      <x:c r="N110" s="214" t="str">
        <x:v>按M06/M08核查</x:v>
      </x:c>
      <x:c r="O110" s="214" t="str">
        <x:v>待定</x:v>
      </x:c>
      <x:c r="P110" s="214" t="str">
        <x:v>杀印相生候选转M11</x:v>
      </x:c>
      <x:c r="Q110" s="214" t="str">
        <x:v>需结合M09日主承载判断</x:v>
      </x:c>
      <x:c r="R110" s="214" t="str">
        <x:v>待定</x:v>
      </x:c>
      <x:c r="S110" s="214" t="str">
        <x:v>七杀与印星有效且七杀可生印</x:v>
      </x:c>
      <x:c r="T110" s="214" t="str">
        <x:v>M02十神映射、M08五行有效旺衰、M09日主旺衰已完成</x:v>
      </x:c>
      <x:c r="U110" s="214" t="str">
        <x:v>相关十神已由M02正确映射，并以M08有效力量为准</x:v>
      </x:c>
      <x:c r="V110" s="214" t="str">
        <x:v>得令、有根、透干、同党或生源形成独立有效证据</x:v>
      </x:c>
      <x:c r="W110" s="214" t="str">
        <x:v>失令、无根、被合绊、被制、改性或作用路径受阻</x:v>
      </x:c>
      <x:c r="X110" s="214" t="str">
        <x:v>不得以十神名称、数量或单一旺弱证据直接完成定性</x:v>
      </x:c>
      <x:c r="Y110" s="214" t="str">
        <x:v>特殊格局、从化候选及明确组合转M11/M14另审</x:v>
      </x:c>
      <x:c r="Z110" s="214" t="str">
        <x:v>不得直接推出吉凶、具体事件、亲属结果或最终喜忌</x:v>
      </x:c>
      <x:c r="AA110" s="214" t="str">
        <x:v>杀印组合接口</x:v>
      </x:c>
      <x:c r="AB110" s="214" t="str">
        <x:v>杀印均有效时只生成杀印相生候选：当“七杀与印星有效且七杀可生印”成立时，按本规则记录十神的有效功能；同时保留制化、承载和反向证据。</x:v>
      </x:c>
      <x:c r="AC110" s="214" t="str">
        <x:v>较高</x:v>
      </x:c>
      <x:c r="AD110" s="214" t="str">
        <x:v>现代综合</x:v>
      </x:c>
      <x:c r="AE110" s="214" t="str">
        <x:v>十神必须分开判断存在性、力量、清纯度、功能性与喜忌性；M10只形成结构层结论和候选，不越级替代M11—M18。</x:v>
      </x:c>
      <x:c r="AF110" s="214" t="str">
        <x:v>相关条件真实成立，且增强条件有效时，可按“杀印均有效时只生成杀印相生候选”记录对应功能。</x:v>
      </x:c>
      <x:c r="AG110" s="214" t="str">
        <x:v>仅见表面十神名称或数量，但“不得以十神名称、数量或单一旺弱证据直接完成定性”所述限制存在时，不得套用本规则。</x:v>
      </x:c>
      <x:c r="AH110" s="214" t="str">
        <x:v>https://zh.wikisource.org/wiki/%E6%B8%8A%E6%B5%B7%E5%AD%90%E5%B9%B3%E5%A4%A7%E5%85%A8 ; https://zh.wikisource.org/wiki/%E6%BB%B4%E5%A4%A9%E9%AB%93%E9%97%A1%E5%BE%AE</x:v>
      </x:c>
      <x:c r="AI110" s="214" t="str">
        <x:v>采用</x:v>
      </x:c>
      <x:c r="AJ110" s="214" t="str">
        <x:v>初审</x:v>
      </x:c>
      <x:c r="AK110" s="217" t="n">
        <x:v>46255</x:v>
      </x:c>
    </x:row>
    <x:row r="111">
      <x:c r="A111" s="214" t="str">
        <x:f>IF(OR(C111="",D111=""),"",B111&amp;"-"&amp;UPPER(C111)&amp;"-"&amp;TEXT(D111,"0000")&amp;"-"&amp;E111)</x:f>
        <x:v>M10-ROLE-0105-V1.0</x:v>
      </x:c>
      <x:c r="B111" s="214" t="str">
        <x:v>M10</x:v>
      </x:c>
      <x:c r="C111" s="214" t="str">
        <x:v>ROLE</x:v>
      </x:c>
      <x:c r="D111" s="216" t="n">
        <x:v>105</x:v>
      </x:c>
      <x:c r="E111" s="214" t="str">
        <x:v>V1.0</x:v>
      </x:c>
      <x:c r="F111" s="214" t="str">
        <x:v>食伤与财均有效时只生成食伤生财候选</x:v>
      </x:c>
      <x:c r="G111" s="214" t="str">
        <x:v>结构层</x:v>
      </x:c>
      <x:c r="H111" s="214" t="str">
        <x:v>正财</x:v>
      </x:c>
      <x:c r="I111" s="214" t="str">
        <x:v>待定</x:v>
      </x:c>
      <x:c r="J111" s="214" t="str">
        <x:v>待定</x:v>
      </x:c>
      <x:c r="K111" s="214" t="str">
        <x:v>待定</x:v>
      </x:c>
      <x:c r="L111" s="214" t="str">
        <x:v>待定</x:v>
      </x:c>
      <x:c r="M111" s="214" t="str">
        <x:v>按M08核查</x:v>
      </x:c>
      <x:c r="N111" s="214" t="str">
        <x:v>按M06/M08核查</x:v>
      </x:c>
      <x:c r="O111" s="214" t="str">
        <x:v>待定</x:v>
      </x:c>
      <x:c r="P111" s="214" t="str">
        <x:v>食伤生财候选转M11</x:v>
      </x:c>
      <x:c r="Q111" s="214" t="str">
        <x:v>需结合M09日主承载判断</x:v>
      </x:c>
      <x:c r="R111" s="214" t="str">
        <x:v>待定</x:v>
      </x:c>
      <x:c r="S111" s="214" t="str">
        <x:v>食伤与财星有连续生扶路径</x:v>
      </x:c>
      <x:c r="T111" s="214" t="str">
        <x:v>M02十神映射、M08五行有效旺衰、M09日主旺衰已完成</x:v>
      </x:c>
      <x:c r="U111" s="214" t="str">
        <x:v>相关十神已由M02正确映射，并以M08有效力量为准</x:v>
      </x:c>
      <x:c r="V111" s="214" t="str">
        <x:v>得令、有根、透干、同党或生源形成独立有效证据</x:v>
      </x:c>
      <x:c r="W111" s="214" t="str">
        <x:v>失令、无根、被合绊、被制、改性或作用路径受阻</x:v>
      </x:c>
      <x:c r="X111" s="214" t="str">
        <x:v>不得以十神名称、数量或单一旺弱证据直接完成定性</x:v>
      </x:c>
      <x:c r="Y111" s="214" t="str">
        <x:v>特殊格局、从化候选及明确组合转M11/M14另审</x:v>
      </x:c>
      <x:c r="Z111" s="214" t="str">
        <x:v>不得直接推出吉凶、具体事件、亲属结果或最终喜忌</x:v>
      </x:c>
      <x:c r="AA111" s="214" t="str">
        <x:v>财星组合接口</x:v>
      </x:c>
      <x:c r="AB111" s="214" t="str">
        <x:v>食伤与财均有效时只生成食伤生财候选：当“食伤与财星有连续生扶路径”成立时，按本规则记录十神的有效功能；同时保留制化、承载和反向证据。</x:v>
      </x:c>
      <x:c r="AC111" s="214" t="str">
        <x:v>较高</x:v>
      </x:c>
      <x:c r="AD111" s="214" t="str">
        <x:v>现代综合</x:v>
      </x:c>
      <x:c r="AE111" s="214" t="str">
        <x:v>十神必须分开判断存在性、力量、清纯度、功能性与喜忌性；M10只形成结构层结论和候选，不越级替代M11—M18。</x:v>
      </x:c>
      <x:c r="AF111" s="214" t="str">
        <x:v>相关条件真实成立，且增强条件有效时，可按“食伤与财均有效时只生成食伤生财候选”记录对应功能。</x:v>
      </x:c>
      <x:c r="AG111" s="214" t="str">
        <x:v>仅见表面十神名称或数量，但“不得以十神名称、数量或单一旺弱证据直接完成定性”所述限制存在时，不得套用本规则。</x:v>
      </x:c>
      <x:c r="AH111" s="214" t="str">
        <x:v>https://zh.wikisource.org/wiki/%E6%B8%8A%E6%B5%B7%E5%AD%90%E5%B9%B3%E5%A4%A7%E5%85%A8 ; https://zh.wikisource.org/wiki/%E6%BB%B4%E5%A4%A9%E9%AB%93%E9%97%A1%E5%BE%AE</x:v>
      </x:c>
      <x:c r="AI111" s="214" t="str">
        <x:v>采用</x:v>
      </x:c>
      <x:c r="AJ111" s="214" t="str">
        <x:v>初审</x:v>
      </x:c>
      <x:c r="AK111" s="217" t="n">
        <x:v>46255</x:v>
      </x:c>
    </x:row>
    <x:row r="112">
      <x:c r="A112" s="214" t="str">
        <x:f>IF(OR(C112="",D112=""),"",B112&amp;"-"&amp;UPPER(C112)&amp;"-"&amp;TEXT(D112,"0000")&amp;"-"&amp;E112)</x:f>
        <x:v>M10-ROLE-0106-V1.0</x:v>
      </x:c>
      <x:c r="B112" s="214" t="str">
        <x:v>M10</x:v>
      </x:c>
      <x:c r="C112" s="214" t="str">
        <x:v>ROLE</x:v>
      </x:c>
      <x:c r="D112" s="216" t="n">
        <x:v>106</x:v>
      </x:c>
      <x:c r="E112" s="214" t="str">
        <x:v>V1.0</x:v>
      </x:c>
      <x:c r="F112" s="214" t="str">
        <x:v>比劫与财星形成克制时只生成比劫制财类候选</x:v>
      </x:c>
      <x:c r="G112" s="214" t="str">
        <x:v>结构层</x:v>
      </x:c>
      <x:c r="H112" s="214" t="str">
        <x:v>劫财</x:v>
      </x:c>
      <x:c r="I112" s="214" t="str">
        <x:v>待定</x:v>
      </x:c>
      <x:c r="J112" s="214" t="str">
        <x:v>待定</x:v>
      </x:c>
      <x:c r="K112" s="214" t="str">
        <x:v>待定</x:v>
      </x:c>
      <x:c r="L112" s="214" t="str">
        <x:v>待定</x:v>
      </x:c>
      <x:c r="M112" s="214" t="str">
        <x:v>按M08核查</x:v>
      </x:c>
      <x:c r="N112" s="214" t="str">
        <x:v>按M06/M08核查</x:v>
      </x:c>
      <x:c r="O112" s="214" t="str">
        <x:v>待定</x:v>
      </x:c>
      <x:c r="P112" s="214" t="str">
        <x:v>比劫制财候选转M11</x:v>
      </x:c>
      <x:c r="Q112" s="214" t="str">
        <x:v>需结合M09日主承载判断</x:v>
      </x:c>
      <x:c r="R112" s="214" t="str">
        <x:v>待定</x:v>
      </x:c>
      <x:c r="S112" s="214" t="str">
        <x:v>比劫与财星均有效且克制路径成立</x:v>
      </x:c>
      <x:c r="T112" s="214" t="str">
        <x:v>M02十神映射、M08五行有效旺衰、M09日主旺衰已完成</x:v>
      </x:c>
      <x:c r="U112" s="214" t="str">
        <x:v>相关十神已由M02正确映射，并以M08有效力量为准</x:v>
      </x:c>
      <x:c r="V112" s="214" t="str">
        <x:v>得令、有根、透干、同党或生源形成独立有效证据</x:v>
      </x:c>
      <x:c r="W112" s="214" t="str">
        <x:v>失令、无根、被合绊、被制、改性或作用路径受阻</x:v>
      </x:c>
      <x:c r="X112" s="214" t="str">
        <x:v>不得以十神名称、数量或单一旺弱证据直接完成定性</x:v>
      </x:c>
      <x:c r="Y112" s="214" t="str">
        <x:v>特殊格局、从化候选及明确组合转M11/M14另审</x:v>
      </x:c>
      <x:c r="Z112" s="214" t="str">
        <x:v>不得直接推出吉凶、具体事件、亲属结果或最终喜忌</x:v>
      </x:c>
      <x:c r="AA112" s="214" t="str">
        <x:v>比劫组合接口</x:v>
      </x:c>
      <x:c r="AB112" s="214" t="str">
        <x:v>比劫与财星形成克制时只生成比劫制财类候选：当“比劫与财星均有效且克制路径成立”成立时，按本规则记录十神的有效功能；同时保留制化、承载和反向证据。</x:v>
      </x:c>
      <x:c r="AC112" s="214" t="str">
        <x:v>较高</x:v>
      </x:c>
      <x:c r="AD112" s="214" t="str">
        <x:v>现代综合</x:v>
      </x:c>
      <x:c r="AE112" s="214" t="str">
        <x:v>十神必须分开判断存在性、力量、清纯度、功能性与喜忌性；M10只形成结构层结论和候选，不越级替代M11—M18。</x:v>
      </x:c>
      <x:c r="AF112" s="214" t="str">
        <x:v>相关条件真实成立，且增强条件有效时，可按“比劫与财星形成克制时只生成比劫制财类候选”记录对应功能。</x:v>
      </x:c>
      <x:c r="AG112" s="214" t="str">
        <x:v>仅见表面十神名称或数量，但“不得以十神名称、数量或单一旺弱证据直接完成定性”所述限制存在时，不得套用本规则。</x:v>
      </x:c>
      <x:c r="AH112" s="214" t="str">
        <x:v>https://zh.wikisource.org/wiki/%E6%B8%8A%E6%B5%B7%E5%AD%90%E5%B9%B3%E5%A4%A7%E5%85%A8 ; https://zh.wikisource.org/wiki/%E6%BB%B4%E5%A4%A9%E9%AB%93%E9%97%A1%E5%BE%AE</x:v>
      </x:c>
      <x:c r="AI112" s="214" t="str">
        <x:v>采用</x:v>
      </x:c>
      <x:c r="AJ112" s="214" t="str">
        <x:v>初审</x:v>
      </x:c>
      <x:c r="AK112" s="217" t="n">
        <x:v>46255</x:v>
      </x:c>
    </x:row>
    <x:row r="113">
      <x:c r="A113" s="214" t="str">
        <x:f>IF(OR(C113="",D113=""),"",B113&amp;"-"&amp;UPPER(C113)&amp;"-"&amp;TEXT(D113,"0000")&amp;"-"&amp;E113)</x:f>
        <x:v>M10-ROLE-0107-V1.0</x:v>
      </x:c>
      <x:c r="B113" s="214" t="str">
        <x:v>M10</x:v>
      </x:c>
      <x:c r="C113" s="214" t="str">
        <x:v>ROLE</x:v>
      </x:c>
      <x:c r="D113" s="216" t="n">
        <x:v>107</x:v>
      </x:c>
      <x:c r="E113" s="214" t="str">
        <x:v>V1.0</x:v>
      </x:c>
      <x:c r="F113" s="214" t="str">
        <x:v>格局功能必须服从M14月令与格神条件</x:v>
      </x:c>
      <x:c r="G113" s="214" t="str">
        <x:v>结构层</x:v>
      </x:c>
      <x:c r="H113" s="214" t="str">
        <x:v>正印</x:v>
      </x:c>
      <x:c r="I113" s="214" t="str">
        <x:v>待定</x:v>
      </x:c>
      <x:c r="J113" s="214" t="str">
        <x:v>待定</x:v>
      </x:c>
      <x:c r="K113" s="214" t="str">
        <x:v>待定</x:v>
      </x:c>
      <x:c r="L113" s="214" t="str">
        <x:v>待定</x:v>
      </x:c>
      <x:c r="M113" s="214" t="str">
        <x:v>按M08核查</x:v>
      </x:c>
      <x:c r="N113" s="214" t="str">
        <x:v>按M06/M08核查</x:v>
      </x:c>
      <x:c r="O113" s="214" t="str">
        <x:v>待定</x:v>
      </x:c>
      <x:c r="P113" s="214" t="str">
        <x:v>仅记录格局功能候选，转M14</x:v>
      </x:c>
      <x:c r="Q113" s="214" t="str">
        <x:v>需结合M09日主承载判断</x:v>
      </x:c>
      <x:c r="R113" s="214" t="str">
        <x:v>待定</x:v>
      </x:c>
      <x:c r="S113" s="214" t="str">
        <x:v>十神在M10功能有效，但是否成为格神尚未核验</x:v>
      </x:c>
      <x:c r="T113" s="214" t="str">
        <x:v>M02十神映射、M08五行有效旺衰、M09日主旺衰已完成</x:v>
      </x:c>
      <x:c r="U113" s="214" t="str">
        <x:v>相关十神已由M02正确映射，并以M08有效力量为准</x:v>
      </x:c>
      <x:c r="V113" s="214" t="str">
        <x:v>得令、有根、透干、同党或生源形成独立有效证据</x:v>
      </x:c>
      <x:c r="W113" s="214" t="str">
        <x:v>失令、无根、被合绊、被制、改性或作用路径受阻</x:v>
      </x:c>
      <x:c r="X113" s="214" t="str">
        <x:v>不得以十神名称、数量或单一旺弱证据直接完成定性</x:v>
      </x:c>
      <x:c r="Y113" s="214" t="str">
        <x:v>特殊格局、从化候选及明确组合转M11/M14另审</x:v>
      </x:c>
      <x:c r="Z113" s="214" t="str">
        <x:v>不得直接推出吉凶、具体事件、亲属结果或最终喜忌</x:v>
      </x:c>
      <x:c r="AA113" s="214" t="str">
        <x:v>格局角色候选</x:v>
      </x:c>
      <x:c r="AB113" s="214" t="str">
        <x:v>格局功能必须服从M14月令与格神条件：当“十神在M10功能有效，但是否成为格神尚未核验”成立时，按本规则记录十神的有效功能；同时保留制化、承载和反向证据。</x:v>
      </x:c>
      <x:c r="AC113" s="214" t="str">
        <x:v>较高</x:v>
      </x:c>
      <x:c r="AD113" s="214" t="str">
        <x:v>现代综合</x:v>
      </x:c>
      <x:c r="AE113" s="214" t="str">
        <x:v>十神必须分开判断存在性、力量、清纯度、功能性与喜忌性；M10只形成结构层结论和候选，不越级替代M11—M18。</x:v>
      </x:c>
      <x:c r="AF113" s="214" t="str">
        <x:v>相关条件真实成立，且增强条件有效时，可按“格局功能必须服从M14月令与格神条件”记录对应功能。</x:v>
      </x:c>
      <x:c r="AG113" s="214" t="str">
        <x:v>仅见表面十神名称或数量，但“不得以十神名称、数量或单一旺弱证据直接完成定性”所述限制存在时，不得套用本规则。</x:v>
      </x:c>
      <x:c r="AH113" s="214" t="str">
        <x:v>https://zh.wikisource.org/wiki/%E6%B8%8A%E6%B5%B7%E5%AD%90%E5%B9%B3%E5%A4%A7%E5%85%A8 ; https://zh.wikisource.org/wiki/%E6%BB%B4%E5%A4%A9%E9%AB%93%E9%97%A1%E5%BE%AE</x:v>
      </x:c>
      <x:c r="AI113" s="214" t="str">
        <x:v>采用</x:v>
      </x:c>
      <x:c r="AJ113" s="214" t="str">
        <x:v>初审</x:v>
      </x:c>
      <x:c r="AK113" s="217" t="n">
        <x:v>46255</x:v>
      </x:c>
    </x:row>
    <x:row r="114">
      <x:c r="A114" s="214" t="str">
        <x:f>IF(OR(C114="",D114=""),"",B114&amp;"-"&amp;UPPER(C114)&amp;"-"&amp;TEXT(D114,"0000")&amp;"-"&amp;E114)</x:f>
        <x:v>M10-ROLE-0108-V1.0</x:v>
      </x:c>
      <x:c r="B114" s="214" t="str">
        <x:v>M10</x:v>
      </x:c>
      <x:c r="C114" s="214" t="str">
        <x:v>ROLE</x:v>
      </x:c>
      <x:c r="D114" s="216" t="n">
        <x:v>108</x:v>
      </x:c>
      <x:c r="E114" s="214" t="str">
        <x:v>V1.0</x:v>
      </x:c>
      <x:c r="F114" s="214" t="str">
        <x:v>十神组合成立与格局成立必须分层</x:v>
      </x:c>
      <x:c r="G114" s="214" t="str">
        <x:v>结构层</x:v>
      </x:c>
      <x:c r="H114" s="214" t="str">
        <x:v>七杀</x:v>
      </x:c>
      <x:c r="I114" s="214" t="str">
        <x:v>待定</x:v>
      </x:c>
      <x:c r="J114" s="214" t="str">
        <x:v>待定</x:v>
      </x:c>
      <x:c r="K114" s="214" t="str">
        <x:v>待定</x:v>
      </x:c>
      <x:c r="L114" s="214" t="str">
        <x:v>待定</x:v>
      </x:c>
      <x:c r="M114" s="214" t="str">
        <x:v>按M08核查</x:v>
      </x:c>
      <x:c r="N114" s="214" t="str">
        <x:v>按M06/M08核查</x:v>
      </x:c>
      <x:c r="O114" s="214" t="str">
        <x:v>待定</x:v>
      </x:c>
      <x:c r="P114" s="214" t="str">
        <x:v>组合成立后仍需M14/M15判断是否上升为格局及是否破格</x:v>
      </x:c>
      <x:c r="Q114" s="214" t="str">
        <x:v>需结合M09日主承载判断</x:v>
      </x:c>
      <x:c r="R114" s="214" t="str">
        <x:v>待定</x:v>
      </x:c>
      <x:c r="S114" s="214" t="str">
        <x:v>M11可能确认某局部组合成立</x:v>
      </x:c>
      <x:c r="T114" s="214" t="str">
        <x:v>M02十神映射、M08五行有效旺衰、M09日主旺衰已完成</x:v>
      </x:c>
      <x:c r="U114" s="214" t="str">
        <x:v>相关十神已由M02正确映射，并以M08有效力量为准</x:v>
      </x:c>
      <x:c r="V114" s="214" t="str">
        <x:v>得令、有根、透干、同党或生源形成独立有效证据</x:v>
      </x:c>
      <x:c r="W114" s="214" t="str">
        <x:v>失令、无根、被合绊、被制、改性或作用路径受阻</x:v>
      </x:c>
      <x:c r="X114" s="214" t="str">
        <x:v>不得以十神名称、数量或单一旺弱证据直接完成定性</x:v>
      </x:c>
      <x:c r="Y114" s="214" t="str">
        <x:v>特殊格局、从化候选及明确组合转M11/M14另审</x:v>
      </x:c>
      <x:c r="Z114" s="214" t="str">
        <x:v>不得直接推出吉凶、具体事件、亲属结果或最终喜忌</x:v>
      </x:c>
      <x:c r="AA114" s="214" t="str">
        <x:v>组合格局分离</x:v>
      </x:c>
      <x:c r="AB114" s="214" t="str">
        <x:v>十神组合成立与格局成立必须分层：当“M11可能确认某局部组合成立”成立时，按本规则记录十神的有效功能；同时保留制化、承载和反向证据。</x:v>
      </x:c>
      <x:c r="AC114" s="214" t="str">
        <x:v>较高</x:v>
      </x:c>
      <x:c r="AD114" s="214" t="str">
        <x:v>现代综合</x:v>
      </x:c>
      <x:c r="AE114" s="214" t="str">
        <x:v>十神必须分开判断存在性、力量、清纯度、功能性与喜忌性；M10只形成结构层结论和候选，不越级替代M11—M18。</x:v>
      </x:c>
      <x:c r="AF114" s="214" t="str">
        <x:v>相关条件真实成立，且增强条件有效时，可按“十神组合成立与格局成立必须分层”记录对应功能。</x:v>
      </x:c>
      <x:c r="AG114" s="214" t="str">
        <x:v>仅见表面十神名称或数量，但“不得以十神名称、数量或单一旺弱证据直接完成定性”所述限制存在时，不得套用本规则。</x:v>
      </x:c>
      <x:c r="AH114" s="214" t="str">
        <x:v>https://zh.wikisource.org/wiki/%E6%B8%8A%E6%B5%B7%E5%AD%90%E5%B9%B3%E5%A4%A7%E5%85%A8 ; https://zh.wikisource.org/wiki/%E6%BB%B4%E5%A4%A9%E9%AB%93%E9%97%A1%E5%BE%AE</x:v>
      </x:c>
      <x:c r="AI114" s="214" t="str">
        <x:v>采用</x:v>
      </x:c>
      <x:c r="AJ114" s="214" t="str">
        <x:v>初审</x:v>
      </x:c>
      <x:c r="AK114" s="217" t="n">
        <x:v>46255</x:v>
      </x:c>
    </x:row>
    <x:row r="115">
      <x:c r="A115" s="214" t="str">
        <x:f>IF(OR(C115="",D115=""),"",B115&amp;"-"&amp;UPPER(C115)&amp;"-"&amp;TEXT(D115,"0000")&amp;"-"&amp;E115)</x:f>
        <x:v>M10-XIJI-0109-V1.0</x:v>
      </x:c>
      <x:c r="B115" s="214" t="str">
        <x:v>M10</x:v>
      </x:c>
      <x:c r="C115" s="214" t="str">
        <x:v>XIJI</x:v>
      </x:c>
      <x:c r="D115" s="216" t="n">
        <x:v>109</x:v>
      </x:c>
      <x:c r="E115" s="214" t="str">
        <x:v>V1.0</x:v>
      </x:c>
      <x:c r="F115" s="214" t="str">
        <x:v>十神补足日主核心承载缺口时可列条件性喜神</x:v>
      </x:c>
      <x:c r="G115" s="214" t="str">
        <x:v>结构层</x:v>
      </x:c>
      <x:c r="H115" s="214" t="str">
        <x:v>比肩</x:v>
      </x:c>
      <x:c r="I115" s="214" t="str">
        <x:v>待定</x:v>
      </x:c>
      <x:c r="J115" s="214" t="str">
        <x:v>待定</x:v>
      </x:c>
      <x:c r="K115" s="214" t="str">
        <x:v>待定</x:v>
      </x:c>
      <x:c r="L115" s="214" t="str">
        <x:v>待定</x:v>
      </x:c>
      <x:c r="M115" s="214" t="str">
        <x:v>按M08核查</x:v>
      </x:c>
      <x:c r="N115" s="214" t="str">
        <x:v>按M06/M08核查</x:v>
      </x:c>
      <x:c r="O115" s="214" t="str">
        <x:v>待定</x:v>
      </x:c>
      <x:c r="P115" s="214" t="str">
        <x:v>转M11/M14判断</x:v>
      </x:c>
      <x:c r="Q115" s="214" t="str">
        <x:v>需结合M09日主承载判断</x:v>
      </x:c>
      <x:c r="R115" s="214" t="str">
        <x:v>条件性喜神</x:v>
      </x:c>
      <x:c r="S115" s="214" t="str">
        <x:v>M09偏弱，且比肩确能解决承载不足、无重大副作用</x:v>
      </x:c>
      <x:c r="T115" s="214" t="str">
        <x:v>M02十神映射、M08五行有效旺衰、M09日主旺衰已完成</x:v>
      </x:c>
      <x:c r="U115" s="214" t="str">
        <x:v>相关十神已由M02正确映射，并以M08有效力量为准</x:v>
      </x:c>
      <x:c r="V115" s="214" t="str">
        <x:v>得令、有根、透干、同党或生源形成独立有效证据</x:v>
      </x:c>
      <x:c r="W115" s="214" t="str">
        <x:v>失令、无根、被合绊、被制、改性或作用路径受阻</x:v>
      </x:c>
      <x:c r="X115" s="214" t="str">
        <x:v>不得以十神名称、数量或单一旺弱证据直接完成定性</x:v>
      </x:c>
      <x:c r="Y115" s="214" t="str">
        <x:v>特殊格局、从化候选及明确组合转M11/M14另审</x:v>
      </x:c>
      <x:c r="Z115" s="214" t="str">
        <x:v>不得直接推出吉凶、具体事件、亲属结果或最终喜忌</x:v>
      </x:c>
      <x:c r="AA115" s="214" t="str">
        <x:v>补身喜神候选</x:v>
      </x:c>
      <x:c r="AB115" s="214" t="str">
        <x:v>十神补足日主核心承载缺口时可列条件性喜神：当“M09偏弱，且比肩确能解决承载不足、无重大副作用”成立时，按本规则记录十神的有效功能；同时保留制化、承载和反向证据。</x:v>
      </x:c>
      <x:c r="AC115" s="214" t="str">
        <x:v>较高</x:v>
      </x:c>
      <x:c r="AD115" s="214" t="str">
        <x:v>现代综合</x:v>
      </x:c>
      <x:c r="AE115" s="214" t="str">
        <x:v>十神必须分开判断存在性、力量、清纯度、功能性与喜忌性；M10只形成结构层结论和候选，不越级替代M11—M18。</x:v>
      </x:c>
      <x:c r="AF115" s="214" t="str">
        <x:v>相关条件真实成立，且增强条件有效时，可按“十神补足日主核心承载缺口时可列条件性喜神”记录对应功能。</x:v>
      </x:c>
      <x:c r="AG115" s="214" t="str">
        <x:v>仅见表面十神名称或数量，但“不得以十神名称、数量或单一旺弱证据直接完成定性”所述限制存在时，不得套用本规则。</x:v>
      </x:c>
      <x:c r="AH115" s="214" t="str">
        <x:v>https://zh.wikisource.org/wiki/%E6%B8%8A%E6%B5%B7%E5%AD%90%E5%B9%B3%E5%A4%A7%E5%85%A8 ; https://zh.wikisource.org/wiki/%E6%BB%B4%E5%A4%A9%E9%AB%93%E9%97%A1%E5%BE%AE</x:v>
      </x:c>
      <x:c r="AI115" s="214" t="str">
        <x:v>采用</x:v>
      </x:c>
      <x:c r="AJ115" s="214" t="str">
        <x:v>初审</x:v>
      </x:c>
      <x:c r="AK115" s="217" t="n">
        <x:v>46255</x:v>
      </x:c>
    </x:row>
    <x:row r="116">
      <x:c r="A116" s="214" t="str">
        <x:f>IF(OR(C116="",D116=""),"",B116&amp;"-"&amp;UPPER(C116)&amp;"-"&amp;TEXT(D116,"0000")&amp;"-"&amp;E116)</x:f>
        <x:v>M10-XIJI-0110-V1.0</x:v>
      </x:c>
      <x:c r="B116" s="214" t="str">
        <x:v>M10</x:v>
      </x:c>
      <x:c r="C116" s="214" t="str">
        <x:v>XIJI</x:v>
      </x:c>
      <x:c r="D116" s="216" t="n">
        <x:v>110</x:v>
      </x:c>
      <x:c r="E116" s="214" t="str">
        <x:v>V1.0</x:v>
      </x:c>
      <x:c r="F116" s="214" t="str">
        <x:v>十神能泄过强日主且不破坏关键结构时可列条件性喜神</x:v>
      </x:c>
      <x:c r="G116" s="214" t="str">
        <x:v>结构层</x:v>
      </x:c>
      <x:c r="H116" s="214" t="str">
        <x:v>食神</x:v>
      </x:c>
      <x:c r="I116" s="214" t="str">
        <x:v>待定</x:v>
      </x:c>
      <x:c r="J116" s="214" t="str">
        <x:v>待定</x:v>
      </x:c>
      <x:c r="K116" s="214" t="str">
        <x:v>待定</x:v>
      </x:c>
      <x:c r="L116" s="214" t="str">
        <x:v>待定</x:v>
      </x:c>
      <x:c r="M116" s="214" t="str">
        <x:v>按M08核查</x:v>
      </x:c>
      <x:c r="N116" s="214" t="str">
        <x:v>按M06/M08核查</x:v>
      </x:c>
      <x:c r="O116" s="214" t="str">
        <x:v>待定</x:v>
      </x:c>
      <x:c r="P116" s="214" t="str">
        <x:v>转M11/M14判断</x:v>
      </x:c>
      <x:c r="Q116" s="214" t="str">
        <x:v>需结合M09日主承载判断</x:v>
      </x:c>
      <x:c r="R116" s="214" t="str">
        <x:v>条件性喜神</x:v>
      </x:c>
      <x:c r="S116" s="214" t="str">
        <x:v>M09偏旺或旺，食神泄身有效且不损害主要格局</x:v>
      </x:c>
      <x:c r="T116" s="214" t="str">
        <x:v>M02十神映射、M08五行有效旺衰、M09日主旺衰已完成</x:v>
      </x:c>
      <x:c r="U116" s="214" t="str">
        <x:v>相关十神已由M02正确映射，并以M08有效力量为准</x:v>
      </x:c>
      <x:c r="V116" s="214" t="str">
        <x:v>得令、有根、透干、同党或生源形成独立有效证据</x:v>
      </x:c>
      <x:c r="W116" s="214" t="str">
        <x:v>失令、无根、被合绊、被制、改性或作用路径受阻</x:v>
      </x:c>
      <x:c r="X116" s="214" t="str">
        <x:v>不得以十神名称、数量或单一旺弱证据直接完成定性</x:v>
      </x:c>
      <x:c r="Y116" s="214" t="str">
        <x:v>特殊格局、从化候选及明确组合转M11/M14另审</x:v>
      </x:c>
      <x:c r="Z116" s="214" t="str">
        <x:v>不得直接推出吉凶、具体事件、亲属结果或最终喜忌</x:v>
      </x:c>
      <x:c r="AA116" s="214" t="str">
        <x:v>泄身喜神候选</x:v>
      </x:c>
      <x:c r="AB116" s="214" t="str">
        <x:v>十神能泄过强日主且不破坏关键结构时可列条件性喜神：当“M09偏旺或旺，食神泄身有效且不损害主要格局”成立时，按本规则记录十神的有效功能；同时保留制化、承载和反向证据。</x:v>
      </x:c>
      <x:c r="AC116" s="214" t="str">
        <x:v>较高</x:v>
      </x:c>
      <x:c r="AD116" s="214" t="str">
        <x:v>现代综合</x:v>
      </x:c>
      <x:c r="AE116" s="214" t="str">
        <x:v>十神必须分开判断存在性、力量、清纯度、功能性与喜忌性；M10只形成结构层结论和候选，不越级替代M11—M18。</x:v>
      </x:c>
      <x:c r="AF116" s="214" t="str">
        <x:v>相关条件真实成立，且增强条件有效时，可按“十神能泄过强日主且不破坏关键结构时可列条件性喜神”记录对应功能。</x:v>
      </x:c>
      <x:c r="AG116" s="214" t="str">
        <x:v>仅见表面十神名称或数量，但“不得以十神名称、数量或单一旺弱证据直接完成定性”所述限制存在时，不得套用本规则。</x:v>
      </x:c>
      <x:c r="AH116" s="214" t="str">
        <x:v>https://zh.wikisource.org/wiki/%E6%B8%8A%E6%B5%B7%E5%AD%90%E5%B9%B3%E5%A4%A7%E5%85%A8 ; https://zh.wikisource.org/wiki/%E6%BB%B4%E5%A4%A9%E9%AB%93%E9%97%A1%E5%BE%AE</x:v>
      </x:c>
      <x:c r="AI116" s="214" t="str">
        <x:v>采用</x:v>
      </x:c>
      <x:c r="AJ116" s="214" t="str">
        <x:v>初审</x:v>
      </x:c>
      <x:c r="AK116" s="217" t="n">
        <x:v>46255</x:v>
      </x:c>
    </x:row>
    <x:row r="117">
      <x:c r="A117" s="214" t="str">
        <x:f>IF(OR(C117="",D117=""),"",B117&amp;"-"&amp;UPPER(C117)&amp;"-"&amp;TEXT(D117,"0000")&amp;"-"&amp;E117)</x:f>
        <x:v>M10-XIJI-0111-V1.0</x:v>
      </x:c>
      <x:c r="B117" s="214" t="str">
        <x:v>M10</x:v>
      </x:c>
      <x:c r="C117" s="214" t="str">
        <x:v>XIJI</x:v>
      </x:c>
      <x:c r="D117" s="216" t="n">
        <x:v>111</x:v>
      </x:c>
      <x:c r="E117" s="214" t="str">
        <x:v>V1.0</x:v>
      </x:c>
      <x:c r="F117" s="214" t="str">
        <x:v>官杀超出日主承载且无制化时可列条件性忌神</x:v>
      </x:c>
      <x:c r="G117" s="214" t="str">
        <x:v>结构层</x:v>
      </x:c>
      <x:c r="H117" s="214" t="str">
        <x:v>七杀</x:v>
      </x:c>
      <x:c r="I117" s="214" t="str">
        <x:v>待定</x:v>
      </x:c>
      <x:c r="J117" s="214" t="str">
        <x:v>待定</x:v>
      </x:c>
      <x:c r="K117" s="214" t="str">
        <x:v>待定</x:v>
      </x:c>
      <x:c r="L117" s="214" t="str">
        <x:v>待定</x:v>
      </x:c>
      <x:c r="M117" s="214" t="str">
        <x:v>按M08核查</x:v>
      </x:c>
      <x:c r="N117" s="214" t="str">
        <x:v>按M06/M08核查</x:v>
      </x:c>
      <x:c r="O117" s="214" t="str">
        <x:v>待定</x:v>
      </x:c>
      <x:c r="P117" s="214" t="str">
        <x:v>转M11/M14判断</x:v>
      </x:c>
      <x:c r="Q117" s="214" t="str">
        <x:v>需结合M09日主承载判断</x:v>
      </x:c>
      <x:c r="R117" s="214" t="str">
        <x:v>条件性忌神</x:v>
      </x:c>
      <x:c r="S117" s="214" t="str">
        <x:v>官杀有效过强，日主承载不足且无稳定制化</x:v>
      </x:c>
      <x:c r="T117" s="214" t="str">
        <x:v>M02十神映射、M08五行有效旺衰、M09日主旺衰已完成</x:v>
      </x:c>
      <x:c r="U117" s="214" t="str">
        <x:v>相关十神已由M02正确映射，并以M08有效力量为准</x:v>
      </x:c>
      <x:c r="V117" s="214" t="str">
        <x:v>得令、有根、透干、同党或生源形成独立有效证据</x:v>
      </x:c>
      <x:c r="W117" s="214" t="str">
        <x:v>失令、无根、被合绊、被制、改性或作用路径受阻</x:v>
      </x:c>
      <x:c r="X117" s="214" t="str">
        <x:v>不得以十神名称、数量或单一旺弱证据直接完成定性</x:v>
      </x:c>
      <x:c r="Y117" s="214" t="str">
        <x:v>特殊格局、从化候选及明确组合转M11/M14另审</x:v>
      </x:c>
      <x:c r="Z117" s="214" t="str">
        <x:v>不得直接推出吉凶、具体事件、亲属结果或最终喜忌</x:v>
      </x:c>
      <x:c r="AA117" s="214" t="str">
        <x:v>官杀忌神候选</x:v>
      </x:c>
      <x:c r="AB117" s="214" t="str">
        <x:v>官杀超出日主承载且无制化时可列条件性忌神：当“官杀有效过强，日主承载不足且无稳定制化”成立时，按本规则记录十神的有效功能；同时保留制化、承载和反向证据。</x:v>
      </x:c>
      <x:c r="AC117" s="214" t="str">
        <x:v>较高</x:v>
      </x:c>
      <x:c r="AD117" s="214" t="str">
        <x:v>现代综合</x:v>
      </x:c>
      <x:c r="AE117" s="214" t="str">
        <x:v>十神必须分开判断存在性、力量、清纯度、功能性与喜忌性；M10只形成结构层结论和候选，不越级替代M11—M18。</x:v>
      </x:c>
      <x:c r="AF117" s="214" t="str">
        <x:v>相关条件真实成立，且增强条件有效时，可按“官杀超出日主承载且无制化时可列条件性忌神”记录对应功能。</x:v>
      </x:c>
      <x:c r="AG117" s="214" t="str">
        <x:v>仅见表面十神名称或数量，但“不得以十神名称、数量或单一旺弱证据直接完成定性”所述限制存在时，不得套用本规则。</x:v>
      </x:c>
      <x:c r="AH117" s="214" t="str">
        <x:v>https://zh.wikisource.org/wiki/%E6%B8%8A%E6%B5%B7%E5%AD%90%E5%B9%B3%E5%A4%A7%E5%85%A8 ; https://zh.wikisource.org/wiki/%E6%BB%B4%E5%A4%A9%E9%AB%93%E9%97%A1%E5%BE%AE</x:v>
      </x:c>
      <x:c r="AI117" s="214" t="str">
        <x:v>采用</x:v>
      </x:c>
      <x:c r="AJ117" s="214" t="str">
        <x:v>初审</x:v>
      </x:c>
      <x:c r="AK117" s="217" t="n">
        <x:v>46255</x:v>
      </x:c>
    </x:row>
    <x:row r="118">
      <x:c r="A118" s="214" t="str">
        <x:f>IF(OR(C118="",D118=""),"",B118&amp;"-"&amp;UPPER(C118)&amp;"-"&amp;TEXT(D118,"0000")&amp;"-"&amp;E118)</x:f>
        <x:v>M10-XIJI-0112-V1.0</x:v>
      </x:c>
      <x:c r="B118" s="214" t="str">
        <x:v>M10</x:v>
      </x:c>
      <x:c r="C118" s="214" t="str">
        <x:v>XIJI</x:v>
      </x:c>
      <x:c r="D118" s="216" t="n">
        <x:v>112</x:v>
      </x:c>
      <x:c r="E118" s="214" t="str">
        <x:v>V1.0</x:v>
      </x:c>
      <x:c r="F118" s="214" t="str">
        <x:v>印星加重身势并破坏关键食伤功能时可列条件性忌神</x:v>
      </x:c>
      <x:c r="G118" s="214" t="str">
        <x:v>结构层</x:v>
      </x:c>
      <x:c r="H118" s="214" t="str">
        <x:v>偏印</x:v>
      </x:c>
      <x:c r="I118" s="214" t="str">
        <x:v>待定</x:v>
      </x:c>
      <x:c r="J118" s="214" t="str">
        <x:v>待定</x:v>
      </x:c>
      <x:c r="K118" s="214" t="str">
        <x:v>待定</x:v>
      </x:c>
      <x:c r="L118" s="214" t="str">
        <x:v>待定</x:v>
      </x:c>
      <x:c r="M118" s="214" t="str">
        <x:v>按M08核查</x:v>
      </x:c>
      <x:c r="N118" s="214" t="str">
        <x:v>按M06/M08核查</x:v>
      </x:c>
      <x:c r="O118" s="214" t="str">
        <x:v>待定</x:v>
      </x:c>
      <x:c r="P118" s="214" t="str">
        <x:v>转M11/M14判断</x:v>
      </x:c>
      <x:c r="Q118" s="214" t="str">
        <x:v>需结合M09日主承载判断</x:v>
      </x:c>
      <x:c r="R118" s="214" t="str">
        <x:v>条件性忌神</x:v>
      </x:c>
      <x:c r="S118" s="214" t="str">
        <x:v>日主已旺，偏印又强且实质制约关键食伤</x:v>
      </x:c>
      <x:c r="T118" s="214" t="str">
        <x:v>M02十神映射、M08五行有效旺衰、M09日主旺衰已完成</x:v>
      </x:c>
      <x:c r="U118" s="214" t="str">
        <x:v>相关十神已由M02正确映射，并以M08有效力量为准</x:v>
      </x:c>
      <x:c r="V118" s="214" t="str">
        <x:v>得令、有根、透干、同党或生源形成独立有效证据</x:v>
      </x:c>
      <x:c r="W118" s="214" t="str">
        <x:v>失令、无根、被合绊、被制、改性或作用路径受阻</x:v>
      </x:c>
      <x:c r="X118" s="214" t="str">
        <x:v>不得以十神名称、数量或单一旺弱证据直接完成定性</x:v>
      </x:c>
      <x:c r="Y118" s="214" t="str">
        <x:v>特殊格局、从化候选及明确组合转M11/M14另审</x:v>
      </x:c>
      <x:c r="Z118" s="214" t="str">
        <x:v>不得直接推出吉凶、具体事件、亲属结果或最终喜忌</x:v>
      </x:c>
      <x:c r="AA118" s="214" t="str">
        <x:v>印星忌神候选</x:v>
      </x:c>
      <x:c r="AB118" s="214" t="str">
        <x:v>印星加重身势并破坏关键食伤功能时可列条件性忌神：当“日主已旺，偏印又强且实质制约关键食伤”成立时，按本规则记录十神的有效功能；同时保留制化、承载和反向证据。</x:v>
      </x:c>
      <x:c r="AC118" s="214" t="str">
        <x:v>较高</x:v>
      </x:c>
      <x:c r="AD118" s="214" t="str">
        <x:v>现代综合</x:v>
      </x:c>
      <x:c r="AE118" s="214" t="str">
        <x:v>十神必须分开判断存在性、力量、清纯度、功能性与喜忌性；M10只形成结构层结论和候选，不越级替代M11—M18。</x:v>
      </x:c>
      <x:c r="AF118" s="214" t="str">
        <x:v>相关条件真实成立，且增强条件有效时，可按“印星加重身势并破坏关键食伤功能时可列条件性忌神”记录对应功能。</x:v>
      </x:c>
      <x:c r="AG118" s="214" t="str">
        <x:v>仅见表面十神名称或数量，但“不得以十神名称、数量或单一旺弱证据直接完成定性”所述限制存在时，不得套用本规则。</x:v>
      </x:c>
      <x:c r="AH118" s="214" t="str">
        <x:v>https://zh.wikisource.org/wiki/%E6%B8%8A%E6%B5%B7%E5%AD%90%E5%B9%B3%E5%A4%A7%E5%85%A8 ; https://zh.wikisource.org/wiki/%E6%BB%B4%E5%A4%A9%E9%AB%93%E9%97%A1%E5%BE%AE</x:v>
      </x:c>
      <x:c r="AI118" s="214" t="str">
        <x:v>采用</x:v>
      </x:c>
      <x:c r="AJ118" s="214" t="str">
        <x:v>初审</x:v>
      </x:c>
      <x:c r="AK118" s="217" t="n">
        <x:v>46255</x:v>
      </x:c>
    </x:row>
    <x:row r="119">
      <x:c r="A119" s="214" t="str">
        <x:f>IF(OR(C119="",D119=""),"",B119&amp;"-"&amp;UPPER(C119)&amp;"-"&amp;TEXT(D119,"0000")&amp;"-"&amp;E119)</x:f>
        <x:v>M10-XIJI-0113-V1.0</x:v>
      </x:c>
      <x:c r="B119" s="214" t="str">
        <x:v>M10</x:v>
      </x:c>
      <x:c r="C119" s="214" t="str">
        <x:v>XIJI</x:v>
      </x:c>
      <x:c r="D119" s="216" t="n">
        <x:v>113</x:v>
      </x:c>
      <x:c r="E119" s="214" t="str">
        <x:v>V1.0</x:v>
      </x:c>
      <x:c r="F119" s="214" t="str">
        <x:v>十神既有收益又有明显结构副作用时保持待定</x:v>
      </x:c>
      <x:c r="G119" s="214" t="str">
        <x:v>结构层</x:v>
      </x:c>
      <x:c r="H119" s="214" t="str">
        <x:v>正财</x:v>
      </x:c>
      <x:c r="I119" s="214" t="str">
        <x:v>待定</x:v>
      </x:c>
      <x:c r="J119" s="214" t="str">
        <x:v>待定</x:v>
      </x:c>
      <x:c r="K119" s="214" t="str">
        <x:v>待定</x:v>
      </x:c>
      <x:c r="L119" s="214" t="str">
        <x:v>待定</x:v>
      </x:c>
      <x:c r="M119" s="214" t="str">
        <x:v>按M08核查</x:v>
      </x:c>
      <x:c r="N119" s="214" t="str">
        <x:v>按M06/M08核查</x:v>
      </x:c>
      <x:c r="O119" s="214" t="str">
        <x:v>待定</x:v>
      </x:c>
      <x:c r="P119" s="214" t="str">
        <x:v>转M11/M14判断</x:v>
      </x:c>
      <x:c r="Q119" s="214" t="str">
        <x:v>需结合M09日主承载判断</x:v>
      </x:c>
      <x:c r="R119" s="214" t="str">
        <x:v>待定</x:v>
      </x:c>
      <x:c r="S119" s="214" t="str">
        <x:v>财星既可耗旺身，又会强生忌官或破关键印</x:v>
      </x:c>
      <x:c r="T119" s="214" t="str">
        <x:v>M02十神映射、M08五行有效旺衰、M09日主旺衰已完成</x:v>
      </x:c>
      <x:c r="U119" s="214" t="str">
        <x:v>相关十神已由M02正确映射，并以M08有效力量为准</x:v>
      </x:c>
      <x:c r="V119" s="214" t="str">
        <x:v>得令、有根、透干、同党或生源形成独立有效证据</x:v>
      </x:c>
      <x:c r="W119" s="214" t="str">
        <x:v>失令、无根、被合绊、被制、改性或作用路径受阻</x:v>
      </x:c>
      <x:c r="X119" s="214" t="str">
        <x:v>不得以十神名称、数量或单一旺弱证据直接完成定性</x:v>
      </x:c>
      <x:c r="Y119" s="214" t="str">
        <x:v>特殊格局、从化候选及明确组合转M11/M14另审</x:v>
      </x:c>
      <x:c r="Z119" s="214" t="str">
        <x:v>不得直接推出吉凶、具体事件、亲属结果或最终喜忌</x:v>
      </x:c>
      <x:c r="AA119" s="214" t="str">
        <x:v>喜忌冲突待裁决</x:v>
      </x:c>
      <x:c r="AB119" s="214" t="str">
        <x:v>十神既有收益又有明显结构副作用时保持待定：当“财星既可耗旺身，又会强生忌官或破关键印”成立时，按本规则记录十神的有效功能；同时保留制化、承载和反向证据。</x:v>
      </x:c>
      <x:c r="AC119" s="214" t="str">
        <x:v>较高</x:v>
      </x:c>
      <x:c r="AD119" s="214" t="str">
        <x:v>现代综合</x:v>
      </x:c>
      <x:c r="AE119" s="214" t="str">
        <x:v>十神必须分开判断存在性、力量、清纯度、功能性与喜忌性；M10只形成结构层结论和候选，不越级替代M11—M18。</x:v>
      </x:c>
      <x:c r="AF119" s="214" t="str">
        <x:v>相关条件真实成立，且增强条件有效时，可按“十神既有收益又有明显结构副作用时保持待定”记录对应功能。</x:v>
      </x:c>
      <x:c r="AG119" s="214" t="str">
        <x:v>仅见表面十神名称或数量，但“不得以十神名称、数量或单一旺弱证据直接完成定性”所述限制存在时，不得套用本规则。</x:v>
      </x:c>
      <x:c r="AH119" s="214" t="str">
        <x:v>https://zh.wikisource.org/wiki/%E6%B8%8A%E6%B5%B7%E5%AD%90%E5%B9%B3%E5%A4%A7%E5%85%A8 ; https://zh.wikisource.org/wiki/%E6%BB%B4%E5%A4%A9%E9%AB%93%E9%97%A1%E5%BE%AE</x:v>
      </x:c>
      <x:c r="AI119" s="214" t="str">
        <x:v>采用</x:v>
      </x:c>
      <x:c r="AJ119" s="214" t="str">
        <x:v>初审</x:v>
      </x:c>
      <x:c r="AK119" s="217" t="n">
        <x:v>46255</x:v>
      </x:c>
    </x:row>
    <x:row r="120">
      <x:c r="A120" s="214" t="str">
        <x:f>IF(OR(C120="",D120=""),"",B120&amp;"-"&amp;UPPER(C120)&amp;"-"&amp;TEXT(D120,"0000")&amp;"-"&amp;E120)</x:f>
        <x:v>M10-XIJI-0114-V1.0</x:v>
      </x:c>
      <x:c r="B120" s="214" t="str">
        <x:v>M10</x:v>
      </x:c>
      <x:c r="C120" s="214" t="str">
        <x:v>XIJI</x:v>
      </x:c>
      <x:c r="D120" s="216" t="n">
        <x:v>114</x:v>
      </x:c>
      <x:c r="E120" s="214" t="str">
        <x:v>V1.0</x:v>
      </x:c>
      <x:c r="F120" s="214" t="str">
        <x:v>M10喜忌字段只允许候选不得输出主用神终局</x:v>
      </x:c>
      <x:c r="G120" s="214" t="str">
        <x:v>结构层</x:v>
      </x:c>
      <x:c r="H120" s="214" t="str">
        <x:v>正官</x:v>
      </x:c>
      <x:c r="I120" s="214" t="str">
        <x:v>待定</x:v>
      </x:c>
      <x:c r="J120" s="214" t="str">
        <x:v>待定</x:v>
      </x:c>
      <x:c r="K120" s="214" t="str">
        <x:v>待定</x:v>
      </x:c>
      <x:c r="L120" s="214" t="str">
        <x:v>待定</x:v>
      </x:c>
      <x:c r="M120" s="214" t="str">
        <x:v>按M08核查</x:v>
      </x:c>
      <x:c r="N120" s="214" t="str">
        <x:v>按M06/M08核查</x:v>
      </x:c>
      <x:c r="O120" s="214" t="str">
        <x:v>待定</x:v>
      </x:c>
      <x:c r="P120" s="214" t="str">
        <x:v>转M11/M14判断</x:v>
      </x:c>
      <x:c r="Q120" s="214" t="str">
        <x:v>需结合M09日主承载判断</x:v>
      </x:c>
      <x:c r="R120" s="214" t="str">
        <x:v>待定</x:v>
      </x:c>
      <x:c r="S120" s="214" t="str">
        <x:v>十神功能和局部价值已判断</x:v>
      </x:c>
      <x:c r="T120" s="214" t="str">
        <x:v>M02十神映射、M08五行有效旺衰、M09日主旺衰已完成</x:v>
      </x:c>
      <x:c r="U120" s="214" t="str">
        <x:v>相关十神已由M02正确映射，并以M08有效力量为准</x:v>
      </x:c>
      <x:c r="V120" s="214" t="str">
        <x:v>得令、有根、透干、同党或生源形成独立有效证据</x:v>
      </x:c>
      <x:c r="W120" s="214" t="str">
        <x:v>失令、无根、被合绊、被制、改性或作用路径受阻</x:v>
      </x:c>
      <x:c r="X120" s="214" t="str">
        <x:v>不得以十神名称、数量或单一旺弱证据直接完成定性</x:v>
      </x:c>
      <x:c r="Y120" s="214" t="str">
        <x:v>特殊格局、从化候选及明确组合转M11/M14另审</x:v>
      </x:c>
      <x:c r="Z120" s="214" t="str">
        <x:v>不得在M10直接确定主用神、辅助用神、仇神或最终喜忌排序</x:v>
      </x:c>
      <x:c r="AA120" s="214" t="str">
        <x:v>喜忌候选边界</x:v>
      </x:c>
      <x:c r="AB120" s="214" t="str">
        <x:v>M10喜忌字段只允许候选不得输出主用神终局：当“十神功能和局部价值已判断”成立时，按本规则记录十神的有效功能；同时保留制化、承载和反向证据。</x:v>
      </x:c>
      <x:c r="AC120" s="214" t="str">
        <x:v>较高</x:v>
      </x:c>
      <x:c r="AD120" s="214" t="str">
        <x:v>现代综合</x:v>
      </x:c>
      <x:c r="AE120" s="214" t="str">
        <x:v>十神必须分开判断存在性、力量、清纯度、功能性与喜忌性；M10只形成结构层结论和候选，不越级替代M11—M18。</x:v>
      </x:c>
      <x:c r="AF120" s="214" t="str">
        <x:v>相关条件真实成立，且增强条件有效时，可按“M10喜忌字段只允许候选不得输出主用神终局”记录对应功能。</x:v>
      </x:c>
      <x:c r="AG120" s="214" t="str">
        <x:v>仅见表面十神名称或数量，但“不得以十神名称、数量或单一旺弱证据直接完成定性”所述限制存在时，不得套用本规则。</x:v>
      </x:c>
      <x:c r="AH120" s="214" t="str">
        <x:v>https://zh.wikisource.org/wiki/%E6%B8%8A%E6%B5%B7%E5%AD%90%E5%B9%B3%E5%A4%A7%E5%85%A8 ; https://zh.wikisource.org/wiki/%E6%BB%B4%E5%A4%A9%E9%AB%93%E9%97%A1%E5%BE%AE</x:v>
      </x:c>
      <x:c r="AI120" s="214" t="str">
        <x:v>采用</x:v>
      </x:c>
      <x:c r="AJ120" s="214" t="str">
        <x:v>初审</x:v>
      </x:c>
      <x:c r="AK120" s="217" t="n">
        <x:v>46255</x:v>
      </x:c>
    </x:row>
    <x:row r="121">
      <x:c r="A121" s="214" t="str">
        <x:f>IF(OR(C121="",D121=""),"",B121&amp;"-"&amp;UPPER(C121)&amp;"-"&amp;TEXT(D121,"0000")&amp;"-"&amp;E121)</x:f>
        <x:v>M10-BOUND-0115-V1.0</x:v>
      </x:c>
      <x:c r="B121" s="214" t="str">
        <x:v>M10</x:v>
      </x:c>
      <x:c r="C121" s="214" t="str">
        <x:v>BOUND</x:v>
      </x:c>
      <x:c r="D121" s="216" t="n">
        <x:v>115</x:v>
      </x:c>
      <x:c r="E121" s="214" t="str">
        <x:v>V1.0</x:v>
      </x:c>
      <x:c r="F121" s="214" t="str">
        <x:v>十神名称不得直接等同现实人物或事件</x:v>
      </x:c>
      <x:c r="G121" s="214" t="str">
        <x:v>结构层</x:v>
      </x:c>
      <x:c r="H121" s="214" t="str">
        <x:v>正财</x:v>
      </x:c>
      <x:c r="I121" s="214" t="str">
        <x:v>待定</x:v>
      </x:c>
      <x:c r="J121" s="214" t="str">
        <x:v>待定</x:v>
      </x:c>
      <x:c r="K121" s="214" t="str">
        <x:v>待定</x:v>
      </x:c>
      <x:c r="L121" s="214" t="str">
        <x:v>待定</x:v>
      </x:c>
      <x:c r="M121" s="214" t="str">
        <x:v>按M08核查</x:v>
      </x:c>
      <x:c r="N121" s="214" t="str">
        <x:v>按M06/M08核查</x:v>
      </x:c>
      <x:c r="O121" s="214" t="str">
        <x:v>待定</x:v>
      </x:c>
      <x:c r="P121" s="214" t="str">
        <x:v>转M11/M14判断</x:v>
      </x:c>
      <x:c r="Q121" s="214" t="str">
        <x:v>需结合M09日主承载判断</x:v>
      </x:c>
      <x:c r="R121" s="214" t="str">
        <x:v>待定</x:v>
      </x:c>
      <x:c r="S121" s="214" t="str">
        <x:v>任何十神完成存在与功能判断后</x:v>
      </x:c>
      <x:c r="T121" s="214" t="str">
        <x:v>M02十神映射、M08五行有效旺衰、M09日主旺衰已完成</x:v>
      </x:c>
      <x:c r="U121" s="214" t="str">
        <x:v>相关十神已由M02正确映射，并以M08有效力量为准</x:v>
      </x:c>
      <x:c r="V121" s="214" t="str">
        <x:v>得令、有根、透干、同党或生源形成独立有效证据</x:v>
      </x:c>
      <x:c r="W121" s="214" t="str">
        <x:v>失令、无根、被合绊、被制、改性或作用路径受阻</x:v>
      </x:c>
      <x:c r="X121" s="214" t="str">
        <x:v>不得以十神名称、数量或单一旺弱证据直接完成定性</x:v>
      </x:c>
      <x:c r="Y121" s="214" t="str">
        <x:v>特殊格局、从化候选及明确组合转M11/M14另审</x:v>
      </x:c>
      <x:c r="Z121" s="214" t="str">
        <x:v>不得把正财直接等同妻子、正官直接等同丈夫、印直接等同母亲并据此断具体事件</x:v>
      </x:c>
      <x:c r="AA121" s="214" t="str">
        <x:v>十神象义边界</x:v>
      </x:c>
      <x:c r="AB121" s="214" t="str">
        <x:v>十神名称不得直接等同现实人物或事件：当“任何十神完成存在与功能判断后”成立时，按本规则记录十神的有效功能；同时保留制化、承载和反向证据。</x:v>
      </x:c>
      <x:c r="AC121" s="214" t="str">
        <x:v>较高</x:v>
      </x:c>
      <x:c r="AD121" s="214" t="str">
        <x:v>现代综合</x:v>
      </x:c>
      <x:c r="AE121" s="214" t="str">
        <x:v>十神必须分开判断存在性、力量、清纯度、功能性与喜忌性；M10只形成结构层结论和候选，不越级替代M11—M18。</x:v>
      </x:c>
      <x:c r="AF121" s="214" t="str">
        <x:v>相关条件真实成立，且增强条件有效时，可按“十神名称不得直接等同现实人物或事件”记录对应功能。</x:v>
      </x:c>
      <x:c r="AG121" s="214" t="str">
        <x:v>仅见表面十神名称或数量，但“不得以十神名称、数量或单一旺弱证据直接完成定性”所述限制存在时，不得套用本规则。</x:v>
      </x:c>
      <x:c r="AH121" s="214" t="str">
        <x:v>https://zh.wikisource.org/wiki/%E6%B8%8A%E6%B5%B7%E5%AD%90%E5%B9%B3%E5%A4%A7%E5%85%A8 ; https://zh.wikisource.org/wiki/%E6%BB%B4%E5%A4%A9%E9%AB%93%E9%97%A1%E5%BE%AE</x:v>
      </x:c>
      <x:c r="AI121" s="214" t="str">
        <x:v>采用</x:v>
      </x:c>
      <x:c r="AJ121" s="214" t="str">
        <x:v>初审</x:v>
      </x:c>
      <x:c r="AK121" s="217" t="n">
        <x:v>46255</x:v>
      </x:c>
    </x:row>
    <x:row r="122">
      <x:c r="A122" s="214" t="str">
        <x:f>IF(OR(C122="",D122=""),"",B122&amp;"-"&amp;UPPER(C122)&amp;"-"&amp;TEXT(D122,"0000")&amp;"-"&amp;E122)</x:f>
        <x:v>M10-BOUND-0116-V1.0</x:v>
      </x:c>
      <x:c r="B122" s="214" t="str">
        <x:v>M10</x:v>
      </x:c>
      <x:c r="C122" s="214" t="str">
        <x:v>BOUND</x:v>
      </x:c>
      <x:c r="D122" s="216" t="n">
        <x:v>116</x:v>
      </x:c>
      <x:c r="E122" s="214" t="str">
        <x:v>V1.0</x:v>
      </x:c>
      <x:c r="F122" s="214" t="str">
        <x:v>十神旺弱不得直接等同吉凶</x:v>
      </x:c>
      <x:c r="G122" s="214" t="str">
        <x:v>结构层</x:v>
      </x:c>
      <x:c r="H122" s="214" t="str">
        <x:v>七杀</x:v>
      </x:c>
      <x:c r="I122" s="214" t="str">
        <x:v>待定</x:v>
      </x:c>
      <x:c r="J122" s="214" t="str">
        <x:v>待定</x:v>
      </x:c>
      <x:c r="K122" s="214" t="str">
        <x:v>待定</x:v>
      </x:c>
      <x:c r="L122" s="214" t="str">
        <x:v>待定</x:v>
      </x:c>
      <x:c r="M122" s="214" t="str">
        <x:v>按M08核查</x:v>
      </x:c>
      <x:c r="N122" s="214" t="str">
        <x:v>按M06/M08核查</x:v>
      </x:c>
      <x:c r="O122" s="214" t="str">
        <x:v>待定</x:v>
      </x:c>
      <x:c r="P122" s="214" t="str">
        <x:v>转M11/M14判断</x:v>
      </x:c>
      <x:c r="Q122" s="214" t="str">
        <x:v>需结合M09日主承载判断</x:v>
      </x:c>
      <x:c r="R122" s="214" t="str">
        <x:v>待定</x:v>
      </x:c>
      <x:c r="S122" s="214" t="str">
        <x:v>任何十神有效旺衰已经确定</x:v>
      </x:c>
      <x:c r="T122" s="214" t="str">
        <x:v>M02十神映射、M08五行有效旺衰、M09日主旺衰已完成</x:v>
      </x:c>
      <x:c r="U122" s="214" t="str">
        <x:v>相关十神已由M02正确映射，并以M08有效力量为准</x:v>
      </x:c>
      <x:c r="V122" s="214" t="str">
        <x:v>得令、有根、透干、同党或生源形成独立有效证据</x:v>
      </x:c>
      <x:c r="W122" s="214" t="str">
        <x:v>失令、无根、被合绊、被制、改性或作用路径受阻</x:v>
      </x:c>
      <x:c r="X122" s="214" t="str">
        <x:v>不得以十神名称、数量或单一旺弱证据直接完成定性</x:v>
      </x:c>
      <x:c r="Y122" s="214" t="str">
        <x:v>特殊格局、从化候选及明确组合转M11/M14另审</x:v>
      </x:c>
      <x:c r="Z122" s="214" t="str">
        <x:v>不得以旺为凶或以弱为吉；喜忌取决于全局需要、制化和承载</x:v>
      </x:c>
      <x:c r="AA122" s="214" t="str">
        <x:v>十神旺衰吉凶分离</x:v>
      </x:c>
      <x:c r="AB122" s="214" t="str">
        <x:v>十神旺弱不得直接等同吉凶：当“任何十神有效旺衰已经确定”成立时，按本规则记录十神的有效功能；同时保留制化、承载和反向证据。</x:v>
      </x:c>
      <x:c r="AC122" s="214" t="str">
        <x:v>较高</x:v>
      </x:c>
      <x:c r="AD122" s="214" t="str">
        <x:v>现代综合</x:v>
      </x:c>
      <x:c r="AE122" s="214" t="str">
        <x:v>十神必须分开判断存在性、力量、清纯度、功能性与喜忌性；M10只形成结构层结论和候选，不越级替代M11—M18。</x:v>
      </x:c>
      <x:c r="AF122" s="214" t="str">
        <x:v>相关条件真实成立，且增强条件有效时，可按“十神旺弱不得直接等同吉凶”记录对应功能。</x:v>
      </x:c>
      <x:c r="AG122" s="214" t="str">
        <x:v>仅见表面十神名称或数量，但“不得以十神名称、数量或单一旺弱证据直接完成定性”所述限制存在时，不得套用本规则。</x:v>
      </x:c>
      <x:c r="AH122" s="214" t="str">
        <x:v>https://zh.wikisource.org/wiki/%E6%B8%8A%E6%B5%B7%E5%AD%90%E5%B9%B3%E5%A4%A7%E5%85%A8 ; https://zh.wikisource.org/wiki/%E6%BB%B4%E5%A4%A9%E9%AB%93%E9%97%A1%E5%BE%AE</x:v>
      </x:c>
      <x:c r="AI122" s="214" t="str">
        <x:v>采用</x:v>
      </x:c>
      <x:c r="AJ122" s="214" t="str">
        <x:v>初审</x:v>
      </x:c>
      <x:c r="AK122" s="217" t="n">
        <x:v>46255</x:v>
      </x:c>
    </x:row>
    <x:row r="123">
      <x:c r="A123" s="214" t="str">
        <x:f>IF(OR(C123="",D123=""),"",B123&amp;"-"&amp;UPPER(C123)&amp;"-"&amp;TEXT(D123,"0000")&amp;"-"&amp;E123)</x:f>
        <x:v>M10-BOUND-0117-V1.0</x:v>
      </x:c>
      <x:c r="B123" s="214" t="str">
        <x:v>M10</x:v>
      </x:c>
      <x:c r="C123" s="214" t="str">
        <x:v>BOUND</x:v>
      </x:c>
      <x:c r="D123" s="216" t="n">
        <x:v>117</x:v>
      </x:c>
      <x:c r="E123" s="214" t="str">
        <x:v>V1.0</x:v>
      </x:c>
      <x:c r="F123" s="214" t="str">
        <x:v>单一十神不得越级推出性格定论</x:v>
      </x:c>
      <x:c r="G123" s="214" t="str">
        <x:v>结构层</x:v>
      </x:c>
      <x:c r="H123" s="214" t="str">
        <x:v>伤官</x:v>
      </x:c>
      <x:c r="I123" s="214" t="str">
        <x:v>待定</x:v>
      </x:c>
      <x:c r="J123" s="214" t="str">
        <x:v>待定</x:v>
      </x:c>
      <x:c r="K123" s="214" t="str">
        <x:v>待定</x:v>
      </x:c>
      <x:c r="L123" s="214" t="str">
        <x:v>待定</x:v>
      </x:c>
      <x:c r="M123" s="214" t="str">
        <x:v>按M08核查</x:v>
      </x:c>
      <x:c r="N123" s="214" t="str">
        <x:v>按M06/M08核查</x:v>
      </x:c>
      <x:c r="O123" s="214" t="str">
        <x:v>待定</x:v>
      </x:c>
      <x:c r="P123" s="214" t="str">
        <x:v>转M11/M14判断</x:v>
      </x:c>
      <x:c r="Q123" s="214" t="str">
        <x:v>需结合M09日主承载判断</x:v>
      </x:c>
      <x:c r="R123" s="214" t="str">
        <x:v>待定</x:v>
      </x:c>
      <x:c r="S123" s="214" t="str">
        <x:v>伤官等十神有效存在</x:v>
      </x:c>
      <x:c r="T123" s="214" t="str">
        <x:v>M02十神映射、M08五行有效旺衰、M09日主旺衰已完成</x:v>
      </x:c>
      <x:c r="U123" s="214" t="str">
        <x:v>相关十神已由M02正确映射，并以M08有效力量为准</x:v>
      </x:c>
      <x:c r="V123" s="214" t="str">
        <x:v>得令、有根、透干、同党或生源形成独立有效证据</x:v>
      </x:c>
      <x:c r="W123" s="214" t="str">
        <x:v>失令、无根、被合绊、被制、改性或作用路径受阻</x:v>
      </x:c>
      <x:c r="X123" s="214" t="str">
        <x:v>不得以十神名称、数量或单一旺弱证据直接完成定性</x:v>
      </x:c>
      <x:c r="Y123" s="214" t="str">
        <x:v>特殊格局、从化候选及明确组合转M11/M14另审</x:v>
      </x:c>
      <x:c r="Z123" s="214" t="str">
        <x:v>不得仅凭一个十神就固定描述人格、职业或关系模式</x:v>
      </x:c>
      <x:c r="AA123" s="214" t="str">
        <x:v>十神性格边界</x:v>
      </x:c>
      <x:c r="AB123" s="214" t="str">
        <x:v>单一十神不得越级推出性格定论：当“伤官等十神有效存在”成立时，按本规则记录十神的有效功能；同时保留制化、承载和反向证据。</x:v>
      </x:c>
      <x:c r="AC123" s="214" t="str">
        <x:v>较高</x:v>
      </x:c>
      <x:c r="AD123" s="214" t="str">
        <x:v>现代综合</x:v>
      </x:c>
      <x:c r="AE123" s="214" t="str">
        <x:v>十神必须分开判断存在性、力量、清纯度、功能性与喜忌性；M10只形成结构层结论和候选，不越级替代M11—M18。</x:v>
      </x:c>
      <x:c r="AF123" s="214" t="str">
        <x:v>相关条件真实成立，且增强条件有效时，可按“单一十神不得越级推出性格定论”记录对应功能。</x:v>
      </x:c>
      <x:c r="AG123" s="214" t="str">
        <x:v>仅见表面十神名称或数量，但“不得以十神名称、数量或单一旺弱证据直接完成定性”所述限制存在时，不得套用本规则。</x:v>
      </x:c>
      <x:c r="AH123" s="214" t="str">
        <x:v>https://zh.wikisource.org/wiki/%E6%B8%8A%E6%B5%B7%E5%AD%90%E5%B9%B3%E5%A4%A7%E5%85%A8 ; https://zh.wikisource.org/wiki/%E6%BB%B4%E5%A4%A9%E9%AB%93%E9%97%A1%E5%BE%AE</x:v>
      </x:c>
      <x:c r="AI123" s="214" t="str">
        <x:v>采用</x:v>
      </x:c>
      <x:c r="AJ123" s="214" t="str">
        <x:v>初审</x:v>
      </x:c>
      <x:c r="AK123" s="217" t="n">
        <x:v>46255</x:v>
      </x:c>
    </x:row>
    <x:row r="124">
      <x:c r="A124" s="214" t="str">
        <x:f>IF(OR(C124="",D124=""),"",B124&amp;"-"&amp;UPPER(C124)&amp;"-"&amp;TEXT(D124,"0000")&amp;"-"&amp;E124)</x:f>
        <x:v>M10-BOUND-0118-V1.0</x:v>
      </x:c>
      <x:c r="B124" s="214" t="str">
        <x:v>M10</x:v>
      </x:c>
      <x:c r="C124" s="214" t="str">
        <x:v>BOUND</x:v>
      </x:c>
      <x:c r="D124" s="216" t="n">
        <x:v>118</x:v>
      </x:c>
      <x:c r="E124" s="214" t="str">
        <x:v>V1.0</x:v>
      </x:c>
      <x:c r="F124" s="214" t="str">
        <x:v>原局静态十神不得越级替代岁运判断</x:v>
      </x:c>
      <x:c r="G124" s="214" t="str">
        <x:v>结构层</x:v>
      </x:c>
      <x:c r="H124" s="214" t="str">
        <x:v>正印</x:v>
      </x:c>
      <x:c r="I124" s="214" t="str">
        <x:v>待定</x:v>
      </x:c>
      <x:c r="J124" s="214" t="str">
        <x:v>待定</x:v>
      </x:c>
      <x:c r="K124" s="214" t="str">
        <x:v>待定</x:v>
      </x:c>
      <x:c r="L124" s="214" t="str">
        <x:v>待定</x:v>
      </x:c>
      <x:c r="M124" s="214" t="str">
        <x:v>按M08核查</x:v>
      </x:c>
      <x:c r="N124" s="214" t="str">
        <x:v>按M06/M08核查</x:v>
      </x:c>
      <x:c r="O124" s="214" t="str">
        <x:v>待定</x:v>
      </x:c>
      <x:c r="P124" s="214" t="str">
        <x:v>转M11/M14判断</x:v>
      </x:c>
      <x:c r="Q124" s="214" t="str">
        <x:v>需结合M09日主承载判断</x:v>
      </x:c>
      <x:c r="R124" s="214" t="str">
        <x:v>待定</x:v>
      </x:c>
      <x:c r="S124" s="214" t="str">
        <x:v>M10完成原局十神结构</x:v>
      </x:c>
      <x:c r="T124" s="214" t="str">
        <x:v>M02十神映射、M08五行有效旺衰、M09日主旺衰已完成</x:v>
      </x:c>
      <x:c r="U124" s="214" t="str">
        <x:v>相关十神已由M02正确映射，并以M08有效力量为准</x:v>
      </x:c>
      <x:c r="V124" s="214" t="str">
        <x:v>得令、有根、透干、同党或生源形成独立有效证据</x:v>
      </x:c>
      <x:c r="W124" s="214" t="str">
        <x:v>失令、无根、被合绊、被制、改性或作用路径受阻</x:v>
      </x:c>
      <x:c r="X124" s="214" t="str">
        <x:v>不得以十神名称、数量或单一旺弱证据直接完成定性</x:v>
      </x:c>
      <x:c r="Y124" s="214" t="str">
        <x:v>特殊格局、从化候选及明确组合转M11/M14另审</x:v>
      </x:c>
      <x:c r="Z124" s="214" t="str">
        <x:v>不得在M10直接给出某年某月事件或把岁运补入原局</x:v>
      </x:c>
      <x:c r="AA124" s="214" t="str">
        <x:v>十神静动态分离</x:v>
      </x:c>
      <x:c r="AB124" s="214" t="str">
        <x:v>原局静态十神不得越级替代岁运判断：当“M10完成原局十神结构”成立时，按本规则记录十神的有效功能；同时保留制化、承载和反向证据。</x:v>
      </x:c>
      <x:c r="AC124" s="214" t="str">
        <x:v>较高</x:v>
      </x:c>
      <x:c r="AD124" s="214" t="str">
        <x:v>现代综合</x:v>
      </x:c>
      <x:c r="AE124" s="214" t="str">
        <x:v>十神必须分开判断存在性、力量、清纯度、功能性与喜忌性；M10只形成结构层结论和候选，不越级替代M11—M18。</x:v>
      </x:c>
      <x:c r="AF124" s="214" t="str">
        <x:v>相关条件真实成立，且增强条件有效时，可按“原局静态十神不得越级替代岁运判断”记录对应功能。</x:v>
      </x:c>
      <x:c r="AG124" s="214" t="str">
        <x:v>仅见表面十神名称或数量，但“不得以十神名称、数量或单一旺弱证据直接完成定性”所述限制存在时，不得套用本规则。</x:v>
      </x:c>
      <x:c r="AH124" s="214" t="str">
        <x:v>https://zh.wikisource.org/wiki/%E6%B8%8A%E6%B5%B7%E5%AD%90%E5%B9%B3%E5%A4%A7%E5%85%A8 ; https://zh.wikisource.org/wiki/%E6%BB%B4%E5%A4%A9%E9%AB%93%E9%97%A1%E5%BE%AE</x:v>
      </x:c>
      <x:c r="AI124" s="214" t="str">
        <x:v>采用</x:v>
      </x:c>
      <x:c r="AJ124" s="214" t="str">
        <x:v>初审</x:v>
      </x:c>
      <x:c r="AK124" s="217" t="n">
        <x:v>46255</x:v>
      </x:c>
    </x:row>
    <x:row r="125">
      <x:c r="A125" s="214" t="str">
        <x:f>IF(OR(C125="",D125=""),"",B125&amp;"-"&amp;UPPER(C125)&amp;"-"&amp;TEXT(D125,"0000")&amp;"-"&amp;E125)</x:f>
        <x:v>M10-BOUND-0119-V1.0</x:v>
      </x:c>
      <x:c r="B125" s="214" t="str">
        <x:v>M10</x:v>
      </x:c>
      <x:c r="C125" s="214" t="str">
        <x:v>BOUND</x:v>
      </x:c>
      <x:c r="D125" s="216" t="n">
        <x:v>119</x:v>
      </x:c>
      <x:c r="E125" s="214" t="str">
        <x:v>V1.0</x:v>
      </x:c>
      <x:c r="F125" s="214" t="str">
        <x:v>不同流派对十神象义扩展应进入M21治理</x:v>
      </x:c>
      <x:c r="G125" s="214" t="str">
        <x:v>结构层</x:v>
      </x:c>
      <x:c r="H125" s="214" t="str">
        <x:v>偏财</x:v>
      </x:c>
      <x:c r="I125" s="214" t="str">
        <x:v>待定</x:v>
      </x:c>
      <x:c r="J125" s="214" t="str">
        <x:v>待定</x:v>
      </x:c>
      <x:c r="K125" s="214" t="str">
        <x:v>待定</x:v>
      </x:c>
      <x:c r="L125" s="214" t="str">
        <x:v>待定</x:v>
      </x:c>
      <x:c r="M125" s="214" t="str">
        <x:v>按M08核查</x:v>
      </x:c>
      <x:c r="N125" s="214" t="str">
        <x:v>按M06/M08核查</x:v>
      </x:c>
      <x:c r="O125" s="214" t="str">
        <x:v>待定</x:v>
      </x:c>
      <x:c r="P125" s="214" t="str">
        <x:v>转M11/M14判断</x:v>
      </x:c>
      <x:c r="Q125" s="214" t="str">
        <x:v>需结合M09日主承载判断</x:v>
      </x:c>
      <x:c r="R125" s="214" t="str">
        <x:v>待定</x:v>
      </x:c>
      <x:c r="S125" s="214" t="str">
        <x:v>某条十神象义或权重存在明显流派差异</x:v>
      </x:c>
      <x:c r="T125" s="214" t="str">
        <x:v>M02十神映射、M08五行有效旺衰、M09日主旺衰已完成</x:v>
      </x:c>
      <x:c r="U125" s="214" t="str">
        <x:v>相关十神已由M02正确映射，并以M08有效力量为准</x:v>
      </x:c>
      <x:c r="V125" s="214" t="str">
        <x:v>得令、有根、透干、同党或生源形成独立有效证据</x:v>
      </x:c>
      <x:c r="W125" s="214" t="str">
        <x:v>失令、无根、被合绊、被制、改性或作用路径受阻</x:v>
      </x:c>
      <x:c r="X125" s="214" t="str">
        <x:v>不得以十神名称、数量或单一旺弱证据直接完成定性</x:v>
      </x:c>
      <x:c r="Y125" s="214" t="str">
        <x:v>将争议观点、采用理由和反证登记M21后再决定是否采用</x:v>
      </x:c>
      <x:c r="Z125" s="214" t="str">
        <x:v>不得直接推出吉凶、具体事件、亲属结果或最终喜忌</x:v>
      </x:c>
      <x:c r="AA125" s="214" t="str">
        <x:v>十神争议治理</x:v>
      </x:c>
      <x:c r="AB125" s="214" t="str">
        <x:v>不同流派对十神象义扩展应进入M21治理：当“某条十神象义或权重存在明显流派差异”成立时，按本规则记录十神的有效功能；同时保留制化、承载和反向证据。</x:v>
      </x:c>
      <x:c r="AC125" s="214" t="str">
        <x:v>中等</x:v>
      </x:c>
      <x:c r="AD125" s="214" t="str">
        <x:v>现代综合</x:v>
      </x:c>
      <x:c r="AE125" s="214" t="str">
        <x:v>十神必须分开判断存在性、力量、清纯度、功能性与喜忌性；M10只形成结构层结论和候选，不越级替代M11—M18。</x:v>
      </x:c>
      <x:c r="AF125" s="214" t="str">
        <x:v>相关条件真实成立，且增强条件有效时，可按“不同流派对十神象义扩展应进入M21治理”记录对应功能。</x:v>
      </x:c>
      <x:c r="AG125" s="214" t="str">
        <x:v>仅见表面十神名称或数量，但“不得以十神名称、数量或单一旺弱证据直接完成定性”所述限制存在时，不得套用本规则。</x:v>
      </x:c>
      <x:c r="AH125" s="214" t="str">
        <x:v>https://zh.wikisource.org/wiki/%E6%B8%8A%E6%B5%B7%E5%AD%90%E5%B9%B3%E5%A4%A7%E5%85%A8 ; https://zh.wikisource.org/wiki/%E6%BB%B4%E5%A4%A9%E9%AB%93%E9%97%A1%E5%BE%AE</x:v>
      </x:c>
      <x:c r="AI125" s="214" t="str">
        <x:v>待验证</x:v>
      </x:c>
      <x:c r="AJ125" s="214" t="str">
        <x:v>初审</x:v>
      </x:c>
      <x:c r="AK125" s="217" t="n">
        <x:v>46255</x:v>
      </x:c>
    </x:row>
    <x:row r="126">
      <x:c r="A126" s="214" t="str">
        <x:f>IF(OR(C126="",D126=""),"",B126&amp;"-"&amp;UPPER(C126)&amp;"-"&amp;TEXT(D126,"0000")&amp;"-"&amp;E126)</x:f>
        <x:v>M10-BOUND-0120-V1.0</x:v>
      </x:c>
      <x:c r="B126" s="214" t="str">
        <x:v>M10</x:v>
      </x:c>
      <x:c r="C126" s="214" t="str">
        <x:v>BOUND</x:v>
      </x:c>
      <x:c r="D126" s="216" t="n">
        <x:v>120</x:v>
      </x:c>
      <x:c r="E126" s="214" t="str">
        <x:v>V1.0</x:v>
      </x:c>
      <x:c r="F126" s="214" t="str">
        <x:v>M10最终输出必须保留正反证据与置信度</x:v>
      </x:c>
      <x:c r="G126" s="214" t="str">
        <x:v>结构层</x:v>
      </x:c>
      <x:c r="H126" s="214" t="str">
        <x:v>正官</x:v>
      </x:c>
      <x:c r="I126" s="214" t="str">
        <x:v>待定</x:v>
      </x:c>
      <x:c r="J126" s="214" t="str">
        <x:v>待定</x:v>
      </x:c>
      <x:c r="K126" s="214" t="str">
        <x:v>待定</x:v>
      </x:c>
      <x:c r="L126" s="214" t="str">
        <x:v>待定</x:v>
      </x:c>
      <x:c r="M126" s="214" t="str">
        <x:v>按M08核查</x:v>
      </x:c>
      <x:c r="N126" s="214" t="str">
        <x:v>按M06/M08核查</x:v>
      </x:c>
      <x:c r="O126" s="214" t="str">
        <x:v>待定</x:v>
      </x:c>
      <x:c r="P126" s="214" t="str">
        <x:v>转M11/M14判断</x:v>
      </x:c>
      <x:c r="Q126" s="214" t="str">
        <x:v>需结合M09日主承载判断</x:v>
      </x:c>
      <x:c r="R126" s="214" t="str">
        <x:v>待定</x:v>
      </x:c>
      <x:c r="S126" s="214" t="str">
        <x:v>十神存在、力量、清纯度和功能均已评估</x:v>
      </x:c>
      <x:c r="T126" s="214" t="str">
        <x:v>M02十神映射、M08五行有效旺衰、M09日主旺衰已完成</x:v>
      </x:c>
      <x:c r="U126" s="214" t="str">
        <x:v>相关十神已由M02正确映射，并以M08有效力量为准</x:v>
      </x:c>
      <x:c r="V126" s="214" t="str">
        <x:v>得令、有根、透干、同党或生源形成独立有效证据</x:v>
      </x:c>
      <x:c r="W126" s="214" t="str">
        <x:v>失令、无根、被合绊、被制、改性或作用路径受阻</x:v>
      </x:c>
      <x:c r="X126" s="214" t="str">
        <x:v>不得以十神名称、数量或单一旺弱证据直接完成定性</x:v>
      </x:c>
      <x:c r="Y126" s="214" t="str">
        <x:v>特殊格局、从化候选及明确组合转M11/M14另审</x:v>
      </x:c>
      <x:c r="Z126" s="214" t="str">
        <x:v>不得只写“官旺、财弱、印多”等无证据链结论</x:v>
      </x:c>
      <x:c r="AA126" s="214" t="str">
        <x:v>十神标准输出</x:v>
      </x:c>
      <x:c r="AB126" s="214" t="str">
        <x:v>每个十神至少输出：存在方式、有效旺衰、清纯度、主要生源、主要制约、功能状态、对日主作用、组合/格局接口、喜忌候选、反向证据与置信度。</x:v>
      </x:c>
      <x:c r="AC126" s="214" t="str">
        <x:v>较高</x:v>
      </x:c>
      <x:c r="AD126" s="214" t="str">
        <x:v>现代综合</x:v>
      </x:c>
      <x:c r="AE126" s="214" t="str">
        <x:v>十神必须分开判断存在性、力量、清纯度、功能性与喜忌性；M10只形成结构层结论和候选，不越级替代M11—M18。</x:v>
      </x:c>
      <x:c r="AF126" s="214" t="str">
        <x:v>相关条件真实成立，且增强条件有效时，可按“M10最终输出必须保留正反证据与置信度”记录对应功能。</x:v>
      </x:c>
      <x:c r="AG126" s="214" t="str">
        <x:v>仅见表面十神名称或数量，但“不得以十神名称、数量或单一旺弱证据直接完成定性”所述限制存在时，不得套用本规则。</x:v>
      </x:c>
      <x:c r="AH126" s="214" t="str">
        <x:v>https://zh.wikisource.org/wiki/%E6%B8%8A%E6%B5%B7%E5%AD%90%E5%B9%B3%E5%A4%A7%E5%85%A8 ; https://zh.wikisource.org/wiki/%E6%BB%B4%E5%A4%A9%E9%AB%93%E9%97%A1%E5%BE%AE</x:v>
      </x:c>
      <x:c r="AI126" s="214" t="str">
        <x:v>采用</x:v>
      </x:c>
      <x:c r="AJ126" s="214" t="str">
        <x:v>初审</x:v>
      </x:c>
      <x:c r="AK126" s="217" t="n">
        <x:v>46255</x:v>
      </x:c>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27">
    <x:dataValidation type="list" sqref="E6:E105">
      <x:formula1>'99_下拉选项'!$BG$4:$BG$12</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G7:G126">
      <x:formula1>'99_下拉选项'!$F$4:$F$7</x:formula1>
    </x:dataValidation>
    <x:dataValidation type="list" sqref="H7:H126">
      <x:formula1>'99_下拉选项'!$Y$4:$Y$13</x:formula1>
    </x:dataValidation>
    <x:dataValidation type="list" sqref="I7:I126">
      <x:formula1>'99_下拉选项'!$Z$4:$Z$10</x:formula1>
    </x:dataValidation>
    <x:dataValidation type="list" sqref="J7:J126">
      <x:formula1>'99_下拉选项'!$U$4:$U$11</x:formula1>
    </x:dataValidation>
    <x:dataValidation type="list" sqref="K7:K126">
      <x:formula1>'99_下拉选项'!$U$4:$U$11</x:formula1>
    </x:dataValidation>
    <x:dataValidation type="list" sqref="L7:L126">
      <x:formula1>'99_下拉选项'!$AE$4:$AE$9</x:formula1>
    </x:dataValidation>
    <x:dataValidation type="list" sqref="O7:O126">
      <x:formula1>'99_下拉选项'!$AA$4:$AA$11</x:formula1>
    </x:dataValidation>
    <x:dataValidation type="list" sqref="R7:R126">
      <x:formula1>'99_下拉选项'!$AB$4:$AB$12</x:formula1>
    </x:dataValidation>
    <x:dataValidation type="list" sqref="AC7:AC126">
      <x:formula1>'99_下拉选项'!$Q$4:$Q$8</x:formula1>
    </x:dataValidation>
    <x:dataValidation type="list" sqref="AD7:AD126">
      <x:formula1>'99_下拉选项'!$R$4:$R$11</x:formula1>
    </x:dataValidation>
    <x:dataValidation type="list" sqref="AI7:AI126">
      <x:formula1>'99_下拉选项'!$S$4:$S$9</x:formula1>
    </x:dataValidation>
    <x:dataValidation type="list" sqref="AJ7:AJ126">
      <x:formula1>'99_下拉选项'!$T$4:$T$8</x:formula1>
    </x:dataValidation>
    <x:dataValidation type="list" sqref="E7:E126">
      <x:formula1>'99_下拉选项'!$BG$4:$BG$22</x:formula1>
    </x:dataValidation>
  </x:dataValidations>
  <x:pageMargins left="0.7" right="0.7" top="0.75" bottom="0.75" header="0.3" footer="0.3"/>
  <x:tableParts count="1">
    <x:tablePart xmlns:r="http://schemas.openxmlformats.org/officeDocument/2006/relationships" r:id="R519431285f734d4c"/>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v>M11-GEN-0001-V1.0</x:v>
      </x:c>
      <x:c r="B7" s="74" t="str">
        <x:v>M11</x:v>
      </x:c>
      <x:c r="C7" s="74" t="str">
        <x:v>GEN</x:v>
      </x:c>
      <x:c r="D7" s="215" t="n">
        <x:v>1</x:v>
      </x:c>
      <x:c r="E7" s="74" t="str">
        <x:v>V1.0</x:v>
      </x:c>
      <x:c r="F7" s="68" t="str">
        <x:v>组合必须先满足十神真实有效</x:v>
      </x:c>
      <x:c r="G7" s="82" t="str">
        <x:v>结构层</x:v>
      </x:c>
      <x:c r="H7" s="82" t="str">
        <x:v>其他</x:v>
      </x:c>
      <x:c r="I7" s="68" t="str">
        <x:v>十神组合通用判定</x:v>
      </x:c>
      <x:c r="J7" s="68" t="str">
        <x:v>多个相关十神</x:v>
      </x:c>
      <x:c r="K7" s="68" t="str">
        <x:v>M10已确认各核心十神不是名义存在而是具备有效功能</x:v>
      </x:c>
      <x:c r="L7" s="68" t="str">
        <x:v>所有参与十神的有效力量和功能状态可被调用</x:v>
      </x:c>
      <x:c r="M7" s="68" t="str">
        <x:v>直接或可达的生克制化路径成立</x:v>
      </x:c>
      <x:c r="N7" s="68" t="str">
        <x:v>相关十神均以M10有效力量为准，且不存在决定性失衡</x:v>
      </x:c>
      <x:c r="O7" s="68" t="str">
        <x:v>结合M09日主承载判断</x:v>
      </x:c>
      <x:c r="P7" s="68" t="str">
        <x:v>核心十神真实有效</x:v>
      </x:c>
      <x:c r="Q7" s="68" t="str">
        <x:v>相关十神有根、有源、透达、清纯且关键通路稳定</x:v>
      </x:c>
      <x:c r="R7" s="90" t="str">
        <x:v>关键十神被合绊、被制、改性、失效或力量严重失衡</x:v>
      </x:c>
      <x:c r="S7" s="68" t="str">
        <x:v>存在第三十神恢复通路、清除破坏或重新形成平衡</x:v>
      </x:c>
      <x:c r="T7" s="90" t="str">
        <x:v>任一核心十神失效，或不存在真实作用路径</x:v>
      </x:c>
      <x:c r="U7" s="68" t="str">
        <x:v>特殊格局、从化或月令格局另转M14/M15复审</x:v>
      </x:c>
      <x:c r="V7" s="84" t="str">
        <x:v>弱成立</x:v>
      </x:c>
      <x:c r="W7" s="84" t="str">
        <x:v>形成局部生化、制化或承载结构</x:v>
      </x:c>
      <x:c r="X7" s="82" t="str">
        <x:v>否</x:v>
      </x:c>
      <x:c r="Y7" s="68" t="str">
        <x:v>待M14生成具体候选</x:v>
      </x:c>
      <x:c r="Z7" s="84" t="str">
        <x:v>组合成立前置</x:v>
      </x:c>
      <x:c r="AA7" s="84" t="str">
        <x:v>十神组合通用判定：当主体、客体、路径与力量匹配满足最低标准时，判“弱成立”；是否上升为格局转M14/M15。</x:v>
      </x:c>
      <x:c r="AB7" s="82" t="str">
        <x:v>较高</x:v>
      </x:c>
      <x:c r="AC7" s="82" t="str">
        <x:v>现代综合</x:v>
      </x:c>
      <x:c r="AD7" s="68" t="str">
        <x:v>十神同时出现不等于组合成立。M11须同时验证核心十神有效性、作用路径、力量匹配、日主承载、破坏因素与救应；组合成立也不等于格局成立。</x:v>
      </x:c>
      <x:c r="AE7" s="68" t="str">
        <x:v>M10已确认各核心十神不是名义存在而是具备有效功能；所有参与十神的有效力量和功能状态可被调用；作用路径稳定且无关键破坏，可按“十神组合通用判定”记录。</x:v>
      </x:c>
      <x:c r="AF7" s="90" t="str">
        <x:v>仅因“多个相关十神”同时出现，但核心十神无力、无作用路径或被关键因素破坏，不能判“十神组合通用判定”成立。</x:v>
      </x:c>
      <x:c r="AG7" s="68" t="str">
        <x:v>https://zh.wikisource.org/zh-hans/%E6%B7%B5%E6%B5%B7%E5%AD%90%E5%B9%B3 ; https://zh.wikisource.org/wiki/%E6%BB%B4%E5%A4%A9%E9%AB%93%E9%97%A1%E5%BE%AE</x:v>
      </x:c>
      <x:c r="AH7" s="82" t="str">
        <x:v>采用</x:v>
      </x:c>
      <x:c r="AI7" s="82" t="str">
        <x:v>初审</x:v>
      </x:c>
      <x:c r="AJ7" s="87" t="n">
        <x:v>46255</x:v>
      </x:c>
    </x:row>
    <x:row r="8">
      <x:c r="A8" s="72" t="str">
        <x:f>IF(OR(C8="",D8=""),"",B8&amp;"-"&amp;UPPER(C8)&amp;"-"&amp;TEXT(D8,"0000")&amp;"-"&amp;E8)</x:f>
        <x:v>M11-GEN-0002-V1.0</x:v>
      </x:c>
      <x:c r="B8" s="74" t="str">
        <x:v>M11</x:v>
      </x:c>
      <x:c r="C8" s="74" t="str">
        <x:v>GEN</x:v>
      </x:c>
      <x:c r="D8" s="215" t="n">
        <x:v>2</x:v>
      </x:c>
      <x:c r="E8" s="74" t="str">
        <x:v>V1.0</x:v>
      </x:c>
      <x:c r="F8" s="68" t="str">
        <x:v>同时出现只生成组合候选</x:v>
      </x:c>
      <x:c r="G8" s="82" t="str">
        <x:v>结构层</x:v>
      </x:c>
      <x:c r="H8" s="82" t="str">
        <x:v>其他</x:v>
      </x:c>
      <x:c r="I8" s="68" t="str">
        <x:v>十神组合通用判定</x:v>
      </x:c>
      <x:c r="J8" s="68" t="str">
        <x:v>多个相关十神</x:v>
      </x:c>
      <x:c r="K8" s="68" t="str">
        <x:v>两个或多个相关十神在原局同时出现</x:v>
      </x:c>
      <x:c r="L8" s="68" t="str">
        <x:v>尚未验证生克制化路径与力量比例</x:v>
      </x:c>
      <x:c r="M8" s="68" t="str">
        <x:v>直接或可达的生克制化路径成立</x:v>
      </x:c>
      <x:c r="N8" s="68" t="str">
        <x:v>相关十神均以M10有效力量为准，且不存在决定性失衡</x:v>
      </x:c>
      <x:c r="O8" s="68" t="str">
        <x:v>结合M09日主承载判断</x:v>
      </x:c>
      <x:c r="P8" s="68" t="str">
        <x:v>只满足存在条件时仅列候选</x:v>
      </x:c>
      <x:c r="Q8" s="68" t="str">
        <x:v>相关十神有根、有源、透达、清纯且关键通路稳定</x:v>
      </x:c>
      <x:c r="R8" s="90" t="str">
        <x:v>关键十神被合绊、被制、改性、失效或力量严重失衡</x:v>
      </x:c>
      <x:c r="S8" s="68" t="str">
        <x:v>存在第三十神恢复通路、清除破坏或重新形成平衡</x:v>
      </x:c>
      <x:c r="T8" s="90" t="str">
        <x:v>任一核心十神失效，或不存在真实作用路径</x:v>
      </x:c>
      <x:c r="U8" s="68" t="str">
        <x:v>特殊格局、从化或月令格局另转M14/M15复审</x:v>
      </x:c>
      <x:c r="V8" s="84" t="str">
        <x:v>待定</x:v>
      </x:c>
      <x:c r="W8" s="84" t="str">
        <x:v>生成候选，不确认组合成立</x:v>
      </x:c>
      <x:c r="X8" s="82" t="str">
        <x:v>否</x:v>
      </x:c>
      <x:c r="Y8" s="68" t="str">
        <x:v>无</x:v>
      </x:c>
      <x:c r="Z8" s="84" t="str">
        <x:v>同现不等于成立</x:v>
      </x:c>
      <x:c r="AA8" s="84" t="str">
        <x:v>十神组合通用判定：当主体、客体、路径与力量匹配满足最低标准时，判“待定”；是否上升为格局转M14/M15。</x:v>
      </x:c>
      <x:c r="AB8" s="82" t="str">
        <x:v>较高</x:v>
      </x:c>
      <x:c r="AC8" s="82" t="str">
        <x:v>现代综合</x:v>
      </x:c>
      <x:c r="AD8" s="68" t="str">
        <x:v>十神同时出现不等于组合成立。M11须同时验证核心十神有效性、作用路径、力量匹配、日主承载、破坏因素与救应；组合成立也不等于格局成立。</x:v>
      </x:c>
      <x:c r="AE8" s="68" t="str">
        <x:v>两个或多个相关十神在原局同时出现；尚未验证生克制化路径与力量比例；作用路径稳定且无关键破坏，可按“十神组合通用判定”记录。</x:v>
      </x:c>
      <x:c r="AF8" s="90" t="str">
        <x:v>仅因“多个相关十神”同时出现，但核心十神无力、无作用路径或被关键因素破坏，不能判“十神组合通用判定”成立。</x:v>
      </x:c>
      <x:c r="AG8" s="68" t="str">
        <x:v>https://zh.wikisource.org/zh-hans/%E6%B7%B5%E6%B5%B7%E5%AD%90%E5%B9%B3 ; https://zh.wikisource.org/wiki/%E6%BB%B4%E5%A4%A9%E9%AB%93%E9%97%A1%E5%BE%AE</x:v>
      </x:c>
      <x:c r="AH8" s="82" t="str">
        <x:v>采用</x:v>
      </x:c>
      <x:c r="AI8" s="82" t="str">
        <x:v>初审</x:v>
      </x:c>
      <x:c r="AJ8" s="87" t="n">
        <x:v>46255</x:v>
      </x:c>
    </x:row>
    <x:row r="9">
      <x:c r="A9" s="72" t="str">
        <x:f>IF(OR(C9="",D9=""),"",B9&amp;"-"&amp;UPPER(C9)&amp;"-"&amp;TEXT(D9,"0000")&amp;"-"&amp;E9)</x:f>
        <x:v>M11-GEN-0003-V1.0</x:v>
      </x:c>
      <x:c r="B9" s="74" t="str">
        <x:v>M11</x:v>
      </x:c>
      <x:c r="C9" s="74" t="str">
        <x:v>GEN</x:v>
      </x:c>
      <x:c r="D9" s="215" t="n">
        <x:v>3</x:v>
      </x:c>
      <x:c r="E9" s="74" t="str">
        <x:v>V1.0</x:v>
      </x:c>
      <x:c r="F9" s="68" t="str">
        <x:v>作用路径是组合成立的必要条件</x:v>
      </x:c>
      <x:c r="G9" s="82" t="str">
        <x:v>结构层</x:v>
      </x:c>
      <x:c r="H9" s="82" t="str">
        <x:v>其他</x:v>
      </x:c>
      <x:c r="I9" s="68" t="str">
        <x:v>十神组合通用判定</x:v>
      </x:c>
      <x:c r="J9" s="68" t="str">
        <x:v>多个相关十神</x:v>
      </x:c>
      <x:c r="K9" s="68" t="str">
        <x:v>核心十神均有效</x:v>
      </x:c>
      <x:c r="L9" s="68" t="str">
        <x:v>两者之间存在直接或经一层桥梁可达的真实生克制化路径</x:v>
      </x:c>
      <x:c r="M9" s="68" t="str">
        <x:v>直接或可达的生克制化路径成立</x:v>
      </x:c>
      <x:c r="N9" s="68" t="str">
        <x:v>相关十神均以M10有效力量为准，且不存在决定性失衡</x:v>
      </x:c>
      <x:c r="O9" s="68" t="str">
        <x:v>结合M09日主承载判断</x:v>
      </x:c>
      <x:c r="P9" s="68" t="str">
        <x:v>核心十神有效＋作用路径成立</x:v>
      </x:c>
      <x:c r="Q9" s="68" t="str">
        <x:v>相关十神有根、有源、透达、清纯且关键通路稳定</x:v>
      </x:c>
      <x:c r="R9" s="90" t="str">
        <x:v>关键十神被合绊、被制、改性、失效或力量严重失衡</x:v>
      </x:c>
      <x:c r="S9" s="68" t="str">
        <x:v>存在第三十神恢复通路、清除破坏或重新形成平衡</x:v>
      </x:c>
      <x:c r="T9" s="90" t="str">
        <x:v>任一核心十神失效，或不存在真实作用路径</x:v>
      </x:c>
      <x:c r="U9" s="68" t="str">
        <x:v>特殊格局、从化或月令格局另转M14/M15复审</x:v>
      </x:c>
      <x:c r="V9" s="84" t="str">
        <x:v>基本成立</x:v>
      </x:c>
      <x:c r="W9" s="84" t="str">
        <x:v>形成局部生化、制化或承载结构</x:v>
      </x:c>
      <x:c r="X9" s="82" t="str">
        <x:v>否</x:v>
      </x:c>
      <x:c r="Y9" s="68" t="str">
        <x:v>对应格局候选转M14</x:v>
      </x:c>
      <x:c r="Z9" s="84" t="str">
        <x:v>组合路径必要性</x:v>
      </x:c>
      <x:c r="AA9" s="84" t="str">
        <x:v>十神组合通用判定：当主体、客体、路径与力量匹配满足最低标准时，判“基本成立”；是否上升为格局转M14/M15。</x:v>
      </x:c>
      <x:c r="AB9" s="82" t="str">
        <x:v>较高</x:v>
      </x:c>
      <x:c r="AC9" s="82" t="str">
        <x:v>现代综合</x:v>
      </x:c>
      <x:c r="AD9" s="68" t="str">
        <x:v>十神同时出现不等于组合成立。M11须同时验证核心十神有效性、作用路径、力量匹配、日主承载、破坏因素与救应；组合成立也不等于格局成立。</x:v>
      </x:c>
      <x:c r="AE9" s="68" t="str">
        <x:v>核心十神均有效；两者之间存在直接或经一层桥梁可达的真实生克制化路径；作用路径稳定且无关键破坏，可按“十神组合通用判定”记录。</x:v>
      </x:c>
      <x:c r="AF9" s="90" t="str">
        <x:v>仅因“多个相关十神”同时出现，但核心十神无力、无作用路径或被关键因素破坏，不能判“十神组合通用判定”成立。</x:v>
      </x:c>
      <x:c r="AG9" s="68" t="str">
        <x:v>https://zh.wikisource.org/zh-hans/%E6%B7%B5%E6%B5%B7%E5%AD%90%E5%B9%B3 ; https://zh.wikisource.org/wiki/%E6%BB%B4%E5%A4%A9%E9%AB%93%E9%97%A1%E5%BE%AE</x:v>
      </x:c>
      <x:c r="AH9" s="82" t="str">
        <x:v>采用</x:v>
      </x:c>
      <x:c r="AI9" s="82" t="str">
        <x:v>初审</x:v>
      </x:c>
      <x:c r="AJ9" s="87" t="n">
        <x:v>46255</x:v>
      </x:c>
    </x:row>
    <x:row r="10">
      <x:c r="A10" s="72" t="str">
        <x:f>IF(OR(C10="",D10=""),"",B10&amp;"-"&amp;UPPER(C10)&amp;"-"&amp;TEXT(D10,"0000")&amp;"-"&amp;E10)</x:f>
        <x:v>M11-GEN-0004-V1.0</x:v>
      </x:c>
      <x:c r="B10" s="74" t="str">
        <x:v>M11</x:v>
      </x:c>
      <x:c r="C10" s="74" t="str">
        <x:v>GEN</x:v>
      </x:c>
      <x:c r="D10" s="215" t="n">
        <x:v>4</x:v>
      </x:c>
      <x:c r="E10" s="74" t="str">
        <x:v>V1.0</x:v>
      </x:c>
      <x:c r="F10" s="68" t="str">
        <x:v>力量严重失衡时组合降级</x:v>
      </x:c>
      <x:c r="G10" s="82" t="str">
        <x:v>结构层</x:v>
      </x:c>
      <x:c r="H10" s="82" t="str">
        <x:v>其他</x:v>
      </x:c>
      <x:c r="I10" s="68" t="str">
        <x:v>十神组合通用判定</x:v>
      </x:c>
      <x:c r="J10" s="68" t="str">
        <x:v>多个相关十神</x:v>
      </x:c>
      <x:c r="K10" s="68" t="str">
        <x:v>主体明显强于客体或客体明显强于主体</x:v>
      </x:c>
      <x:c r="L10" s="68" t="str">
        <x:v>一方不足以承担预期生、制、化功能</x:v>
      </x:c>
      <x:c r="M10" s="68" t="str">
        <x:v>直接或可达的生克制化路径成立</x:v>
      </x:c>
      <x:c r="N10" s="68" t="str">
        <x:v>双方有效力量存在明显失衡</x:v>
      </x:c>
      <x:c r="O10" s="68" t="str">
        <x:v>结合M09日主承载判断</x:v>
      </x:c>
      <x:c r="P10" s="68" t="str">
        <x:v>仅可记录局部作用</x:v>
      </x:c>
      <x:c r="Q10" s="68" t="str">
        <x:v>相关十神有根、有源、透达、清纯且关键通路稳定</x:v>
      </x:c>
      <x:c r="R10" s="90" t="str">
        <x:v>关键十神被合绊、被制、改性、失效或力量严重失衡</x:v>
      </x:c>
      <x:c r="S10" s="68" t="str">
        <x:v>存在第三十神恢复通路、清除破坏或重新形成平衡</x:v>
      </x:c>
      <x:c r="T10" s="90" t="str">
        <x:v>任一核心十神失效，或不存在真实作用路径</x:v>
      </x:c>
      <x:c r="U10" s="68" t="str">
        <x:v>特殊格局、从化或月令格局另转M14/M15复审</x:v>
      </x:c>
      <x:c r="V10" s="84" t="str">
        <x:v>弱成立</x:v>
      </x:c>
      <x:c r="W10" s="84" t="str">
        <x:v>形成局部生化、制化或承载结构</x:v>
      </x:c>
      <x:c r="X10" s="82" t="str">
        <x:v>否</x:v>
      </x:c>
      <x:c r="Y10" s="68" t="str">
        <x:v>对应格局候选转M14</x:v>
      </x:c>
      <x:c r="Z10" s="84" t="str">
        <x:v>组合力量失衡</x:v>
      </x:c>
      <x:c r="AA10" s="84" t="str">
        <x:v>十神组合通用判定：当主体、客体、路径与力量匹配满足最低标准时，判“弱成立”；是否上升为格局转M14/M15。</x:v>
      </x:c>
      <x:c r="AB10" s="82" t="str">
        <x:v>较高</x:v>
      </x:c>
      <x:c r="AC10" s="82" t="str">
        <x:v>现代综合</x:v>
      </x:c>
      <x:c r="AD10" s="68" t="str">
        <x:v>十神同时出现不等于组合成立。M11须同时验证核心十神有效性、作用路径、力量匹配、日主承载、破坏因素与救应；组合成立也不等于格局成立。</x:v>
      </x:c>
      <x:c r="AE10" s="68" t="str">
        <x:v>主体明显强于客体或客体明显强于主体；一方不足以承担预期生、制、化功能；作用路径稳定且无关键破坏，可按“十神组合通用判定”记录。</x:v>
      </x:c>
      <x:c r="AF10" s="90" t="str">
        <x:v>仅因“多个相关十神”同时出现，但核心十神无力、无作用路径或被关键因素破坏，不能判“十神组合通用判定”成立。</x:v>
      </x:c>
      <x:c r="AG10" s="68" t="str">
        <x:v>https://zh.wikisource.org/zh-hans/%E6%B7%B5%E6%B5%B7%E5%AD%90%E5%B9%B3 ; https://zh.wikisource.org/wiki/%E6%BB%B4%E5%A4%A9%E9%AB%93%E9%97%A1%E5%BE%AE</x:v>
      </x:c>
      <x:c r="AH10" s="82" t="str">
        <x:v>采用</x:v>
      </x:c>
      <x:c r="AI10" s="82" t="str">
        <x:v>初审</x:v>
      </x:c>
      <x:c r="AJ10" s="87" t="n">
        <x:v>46255</x:v>
      </x:c>
    </x:row>
    <x:row r="11">
      <x:c r="A11" s="72" t="str">
        <x:f>IF(OR(C11="",D11=""),"",B11&amp;"-"&amp;UPPER(C11)&amp;"-"&amp;TEXT(D11,"0000")&amp;"-"&amp;E11)</x:f>
        <x:v>M11-GEN-0005-V1.0</x:v>
      </x:c>
      <x:c r="B11" s="74" t="str">
        <x:v>M11</x:v>
      </x:c>
      <x:c r="C11" s="74" t="str">
        <x:v>GEN</x:v>
      </x:c>
      <x:c r="D11" s="215" t="n">
        <x:v>5</x:v>
      </x:c>
      <x:c r="E11" s="74" t="str">
        <x:v>V1.0</x:v>
      </x:c>
      <x:c r="F11" s="68" t="str">
        <x:v>组合必须检查日主承载</x:v>
      </x:c>
      <x:c r="G11" s="82" t="str">
        <x:v>结构层</x:v>
      </x:c>
      <x:c r="H11" s="82" t="str">
        <x:v>其他</x:v>
      </x:c>
      <x:c r="I11" s="68" t="str">
        <x:v>十神组合通用判定</x:v>
      </x:c>
      <x:c r="J11" s="68" t="str">
        <x:v>多个相关十神</x:v>
      </x:c>
      <x:c r="K11" s="68" t="str">
        <x:v>组合本身路径成立</x:v>
      </x:c>
      <x:c r="L11" s="68" t="str">
        <x:v>组合的泄、耗、制、生最终会反馈日主</x:v>
      </x:c>
      <x:c r="M11" s="68" t="str">
        <x:v>直接或可达的生克制化路径成立</x:v>
      </x:c>
      <x:c r="N11" s="68" t="str">
        <x:v>相关十神均以M10有效力量为准，且不存在决定性失衡</x:v>
      </x:c>
      <x:c r="O11" s="68" t="str">
        <x:v>若日主无法承载组合运行成本，组合功能需降级</x:v>
      </x:c>
      <x:c r="P11" s="68" t="str">
        <x:v>主体、客体、作用路径与力量匹配均达到最低要求</x:v>
      </x:c>
      <x:c r="Q11" s="68" t="str">
        <x:v>相关十神有根、有源、透达、清纯且关键通路稳定</x:v>
      </x:c>
      <x:c r="R11" s="90" t="str">
        <x:v>关键十神被合绊、被制、改性、失效或力量严重失衡</x:v>
      </x:c>
      <x:c r="S11" s="68" t="str">
        <x:v>存在第三十神恢复通路、清除破坏或重新形成平衡</x:v>
      </x:c>
      <x:c r="T11" s="90" t="str">
        <x:v>任一核心十神失效，或不存在真实作用路径</x:v>
      </x:c>
      <x:c r="U11" s="68" t="str">
        <x:v>特殊格局、从化或月令格局另转M14/M15复审</x:v>
      </x:c>
      <x:c r="V11" s="84" t="str">
        <x:v>基本成立</x:v>
      </x:c>
      <x:c r="W11" s="84" t="str">
        <x:v>形成局部生化、制化或承载结构</x:v>
      </x:c>
      <x:c r="X11" s="82" t="str">
        <x:v>否</x:v>
      </x:c>
      <x:c r="Y11" s="68" t="str">
        <x:v>对应格局候选转M14</x:v>
      </x:c>
      <x:c r="Z11" s="84" t="str">
        <x:v>组合承载约束</x:v>
      </x:c>
      <x:c r="AA11" s="84" t="str">
        <x:v>十神组合通用判定：当主体、客体、路径与力量匹配满足最低标准时，判“基本成立”；是否上升为格局转M14/M15。</x:v>
      </x:c>
      <x:c r="AB11" s="82" t="str">
        <x:v>较高</x:v>
      </x:c>
      <x:c r="AC11" s="82" t="str">
        <x:v>现代综合</x:v>
      </x:c>
      <x:c r="AD11" s="68" t="str">
        <x:v>十神同时出现不等于组合成立。M11须同时验证核心十神有效性、作用路径、力量匹配、日主承载、破坏因素与救应；组合成立也不等于格局成立。</x:v>
      </x:c>
      <x:c r="AE11" s="68" t="str">
        <x:v>组合本身路径成立；组合的泄、耗、制、生最终会反馈日主；作用路径稳定且无关键破坏，可按“十神组合通用判定”记录。</x:v>
      </x:c>
      <x:c r="AF11" s="90" t="str">
        <x:v>仅因“多个相关十神”同时出现，但核心十神无力、无作用路径或被关键因素破坏，不能判“十神组合通用判定”成立。</x:v>
      </x:c>
      <x:c r="AG11" s="68" t="str">
        <x:v>https://zh.wikisource.org/zh-hans/%E6%B7%B5%E6%B5%B7%E5%AD%90%E5%B9%B3 ; https://zh.wikisource.org/wiki/%E6%BB%B4%E5%A4%A9%E9%AB%93%E9%97%A1%E5%BE%AE</x:v>
      </x:c>
      <x:c r="AH11" s="82" t="str">
        <x:v>采用</x:v>
      </x:c>
      <x:c r="AI11" s="82" t="str">
        <x:v>初审</x:v>
      </x:c>
      <x:c r="AJ11" s="87" t="n">
        <x:v>46255</x:v>
      </x:c>
    </x:row>
    <x:row r="12">
      <x:c r="A12" s="72" t="str">
        <x:f>IF(OR(C12="",D12=""),"",B12&amp;"-"&amp;UPPER(C12)&amp;"-"&amp;TEXT(D12,"0000")&amp;"-"&amp;E12)</x:f>
        <x:v>M11-GEN-0006-V1.0</x:v>
      </x:c>
      <x:c r="B12" s="74" t="str">
        <x:v>M11</x:v>
      </x:c>
      <x:c r="C12" s="74" t="str">
        <x:v>GEN</x:v>
      </x:c>
      <x:c r="D12" s="215" t="n">
        <x:v>6</x:v>
      </x:c>
      <x:c r="E12" s="74" t="str">
        <x:v>V1.0</x:v>
      </x:c>
      <x:c r="F12" s="68" t="str">
        <x:v>一神多职不得重复全额调用</x:v>
      </x:c>
      <x:c r="G12" s="82" t="str">
        <x:v>结构层</x:v>
      </x:c>
      <x:c r="H12" s="82" t="str">
        <x:v>其他</x:v>
      </x:c>
      <x:c r="I12" s="68" t="str">
        <x:v>十神组合通用判定</x:v>
      </x:c>
      <x:c r="J12" s="68" t="str">
        <x:v>多个相关十神</x:v>
      </x:c>
      <x:c r="K12" s="68" t="str">
        <x:v>同一十神节点同时参与两个以上组合</x:v>
      </x:c>
      <x:c r="L12" s="68" t="str">
        <x:v>其有效力量存在容量上限</x:v>
      </x:c>
      <x:c r="M12" s="68" t="str">
        <x:v>直接或可达的生克制化路径成立</x:v>
      </x:c>
      <x:c r="N12" s="68" t="str">
        <x:v>相关十神均以M10有效力量为准，且不存在决定性失衡</x:v>
      </x:c>
      <x:c r="O12" s="68" t="str">
        <x:v>结合M09日主承载判断</x:v>
      </x:c>
      <x:c r="P12" s="68" t="str">
        <x:v>各组合共享同一节点时必须做容量分配</x:v>
      </x:c>
      <x:c r="Q12" s="68" t="str">
        <x:v>相关十神有根、有源、透达、清纯且关键通路稳定</x:v>
      </x:c>
      <x:c r="R12" s="90" t="str">
        <x:v>关键十神被合绊、被制、改性、失效或力量严重失衡</x:v>
      </x:c>
      <x:c r="S12" s="68" t="str">
        <x:v>存在第三十神恢复通路、清除破坏或重新形成平衡</x:v>
      </x:c>
      <x:c r="T12" s="90" t="str">
        <x:v>任一核心十神失效，或不存在真实作用路径</x:v>
      </x:c>
      <x:c r="U12" s="68" t="str">
        <x:v>特殊格局、从化或月令格局另转M14/M15复审</x:v>
      </x:c>
      <x:c r="V12" s="84" t="str">
        <x:v>待定</x:v>
      </x:c>
      <x:c r="W12" s="84" t="str">
        <x:v>防止同一力量在多组合中重复计量</x:v>
      </x:c>
      <x:c r="X12" s="82" t="str">
        <x:v>否</x:v>
      </x:c>
      <x:c r="Y12" s="68" t="str">
        <x:v>对应格局候选转M14</x:v>
      </x:c>
      <x:c r="Z12" s="84" t="str">
        <x:v>组合容量去重</x:v>
      </x:c>
      <x:c r="AA12" s="84" t="str">
        <x:v>十神组合通用判定：当主体、客体、路径与力量匹配满足最低标准时，判“待定”；是否上升为格局转M14/M15。</x:v>
      </x:c>
      <x:c r="AB12" s="82" t="str">
        <x:v>较高</x:v>
      </x:c>
      <x:c r="AC12" s="82" t="str">
        <x:v>现代综合</x:v>
      </x:c>
      <x:c r="AD12" s="68" t="str">
        <x:v>十神同时出现不等于组合成立。M11须同时验证核心十神有效性、作用路径、力量匹配、日主承载、破坏因素与救应；组合成立也不等于格局成立。</x:v>
      </x:c>
      <x:c r="AE12" s="68" t="str">
        <x:v>同一十神节点同时参与两个以上组合；其有效力量存在容量上限；作用路径稳定且无关键破坏，可按“十神组合通用判定”记录。</x:v>
      </x:c>
      <x:c r="AF12" s="90" t="str">
        <x:v>仅因“多个相关十神”同时出现，但核心十神无力、无作用路径或被关键因素破坏，不能判“十神组合通用判定”成立。</x:v>
      </x:c>
      <x:c r="AG12" s="68" t="str">
        <x:v>https://zh.wikisource.org/zh-hans/%E6%B7%B5%E6%B5%B7%E5%AD%90%E5%B9%B3 ; https://zh.wikisource.org/wiki/%E6%BB%B4%E5%A4%A9%E9%AB%93%E9%97%A1%E5%BE%AE</x:v>
      </x:c>
      <x:c r="AH12" s="82" t="str">
        <x:v>采用</x:v>
      </x:c>
      <x:c r="AI12" s="82" t="str">
        <x:v>初审</x:v>
      </x:c>
      <x:c r="AJ12" s="87" t="n">
        <x:v>46255</x:v>
      </x:c>
    </x:row>
    <x:row r="13">
      <x:c r="A13" s="72" t="str">
        <x:f>IF(OR(C13="",D13=""),"",B13&amp;"-"&amp;UPPER(C13)&amp;"-"&amp;TEXT(D13,"0000")&amp;"-"&amp;E13)</x:f>
        <x:v>M11-GEN-0007-V1.0</x:v>
      </x:c>
      <x:c r="B13" s="74" t="str">
        <x:v>M11</x:v>
      </x:c>
      <x:c r="C13" s="74" t="str">
        <x:v>GEN</x:v>
      </x:c>
      <x:c r="D13" s="215" t="n">
        <x:v>7</x:v>
      </x:c>
      <x:c r="E13" s="74" t="str">
        <x:v>V1.0</x:v>
      </x:c>
      <x:c r="F13" s="68" t="str">
        <x:v>强破坏因素可否决表面组合</x:v>
      </x:c>
      <x:c r="G13" s="82" t="str">
        <x:v>结构层</x:v>
      </x:c>
      <x:c r="H13" s="82" t="str">
        <x:v>其他</x:v>
      </x:c>
      <x:c r="I13" s="68" t="str">
        <x:v>十神组合通用判定</x:v>
      </x:c>
      <x:c r="J13" s="68" t="str">
        <x:v>多个相关十神</x:v>
      </x:c>
      <x:c r="K13" s="68" t="str">
        <x:v>组合表面条件齐全</x:v>
      </x:c>
      <x:c r="L13" s="68" t="str">
        <x:v>关键主体或客体被M06/M08确认合化、合住、强制或失效</x:v>
      </x:c>
      <x:c r="M13" s="68" t="str">
        <x:v>直接或可达的生克制化路径成立</x:v>
      </x:c>
      <x:c r="N13" s="68" t="str">
        <x:v>相关十神均以M10有效力量为准，且不存在决定性失衡</x:v>
      </x:c>
      <x:c r="O13" s="68" t="str">
        <x:v>结合M09日主承载判断</x:v>
      </x:c>
      <x:c r="P13" s="68" t="str">
        <x:v>主体、客体、作用路径与力量匹配均达到最低要求</x:v>
      </x:c>
      <x:c r="Q13" s="68" t="str">
        <x:v>相关十神有根、有源、透达、清纯且关键通路稳定</x:v>
      </x:c>
      <x:c r="R13" s="90" t="str">
        <x:v>关键十神被合绊、被制、改性、失效或力量严重失衡</x:v>
      </x:c>
      <x:c r="S13" s="68" t="str">
        <x:v>存在第三十神恢复通路、清除破坏或重新形成平衡</x:v>
      </x:c>
      <x:c r="T13" s="90" t="str">
        <x:v>关键核心十神失效或作用路径被完全切断</x:v>
      </x:c>
      <x:c r="U13" s="68" t="str">
        <x:v>特殊格局、从化或月令格局另转M14/M15复审</x:v>
      </x:c>
      <x:c r="V13" s="84" t="str">
        <x:v>不成立</x:v>
      </x:c>
      <x:c r="W13" s="84" t="str">
        <x:v>否决组合成立</x:v>
      </x:c>
      <x:c r="X13" s="82" t="str">
        <x:v>否</x:v>
      </x:c>
      <x:c r="Y13" s="68" t="str">
        <x:v>对应格局候选转M14</x:v>
      </x:c>
      <x:c r="Z13" s="84" t="str">
        <x:v>组合破坏否决</x:v>
      </x:c>
      <x:c r="AA13" s="84" t="str">
        <x:v>十神组合通用判定：当主体、客体、路径与力量匹配满足最低标准时，判“不成立”；是否上升为格局转M14/M15。</x:v>
      </x:c>
      <x:c r="AB13" s="82" t="str">
        <x:v>较高</x:v>
      </x:c>
      <x:c r="AC13" s="82" t="str">
        <x:v>现代综合</x:v>
      </x:c>
      <x:c r="AD13" s="68" t="str">
        <x:v>十神同时出现不等于组合成立。M11须同时验证核心十神有效性、作用路径、力量匹配、日主承载、破坏因素与救应；组合成立也不等于格局成立。</x:v>
      </x:c>
      <x:c r="AE13" s="68" t="str">
        <x:v>组合表面条件齐全；关键主体或客体被M06/M08确认合化、合住、强制或失效；作用路径稳定且无关键破坏，可按“十神组合通用判定”记录。</x:v>
      </x:c>
      <x:c r="AF13" s="90" t="str">
        <x:v>仅因“多个相关十神”同时出现，但核心十神无力、无作用路径或被关键因素破坏，不能判“十神组合通用判定”成立。</x:v>
      </x:c>
      <x:c r="AG13" s="68" t="str">
        <x:v>https://zh.wikisource.org/zh-hans/%E6%B7%B5%E6%B5%B7%E5%AD%90%E5%B9%B3 ; https://zh.wikisource.org/wiki/%E6%BB%B4%E5%A4%A9%E9%AB%93%E9%97%A1%E5%BE%AE</x:v>
      </x:c>
      <x:c r="AH13" s="82" t="str">
        <x:v>采用</x:v>
      </x:c>
      <x:c r="AI13" s="82" t="str">
        <x:v>初审</x:v>
      </x:c>
      <x:c r="AJ13" s="87" t="n">
        <x:v>46255</x:v>
      </x:c>
    </x:row>
    <x:row r="14">
      <x:c r="A14" s="72" t="str">
        <x:f>IF(OR(C14="",D14=""),"",B14&amp;"-"&amp;UPPER(C14)&amp;"-"&amp;TEXT(D14,"0000")&amp;"-"&amp;E14)</x:f>
        <x:v>M11-GEN-0008-V1.0</x:v>
      </x:c>
      <x:c r="B14" s="74" t="str">
        <x:v>M11</x:v>
      </x:c>
      <x:c r="C14" s="74" t="str">
        <x:v>GEN</x:v>
      </x:c>
      <x:c r="D14" s="215" t="n">
        <x:v>8</x:v>
      </x:c>
      <x:c r="E14" s="74" t="str">
        <x:v>V1.0</x:v>
      </x:c>
      <x:c r="F14" s="68" t="str">
        <x:v>救应只在恢复关键功能后有效</x:v>
      </x:c>
      <x:c r="G14" s="82" t="str">
        <x:v>结构层</x:v>
      </x:c>
      <x:c r="H14" s="82" t="str">
        <x:v>其他</x:v>
      </x:c>
      <x:c r="I14" s="68" t="str">
        <x:v>十神组合通用判定</x:v>
      </x:c>
      <x:c r="J14" s="68" t="str">
        <x:v>多个相关十神</x:v>
      </x:c>
      <x:c r="K14" s="68" t="str">
        <x:v>组合原有关键环节受损</x:v>
      </x:c>
      <x:c r="L14" s="68" t="str">
        <x:v>第三十神能够真实制去破坏、恢复主体或重建通路</x:v>
      </x:c>
      <x:c r="M14" s="68" t="str">
        <x:v>直接或可达的生克制化路径成立</x:v>
      </x:c>
      <x:c r="N14" s="68" t="str">
        <x:v>相关十神均以M10有效力量为准，且不存在决定性失衡</x:v>
      </x:c>
      <x:c r="O14" s="68" t="str">
        <x:v>结合M09日主承载判断</x:v>
      </x:c>
      <x:c r="P14" s="68" t="str">
        <x:v>主体、客体、作用路径与力量匹配均达到最低要求</x:v>
      </x:c>
      <x:c r="Q14" s="68" t="str">
        <x:v>相关十神有根、有源、透达、清纯且关键通路稳定</x:v>
      </x:c>
      <x:c r="R14" s="90" t="str">
        <x:v>关键十神被合绊、被制、改性、失效或力量严重失衡</x:v>
      </x:c>
      <x:c r="S14" s="68" t="str">
        <x:v>救应必须自身有效且作用对象准确</x:v>
      </x:c>
      <x:c r="T14" s="90" t="str">
        <x:v>任一核心十神失效，或不存在真实作用路径</x:v>
      </x:c>
      <x:c r="U14" s="68" t="str">
        <x:v>特殊格局、从化或月令格局另转M14/M15复审</x:v>
      </x:c>
      <x:c r="V14" s="84" t="str">
        <x:v>基本成立</x:v>
      </x:c>
      <x:c r="W14" s="84" t="str">
        <x:v>形成局部生化、制化或承载结构</x:v>
      </x:c>
      <x:c r="X14" s="82" t="str">
        <x:v>条件性</x:v>
      </x:c>
      <x:c r="Y14" s="68" t="str">
        <x:v>对应格局候选转M14</x:v>
      </x:c>
      <x:c r="Z14" s="84" t="str">
        <x:v>组合救应有效性</x:v>
      </x:c>
      <x:c r="AA14" s="84" t="str">
        <x:v>十神组合通用判定：当主体、客体、路径与力量匹配满足最低标准时，判“基本成立”；是否上升为格局转M14/M15。</x:v>
      </x:c>
      <x:c r="AB14" s="82" t="str">
        <x:v>较高</x:v>
      </x:c>
      <x:c r="AC14" s="82" t="str">
        <x:v>现代综合</x:v>
      </x:c>
      <x:c r="AD14" s="68" t="str">
        <x:v>十神同时出现不等于组合成立。M11须同时验证核心十神有效性、作用路径、力量匹配、日主承载、破坏因素与救应；组合成立也不等于格局成立。</x:v>
      </x:c>
      <x:c r="AE14" s="68" t="str">
        <x:v>组合原有关键环节受损；第三十神能够真实制去破坏、恢复主体或重建通路；作用路径稳定且无关键破坏，可按“十神组合通用判定”记录。</x:v>
      </x:c>
      <x:c r="AF14" s="90" t="str">
        <x:v>仅因“多个相关十神”同时出现，但核心十神无力、无作用路径或被关键因素破坏，不能判“十神组合通用判定”成立。</x:v>
      </x:c>
      <x:c r="AG14" s="68" t="str">
        <x:v>https://zh.wikisource.org/zh-hans/%E6%B7%B5%E6%B5%B7%E5%AD%90%E5%B9%B3 ; https://zh.wikisource.org/wiki/%E6%BB%B4%E5%A4%A9%E9%AB%93%E9%97%A1%E5%BE%AE</x:v>
      </x:c>
      <x:c r="AH14" s="82" t="str">
        <x:v>采用</x:v>
      </x:c>
      <x:c r="AI14" s="82" t="str">
        <x:v>初审</x:v>
      </x:c>
      <x:c r="AJ14" s="87" t="n">
        <x:v>46255</x:v>
      </x:c>
    </x:row>
    <x:row r="15">
      <x:c r="A15" s="72" t="str">
        <x:f>IF(OR(C15="",D15=""),"",B15&amp;"-"&amp;UPPER(C15)&amp;"-"&amp;TEXT(D15,"0000")&amp;"-"&amp;E15)</x:f>
        <x:v>M11-GEN-0009-V1.0</x:v>
      </x:c>
      <x:c r="B15" s="74" t="str">
        <x:v>M11</x:v>
      </x:c>
      <x:c r="C15" s="74" t="str">
        <x:v>GEN</x:v>
      </x:c>
      <x:c r="D15" s="215" t="n">
        <x:v>9</x:v>
      </x:c>
      <x:c r="E15" s="74" t="str">
        <x:v>V1.0</x:v>
      </x:c>
      <x:c r="F15" s="68" t="str">
        <x:v>组合成立与格局成立必须分层</x:v>
      </x:c>
      <x:c r="G15" s="82" t="str">
        <x:v>结构层</x:v>
      </x:c>
      <x:c r="H15" s="82" t="str">
        <x:v>其他</x:v>
      </x:c>
      <x:c r="I15" s="68" t="str">
        <x:v>十神组合通用判定</x:v>
      </x:c>
      <x:c r="J15" s="68" t="str">
        <x:v>多个相关十神</x:v>
      </x:c>
      <x:c r="K15" s="68" t="str">
        <x:v>M11已确认局部组合成立</x:v>
      </x:c>
      <x:c r="L15" s="68" t="str">
        <x:v>尚未验证月令、格神、全局主导性和破格救应</x:v>
      </x:c>
      <x:c r="M15" s="68" t="str">
        <x:v>直接或可达的生克制化路径成立</x:v>
      </x:c>
      <x:c r="N15" s="68" t="str">
        <x:v>相关十神均以M10有效力量为准，且不存在决定性失衡</x:v>
      </x:c>
      <x:c r="O15" s="68" t="str">
        <x:v>结合M09日主承载判断</x:v>
      </x:c>
      <x:c r="P15" s="68" t="str">
        <x:v>M11只输出组合成立等级</x:v>
      </x:c>
      <x:c r="Q15" s="68" t="str">
        <x:v>相关十神有根、有源、透达、清纯且关键通路稳定</x:v>
      </x:c>
      <x:c r="R15" s="90" t="str">
        <x:v>关键十神被合绊、被制、改性、失效或力量严重失衡</x:v>
      </x:c>
      <x:c r="S15" s="68" t="str">
        <x:v>存在第三十神恢复通路、清除破坏或重新形成平衡</x:v>
      </x:c>
      <x:c r="T15" s="90" t="str">
        <x:v>任一核心十神失效，或不存在真实作用路径</x:v>
      </x:c>
      <x:c r="U15" s="68" t="str">
        <x:v>特殊格局、从化或月令格局另转M14/M15复审</x:v>
      </x:c>
      <x:c r="V15" s="84" t="str">
        <x:v>明显成立</x:v>
      </x:c>
      <x:c r="W15" s="84" t="str">
        <x:v>提供M14候选，不直接定格</x:v>
      </x:c>
      <x:c r="X15" s="82" t="str">
        <x:v>条件性</x:v>
      </x:c>
      <x:c r="Y15" s="68" t="str">
        <x:v>对应格局候选转M14</x:v>
      </x:c>
      <x:c r="Z15" s="84" t="str">
        <x:v>组合格局分离</x:v>
      </x:c>
      <x:c r="AA15" s="84" t="str">
        <x:v>十神组合通用判定：当主体、客体、路径与力量匹配满足最低标准时，判“明显成立”；是否上升为格局转M14/M15。</x:v>
      </x:c>
      <x:c r="AB15" s="82" t="str">
        <x:v>较高</x:v>
      </x:c>
      <x:c r="AC15" s="82" t="str">
        <x:v>现代综合</x:v>
      </x:c>
      <x:c r="AD15" s="68" t="str">
        <x:v>十神同时出现不等于组合成立。M11须同时验证核心十神有效性、作用路径、力量匹配、日主承载、破坏因素与救应；组合成立也不等于格局成立。</x:v>
      </x:c>
      <x:c r="AE15" s="68" t="str">
        <x:v>M11已确认局部组合成立；尚未验证月令、格神、全局主导性和破格救应；作用路径稳定且无关键破坏，可按“十神组合通用判定”记录。</x:v>
      </x:c>
      <x:c r="AF15" s="90" t="str">
        <x:v>仅因“多个相关十神”同时出现，但核心十神无力、无作用路径或被关键因素破坏，不能判“十神组合通用判定”成立。</x:v>
      </x:c>
      <x:c r="AG15" s="68" t="str">
        <x:v>https://zh.wikisource.org/zh-hans/%E6%B7%B5%E6%B5%B7%E5%AD%90%E5%B9%B3 ; https://zh.wikisource.org/wiki/%E6%BB%B4%E5%A4%A9%E9%AB%93%E9%97%A1%E5%BE%AE</x:v>
      </x:c>
      <x:c r="AH15" s="82" t="str">
        <x:v>采用</x:v>
      </x:c>
      <x:c r="AI15" s="82" t="str">
        <x:v>初审</x:v>
      </x:c>
      <x:c r="AJ15" s="87" t="n">
        <x:v>46255</x:v>
      </x:c>
    </x:row>
    <x:row r="16">
      <x:c r="A16" s="72" t="str">
        <x:f>IF(OR(C16="",D16=""),"",B16&amp;"-"&amp;UPPER(C16)&amp;"-"&amp;TEXT(D16,"0000")&amp;"-"&amp;E16)</x:f>
        <x:v>M11-GEN-0010-V1.0</x:v>
      </x:c>
      <x:c r="B16" s="74" t="str">
        <x:v>M11</x:v>
      </x:c>
      <x:c r="C16" s="74" t="str">
        <x:v>GEN</x:v>
      </x:c>
      <x:c r="D16" s="215" t="n">
        <x:v>10</x:v>
      </x:c>
      <x:c r="E16" s="74" t="str">
        <x:v>V1.0</x:v>
      </x:c>
      <x:c r="F16" s="68" t="str">
        <x:v>组合输出必须同时保留破坏与反证</x:v>
      </x:c>
      <x:c r="G16" s="82" t="str">
        <x:v>结构层</x:v>
      </x:c>
      <x:c r="H16" s="82" t="str">
        <x:v>其他</x:v>
      </x:c>
      <x:c r="I16" s="68" t="str">
        <x:v>十神组合通用判定</x:v>
      </x:c>
      <x:c r="J16" s="68" t="str">
        <x:v>多个相关十神</x:v>
      </x:c>
      <x:c r="K16" s="68" t="str">
        <x:v>任一组合被判为弱成立以上</x:v>
      </x:c>
      <x:c r="L16" s="68" t="str">
        <x:v>必须记录主要成立证据、破坏因素和救应因素</x:v>
      </x:c>
      <x:c r="M16" s="68" t="str">
        <x:v>直接或可达的生克制化路径成立</x:v>
      </x:c>
      <x:c r="N16" s="68" t="str">
        <x:v>相关十神均以M10有效力量为准，且不存在决定性失衡</x:v>
      </x:c>
      <x:c r="O16" s="68" t="str">
        <x:v>结合M09日主承载判断</x:v>
      </x:c>
      <x:c r="P16" s="68" t="str">
        <x:v>成立证据与反证均有记录</x:v>
      </x:c>
      <x:c r="Q16" s="68" t="str">
        <x:v>相关十神有根、有源、透达、清纯且关键通路稳定</x:v>
      </x:c>
      <x:c r="R16" s="90" t="str">
        <x:v>关键十神被合绊、被制、改性、失效或力量严重失衡</x:v>
      </x:c>
      <x:c r="S16" s="68" t="str">
        <x:v>存在第三十神恢复通路、清除破坏或重新形成平衡</x:v>
      </x:c>
      <x:c r="T16" s="90" t="str">
        <x:v>任一核心十神失效，或不存在真实作用路径</x:v>
      </x:c>
      <x:c r="U16" s="68" t="str">
        <x:v>特殊格局、从化或月令格局另转M14/M15复审</x:v>
      </x:c>
      <x:c r="V16" s="84" t="str">
        <x:v>待定</x:v>
      </x:c>
      <x:c r="W16" s="84" t="str">
        <x:v>形成可追溯组合结论</x:v>
      </x:c>
      <x:c r="X16" s="82" t="str">
        <x:v>待定</x:v>
      </x:c>
      <x:c r="Y16" s="68" t="str">
        <x:v>对应格局候选转M14</x:v>
      </x:c>
      <x:c r="Z16" s="84" t="str">
        <x:v>组合标准输出</x:v>
      </x:c>
      <x:c r="AA16" s="84" t="str">
        <x:v>每个组合至少输出：核心十神、主体/客体、路径、力量匹配、日主承载、破坏、救应、成立等级、实际功能、是否具备格局候选资格。</x:v>
      </x:c>
      <x:c r="AB16" s="82" t="str">
        <x:v>较高</x:v>
      </x:c>
      <x:c r="AC16" s="82" t="str">
        <x:v>现代综合</x:v>
      </x:c>
      <x:c r="AD16" s="68" t="str">
        <x:v>十神同时出现不等于组合成立。M11须同时验证核心十神有效性、作用路径、力量匹配、日主承载、破坏因素与救应；组合成立也不等于格局成立。</x:v>
      </x:c>
      <x:c r="AE16" s="68" t="str">
        <x:v>任一组合被判为弱成立以上；必须记录主要成立证据、破坏因素和救应因素；作用路径稳定且无关键破坏，可按“十神组合通用判定”记录。</x:v>
      </x:c>
      <x:c r="AF16" s="90" t="str">
        <x:v>仅因“多个相关十神”同时出现，但核心十神无力、无作用路径或被关键因素破坏，不能判“十神组合通用判定”成立。</x:v>
      </x:c>
      <x:c r="AG16" s="68" t="str">
        <x:v>https://zh.wikisource.org/zh-hans/%E6%B7%B5%E6%B5%B7%E5%AD%90%E5%B9%B3 ; https://zh.wikisource.org/wiki/%E6%BB%B4%E5%A4%A9%E9%AB%93%E9%97%A1%E5%BE%AE</x:v>
      </x:c>
      <x:c r="AH16" s="82" t="str">
        <x:v>采用</x:v>
      </x:c>
      <x:c r="AI16" s="82" t="str">
        <x:v>初审</x:v>
      </x:c>
      <x:c r="AJ16" s="87" t="n">
        <x:v>46255</x:v>
      </x:c>
    </x:row>
    <x:row r="17">
      <x:c r="A17" s="72" t="str">
        <x:f>IF(OR(C17="",D17=""),"",B17&amp;"-"&amp;UPPER(C17)&amp;"-"&amp;TEXT(D17,"0000")&amp;"-"&amp;E17)</x:f>
        <x:v>M11-SHIZHI-0011-V1.0</x:v>
      </x:c>
      <x:c r="B17" s="74" t="str">
        <x:v>M11</x:v>
      </x:c>
      <x:c r="C17" s="74" t="str">
        <x:v>SHIZHI</x:v>
      </x:c>
      <x:c r="D17" s="215" t="n">
        <x:v>11</x:v>
      </x:c>
      <x:c r="E17" s="74" t="str">
        <x:v>V1.0</x:v>
      </x:c>
      <x:c r="F17" s="68" t="str">
        <x:v>七杀必须真实有力并对日主形成压力</x:v>
      </x:c>
      <x:c r="G17" s="82" t="str">
        <x:v>结构层</x:v>
      </x:c>
      <x:c r="H17" s="82" t="str">
        <x:v>制化型</x:v>
      </x:c>
      <x:c r="I17" s="68" t="str">
        <x:v>食神制杀</x:v>
      </x:c>
      <x:c r="J17" s="68" t="str">
        <x:v>食神、七杀</x:v>
      </x:c>
      <x:c r="K17" s="68" t="str">
        <x:v>七杀有效力量达到中和偏旺以上，或虽不旺但形成直接制身压力</x:v>
      </x:c>
      <x:c r="L17" s="68" t="str">
        <x:v>食神有效且具有克制七杀的能力</x:v>
      </x:c>
      <x:c r="M17" s="68" t="str">
        <x:v>食神与七杀之间存在直接可达的克制路径</x:v>
      </x:c>
      <x:c r="N17" s="68" t="str">
        <x:v>相关十神均以M10有效力量为准，且不存在决定性失衡</x:v>
      </x:c>
      <x:c r="O17" s="68" t="str">
        <x:v>日主至少能承受食神泄身，且有必要制杀</x:v>
      </x:c>
      <x:c r="P17" s="68" t="str">
        <x:v>杀有力、食有力、食能制杀、无强枭夺食</x:v>
      </x:c>
      <x:c r="Q17" s="68" t="str">
        <x:v>相关十神有根、有源、透达、清纯且关键通路稳定</x:v>
      </x:c>
      <x:c r="R17" s="90" t="str">
        <x:v>关键十神被合绊、被制、改性、失效或力量严重失衡</x:v>
      </x:c>
      <x:c r="S17" s="68" t="str">
        <x:v>存在第三十神恢复通路、清除破坏或重新形成平衡</x:v>
      </x:c>
      <x:c r="T17" s="90" t="str">
        <x:v>任一核心十神失效，或不存在真实作用路径</x:v>
      </x:c>
      <x:c r="U17" s="68" t="str">
        <x:v>特殊格局、从化或月令格局另转M14/M15复审</x:v>
      </x:c>
      <x:c r="V17" s="84" t="str">
        <x:v>基本成立</x:v>
      </x:c>
      <x:c r="W17" s="84" t="str">
        <x:v>降低七杀制身压力</x:v>
      </x:c>
      <x:c r="X17" s="82" t="str">
        <x:v>条件性</x:v>
      </x:c>
      <x:c r="Y17" s="68" t="str">
        <x:v>食神制杀格候选</x:v>
      </x:c>
      <x:c r="Z17" s="84" t="str">
        <x:v>食神制杀_成立条件</x:v>
      </x:c>
      <x:c r="AA17" s="84" t="str">
        <x:v>食神制杀：当主体、客体、路径与力量匹配满足最低标准时，判“基本成立”；是否上升为格局转M14/M15。</x:v>
      </x:c>
      <x:c r="AB17" s="82" t="str">
        <x:v>较高</x:v>
      </x:c>
      <x:c r="AC17" s="82" t="str">
        <x:v>现代综合</x:v>
      </x:c>
      <x:c r="AD17" s="68" t="str">
        <x:v>十神同时出现不等于组合成立。M11须同时验证核心十神有效性、作用路径、力量匹配、日主承载、破坏因素与救应；组合成立也不等于格局成立。</x:v>
      </x:c>
      <x:c r="AE17" s="68" t="str">
        <x:v>七杀有效力量达到中和偏旺以上，或虽不旺但形成直接制身压力；食神有效且具有克制七杀的能力；作用路径稳定且无关键破坏，可按“食神制杀”记录。</x:v>
      </x:c>
      <x:c r="AF17" s="90" t="str">
        <x:v>仅因“食神、七杀”同时出现，但核心十神无力、无作用路径或被关键因素破坏，不能判“食神制杀”成立。</x:v>
      </x:c>
      <x:c r="AG17" s="68" t="str">
        <x:v>https://zh.wikisource.org/zh-hans/%E6%B7%B5%E6%B5%B7%E5%AD%90%E5%B9%B3 ; https://zh.wikisource.org/wiki/%E6%BB%B4%E5%A4%A9%E9%AB%93%E9%97%A1%E5%BE%AE</x:v>
      </x:c>
      <x:c r="AH17" s="82" t="str">
        <x:v>采用</x:v>
      </x:c>
      <x:c r="AI17" s="82" t="str">
        <x:v>初审</x:v>
      </x:c>
      <x:c r="AJ17" s="87" t="n">
        <x:v>46255</x:v>
      </x:c>
    </x:row>
    <x:row r="18">
      <x:c r="A18" s="72" t="str">
        <x:f>IF(OR(C18="",D18=""),"",B18&amp;"-"&amp;UPPER(C18)&amp;"-"&amp;TEXT(D18,"0000")&amp;"-"&amp;E18)</x:f>
        <x:v>M11-SHIZHI-0012-V1.0</x:v>
      </x:c>
      <x:c r="B18" s="74" t="str">
        <x:v>M11</x:v>
      </x:c>
      <x:c r="C18" s="74" t="str">
        <x:v>SHIZHI</x:v>
      </x:c>
      <x:c r="D18" s="215" t="n">
        <x:v>12</x:v>
      </x:c>
      <x:c r="E18" s="74" t="str">
        <x:v>V1.0</x:v>
      </x:c>
      <x:c r="F18" s="68" t="str">
        <x:v>食神自身必须有根有源或稳定有效</x:v>
      </x:c>
      <x:c r="G18" s="82" t="str">
        <x:v>结构层</x:v>
      </x:c>
      <x:c r="H18" s="82" t="str">
        <x:v>制化型</x:v>
      </x:c>
      <x:c r="I18" s="68" t="str">
        <x:v>食神制杀</x:v>
      </x:c>
      <x:c r="J18" s="68" t="str">
        <x:v>食神、七杀</x:v>
      </x:c>
      <x:c r="K18" s="68" t="str">
        <x:v>食神不只是浮干或微弱藏气</x:v>
      </x:c>
      <x:c r="L18" s="68" t="str">
        <x:v>七杀存在真实压力</x:v>
      </x:c>
      <x:c r="M18" s="68" t="str">
        <x:v>直接或可达的生克制化路径成立</x:v>
      </x:c>
      <x:c r="N18" s="68" t="str">
        <x:v>食神至少达到可稳定执行制杀的有效等级</x:v>
      </x:c>
      <x:c r="O18" s="68" t="str">
        <x:v>结合M09日主承载判断</x:v>
      </x:c>
      <x:c r="P18" s="68" t="str">
        <x:v>主体、客体、作用路径与力量匹配均达到最低要求</x:v>
      </x:c>
      <x:c r="Q18" s="68" t="str">
        <x:v>相关十神有根、有源、透达、清纯且关键通路稳定</x:v>
      </x:c>
      <x:c r="R18" s="90" t="str">
        <x:v>关键十神被合绊、被制、改性、失效或力量严重失衡</x:v>
      </x:c>
      <x:c r="S18" s="68" t="str">
        <x:v>存在第三十神恢复通路、清除破坏或重新形成平衡</x:v>
      </x:c>
      <x:c r="T18" s="90" t="str">
        <x:v>任一核心十神失效，或不存在真实作用路径</x:v>
      </x:c>
      <x:c r="U18" s="68" t="str">
        <x:v>特殊格局、从化或月令格局另转M14/M15复审</x:v>
      </x:c>
      <x:c r="V18" s="84" t="str">
        <x:v>基本成立</x:v>
      </x:c>
      <x:c r="W18" s="84" t="str">
        <x:v>形成局部生化、制化或承载结构</x:v>
      </x:c>
      <x:c r="X18" s="82" t="str">
        <x:v>条件性</x:v>
      </x:c>
      <x:c r="Y18" s="68" t="str">
        <x:v>对应格局候选转M14</x:v>
      </x:c>
      <x:c r="Z18" s="84" t="str">
        <x:v>食神制杀_食神有效性</x:v>
      </x:c>
      <x:c r="AA18" s="84" t="str">
        <x:v>食神制杀：当主体、客体、路径与力量匹配满足最低标准时，判“基本成立”；是否上升为格局转M14/M15。</x:v>
      </x:c>
      <x:c r="AB18" s="82" t="str">
        <x:v>较高</x:v>
      </x:c>
      <x:c r="AC18" s="82" t="str">
        <x:v>现代综合</x:v>
      </x:c>
      <x:c r="AD18" s="68" t="str">
        <x:v>十神同时出现不等于组合成立。M11须同时验证核心十神有效性、作用路径、力量匹配、日主承载、破坏因素与救应；组合成立也不等于格局成立。</x:v>
      </x:c>
      <x:c r="AE18" s="68" t="str">
        <x:v>食神不只是浮干或微弱藏气；七杀存在真实压力；作用路径稳定且无关键破坏，可按“食神制杀”记录。</x:v>
      </x:c>
      <x:c r="AF18" s="90" t="str">
        <x:v>仅因“食神、七杀”同时出现，但核心十神无力、无作用路径或被关键因素破坏，不能判“食神制杀”成立。</x:v>
      </x:c>
      <x:c r="AG18" s="68" t="str">
        <x:v>https://zh.wikisource.org/zh-hans/%E6%B7%B5%E6%B5%B7%E5%AD%90%E5%B9%B3 ; https://zh.wikisource.org/wiki/%E6%BB%B4%E5%A4%A9%E9%AB%93%E9%97%A1%E5%BE%AE</x:v>
      </x:c>
      <x:c r="AH18" s="82" t="str">
        <x:v>采用</x:v>
      </x:c>
      <x:c r="AI18" s="82" t="str">
        <x:v>初审</x:v>
      </x:c>
      <x:c r="AJ18" s="87" t="n">
        <x:v>46255</x:v>
      </x:c>
    </x:row>
    <x:row r="19">
      <x:c r="A19" s="72" t="str">
        <x:f>IF(OR(C19="",D19=""),"",B19&amp;"-"&amp;UPPER(C19)&amp;"-"&amp;TEXT(D19,"0000")&amp;"-"&amp;E19)</x:f>
        <x:v>M11-SHIZHI-0013-V1.0</x:v>
      </x:c>
      <x:c r="B19" s="74" t="str">
        <x:v>M11</x:v>
      </x:c>
      <x:c r="C19" s="74" t="str">
        <x:v>SHIZHI</x:v>
      </x:c>
      <x:c r="D19" s="215" t="n">
        <x:v>13</x:v>
      </x:c>
      <x:c r="E19" s="74" t="str">
        <x:v>V1.0</x:v>
      </x:c>
      <x:c r="F19" s="68" t="str">
        <x:v>七杀太弱无须制时组合降级</x:v>
      </x:c>
      <x:c r="G19" s="82" t="str">
        <x:v>结构层</x:v>
      </x:c>
      <x:c r="H19" s="82" t="str">
        <x:v>制化型</x:v>
      </x:c>
      <x:c r="I19" s="68" t="str">
        <x:v>食神制杀</x:v>
      </x:c>
      <x:c r="J19" s="68" t="str">
        <x:v>食神、七杀</x:v>
      </x:c>
      <x:c r="K19" s="68" t="str">
        <x:v>七杀极弱或已失效</x:v>
      </x:c>
      <x:c r="L19" s="68" t="str">
        <x:v>食神虽有力但缺少真实制杀对象</x:v>
      </x:c>
      <x:c r="M19" s="68" t="str">
        <x:v>直接或可达的生克制化路径成立</x:v>
      </x:c>
      <x:c r="N19" s="68" t="str">
        <x:v>相关十神均以M10有效力量为准，且不存在决定性失衡</x:v>
      </x:c>
      <x:c r="O19" s="68" t="str">
        <x:v>结合M09日主承载判断</x:v>
      </x:c>
      <x:c r="P19" s="68" t="str">
        <x:v>只可记录食神存在，不构成必要制杀</x:v>
      </x:c>
      <x:c r="Q19" s="68" t="str">
        <x:v>相关十神有根、有源、透达、清纯且关键通路稳定</x:v>
      </x:c>
      <x:c r="R19" s="90" t="str">
        <x:v>关键十神被合绊、被制、改性、失效或力量严重失衡</x:v>
      </x:c>
      <x:c r="S19" s="68" t="str">
        <x:v>存在第三十神恢复通路、清除破坏或重新形成平衡</x:v>
      </x:c>
      <x:c r="T19" s="90" t="str">
        <x:v>任一核心十神失效，或不存在真实作用路径</x:v>
      </x:c>
      <x:c r="U19" s="68" t="str">
        <x:v>特殊格局、从化或月令格局另转M14/M15复审</x:v>
      </x:c>
      <x:c r="V19" s="84" t="str">
        <x:v>不成立</x:v>
      </x:c>
      <x:c r="W19" s="84" t="str">
        <x:v>无制杀必要</x:v>
      </x:c>
      <x:c r="X19" s="82" t="str">
        <x:v>否</x:v>
      </x:c>
      <x:c r="Y19" s="68" t="str">
        <x:v>无</x:v>
      </x:c>
      <x:c r="Z19" s="84" t="str">
        <x:v>食神制杀_杀弱否决</x:v>
      </x:c>
      <x:c r="AA19" s="84" t="str">
        <x:v>食神制杀：当主体、客体、路径与力量匹配满足最低标准时，判“不成立”；是否上升为格局转M14/M15。</x:v>
      </x:c>
      <x:c r="AB19" s="82" t="str">
        <x:v>较高</x:v>
      </x:c>
      <x:c r="AC19" s="82" t="str">
        <x:v>现代综合</x:v>
      </x:c>
      <x:c r="AD19" s="68" t="str">
        <x:v>十神同时出现不等于组合成立。M11须同时验证核心十神有效性、作用路径、力量匹配、日主承载、破坏因素与救应；组合成立也不等于格局成立。</x:v>
      </x:c>
      <x:c r="AE19" s="68" t="str">
        <x:v>七杀极弱或已失效；食神虽有力但缺少真实制杀对象；作用路径稳定且无关键破坏，可按“食神制杀”记录。</x:v>
      </x:c>
      <x:c r="AF19" s="90" t="str">
        <x:v>仅因“食神、七杀”同时出现，但核心十神无力、无作用路径或被关键因素破坏，不能判“食神制杀”成立。</x:v>
      </x:c>
      <x:c r="AG19" s="68" t="str">
        <x:v>https://zh.wikisource.org/zh-hans/%E6%B7%B5%E6%B5%B7%E5%AD%90%E5%B9%B3 ; https://zh.wikisource.org/wiki/%E6%BB%B4%E5%A4%A9%E9%AB%93%E9%97%A1%E5%BE%AE</x:v>
      </x:c>
      <x:c r="AH19" s="82" t="str">
        <x:v>采用</x:v>
      </x:c>
      <x:c r="AI19" s="82" t="str">
        <x:v>初审</x:v>
      </x:c>
      <x:c r="AJ19" s="87" t="n">
        <x:v>46255</x:v>
      </x:c>
    </x:row>
    <x:row r="20">
      <x:c r="A20" s="72" t="str">
        <x:f>IF(OR(C20="",D20=""),"",B20&amp;"-"&amp;UPPER(C20)&amp;"-"&amp;TEXT(D20,"0000")&amp;"-"&amp;E20)</x:f>
        <x:v>M11-SHIZHI-0014-V1.0</x:v>
      </x:c>
      <x:c r="B20" s="74" t="str">
        <x:v>M11</x:v>
      </x:c>
      <x:c r="C20" s="74" t="str">
        <x:v>SHIZHI</x:v>
      </x:c>
      <x:c r="D20" s="215" t="n">
        <x:v>14</x:v>
      </x:c>
      <x:c r="E20" s="74" t="str">
        <x:v>V1.0</x:v>
      </x:c>
      <x:c r="F20" s="68" t="str">
        <x:v>食神太弱不能有效制杀</x:v>
      </x:c>
      <x:c r="G20" s="82" t="str">
        <x:v>结构层</x:v>
      </x:c>
      <x:c r="H20" s="82" t="str">
        <x:v>制化型</x:v>
      </x:c>
      <x:c r="I20" s="68" t="str">
        <x:v>食神制杀</x:v>
      </x:c>
      <x:c r="J20" s="68" t="str">
        <x:v>食神、七杀</x:v>
      </x:c>
      <x:c r="K20" s="68" t="str">
        <x:v>七杀旺而食神仅弱或中和偏弱</x:v>
      </x:c>
      <x:c r="L20" s="68" t="str">
        <x:v>食神克制容量不足</x:v>
      </x:c>
      <x:c r="M20" s="68" t="str">
        <x:v>直接或可达的生克制化路径成立</x:v>
      </x:c>
      <x:c r="N20" s="68" t="str">
        <x:v>杀明显强于食</x:v>
      </x:c>
      <x:c r="O20" s="68" t="str">
        <x:v>结合M09日主承载判断</x:v>
      </x:c>
      <x:c r="P20" s="68" t="str">
        <x:v>主体、客体、作用路径与力量匹配均达到最低要求</x:v>
      </x:c>
      <x:c r="Q20" s="68" t="str">
        <x:v>相关十神有根、有源、透达、清纯且关键通路稳定</x:v>
      </x:c>
      <x:c r="R20" s="90" t="str">
        <x:v>关键十神被合绊、被制、改性、失效或力量严重失衡</x:v>
      </x:c>
      <x:c r="S20" s="68" t="str">
        <x:v>存在第三十神恢复通路、清除破坏或重新形成平衡</x:v>
      </x:c>
      <x:c r="T20" s="90" t="str">
        <x:v>任一核心十神失效，或不存在真实作用路径</x:v>
      </x:c>
      <x:c r="U20" s="68" t="str">
        <x:v>特殊格局、从化或月令格局另转M14/M15复审</x:v>
      </x:c>
      <x:c r="V20" s="84" t="str">
        <x:v>弱成立</x:v>
      </x:c>
      <x:c r="W20" s="84" t="str">
        <x:v>制杀不足</x:v>
      </x:c>
      <x:c r="X20" s="82" t="str">
        <x:v>否</x:v>
      </x:c>
      <x:c r="Y20" s="68" t="str">
        <x:v>对应格局候选转M14</x:v>
      </x:c>
      <x:c r="Z20" s="84" t="str">
        <x:v>食神制杀_食弱</x:v>
      </x:c>
      <x:c r="AA20" s="84" t="str">
        <x:v>食神制杀：当主体、客体、路径与力量匹配满足最低标准时，判“弱成立”；是否上升为格局转M14/M15。</x:v>
      </x:c>
      <x:c r="AB20" s="82" t="str">
        <x:v>较高</x:v>
      </x:c>
      <x:c r="AC20" s="82" t="str">
        <x:v>现代综合</x:v>
      </x:c>
      <x:c r="AD20" s="68" t="str">
        <x:v>十神同时出现不等于组合成立。M11须同时验证核心十神有效性、作用路径、力量匹配、日主承载、破坏因素与救应；组合成立也不等于格局成立。</x:v>
      </x:c>
      <x:c r="AE20" s="68" t="str">
        <x:v>七杀旺而食神仅弱或中和偏弱；食神克制容量不足；作用路径稳定且无关键破坏，可按“食神制杀”记录。</x:v>
      </x:c>
      <x:c r="AF20" s="90" t="str">
        <x:v>仅因“食神、七杀”同时出现，但核心十神无力、无作用路径或被关键因素破坏，不能判“食神制杀”成立。</x:v>
      </x:c>
      <x:c r="AG20" s="68" t="str">
        <x:v>https://zh.wikisource.org/zh-hans/%E6%B7%B5%E6%B5%B7%E5%AD%90%E5%B9%B3 ; https://zh.wikisource.org/wiki/%E6%BB%B4%E5%A4%A9%E9%AB%93%E9%97%A1%E5%BE%AE</x:v>
      </x:c>
      <x:c r="AH20" s="82" t="str">
        <x:v>采用</x:v>
      </x:c>
      <x:c r="AI20" s="82" t="str">
        <x:v>初审</x:v>
      </x:c>
      <x:c r="AJ20" s="87" t="n">
        <x:v>46255</x:v>
      </x:c>
    </x:row>
    <x:row r="21">
      <x:c r="A21" s="72" t="str">
        <x:f>IF(OR(C21="",D21=""),"",B21&amp;"-"&amp;UPPER(C21)&amp;"-"&amp;TEXT(D21,"0000")&amp;"-"&amp;E21)</x:f>
        <x:v>M11-SHIZHI-0015-V1.0</x:v>
      </x:c>
      <x:c r="B21" s="74" t="str">
        <x:v>M11</x:v>
      </x:c>
      <x:c r="C21" s="74" t="str">
        <x:v>SHIZHI</x:v>
      </x:c>
      <x:c r="D21" s="215" t="n">
        <x:v>15</x:v>
      </x:c>
      <x:c r="E21" s="74" t="str">
        <x:v>V1.0</x:v>
      </x:c>
      <x:c r="F21" s="68" t="str">
        <x:v>制杀太过时由平衡转为失衡</x:v>
      </x:c>
      <x:c r="G21" s="82" t="str">
        <x:v>结构层</x:v>
      </x:c>
      <x:c r="H21" s="82" t="str">
        <x:v>制化型</x:v>
      </x:c>
      <x:c r="I21" s="68" t="str">
        <x:v>食神制杀</x:v>
      </x:c>
      <x:c r="J21" s="68" t="str">
        <x:v>食神、七杀</x:v>
      </x:c>
      <x:c r="K21" s="68" t="str">
        <x:v>食神食伤集团过旺，七杀被制至失效或残弱</x:v>
      </x:c>
      <x:c r="L21" s="68" t="str">
        <x:v>杀已不足以承担制衡功能</x:v>
      </x:c>
      <x:c r="M21" s="68" t="str">
        <x:v>直接或可达的生克制化路径成立</x:v>
      </x:c>
      <x:c r="N21" s="68" t="str">
        <x:v>食明显强于杀</x:v>
      </x:c>
      <x:c r="O21" s="68" t="str">
        <x:v>结合M09日主承载判断</x:v>
      </x:c>
      <x:c r="P21" s="68" t="str">
        <x:v>主体、客体、作用路径与力量匹配均达到最低要求</x:v>
      </x:c>
      <x:c r="Q21" s="68" t="str">
        <x:v>相关十神有根、有源、透达、清纯且关键通路稳定</x:v>
      </x:c>
      <x:c r="R21" s="90" t="str">
        <x:v>关键十神被合绊、被制、改性、失效或力量严重失衡</x:v>
      </x:c>
      <x:c r="S21" s="68" t="str">
        <x:v>存在第三十神恢复通路、清除破坏或重新形成平衡</x:v>
      </x:c>
      <x:c r="T21" s="90" t="str">
        <x:v>任一核心十神失效，或不存在真实作用路径</x:v>
      </x:c>
      <x:c r="U21" s="68" t="str">
        <x:v>特殊格局、从化或月令格局另转M14/M15复审</x:v>
      </x:c>
      <x:c r="V21" s="84" t="str">
        <x:v>弱成立</x:v>
      </x:c>
      <x:c r="W21" s="84" t="str">
        <x:v>制杀过度，原制化结构失衡</x:v>
      </x:c>
      <x:c r="X21" s="82" t="str">
        <x:v>否</x:v>
      </x:c>
      <x:c r="Y21" s="68" t="str">
        <x:v>对应格局候选转M14</x:v>
      </x:c>
      <x:c r="Z21" s="84" t="str">
        <x:v>食神制杀_制杀太过</x:v>
      </x:c>
      <x:c r="AA21" s="84" t="str">
        <x:v>食神制杀：当主体、客体、路径与力量匹配满足最低标准时，判“弱成立”；是否上升为格局转M14/M15。</x:v>
      </x:c>
      <x:c r="AB21" s="82" t="str">
        <x:v>较高</x:v>
      </x:c>
      <x:c r="AC21" s="82" t="str">
        <x:v>现代综合</x:v>
      </x:c>
      <x:c r="AD21" s="68" t="str">
        <x:v>十神同时出现不等于组合成立。M11须同时验证核心十神有效性、作用路径、力量匹配、日主承载、破坏因素与救应；组合成立也不等于格局成立。</x:v>
      </x:c>
      <x:c r="AE21" s="68" t="str">
        <x:v>食神食伤集团过旺，七杀被制至失效或残弱；杀已不足以承担制衡功能；作用路径稳定且无关键破坏，可按“食神制杀”记录。</x:v>
      </x:c>
      <x:c r="AF21" s="90" t="str">
        <x:v>仅因“食神、七杀”同时出现，但核心十神无力、无作用路径或被关键因素破坏，不能判“食神制杀”成立。</x:v>
      </x:c>
      <x:c r="AG21" s="68" t="str">
        <x:v>https://zh.wikisource.org/zh-hans/%E6%B7%B5%E6%B5%B7%E5%AD%90%E5%B9%B3 ; https://zh.wikisource.org/wiki/%E6%BB%B4%E5%A4%A9%E9%AB%93%E9%97%A1%E5%BE%AE</x:v>
      </x:c>
      <x:c r="AH21" s="82" t="str">
        <x:v>采用</x:v>
      </x:c>
      <x:c r="AI21" s="82" t="str">
        <x:v>初审</x:v>
      </x:c>
      <x:c r="AJ21" s="87" t="n">
        <x:v>46255</x:v>
      </x:c>
    </x:row>
    <x:row r="22">
      <x:c r="A22" s="72" t="str">
        <x:f>IF(OR(C22="",D22=""),"",B22&amp;"-"&amp;UPPER(C22)&amp;"-"&amp;TEXT(D22,"0000")&amp;"-"&amp;E22)</x:f>
        <x:v>M11-SHIZHI-0016-V1.0</x:v>
      </x:c>
      <x:c r="B22" s="74" t="str">
        <x:v>M11</x:v>
      </x:c>
      <x:c r="C22" s="74" t="str">
        <x:v>SHIZHI</x:v>
      </x:c>
      <x:c r="D22" s="215" t="n">
        <x:v>16</x:v>
      </x:c>
      <x:c r="E22" s="74" t="str">
        <x:v>V1.0</x:v>
      </x:c>
      <x:c r="F22" s="68" t="str">
        <x:v>强枭夺食可破坏食神制杀</x:v>
      </x:c>
      <x:c r="G22" s="82" t="str">
        <x:v>结构层</x:v>
      </x:c>
      <x:c r="H22" s="82" t="str">
        <x:v>制化型</x:v>
      </x:c>
      <x:c r="I22" s="68" t="str">
        <x:v>食神制杀</x:v>
      </x:c>
      <x:c r="J22" s="68" t="str">
        <x:v>食神、七杀、偏印</x:v>
      </x:c>
      <x:c r="K22" s="68" t="str">
        <x:v>偏印有效且直接强制食神</x:v>
      </x:c>
      <x:c r="L22" s="68" t="str">
        <x:v>食神制杀功能因此显著下降</x:v>
      </x:c>
      <x:c r="M22" s="68" t="str">
        <x:v>直接或可达的生克制化路径成立</x:v>
      </x:c>
      <x:c r="N22" s="68" t="str">
        <x:v>相关十神均以M10有效力量为准，且不存在决定性失衡</x:v>
      </x:c>
      <x:c r="O22" s="68" t="str">
        <x:v>结合M09日主承载判断</x:v>
      </x:c>
      <x:c r="P22" s="68" t="str">
        <x:v>主体、客体、作用路径与力量匹配均达到最低要求</x:v>
      </x:c>
      <x:c r="Q22" s="68" t="str">
        <x:v>相关十神有根、有源、透达、清纯且关键通路稳定</x:v>
      </x:c>
      <x:c r="R22" s="90" t="str">
        <x:v>偏印强夺食并使食神受限或失效</x:v>
      </x:c>
      <x:c r="S22" s="68" t="str">
        <x:v>存在第三十神恢复通路、清除破坏或重新形成平衡</x:v>
      </x:c>
      <x:c r="T22" s="90" t="str">
        <x:v>任一核心十神失效，或不存在真实作用路径</x:v>
      </x:c>
      <x:c r="U22" s="68" t="str">
        <x:v>特殊格局、从化或月令格局另转M14/M15复审</x:v>
      </x:c>
      <x:c r="V22" s="84" t="str">
        <x:v>不成立</x:v>
      </x:c>
      <x:c r="W22" s="84" t="str">
        <x:v>食神制杀被破</x:v>
      </x:c>
      <x:c r="X22" s="82" t="str">
        <x:v>否</x:v>
      </x:c>
      <x:c r="Y22" s="68" t="str">
        <x:v>对应格局候选转M14</x:v>
      </x:c>
      <x:c r="Z22" s="84" t="str">
        <x:v>食神制杀_枭夺食破坏</x:v>
      </x:c>
      <x:c r="AA22" s="84" t="str">
        <x:v>食神制杀：当主体、客体、路径与力量匹配满足最低标准时，判“不成立”；是否上升为格局转M14/M15。</x:v>
      </x:c>
      <x:c r="AB22" s="82" t="str">
        <x:v>较高</x:v>
      </x:c>
      <x:c r="AC22" s="82" t="str">
        <x:v>现代综合</x:v>
      </x:c>
      <x:c r="AD22" s="68" t="str">
        <x:v>十神同时出现不等于组合成立。M11须同时验证核心十神有效性、作用路径、力量匹配、日主承载、破坏因素与救应；组合成立也不等于格局成立。</x:v>
      </x:c>
      <x:c r="AE22" s="68" t="str">
        <x:v>偏印有效且直接强制食神；食神制杀功能因此显著下降；作用路径稳定且无关键破坏，可按“食神制杀”记录。</x:v>
      </x:c>
      <x:c r="AF22" s="90" t="str">
        <x:v>仅因“食神、七杀、偏印”同时出现，但核心十神无力、无作用路径或被关键因素破坏，不能判“食神制杀”成立。</x:v>
      </x:c>
      <x:c r="AG22" s="68" t="str">
        <x:v>https://zh.wikisource.org/zh-hans/%E6%B7%B5%E6%B5%B7%E5%AD%90%E5%B9%B3 ; https://zh.wikisource.org/wiki/%E6%BB%B4%E5%A4%A9%E9%AB%93%E9%97%A1%E5%BE%AE</x:v>
      </x:c>
      <x:c r="AH22" s="82" t="str">
        <x:v>采用</x:v>
      </x:c>
      <x:c r="AI22" s="82" t="str">
        <x:v>初审</x:v>
      </x:c>
      <x:c r="AJ22" s="87" t="n">
        <x:v>46255</x:v>
      </x:c>
    </x:row>
    <x:row r="23">
      <x:c r="A23" s="72" t="str">
        <x:f>IF(OR(C23="",D23=""),"",B23&amp;"-"&amp;UPPER(C23)&amp;"-"&amp;TEXT(D23,"0000")&amp;"-"&amp;E23)</x:f>
        <x:v>M11-SHIZHI-0017-V1.0</x:v>
      </x:c>
      <x:c r="B23" s="74" t="str">
        <x:v>M11</x:v>
      </x:c>
      <x:c r="C23" s="74" t="str">
        <x:v>SHIZHI</x:v>
      </x:c>
      <x:c r="D23" s="215" t="n">
        <x:v>17</x:v>
      </x:c>
      <x:c r="E23" s="74" t="str">
        <x:v>V1.0</x:v>
      </x:c>
      <x:c r="F23" s="68" t="str">
        <x:v>财星制枭可成为救应</x:v>
      </x:c>
      <x:c r="G23" s="82" t="str">
        <x:v>结构层</x:v>
      </x:c>
      <x:c r="H23" s="82" t="str">
        <x:v>制化型</x:v>
      </x:c>
      <x:c r="I23" s="68" t="str">
        <x:v>食神制杀</x:v>
      </x:c>
      <x:c r="J23" s="68" t="str">
        <x:v>食神、七杀、财星</x:v>
      </x:c>
      <x:c r="K23" s="68" t="str">
        <x:v>偏印破坏食神制杀</x:v>
      </x:c>
      <x:c r="L23" s="68" t="str">
        <x:v>财星有力且能够有效制偏印，恢复食神功能</x:v>
      </x:c>
      <x:c r="M23" s="68" t="str">
        <x:v>直接或可达的生克制化路径成立</x:v>
      </x:c>
      <x:c r="N23" s="68" t="str">
        <x:v>相关十神均以M10有效力量为准，且不存在决定性失衡</x:v>
      </x:c>
      <x:c r="O23" s="68" t="str">
        <x:v>结合M09日主承载判断</x:v>
      </x:c>
      <x:c r="P23" s="68" t="str">
        <x:v>主体、客体、作用路径与力量匹配均达到最低要求</x:v>
      </x:c>
      <x:c r="Q23" s="68" t="str">
        <x:v>相关十神有根、有源、透达、清纯且关键通路稳定</x:v>
      </x:c>
      <x:c r="R23" s="90" t="str">
        <x:v>关键十神被合绊、被制、改性、失效或力量严重失衡</x:v>
      </x:c>
      <x:c r="S23" s="68" t="str">
        <x:v>财星制枭成功且不过度生杀</x:v>
      </x:c>
      <x:c r="T23" s="90" t="str">
        <x:v>任一核心十神失效，或不存在真实作用路径</x:v>
      </x:c>
      <x:c r="U23" s="68" t="str">
        <x:v>特殊格局、从化或月令格局另转M14/M15复审</x:v>
      </x:c>
      <x:c r="V23" s="84" t="str">
        <x:v>基本成立</x:v>
      </x:c>
      <x:c r="W23" s="84" t="str">
        <x:v>形成局部生化、制化或承载结构</x:v>
      </x:c>
      <x:c r="X23" s="82" t="str">
        <x:v>条件性</x:v>
      </x:c>
      <x:c r="Y23" s="68" t="str">
        <x:v>对应格局候选转M14</x:v>
      </x:c>
      <x:c r="Z23" s="84" t="str">
        <x:v>食神制杀_财制枭救应</x:v>
      </x:c>
      <x:c r="AA23" s="84" t="str">
        <x:v>食神制杀：当主体、客体、路径与力量匹配满足最低标准时，判“基本成立”；是否上升为格局转M14/M15。</x:v>
      </x:c>
      <x:c r="AB23" s="82" t="str">
        <x:v>较高</x:v>
      </x:c>
      <x:c r="AC23" s="82" t="str">
        <x:v>现代综合</x:v>
      </x:c>
      <x:c r="AD23" s="68" t="str">
        <x:v>十神同时出现不等于组合成立。M11须同时验证核心十神有效性、作用路径、力量匹配、日主承载、破坏因素与救应；组合成立也不等于格局成立。</x:v>
      </x:c>
      <x:c r="AE23" s="68" t="str">
        <x:v>偏印破坏食神制杀；财星有力且能够有效制偏印，恢复食神功能；作用路径稳定且无关键破坏，可按“食神制杀”记录。</x:v>
      </x:c>
      <x:c r="AF23" s="90" t="str">
        <x:v>仅因“食神、七杀、财星”同时出现，但核心十神无力、无作用路径或被关键因素破坏，不能判“食神制杀”成立。</x:v>
      </x:c>
      <x:c r="AG23" s="68" t="str">
        <x:v>https://zh.wikisource.org/zh-hans/%E6%B7%B5%E6%B5%B7%E5%AD%90%E5%B9%B3 ; https://zh.wikisource.org/wiki/%E6%BB%B4%E5%A4%A9%E9%AB%93%E9%97%A1%E5%BE%AE</x:v>
      </x:c>
      <x:c r="AH23" s="82" t="str">
        <x:v>采用</x:v>
      </x:c>
      <x:c r="AI23" s="82" t="str">
        <x:v>初审</x:v>
      </x:c>
      <x:c r="AJ23" s="87" t="n">
        <x:v>46255</x:v>
      </x:c>
    </x:row>
    <x:row r="24">
      <x:c r="A24" s="72" t="str">
        <x:f>IF(OR(C24="",D24=""),"",B24&amp;"-"&amp;UPPER(C24)&amp;"-"&amp;TEXT(D24,"0000")&amp;"-"&amp;E24)</x:f>
        <x:v>M11-SHIZHI-0018-V1.0</x:v>
      </x:c>
      <x:c r="B24" s="74" t="str">
        <x:v>M11</x:v>
      </x:c>
      <x:c r="C24" s="74" t="str">
        <x:v>SHIZHI</x:v>
      </x:c>
      <x:c r="D24" s="215" t="n">
        <x:v>18</x:v>
      </x:c>
      <x:c r="E24" s="74" t="str">
        <x:v>V1.0</x:v>
      </x:c>
      <x:c r="F24" s="68" t="str">
        <x:v>财星过强生杀可能抵消制杀</x:v>
      </x:c>
      <x:c r="G24" s="82" t="str">
        <x:v>结构层</x:v>
      </x:c>
      <x:c r="H24" s="82" t="str">
        <x:v>制化型</x:v>
      </x:c>
      <x:c r="I24" s="68" t="str">
        <x:v>食神制杀</x:v>
      </x:c>
      <x:c r="J24" s="68" t="str">
        <x:v>食神、七杀、财星</x:v>
      </x:c>
      <x:c r="K24" s="68" t="str">
        <x:v>财星有力并持续生七杀</x:v>
      </x:c>
      <x:c r="L24" s="68" t="str">
        <x:v>食神同时制杀</x:v>
      </x:c>
      <x:c r="M24" s="68" t="str">
        <x:v>直接或可达的生克制化路径成立</x:v>
      </x:c>
      <x:c r="N24" s="68" t="str">
        <x:v>相关十神均以M10有效力量为准，且不存在决定性失衡</x:v>
      </x:c>
      <x:c r="O24" s="68" t="str">
        <x:v>结合M09日主承载判断</x:v>
      </x:c>
      <x:c r="P24" s="68" t="str">
        <x:v>主体、客体、作用路径与力量匹配均达到最低要求</x:v>
      </x:c>
      <x:c r="Q24" s="68" t="str">
        <x:v>相关十神有根、有源、透达、清纯且关键通路稳定</x:v>
      </x:c>
      <x:c r="R24" s="90" t="str">
        <x:v>财生杀强度明显高于食神制杀效率</x:v>
      </x:c>
      <x:c r="S24" s="68" t="str">
        <x:v>存在第三十神恢复通路、清除破坏或重新形成平衡</x:v>
      </x:c>
      <x:c r="T24" s="90" t="str">
        <x:v>任一核心十神失效，或不存在真实作用路径</x:v>
      </x:c>
      <x:c r="U24" s="68" t="str">
        <x:v>特殊格局、从化或月令格局另转M14/M15复审</x:v>
      </x:c>
      <x:c r="V24" s="84" t="str">
        <x:v>弱成立</x:v>
      </x:c>
      <x:c r="W24" s="84" t="str">
        <x:v>制杀与生杀并行，净效应不足</x:v>
      </x:c>
      <x:c r="X24" s="82" t="str">
        <x:v>条件性</x:v>
      </x:c>
      <x:c r="Y24" s="68" t="str">
        <x:v>对应格局候选转M14</x:v>
      </x:c>
      <x:c r="Z24" s="84" t="str">
        <x:v>食神制杀_财生杀干扰</x:v>
      </x:c>
      <x:c r="AA24" s="84" t="str">
        <x:v>食神制杀：当主体、客体、路径与力量匹配满足最低标准时，判“弱成立”；是否上升为格局转M14/M15。</x:v>
      </x:c>
      <x:c r="AB24" s="82" t="str">
        <x:v>较高</x:v>
      </x:c>
      <x:c r="AC24" s="82" t="str">
        <x:v>现代综合</x:v>
      </x:c>
      <x:c r="AD24" s="68" t="str">
        <x:v>十神同时出现不等于组合成立。M11须同时验证核心十神有效性、作用路径、力量匹配、日主承载、破坏因素与救应；组合成立也不等于格局成立。</x:v>
      </x:c>
      <x:c r="AE24" s="68" t="str">
        <x:v>财星有力并持续生七杀；食神同时制杀；作用路径稳定且无关键破坏，可按“食神制杀”记录。</x:v>
      </x:c>
      <x:c r="AF24" s="90" t="str">
        <x:v>仅因“食神、七杀、财星”同时出现，但核心十神无力、无作用路径或被关键因素破坏，不能判“食神制杀”成立。</x:v>
      </x:c>
      <x:c r="AG24" s="68" t="str">
        <x:v>https://zh.wikisource.org/zh-hans/%E6%B7%B5%E6%B5%B7%E5%AD%90%E5%B9%B3 ; https://zh.wikisource.org/wiki/%E6%BB%B4%E5%A4%A9%E9%AB%93%E9%97%A1%E5%BE%AE</x:v>
      </x:c>
      <x:c r="AH24" s="82" t="str">
        <x:v>采用</x:v>
      </x:c>
      <x:c r="AI24" s="82" t="str">
        <x:v>初审</x:v>
      </x:c>
      <x:c r="AJ24" s="87" t="n">
        <x:v>46255</x:v>
      </x:c>
    </x:row>
    <x:row r="25">
      <x:c r="A25" s="72" t="str">
        <x:f>IF(OR(C25="",D25=""),"",B25&amp;"-"&amp;UPPER(C25)&amp;"-"&amp;TEXT(D25,"0000")&amp;"-"&amp;E25)</x:f>
        <x:v>M11-SHIZHI-0019-V1.0</x:v>
      </x:c>
      <x:c r="B25" s="74" t="str">
        <x:v>M11</x:v>
      </x:c>
      <x:c r="C25" s="74" t="str">
        <x:v>SHIZHI</x:v>
      </x:c>
      <x:c r="D25" s="215" t="n">
        <x:v>19</x:v>
      </x:c>
      <x:c r="E25" s="74" t="str">
        <x:v>V1.0</x:v>
      </x:c>
      <x:c r="F25" s="68" t="str">
        <x:v>日主过弱时食神制杀需防再泄身</x:v>
      </x:c>
      <x:c r="G25" s="82" t="str">
        <x:v>结构层</x:v>
      </x:c>
      <x:c r="H25" s="82" t="str">
        <x:v>制化型</x:v>
      </x:c>
      <x:c r="I25" s="68" t="str">
        <x:v>食神制杀</x:v>
      </x:c>
      <x:c r="J25" s="68" t="str">
        <x:v>食神、七杀</x:v>
      </x:c>
      <x:c r="K25" s="68" t="str">
        <x:v>日主弱或极弱</x:v>
      </x:c>
      <x:c r="L25" s="68" t="str">
        <x:v>食神虽能制杀但同时明显泄身</x:v>
      </x:c>
      <x:c r="M25" s="68" t="str">
        <x:v>直接或可达的生克制化路径成立</x:v>
      </x:c>
      <x:c r="N25" s="68" t="str">
        <x:v>相关十神均以M10有效力量为准，且不存在决定性失衡</x:v>
      </x:c>
      <x:c r="O25" s="68" t="str">
        <x:v>若日主无印比承载，食神制杀的收益可能被泄身成本抵消</x:v>
      </x:c>
      <x:c r="P25" s="68" t="str">
        <x:v>主体、客体、作用路径与力量匹配均达到最低要求</x:v>
      </x:c>
      <x:c r="Q25" s="68" t="str">
        <x:v>相关十神有根、有源、透达、清纯且关键通路稳定</x:v>
      </x:c>
      <x:c r="R25" s="90" t="str">
        <x:v>关键十神被合绊、被制、改性、失效或力量严重失衡</x:v>
      </x:c>
      <x:c r="S25" s="68" t="str">
        <x:v>存在第三十神恢复通路、清除破坏或重新形成平衡</x:v>
      </x:c>
      <x:c r="T25" s="90" t="str">
        <x:v>任一核心十神失效，或不存在真实作用路径</x:v>
      </x:c>
      <x:c r="U25" s="68" t="str">
        <x:v>特殊格局、从化或月令格局另转M14/M15复审</x:v>
      </x:c>
      <x:c r="V25" s="84" t="str">
        <x:v>弱成立</x:v>
      </x:c>
      <x:c r="W25" s="84" t="str">
        <x:v>形成局部生化、制化或承载结构</x:v>
      </x:c>
      <x:c r="X25" s="82" t="str">
        <x:v>否</x:v>
      </x:c>
      <x:c r="Y25" s="68" t="str">
        <x:v>对应格局候选转M14</x:v>
      </x:c>
      <x:c r="Z25" s="84" t="str">
        <x:v>食神制杀_日主承载</x:v>
      </x:c>
      <x:c r="AA25" s="84" t="str">
        <x:v>食神制杀：当主体、客体、路径与力量匹配满足最低标准时，判“弱成立”；是否上升为格局转M14/M15。</x:v>
      </x:c>
      <x:c r="AB25" s="82" t="str">
        <x:v>较高</x:v>
      </x:c>
      <x:c r="AC25" s="82" t="str">
        <x:v>现代综合</x:v>
      </x:c>
      <x:c r="AD25" s="68" t="str">
        <x:v>十神同时出现不等于组合成立。M11须同时验证核心十神有效性、作用路径、力量匹配、日主承载、破坏因素与救应；组合成立也不等于格局成立。</x:v>
      </x:c>
      <x:c r="AE25" s="68" t="str">
        <x:v>日主弱或极弱；食神虽能制杀但同时明显泄身；作用路径稳定且无关键破坏，可按“食神制杀”记录。</x:v>
      </x:c>
      <x:c r="AF25" s="90" t="str">
        <x:v>仅因“食神、七杀”同时出现，但核心十神无力、无作用路径或被关键因素破坏，不能判“食神制杀”成立。</x:v>
      </x:c>
      <x:c r="AG25" s="68" t="str">
        <x:v>https://zh.wikisource.org/zh-hans/%E6%B7%B5%E6%B5%B7%E5%AD%90%E5%B9%B3 ; https://zh.wikisource.org/wiki/%E6%BB%B4%E5%A4%A9%E9%AB%93%E9%97%A1%E5%BE%AE</x:v>
      </x:c>
      <x:c r="AH25" s="82" t="str">
        <x:v>采用</x:v>
      </x:c>
      <x:c r="AI25" s="82" t="str">
        <x:v>初审</x:v>
      </x:c>
      <x:c r="AJ25" s="87" t="n">
        <x:v>46255</x:v>
      </x:c>
    </x:row>
    <x:row r="26">
      <x:c r="A26" s="72" t="str">
        <x:f>IF(OR(C26="",D26=""),"",B26&amp;"-"&amp;UPPER(C26)&amp;"-"&amp;TEXT(D26,"0000")&amp;"-"&amp;E26)</x:f>
        <x:v>M11-SHIZHI-0020-V1.0</x:v>
      </x:c>
      <x:c r="B26" s="74" t="str">
        <x:v>M11</x:v>
      </x:c>
      <x:c r="C26" s="74" t="str">
        <x:v>SHIZHI</x:v>
      </x:c>
      <x:c r="D26" s="215" t="n">
        <x:v>20</x:v>
      </x:c>
      <x:c r="E26" s="74" t="str">
        <x:v>V1.0</x:v>
      </x:c>
      <x:c r="F26" s="68" t="str">
        <x:v>力量匹配且路径清晰时可判明显成立</x:v>
      </x:c>
      <x:c r="G26" s="82" t="str">
        <x:v>结构层</x:v>
      </x:c>
      <x:c r="H26" s="82" t="str">
        <x:v>制化型</x:v>
      </x:c>
      <x:c r="I26" s="68" t="str">
        <x:v>食神制杀</x:v>
      </x:c>
      <x:c r="J26" s="68" t="str">
        <x:v>食神、七杀</x:v>
      </x:c>
      <x:c r="K26" s="68" t="str">
        <x:v>七杀有权，食神有力且未受关键破坏</x:v>
      </x:c>
      <x:c r="L26" s="68" t="str">
        <x:v>制杀路径直接、持续、无争夺</x:v>
      </x:c>
      <x:c r="M26" s="68" t="str">
        <x:v>直接或可达的生克制化路径成立</x:v>
      </x:c>
      <x:c r="N26" s="68" t="str">
        <x:v>食杀力量匹配，既非制杀不足也非制杀太过</x:v>
      </x:c>
      <x:c r="O26" s="68" t="str">
        <x:v>结合M09日主承载判断</x:v>
      </x:c>
      <x:c r="P26" s="68" t="str">
        <x:v>主体客体路径比例与承载均良好</x:v>
      </x:c>
      <x:c r="Q26" s="68" t="str">
        <x:v>相关十神有根、有源、透达、清纯且关键通路稳定</x:v>
      </x:c>
      <x:c r="R26" s="90" t="str">
        <x:v>关键十神被合绊、被制、改性、失效或力量严重失衡</x:v>
      </x:c>
      <x:c r="S26" s="68" t="str">
        <x:v>存在第三十神恢复通路、清除破坏或重新形成平衡</x:v>
      </x:c>
      <x:c r="T26" s="90" t="str">
        <x:v>任一核心十神失效，或不存在真实作用路径</x:v>
      </x:c>
      <x:c r="U26" s="68" t="str">
        <x:v>特殊格局、从化或月令格局另转M14/M15复审</x:v>
      </x:c>
      <x:c r="V26" s="84" t="str">
        <x:v>明显成立</x:v>
      </x:c>
      <x:c r="W26" s="84" t="str">
        <x:v>形成稳定制杀结构</x:v>
      </x:c>
      <x:c r="X26" s="82" t="str">
        <x:v>条件性</x:v>
      </x:c>
      <x:c r="Y26" s="68" t="str">
        <x:v>对应格局候选转M14</x:v>
      </x:c>
      <x:c r="Z26" s="84" t="str">
        <x:v>食神制杀_明显成立</x:v>
      </x:c>
      <x:c r="AA26" s="84" t="str">
        <x:v>食神制杀：当主体、客体、路径与力量匹配满足最低标准时，判“明显成立”；是否上升为格局转M14/M15。</x:v>
      </x:c>
      <x:c r="AB26" s="82" t="str">
        <x:v>较高</x:v>
      </x:c>
      <x:c r="AC26" s="82" t="str">
        <x:v>现代综合</x:v>
      </x:c>
      <x:c r="AD26" s="68" t="str">
        <x:v>十神同时出现不等于组合成立。M11须同时验证核心十神有效性、作用路径、力量匹配、日主承载、破坏因素与救应；组合成立也不等于格局成立。</x:v>
      </x:c>
      <x:c r="AE26" s="68" t="str">
        <x:v>七杀有权，食神有力且未受关键破坏；制杀路径直接、持续、无争夺；作用路径稳定且无关键破坏，可按“食神制杀”记录。</x:v>
      </x:c>
      <x:c r="AF26" s="90" t="str">
        <x:v>仅因“食神、七杀”同时出现，但核心十神无力、无作用路径或被关键因素破坏，不能判“食神制杀”成立。</x:v>
      </x:c>
      <x:c r="AG26" s="68" t="str">
        <x:v>https://zh.wikisource.org/zh-hans/%E6%B7%B5%E6%B5%B7%E5%AD%90%E5%B9%B3 ; https://zh.wikisource.org/wiki/%E6%BB%B4%E5%A4%A9%E9%AB%93%E9%97%A1%E5%BE%AE</x:v>
      </x:c>
      <x:c r="AH26" s="82" t="str">
        <x:v>采用</x:v>
      </x:c>
      <x:c r="AI26" s="82" t="str">
        <x:v>初审</x:v>
      </x:c>
      <x:c r="AJ26" s="87" t="n">
        <x:v>46255</x:v>
      </x:c>
    </x:row>
    <x:row r="27">
      <x:c r="A27" s="72" t="str">
        <x:f>IF(OR(C27="",D27=""),"",B27&amp;"-"&amp;UPPER(C27)&amp;"-"&amp;TEXT(D27,"0000")&amp;"-"&amp;E27)</x:f>
        <x:v>M11-SHAYIN-0021-V1.0</x:v>
      </x:c>
      <x:c r="B27" s="74" t="str">
        <x:v>M11</x:v>
      </x:c>
      <x:c r="C27" s="74" t="str">
        <x:v>SHAYIN</x:v>
      </x:c>
      <x:c r="D27" s="215" t="n">
        <x:v>21</x:v>
      </x:c>
      <x:c r="E27" s="74" t="str">
        <x:v>V1.0</x:v>
      </x:c>
      <x:c r="F27" s="68" t="str">
        <x:v>七杀必须能够生印而非只直接攻身</x:v>
      </x:c>
      <x:c r="G27" s="82" t="str">
        <x:v>结构层</x:v>
      </x:c>
      <x:c r="H27" s="82" t="str">
        <x:v>生化型</x:v>
      </x:c>
      <x:c r="I27" s="68" t="str">
        <x:v>杀印相生</x:v>
      </x:c>
      <x:c r="J27" s="68" t="str">
        <x:v>七杀、印星</x:v>
      </x:c>
      <x:c r="K27" s="68" t="str">
        <x:v>七杀有效且存在向印星的生扶路径</x:v>
      </x:c>
      <x:c r="L27" s="68" t="str">
        <x:v>印星有效并能承接七杀之气</x:v>
      </x:c>
      <x:c r="M27" s="68" t="str">
        <x:v>七杀→印星路径连续</x:v>
      </x:c>
      <x:c r="N27" s="68" t="str">
        <x:v>相关十神均以M10有效力量为准，且不存在决定性失衡</x:v>
      </x:c>
      <x:c r="O27" s="68" t="str">
        <x:v>结合M09日主承载判断</x:v>
      </x:c>
      <x:c r="P27" s="68" t="str">
        <x:v>主体、客体、作用路径与力量匹配均达到最低要求</x:v>
      </x:c>
      <x:c r="Q27" s="68" t="str">
        <x:v>相关十神有根、有源、透达、清纯且关键通路稳定</x:v>
      </x:c>
      <x:c r="R27" s="90" t="str">
        <x:v>关键十神被合绊、被制、改性、失效或力量严重失衡</x:v>
      </x:c>
      <x:c r="S27" s="68" t="str">
        <x:v>存在第三十神恢复通路、清除破坏或重新形成平衡</x:v>
      </x:c>
      <x:c r="T27" s="90" t="str">
        <x:v>任一核心十神失效，或不存在真实作用路径</x:v>
      </x:c>
      <x:c r="U27" s="68" t="str">
        <x:v>特殊格局、从化或月令格局另转M14/M15复审</x:v>
      </x:c>
      <x:c r="V27" s="84" t="str">
        <x:v>基本成立</x:v>
      </x:c>
      <x:c r="W27" s="84" t="str">
        <x:v>将杀气导入印星</x:v>
      </x:c>
      <x:c r="X27" s="82" t="str">
        <x:v>条件性</x:v>
      </x:c>
      <x:c r="Y27" s="68" t="str">
        <x:v>杀印相生格候选</x:v>
      </x:c>
      <x:c r="Z27" s="84" t="str">
        <x:v>杀印相生_成立条件</x:v>
      </x:c>
      <x:c r="AA27" s="84" t="str">
        <x:v>杀印相生：当主体、客体、路径与力量匹配满足最低标准时，判“基本成立”；是否上升为格局转M14/M15。</x:v>
      </x:c>
      <x:c r="AB27" s="82" t="str">
        <x:v>较高</x:v>
      </x:c>
      <x:c r="AC27" s="82" t="str">
        <x:v>现代综合</x:v>
      </x:c>
      <x:c r="AD27" s="68" t="str">
        <x:v>十神同时出现不等于组合成立。M11须同时验证核心十神有效性、作用路径、力量匹配、日主承载、破坏因素与救应；组合成立也不等于格局成立。</x:v>
      </x:c>
      <x:c r="AE27" s="68" t="str">
        <x:v>七杀有效且存在向印星的生扶路径；印星有效并能承接七杀之气；作用路径稳定且无关键破坏，可按“杀印相生”记录。</x:v>
      </x:c>
      <x:c r="AF27" s="90" t="str">
        <x:v>仅因“七杀、印星”同时出现，但核心十神无力、无作用路径或被关键因素破坏，不能判“杀印相生”成立。</x:v>
      </x:c>
      <x:c r="AG27" s="68" t="str">
        <x:v>https://zh.wikisource.org/zh-hans/%E6%B7%B5%E6%B5%B7%E5%AD%90%E5%B9%B3 ; https://zh.wikisource.org/wiki/%E6%BB%B4%E5%A4%A9%E9%AB%93%E9%97%A1%E5%BE%AE</x:v>
      </x:c>
      <x:c r="AH27" s="82" t="str">
        <x:v>采用</x:v>
      </x:c>
      <x:c r="AI27" s="82" t="str">
        <x:v>初审</x:v>
      </x:c>
      <x:c r="AJ27" s="87" t="n">
        <x:v>46255</x:v>
      </x:c>
    </x:row>
    <x:row r="28">
      <x:c r="A28" s="72" t="str">
        <x:f>IF(OR(C28="",D28=""),"",B28&amp;"-"&amp;UPPER(C28)&amp;"-"&amp;TEXT(D28,"0000")&amp;"-"&amp;E28)</x:f>
        <x:v>M11-SHAYIN-0022-V1.0</x:v>
      </x:c>
      <x:c r="B28" s="74" t="str">
        <x:v>M11</x:v>
      </x:c>
      <x:c r="C28" s="74" t="str">
        <x:v>SHAYIN</x:v>
      </x:c>
      <x:c r="D28" s="215" t="n">
        <x:v>22</x:v>
      </x:c>
      <x:c r="E28" s="74" t="str">
        <x:v>V1.0</x:v>
      </x:c>
      <x:c r="F28" s="68" t="str">
        <x:v>印星必须能够继续生日主</x:v>
      </x:c>
      <x:c r="G28" s="82" t="str">
        <x:v>结构层</x:v>
      </x:c>
      <x:c r="H28" s="82" t="str">
        <x:v>生化型</x:v>
      </x:c>
      <x:c r="I28" s="68" t="str">
        <x:v>杀印相生</x:v>
      </x:c>
      <x:c r="J28" s="68" t="str">
        <x:v>七杀、印星、日主</x:v>
      </x:c>
      <x:c r="K28" s="68" t="str">
        <x:v>印星承接七杀后仍有能力生日主</x:v>
      </x:c>
      <x:c r="L28" s="68" t="str">
        <x:v>日主能够接受印星生扶</x:v>
      </x:c>
      <x:c r="M28" s="68" t="str">
        <x:v>七杀→印→日主链路完整</x:v>
      </x:c>
      <x:c r="N28" s="68" t="str">
        <x:v>相关十神均以M10有效力量为准，且不存在决定性失衡</x:v>
      </x:c>
      <x:c r="O28" s="68" t="str">
        <x:v>结合M09日主承载判断</x:v>
      </x:c>
      <x:c r="P28" s="68" t="str">
        <x:v>杀生印、印生身两段均有效</x:v>
      </x:c>
      <x:c r="Q28" s="68" t="str">
        <x:v>相关十神有根、有源、透达、清纯且关键通路稳定</x:v>
      </x:c>
      <x:c r="R28" s="90" t="str">
        <x:v>关键十神被合绊、被制、改性、失效或力量严重失衡</x:v>
      </x:c>
      <x:c r="S28" s="68" t="str">
        <x:v>存在第三十神恢复通路、清除破坏或重新形成平衡</x:v>
      </x:c>
      <x:c r="T28" s="90" t="str">
        <x:v>任一核心十神失效，或不存在真实作用路径</x:v>
      </x:c>
      <x:c r="U28" s="68" t="str">
        <x:v>特殊格局、从化或月令格局另转M14/M15复审</x:v>
      </x:c>
      <x:c r="V28" s="84" t="str">
        <x:v>基本成立</x:v>
      </x:c>
      <x:c r="W28" s="84" t="str">
        <x:v>形成局部生化、制化或承载结构</x:v>
      </x:c>
      <x:c r="X28" s="82" t="str">
        <x:v>条件性</x:v>
      </x:c>
      <x:c r="Y28" s="68" t="str">
        <x:v>对应格局候选转M14</x:v>
      </x:c>
      <x:c r="Z28" s="84" t="str">
        <x:v>杀印相生_完整链</x:v>
      </x:c>
      <x:c r="AA28" s="84" t="str">
        <x:v>杀印相生：当主体、客体、路径与力量匹配满足最低标准时，判“基本成立”；是否上升为格局转M14/M15。</x:v>
      </x:c>
      <x:c r="AB28" s="82" t="str">
        <x:v>较高</x:v>
      </x:c>
      <x:c r="AC28" s="82" t="str">
        <x:v>现代综合</x:v>
      </x:c>
      <x:c r="AD28" s="68" t="str">
        <x:v>十神同时出现不等于组合成立。M11须同时验证核心十神有效性、作用路径、力量匹配、日主承载、破坏因素与救应；组合成立也不等于格局成立。</x:v>
      </x:c>
      <x:c r="AE28" s="68" t="str">
        <x:v>印星承接七杀后仍有能力生日主；日主能够接受印星生扶；作用路径稳定且无关键破坏，可按“杀印相生”记录。</x:v>
      </x:c>
      <x:c r="AF28" s="90" t="str">
        <x:v>仅因“七杀、印星、日主”同时出现，但核心十神无力、无作用路径或被关键因素破坏，不能判“杀印相生”成立。</x:v>
      </x:c>
      <x:c r="AG28" s="68" t="str">
        <x:v>https://zh.wikisource.org/zh-hans/%E6%B7%B5%E6%B5%B7%E5%AD%90%E5%B9%B3 ; https://zh.wikisource.org/wiki/%E6%BB%B4%E5%A4%A9%E9%AB%93%E9%97%A1%E5%BE%AE</x:v>
      </x:c>
      <x:c r="AH28" s="82" t="str">
        <x:v>采用</x:v>
      </x:c>
      <x:c r="AI28" s="82" t="str">
        <x:v>初审</x:v>
      </x:c>
      <x:c r="AJ28" s="87" t="n">
        <x:v>46255</x:v>
      </x:c>
    </x:row>
    <x:row r="29">
      <x:c r="A29" s="72" t="str">
        <x:f>IF(OR(C29="",D29=""),"",B29&amp;"-"&amp;UPPER(C29)&amp;"-"&amp;TEXT(D29,"0000")&amp;"-"&amp;E29)</x:f>
        <x:v>M11-SHAYIN-0023-V1.0</x:v>
      </x:c>
      <x:c r="B29" s="74" t="str">
        <x:v>M11</x:v>
      </x:c>
      <x:c r="C29" s="74" t="str">
        <x:v>SHAYIN</x:v>
      </x:c>
      <x:c r="D29" s="215" t="n">
        <x:v>23</x:v>
      </x:c>
      <x:c r="E29" s="74" t="str">
        <x:v>V1.0</x:v>
      </x:c>
      <x:c r="F29" s="68" t="str">
        <x:v>印弱不能有效化杀时组合降级</x:v>
      </x:c>
      <x:c r="G29" s="82" t="str">
        <x:v>结构层</x:v>
      </x:c>
      <x:c r="H29" s="82" t="str">
        <x:v>生化型</x:v>
      </x:c>
      <x:c r="I29" s="68" t="str">
        <x:v>杀印相生</x:v>
      </x:c>
      <x:c r="J29" s="68" t="str">
        <x:v>七杀、印星</x:v>
      </x:c>
      <x:c r="K29" s="68" t="str">
        <x:v>七杀旺而印星弱、无根或受制</x:v>
      </x:c>
      <x:c r="L29" s="68" t="str">
        <x:v>印不足以承接杀气</x:v>
      </x:c>
      <x:c r="M29" s="68" t="str">
        <x:v>直接或可达的生克制化路径成立</x:v>
      </x:c>
      <x:c r="N29" s="68" t="str">
        <x:v>杀明显强于印</x:v>
      </x:c>
      <x:c r="O29" s="68" t="str">
        <x:v>结合M09日主承载判断</x:v>
      </x:c>
      <x:c r="P29" s="68" t="str">
        <x:v>主体、客体、作用路径与力量匹配均达到最低要求</x:v>
      </x:c>
      <x:c r="Q29" s="68" t="str">
        <x:v>相关十神有根、有源、透达、清纯且关键通路稳定</x:v>
      </x:c>
      <x:c r="R29" s="90" t="str">
        <x:v>关键十神被合绊、被制、改性、失效或力量严重失衡</x:v>
      </x:c>
      <x:c r="S29" s="68" t="str">
        <x:v>存在第三十神恢复通路、清除破坏或重新形成平衡</x:v>
      </x:c>
      <x:c r="T29" s="90" t="str">
        <x:v>任一核心十神失效，或不存在真实作用路径</x:v>
      </x:c>
      <x:c r="U29" s="68" t="str">
        <x:v>特殊格局、从化或月令格局另转M14/M15复审</x:v>
      </x:c>
      <x:c r="V29" s="84" t="str">
        <x:v>弱成立</x:v>
      </x:c>
      <x:c r="W29" s="84" t="str">
        <x:v>化杀不及</x:v>
      </x:c>
      <x:c r="X29" s="82" t="str">
        <x:v>否</x:v>
      </x:c>
      <x:c r="Y29" s="68" t="str">
        <x:v>对应格局候选转M14</x:v>
      </x:c>
      <x:c r="Z29" s="84" t="str">
        <x:v>杀印相生_印弱</x:v>
      </x:c>
      <x:c r="AA29" s="84" t="str">
        <x:v>杀印相生：当主体、客体、路径与力量匹配满足最低标准时，判“弱成立”；是否上升为格局转M14/M15。</x:v>
      </x:c>
      <x:c r="AB29" s="82" t="str">
        <x:v>较高</x:v>
      </x:c>
      <x:c r="AC29" s="82" t="str">
        <x:v>现代综合</x:v>
      </x:c>
      <x:c r="AD29" s="68" t="str">
        <x:v>十神同时出现不等于组合成立。M11须同时验证核心十神有效性、作用路径、力量匹配、日主承载、破坏因素与救应；组合成立也不等于格局成立。</x:v>
      </x:c>
      <x:c r="AE29" s="68" t="str">
        <x:v>七杀旺而印星弱、无根或受制；印不足以承接杀气；作用路径稳定且无关键破坏，可按“杀印相生”记录。</x:v>
      </x:c>
      <x:c r="AF29" s="90" t="str">
        <x:v>仅因“七杀、印星”同时出现，但核心十神无力、无作用路径或被关键因素破坏，不能判“杀印相生”成立。</x:v>
      </x:c>
      <x:c r="AG29" s="68" t="str">
        <x:v>https://zh.wikisource.org/zh-hans/%E6%B7%B5%E6%B5%B7%E5%AD%90%E5%B9%B3 ; https://zh.wikisource.org/wiki/%E6%BB%B4%E5%A4%A9%E9%AB%93%E9%97%A1%E5%BE%AE</x:v>
      </x:c>
      <x:c r="AH29" s="82" t="str">
        <x:v>采用</x:v>
      </x:c>
      <x:c r="AI29" s="82" t="str">
        <x:v>初审</x:v>
      </x:c>
      <x:c r="AJ29" s="87" t="n">
        <x:v>46255</x:v>
      </x:c>
    </x:row>
    <x:row r="30">
      <x:c r="A30" s="72" t="str">
        <x:f>IF(OR(C30="",D30=""),"",B30&amp;"-"&amp;UPPER(C30)&amp;"-"&amp;TEXT(D30,"0000")&amp;"-"&amp;E30)</x:f>
        <x:v>M11-SHAYIN-0024-V1.0</x:v>
      </x:c>
      <x:c r="B30" s="74" t="str">
        <x:v>M11</x:v>
      </x:c>
      <x:c r="C30" s="74" t="str">
        <x:v>SHAYIN</x:v>
      </x:c>
      <x:c r="D30" s="215" t="n">
        <x:v>24</x:v>
      </x:c>
      <x:c r="E30" s="74" t="str">
        <x:v>V1.0</x:v>
      </x:c>
      <x:c r="F30" s="68" t="str">
        <x:v>杀弱印旺时不以化杀为主要功能</x:v>
      </x:c>
      <x:c r="G30" s="82" t="str">
        <x:v>结构层</x:v>
      </x:c>
      <x:c r="H30" s="82" t="str">
        <x:v>生化型</x:v>
      </x:c>
      <x:c r="I30" s="68" t="str">
        <x:v>杀印相生</x:v>
      </x:c>
      <x:c r="J30" s="68" t="str">
        <x:v>七杀、印星</x:v>
      </x:c>
      <x:c r="K30" s="68" t="str">
        <x:v>七杀极弱或已被其他力量制住</x:v>
      </x:c>
      <x:c r="L30" s="68" t="str">
        <x:v>印星旺</x:v>
      </x:c>
      <x:c r="M30" s="68" t="str">
        <x:v>直接或可达的生克制化路径成立</x:v>
      </x:c>
      <x:c r="N30" s="68" t="str">
        <x:v>相关十神均以M10有效力量为准，且不存在决定性失衡</x:v>
      </x:c>
      <x:c r="O30" s="68" t="str">
        <x:v>结合M09日主承载判断</x:v>
      </x:c>
      <x:c r="P30" s="68" t="str">
        <x:v>缺少需要化解的有效杀气</x:v>
      </x:c>
      <x:c r="Q30" s="68" t="str">
        <x:v>相关十神有根、有源、透达、清纯且关键通路稳定</x:v>
      </x:c>
      <x:c r="R30" s="90" t="str">
        <x:v>关键十神被合绊、被制、改性、失效或力量严重失衡</x:v>
      </x:c>
      <x:c r="S30" s="68" t="str">
        <x:v>存在第三十神恢复通路、清除破坏或重新形成平衡</x:v>
      </x:c>
      <x:c r="T30" s="90" t="str">
        <x:v>任一核心十神失效，或不存在真实作用路径</x:v>
      </x:c>
      <x:c r="U30" s="68" t="str">
        <x:v>特殊格局、从化或月令格局另转M14/M15复审</x:v>
      </x:c>
      <x:c r="V30" s="84" t="str">
        <x:v>弱成立</x:v>
      </x:c>
      <x:c r="W30" s="84" t="str">
        <x:v>以印生身为主，杀印相生不主导</x:v>
      </x:c>
      <x:c r="X30" s="82" t="str">
        <x:v>否</x:v>
      </x:c>
      <x:c r="Y30" s="68" t="str">
        <x:v>对应格局候选转M14</x:v>
      </x:c>
      <x:c r="Z30" s="84" t="str">
        <x:v>杀印相生_杀弱</x:v>
      </x:c>
      <x:c r="AA30" s="84" t="str">
        <x:v>杀印相生：当主体、客体、路径与力量匹配满足最低标准时，判“弱成立”；是否上升为格局转M14/M15。</x:v>
      </x:c>
      <x:c r="AB30" s="82" t="str">
        <x:v>较高</x:v>
      </x:c>
      <x:c r="AC30" s="82" t="str">
        <x:v>现代综合</x:v>
      </x:c>
      <x:c r="AD30" s="68" t="str">
        <x:v>十神同时出现不等于组合成立。M11须同时验证核心十神有效性、作用路径、力量匹配、日主承载、破坏因素与救应；组合成立也不等于格局成立。</x:v>
      </x:c>
      <x:c r="AE30" s="68" t="str">
        <x:v>七杀极弱或已被其他力量制住；印星旺；作用路径稳定且无关键破坏，可按“杀印相生”记录。</x:v>
      </x:c>
      <x:c r="AF30" s="90" t="str">
        <x:v>仅因“七杀、印星”同时出现，但核心十神无力、无作用路径或被关键因素破坏，不能判“杀印相生”成立。</x:v>
      </x:c>
      <x:c r="AG30" s="68" t="str">
        <x:v>https://zh.wikisource.org/zh-hans/%E6%B7%B5%E6%B5%B7%E5%AD%90%E5%B9%B3 ; https://zh.wikisource.org/wiki/%E6%BB%B4%E5%A4%A9%E9%AB%93%E9%97%A1%E5%BE%AE</x:v>
      </x:c>
      <x:c r="AH30" s="82" t="str">
        <x:v>采用</x:v>
      </x:c>
      <x:c r="AI30" s="82" t="str">
        <x:v>初审</x:v>
      </x:c>
      <x:c r="AJ30" s="87" t="n">
        <x:v>46255</x:v>
      </x:c>
    </x:row>
    <x:row r="31">
      <x:c r="A31" s="72" t="str">
        <x:f>IF(OR(C31="",D31=""),"",B31&amp;"-"&amp;UPPER(C31)&amp;"-"&amp;TEXT(D31,"0000")&amp;"-"&amp;E31)</x:f>
        <x:v>M11-SHAYIN-0025-V1.0</x:v>
      </x:c>
      <x:c r="B31" s="74" t="str">
        <x:v>M11</x:v>
      </x:c>
      <x:c r="C31" s="74" t="str">
        <x:v>SHAYIN</x:v>
      </x:c>
      <x:c r="D31" s="215" t="n">
        <x:v>25</x:v>
      </x:c>
      <x:c r="E31" s="74" t="str">
        <x:v>V1.0</x:v>
      </x:c>
      <x:c r="F31" s="68" t="str">
        <x:v>财坏印会切断杀印相生链</x:v>
      </x:c>
      <x:c r="G31" s="82" t="str">
        <x:v>结构层</x:v>
      </x:c>
      <x:c r="H31" s="82" t="str">
        <x:v>生化型</x:v>
      </x:c>
      <x:c r="I31" s="68" t="str">
        <x:v>杀印相生</x:v>
      </x:c>
      <x:c r="J31" s="68" t="str">
        <x:v>七杀、印星、财星</x:v>
      </x:c>
      <x:c r="K31" s="68" t="str">
        <x:v>财星对印星形成实质强制</x:v>
      </x:c>
      <x:c r="L31" s="68" t="str">
        <x:v>印星承接和生身功能下降</x:v>
      </x:c>
      <x:c r="M31" s="68" t="str">
        <x:v>直接或可达的生克制化路径成立</x:v>
      </x:c>
      <x:c r="N31" s="68" t="str">
        <x:v>相关十神均以M10有效力量为准，且不存在决定性失衡</x:v>
      </x:c>
      <x:c r="O31" s="68" t="str">
        <x:v>结合M09日主承载判断</x:v>
      </x:c>
      <x:c r="P31" s="68" t="str">
        <x:v>主体、客体、作用路径与力量匹配均达到最低要求</x:v>
      </x:c>
      <x:c r="Q31" s="68" t="str">
        <x:v>相关十神有根、有源、透达、清纯且关键通路稳定</x:v>
      </x:c>
      <x:c r="R31" s="90" t="str">
        <x:v>关键印星受财克至受限或失效</x:v>
      </x:c>
      <x:c r="S31" s="68" t="str">
        <x:v>存在第三十神恢复通路、清除破坏或重新形成平衡</x:v>
      </x:c>
      <x:c r="T31" s="90" t="str">
        <x:v>任一核心十神失效，或不存在真实作用路径</x:v>
      </x:c>
      <x:c r="U31" s="68" t="str">
        <x:v>特殊格局、从化或月令格局另转M14/M15复审</x:v>
      </x:c>
      <x:c r="V31" s="84" t="str">
        <x:v>不成立</x:v>
      </x:c>
      <x:c r="W31" s="84" t="str">
        <x:v>形成局部生化、制化或承载结构</x:v>
      </x:c>
      <x:c r="X31" s="82" t="str">
        <x:v>否</x:v>
      </x:c>
      <x:c r="Y31" s="68" t="str">
        <x:v>对应格局候选转M14</x:v>
      </x:c>
      <x:c r="Z31" s="84" t="str">
        <x:v>杀印相生_财坏印</x:v>
      </x:c>
      <x:c r="AA31" s="84" t="str">
        <x:v>杀印相生：当主体、客体、路径与力量匹配满足最低标准时，判“不成立”；是否上升为格局转M14/M15。</x:v>
      </x:c>
      <x:c r="AB31" s="82" t="str">
        <x:v>较高</x:v>
      </x:c>
      <x:c r="AC31" s="82" t="str">
        <x:v>现代综合</x:v>
      </x:c>
      <x:c r="AD31" s="68" t="str">
        <x:v>十神同时出现不等于组合成立。M11须同时验证核心十神有效性、作用路径、力量匹配、日主承载、破坏因素与救应；组合成立也不等于格局成立。</x:v>
      </x:c>
      <x:c r="AE31" s="68" t="str">
        <x:v>财星对印星形成实质强制；印星承接和生身功能下降；作用路径稳定且无关键破坏，可按“杀印相生”记录。</x:v>
      </x:c>
      <x:c r="AF31" s="90" t="str">
        <x:v>仅因“七杀、印星、财星”同时出现，但核心十神无力、无作用路径或被关键因素破坏，不能判“杀印相生”成立。</x:v>
      </x:c>
      <x:c r="AG31" s="68" t="str">
        <x:v>https://zh.wikisource.org/zh-hans/%E6%B7%B5%E6%B5%B7%E5%AD%90%E5%B9%B3 ; https://zh.wikisource.org/wiki/%E6%BB%B4%E5%A4%A9%E9%AB%93%E9%97%A1%E5%BE%AE</x:v>
      </x:c>
      <x:c r="AH31" s="82" t="str">
        <x:v>采用</x:v>
      </x:c>
      <x:c r="AI31" s="82" t="str">
        <x:v>初审</x:v>
      </x:c>
      <x:c r="AJ31" s="87" t="n">
        <x:v>46255</x:v>
      </x:c>
    </x:row>
    <x:row r="32">
      <x:c r="A32" s="72" t="str">
        <x:f>IF(OR(C32="",D32=""),"",B32&amp;"-"&amp;UPPER(C32)&amp;"-"&amp;TEXT(D32,"0000")&amp;"-"&amp;E32)</x:f>
        <x:v>M11-SHAYIN-0026-V1.0</x:v>
      </x:c>
      <x:c r="B32" s="74" t="str">
        <x:v>M11</x:v>
      </x:c>
      <x:c r="C32" s="74" t="str">
        <x:v>SHAYIN</x:v>
      </x:c>
      <x:c r="D32" s="215" t="n">
        <x:v>26</x:v>
      </x:c>
      <x:c r="E32" s="74" t="str">
        <x:v>V1.0</x:v>
      </x:c>
      <x:c r="F32" s="68" t="str">
        <x:v>比劫可增强印生身后的承载</x:v>
      </x:c>
      <x:c r="G32" s="82" t="str">
        <x:v>结构层</x:v>
      </x:c>
      <x:c r="H32" s="82" t="str">
        <x:v>生化型</x:v>
      </x:c>
      <x:c r="I32" s="68" t="str">
        <x:v>杀印相生</x:v>
      </x:c>
      <x:c r="J32" s="68" t="str">
        <x:v>七杀、印星、比劫</x:v>
      </x:c>
      <x:c r="K32" s="68" t="str">
        <x:v>杀印链成立</x:v>
      </x:c>
      <x:c r="L32" s="68" t="str">
        <x:v>比劫提供额外同类承载</x:v>
      </x:c>
      <x:c r="M32" s="68" t="str">
        <x:v>直接或可达的生克制化路径成立</x:v>
      </x:c>
      <x:c r="N32" s="68" t="str">
        <x:v>相关十神均以M10有效力量为准，且不存在决定性失衡</x:v>
      </x:c>
      <x:c r="O32" s="68" t="str">
        <x:v>结合M09日主承载判断</x:v>
      </x:c>
      <x:c r="P32" s="68" t="str">
        <x:v>主体、客体、作用路径与力量匹配均达到最低要求</x:v>
      </x:c>
      <x:c r="Q32" s="68" t="str">
        <x:v>印比连续扶身且不破坏其他关键结构</x:v>
      </x:c>
      <x:c r="R32" s="90" t="str">
        <x:v>关键十神被合绊、被制、改性、失效或力量严重失衡</x:v>
      </x:c>
      <x:c r="S32" s="68" t="str">
        <x:v>存在第三十神恢复通路、清除破坏或重新形成平衡</x:v>
      </x:c>
      <x:c r="T32" s="90" t="str">
        <x:v>任一核心十神失效，或不存在真实作用路径</x:v>
      </x:c>
      <x:c r="U32" s="68" t="str">
        <x:v>特殊格局、从化或月令格局另转M14/M15复审</x:v>
      </x:c>
      <x:c r="V32" s="84" t="str">
        <x:v>明显成立</x:v>
      </x:c>
      <x:c r="W32" s="84" t="str">
        <x:v>形成局部生化、制化或承载结构</x:v>
      </x:c>
      <x:c r="X32" s="82" t="str">
        <x:v>条件性</x:v>
      </x:c>
      <x:c r="Y32" s="68" t="str">
        <x:v>对应格局候选转M14</x:v>
      </x:c>
      <x:c r="Z32" s="84" t="str">
        <x:v>杀印相生_印比增强</x:v>
      </x:c>
      <x:c r="AA32" s="84" t="str">
        <x:v>杀印相生：当主体、客体、路径与力量匹配满足最低标准时，判“明显成立”；是否上升为格局转M14/M15。</x:v>
      </x:c>
      <x:c r="AB32" s="82" t="str">
        <x:v>较高</x:v>
      </x:c>
      <x:c r="AC32" s="82" t="str">
        <x:v>现代综合</x:v>
      </x:c>
      <x:c r="AD32" s="68" t="str">
        <x:v>十神同时出现不等于组合成立。M11须同时验证核心十神有效性、作用路径、力量匹配、日主承载、破坏因素与救应；组合成立也不等于格局成立。</x:v>
      </x:c>
      <x:c r="AE32" s="68" t="str">
        <x:v>杀印链成立；比劫提供额外同类承载；作用路径稳定且无关键破坏，可按“杀印相生”记录。</x:v>
      </x:c>
      <x:c r="AF32" s="90" t="str">
        <x:v>仅因“七杀、印星、比劫”同时出现，但核心十神无力、无作用路径或被关键因素破坏，不能判“杀印相生”成立。</x:v>
      </x:c>
      <x:c r="AG32" s="68" t="str">
        <x:v>https://zh.wikisource.org/zh-hans/%E6%B7%B5%E6%B5%B7%E5%AD%90%E5%B9%B3 ; https://zh.wikisource.org/wiki/%E6%BB%B4%E5%A4%A9%E9%AB%93%E9%97%A1%E5%BE%AE</x:v>
      </x:c>
      <x:c r="AH32" s="82" t="str">
        <x:v>采用</x:v>
      </x:c>
      <x:c r="AI32" s="82" t="str">
        <x:v>初审</x:v>
      </x:c>
      <x:c r="AJ32" s="87" t="n">
        <x:v>46255</x:v>
      </x:c>
    </x:row>
    <x:row r="33">
      <x:c r="A33" s="72" t="str">
        <x:f>IF(OR(C33="",D33=""),"",B33&amp;"-"&amp;UPPER(C33)&amp;"-"&amp;TEXT(D33,"0000")&amp;"-"&amp;E33)</x:f>
        <x:v>M11-SHAYIN-0027-V1.0</x:v>
      </x:c>
      <x:c r="B33" s="74" t="str">
        <x:v>M11</x:v>
      </x:c>
      <x:c r="C33" s="74" t="str">
        <x:v>SHAYIN</x:v>
      </x:c>
      <x:c r="D33" s="215" t="n">
        <x:v>27</x:v>
      </x:c>
      <x:c r="E33" s="74" t="str">
        <x:v>V1.0</x:v>
      </x:c>
      <x:c r="F33" s="68" t="str">
        <x:v>食神强制杀会与印化杀形成路线竞争</x:v>
      </x:c>
      <x:c r="G33" s="82" t="str">
        <x:v>结构层</x:v>
      </x:c>
      <x:c r="H33" s="82" t="str">
        <x:v>生化型</x:v>
      </x:c>
      <x:c r="I33" s="68" t="str">
        <x:v>杀印相生</x:v>
      </x:c>
      <x:c r="J33" s="68" t="str">
        <x:v>七杀、印星、食神</x:v>
      </x:c>
      <x:c r="K33" s="68" t="str">
        <x:v>食神制杀与印化杀同时存在</x:v>
      </x:c>
      <x:c r="L33" s="68" t="str">
        <x:v>七杀力量被两条路径共同调用</x:v>
      </x:c>
      <x:c r="M33" s="68" t="str">
        <x:v>直接或可达的生克制化路径成立</x:v>
      </x:c>
      <x:c r="N33" s="68" t="str">
        <x:v>相关十神均以M10有效力量为准，且不存在决定性失衡</x:v>
      </x:c>
      <x:c r="O33" s="68" t="str">
        <x:v>结合M09日主承载判断</x:v>
      </x:c>
      <x:c r="P33" s="68" t="str">
        <x:v>主体、客体、作用路径与力量匹配均达到最低要求</x:v>
      </x:c>
      <x:c r="Q33" s="68" t="str">
        <x:v>相关十神有根、有源、透达、清纯且关键通路稳定</x:v>
      </x:c>
      <x:c r="R33" s="90" t="str">
        <x:v>制杀与化杀争夺同一杀气，导致任一路径容量不足</x:v>
      </x:c>
      <x:c r="S33" s="68" t="str">
        <x:v>存在第三十神恢复通路、清除破坏或重新形成平衡</x:v>
      </x:c>
      <x:c r="T33" s="90" t="str">
        <x:v>任一核心十神失效，或不存在真实作用路径</x:v>
      </x:c>
      <x:c r="U33" s="68" t="str">
        <x:v>特殊格局、从化或月令格局另转M14/M15复审</x:v>
      </x:c>
      <x:c r="V33" s="84" t="str">
        <x:v>基本成立</x:v>
      </x:c>
      <x:c r="W33" s="84" t="str">
        <x:v>形成局部生化、制化或承载结构</x:v>
      </x:c>
      <x:c r="X33" s="82" t="str">
        <x:v>条件性</x:v>
      </x:c>
      <x:c r="Y33" s="68" t="str">
        <x:v>对应格局候选转M14</x:v>
      </x:c>
      <x:c r="Z33" s="84" t="str">
        <x:v>杀印相生_制化并见</x:v>
      </x:c>
      <x:c r="AA33" s="84" t="str">
        <x:v>杀印相生：当主体、客体、路径与力量匹配满足最低标准时，判“基本成立”；是否上升为格局转M14/M15。</x:v>
      </x:c>
      <x:c r="AB33" s="82" t="str">
        <x:v>较高</x:v>
      </x:c>
      <x:c r="AC33" s="82" t="str">
        <x:v>现代综合</x:v>
      </x:c>
      <x:c r="AD33" s="68" t="str">
        <x:v>十神同时出现不等于组合成立。M11须同时验证核心十神有效性、作用路径、力量匹配、日主承载、破坏因素与救应；组合成立也不等于格局成立。</x:v>
      </x:c>
      <x:c r="AE33" s="68" t="str">
        <x:v>食神制杀与印化杀同时存在；七杀力量被两条路径共同调用；作用路径稳定且无关键破坏，可按“杀印相生”记录。</x:v>
      </x:c>
      <x:c r="AF33" s="90" t="str">
        <x:v>仅因“七杀、印星、食神”同时出现，但核心十神无力、无作用路径或被关键因素破坏，不能判“杀印相生”成立。</x:v>
      </x:c>
      <x:c r="AG33" s="68" t="str">
        <x:v>https://zh.wikisource.org/zh-hans/%E6%B7%B5%E6%B5%B7%E5%AD%90%E5%B9%B3 ; https://zh.wikisource.org/wiki/%E6%BB%B4%E5%A4%A9%E9%AB%93%E9%97%A1%E5%BE%AE</x:v>
      </x:c>
      <x:c r="AH33" s="82" t="str">
        <x:v>采用</x:v>
      </x:c>
      <x:c r="AI33" s="82" t="str">
        <x:v>初审</x:v>
      </x:c>
      <x:c r="AJ33" s="87" t="n">
        <x:v>46255</x:v>
      </x:c>
    </x:row>
    <x:row r="34">
      <x:c r="A34" s="72" t="str">
        <x:f>IF(OR(C34="",D34=""),"",B34&amp;"-"&amp;UPPER(C34)&amp;"-"&amp;TEXT(D34,"0000")&amp;"-"&amp;E34)</x:f>
        <x:v>M11-SHAYIN-0028-V1.0</x:v>
      </x:c>
      <x:c r="B34" s="74" t="str">
        <x:v>M11</x:v>
      </x:c>
      <x:c r="C34" s="74" t="str">
        <x:v>SHAYIN</x:v>
      </x:c>
      <x:c r="D34" s="215" t="n">
        <x:v>28</x:v>
      </x:c>
      <x:c r="E34" s="74" t="str">
        <x:v>V1.0</x:v>
      </x:c>
      <x:c r="F34" s="68" t="str">
        <x:v>杀印链连续且比例协调可判明显成立</x:v>
      </x:c>
      <x:c r="G34" s="82" t="str">
        <x:v>结构层</x:v>
      </x:c>
      <x:c r="H34" s="82" t="str">
        <x:v>生化型</x:v>
      </x:c>
      <x:c r="I34" s="68" t="str">
        <x:v>杀印相生</x:v>
      </x:c>
      <x:c r="J34" s="68" t="str">
        <x:v>七杀、印星</x:v>
      </x:c>
      <x:c r="K34" s="68" t="str">
        <x:v>七杀有力、印星有力、印可生身</x:v>
      </x:c>
      <x:c r="L34" s="68" t="str">
        <x:v>无财破印、无关键合化阻断</x:v>
      </x:c>
      <x:c r="M34" s="68" t="str">
        <x:v>直接或可达的生克制化路径成立</x:v>
      </x:c>
      <x:c r="N34" s="68" t="str">
        <x:v>杀印力量匹配且日主能承载</x:v>
      </x:c>
      <x:c r="O34" s="68" t="str">
        <x:v>结合M09日主承载判断</x:v>
      </x:c>
      <x:c r="P34" s="68" t="str">
        <x:v>主体、客体、作用路径与力量匹配均达到最低要求</x:v>
      </x:c>
      <x:c r="Q34" s="68" t="str">
        <x:v>相关十神有根、有源、透达、清纯且关键通路稳定</x:v>
      </x:c>
      <x:c r="R34" s="90" t="str">
        <x:v>关键十神被合绊、被制、改性、失效或力量严重失衡</x:v>
      </x:c>
      <x:c r="S34" s="68" t="str">
        <x:v>存在第三十神恢复通路、清除破坏或重新形成平衡</x:v>
      </x:c>
      <x:c r="T34" s="90" t="str">
        <x:v>任一核心十神失效，或不存在真实作用路径</x:v>
      </x:c>
      <x:c r="U34" s="68" t="str">
        <x:v>特殊格局、从化或月令格局另转M14/M15复审</x:v>
      </x:c>
      <x:c r="V34" s="84" t="str">
        <x:v>明显成立</x:v>
      </x:c>
      <x:c r="W34" s="84" t="str">
        <x:v>形成局部生化、制化或承载结构</x:v>
      </x:c>
      <x:c r="X34" s="82" t="str">
        <x:v>条件性</x:v>
      </x:c>
      <x:c r="Y34" s="68" t="str">
        <x:v>对应格局候选转M14</x:v>
      </x:c>
      <x:c r="Z34" s="84" t="str">
        <x:v>杀印相生_明显成立</x:v>
      </x:c>
      <x:c r="AA34" s="84" t="str">
        <x:v>杀印相生：当主体、客体、路径与力量匹配满足最低标准时，判“明显成立”；是否上升为格局转M14/M15。</x:v>
      </x:c>
      <x:c r="AB34" s="82" t="str">
        <x:v>较高</x:v>
      </x:c>
      <x:c r="AC34" s="82" t="str">
        <x:v>现代综合</x:v>
      </x:c>
      <x:c r="AD34" s="68" t="str">
        <x:v>十神同时出现不等于组合成立。M11须同时验证核心十神有效性、作用路径、力量匹配、日主承载、破坏因素与救应；组合成立也不等于格局成立。</x:v>
      </x:c>
      <x:c r="AE34" s="68" t="str">
        <x:v>七杀有力、印星有力、印可生身；无财破印、无关键合化阻断；作用路径稳定且无关键破坏，可按“杀印相生”记录。</x:v>
      </x:c>
      <x:c r="AF34" s="90" t="str">
        <x:v>仅因“七杀、印星”同时出现，但核心十神无力、无作用路径或被关键因素破坏，不能判“杀印相生”成立。</x:v>
      </x:c>
      <x:c r="AG34" s="68" t="str">
        <x:v>https://zh.wikisource.org/zh-hans/%E6%B7%B5%E6%B5%B7%E5%AD%90%E5%B9%B3 ; https://zh.wikisource.org/wiki/%E6%BB%B4%E5%A4%A9%E9%AB%93%E9%97%A1%E5%BE%AE</x:v>
      </x:c>
      <x:c r="AH34" s="82" t="str">
        <x:v>采用</x:v>
      </x:c>
      <x:c r="AI34" s="82" t="str">
        <x:v>初审</x:v>
      </x:c>
      <x:c r="AJ34" s="87" t="n">
        <x:v>46255</x:v>
      </x:c>
    </x:row>
    <x:row r="35">
      <x:c r="A35" s="72" t="str">
        <x:f>IF(OR(C35="",D35=""),"",B35&amp;"-"&amp;UPPER(C35)&amp;"-"&amp;TEXT(D35,"0000")&amp;"-"&amp;E35)</x:f>
        <x:v>M11-GUANYIN-0029-V1.0</x:v>
      </x:c>
      <x:c r="B35" s="74" t="str">
        <x:v>M11</x:v>
      </x:c>
      <x:c r="C35" s="74" t="str">
        <x:v>GUANYIN</x:v>
      </x:c>
      <x:c r="D35" s="215" t="n">
        <x:v>29</x:v>
      </x:c>
      <x:c r="E35" s="74" t="str">
        <x:v>V1.0</x:v>
      </x:c>
      <x:c r="F35" s="68" t="str">
        <x:v>正官应真实有效并能够生印</x:v>
      </x:c>
      <x:c r="G35" s="82" t="str">
        <x:v>结构层</x:v>
      </x:c>
      <x:c r="H35" s="82" t="str">
        <x:v>生化型</x:v>
      </x:c>
      <x:c r="I35" s="68" t="str">
        <x:v>官印相生</x:v>
      </x:c>
      <x:c r="J35" s="68" t="str">
        <x:v>正官、印星</x:v>
      </x:c>
      <x:c r="K35" s="68" t="str">
        <x:v>正官有效且生印路径存在</x:v>
      </x:c>
      <x:c r="L35" s="68" t="str">
        <x:v>印星有效并可承接官气</x:v>
      </x:c>
      <x:c r="M35" s="68" t="str">
        <x:v>正官→印星链路连续</x:v>
      </x:c>
      <x:c r="N35" s="68" t="str">
        <x:v>相关十神均以M10有效力量为准，且不存在决定性失衡</x:v>
      </x:c>
      <x:c r="O35" s="68" t="str">
        <x:v>结合M09日主承载判断</x:v>
      </x:c>
      <x:c r="P35" s="68" t="str">
        <x:v>主体、客体、作用路径与力量匹配均达到最低要求</x:v>
      </x:c>
      <x:c r="Q35" s="68" t="str">
        <x:v>相关十神有根、有源、透达、清纯且关键通路稳定</x:v>
      </x:c>
      <x:c r="R35" s="90" t="str">
        <x:v>关键十神被合绊、被制、改性、失效或力量严重失衡</x:v>
      </x:c>
      <x:c r="S35" s="68" t="str">
        <x:v>存在第三十神恢复通路、清除破坏或重新形成平衡</x:v>
      </x:c>
      <x:c r="T35" s="90" t="str">
        <x:v>任一核心十神失效，或不存在真实作用路径</x:v>
      </x:c>
      <x:c r="U35" s="68" t="str">
        <x:v>特殊格局、从化或月令格局另转M14/M15复审</x:v>
      </x:c>
      <x:c r="V35" s="84" t="str">
        <x:v>基本成立</x:v>
      </x:c>
      <x:c r="W35" s="84" t="str">
        <x:v>官气转为印星资源</x:v>
      </x:c>
      <x:c r="X35" s="82" t="str">
        <x:v>条件性</x:v>
      </x:c>
      <x:c r="Y35" s="68" t="str">
        <x:v>官印相生格候选</x:v>
      </x:c>
      <x:c r="Z35" s="84" t="str">
        <x:v>官印相生_成立条件</x:v>
      </x:c>
      <x:c r="AA35" s="84" t="str">
        <x:v>官印相生：当主体、客体、路径与力量匹配满足最低标准时，判“基本成立”；是否上升为格局转M14/M15。</x:v>
      </x:c>
      <x:c r="AB35" s="82" t="str">
        <x:v>较高</x:v>
      </x:c>
      <x:c r="AC35" s="82" t="str">
        <x:v>现代综合</x:v>
      </x:c>
      <x:c r="AD35" s="68" t="str">
        <x:v>十神同时出现不等于组合成立。M11须同时验证核心十神有效性、作用路径、力量匹配、日主承载、破坏因素与救应；组合成立也不等于格局成立。</x:v>
      </x:c>
      <x:c r="AE35" s="68" t="str">
        <x:v>正官有效且生印路径存在；印星有效并可承接官气；作用路径稳定且无关键破坏，可按“官印相生”记录。</x:v>
      </x:c>
      <x:c r="AF35" s="90" t="str">
        <x:v>仅因“正官、印星”同时出现，但核心十神无力、无作用路径或被关键因素破坏，不能判“官印相生”成立。</x:v>
      </x:c>
      <x:c r="AG35" s="68" t="str">
        <x:v>https://zh.wikisource.org/zh-hans/%E6%B7%B5%E6%B5%B7%E5%AD%90%E5%B9%B3 ; https://zh.wikisource.org/wiki/%E6%BB%B4%E5%A4%A9%E9%AB%93%E9%97%A1%E5%BE%AE</x:v>
      </x:c>
      <x:c r="AH35" s="82" t="str">
        <x:v>采用</x:v>
      </x:c>
      <x:c r="AI35" s="82" t="str">
        <x:v>初审</x:v>
      </x:c>
      <x:c r="AJ35" s="87" t="n">
        <x:v>46255</x:v>
      </x:c>
    </x:row>
    <x:row r="36">
      <x:c r="A36" s="72" t="str">
        <x:f>IF(OR(C36="",D36=""),"",B36&amp;"-"&amp;UPPER(C36)&amp;"-"&amp;TEXT(D36,"0000")&amp;"-"&amp;E36)</x:f>
        <x:v>M11-GUANYIN-0030-V1.0</x:v>
      </x:c>
      <x:c r="B36" s="74" t="str">
        <x:v>M11</x:v>
      </x:c>
      <x:c r="C36" s="74" t="str">
        <x:v>GUANYIN</x:v>
      </x:c>
      <x:c r="D36" s="215" t="n">
        <x:v>30</x:v>
      </x:c>
      <x:c r="E36" s="74" t="str">
        <x:v>V1.0</x:v>
      </x:c>
      <x:c r="F36" s="68" t="str">
        <x:v>印星必须继续生日主形成完整链</x:v>
      </x:c>
      <x:c r="G36" s="82" t="str">
        <x:v>结构层</x:v>
      </x:c>
      <x:c r="H36" s="82" t="str">
        <x:v>生化型</x:v>
      </x:c>
      <x:c r="I36" s="68" t="str">
        <x:v>官印相生</x:v>
      </x:c>
      <x:c r="J36" s="68" t="str">
        <x:v>正官、印星、日主</x:v>
      </x:c>
      <x:c r="K36" s="68" t="str">
        <x:v>印星有力</x:v>
      </x:c>
      <x:c r="L36" s="68" t="str">
        <x:v>日主可承接印星生扶</x:v>
      </x:c>
      <x:c r="M36" s="68" t="str">
        <x:v>官→印→身连续</x:v>
      </x:c>
      <x:c r="N36" s="68" t="str">
        <x:v>相关十神均以M10有效力量为准，且不存在决定性失衡</x:v>
      </x:c>
      <x:c r="O36" s="68" t="str">
        <x:v>结合M09日主承载判断</x:v>
      </x:c>
      <x:c r="P36" s="68" t="str">
        <x:v>官生印、印生身均有效</x:v>
      </x:c>
      <x:c r="Q36" s="68" t="str">
        <x:v>相关十神有根、有源、透达、清纯且关键通路稳定</x:v>
      </x:c>
      <x:c r="R36" s="90" t="str">
        <x:v>关键十神被合绊、被制、改性、失效或力量严重失衡</x:v>
      </x:c>
      <x:c r="S36" s="68" t="str">
        <x:v>存在第三十神恢复通路、清除破坏或重新形成平衡</x:v>
      </x:c>
      <x:c r="T36" s="90" t="str">
        <x:v>任一核心十神失效，或不存在真实作用路径</x:v>
      </x:c>
      <x:c r="U36" s="68" t="str">
        <x:v>特殊格局、从化或月令格局另转M14/M15复审</x:v>
      </x:c>
      <x:c r="V36" s="84" t="str">
        <x:v>基本成立</x:v>
      </x:c>
      <x:c r="W36" s="84" t="str">
        <x:v>形成局部生化、制化或承载结构</x:v>
      </x:c>
      <x:c r="X36" s="82" t="str">
        <x:v>条件性</x:v>
      </x:c>
      <x:c r="Y36" s="68" t="str">
        <x:v>对应格局候选转M14</x:v>
      </x:c>
      <x:c r="Z36" s="84" t="str">
        <x:v>官印相生_完整链</x:v>
      </x:c>
      <x:c r="AA36" s="84" t="str">
        <x:v>官印相生：当主体、客体、路径与力量匹配满足最低标准时，判“基本成立”；是否上升为格局转M14/M15。</x:v>
      </x:c>
      <x:c r="AB36" s="82" t="str">
        <x:v>较高</x:v>
      </x:c>
      <x:c r="AC36" s="82" t="str">
        <x:v>现代综合</x:v>
      </x:c>
      <x:c r="AD36" s="68" t="str">
        <x:v>十神同时出现不等于组合成立。M11须同时验证核心十神有效性、作用路径、力量匹配、日主承载、破坏因素与救应；组合成立也不等于格局成立。</x:v>
      </x:c>
      <x:c r="AE36" s="68" t="str">
        <x:v>印星有力；日主可承接印星生扶；作用路径稳定且无关键破坏，可按“官印相生”记录。</x:v>
      </x:c>
      <x:c r="AF36" s="90" t="str">
        <x:v>仅因“正官、印星、日主”同时出现，但核心十神无力、无作用路径或被关键因素破坏，不能判“官印相生”成立。</x:v>
      </x:c>
      <x:c r="AG36" s="68" t="str">
        <x:v>https://zh.wikisource.org/zh-hans/%E6%B7%B5%E6%B5%B7%E5%AD%90%E5%B9%B3 ; https://zh.wikisource.org/wiki/%E6%BB%B4%E5%A4%A9%E9%AB%93%E9%97%A1%E5%BE%AE</x:v>
      </x:c>
      <x:c r="AH36" s="82" t="str">
        <x:v>采用</x:v>
      </x:c>
      <x:c r="AI36" s="82" t="str">
        <x:v>初审</x:v>
      </x:c>
      <x:c r="AJ36" s="87" t="n">
        <x:v>46255</x:v>
      </x:c>
    </x:row>
    <x:row r="37">
      <x:c r="A37" s="72" t="str">
        <x:f>IF(OR(C37="",D37=""),"",B37&amp;"-"&amp;UPPER(C37)&amp;"-"&amp;TEXT(D37,"0000")&amp;"-"&amp;E37)</x:f>
        <x:v>M11-GUANYIN-0031-V1.0</x:v>
      </x:c>
      <x:c r="B37" s="74" t="str">
        <x:v>M11</x:v>
      </x:c>
      <x:c r="C37" s="74" t="str">
        <x:v>GUANYIN</x:v>
      </x:c>
      <x:c r="D37" s="215" t="n">
        <x:v>31</x:v>
      </x:c>
      <x:c r="E37" s="74" t="str">
        <x:v>V1.0</x:v>
      </x:c>
      <x:c r="F37" s="68" t="str">
        <x:v>官弱无根时相生功能有限</x:v>
      </x:c>
      <x:c r="G37" s="82" t="str">
        <x:v>结构层</x:v>
      </x:c>
      <x:c r="H37" s="82" t="str">
        <x:v>生化型</x:v>
      </x:c>
      <x:c r="I37" s="68" t="str">
        <x:v>官印相生</x:v>
      </x:c>
      <x:c r="J37" s="68" t="str">
        <x:v>正官、印星</x:v>
      </x:c>
      <x:c r="K37" s="68" t="str">
        <x:v>正官仅名义存在或极弱</x:v>
      </x:c>
      <x:c r="L37" s="68" t="str">
        <x:v>印星虽有力但缺乏有效官源</x:v>
      </x:c>
      <x:c r="M37" s="68" t="str">
        <x:v>直接或可达的生克制化路径成立</x:v>
      </x:c>
      <x:c r="N37" s="68" t="str">
        <x:v>相关十神均以M10有效力量为准，且不存在决定性失衡</x:v>
      </x:c>
      <x:c r="O37" s="68" t="str">
        <x:v>结合M09日主承载判断</x:v>
      </x:c>
      <x:c r="P37" s="68" t="str">
        <x:v>主体、客体、作用路径与力量匹配均达到最低要求</x:v>
      </x:c>
      <x:c r="Q37" s="68" t="str">
        <x:v>相关十神有根、有源、透达、清纯且关键通路稳定</x:v>
      </x:c>
      <x:c r="R37" s="90" t="str">
        <x:v>关键十神被合绊、被制、改性、失效或力量严重失衡</x:v>
      </x:c>
      <x:c r="S37" s="68" t="str">
        <x:v>存在第三十神恢复通路、清除破坏或重新形成平衡</x:v>
      </x:c>
      <x:c r="T37" s="90" t="str">
        <x:v>任一核心十神失效，或不存在真实作用路径</x:v>
      </x:c>
      <x:c r="U37" s="68" t="str">
        <x:v>特殊格局、从化或月令格局另转M14/M15复审</x:v>
      </x:c>
      <x:c r="V37" s="84" t="str">
        <x:v>弱成立</x:v>
      </x:c>
      <x:c r="W37" s="84" t="str">
        <x:v>以印生身为主，官印链弱</x:v>
      </x:c>
      <x:c r="X37" s="82" t="str">
        <x:v>否</x:v>
      </x:c>
      <x:c r="Y37" s="68" t="str">
        <x:v>对应格局候选转M14</x:v>
      </x:c>
      <x:c r="Z37" s="84" t="str">
        <x:v>官印相生_官弱</x:v>
      </x:c>
      <x:c r="AA37" s="84" t="str">
        <x:v>官印相生：当主体、客体、路径与力量匹配满足最低标准时，判“弱成立”；是否上升为格局转M14/M15。</x:v>
      </x:c>
      <x:c r="AB37" s="82" t="str">
        <x:v>较高</x:v>
      </x:c>
      <x:c r="AC37" s="82" t="str">
        <x:v>现代综合</x:v>
      </x:c>
      <x:c r="AD37" s="68" t="str">
        <x:v>十神同时出现不等于组合成立。M11须同时验证核心十神有效性、作用路径、力量匹配、日主承载、破坏因素与救应；组合成立也不等于格局成立。</x:v>
      </x:c>
      <x:c r="AE37" s="68" t="str">
        <x:v>正官仅名义存在或极弱；印星虽有力但缺乏有效官源；作用路径稳定且无关键破坏，可按“官印相生”记录。</x:v>
      </x:c>
      <x:c r="AF37" s="90" t="str">
        <x:v>仅因“正官、印星”同时出现，但核心十神无力、无作用路径或被关键因素破坏，不能判“官印相生”成立。</x:v>
      </x:c>
      <x:c r="AG37" s="68" t="str">
        <x:v>https://zh.wikisource.org/zh-hans/%E6%B7%B5%E6%B5%B7%E5%AD%90%E5%B9%B3 ; https://zh.wikisource.org/wiki/%E6%BB%B4%E5%A4%A9%E9%AB%93%E9%97%A1%E5%BE%AE</x:v>
      </x:c>
      <x:c r="AH37" s="82" t="str">
        <x:v>采用</x:v>
      </x:c>
      <x:c r="AI37" s="82" t="str">
        <x:v>初审</x:v>
      </x:c>
      <x:c r="AJ37" s="87" t="n">
        <x:v>46255</x:v>
      </x:c>
    </x:row>
    <x:row r="38">
      <x:c r="A38" s="72" t="str">
        <x:f>IF(OR(C38="",D38=""),"",B38&amp;"-"&amp;UPPER(C38)&amp;"-"&amp;TEXT(D38,"0000")&amp;"-"&amp;E38)</x:f>
        <x:v>M11-GUANYIN-0032-V1.0</x:v>
      </x:c>
      <x:c r="B38" s="74" t="str">
        <x:v>M11</x:v>
      </x:c>
      <x:c r="C38" s="74" t="str">
        <x:v>GUANYIN</x:v>
      </x:c>
      <x:c r="D38" s="215" t="n">
        <x:v>32</x:v>
      </x:c>
      <x:c r="E38" s="74" t="str">
        <x:v>V1.0</x:v>
      </x:c>
      <x:c r="F38" s="68" t="str">
        <x:v>印弱受损时官印链中断</x:v>
      </x:c>
      <x:c r="G38" s="82" t="str">
        <x:v>结构层</x:v>
      </x:c>
      <x:c r="H38" s="82" t="str">
        <x:v>生化型</x:v>
      </x:c>
      <x:c r="I38" s="68" t="str">
        <x:v>官印相生</x:v>
      </x:c>
      <x:c r="J38" s="68" t="str">
        <x:v>正官、印星</x:v>
      </x:c>
      <x:c r="K38" s="68" t="str">
        <x:v>正官有力</x:v>
      </x:c>
      <x:c r="L38" s="68" t="str">
        <x:v>印星弱、被财制或改性</x:v>
      </x:c>
      <x:c r="M38" s="68" t="str">
        <x:v>直接或可达的生克制化路径成立</x:v>
      </x:c>
      <x:c r="N38" s="68" t="str">
        <x:v>相关十神均以M10有效力量为准，且不存在决定性失衡</x:v>
      </x:c>
      <x:c r="O38" s="68" t="str">
        <x:v>结合M09日主承载判断</x:v>
      </x:c>
      <x:c r="P38" s="68" t="str">
        <x:v>主体、客体、作用路径与力量匹配均达到最低要求</x:v>
      </x:c>
      <x:c r="Q38" s="68" t="str">
        <x:v>相关十神有根、有源、透达、清纯且关键通路稳定</x:v>
      </x:c>
      <x:c r="R38" s="90" t="str">
        <x:v>印星无法承接官气或无法继续生身</x:v>
      </x:c>
      <x:c r="S38" s="68" t="str">
        <x:v>存在第三十神恢复通路、清除破坏或重新形成平衡</x:v>
      </x:c>
      <x:c r="T38" s="90" t="str">
        <x:v>任一核心十神失效，或不存在真实作用路径</x:v>
      </x:c>
      <x:c r="U38" s="68" t="str">
        <x:v>特殊格局、从化或月令格局另转M14/M15复审</x:v>
      </x:c>
      <x:c r="V38" s="84" t="str">
        <x:v>不成立</x:v>
      </x:c>
      <x:c r="W38" s="84" t="str">
        <x:v>形成局部生化、制化或承载结构</x:v>
      </x:c>
      <x:c r="X38" s="82" t="str">
        <x:v>否</x:v>
      </x:c>
      <x:c r="Y38" s="68" t="str">
        <x:v>对应格局候选转M14</x:v>
      </x:c>
      <x:c r="Z38" s="84" t="str">
        <x:v>官印相生_印弱</x:v>
      </x:c>
      <x:c r="AA38" s="84" t="str">
        <x:v>官印相生：当主体、客体、路径与力量匹配满足最低标准时，判“不成立”；是否上升为格局转M14/M15。</x:v>
      </x:c>
      <x:c r="AB38" s="82" t="str">
        <x:v>较高</x:v>
      </x:c>
      <x:c r="AC38" s="82" t="str">
        <x:v>现代综合</x:v>
      </x:c>
      <x:c r="AD38" s="68" t="str">
        <x:v>十神同时出现不等于组合成立。M11须同时验证核心十神有效性、作用路径、力量匹配、日主承载、破坏因素与救应；组合成立也不等于格局成立。</x:v>
      </x:c>
      <x:c r="AE38" s="68" t="str">
        <x:v>正官有力；印星弱、被财制或改性；作用路径稳定且无关键破坏，可按“官印相生”记录。</x:v>
      </x:c>
      <x:c r="AF38" s="90" t="str">
        <x:v>仅因“正官、印星”同时出现，但核心十神无力、无作用路径或被关键因素破坏，不能判“官印相生”成立。</x:v>
      </x:c>
      <x:c r="AG38" s="68" t="str">
        <x:v>https://zh.wikisource.org/zh-hans/%E6%B7%B5%E6%B5%B7%E5%AD%90%E5%B9%B3 ; https://zh.wikisource.org/wiki/%E6%BB%B4%E5%A4%A9%E9%AB%93%E9%97%A1%E5%BE%AE</x:v>
      </x:c>
      <x:c r="AH38" s="82" t="str">
        <x:v>采用</x:v>
      </x:c>
      <x:c r="AI38" s="82" t="str">
        <x:v>初审</x:v>
      </x:c>
      <x:c r="AJ38" s="87" t="n">
        <x:v>46255</x:v>
      </x:c>
    </x:row>
    <x:row r="39">
      <x:c r="A39" s="72" t="str">
        <x:f>IF(OR(C39="",D39=""),"",B39&amp;"-"&amp;UPPER(C39)&amp;"-"&amp;TEXT(D39,"0000")&amp;"-"&amp;E39)</x:f>
        <x:v>M11-GUANYIN-0033-V1.0</x:v>
      </x:c>
      <x:c r="B39" s="74" t="str">
        <x:v>M11</x:v>
      </x:c>
      <x:c r="C39" s="74" t="str">
        <x:v>GUANYIN</x:v>
      </x:c>
      <x:c r="D39" s="215" t="n">
        <x:v>33</x:v>
      </x:c>
      <x:c r="E39" s="74" t="str">
        <x:v>V1.0</x:v>
      </x:c>
      <x:c r="F39" s="68" t="str">
        <x:v>伤官克官会破坏官印源头</x:v>
      </x:c>
      <x:c r="G39" s="82" t="str">
        <x:v>结构层</x:v>
      </x:c>
      <x:c r="H39" s="82" t="str">
        <x:v>生化型</x:v>
      </x:c>
      <x:c r="I39" s="68" t="str">
        <x:v>官印相生</x:v>
      </x:c>
      <x:c r="J39" s="68" t="str">
        <x:v>正官、印星、伤官</x:v>
      </x:c>
      <x:c r="K39" s="68" t="str">
        <x:v>伤官有效强制正官</x:v>
      </x:c>
      <x:c r="L39" s="68" t="str">
        <x:v>正官功能显著受限</x:v>
      </x:c>
      <x:c r="M39" s="68" t="str">
        <x:v>直接或可达的生克制化路径成立</x:v>
      </x:c>
      <x:c r="N39" s="68" t="str">
        <x:v>相关十神均以M10有效力量为准，且不存在决定性失衡</x:v>
      </x:c>
      <x:c r="O39" s="68" t="str">
        <x:v>结合M09日主承载判断</x:v>
      </x:c>
      <x:c r="P39" s="68" t="str">
        <x:v>主体、客体、作用路径与力量匹配均达到最低要求</x:v>
      </x:c>
      <x:c r="Q39" s="68" t="str">
        <x:v>相关十神有根、有源、透达、清纯且关键通路稳定</x:v>
      </x:c>
      <x:c r="R39" s="90" t="str">
        <x:v>官星被伤官制至无法稳定生印</x:v>
      </x:c>
      <x:c r="S39" s="68" t="str">
        <x:v>存在第三十神恢复通路、清除破坏或重新形成平衡</x:v>
      </x:c>
      <x:c r="T39" s="90" t="str">
        <x:v>任一核心十神失效，或不存在真实作用路径</x:v>
      </x:c>
      <x:c r="U39" s="68" t="str">
        <x:v>特殊格局、从化或月令格局另转M14/M15复审</x:v>
      </x:c>
      <x:c r="V39" s="84" t="str">
        <x:v>不成立</x:v>
      </x:c>
      <x:c r="W39" s="84" t="str">
        <x:v>形成局部生化、制化或承载结构</x:v>
      </x:c>
      <x:c r="X39" s="82" t="str">
        <x:v>否</x:v>
      </x:c>
      <x:c r="Y39" s="68" t="str">
        <x:v>对应格局候选转M14</x:v>
      </x:c>
      <x:c r="Z39" s="84" t="str">
        <x:v>官印相生_伤官破官</x:v>
      </x:c>
      <x:c r="AA39" s="84" t="str">
        <x:v>官印相生：当主体、客体、路径与力量匹配满足最低标准时，判“不成立”；是否上升为格局转M14/M15。</x:v>
      </x:c>
      <x:c r="AB39" s="82" t="str">
        <x:v>较高</x:v>
      </x:c>
      <x:c r="AC39" s="82" t="str">
        <x:v>现代综合</x:v>
      </x:c>
      <x:c r="AD39" s="68" t="str">
        <x:v>十神同时出现不等于组合成立。M11须同时验证核心十神有效性、作用路径、力量匹配、日主承载、破坏因素与救应；组合成立也不等于格局成立。</x:v>
      </x:c>
      <x:c r="AE39" s="68" t="str">
        <x:v>伤官有效强制正官；正官功能显著受限；作用路径稳定且无关键破坏，可按“官印相生”记录。</x:v>
      </x:c>
      <x:c r="AF39" s="90" t="str">
        <x:v>仅因“正官、印星、伤官”同时出现，但核心十神无力、无作用路径或被关键因素破坏，不能判“官印相生”成立。</x:v>
      </x:c>
      <x:c r="AG39" s="68" t="str">
        <x:v>https://zh.wikisource.org/zh-hans/%E6%B7%B5%E6%B5%B7%E5%AD%90%E5%B9%B3 ; https://zh.wikisource.org/wiki/%E6%BB%B4%E5%A4%A9%E9%AB%93%E9%97%A1%E5%BE%AE</x:v>
      </x:c>
      <x:c r="AH39" s="82" t="str">
        <x:v>采用</x:v>
      </x:c>
      <x:c r="AI39" s="82" t="str">
        <x:v>初审</x:v>
      </x:c>
      <x:c r="AJ39" s="87" t="n">
        <x:v>46255</x:v>
      </x:c>
    </x:row>
    <x:row r="40">
      <x:c r="A40" s="72" t="str">
        <x:f>IF(OR(C40="",D40=""),"",B40&amp;"-"&amp;UPPER(C40)&amp;"-"&amp;TEXT(D40,"0000")&amp;"-"&amp;E40)</x:f>
        <x:v>M11-GUANYIN-0034-V1.0</x:v>
      </x:c>
      <x:c r="B40" s="74" t="str">
        <x:v>M11</x:v>
      </x:c>
      <x:c r="C40" s="74" t="str">
        <x:v>GUANYIN</x:v>
      </x:c>
      <x:c r="D40" s="215" t="n">
        <x:v>34</x:v>
      </x:c>
      <x:c r="E40" s="74" t="str">
        <x:v>V1.0</x:v>
      </x:c>
      <x:c r="F40" s="68" t="str">
        <x:v>财星既可生官又可能破印需比较净效应</x:v>
      </x:c>
      <x:c r="G40" s="82" t="str">
        <x:v>结构层</x:v>
      </x:c>
      <x:c r="H40" s="82" t="str">
        <x:v>生化型</x:v>
      </x:c>
      <x:c r="I40" s="68" t="str">
        <x:v>官印相生</x:v>
      </x:c>
      <x:c r="J40" s="68" t="str">
        <x:v>正官、印星、财星</x:v>
      </x:c>
      <x:c r="K40" s="68" t="str">
        <x:v>财星同时与官、印发生作用</x:v>
      </x:c>
      <x:c r="L40" s="68" t="str">
        <x:v>一面生官，一面克印</x:v>
      </x:c>
      <x:c r="M40" s="68" t="str">
        <x:v>直接或可达的生克制化路径成立</x:v>
      </x:c>
      <x:c r="N40" s="68" t="str">
        <x:v>比较财生官收益与财坏印副作用</x:v>
      </x:c>
      <x:c r="O40" s="68" t="str">
        <x:v>结合M09日主承载判断</x:v>
      </x:c>
      <x:c r="P40" s="68" t="str">
        <x:v>主体、客体、作用路径与力量匹配均达到最低要求</x:v>
      </x:c>
      <x:c r="Q40" s="68" t="str">
        <x:v>相关十神有根、有源、透达、清纯且关键通路稳定</x:v>
      </x:c>
      <x:c r="R40" s="90" t="str">
        <x:v>关键十神被合绊、被制、改性、失效或力量严重失衡</x:v>
      </x:c>
      <x:c r="S40" s="68" t="str">
        <x:v>存在第三十神恢复通路、清除破坏或重新形成平衡</x:v>
      </x:c>
      <x:c r="T40" s="90" t="str">
        <x:v>任一核心十神失效，或不存在真实作用路径</x:v>
      </x:c>
      <x:c r="U40" s="68" t="str">
        <x:v>特殊格局、从化或月令格局另转M14/M15复审</x:v>
      </x:c>
      <x:c r="V40" s="84" t="str">
        <x:v>基本成立</x:v>
      </x:c>
      <x:c r="W40" s="84" t="str">
        <x:v>形成局部生化、制化或承载结构</x:v>
      </x:c>
      <x:c r="X40" s="82" t="str">
        <x:v>条件性</x:v>
      </x:c>
      <x:c r="Y40" s="68" t="str">
        <x:v>对应格局候选转M14</x:v>
      </x:c>
      <x:c r="Z40" s="84" t="str">
        <x:v>官印相生_财星双效</x:v>
      </x:c>
      <x:c r="AA40" s="84" t="str">
        <x:v>官印相生：当主体、客体、路径与力量匹配满足最低标准时，判“基本成立”；是否上升为格局转M14/M15。</x:v>
      </x:c>
      <x:c r="AB40" s="82" t="str">
        <x:v>较高</x:v>
      </x:c>
      <x:c r="AC40" s="82" t="str">
        <x:v>现代综合</x:v>
      </x:c>
      <x:c r="AD40" s="68" t="str">
        <x:v>十神同时出现不等于组合成立。M11须同时验证核心十神有效性、作用路径、力量匹配、日主承载、破坏因素与救应；组合成立也不等于格局成立。</x:v>
      </x:c>
      <x:c r="AE40" s="68" t="str">
        <x:v>财星同时与官、印发生作用；一面生官，一面克印；作用路径稳定且无关键破坏，可按“官印相生”记录。</x:v>
      </x:c>
      <x:c r="AF40" s="90" t="str">
        <x:v>仅因“正官、印星、财星”同时出现，但核心十神无力、无作用路径或被关键因素破坏，不能判“官印相生”成立。</x:v>
      </x:c>
      <x:c r="AG40" s="68" t="str">
        <x:v>https://zh.wikisource.org/zh-hans/%E6%B7%B5%E6%B5%B7%E5%AD%90%E5%B9%B3 ; https://zh.wikisource.org/wiki/%E6%BB%B4%E5%A4%A9%E9%AB%93%E9%97%A1%E5%BE%AE</x:v>
      </x:c>
      <x:c r="AH40" s="82" t="str">
        <x:v>采用</x:v>
      </x:c>
      <x:c r="AI40" s="82" t="str">
        <x:v>初审</x:v>
      </x:c>
      <x:c r="AJ40" s="87" t="n">
        <x:v>46255</x:v>
      </x:c>
    </x:row>
    <x:row r="41">
      <x:c r="A41" s="72" t="str">
        <x:f>IF(OR(C41="",D41=""),"",B41&amp;"-"&amp;UPPER(C41)&amp;"-"&amp;TEXT(D41,"0000")&amp;"-"&amp;E41)</x:f>
        <x:v>M11-GUANYIN-0035-V1.0</x:v>
      </x:c>
      <x:c r="B41" s="74" t="str">
        <x:v>M11</x:v>
      </x:c>
      <x:c r="C41" s="74" t="str">
        <x:v>GUANYIN</x:v>
      </x:c>
      <x:c r="D41" s="215" t="n">
        <x:v>35</x:v>
      </x:c>
      <x:c r="E41" s="74" t="str">
        <x:v>V1.0</x:v>
      </x:c>
      <x:c r="F41" s="68" t="str">
        <x:v>官印清纯且链路稳定时组合增强</x:v>
      </x:c>
      <x:c r="G41" s="82" t="str">
        <x:v>结构层</x:v>
      </x:c>
      <x:c r="H41" s="82" t="str">
        <x:v>生化型</x:v>
      </x:c>
      <x:c r="I41" s="68" t="str">
        <x:v>官印相生</x:v>
      </x:c>
      <x:c r="J41" s="68" t="str">
        <x:v>正官、印星</x:v>
      </x:c>
      <x:c r="K41" s="68" t="str">
        <x:v>正官较清、印星较清且均有效</x:v>
      </x:c>
      <x:c r="L41" s="68" t="str">
        <x:v>官印无强伤官、财破或合化</x:v>
      </x:c>
      <x:c r="M41" s="68" t="str">
        <x:v>直接或可达的生克制化路径成立</x:v>
      </x:c>
      <x:c r="N41" s="68" t="str">
        <x:v>相关十神均以M10有效力量为准，且不存在决定性失衡</x:v>
      </x:c>
      <x:c r="O41" s="68" t="str">
        <x:v>结合M09日主承载判断</x:v>
      </x:c>
      <x:c r="P41" s="68" t="str">
        <x:v>主体、客体、作用路径与力量匹配均达到最低要求</x:v>
      </x:c>
      <x:c r="Q41" s="68" t="str">
        <x:v>相关十神有根、有源、透达、清纯且关键通路稳定</x:v>
      </x:c>
      <x:c r="R41" s="90" t="str">
        <x:v>关键十神被合绊、被制、改性、失效或力量严重失衡</x:v>
      </x:c>
      <x:c r="S41" s="68" t="str">
        <x:v>存在第三十神恢复通路、清除破坏或重新形成平衡</x:v>
      </x:c>
      <x:c r="T41" s="90" t="str">
        <x:v>任一核心十神失效，或不存在真实作用路径</x:v>
      </x:c>
      <x:c r="U41" s="68" t="str">
        <x:v>特殊格局、从化或月令格局另转M14/M15复审</x:v>
      </x:c>
      <x:c r="V41" s="84" t="str">
        <x:v>明显成立</x:v>
      </x:c>
      <x:c r="W41" s="84" t="str">
        <x:v>形成局部生化、制化或承载结构</x:v>
      </x:c>
      <x:c r="X41" s="82" t="str">
        <x:v>条件性</x:v>
      </x:c>
      <x:c r="Y41" s="68" t="str">
        <x:v>对应格局候选转M14</x:v>
      </x:c>
      <x:c r="Z41" s="84" t="str">
        <x:v>官印相生_清纯增强</x:v>
      </x:c>
      <x:c r="AA41" s="84" t="str">
        <x:v>官印相生：当主体、客体、路径与力量匹配满足最低标准时，判“明显成立”；是否上升为格局转M14/M15。</x:v>
      </x:c>
      <x:c r="AB41" s="82" t="str">
        <x:v>较高</x:v>
      </x:c>
      <x:c r="AC41" s="82" t="str">
        <x:v>现代综合</x:v>
      </x:c>
      <x:c r="AD41" s="68" t="str">
        <x:v>十神同时出现不等于组合成立。M11须同时验证核心十神有效性、作用路径、力量匹配、日主承载、破坏因素与救应；组合成立也不等于格局成立。</x:v>
      </x:c>
      <x:c r="AE41" s="68" t="str">
        <x:v>正官较清、印星较清且均有效；官印无强伤官、财破或合化；作用路径稳定且无关键破坏，可按“官印相生”记录。</x:v>
      </x:c>
      <x:c r="AF41" s="90" t="str">
        <x:v>仅因“正官、印星”同时出现，但核心十神无力、无作用路径或被关键因素破坏，不能判“官印相生”成立。</x:v>
      </x:c>
      <x:c r="AG41" s="68" t="str">
        <x:v>https://zh.wikisource.org/zh-hans/%E6%B7%B5%E6%B5%B7%E5%AD%90%E5%B9%B3 ; https://zh.wikisource.org/wiki/%E6%BB%B4%E5%A4%A9%E9%AB%93%E9%97%A1%E5%BE%AE</x:v>
      </x:c>
      <x:c r="AH41" s="82" t="str">
        <x:v>采用</x:v>
      </x:c>
      <x:c r="AI41" s="82" t="str">
        <x:v>初审</x:v>
      </x:c>
      <x:c r="AJ41" s="87" t="n">
        <x:v>46255</x:v>
      </x:c>
    </x:row>
    <x:row r="42">
      <x:c r="A42" s="72" t="str">
        <x:f>IF(OR(C42="",D42=""),"",B42&amp;"-"&amp;UPPER(C42)&amp;"-"&amp;TEXT(D42,"0000")&amp;"-"&amp;E42)</x:f>
        <x:v>M11-GUANYIN-0036-V1.0</x:v>
      </x:c>
      <x:c r="B42" s="74" t="str">
        <x:v>M11</x:v>
      </x:c>
      <x:c r="C42" s="74" t="str">
        <x:v>GUANYIN</x:v>
      </x:c>
      <x:c r="D42" s="215" t="n">
        <x:v>36</x:v>
      </x:c>
      <x:c r="E42" s="74" t="str">
        <x:v>V1.0</x:v>
      </x:c>
      <x:c r="F42" s="68" t="str">
        <x:v>官印相生不等于正官格成立</x:v>
      </x:c>
      <x:c r="G42" s="82" t="str">
        <x:v>结构层</x:v>
      </x:c>
      <x:c r="H42" s="82" t="str">
        <x:v>生化型</x:v>
      </x:c>
      <x:c r="I42" s="68" t="str">
        <x:v>官印相生</x:v>
      </x:c>
      <x:c r="J42" s="68" t="str">
        <x:v>正官、印星</x:v>
      </x:c>
      <x:c r="K42" s="68" t="str">
        <x:v>局部官印链已经成立</x:v>
      </x:c>
      <x:c r="L42" s="68" t="str">
        <x:v>月令与格局主导性尚未核查</x:v>
      </x:c>
      <x:c r="M42" s="68" t="str">
        <x:v>直接或可达的生克制化路径成立</x:v>
      </x:c>
      <x:c r="N42" s="68" t="str">
        <x:v>相关十神均以M10有效力量为准，且不存在决定性失衡</x:v>
      </x:c>
      <x:c r="O42" s="68" t="str">
        <x:v>结合M09日主承载判断</x:v>
      </x:c>
      <x:c r="P42" s="68" t="str">
        <x:v>主体、客体、作用路径与力量匹配均达到最低要求</x:v>
      </x:c>
      <x:c r="Q42" s="68" t="str">
        <x:v>相关十神有根、有源、透达、清纯且关键通路稳定</x:v>
      </x:c>
      <x:c r="R42" s="90" t="str">
        <x:v>关键十神被合绊、被制、改性、失效或力量严重失衡</x:v>
      </x:c>
      <x:c r="S42" s="68" t="str">
        <x:v>存在第三十神恢复通路、清除破坏或重新形成平衡</x:v>
      </x:c>
      <x:c r="T42" s="90" t="str">
        <x:v>任一核心十神失效，或不存在真实作用路径</x:v>
      </x:c>
      <x:c r="U42" s="68" t="str">
        <x:v>特殊格局、从化或月令格局另转M14/M15复审</x:v>
      </x:c>
      <x:c r="V42" s="84" t="str">
        <x:v>明显成立</x:v>
      </x:c>
      <x:c r="W42" s="84" t="str">
        <x:v>提供官印结构候选</x:v>
      </x:c>
      <x:c r="X42" s="82" t="str">
        <x:v>条件性</x:v>
      </x:c>
      <x:c r="Y42" s="68" t="str">
        <x:v>正官格/印格候选转M14</x:v>
      </x:c>
      <x:c r="Z42" s="84" t="str">
        <x:v>官印相生_格局边界</x:v>
      </x:c>
      <x:c r="AA42" s="84" t="str">
        <x:v>官印相生：当主体、客体、路径与力量匹配满足最低标准时，判“明显成立”；是否上升为格局转M14/M15。</x:v>
      </x:c>
      <x:c r="AB42" s="82" t="str">
        <x:v>较高</x:v>
      </x:c>
      <x:c r="AC42" s="82" t="str">
        <x:v>现代综合</x:v>
      </x:c>
      <x:c r="AD42" s="68" t="str">
        <x:v>十神同时出现不等于组合成立。M11须同时验证核心十神有效性、作用路径、力量匹配、日主承载、破坏因素与救应；组合成立也不等于格局成立。</x:v>
      </x:c>
      <x:c r="AE42" s="68" t="str">
        <x:v>局部官印链已经成立；月令与格局主导性尚未核查；作用路径稳定且无关键破坏，可按“官印相生”记录。</x:v>
      </x:c>
      <x:c r="AF42" s="90" t="str">
        <x:v>仅因“正官、印星”同时出现，但核心十神无力、无作用路径或被关键因素破坏，不能判“官印相生”成立。</x:v>
      </x:c>
      <x:c r="AG42" s="68" t="str">
        <x:v>https://zh.wikisource.org/zh-hans/%E6%B7%B5%E6%B5%B7%E5%AD%90%E5%B9%B3 ; https://zh.wikisource.org/wiki/%E6%BB%B4%E5%A4%A9%E9%AB%93%E9%97%A1%E5%BE%AE</x:v>
      </x:c>
      <x:c r="AH42" s="82" t="str">
        <x:v>采用</x:v>
      </x:c>
      <x:c r="AI42" s="82" t="str">
        <x:v>初审</x:v>
      </x:c>
      <x:c r="AJ42" s="87" t="n">
        <x:v>46255</x:v>
      </x:c>
    </x:row>
    <x:row r="43">
      <x:c r="A43" s="72" t="str">
        <x:f>IF(OR(C43="",D43=""),"",B43&amp;"-"&amp;UPPER(C43)&amp;"-"&amp;TEXT(D43,"0000")&amp;"-"&amp;E43)</x:f>
        <x:v>M11-SHANGYIN-0037-V1.0</x:v>
      </x:c>
      <x:c r="B43" s="74" t="str">
        <x:v>M11</x:v>
      </x:c>
      <x:c r="C43" s="74" t="str">
        <x:v>SHANGYIN</x:v>
      </x:c>
      <x:c r="D43" s="215" t="n">
        <x:v>37</x:v>
      </x:c>
      <x:c r="E43" s="74" t="str">
        <x:v>V1.0</x:v>
      </x:c>
      <x:c r="F43" s="68" t="str">
        <x:v>伤官必须真实有力且存在需要制化的输出</x:v>
      </x:c>
      <x:c r="G43" s="82" t="str">
        <x:v>结构层</x:v>
      </x:c>
      <x:c r="H43" s="82" t="str">
        <x:v>制化型</x:v>
      </x:c>
      <x:c r="I43" s="68" t="str">
        <x:v>伤官配印</x:v>
      </x:c>
      <x:c r="J43" s="68" t="str">
        <x:v>伤官、印星</x:v>
      </x:c>
      <x:c r="K43" s="68" t="str">
        <x:v>伤官有效并达到中和偏旺以上或形成明显泄身/克官作用</x:v>
      </x:c>
      <x:c r="L43" s="68" t="str">
        <x:v>印星有效且可克制伤官</x:v>
      </x:c>
      <x:c r="M43" s="68" t="str">
        <x:v>印星对伤官存在直接可达制约路径</x:v>
      </x:c>
      <x:c r="N43" s="68" t="str">
        <x:v>相关十神均以M10有效力量为准，且不存在决定性失衡</x:v>
      </x:c>
      <x:c r="O43" s="68" t="str">
        <x:v>日主不能因印星过度生身而进一步失衡</x:v>
      </x:c>
      <x:c r="P43" s="68" t="str">
        <x:v>主体、客体、作用路径与力量匹配均达到最低要求</x:v>
      </x:c>
      <x:c r="Q43" s="68" t="str">
        <x:v>相关十神有根、有源、透达、清纯且关键通路稳定</x:v>
      </x:c>
      <x:c r="R43" s="90" t="str">
        <x:v>关键十神被合绊、被制、改性、失效或力量严重失衡</x:v>
      </x:c>
      <x:c r="S43" s="68" t="str">
        <x:v>存在第三十神恢复通路、清除破坏或重新形成平衡</x:v>
      </x:c>
      <x:c r="T43" s="90" t="str">
        <x:v>任一核心十神失效，或不存在真实作用路径</x:v>
      </x:c>
      <x:c r="U43" s="68" t="str">
        <x:v>特殊格局、从化或月令格局另转M14/M15复审</x:v>
      </x:c>
      <x:c r="V43" s="84" t="str">
        <x:v>基本成立</x:v>
      </x:c>
      <x:c r="W43" s="84" t="str">
        <x:v>约束伤官、稳定输出</x:v>
      </x:c>
      <x:c r="X43" s="82" t="str">
        <x:v>条件性</x:v>
      </x:c>
      <x:c r="Y43" s="68" t="str">
        <x:v>伤官配印格候选</x:v>
      </x:c>
      <x:c r="Z43" s="84" t="str">
        <x:v>伤官配印_成立条件</x:v>
      </x:c>
      <x:c r="AA43" s="84" t="str">
        <x:v>伤官配印：当主体、客体、路径与力量匹配满足最低标准时，判“基本成立”；是否上升为格局转M14/M15。</x:v>
      </x:c>
      <x:c r="AB43" s="82" t="str">
        <x:v>较高</x:v>
      </x:c>
      <x:c r="AC43" s="82" t="str">
        <x:v>现代综合</x:v>
      </x:c>
      <x:c r="AD43" s="68" t="str">
        <x:v>十神同时出现不等于组合成立。M11须同时验证核心十神有效性、作用路径、力量匹配、日主承载、破坏因素与救应；组合成立也不等于格局成立。</x:v>
      </x:c>
      <x:c r="AE43" s="68" t="str">
        <x:v>伤官有效并达到中和偏旺以上或形成明显泄身/克官作用；印星有效且可克制伤官；作用路径稳定且无关键破坏，可按“伤官配印”记录。</x:v>
      </x:c>
      <x:c r="AF43" s="90" t="str">
        <x:v>仅因“伤官、印星”同时出现，但核心十神无力、无作用路径或被关键因素破坏，不能判“伤官配印”成立。</x:v>
      </x:c>
      <x:c r="AG43" s="68" t="str">
        <x:v>https://zh.wikisource.org/zh-hans/%E6%B7%B5%E6%B5%B7%E5%AD%90%E5%B9%B3 ; https://zh.wikisource.org/wiki/%E6%BB%B4%E5%A4%A9%E9%AB%93%E9%97%A1%E5%BE%AE</x:v>
      </x:c>
      <x:c r="AH43" s="82" t="str">
        <x:v>采用</x:v>
      </x:c>
      <x:c r="AI43" s="82" t="str">
        <x:v>初审</x:v>
      </x:c>
      <x:c r="AJ43" s="87" t="n">
        <x:v>46255</x:v>
      </x:c>
    </x:row>
    <x:row r="44">
      <x:c r="A44" s="72" t="str">
        <x:f>IF(OR(C44="",D44=""),"",B44&amp;"-"&amp;UPPER(C44)&amp;"-"&amp;TEXT(D44,"0000")&amp;"-"&amp;E44)</x:f>
        <x:v>M11-SHANGYIN-0038-V1.0</x:v>
      </x:c>
      <x:c r="B44" s="74" t="str">
        <x:v>M11</x:v>
      </x:c>
      <x:c r="C44" s="74" t="str">
        <x:v>SHANGYIN</x:v>
      </x:c>
      <x:c r="D44" s="215" t="n">
        <x:v>38</x:v>
      </x:c>
      <x:c r="E44" s="74" t="str">
        <x:v>V1.0</x:v>
      </x:c>
      <x:c r="F44" s="68" t="str">
        <x:v>印星必须有足够力量制约伤官</x:v>
      </x:c>
      <x:c r="G44" s="82" t="str">
        <x:v>结构层</x:v>
      </x:c>
      <x:c r="H44" s="82" t="str">
        <x:v>制化型</x:v>
      </x:c>
      <x:c r="I44" s="68" t="str">
        <x:v>伤官配印</x:v>
      </x:c>
      <x:c r="J44" s="68" t="str">
        <x:v>伤官、印星</x:v>
      </x:c>
      <x:c r="K44" s="68" t="str">
        <x:v>伤官有力</x:v>
      </x:c>
      <x:c r="L44" s="68" t="str">
        <x:v>印星至少达到可稳定制伤的有效水平</x:v>
      </x:c>
      <x:c r="M44" s="68" t="str">
        <x:v>直接或可达的生克制化路径成立</x:v>
      </x:c>
      <x:c r="N44" s="68" t="str">
        <x:v>印伤力量不可严重失衡</x:v>
      </x:c>
      <x:c r="O44" s="68" t="str">
        <x:v>结合M09日主承载判断</x:v>
      </x:c>
      <x:c r="P44" s="68" t="str">
        <x:v>主体、客体、作用路径与力量匹配均达到最低要求</x:v>
      </x:c>
      <x:c r="Q44" s="68" t="str">
        <x:v>相关十神有根、有源、透达、清纯且关键通路稳定</x:v>
      </x:c>
      <x:c r="R44" s="90" t="str">
        <x:v>关键十神被合绊、被制、改性、失效或力量严重失衡</x:v>
      </x:c>
      <x:c r="S44" s="68" t="str">
        <x:v>存在第三十神恢复通路、清除破坏或重新形成平衡</x:v>
      </x:c>
      <x:c r="T44" s="90" t="str">
        <x:v>任一核心十神失效，或不存在真实作用路径</x:v>
      </x:c>
      <x:c r="U44" s="68" t="str">
        <x:v>特殊格局、从化或月令格局另转M14/M15复审</x:v>
      </x:c>
      <x:c r="V44" s="84" t="str">
        <x:v>基本成立</x:v>
      </x:c>
      <x:c r="W44" s="84" t="str">
        <x:v>形成局部生化、制化或承载结构</x:v>
      </x:c>
      <x:c r="X44" s="82" t="str">
        <x:v>条件性</x:v>
      </x:c>
      <x:c r="Y44" s="68" t="str">
        <x:v>对应格局候选转M14</x:v>
      </x:c>
      <x:c r="Z44" s="84" t="str">
        <x:v>伤官配印_印有力</x:v>
      </x:c>
      <x:c r="AA44" s="84" t="str">
        <x:v>伤官配印：当主体、客体、路径与力量匹配满足最低标准时，判“基本成立”；是否上升为格局转M14/M15。</x:v>
      </x:c>
      <x:c r="AB44" s="82" t="str">
        <x:v>较高</x:v>
      </x:c>
      <x:c r="AC44" s="82" t="str">
        <x:v>现代综合</x:v>
      </x:c>
      <x:c r="AD44" s="68" t="str">
        <x:v>十神同时出现不等于组合成立。M11须同时验证核心十神有效性、作用路径、力量匹配、日主承载、破坏因素与救应；组合成立也不等于格局成立。</x:v>
      </x:c>
      <x:c r="AE44" s="68" t="str">
        <x:v>伤官有力；印星至少达到可稳定制伤的有效水平；作用路径稳定且无关键破坏，可按“伤官配印”记录。</x:v>
      </x:c>
      <x:c r="AF44" s="90" t="str">
        <x:v>仅因“伤官、印星”同时出现，但核心十神无力、无作用路径或被关键因素破坏，不能判“伤官配印”成立。</x:v>
      </x:c>
      <x:c r="AG44" s="68" t="str">
        <x:v>https://zh.wikisource.org/zh-hans/%E6%B7%B5%E6%B5%B7%E5%AD%90%E5%B9%B3 ; https://zh.wikisource.org/wiki/%E6%BB%B4%E5%A4%A9%E9%AB%93%E9%97%A1%E5%BE%AE</x:v>
      </x:c>
      <x:c r="AH44" s="82" t="str">
        <x:v>采用</x:v>
      </x:c>
      <x:c r="AI44" s="82" t="str">
        <x:v>初审</x:v>
      </x:c>
      <x:c r="AJ44" s="87" t="n">
        <x:v>46255</x:v>
      </x:c>
    </x:row>
    <x:row r="45">
      <x:c r="A45" s="72" t="str">
        <x:f>IF(OR(C45="",D45=""),"",B45&amp;"-"&amp;UPPER(C45)&amp;"-"&amp;TEXT(D45,"0000")&amp;"-"&amp;E45)</x:f>
        <x:v>M11-SHANGYIN-0039-V1.0</x:v>
      </x:c>
      <x:c r="B45" s="74" t="str">
        <x:v>M11</x:v>
      </x:c>
      <x:c r="C45" s="74" t="str">
        <x:v>SHANGYIN</x:v>
      </x:c>
      <x:c r="D45" s="215" t="n">
        <x:v>39</x:v>
      </x:c>
      <x:c r="E45" s="74" t="str">
        <x:v>V1.0</x:v>
      </x:c>
      <x:c r="F45" s="68" t="str">
        <x:v>伤官太弱无须配印时组合降级</x:v>
      </x:c>
      <x:c r="G45" s="82" t="str">
        <x:v>结构层</x:v>
      </x:c>
      <x:c r="H45" s="82" t="str">
        <x:v>制化型</x:v>
      </x:c>
      <x:c r="I45" s="68" t="str">
        <x:v>伤官配印</x:v>
      </x:c>
      <x:c r="J45" s="68" t="str">
        <x:v>伤官、印星</x:v>
      </x:c>
      <x:c r="K45" s="68" t="str">
        <x:v>伤官极弱、受限或已失效</x:v>
      </x:c>
      <x:c r="L45" s="68" t="str">
        <x:v>印星虽有力</x:v>
      </x:c>
      <x:c r="M45" s="68" t="str">
        <x:v>直接或可达的生克制化路径成立</x:v>
      </x:c>
      <x:c r="N45" s="68" t="str">
        <x:v>相关十神均以M10有效力量为准，且不存在决定性失衡</x:v>
      </x:c>
      <x:c r="O45" s="68" t="str">
        <x:v>结合M09日主承载判断</x:v>
      </x:c>
      <x:c r="P45" s="68" t="str">
        <x:v>不存在明显需要制化的伤官功能</x:v>
      </x:c>
      <x:c r="Q45" s="68" t="str">
        <x:v>相关十神有根、有源、透达、清纯且关键通路稳定</x:v>
      </x:c>
      <x:c r="R45" s="90" t="str">
        <x:v>关键十神被合绊、被制、改性、失效或力量严重失衡</x:v>
      </x:c>
      <x:c r="S45" s="68" t="str">
        <x:v>存在第三十神恢复通路、清除破坏或重新形成平衡</x:v>
      </x:c>
      <x:c r="T45" s="90" t="str">
        <x:v>任一核心十神失效，或不存在真实作用路径</x:v>
      </x:c>
      <x:c r="U45" s="68" t="str">
        <x:v>特殊格局、从化或月令格局另转M14/M15复审</x:v>
      </x:c>
      <x:c r="V45" s="84" t="str">
        <x:v>不成立</x:v>
      </x:c>
      <x:c r="W45" s="84" t="str">
        <x:v>印星主要生身而非配伤</x:v>
      </x:c>
      <x:c r="X45" s="82" t="str">
        <x:v>否</x:v>
      </x:c>
      <x:c r="Y45" s="68" t="str">
        <x:v>对应格局候选转M14</x:v>
      </x:c>
      <x:c r="Z45" s="84" t="str">
        <x:v>伤官配印_伤弱</x:v>
      </x:c>
      <x:c r="AA45" s="84" t="str">
        <x:v>伤官配印：当主体、客体、路径与力量匹配满足最低标准时，判“不成立”；是否上升为格局转M14/M15。</x:v>
      </x:c>
      <x:c r="AB45" s="82" t="str">
        <x:v>较高</x:v>
      </x:c>
      <x:c r="AC45" s="82" t="str">
        <x:v>现代综合</x:v>
      </x:c>
      <x:c r="AD45" s="68" t="str">
        <x:v>十神同时出现不等于组合成立。M11须同时验证核心十神有效性、作用路径、力量匹配、日主承载、破坏因素与救应；组合成立也不等于格局成立。</x:v>
      </x:c>
      <x:c r="AE45" s="68" t="str">
        <x:v>伤官极弱、受限或已失效；印星虽有力；作用路径稳定且无关键破坏，可按“伤官配印”记录。</x:v>
      </x:c>
      <x:c r="AF45" s="90" t="str">
        <x:v>仅因“伤官、印星”同时出现，但核心十神无力、无作用路径或被关键因素破坏，不能判“伤官配印”成立。</x:v>
      </x:c>
      <x:c r="AG45" s="68" t="str">
        <x:v>https://zh.wikisource.org/zh-hans/%E6%B7%B5%E6%B5%B7%E5%AD%90%E5%B9%B3 ; https://zh.wikisource.org/wiki/%E6%BB%B4%E5%A4%A9%E9%AB%93%E9%97%A1%E5%BE%AE</x:v>
      </x:c>
      <x:c r="AH45" s="82" t="str">
        <x:v>采用</x:v>
      </x:c>
      <x:c r="AI45" s="82" t="str">
        <x:v>初审</x:v>
      </x:c>
      <x:c r="AJ45" s="87" t="n">
        <x:v>46255</x:v>
      </x:c>
    </x:row>
    <x:row r="46">
      <x:c r="A46" s="72" t="str">
        <x:f>IF(OR(C46="",D46=""),"",B46&amp;"-"&amp;UPPER(C46)&amp;"-"&amp;TEXT(D46,"0000")&amp;"-"&amp;E46)</x:f>
        <x:v>M11-SHANGYIN-0040-V1.0</x:v>
      </x:c>
      <x:c r="B46" s="74" t="str">
        <x:v>M11</x:v>
      </x:c>
      <x:c r="C46" s="74" t="str">
        <x:v>SHANGYIN</x:v>
      </x:c>
      <x:c r="D46" s="215" t="n">
        <x:v>40</x:v>
      </x:c>
      <x:c r="E46" s="74" t="str">
        <x:v>V1.0</x:v>
      </x:c>
      <x:c r="F46" s="68" t="str">
        <x:v>印过强将伤官完全压制时属于制化过度</x:v>
      </x:c>
      <x:c r="G46" s="82" t="str">
        <x:v>结构层</x:v>
      </x:c>
      <x:c r="H46" s="82" t="str">
        <x:v>制化型</x:v>
      </x:c>
      <x:c r="I46" s="68" t="str">
        <x:v>伤官配印</x:v>
      </x:c>
      <x:c r="J46" s="68" t="str">
        <x:v>伤官、印星</x:v>
      </x:c>
      <x:c r="K46" s="68" t="str">
        <x:v>印星旺或极旺</x:v>
      </x:c>
      <x:c r="L46" s="68" t="str">
        <x:v>伤官被制至失效</x:v>
      </x:c>
      <x:c r="M46" s="68" t="str">
        <x:v>直接或可达的生克制化路径成立</x:v>
      </x:c>
      <x:c r="N46" s="68" t="str">
        <x:v>印明显强于伤</x:v>
      </x:c>
      <x:c r="O46" s="68" t="str">
        <x:v>结合M09日主承载判断</x:v>
      </x:c>
      <x:c r="P46" s="68" t="str">
        <x:v>主体、客体、作用路径与力量匹配均达到最低要求</x:v>
      </x:c>
      <x:c r="Q46" s="68" t="str">
        <x:v>相关十神有根、有源、透达、清纯且关键通路稳定</x:v>
      </x:c>
      <x:c r="R46" s="90" t="str">
        <x:v>关键十神被合绊、被制、改性、失效或力量严重失衡</x:v>
      </x:c>
      <x:c r="S46" s="68" t="str">
        <x:v>存在第三十神恢复通路、清除破坏或重新形成平衡</x:v>
      </x:c>
      <x:c r="T46" s="90" t="str">
        <x:v>任一核心十神失效，或不存在真实作用路径</x:v>
      </x:c>
      <x:c r="U46" s="68" t="str">
        <x:v>特殊格局、从化或月令格局另转M14/M15复审</x:v>
      </x:c>
      <x:c r="V46" s="84" t="str">
        <x:v>弱成立</x:v>
      </x:c>
      <x:c r="W46" s="84" t="str">
        <x:v>伤官功能被过度压制</x:v>
      </x:c>
      <x:c r="X46" s="82" t="str">
        <x:v>否</x:v>
      </x:c>
      <x:c r="Y46" s="68" t="str">
        <x:v>对应格局候选转M14</x:v>
      </x:c>
      <x:c r="Z46" s="84" t="str">
        <x:v>伤官配印_印制太过</x:v>
      </x:c>
      <x:c r="AA46" s="84" t="str">
        <x:v>伤官配印：当主体、客体、路径与力量匹配满足最低标准时，判“弱成立”；是否上升为格局转M14/M15。</x:v>
      </x:c>
      <x:c r="AB46" s="82" t="str">
        <x:v>较高</x:v>
      </x:c>
      <x:c r="AC46" s="82" t="str">
        <x:v>现代综合</x:v>
      </x:c>
      <x:c r="AD46" s="68" t="str">
        <x:v>十神同时出现不等于组合成立。M11须同时验证核心十神有效性、作用路径、力量匹配、日主承载、破坏因素与救应；组合成立也不等于格局成立。</x:v>
      </x:c>
      <x:c r="AE46" s="68" t="str">
        <x:v>印星旺或极旺；伤官被制至失效；作用路径稳定且无关键破坏，可按“伤官配印”记录。</x:v>
      </x:c>
      <x:c r="AF46" s="90" t="str">
        <x:v>仅因“伤官、印星”同时出现，但核心十神无力、无作用路径或被关键因素破坏，不能判“伤官配印”成立。</x:v>
      </x:c>
      <x:c r="AG46" s="68" t="str">
        <x:v>https://zh.wikisource.org/zh-hans/%E6%B7%B5%E6%B5%B7%E5%AD%90%E5%B9%B3 ; https://zh.wikisource.org/wiki/%E6%BB%B4%E5%A4%A9%E9%AB%93%E9%97%A1%E5%BE%AE</x:v>
      </x:c>
      <x:c r="AH46" s="82" t="str">
        <x:v>采用</x:v>
      </x:c>
      <x:c r="AI46" s="82" t="str">
        <x:v>初审</x:v>
      </x:c>
      <x:c r="AJ46" s="87" t="n">
        <x:v>46255</x:v>
      </x:c>
    </x:row>
    <x:row r="47">
      <x:c r="A47" s="72" t="str">
        <x:f>IF(OR(C47="",D47=""),"",B47&amp;"-"&amp;UPPER(C47)&amp;"-"&amp;TEXT(D47,"0000")&amp;"-"&amp;E47)</x:f>
        <x:v>M11-SHANGYIN-0041-V1.0</x:v>
      </x:c>
      <x:c r="B47" s="74" t="str">
        <x:v>M11</x:v>
      </x:c>
      <x:c r="C47" s="74" t="str">
        <x:v>SHANGYIN</x:v>
      </x:c>
      <x:c r="D47" s="215" t="n">
        <x:v>41</x:v>
      </x:c>
      <x:c r="E47" s="74" t="str">
        <x:v>V1.0</x:v>
      </x:c>
      <x:c r="F47" s="68" t="str">
        <x:v>财星强制印会破坏配印</x:v>
      </x:c>
      <x:c r="G47" s="82" t="str">
        <x:v>结构层</x:v>
      </x:c>
      <x:c r="H47" s="82" t="str">
        <x:v>制化型</x:v>
      </x:c>
      <x:c r="I47" s="68" t="str">
        <x:v>伤官配印</x:v>
      </x:c>
      <x:c r="J47" s="68" t="str">
        <x:v>伤官、印星、财星</x:v>
      </x:c>
      <x:c r="K47" s="68" t="str">
        <x:v>财星有效且直接克制关键印星</x:v>
      </x:c>
      <x:c r="L47" s="68" t="str">
        <x:v>印星制伤能力下降</x:v>
      </x:c>
      <x:c r="M47" s="68" t="str">
        <x:v>直接或可达的生克制化路径成立</x:v>
      </x:c>
      <x:c r="N47" s="68" t="str">
        <x:v>相关十神均以M10有效力量为准，且不存在决定性失衡</x:v>
      </x:c>
      <x:c r="O47" s="68" t="str">
        <x:v>结合M09日主承载判断</x:v>
      </x:c>
      <x:c r="P47" s="68" t="str">
        <x:v>主体、客体、作用路径与力量匹配均达到最低要求</x:v>
      </x:c>
      <x:c r="Q47" s="68" t="str">
        <x:v>相关十神有根、有源、透达、清纯且关键通路稳定</x:v>
      </x:c>
      <x:c r="R47" s="90" t="str">
        <x:v>财破关键印星</x:v>
      </x:c>
      <x:c r="S47" s="68" t="str">
        <x:v>存在第三十神恢复通路、清除破坏或重新形成平衡</x:v>
      </x:c>
      <x:c r="T47" s="90" t="str">
        <x:v>任一核心十神失效，或不存在真实作用路径</x:v>
      </x:c>
      <x:c r="U47" s="68" t="str">
        <x:v>特殊格局、从化或月令格局另转M14/M15复审</x:v>
      </x:c>
      <x:c r="V47" s="84" t="str">
        <x:v>不成立</x:v>
      </x:c>
      <x:c r="W47" s="84" t="str">
        <x:v>形成局部生化、制化或承载结构</x:v>
      </x:c>
      <x:c r="X47" s="82" t="str">
        <x:v>否</x:v>
      </x:c>
      <x:c r="Y47" s="68" t="str">
        <x:v>对应格局候选转M14</x:v>
      </x:c>
      <x:c r="Z47" s="84" t="str">
        <x:v>伤官配印_财坏印</x:v>
      </x:c>
      <x:c r="AA47" s="84" t="str">
        <x:v>伤官配印：当主体、客体、路径与力量匹配满足最低标准时，判“不成立”；是否上升为格局转M14/M15。</x:v>
      </x:c>
      <x:c r="AB47" s="82" t="str">
        <x:v>较高</x:v>
      </x:c>
      <x:c r="AC47" s="82" t="str">
        <x:v>现代综合</x:v>
      </x:c>
      <x:c r="AD47" s="68" t="str">
        <x:v>十神同时出现不等于组合成立。M11须同时验证核心十神有效性、作用路径、力量匹配、日主承载、破坏因素与救应；组合成立也不等于格局成立。</x:v>
      </x:c>
      <x:c r="AE47" s="68" t="str">
        <x:v>财星有效且直接克制关键印星；印星制伤能力下降；作用路径稳定且无关键破坏，可按“伤官配印”记录。</x:v>
      </x:c>
      <x:c r="AF47" s="90" t="str">
        <x:v>仅因“伤官、印星、财星”同时出现，但核心十神无力、无作用路径或被关键因素破坏，不能判“伤官配印”成立。</x:v>
      </x:c>
      <x:c r="AG47" s="68" t="str">
        <x:v>https://zh.wikisource.org/zh-hans/%E6%B7%B5%E6%B5%B7%E5%AD%90%E5%B9%B3 ; https://zh.wikisource.org/wiki/%E6%BB%B4%E5%A4%A9%E9%AB%93%E9%97%A1%E5%BE%AE</x:v>
      </x:c>
      <x:c r="AH47" s="82" t="str">
        <x:v>采用</x:v>
      </x:c>
      <x:c r="AI47" s="82" t="str">
        <x:v>初审</x:v>
      </x:c>
      <x:c r="AJ47" s="87" t="n">
        <x:v>46255</x:v>
      </x:c>
    </x:row>
    <x:row r="48">
      <x:c r="A48" s="72" t="str">
        <x:f>IF(OR(C48="",D48=""),"",B48&amp;"-"&amp;UPPER(C48)&amp;"-"&amp;TEXT(D48,"0000")&amp;"-"&amp;E48)</x:f>
        <x:v>M11-SHANGYIN-0042-V1.0</x:v>
      </x:c>
      <x:c r="B48" s="74" t="str">
        <x:v>M11</x:v>
      </x:c>
      <x:c r="C48" s="74" t="str">
        <x:v>SHANGYIN</x:v>
      </x:c>
      <x:c r="D48" s="215" t="n">
        <x:v>42</x:v>
      </x:c>
      <x:c r="E48" s="74" t="str">
        <x:v>V1.0</x:v>
      </x:c>
      <x:c r="F48" s="68" t="str">
        <x:v>伤官已强克官时配印可作为救应</x:v>
      </x:c>
      <x:c r="G48" s="82" t="str">
        <x:v>结构层</x:v>
      </x:c>
      <x:c r="H48" s="82" t="str">
        <x:v>制化型</x:v>
      </x:c>
      <x:c r="I48" s="68" t="str">
        <x:v>伤官配印</x:v>
      </x:c>
      <x:c r="J48" s="68" t="str">
        <x:v>伤官、印星、正官</x:v>
      </x:c>
      <x:c r="K48" s="68" t="str">
        <x:v>伤官克官冲突已经成立</x:v>
      </x:c>
      <x:c r="L48" s="68" t="str">
        <x:v>印星有力并能制伤、同时不被财破</x:v>
      </x:c>
      <x:c r="M48" s="68" t="str">
        <x:v>直接或可达的生克制化路径成立</x:v>
      </x:c>
      <x:c r="N48" s="68" t="str">
        <x:v>相关十神均以M10有效力量为准，且不存在决定性失衡</x:v>
      </x:c>
      <x:c r="O48" s="68" t="str">
        <x:v>结合M09日主承载判断</x:v>
      </x:c>
      <x:c r="P48" s="68" t="str">
        <x:v>主体、客体、作用路径与力量匹配均达到最低要求</x:v>
      </x:c>
      <x:c r="Q48" s="68" t="str">
        <x:v>相关十神有根、有源、透达、清纯且关键通路稳定</x:v>
      </x:c>
      <x:c r="R48" s="90" t="str">
        <x:v>关键十神被合绊、被制、改性、失效或力量严重失衡</x:v>
      </x:c>
      <x:c r="S48" s="68" t="str">
        <x:v>印制伤恢复官星功能或降低冲突</x:v>
      </x:c>
      <x:c r="T48" s="90" t="str">
        <x:v>任一核心十神失效，或不存在真实作用路径</x:v>
      </x:c>
      <x:c r="U48" s="68" t="str">
        <x:v>特殊格局、从化或月令格局另转M14/M15复审</x:v>
      </x:c>
      <x:c r="V48" s="84" t="str">
        <x:v>基本成立</x:v>
      </x:c>
      <x:c r="W48" s="84" t="str">
        <x:v>形成局部生化、制化或承载结构</x:v>
      </x:c>
      <x:c r="X48" s="82" t="str">
        <x:v>条件性</x:v>
      </x:c>
      <x:c r="Y48" s="68" t="str">
        <x:v>对应格局候选转M14</x:v>
      </x:c>
      <x:c r="Z48" s="84" t="str">
        <x:v>伤官配印_救官</x:v>
      </x:c>
      <x:c r="AA48" s="84" t="str">
        <x:v>伤官配印：当主体、客体、路径与力量匹配满足最低标准时，判“基本成立”；是否上升为格局转M14/M15。</x:v>
      </x:c>
      <x:c r="AB48" s="82" t="str">
        <x:v>较高</x:v>
      </x:c>
      <x:c r="AC48" s="82" t="str">
        <x:v>现代综合</x:v>
      </x:c>
      <x:c r="AD48" s="68" t="str">
        <x:v>十神同时出现不等于组合成立。M11须同时验证核心十神有效性、作用路径、力量匹配、日主承载、破坏因素与救应；组合成立也不等于格局成立。</x:v>
      </x:c>
      <x:c r="AE48" s="68" t="str">
        <x:v>伤官克官冲突已经成立；印星有力并能制伤、同时不被财破；作用路径稳定且无关键破坏，可按“伤官配印”记录。</x:v>
      </x:c>
      <x:c r="AF48" s="90" t="str">
        <x:v>仅因“伤官、印星、正官”同时出现，但核心十神无力、无作用路径或被关键因素破坏，不能判“伤官配印”成立。</x:v>
      </x:c>
      <x:c r="AG48" s="68" t="str">
        <x:v>https://zh.wikisource.org/zh-hans/%E6%B7%B5%E6%B5%B7%E5%AD%90%E5%B9%B3 ; https://zh.wikisource.org/wiki/%E6%BB%B4%E5%A4%A9%E9%AB%93%E9%97%A1%E5%BE%AE</x:v>
      </x:c>
      <x:c r="AH48" s="82" t="str">
        <x:v>采用</x:v>
      </x:c>
      <x:c r="AI48" s="82" t="str">
        <x:v>初审</x:v>
      </x:c>
      <x:c r="AJ48" s="87" t="n">
        <x:v>46255</x:v>
      </x:c>
    </x:row>
    <x:row r="49">
      <x:c r="A49" s="72" t="str">
        <x:f>IF(OR(C49="",D49=""),"",B49&amp;"-"&amp;UPPER(C49)&amp;"-"&amp;TEXT(D49,"0000")&amp;"-"&amp;E49)</x:f>
        <x:v>M11-SHANGYIN-0043-V1.0</x:v>
      </x:c>
      <x:c r="B49" s="74" t="str">
        <x:v>M11</x:v>
      </x:c>
      <x:c r="C49" s="74" t="str">
        <x:v>SHANGYIN</x:v>
      </x:c>
      <x:c r="D49" s="215" t="n">
        <x:v>43</x:v>
      </x:c>
      <x:c r="E49" s="74" t="str">
        <x:v>V1.0</x:v>
      </x:c>
      <x:c r="F49" s="68" t="str">
        <x:v>身弱时印星兼具生身与制伤双重收益</x:v>
      </x:c>
      <x:c r="G49" s="82" t="str">
        <x:v>结构层</x:v>
      </x:c>
      <x:c r="H49" s="82" t="str">
        <x:v>制化型</x:v>
      </x:c>
      <x:c r="I49" s="68" t="str">
        <x:v>伤官配印</x:v>
      </x:c>
      <x:c r="J49" s="68" t="str">
        <x:v>伤官、印星</x:v>
      </x:c>
      <x:c r="K49" s="68" t="str">
        <x:v>M09日主弱或中和偏弱</x:v>
      </x:c>
      <x:c r="L49" s="68" t="str">
        <x:v>伤官有力且印星有效</x:v>
      </x:c>
      <x:c r="M49" s="68" t="str">
        <x:v>直接或可达的生克制化路径成立</x:v>
      </x:c>
      <x:c r="N49" s="68" t="str">
        <x:v>相关十神均以M10有效力量为准，且不存在决定性失衡</x:v>
      </x:c>
      <x:c r="O49" s="68" t="str">
        <x:v>印既补身又制过泄，通常提高组合有效性</x:v>
      </x:c>
      <x:c r="P49" s="68" t="str">
        <x:v>主体、客体、作用路径与力量匹配均达到最低要求</x:v>
      </x:c>
      <x:c r="Q49" s="68" t="str">
        <x:v>印星有根有源且不被财破</x:v>
      </x:c>
      <x:c r="R49" s="90" t="str">
        <x:v>关键十神被合绊、被制、改性、失效或力量严重失衡</x:v>
      </x:c>
      <x:c r="S49" s="68" t="str">
        <x:v>存在第三十神恢复通路、清除破坏或重新形成平衡</x:v>
      </x:c>
      <x:c r="T49" s="90" t="str">
        <x:v>任一核心十神失效，或不存在真实作用路径</x:v>
      </x:c>
      <x:c r="U49" s="68" t="str">
        <x:v>特殊格局、从化或月令格局另转M14/M15复审</x:v>
      </x:c>
      <x:c r="V49" s="84" t="str">
        <x:v>明显成立</x:v>
      </x:c>
      <x:c r="W49" s="84" t="str">
        <x:v>形成局部生化、制化或承载结构</x:v>
      </x:c>
      <x:c r="X49" s="82" t="str">
        <x:v>条件性</x:v>
      </x:c>
      <x:c r="Y49" s="68" t="str">
        <x:v>对应格局候选转M14</x:v>
      </x:c>
      <x:c r="Z49" s="84" t="str">
        <x:v>伤官配印_身弱增强</x:v>
      </x:c>
      <x:c r="AA49" s="84" t="str">
        <x:v>伤官配印：当主体、客体、路径与力量匹配满足最低标准时，判“明显成立”；是否上升为格局转M14/M15。</x:v>
      </x:c>
      <x:c r="AB49" s="82" t="str">
        <x:v>较高</x:v>
      </x:c>
      <x:c r="AC49" s="82" t="str">
        <x:v>现代综合</x:v>
      </x:c>
      <x:c r="AD49" s="68" t="str">
        <x:v>十神同时出现不等于组合成立。M11须同时验证核心十神有效性、作用路径、力量匹配、日主承载、破坏因素与救应；组合成立也不等于格局成立。</x:v>
      </x:c>
      <x:c r="AE49" s="68" t="str">
        <x:v>M09日主弱或中和偏弱；伤官有力且印星有效；作用路径稳定且无关键破坏，可按“伤官配印”记录。</x:v>
      </x:c>
      <x:c r="AF49" s="90" t="str">
        <x:v>仅因“伤官、印星”同时出现，但核心十神无力、无作用路径或被关键因素破坏，不能判“伤官配印”成立。</x:v>
      </x:c>
      <x:c r="AG49" s="68" t="str">
        <x:v>https://zh.wikisource.org/zh-hans/%E6%B7%B5%E6%B5%B7%E5%AD%90%E5%B9%B3 ; https://zh.wikisource.org/wiki/%E6%BB%B4%E5%A4%A9%E9%AB%93%E9%97%A1%E5%BE%AE</x:v>
      </x:c>
      <x:c r="AH49" s="82" t="str">
        <x:v>采用</x:v>
      </x:c>
      <x:c r="AI49" s="82" t="str">
        <x:v>初审</x:v>
      </x:c>
      <x:c r="AJ49" s="87" t="n">
        <x:v>46255</x:v>
      </x:c>
    </x:row>
    <x:row r="50">
      <x:c r="A50" s="72" t="str">
        <x:f>IF(OR(C50="",D50=""),"",B50&amp;"-"&amp;UPPER(C50)&amp;"-"&amp;TEXT(D50,"0000")&amp;"-"&amp;E50)</x:f>
        <x:v>M11-SHANGYIN-0044-V1.0</x:v>
      </x:c>
      <x:c r="B50" s="74" t="str">
        <x:v>M11</x:v>
      </x:c>
      <x:c r="C50" s="74" t="str">
        <x:v>SHANGYIN</x:v>
      </x:c>
      <x:c r="D50" s="215" t="n">
        <x:v>44</x:v>
      </x:c>
      <x:c r="E50" s="74" t="str">
        <x:v>V1.0</x:v>
      </x:c>
      <x:c r="F50" s="68" t="str">
        <x:v>身旺印旺再配印可能加重身势</x:v>
      </x:c>
      <x:c r="G50" s="82" t="str">
        <x:v>结构层</x:v>
      </x:c>
      <x:c r="H50" s="82" t="str">
        <x:v>制化型</x:v>
      </x:c>
      <x:c r="I50" s="68" t="str">
        <x:v>伤官配印</x:v>
      </x:c>
      <x:c r="J50" s="68" t="str">
        <x:v>伤官、印星</x:v>
      </x:c>
      <x:c r="K50" s="68" t="str">
        <x:v>日主旺或极旺且印星本已强</x:v>
      </x:c>
      <x:c r="L50" s="68" t="str">
        <x:v>伤官虽然存在，但印的生身副作用明显</x:v>
      </x:c>
      <x:c r="M50" s="68" t="str">
        <x:v>直接或可达的生克制化路径成立</x:v>
      </x:c>
      <x:c r="N50" s="68" t="str">
        <x:v>相关十神均以M10有效力量为准，且不存在决定性失衡</x:v>
      </x:c>
      <x:c r="O50" s="68" t="str">
        <x:v>若制伤收益小于印增身副作用，组合价值下降</x:v>
      </x:c>
      <x:c r="P50" s="68" t="str">
        <x:v>主体、客体、作用路径与力量匹配均达到最低要求</x:v>
      </x:c>
      <x:c r="Q50" s="68" t="str">
        <x:v>相关十神有根、有源、透达、清纯且关键通路稳定</x:v>
      </x:c>
      <x:c r="R50" s="90" t="str">
        <x:v>关键十神被合绊、被制、改性、失效或力量严重失衡</x:v>
      </x:c>
      <x:c r="S50" s="68" t="str">
        <x:v>存在第三十神恢复通路、清除破坏或重新形成平衡</x:v>
      </x:c>
      <x:c r="T50" s="90" t="str">
        <x:v>任一核心十神失效，或不存在真实作用路径</x:v>
      </x:c>
      <x:c r="U50" s="68" t="str">
        <x:v>特殊格局、从化或月令格局另转M14/M15复审</x:v>
      </x:c>
      <x:c r="V50" s="84" t="str">
        <x:v>弱成立</x:v>
      </x:c>
      <x:c r="W50" s="84" t="str">
        <x:v>形成局部生化、制化或承载结构</x:v>
      </x:c>
      <x:c r="X50" s="82" t="str">
        <x:v>否</x:v>
      </x:c>
      <x:c r="Y50" s="68" t="str">
        <x:v>对应格局候选转M14</x:v>
      </x:c>
      <x:c r="Z50" s="84" t="str">
        <x:v>伤官配印_身旺副作用</x:v>
      </x:c>
      <x:c r="AA50" s="84" t="str">
        <x:v>伤官配印：当主体、客体、路径与力量匹配满足最低标准时，判“弱成立”；是否上升为格局转M14/M15。</x:v>
      </x:c>
      <x:c r="AB50" s="82" t="str">
        <x:v>较高</x:v>
      </x:c>
      <x:c r="AC50" s="82" t="str">
        <x:v>现代综合</x:v>
      </x:c>
      <x:c r="AD50" s="68" t="str">
        <x:v>十神同时出现不等于组合成立。M11须同时验证核心十神有效性、作用路径、力量匹配、日主承载、破坏因素与救应；组合成立也不等于格局成立。</x:v>
      </x:c>
      <x:c r="AE50" s="68" t="str">
        <x:v>日主旺或极旺且印星本已强；伤官虽然存在，但印的生身副作用明显；作用路径稳定且无关键破坏，可按“伤官配印”记录。</x:v>
      </x:c>
      <x:c r="AF50" s="90" t="str">
        <x:v>仅因“伤官、印星”同时出现，但核心十神无力、无作用路径或被关键因素破坏，不能判“伤官配印”成立。</x:v>
      </x:c>
      <x:c r="AG50" s="68" t="str">
        <x:v>https://zh.wikisource.org/zh-hans/%E6%B7%B5%E6%B5%B7%E5%AD%90%E5%B9%B3 ; https://zh.wikisource.org/wiki/%E6%BB%B4%E5%A4%A9%E9%AB%93%E9%97%A1%E5%BE%AE</x:v>
      </x:c>
      <x:c r="AH50" s="82" t="str">
        <x:v>采用</x:v>
      </x:c>
      <x:c r="AI50" s="82" t="str">
        <x:v>初审</x:v>
      </x:c>
      <x:c r="AJ50" s="87" t="n">
        <x:v>46255</x:v>
      </x:c>
    </x:row>
    <x:row r="51">
      <x:c r="A51" s="72" t="str">
        <x:f>IF(OR(C51="",D51=""),"",B51&amp;"-"&amp;UPPER(C51)&amp;"-"&amp;TEXT(D51,"0000")&amp;"-"&amp;E51)</x:f>
        <x:v>M11-SHANGYIN-0045-V1.0</x:v>
      </x:c>
      <x:c r="B51" s="74" t="str">
        <x:v>M11</x:v>
      </x:c>
      <x:c r="C51" s="74" t="str">
        <x:v>SHANGYIN</x:v>
      </x:c>
      <x:c r="D51" s="215" t="n">
        <x:v>45</x:v>
      </x:c>
      <x:c r="E51" s="74" t="str">
        <x:v>V1.0</x:v>
      </x:c>
      <x:c r="F51" s="68" t="str">
        <x:v>伤印力量协调且无财破印可判明显成立</x:v>
      </x:c>
      <x:c r="G51" s="82" t="str">
        <x:v>结构层</x:v>
      </x:c>
      <x:c r="H51" s="82" t="str">
        <x:v>制化型</x:v>
      </x:c>
      <x:c r="I51" s="68" t="str">
        <x:v>伤官配印</x:v>
      </x:c>
      <x:c r="J51" s="68" t="str">
        <x:v>伤官、印星</x:v>
      </x:c>
      <x:c r="K51" s="68" t="str">
        <x:v>伤官有力、印星有力</x:v>
      </x:c>
      <x:c r="L51" s="68" t="str">
        <x:v>印能制伤但不至伤官完全失效</x:v>
      </x:c>
      <x:c r="M51" s="68" t="str">
        <x:v>直接或可达的生克制化路径成立</x:v>
      </x:c>
      <x:c r="N51" s="68" t="str">
        <x:v>伤印制化适中</x:v>
      </x:c>
      <x:c r="O51" s="68" t="str">
        <x:v>结合M09日主承载判断</x:v>
      </x:c>
      <x:c r="P51" s="68" t="str">
        <x:v>主体、客体、作用路径与力量匹配均达到最低要求</x:v>
      </x:c>
      <x:c r="Q51" s="68" t="str">
        <x:v>相关十神有根、有源、透达、清纯且关键通路稳定</x:v>
      </x:c>
      <x:c r="R51" s="90" t="str">
        <x:v>关键十神被合绊、被制、改性、失效或力量严重失衡</x:v>
      </x:c>
      <x:c r="S51" s="68" t="str">
        <x:v>存在第三十神恢复通路、清除破坏或重新形成平衡</x:v>
      </x:c>
      <x:c r="T51" s="90" t="str">
        <x:v>任一核心十神失效，或不存在真实作用路径</x:v>
      </x:c>
      <x:c r="U51" s="68" t="str">
        <x:v>特殊格局、从化或月令格局另转M14/M15复审</x:v>
      </x:c>
      <x:c r="V51" s="84" t="str">
        <x:v>明显成立</x:v>
      </x:c>
      <x:c r="W51" s="84" t="str">
        <x:v>形成局部生化、制化或承载结构</x:v>
      </x:c>
      <x:c r="X51" s="82" t="str">
        <x:v>条件性</x:v>
      </x:c>
      <x:c r="Y51" s="68" t="str">
        <x:v>对应格局候选转M14</x:v>
      </x:c>
      <x:c r="Z51" s="84" t="str">
        <x:v>伤官配印_明显成立</x:v>
      </x:c>
      <x:c r="AA51" s="84" t="str">
        <x:v>伤官配印：当主体、客体、路径与力量匹配满足最低标准时，判“明显成立”；是否上升为格局转M14/M15。</x:v>
      </x:c>
      <x:c r="AB51" s="82" t="str">
        <x:v>较高</x:v>
      </x:c>
      <x:c r="AC51" s="82" t="str">
        <x:v>现代综合</x:v>
      </x:c>
      <x:c r="AD51" s="68" t="str">
        <x:v>十神同时出现不等于组合成立。M11须同时验证核心十神有效性、作用路径、力量匹配、日主承载、破坏因素与救应；组合成立也不等于格局成立。</x:v>
      </x:c>
      <x:c r="AE51" s="68" t="str">
        <x:v>伤官有力、印星有力；印能制伤但不至伤官完全失效；作用路径稳定且无关键破坏，可按“伤官配印”记录。</x:v>
      </x:c>
      <x:c r="AF51" s="90" t="str">
        <x:v>仅因“伤官、印星”同时出现，但核心十神无力、无作用路径或被关键因素破坏，不能判“伤官配印”成立。</x:v>
      </x:c>
      <x:c r="AG51" s="68" t="str">
        <x:v>https://zh.wikisource.org/zh-hans/%E6%B7%B5%E6%B5%B7%E5%AD%90%E5%B9%B3 ; https://zh.wikisource.org/wiki/%E6%BB%B4%E5%A4%A9%E9%AB%93%E9%97%A1%E5%BE%AE</x:v>
      </x:c>
      <x:c r="AH51" s="82" t="str">
        <x:v>采用</x:v>
      </x:c>
      <x:c r="AI51" s="82" t="str">
        <x:v>初审</x:v>
      </x:c>
      <x:c r="AJ51" s="87" t="n">
        <x:v>46255</x:v>
      </x:c>
    </x:row>
    <x:row r="52">
      <x:c r="A52" s="72" t="str">
        <x:f>IF(OR(C52="",D52=""),"",B52&amp;"-"&amp;UPPER(C52)&amp;"-"&amp;TEXT(D52,"0000")&amp;"-"&amp;E52)</x:f>
        <x:v>M11-SHANGYIN-0046-V1.0</x:v>
      </x:c>
      <x:c r="B52" s="74" t="str">
        <x:v>M11</x:v>
      </x:c>
      <x:c r="C52" s="74" t="str">
        <x:v>SHANGYIN</x:v>
      </x:c>
      <x:c r="D52" s="215" t="n">
        <x:v>46</x:v>
      </x:c>
      <x:c r="E52" s="74" t="str">
        <x:v>V1.0</x:v>
      </x:c>
      <x:c r="F52" s="68" t="str">
        <x:v>伤官配印与枭神夺食必须区分对象</x:v>
      </x:c>
      <x:c r="G52" s="82" t="str">
        <x:v>结构层</x:v>
      </x:c>
      <x:c r="H52" s="82" t="str">
        <x:v>制化型</x:v>
      </x:c>
      <x:c r="I52" s="68" t="str">
        <x:v>伤官配印</x:v>
      </x:c>
      <x:c r="J52" s="68" t="str">
        <x:v>伤官、印星</x:v>
      </x:c>
      <x:c r="K52" s="68" t="str">
        <x:v>印星同时可能制伤官或食神</x:v>
      </x:c>
      <x:c r="L52" s="68" t="str">
        <x:v>须识别印制的具体食伤类型及该食伤承担的功能</x:v>
      </x:c>
      <x:c r="M52" s="68" t="str">
        <x:v>直接或可达的生克制化路径成立</x:v>
      </x:c>
      <x:c r="N52" s="68" t="str">
        <x:v>相关十神均以M10有效力量为准，且不存在决定性失衡</x:v>
      </x:c>
      <x:c r="O52" s="68" t="str">
        <x:v>结合M09日主承载判断</x:v>
      </x:c>
      <x:c r="P52" s="68" t="str">
        <x:v>明确作用对象后再命名组合</x:v>
      </x:c>
      <x:c r="Q52" s="68" t="str">
        <x:v>相关十神有根、有源、透达、清纯且关键通路稳定</x:v>
      </x:c>
      <x:c r="R52" s="90" t="str">
        <x:v>关键十神被合绊、被制、改性、失效或力量严重失衡</x:v>
      </x:c>
      <x:c r="S52" s="68" t="str">
        <x:v>存在第三十神恢复通路、清除破坏或重新形成平衡</x:v>
      </x:c>
      <x:c r="T52" s="90" t="str">
        <x:v>任一核心十神失效，或不存在真实作用路径</x:v>
      </x:c>
      <x:c r="U52" s="68" t="str">
        <x:v>特殊格局、从化或月令格局另转M14/M15复审</x:v>
      </x:c>
      <x:c r="V52" s="84" t="str">
        <x:v>待定</x:v>
      </x:c>
      <x:c r="W52" s="84" t="str">
        <x:v>防止将印制食伤统一命名</x:v>
      </x:c>
      <x:c r="X52" s="82" t="str">
        <x:v>否</x:v>
      </x:c>
      <x:c r="Y52" s="68" t="str">
        <x:v>对应格局候选转M14</x:v>
      </x:c>
      <x:c r="Z52" s="84" t="str">
        <x:v>伤官配印_对象边界</x:v>
      </x:c>
      <x:c r="AA52" s="84" t="str">
        <x:v>伤官配印：当主体、客体、路径与力量匹配满足最低标准时，判“待定”；是否上升为格局转M14/M15。</x:v>
      </x:c>
      <x:c r="AB52" s="82" t="str">
        <x:v>较高</x:v>
      </x:c>
      <x:c r="AC52" s="82" t="str">
        <x:v>现代综合</x:v>
      </x:c>
      <x:c r="AD52" s="68" t="str">
        <x:v>十神同时出现不等于组合成立。M11须同时验证核心十神有效性、作用路径、力量匹配、日主承载、破坏因素与救应；组合成立也不等于格局成立。</x:v>
      </x:c>
      <x:c r="AE52" s="68" t="str">
        <x:v>印星同时可能制伤官或食神；须识别印制的具体食伤类型及该食伤承担的功能；作用路径稳定且无关键破坏，可按“伤官配印”记录。</x:v>
      </x:c>
      <x:c r="AF52" s="90" t="str">
        <x:v>仅因“伤官、印星”同时出现，但核心十神无力、无作用路径或被关键因素破坏，不能判“伤官配印”成立。</x:v>
      </x:c>
      <x:c r="AG52" s="68" t="str">
        <x:v>https://zh.wikisource.org/zh-hans/%E6%B7%B5%E6%B5%B7%E5%AD%90%E5%B9%B3 ; https://zh.wikisource.org/wiki/%E6%BB%B4%E5%A4%A9%E9%AB%93%E9%97%A1%E5%BE%AE</x:v>
      </x:c>
      <x:c r="AH52" s="82" t="str">
        <x:v>采用</x:v>
      </x:c>
      <x:c r="AI52" s="82" t="str">
        <x:v>初审</x:v>
      </x:c>
      <x:c r="AJ52" s="87" t="n">
        <x:v>46255</x:v>
      </x:c>
    </x:row>
    <x:row r="53">
      <x:c r="A53" s="72" t="str">
        <x:f>IF(OR(C53="",D53=""),"",B53&amp;"-"&amp;UPPER(C53)&amp;"-"&amp;TEXT(D53,"0000")&amp;"-"&amp;E53)</x:f>
        <x:v>M11-SHENGCAI-0047-V1.0</x:v>
      </x:c>
      <x:c r="B53" s="74" t="str">
        <x:v>M11</x:v>
      </x:c>
      <x:c r="C53" s="74" t="str">
        <x:v>SHENGCAI</x:v>
      </x:c>
      <x:c r="D53" s="215" t="n">
        <x:v>47</x:v>
      </x:c>
      <x:c r="E53" s="74" t="str">
        <x:v>V1.0</x:v>
      </x:c>
      <x:c r="F53" s="68" t="str">
        <x:v>食神必须有效且能够向财星输送</x:v>
      </x:c>
      <x:c r="G53" s="82" t="str">
        <x:v>结构层</x:v>
      </x:c>
      <x:c r="H53" s="82" t="str">
        <x:v>生化型</x:v>
      </x:c>
      <x:c r="I53" s="68" t="str">
        <x:v>食神生财</x:v>
      </x:c>
      <x:c r="J53" s="68" t="str">
        <x:v>食神、财星</x:v>
      </x:c>
      <x:c r="K53" s="68" t="str">
        <x:v>食神有效</x:v>
      </x:c>
      <x:c r="L53" s="68" t="str">
        <x:v>财星有效且能承接食神生扶</x:v>
      </x:c>
      <x:c r="M53" s="68" t="str">
        <x:v>食神→财星路径连续</x:v>
      </x:c>
      <x:c r="N53" s="68" t="str">
        <x:v>相关十神均以M10有效力量为准，且不存在决定性失衡</x:v>
      </x:c>
      <x:c r="O53" s="68" t="str">
        <x:v>结合M09日主承载判断</x:v>
      </x:c>
      <x:c r="P53" s="68" t="str">
        <x:v>主体、客体、作用路径与力量匹配均达到最低要求</x:v>
      </x:c>
      <x:c r="Q53" s="68" t="str">
        <x:v>相关十神有根、有源、透达、清纯且关键通路稳定</x:v>
      </x:c>
      <x:c r="R53" s="90" t="str">
        <x:v>关键十神被合绊、被制、改性、失效或力量严重失衡</x:v>
      </x:c>
      <x:c r="S53" s="68" t="str">
        <x:v>存在第三十神恢复通路、清除破坏或重新形成平衡</x:v>
      </x:c>
      <x:c r="T53" s="90" t="str">
        <x:v>任一核心十神失效，或不存在真实作用路径</x:v>
      </x:c>
      <x:c r="U53" s="68" t="str">
        <x:v>特殊格局、从化或月令格局另转M14/M15复审</x:v>
      </x:c>
      <x:c r="V53" s="84" t="str">
        <x:v>基本成立</x:v>
      </x:c>
      <x:c r="W53" s="84" t="str">
        <x:v>泄身并转化为财星</x:v>
      </x:c>
      <x:c r="X53" s="82" t="str">
        <x:v>条件性</x:v>
      </x:c>
      <x:c r="Y53" s="68" t="str">
        <x:v>食神生财格候选</x:v>
      </x:c>
      <x:c r="Z53" s="84" t="str">
        <x:v>食神生财_成立条件</x:v>
      </x:c>
      <x:c r="AA53" s="84" t="str">
        <x:v>食神生财：当主体、客体、路径与力量匹配满足最低标准时，判“基本成立”；是否上升为格局转M14/M15。</x:v>
      </x:c>
      <x:c r="AB53" s="82" t="str">
        <x:v>较高</x:v>
      </x:c>
      <x:c r="AC53" s="82" t="str">
        <x:v>现代综合</x:v>
      </x:c>
      <x:c r="AD53" s="68" t="str">
        <x:v>十神同时出现不等于组合成立。M11须同时验证核心十神有效性、作用路径、力量匹配、日主承载、破坏因素与救应；组合成立也不等于格局成立。</x:v>
      </x:c>
      <x:c r="AE53" s="68" t="str">
        <x:v>食神有效；财星有效且能承接食神生扶；作用路径稳定且无关键破坏，可按“食神生财”记录。</x:v>
      </x:c>
      <x:c r="AF53" s="90" t="str">
        <x:v>仅因“食神、财星”同时出现，但核心十神无力、无作用路径或被关键因素破坏，不能判“食神生财”成立。</x:v>
      </x:c>
      <x:c r="AG53" s="68" t="str">
        <x:v>https://zh.wikisource.org/zh-hans/%E6%B7%B5%E6%B5%B7%E5%AD%90%E5%B9%B3 ; https://zh.wikisource.org/wiki/%E6%BB%B4%E5%A4%A9%E9%AB%93%E9%97%A1%E5%BE%AE</x:v>
      </x:c>
      <x:c r="AH53" s="82" t="str">
        <x:v>采用</x:v>
      </x:c>
      <x:c r="AI53" s="82" t="str">
        <x:v>初审</x:v>
      </x:c>
      <x:c r="AJ53" s="87" t="n">
        <x:v>46255</x:v>
      </x:c>
    </x:row>
    <x:row r="54">
      <x:c r="A54" s="72" t="str">
        <x:f>IF(OR(C54="",D54=""),"",B54&amp;"-"&amp;UPPER(C54)&amp;"-"&amp;TEXT(D54,"0000")&amp;"-"&amp;E54)</x:f>
        <x:v>M11-SHENGCAI-0048-V1.0</x:v>
      </x:c>
      <x:c r="B54" s="74" t="str">
        <x:v>M11</x:v>
      </x:c>
      <x:c r="C54" s="74" t="str">
        <x:v>SHENGCAI</x:v>
      </x:c>
      <x:c r="D54" s="215" t="n">
        <x:v>48</x:v>
      </x:c>
      <x:c r="E54" s="74" t="str">
        <x:v>V1.0</x:v>
      </x:c>
      <x:c r="F54" s="68" t="str">
        <x:v>伤官必须有效且财星能够承接</x:v>
      </x:c>
      <x:c r="G54" s="82" t="str">
        <x:v>结构层</x:v>
      </x:c>
      <x:c r="H54" s="82" t="str">
        <x:v>生化型</x:v>
      </x:c>
      <x:c r="I54" s="68" t="str">
        <x:v>伤官生财</x:v>
      </x:c>
      <x:c r="J54" s="68" t="str">
        <x:v>伤官、财星</x:v>
      </x:c>
      <x:c r="K54" s="68" t="str">
        <x:v>伤官有效</x:v>
      </x:c>
      <x:c r="L54" s="68" t="str">
        <x:v>财星有效</x:v>
      </x:c>
      <x:c r="M54" s="68" t="str">
        <x:v>伤官→财星路径连续</x:v>
      </x:c>
      <x:c r="N54" s="68" t="str">
        <x:v>相关十神均以M10有效力量为准，且不存在决定性失衡</x:v>
      </x:c>
      <x:c r="O54" s="68" t="str">
        <x:v>结合M09日主承载判断</x:v>
      </x:c>
      <x:c r="P54" s="68" t="str">
        <x:v>主体、客体、作用路径与力量匹配均达到最低要求</x:v>
      </x:c>
      <x:c r="Q54" s="68" t="str">
        <x:v>相关十神有根、有源、透达、清纯且关键通路稳定</x:v>
      </x:c>
      <x:c r="R54" s="90" t="str">
        <x:v>关键十神被合绊、被制、改性、失效或力量严重失衡</x:v>
      </x:c>
      <x:c r="S54" s="68" t="str">
        <x:v>存在第三十神恢复通路、清除破坏或重新形成平衡</x:v>
      </x:c>
      <x:c r="T54" s="90" t="str">
        <x:v>任一核心十神失效，或不存在真实作用路径</x:v>
      </x:c>
      <x:c r="U54" s="68" t="str">
        <x:v>特殊格局、从化或月令格局另转M14/M15复审</x:v>
      </x:c>
      <x:c r="V54" s="84" t="str">
        <x:v>基本成立</x:v>
      </x:c>
      <x:c r="W54" s="84" t="str">
        <x:v>泄身并生财</x:v>
      </x:c>
      <x:c r="X54" s="82" t="str">
        <x:v>条件性</x:v>
      </x:c>
      <x:c r="Y54" s="68" t="str">
        <x:v>伤官生财格候选</x:v>
      </x:c>
      <x:c r="Z54" s="84" t="str">
        <x:v>伤官生财_成立条件</x:v>
      </x:c>
      <x:c r="AA54" s="84" t="str">
        <x:v>伤官生财：当主体、客体、路径与力量匹配满足最低标准时，判“基本成立”；是否上升为格局转M14/M15。</x:v>
      </x:c>
      <x:c r="AB54" s="82" t="str">
        <x:v>较高</x:v>
      </x:c>
      <x:c r="AC54" s="82" t="str">
        <x:v>现代综合</x:v>
      </x:c>
      <x:c r="AD54" s="68" t="str">
        <x:v>十神同时出现不等于组合成立。M11须同时验证核心十神有效性、作用路径、力量匹配、日主承载、破坏因素与救应；组合成立也不等于格局成立。</x:v>
      </x:c>
      <x:c r="AE54" s="68" t="str">
        <x:v>伤官有效；财星有效；作用路径稳定且无关键破坏，可按“伤官生财”记录。</x:v>
      </x:c>
      <x:c r="AF54" s="90" t="str">
        <x:v>仅因“伤官、财星”同时出现，但核心十神无力、无作用路径或被关键因素破坏，不能判“伤官生财”成立。</x:v>
      </x:c>
      <x:c r="AG54" s="68" t="str">
        <x:v>https://zh.wikisource.org/zh-hans/%E6%B7%B5%E6%B5%B7%E5%AD%90%E5%B9%B3 ; https://zh.wikisource.org/wiki/%E6%BB%B4%E5%A4%A9%E9%AB%93%E9%97%A1%E5%BE%AE</x:v>
      </x:c>
      <x:c r="AH54" s="82" t="str">
        <x:v>采用</x:v>
      </x:c>
      <x:c r="AI54" s="82" t="str">
        <x:v>初审</x:v>
      </x:c>
      <x:c r="AJ54" s="87" t="n">
        <x:v>46255</x:v>
      </x:c>
    </x:row>
    <x:row r="55">
      <x:c r="A55" s="72" t="str">
        <x:f>IF(OR(C55="",D55=""),"",B55&amp;"-"&amp;UPPER(C55)&amp;"-"&amp;TEXT(D55,"0000")&amp;"-"&amp;E55)</x:f>
        <x:v>M11-SHENGCAI-0049-V1.0</x:v>
      </x:c>
      <x:c r="B55" s="74" t="str">
        <x:v>M11</x:v>
      </x:c>
      <x:c r="C55" s="74" t="str">
        <x:v>SHENGCAI</x:v>
      </x:c>
      <x:c r="D55" s="215" t="n">
        <x:v>49</x:v>
      </x:c>
      <x:c r="E55" s="74" t="str">
        <x:v>V1.0</x:v>
      </x:c>
      <x:c r="F55" s="68" t="str">
        <x:v>财星过弱不能充分承接食伤输出</x:v>
      </x:c>
      <x:c r="G55" s="82" t="str">
        <x:v>结构层</x:v>
      </x:c>
      <x:c r="H55" s="82" t="str">
        <x:v>生化型</x:v>
      </x:c>
      <x:c r="I55" s="68" t="str">
        <x:v>食伤生财</x:v>
      </x:c>
      <x:c r="J55" s="68" t="str">
        <x:v>食伤、财星</x:v>
      </x:c>
      <x:c r="K55" s="68" t="str">
        <x:v>食伤旺</x:v>
      </x:c>
      <x:c r="L55" s="68" t="str">
        <x:v>财星弱、无根或受比劫强制</x:v>
      </x:c>
      <x:c r="M55" s="68" t="str">
        <x:v>直接或可达的生克制化路径成立</x:v>
      </x:c>
      <x:c r="N55" s="68" t="str">
        <x:v>相关十神均以M10有效力量为准，且不存在决定性失衡</x:v>
      </x:c>
      <x:c r="O55" s="68" t="str">
        <x:v>结合M09日主承载判断</x:v>
      </x:c>
      <x:c r="P55" s="68" t="str">
        <x:v>主体、客体、作用路径与力量匹配均达到最低要求</x:v>
      </x:c>
      <x:c r="Q55" s="68" t="str">
        <x:v>相关十神有根、有源、透达、清纯且关键通路稳定</x:v>
      </x:c>
      <x:c r="R55" s="90" t="str">
        <x:v>关键十神被合绊、被制、改性、失效或力量严重失衡</x:v>
      </x:c>
      <x:c r="S55" s="68" t="str">
        <x:v>存在第三十神恢复通路、清除破坏或重新形成平衡</x:v>
      </x:c>
      <x:c r="T55" s="90" t="str">
        <x:v>任一核心十神失效，或不存在真实作用路径</x:v>
      </x:c>
      <x:c r="U55" s="68" t="str">
        <x:v>特殊格局、从化或月令格局另转M14/M15复审</x:v>
      </x:c>
      <x:c r="V55" s="84" t="str">
        <x:v>弱成立</x:v>
      </x:c>
      <x:c r="W55" s="84" t="str">
        <x:v>输出有源但终点承载不足</x:v>
      </x:c>
      <x:c r="X55" s="82" t="str">
        <x:v>否</x:v>
      </x:c>
      <x:c r="Y55" s="68" t="str">
        <x:v>对应格局候选转M14</x:v>
      </x:c>
      <x:c r="Z55" s="84" t="str">
        <x:v>食伤生财_财弱</x:v>
      </x:c>
      <x:c r="AA55" s="84" t="str">
        <x:v>食伤生财：当主体、客体、路径与力量匹配满足最低标准时，判“弱成立”；是否上升为格局转M14/M15。</x:v>
      </x:c>
      <x:c r="AB55" s="82" t="str">
        <x:v>较高</x:v>
      </x:c>
      <x:c r="AC55" s="82" t="str">
        <x:v>现代综合</x:v>
      </x:c>
      <x:c r="AD55" s="68" t="str">
        <x:v>十神同时出现不等于组合成立。M11须同时验证核心十神有效性、作用路径、力量匹配、日主承载、破坏因素与救应；组合成立也不等于格局成立。</x:v>
      </x:c>
      <x:c r="AE55" s="68" t="str">
        <x:v>食伤旺；财星弱、无根或受比劫强制；作用路径稳定且无关键破坏，可按“食伤生财”记录。</x:v>
      </x:c>
      <x:c r="AF55" s="90" t="str">
        <x:v>仅因“食伤、财星”同时出现，但核心十神无力、无作用路径或被关键因素破坏，不能判“食伤生财”成立。</x:v>
      </x:c>
      <x:c r="AG55" s="68" t="str">
        <x:v>https://zh.wikisource.org/zh-hans/%E6%B7%B5%E6%B5%B7%E5%AD%90%E5%B9%B3 ; https://zh.wikisource.org/wiki/%E6%BB%B4%E5%A4%A9%E9%AB%93%E9%97%A1%E5%BE%AE</x:v>
      </x:c>
      <x:c r="AH55" s="82" t="str">
        <x:v>采用</x:v>
      </x:c>
      <x:c r="AI55" s="82" t="str">
        <x:v>初审</x:v>
      </x:c>
      <x:c r="AJ55" s="87" t="n">
        <x:v>46255</x:v>
      </x:c>
    </x:row>
    <x:row r="56">
      <x:c r="A56" s="72" t="str">
        <x:f>IF(OR(C56="",D56=""),"",B56&amp;"-"&amp;UPPER(C56)&amp;"-"&amp;TEXT(D56,"0000")&amp;"-"&amp;E56)</x:f>
        <x:v>M11-SHENGCAI-0050-V1.0</x:v>
      </x:c>
      <x:c r="B56" s="74" t="str">
        <x:v>M11</x:v>
      </x:c>
      <x:c r="C56" s="74" t="str">
        <x:v>SHENGCAI</x:v>
      </x:c>
      <x:c r="D56" s="215" t="n">
        <x:v>50</x:v>
      </x:c>
      <x:c r="E56" s="74" t="str">
        <x:v>V1.0</x:v>
      </x:c>
      <x:c r="F56" s="68" t="str">
        <x:v>食伤过弱时财星缺少稳定生源</x:v>
      </x:c>
      <x:c r="G56" s="82" t="str">
        <x:v>结构层</x:v>
      </x:c>
      <x:c r="H56" s="82" t="str">
        <x:v>生化型</x:v>
      </x:c>
      <x:c r="I56" s="68" t="str">
        <x:v>食伤生财</x:v>
      </x:c>
      <x:c r="J56" s="68" t="str">
        <x:v>食伤、财星</x:v>
      </x:c>
      <x:c r="K56" s="68" t="str">
        <x:v>食伤弱或受印星强制</x:v>
      </x:c>
      <x:c r="L56" s="68" t="str">
        <x:v>财星虽存在但生源不足</x:v>
      </x:c>
      <x:c r="M56" s="68" t="str">
        <x:v>直接或可达的生克制化路径成立</x:v>
      </x:c>
      <x:c r="N56" s="68" t="str">
        <x:v>相关十神均以M10有效力量为准，且不存在决定性失衡</x:v>
      </x:c>
      <x:c r="O56" s="68" t="str">
        <x:v>结合M09日主承载判断</x:v>
      </x:c>
      <x:c r="P56" s="68" t="str">
        <x:v>主体、客体、作用路径与力量匹配均达到最低要求</x:v>
      </x:c>
      <x:c r="Q56" s="68" t="str">
        <x:v>相关十神有根、有源、透达、清纯且关键通路稳定</x:v>
      </x:c>
      <x:c r="R56" s="90" t="str">
        <x:v>关键十神被合绊、被制、改性、失效或力量严重失衡</x:v>
      </x:c>
      <x:c r="S56" s="68" t="str">
        <x:v>存在第三十神恢复通路、清除破坏或重新形成平衡</x:v>
      </x:c>
      <x:c r="T56" s="90" t="str">
        <x:v>任一核心十神失效，或不存在真实作用路径</x:v>
      </x:c>
      <x:c r="U56" s="68" t="str">
        <x:v>特殊格局、从化或月令格局另转M14/M15复审</x:v>
      </x:c>
      <x:c r="V56" s="84" t="str">
        <x:v>弱成立</x:v>
      </x:c>
      <x:c r="W56" s="84" t="str">
        <x:v>形成局部生化、制化或承载结构</x:v>
      </x:c>
      <x:c r="X56" s="82" t="str">
        <x:v>否</x:v>
      </x:c>
      <x:c r="Y56" s="68" t="str">
        <x:v>对应格局候选转M14</x:v>
      </x:c>
      <x:c r="Z56" s="84" t="str">
        <x:v>食伤生财_食伤弱</x:v>
      </x:c>
      <x:c r="AA56" s="84" t="str">
        <x:v>食伤生财：当主体、客体、路径与力量匹配满足最低标准时，判“弱成立”；是否上升为格局转M14/M15。</x:v>
      </x:c>
      <x:c r="AB56" s="82" t="str">
        <x:v>较高</x:v>
      </x:c>
      <x:c r="AC56" s="82" t="str">
        <x:v>现代综合</x:v>
      </x:c>
      <x:c r="AD56" s="68" t="str">
        <x:v>十神同时出现不等于组合成立。M11须同时验证核心十神有效性、作用路径、力量匹配、日主承载、破坏因素与救应；组合成立也不等于格局成立。</x:v>
      </x:c>
      <x:c r="AE56" s="68" t="str">
        <x:v>食伤弱或受印星强制；财星虽存在但生源不足；作用路径稳定且无关键破坏，可按“食伤生财”记录。</x:v>
      </x:c>
      <x:c r="AF56" s="90" t="str">
        <x:v>仅因“食伤、财星”同时出现，但核心十神无力、无作用路径或被关键因素破坏，不能判“食伤生财”成立。</x:v>
      </x:c>
      <x:c r="AG56" s="68" t="str">
        <x:v>https://zh.wikisource.org/zh-hans/%E6%B7%B5%E6%B5%B7%E5%AD%90%E5%B9%B3 ; https://zh.wikisource.org/wiki/%E6%BB%B4%E5%A4%A9%E9%AB%93%E9%97%A1%E5%BE%AE</x:v>
      </x:c>
      <x:c r="AH56" s="82" t="str">
        <x:v>采用</x:v>
      </x:c>
      <x:c r="AI56" s="82" t="str">
        <x:v>初审</x:v>
      </x:c>
      <x:c r="AJ56" s="87" t="n">
        <x:v>46255</x:v>
      </x:c>
    </x:row>
    <x:row r="57">
      <x:c r="A57" s="72" t="str">
        <x:f>IF(OR(C57="",D57=""),"",B57&amp;"-"&amp;UPPER(C57)&amp;"-"&amp;TEXT(D57,"0000")&amp;"-"&amp;E57)</x:f>
        <x:v>M11-SHENGCAI-0051-V1.0</x:v>
      </x:c>
      <x:c r="B57" s="74" t="str">
        <x:v>M11</x:v>
      </x:c>
      <x:c r="C57" s="74" t="str">
        <x:v>SHENGCAI</x:v>
      </x:c>
      <x:c r="D57" s="215" t="n">
        <x:v>51</x:v>
      </x:c>
      <x:c r="E57" s="74" t="str">
        <x:v>V1.0</x:v>
      </x:c>
      <x:c r="F57" s="68" t="str">
        <x:v>比劫强制财会破坏生财终点</x:v>
      </x:c>
      <x:c r="G57" s="82" t="str">
        <x:v>结构层</x:v>
      </x:c>
      <x:c r="H57" s="82" t="str">
        <x:v>生化型</x:v>
      </x:c>
      <x:c r="I57" s="68" t="str">
        <x:v>食伤生财</x:v>
      </x:c>
      <x:c r="J57" s="68" t="str">
        <x:v>食伤、财星、比劫</x:v>
      </x:c>
      <x:c r="K57" s="68" t="str">
        <x:v>食伤生财路径成立</x:v>
      </x:c>
      <x:c r="L57" s="68" t="str">
        <x:v>比劫对财星形成实质强制</x:v>
      </x:c>
      <x:c r="M57" s="68" t="str">
        <x:v>直接或可达的生克制化路径成立</x:v>
      </x:c>
      <x:c r="N57" s="68" t="str">
        <x:v>相关十神均以M10有效力量为准，且不存在决定性失衡</x:v>
      </x:c>
      <x:c r="O57" s="68" t="str">
        <x:v>结合M09日主承载判断</x:v>
      </x:c>
      <x:c r="P57" s="68" t="str">
        <x:v>主体、客体、作用路径与力量匹配均达到最低要求</x:v>
      </x:c>
      <x:c r="Q57" s="68" t="str">
        <x:v>相关十神有根、有源、透达、清纯且关键通路稳定</x:v>
      </x:c>
      <x:c r="R57" s="90" t="str">
        <x:v>财星被比劫制至受限或失效</x:v>
      </x:c>
      <x:c r="S57" s="68" t="str">
        <x:v>存在第三十神恢复通路、清除破坏或重新形成平衡</x:v>
      </x:c>
      <x:c r="T57" s="90" t="str">
        <x:v>任一核心十神失效，或不存在真实作用路径</x:v>
      </x:c>
      <x:c r="U57" s="68" t="str">
        <x:v>特殊格局、从化或月令格局另转M14/M15复审</x:v>
      </x:c>
      <x:c r="V57" s="84" t="str">
        <x:v>弱成立</x:v>
      </x:c>
      <x:c r="W57" s="84" t="str">
        <x:v>形成局部生化、制化或承载结构</x:v>
      </x:c>
      <x:c r="X57" s="82" t="str">
        <x:v>否</x:v>
      </x:c>
      <x:c r="Y57" s="68" t="str">
        <x:v>对应格局候选转M14</x:v>
      </x:c>
      <x:c r="Z57" s="84" t="str">
        <x:v>食伤生财_比劫破财</x:v>
      </x:c>
      <x:c r="AA57" s="84" t="str">
        <x:v>食伤生财：当主体、客体、路径与力量匹配满足最低标准时，判“弱成立”；是否上升为格局转M14/M15。</x:v>
      </x:c>
      <x:c r="AB57" s="82" t="str">
        <x:v>较高</x:v>
      </x:c>
      <x:c r="AC57" s="82" t="str">
        <x:v>现代综合</x:v>
      </x:c>
      <x:c r="AD57" s="68" t="str">
        <x:v>十神同时出现不等于组合成立。M11须同时验证核心十神有效性、作用路径、力量匹配、日主承载、破坏因素与救应；组合成立也不等于格局成立。</x:v>
      </x:c>
      <x:c r="AE57" s="68" t="str">
        <x:v>食伤生财路径成立；比劫对财星形成实质强制；作用路径稳定且无关键破坏，可按“食伤生财”记录。</x:v>
      </x:c>
      <x:c r="AF57" s="90" t="str">
        <x:v>仅因“食伤、财星、比劫”同时出现，但核心十神无力、无作用路径或被关键因素破坏，不能判“食伤生财”成立。</x:v>
      </x:c>
      <x:c r="AG57" s="68" t="str">
        <x:v>https://zh.wikisource.org/zh-hans/%E6%B7%B5%E6%B5%B7%E5%AD%90%E5%B9%B3 ; https://zh.wikisource.org/wiki/%E6%BB%B4%E5%A4%A9%E9%AB%93%E9%97%A1%E5%BE%AE</x:v>
      </x:c>
      <x:c r="AH57" s="82" t="str">
        <x:v>采用</x:v>
      </x:c>
      <x:c r="AI57" s="82" t="str">
        <x:v>初审</x:v>
      </x:c>
      <x:c r="AJ57" s="87" t="n">
        <x:v>46255</x:v>
      </x:c>
    </x:row>
    <x:row r="58">
      <x:c r="A58" s="72" t="str">
        <x:f>IF(OR(C58="",D58=""),"",B58&amp;"-"&amp;UPPER(C58)&amp;"-"&amp;TEXT(D58,"0000")&amp;"-"&amp;E58)</x:f>
        <x:v>M11-SHENGCAI-0052-V1.0</x:v>
      </x:c>
      <x:c r="B58" s="74" t="str">
        <x:v>M11</x:v>
      </x:c>
      <x:c r="C58" s="74" t="str">
        <x:v>SHENGCAI</x:v>
      </x:c>
      <x:c r="D58" s="215" t="n">
        <x:v>52</x:v>
      </x:c>
      <x:c r="E58" s="74" t="str">
        <x:v>V1.0</x:v>
      </x:c>
      <x:c r="F58" s="68" t="str">
        <x:v>印星强制食伤会切断生财源头</x:v>
      </x:c>
      <x:c r="G58" s="82" t="str">
        <x:v>结构层</x:v>
      </x:c>
      <x:c r="H58" s="82" t="str">
        <x:v>生化型</x:v>
      </x:c>
      <x:c r="I58" s="68" t="str">
        <x:v>食伤生财</x:v>
      </x:c>
      <x:c r="J58" s="68" t="str">
        <x:v>食伤、财星、印星</x:v>
      </x:c>
      <x:c r="K58" s="68" t="str">
        <x:v>印星强制关键食伤</x:v>
      </x:c>
      <x:c r="L58" s="68" t="str">
        <x:v>食伤生财能力下降</x:v>
      </x:c>
      <x:c r="M58" s="68" t="str">
        <x:v>直接或可达的生克制化路径成立</x:v>
      </x:c>
      <x:c r="N58" s="68" t="str">
        <x:v>相关十神均以M10有效力量为准，且不存在决定性失衡</x:v>
      </x:c>
      <x:c r="O58" s="68" t="str">
        <x:v>结合M09日主承载判断</x:v>
      </x:c>
      <x:c r="P58" s="68" t="str">
        <x:v>主体、客体、作用路径与力量匹配均达到最低要求</x:v>
      </x:c>
      <x:c r="Q58" s="68" t="str">
        <x:v>相关十神有根、有源、透达、清纯且关键通路稳定</x:v>
      </x:c>
      <x:c r="R58" s="90" t="str">
        <x:v>食伤被印制至失效</x:v>
      </x:c>
      <x:c r="S58" s="68" t="str">
        <x:v>存在第三十神恢复通路、清除破坏或重新形成平衡</x:v>
      </x:c>
      <x:c r="T58" s="90" t="str">
        <x:v>任一核心十神失效，或不存在真实作用路径</x:v>
      </x:c>
      <x:c r="U58" s="68" t="str">
        <x:v>特殊格局、从化或月令格局另转M14/M15复审</x:v>
      </x:c>
      <x:c r="V58" s="84" t="str">
        <x:v>不成立</x:v>
      </x:c>
      <x:c r="W58" s="84" t="str">
        <x:v>形成局部生化、制化或承载结构</x:v>
      </x:c>
      <x:c r="X58" s="82" t="str">
        <x:v>否</x:v>
      </x:c>
      <x:c r="Y58" s="68" t="str">
        <x:v>对应格局候选转M14</x:v>
      </x:c>
      <x:c r="Z58" s="84" t="str">
        <x:v>食伤生财_印制食伤</x:v>
      </x:c>
      <x:c r="AA58" s="84" t="str">
        <x:v>食伤生财：当主体、客体、路径与力量匹配满足最低标准时，判“不成立”；是否上升为格局转M14/M15。</x:v>
      </x:c>
      <x:c r="AB58" s="82" t="str">
        <x:v>较高</x:v>
      </x:c>
      <x:c r="AC58" s="82" t="str">
        <x:v>现代综合</x:v>
      </x:c>
      <x:c r="AD58" s="68" t="str">
        <x:v>十神同时出现不等于组合成立。M11须同时验证核心十神有效性、作用路径、力量匹配、日主承载、破坏因素与救应；组合成立也不等于格局成立。</x:v>
      </x:c>
      <x:c r="AE58" s="68" t="str">
        <x:v>印星强制关键食伤；食伤生财能力下降；作用路径稳定且无关键破坏，可按“食伤生财”记录。</x:v>
      </x:c>
      <x:c r="AF58" s="90" t="str">
        <x:v>仅因“食伤、财星、印星”同时出现，但核心十神无力、无作用路径或被关键因素破坏，不能判“食伤生财”成立。</x:v>
      </x:c>
      <x:c r="AG58" s="68" t="str">
        <x:v>https://zh.wikisource.org/zh-hans/%E6%B7%B5%E6%B5%B7%E5%AD%90%E5%B9%B3 ; https://zh.wikisource.org/wiki/%E6%BB%B4%E5%A4%A9%E9%AB%93%E9%97%A1%E5%BE%AE</x:v>
      </x:c>
      <x:c r="AH58" s="82" t="str">
        <x:v>采用</x:v>
      </x:c>
      <x:c r="AI58" s="82" t="str">
        <x:v>初审</x:v>
      </x:c>
      <x:c r="AJ58" s="87" t="n">
        <x:v>46255</x:v>
      </x:c>
    </x:row>
    <x:row r="59">
      <x:c r="A59" s="72" t="str">
        <x:f>IF(OR(C59="",D59=""),"",B59&amp;"-"&amp;UPPER(C59)&amp;"-"&amp;TEXT(D59,"0000")&amp;"-"&amp;E59)</x:f>
        <x:v>M11-SHENGCAI-0053-V1.0</x:v>
      </x:c>
      <x:c r="B59" s="74" t="str">
        <x:v>M11</x:v>
      </x:c>
      <x:c r="C59" s="74" t="str">
        <x:v>SHENGCAI</x:v>
      </x:c>
      <x:c r="D59" s="215" t="n">
        <x:v>53</x:v>
      </x:c>
      <x:c r="E59" s="74" t="str">
        <x:v>V1.0</x:v>
      </x:c>
      <x:c r="F59" s="68" t="str">
        <x:v>身弱时连续泄耗可能超过日主承载</x:v>
      </x:c>
      <x:c r="G59" s="82" t="str">
        <x:v>结构层</x:v>
      </x:c>
      <x:c r="H59" s="82" t="str">
        <x:v>生化型</x:v>
      </x:c>
      <x:c r="I59" s="68" t="str">
        <x:v>食伤生财</x:v>
      </x:c>
      <x:c r="J59" s="68" t="str">
        <x:v>食伤、财星</x:v>
      </x:c>
      <x:c r="K59" s="68" t="str">
        <x:v>日主弱或极弱</x:v>
      </x:c>
      <x:c r="L59" s="68" t="str">
        <x:v>食伤生财形成“泄身→生财”连续负荷</x:v>
      </x:c>
      <x:c r="M59" s="68" t="str">
        <x:v>直接或可达的生克制化路径成立</x:v>
      </x:c>
      <x:c r="N59" s="68" t="str">
        <x:v>相关十神均以M10有效力量为准，且不存在决定性失衡</x:v>
      </x:c>
      <x:c r="O59" s="68" t="str">
        <x:v>若无印比承载，组合虽成立但可能成为负担</x:v>
      </x:c>
      <x:c r="P59" s="68" t="str">
        <x:v>主体、客体、作用路径与力量匹配均达到最低要求</x:v>
      </x:c>
      <x:c r="Q59" s="68" t="str">
        <x:v>相关十神有根、有源、透达、清纯且关键通路稳定</x:v>
      </x:c>
      <x:c r="R59" s="90" t="str">
        <x:v>关键十神被合绊、被制、改性、失效或力量严重失衡</x:v>
      </x:c>
      <x:c r="S59" s="68" t="str">
        <x:v>存在第三十神恢复通路、清除破坏或重新形成平衡</x:v>
      </x:c>
      <x:c r="T59" s="90" t="str">
        <x:v>任一核心十神失效，或不存在真实作用路径</x:v>
      </x:c>
      <x:c r="U59" s="68" t="str">
        <x:v>特殊格局、从化或月令格局另转M14/M15复审</x:v>
      </x:c>
      <x:c r="V59" s="84" t="str">
        <x:v>基本成立</x:v>
      </x:c>
      <x:c r="W59" s="84" t="str">
        <x:v>形成局部生化、制化或承载结构</x:v>
      </x:c>
      <x:c r="X59" s="82" t="str">
        <x:v>条件性</x:v>
      </x:c>
      <x:c r="Y59" s="68" t="str">
        <x:v>对应格局候选转M14</x:v>
      </x:c>
      <x:c r="Z59" s="84" t="str">
        <x:v>食伤生财_身弱负荷</x:v>
      </x:c>
      <x:c r="AA59" s="84" t="str">
        <x:v>食伤生财：当主体、客体、路径与力量匹配满足最低标准时，判“基本成立”；是否上升为格局转M14/M15。</x:v>
      </x:c>
      <x:c r="AB59" s="82" t="str">
        <x:v>较高</x:v>
      </x:c>
      <x:c r="AC59" s="82" t="str">
        <x:v>现代综合</x:v>
      </x:c>
      <x:c r="AD59" s="68" t="str">
        <x:v>十神同时出现不等于组合成立。M11须同时验证核心十神有效性、作用路径、力量匹配、日主承载、破坏因素与救应；组合成立也不等于格局成立。</x:v>
      </x:c>
      <x:c r="AE59" s="68" t="str">
        <x:v>日主弱或极弱；食伤生财形成“泄身→生财”连续负荷；作用路径稳定且无关键破坏，可按“食伤生财”记录。</x:v>
      </x:c>
      <x:c r="AF59" s="90" t="str">
        <x:v>仅因“食伤、财星”同时出现，但核心十神无力、无作用路径或被关键因素破坏，不能判“食伤生财”成立。</x:v>
      </x:c>
      <x:c r="AG59" s="68" t="str">
        <x:v>https://zh.wikisource.org/zh-hans/%E6%B7%B5%E6%B5%B7%E5%AD%90%E5%B9%B3 ; https://zh.wikisource.org/wiki/%E6%BB%B4%E5%A4%A9%E9%AB%93%E9%97%A1%E5%BE%AE</x:v>
      </x:c>
      <x:c r="AH59" s="82" t="str">
        <x:v>采用</x:v>
      </x:c>
      <x:c r="AI59" s="82" t="str">
        <x:v>初审</x:v>
      </x:c>
      <x:c r="AJ59" s="87" t="n">
        <x:v>46255</x:v>
      </x:c>
    </x:row>
    <x:row r="60">
      <x:c r="A60" s="72" t="str">
        <x:f>IF(OR(C60="",D60=""),"",B60&amp;"-"&amp;UPPER(C60)&amp;"-"&amp;TEXT(D60,"0000")&amp;"-"&amp;E60)</x:f>
        <x:v>M11-SHENGCAI-0054-V1.0</x:v>
      </x:c>
      <x:c r="B60" s="74" t="str">
        <x:v>M11</x:v>
      </x:c>
      <x:c r="C60" s="74" t="str">
        <x:v>SHENGCAI</x:v>
      </x:c>
      <x:c r="D60" s="215" t="n">
        <x:v>54</x:v>
      </x:c>
      <x:c r="E60" s="74" t="str">
        <x:v>V1.0</x:v>
      </x:c>
      <x:c r="F60" s="68" t="str">
        <x:v>身旺有食伤生财时通道通常更可持续</x:v>
      </x:c>
      <x:c r="G60" s="82" t="str">
        <x:v>结构层</x:v>
      </x:c>
      <x:c r="H60" s="82" t="str">
        <x:v>生化型</x:v>
      </x:c>
      <x:c r="I60" s="68" t="str">
        <x:v>食伤生财</x:v>
      </x:c>
      <x:c r="J60" s="68" t="str">
        <x:v>食伤、财星</x:v>
      </x:c>
      <x:c r="K60" s="68" t="str">
        <x:v>日主旺或中和偏旺</x:v>
      </x:c>
      <x:c r="L60" s="68" t="str">
        <x:v>食伤与财星均有效</x:v>
      </x:c>
      <x:c r="M60" s="68" t="str">
        <x:v>直接或可达的生克制化路径成立</x:v>
      </x:c>
      <x:c r="N60" s="68" t="str">
        <x:v>相关十神均以M10有效力量为准，且不存在决定性失衡</x:v>
      </x:c>
      <x:c r="O60" s="68" t="str">
        <x:v>日主有足够源头供给食伤并承受财耗</x:v>
      </x:c>
      <x:c r="P60" s="68" t="str">
        <x:v>主体、客体、作用路径与力量匹配均达到最低要求</x:v>
      </x:c>
      <x:c r="Q60" s="68" t="str">
        <x:v>食伤财链清晰且无印比破坏</x:v>
      </x:c>
      <x:c r="R60" s="90" t="str">
        <x:v>关键十神被合绊、被制、改性、失效或力量严重失衡</x:v>
      </x:c>
      <x:c r="S60" s="68" t="str">
        <x:v>存在第三十神恢复通路、清除破坏或重新形成平衡</x:v>
      </x:c>
      <x:c r="T60" s="90" t="str">
        <x:v>任一核心十神失效，或不存在真实作用路径</x:v>
      </x:c>
      <x:c r="U60" s="68" t="str">
        <x:v>特殊格局、从化或月令格局另转M14/M15复审</x:v>
      </x:c>
      <x:c r="V60" s="84" t="str">
        <x:v>明显成立</x:v>
      </x:c>
      <x:c r="W60" s="84" t="str">
        <x:v>形成局部生化、制化或承载结构</x:v>
      </x:c>
      <x:c r="X60" s="82" t="str">
        <x:v>条件性</x:v>
      </x:c>
      <x:c r="Y60" s="68" t="str">
        <x:v>对应格局候选转M14</x:v>
      </x:c>
      <x:c r="Z60" s="84" t="str">
        <x:v>食伤生财_身旺增强</x:v>
      </x:c>
      <x:c r="AA60" s="84" t="str">
        <x:v>食伤生财：当主体、客体、路径与力量匹配满足最低标准时，判“明显成立”；是否上升为格局转M14/M15。</x:v>
      </x:c>
      <x:c r="AB60" s="82" t="str">
        <x:v>较高</x:v>
      </x:c>
      <x:c r="AC60" s="82" t="str">
        <x:v>现代综合</x:v>
      </x:c>
      <x:c r="AD60" s="68" t="str">
        <x:v>十神同时出现不等于组合成立。M11须同时验证核心十神有效性、作用路径、力量匹配、日主承载、破坏因素与救应；组合成立也不等于格局成立。</x:v>
      </x:c>
      <x:c r="AE60" s="68" t="str">
        <x:v>日主旺或中和偏旺；食伤与财星均有效；作用路径稳定且无关键破坏，可按“食伤生财”记录。</x:v>
      </x:c>
      <x:c r="AF60" s="90" t="str">
        <x:v>仅因“食伤、财星”同时出现，但核心十神无力、无作用路径或被关键因素破坏，不能判“食伤生财”成立。</x:v>
      </x:c>
      <x:c r="AG60" s="68" t="str">
        <x:v>https://zh.wikisource.org/zh-hans/%E6%B7%B5%E6%B5%B7%E5%AD%90%E5%B9%B3 ; https://zh.wikisource.org/wiki/%E6%BB%B4%E5%A4%A9%E9%AB%93%E9%97%A1%E5%BE%AE</x:v>
      </x:c>
      <x:c r="AH60" s="82" t="str">
        <x:v>采用</x:v>
      </x:c>
      <x:c r="AI60" s="82" t="str">
        <x:v>初审</x:v>
      </x:c>
      <x:c r="AJ60" s="87" t="n">
        <x:v>46255</x:v>
      </x:c>
    </x:row>
    <x:row r="61">
      <x:c r="A61" s="72" t="str">
        <x:f>IF(OR(C61="",D61=""),"",B61&amp;"-"&amp;UPPER(C61)&amp;"-"&amp;TEXT(D61,"0000")&amp;"-"&amp;E61)</x:f>
        <x:v>M11-SHENGCAI-0055-V1.0</x:v>
      </x:c>
      <x:c r="B61" s="74" t="str">
        <x:v>M11</x:v>
      </x:c>
      <x:c r="C61" s="74" t="str">
        <x:v>SHENGCAI</x:v>
      </x:c>
      <x:c r="D61" s="215" t="n">
        <x:v>55</x:v>
      </x:c>
      <x:c r="E61" s="74" t="str">
        <x:v>V1.0</x:v>
      </x:c>
      <x:c r="F61" s="68" t="str">
        <x:v>食伤混杂时先判断主导输出者</x:v>
      </x:c>
      <x:c r="G61" s="82" t="str">
        <x:v>结构层</x:v>
      </x:c>
      <x:c r="H61" s="82" t="str">
        <x:v>生化型</x:v>
      </x:c>
      <x:c r="I61" s="68" t="str">
        <x:v>食伤生财</x:v>
      </x:c>
      <x:c r="J61" s="68" t="str">
        <x:v>食神、伤官、财星</x:v>
      </x:c>
      <x:c r="K61" s="68" t="str">
        <x:v>食神伤官均有效并生财</x:v>
      </x:c>
      <x:c r="L61" s="68" t="str">
        <x:v>财星能够承接</x:v>
      </x:c>
      <x:c r="M61" s="68" t="str">
        <x:v>直接或可达的生克制化路径成立</x:v>
      </x:c>
      <x:c r="N61" s="68" t="str">
        <x:v>需判断食神、伤官主次，避免重复计算同一财源</x:v>
      </x:c>
      <x:c r="O61" s="68" t="str">
        <x:v>结合M09日主承载判断</x:v>
      </x:c>
      <x:c r="P61" s="68" t="str">
        <x:v>主体、客体、作用路径与力量匹配均达到最低要求</x:v>
      </x:c>
      <x:c r="Q61" s="68" t="str">
        <x:v>相关十神有根、有源、透达、清纯且关键通路稳定</x:v>
      </x:c>
      <x:c r="R61" s="90" t="str">
        <x:v>关键十神被合绊、被制、改性、失效或力量严重失衡</x:v>
      </x:c>
      <x:c r="S61" s="68" t="str">
        <x:v>存在第三十神恢复通路、清除破坏或重新形成平衡</x:v>
      </x:c>
      <x:c r="T61" s="90" t="str">
        <x:v>任一核心十神失效，或不存在真实作用路径</x:v>
      </x:c>
      <x:c r="U61" s="68" t="str">
        <x:v>特殊格局、从化或月令格局另转M14/M15复审</x:v>
      </x:c>
      <x:c r="V61" s="84" t="str">
        <x:v>基本成立</x:v>
      </x:c>
      <x:c r="W61" s="84" t="str">
        <x:v>形成局部生化、制化或承载结构</x:v>
      </x:c>
      <x:c r="X61" s="82" t="str">
        <x:v>条件性</x:v>
      </x:c>
      <x:c r="Y61" s="68" t="str">
        <x:v>对应格局候选转M14</x:v>
      </x:c>
      <x:c r="Z61" s="84" t="str">
        <x:v>食伤生财_食伤混杂</x:v>
      </x:c>
      <x:c r="AA61" s="84" t="str">
        <x:v>食伤生财：当主体、客体、路径与力量匹配满足最低标准时，判“基本成立”；是否上升为格局转M14/M15。</x:v>
      </x:c>
      <x:c r="AB61" s="82" t="str">
        <x:v>较高</x:v>
      </x:c>
      <x:c r="AC61" s="82" t="str">
        <x:v>现代综合</x:v>
      </x:c>
      <x:c r="AD61" s="68" t="str">
        <x:v>十神同时出现不等于组合成立。M11须同时验证核心十神有效性、作用路径、力量匹配、日主承载、破坏因素与救应；组合成立也不等于格局成立。</x:v>
      </x:c>
      <x:c r="AE61" s="68" t="str">
        <x:v>食神伤官均有效并生财；财星能够承接；作用路径稳定且无关键破坏，可按“食伤生财”记录。</x:v>
      </x:c>
      <x:c r="AF61" s="90" t="str">
        <x:v>仅因“食神、伤官、财星”同时出现，但核心十神无力、无作用路径或被关键因素破坏，不能判“食伤生财”成立。</x:v>
      </x:c>
      <x:c r="AG61" s="68" t="str">
        <x:v>https://zh.wikisource.org/zh-hans/%E6%B7%B5%E6%B5%B7%E5%AD%90%E5%B9%B3 ; https://zh.wikisource.org/wiki/%E6%BB%B4%E5%A4%A9%E9%AB%93%E9%97%A1%E5%BE%AE</x:v>
      </x:c>
      <x:c r="AH61" s="82" t="str">
        <x:v>采用</x:v>
      </x:c>
      <x:c r="AI61" s="82" t="str">
        <x:v>初审</x:v>
      </x:c>
      <x:c r="AJ61" s="87" t="n">
        <x:v>46255</x:v>
      </x:c>
    </x:row>
    <x:row r="62">
      <x:c r="A62" s="72" t="str">
        <x:f>IF(OR(C62="",D62=""),"",B62&amp;"-"&amp;UPPER(C62)&amp;"-"&amp;TEXT(D62,"0000")&amp;"-"&amp;E62)</x:f>
        <x:v>M11-SHENGCAI-0056-V1.0</x:v>
      </x:c>
      <x:c r="B62" s="74" t="str">
        <x:v>M11</x:v>
      </x:c>
      <x:c r="C62" s="74" t="str">
        <x:v>SHENGCAI</x:v>
      </x:c>
      <x:c r="D62" s="215" t="n">
        <x:v>56</x:v>
      </x:c>
      <x:c r="E62" s="74" t="str">
        <x:v>V1.0</x:v>
      </x:c>
      <x:c r="F62" s="68" t="str">
        <x:v>链路稳定且供给承载匹配时可明显成立</x:v>
      </x:c>
      <x:c r="G62" s="82" t="str">
        <x:v>结构层</x:v>
      </x:c>
      <x:c r="H62" s="82" t="str">
        <x:v>生化型</x:v>
      </x:c>
      <x:c r="I62" s="68" t="str">
        <x:v>食伤生财</x:v>
      </x:c>
      <x:c r="J62" s="68" t="str">
        <x:v>食伤、财星</x:v>
      </x:c>
      <x:c r="K62" s="68" t="str">
        <x:v>食伤有力、财星有力</x:v>
      </x:c>
      <x:c r="L62" s="68" t="str">
        <x:v>源头、通路、终点三者连续</x:v>
      </x:c>
      <x:c r="M62" s="68" t="str">
        <x:v>直接或可达的生克制化路径成立</x:v>
      </x:c>
      <x:c r="N62" s="68" t="str">
        <x:v>日主供给、食伤输出、财星承载相匹配</x:v>
      </x:c>
      <x:c r="O62" s="68" t="str">
        <x:v>结合M09日主承载判断</x:v>
      </x:c>
      <x:c r="P62" s="68" t="str">
        <x:v>主体、客体、作用路径与力量匹配均达到最低要求</x:v>
      </x:c>
      <x:c r="Q62" s="68" t="str">
        <x:v>相关十神有根、有源、透达、清纯且关键通路稳定</x:v>
      </x:c>
      <x:c r="R62" s="90" t="str">
        <x:v>关键十神被合绊、被制、改性、失效或力量严重失衡</x:v>
      </x:c>
      <x:c r="S62" s="68" t="str">
        <x:v>存在第三十神恢复通路、清除破坏或重新形成平衡</x:v>
      </x:c>
      <x:c r="T62" s="90" t="str">
        <x:v>任一核心十神失效，或不存在真实作用路径</x:v>
      </x:c>
      <x:c r="U62" s="68" t="str">
        <x:v>特殊格局、从化或月令格局另转M14/M15复审</x:v>
      </x:c>
      <x:c r="V62" s="84" t="str">
        <x:v>明显成立</x:v>
      </x:c>
      <x:c r="W62" s="84" t="str">
        <x:v>形成局部生化、制化或承载结构</x:v>
      </x:c>
      <x:c r="X62" s="82" t="str">
        <x:v>条件性</x:v>
      </x:c>
      <x:c r="Y62" s="68" t="str">
        <x:v>对应格局候选转M14</x:v>
      </x:c>
      <x:c r="Z62" s="84" t="str">
        <x:v>食伤生财_明显成立</x:v>
      </x:c>
      <x:c r="AA62" s="84" t="str">
        <x:v>食伤生财：当主体、客体、路径与力量匹配满足最低标准时，判“明显成立”；是否上升为格局转M14/M15。</x:v>
      </x:c>
      <x:c r="AB62" s="82" t="str">
        <x:v>较高</x:v>
      </x:c>
      <x:c r="AC62" s="82" t="str">
        <x:v>现代综合</x:v>
      </x:c>
      <x:c r="AD62" s="68" t="str">
        <x:v>十神同时出现不等于组合成立。M11须同时验证核心十神有效性、作用路径、力量匹配、日主承载、破坏因素与救应；组合成立也不等于格局成立。</x:v>
      </x:c>
      <x:c r="AE62" s="68" t="str">
        <x:v>食伤有力、财星有力；源头、通路、终点三者连续；作用路径稳定且无关键破坏，可按“食伤生财”记录。</x:v>
      </x:c>
      <x:c r="AF62" s="90" t="str">
        <x:v>仅因“食伤、财星”同时出现，但核心十神无力、无作用路径或被关键因素破坏，不能判“食伤生财”成立。</x:v>
      </x:c>
      <x:c r="AG62" s="68" t="str">
        <x:v>https://zh.wikisource.org/zh-hans/%E6%B7%B5%E6%B5%B7%E5%AD%90%E5%B9%B3 ; https://zh.wikisource.org/wiki/%E6%BB%B4%E5%A4%A9%E9%AB%93%E9%97%A1%E5%BE%AE</x:v>
      </x:c>
      <x:c r="AH62" s="82" t="str">
        <x:v>采用</x:v>
      </x:c>
      <x:c r="AI62" s="82" t="str">
        <x:v>初审</x:v>
      </x:c>
      <x:c r="AJ62" s="87" t="n">
        <x:v>46255</x:v>
      </x:c>
    </x:row>
    <x:row r="63">
      <x:c r="A63" s="72" t="str">
        <x:f>IF(OR(C63="",D63=""),"",B63&amp;"-"&amp;UPPER(C63)&amp;"-"&amp;TEXT(D63,"0000")&amp;"-"&amp;E63)</x:f>
        <x:v>M11-CAIGUAN-0057-V1.0</x:v>
      </x:c>
      <x:c r="B63" s="74" t="str">
        <x:v>M11</x:v>
      </x:c>
      <x:c r="C63" s="74" t="str">
        <x:v>CAIGUAN</x:v>
      </x:c>
      <x:c r="D63" s="215" t="n">
        <x:v>57</x:v>
      </x:c>
      <x:c r="E63" s="74" t="str">
        <x:v>V1.0</x:v>
      </x:c>
      <x:c r="F63" s="68" t="str">
        <x:v>财星必须有效且能生正官</x:v>
      </x:c>
      <x:c r="G63" s="82" t="str">
        <x:v>结构层</x:v>
      </x:c>
      <x:c r="H63" s="82" t="str">
        <x:v>生化型</x:v>
      </x:c>
      <x:c r="I63" s="68" t="str">
        <x:v>财生官</x:v>
      </x:c>
      <x:c r="J63" s="68" t="str">
        <x:v>财星、正官</x:v>
      </x:c>
      <x:c r="K63" s="68" t="str">
        <x:v>财星有效</x:v>
      </x:c>
      <x:c r="L63" s="68" t="str">
        <x:v>正官有效并能承接财生</x:v>
      </x:c>
      <x:c r="M63" s="68" t="str">
        <x:v>财→官路径连续</x:v>
      </x:c>
      <x:c r="N63" s="68" t="str">
        <x:v>相关十神均以M10有效力量为准，且不存在决定性失衡</x:v>
      </x:c>
      <x:c r="O63" s="68" t="str">
        <x:v>结合M09日主承载判断</x:v>
      </x:c>
      <x:c r="P63" s="68" t="str">
        <x:v>主体、客体、作用路径与力量匹配均达到最低要求</x:v>
      </x:c>
      <x:c r="Q63" s="68" t="str">
        <x:v>相关十神有根、有源、透达、清纯且关键通路稳定</x:v>
      </x:c>
      <x:c r="R63" s="90" t="str">
        <x:v>关键十神被合绊、被制、改性、失效或力量严重失衡</x:v>
      </x:c>
      <x:c r="S63" s="68" t="str">
        <x:v>存在第三十神恢复通路、清除破坏或重新形成平衡</x:v>
      </x:c>
      <x:c r="T63" s="90" t="str">
        <x:v>任一核心十神失效，或不存在真实作用路径</x:v>
      </x:c>
      <x:c r="U63" s="68" t="str">
        <x:v>特殊格局、从化或月令格局另转M14/M15复审</x:v>
      </x:c>
      <x:c r="V63" s="84" t="str">
        <x:v>基本成立</x:v>
      </x:c>
      <x:c r="W63" s="84" t="str">
        <x:v>增强正官力量</x:v>
      </x:c>
      <x:c r="X63" s="82" t="str">
        <x:v>条件性</x:v>
      </x:c>
      <x:c r="Y63" s="68" t="str">
        <x:v>财官相生候选</x:v>
      </x:c>
      <x:c r="Z63" s="84" t="str">
        <x:v>财生官_成立条件</x:v>
      </x:c>
      <x:c r="AA63" s="84" t="str">
        <x:v>财生官：当主体、客体、路径与力量匹配满足最低标准时，判“基本成立”；是否上升为格局转M14/M15。</x:v>
      </x:c>
      <x:c r="AB63" s="82" t="str">
        <x:v>较高</x:v>
      </x:c>
      <x:c r="AC63" s="82" t="str">
        <x:v>现代综合</x:v>
      </x:c>
      <x:c r="AD63" s="68" t="str">
        <x:v>十神同时出现不等于组合成立。M11须同时验证核心十神有效性、作用路径、力量匹配、日主承载、破坏因素与救应；组合成立也不等于格局成立。</x:v>
      </x:c>
      <x:c r="AE63" s="68" t="str">
        <x:v>财星有效；正官有效并能承接财生；作用路径稳定且无关键破坏，可按“财生官”记录。</x:v>
      </x:c>
      <x:c r="AF63" s="90" t="str">
        <x:v>仅因“财星、正官”同时出现，但核心十神无力、无作用路径或被关键因素破坏，不能判“财生官”成立。</x:v>
      </x:c>
      <x:c r="AG63" s="68" t="str">
        <x:v>https://zh.wikisource.org/zh-hans/%E6%B7%B5%E6%B5%B7%E5%AD%90%E5%B9%B3 ; https://zh.wikisource.org/wiki/%E6%BB%B4%E5%A4%A9%E9%AB%93%E9%97%A1%E5%BE%AE</x:v>
      </x:c>
      <x:c r="AH63" s="82" t="str">
        <x:v>采用</x:v>
      </x:c>
      <x:c r="AI63" s="82" t="str">
        <x:v>初审</x:v>
      </x:c>
      <x:c r="AJ63" s="87" t="n">
        <x:v>46255</x:v>
      </x:c>
    </x:row>
    <x:row r="64">
      <x:c r="A64" s="72" t="str">
        <x:f>IF(OR(C64="",D64=""),"",B64&amp;"-"&amp;UPPER(C64)&amp;"-"&amp;TEXT(D64,"0000")&amp;"-"&amp;E64)</x:f>
        <x:v>M11-CAIGUAN-0058-V1.0</x:v>
      </x:c>
      <x:c r="B64" s="74" t="str">
        <x:v>M11</x:v>
      </x:c>
      <x:c r="C64" s="74" t="str">
        <x:v>CAIGUAN</x:v>
      </x:c>
      <x:c r="D64" s="215" t="n">
        <x:v>58</x:v>
      </x:c>
      <x:c r="E64" s="74" t="str">
        <x:v>V1.0</x:v>
      </x:c>
      <x:c r="F64" s="68" t="str">
        <x:v>财星有效生七杀时形成生杀链</x:v>
      </x:c>
      <x:c r="G64" s="82" t="str">
        <x:v>结构层</x:v>
      </x:c>
      <x:c r="H64" s="82" t="str">
        <x:v>生化型</x:v>
      </x:c>
      <x:c r="I64" s="68" t="str">
        <x:v>财生杀</x:v>
      </x:c>
      <x:c r="J64" s="68" t="str">
        <x:v>财星、七杀</x:v>
      </x:c>
      <x:c r="K64" s="68" t="str">
        <x:v>财星有效</x:v>
      </x:c>
      <x:c r="L64" s="68" t="str">
        <x:v>七杀有效</x:v>
      </x:c>
      <x:c r="M64" s="68" t="str">
        <x:v>财→杀路径连续</x:v>
      </x:c>
      <x:c r="N64" s="68" t="str">
        <x:v>相关十神均以M10有效力量为准，且不存在决定性失衡</x:v>
      </x:c>
      <x:c r="O64" s="68" t="str">
        <x:v>结合M09日主承载判断</x:v>
      </x:c>
      <x:c r="P64" s="68" t="str">
        <x:v>主体、客体、作用路径与力量匹配均达到最低要求</x:v>
      </x:c>
      <x:c r="Q64" s="68" t="str">
        <x:v>相关十神有根、有源、透达、清纯且关键通路稳定</x:v>
      </x:c>
      <x:c r="R64" s="90" t="str">
        <x:v>关键十神被合绊、被制、改性、失效或力量严重失衡</x:v>
      </x:c>
      <x:c r="S64" s="68" t="str">
        <x:v>存在第三十神恢复通路、清除破坏或重新形成平衡</x:v>
      </x:c>
      <x:c r="T64" s="90" t="str">
        <x:v>任一核心十神失效，或不存在真实作用路径</x:v>
      </x:c>
      <x:c r="U64" s="68" t="str">
        <x:v>特殊格局、从化或月令格局另转M14/M15复审</x:v>
      </x:c>
      <x:c r="V64" s="84" t="str">
        <x:v>基本成立</x:v>
      </x:c>
      <x:c r="W64" s="84" t="str">
        <x:v>增强七杀压力或权力结构</x:v>
      </x:c>
      <x:c r="X64" s="82" t="str">
        <x:v>条件性</x:v>
      </x:c>
      <x:c r="Y64" s="68" t="str">
        <x:v>财滋杀候选</x:v>
      </x:c>
      <x:c r="Z64" s="84" t="str">
        <x:v>财生杀_成立条件</x:v>
      </x:c>
      <x:c r="AA64" s="84" t="str">
        <x:v>财生杀：当主体、客体、路径与力量匹配满足最低标准时，判“基本成立”；是否上升为格局转M14/M15。</x:v>
      </x:c>
      <x:c r="AB64" s="82" t="str">
        <x:v>较高</x:v>
      </x:c>
      <x:c r="AC64" s="82" t="str">
        <x:v>现代综合</x:v>
      </x:c>
      <x:c r="AD64" s="68" t="str">
        <x:v>十神同时出现不等于组合成立。M11须同时验证核心十神有效性、作用路径、力量匹配、日主承载、破坏因素与救应；组合成立也不等于格局成立。</x:v>
      </x:c>
      <x:c r="AE64" s="68" t="str">
        <x:v>财星有效；七杀有效；作用路径稳定且无关键破坏，可按“财生杀”记录。</x:v>
      </x:c>
      <x:c r="AF64" s="90" t="str">
        <x:v>仅因“财星、七杀”同时出现，但核心十神无力、无作用路径或被关键因素破坏，不能判“财生杀”成立。</x:v>
      </x:c>
      <x:c r="AG64" s="68" t="str">
        <x:v>https://zh.wikisource.org/zh-hans/%E6%B7%B5%E6%B5%B7%E5%AD%90%E5%B9%B3 ; https://zh.wikisource.org/wiki/%E6%BB%B4%E5%A4%A9%E9%AB%93%E9%97%A1%E5%BE%AE</x:v>
      </x:c>
      <x:c r="AH64" s="82" t="str">
        <x:v>采用</x:v>
      </x:c>
      <x:c r="AI64" s="82" t="str">
        <x:v>初审</x:v>
      </x:c>
      <x:c r="AJ64" s="87" t="n">
        <x:v>46255</x:v>
      </x:c>
    </x:row>
    <x:row r="65">
      <x:c r="A65" s="72" t="str">
        <x:f>IF(OR(C65="",D65=""),"",B65&amp;"-"&amp;UPPER(C65)&amp;"-"&amp;TEXT(D65,"0000")&amp;"-"&amp;E65)</x:f>
        <x:v>M11-CAIGUAN-0059-V1.0</x:v>
      </x:c>
      <x:c r="B65" s="74" t="str">
        <x:v>M11</x:v>
      </x:c>
      <x:c r="C65" s="74" t="str">
        <x:v>CAIGUAN</x:v>
      </x:c>
      <x:c r="D65" s="215" t="n">
        <x:v>59</x:v>
      </x:c>
      <x:c r="E65" s="74" t="str">
        <x:v>V1.0</x:v>
      </x:c>
      <x:c r="F65" s="68" t="str">
        <x:v>财官印连续链必须三段有效</x:v>
      </x:c>
      <x:c r="G65" s="82" t="str">
        <x:v>结构层</x:v>
      </x:c>
      <x:c r="H65" s="82" t="str">
        <x:v>生化型</x:v>
      </x:c>
      <x:c r="I65" s="68" t="str">
        <x:v>财官印相生</x:v>
      </x:c>
      <x:c r="J65" s="68" t="str">
        <x:v>财星、官星、印星</x:v>
      </x:c>
      <x:c r="K65" s="68" t="str">
        <x:v>财生官有效</x:v>
      </x:c>
      <x:c r="L65" s="68" t="str">
        <x:v>官生印、印生身也有效</x:v>
      </x:c>
      <x:c r="M65" s="68" t="str">
        <x:v>财→官→印→身连续</x:v>
      </x:c>
      <x:c r="N65" s="68" t="str">
        <x:v>相关十神均以M10有效力量为准，且不存在决定性失衡</x:v>
      </x:c>
      <x:c r="O65" s="68" t="str">
        <x:v>结合M09日主承载判断</x:v>
      </x:c>
      <x:c r="P65" s="68" t="str">
        <x:v>财、官、印三者有效且链路不被切断</x:v>
      </x:c>
      <x:c r="Q65" s="68" t="str">
        <x:v>相关十神有根、有源、透达、清纯且关键通路稳定</x:v>
      </x:c>
      <x:c r="R65" s="90" t="str">
        <x:v>关键十神被合绊、被制、改性、失效或力量严重失衡</x:v>
      </x:c>
      <x:c r="S65" s="68" t="str">
        <x:v>存在第三十神恢复通路、清除破坏或重新形成平衡</x:v>
      </x:c>
      <x:c r="T65" s="90" t="str">
        <x:v>任一核心十神失效，或不存在真实作用路径</x:v>
      </x:c>
      <x:c r="U65" s="68" t="str">
        <x:v>特殊格局、从化或月令格局另转M14/M15复审</x:v>
      </x:c>
      <x:c r="V65" s="84" t="str">
        <x:v>明显成立</x:v>
      </x:c>
      <x:c r="W65" s="84" t="str">
        <x:v>形成连续生化链</x:v>
      </x:c>
      <x:c r="X65" s="82" t="str">
        <x:v>条件性</x:v>
      </x:c>
      <x:c r="Y65" s="68" t="str">
        <x:v>财官印相生候选</x:v>
      </x:c>
      <x:c r="Z65" s="84" t="str">
        <x:v>财官印相生_成立条件</x:v>
      </x:c>
      <x:c r="AA65" s="84" t="str">
        <x:v>财官印相生：当主体、客体、路径与力量匹配满足最低标准时，判“明显成立”；是否上升为格局转M14/M15。</x:v>
      </x:c>
      <x:c r="AB65" s="82" t="str">
        <x:v>较高</x:v>
      </x:c>
      <x:c r="AC65" s="82" t="str">
        <x:v>现代综合</x:v>
      </x:c>
      <x:c r="AD65" s="68" t="str">
        <x:v>十神同时出现不等于组合成立。M11须同时验证核心十神有效性、作用路径、力量匹配、日主承载、破坏因素与救应；组合成立也不等于格局成立。</x:v>
      </x:c>
      <x:c r="AE65" s="68" t="str">
        <x:v>财生官有效；官生印、印生身也有效；作用路径稳定且无关键破坏，可按“财官印相生”记录。</x:v>
      </x:c>
      <x:c r="AF65" s="90" t="str">
        <x:v>仅因“财星、官星、印星”同时出现，但核心十神无力、无作用路径或被关键因素破坏，不能判“财官印相生”成立。</x:v>
      </x:c>
      <x:c r="AG65" s="68" t="str">
        <x:v>https://zh.wikisource.org/zh-hans/%E6%B7%B5%E6%B5%B7%E5%AD%90%E5%B9%B3 ; https://zh.wikisource.org/wiki/%E6%BB%B4%E5%A4%A9%E9%AB%93%E9%97%A1%E5%BE%AE</x:v>
      </x:c>
      <x:c r="AH65" s="82" t="str">
        <x:v>采用</x:v>
      </x:c>
      <x:c r="AI65" s="82" t="str">
        <x:v>初审</x:v>
      </x:c>
      <x:c r="AJ65" s="87" t="n">
        <x:v>46255</x:v>
      </x:c>
    </x:row>
    <x:row r="66">
      <x:c r="A66" s="72" t="str">
        <x:f>IF(OR(C66="",D66=""),"",B66&amp;"-"&amp;UPPER(C66)&amp;"-"&amp;TEXT(D66,"0000")&amp;"-"&amp;E66)</x:f>
        <x:v>M11-CAIGUAN-0060-V1.0</x:v>
      </x:c>
      <x:c r="B66" s="74" t="str">
        <x:v>M11</x:v>
      </x:c>
      <x:c r="C66" s="74" t="str">
        <x:v>CAIGUAN</x:v>
      </x:c>
      <x:c r="D66" s="215" t="n">
        <x:v>60</x:v>
      </x:c>
      <x:c r="E66" s="74" t="str">
        <x:v>V1.0</x:v>
      </x:c>
      <x:c r="F66" s="68" t="str">
        <x:v>官弱无根时财生官效果有限</x:v>
      </x:c>
      <x:c r="G66" s="82" t="str">
        <x:v>结构层</x:v>
      </x:c>
      <x:c r="H66" s="82" t="str">
        <x:v>生化型</x:v>
      </x:c>
      <x:c r="I66" s="68" t="str">
        <x:v>财官相生</x:v>
      </x:c>
      <x:c r="J66" s="68" t="str">
        <x:v>财星、正官</x:v>
      </x:c>
      <x:c r="K66" s="68" t="str">
        <x:v>财星旺</x:v>
      </x:c>
      <x:c r="L66" s="68" t="str">
        <x:v>正官弱、无根或被伤官制</x:v>
      </x:c>
      <x:c r="M66" s="68" t="str">
        <x:v>直接或可达的生克制化路径成立</x:v>
      </x:c>
      <x:c r="N66" s="68" t="str">
        <x:v>相关十神均以M10有效力量为准，且不存在决定性失衡</x:v>
      </x:c>
      <x:c r="O66" s="68" t="str">
        <x:v>结合M09日主承载判断</x:v>
      </x:c>
      <x:c r="P66" s="68" t="str">
        <x:v>主体、客体、作用路径与力量匹配均达到最低要求</x:v>
      </x:c>
      <x:c r="Q66" s="68" t="str">
        <x:v>相关十神有根、有源、透达、清纯且关键通路稳定</x:v>
      </x:c>
      <x:c r="R66" s="90" t="str">
        <x:v>关键十神被合绊、被制、改性、失效或力量严重失衡</x:v>
      </x:c>
      <x:c r="S66" s="68" t="str">
        <x:v>存在第三十神恢复通路、清除破坏或重新形成平衡</x:v>
      </x:c>
      <x:c r="T66" s="90" t="str">
        <x:v>任一核心十神失效，或不存在真实作用路径</x:v>
      </x:c>
      <x:c r="U66" s="68" t="str">
        <x:v>特殊格局、从化或月令格局另转M14/M15复审</x:v>
      </x:c>
      <x:c r="V66" s="84" t="str">
        <x:v>弱成立</x:v>
      </x:c>
      <x:c r="W66" s="84" t="str">
        <x:v>形成局部生化、制化或承载结构</x:v>
      </x:c>
      <x:c r="X66" s="82" t="str">
        <x:v>否</x:v>
      </x:c>
      <x:c r="Y66" s="68" t="str">
        <x:v>对应格局候选转M14</x:v>
      </x:c>
      <x:c r="Z66" s="84" t="str">
        <x:v>财官相生_官弱</x:v>
      </x:c>
      <x:c r="AA66" s="84" t="str">
        <x:v>财官相生：当主体、客体、路径与力量匹配满足最低标准时，判“弱成立”；是否上升为格局转M14/M15。</x:v>
      </x:c>
      <x:c r="AB66" s="82" t="str">
        <x:v>较高</x:v>
      </x:c>
      <x:c r="AC66" s="82" t="str">
        <x:v>现代综合</x:v>
      </x:c>
      <x:c r="AD66" s="68" t="str">
        <x:v>十神同时出现不等于组合成立。M11须同时验证核心十神有效性、作用路径、力量匹配、日主承载、破坏因素与救应；组合成立也不等于格局成立。</x:v>
      </x:c>
      <x:c r="AE66" s="68" t="str">
        <x:v>财星旺；正官弱、无根或被伤官制；作用路径稳定且无关键破坏，可按“财官相生”记录。</x:v>
      </x:c>
      <x:c r="AF66" s="90" t="str">
        <x:v>仅因“财星、正官”同时出现，但核心十神无力、无作用路径或被关键因素破坏，不能判“财官相生”成立。</x:v>
      </x:c>
      <x:c r="AG66" s="68" t="str">
        <x:v>https://zh.wikisource.org/zh-hans/%E6%B7%B5%E6%B5%B7%E5%AD%90%E5%B9%B3 ; https://zh.wikisource.org/wiki/%E6%BB%B4%E5%A4%A9%E9%AB%93%E9%97%A1%E5%BE%AE</x:v>
      </x:c>
      <x:c r="AH66" s="82" t="str">
        <x:v>采用</x:v>
      </x:c>
      <x:c r="AI66" s="82" t="str">
        <x:v>初审</x:v>
      </x:c>
      <x:c r="AJ66" s="87" t="n">
        <x:v>46255</x:v>
      </x:c>
    </x:row>
    <x:row r="67">
      <x:c r="A67" s="72" t="str">
        <x:f>IF(OR(C67="",D67=""),"",B67&amp;"-"&amp;UPPER(C67)&amp;"-"&amp;TEXT(D67,"0000")&amp;"-"&amp;E67)</x:f>
        <x:v>M11-CAIGUAN-0061-V1.0</x:v>
      </x:c>
      <x:c r="B67" s="74" t="str">
        <x:v>M11</x:v>
      </x:c>
      <x:c r="C67" s="74" t="str">
        <x:v>CAIGUAN</x:v>
      </x:c>
      <x:c r="D67" s="215" t="n">
        <x:v>61</x:v>
      </x:c>
      <x:c r="E67" s="74" t="str">
        <x:v>V1.0</x:v>
      </x:c>
      <x:c r="F67" s="68" t="str">
        <x:v>身弱时财生杀可能加重双重负荷</x:v>
      </x:c>
      <x:c r="G67" s="82" t="str">
        <x:v>结构层</x:v>
      </x:c>
      <x:c r="H67" s="82" t="str">
        <x:v>生化型</x:v>
      </x:c>
      <x:c r="I67" s="68" t="str">
        <x:v>财生杀</x:v>
      </x:c>
      <x:c r="J67" s="68" t="str">
        <x:v>财星、七杀</x:v>
      </x:c>
      <x:c r="K67" s="68" t="str">
        <x:v>日主弱或偏弱</x:v>
      </x:c>
      <x:c r="L67" s="68" t="str">
        <x:v>财既耗身又生七杀制身</x:v>
      </x:c>
      <x:c r="M67" s="68" t="str">
        <x:v>直接或可达的生克制化路径成立</x:v>
      </x:c>
      <x:c r="N67" s="68" t="str">
        <x:v>相关十神均以M10有效力量为准，且不存在决定性失衡</x:v>
      </x:c>
      <x:c r="O67" s="68" t="str">
        <x:v>若无印比救应，组合虽成立但对日主压力显著</x:v>
      </x:c>
      <x:c r="P67" s="68" t="str">
        <x:v>主体、客体、作用路径与力量匹配均达到最低要求</x:v>
      </x:c>
      <x:c r="Q67" s="68" t="str">
        <x:v>相关十神有根、有源、透达、清纯且关键通路稳定</x:v>
      </x:c>
      <x:c r="R67" s="90" t="str">
        <x:v>关键十神被合绊、被制、改性、失效或力量严重失衡</x:v>
      </x:c>
      <x:c r="S67" s="68" t="str">
        <x:v>存在第三十神恢复通路、清除破坏或重新形成平衡</x:v>
      </x:c>
      <x:c r="T67" s="90" t="str">
        <x:v>任一核心十神失效，或不存在真实作用路径</x:v>
      </x:c>
      <x:c r="U67" s="68" t="str">
        <x:v>特殊格局、从化或月令格局另转M14/M15复审</x:v>
      </x:c>
      <x:c r="V67" s="84" t="str">
        <x:v>基本成立</x:v>
      </x:c>
      <x:c r="W67" s="84" t="str">
        <x:v>耗身并增杀</x:v>
      </x:c>
      <x:c r="X67" s="82" t="str">
        <x:v>条件性</x:v>
      </x:c>
      <x:c r="Y67" s="68" t="str">
        <x:v>对应格局候选转M14</x:v>
      </x:c>
      <x:c r="Z67" s="84" t="str">
        <x:v>财生杀_身弱压力</x:v>
      </x:c>
      <x:c r="AA67" s="84" t="str">
        <x:v>财生杀：当主体、客体、路径与力量匹配满足最低标准时，判“基本成立”；是否上升为格局转M14/M15。</x:v>
      </x:c>
      <x:c r="AB67" s="82" t="str">
        <x:v>较高</x:v>
      </x:c>
      <x:c r="AC67" s="82" t="str">
        <x:v>现代综合</x:v>
      </x:c>
      <x:c r="AD67" s="68" t="str">
        <x:v>十神同时出现不等于组合成立。M11须同时验证核心十神有效性、作用路径、力量匹配、日主承载、破坏因素与救应；组合成立也不等于格局成立。</x:v>
      </x:c>
      <x:c r="AE67" s="68" t="str">
        <x:v>日主弱或偏弱；财既耗身又生七杀制身；作用路径稳定且无关键破坏，可按“财生杀”记录。</x:v>
      </x:c>
      <x:c r="AF67" s="90" t="str">
        <x:v>仅因“财星、七杀”同时出现，但核心十神无力、无作用路径或被关键因素破坏，不能判“财生杀”成立。</x:v>
      </x:c>
      <x:c r="AG67" s="68" t="str">
        <x:v>https://zh.wikisource.org/zh-hans/%E6%B7%B5%E6%B5%B7%E5%AD%90%E5%B9%B3 ; https://zh.wikisource.org/wiki/%E6%BB%B4%E5%A4%A9%E9%AB%93%E9%97%A1%E5%BE%AE</x:v>
      </x:c>
      <x:c r="AH67" s="82" t="str">
        <x:v>采用</x:v>
      </x:c>
      <x:c r="AI67" s="82" t="str">
        <x:v>初审</x:v>
      </x:c>
      <x:c r="AJ67" s="87" t="n">
        <x:v>46255</x:v>
      </x:c>
    </x:row>
    <x:row r="68">
      <x:c r="A68" s="72" t="str">
        <x:f>IF(OR(C68="",D68=""),"",B68&amp;"-"&amp;UPPER(C68)&amp;"-"&amp;TEXT(D68,"0000")&amp;"-"&amp;E68)</x:f>
        <x:v>M11-CAIGUAN-0062-V1.0</x:v>
      </x:c>
      <x:c r="B68" s="74" t="str">
        <x:v>M11</x:v>
      </x:c>
      <x:c r="C68" s="74" t="str">
        <x:v>CAIGUAN</x:v>
      </x:c>
      <x:c r="D68" s="215" t="n">
        <x:v>62</x:v>
      </x:c>
      <x:c r="E68" s="74" t="str">
        <x:v>V1.0</x:v>
      </x:c>
      <x:c r="F68" s="68" t="str">
        <x:v>财旺破印会破坏财官印连续链</x:v>
      </x:c>
      <x:c r="G68" s="82" t="str">
        <x:v>结构层</x:v>
      </x:c>
      <x:c r="H68" s="82" t="str">
        <x:v>生化型</x:v>
      </x:c>
      <x:c r="I68" s="68" t="str">
        <x:v>财官印相生</x:v>
      </x:c>
      <x:c r="J68" s="68" t="str">
        <x:v>财星、官星、印星</x:v>
      </x:c>
      <x:c r="K68" s="68" t="str">
        <x:v>财星既生官又直接强制印星</x:v>
      </x:c>
      <x:c r="L68" s="68" t="str">
        <x:v>印星成为链路薄弱点</x:v>
      </x:c>
      <x:c r="M68" s="68" t="str">
        <x:v>直接或可达的生克制化路径成立</x:v>
      </x:c>
      <x:c r="N68" s="68" t="str">
        <x:v>相关十神均以M10有效力量为准，且不存在决定性失衡</x:v>
      </x:c>
      <x:c r="O68" s="68" t="str">
        <x:v>结合M09日主承载判断</x:v>
      </x:c>
      <x:c r="P68" s="68" t="str">
        <x:v>主体、客体、作用路径与力量匹配均达到最低要求</x:v>
      </x:c>
      <x:c r="Q68" s="68" t="str">
        <x:v>相关十神有根、有源、透达、清纯且关键通路稳定</x:v>
      </x:c>
      <x:c r="R68" s="90" t="str">
        <x:v>财坏印效应大于官生印补充</x:v>
      </x:c>
      <x:c r="S68" s="68" t="str">
        <x:v>存在第三十神恢复通路、清除破坏或重新形成平衡</x:v>
      </x:c>
      <x:c r="T68" s="90" t="str">
        <x:v>任一核心十神失效，或不存在真实作用路径</x:v>
      </x:c>
      <x:c r="U68" s="68" t="str">
        <x:v>特殊格局、从化或月令格局另转M14/M15复审</x:v>
      </x:c>
      <x:c r="V68" s="84" t="str">
        <x:v>弱成立</x:v>
      </x:c>
      <x:c r="W68" s="84" t="str">
        <x:v>形成局部生化、制化或承载结构</x:v>
      </x:c>
      <x:c r="X68" s="82" t="str">
        <x:v>条件性</x:v>
      </x:c>
      <x:c r="Y68" s="68" t="str">
        <x:v>对应格局候选转M14</x:v>
      </x:c>
      <x:c r="Z68" s="84" t="str">
        <x:v>财官印_财破印</x:v>
      </x:c>
      <x:c r="AA68" s="84" t="str">
        <x:v>财官印相生：当主体、客体、路径与力量匹配满足最低标准时，判“弱成立”；是否上升为格局转M14/M15。</x:v>
      </x:c>
      <x:c r="AB68" s="82" t="str">
        <x:v>较高</x:v>
      </x:c>
      <x:c r="AC68" s="82" t="str">
        <x:v>现代综合</x:v>
      </x:c>
      <x:c r="AD68" s="68" t="str">
        <x:v>十神同时出现不等于组合成立。M11须同时验证核心十神有效性、作用路径、力量匹配、日主承载、破坏因素与救应；组合成立也不等于格局成立。</x:v>
      </x:c>
      <x:c r="AE68" s="68" t="str">
        <x:v>财星既生官又直接强制印星；印星成为链路薄弱点；作用路径稳定且无关键破坏，可按“财官印相生”记录。</x:v>
      </x:c>
      <x:c r="AF68" s="90" t="str">
        <x:v>仅因“财星、官星、印星”同时出现，但核心十神无力、无作用路径或被关键因素破坏，不能判“财官印相生”成立。</x:v>
      </x:c>
      <x:c r="AG68" s="68" t="str">
        <x:v>https://zh.wikisource.org/zh-hans/%E6%B7%B5%E6%B5%B7%E5%AD%90%E5%B9%B3 ; https://zh.wikisource.org/wiki/%E6%BB%B4%E5%A4%A9%E9%AB%93%E9%97%A1%E5%BE%AE</x:v>
      </x:c>
      <x:c r="AH68" s="82" t="str">
        <x:v>采用</x:v>
      </x:c>
      <x:c r="AI68" s="82" t="str">
        <x:v>初审</x:v>
      </x:c>
      <x:c r="AJ68" s="87" t="n">
        <x:v>46255</x:v>
      </x:c>
    </x:row>
    <x:row r="69">
      <x:c r="A69" s="72" t="str">
        <x:f>IF(OR(C69="",D69=""),"",B69&amp;"-"&amp;UPPER(C69)&amp;"-"&amp;TEXT(D69,"0000")&amp;"-"&amp;E69)</x:f>
        <x:v>M11-CAIGUAN-0063-V1.0</x:v>
      </x:c>
      <x:c r="B69" s="74" t="str">
        <x:v>M11</x:v>
      </x:c>
      <x:c r="C69" s="74" t="str">
        <x:v>CAIGUAN</x:v>
      </x:c>
      <x:c r="D69" s="215" t="n">
        <x:v>63</x:v>
      </x:c>
      <x:c r="E69" s="74" t="str">
        <x:v>V1.0</x:v>
      </x:c>
      <x:c r="F69" s="68" t="str">
        <x:v>身旺任财官时组合承载增强</x:v>
      </x:c>
      <x:c r="G69" s="82" t="str">
        <x:v>结构层</x:v>
      </x:c>
      <x:c r="H69" s="82" t="str">
        <x:v>生化型</x:v>
      </x:c>
      <x:c r="I69" s="68" t="str">
        <x:v>财官相生</x:v>
      </x:c>
      <x:c r="J69" s="68" t="str">
        <x:v>财星、正官</x:v>
      </x:c>
      <x:c r="K69" s="68" t="str">
        <x:v>日主旺或中和偏旺</x:v>
      </x:c>
      <x:c r="L69" s="68" t="str">
        <x:v>财官均有效且不过度</x:v>
      </x:c>
      <x:c r="M69" s="68" t="str">
        <x:v>直接或可达的生克制化路径成立</x:v>
      </x:c>
      <x:c r="N69" s="68" t="str">
        <x:v>相关十神均以M10有效力量为准，且不存在决定性失衡</x:v>
      </x:c>
      <x:c r="O69" s="68" t="str">
        <x:v>日主有能力承受财耗和官制</x:v>
      </x:c>
      <x:c r="P69" s="68" t="str">
        <x:v>主体、客体、作用路径与力量匹配均达到最低要求</x:v>
      </x:c>
      <x:c r="Q69" s="68" t="str">
        <x:v>相关十神有根、有源、透达、清纯且关键通路稳定</x:v>
      </x:c>
      <x:c r="R69" s="90" t="str">
        <x:v>关键十神被合绊、被制、改性、失效或力量严重失衡</x:v>
      </x:c>
      <x:c r="S69" s="68" t="str">
        <x:v>存在第三十神恢复通路、清除破坏或重新形成平衡</x:v>
      </x:c>
      <x:c r="T69" s="90" t="str">
        <x:v>任一核心十神失效，或不存在真实作用路径</x:v>
      </x:c>
      <x:c r="U69" s="68" t="str">
        <x:v>特殊格局、从化或月令格局另转M14/M15复审</x:v>
      </x:c>
      <x:c r="V69" s="84" t="str">
        <x:v>明显成立</x:v>
      </x:c>
      <x:c r="W69" s="84" t="str">
        <x:v>形成局部生化、制化或承载结构</x:v>
      </x:c>
      <x:c r="X69" s="82" t="str">
        <x:v>条件性</x:v>
      </x:c>
      <x:c r="Y69" s="68" t="str">
        <x:v>对应格局候选转M14</x:v>
      </x:c>
      <x:c r="Z69" s="84" t="str">
        <x:v>财官相生_身旺承载</x:v>
      </x:c>
      <x:c r="AA69" s="84" t="str">
        <x:v>财官相生：当主体、客体、路径与力量匹配满足最低标准时，判“明显成立”；是否上升为格局转M14/M15。</x:v>
      </x:c>
      <x:c r="AB69" s="82" t="str">
        <x:v>较高</x:v>
      </x:c>
      <x:c r="AC69" s="82" t="str">
        <x:v>现代综合</x:v>
      </x:c>
      <x:c r="AD69" s="68" t="str">
        <x:v>十神同时出现不等于组合成立。M11须同时验证核心十神有效性、作用路径、力量匹配、日主承载、破坏因素与救应；组合成立也不等于格局成立。</x:v>
      </x:c>
      <x:c r="AE69" s="68" t="str">
        <x:v>日主旺或中和偏旺；财官均有效且不过度；作用路径稳定且无关键破坏，可按“财官相生”记录。</x:v>
      </x:c>
      <x:c r="AF69" s="90" t="str">
        <x:v>仅因“财星、正官”同时出现，但核心十神无力、无作用路径或被关键因素破坏，不能判“财官相生”成立。</x:v>
      </x:c>
      <x:c r="AG69" s="68" t="str">
        <x:v>https://zh.wikisource.org/zh-hans/%E6%B7%B5%E6%B5%B7%E5%AD%90%E5%B9%B3 ; https://zh.wikisource.org/wiki/%E6%BB%B4%E5%A4%A9%E9%AB%93%E9%97%A1%E5%BE%AE</x:v>
      </x:c>
      <x:c r="AH69" s="82" t="str">
        <x:v>采用</x:v>
      </x:c>
      <x:c r="AI69" s="82" t="str">
        <x:v>初审</x:v>
      </x:c>
      <x:c r="AJ69" s="87" t="n">
        <x:v>46255</x:v>
      </x:c>
    </x:row>
    <x:row r="70">
      <x:c r="A70" s="72" t="str">
        <x:f>IF(OR(C70="",D70=""),"",B70&amp;"-"&amp;UPPER(C70)&amp;"-"&amp;TEXT(D70,"0000")&amp;"-"&amp;E70)</x:f>
        <x:v>M11-CAIGUAN-0064-V1.0</x:v>
      </x:c>
      <x:c r="B70" s="74" t="str">
        <x:v>M11</x:v>
      </x:c>
      <x:c r="C70" s="74" t="str">
        <x:v>CAIGUAN</x:v>
      </x:c>
      <x:c r="D70" s="215" t="n">
        <x:v>64</x:v>
      </x:c>
      <x:c r="E70" s="74" t="str">
        <x:v>V1.0</x:v>
      </x:c>
      <x:c r="F70" s="68" t="str">
        <x:v>财官相生只是组合，不直接等同富贵</x:v>
      </x:c>
      <x:c r="G70" s="82" t="str">
        <x:v>结构层</x:v>
      </x:c>
      <x:c r="H70" s="82" t="str">
        <x:v>生化型</x:v>
      </x:c>
      <x:c r="I70" s="68" t="str">
        <x:v>财官相生</x:v>
      </x:c>
      <x:c r="J70" s="68" t="str">
        <x:v>财星、官星</x:v>
      </x:c>
      <x:c r="K70" s="68" t="str">
        <x:v>财官链已经成立</x:v>
      </x:c>
      <x:c r="L70" s="68" t="str">
        <x:v>格局清纯、月令、日主承载及用神尚未综合裁决</x:v>
      </x:c>
      <x:c r="M70" s="68" t="str">
        <x:v>直接或可达的生克制化路径成立</x:v>
      </x:c>
      <x:c r="N70" s="68" t="str">
        <x:v>相关十神均以M10有效力量为准，且不存在决定性失衡</x:v>
      </x:c>
      <x:c r="O70" s="68" t="str">
        <x:v>结合M09日主承载判断</x:v>
      </x:c>
      <x:c r="P70" s="68" t="str">
        <x:v>主体、客体、作用路径与力量匹配均达到最低要求</x:v>
      </x:c>
      <x:c r="Q70" s="68" t="str">
        <x:v>相关十神有根、有源、透达、清纯且关键通路稳定</x:v>
      </x:c>
      <x:c r="R70" s="90" t="str">
        <x:v>关键十神被合绊、被制、改性、失效或力量严重失衡</x:v>
      </x:c>
      <x:c r="S70" s="68" t="str">
        <x:v>存在第三十神恢复通路、清除破坏或重新形成平衡</x:v>
      </x:c>
      <x:c r="T70" s="90" t="str">
        <x:v>任一核心十神失效，或不存在真实作用路径</x:v>
      </x:c>
      <x:c r="U70" s="68" t="str">
        <x:v>特殊格局、从化或月令格局另转M14/M15复审</x:v>
      </x:c>
      <x:c r="V70" s="84" t="str">
        <x:v>基本成立</x:v>
      </x:c>
      <x:c r="W70" s="84" t="str">
        <x:v>形成结构资源，不直接推出现实成就</x:v>
      </x:c>
      <x:c r="X70" s="82" t="str">
        <x:v>条件性</x:v>
      </x:c>
      <x:c r="Y70" s="68" t="str">
        <x:v>财格/官格候选转M14</x:v>
      </x:c>
      <x:c r="Z70" s="84" t="str">
        <x:v>财官相生_价值边界</x:v>
      </x:c>
      <x:c r="AA70" s="84" t="str">
        <x:v>财官相生：当主体、客体、路径与力量匹配满足最低标准时，判“基本成立”；是否上升为格局转M14/M15。</x:v>
      </x:c>
      <x:c r="AB70" s="82" t="str">
        <x:v>较高</x:v>
      </x:c>
      <x:c r="AC70" s="82" t="str">
        <x:v>现代综合</x:v>
      </x:c>
      <x:c r="AD70" s="68" t="str">
        <x:v>十神同时出现不等于组合成立。M11须同时验证核心十神有效性、作用路径、力量匹配、日主承载、破坏因素与救应；组合成立也不等于格局成立。</x:v>
      </x:c>
      <x:c r="AE70" s="68" t="str">
        <x:v>财官链已经成立；格局清纯、月令、日主承载及用神尚未综合裁决；作用路径稳定且无关键破坏，可按“财官相生”记录。</x:v>
      </x:c>
      <x:c r="AF70" s="90" t="str">
        <x:v>仅因“财星、官星”同时出现，但核心十神无力、无作用路径或被关键因素破坏，不能判“财官相生”成立。</x:v>
      </x:c>
      <x:c r="AG70" s="68" t="str">
        <x:v>https://zh.wikisource.org/zh-hans/%E6%B7%B5%E6%B5%B7%E5%AD%90%E5%B9%B3 ; https://zh.wikisource.org/wiki/%E6%BB%B4%E5%A4%A9%E9%AB%93%E9%97%A1%E5%BE%AE</x:v>
      </x:c>
      <x:c r="AH70" s="82" t="str">
        <x:v>采用</x:v>
      </x:c>
      <x:c r="AI70" s="82" t="str">
        <x:v>初审</x:v>
      </x:c>
      <x:c r="AJ70" s="87" t="n">
        <x:v>46255</x:v>
      </x:c>
    </x:row>
    <x:row r="71">
      <x:c r="A71" s="72" t="str">
        <x:f>IF(OR(C71="",D71=""),"",B71&amp;"-"&amp;UPPER(C71)&amp;"-"&amp;TEXT(D71,"0000")&amp;"-"&amp;E71)</x:f>
        <x:v>M11-BALANCE-0065-V1.0</x:v>
      </x:c>
      <x:c r="B71" s="74" t="str">
        <x:v>M11</x:v>
      </x:c>
      <x:c r="C71" s="74" t="str">
        <x:v>BALANCE</x:v>
      </x:c>
      <x:c r="D71" s="215" t="n">
        <x:v>65</x:v>
      </x:c>
      <x:c r="E71" s="74" t="str">
        <x:v>V1.0</x:v>
      </x:c>
      <x:c r="F71" s="68" t="str">
        <x:v>日主与财星有效力量大体匹配</x:v>
      </x:c>
      <x:c r="G71" s="82" t="str">
        <x:v>结构层</x:v>
      </x:c>
      <x:c r="H71" s="82" t="str">
        <x:v>平衡承载型</x:v>
      </x:c>
      <x:c r="I71" s="68" t="str">
        <x:v>身财两停</x:v>
      </x:c>
      <x:c r="J71" s="68" t="str">
        <x:v>日主、财星</x:v>
      </x:c>
      <x:c r="K71" s="68" t="str">
        <x:v>M09日主达到中和至旺，并具稳定承载</x:v>
      </x:c>
      <x:c r="L71" s="68" t="str">
        <x:v>财星有效且不过强不过弱</x:v>
      </x:c>
      <x:c r="M71" s="68" t="str">
        <x:v>直接或可达的生克制化路径成立</x:v>
      </x:c>
      <x:c r="N71" s="68" t="str">
        <x:v>身与财不存在决定性失衡</x:v>
      </x:c>
      <x:c r="O71" s="68" t="str">
        <x:v>结合M09日主承载判断</x:v>
      </x:c>
      <x:c r="P71" s="68" t="str">
        <x:v>日主能任财、财也足以形成有效耗用</x:v>
      </x:c>
      <x:c r="Q71" s="68" t="str">
        <x:v>相关十神有根、有源、透达、清纯且关键通路稳定</x:v>
      </x:c>
      <x:c r="R71" s="90" t="str">
        <x:v>关键十神被合绊、被制、改性、失效或力量严重失衡</x:v>
      </x:c>
      <x:c r="S71" s="68" t="str">
        <x:v>存在第三十神恢复通路、清除破坏或重新形成平衡</x:v>
      </x:c>
      <x:c r="T71" s="90" t="str">
        <x:v>任一核心十神失效，或不存在真实作用路径</x:v>
      </x:c>
      <x:c r="U71" s="68" t="str">
        <x:v>特殊格局、从化或月令格局另转M14/M15复审</x:v>
      </x:c>
      <x:c r="V71" s="84" t="str">
        <x:v>基本成立</x:v>
      </x:c>
      <x:c r="W71" s="84" t="str">
        <x:v>身能任财且财有可用空间</x:v>
      </x:c>
      <x:c r="X71" s="82" t="str">
        <x:v>条件性</x:v>
      </x:c>
      <x:c r="Y71" s="68" t="str">
        <x:v>身财两停候选</x:v>
      </x:c>
      <x:c r="Z71" s="84" t="str">
        <x:v>身财两停_成立条件</x:v>
      </x:c>
      <x:c r="AA71" s="84" t="str">
        <x:v>身财两停：当主体、客体、路径与力量匹配满足最低标准时，判“基本成立”；是否上升为格局转M14/M15。</x:v>
      </x:c>
      <x:c r="AB71" s="82" t="str">
        <x:v>较高</x:v>
      </x:c>
      <x:c r="AC71" s="82" t="str">
        <x:v>现代综合</x:v>
      </x:c>
      <x:c r="AD71" s="68" t="str">
        <x:v>十神同时出现不等于组合成立。M11须同时验证核心十神有效性、作用路径、力量匹配、日主承载、破坏因素与救应；组合成立也不等于格局成立。</x:v>
      </x:c>
      <x:c r="AE71" s="68" t="str">
        <x:v>M09日主达到中和至旺，并具稳定承载；财星有效且不过强不过弱；作用路径稳定且无关键破坏，可按“身财两停”记录。</x:v>
      </x:c>
      <x:c r="AF71" s="90" t="str">
        <x:v>仅因“日主、财星”同时出现，但核心十神无力、无作用路径或被关键因素破坏，不能判“身财两停”成立。</x:v>
      </x:c>
      <x:c r="AG71" s="68" t="str">
        <x:v>https://zh.wikisource.org/zh-hans/%E6%B7%B5%E6%B5%B7%E5%AD%90%E5%B9%B3 ; https://zh.wikisource.org/wiki/%E6%BB%B4%E5%A4%A9%E9%AB%93%E9%97%A1%E5%BE%AE</x:v>
      </x:c>
      <x:c r="AH71" s="82" t="str">
        <x:v>采用</x:v>
      </x:c>
      <x:c r="AI71" s="82" t="str">
        <x:v>初审</x:v>
      </x:c>
      <x:c r="AJ71" s="87" t="n">
        <x:v>46255</x:v>
      </x:c>
    </x:row>
    <x:row r="72">
      <x:c r="A72" s="72" t="str">
        <x:f>IF(OR(C72="",D72=""),"",B72&amp;"-"&amp;UPPER(C72)&amp;"-"&amp;TEXT(D72,"0000")&amp;"-"&amp;E72)</x:f>
        <x:v>M11-BALANCE-0066-V1.0</x:v>
      </x:c>
      <x:c r="B72" s="74" t="str">
        <x:v>M11</x:v>
      </x:c>
      <x:c r="C72" s="74" t="str">
        <x:v>BALANCE</x:v>
      </x:c>
      <x:c r="D72" s="215" t="n">
        <x:v>66</x:v>
      </x:c>
      <x:c r="E72" s="74" t="str">
        <x:v>V1.0</x:v>
      </x:c>
      <x:c r="F72" s="68" t="str">
        <x:v>日主与正官制衡匹配</x:v>
      </x:c>
      <x:c r="G72" s="82" t="str">
        <x:v>结构层</x:v>
      </x:c>
      <x:c r="H72" s="82" t="str">
        <x:v>平衡承载型</x:v>
      </x:c>
      <x:c r="I72" s="68" t="str">
        <x:v>身官两停</x:v>
      </x:c>
      <x:c r="J72" s="68" t="str">
        <x:v>日主、正官</x:v>
      </x:c>
      <x:c r="K72" s="68" t="str">
        <x:v>日主有足够承载</x:v>
      </x:c>
      <x:c r="L72" s="68" t="str">
        <x:v>正官有力但不过度</x:v>
      </x:c>
      <x:c r="M72" s="68" t="str">
        <x:v>直接或可达的生克制化路径成立</x:v>
      </x:c>
      <x:c r="N72" s="68" t="str">
        <x:v>官制身与身承官大体平衡</x:v>
      </x:c>
      <x:c r="O72" s="68" t="str">
        <x:v>结合M09日主承载判断</x:v>
      </x:c>
      <x:c r="P72" s="68" t="str">
        <x:v>主体、客体、作用路径与力量匹配均达到最低要求</x:v>
      </x:c>
      <x:c r="Q72" s="68" t="str">
        <x:v>相关十神有根、有源、透达、清纯且关键通路稳定</x:v>
      </x:c>
      <x:c r="R72" s="90" t="str">
        <x:v>关键十神被合绊、被制、改性、失效或力量严重失衡</x:v>
      </x:c>
      <x:c r="S72" s="68" t="str">
        <x:v>存在第三十神恢复通路、清除破坏或重新形成平衡</x:v>
      </x:c>
      <x:c r="T72" s="90" t="str">
        <x:v>任一核心十神失效，或不存在真实作用路径</x:v>
      </x:c>
      <x:c r="U72" s="68" t="str">
        <x:v>特殊格局、从化或月令格局另转M14/M15复审</x:v>
      </x:c>
      <x:c r="V72" s="84" t="str">
        <x:v>基本成立</x:v>
      </x:c>
      <x:c r="W72" s="84" t="str">
        <x:v>形成稳定约束与承载</x:v>
      </x:c>
      <x:c r="X72" s="82" t="str">
        <x:v>条件性</x:v>
      </x:c>
      <x:c r="Y72" s="68" t="str">
        <x:v>身官两停候选</x:v>
      </x:c>
      <x:c r="Z72" s="84" t="str">
        <x:v>身官两停_成立条件</x:v>
      </x:c>
      <x:c r="AA72" s="84" t="str">
        <x:v>身官两停：当主体、客体、路径与力量匹配满足最低标准时，判“基本成立”；是否上升为格局转M14/M15。</x:v>
      </x:c>
      <x:c r="AB72" s="82" t="str">
        <x:v>较高</x:v>
      </x:c>
      <x:c r="AC72" s="82" t="str">
        <x:v>现代综合</x:v>
      </x:c>
      <x:c r="AD72" s="68" t="str">
        <x:v>十神同时出现不等于组合成立。M11须同时验证核心十神有效性、作用路径、力量匹配、日主承载、破坏因素与救应；组合成立也不等于格局成立。</x:v>
      </x:c>
      <x:c r="AE72" s="68" t="str">
        <x:v>日主有足够承载；正官有力但不过度；作用路径稳定且无关键破坏，可按“身官两停”记录。</x:v>
      </x:c>
      <x:c r="AF72" s="90" t="str">
        <x:v>仅因“日主、正官”同时出现，但核心十神无力、无作用路径或被关键因素破坏，不能判“身官两停”成立。</x:v>
      </x:c>
      <x:c r="AG72" s="68" t="str">
        <x:v>https://zh.wikisource.org/zh-hans/%E6%B7%B5%E6%B5%B7%E5%AD%90%E5%B9%B3 ; https://zh.wikisource.org/wiki/%E6%BB%B4%E5%A4%A9%E9%AB%93%E9%97%A1%E5%BE%AE</x:v>
      </x:c>
      <x:c r="AH72" s="82" t="str">
        <x:v>采用</x:v>
      </x:c>
      <x:c r="AI72" s="82" t="str">
        <x:v>初审</x:v>
      </x:c>
      <x:c r="AJ72" s="87" t="n">
        <x:v>46255</x:v>
      </x:c>
    </x:row>
    <x:row r="73">
      <x:c r="A73" s="72" t="str">
        <x:f>IF(OR(C73="",D73=""),"",B73&amp;"-"&amp;UPPER(C73)&amp;"-"&amp;TEXT(D73,"0000")&amp;"-"&amp;E73)</x:f>
        <x:v>M11-BALANCE-0067-V1.0</x:v>
      </x:c>
      <x:c r="B73" s="74" t="str">
        <x:v>M11</x:v>
      </x:c>
      <x:c r="C73" s="74" t="str">
        <x:v>BALANCE</x:v>
      </x:c>
      <x:c r="D73" s="215" t="n">
        <x:v>67</x:v>
      </x:c>
      <x:c r="E73" s="74" t="str">
        <x:v>V1.0</x:v>
      </x:c>
      <x:c r="F73" s="68" t="str">
        <x:v>日主与七杀压力匹配</x:v>
      </x:c>
      <x:c r="G73" s="82" t="str">
        <x:v>结构层</x:v>
      </x:c>
      <x:c r="H73" s="82" t="str">
        <x:v>平衡承载型</x:v>
      </x:c>
      <x:c r="I73" s="68" t="str">
        <x:v>身杀两停</x:v>
      </x:c>
      <x:c r="J73" s="68" t="str">
        <x:v>日主、七杀</x:v>
      </x:c>
      <x:c r="K73" s="68" t="str">
        <x:v>日主有根有势可承杀</x:v>
      </x:c>
      <x:c r="L73" s="68" t="str">
        <x:v>七杀有力但未超过承载</x:v>
      </x:c>
      <x:c r="M73" s="68" t="str">
        <x:v>直接或可达的生克制化路径成立</x:v>
      </x:c>
      <x:c r="N73" s="68" t="str">
        <x:v>身杀两方均有权且不过度</x:v>
      </x:c>
      <x:c r="O73" s="68" t="str">
        <x:v>结合M09日主承载判断</x:v>
      </x:c>
      <x:c r="P73" s="68" t="str">
        <x:v>主体、客体、作用路径与力量匹配均达到最低要求</x:v>
      </x:c>
      <x:c r="Q73" s="68" t="str">
        <x:v>相关十神有根、有源、透达、清纯且关键通路稳定</x:v>
      </x:c>
      <x:c r="R73" s="90" t="str">
        <x:v>关键十神被合绊、被制、改性、失效或力量严重失衡</x:v>
      </x:c>
      <x:c r="S73" s="68" t="str">
        <x:v>存在第三十神恢复通路、清除破坏或重新形成平衡</x:v>
      </x:c>
      <x:c r="T73" s="90" t="str">
        <x:v>任一核心十神失效，或不存在真实作用路径</x:v>
      </x:c>
      <x:c r="U73" s="68" t="str">
        <x:v>特殊格局、从化或月令格局另转M14/M15复审</x:v>
      </x:c>
      <x:c r="V73" s="84" t="str">
        <x:v>基本成立</x:v>
      </x:c>
      <x:c r="W73" s="84" t="str">
        <x:v>杀有制衡功能而非单向攻身</x:v>
      </x:c>
      <x:c r="X73" s="82" t="str">
        <x:v>条件性</x:v>
      </x:c>
      <x:c r="Y73" s="68" t="str">
        <x:v>身杀两停候选</x:v>
      </x:c>
      <x:c r="Z73" s="84" t="str">
        <x:v>身杀两停_成立条件</x:v>
      </x:c>
      <x:c r="AA73" s="84" t="str">
        <x:v>身杀两停：当主体、客体、路径与力量匹配满足最低标准时，判“基本成立”；是否上升为格局转M14/M15。</x:v>
      </x:c>
      <x:c r="AB73" s="82" t="str">
        <x:v>较高</x:v>
      </x:c>
      <x:c r="AC73" s="82" t="str">
        <x:v>现代综合</x:v>
      </x:c>
      <x:c r="AD73" s="68" t="str">
        <x:v>十神同时出现不等于组合成立。M11须同时验证核心十神有效性、作用路径、力量匹配、日主承载、破坏因素与救应；组合成立也不等于格局成立。</x:v>
      </x:c>
      <x:c r="AE73" s="68" t="str">
        <x:v>日主有根有势可承杀；七杀有力但未超过承载；作用路径稳定且无关键破坏，可按“身杀两停”记录。</x:v>
      </x:c>
      <x:c r="AF73" s="90" t="str">
        <x:v>仅因“日主、七杀”同时出现，但核心十神无力、无作用路径或被关键因素破坏，不能判“身杀两停”成立。</x:v>
      </x:c>
      <x:c r="AG73" s="68" t="str">
        <x:v>https://zh.wikisource.org/zh-hans/%E6%B7%B5%E6%B5%B7%E5%AD%90%E5%B9%B3 ; https://zh.wikisource.org/wiki/%E6%BB%B4%E5%A4%A9%E9%AB%93%E9%97%A1%E5%BE%AE</x:v>
      </x:c>
      <x:c r="AH73" s="82" t="str">
        <x:v>采用</x:v>
      </x:c>
      <x:c r="AI73" s="82" t="str">
        <x:v>初审</x:v>
      </x:c>
      <x:c r="AJ73" s="87" t="n">
        <x:v>46255</x:v>
      </x:c>
    </x:row>
    <x:row r="74">
      <x:c r="A74" s="72" t="str">
        <x:f>IF(OR(C74="",D74=""),"",B74&amp;"-"&amp;UPPER(C74)&amp;"-"&amp;TEXT(D74,"0000")&amp;"-"&amp;E74)</x:f>
        <x:v>M11-BALANCE-0068-V1.0</x:v>
      </x:c>
      <x:c r="B74" s="74" t="str">
        <x:v>M11</x:v>
      </x:c>
      <x:c r="C74" s="74" t="str">
        <x:v>BALANCE</x:v>
      </x:c>
      <x:c r="D74" s="215" t="n">
        <x:v>68</x:v>
      </x:c>
      <x:c r="E74" s="74" t="str">
        <x:v>V1.0</x:v>
      </x:c>
      <x:c r="F74" s="68" t="str">
        <x:v>身旺是任财条件而非任财结论</x:v>
      </x:c>
      <x:c r="G74" s="82" t="str">
        <x:v>结构层</x:v>
      </x:c>
      <x:c r="H74" s="82" t="str">
        <x:v>平衡承载型</x:v>
      </x:c>
      <x:c r="I74" s="68" t="str">
        <x:v>身旺任财</x:v>
      </x:c>
      <x:c r="J74" s="68" t="str">
        <x:v>日主、财星</x:v>
      </x:c>
      <x:c r="K74" s="68" t="str">
        <x:v>日主旺或中和偏旺</x:v>
      </x:c>
      <x:c r="L74" s="68" t="str">
        <x:v>财星有效且有实际耗身路径</x:v>
      </x:c>
      <x:c r="M74" s="68" t="str">
        <x:v>直接或可达的生克制化路径成立</x:v>
      </x:c>
      <x:c r="N74" s="68" t="str">
        <x:v>相关十神均以M10有效力量为准，且不存在决定性失衡</x:v>
      </x:c>
      <x:c r="O74" s="68" t="str">
        <x:v>结合M09日主承载判断</x:v>
      </x:c>
      <x:c r="P74" s="68" t="str">
        <x:v>财星非极弱、非被比劫完全制去</x:v>
      </x:c>
      <x:c r="Q74" s="68" t="str">
        <x:v>相关十神有根、有源、透达、清纯且关键通路稳定</x:v>
      </x:c>
      <x:c r="R74" s="90" t="str">
        <x:v>关键十神被合绊、被制、改性、失效或力量严重失衡</x:v>
      </x:c>
      <x:c r="S74" s="68" t="str">
        <x:v>存在第三十神恢复通路、清除破坏或重新形成平衡</x:v>
      </x:c>
      <x:c r="T74" s="90" t="str">
        <x:v>任一核心十神失效，或不存在真实作用路径</x:v>
      </x:c>
      <x:c r="U74" s="68" t="str">
        <x:v>特殊格局、从化或月令格局另转M14/M15复审</x:v>
      </x:c>
      <x:c r="V74" s="84" t="str">
        <x:v>基本成立</x:v>
      </x:c>
      <x:c r="W74" s="84" t="str">
        <x:v>强身可承担财耗</x:v>
      </x:c>
      <x:c r="X74" s="82" t="str">
        <x:v>条件性</x:v>
      </x:c>
      <x:c r="Y74" s="68" t="str">
        <x:v>对应格局候选转M14</x:v>
      </x:c>
      <x:c r="Z74" s="84" t="str">
        <x:v>身旺任财_成立</x:v>
      </x:c>
      <x:c r="AA74" s="84" t="str">
        <x:v>身旺任财：当主体、客体、路径与力量匹配满足最低标准时，判“基本成立”；是否上升为格局转M14/M15。</x:v>
      </x:c>
      <x:c r="AB74" s="82" t="str">
        <x:v>较高</x:v>
      </x:c>
      <x:c r="AC74" s="82" t="str">
        <x:v>现代综合</x:v>
      </x:c>
      <x:c r="AD74" s="68" t="str">
        <x:v>十神同时出现不等于组合成立。M11须同时验证核心十神有效性、作用路径、力量匹配、日主承载、破坏因素与救应；组合成立也不等于格局成立。</x:v>
      </x:c>
      <x:c r="AE74" s="68" t="str">
        <x:v>日主旺或中和偏旺；财星有效且有实际耗身路径；作用路径稳定且无关键破坏，可按“身旺任财”记录。</x:v>
      </x:c>
      <x:c r="AF74" s="90" t="str">
        <x:v>仅因“日主、财星”同时出现，但核心十神无力、无作用路径或被关键因素破坏，不能判“身旺任财”成立。</x:v>
      </x:c>
      <x:c r="AG74" s="68" t="str">
        <x:v>https://zh.wikisource.org/zh-hans/%E6%B7%B5%E6%B5%B7%E5%AD%90%E5%B9%B3 ; https://zh.wikisource.org/wiki/%E6%BB%B4%E5%A4%A9%E9%AB%93%E9%97%A1%E5%BE%AE</x:v>
      </x:c>
      <x:c r="AH74" s="82" t="str">
        <x:v>采用</x:v>
      </x:c>
      <x:c r="AI74" s="82" t="str">
        <x:v>初审</x:v>
      </x:c>
      <x:c r="AJ74" s="87" t="n">
        <x:v>46255</x:v>
      </x:c>
    </x:row>
    <x:row r="75">
      <x:c r="A75" s="72" t="str">
        <x:f>IF(OR(C75="",D75=""),"",B75&amp;"-"&amp;UPPER(C75)&amp;"-"&amp;TEXT(D75,"0000")&amp;"-"&amp;E75)</x:f>
        <x:v>M11-BALANCE-0069-V1.0</x:v>
      </x:c>
      <x:c r="B75" s="74" t="str">
        <x:v>M11</x:v>
      </x:c>
      <x:c r="C75" s="74" t="str">
        <x:v>BALANCE</x:v>
      </x:c>
      <x:c r="D75" s="215" t="n">
        <x:v>69</x:v>
      </x:c>
      <x:c r="E75" s="74" t="str">
        <x:v>V1.0</x:v>
      </x:c>
      <x:c r="F75" s="68" t="str">
        <x:v>身旺可提高承官杀能力</x:v>
      </x:c>
      <x:c r="G75" s="82" t="str">
        <x:v>结构层</x:v>
      </x:c>
      <x:c r="H75" s="82" t="str">
        <x:v>平衡承载型</x:v>
      </x:c>
      <x:c r="I75" s="68" t="str">
        <x:v>身旺任官杀</x:v>
      </x:c>
      <x:c r="J75" s="68" t="str">
        <x:v>日主、官杀</x:v>
      </x:c>
      <x:c r="K75" s="68" t="str">
        <x:v>日主旺</x:v>
      </x:c>
      <x:c r="L75" s="68" t="str">
        <x:v>官杀有效且制身不过度</x:v>
      </x:c>
      <x:c r="M75" s="68" t="str">
        <x:v>直接或可达的生克制化路径成立</x:v>
      </x:c>
      <x:c r="N75" s="68" t="str">
        <x:v>相关十神均以M10有效力量为准，且不存在决定性失衡</x:v>
      </x:c>
      <x:c r="O75" s="68" t="str">
        <x:v>结合M09日主承载判断</x:v>
      </x:c>
      <x:c r="P75" s="68" t="str">
        <x:v>身旺与官杀压力大体匹配</x:v>
      </x:c>
      <x:c r="Q75" s="68" t="str">
        <x:v>相关十神有根、有源、透达、清纯且关键通路稳定</x:v>
      </x:c>
      <x:c r="R75" s="90" t="str">
        <x:v>关键十神被合绊、被制、改性、失效或力量严重失衡</x:v>
      </x:c>
      <x:c r="S75" s="68" t="str">
        <x:v>存在第三十神恢复通路、清除破坏或重新形成平衡</x:v>
      </x:c>
      <x:c r="T75" s="90" t="str">
        <x:v>任一核心十神失效，或不存在真实作用路径</x:v>
      </x:c>
      <x:c r="U75" s="68" t="str">
        <x:v>特殊格局、从化或月令格局另转M14/M15复审</x:v>
      </x:c>
      <x:c r="V75" s="84" t="str">
        <x:v>基本成立</x:v>
      </x:c>
      <x:c r="W75" s="84" t="str">
        <x:v>官杀可成为制衡力量</x:v>
      </x:c>
      <x:c r="X75" s="82" t="str">
        <x:v>条件性</x:v>
      </x:c>
      <x:c r="Y75" s="68" t="str">
        <x:v>对应格局候选转M14</x:v>
      </x:c>
      <x:c r="Z75" s="84" t="str">
        <x:v>身旺任官杀_成立</x:v>
      </x:c>
      <x:c r="AA75" s="84" t="str">
        <x:v>身旺任官杀：当主体、客体、路径与力量匹配满足最低标准时，判“基本成立”；是否上升为格局转M14/M15。</x:v>
      </x:c>
      <x:c r="AB75" s="82" t="str">
        <x:v>较高</x:v>
      </x:c>
      <x:c r="AC75" s="82" t="str">
        <x:v>现代综合</x:v>
      </x:c>
      <x:c r="AD75" s="68" t="str">
        <x:v>十神同时出现不等于组合成立。M11须同时验证核心十神有效性、作用路径、力量匹配、日主承载、破坏因素与救应；组合成立也不等于格局成立。</x:v>
      </x:c>
      <x:c r="AE75" s="68" t="str">
        <x:v>日主旺；官杀有效且制身不过度；作用路径稳定且无关键破坏，可按“身旺任官杀”记录。</x:v>
      </x:c>
      <x:c r="AF75" s="90" t="str">
        <x:v>仅因“日主、官杀”同时出现，但核心十神无力、无作用路径或被关键因素破坏，不能判“身旺任官杀”成立。</x:v>
      </x:c>
      <x:c r="AG75" s="68" t="str">
        <x:v>https://zh.wikisource.org/zh-hans/%E6%B7%B5%E6%B5%B7%E5%AD%90%E5%B9%B3 ; https://zh.wikisource.org/wiki/%E6%BB%B4%E5%A4%A9%E9%AB%93%E9%97%A1%E5%BE%AE</x:v>
      </x:c>
      <x:c r="AH75" s="82" t="str">
        <x:v>采用</x:v>
      </x:c>
      <x:c r="AI75" s="82" t="str">
        <x:v>初审</x:v>
      </x:c>
      <x:c r="AJ75" s="87" t="n">
        <x:v>46255</x:v>
      </x:c>
    </x:row>
    <x:row r="76">
      <x:c r="A76" s="72" t="str">
        <x:f>IF(OR(C76="",D76=""),"",B76&amp;"-"&amp;UPPER(C76)&amp;"-"&amp;TEXT(D76,"0000")&amp;"-"&amp;E76)</x:f>
        <x:v>M11-BALANCE-0070-V1.0</x:v>
      </x:c>
      <x:c r="B76" s="74" t="str">
        <x:v>M11</x:v>
      </x:c>
      <x:c r="C76" s="74" t="str">
        <x:v>BALANCE</x:v>
      </x:c>
      <x:c r="D76" s="215" t="n">
        <x:v>70</x:v>
      </x:c>
      <x:c r="E76" s="74" t="str">
        <x:v>V1.0</x:v>
      </x:c>
      <x:c r="F76" s="68" t="str">
        <x:v>身弱需印比真实有效才能改善承载</x:v>
      </x:c>
      <x:c r="G76" s="82" t="str">
        <x:v>结构层</x:v>
      </x:c>
      <x:c r="H76" s="82" t="str">
        <x:v>平衡承载型</x:v>
      </x:c>
      <x:c r="I76" s="68" t="str">
        <x:v>身弱得印比承载</x:v>
      </x:c>
      <x:c r="J76" s="68" t="str">
        <x:v>日主、印比</x:v>
      </x:c>
      <x:c r="K76" s="68" t="str">
        <x:v>日主弱或偏弱</x:v>
      </x:c>
      <x:c r="L76" s="68" t="str">
        <x:v>印比有效且能够生扶/帮助日主</x:v>
      </x:c>
      <x:c r="M76" s="68" t="str">
        <x:v>直接或可达的生克制化路径成立</x:v>
      </x:c>
      <x:c r="N76" s="68" t="str">
        <x:v>相关十神均以M10有效力量为准，且不存在决定性失衡</x:v>
      </x:c>
      <x:c r="O76" s="68" t="str">
        <x:v>结合M09日主承载判断</x:v>
      </x:c>
      <x:c r="P76" s="68" t="str">
        <x:v>扶身力量真实进入日主</x:v>
      </x:c>
      <x:c r="Q76" s="68" t="str">
        <x:v>相关十神有根、有源、透达、清纯且关键通路稳定</x:v>
      </x:c>
      <x:c r="R76" s="90" t="str">
        <x:v>关键十神被合绊、被制、改性、失效或力量严重失衡</x:v>
      </x:c>
      <x:c r="S76" s="68" t="str">
        <x:v>存在第三十神恢复通路、清除破坏或重新形成平衡</x:v>
      </x:c>
      <x:c r="T76" s="90" t="str">
        <x:v>任一核心十神失效，或不存在真实作用路径</x:v>
      </x:c>
      <x:c r="U76" s="68" t="str">
        <x:v>特殊格局、从化或月令格局另转M14/M15复审</x:v>
      </x:c>
      <x:c r="V76" s="84" t="str">
        <x:v>基本成立</x:v>
      </x:c>
      <x:c r="W76" s="84" t="str">
        <x:v>恢复日主对财官食伤的承载</x:v>
      </x:c>
      <x:c r="X76" s="82" t="str">
        <x:v>条件性</x:v>
      </x:c>
      <x:c r="Y76" s="68" t="str">
        <x:v>对应格局候选转M14</x:v>
      </x:c>
      <x:c r="Z76" s="84" t="str">
        <x:v>身弱印比承载</x:v>
      </x:c>
      <x:c r="AA76" s="84" t="str">
        <x:v>身弱得印比承载：当主体、客体、路径与力量匹配满足最低标准时，判“基本成立”；是否上升为格局转M14/M15。</x:v>
      </x:c>
      <x:c r="AB76" s="82" t="str">
        <x:v>较高</x:v>
      </x:c>
      <x:c r="AC76" s="82" t="str">
        <x:v>现代综合</x:v>
      </x:c>
      <x:c r="AD76" s="68" t="str">
        <x:v>十神同时出现不等于组合成立。M11须同时验证核心十神有效性、作用路径、力量匹配、日主承载、破坏因素与救应；组合成立也不等于格局成立。</x:v>
      </x:c>
      <x:c r="AE76" s="68" t="str">
        <x:v>日主弱或偏弱；印比有效且能够生扶/帮助日主；作用路径稳定且无关键破坏，可按“身弱得印比承载”记录。</x:v>
      </x:c>
      <x:c r="AF76" s="90" t="str">
        <x:v>仅因“日主、印比”同时出现，但核心十神无力、无作用路径或被关键因素破坏，不能判“身弱得印比承载”成立。</x:v>
      </x:c>
      <x:c r="AG76" s="68" t="str">
        <x:v>https://zh.wikisource.org/zh-hans/%E6%B7%B5%E6%B5%B7%E5%AD%90%E5%B9%B3 ; https://zh.wikisource.org/wiki/%E6%BB%B4%E5%A4%A9%E9%AB%93%E9%97%A1%E5%BE%AE</x:v>
      </x:c>
      <x:c r="AH76" s="82" t="str">
        <x:v>采用</x:v>
      </x:c>
      <x:c r="AI76" s="82" t="str">
        <x:v>初审</x:v>
      </x:c>
      <x:c r="AJ76" s="87" t="n">
        <x:v>46255</x:v>
      </x:c>
    </x:row>
    <x:row r="77">
      <x:c r="A77" s="72" t="str">
        <x:f>IF(OR(C77="",D77=""),"",B77&amp;"-"&amp;UPPER(C77)&amp;"-"&amp;TEXT(D77,"0000")&amp;"-"&amp;E77)</x:f>
        <x:v>M11-BALANCE-0071-V1.0</x:v>
      </x:c>
      <x:c r="B77" s="74" t="str">
        <x:v>M11</x:v>
      </x:c>
      <x:c r="C77" s="74" t="str">
        <x:v>BALANCE</x:v>
      </x:c>
      <x:c r="D77" s="215" t="n">
        <x:v>71</x:v>
      </x:c>
      <x:c r="E77" s="74" t="str">
        <x:v>V1.0</x:v>
      </x:c>
      <x:c r="F77" s="68" t="str">
        <x:v>财过旺会破坏身财两停</x:v>
      </x:c>
      <x:c r="G77" s="82" t="str">
        <x:v>结构层</x:v>
      </x:c>
      <x:c r="H77" s="82" t="str">
        <x:v>平衡承载型</x:v>
      </x:c>
      <x:c r="I77" s="68" t="str">
        <x:v>身财两停</x:v>
      </x:c>
      <x:c r="J77" s="68" t="str">
        <x:v>日主、财星</x:v>
      </x:c>
      <x:c r="K77" s="68" t="str">
        <x:v>日主承载一般</x:v>
      </x:c>
      <x:c r="L77" s="68" t="str">
        <x:v>财星旺或极旺</x:v>
      </x:c>
      <x:c r="M77" s="68" t="str">
        <x:v>直接或可达的生克制化路径成立</x:v>
      </x:c>
      <x:c r="N77" s="68" t="str">
        <x:v>财明显强于身</x:v>
      </x:c>
      <x:c r="O77" s="68" t="str">
        <x:v>结合M09日主承载判断</x:v>
      </x:c>
      <x:c r="P77" s="68" t="str">
        <x:v>主体、客体、作用路径与力量匹配均达到最低要求</x:v>
      </x:c>
      <x:c r="Q77" s="68" t="str">
        <x:v>相关十神有根、有源、透达、清纯且关键通路稳定</x:v>
      </x:c>
      <x:c r="R77" s="90" t="str">
        <x:v>关键十神被合绊、被制、改性、失效或力量严重失衡</x:v>
      </x:c>
      <x:c r="S77" s="68" t="str">
        <x:v>存在第三十神恢复通路、清除破坏或重新形成平衡</x:v>
      </x:c>
      <x:c r="T77" s="90" t="str">
        <x:v>任一核心十神失效，或不存在真实作用路径</x:v>
      </x:c>
      <x:c r="U77" s="68" t="str">
        <x:v>特殊格局、从化或月令格局另转M14/M15复审</x:v>
      </x:c>
      <x:c r="V77" s="84" t="str">
        <x:v>不成立</x:v>
      </x:c>
      <x:c r="W77" s="84" t="str">
        <x:v>转为财多身弱候选</x:v>
      </x:c>
      <x:c r="X77" s="82" t="str">
        <x:v>否</x:v>
      </x:c>
      <x:c r="Y77" s="68" t="str">
        <x:v>无</x:v>
      </x:c>
      <x:c r="Z77" s="84" t="str">
        <x:v>身财两停_财过旺否决</x:v>
      </x:c>
      <x:c r="AA77" s="84" t="str">
        <x:v>身财两停：当主体、客体、路径与力量匹配满足最低标准时，判“不成立”；是否上升为格局转M14/M15。</x:v>
      </x:c>
      <x:c r="AB77" s="82" t="str">
        <x:v>较高</x:v>
      </x:c>
      <x:c r="AC77" s="82" t="str">
        <x:v>现代综合</x:v>
      </x:c>
      <x:c r="AD77" s="68" t="str">
        <x:v>十神同时出现不等于组合成立。M11须同时验证核心十神有效性、作用路径、力量匹配、日主承载、破坏因素与救应；组合成立也不等于格局成立。</x:v>
      </x:c>
      <x:c r="AE77" s="68" t="str">
        <x:v>日主承载一般；财星旺或极旺；作用路径稳定且无关键破坏，可按“身财两停”记录。</x:v>
      </x:c>
      <x:c r="AF77" s="90" t="str">
        <x:v>仅因“日主、财星”同时出现，但核心十神无力、无作用路径或被关键因素破坏，不能判“身财两停”成立。</x:v>
      </x:c>
      <x:c r="AG77" s="68" t="str">
        <x:v>https://zh.wikisource.org/zh-hans/%E6%B7%B5%E6%B5%B7%E5%AD%90%E5%B9%B3 ; https://zh.wikisource.org/wiki/%E6%BB%B4%E5%A4%A9%E9%AB%93%E9%97%A1%E5%BE%AE</x:v>
      </x:c>
      <x:c r="AH77" s="82" t="str">
        <x:v>采用</x:v>
      </x:c>
      <x:c r="AI77" s="82" t="str">
        <x:v>初审</x:v>
      </x:c>
      <x:c r="AJ77" s="87" t="n">
        <x:v>46255</x:v>
      </x:c>
    </x:row>
    <x:row r="78">
      <x:c r="A78" s="72" t="str">
        <x:f>IF(OR(C78="",D78=""),"",B78&amp;"-"&amp;UPPER(C78)&amp;"-"&amp;TEXT(D78,"0000")&amp;"-"&amp;E78)</x:f>
        <x:v>M11-BALANCE-0072-V1.0</x:v>
      </x:c>
      <x:c r="B78" s="74" t="str">
        <x:v>M11</x:v>
      </x:c>
      <x:c r="C78" s="74" t="str">
        <x:v>BALANCE</x:v>
      </x:c>
      <x:c r="D78" s="215" t="n">
        <x:v>72</x:v>
      </x:c>
      <x:c r="E78" s="74" t="str">
        <x:v>V1.0</x:v>
      </x:c>
      <x:c r="F78" s="68" t="str">
        <x:v>官过旺且无印比救应时两停不成立</x:v>
      </x:c>
      <x:c r="G78" s="82" t="str">
        <x:v>结构层</x:v>
      </x:c>
      <x:c r="H78" s="82" t="str">
        <x:v>平衡承载型</x:v>
      </x:c>
      <x:c r="I78" s="68" t="str">
        <x:v>身官两停</x:v>
      </x:c>
      <x:c r="J78" s="68" t="str">
        <x:v>日主、正官</x:v>
      </x:c>
      <x:c r="K78" s="68" t="str">
        <x:v>日主偏弱</x:v>
      </x:c>
      <x:c r="L78" s="68" t="str">
        <x:v>正官旺并持续制身</x:v>
      </x:c>
      <x:c r="M78" s="68" t="str">
        <x:v>直接或可达的生克制化路径成立</x:v>
      </x:c>
      <x:c r="N78" s="68" t="str">
        <x:v>官明显强于身</x:v>
      </x:c>
      <x:c r="O78" s="68" t="str">
        <x:v>结合M09日主承载判断</x:v>
      </x:c>
      <x:c r="P78" s="68" t="str">
        <x:v>主体、客体、作用路径与力量匹配均达到最低要求</x:v>
      </x:c>
      <x:c r="Q78" s="68" t="str">
        <x:v>相关十神有根、有源、透达、清纯且关键通路稳定</x:v>
      </x:c>
      <x:c r="R78" s="90" t="str">
        <x:v>关键十神被合绊、被制、改性、失效或力量严重失衡</x:v>
      </x:c>
      <x:c r="S78" s="68" t="str">
        <x:v>存在第三十神恢复通路、清除破坏或重新形成平衡</x:v>
      </x:c>
      <x:c r="T78" s="90" t="str">
        <x:v>任一核心十神失效，或不存在真实作用路径</x:v>
      </x:c>
      <x:c r="U78" s="68" t="str">
        <x:v>特殊格局、从化或月令格局另转M14/M15复审</x:v>
      </x:c>
      <x:c r="V78" s="84" t="str">
        <x:v>不成立</x:v>
      </x:c>
      <x:c r="W78" s="84" t="str">
        <x:v>形成局部生化、制化或承载结构</x:v>
      </x:c>
      <x:c r="X78" s="82" t="str">
        <x:v>否</x:v>
      </x:c>
      <x:c r="Y78" s="68" t="str">
        <x:v>对应格局候选转M14</x:v>
      </x:c>
      <x:c r="Z78" s="84" t="str">
        <x:v>身官两停_官过旺否决</x:v>
      </x:c>
      <x:c r="AA78" s="84" t="str">
        <x:v>身官两停：当主体、客体、路径与力量匹配满足最低标准时，判“不成立”；是否上升为格局转M14/M15。</x:v>
      </x:c>
      <x:c r="AB78" s="82" t="str">
        <x:v>较高</x:v>
      </x:c>
      <x:c r="AC78" s="82" t="str">
        <x:v>现代综合</x:v>
      </x:c>
      <x:c r="AD78" s="68" t="str">
        <x:v>十神同时出现不等于组合成立。M11须同时验证核心十神有效性、作用路径、力量匹配、日主承载、破坏因素与救应；组合成立也不等于格局成立。</x:v>
      </x:c>
      <x:c r="AE78" s="68" t="str">
        <x:v>日主偏弱；正官旺并持续制身；作用路径稳定且无关键破坏，可按“身官两停”记录。</x:v>
      </x:c>
      <x:c r="AF78" s="90" t="str">
        <x:v>仅因“日主、正官”同时出现，但核心十神无力、无作用路径或被关键因素破坏，不能判“身官两停”成立。</x:v>
      </x:c>
      <x:c r="AG78" s="68" t="str">
        <x:v>https://zh.wikisource.org/zh-hans/%E6%B7%B5%E6%B5%B7%E5%AD%90%E5%B9%B3 ; https://zh.wikisource.org/wiki/%E6%BB%B4%E5%A4%A9%E9%AB%93%E9%97%A1%E5%BE%AE</x:v>
      </x:c>
      <x:c r="AH78" s="82" t="str">
        <x:v>采用</x:v>
      </x:c>
      <x:c r="AI78" s="82" t="str">
        <x:v>初审</x:v>
      </x:c>
      <x:c r="AJ78" s="87" t="n">
        <x:v>46255</x:v>
      </x:c>
    </x:row>
    <x:row r="79">
      <x:c r="A79" s="72" t="str">
        <x:f>IF(OR(C79="",D79=""),"",B79&amp;"-"&amp;UPPER(C79)&amp;"-"&amp;TEXT(D79,"0000")&amp;"-"&amp;E79)</x:f>
        <x:v>M11-BALANCE-0073-V1.0</x:v>
      </x:c>
      <x:c r="B79" s="74" t="str">
        <x:v>M11</x:v>
      </x:c>
      <x:c r="C79" s="74" t="str">
        <x:v>BALANCE</x:v>
      </x:c>
      <x:c r="D79" s="215" t="n">
        <x:v>73</x:v>
      </x:c>
      <x:c r="E79" s="74" t="str">
        <x:v>V1.0</x:v>
      </x:c>
      <x:c r="F79" s="68" t="str">
        <x:v>杀过旺无制化时两停不成立</x:v>
      </x:c>
      <x:c r="G79" s="82" t="str">
        <x:v>结构层</x:v>
      </x:c>
      <x:c r="H79" s="82" t="str">
        <x:v>平衡承载型</x:v>
      </x:c>
      <x:c r="I79" s="68" t="str">
        <x:v>身杀两停</x:v>
      </x:c>
      <x:c r="J79" s="68" t="str">
        <x:v>日主、七杀</x:v>
      </x:c>
      <x:c r="K79" s="68" t="str">
        <x:v>日主承载不足</x:v>
      </x:c>
      <x:c r="L79" s="68" t="str">
        <x:v>七杀旺且无食制印化</x:v>
      </x:c>
      <x:c r="M79" s="68" t="str">
        <x:v>直接或可达的生克制化路径成立</x:v>
      </x:c>
      <x:c r="N79" s="68" t="str">
        <x:v>相关十神均以M10有效力量为准，且不存在决定性失衡</x:v>
      </x:c>
      <x:c r="O79" s="68" t="str">
        <x:v>结合M09日主承载判断</x:v>
      </x:c>
      <x:c r="P79" s="68" t="str">
        <x:v>主体、客体、作用路径与力量匹配均达到最低要求</x:v>
      </x:c>
      <x:c r="Q79" s="68" t="str">
        <x:v>相关十神有根、有源、透达、清纯且关键通路稳定</x:v>
      </x:c>
      <x:c r="R79" s="90" t="str">
        <x:v>关键十神被合绊、被制、改性、失效或力量严重失衡</x:v>
      </x:c>
      <x:c r="S79" s="68" t="str">
        <x:v>存在第三十神恢复通路、清除破坏或重新形成平衡</x:v>
      </x:c>
      <x:c r="T79" s="90" t="str">
        <x:v>任一核心十神失效，或不存在真实作用路径</x:v>
      </x:c>
      <x:c r="U79" s="68" t="str">
        <x:v>特殊格局、从化或月令格局另转M14/M15复审</x:v>
      </x:c>
      <x:c r="V79" s="84" t="str">
        <x:v>不成立</x:v>
      </x:c>
      <x:c r="W79" s="84" t="str">
        <x:v>转杀旺攻身候选</x:v>
      </x:c>
      <x:c r="X79" s="82" t="str">
        <x:v>否</x:v>
      </x:c>
      <x:c r="Y79" s="68" t="str">
        <x:v>对应格局候选转M14</x:v>
      </x:c>
      <x:c r="Z79" s="84" t="str">
        <x:v>身杀两停_杀过旺否决</x:v>
      </x:c>
      <x:c r="AA79" s="84" t="str">
        <x:v>身杀两停：当主体、客体、路径与力量匹配满足最低标准时，判“不成立”；是否上升为格局转M14/M15。</x:v>
      </x:c>
      <x:c r="AB79" s="82" t="str">
        <x:v>较高</x:v>
      </x:c>
      <x:c r="AC79" s="82" t="str">
        <x:v>现代综合</x:v>
      </x:c>
      <x:c r="AD79" s="68" t="str">
        <x:v>十神同时出现不等于组合成立。M11须同时验证核心十神有效性、作用路径、力量匹配、日主承载、破坏因素与救应；组合成立也不等于格局成立。</x:v>
      </x:c>
      <x:c r="AE79" s="68" t="str">
        <x:v>日主承载不足；七杀旺且无食制印化；作用路径稳定且无关键破坏，可按“身杀两停”记录。</x:v>
      </x:c>
      <x:c r="AF79" s="90" t="str">
        <x:v>仅因“日主、七杀”同时出现，但核心十神无力、无作用路径或被关键因素破坏，不能判“身杀两停”成立。</x:v>
      </x:c>
      <x:c r="AG79" s="68" t="str">
        <x:v>https://zh.wikisource.org/zh-hans/%E6%B7%B5%E6%B5%B7%E5%AD%90%E5%B9%B3 ; https://zh.wikisource.org/wiki/%E6%BB%B4%E5%A4%A9%E9%AB%93%E9%97%A1%E5%BE%AE</x:v>
      </x:c>
      <x:c r="AH79" s="82" t="str">
        <x:v>采用</x:v>
      </x:c>
      <x:c r="AI79" s="82" t="str">
        <x:v>初审</x:v>
      </x:c>
      <x:c r="AJ79" s="87" t="n">
        <x:v>46255</x:v>
      </x:c>
    </x:row>
    <x:row r="80">
      <x:c r="A80" s="72" t="str">
        <x:f>IF(OR(C80="",D80=""),"",B80&amp;"-"&amp;UPPER(C80)&amp;"-"&amp;TEXT(D80,"0000")&amp;"-"&amp;E80)</x:f>
        <x:v>M11-BALANCE-0074-V1.0</x:v>
      </x:c>
      <x:c r="B80" s="74" t="str">
        <x:v>M11</x:v>
      </x:c>
      <x:c r="C80" s="74" t="str">
        <x:v>BALANCE</x:v>
      </x:c>
      <x:c r="D80" s="215" t="n">
        <x:v>74</x:v>
      </x:c>
      <x:c r="E80" s="74" t="str">
        <x:v>V1.0</x:v>
      </x:c>
      <x:c r="F80" s="68" t="str">
        <x:v>两停必须基于有效力量而非数量对半</x:v>
      </x:c>
      <x:c r="G80" s="82" t="str">
        <x:v>结构层</x:v>
      </x:c>
      <x:c r="H80" s="82" t="str">
        <x:v>平衡承载型</x:v>
      </x:c>
      <x:c r="I80" s="68" t="str">
        <x:v>平衡承载通用</x:v>
      </x:c>
      <x:c r="J80" s="68" t="str">
        <x:v>日主、财官食伤印比</x:v>
      </x:c>
      <x:c r="K80" s="68" t="str">
        <x:v>判断任何“身×两停”或“任×”结构</x:v>
      </x:c>
      <x:c r="L80" s="68" t="str">
        <x:v>所有力量以M08/M09/M10有效状态为准</x:v>
      </x:c>
      <x:c r="M80" s="68" t="str">
        <x:v>直接或可达的生克制化路径成立</x:v>
      </x:c>
      <x:c r="N80" s="68" t="str">
        <x:v>相关十神均以M10有效力量为准，且不存在决定性失衡</x:v>
      </x:c>
      <x:c r="O80" s="68" t="str">
        <x:v>结合M09日主承载判断</x:v>
      </x:c>
      <x:c r="P80" s="68" t="str">
        <x:v>比较的是承载和功能，不是字数或五行个数</x:v>
      </x:c>
      <x:c r="Q80" s="68" t="str">
        <x:v>相关十神有根、有源、透达、清纯且关键通路稳定</x:v>
      </x:c>
      <x:c r="R80" s="90" t="str">
        <x:v>关键十神被合绊、被制、改性、失效或力量严重失衡</x:v>
      </x:c>
      <x:c r="S80" s="68" t="str">
        <x:v>存在第三十神恢复通路、清除破坏或重新形成平衡</x:v>
      </x:c>
      <x:c r="T80" s="90" t="str">
        <x:v>任一核心十神失效，或不存在真实作用路径</x:v>
      </x:c>
      <x:c r="U80" s="68" t="str">
        <x:v>特殊格局、从化或月令格局另转M14/M15复审</x:v>
      </x:c>
      <x:c r="V80" s="84" t="str">
        <x:v>待定</x:v>
      </x:c>
      <x:c r="W80" s="84" t="str">
        <x:v>统一平衡判定口径</x:v>
      </x:c>
      <x:c r="X80" s="82" t="str">
        <x:v>否</x:v>
      </x:c>
      <x:c r="Y80" s="68" t="str">
        <x:v>对应格局候选转M14</x:v>
      </x:c>
      <x:c r="Z80" s="84" t="str">
        <x:v>平衡承载_非数量模型</x:v>
      </x:c>
      <x:c r="AA80" s="84" t="str">
        <x:v>平衡承载通用：当主体、客体、路径与力量匹配满足最低标准时，判“待定”；是否上升为格局转M14/M15。</x:v>
      </x:c>
      <x:c r="AB80" s="82" t="str">
        <x:v>较高</x:v>
      </x:c>
      <x:c r="AC80" s="82" t="str">
        <x:v>现代综合</x:v>
      </x:c>
      <x:c r="AD80" s="68" t="str">
        <x:v>十神同时出现不等于组合成立。M11须同时验证核心十神有效性、作用路径、力量匹配、日主承载、破坏因素与救应；组合成立也不等于格局成立。</x:v>
      </x:c>
      <x:c r="AE80" s="68" t="str">
        <x:v>判断任何“身×两停”或“任×”结构；所有力量以M08/M09/M10有效状态为准；作用路径稳定且无关键破坏，可按“平衡承载通用”记录。</x:v>
      </x:c>
      <x:c r="AF80" s="90" t="str">
        <x:v>仅因“日主、财官食伤印比”同时出现，但核心十神无力、无作用路径或被关键因素破坏，不能判“平衡承载通用”成立。</x:v>
      </x:c>
      <x:c r="AG80" s="68" t="str">
        <x:v>https://zh.wikisource.org/zh-hans/%E6%B7%B5%E6%B5%B7%E5%AD%90%E5%B9%B3 ; https://zh.wikisource.org/wiki/%E6%BB%B4%E5%A4%A9%E9%AB%93%E9%97%A1%E5%BE%AE</x:v>
      </x:c>
      <x:c r="AH80" s="82" t="str">
        <x:v>采用</x:v>
      </x:c>
      <x:c r="AI80" s="82" t="str">
        <x:v>初审</x:v>
      </x:c>
      <x:c r="AJ80" s="87" t="n">
        <x:v>46255</x:v>
      </x:c>
    </x:row>
    <x:row r="81">
      <x:c r="A81" s="72" t="str">
        <x:f>IF(OR(C81="",D81=""),"",B81&amp;"-"&amp;UPPER(C81)&amp;"-"&amp;TEXT(D81,"0000")&amp;"-"&amp;E81)</x:f>
        <x:v>M11-PATH-0075-V1.0</x:v>
      </x:c>
      <x:c r="B81" s="74" t="str">
        <x:v>M11</x:v>
      </x:c>
      <x:c r="C81" s="74" t="str">
        <x:v>PATH</x:v>
      </x:c>
      <x:c r="D81" s="215" t="n">
        <x:v>75</x:v>
      </x:c>
      <x:c r="E81" s="74" t="str">
        <x:v>V1.0</x:v>
      </x:c>
      <x:c r="F81" s="68" t="str">
        <x:v>身弱财旺时比劫可通过制财减轻耗身</x:v>
      </x:c>
      <x:c r="G81" s="82" t="str">
        <x:v>结构层</x:v>
      </x:c>
      <x:c r="H81" s="82" t="str">
        <x:v>制化型</x:v>
      </x:c>
      <x:c r="I81" s="68" t="str">
        <x:v>比劫制财护身</x:v>
      </x:c>
      <x:c r="J81" s="68" t="str">
        <x:v>比劫、财星</x:v>
      </x:c>
      <x:c r="K81" s="68" t="str">
        <x:v>日主弱、财星形成明显耗身</x:v>
      </x:c>
      <x:c r="L81" s="68" t="str">
        <x:v>比劫有效且能够克制财星</x:v>
      </x:c>
      <x:c r="M81" s="68" t="str">
        <x:v>直接或可达的生克制化路径成立</x:v>
      </x:c>
      <x:c r="N81" s="68" t="str">
        <x:v>相关十神均以M10有效力量为准，且不存在决定性失衡</x:v>
      </x:c>
      <x:c r="O81" s="68" t="str">
        <x:v>结合M09日主承载判断</x:v>
      </x:c>
      <x:c r="P81" s="68" t="str">
        <x:v>比劫扶身与制财两个作用均真实成立</x:v>
      </x:c>
      <x:c r="Q81" s="68" t="str">
        <x:v>相关十神有根、有源、透达、清纯且关键通路稳定</x:v>
      </x:c>
      <x:c r="R81" s="90" t="str">
        <x:v>关键十神被合绊、被制、改性、失效或力量严重失衡</x:v>
      </x:c>
      <x:c r="S81" s="68" t="str">
        <x:v>存在第三十神恢复通路、清除破坏或重新形成平衡</x:v>
      </x:c>
      <x:c r="T81" s="90" t="str">
        <x:v>任一核心十神失效，或不存在真实作用路径</x:v>
      </x:c>
      <x:c r="U81" s="68" t="str">
        <x:v>特殊格局、从化或月令格局另转M14/M15复审</x:v>
      </x:c>
      <x:c r="V81" s="84" t="str">
        <x:v>基本成立</x:v>
      </x:c>
      <x:c r="W81" s="84" t="str">
        <x:v>扶身并降低财耗</x:v>
      </x:c>
      <x:c r="X81" s="82" t="str">
        <x:v>条件性</x:v>
      </x:c>
      <x:c r="Y81" s="68" t="str">
        <x:v>比劫制财护身候选</x:v>
      </x:c>
      <x:c r="Z81" s="84" t="str">
        <x:v>比劫制财护身_成立条件</x:v>
      </x:c>
      <x:c r="AA81" s="84" t="str">
        <x:v>比劫制财护身：当主体、客体、路径与力量匹配满足最低标准时，判“基本成立”；是否上升为格局转M14/M15。</x:v>
      </x:c>
      <x:c r="AB81" s="82" t="str">
        <x:v>较高</x:v>
      </x:c>
      <x:c r="AC81" s="82" t="str">
        <x:v>现代综合</x:v>
      </x:c>
      <x:c r="AD81" s="68" t="str">
        <x:v>十神同时出现不等于组合成立。M11须同时验证核心十神有效性、作用路径、力量匹配、日主承载、破坏因素与救应；组合成立也不等于格局成立。</x:v>
      </x:c>
      <x:c r="AE81" s="68" t="str">
        <x:v>日主弱、财星形成明显耗身；比劫有效且能够克制财星；作用路径稳定且无关键破坏，可按“比劫制财护身”记录。</x:v>
      </x:c>
      <x:c r="AF81" s="90" t="str">
        <x:v>仅因“比劫、财星”同时出现，但核心十神无力、无作用路径或被关键因素破坏，不能判“比劫制财护身”成立。</x:v>
      </x:c>
      <x:c r="AG81" s="68" t="str">
        <x:v>https://zh.wikisource.org/zh-hans/%E6%B7%B5%E6%B5%B7%E5%AD%90%E5%B9%B3 ; https://zh.wikisource.org/wiki/%E6%BB%B4%E5%A4%A9%E9%AB%93%E9%97%A1%E5%BE%AE</x:v>
      </x:c>
      <x:c r="AH81" s="82" t="str">
        <x:v>采用</x:v>
      </x:c>
      <x:c r="AI81" s="82" t="str">
        <x:v>初审</x:v>
      </x:c>
      <x:c r="AJ81" s="87" t="n">
        <x:v>46255</x:v>
      </x:c>
    </x:row>
    <x:row r="82">
      <x:c r="A82" s="72" t="str">
        <x:f>IF(OR(C82="",D82=""),"",B82&amp;"-"&amp;UPPER(C82)&amp;"-"&amp;TEXT(D82,"0000")&amp;"-"&amp;E82)</x:f>
        <x:v>M11-PATH-0076-V1.0</x:v>
      </x:c>
      <x:c r="B82" s="74" t="str">
        <x:v>M11</x:v>
      </x:c>
      <x:c r="C82" s="74" t="str">
        <x:v>PATH</x:v>
      </x:c>
      <x:c r="D82" s="215" t="n">
        <x:v>76</x:v>
      </x:c>
      <x:c r="E82" s="74" t="str">
        <x:v>V1.0</x:v>
      </x:c>
      <x:c r="F82" s="68" t="str">
        <x:v>比劫过强会由护身转为夺财过度</x:v>
      </x:c>
      <x:c r="G82" s="82" t="str">
        <x:v>结构层</x:v>
      </x:c>
      <x:c r="H82" s="82" t="str">
        <x:v>制化型</x:v>
      </x:c>
      <x:c r="I82" s="68" t="str">
        <x:v>比劫制财护身</x:v>
      </x:c>
      <x:c r="J82" s="68" t="str">
        <x:v>比劫、财星</x:v>
      </x:c>
      <x:c r="K82" s="68" t="str">
        <x:v>比劫旺或极旺</x:v>
      </x:c>
      <x:c r="L82" s="68" t="str">
        <x:v>财星被制至失效</x:v>
      </x:c>
      <x:c r="M82" s="68" t="str">
        <x:v>直接或可达的生克制化路径成立</x:v>
      </x:c>
      <x:c r="N82" s="68" t="str">
        <x:v>比劫明显强于财</x:v>
      </x:c>
      <x:c r="O82" s="68" t="str">
        <x:v>结合M09日主承载判断</x:v>
      </x:c>
      <x:c r="P82" s="68" t="str">
        <x:v>主体、客体、作用路径与力量匹配均达到最低要求</x:v>
      </x:c>
      <x:c r="Q82" s="68" t="str">
        <x:v>相关十神有根、有源、透达、清纯且关键通路稳定</x:v>
      </x:c>
      <x:c r="R82" s="90" t="str">
        <x:v>关键十神被合绊、被制、改性、失效或力量严重失衡</x:v>
      </x:c>
      <x:c r="S82" s="68" t="str">
        <x:v>存在第三十神恢复通路、清除破坏或重新形成平衡</x:v>
      </x:c>
      <x:c r="T82" s="90" t="str">
        <x:v>任一核心十神失效，或不存在真实作用路径</x:v>
      </x:c>
      <x:c r="U82" s="68" t="str">
        <x:v>特殊格局、从化或月令格局另转M14/M15复审</x:v>
      </x:c>
      <x:c r="V82" s="84" t="str">
        <x:v>弱成立</x:v>
      </x:c>
      <x:c r="W82" s="84" t="str">
        <x:v>制财过度</x:v>
      </x:c>
      <x:c r="X82" s="82" t="str">
        <x:v>否</x:v>
      </x:c>
      <x:c r="Y82" s="68" t="str">
        <x:v>对应格局候选转M14</x:v>
      </x:c>
      <x:c r="Z82" s="84" t="str">
        <x:v>比劫制财_过度</x:v>
      </x:c>
      <x:c r="AA82" s="84" t="str">
        <x:v>比劫制财护身：当主体、客体、路径与力量匹配满足最低标准时，判“弱成立”；是否上升为格局转M14/M15。</x:v>
      </x:c>
      <x:c r="AB82" s="82" t="str">
        <x:v>较高</x:v>
      </x:c>
      <x:c r="AC82" s="82" t="str">
        <x:v>现代综合</x:v>
      </x:c>
      <x:c r="AD82" s="68" t="str">
        <x:v>十神同时出现不等于组合成立。M11须同时验证核心十神有效性、作用路径、力量匹配、日主承载、破坏因素与救应；组合成立也不等于格局成立。</x:v>
      </x:c>
      <x:c r="AE82" s="68" t="str">
        <x:v>比劫旺或极旺；财星被制至失效；作用路径稳定且无关键破坏，可按“比劫制财护身”记录。</x:v>
      </x:c>
      <x:c r="AF82" s="90" t="str">
        <x:v>仅因“比劫、财星”同时出现，但核心十神无力、无作用路径或被关键因素破坏，不能判“比劫制财护身”成立。</x:v>
      </x:c>
      <x:c r="AG82" s="68" t="str">
        <x:v>https://zh.wikisource.org/zh-hans/%E6%B7%B5%E6%B5%B7%E5%AD%90%E5%B9%B3 ; https://zh.wikisource.org/wiki/%E6%BB%B4%E5%A4%A9%E9%AB%93%E9%97%A1%E5%BE%AE</x:v>
      </x:c>
      <x:c r="AH82" s="82" t="str">
        <x:v>采用</x:v>
      </x:c>
      <x:c r="AI82" s="82" t="str">
        <x:v>初审</x:v>
      </x:c>
      <x:c r="AJ82" s="87" t="n">
        <x:v>46255</x:v>
      </x:c>
    </x:row>
    <x:row r="83">
      <x:c r="A83" s="72" t="str">
        <x:f>IF(OR(C83="",D83=""),"",B83&amp;"-"&amp;UPPER(C83)&amp;"-"&amp;TEXT(D83,"0000")&amp;"-"&amp;E83)</x:f>
        <x:v>M11-PATH-0077-V1.0</x:v>
      </x:c>
      <x:c r="B83" s="74" t="str">
        <x:v>M11</x:v>
      </x:c>
      <x:c r="C83" s="74" t="str">
        <x:v>PATH</x:v>
      </x:c>
      <x:c r="D83" s="215" t="n">
        <x:v>77</x:v>
      </x:c>
      <x:c r="E83" s="74" t="str">
        <x:v>V1.0</x:v>
      </x:c>
      <x:c r="F83" s="68" t="str">
        <x:v>强比劫或羊刃类承载需有七杀制衡</x:v>
      </x:c>
      <x:c r="G83" s="82" t="str">
        <x:v>结构层</x:v>
      </x:c>
      <x:c r="H83" s="82" t="str">
        <x:v>制化型</x:v>
      </x:c>
      <x:c r="I83" s="68" t="str">
        <x:v>羊刃驾杀</x:v>
      </x:c>
      <x:c r="J83" s="68" t="str">
        <x:v>比劫、七杀</x:v>
      </x:c>
      <x:c r="K83" s="68" t="str">
        <x:v>日主及比劫极强形成强身势</x:v>
      </x:c>
      <x:c r="L83" s="68" t="str">
        <x:v>七杀有效且可制约强身集团</x:v>
      </x:c>
      <x:c r="M83" s="68" t="str">
        <x:v>直接或可达的生克制化路径成立</x:v>
      </x:c>
      <x:c r="N83" s="68" t="str">
        <x:v>相关十神均以M10有效力量为准，且不存在决定性失衡</x:v>
      </x:c>
      <x:c r="O83" s="68" t="str">
        <x:v>结合M09日主承载判断</x:v>
      </x:c>
      <x:c r="P83" s="68" t="str">
        <x:v>身强、杀有权、制衡不过度</x:v>
      </x:c>
      <x:c r="Q83" s="68" t="str">
        <x:v>相关十神有根、有源、透达、清纯且关键通路稳定</x:v>
      </x:c>
      <x:c r="R83" s="90" t="str">
        <x:v>关键十神被合绊、被制、改性、失效或力量严重失衡</x:v>
      </x:c>
      <x:c r="S83" s="68" t="str">
        <x:v>存在第三十神恢复通路、清除破坏或重新形成平衡</x:v>
      </x:c>
      <x:c r="T83" s="90" t="str">
        <x:v>任一核心十神失效，或不存在真实作用路径</x:v>
      </x:c>
      <x:c r="U83" s="68" t="str">
        <x:v>特殊格局、从化或月令格局另转M14/M15复审</x:v>
      </x:c>
      <x:c r="V83" s="84" t="str">
        <x:v>基本成立</x:v>
      </x:c>
      <x:c r="W83" s="84" t="str">
        <x:v>以杀制强身</x:v>
      </x:c>
      <x:c r="X83" s="82" t="str">
        <x:v>条件性</x:v>
      </x:c>
      <x:c r="Y83" s="68" t="str">
        <x:v>羊刃驾杀候选</x:v>
      </x:c>
      <x:c r="Z83" s="84" t="str">
        <x:v>羊刃驾杀_成立条件</x:v>
      </x:c>
      <x:c r="AA83" s="84" t="str">
        <x:v>羊刃驾杀：当主体、客体、路径与力量匹配满足最低标准时，判“基本成立”；是否上升为格局转M14/M15。</x:v>
      </x:c>
      <x:c r="AB83" s="82" t="str">
        <x:v>较高</x:v>
      </x:c>
      <x:c r="AC83" s="82" t="str">
        <x:v>现代综合</x:v>
      </x:c>
      <x:c r="AD83" s="68" t="str">
        <x:v>十神同时出现不等于组合成立。M11须同时验证核心十神有效性、作用路径、力量匹配、日主承载、破坏因素与救应；组合成立也不等于格局成立。</x:v>
      </x:c>
      <x:c r="AE83" s="68" t="str">
        <x:v>日主及比劫极强形成强身势；七杀有效且可制约强身集团；作用路径稳定且无关键破坏，可按“羊刃驾杀”记录。</x:v>
      </x:c>
      <x:c r="AF83" s="90" t="str">
        <x:v>仅因“比劫、七杀”同时出现，但核心十神无力、无作用路径或被关键因素破坏，不能判“羊刃驾杀”成立。</x:v>
      </x:c>
      <x:c r="AG83" s="68" t="str">
        <x:v>https://zh.wikisource.org/zh-hans/%E6%B7%B5%E6%B5%B7%E5%AD%90%E5%B9%B3 ; https://zh.wikisource.org/wiki/%E6%BB%B4%E5%A4%A9%E9%AB%93%E9%97%A1%E5%BE%AE</x:v>
      </x:c>
      <x:c r="AH83" s="82" t="str">
        <x:v>采用</x:v>
      </x:c>
      <x:c r="AI83" s="82" t="str">
        <x:v>初审</x:v>
      </x:c>
      <x:c r="AJ83" s="87" t="n">
        <x:v>46255</x:v>
      </x:c>
    </x:row>
    <x:row r="84">
      <x:c r="A84" s="72" t="str">
        <x:f>IF(OR(C84="",D84=""),"",B84&amp;"-"&amp;UPPER(C84)&amp;"-"&amp;TEXT(D84,"0000")&amp;"-"&amp;E84)</x:f>
        <x:v>M11-PATH-0078-V1.0</x:v>
      </x:c>
      <x:c r="B84" s="74" t="str">
        <x:v>M11</x:v>
      </x:c>
      <x:c r="C84" s="74" t="str">
        <x:v>PATH</x:v>
      </x:c>
      <x:c r="D84" s="215" t="n">
        <x:v>78</x:v>
      </x:c>
      <x:c r="E84" s="74" t="str">
        <x:v>V1.0</x:v>
      </x:c>
      <x:c r="F84" s="68" t="str">
        <x:v>杀弱无根不足以驾强刃</x:v>
      </x:c>
      <x:c r="G84" s="82" t="str">
        <x:v>结构层</x:v>
      </x:c>
      <x:c r="H84" s="82" t="str">
        <x:v>制化型</x:v>
      </x:c>
      <x:c r="I84" s="68" t="str">
        <x:v>羊刃驾杀</x:v>
      </x:c>
      <x:c r="J84" s="68" t="str">
        <x:v>比劫、七杀</x:v>
      </x:c>
      <x:c r="K84" s="68" t="str">
        <x:v>强身比劫成势</x:v>
      </x:c>
      <x:c r="L84" s="68" t="str">
        <x:v>七杀弱或失效</x:v>
      </x:c>
      <x:c r="M84" s="68" t="str">
        <x:v>直接或可达的生克制化路径成立</x:v>
      </x:c>
      <x:c r="N84" s="68" t="str">
        <x:v>相关十神均以M10有效力量为准，且不存在决定性失衡</x:v>
      </x:c>
      <x:c r="O84" s="68" t="str">
        <x:v>结合M09日主承载判断</x:v>
      </x:c>
      <x:c r="P84" s="68" t="str">
        <x:v>主体、客体、作用路径与力量匹配均达到最低要求</x:v>
      </x:c>
      <x:c r="Q84" s="68" t="str">
        <x:v>相关十神有根、有源、透达、清纯且关键通路稳定</x:v>
      </x:c>
      <x:c r="R84" s="90" t="str">
        <x:v>关键十神被合绊、被制、改性、失效或力量严重失衡</x:v>
      </x:c>
      <x:c r="S84" s="68" t="str">
        <x:v>存在第三十神恢复通路、清除破坏或重新形成平衡</x:v>
      </x:c>
      <x:c r="T84" s="90" t="str">
        <x:v>任一核心十神失效，或不存在真实作用路径</x:v>
      </x:c>
      <x:c r="U84" s="68" t="str">
        <x:v>特殊格局、从化或月令格局另转M14/M15复审</x:v>
      </x:c>
      <x:c r="V84" s="84" t="str">
        <x:v>不成立</x:v>
      </x:c>
      <x:c r="W84" s="84" t="str">
        <x:v>杀不足以制强身</x:v>
      </x:c>
      <x:c r="X84" s="82" t="str">
        <x:v>否</x:v>
      </x:c>
      <x:c r="Y84" s="68" t="str">
        <x:v>对应格局候选转M14</x:v>
      </x:c>
      <x:c r="Z84" s="84" t="str">
        <x:v>羊刃驾杀_杀弱</x:v>
      </x:c>
      <x:c r="AA84" s="84" t="str">
        <x:v>羊刃驾杀：当主体、客体、路径与力量匹配满足最低标准时，判“不成立”；是否上升为格局转M14/M15。</x:v>
      </x:c>
      <x:c r="AB84" s="82" t="str">
        <x:v>较高</x:v>
      </x:c>
      <x:c r="AC84" s="82" t="str">
        <x:v>现代综合</x:v>
      </x:c>
      <x:c r="AD84" s="68" t="str">
        <x:v>十神同时出现不等于组合成立。M11须同时验证核心十神有效性、作用路径、力量匹配、日主承载、破坏因素与救应；组合成立也不等于格局成立。</x:v>
      </x:c>
      <x:c r="AE84" s="68" t="str">
        <x:v>强身比劫成势；七杀弱或失效；作用路径稳定且无关键破坏，可按“羊刃驾杀”记录。</x:v>
      </x:c>
      <x:c r="AF84" s="90" t="str">
        <x:v>仅因“比劫、七杀”同时出现，但核心十神无力、无作用路径或被关键因素破坏，不能判“羊刃驾杀”成立。</x:v>
      </x:c>
      <x:c r="AG84" s="68" t="str">
        <x:v>https://zh.wikisource.org/zh-hans/%E6%B7%B5%E6%B5%B7%E5%AD%90%E5%B9%B3 ; https://zh.wikisource.org/wiki/%E6%BB%B4%E5%A4%A9%E9%AB%93%E9%97%A1%E5%BE%AE</x:v>
      </x:c>
      <x:c r="AH84" s="82" t="str">
        <x:v>采用</x:v>
      </x:c>
      <x:c r="AI84" s="82" t="str">
        <x:v>初审</x:v>
      </x:c>
      <x:c r="AJ84" s="87" t="n">
        <x:v>46255</x:v>
      </x:c>
    </x:row>
    <x:row r="85">
      <x:c r="A85" s="72" t="str">
        <x:f>IF(OR(C85="",D85=""),"",B85&amp;"-"&amp;UPPER(C85)&amp;"-"&amp;TEXT(D85,"0000")&amp;"-"&amp;E85)</x:f>
        <x:v>M11-PATH-0079-V1.0</x:v>
      </x:c>
      <x:c r="B85" s="74" t="str">
        <x:v>M11</x:v>
      </x:c>
      <x:c r="C85" s="74" t="str">
        <x:v>PATH</x:v>
      </x:c>
      <x:c r="D85" s="215" t="n">
        <x:v>79</x:v>
      </x:c>
      <x:c r="E85" s="74" t="str">
        <x:v>V1.0</x:v>
      </x:c>
      <x:c r="F85" s="68" t="str">
        <x:v>印星承接官杀可形成通关化压力</x:v>
      </x:c>
      <x:c r="G85" s="82" t="str">
        <x:v>结构层</x:v>
      </x:c>
      <x:c r="H85" s="82" t="str">
        <x:v>制化型</x:v>
      </x:c>
      <x:c r="I85" s="68" t="str">
        <x:v>印化官杀</x:v>
      </x:c>
      <x:c r="J85" s="68" t="str">
        <x:v>印星、官杀</x:v>
      </x:c>
      <x:c r="K85" s="68" t="str">
        <x:v>官杀有效</x:v>
      </x:c>
      <x:c r="L85" s="68" t="str">
        <x:v>印星有效并能承接官杀、继续生身</x:v>
      </x:c>
      <x:c r="M85" s="68" t="str">
        <x:v>直接或可达的生克制化路径成立</x:v>
      </x:c>
      <x:c r="N85" s="68" t="str">
        <x:v>相关十神均以M10有效力量为准，且不存在决定性失衡</x:v>
      </x:c>
      <x:c r="O85" s="68" t="str">
        <x:v>结合M09日主承载判断</x:v>
      </x:c>
      <x:c r="P85" s="68" t="str">
        <x:v>官杀→印→身链路成立</x:v>
      </x:c>
      <x:c r="Q85" s="68" t="str">
        <x:v>相关十神有根、有源、透达、清纯且关键通路稳定</x:v>
      </x:c>
      <x:c r="R85" s="90" t="str">
        <x:v>关键十神被合绊、被制、改性、失效或力量严重失衡</x:v>
      </x:c>
      <x:c r="S85" s="68" t="str">
        <x:v>存在第三十神恢复通路、清除破坏或重新形成平衡</x:v>
      </x:c>
      <x:c r="T85" s="90" t="str">
        <x:v>任一核心十神失效，或不存在真实作用路径</x:v>
      </x:c>
      <x:c r="U85" s="68" t="str">
        <x:v>特殊格局、从化或月令格局另转M14/M15复审</x:v>
      </x:c>
      <x:c r="V85" s="84" t="str">
        <x:v>基本成立</x:v>
      </x:c>
      <x:c r="W85" s="84" t="str">
        <x:v>化解官杀直接制身</x:v>
      </x:c>
      <x:c r="X85" s="82" t="str">
        <x:v>条件性</x:v>
      </x:c>
      <x:c r="Y85" s="68" t="str">
        <x:v>官印/杀印候选</x:v>
      </x:c>
      <x:c r="Z85" s="84" t="str">
        <x:v>印化官杀_成立条件</x:v>
      </x:c>
      <x:c r="AA85" s="84" t="str">
        <x:v>印化官杀：当主体、客体、路径与力量匹配满足最低标准时，判“基本成立”；是否上升为格局转M14/M15。</x:v>
      </x:c>
      <x:c r="AB85" s="82" t="str">
        <x:v>较高</x:v>
      </x:c>
      <x:c r="AC85" s="82" t="str">
        <x:v>现代综合</x:v>
      </x:c>
      <x:c r="AD85" s="68" t="str">
        <x:v>十神同时出现不等于组合成立。M11须同时验证核心十神有效性、作用路径、力量匹配、日主承载、破坏因素与救应；组合成立也不等于格局成立。</x:v>
      </x:c>
      <x:c r="AE85" s="68" t="str">
        <x:v>官杀有效；印星有效并能承接官杀、继续生身；作用路径稳定且无关键破坏，可按“印化官杀”记录。</x:v>
      </x:c>
      <x:c r="AF85" s="90" t="str">
        <x:v>仅因“印星、官杀”同时出现，但核心十神无力、无作用路径或被关键因素破坏，不能判“印化官杀”成立。</x:v>
      </x:c>
      <x:c r="AG85" s="68" t="str">
        <x:v>https://zh.wikisource.org/zh-hans/%E6%B7%B5%E6%B5%B7%E5%AD%90%E5%B9%B3 ; https://zh.wikisource.org/wiki/%E6%BB%B4%E5%A4%A9%E9%AB%93%E9%97%A1%E5%BE%AE</x:v>
      </x:c>
      <x:c r="AH85" s="82" t="str">
        <x:v>采用</x:v>
      </x:c>
      <x:c r="AI85" s="82" t="str">
        <x:v>初审</x:v>
      </x:c>
      <x:c r="AJ85" s="87" t="n">
        <x:v>46255</x:v>
      </x:c>
    </x:row>
    <x:row r="86">
      <x:c r="A86" s="72" t="str">
        <x:f>IF(OR(C86="",D86=""),"",B86&amp;"-"&amp;UPPER(C86)&amp;"-"&amp;TEXT(D86,"0000")&amp;"-"&amp;E86)</x:f>
        <x:v>M11-PATH-0080-V1.0</x:v>
      </x:c>
      <x:c r="B86" s="74" t="str">
        <x:v>M11</x:v>
      </x:c>
      <x:c r="C86" s="74" t="str">
        <x:v>PATH</x:v>
      </x:c>
      <x:c r="D86" s="215" t="n">
        <x:v>80</x:v>
      </x:c>
      <x:c r="E86" s="74" t="str">
        <x:v>V1.0</x:v>
      </x:c>
      <x:c r="F86" s="68" t="str">
        <x:v>财坏印会破坏化官杀</x:v>
      </x:c>
      <x:c r="G86" s="82" t="str">
        <x:v>结构层</x:v>
      </x:c>
      <x:c r="H86" s="82" t="str">
        <x:v>制化型</x:v>
      </x:c>
      <x:c r="I86" s="68" t="str">
        <x:v>印化官杀</x:v>
      </x:c>
      <x:c r="J86" s="68" t="str">
        <x:v>印星、官杀</x:v>
      </x:c>
      <x:c r="K86" s="68" t="str">
        <x:v>印为唯一关键通关</x:v>
      </x:c>
      <x:c r="L86" s="68" t="str">
        <x:v>财星有效制印</x:v>
      </x:c>
      <x:c r="M86" s="68" t="str">
        <x:v>直接或可达的生克制化路径成立</x:v>
      </x:c>
      <x:c r="N86" s="68" t="str">
        <x:v>相关十神均以M10有效力量为准，且不存在决定性失衡</x:v>
      </x:c>
      <x:c r="O86" s="68" t="str">
        <x:v>结合M09日主承载判断</x:v>
      </x:c>
      <x:c r="P86" s="68" t="str">
        <x:v>主体、客体、作用路径与力量匹配均达到最低要求</x:v>
      </x:c>
      <x:c r="Q86" s="68" t="str">
        <x:v>相关十神有根、有源、透达、清纯且关键通路稳定</x:v>
      </x:c>
      <x:c r="R86" s="90" t="str">
        <x:v>印星被财制至无法承接官杀</x:v>
      </x:c>
      <x:c r="S86" s="68" t="str">
        <x:v>存在第三十神恢复通路、清除破坏或重新形成平衡</x:v>
      </x:c>
      <x:c r="T86" s="90" t="str">
        <x:v>任一核心十神失效，或不存在真实作用路径</x:v>
      </x:c>
      <x:c r="U86" s="68" t="str">
        <x:v>特殊格局、从化或月令格局另转M14/M15复审</x:v>
      </x:c>
      <x:c r="V86" s="84" t="str">
        <x:v>不成立</x:v>
      </x:c>
      <x:c r="W86" s="84" t="str">
        <x:v>形成局部生化、制化或承载结构</x:v>
      </x:c>
      <x:c r="X86" s="82" t="str">
        <x:v>否</x:v>
      </x:c>
      <x:c r="Y86" s="68" t="str">
        <x:v>对应格局候选转M14</x:v>
      </x:c>
      <x:c r="Z86" s="84" t="str">
        <x:v>印化官杀_财破</x:v>
      </x:c>
      <x:c r="AA86" s="84" t="str">
        <x:v>印化官杀：当主体、客体、路径与力量匹配满足最低标准时，判“不成立”；是否上升为格局转M14/M15。</x:v>
      </x:c>
      <x:c r="AB86" s="82" t="str">
        <x:v>较高</x:v>
      </x:c>
      <x:c r="AC86" s="82" t="str">
        <x:v>现代综合</x:v>
      </x:c>
      <x:c r="AD86" s="68" t="str">
        <x:v>十神同时出现不等于组合成立。M11须同时验证核心十神有效性、作用路径、力量匹配、日主承载、破坏因素与救应；组合成立也不等于格局成立。</x:v>
      </x:c>
      <x:c r="AE86" s="68" t="str">
        <x:v>印为唯一关键通关；财星有效制印；作用路径稳定且无关键破坏，可按“印化官杀”记录。</x:v>
      </x:c>
      <x:c r="AF86" s="90" t="str">
        <x:v>仅因“印星、官杀”同时出现，但核心十神无力、无作用路径或被关键因素破坏，不能判“印化官杀”成立。</x:v>
      </x:c>
      <x:c r="AG86" s="68" t="str">
        <x:v>https://zh.wikisource.org/zh-hans/%E6%B7%B5%E6%B5%B7%E5%AD%90%E5%B9%B3 ; https://zh.wikisource.org/wiki/%E6%BB%B4%E5%A4%A9%E9%AB%93%E9%97%A1%E5%BE%AE</x:v>
      </x:c>
      <x:c r="AH86" s="82" t="str">
        <x:v>采用</x:v>
      </x:c>
      <x:c r="AI86" s="82" t="str">
        <x:v>初审</x:v>
      </x:c>
      <x:c r="AJ86" s="87" t="n">
        <x:v>46255</x:v>
      </x:c>
    </x:row>
    <x:row r="87">
      <x:c r="A87" s="72" t="str">
        <x:f>IF(OR(C87="",D87=""),"",B87&amp;"-"&amp;UPPER(C87)&amp;"-"&amp;TEXT(D87,"0000")&amp;"-"&amp;E87)</x:f>
        <x:v>M11-PATH-0081-V1.0</x:v>
      </x:c>
      <x:c r="B87" s="74" t="str">
        <x:v>M11</x:v>
      </x:c>
      <x:c r="C87" s="74" t="str">
        <x:v>PATH</x:v>
      </x:c>
      <x:c r="D87" s="215" t="n">
        <x:v>81</x:v>
      </x:c>
      <x:c r="E87" s="74" t="str">
        <x:v>V1.0</x:v>
      </x:c>
      <x:c r="F87" s="68" t="str">
        <x:v>身旺食伤有效且输出顺畅时可形成泄秀</x:v>
      </x:c>
      <x:c r="G87" s="82" t="str">
        <x:v>结构层</x:v>
      </x:c>
      <x:c r="H87" s="82" t="str">
        <x:v>制化型</x:v>
      </x:c>
      <x:c r="I87" s="68" t="str">
        <x:v>食伤泄秀</x:v>
      </x:c>
      <x:c r="J87" s="68" t="str">
        <x:v>日主、食伤</x:v>
      </x:c>
      <x:c r="K87" s="68" t="str">
        <x:v>日主旺或极旺</x:v>
      </x:c>
      <x:c r="L87" s="68" t="str">
        <x:v>食伤有力且不被印星强制</x:v>
      </x:c>
      <x:c r="M87" s="68" t="str">
        <x:v>直接或可达的生克制化路径成立</x:v>
      </x:c>
      <x:c r="N87" s="68" t="str">
        <x:v>相关十神均以M10有效力量为准，且不存在决定性失衡</x:v>
      </x:c>
      <x:c r="O87" s="68" t="str">
        <x:v>结合M09日主承载判断</x:v>
      </x:c>
      <x:c r="P87" s="68" t="str">
        <x:v>有足够身源可泄、食伤能形成稳定输出</x:v>
      </x:c>
      <x:c r="Q87" s="68" t="str">
        <x:v>相关十神有根、有源、透达、清纯且关键通路稳定</x:v>
      </x:c>
      <x:c r="R87" s="90" t="str">
        <x:v>关键十神被合绊、被制、改性、失效或力量严重失衡</x:v>
      </x:c>
      <x:c r="S87" s="68" t="str">
        <x:v>存在第三十神恢复通路、清除破坏或重新形成平衡</x:v>
      </x:c>
      <x:c r="T87" s="90" t="str">
        <x:v>任一核心十神失效，或不存在真实作用路径</x:v>
      </x:c>
      <x:c r="U87" s="68" t="str">
        <x:v>特殊格局、从化或月令格局另转M14/M15复审</x:v>
      </x:c>
      <x:c r="V87" s="84" t="str">
        <x:v>基本成立</x:v>
      </x:c>
      <x:c r="W87" s="84" t="str">
        <x:v>泄旺身并导向财星或外部输出</x:v>
      </x:c>
      <x:c r="X87" s="82" t="str">
        <x:v>条件性</x:v>
      </x:c>
      <x:c r="Y87" s="68" t="str">
        <x:v>食伤泄秀候选</x:v>
      </x:c>
      <x:c r="Z87" s="84" t="str">
        <x:v>食伤泄秀_成立条件</x:v>
      </x:c>
      <x:c r="AA87" s="84" t="str">
        <x:v>食伤泄秀：当主体、客体、路径与力量匹配满足最低标准时，判“基本成立”；是否上升为格局转M14/M15。</x:v>
      </x:c>
      <x:c r="AB87" s="82" t="str">
        <x:v>较高</x:v>
      </x:c>
      <x:c r="AC87" s="82" t="str">
        <x:v>现代综合</x:v>
      </x:c>
      <x:c r="AD87" s="68" t="str">
        <x:v>十神同时出现不等于组合成立。M11须同时验证核心十神有效性、作用路径、力量匹配、日主承载、破坏因素与救应；组合成立也不等于格局成立。</x:v>
      </x:c>
      <x:c r="AE87" s="68" t="str">
        <x:v>日主旺或极旺；食伤有力且不被印星强制；作用路径稳定且无关键破坏，可按“食伤泄秀”记录。</x:v>
      </x:c>
      <x:c r="AF87" s="90" t="str">
        <x:v>仅因“日主、食伤”同时出现，但核心十神无力、无作用路径或被关键因素破坏，不能判“食伤泄秀”成立。</x:v>
      </x:c>
      <x:c r="AG87" s="68" t="str">
        <x:v>https://zh.wikisource.org/zh-hans/%E6%B7%B5%E6%B5%B7%E5%AD%90%E5%B9%B3 ; https://zh.wikisource.org/wiki/%E6%BB%B4%E5%A4%A9%E9%AB%93%E9%97%A1%E5%BE%AE</x:v>
      </x:c>
      <x:c r="AH87" s="82" t="str">
        <x:v>采用</x:v>
      </x:c>
      <x:c r="AI87" s="82" t="str">
        <x:v>初审</x:v>
      </x:c>
      <x:c r="AJ87" s="87" t="n">
        <x:v>46255</x:v>
      </x:c>
    </x:row>
    <x:row r="88">
      <x:c r="A88" s="72" t="str">
        <x:f>IF(OR(C88="",D88=""),"",B88&amp;"-"&amp;UPPER(C88)&amp;"-"&amp;TEXT(D88,"0000")&amp;"-"&amp;E88)</x:f>
        <x:v>M11-PATH-0082-V1.0</x:v>
      </x:c>
      <x:c r="B88" s="74" t="str">
        <x:v>M11</x:v>
      </x:c>
      <x:c r="C88" s="74" t="str">
        <x:v>PATH</x:v>
      </x:c>
      <x:c r="D88" s="215" t="n">
        <x:v>82</x:v>
      </x:c>
      <x:c r="E88" s="74" t="str">
        <x:v>V1.0</x:v>
      </x:c>
      <x:c r="F88" s="68" t="str">
        <x:v>身弱不具备稳定泄秀条件</x:v>
      </x:c>
      <x:c r="G88" s="82" t="str">
        <x:v>结构层</x:v>
      </x:c>
      <x:c r="H88" s="82" t="str">
        <x:v>制化型</x:v>
      </x:c>
      <x:c r="I88" s="68" t="str">
        <x:v>食伤泄秀</x:v>
      </x:c>
      <x:c r="J88" s="68" t="str">
        <x:v>日主、食伤</x:v>
      </x:c>
      <x:c r="K88" s="68" t="str">
        <x:v>日主弱或极弱</x:v>
      </x:c>
      <x:c r="L88" s="68" t="str">
        <x:v>食伤又旺</x:v>
      </x:c>
      <x:c r="M88" s="68" t="str">
        <x:v>直接或可达的生克制化路径成立</x:v>
      </x:c>
      <x:c r="N88" s="68" t="str">
        <x:v>相关十神均以M10有效力量为准，且不存在决定性失衡</x:v>
      </x:c>
      <x:c r="O88" s="68" t="str">
        <x:v>泄身会进一步削弱承载</x:v>
      </x:c>
      <x:c r="P88" s="68" t="str">
        <x:v>主体、客体、作用路径与力量匹配均达到最低要求</x:v>
      </x:c>
      <x:c r="Q88" s="68" t="str">
        <x:v>相关十神有根、有源、透达、清纯且关键通路稳定</x:v>
      </x:c>
      <x:c r="R88" s="90" t="str">
        <x:v>关键十神被合绊、被制、改性、失效或力量严重失衡</x:v>
      </x:c>
      <x:c r="S88" s="68" t="str">
        <x:v>存在第三十神恢复通路、清除破坏或重新形成平衡</x:v>
      </x:c>
      <x:c r="T88" s="90" t="str">
        <x:v>任一核心十神失效，或不存在真实作用路径</x:v>
      </x:c>
      <x:c r="U88" s="68" t="str">
        <x:v>特殊格局、从化或月令格局另转M14/M15复审</x:v>
      </x:c>
      <x:c r="V88" s="84" t="str">
        <x:v>不成立</x:v>
      </x:c>
      <x:c r="W88" s="84" t="str">
        <x:v>转为食伤过泄候选</x:v>
      </x:c>
      <x:c r="X88" s="82" t="str">
        <x:v>否</x:v>
      </x:c>
      <x:c r="Y88" s="68" t="str">
        <x:v>对应格局候选转M14</x:v>
      </x:c>
      <x:c r="Z88" s="84" t="str">
        <x:v>食伤泄秀_身弱否决</x:v>
      </x:c>
      <x:c r="AA88" s="84" t="str">
        <x:v>食伤泄秀：当主体、客体、路径与力量匹配满足最低标准时，判“不成立”；是否上升为格局转M14/M15。</x:v>
      </x:c>
      <x:c r="AB88" s="82" t="str">
        <x:v>较高</x:v>
      </x:c>
      <x:c r="AC88" s="82" t="str">
        <x:v>现代综合</x:v>
      </x:c>
      <x:c r="AD88" s="68" t="str">
        <x:v>十神同时出现不等于组合成立。M11须同时验证核心十神有效性、作用路径、力量匹配、日主承载、破坏因素与救应；组合成立也不等于格局成立。</x:v>
      </x:c>
      <x:c r="AE88" s="68" t="str">
        <x:v>日主弱或极弱；食伤又旺；作用路径稳定且无关键破坏，可按“食伤泄秀”记录。</x:v>
      </x:c>
      <x:c r="AF88" s="90" t="str">
        <x:v>仅因“日主、食伤”同时出现，但核心十神无力、无作用路径或被关键因素破坏，不能判“食伤泄秀”成立。</x:v>
      </x:c>
      <x:c r="AG88" s="68" t="str">
        <x:v>https://zh.wikisource.org/zh-hans/%E6%B7%B5%E6%B5%B7%E5%AD%90%E5%B9%B3 ; https://zh.wikisource.org/wiki/%E6%BB%B4%E5%A4%A9%E9%AB%93%E9%97%A1%E5%BE%AE</x:v>
      </x:c>
      <x:c r="AH88" s="82" t="str">
        <x:v>采用</x:v>
      </x:c>
      <x:c r="AI88" s="82" t="str">
        <x:v>初审</x:v>
      </x:c>
      <x:c r="AJ88" s="87" t="n">
        <x:v>46255</x:v>
      </x:c>
    </x:row>
    <x:row r="89">
      <x:c r="A89" s="72" t="str">
        <x:f>IF(OR(C89="",D89=""),"",B89&amp;"-"&amp;UPPER(C89)&amp;"-"&amp;TEXT(D89,"0000")&amp;"-"&amp;E89)</x:f>
        <x:v>M11-CONFLICT-0083-V1.0</x:v>
      </x:c>
      <x:c r="B89" s="74" t="str">
        <x:v>M11</x:v>
      </x:c>
      <x:c r="C89" s="74" t="str">
        <x:v>CONFLICT</x:v>
      </x:c>
      <x:c r="D89" s="215" t="n">
        <x:v>83</x:v>
      </x:c>
      <x:c r="E89" s="74" t="str">
        <x:v>V1.0</x:v>
      </x:c>
      <x:c r="F89" s="68" t="str">
        <x:v>伤官与正官均有效且形成直接克制才构成冲突</x:v>
      </x:c>
      <x:c r="G89" s="82" t="str">
        <x:v>结构层</x:v>
      </x:c>
      <x:c r="H89" s="82" t="str">
        <x:v>冲突病态型</x:v>
      </x:c>
      <x:c r="I89" s="68" t="str">
        <x:v>伤官见官</x:v>
      </x:c>
      <x:c r="J89" s="68" t="str">
        <x:v>伤官、正官</x:v>
      </x:c>
      <x:c r="K89" s="68" t="str">
        <x:v>伤官有效</x:v>
      </x:c>
      <x:c r="L89" s="68" t="str">
        <x:v>正官有效</x:v>
      </x:c>
      <x:c r="M89" s="68" t="str">
        <x:v>伤官可直接克官</x:v>
      </x:c>
      <x:c r="N89" s="68" t="str">
        <x:v>相关十神均以M10有效力量为准，且不存在决定性失衡</x:v>
      </x:c>
      <x:c r="O89" s="68" t="str">
        <x:v>结合M09日主承载判断</x:v>
      </x:c>
      <x:c r="P89" s="68" t="str">
        <x:v>伤官、正官、克制路径三者同时成立</x:v>
      </x:c>
      <x:c r="Q89" s="68" t="str">
        <x:v>相关十神有根、有源、透达、清纯且关键通路稳定</x:v>
      </x:c>
      <x:c r="R89" s="90" t="str">
        <x:v>关键十神被合绊、被制、改性、失效或力量严重失衡</x:v>
      </x:c>
      <x:c r="S89" s="68" t="str">
        <x:v>存在第三十神恢复通路、清除破坏或重新形成平衡</x:v>
      </x:c>
      <x:c r="T89" s="90" t="str">
        <x:v>任一核心十神失效，或不存在真实作用路径</x:v>
      </x:c>
      <x:c r="U89" s="68" t="str">
        <x:v>特殊格局、从化或月令格局另转M14/M15复审</x:v>
      </x:c>
      <x:c r="V89" s="84" t="str">
        <x:v>基本成立</x:v>
      </x:c>
      <x:c r="W89" s="84" t="str">
        <x:v>官星功能受损或冲突</x:v>
      </x:c>
      <x:c r="X89" s="82" t="str">
        <x:v>条件性</x:v>
      </x:c>
      <x:c r="Y89" s="68" t="str">
        <x:v>冲突结构转M16</x:v>
      </x:c>
      <x:c r="Z89" s="84" t="str">
        <x:v>伤官见官_成立条件</x:v>
      </x:c>
      <x:c r="AA89" s="84" t="str">
        <x:v>伤官见官：当主体、客体、路径与力量匹配满足最低标准时，判“基本成立”；是否上升为格局转M14/M15。</x:v>
      </x:c>
      <x:c r="AB89" s="82" t="str">
        <x:v>较高</x:v>
      </x:c>
      <x:c r="AC89" s="82" t="str">
        <x:v>现代综合</x:v>
      </x:c>
      <x:c r="AD89" s="68" t="str">
        <x:v>十神同时出现不等于组合成立。M11须同时验证核心十神有效性、作用路径、力量匹配、日主承载、破坏因素与救应；组合成立也不等于格局成立。</x:v>
      </x:c>
      <x:c r="AE89" s="68" t="str">
        <x:v>伤官有效；正官有效；作用路径稳定且无关键破坏，可按“伤官见官”记录。</x:v>
      </x:c>
      <x:c r="AF89" s="90" t="str">
        <x:v>仅因“伤官、正官”同时出现，但核心十神无力、无作用路径或被关键因素破坏，不能判“伤官见官”成立。</x:v>
      </x:c>
      <x:c r="AG89" s="68" t="str">
        <x:v>https://zh.wikisource.org/zh-hans/%E6%B7%B5%E6%B5%B7%E5%AD%90%E5%B9%B3 ; https://zh.wikisource.org/wiki/%E6%BB%B4%E5%A4%A9%E9%AB%93%E9%97%A1%E5%BE%AE</x:v>
      </x:c>
      <x:c r="AH89" s="82" t="str">
        <x:v>采用</x:v>
      </x:c>
      <x:c r="AI89" s="82" t="str">
        <x:v>初审</x:v>
      </x:c>
      <x:c r="AJ89" s="87" t="n">
        <x:v>46255</x:v>
      </x:c>
    </x:row>
    <x:row r="90">
      <x:c r="A90" s="72" t="str">
        <x:f>IF(OR(C90="",D90=""),"",B90&amp;"-"&amp;UPPER(C90)&amp;"-"&amp;TEXT(D90,"0000")&amp;"-"&amp;E90)</x:f>
        <x:v>M11-CONFLICT-0084-V1.0</x:v>
      </x:c>
      <x:c r="B90" s="74" t="str">
        <x:v>M11</x:v>
      </x:c>
      <x:c r="C90" s="74" t="str">
        <x:v>CONFLICT</x:v>
      </x:c>
      <x:c r="D90" s="215" t="n">
        <x:v>84</x:v>
      </x:c>
      <x:c r="E90" s="74" t="str">
        <x:v>V1.0</x:v>
      </x:c>
      <x:c r="F90" s="68" t="str">
        <x:v>印制伤官可降低伤官见官冲突</x:v>
      </x:c>
      <x:c r="G90" s="82" t="str">
        <x:v>结构层</x:v>
      </x:c>
      <x:c r="H90" s="82" t="str">
        <x:v>冲突病态型</x:v>
      </x:c>
      <x:c r="I90" s="68" t="str">
        <x:v>伤官见官</x:v>
      </x:c>
      <x:c r="J90" s="68" t="str">
        <x:v>伤官、正官、印星</x:v>
      </x:c>
      <x:c r="K90" s="68" t="str">
        <x:v>伤官克官已成立</x:v>
      </x:c>
      <x:c r="L90" s="68" t="str">
        <x:v>印星有效制伤</x:v>
      </x:c>
      <x:c r="M90" s="68" t="str">
        <x:v>直接或可达的生克制化路径成立</x:v>
      </x:c>
      <x:c r="N90" s="68" t="str">
        <x:v>相关十神均以M10有效力量为准，且不存在决定性失衡</x:v>
      </x:c>
      <x:c r="O90" s="68" t="str">
        <x:v>结合M09日主承载判断</x:v>
      </x:c>
      <x:c r="P90" s="68" t="str">
        <x:v>主体、客体、作用路径与力量匹配均达到最低要求</x:v>
      </x:c>
      <x:c r="Q90" s="68" t="str">
        <x:v>相关十神有根、有源、透达、清纯且关键通路稳定</x:v>
      </x:c>
      <x:c r="R90" s="90" t="str">
        <x:v>关键十神被合绊、被制、改性、失效或力量严重失衡</x:v>
      </x:c>
      <x:c r="S90" s="68" t="str">
        <x:v>印星制伤后官星功能恢复</x:v>
      </x:c>
      <x:c r="T90" s="90" t="str">
        <x:v>任一核心十神失效，或不存在真实作用路径</x:v>
      </x:c>
      <x:c r="U90" s="68" t="str">
        <x:v>特殊格局、从化或月令格局另转M14/M15复审</x:v>
      </x:c>
      <x:c r="V90" s="84" t="str">
        <x:v>弱成立</x:v>
      </x:c>
      <x:c r="W90" s="84" t="str">
        <x:v>冲突被部分化解</x:v>
      </x:c>
      <x:c r="X90" s="82" t="str">
        <x:v>条件性</x:v>
      </x:c>
      <x:c r="Y90" s="68" t="str">
        <x:v>对应格局候选转M14</x:v>
      </x:c>
      <x:c r="Z90" s="84" t="str">
        <x:v>伤官见官_印救</x:v>
      </x:c>
      <x:c r="AA90" s="84" t="str">
        <x:v>伤官见官：当主体、客体、路径与力量匹配满足最低标准时，判“弱成立”；是否上升为格局转M14/M15。</x:v>
      </x:c>
      <x:c r="AB90" s="82" t="str">
        <x:v>较高</x:v>
      </x:c>
      <x:c r="AC90" s="82" t="str">
        <x:v>现代综合</x:v>
      </x:c>
      <x:c r="AD90" s="68" t="str">
        <x:v>十神同时出现不等于组合成立。M11须同时验证核心十神有效性、作用路径、力量匹配、日主承载、破坏因素与救应；组合成立也不等于格局成立。</x:v>
      </x:c>
      <x:c r="AE90" s="68" t="str">
        <x:v>伤官克官已成立；印星有效制伤；作用路径稳定且无关键破坏，可按“伤官见官”记录。</x:v>
      </x:c>
      <x:c r="AF90" s="90" t="str">
        <x:v>仅因“伤官、正官、印星”同时出现，但核心十神无力、无作用路径或被关键因素破坏，不能判“伤官见官”成立。</x:v>
      </x:c>
      <x:c r="AG90" s="68" t="str">
        <x:v>https://zh.wikisource.org/zh-hans/%E6%B7%B5%E6%B5%B7%E5%AD%90%E5%B9%B3 ; https://zh.wikisource.org/wiki/%E6%BB%B4%E5%A4%A9%E9%AB%93%E9%97%A1%E5%BE%AE</x:v>
      </x:c>
      <x:c r="AH90" s="82" t="str">
        <x:v>采用</x:v>
      </x:c>
      <x:c r="AI90" s="82" t="str">
        <x:v>初审</x:v>
      </x:c>
      <x:c r="AJ90" s="87" t="n">
        <x:v>46255</x:v>
      </x:c>
    </x:row>
    <x:row r="91">
      <x:c r="A91" s="72" t="str">
        <x:f>IF(OR(C91="",D91=""),"",B91&amp;"-"&amp;UPPER(C91)&amp;"-"&amp;TEXT(D91,"0000")&amp;"-"&amp;E91)</x:f>
        <x:v>M11-CONFLICT-0085-V1.0</x:v>
      </x:c>
      <x:c r="B91" s="74" t="str">
        <x:v>M11</x:v>
      </x:c>
      <x:c r="C91" s="74" t="str">
        <x:v>CONFLICT</x:v>
      </x:c>
      <x:c r="D91" s="215" t="n">
        <x:v>85</x:v>
      </x:c>
      <x:c r="E91" s="74" t="str">
        <x:v>V1.0</x:v>
      </x:c>
      <x:c r="F91" s="68" t="str">
        <x:v>财通伤官生官路径可改变直接冲突</x:v>
      </x:c>
      <x:c r="G91" s="82" t="str">
        <x:v>结构层</x:v>
      </x:c>
      <x:c r="H91" s="82" t="str">
        <x:v>冲突病态型</x:v>
      </x:c>
      <x:c r="I91" s="68" t="str">
        <x:v>伤官见官</x:v>
      </x:c>
      <x:c r="J91" s="68" t="str">
        <x:v>伤官、正官、财星</x:v>
      </x:c>
      <x:c r="K91" s="68" t="str">
        <x:v>伤官可生财</x:v>
      </x:c>
      <x:c r="L91" s="68" t="str">
        <x:v>财星再生官且链路有效</x:v>
      </x:c>
      <x:c r="M91" s="68" t="str">
        <x:v>直接或可达的生克制化路径成立</x:v>
      </x:c>
      <x:c r="N91" s="68" t="str">
        <x:v>相关十神均以M10有效力量为准，且不存在决定性失衡</x:v>
      </x:c>
      <x:c r="O91" s="68" t="str">
        <x:v>结合M09日主承载判断</x:v>
      </x:c>
      <x:c r="P91" s="68" t="str">
        <x:v>主体、客体、作用路径与力量匹配均达到最低要求</x:v>
      </x:c>
      <x:c r="Q91" s="68" t="str">
        <x:v>相关十神有根、有源、透达、清纯且关键通路稳定</x:v>
      </x:c>
      <x:c r="R91" s="90" t="str">
        <x:v>关键十神被合绊、被制、改性、失效或力量严重失衡</x:v>
      </x:c>
      <x:c r="S91" s="68" t="str">
        <x:v>伤→财→官形成通关，直接克官强度下降</x:v>
      </x:c>
      <x:c r="T91" s="90" t="str">
        <x:v>任一核心十神失效，或不存在真实作用路径</x:v>
      </x:c>
      <x:c r="U91" s="68" t="str">
        <x:v>特殊格局、从化或月令格局另转M14/M15复审</x:v>
      </x:c>
      <x:c r="V91" s="84" t="str">
        <x:v>弱成立</x:v>
      </x:c>
      <x:c r="W91" s="84" t="str">
        <x:v>冲突转化为生化链</x:v>
      </x:c>
      <x:c r="X91" s="82" t="str">
        <x:v>条件性</x:v>
      </x:c>
      <x:c r="Y91" s="68" t="str">
        <x:v>对应格局候选转M14</x:v>
      </x:c>
      <x:c r="Z91" s="84" t="str">
        <x:v>伤官见官_财通关</x:v>
      </x:c>
      <x:c r="AA91" s="84" t="str">
        <x:v>伤官见官：当主体、客体、路径与力量匹配满足最低标准时，判“弱成立”；是否上升为格局转M14/M15。</x:v>
      </x:c>
      <x:c r="AB91" s="82" t="str">
        <x:v>较高</x:v>
      </x:c>
      <x:c r="AC91" s="82" t="str">
        <x:v>现代综合</x:v>
      </x:c>
      <x:c r="AD91" s="68" t="str">
        <x:v>十神同时出现不等于组合成立。M11须同时验证核心十神有效性、作用路径、力量匹配、日主承载、破坏因素与救应；组合成立也不等于格局成立。</x:v>
      </x:c>
      <x:c r="AE91" s="68" t="str">
        <x:v>伤官可生财；财星再生官且链路有效；作用路径稳定且无关键破坏，可按“伤官见官”记录。</x:v>
      </x:c>
      <x:c r="AF91" s="90" t="str">
        <x:v>仅因“伤官、正官、财星”同时出现，但核心十神无力、无作用路径或被关键因素破坏，不能判“伤官见官”成立。</x:v>
      </x:c>
      <x:c r="AG91" s="68" t="str">
        <x:v>https://zh.wikisource.org/zh-hans/%E6%B7%B5%E6%B5%B7%E5%AD%90%E5%B9%B3 ; https://zh.wikisource.org/wiki/%E6%BB%B4%E5%A4%A9%E9%AB%93%E9%97%A1%E5%BE%AE</x:v>
      </x:c>
      <x:c r="AH91" s="82" t="str">
        <x:v>采用</x:v>
      </x:c>
      <x:c r="AI91" s="82" t="str">
        <x:v>初审</x:v>
      </x:c>
      <x:c r="AJ91" s="87" t="n">
        <x:v>46255</x:v>
      </x:c>
    </x:row>
    <x:row r="92">
      <x:c r="A92" s="72" t="str">
        <x:f>IF(OR(C92="",D92=""),"",B92&amp;"-"&amp;UPPER(C92)&amp;"-"&amp;TEXT(D92,"0000")&amp;"-"&amp;E92)</x:f>
        <x:v>M11-CONFLICT-0086-V1.0</x:v>
      </x:c>
      <x:c r="B92" s="74" t="str">
        <x:v>M11</x:v>
      </x:c>
      <x:c r="C92" s="74" t="str">
        <x:v>CONFLICT</x:v>
      </x:c>
      <x:c r="D92" s="215" t="n">
        <x:v>86</x:v>
      </x:c>
      <x:c r="E92" s="74" t="str">
        <x:v>V1.0</x:v>
      </x:c>
      <x:c r="F92" s="68" t="str">
        <x:v>偏印必须真实克制关键食神才成立</x:v>
      </x:c>
      <x:c r="G92" s="82" t="str">
        <x:v>结构层</x:v>
      </x:c>
      <x:c r="H92" s="82" t="str">
        <x:v>冲突病态型</x:v>
      </x:c>
      <x:c r="I92" s="68" t="str">
        <x:v>枭神夺食</x:v>
      </x:c>
      <x:c r="J92" s="68" t="str">
        <x:v>偏印、食神</x:v>
      </x:c>
      <x:c r="K92" s="68" t="str">
        <x:v>偏印有效</x:v>
      </x:c>
      <x:c r="L92" s="68" t="str">
        <x:v>食神有效且承担关键输出或制杀功能</x:v>
      </x:c>
      <x:c r="M92" s="68" t="str">
        <x:v>偏印可直接克食神</x:v>
      </x:c>
      <x:c r="N92" s="68" t="str">
        <x:v>相关十神均以M10有效力量为准，且不存在决定性失衡</x:v>
      </x:c>
      <x:c r="O92" s="68" t="str">
        <x:v>结合M09日主承载判断</x:v>
      </x:c>
      <x:c r="P92" s="68" t="str">
        <x:v>枭有力、食有力、克制路径成立</x:v>
      </x:c>
      <x:c r="Q92" s="68" t="str">
        <x:v>相关十神有根、有源、透达、清纯且关键通路稳定</x:v>
      </x:c>
      <x:c r="R92" s="90" t="str">
        <x:v>关键十神被合绊、被制、改性、失效或力量严重失衡</x:v>
      </x:c>
      <x:c r="S92" s="68" t="str">
        <x:v>存在第三十神恢复通路、清除破坏或重新形成平衡</x:v>
      </x:c>
      <x:c r="T92" s="90" t="str">
        <x:v>任一核心十神失效，或不存在真实作用路径</x:v>
      </x:c>
      <x:c r="U92" s="68" t="str">
        <x:v>特殊格局、从化或月令格局另转M14/M15复审</x:v>
      </x:c>
      <x:c r="V92" s="84" t="str">
        <x:v>基本成立</x:v>
      </x:c>
      <x:c r="W92" s="84" t="str">
        <x:v>食神功能受损</x:v>
      </x:c>
      <x:c r="X92" s="82" t="str">
        <x:v>条件性</x:v>
      </x:c>
      <x:c r="Y92" s="68" t="str">
        <x:v>冲突结构转M16</x:v>
      </x:c>
      <x:c r="Z92" s="84" t="str">
        <x:v>枭神夺食_成立条件</x:v>
      </x:c>
      <x:c r="AA92" s="84" t="str">
        <x:v>枭神夺食：当主体、客体、路径与力量匹配满足最低标准时，判“基本成立”；是否上升为格局转M14/M15。</x:v>
      </x:c>
      <x:c r="AB92" s="82" t="str">
        <x:v>较高</x:v>
      </x:c>
      <x:c r="AC92" s="82" t="str">
        <x:v>现代综合</x:v>
      </x:c>
      <x:c r="AD92" s="68" t="str">
        <x:v>十神同时出现不等于组合成立。M11须同时验证核心十神有效性、作用路径、力量匹配、日主承载、破坏因素与救应；组合成立也不等于格局成立。</x:v>
      </x:c>
      <x:c r="AE92" s="68" t="str">
        <x:v>偏印有效；食神有效且承担关键输出或制杀功能；作用路径稳定且无关键破坏，可按“枭神夺食”记录。</x:v>
      </x:c>
      <x:c r="AF92" s="90" t="str">
        <x:v>仅因“偏印、食神”同时出现，但核心十神无力、无作用路径或被关键因素破坏，不能判“枭神夺食”成立。</x:v>
      </x:c>
      <x:c r="AG92" s="68" t="str">
        <x:v>https://zh.wikisource.org/zh-hans/%E6%B7%B5%E6%B5%B7%E5%AD%90%E5%B9%B3 ; https://zh.wikisource.org/wiki/%E6%BB%B4%E5%A4%A9%E9%AB%93%E9%97%A1%E5%BE%AE</x:v>
      </x:c>
      <x:c r="AH92" s="82" t="str">
        <x:v>采用</x:v>
      </x:c>
      <x:c r="AI92" s="82" t="str">
        <x:v>初审</x:v>
      </x:c>
      <x:c r="AJ92" s="87" t="n">
        <x:v>46255</x:v>
      </x:c>
    </x:row>
    <x:row r="93">
      <x:c r="A93" s="72" t="str">
        <x:f>IF(OR(C93="",D93=""),"",B93&amp;"-"&amp;UPPER(C93)&amp;"-"&amp;TEXT(D93,"0000")&amp;"-"&amp;E93)</x:f>
        <x:v>M11-CONFLICT-0087-V1.0</x:v>
      </x:c>
      <x:c r="B93" s="74" t="str">
        <x:v>M11</x:v>
      </x:c>
      <x:c r="C93" s="74" t="str">
        <x:v>CONFLICT</x:v>
      </x:c>
      <x:c r="D93" s="215" t="n">
        <x:v>87</x:v>
      </x:c>
      <x:c r="E93" s="74" t="str">
        <x:v>V1.0</x:v>
      </x:c>
      <x:c r="F93" s="68" t="str">
        <x:v>财制枭可救食</x:v>
      </x:c>
      <x:c r="G93" s="82" t="str">
        <x:v>结构层</x:v>
      </x:c>
      <x:c r="H93" s="82" t="str">
        <x:v>冲突病态型</x:v>
      </x:c>
      <x:c r="I93" s="68" t="str">
        <x:v>枭神夺食</x:v>
      </x:c>
      <x:c r="J93" s="68" t="str">
        <x:v>偏印、食神、财星</x:v>
      </x:c>
      <x:c r="K93" s="68" t="str">
        <x:v>偏印正在制食神</x:v>
      </x:c>
      <x:c r="L93" s="68" t="str">
        <x:v>财星有效制偏印</x:v>
      </x:c>
      <x:c r="M93" s="68" t="str">
        <x:v>直接或可达的生克制化路径成立</x:v>
      </x:c>
      <x:c r="N93" s="68" t="str">
        <x:v>相关十神均以M10有效力量为准，且不存在决定性失衡</x:v>
      </x:c>
      <x:c r="O93" s="68" t="str">
        <x:v>结合M09日主承载判断</x:v>
      </x:c>
      <x:c r="P93" s="68" t="str">
        <x:v>主体、客体、作用路径与力量匹配均达到最低要求</x:v>
      </x:c>
      <x:c r="Q93" s="68" t="str">
        <x:v>相关十神有根、有源、透达、清纯且关键通路稳定</x:v>
      </x:c>
      <x:c r="R93" s="90" t="str">
        <x:v>关键十神被合绊、被制、改性、失效或力量严重失衡</x:v>
      </x:c>
      <x:c r="S93" s="68" t="str">
        <x:v>财制枭并恢复食神功能</x:v>
      </x:c>
      <x:c r="T93" s="90" t="str">
        <x:v>任一核心十神失效，或不存在真实作用路径</x:v>
      </x:c>
      <x:c r="U93" s="68" t="str">
        <x:v>特殊格局、从化或月令格局另转M14/M15复审</x:v>
      </x:c>
      <x:c r="V93" s="84" t="str">
        <x:v>弱成立</x:v>
      </x:c>
      <x:c r="W93" s="84" t="str">
        <x:v>枭夺食被救</x:v>
      </x:c>
      <x:c r="X93" s="82" t="str">
        <x:v>条件性</x:v>
      </x:c>
      <x:c r="Y93" s="68" t="str">
        <x:v>对应格局候选转M14</x:v>
      </x:c>
      <x:c r="Z93" s="84" t="str">
        <x:v>枭神夺食_财救</x:v>
      </x:c>
      <x:c r="AA93" s="84" t="str">
        <x:v>枭神夺食：当主体、客体、路径与力量匹配满足最低标准时，判“弱成立”；是否上升为格局转M14/M15。</x:v>
      </x:c>
      <x:c r="AB93" s="82" t="str">
        <x:v>较高</x:v>
      </x:c>
      <x:c r="AC93" s="82" t="str">
        <x:v>现代综合</x:v>
      </x:c>
      <x:c r="AD93" s="68" t="str">
        <x:v>十神同时出现不等于组合成立。M11须同时验证核心十神有效性、作用路径、力量匹配、日主承载、破坏因素与救应；组合成立也不等于格局成立。</x:v>
      </x:c>
      <x:c r="AE93" s="68" t="str">
        <x:v>偏印正在制食神；财星有效制偏印；作用路径稳定且无关键破坏，可按“枭神夺食”记录。</x:v>
      </x:c>
      <x:c r="AF93" s="90" t="str">
        <x:v>仅因“偏印、食神、财星”同时出现，但核心十神无力、无作用路径或被关键因素破坏，不能判“枭神夺食”成立。</x:v>
      </x:c>
      <x:c r="AG93" s="68" t="str">
        <x:v>https://zh.wikisource.org/zh-hans/%E6%B7%B5%E6%B5%B7%E5%AD%90%E5%B9%B3 ; https://zh.wikisource.org/wiki/%E6%BB%B4%E5%A4%A9%E9%AB%93%E9%97%A1%E5%BE%AE</x:v>
      </x:c>
      <x:c r="AH93" s="82" t="str">
        <x:v>采用</x:v>
      </x:c>
      <x:c r="AI93" s="82" t="str">
        <x:v>初审</x:v>
      </x:c>
      <x:c r="AJ93" s="87" t="n">
        <x:v>46255</x:v>
      </x:c>
    </x:row>
    <x:row r="94">
      <x:c r="A94" s="72" t="str">
        <x:f>IF(OR(C94="",D94=""),"",B94&amp;"-"&amp;UPPER(C94)&amp;"-"&amp;TEXT(D94,"0000")&amp;"-"&amp;E94)</x:f>
        <x:v>M11-CONFLICT-0088-V1.0</x:v>
      </x:c>
      <x:c r="B94" s="74" t="str">
        <x:v>M11</x:v>
      </x:c>
      <x:c r="C94" s="74" t="str">
        <x:v>CONFLICT</x:v>
      </x:c>
      <x:c r="D94" s="215" t="n">
        <x:v>88</x:v>
      </x:c>
      <x:c r="E94" s="74" t="str">
        <x:v>V1.0</x:v>
      </x:c>
      <x:c r="F94" s="68" t="str">
        <x:v>比劫对财星形成实质强制才构成夺财结构</x:v>
      </x:c>
      <x:c r="G94" s="82" t="str">
        <x:v>结构层</x:v>
      </x:c>
      <x:c r="H94" s="82" t="str">
        <x:v>冲突病态型</x:v>
      </x:c>
      <x:c r="I94" s="68" t="str">
        <x:v>比劫夺财</x:v>
      </x:c>
      <x:c r="J94" s="68" t="str">
        <x:v>比劫、财星</x:v>
      </x:c>
      <x:c r="K94" s="68" t="str">
        <x:v>比劫有效且有克财能力</x:v>
      </x:c>
      <x:c r="L94" s="68" t="str">
        <x:v>财星有效并被比劫直接制约</x:v>
      </x:c>
      <x:c r="M94" s="68" t="str">
        <x:v>直接或可达的生克制化路径成立</x:v>
      </x:c>
      <x:c r="N94" s="68" t="str">
        <x:v>相关十神均以M10有效力量为准，且不存在决定性失衡</x:v>
      </x:c>
      <x:c r="O94" s="68" t="str">
        <x:v>结合M09日主承载判断</x:v>
      </x:c>
      <x:c r="P94" s="68" t="str">
        <x:v>比劫与财均有效、克制路径成立</x:v>
      </x:c>
      <x:c r="Q94" s="68" t="str">
        <x:v>相关十神有根、有源、透达、清纯且关键通路稳定</x:v>
      </x:c>
      <x:c r="R94" s="90" t="str">
        <x:v>关键十神被合绊、被制、改性、失效或力量严重失衡</x:v>
      </x:c>
      <x:c r="S94" s="68" t="str">
        <x:v>存在第三十神恢复通路、清除破坏或重新形成平衡</x:v>
      </x:c>
      <x:c r="T94" s="90" t="str">
        <x:v>任一核心十神失效，或不存在真实作用路径</x:v>
      </x:c>
      <x:c r="U94" s="68" t="str">
        <x:v>特殊格局、从化或月令格局另转M14/M15复审</x:v>
      </x:c>
      <x:c r="V94" s="84" t="str">
        <x:v>基本成立</x:v>
      </x:c>
      <x:c r="W94" s="84" t="str">
        <x:v>财星功能受损</x:v>
      </x:c>
      <x:c r="X94" s="82" t="str">
        <x:v>条件性</x:v>
      </x:c>
      <x:c r="Y94" s="68" t="str">
        <x:v>冲突结构转M16</x:v>
      </x:c>
      <x:c r="Z94" s="84" t="str">
        <x:v>比劫夺财_成立条件</x:v>
      </x:c>
      <x:c r="AA94" s="84" t="str">
        <x:v>比劫夺财：当主体、客体、路径与力量匹配满足最低标准时，判“基本成立”；是否上升为格局转M14/M15。</x:v>
      </x:c>
      <x:c r="AB94" s="82" t="str">
        <x:v>较高</x:v>
      </x:c>
      <x:c r="AC94" s="82" t="str">
        <x:v>现代综合</x:v>
      </x:c>
      <x:c r="AD94" s="68" t="str">
        <x:v>十神同时出现不等于组合成立。M11须同时验证核心十神有效性、作用路径、力量匹配、日主承载、破坏因素与救应；组合成立也不等于格局成立。</x:v>
      </x:c>
      <x:c r="AE94" s="68" t="str">
        <x:v>比劫有效且有克财能力；财星有效并被比劫直接制约；作用路径稳定且无关键破坏，可按“比劫夺财”记录。</x:v>
      </x:c>
      <x:c r="AF94" s="90" t="str">
        <x:v>仅因“比劫、财星”同时出现，但核心十神无力、无作用路径或被关键因素破坏，不能判“比劫夺财”成立。</x:v>
      </x:c>
      <x:c r="AG94" s="68" t="str">
        <x:v>https://zh.wikisource.org/zh-hans/%E6%B7%B5%E6%B5%B7%E5%AD%90%E5%B9%B3 ; https://zh.wikisource.org/wiki/%E6%BB%B4%E5%A4%A9%E9%AB%93%E9%97%A1%E5%BE%AE</x:v>
      </x:c>
      <x:c r="AH94" s="82" t="str">
        <x:v>采用</x:v>
      </x:c>
      <x:c r="AI94" s="82" t="str">
        <x:v>初审</x:v>
      </x:c>
      <x:c r="AJ94" s="87" t="n">
        <x:v>46255</x:v>
      </x:c>
    </x:row>
    <x:row r="95">
      <x:c r="A95" s="72" t="str">
        <x:f>IF(OR(C95="",D95=""),"",B95&amp;"-"&amp;UPPER(C95)&amp;"-"&amp;TEXT(D95,"0000")&amp;"-"&amp;E95)</x:f>
        <x:v>M11-CONFLICT-0089-V1.0</x:v>
      </x:c>
      <x:c r="B95" s="74" t="str">
        <x:v>M11</x:v>
      </x:c>
      <x:c r="C95" s="74" t="str">
        <x:v>CONFLICT</x:v>
      </x:c>
      <x:c r="D95" s="215" t="n">
        <x:v>89</x:v>
      </x:c>
      <x:c r="E95" s="74" t="str">
        <x:v>V1.0</x:v>
      </x:c>
      <x:c r="F95" s="68" t="str">
        <x:v>财星强制关键印星才构成财坏印</x:v>
      </x:c>
      <x:c r="G95" s="82" t="str">
        <x:v>结构层</x:v>
      </x:c>
      <x:c r="H95" s="82" t="str">
        <x:v>冲突病态型</x:v>
      </x:c>
      <x:c r="I95" s="68" t="str">
        <x:v>财坏印</x:v>
      </x:c>
      <x:c r="J95" s="68" t="str">
        <x:v>财星、印星</x:v>
      </x:c>
      <x:c r="K95" s="68" t="str">
        <x:v>财星有效</x:v>
      </x:c>
      <x:c r="L95" s="68" t="str">
        <x:v>印星有效且承担生身、化杀或配印关键功能</x:v>
      </x:c>
      <x:c r="M95" s="68" t="str">
        <x:v>直接或可达的生克制化路径成立</x:v>
      </x:c>
      <x:c r="N95" s="68" t="str">
        <x:v>相关十神均以M10有效力量为准，且不存在决定性失衡</x:v>
      </x:c>
      <x:c r="O95" s="68" t="str">
        <x:v>结合M09日主承载判断</x:v>
      </x:c>
      <x:c r="P95" s="68" t="str">
        <x:v>财克印路径成立且印功能明显下降</x:v>
      </x:c>
      <x:c r="Q95" s="68" t="str">
        <x:v>相关十神有根、有源、透达、清纯且关键通路稳定</x:v>
      </x:c>
      <x:c r="R95" s="90" t="str">
        <x:v>关键十神被合绊、被制、改性、失效或力量严重失衡</x:v>
      </x:c>
      <x:c r="S95" s="68" t="str">
        <x:v>存在第三十神恢复通路、清除破坏或重新形成平衡</x:v>
      </x:c>
      <x:c r="T95" s="90" t="str">
        <x:v>任一核心十神失效，或不存在真实作用路径</x:v>
      </x:c>
      <x:c r="U95" s="68" t="str">
        <x:v>特殊格局、从化或月令格局另转M14/M15复审</x:v>
      </x:c>
      <x:c r="V95" s="84" t="str">
        <x:v>基本成立</x:v>
      </x:c>
      <x:c r="W95" s="84" t="str">
        <x:v>关键印星功能受损</x:v>
      </x:c>
      <x:c r="X95" s="82" t="str">
        <x:v>条件性</x:v>
      </x:c>
      <x:c r="Y95" s="68" t="str">
        <x:v>冲突结构转M16</x:v>
      </x:c>
      <x:c r="Z95" s="84" t="str">
        <x:v>财坏印_成立条件</x:v>
      </x:c>
      <x:c r="AA95" s="84" t="str">
        <x:v>财坏印：当主体、客体、路径与力量匹配满足最低标准时，判“基本成立”；是否上升为格局转M14/M15。</x:v>
      </x:c>
      <x:c r="AB95" s="82" t="str">
        <x:v>较高</x:v>
      </x:c>
      <x:c r="AC95" s="82" t="str">
        <x:v>现代综合</x:v>
      </x:c>
      <x:c r="AD95" s="68" t="str">
        <x:v>十神同时出现不等于组合成立。M11须同时验证核心十神有效性、作用路径、力量匹配、日主承载、破坏因素与救应；组合成立也不等于格局成立。</x:v>
      </x:c>
      <x:c r="AE95" s="68" t="str">
        <x:v>财星有效；印星有效且承担生身、化杀或配印关键功能；作用路径稳定且无关键破坏，可按“财坏印”记录。</x:v>
      </x:c>
      <x:c r="AF95" s="90" t="str">
        <x:v>仅因“财星、印星”同时出现，但核心十神无力、无作用路径或被关键因素破坏，不能判“财坏印”成立。</x:v>
      </x:c>
      <x:c r="AG95" s="68" t="str">
        <x:v>https://zh.wikisource.org/zh-hans/%E6%B7%B5%E6%B5%B7%E5%AD%90%E5%B9%B3 ; https://zh.wikisource.org/wiki/%E6%BB%B4%E5%A4%A9%E9%AB%93%E9%97%A1%E5%BE%AE</x:v>
      </x:c>
      <x:c r="AH95" s="82" t="str">
        <x:v>采用</x:v>
      </x:c>
      <x:c r="AI95" s="82" t="str">
        <x:v>初审</x:v>
      </x:c>
      <x:c r="AJ95" s="87" t="n">
        <x:v>46255</x:v>
      </x:c>
    </x:row>
    <x:row r="96">
      <x:c r="A96" s="72" t="str">
        <x:f>IF(OR(C96="",D96=""),"",B96&amp;"-"&amp;UPPER(C96)&amp;"-"&amp;TEXT(D96,"0000")&amp;"-"&amp;E96)</x:f>
        <x:v>M11-CONFLICT-0090-V1.0</x:v>
      </x:c>
      <x:c r="B96" s="74" t="str">
        <x:v>M11</x:v>
      </x:c>
      <x:c r="C96" s="74" t="str">
        <x:v>CONFLICT</x:v>
      </x:c>
      <x:c r="D96" s="215" t="n">
        <x:v>90</x:v>
      </x:c>
      <x:c r="E96" s="74" t="str">
        <x:v>V1.0</x:v>
      </x:c>
      <x:c r="F96" s="68" t="str">
        <x:v>官杀同时有效且主从不清才判混杂</x:v>
      </x:c>
      <x:c r="G96" s="82" t="str">
        <x:v>结构层</x:v>
      </x:c>
      <x:c r="H96" s="82" t="str">
        <x:v>冲突病态型</x:v>
      </x:c>
      <x:c r="I96" s="68" t="str">
        <x:v>官杀混杂</x:v>
      </x:c>
      <x:c r="J96" s="68" t="str">
        <x:v>正官、七杀</x:v>
      </x:c>
      <x:c r="K96" s="68" t="str">
        <x:v>正官有效</x:v>
      </x:c>
      <x:c r="L96" s="68" t="str">
        <x:v>七杀有效</x:v>
      </x:c>
      <x:c r="M96" s="68" t="str">
        <x:v>直接或可达的生克制化路径成立</x:v>
      </x:c>
      <x:c r="N96" s="68" t="str">
        <x:v>官杀均有根有力且不存在明显主从</x:v>
      </x:c>
      <x:c r="O96" s="68" t="str">
        <x:v>结合M09日主承载判断</x:v>
      </x:c>
      <x:c r="P96" s="68" t="str">
        <x:v>官杀双有效、双参与制身且主从不明</x:v>
      </x:c>
      <x:c r="Q96" s="68" t="str">
        <x:v>相关十神有根、有源、透达、清纯且关键通路稳定</x:v>
      </x:c>
      <x:c r="R96" s="90" t="str">
        <x:v>关键十神被合绊、被制、改性、失效或力量严重失衡</x:v>
      </x:c>
      <x:c r="S96" s="68" t="str">
        <x:v>存在第三十神恢复通路、清除破坏或重新形成平衡</x:v>
      </x:c>
      <x:c r="T96" s="90" t="str">
        <x:v>任一核心十神失效，或不存在真实作用路径</x:v>
      </x:c>
      <x:c r="U96" s="68" t="str">
        <x:v>特殊格局、从化或月令格局另转M14/M15复审</x:v>
      </x:c>
      <x:c r="V96" s="84" t="str">
        <x:v>基本成立</x:v>
      </x:c>
      <x:c r="W96" s="84" t="str">
        <x:v>制身路径复杂、清纯度下降</x:v>
      </x:c>
      <x:c r="X96" s="82" t="str">
        <x:v>条件性</x:v>
      </x:c>
      <x:c r="Y96" s="68" t="str">
        <x:v>官杀混杂候选</x:v>
      </x:c>
      <x:c r="Z96" s="84" t="str">
        <x:v>官杀混杂_成立条件</x:v>
      </x:c>
      <x:c r="AA96" s="84" t="str">
        <x:v>官杀混杂：当主体、客体、路径与力量匹配满足最低标准时，判“基本成立”；是否上升为格局转M14/M15。</x:v>
      </x:c>
      <x:c r="AB96" s="82" t="str">
        <x:v>较高</x:v>
      </x:c>
      <x:c r="AC96" s="82" t="str">
        <x:v>现代综合</x:v>
      </x:c>
      <x:c r="AD96" s="68" t="str">
        <x:v>十神同时出现不等于组合成立。M11须同时验证核心十神有效性、作用路径、力量匹配、日主承载、破坏因素与救应；组合成立也不等于格局成立。</x:v>
      </x:c>
      <x:c r="AE96" s="68" t="str">
        <x:v>正官有效；七杀有效；作用路径稳定且无关键破坏，可按“官杀混杂”记录。</x:v>
      </x:c>
      <x:c r="AF96" s="90" t="str">
        <x:v>仅因“正官、七杀”同时出现，但核心十神无力、无作用路径或被关键因素破坏，不能判“官杀混杂”成立。</x:v>
      </x:c>
      <x:c r="AG96" s="68" t="str">
        <x:v>https://zh.wikisource.org/zh-hans/%E6%B7%B5%E6%B5%B7%E5%AD%90%E5%B9%B3 ; https://zh.wikisource.org/wiki/%E6%BB%B4%E5%A4%A9%E9%AB%93%E9%97%A1%E5%BE%AE</x:v>
      </x:c>
      <x:c r="AH96" s="82" t="str">
        <x:v>采用</x:v>
      </x:c>
      <x:c r="AI96" s="82" t="str">
        <x:v>初审</x:v>
      </x:c>
      <x:c r="AJ96" s="87" t="n">
        <x:v>46255</x:v>
      </x:c>
    </x:row>
    <x:row r="97">
      <x:c r="A97" s="72" t="str">
        <x:f>IF(OR(C97="",D97=""),"",B97&amp;"-"&amp;UPPER(C97)&amp;"-"&amp;TEXT(D97,"0000")&amp;"-"&amp;E97)</x:f>
        <x:v>M11-CONFLICT-0091-V1.0</x:v>
      </x:c>
      <x:c r="B97" s="74" t="str">
        <x:v>M11</x:v>
      </x:c>
      <x:c r="C97" s="74" t="str">
        <x:v>CONFLICT</x:v>
      </x:c>
      <x:c r="D97" s="215" t="n">
        <x:v>91</x:v>
      </x:c>
      <x:c r="E97" s="74" t="str">
        <x:v>V1.0</x:v>
      </x:c>
      <x:c r="F97" s="68" t="str">
        <x:v>一方弱而从强方时可不按严重混杂</x:v>
      </x:c>
      <x:c r="G97" s="82" t="str">
        <x:v>结构层</x:v>
      </x:c>
      <x:c r="H97" s="82" t="str">
        <x:v>冲突病态型</x:v>
      </x:c>
      <x:c r="I97" s="68" t="str">
        <x:v>官杀混杂</x:v>
      </x:c>
      <x:c r="J97" s="68" t="str">
        <x:v>正官、七杀</x:v>
      </x:c>
      <x:c r="K97" s="68" t="str">
        <x:v>官杀并见</x:v>
      </x:c>
      <x:c r="L97" s="68" t="str">
        <x:v>其中一方明显弱、无根或失效</x:v>
      </x:c>
      <x:c r="M97" s="68" t="str">
        <x:v>直接或可达的生克制化路径成立</x:v>
      </x:c>
      <x:c r="N97" s="68" t="str">
        <x:v>主从关系清晰</x:v>
      </x:c>
      <x:c r="O97" s="68" t="str">
        <x:v>结合M09日主承载判断</x:v>
      </x:c>
      <x:c r="P97" s="68" t="str">
        <x:v>主体、客体、作用路径与力量匹配均达到最低要求</x:v>
      </x:c>
      <x:c r="Q97" s="68" t="str">
        <x:v>相关十神有根、有源、透达、清纯且关键通路稳定</x:v>
      </x:c>
      <x:c r="R97" s="90" t="str">
        <x:v>关键十神被合绊、被制、改性、失效或力量严重失衡</x:v>
      </x:c>
      <x:c r="S97" s="68" t="str">
        <x:v>存在第三十神恢复通路、清除破坏或重新形成平衡</x:v>
      </x:c>
      <x:c r="T97" s="90" t="str">
        <x:v>任一核心十神失效，或不存在真实作用路径</x:v>
      </x:c>
      <x:c r="U97" s="68" t="str">
        <x:v>特殊格局、从化或月令格局另转M14/M15复审</x:v>
      </x:c>
      <x:c r="V97" s="84" t="str">
        <x:v>弱成立</x:v>
      </x:c>
      <x:c r="W97" s="84" t="str">
        <x:v>保留有杂但降低混杂等级</x:v>
      </x:c>
      <x:c r="X97" s="82" t="str">
        <x:v>否</x:v>
      </x:c>
      <x:c r="Y97" s="68" t="str">
        <x:v>对应格局候选转M14</x:v>
      </x:c>
      <x:c r="Z97" s="84" t="str">
        <x:v>官杀混杂_主从清晰</x:v>
      </x:c>
      <x:c r="AA97" s="84" t="str">
        <x:v>官杀混杂：当主体、客体、路径与力量匹配满足最低标准时，判“弱成立”；是否上升为格局转M14/M15。</x:v>
      </x:c>
      <x:c r="AB97" s="82" t="str">
        <x:v>较高</x:v>
      </x:c>
      <x:c r="AC97" s="82" t="str">
        <x:v>现代综合</x:v>
      </x:c>
      <x:c r="AD97" s="68" t="str">
        <x:v>十神同时出现不等于组合成立。M11须同时验证核心十神有效性、作用路径、力量匹配、日主承载、破坏因素与救应；组合成立也不等于格局成立。</x:v>
      </x:c>
      <x:c r="AE97" s="68" t="str">
        <x:v>官杀并见；其中一方明显弱、无根或失效；作用路径稳定且无关键破坏，可按“官杀混杂”记录。</x:v>
      </x:c>
      <x:c r="AF97" s="90" t="str">
        <x:v>仅因“正官、七杀”同时出现，但核心十神无力、无作用路径或被关键因素破坏，不能判“官杀混杂”成立。</x:v>
      </x:c>
      <x:c r="AG97" s="68" t="str">
        <x:v>https://zh.wikisource.org/zh-hans/%E6%B7%B5%E6%B5%B7%E5%AD%90%E5%B9%B3 ; https://zh.wikisource.org/wiki/%E6%BB%B4%E5%A4%A9%E9%AB%93%E9%97%A1%E5%BE%AE</x:v>
      </x:c>
      <x:c r="AH97" s="82" t="str">
        <x:v>采用</x:v>
      </x:c>
      <x:c r="AI97" s="82" t="str">
        <x:v>初审</x:v>
      </x:c>
      <x:c r="AJ97" s="87" t="n">
        <x:v>46255</x:v>
      </x:c>
    </x:row>
    <x:row r="98">
      <x:c r="A98" s="72" t="str">
        <x:f>IF(OR(C98="",D98=""),"",B98&amp;"-"&amp;UPPER(C98)&amp;"-"&amp;TEXT(D98,"0000")&amp;"-"&amp;E98)</x:f>
        <x:v>M11-CONFLICT-0092-V1.0</x:v>
      </x:c>
      <x:c r="B98" s="74" t="str">
        <x:v>M11</x:v>
      </x:c>
      <x:c r="C98" s="74" t="str">
        <x:v>CONFLICT</x:v>
      </x:c>
      <x:c r="D98" s="215" t="n">
        <x:v>92</x:v>
      </x:c>
      <x:c r="E98" s="74" t="str">
        <x:v>V1.0</x:v>
      </x:c>
      <x:c r="F98" s="68" t="str">
        <x:v>合去或制去一方可形成清化</x:v>
      </x:c>
      <x:c r="G98" s="82" t="str">
        <x:v>结构层</x:v>
      </x:c>
      <x:c r="H98" s="82" t="str">
        <x:v>冲突病态型</x:v>
      </x:c>
      <x:c r="I98" s="68" t="str">
        <x:v>官杀混杂</x:v>
      </x:c>
      <x:c r="J98" s="68" t="str">
        <x:v>正官、七杀、合制因素</x:v>
      </x:c>
      <x:c r="K98" s="68" t="str">
        <x:v>官杀并见</x:v>
      </x:c>
      <x:c r="L98" s="68" t="str">
        <x:v>其中一方被有效合住、制去或改性</x:v>
      </x:c>
      <x:c r="M98" s="68" t="str">
        <x:v>直接或可达的生克制化路径成立</x:v>
      </x:c>
      <x:c r="N98" s="68" t="str">
        <x:v>相关十神均以M10有效力量为准，且不存在决定性失衡</x:v>
      </x:c>
      <x:c r="O98" s="68" t="str">
        <x:v>结合M09日主承载判断</x:v>
      </x:c>
      <x:c r="P98" s="68" t="str">
        <x:v>主体、客体、作用路径与力量匹配均达到最低要求</x:v>
      </x:c>
      <x:c r="Q98" s="68" t="str">
        <x:v>相关十神有根、有源、透达、清纯且关键通路稳定</x:v>
      </x:c>
      <x:c r="R98" s="90" t="str">
        <x:v>关键十神被合绊、被制、改性、失效或力量严重失衡</x:v>
      </x:c>
      <x:c r="S98" s="68" t="str">
        <x:v>去官留杀或去杀留官后主导性清晰</x:v>
      </x:c>
      <x:c r="T98" s="90" t="str">
        <x:v>任一核心十神失效，或不存在真实作用路径</x:v>
      </x:c>
      <x:c r="U98" s="68" t="str">
        <x:v>特殊格局、从化或月令格局另转M14/M15复审</x:v>
      </x:c>
      <x:c r="V98" s="84" t="str">
        <x:v>弱成立</x:v>
      </x:c>
      <x:c r="W98" s="84" t="str">
        <x:v>官杀混杂被清化</x:v>
      </x:c>
      <x:c r="X98" s="82" t="str">
        <x:v>条件性</x:v>
      </x:c>
      <x:c r="Y98" s="68" t="str">
        <x:v>对应格局候选转M14</x:v>
      </x:c>
      <x:c r="Z98" s="84" t="str">
        <x:v>官杀混杂_清化</x:v>
      </x:c>
      <x:c r="AA98" s="84" t="str">
        <x:v>官杀混杂：当主体、客体、路径与力量匹配满足最低标准时，判“弱成立”；是否上升为格局转M14/M15。</x:v>
      </x:c>
      <x:c r="AB98" s="82" t="str">
        <x:v>较高</x:v>
      </x:c>
      <x:c r="AC98" s="82" t="str">
        <x:v>现代综合</x:v>
      </x:c>
      <x:c r="AD98" s="68" t="str">
        <x:v>十神同时出现不等于组合成立。M11须同时验证核心十神有效性、作用路径、力量匹配、日主承载、破坏因素与救应；组合成立也不等于格局成立。</x:v>
      </x:c>
      <x:c r="AE98" s="68" t="str">
        <x:v>官杀并见；其中一方被有效合住、制去或改性；作用路径稳定且无关键破坏，可按“官杀混杂”记录。</x:v>
      </x:c>
      <x:c r="AF98" s="90" t="str">
        <x:v>仅因“正官、七杀、合制因素”同时出现，但核心十神无力、无作用路径或被关键因素破坏，不能判“官杀混杂”成立。</x:v>
      </x:c>
      <x:c r="AG98" s="68" t="str">
        <x:v>https://zh.wikisource.org/zh-hans/%E6%B7%B5%E6%B5%B7%E5%AD%90%E5%B9%B3 ; https://zh.wikisource.org/wiki/%E6%BB%B4%E5%A4%A9%E9%AB%93%E9%97%A1%E5%BE%AE</x:v>
      </x:c>
      <x:c r="AH98" s="82" t="str">
        <x:v>采用</x:v>
      </x:c>
      <x:c r="AI98" s="82" t="str">
        <x:v>初审</x:v>
      </x:c>
      <x:c r="AJ98" s="87" t="n">
        <x:v>46255</x:v>
      </x:c>
    </x:row>
    <x:row r="99">
      <x:c r="A99" s="72" t="str">
        <x:f>IF(OR(C99="",D99=""),"",B99&amp;"-"&amp;UPPER(C99)&amp;"-"&amp;TEXT(D99,"0000")&amp;"-"&amp;E99)</x:f>
        <x:v>M11-CONFLICT-0093-V1.0</x:v>
      </x:c>
      <x:c r="B99" s="74" t="str">
        <x:v>M11</x:v>
      </x:c>
      <x:c r="C99" s="74" t="str">
        <x:v>CONFLICT</x:v>
      </x:c>
      <x:c r="D99" s="215" t="n">
        <x:v>93</x:v>
      </x:c>
      <x:c r="E99" s="74" t="str">
        <x:v>V1.0</x:v>
      </x:c>
      <x:c r="F99" s="68" t="str">
        <x:v>食伤均有效且主从不清才判明显混杂</x:v>
      </x:c>
      <x:c r="G99" s="82" t="str">
        <x:v>结构层</x:v>
      </x:c>
      <x:c r="H99" s="82" t="str">
        <x:v>冲突病态型</x:v>
      </x:c>
      <x:c r="I99" s="68" t="str">
        <x:v>食伤混杂</x:v>
      </x:c>
      <x:c r="J99" s="68" t="str">
        <x:v>食神、伤官</x:v>
      </x:c>
      <x:c r="K99" s="68" t="str">
        <x:v>食神有效</x:v>
      </x:c>
      <x:c r="L99" s="68" t="str">
        <x:v>伤官有效</x:v>
      </x:c>
      <x:c r="M99" s="68" t="str">
        <x:v>直接或可达的生克制化路径成立</x:v>
      </x:c>
      <x:c r="N99" s="68" t="str">
        <x:v>两者均达到可主导输出的水平</x:v>
      </x:c>
      <x:c r="O99" s="68" t="str">
        <x:v>结合M09日主承载判断</x:v>
      </x:c>
      <x:c r="P99" s="68" t="str">
        <x:v>主体、客体、作用路径与力量匹配均达到最低要求</x:v>
      </x:c>
      <x:c r="Q99" s="68" t="str">
        <x:v>相关十神有根、有源、透达、清纯且关键通路稳定</x:v>
      </x:c>
      <x:c r="R99" s="90" t="str">
        <x:v>关键十神被合绊、被制、改性、失效或力量严重失衡</x:v>
      </x:c>
      <x:c r="S99" s="68" t="str">
        <x:v>存在第三十神恢复通路、清除破坏或重新形成平衡</x:v>
      </x:c>
      <x:c r="T99" s="90" t="str">
        <x:v>任一核心十神失效，或不存在真实作用路径</x:v>
      </x:c>
      <x:c r="U99" s="68" t="str">
        <x:v>特殊格局、从化或月令格局另转M14/M15复审</x:v>
      </x:c>
      <x:c r="V99" s="84" t="str">
        <x:v>基本成立</x:v>
      </x:c>
      <x:c r="W99" s="84" t="str">
        <x:v>输出模式混杂、功能方向不一</x:v>
      </x:c>
      <x:c r="X99" s="82" t="str">
        <x:v>条件性</x:v>
      </x:c>
      <x:c r="Y99" s="68" t="str">
        <x:v>对应格局候选转M14</x:v>
      </x:c>
      <x:c r="Z99" s="84" t="str">
        <x:v>食伤混杂_成立</x:v>
      </x:c>
      <x:c r="AA99" s="84" t="str">
        <x:v>食伤混杂：当主体、客体、路径与力量匹配满足最低标准时，判“基本成立”；是否上升为格局转M14/M15。</x:v>
      </x:c>
      <x:c r="AB99" s="82" t="str">
        <x:v>较高</x:v>
      </x:c>
      <x:c r="AC99" s="82" t="str">
        <x:v>现代综合</x:v>
      </x:c>
      <x:c r="AD99" s="68" t="str">
        <x:v>十神同时出现不等于组合成立。M11须同时验证核心十神有效性、作用路径、力量匹配、日主承载、破坏因素与救应；组合成立也不等于格局成立。</x:v>
      </x:c>
      <x:c r="AE99" s="68" t="str">
        <x:v>食神有效；伤官有效；作用路径稳定且无关键破坏，可按“食伤混杂”记录。</x:v>
      </x:c>
      <x:c r="AF99" s="90" t="str">
        <x:v>仅因“食神、伤官”同时出现，但核心十神无力、无作用路径或被关键因素破坏，不能判“食伤混杂”成立。</x:v>
      </x:c>
      <x:c r="AG99" s="68" t="str">
        <x:v>https://zh.wikisource.org/zh-hans/%E6%B7%B5%E6%B5%B7%E5%AD%90%E5%B9%B3 ; https://zh.wikisource.org/wiki/%E6%BB%B4%E5%A4%A9%E9%AB%93%E9%97%A1%E5%BE%AE</x:v>
      </x:c>
      <x:c r="AH99" s="82" t="str">
        <x:v>采用</x:v>
      </x:c>
      <x:c r="AI99" s="82" t="str">
        <x:v>初审</x:v>
      </x:c>
      <x:c r="AJ99" s="87" t="n">
        <x:v>46255</x:v>
      </x:c>
    </x:row>
    <x:row r="100">
      <x:c r="A100" s="72" t="str">
        <x:f>IF(OR(C100="",D100=""),"",B100&amp;"-"&amp;UPPER(C100)&amp;"-"&amp;TEXT(D100,"0000")&amp;"-"&amp;E100)</x:f>
        <x:v>M11-CONFLICT-0094-V1.0</x:v>
      </x:c>
      <x:c r="B100" s="74" t="str">
        <x:v>M11</x:v>
      </x:c>
      <x:c r="C100" s="74" t="str">
        <x:v>CONFLICT</x:v>
      </x:c>
      <x:c r="D100" s="215" t="n">
        <x:v>94</x:v>
      </x:c>
      <x:c r="E100" s="74" t="str">
        <x:v>V1.0</x:v>
      </x:c>
      <x:c r="F100" s="68" t="str">
        <x:v>正偏印均有效且功能主从不清时形成混杂</x:v>
      </x:c>
      <x:c r="G100" s="82" t="str">
        <x:v>结构层</x:v>
      </x:c>
      <x:c r="H100" s="82" t="str">
        <x:v>冲突病态型</x:v>
      </x:c>
      <x:c r="I100" s="68" t="str">
        <x:v>印枭混杂</x:v>
      </x:c>
      <x:c r="J100" s="68" t="str">
        <x:v>正印、偏印</x:v>
      </x:c>
      <x:c r="K100" s="68" t="str">
        <x:v>正印有效</x:v>
      </x:c>
      <x:c r="L100" s="68" t="str">
        <x:v>偏印有效</x:v>
      </x:c>
      <x:c r="M100" s="68" t="str">
        <x:v>直接或可达的生克制化路径成立</x:v>
      </x:c>
      <x:c r="N100" s="68" t="str">
        <x:v>两者均有力且共同参与生身/制食伤</x:v>
      </x:c>
      <x:c r="O100" s="68" t="str">
        <x:v>结合M09日主承载判断</x:v>
      </x:c>
      <x:c r="P100" s="68" t="str">
        <x:v>主体、客体、作用路径与力量匹配均达到最低要求</x:v>
      </x:c>
      <x:c r="Q100" s="68" t="str">
        <x:v>相关十神有根、有源、透达、清纯且关键通路稳定</x:v>
      </x:c>
      <x:c r="R100" s="90" t="str">
        <x:v>关键十神被合绊、被制、改性、失效或力量严重失衡</x:v>
      </x:c>
      <x:c r="S100" s="68" t="str">
        <x:v>存在第三十神恢复通路、清除破坏或重新形成平衡</x:v>
      </x:c>
      <x:c r="T100" s="90" t="str">
        <x:v>任一核心十神失效，或不存在真实作用路径</x:v>
      </x:c>
      <x:c r="U100" s="68" t="str">
        <x:v>特殊格局、从化或月令格局另转M14/M15复审</x:v>
      </x:c>
      <x:c r="V100" s="84" t="str">
        <x:v>基本成立</x:v>
      </x:c>
      <x:c r="W100" s="84" t="str">
        <x:v>印星功能主次混杂</x:v>
      </x:c>
      <x:c r="X100" s="82" t="str">
        <x:v>条件性</x:v>
      </x:c>
      <x:c r="Y100" s="68" t="str">
        <x:v>对应格局候选转M14</x:v>
      </x:c>
      <x:c r="Z100" s="84" t="str">
        <x:v>印枭混杂_成立</x:v>
      </x:c>
      <x:c r="AA100" s="84" t="str">
        <x:v>印枭混杂：当主体、客体、路径与力量匹配满足最低标准时，判“基本成立”；是否上升为格局转M14/M15。</x:v>
      </x:c>
      <x:c r="AB100" s="82" t="str">
        <x:v>较高</x:v>
      </x:c>
      <x:c r="AC100" s="82" t="str">
        <x:v>现代综合</x:v>
      </x:c>
      <x:c r="AD100" s="68" t="str">
        <x:v>十神同时出现不等于组合成立。M11须同时验证核心十神有效性、作用路径、力量匹配、日主承载、破坏因素与救应；组合成立也不等于格局成立。</x:v>
      </x:c>
      <x:c r="AE100" s="68" t="str">
        <x:v>正印有效；偏印有效；作用路径稳定且无关键破坏，可按“印枭混杂”记录。</x:v>
      </x:c>
      <x:c r="AF100" s="90" t="str">
        <x:v>仅因“正印、偏印”同时出现，但核心十神无力、无作用路径或被关键因素破坏，不能判“印枭混杂”成立。</x:v>
      </x:c>
      <x:c r="AG100" s="68" t="str">
        <x:v>https://zh.wikisource.org/zh-hans/%E6%B7%B5%E6%B5%B7%E5%AD%90%E5%B9%B3 ; https://zh.wikisource.org/wiki/%E6%BB%B4%E5%A4%A9%E9%AB%93%E9%97%A1%E5%BE%AE</x:v>
      </x:c>
      <x:c r="AH100" s="82" t="str">
        <x:v>采用</x:v>
      </x:c>
      <x:c r="AI100" s="82" t="str">
        <x:v>初审</x:v>
      </x:c>
      <x:c r="AJ100" s="87" t="n">
        <x:v>46255</x:v>
      </x:c>
    </x:row>
    <x:row r="101">
      <x:c r="A101" s="72" t="str">
        <x:f>IF(OR(C101="",D101=""),"",B101&amp;"-"&amp;UPPER(C101)&amp;"-"&amp;TEXT(D101,"0000")&amp;"-"&amp;E101)</x:f>
        <x:v>M11-CONFLICT-0095-V1.0</x:v>
      </x:c>
      <x:c r="B101" s="74" t="str">
        <x:v>M11</x:v>
      </x:c>
      <x:c r="C101" s="74" t="str">
        <x:v>CONFLICT</x:v>
      </x:c>
      <x:c r="D101" s="215" t="n">
        <x:v>95</x:v>
      </x:c>
      <x:c r="E101" s="74" t="str">
        <x:v>V1.0</x:v>
      </x:c>
      <x:c r="F101" s="68" t="str">
        <x:v>食伤将七杀制至明显失去平衡功能时成立</x:v>
      </x:c>
      <x:c r="G101" s="82" t="str">
        <x:v>结构层</x:v>
      </x:c>
      <x:c r="H101" s="82" t="str">
        <x:v>冲突病态型</x:v>
      </x:c>
      <x:c r="I101" s="68" t="str">
        <x:v>制杀太过</x:v>
      </x:c>
      <x:c r="J101" s="68" t="str">
        <x:v>食伤、七杀</x:v>
      </x:c>
      <x:c r="K101" s="68" t="str">
        <x:v>食伤旺强并持续制杀</x:v>
      </x:c>
      <x:c r="L101" s="68" t="str">
        <x:v>七杀由有用压力降至残弱或失效</x:v>
      </x:c>
      <x:c r="M101" s="68" t="str">
        <x:v>直接或可达的生克制化路径成立</x:v>
      </x:c>
      <x:c r="N101" s="68" t="str">
        <x:v>食伤明显强于七杀</x:v>
      </x:c>
      <x:c r="O101" s="68" t="str">
        <x:v>结合M09日主承载判断</x:v>
      </x:c>
      <x:c r="P101" s="68" t="str">
        <x:v>主体、客体、作用路径与力量匹配均达到最低要求</x:v>
      </x:c>
      <x:c r="Q101" s="68" t="str">
        <x:v>相关十神有根、有源、透达、清纯且关键通路稳定</x:v>
      </x:c>
      <x:c r="R101" s="90" t="str">
        <x:v>关键十神被合绊、被制、改性、失效或力量严重失衡</x:v>
      </x:c>
      <x:c r="S101" s="68" t="str">
        <x:v>存在第三十神恢复通路、清除破坏或重新形成平衡</x:v>
      </x:c>
      <x:c r="T101" s="90" t="str">
        <x:v>任一核心十神失效，或不存在真实作用路径</x:v>
      </x:c>
      <x:c r="U101" s="68" t="str">
        <x:v>特殊格局、从化或月令格局另转M14/M15复审</x:v>
      </x:c>
      <x:c r="V101" s="84" t="str">
        <x:v>基本成立</x:v>
      </x:c>
      <x:c r="W101" s="84" t="str">
        <x:v>制化过度，杀失去制衡功能</x:v>
      </x:c>
      <x:c r="X101" s="82" t="str">
        <x:v>条件性</x:v>
      </x:c>
      <x:c r="Y101" s="68" t="str">
        <x:v>对应格局候选转M14</x:v>
      </x:c>
      <x:c r="Z101" s="84" t="str">
        <x:v>制杀太过_成立</x:v>
      </x:c>
      <x:c r="AA101" s="84" t="str">
        <x:v>制杀太过：当主体、客体、路径与力量匹配满足最低标准时，判“基本成立”；是否上升为格局转M14/M15。</x:v>
      </x:c>
      <x:c r="AB101" s="82" t="str">
        <x:v>较高</x:v>
      </x:c>
      <x:c r="AC101" s="82" t="str">
        <x:v>现代综合</x:v>
      </x:c>
      <x:c r="AD101" s="68" t="str">
        <x:v>十神同时出现不等于组合成立。M11须同时验证核心十神有效性、作用路径、力量匹配、日主承载、破坏因素与救应；组合成立也不等于格局成立。</x:v>
      </x:c>
      <x:c r="AE101" s="68" t="str">
        <x:v>食伤旺强并持续制杀；七杀由有用压力降至残弱或失效；作用路径稳定且无关键破坏，可按“制杀太过”记录。</x:v>
      </x:c>
      <x:c r="AF101" s="90" t="str">
        <x:v>仅因“食伤、七杀”同时出现，但核心十神无力、无作用路径或被关键因素破坏，不能判“制杀太过”成立。</x:v>
      </x:c>
      <x:c r="AG101" s="68" t="str">
        <x:v>https://zh.wikisource.org/zh-hans/%E6%B7%B5%E6%B5%B7%E5%AD%90%E5%B9%B3 ; https://zh.wikisource.org/wiki/%E6%BB%B4%E5%A4%A9%E9%AB%93%E9%97%A1%E5%BE%AE</x:v>
      </x:c>
      <x:c r="AH101" s="82" t="str">
        <x:v>采用</x:v>
      </x:c>
      <x:c r="AI101" s="82" t="str">
        <x:v>初审</x:v>
      </x:c>
      <x:c r="AJ101" s="87" t="n">
        <x:v>46255</x:v>
      </x:c>
    </x:row>
    <x:row r="102">
      <x:c r="A102" s="72" t="str">
        <x:f>IF(OR(C102="",D102=""),"",B102&amp;"-"&amp;UPPER(C102)&amp;"-"&amp;TEXT(D102,"0000")&amp;"-"&amp;E102)</x:f>
        <x:v>M11-CONFLICT-0096-V1.0</x:v>
      </x:c>
      <x:c r="B102" s="74" t="str">
        <x:v>M11</x:v>
      </x:c>
      <x:c r="C102" s="74" t="str">
        <x:v>CONFLICT</x:v>
      </x:c>
      <x:c r="D102" s="215" t="n">
        <x:v>96</x:v>
      </x:c>
      <x:c r="E102" s="74" t="str">
        <x:v>V1.0</x:v>
      </x:c>
      <x:c r="F102" s="68" t="str">
        <x:v>杀旺而印弱无法承接时成立</x:v>
      </x:c>
      <x:c r="G102" s="82" t="str">
        <x:v>结构层</x:v>
      </x:c>
      <x:c r="H102" s="82" t="str">
        <x:v>冲突病态型</x:v>
      </x:c>
      <x:c r="I102" s="68" t="str">
        <x:v>化杀不及</x:v>
      </x:c>
      <x:c r="J102" s="68" t="str">
        <x:v>七杀、印星</x:v>
      </x:c>
      <x:c r="K102" s="68" t="str">
        <x:v>七杀旺强</x:v>
      </x:c>
      <x:c r="L102" s="68" t="str">
        <x:v>印星虽存在但力量不足或受制</x:v>
      </x:c>
      <x:c r="M102" s="68" t="str">
        <x:v>直接或可达的生克制化路径成立</x:v>
      </x:c>
      <x:c r="N102" s="68" t="str">
        <x:v>杀明显强于印</x:v>
      </x:c>
      <x:c r="O102" s="68" t="str">
        <x:v>结合M09日主承载判断</x:v>
      </x:c>
      <x:c r="P102" s="68" t="str">
        <x:v>主体、客体、作用路径与力量匹配均达到最低要求</x:v>
      </x:c>
      <x:c r="Q102" s="68" t="str">
        <x:v>相关十神有根、有源、透达、清纯且关键通路稳定</x:v>
      </x:c>
      <x:c r="R102" s="90" t="str">
        <x:v>关键十神被合绊、被制、改性、失效或力量严重失衡</x:v>
      </x:c>
      <x:c r="S102" s="68" t="str">
        <x:v>存在第三十神恢复通路、清除破坏或重新形成平衡</x:v>
      </x:c>
      <x:c r="T102" s="90" t="str">
        <x:v>任一核心十神失效，或不存在真实作用路径</x:v>
      </x:c>
      <x:c r="U102" s="68" t="str">
        <x:v>特殊格局、从化或月令格局另转M14/M15复审</x:v>
      </x:c>
      <x:c r="V102" s="84" t="str">
        <x:v>基本成立</x:v>
      </x:c>
      <x:c r="W102" s="84" t="str">
        <x:v>杀压仍直接落在日主</x:v>
      </x:c>
      <x:c r="X102" s="82" t="str">
        <x:v>条件性</x:v>
      </x:c>
      <x:c r="Y102" s="68" t="str">
        <x:v>对应格局候选转M14</x:v>
      </x:c>
      <x:c r="Z102" s="84" t="str">
        <x:v>化杀不及_成立</x:v>
      </x:c>
      <x:c r="AA102" s="84" t="str">
        <x:v>化杀不及：当主体、客体、路径与力量匹配满足最低标准时，判“基本成立”；是否上升为格局转M14/M15。</x:v>
      </x:c>
      <x:c r="AB102" s="82" t="str">
        <x:v>较高</x:v>
      </x:c>
      <x:c r="AC102" s="82" t="str">
        <x:v>现代综合</x:v>
      </x:c>
      <x:c r="AD102" s="68" t="str">
        <x:v>十神同时出现不等于组合成立。M11须同时验证核心十神有效性、作用路径、力量匹配、日主承载、破坏因素与救应；组合成立也不等于格局成立。</x:v>
      </x:c>
      <x:c r="AE102" s="68" t="str">
        <x:v>七杀旺强；印星虽存在但力量不足或受制；作用路径稳定且无关键破坏，可按“化杀不及”记录。</x:v>
      </x:c>
      <x:c r="AF102" s="90" t="str">
        <x:v>仅因“七杀、印星”同时出现，但核心十神无力、无作用路径或被关键因素破坏，不能判“化杀不及”成立。</x:v>
      </x:c>
      <x:c r="AG102" s="68" t="str">
        <x:v>https://zh.wikisource.org/zh-hans/%E6%B7%B5%E6%B5%B7%E5%AD%90%E5%B9%B3 ; https://zh.wikisource.org/wiki/%E6%BB%B4%E5%A4%A9%E9%AB%93%E9%97%A1%E5%BE%AE</x:v>
      </x:c>
      <x:c r="AH102" s="82" t="str">
        <x:v>采用</x:v>
      </x:c>
      <x:c r="AI102" s="82" t="str">
        <x:v>初审</x:v>
      </x:c>
      <x:c r="AJ102" s="87" t="n">
        <x:v>46255</x:v>
      </x:c>
    </x:row>
    <x:row r="103">
      <x:c r="A103" s="72" t="str">
        <x:f>IF(OR(C103="",D103=""),"",B103&amp;"-"&amp;UPPER(C103)&amp;"-"&amp;TEXT(D103,"0000")&amp;"-"&amp;E103)</x:f>
        <x:v>M11-CONFLICT-0097-V1.0</x:v>
      </x:c>
      <x:c r="B103" s="74" t="str">
        <x:v>M11</x:v>
      </x:c>
      <x:c r="C103" s="74" t="str">
        <x:v>CONFLICT</x:v>
      </x:c>
      <x:c r="D103" s="215" t="n">
        <x:v>97</x:v>
      </x:c>
      <x:c r="E103" s="74" t="str">
        <x:v>V1.0</x:v>
      </x:c>
      <x:c r="F103" s="68" t="str">
        <x:v>财旺且日主承载明显不足时成立</x:v>
      </x:c>
      <x:c r="G103" s="82" t="str">
        <x:v>结构层</x:v>
      </x:c>
      <x:c r="H103" s="82" t="str">
        <x:v>冲突病态型</x:v>
      </x:c>
      <x:c r="I103" s="68" t="str">
        <x:v>财多身弱</x:v>
      </x:c>
      <x:c r="J103" s="68" t="str">
        <x:v>财星、日主</x:v>
      </x:c>
      <x:c r="K103" s="68" t="str">
        <x:v>财星旺或极旺</x:v>
      </x:c>
      <x:c r="L103" s="68" t="str">
        <x:v>M09日主弱或极弱</x:v>
      </x:c>
      <x:c r="M103" s="68" t="str">
        <x:v>直接或可达的生克制化路径成立</x:v>
      </x:c>
      <x:c r="N103" s="68" t="str">
        <x:v>相关十神均以M10有效力量为准，且不存在决定性失衡</x:v>
      </x:c>
      <x:c r="O103" s="68" t="str">
        <x:v>结合M09日主承载判断</x:v>
      </x:c>
      <x:c r="P103" s="68" t="str">
        <x:v>财耗真实存在且印比不足以承载</x:v>
      </x:c>
      <x:c r="Q103" s="68" t="str">
        <x:v>相关十神有根、有源、透达、清纯且关键通路稳定</x:v>
      </x:c>
      <x:c r="R103" s="90" t="str">
        <x:v>关键十神被合绊、被制、改性、失效或力量严重失衡</x:v>
      </x:c>
      <x:c r="S103" s="68" t="str">
        <x:v>存在第三十神恢复通路、清除破坏或重新形成平衡</x:v>
      </x:c>
      <x:c r="T103" s="90" t="str">
        <x:v>任一核心十神失效，或不存在真实作用路径</x:v>
      </x:c>
      <x:c r="U103" s="68" t="str">
        <x:v>特殊格局、从化或月令格局另转M14/M15复审</x:v>
      </x:c>
      <x:c r="V103" s="84" t="str">
        <x:v>明显成立</x:v>
      </x:c>
      <x:c r="W103" s="84" t="str">
        <x:v>财耗超过日主承载</x:v>
      </x:c>
      <x:c r="X103" s="82" t="str">
        <x:v>条件性</x:v>
      </x:c>
      <x:c r="Y103" s="68" t="str">
        <x:v>对应格局候选转M14</x:v>
      </x:c>
      <x:c r="Z103" s="84" t="str">
        <x:v>财多身弱_成立</x:v>
      </x:c>
      <x:c r="AA103" s="84" t="str">
        <x:v>财多身弱：当主体、客体、路径与力量匹配满足最低标准时，判“明显成立”；是否上升为格局转M14/M15。</x:v>
      </x:c>
      <x:c r="AB103" s="82" t="str">
        <x:v>较高</x:v>
      </x:c>
      <x:c r="AC103" s="82" t="str">
        <x:v>现代综合</x:v>
      </x:c>
      <x:c r="AD103" s="68" t="str">
        <x:v>十神同时出现不等于组合成立。M11须同时验证核心十神有效性、作用路径、力量匹配、日主承载、破坏因素与救应；组合成立也不等于格局成立。</x:v>
      </x:c>
      <x:c r="AE103" s="68" t="str">
        <x:v>财星旺或极旺；M09日主弱或极弱；作用路径稳定且无关键破坏，可按“财多身弱”记录。</x:v>
      </x:c>
      <x:c r="AF103" s="90" t="str">
        <x:v>仅因“财星、日主”同时出现，但核心十神无力、无作用路径或被关键因素破坏，不能判“财多身弱”成立。</x:v>
      </x:c>
      <x:c r="AG103" s="68" t="str">
        <x:v>https://zh.wikisource.org/zh-hans/%E6%B7%B5%E6%B5%B7%E5%AD%90%E5%B9%B3 ; https://zh.wikisource.org/wiki/%E6%BB%B4%E5%A4%A9%E9%AB%93%E9%97%A1%E5%BE%AE</x:v>
      </x:c>
      <x:c r="AH103" s="82" t="str">
        <x:v>采用</x:v>
      </x:c>
      <x:c r="AI103" s="82" t="str">
        <x:v>初审</x:v>
      </x:c>
      <x:c r="AJ103" s="87" t="n">
        <x:v>46255</x:v>
      </x:c>
    </x:row>
    <x:row r="104">
      <x:c r="A104" s="72" t="str">
        <x:f>IF(OR(C104="",D104=""),"",B104&amp;"-"&amp;UPPER(C104)&amp;"-"&amp;TEXT(D104,"0000")&amp;"-"&amp;E104)</x:f>
        <x:v>M11-CONFLICT-0098-V1.0</x:v>
      </x:c>
      <x:c r="B104" s="74" t="str">
        <x:v>M11</x:v>
      </x:c>
      <x:c r="C104" s="74" t="str">
        <x:v>CONFLICT</x:v>
      </x:c>
      <x:c r="D104" s="215" t="n">
        <x:v>98</x:v>
      </x:c>
      <x:c r="E104" s="74" t="str">
        <x:v>V1.0</x:v>
      </x:c>
      <x:c r="F104" s="68" t="str">
        <x:v>印过旺并阻碍必要输出时才形成身滞候选</x:v>
      </x:c>
      <x:c r="G104" s="82" t="str">
        <x:v>结构层</x:v>
      </x:c>
      <x:c r="H104" s="82" t="str">
        <x:v>冲突病态型</x:v>
      </x:c>
      <x:c r="I104" s="68" t="str">
        <x:v>印多身滞</x:v>
      </x:c>
      <x:c r="J104" s="68" t="str">
        <x:v>印星、日主、食伤</x:v>
      </x:c>
      <x:c r="K104" s="68" t="str">
        <x:v>印星旺或极旺且持续生身</x:v>
      </x:c>
      <x:c r="L104" s="68" t="str">
        <x:v>日主已旺，食伤又被印制或输出不足</x:v>
      </x:c>
      <x:c r="M104" s="68" t="str">
        <x:v>直接或可达的生克制化路径成立</x:v>
      </x:c>
      <x:c r="N104" s="68" t="str">
        <x:v>相关十神均以M10有效力量为准，且不存在决定性失衡</x:v>
      </x:c>
      <x:c r="O104" s="68" t="str">
        <x:v>结合M09日主承载判断</x:v>
      </x:c>
      <x:c r="P104" s="68" t="str">
        <x:v>身势过强且流通受阻</x:v>
      </x:c>
      <x:c r="Q104" s="68" t="str">
        <x:v>相关十神有根、有源、透达、清纯且关键通路稳定</x:v>
      </x:c>
      <x:c r="R104" s="90" t="str">
        <x:v>关键十神被合绊、被制、改性、失效或力量严重失衡</x:v>
      </x:c>
      <x:c r="S104" s="68" t="str">
        <x:v>存在第三十神恢复通路、清除破坏或重新形成平衡</x:v>
      </x:c>
      <x:c r="T104" s="90" t="str">
        <x:v>任一核心十神失效，或不存在真实作用路径</x:v>
      </x:c>
      <x:c r="U104" s="68" t="str">
        <x:v>特殊格局、从化或月令格局另转M14/M15复审</x:v>
      </x:c>
      <x:c r="V104" s="84" t="str">
        <x:v>基本成立</x:v>
      </x:c>
      <x:c r="W104" s="84" t="str">
        <x:v>生扶过度、输出受阻</x:v>
      </x:c>
      <x:c r="X104" s="82" t="str">
        <x:v>条件性</x:v>
      </x:c>
      <x:c r="Y104" s="68" t="str">
        <x:v>对应格局候选转M14</x:v>
      </x:c>
      <x:c r="Z104" s="84" t="str">
        <x:v>印多身滞_成立</x:v>
      </x:c>
      <x:c r="AA104" s="84" t="str">
        <x:v>印多身滞：当主体、客体、路径与力量匹配满足最低标准时，判“基本成立”；是否上升为格局转M14/M15。</x:v>
      </x:c>
      <x:c r="AB104" s="82" t="str">
        <x:v>较高</x:v>
      </x:c>
      <x:c r="AC104" s="82" t="str">
        <x:v>现代综合</x:v>
      </x:c>
      <x:c r="AD104" s="68" t="str">
        <x:v>十神同时出现不等于组合成立。M11须同时验证核心十神有效性、作用路径、力量匹配、日主承载、破坏因素与救应；组合成立也不等于格局成立。</x:v>
      </x:c>
      <x:c r="AE104" s="68" t="str">
        <x:v>印星旺或极旺且持续生身；日主已旺，食伤又被印制或输出不足；作用路径稳定且无关键破坏，可按“印多身滞”记录。</x:v>
      </x:c>
      <x:c r="AF104" s="90" t="str">
        <x:v>仅因“印星、日主、食伤”同时出现，但核心十神无力、无作用路径或被关键因素破坏，不能判“印多身滞”成立。</x:v>
      </x:c>
      <x:c r="AG104" s="68" t="str">
        <x:v>https://zh.wikisource.org/zh-hans/%E6%B7%B5%E6%B5%B7%E5%AD%90%E5%B9%B3 ; https://zh.wikisource.org/wiki/%E6%BB%B4%E5%A4%A9%E9%AB%93%E9%97%A1%E5%BE%AE</x:v>
      </x:c>
      <x:c r="AH104" s="82" t="str">
        <x:v>采用</x:v>
      </x:c>
      <x:c r="AI104" s="82" t="str">
        <x:v>初审</x:v>
      </x:c>
      <x:c r="AJ104" s="87" t="n">
        <x:v>46255</x:v>
      </x:c>
    </x:row>
    <x:row r="105">
      <x:c r="A105" s="72" t="str">
        <x:f>IF(OR(C105="",D105=""),"",B105&amp;"-"&amp;UPPER(C105)&amp;"-"&amp;TEXT(D105,"0000")&amp;"-"&amp;E105)</x:f>
        <x:v>M11-CONFLICT-0099-V1.0</x:v>
      </x:c>
      <x:c r="B105" s="74" t="str">
        <x:v>M11</x:v>
      </x:c>
      <x:c r="C105" s="74" t="str">
        <x:v>CONFLICT</x:v>
      </x:c>
      <x:c r="D105" s="215" t="n">
        <x:v>99</x:v>
      </x:c>
      <x:c r="E105" s="74" t="str">
        <x:v>V1.0</x:v>
      </x:c>
      <x:c r="F105" s="68" t="str">
        <x:v>两条制化路线争夺同一核心节点时需做容量裁决</x:v>
      </x:c>
      <x:c r="G105" s="82" t="str">
        <x:v>结构层</x:v>
      </x:c>
      <x:c r="H105" s="82" t="str">
        <x:v>冲突病态型</x:v>
      </x:c>
      <x:c r="I105" s="68" t="str">
        <x:v>制化两立</x:v>
      </x:c>
      <x:c r="J105" s="68" t="str">
        <x:v>食伤、印星、官杀</x:v>
      </x:c>
      <x:c r="K105" s="68" t="str">
        <x:v>食制杀与印化杀等路线同时成立候选</x:v>
      </x:c>
      <x:c r="L105" s="68" t="str">
        <x:v>同一官杀力量被多路调用</x:v>
      </x:c>
      <x:c r="M105" s="68" t="str">
        <x:v>直接或可达的生克制化路径成立</x:v>
      </x:c>
      <x:c r="N105" s="68" t="str">
        <x:v>相关十神均以M10有效力量为准，且不存在决定性失衡</x:v>
      </x:c>
      <x:c r="O105" s="68" t="str">
        <x:v>结合M09日主承载判断</x:v>
      </x:c>
      <x:c r="P105" s="68" t="str">
        <x:v>至少两条路线真实存在</x:v>
      </x:c>
      <x:c r="Q105" s="68" t="str">
        <x:v>相关十神有根、有源、透达、清纯且关键通路稳定</x:v>
      </x:c>
      <x:c r="R105" s="90" t="str">
        <x:v>关键十神被合绊、被制、改性、失效或力量严重失衡</x:v>
      </x:c>
      <x:c r="S105" s="68" t="str">
        <x:v>存在第三十神恢复通路、清除破坏或重新形成平衡</x:v>
      </x:c>
      <x:c r="T105" s="90" t="str">
        <x:v>任一核心十神失效，或不存在真实作用路径</x:v>
      </x:c>
      <x:c r="U105" s="68" t="str">
        <x:v>特殊格局、从化或月令格局另转M14/M15复审</x:v>
      </x:c>
      <x:c r="V105" s="84" t="str">
        <x:v>基本成立</x:v>
      </x:c>
      <x:c r="W105" s="84" t="str">
        <x:v>形成制化竞争，需M18裁决</x:v>
      </x:c>
      <x:c r="X105" s="82" t="str">
        <x:v>条件性</x:v>
      </x:c>
      <x:c r="Y105" s="68" t="str">
        <x:v>对应格局候选转M14</x:v>
      </x:c>
      <x:c r="Z105" s="84" t="str">
        <x:v>制化两立_成立</x:v>
      </x:c>
      <x:c r="AA105" s="84" t="str">
        <x:v>制化两立：当主体、客体、路径与力量匹配满足最低标准时，判“基本成立”；是否上升为格局转M14/M15。</x:v>
      </x:c>
      <x:c r="AB105" s="82" t="str">
        <x:v>较高</x:v>
      </x:c>
      <x:c r="AC105" s="82" t="str">
        <x:v>现代综合</x:v>
      </x:c>
      <x:c r="AD105" s="68" t="str">
        <x:v>十神同时出现不等于组合成立。M11须同时验证核心十神有效性、作用路径、力量匹配、日主承载、破坏因素与救应；组合成立也不等于格局成立。</x:v>
      </x:c>
      <x:c r="AE105" s="68" t="str">
        <x:v>食制杀与印化杀等路线同时成立候选；同一官杀力量被多路调用；作用路径稳定且无关键破坏，可按“制化两立”记录。</x:v>
      </x:c>
      <x:c r="AF105" s="90" t="str">
        <x:v>仅因“食伤、印星、官杀”同时出现，但核心十神无力、无作用路径或被关键因素破坏，不能判“制化两立”成立。</x:v>
      </x:c>
      <x:c r="AG105" s="68" t="str">
        <x:v>https://zh.wikisource.org/zh-hans/%E6%B7%B5%E6%B5%B7%E5%AD%90%E5%B9%B3 ; https://zh.wikisource.org/wiki/%E6%BB%B4%E5%A4%A9%E9%AB%93%E9%97%A1%E5%BE%AE</x:v>
      </x:c>
      <x:c r="AH105" s="82" t="str">
        <x:v>采用</x:v>
      </x:c>
      <x:c r="AI105" s="82" t="str">
        <x:v>初审</x:v>
      </x:c>
      <x:c r="AJ105" s="87" t="n">
        <x:v>46255</x:v>
      </x:c>
    </x:row>
    <x:row r="106">
      <x:c r="A106" s="214" t="str">
        <x:f>IF(OR(C106="",D106=""),"",B106&amp;"-"&amp;UPPER(C106)&amp;"-"&amp;TEXT(D106,"0000")&amp;"-"&amp;E106)</x:f>
        <x:v>M11-CONFLICT-0100-V1.0</x:v>
      </x:c>
      <x:c r="B106" s="214" t="str">
        <x:v>M11</x:v>
      </x:c>
      <x:c r="C106" s="214" t="str">
        <x:v>CONFLICT</x:v>
      </x:c>
      <x:c r="D106" s="216" t="n">
        <x:v>100</x:v>
      </x:c>
      <x:c r="E106" s="214" t="str">
        <x:v>V1.0</x:v>
      </x:c>
      <x:c r="F106" s="214" t="str">
        <x:v>多个病态组合同时成立时不得简单叠加吉凶</x:v>
      </x:c>
      <x:c r="G106" s="214" t="str">
        <x:v>结构层</x:v>
      </x:c>
      <x:c r="H106" s="214" t="str">
        <x:v>冲突病态型</x:v>
      </x:c>
      <x:c r="I106" s="214" t="str">
        <x:v>复合冲突</x:v>
      </x:c>
      <x:c r="J106" s="214" t="str">
        <x:v>多个十神</x:v>
      </x:c>
      <x:c r="K106" s="214" t="str">
        <x:v>两个以上冲突组合均达到基本成立</x:v>
      </x:c>
      <x:c r="L106" s="214" t="str">
        <x:v>共享节点或相互救应关系复杂</x:v>
      </x:c>
      <x:c r="M106" s="214" t="str">
        <x:v>直接或可达的生克制化路径成立</x:v>
      </x:c>
      <x:c r="N106" s="214" t="str">
        <x:v>相关十神均以M10有效力量为准，且不存在决定性失衡</x:v>
      </x:c>
      <x:c r="O106" s="214" t="str">
        <x:v>结合M09日主承载判断</x:v>
      </x:c>
      <x:c r="P106" s="214" t="str">
        <x:v>逐组合保留后进入M16/M18综合</x:v>
      </x:c>
      <x:c r="Q106" s="214" t="str">
        <x:v>相关十神有根、有源、透达、清纯且关键通路稳定</x:v>
      </x:c>
      <x:c r="R106" s="214" t="str">
        <x:v>关键十神被合绊、被制、改性、失效或力量严重失衡</x:v>
      </x:c>
      <x:c r="S106" s="214" t="str">
        <x:v>存在第三十神恢复通路、清除破坏或重新形成平衡</x:v>
      </x:c>
      <x:c r="T106" s="214" t="str">
        <x:v>任一核心十神失效，或不存在真实作用路径</x:v>
      </x:c>
      <x:c r="U106" s="214" t="str">
        <x:v>特殊格局、从化或月令格局另转M14/M15复审</x:v>
      </x:c>
      <x:c r="V106" s="214" t="str">
        <x:v>基本成立</x:v>
      </x:c>
      <x:c r="W106" s="214" t="str">
        <x:v>标记复合病态结构</x:v>
      </x:c>
      <x:c r="X106" s="214" t="str">
        <x:v>否</x:v>
      </x:c>
      <x:c r="Y106" s="214" t="str">
        <x:v>无</x:v>
      </x:c>
      <x:c r="Z106" s="214" t="str">
        <x:v>复合冲突_转综合</x:v>
      </x:c>
      <x:c r="AA106" s="214" t="str">
        <x:v>复合冲突：当主体、客体、路径与力量匹配满足最低标准时，判“基本成立”；是否上升为格局转M14/M15。</x:v>
      </x:c>
      <x:c r="AB106" s="214" t="str">
        <x:v>较高</x:v>
      </x:c>
      <x:c r="AC106" s="214" t="str">
        <x:v>现代综合</x:v>
      </x:c>
      <x:c r="AD106" s="214" t="str">
        <x:v>十神同时出现不等于组合成立。M11须同时验证核心十神有效性、作用路径、力量匹配、日主承载、破坏因素与救应；组合成立也不等于格局成立。</x:v>
      </x:c>
      <x:c r="AE106" s="214" t="str">
        <x:v>两个以上冲突组合均达到基本成立；共享节点或相互救应关系复杂；作用路径稳定且无关键破坏，可按“复合冲突”记录。</x:v>
      </x:c>
      <x:c r="AF106" s="214" t="str">
        <x:v>仅因“多个十神”同时出现，但核心十神无力、无作用路径或被关键因素破坏，不能判“复合冲突”成立。</x:v>
      </x:c>
      <x:c r="AG106" s="214" t="str">
        <x:v>https://zh.wikisource.org/zh-hans/%E6%B7%B5%E6%B5%B7%E5%AD%90%E5%B9%B3 ; https://zh.wikisource.org/wiki/%E6%BB%B4%E5%A4%A9%E9%AB%93%E9%97%A1%E5%BE%AE</x:v>
      </x:c>
      <x:c r="AH106" s="214" t="str">
        <x:v>采用</x:v>
      </x:c>
      <x:c r="AI106" s="214" t="str">
        <x:v>初审</x:v>
      </x:c>
      <x:c r="AJ106" s="217" t="n">
        <x:v>46255</x:v>
      </x:c>
    </x:row>
    <x:row r="107">
      <x:c r="A107" s="214" t="str">
        <x:f>IF(OR(C107="",D107=""),"",B107&amp;"-"&amp;UPPER(C107)&amp;"-"&amp;TEXT(D107,"0000")&amp;"-"&amp;E107)</x:f>
        <x:v>M11-BOUND-0101-V1.0</x:v>
      </x:c>
      <x:c r="B107" s="214" t="str">
        <x:v>M11</x:v>
      </x:c>
      <x:c r="C107" s="214" t="str">
        <x:v>BOUND</x:v>
      </x:c>
      <x:c r="D107" s="216" t="n">
        <x:v>101</x:v>
      </x:c>
      <x:c r="E107" s="214" t="str">
        <x:v>V1.0</x:v>
      </x:c>
      <x:c r="F107" s="214" t="str">
        <x:v>组合名称不得替代实际功能判断</x:v>
      </x:c>
      <x:c r="G107" s="214" t="str">
        <x:v>结构层</x:v>
      </x:c>
      <x:c r="H107" s="214" t="str">
        <x:v>其他</x:v>
      </x:c>
      <x:c r="I107" s="214" t="str">
        <x:v>十神组合边界</x:v>
      </x:c>
      <x:c r="J107" s="214" t="str">
        <x:v>多个十神</x:v>
      </x:c>
      <x:c r="K107" s="214" t="str">
        <x:v>某传统组合名称被识别</x:v>
      </x:c>
      <x:c r="L107" s="214" t="str">
        <x:v>仍需检查其真实生、制、化、泄、护或通关功能</x:v>
      </x:c>
      <x:c r="M107" s="214" t="str">
        <x:v>直接或可达的生克制化路径成立</x:v>
      </x:c>
      <x:c r="N107" s="214" t="str">
        <x:v>相关十神均以M10有效力量为准，且不存在决定性失衡</x:v>
      </x:c>
      <x:c r="O107" s="214" t="str">
        <x:v>结合M09日主承载判断</x:v>
      </x:c>
      <x:c r="P107" s="214" t="str">
        <x:v>主体、客体、作用路径与力量匹配均达到最低要求</x:v>
      </x:c>
      <x:c r="Q107" s="214" t="str">
        <x:v>相关十神有根、有源、透达、清纯且关键通路稳定</x:v>
      </x:c>
      <x:c r="R107" s="214" t="str">
        <x:v>关键十神被合绊、被制、改性、失效或力量严重失衡</x:v>
      </x:c>
      <x:c r="S107" s="214" t="str">
        <x:v>存在第三十神恢复通路、清除破坏或重新形成平衡</x:v>
      </x:c>
      <x:c r="T107" s="214" t="str">
        <x:v>任一核心十神失效，或不存在真实作用路径</x:v>
      </x:c>
      <x:c r="U107" s="214" t="str">
        <x:v>特殊格局、从化或月令格局另转M14/M15复审</x:v>
      </x:c>
      <x:c r="V107" s="214" t="str">
        <x:v>待定</x:v>
      </x:c>
      <x:c r="W107" s="214" t="str">
        <x:v>治理命名与功能分离</x:v>
      </x:c>
      <x:c r="X107" s="214" t="str">
        <x:v>否</x:v>
      </x:c>
      <x:c r="Y107" s="214" t="str">
        <x:v>无</x:v>
      </x:c>
      <x:c r="Z107" s="214" t="str">
        <x:v>组合命名边界</x:v>
      </x:c>
      <x:c r="AA107" s="214" t="str">
        <x:v>十神组合边界：当主体、客体、路径与力量匹配满足最低标准时，判“待定”；是否上升为格局转M14/M15。</x:v>
      </x:c>
      <x:c r="AB107" s="214" t="str">
        <x:v>较高</x:v>
      </x:c>
      <x:c r="AC107" s="214" t="str">
        <x:v>现代综合</x:v>
      </x:c>
      <x:c r="AD107" s="214" t="str">
        <x:v>十神同时出现不等于组合成立。M11须同时验证核心十神有效性、作用路径、力量匹配、日主承载、破坏因素与救应；组合成立也不等于格局成立。</x:v>
      </x:c>
      <x:c r="AE107" s="214" t="str">
        <x:v>某传统组合名称被识别；仍需检查其真实生、制、化、泄、护或通关功能；作用路径稳定且无关键破坏，可按“十神组合边界”记录。</x:v>
      </x:c>
      <x:c r="AF107" s="214" t="str">
        <x:v>仅因“多个十神”同时出现，但核心十神无力、无作用路径或被关键因素破坏，不能判“十神组合边界”成立。</x:v>
      </x:c>
      <x:c r="AG107" s="214" t="str">
        <x:v>https://zh.wikisource.org/zh-hans/%E6%B7%B5%E6%B5%B7%E5%AD%90%E5%B9%B3 ; https://zh.wikisource.org/wiki/%E6%BB%B4%E5%A4%A9%E9%AB%93%E9%97%A1%E5%BE%AE</x:v>
      </x:c>
      <x:c r="AH107" s="214" t="str">
        <x:v>采用</x:v>
      </x:c>
      <x:c r="AI107" s="214" t="str">
        <x:v>初审</x:v>
      </x:c>
      <x:c r="AJ107" s="217" t="n">
        <x:v>46255</x:v>
      </x:c>
    </x:row>
    <x:row r="108">
      <x:c r="A108" s="214" t="str">
        <x:f>IF(OR(C108="",D108=""),"",B108&amp;"-"&amp;UPPER(C108)&amp;"-"&amp;TEXT(D108,"0000")&amp;"-"&amp;E108)</x:f>
        <x:v>M11-BOUND-0102-V1.0</x:v>
      </x:c>
      <x:c r="B108" s="214" t="str">
        <x:v>M11</x:v>
      </x:c>
      <x:c r="C108" s="214" t="str">
        <x:v>BOUND</x:v>
      </x:c>
      <x:c r="D108" s="216" t="n">
        <x:v>102</x:v>
      </x:c>
      <x:c r="E108" s="214" t="str">
        <x:v>V1.0</x:v>
      </x:c>
      <x:c r="F108" s="214" t="str">
        <x:v>位置远近只影响路径强弱不作绝对否决</x:v>
      </x:c>
      <x:c r="G108" s="214" t="str">
        <x:v>结构层</x:v>
      </x:c>
      <x:c r="H108" s="214" t="str">
        <x:v>其他</x:v>
      </x:c>
      <x:c r="I108" s="214" t="str">
        <x:v>十神组合边界</x:v>
      </x:c>
      <x:c r="J108" s="214" t="str">
        <x:v>多个十神</x:v>
      </x:c>
      <x:c r="K108" s="214" t="str">
        <x:v>核心十神隔位或遥隔</x:v>
      </x:c>
      <x:c r="L108" s="214" t="str">
        <x:v>仍存在透干、地支通路或中介连接</x:v>
      </x:c>
      <x:c r="M108" s="214" t="str">
        <x:v>远距降低直接性，但不自动否决</x:v>
      </x:c>
      <x:c r="N108" s="214" t="str">
        <x:v>相关十神均以M10有效力量为准，且不存在决定性失衡</x:v>
      </x:c>
      <x:c r="O108" s="214" t="str">
        <x:v>结合M09日主承载判断</x:v>
      </x:c>
      <x:c r="P108" s="214" t="str">
        <x:v>主体、客体、作用路径与力量匹配均达到最低要求</x:v>
      </x:c>
      <x:c r="Q108" s="214" t="str">
        <x:v>相关十神有根、有源、透达、清纯且关键通路稳定</x:v>
      </x:c>
      <x:c r="R108" s="214" t="str">
        <x:v>关键十神被合绊、被制、改性、失效或力量严重失衡</x:v>
      </x:c>
      <x:c r="S108" s="214" t="str">
        <x:v>存在第三十神恢复通路、清除破坏或重新形成平衡</x:v>
      </x:c>
      <x:c r="T108" s="214" t="str">
        <x:v>任一核心十神失效，或不存在真实作用路径</x:v>
      </x:c>
      <x:c r="U108" s="214" t="str">
        <x:v>特殊格局、从化或月令格局另转M14/M15复审</x:v>
      </x:c>
      <x:c r="V108" s="214" t="str">
        <x:v>待定</x:v>
      </x:c>
      <x:c r="W108" s="214" t="str">
        <x:v>形成局部生化、制化或承载结构</x:v>
      </x:c>
      <x:c r="X108" s="214" t="str">
        <x:v>否</x:v>
      </x:c>
      <x:c r="Y108" s="214" t="str">
        <x:v>对应格局候选转M14</x:v>
      </x:c>
      <x:c r="Z108" s="214" t="str">
        <x:v>组合位置边界</x:v>
      </x:c>
      <x:c r="AA108" s="214" t="str">
        <x:v>十神组合边界：当主体、客体、路径与力量匹配满足最低标准时，判“待定”；是否上升为格局转M14/M15。</x:v>
      </x:c>
      <x:c r="AB108" s="214" t="str">
        <x:v>较高</x:v>
      </x:c>
      <x:c r="AC108" s="214" t="str">
        <x:v>现代综合</x:v>
      </x:c>
      <x:c r="AD108" s="214" t="str">
        <x:v>十神同时出现不等于组合成立。M11须同时验证核心十神有效性、作用路径、力量匹配、日主承载、破坏因素与救应；组合成立也不等于格局成立。</x:v>
      </x:c>
      <x:c r="AE108" s="214" t="str">
        <x:v>核心十神隔位或遥隔；仍存在透干、地支通路或中介连接；作用路径稳定且无关键破坏，可按“十神组合边界”记录。</x:v>
      </x:c>
      <x:c r="AF108" s="214" t="str">
        <x:v>仅因“多个十神”同时出现，但核心十神无力、无作用路径或被关键因素破坏，不能判“十神组合边界”成立。</x:v>
      </x:c>
      <x:c r="AG108" s="214" t="str">
        <x:v>https://zh.wikisource.org/zh-hans/%E6%B7%B5%E6%B5%B7%E5%AD%90%E5%B9%B3 ; https://zh.wikisource.org/wiki/%E6%BB%B4%E5%A4%A9%E9%AB%93%E9%97%A1%E5%BE%AE</x:v>
      </x:c>
      <x:c r="AH108" s="214" t="str">
        <x:v>采用</x:v>
      </x:c>
      <x:c r="AI108" s="214" t="str">
        <x:v>初审</x:v>
      </x:c>
      <x:c r="AJ108" s="217" t="n">
        <x:v>46255</x:v>
      </x:c>
    </x:row>
    <x:row r="109">
      <x:c r="A109" s="214" t="str">
        <x:f>IF(OR(C109="",D109=""),"",B109&amp;"-"&amp;UPPER(C109)&amp;"-"&amp;TEXT(D109,"0000")&amp;"-"&amp;E109)</x:f>
        <x:v>M11-BOUND-0103-V1.0</x:v>
      </x:c>
      <x:c r="B109" s="214" t="str">
        <x:v>M11</x:v>
      </x:c>
      <x:c r="C109" s="214" t="str">
        <x:v>BOUND</x:v>
      </x:c>
      <x:c r="D109" s="216" t="n">
        <x:v>103</x:v>
      </x:c>
      <x:c r="E109" s="214" t="str">
        <x:v>V1.0</x:v>
      </x:c>
      <x:c r="F109" s="214" t="str">
        <x:v>藏干组合需要更严格验证透达和可调用性</x:v>
      </x:c>
      <x:c r="G109" s="214" t="str">
        <x:v>结构层</x:v>
      </x:c>
      <x:c r="H109" s="214" t="str">
        <x:v>其他</x:v>
      </x:c>
      <x:c r="I109" s="214" t="str">
        <x:v>十神组合边界</x:v>
      </x:c>
      <x:c r="J109" s="214" t="str">
        <x:v>多个十神</x:v>
      </x:c>
      <x:c r="K109" s="214" t="str">
        <x:v>核心十神主要藏支不透</x:v>
      </x:c>
      <x:c r="L109" s="214" t="str">
        <x:v>M08/M10显示其仍有效</x:v>
      </x:c>
      <x:c r="M109" s="214" t="str">
        <x:v>直接或可达的生克制化路径成立</x:v>
      </x:c>
      <x:c r="N109" s="214" t="str">
        <x:v>相关十神均以M10有效力量为准，且不存在决定性失衡</x:v>
      </x:c>
      <x:c r="O109" s="214" t="str">
        <x:v>结合M09日主承载判断</x:v>
      </x:c>
      <x:c r="P109" s="214" t="str">
        <x:v>隐性十神必须有足够有效性和作用通路</x:v>
      </x:c>
      <x:c r="Q109" s="214" t="str">
        <x:v>相关十神有根、有源、透达、清纯且关键通路稳定</x:v>
      </x:c>
      <x:c r="R109" s="214" t="str">
        <x:v>关键十神被合绊、被制、改性、失效或力量严重失衡</x:v>
      </x:c>
      <x:c r="S109" s="214" t="str">
        <x:v>存在第三十神恢复通路、清除破坏或重新形成平衡</x:v>
      </x:c>
      <x:c r="T109" s="214" t="str">
        <x:v>任一核心十神失效，或不存在真实作用路径</x:v>
      </x:c>
      <x:c r="U109" s="214" t="str">
        <x:v>特殊格局、从化或月令格局另转M14/M15复审</x:v>
      </x:c>
      <x:c r="V109" s="214" t="str">
        <x:v>弱成立</x:v>
      </x:c>
      <x:c r="W109" s="214" t="str">
        <x:v>形成局部生化、制化或承载结构</x:v>
      </x:c>
      <x:c r="X109" s="214" t="str">
        <x:v>条件性</x:v>
      </x:c>
      <x:c r="Y109" s="214" t="str">
        <x:v>对应格局候选转M14</x:v>
      </x:c>
      <x:c r="Z109" s="214" t="str">
        <x:v>藏干组合边界</x:v>
      </x:c>
      <x:c r="AA109" s="214" t="str">
        <x:v>十神组合边界：当主体、客体、路径与力量匹配满足最低标准时，判“弱成立”；是否上升为格局转M14/M15。</x:v>
      </x:c>
      <x:c r="AB109" s="214" t="str">
        <x:v>较高</x:v>
      </x:c>
      <x:c r="AC109" s="214" t="str">
        <x:v>现代综合</x:v>
      </x:c>
      <x:c r="AD109" s="214" t="str">
        <x:v>十神同时出现不等于组合成立。M11须同时验证核心十神有效性、作用路径、力量匹配、日主承载、破坏因素与救应；组合成立也不等于格局成立。</x:v>
      </x:c>
      <x:c r="AE109" s="214" t="str">
        <x:v>核心十神主要藏支不透；M08/M10显示其仍有效；作用路径稳定且无关键破坏，可按“十神组合边界”记录。</x:v>
      </x:c>
      <x:c r="AF109" s="214" t="str">
        <x:v>仅因“多个十神”同时出现，但核心十神无力、无作用路径或被关键因素破坏，不能判“十神组合边界”成立。</x:v>
      </x:c>
      <x:c r="AG109" s="214" t="str">
        <x:v>https://zh.wikisource.org/zh-hans/%E6%B7%B5%E6%B5%B7%E5%AD%90%E5%B9%B3 ; https://zh.wikisource.org/wiki/%E6%BB%B4%E5%A4%A9%E9%AB%93%E9%97%A1%E5%BE%AE</x:v>
      </x:c>
      <x:c r="AH109" s="214" t="str">
        <x:v>采用</x:v>
      </x:c>
      <x:c r="AI109" s="214" t="str">
        <x:v>初审</x:v>
      </x:c>
      <x:c r="AJ109" s="217" t="n">
        <x:v>46255</x:v>
      </x:c>
    </x:row>
    <x:row r="110">
      <x:c r="A110" s="214" t="str">
        <x:f>IF(OR(C110="",D110=""),"",B110&amp;"-"&amp;UPPER(C110)&amp;"-"&amp;TEXT(D110,"0000")&amp;"-"&amp;E110)</x:f>
        <x:v>M11-BOUND-0104-V1.0</x:v>
      </x:c>
      <x:c r="B110" s="214" t="str">
        <x:v>M11</x:v>
      </x:c>
      <x:c r="C110" s="214" t="str">
        <x:v>BOUND</x:v>
      </x:c>
      <x:c r="D110" s="216" t="n">
        <x:v>104</x:v>
      </x:c>
      <x:c r="E110" s="214" t="str">
        <x:v>V1.0</x:v>
      </x:c>
      <x:c r="F110" s="214" t="str">
        <x:v>同一十神可参加多个组合但不得重复全额计力</x:v>
      </x:c>
      <x:c r="G110" s="214" t="str">
        <x:v>结构层</x:v>
      </x:c>
      <x:c r="H110" s="214" t="str">
        <x:v>其他</x:v>
      </x:c>
      <x:c r="I110" s="214" t="str">
        <x:v>十神组合边界</x:v>
      </x:c>
      <x:c r="J110" s="214" t="str">
        <x:v>多个十神</x:v>
      </x:c>
      <x:c r="K110" s="214" t="str">
        <x:v>一个核心十神节点连接多个组合</x:v>
      </x:c>
      <x:c r="L110" s="214" t="str">
        <x:v>需分配其有效力量容量</x:v>
      </x:c>
      <x:c r="M110" s="214" t="str">
        <x:v>直接或可达的生克制化路径成立</x:v>
      </x:c>
      <x:c r="N110" s="214" t="str">
        <x:v>相关十神均以M10有效力量为准，且不存在决定性失衡</x:v>
      </x:c>
      <x:c r="O110" s="214" t="str">
        <x:v>结合M09日主承载判断</x:v>
      </x:c>
      <x:c r="P110" s="214" t="str">
        <x:v>各组合共享节点时记录容量竞争</x:v>
      </x:c>
      <x:c r="Q110" s="214" t="str">
        <x:v>相关十神有根、有源、透达、清纯且关键通路稳定</x:v>
      </x:c>
      <x:c r="R110" s="214" t="str">
        <x:v>关键十神被合绊、被制、改性、失效或力量严重失衡</x:v>
      </x:c>
      <x:c r="S110" s="214" t="str">
        <x:v>存在第三十神恢复通路、清除破坏或重新形成平衡</x:v>
      </x:c>
      <x:c r="T110" s="214" t="str">
        <x:v>任一核心十神失效，或不存在真实作用路径</x:v>
      </x:c>
      <x:c r="U110" s="214" t="str">
        <x:v>特殊格局、从化或月令格局另转M14/M15复审</x:v>
      </x:c>
      <x:c r="V110" s="214" t="str">
        <x:v>待定</x:v>
      </x:c>
      <x:c r="W110" s="214" t="str">
        <x:v>形成局部生化、制化或承载结构</x:v>
      </x:c>
      <x:c r="X110" s="214" t="str">
        <x:v>否</x:v>
      </x:c>
      <x:c r="Y110" s="214" t="str">
        <x:v>对应格局候选转M14</x:v>
      </x:c>
      <x:c r="Z110" s="214" t="str">
        <x:v>组合共享节点边界</x:v>
      </x:c>
      <x:c r="AA110" s="214" t="str">
        <x:v>十神组合边界：当主体、客体、路径与力量匹配满足最低标准时，判“待定”；是否上升为格局转M14/M15。</x:v>
      </x:c>
      <x:c r="AB110" s="214" t="str">
        <x:v>较高</x:v>
      </x:c>
      <x:c r="AC110" s="214" t="str">
        <x:v>现代综合</x:v>
      </x:c>
      <x:c r="AD110" s="214" t="str">
        <x:v>十神同时出现不等于组合成立。M11须同时验证核心十神有效性、作用路径、力量匹配、日主承载、破坏因素与救应；组合成立也不等于格局成立。</x:v>
      </x:c>
      <x:c r="AE110" s="214" t="str">
        <x:v>一个核心十神节点连接多个组合；需分配其有效力量容量；作用路径稳定且无关键破坏，可按“十神组合边界”记录。</x:v>
      </x:c>
      <x:c r="AF110" s="214" t="str">
        <x:v>仅因“多个十神”同时出现，但核心十神无力、无作用路径或被关键因素破坏，不能判“十神组合边界”成立。</x:v>
      </x:c>
      <x:c r="AG110" s="214" t="str">
        <x:v>https://zh.wikisource.org/zh-hans/%E6%B7%B5%E6%B5%B7%E5%AD%90%E5%B9%B3 ; https://zh.wikisource.org/wiki/%E6%BB%B4%E5%A4%A9%E9%AB%93%E9%97%A1%E5%BE%AE</x:v>
      </x:c>
      <x:c r="AH110" s="214" t="str">
        <x:v>采用</x:v>
      </x:c>
      <x:c r="AI110" s="214" t="str">
        <x:v>初审</x:v>
      </x:c>
      <x:c r="AJ110" s="217" t="n">
        <x:v>46255</x:v>
      </x:c>
    </x:row>
    <x:row r="111">
      <x:c r="A111" s="214" t="str">
        <x:f>IF(OR(C111="",D111=""),"",B111&amp;"-"&amp;UPPER(C111)&amp;"-"&amp;TEXT(D111,"0000")&amp;"-"&amp;E111)</x:f>
        <x:v>M11-BOUND-0105-V1.0</x:v>
      </x:c>
      <x:c r="B111" s="214" t="str">
        <x:v>M11</x:v>
      </x:c>
      <x:c r="C111" s="214" t="str">
        <x:v>BOUND</x:v>
      </x:c>
      <x:c r="D111" s="216" t="n">
        <x:v>105</x:v>
      </x:c>
      <x:c r="E111" s="214" t="str">
        <x:v>V1.0</x:v>
      </x:c>
      <x:c r="F111" s="214" t="str">
        <x:v>原局组合与岁运补成组合必须分开</x:v>
      </x:c>
      <x:c r="G111" s="214" t="str">
        <x:v>结构层</x:v>
      </x:c>
      <x:c r="H111" s="214" t="str">
        <x:v>其他</x:v>
      </x:c>
      <x:c r="I111" s="214" t="str">
        <x:v>十神组合边界</x:v>
      </x:c>
      <x:c r="J111" s="214" t="str">
        <x:v>多个十神</x:v>
      </x:c>
      <x:c r="K111" s="214" t="str">
        <x:v>原局尚缺某组合核心十神或关键路径</x:v>
      </x:c>
      <x:c r="L111" s="214" t="str">
        <x:v>未来岁运可能补足</x:v>
      </x:c>
      <x:c r="M111" s="214" t="str">
        <x:v>直接或可达的生克制化路径成立</x:v>
      </x:c>
      <x:c r="N111" s="214" t="str">
        <x:v>相关十神均以M10有效力量为准，且不存在决定性失衡</x:v>
      </x:c>
      <x:c r="O111" s="214" t="str">
        <x:v>结合M09日主承载判断</x:v>
      </x:c>
      <x:c r="P111" s="214" t="str">
        <x:v>主体、客体、作用路径与力量匹配均达到最低要求</x:v>
      </x:c>
      <x:c r="Q111" s="214" t="str">
        <x:v>相关十神有根、有源、透达、清纯且关键通路稳定</x:v>
      </x:c>
      <x:c r="R111" s="214" t="str">
        <x:v>关键十神被合绊、被制、改性、失效或力量严重失衡</x:v>
      </x:c>
      <x:c r="S111" s="214" t="str">
        <x:v>存在第三十神恢复通路、清除破坏或重新形成平衡</x:v>
      </x:c>
      <x:c r="T111" s="214" t="str">
        <x:v>任一核心十神失效，或不存在真实作用路径</x:v>
      </x:c>
      <x:c r="U111" s="214" t="str">
        <x:v>岁运补成转动态作用引擎</x:v>
      </x:c>
      <x:c r="V111" s="214" t="str">
        <x:v>不成立</x:v>
      </x:c>
      <x:c r="W111" s="214" t="str">
        <x:v>原局不提前认定</x:v>
      </x:c>
      <x:c r="X111" s="214" t="str">
        <x:v>否</x:v>
      </x:c>
      <x:c r="Y111" s="214" t="str">
        <x:v>对应格局候选转M14</x:v>
      </x:c>
      <x:c r="Z111" s="214" t="str">
        <x:v>组合静动态边界</x:v>
      </x:c>
      <x:c r="AA111" s="214" t="str">
        <x:v>十神组合边界：当主体、客体、路径与力量匹配满足最低标准时，判“不成立”；是否上升为格局转M14/M15。</x:v>
      </x:c>
      <x:c r="AB111" s="214" t="str">
        <x:v>较高</x:v>
      </x:c>
      <x:c r="AC111" s="214" t="str">
        <x:v>现代综合</x:v>
      </x:c>
      <x:c r="AD111" s="214" t="str">
        <x:v>十神同时出现不等于组合成立。M11须同时验证核心十神有效性、作用路径、力量匹配、日主承载、破坏因素与救应；组合成立也不等于格局成立。</x:v>
      </x:c>
      <x:c r="AE111" s="214" t="str">
        <x:v>原局尚缺某组合核心十神或关键路径；未来岁运可能补足；作用路径稳定且无关键破坏，可按“十神组合边界”记录。</x:v>
      </x:c>
      <x:c r="AF111" s="214" t="str">
        <x:v>仅因“多个十神”同时出现，但核心十神无力、无作用路径或被关键因素破坏，不能判“十神组合边界”成立。</x:v>
      </x:c>
      <x:c r="AG111" s="214" t="str">
        <x:v>https://zh.wikisource.org/zh-hans/%E6%B7%B5%E6%B5%B7%E5%AD%90%E5%B9%B3 ; https://zh.wikisource.org/wiki/%E6%BB%B4%E5%A4%A9%E9%AB%93%E9%97%A1%E5%BE%AE</x:v>
      </x:c>
      <x:c r="AH111" s="214" t="str">
        <x:v>采用</x:v>
      </x:c>
      <x:c r="AI111" s="214" t="str">
        <x:v>初审</x:v>
      </x:c>
      <x:c r="AJ111" s="217" t="n">
        <x:v>46255</x:v>
      </x:c>
    </x:row>
    <x:row r="112">
      <x:c r="A112" s="214" t="str">
        <x:f>IF(OR(C112="",D112=""),"",B112&amp;"-"&amp;UPPER(C112)&amp;"-"&amp;TEXT(D112,"0000")&amp;"-"&amp;E112)</x:f>
        <x:v>M11-BOUND-0106-V1.0</x:v>
      </x:c>
      <x:c r="B112" s="214" t="str">
        <x:v>M11</x:v>
      </x:c>
      <x:c r="C112" s="214" t="str">
        <x:v>BOUND</x:v>
      </x:c>
      <x:c r="D112" s="216" t="n">
        <x:v>106</x:v>
      </x:c>
      <x:c r="E112" s="214" t="str">
        <x:v>V1.0</x:v>
      </x:c>
      <x:c r="F112" s="214" t="str">
        <x:v>组合成立不得直接推出吉凶与具体事件</x:v>
      </x:c>
      <x:c r="G112" s="214" t="str">
        <x:v>结构层</x:v>
      </x:c>
      <x:c r="H112" s="214" t="str">
        <x:v>其他</x:v>
      </x:c>
      <x:c r="I112" s="214" t="str">
        <x:v>十神组合边界</x:v>
      </x:c>
      <x:c r="J112" s="214" t="str">
        <x:v>多个十神</x:v>
      </x:c>
      <x:c r="K112" s="214" t="str">
        <x:v>任一组合达到基本成立以上</x:v>
      </x:c>
      <x:c r="L112" s="214" t="str">
        <x:v>现实价值仍需M14—M18及上层模型判断</x:v>
      </x:c>
      <x:c r="M112" s="214" t="str">
        <x:v>直接或可达的生克制化路径成立</x:v>
      </x:c>
      <x:c r="N112" s="214" t="str">
        <x:v>相关十神均以M10有效力量为准，且不存在决定性失衡</x:v>
      </x:c>
      <x:c r="O112" s="214" t="str">
        <x:v>结合M09日主承载判断</x:v>
      </x:c>
      <x:c r="P112" s="214" t="str">
        <x:v>主体、客体、作用路径与力量匹配均达到最低要求</x:v>
      </x:c>
      <x:c r="Q112" s="214" t="str">
        <x:v>相关十神有根、有源、透达、清纯且关键通路稳定</x:v>
      </x:c>
      <x:c r="R112" s="214" t="str">
        <x:v>关键十神被合绊、被制、改性、失效或力量严重失衡</x:v>
      </x:c>
      <x:c r="S112" s="214" t="str">
        <x:v>存在第三十神恢复通路、清除破坏或重新形成平衡</x:v>
      </x:c>
      <x:c r="T112" s="214" t="str">
        <x:v>任一核心十神失效，或不存在真实作用路径</x:v>
      </x:c>
      <x:c r="U112" s="214" t="str">
        <x:v>特殊格局、从化或月令格局另转M14/M15复审</x:v>
      </x:c>
      <x:c r="V112" s="214" t="str">
        <x:v>待定</x:v>
      </x:c>
      <x:c r="W112" s="214" t="str">
        <x:v>保持结构层边界</x:v>
      </x:c>
      <x:c r="X112" s="214" t="str">
        <x:v>待定</x:v>
      </x:c>
      <x:c r="Y112" s="214" t="str">
        <x:v>对应格局候选转M14</x:v>
      </x:c>
      <x:c r="Z112" s="214" t="str">
        <x:v>组合事件边界</x:v>
      </x:c>
      <x:c r="AA112" s="214" t="str">
        <x:v>十神组合边界：当主体、客体、路径与力量匹配满足最低标准时，判“待定”；是否上升为格局转M14/M15。</x:v>
      </x:c>
      <x:c r="AB112" s="214" t="str">
        <x:v>较高</x:v>
      </x:c>
      <x:c r="AC112" s="214" t="str">
        <x:v>现代综合</x:v>
      </x:c>
      <x:c r="AD112" s="214" t="str">
        <x:v>十神同时出现不等于组合成立。M11须同时验证核心十神有效性、作用路径、力量匹配、日主承载、破坏因素与救应；组合成立也不等于格局成立。</x:v>
      </x:c>
      <x:c r="AE112" s="214" t="str">
        <x:v>任一组合达到基本成立以上；现实价值仍需M14—M18及上层模型判断；作用路径稳定且无关键破坏，可按“十神组合边界”记录。</x:v>
      </x:c>
      <x:c r="AF112" s="214" t="str">
        <x:v>仅因“多个十神”同时出现，但核心十神无力、无作用路径或被关键因素破坏，不能判“十神组合边界”成立。</x:v>
      </x:c>
      <x:c r="AG112" s="214" t="str">
        <x:v>https://zh.wikisource.org/zh-hans/%E6%B7%B5%E6%B5%B7%E5%AD%90%E5%B9%B3 ; https://zh.wikisource.org/wiki/%E6%BB%B4%E5%A4%A9%E9%AB%93%E9%97%A1%E5%BE%AE</x:v>
      </x:c>
      <x:c r="AH112" s="214" t="str">
        <x:v>采用</x:v>
      </x:c>
      <x:c r="AI112" s="214" t="str">
        <x:v>初审</x:v>
      </x:c>
      <x:c r="AJ112" s="217" t="n">
        <x:v>46255</x:v>
      </x:c>
    </x:row>
    <x:row r="113">
      <x:c r="A113" s="214" t="str">
        <x:f>IF(OR(C113="",D113=""),"",B113&amp;"-"&amp;UPPER(C113)&amp;"-"&amp;TEXT(D113,"0000")&amp;"-"&amp;E113)</x:f>
        <x:v>M11-BOUND-0107-V1.0</x:v>
      </x:c>
      <x:c r="B113" s="214" t="str">
        <x:v>M11</x:v>
      </x:c>
      <x:c r="C113" s="214" t="str">
        <x:v>BOUND</x:v>
      </x:c>
      <x:c r="D113" s="216" t="n">
        <x:v>107</x:v>
      </x:c>
      <x:c r="E113" s="214" t="str">
        <x:v>V1.0</x:v>
      </x:c>
      <x:c r="F113" s="214" t="str">
        <x:v>病态组合也可能有救应不能只看名称</x:v>
      </x:c>
      <x:c r="G113" s="214" t="str">
        <x:v>结构层</x:v>
      </x:c>
      <x:c r="H113" s="214" t="str">
        <x:v>其他</x:v>
      </x:c>
      <x:c r="I113" s="214" t="str">
        <x:v>十神组合边界</x:v>
      </x:c>
      <x:c r="J113" s="214" t="str">
        <x:v>多个十神</x:v>
      </x:c>
      <x:c r="K113" s="214" t="str">
        <x:v>伤官见官、枭夺食、官杀混杂等被识别</x:v>
      </x:c>
      <x:c r="L113" s="214" t="str">
        <x:v>存在印、财、合制或主从清化等救应</x:v>
      </x:c>
      <x:c r="M113" s="214" t="str">
        <x:v>直接或可达的生克制化路径成立</x:v>
      </x:c>
      <x:c r="N113" s="214" t="str">
        <x:v>相关十神均以M10有效力量为准，且不存在决定性失衡</x:v>
      </x:c>
      <x:c r="O113" s="214" t="str">
        <x:v>结合M09日主承载判断</x:v>
      </x:c>
      <x:c r="P113" s="214" t="str">
        <x:v>同时输出病态强度与救应有效性</x:v>
      </x:c>
      <x:c r="Q113" s="214" t="str">
        <x:v>相关十神有根、有源、透达、清纯且关键通路稳定</x:v>
      </x:c>
      <x:c r="R113" s="214" t="str">
        <x:v>关键十神被合绊、被制、改性、失效或力量严重失衡</x:v>
      </x:c>
      <x:c r="S113" s="214" t="str">
        <x:v>存在第三十神恢复通路、清除破坏或重新形成平衡</x:v>
      </x:c>
      <x:c r="T113" s="214" t="str">
        <x:v>任一核心十神失效，或不存在真实作用路径</x:v>
      </x:c>
      <x:c r="U113" s="214" t="str">
        <x:v>特殊格局、从化或月令格局另转M14/M15复审</x:v>
      </x:c>
      <x:c r="V113" s="214" t="str">
        <x:v>待定</x:v>
      </x:c>
      <x:c r="W113" s="214" t="str">
        <x:v>形成局部生化、制化或承载结构</x:v>
      </x:c>
      <x:c r="X113" s="214" t="str">
        <x:v>条件性</x:v>
      </x:c>
      <x:c r="Y113" s="214" t="str">
        <x:v>对应格局候选转M14</x:v>
      </x:c>
      <x:c r="Z113" s="214" t="str">
        <x:v>病态组合救应边界</x:v>
      </x:c>
      <x:c r="AA113" s="214" t="str">
        <x:v>十神组合边界：当主体、客体、路径与力量匹配满足最低标准时，判“待定”；是否上升为格局转M14/M15。</x:v>
      </x:c>
      <x:c r="AB113" s="214" t="str">
        <x:v>较高</x:v>
      </x:c>
      <x:c r="AC113" s="214" t="str">
        <x:v>现代综合</x:v>
      </x:c>
      <x:c r="AD113" s="214" t="str">
        <x:v>十神同时出现不等于组合成立。M11须同时验证核心十神有效性、作用路径、力量匹配、日主承载、破坏因素与救应；组合成立也不等于格局成立。</x:v>
      </x:c>
      <x:c r="AE113" s="214" t="str">
        <x:v>伤官见官、枭夺食、官杀混杂等被识别；存在印、财、合制或主从清化等救应；作用路径稳定且无关键破坏，可按“十神组合边界”记录。</x:v>
      </x:c>
      <x:c r="AF113" s="214" t="str">
        <x:v>仅因“多个十神”同时出现，但核心十神无力、无作用路径或被关键因素破坏，不能判“十神组合边界”成立。</x:v>
      </x:c>
      <x:c r="AG113" s="214" t="str">
        <x:v>https://zh.wikisource.org/zh-hans/%E6%B7%B5%E6%B5%B7%E5%AD%90%E5%B9%B3 ; https://zh.wikisource.org/wiki/%E6%BB%B4%E5%A4%A9%E9%AB%93%E9%97%A1%E5%BE%AE</x:v>
      </x:c>
      <x:c r="AH113" s="214" t="str">
        <x:v>采用</x:v>
      </x:c>
      <x:c r="AI113" s="214" t="str">
        <x:v>初审</x:v>
      </x:c>
      <x:c r="AJ113" s="217" t="n">
        <x:v>46255</x:v>
      </x:c>
    </x:row>
    <x:row r="114">
      <x:c r="A114" s="214" t="str">
        <x:f>IF(OR(C114="",D114=""),"",B114&amp;"-"&amp;UPPER(C114)&amp;"-"&amp;TEXT(D114,"0000")&amp;"-"&amp;E114)</x:f>
        <x:v>M11-BOUND-0108-V1.0</x:v>
      </x:c>
      <x:c r="B114" s="214" t="str">
        <x:v>M11</x:v>
      </x:c>
      <x:c r="C114" s="214" t="str">
        <x:v>BOUND</x:v>
      </x:c>
      <x:c r="D114" s="216" t="n">
        <x:v>108</x:v>
      </x:c>
      <x:c r="E114" s="214" t="str">
        <x:v>V1.0</x:v>
      </x:c>
      <x:c r="F114" s="214" t="str">
        <x:v>传统口诀必须条件化落地</x:v>
      </x:c>
      <x:c r="G114" s="214" t="str">
        <x:v>结构层</x:v>
      </x:c>
      <x:c r="H114" s="214" t="str">
        <x:v>其他</x:v>
      </x:c>
      <x:c r="I114" s="214" t="str">
        <x:v>十神组合边界</x:v>
      </x:c>
      <x:c r="J114" s="214" t="str">
        <x:v>多个十神</x:v>
      </x:c>
      <x:c r="K114" s="214" t="str">
        <x:v>古籍存在“见某即某”式口诀</x:v>
      </x:c>
      <x:c r="L114" s="214" t="str">
        <x:v>现代规则库需还原其适用前提、强弱与例外</x:v>
      </x:c>
      <x:c r="M114" s="214" t="str">
        <x:v>直接或可达的生克制化路径成立</x:v>
      </x:c>
      <x:c r="N114" s="214" t="str">
        <x:v>相关十神均以M10有效力量为准，且不存在决定性失衡</x:v>
      </x:c>
      <x:c r="O114" s="214" t="str">
        <x:v>结合M09日主承载判断</x:v>
      </x:c>
      <x:c r="P114" s="214" t="str">
        <x:v>主体、客体、作用路径与力量匹配均达到最低要求</x:v>
      </x:c>
      <x:c r="Q114" s="214" t="str">
        <x:v>相关十神有根、有源、透达、清纯且关键通路稳定</x:v>
      </x:c>
      <x:c r="R114" s="214" t="str">
        <x:v>关键十神被合绊、被制、改性、失效或力量严重失衡</x:v>
      </x:c>
      <x:c r="S114" s="214" t="str">
        <x:v>存在第三十神恢复通路、清除破坏或重新形成平衡</x:v>
      </x:c>
      <x:c r="T114" s="214" t="str">
        <x:v>任一核心十神失效，或不存在真实作用路径</x:v>
      </x:c>
      <x:c r="U114" s="214" t="str">
        <x:v>特殊格局、从化或月令格局另转M14/M15复审</x:v>
      </x:c>
      <x:c r="V114" s="214" t="str">
        <x:v>基本成立</x:v>
      </x:c>
      <x:c r="W114" s="214" t="str">
        <x:v>将口诀转成条件规则</x:v>
      </x:c>
      <x:c r="X114" s="214" t="str">
        <x:v>条件性</x:v>
      </x:c>
      <x:c r="Y114" s="214" t="str">
        <x:v>对应格局候选转M14</x:v>
      </x:c>
      <x:c r="Z114" s="214" t="str">
        <x:v>口诀条件化治理</x:v>
      </x:c>
      <x:c r="AA114" s="214" t="str">
        <x:v>十神组合边界：当主体、客体、路径与力量匹配满足最低标准时，判“基本成立”；是否上升为格局转M14/M15。</x:v>
      </x:c>
      <x:c r="AB114" s="214" t="str">
        <x:v>中等</x:v>
      </x:c>
      <x:c r="AC114" s="214" t="str">
        <x:v>现代综合</x:v>
      </x:c>
      <x:c r="AD114" s="214" t="str">
        <x:v>十神同时出现不等于组合成立。M11须同时验证核心十神有效性、作用路径、力量匹配、日主承载、破坏因素与救应；组合成立也不等于格局成立。</x:v>
      </x:c>
      <x:c r="AE114" s="214" t="str">
        <x:v>古籍存在“见某即某”式口诀；现代规则库需还原其适用前提、强弱与例外；作用路径稳定且无关键破坏，可按“十神组合边界”记录。</x:v>
      </x:c>
      <x:c r="AF114" s="214" t="str">
        <x:v>仅因“多个十神”同时出现，但核心十神无力、无作用路径或被关键因素破坏，不能判“十神组合边界”成立。</x:v>
      </x:c>
      <x:c r="AG114" s="214" t="str">
        <x:v>https://zh.wikisource.org/zh-hans/%E6%B7%B5%E6%B5%B7%E5%AD%90%E5%B9%B3 ; https://zh.wikisource.org/wiki/%E6%BB%B4%E5%A4%A9%E9%AB%93%E9%97%A1%E5%BE%AE</x:v>
      </x:c>
      <x:c r="AH114" s="214" t="str">
        <x:v>待验证</x:v>
      </x:c>
      <x:c r="AI114" s="214" t="str">
        <x:v>初审</x:v>
      </x:c>
      <x:c r="AJ114" s="217" t="n">
        <x:v>46255</x:v>
      </x:c>
    </x:row>
    <x:row r="115">
      <x:c r="A115" s="214" t="str">
        <x:f>IF(OR(C115="",D115=""),"",B115&amp;"-"&amp;UPPER(C115)&amp;"-"&amp;TEXT(D115,"0000")&amp;"-"&amp;E115)</x:f>
        <x:v>M11-BOUND-0109-V1.0</x:v>
      </x:c>
      <x:c r="B115" s="214" t="str">
        <x:v>M11</x:v>
      </x:c>
      <x:c r="C115" s="214" t="str">
        <x:v>BOUND</x:v>
      </x:c>
      <x:c r="D115" s="216" t="n">
        <x:v>109</x:v>
      </x:c>
      <x:c r="E115" s="214" t="str">
        <x:v>V1.0</x:v>
      </x:c>
      <x:c r="F115" s="214" t="str">
        <x:v>流派分歧组合进入M21治理</x:v>
      </x:c>
      <x:c r="G115" s="214" t="str">
        <x:v>结构层</x:v>
      </x:c>
      <x:c r="H115" s="214" t="str">
        <x:v>其他</x:v>
      </x:c>
      <x:c r="I115" s="214" t="str">
        <x:v>十神组合边界</x:v>
      </x:c>
      <x:c r="J115" s="214" t="str">
        <x:v>多个十神</x:v>
      </x:c>
      <x:c r="K115" s="214" t="str">
        <x:v>某组合的成立门槛、位置权重或吉凶解释存在显著流派差异</x:v>
      </x:c>
      <x:c r="L115" s="214" t="str">
        <x:v>不能形成稳定跨流派共识</x:v>
      </x:c>
      <x:c r="M115" s="214" t="str">
        <x:v>直接或可达的生克制化路径成立</x:v>
      </x:c>
      <x:c r="N115" s="214" t="str">
        <x:v>相关十神均以M10有效力量为准，且不存在决定性失衡</x:v>
      </x:c>
      <x:c r="O115" s="214" t="str">
        <x:v>结合M09日主承载判断</x:v>
      </x:c>
      <x:c r="P115" s="214" t="str">
        <x:v>主体、客体、作用路径与力量匹配均达到最低要求</x:v>
      </x:c>
      <x:c r="Q115" s="214" t="str">
        <x:v>相关十神有根、有源、透达、清纯且关键通路稳定</x:v>
      </x:c>
      <x:c r="R115" s="214" t="str">
        <x:v>关键十神被合绊、被制、改性、失效或力量严重失衡</x:v>
      </x:c>
      <x:c r="S115" s="214" t="str">
        <x:v>存在第三十神恢复通路、清除破坏或重新形成平衡</x:v>
      </x:c>
      <x:c r="T115" s="214" t="str">
        <x:v>任一核心十神失效，或不存在真实作用路径</x:v>
      </x:c>
      <x:c r="U115" s="214" t="str">
        <x:v>在M21登记争议、采用口径和反证</x:v>
      </x:c>
      <x:c r="V115" s="214" t="str">
        <x:v>待定</x:v>
      </x:c>
      <x:c r="W115" s="214" t="str">
        <x:v>形成局部生化、制化或承载结构</x:v>
      </x:c>
      <x:c r="X115" s="214" t="str">
        <x:v>条件性</x:v>
      </x:c>
      <x:c r="Y115" s="214" t="str">
        <x:v>对应格局候选转M14</x:v>
      </x:c>
      <x:c r="Z115" s="214" t="str">
        <x:v>组合流派治理</x:v>
      </x:c>
      <x:c r="AA115" s="214" t="str">
        <x:v>十神组合边界：当主体、客体、路径与力量匹配满足最低标准时，判“待定”；是否上升为格局转M14/M15。</x:v>
      </x:c>
      <x:c r="AB115" s="214" t="str">
        <x:v>中等</x:v>
      </x:c>
      <x:c r="AC115" s="214" t="str">
        <x:v>现代综合</x:v>
      </x:c>
      <x:c r="AD115" s="214" t="str">
        <x:v>十神同时出现不等于组合成立。M11须同时验证核心十神有效性、作用路径、力量匹配、日主承载、破坏因素与救应；组合成立也不等于格局成立。</x:v>
      </x:c>
      <x:c r="AE115" s="214" t="str">
        <x:v>某组合的成立门槛、位置权重或吉凶解释存在显著流派差异；不能形成稳定跨流派共识；作用路径稳定且无关键破坏，可按“十神组合边界”记录。</x:v>
      </x:c>
      <x:c r="AF115" s="214" t="str">
        <x:v>仅因“多个十神”同时出现，但核心十神无力、无作用路径或被关键因素破坏，不能判“十神组合边界”成立。</x:v>
      </x:c>
      <x:c r="AG115" s="214" t="str">
        <x:v>https://zh.wikisource.org/zh-hans/%E6%B7%B5%E6%B5%B7%E5%AD%90%E5%B9%B3 ; https://zh.wikisource.org/wiki/%E6%BB%B4%E5%A4%A9%E9%AB%93%E9%97%A1%E5%BE%AE</x:v>
      </x:c>
      <x:c r="AH115" s="214" t="str">
        <x:v>待验证</x:v>
      </x:c>
      <x:c r="AI115" s="214" t="str">
        <x:v>初审</x:v>
      </x:c>
      <x:c r="AJ115" s="217" t="n">
        <x:v>46255</x:v>
      </x:c>
    </x:row>
    <x:row r="116">
      <x:c r="A116" s="214" t="str">
        <x:f>IF(OR(C116="",D116=""),"",B116&amp;"-"&amp;UPPER(C116)&amp;"-"&amp;TEXT(D116,"0000")&amp;"-"&amp;E116)</x:f>
        <x:v>M11-BOUND-0110-V1.0</x:v>
      </x:c>
      <x:c r="B116" s="214" t="str">
        <x:v>M11</x:v>
      </x:c>
      <x:c r="C116" s="214" t="str">
        <x:v>BOUND</x:v>
      </x:c>
      <x:c r="D116" s="216" t="n">
        <x:v>110</x:v>
      </x:c>
      <x:c r="E116" s="214" t="str">
        <x:v>V1.0</x:v>
      </x:c>
      <x:c r="F116" s="214" t="str">
        <x:v>M11标准输出必须给出成立等级与否决理由</x:v>
      </x:c>
      <x:c r="G116" s="214" t="str">
        <x:v>结构层</x:v>
      </x:c>
      <x:c r="H116" s="214" t="str">
        <x:v>其他</x:v>
      </x:c>
      <x:c r="I116" s="214" t="str">
        <x:v>十神组合边界</x:v>
      </x:c>
      <x:c r="J116" s="214" t="str">
        <x:v>多个十神</x:v>
      </x:c>
      <x:c r="K116" s="214" t="str">
        <x:v>M11完成所有候选组合评估</x:v>
      </x:c>
      <x:c r="L116" s="214" t="str">
        <x:v>每个候选均需要明确为何成立、为何降级或为何不成立</x:v>
      </x:c>
      <x:c r="M116" s="214" t="str">
        <x:v>直接或可达的生克制化路径成立</x:v>
      </x:c>
      <x:c r="N116" s="214" t="str">
        <x:v>相关十神均以M10有效力量为准，且不存在决定性失衡</x:v>
      </x:c>
      <x:c r="O116" s="214" t="str">
        <x:v>结合M09日主承载判断</x:v>
      </x:c>
      <x:c r="P116" s="214" t="str">
        <x:v>成立条件、破坏、救应、否决和日主承载均有记录</x:v>
      </x:c>
      <x:c r="Q116" s="214" t="str">
        <x:v>相关十神有根、有源、透达、清纯且关键通路稳定</x:v>
      </x:c>
      <x:c r="R116" s="214" t="str">
        <x:v>关键十神被合绊、被制、改性、失效或力量严重失衡</x:v>
      </x:c>
      <x:c r="S116" s="214" t="str">
        <x:v>存在第三十神恢复通路、清除破坏或重新形成平衡</x:v>
      </x:c>
      <x:c r="T116" s="214" t="str">
        <x:v>任一核心十神失效，或不存在真实作用路径</x:v>
      </x:c>
      <x:c r="U116" s="214" t="str">
        <x:v>特殊格局、从化或月令格局另转M14/M15复审</x:v>
      </x:c>
      <x:c r="V116" s="214" t="str">
        <x:v>待定</x:v>
      </x:c>
      <x:c r="W116" s="214" t="str">
        <x:v>形成可审计组合输出</x:v>
      </x:c>
      <x:c r="X116" s="214" t="str">
        <x:v>待定</x:v>
      </x:c>
      <x:c r="Y116" s="214" t="str">
        <x:v>对应格局候选转M14</x:v>
      </x:c>
      <x:c r="Z116" s="214" t="str">
        <x:v>组合标准输出</x:v>
      </x:c>
      <x:c r="AA116" s="214" t="str">
        <x:v>M11最终输出：组合名称、核心十神、作用路径、力量匹配、日主承载、成立等级、实际功能、主要破坏、救应、否决理由、格局候选资格和置信度。</x:v>
      </x:c>
      <x:c r="AB116" s="214" t="str">
        <x:v>较高</x:v>
      </x:c>
      <x:c r="AC116" s="214" t="str">
        <x:v>现代综合</x:v>
      </x:c>
      <x:c r="AD116" s="214" t="str">
        <x:v>十神同时出现不等于组合成立。M11须同时验证核心十神有效性、作用路径、力量匹配、日主承载、破坏因素与救应；组合成立也不等于格局成立。</x:v>
      </x:c>
      <x:c r="AE116" s="214" t="str">
        <x:v>M11完成所有候选组合评估；每个候选均需要明确为何成立、为何降级或为何不成立；作用路径稳定且无关键破坏，可按“十神组合边界”记录。</x:v>
      </x:c>
      <x:c r="AF116" s="214" t="str">
        <x:v>仅因“多个十神”同时出现，但核心十神无力、无作用路径或被关键因素破坏，不能判“十神组合边界”成立。</x:v>
      </x:c>
      <x:c r="AG116" s="214" t="str">
        <x:v>https://zh.wikisource.org/zh-hans/%E6%B7%B5%E6%B5%B7%E5%AD%90%E5%B9%B3 ; https://zh.wikisource.org/wiki/%E6%BB%B4%E5%A4%A9%E9%AB%93%E9%97%A1%E5%BE%AE</x:v>
      </x:c>
      <x:c r="AH116" s="214" t="str">
        <x:v>采用</x:v>
      </x:c>
      <x:c r="AI116" s="214" t="str">
        <x:v>初审</x:v>
      </x:c>
      <x:c r="AJ116" s="217" t="n">
        <x:v>46255</x:v>
      </x:c>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 type="list" sqref="E7:E116">
      <x:formula1>'99_下拉选项'!$BG$4:$BG$22</x:formula1>
    </x:dataValidation>
    <x:dataValidation type="list" sqref="G7:G116">
      <x:formula1>'99_下拉选项'!$F$4:$F$7</x:formula1>
    </x:dataValidation>
    <x:dataValidation type="list" sqref="H7:H116">
      <x:formula1>'99_下拉选项'!$AQ$4:$AQ$8</x:formula1>
    </x:dataValidation>
    <x:dataValidation type="list" sqref="V7:V116">
      <x:formula1>'99_下拉选项'!$V$4:$V$9</x:formula1>
    </x:dataValidation>
    <x:dataValidation type="list" sqref="X7:X116">
      <x:formula1>'99_下拉选项'!$X$4:$X$7</x:formula1>
    </x:dataValidation>
    <x:dataValidation type="list" sqref="AB7:AB116">
      <x:formula1>'99_下拉选项'!$Q$4:$Q$8</x:formula1>
    </x:dataValidation>
    <x:dataValidation type="list" sqref="AC7:AC116">
      <x:formula1>'99_下拉选项'!$R$4:$R$11</x:formula1>
    </x:dataValidation>
    <x:dataValidation type="list" sqref="AH7:AH116">
      <x:formula1>'99_下拉选项'!$S$4:$S$9</x:formula1>
    </x:dataValidation>
    <x:dataValidation type="list" sqref="AI7:AI116">
      <x:formula1>'99_下拉选项'!$T$4:$T$8</x:formula1>
    </x:dataValidation>
  </x:dataValidations>
  <x:pageMargins left="0.7" right="0.7" top="0.75" bottom="0.75" header="0.3" footer="0.3"/>
  <x:tableParts count="1">
    <x:tablePart xmlns:r="http://schemas.openxmlformats.org/officeDocument/2006/relationships" r:id="Rd11737ac8020418c"/>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v>M12-GEN-0001-V1.0</x:v>
      </x:c>
      <x:c r="B7" s="74" t="str">
        <x:v>M12</x:v>
      </x:c>
      <x:c r="C7" s="74" t="str">
        <x:v>GEN</x:v>
      </x:c>
      <x:c r="D7" s="215" t="n">
        <x:v>1</x:v>
      </x:c>
      <x:c r="E7" s="74" t="str">
        <x:v>V1.0</x:v>
      </x:c>
      <x:c r="F7" s="68" t="str">
        <x:v>所有流通判断统一使用起点—桥梁—终点模型</x:v>
      </x:c>
      <x:c r="G7" s="82" t="str">
        <x:v>结构层</x:v>
      </x:c>
      <x:c r="H7" s="68" t="str">
        <x:v>五行生化路径</x:v>
      </x:c>
      <x:c r="I7" s="68" t="str">
        <x:v>待定</x:v>
      </x:c>
      <x:c r="J7" s="68" t="str">
        <x:v>待定</x:v>
      </x:c>
      <x:c r="K7" s="68" t="str">
        <x:v>待定</x:v>
      </x:c>
      <x:c r="L7" s="82" t="str">
        <x:v>待定</x:v>
      </x:c>
      <x:c r="M7" s="82" t="str">
        <x:v>待定</x:v>
      </x:c>
      <x:c r="N7" s="68" t="str">
        <x:v>待定</x:v>
      </x:c>
      <x:c r="O7" s="68" t="str">
        <x:v>待定</x:v>
      </x:c>
      <x:c r="P7" s="68" t="str">
        <x:v>待定</x:v>
      </x:c>
      <x:c r="Q7" s="82" t="str">
        <x:v>待定</x:v>
      </x:c>
      <x:c r="R7" s="82" t="str">
        <x:v>其他</x:v>
      </x:c>
      <x:c r="S7" s="68" t="str">
        <x:v>待定</x:v>
      </x:c>
      <x:c r="T7" s="68" t="str">
        <x:v>流通结论需要至少明确力量从何处出发、经过什么节点、最终由谁承接</x:v>
      </x:c>
      <x:c r="U7" s="68" t="str">
        <x:v>待定</x:v>
      </x:c>
      <x:c r="V7" s="68" t="str">
        <x:v>待定</x:v>
      </x:c>
      <x:c r="W7" s="90" t="str">
        <x:v>需检查对调候、格局、日主承载及其他通路的副作用</x:v>
      </x:c>
      <x:c r="X7" s="68" t="str">
        <x:v>M06关系效应、M08五行有效旺衰、M10十神功能与M11组合判断已完成</x:v>
      </x:c>
      <x:c r="Y7" s="68" t="str">
        <x:v>起点、桥梁、终点均按有效力量与实际作用路径判断</x:v>
      </x:c>
      <x:c r="Z7" s="68" t="str">
        <x:v>桥梁有根有源、透达、位置可达且不存在关键制约</x:v>
      </x:c>
      <x:c r="AA7" s="68" t="str">
        <x:v>桥梁失令、无根、受克、合绊、改性或同时被多路调用</x:v>
      </x:c>
      <x:c r="AB7" s="90" t="str">
        <x:v>不得仅因五行缺失、数量少或关系名称直接认定卡点或通关用神</x:v>
      </x:c>
      <x:c r="AC7" s="68" t="str">
        <x:v>若存在更短、更强或副作用更小的替代路径，应并列比较后再裁定</x:v>
      </x:c>
      <x:c r="AD7" s="84" t="str">
        <x:v>流通三节点模型</x:v>
      </x:c>
      <x:c r="AE7" s="84" t="str">
        <x:v>所有流通判断统一使用起点—桥梁—终点模型：按起点—桥梁—终点检查有效力量、连续性与承载；卡点为“其他”时，仅生成通关候选，不直接定用神。</x:v>
      </x:c>
      <x:c r="AF7" s="82" t="str">
        <x:v>较高</x:v>
      </x:c>
      <x:c r="AG7" s="82" t="str">
        <x:v>现代综合</x:v>
      </x:c>
      <x:c r="AH7" s="68" t="str">
        <x:v>流通判断以五行有效力量、生克顺序与十神功能为核心；古典依据可参照《滴天髓》《渊海子平》。 https://zh.wikisource.org/wiki/%E6%BB%B4%E5%A4%A9%E9%AB%93%E9%97%A1%E5%BE%AE https://zh.wikisource.org/zh-hans/%E6%B7%B5%E6%B5%B7%E5%AD%90%E5%B9%B3</x:v>
      </x:c>
      <x:c r="AI7" s="68" t="str">
        <x:v>当“流通结论需要至少明确力量从何处出发、经过什么节点、最终由谁承接”真实成立，且桥梁具备有效力量和连续作用条件时，可按“所有流通判断统一使用起点—桥梁—终点模型”记录。</x:v>
      </x:c>
      <x:c r="AJ7" s="90" t="str">
        <x:v>仅见表面缺失或五行相克，但未证明“流通结论需要至少明确力量从何处出发、经过什么节点、最终由谁承接”形成实际阻断时，不得套用“所有流通判断统一使用起点—桥梁—终点模型”。</x:v>
      </x:c>
      <x:c r="AK7" s="82" t="str">
        <x:v>采用</x:v>
      </x:c>
      <x:c r="AL7" s="82" t="str">
        <x:v>初审</x:v>
      </x:c>
      <x:c r="AM7" s="87" t="n">
        <x:v>46255</x:v>
      </x:c>
    </x:row>
    <x:row r="8">
      <x:c r="A8" s="72" t="str">
        <x:f>IF(OR(C8="",D8=""),"",B8&amp;"-"&amp;UPPER(C8)&amp;"-"&amp;TEXT(D8,"0000")&amp;"-"&amp;E8)</x:f>
        <x:v>M12-GEN-0002-V1.0</x:v>
      </x:c>
      <x:c r="B8" s="74" t="str">
        <x:v>M12</x:v>
      </x:c>
      <x:c r="C8" s="74" t="str">
        <x:v>GEN</x:v>
      </x:c>
      <x:c r="D8" s="215" t="n">
        <x:v>2</x:v>
      </x:c>
      <x:c r="E8" s="74" t="str">
        <x:v>V1.0</x:v>
      </x:c>
      <x:c r="F8" s="68" t="str">
        <x:v>五行齐全不等于流通通畅</x:v>
      </x:c>
      <x:c r="G8" s="82" t="str">
        <x:v>结构层</x:v>
      </x:c>
      <x:c r="H8" s="68" t="str">
        <x:v>五行生化路径</x:v>
      </x:c>
      <x:c r="I8" s="68" t="str">
        <x:v>待定</x:v>
      </x:c>
      <x:c r="J8" s="68" t="str">
        <x:v>待定</x:v>
      </x:c>
      <x:c r="K8" s="68" t="str">
        <x:v>待定</x:v>
      </x:c>
      <x:c r="L8" s="82" t="str">
        <x:v>待定</x:v>
      </x:c>
      <x:c r="M8" s="82" t="str">
        <x:v>待定</x:v>
      </x:c>
      <x:c r="N8" s="68" t="str">
        <x:v>待定</x:v>
      </x:c>
      <x:c r="O8" s="68" t="str">
        <x:v>待定</x:v>
      </x:c>
      <x:c r="P8" s="68" t="str">
        <x:v>待定</x:v>
      </x:c>
      <x:c r="Q8" s="82" t="str">
        <x:v>待定</x:v>
      </x:c>
      <x:c r="R8" s="82" t="str">
        <x:v>其他</x:v>
      </x:c>
      <x:c r="S8" s="68" t="str">
        <x:v>待定</x:v>
      </x:c>
      <x:c r="T8" s="68" t="str">
        <x:v>五行虽齐，但桥梁可能失效、路径被克或终点无法承载</x:v>
      </x:c>
      <x:c r="U8" s="68" t="str">
        <x:v>待定</x:v>
      </x:c>
      <x:c r="V8" s="68" t="str">
        <x:v>待定</x:v>
      </x:c>
      <x:c r="W8" s="90" t="str">
        <x:v>需检查对调候、格局、日主承载及其他通路的副作用</x:v>
      </x:c>
      <x:c r="X8" s="68" t="str">
        <x:v>M06关系效应、M08五行有效旺衰、M10十神功能与M11组合判断已完成</x:v>
      </x:c>
      <x:c r="Y8" s="68" t="str">
        <x:v>起点、桥梁、终点均按有效力量与实际作用路径判断</x:v>
      </x:c>
      <x:c r="Z8" s="68" t="str">
        <x:v>桥梁有根有源、透达、位置可达且不存在关键制约</x:v>
      </x:c>
      <x:c r="AA8" s="68" t="str">
        <x:v>桥梁失令、无根、受克、合绊、改性或同时被多路调用</x:v>
      </x:c>
      <x:c r="AB8" s="90" t="str">
        <x:v>不得仅因五行缺失、数量少或关系名称直接认定卡点或通关用神</x:v>
      </x:c>
      <x:c r="AC8" s="68" t="str">
        <x:v>若存在更短、更强或副作用更小的替代路径，应并列比较后再裁定</x:v>
      </x:c>
      <x:c r="AD8" s="84" t="str">
        <x:v>五行齐全非充分条件</x:v>
      </x:c>
      <x:c r="AE8" s="84" t="str">
        <x:v>五行齐全不等于流通通畅：按起点—桥梁—终点检查有效力量、连续性与承载；卡点为“其他”时，仅生成通关候选，不直接定用神。</x:v>
      </x:c>
      <x:c r="AF8" s="82" t="str">
        <x:v>较高</x:v>
      </x:c>
      <x:c r="AG8" s="82" t="str">
        <x:v>现代综合</x:v>
      </x:c>
      <x:c r="AH8" s="68" t="str">
        <x:v>流通判断以五行有效力量、生克顺序与十神功能为核心；古典依据可参照《滴天髓》《渊海子平》。 https://zh.wikisource.org/wiki/%E6%BB%B4%E5%A4%A9%E9%AB%93%E9%97%A1%E5%BE%AE https://zh.wikisource.org/zh-hans/%E6%B7%B5%E6%B5%B7%E5%AD%90%E5%B9%B3</x:v>
      </x:c>
      <x:c r="AI8" s="68" t="str">
        <x:v>当“五行虽齐，但桥梁可能失效、路径被克或终点无法承载”真实成立，且桥梁具备有效力量和连续作用条件时，可按“五行齐全不等于流通通畅”记录。</x:v>
      </x:c>
      <x:c r="AJ8" s="90" t="str">
        <x:v>仅见表面缺失或五行相克，但未证明“五行虽齐，但桥梁可能失效、路径被克或终点无法承载”形成实际阻断时，不得套用“五行齐全不等于流通通畅”。</x:v>
      </x:c>
      <x:c r="AK8" s="82" t="str">
        <x:v>采用</x:v>
      </x:c>
      <x:c r="AL8" s="82" t="str">
        <x:v>初审</x:v>
      </x:c>
      <x:c r="AM8" s="87" t="n">
        <x:v>46255</x:v>
      </x:c>
    </x:row>
    <x:row r="9">
      <x:c r="A9" s="72" t="str">
        <x:f>IF(OR(C9="",D9=""),"",B9&amp;"-"&amp;UPPER(C9)&amp;"-"&amp;TEXT(D9,"0000")&amp;"-"&amp;E9)</x:f>
        <x:v>M12-GEN-0003-V1.0</x:v>
      </x:c>
      <x:c r="B9" s="74" t="str">
        <x:v>M12</x:v>
      </x:c>
      <x:c r="C9" s="74" t="str">
        <x:v>GEN</x:v>
      </x:c>
      <x:c r="D9" s="215" t="n">
        <x:v>3</x:v>
      </x:c>
      <x:c r="E9" s="74" t="str">
        <x:v>V1.0</x:v>
      </x:c>
      <x:c r="F9" s="68" t="str">
        <x:v>五行缺失不等于必然形成卡点</x:v>
      </x:c>
      <x:c r="G9" s="82" t="str">
        <x:v>结构层</x:v>
      </x:c>
      <x:c r="H9" s="68" t="str">
        <x:v>五行生化路径</x:v>
      </x:c>
      <x:c r="I9" s="68" t="str">
        <x:v>待定</x:v>
      </x:c>
      <x:c r="J9" s="68" t="str">
        <x:v>待定</x:v>
      </x:c>
      <x:c r="K9" s="68" t="str">
        <x:v>待定</x:v>
      </x:c>
      <x:c r="L9" s="82" t="str">
        <x:v>待定</x:v>
      </x:c>
      <x:c r="M9" s="82" t="str">
        <x:v>待定</x:v>
      </x:c>
      <x:c r="N9" s="68" t="str">
        <x:v>待定</x:v>
      </x:c>
      <x:c r="O9" s="68" t="str">
        <x:v>待定</x:v>
      </x:c>
      <x:c r="P9" s="68" t="str">
        <x:v>待定</x:v>
      </x:c>
      <x:c r="Q9" s="82" t="str">
        <x:v>待定</x:v>
      </x:c>
      <x:c r="R9" s="82" t="str">
        <x:v>缺桥</x:v>
      </x:c>
      <x:c r="S9" s="68" t="str">
        <x:v>待定</x:v>
      </x:c>
      <x:c r="T9" s="68" t="str">
        <x:v>缺失五行并非当前主路径必要桥梁，或存在其他有效路径</x:v>
      </x:c>
      <x:c r="U9" s="68" t="str">
        <x:v>待定</x:v>
      </x:c>
      <x:c r="V9" s="68" t="str">
        <x:v>待定</x:v>
      </x:c>
      <x:c r="W9" s="90" t="str">
        <x:v>需检查对调候、格局、日主承载及其他通路的副作用</x:v>
      </x:c>
      <x:c r="X9" s="68" t="str">
        <x:v>M06关系效应、M08五行有效旺衰、M10十神功能与M11组合判断已完成</x:v>
      </x:c>
      <x:c r="Y9" s="68" t="str">
        <x:v>起点、桥梁、终点均按有效力量与实际作用路径判断</x:v>
      </x:c>
      <x:c r="Z9" s="68" t="str">
        <x:v>桥梁有根有源、透达、位置可达且不存在关键制约</x:v>
      </x:c>
      <x:c r="AA9" s="68" t="str">
        <x:v>桥梁失令、无根、受克、合绊、改性或同时被多路调用</x:v>
      </x:c>
      <x:c r="AB9" s="90" t="str">
        <x:v>不得仅因五行缺失、数量少或关系名称直接认定卡点或通关用神</x:v>
      </x:c>
      <x:c r="AC9" s="68" t="str">
        <x:v>若存在更短、更强或副作用更小的替代路径，应并列比较后再裁定</x:v>
      </x:c>
      <x:c r="AD9" s="84" t="str">
        <x:v>五行缺失非卡点充分条件</x:v>
      </x:c>
      <x:c r="AE9" s="84" t="str">
        <x:v>五行缺失不等于必然形成卡点：按起点—桥梁—终点检查有效力量、连续性与承载；卡点为“缺桥”时，仅生成通关候选，不直接定用神。</x:v>
      </x:c>
      <x:c r="AF9" s="82" t="str">
        <x:v>较高</x:v>
      </x:c>
      <x:c r="AG9" s="82" t="str">
        <x:v>现代综合</x:v>
      </x:c>
      <x:c r="AH9" s="68" t="str">
        <x:v>流通判断以五行有效力量、生克顺序与十神功能为核心；古典依据可参照《滴天髓》《渊海子平》。 https://zh.wikisource.org/wiki/%E6%BB%B4%E5%A4%A9%E9%AB%93%E9%97%A1%E5%BE%AE https://zh.wikisource.org/zh-hans/%E6%B7%B5%E6%B5%B7%E5%AD%90%E5%B9%B3</x:v>
      </x:c>
      <x:c r="AI9" s="68" t="str">
        <x:v>当“缺失五行并非当前主路径必要桥梁，或存在其他有效路径”真实成立，且桥梁具备有效力量和连续作用条件时，可按“五行缺失不等于必然形成卡点”记录。</x:v>
      </x:c>
      <x:c r="AJ9" s="90" t="str">
        <x:v>仅见表面缺失或五行相克，但未证明“缺失五行并非当前主路径必要桥梁，或存在其他有效路径”形成实际阻断时，不得套用“五行缺失不等于必然形成卡点”。</x:v>
      </x:c>
      <x:c r="AK9" s="82" t="str">
        <x:v>采用</x:v>
      </x:c>
      <x:c r="AL9" s="82" t="str">
        <x:v>初审</x:v>
      </x:c>
      <x:c r="AM9" s="87" t="n">
        <x:v>46255</x:v>
      </x:c>
    </x:row>
    <x:row r="10">
      <x:c r="A10" s="72" t="str">
        <x:f>IF(OR(C10="",D10=""),"",B10&amp;"-"&amp;UPPER(C10)&amp;"-"&amp;TEXT(D10,"0000")&amp;"-"&amp;E10)</x:f>
        <x:v>M12-GEN-0004-V1.0</x:v>
      </x:c>
      <x:c r="B10" s="74" t="str">
        <x:v>M12</x:v>
      </x:c>
      <x:c r="C10" s="74" t="str">
        <x:v>GEN</x:v>
      </x:c>
      <x:c r="D10" s="215" t="n">
        <x:v>4</x:v>
      </x:c>
      <x:c r="E10" s="74" t="str">
        <x:v>V1.0</x:v>
      </x:c>
      <x:c r="F10" s="68" t="str">
        <x:v>流通只读取有效力量而不读取名义存在</x:v>
      </x:c>
      <x:c r="G10" s="82" t="str">
        <x:v>结构层</x:v>
      </x:c>
      <x:c r="H10" s="68" t="str">
        <x:v>五行生化路径</x:v>
      </x:c>
      <x:c r="I10" s="68" t="str">
        <x:v>待定</x:v>
      </x:c>
      <x:c r="J10" s="68" t="str">
        <x:v>待定</x:v>
      </x:c>
      <x:c r="K10" s="68" t="str">
        <x:v>待定</x:v>
      </x:c>
      <x:c r="L10" s="82" t="str">
        <x:v>待定</x:v>
      </x:c>
      <x:c r="M10" s="82" t="str">
        <x:v>待定</x:v>
      </x:c>
      <x:c r="N10" s="68" t="str">
        <x:v>待定</x:v>
      </x:c>
      <x:c r="O10" s="68" t="str">
        <x:v>待定</x:v>
      </x:c>
      <x:c r="P10" s="68" t="str">
        <x:v>待定</x:v>
      </x:c>
      <x:c r="Q10" s="82" t="str">
        <x:v>局部阻塞</x:v>
      </x:c>
      <x:c r="R10" s="82" t="str">
        <x:v>桥梁太弱</x:v>
      </x:c>
      <x:c r="S10" s="68" t="str">
        <x:v>待定</x:v>
      </x:c>
      <x:c r="T10" s="68" t="str">
        <x:v>某五行虽有字但M08已判失效、受限或改性</x:v>
      </x:c>
      <x:c r="U10" s="68" t="str">
        <x:v>待定</x:v>
      </x:c>
      <x:c r="V10" s="68" t="str">
        <x:v>待定</x:v>
      </x:c>
      <x:c r="W10" s="90" t="str">
        <x:v>需检查对调候、格局、日主承载及其他通路的副作用</x:v>
      </x:c>
      <x:c r="X10" s="68" t="str">
        <x:v>M06关系效应、M08五行有效旺衰、M10十神功能与M11组合判断已完成</x:v>
      </x:c>
      <x:c r="Y10" s="68" t="str">
        <x:v>起点、桥梁、终点均按有效力量与实际作用路径判断</x:v>
      </x:c>
      <x:c r="Z10" s="68" t="str">
        <x:v>桥梁有根有源、透达、位置可达且不存在关键制约</x:v>
      </x:c>
      <x:c r="AA10" s="68" t="str">
        <x:v>桥梁失令、无根、受克、合绊、改性或同时被多路调用</x:v>
      </x:c>
      <x:c r="AB10" s="90" t="str">
        <x:v>不得仅因五行缺失、数量少或关系名称直接认定卡点或通关用神</x:v>
      </x:c>
      <x:c r="AC10" s="68" t="str">
        <x:v>若存在更短、更强或副作用更小的替代路径，应并列比较后再裁定</x:v>
      </x:c>
      <x:c r="AD10" s="84" t="str">
        <x:v>有效力量优先</x:v>
      </x:c>
      <x:c r="AE10" s="84" t="str">
        <x:v>流通只读取有效力量而不读取名义存在：按起点—桥梁—终点检查有效力量、连续性与承载；卡点为“桥梁太弱”时，仅生成通关候选，不直接定用神。</x:v>
      </x:c>
      <x:c r="AF10" s="82" t="str">
        <x:v>较高</x:v>
      </x:c>
      <x:c r="AG10" s="82" t="str">
        <x:v>现代综合</x:v>
      </x:c>
      <x:c r="AH10" s="68" t="str">
        <x:v>流通判断以五行有效力量、生克顺序与十神功能为核心；古典依据可参照《滴天髓》《渊海子平》。 https://zh.wikisource.org/wiki/%E6%BB%B4%E5%A4%A9%E9%AB%93%E9%97%A1%E5%BE%AE https://zh.wikisource.org/zh-hans/%E6%B7%B5%E6%B5%B7%E5%AD%90%E5%B9%B3</x:v>
      </x:c>
      <x:c r="AI10" s="68" t="str">
        <x:v>当“某五行虽有字但M08已判失效、受限或改性”真实成立，且桥梁具备有效力量和连续作用条件时，可按“流通只读取有效力量而不读取名义存在”记录。</x:v>
      </x:c>
      <x:c r="AJ10" s="90" t="str">
        <x:v>仅见表面缺失或五行相克，但未证明“某五行虽有字但M08已判失效、受限或改性”形成实际阻断时，不得套用“流通只读取有效力量而不读取名义存在”。</x:v>
      </x:c>
      <x:c r="AK10" s="82" t="str">
        <x:v>采用</x:v>
      </x:c>
      <x:c r="AL10" s="82" t="str">
        <x:v>初审</x:v>
      </x:c>
      <x:c r="AM10" s="87" t="n">
        <x:v>46255</x:v>
      </x:c>
    </x:row>
    <x:row r="11">
      <x:c r="A11" s="72" t="str">
        <x:f>IF(OR(C11="",D11=""),"",B11&amp;"-"&amp;UPPER(C11)&amp;"-"&amp;TEXT(D11,"0000")&amp;"-"&amp;E11)</x:f>
        <x:v>M12-GEN-0005-V1.0</x:v>
      </x:c>
      <x:c r="B11" s="74" t="str">
        <x:v>M12</x:v>
      </x:c>
      <x:c r="C11" s="74" t="str">
        <x:v>GEN</x:v>
      </x:c>
      <x:c r="D11" s="215" t="n">
        <x:v>5</x:v>
      </x:c>
      <x:c r="E11" s="74" t="str">
        <x:v>V1.0</x:v>
      </x:c>
      <x:c r="F11" s="68" t="str">
        <x:v>路径长度增加会降低末端有效传递</x:v>
      </x:c>
      <x:c r="G11" s="82" t="str">
        <x:v>结构层</x:v>
      </x:c>
      <x:c r="H11" s="68" t="str">
        <x:v>五行生化路径</x:v>
      </x:c>
      <x:c r="I11" s="68" t="str">
        <x:v>待定</x:v>
      </x:c>
      <x:c r="J11" s="68" t="str">
        <x:v>待定</x:v>
      </x:c>
      <x:c r="K11" s="68" t="str">
        <x:v>待定</x:v>
      </x:c>
      <x:c r="L11" s="82" t="str">
        <x:v>待定</x:v>
      </x:c>
      <x:c r="M11" s="82" t="str">
        <x:v>待定</x:v>
      </x:c>
      <x:c r="N11" s="68" t="str">
        <x:v>待定</x:v>
      </x:c>
      <x:c r="O11" s="68" t="str">
        <x:v>待定</x:v>
      </x:c>
      <x:c r="P11" s="68" t="str">
        <x:v>待定</x:v>
      </x:c>
      <x:c r="Q11" s="82" t="str">
        <x:v>局部阻塞</x:v>
      </x:c>
      <x:c r="R11" s="82" t="str">
        <x:v>链路过长</x:v>
      </x:c>
      <x:c r="S11" s="68" t="str">
        <x:v>待定</x:v>
      </x:c>
      <x:c r="T11" s="68" t="str">
        <x:v>力量需要跨越多个连续生化节点，且每层存在耗散与容量限制</x:v>
      </x:c>
      <x:c r="U11" s="68" t="str">
        <x:v>待定</x:v>
      </x:c>
      <x:c r="V11" s="68" t="str">
        <x:v>待定</x:v>
      </x:c>
      <x:c r="W11" s="90" t="str">
        <x:v>需检查对调候、格局、日主承载及其他通路的副作用</x:v>
      </x:c>
      <x:c r="X11" s="68" t="str">
        <x:v>M06关系效应、M08五行有效旺衰、M10十神功能与M11组合判断已完成</x:v>
      </x:c>
      <x:c r="Y11" s="68" t="str">
        <x:v>起点、桥梁、终点均按有效力量与实际作用路径判断</x:v>
      </x:c>
      <x:c r="Z11" s="68" t="str">
        <x:v>桥梁有根有源、透达、位置可达且不存在关键制约</x:v>
      </x:c>
      <x:c r="AA11" s="68" t="str">
        <x:v>桥梁失令、无根、受克、合绊、改性或同时被多路调用</x:v>
      </x:c>
      <x:c r="AB11" s="90" t="str">
        <x:v>不得仅因五行缺失、数量少或关系名称直接认定卡点或通关用神</x:v>
      </x:c>
      <x:c r="AC11" s="68" t="str">
        <x:v>若存在更短、更强或副作用更小的替代路径，应并列比较后再裁定</x:v>
      </x:c>
      <x:c r="AD11" s="84" t="str">
        <x:v>链路长度衰减</x:v>
      </x:c>
      <x:c r="AE11" s="84" t="str">
        <x:v>路径长度增加会降低末端有效传递：按起点—桥梁—终点检查有效力量、连续性与承载；卡点为“链路过长”时，仅生成通关候选，不直接定用神。</x:v>
      </x:c>
      <x:c r="AF11" s="82" t="str">
        <x:v>较高</x:v>
      </x:c>
      <x:c r="AG11" s="82" t="str">
        <x:v>现代综合</x:v>
      </x:c>
      <x:c r="AH11" s="68" t="str">
        <x:v>流通判断以五行有效力量、生克顺序与十神功能为核心；古典依据可参照《滴天髓》《渊海子平》。 https://zh.wikisource.org/wiki/%E6%BB%B4%E5%A4%A9%E9%AB%93%E9%97%A1%E5%BE%AE https://zh.wikisource.org/zh-hans/%E6%B7%B5%E6%B5%B7%E5%AD%90%E5%B9%B3</x:v>
      </x:c>
      <x:c r="AI11" s="68" t="str">
        <x:v>当“力量需要跨越多个连续生化节点，且每层存在耗散与容量限制”真实成立，且桥梁具备有效力量和连续作用条件时，可按“路径长度增加会降低末端有效传递”记录。</x:v>
      </x:c>
      <x:c r="AJ11" s="90" t="str">
        <x:v>仅见表面缺失或五行相克，但未证明“力量需要跨越多个连续生化节点，且每层存在耗散与容量限制”形成实际阻断时，不得套用“路径长度增加会降低末端有效传递”。</x:v>
      </x:c>
      <x:c r="AK11" s="82" t="str">
        <x:v>采用</x:v>
      </x:c>
      <x:c r="AL11" s="82" t="str">
        <x:v>初审</x:v>
      </x:c>
      <x:c r="AM11" s="87" t="n">
        <x:v>46255</x:v>
      </x:c>
    </x:row>
    <x:row r="12">
      <x:c r="A12" s="72" t="str">
        <x:f>IF(OR(C12="",D12=""),"",B12&amp;"-"&amp;UPPER(C12)&amp;"-"&amp;TEXT(D12,"0000")&amp;"-"&amp;E12)</x:f>
        <x:v>M12-GEN-0006-V1.0</x:v>
      </x:c>
      <x:c r="B12" s="74" t="str">
        <x:v>M12</x:v>
      </x:c>
      <x:c r="C12" s="74" t="str">
        <x:v>GEN</x:v>
      </x:c>
      <x:c r="D12" s="215" t="n">
        <x:v>6</x:v>
      </x:c>
      <x:c r="E12" s="74" t="str">
        <x:v>V1.0</x:v>
      </x:c>
      <x:c r="F12" s="68" t="str">
        <x:v>同一节点参与多条路径必须进行容量去重</x:v>
      </x:c>
      <x:c r="G12" s="82" t="str">
        <x:v>结构层</x:v>
      </x:c>
      <x:c r="H12" s="68" t="str">
        <x:v>五行生化路径</x:v>
      </x:c>
      <x:c r="I12" s="68" t="str">
        <x:v>待定</x:v>
      </x:c>
      <x:c r="J12" s="68" t="str">
        <x:v>待定</x:v>
      </x:c>
      <x:c r="K12" s="68" t="str">
        <x:v>待定</x:v>
      </x:c>
      <x:c r="L12" s="82" t="str">
        <x:v>待定</x:v>
      </x:c>
      <x:c r="M12" s="82" t="str">
        <x:v>待定</x:v>
      </x:c>
      <x:c r="N12" s="68" t="str">
        <x:v>待定</x:v>
      </x:c>
      <x:c r="O12" s="68" t="str">
        <x:v>待定</x:v>
      </x:c>
      <x:c r="P12" s="68" t="str">
        <x:v>待定</x:v>
      </x:c>
      <x:c r="Q12" s="82" t="str">
        <x:v>待定</x:v>
      </x:c>
      <x:c r="R12" s="82" t="str">
        <x:v>其他</x:v>
      </x:c>
      <x:c r="S12" s="68" t="str">
        <x:v>待定</x:v>
      </x:c>
      <x:c r="T12" s="68" t="str">
        <x:v>同一五行或十神被多个起点、终点或组合同时调用</x:v>
      </x:c>
      <x:c r="U12" s="68" t="str">
        <x:v>待定</x:v>
      </x:c>
      <x:c r="V12" s="68" t="str">
        <x:v>待定</x:v>
      </x:c>
      <x:c r="W12" s="90" t="str">
        <x:v>需检查对调候、格局、日主承载及其他通路的副作用</x:v>
      </x:c>
      <x:c r="X12" s="68" t="str">
        <x:v>M06关系效应、M08五行有效旺衰、M10十神功能与M11组合判断已完成</x:v>
      </x:c>
      <x:c r="Y12" s="68" t="str">
        <x:v>起点、桥梁、终点均按有效力量与实际作用路径判断</x:v>
      </x:c>
      <x:c r="Z12" s="68" t="str">
        <x:v>桥梁有根有源、透达、位置可达且不存在关键制约</x:v>
      </x:c>
      <x:c r="AA12" s="68" t="str">
        <x:v>桥梁失令、无根、受克、合绊、改性或同时被多路调用</x:v>
      </x:c>
      <x:c r="AB12" s="90" t="str">
        <x:v>不得仅因五行缺失、数量少或关系名称直接认定卡点或通关用神</x:v>
      </x:c>
      <x:c r="AC12" s="68" t="str">
        <x:v>若存在更短、更强或副作用更小的替代路径，应并列比较后再裁定</x:v>
      </x:c>
      <x:c r="AD12" s="84" t="str">
        <x:v>路径容量去重</x:v>
      </x:c>
      <x:c r="AE12" s="84" t="str">
        <x:v>同一节点参与多条路径必须进行容量去重：按起点—桥梁—终点检查有效力量、连续性与承载；卡点为“其他”时，仅生成通关候选，不直接定用神。</x:v>
      </x:c>
      <x:c r="AF12" s="82" t="str">
        <x:v>较高</x:v>
      </x:c>
      <x:c r="AG12" s="82" t="str">
        <x:v>现代综合</x:v>
      </x:c>
      <x:c r="AH12" s="68" t="str">
        <x:v>流通判断以五行有效力量、生克顺序与十神功能为核心；古典依据可参照《滴天髓》《渊海子平》。 https://zh.wikisource.org/wiki/%E6%BB%B4%E5%A4%A9%E9%AB%93%E9%97%A1%E5%BE%AE https://zh.wikisource.org/zh-hans/%E6%B7%B5%E6%B5%B7%E5%AD%90%E5%B9%B3</x:v>
      </x:c>
      <x:c r="AI12" s="68" t="str">
        <x:v>当“同一五行或十神被多个起点、终点或组合同时调用”真实成立，且桥梁具备有效力量和连续作用条件时，可按“同一节点参与多条路径必须进行容量去重”记录。</x:v>
      </x:c>
      <x:c r="AJ12" s="90" t="str">
        <x:v>仅见表面缺失或五行相克，但未证明“同一五行或十神被多个起点、终点或组合同时调用”形成实际阻断时，不得套用“同一节点参与多条路径必须进行容量去重”。</x:v>
      </x:c>
      <x:c r="AK12" s="82" t="str">
        <x:v>采用</x:v>
      </x:c>
      <x:c r="AL12" s="82" t="str">
        <x:v>初审</x:v>
      </x:c>
      <x:c r="AM12" s="87" t="n">
        <x:v>46255</x:v>
      </x:c>
    </x:row>
    <x:row r="13">
      <x:c r="A13" s="72" t="str">
        <x:f>IF(OR(C13="",D13=""),"",B13&amp;"-"&amp;UPPER(C13)&amp;"-"&amp;TEXT(D13,"0000")&amp;"-"&amp;E13)</x:f>
        <x:v>M12-GEN-0007-V1.0</x:v>
      </x:c>
      <x:c r="B13" s="74" t="str">
        <x:v>M12</x:v>
      </x:c>
      <x:c r="C13" s="74" t="str">
        <x:v>GEN</x:v>
      </x:c>
      <x:c r="D13" s="215" t="n">
        <x:v>7</x:v>
      </x:c>
      <x:c r="E13" s="74" t="str">
        <x:v>V1.0</x:v>
      </x:c>
      <x:c r="F13" s="68" t="str">
        <x:v>流通路径应优先保留更短更稳定的主路径</x:v>
      </x:c>
      <x:c r="G13" s="82" t="str">
        <x:v>结构层</x:v>
      </x:c>
      <x:c r="H13" s="68" t="str">
        <x:v>五行生化路径</x:v>
      </x:c>
      <x:c r="I13" s="68" t="str">
        <x:v>待定</x:v>
      </x:c>
      <x:c r="J13" s="68" t="str">
        <x:v>待定</x:v>
      </x:c>
      <x:c r="K13" s="68" t="str">
        <x:v>待定</x:v>
      </x:c>
      <x:c r="L13" s="82" t="str">
        <x:v>待定</x:v>
      </x:c>
      <x:c r="M13" s="82" t="str">
        <x:v>待定</x:v>
      </x:c>
      <x:c r="N13" s="68" t="str">
        <x:v>待定</x:v>
      </x:c>
      <x:c r="O13" s="68" t="str">
        <x:v>待定</x:v>
      </x:c>
      <x:c r="P13" s="68" t="str">
        <x:v>待定</x:v>
      </x:c>
      <x:c r="Q13" s="82" t="str">
        <x:v>基本通畅</x:v>
      </x:c>
      <x:c r="R13" s="82" t="str">
        <x:v>其他</x:v>
      </x:c>
      <x:c r="S13" s="68" t="str">
        <x:v>待定</x:v>
      </x:c>
      <x:c r="T13" s="68" t="str">
        <x:v>存在两条以上可达路径，但长度、桥梁强度和副作用差异明显</x:v>
      </x:c>
      <x:c r="U13" s="68" t="str">
        <x:v>待定</x:v>
      </x:c>
      <x:c r="V13" s="68" t="str">
        <x:v>待定</x:v>
      </x:c>
      <x:c r="W13" s="90" t="str">
        <x:v>需检查对调候、格局、日主承载及其他通路的副作用</x:v>
      </x:c>
      <x:c r="X13" s="68" t="str">
        <x:v>M06关系效应、M08五行有效旺衰、M10十神功能与M11组合判断已完成</x:v>
      </x:c>
      <x:c r="Y13" s="68" t="str">
        <x:v>起点、桥梁、终点均按有效力量与实际作用路径判断</x:v>
      </x:c>
      <x:c r="Z13" s="68" t="str">
        <x:v>桥梁有根有源、透达、位置可达且不存在关键制约</x:v>
      </x:c>
      <x:c r="AA13" s="68" t="str">
        <x:v>桥梁失令、无根、受克、合绊、改性或同时被多路调用</x:v>
      </x:c>
      <x:c r="AB13" s="90" t="str">
        <x:v>不得仅因五行缺失、数量少或关系名称直接认定卡点或通关用神</x:v>
      </x:c>
      <x:c r="AC13" s="68" t="str">
        <x:v>若存在更短、更强或副作用更小的替代路径，应并列比较后再裁定</x:v>
      </x:c>
      <x:c r="AD13" s="84" t="str">
        <x:v>主路径优选</x:v>
      </x:c>
      <x:c r="AE13" s="84" t="str">
        <x:v>流通路径应优先保留更短更稳定的主路径：按起点—桥梁—终点检查有效力量、连续性与承载；卡点为“其他”时，仅生成通关候选，不直接定用神。</x:v>
      </x:c>
      <x:c r="AF13" s="82" t="str">
        <x:v>较高</x:v>
      </x:c>
      <x:c r="AG13" s="82" t="str">
        <x:v>现代综合</x:v>
      </x:c>
      <x:c r="AH13" s="68" t="str">
        <x:v>流通判断以五行有效力量、生克顺序与十神功能为核心；古典依据可参照《滴天髓》《渊海子平》。 https://zh.wikisource.org/wiki/%E6%BB%B4%E5%A4%A9%E9%AB%93%E9%97%A1%E5%BE%AE https://zh.wikisource.org/zh-hans/%E6%B7%B5%E6%B5%B7%E5%AD%90%E5%B9%B3</x:v>
      </x:c>
      <x:c r="AI13" s="68" t="str">
        <x:v>当“存在两条以上可达路径，但长度、桥梁强度和副作用差异明显”真实成立，且桥梁具备有效力量和连续作用条件时，可按“流通路径应优先保留更短更稳定的主路径”记录。</x:v>
      </x:c>
      <x:c r="AJ13" s="90" t="str">
        <x:v>仅见表面缺失或五行相克，但未证明“存在两条以上可达路径，但长度、桥梁强度和副作用差异明显”形成实际阻断时，不得套用“流通路径应优先保留更短更稳定的主路径”。</x:v>
      </x:c>
      <x:c r="AK13" s="82" t="str">
        <x:v>采用</x:v>
      </x:c>
      <x:c r="AL13" s="82" t="str">
        <x:v>初审</x:v>
      </x:c>
      <x:c r="AM13" s="87" t="n">
        <x:v>46255</x:v>
      </x:c>
    </x:row>
    <x:row r="14">
      <x:c r="A14" s="72" t="str">
        <x:f>IF(OR(C14="",D14=""),"",B14&amp;"-"&amp;UPPER(C14)&amp;"-"&amp;TEXT(D14,"0000")&amp;"-"&amp;E14)</x:f>
        <x:v>M12-GEN-0008-V1.0</x:v>
      </x:c>
      <x:c r="B14" s="74" t="str">
        <x:v>M12</x:v>
      </x:c>
      <x:c r="C14" s="74" t="str">
        <x:v>GEN</x:v>
      </x:c>
      <x:c r="D14" s="215" t="n">
        <x:v>8</x:v>
      </x:c>
      <x:c r="E14" s="74" t="str">
        <x:v>V1.0</x:v>
      </x:c>
      <x:c r="F14" s="68" t="str">
        <x:v>局部通畅不等于全局通畅</x:v>
      </x:c>
      <x:c r="G14" s="82" t="str">
        <x:v>结构层</x:v>
      </x:c>
      <x:c r="H14" s="68" t="str">
        <x:v>五行生化路径</x:v>
      </x:c>
      <x:c r="I14" s="68" t="str">
        <x:v>待定</x:v>
      </x:c>
      <x:c r="J14" s="68" t="str">
        <x:v>待定</x:v>
      </x:c>
      <x:c r="K14" s="68" t="str">
        <x:v>待定</x:v>
      </x:c>
      <x:c r="L14" s="82" t="str">
        <x:v>待定</x:v>
      </x:c>
      <x:c r="M14" s="82" t="str">
        <x:v>待定</x:v>
      </x:c>
      <x:c r="N14" s="68" t="str">
        <x:v>待定</x:v>
      </x:c>
      <x:c r="O14" s="68" t="str">
        <x:v>待定</x:v>
      </x:c>
      <x:c r="P14" s="68" t="str">
        <x:v>待定</x:v>
      </x:c>
      <x:c r="Q14" s="82" t="str">
        <x:v>局部阻塞</x:v>
      </x:c>
      <x:c r="R14" s="82" t="str">
        <x:v>其他</x:v>
      </x:c>
      <x:c r="S14" s="68" t="str">
        <x:v>待定</x:v>
      </x:c>
      <x:c r="T14" s="68" t="str">
        <x:v>一条生化链顺畅但另一处仍存在两强相战、壅塞或终点失衡</x:v>
      </x:c>
      <x:c r="U14" s="68" t="str">
        <x:v>待定</x:v>
      </x:c>
      <x:c r="V14" s="68" t="str">
        <x:v>待定</x:v>
      </x:c>
      <x:c r="W14" s="90" t="str">
        <x:v>需检查对调候、格局、日主承载及其他通路的副作用</x:v>
      </x:c>
      <x:c r="X14" s="68" t="str">
        <x:v>M06关系效应、M08五行有效旺衰、M10十神功能与M11组合判断已完成</x:v>
      </x:c>
      <x:c r="Y14" s="68" t="str">
        <x:v>起点、桥梁、终点均按有效力量与实际作用路径判断</x:v>
      </x:c>
      <x:c r="Z14" s="68" t="str">
        <x:v>桥梁有根有源、透达、位置可达且不存在关键制约</x:v>
      </x:c>
      <x:c r="AA14" s="68" t="str">
        <x:v>桥梁失令、无根、受克、合绊、改性或同时被多路调用</x:v>
      </x:c>
      <x:c r="AB14" s="90" t="str">
        <x:v>不得仅因五行缺失、数量少或关系名称直接认定卡点或通关用神</x:v>
      </x:c>
      <x:c r="AC14" s="68" t="str">
        <x:v>若存在更短、更强或副作用更小的替代路径，应并列比较后再裁定</x:v>
      </x:c>
      <x:c r="AD14" s="84" t="str">
        <x:v>局部全局分离</x:v>
      </x:c>
      <x:c r="AE14" s="84" t="str">
        <x:v>局部通畅不等于全局通畅：按起点—桥梁—终点检查有效力量、连续性与承载；卡点为“其他”时，仅生成通关候选，不直接定用神。</x:v>
      </x:c>
      <x:c r="AF14" s="82" t="str">
        <x:v>较高</x:v>
      </x:c>
      <x:c r="AG14" s="82" t="str">
        <x:v>现代综合</x:v>
      </x:c>
      <x:c r="AH14" s="68" t="str">
        <x:v>流通判断以五行有效力量、生克顺序与十神功能为核心；古典依据可参照《滴天髓》《渊海子平》。 https://zh.wikisource.org/wiki/%E6%BB%B4%E5%A4%A9%E9%AB%93%E9%97%A1%E5%BE%AE https://zh.wikisource.org/zh-hans/%E6%B7%B5%E6%B5%B7%E5%AD%90%E5%B9%B3</x:v>
      </x:c>
      <x:c r="AI14" s="68" t="str">
        <x:v>当“一条生化链顺畅但另一处仍存在两强相战、壅塞或终点失衡”真实成立，且桥梁具备有效力量和连续作用条件时，可按“局部通畅不等于全局通畅”记录。</x:v>
      </x:c>
      <x:c r="AJ14" s="90" t="str">
        <x:v>仅见表面缺失或五行相克，但未证明“一条生化链顺畅但另一处仍存在两强相战、壅塞或终点失衡”形成实际阻断时，不得套用“局部通畅不等于全局通畅”。</x:v>
      </x:c>
      <x:c r="AK14" s="82" t="str">
        <x:v>采用</x:v>
      </x:c>
      <x:c r="AL14" s="82" t="str">
        <x:v>初审</x:v>
      </x:c>
      <x:c r="AM14" s="87" t="n">
        <x:v>46255</x:v>
      </x:c>
    </x:row>
    <x:row r="15">
      <x:c r="A15" s="72" t="str">
        <x:f>IF(OR(C15="",D15=""),"",B15&amp;"-"&amp;UPPER(C15)&amp;"-"&amp;TEXT(D15,"0000")&amp;"-"&amp;E15)</x:f>
        <x:v>M12-GEN-0009-V1.0</x:v>
      </x:c>
      <x:c r="B15" s="74" t="str">
        <x:v>M12</x:v>
      </x:c>
      <x:c r="C15" s="74" t="str">
        <x:v>GEN</x:v>
      </x:c>
      <x:c r="D15" s="215" t="n">
        <x:v>9</x:v>
      </x:c>
      <x:c r="E15" s="74" t="str">
        <x:v>V1.0</x:v>
      </x:c>
      <x:c r="F15" s="68" t="str">
        <x:v>流通状态必须区分通畅、基本通畅、局部阻塞、明显阻断和无有效路径</x:v>
      </x:c>
      <x:c r="G15" s="82" t="str">
        <x:v>结构层</x:v>
      </x:c>
      <x:c r="H15" s="68" t="str">
        <x:v>五行生化路径</x:v>
      </x:c>
      <x:c r="I15" s="68" t="str">
        <x:v>待定</x:v>
      </x:c>
      <x:c r="J15" s="68" t="str">
        <x:v>待定</x:v>
      </x:c>
      <x:c r="K15" s="68" t="str">
        <x:v>待定</x:v>
      </x:c>
      <x:c r="L15" s="82" t="str">
        <x:v>待定</x:v>
      </x:c>
      <x:c r="M15" s="82" t="str">
        <x:v>待定</x:v>
      </x:c>
      <x:c r="N15" s="68" t="str">
        <x:v>待定</x:v>
      </x:c>
      <x:c r="O15" s="68" t="str">
        <x:v>待定</x:v>
      </x:c>
      <x:c r="P15" s="68" t="str">
        <x:v>待定</x:v>
      </x:c>
      <x:c r="Q15" s="82" t="str">
        <x:v>待定</x:v>
      </x:c>
      <x:c r="R15" s="82" t="str">
        <x:v>其他</x:v>
      </x:c>
      <x:c r="S15" s="68" t="str">
        <x:v>待定</x:v>
      </x:c>
      <x:c r="T15" s="68" t="str">
        <x:v>路径有效程度存在层级差异，不能只用通或不通二分</x:v>
      </x:c>
      <x:c r="U15" s="68" t="str">
        <x:v>待定</x:v>
      </x:c>
      <x:c r="V15" s="68" t="str">
        <x:v>待定</x:v>
      </x:c>
      <x:c r="W15" s="90" t="str">
        <x:v>需检查对调候、格局、日主承载及其他通路的副作用</x:v>
      </x:c>
      <x:c r="X15" s="68" t="str">
        <x:v>M06关系效应、M08五行有效旺衰、M10十神功能与M11组合判断已完成</x:v>
      </x:c>
      <x:c r="Y15" s="68" t="str">
        <x:v>起点、桥梁、终点均按有效力量与实际作用路径判断</x:v>
      </x:c>
      <x:c r="Z15" s="68" t="str">
        <x:v>桥梁有根有源、透达、位置可达且不存在关键制约</x:v>
      </x:c>
      <x:c r="AA15" s="68" t="str">
        <x:v>桥梁失令、无根、受克、合绊、改性或同时被多路调用</x:v>
      </x:c>
      <x:c r="AB15" s="90" t="str">
        <x:v>不得仅因五行缺失、数量少或关系名称直接认定卡点或通关用神</x:v>
      </x:c>
      <x:c r="AC15" s="68" t="str">
        <x:v>若存在更短、更强或副作用更小的替代路径，应并列比较后再裁定</x:v>
      </x:c>
      <x:c r="AD15" s="84" t="str">
        <x:v>流通五级状态</x:v>
      </x:c>
      <x:c r="AE15" s="84" t="str">
        <x:v>流通状态必须区分通畅、基本通畅、局部阻塞、明显阻断和无有效路径：按起点—桥梁—终点检查有效力量、连续性与承载；卡点为“其他”时，仅生成通关候选，不直接定用神。</x:v>
      </x:c>
      <x:c r="AF15" s="82" t="str">
        <x:v>较高</x:v>
      </x:c>
      <x:c r="AG15" s="82" t="str">
        <x:v>现代综合</x:v>
      </x:c>
      <x:c r="AH15" s="68" t="str">
        <x:v>流通判断以五行有效力量、生克顺序与十神功能为核心；古典依据可参照《滴天髓》《渊海子平》。 https://zh.wikisource.org/wiki/%E6%BB%B4%E5%A4%A9%E9%AB%93%E9%97%A1%E5%BE%AE https://zh.wikisource.org/zh-hans/%E6%B7%B5%E6%B5%B7%E5%AD%90%E5%B9%B3</x:v>
      </x:c>
      <x:c r="AI15" s="68" t="str">
        <x:v>当“路径有效程度存在层级差异，不能只用通或不通二分”真实成立，且桥梁具备有效力量和连续作用条件时，可按“流通状态必须区分通畅、基本通畅、局部阻塞、明显阻断和无有效路径”记录。</x:v>
      </x:c>
      <x:c r="AJ15" s="90" t="str">
        <x:v>仅见表面缺失或五行相克，但未证明“路径有效程度存在层级差异，不能只用通或不通二分”形成实际阻断时，不得套用“流通状态必须区分通畅、基本通畅、局部阻塞、明显阻断和无有效路径”。</x:v>
      </x:c>
      <x:c r="AK15" s="82" t="str">
        <x:v>采用</x:v>
      </x:c>
      <x:c r="AL15" s="82" t="str">
        <x:v>初审</x:v>
      </x:c>
      <x:c r="AM15" s="87" t="n">
        <x:v>46255</x:v>
      </x:c>
    </x:row>
    <x:row r="16">
      <x:c r="A16" s="72" t="str">
        <x:f>IF(OR(C16="",D16=""),"",B16&amp;"-"&amp;UPPER(C16)&amp;"-"&amp;TEXT(D16,"0000")&amp;"-"&amp;E16)</x:f>
        <x:v>M12-GEN-0010-V1.0</x:v>
      </x:c>
      <x:c r="B16" s="74" t="str">
        <x:v>M12</x:v>
      </x:c>
      <x:c r="C16" s="74" t="str">
        <x:v>GEN</x:v>
      </x:c>
      <x:c r="D16" s="215" t="n">
        <x:v>10</x:v>
      </x:c>
      <x:c r="E16" s="74" t="str">
        <x:v>V1.0</x:v>
      </x:c>
      <x:c r="F16" s="68" t="str">
        <x:v>通关候选不等于喜神或用神</x:v>
      </x:c>
      <x:c r="G16" s="82" t="str">
        <x:v>结构层</x:v>
      </x:c>
      <x:c r="H16" s="68" t="str">
        <x:v>五行生化路径</x:v>
      </x:c>
      <x:c r="I16" s="68" t="str">
        <x:v>待定</x:v>
      </x:c>
      <x:c r="J16" s="68" t="str">
        <x:v>待定</x:v>
      </x:c>
      <x:c r="K16" s="68" t="str">
        <x:v>待定</x:v>
      </x:c>
      <x:c r="L16" s="82" t="str">
        <x:v>待定</x:v>
      </x:c>
      <x:c r="M16" s="82" t="str">
        <x:v>待定</x:v>
      </x:c>
      <x:c r="N16" s="68" t="str">
        <x:v>待定</x:v>
      </x:c>
      <x:c r="O16" s="68" t="str">
        <x:v>待定</x:v>
      </x:c>
      <x:c r="P16" s="68" t="str">
        <x:v>待定</x:v>
      </x:c>
      <x:c r="Q16" s="82" t="str">
        <x:v>待定</x:v>
      </x:c>
      <x:c r="R16" s="82" t="str">
        <x:v>其他</x:v>
      </x:c>
      <x:c r="S16" s="68" t="str">
        <x:v>待定</x:v>
      </x:c>
      <x:c r="T16" s="68" t="str">
        <x:v>某五行能够连接两端，但可能带来寒湿、燥烈、破格或日主承载副作用</x:v>
      </x:c>
      <x:c r="U16" s="68" t="str">
        <x:v>待定</x:v>
      </x:c>
      <x:c r="V16" s="68" t="str">
        <x:v>待定</x:v>
      </x:c>
      <x:c r="W16" s="90" t="str">
        <x:v>必须转M13/M16/M17检查调候、病药、格局和扶抑副作用</x:v>
      </x:c>
      <x:c r="X16" s="68" t="str">
        <x:v>M06关系效应、M08五行有效旺衰、M10十神功能与M11组合判断已完成</x:v>
      </x:c>
      <x:c r="Y16" s="68" t="str">
        <x:v>起点、桥梁、终点均按有效力量与实际作用路径判断</x:v>
      </x:c>
      <x:c r="Z16" s="68" t="str">
        <x:v>桥梁有根有源、透达、位置可达且不存在关键制约</x:v>
      </x:c>
      <x:c r="AA16" s="68" t="str">
        <x:v>桥梁失令、无根、受克、合绊、改性或同时被多路调用</x:v>
      </x:c>
      <x:c r="AB16" s="90" t="str">
        <x:v>不得仅因五行缺失、数量少或关系名称直接认定卡点或通关用神</x:v>
      </x:c>
      <x:c r="AC16" s="68" t="str">
        <x:v>若存在更短、更强或副作用更小的替代路径，应并列比较后再裁定</x:v>
      </x:c>
      <x:c r="AD16" s="84" t="str">
        <x:v>通关与喜忌分离</x:v>
      </x:c>
      <x:c r="AE16" s="84" t="str">
        <x:v>通关候选不等于喜神或用神：按起点—桥梁—终点检查有效力量、连续性与承载；卡点为“其他”时，仅生成通关候选，不直接定用神。</x:v>
      </x:c>
      <x:c r="AF16" s="82" t="str">
        <x:v>较高</x:v>
      </x:c>
      <x:c r="AG16" s="82" t="str">
        <x:v>现代综合</x:v>
      </x:c>
      <x:c r="AH16" s="68" t="str">
        <x:v>流通判断以五行有效力量、生克顺序与十神功能为核心；古典依据可参照《滴天髓》《渊海子平》。 https://zh.wikisource.org/wiki/%E6%BB%B4%E5%A4%A9%E9%AB%93%E9%97%A1%E5%BE%AE https://zh.wikisource.org/zh-hans/%E6%B7%B5%E6%B5%B7%E5%AD%90%E5%B9%B3</x:v>
      </x:c>
      <x:c r="AI16" s="68" t="str">
        <x:v>当“某五行能够连接两端，但可能带来寒湿、燥烈、破格或日主承载副作用”真实成立，且桥梁具备有效力量和连续作用条件时，可按“通关候选不等于喜神或用神”记录。</x:v>
      </x:c>
      <x:c r="AJ16" s="90" t="str">
        <x:v>仅见表面缺失或五行相克，但未证明“某五行能够连接两端，但可能带来寒湿、燥烈、破格或日主承载副作用”形成实际阻断时，不得套用“通关候选不等于喜神或用神”。</x:v>
      </x:c>
      <x:c r="AK16" s="82" t="str">
        <x:v>采用</x:v>
      </x:c>
      <x:c r="AL16" s="82" t="str">
        <x:v>初审</x:v>
      </x:c>
      <x:c r="AM16" s="87" t="n">
        <x:v>46255</x:v>
      </x:c>
    </x:row>
    <x:row r="17">
      <x:c r="A17" s="72" t="str">
        <x:f>IF(OR(C17="",D17=""),"",B17&amp;"-"&amp;UPPER(C17)&amp;"-"&amp;TEXT(D17,"0000")&amp;"-"&amp;E17)</x:f>
        <x:v>M12-SOURCE-0011-V1.0</x:v>
      </x:c>
      <x:c r="B17" s="74" t="str">
        <x:v>M12</x:v>
      </x:c>
      <x:c r="C17" s="74" t="str">
        <x:v>SOURCE</x:v>
      </x:c>
      <x:c r="D17" s="215" t="n">
        <x:v>11</x:v>
      </x:c>
      <x:c r="E17" s="74" t="str">
        <x:v>V1.0</x:v>
      </x:c>
      <x:c r="F17" s="68" t="str">
        <x:v>强源头必须有可持续输出路径</x:v>
      </x:c>
      <x:c r="G17" s="82" t="str">
        <x:v>结构层</x:v>
      </x:c>
      <x:c r="H17" s="68" t="str">
        <x:v>五行生化路径</x:v>
      </x:c>
      <x:c r="I17" s="68" t="str">
        <x:v>任一旺强五行</x:v>
      </x:c>
      <x:c r="J17" s="68" t="str">
        <x:v>其所生五行</x:v>
      </x:c>
      <x:c r="K17" s="68" t="str">
        <x:v>下游五行</x:v>
      </x:c>
      <x:c r="L17" s="82" t="str">
        <x:v>旺</x:v>
      </x:c>
      <x:c r="M17" s="82" t="str">
        <x:v>待定</x:v>
      </x:c>
      <x:c r="N17" s="68" t="str">
        <x:v>待定</x:v>
      </x:c>
      <x:c r="O17" s="68" t="str">
        <x:v>待定</x:v>
      </x:c>
      <x:c r="P17" s="68" t="str">
        <x:v>待定</x:v>
      </x:c>
      <x:c r="Q17" s="82" t="str">
        <x:v>局部阻塞</x:v>
      </x:c>
      <x:c r="R17" s="82" t="str">
        <x:v>源头过旺无泄</x:v>
      </x:c>
      <x:c r="S17" s="68" t="str">
        <x:v>起点</x:v>
      </x:c>
      <x:c r="T17" s="68" t="str">
        <x:v>源头旺强但没有有效泄出或转化通道</x:v>
      </x:c>
      <x:c r="U17" s="68" t="str">
        <x:v>源头所生五行</x:v>
      </x:c>
      <x:c r="V17" s="68" t="str">
        <x:v>桥梁必须真实有效且终点能够承接</x:v>
      </x:c>
      <x:c r="W17" s="90" t="str">
        <x:v>需检查对调候、格局、日主承载及其他通路的副作用</x:v>
      </x:c>
      <x:c r="X17" s="68" t="str">
        <x:v>M06关系效应、M08五行有效旺衰、M10十神功能与M11组合判断已完成</x:v>
      </x:c>
      <x:c r="Y17" s="68" t="str">
        <x:v>起点、桥梁、终点均按有效力量与实际作用路径判断</x:v>
      </x:c>
      <x:c r="Z17" s="68" t="str">
        <x:v>桥梁有根有源、透达、位置可达且不存在关键制约</x:v>
      </x:c>
      <x:c r="AA17" s="68" t="str">
        <x:v>桥梁失令、无根、受克、合绊、改性或同时被多路调用</x:v>
      </x:c>
      <x:c r="AB17" s="90" t="str">
        <x:v>不得仅因五行缺失、数量少或关系名称直接认定卡点或通关用神</x:v>
      </x:c>
      <x:c r="AC17" s="68" t="str">
        <x:v>若存在更短、更强或副作用更小的替代路径，应并列比较后再裁定</x:v>
      </x:c>
      <x:c r="AD17" s="84" t="str">
        <x:v>M12_SOURCE_流通判定</x:v>
      </x:c>
      <x:c r="AE17" s="84" t="str">
        <x:v>强源头必须有可持续输出路径：按起点—桥梁—终点检查有效力量、连续性与承载；卡点为“源头过旺无泄”时，仅生成通关候选，不直接定用神。</x:v>
      </x:c>
      <x:c r="AF17" s="82" t="str">
        <x:v>较高</x:v>
      </x:c>
      <x:c r="AG17" s="82" t="str">
        <x:v>现代综合</x:v>
      </x:c>
      <x:c r="AH17" s="68" t="str">
        <x:v>流通判断以五行有效力量、生克顺序与十神功能为核心；古典依据可参照《滴天髓》《渊海子平》。 https://zh.wikisource.org/wiki/%E6%BB%B4%E5%A4%A9%E9%AB%93%E9%97%A1%E5%BE%AE https://zh.wikisource.org/zh-hans/%E6%B7%B5%E6%B5%B7%E5%AD%90%E5%B9%B3</x:v>
      </x:c>
      <x:c r="AI17" s="68" t="str">
        <x:v>当“源头旺强但没有有效泄出或转化通道”真实成立，且桥梁具备有效力量和连续作用条件时，可按“强源头必须有可持续输出路径”记录。</x:v>
      </x:c>
      <x:c r="AJ17" s="90" t="str">
        <x:v>仅见表面缺失或五行相克，但未证明“源头旺强但没有有效泄出或转化通道”形成实际阻断时，不得套用“强源头必须有可持续输出路径”。</x:v>
      </x:c>
      <x:c r="AK17" s="82" t="str">
        <x:v>采用</x:v>
      </x:c>
      <x:c r="AL17" s="82" t="str">
        <x:v>初审</x:v>
      </x:c>
      <x:c r="AM17" s="87" t="n">
        <x:v>46255</x:v>
      </x:c>
    </x:row>
    <x:row r="18">
      <x:c r="A18" s="72" t="str">
        <x:f>IF(OR(C18="",D18=""),"",B18&amp;"-"&amp;UPPER(C18)&amp;"-"&amp;TEXT(D18,"0000")&amp;"-"&amp;E18)</x:f>
        <x:v>M12-SOURCE-0012-V1.0</x:v>
      </x:c>
      <x:c r="B18" s="74" t="str">
        <x:v>M12</x:v>
      </x:c>
      <x:c r="C18" s="74" t="str">
        <x:v>SOURCE</x:v>
      </x:c>
      <x:c r="D18" s="215" t="n">
        <x:v>12</x:v>
      </x:c>
      <x:c r="E18" s="74" t="str">
        <x:v>V1.0</x:v>
      </x:c>
      <x:c r="F18" s="68" t="str">
        <x:v>极旺源头无泄时优先标记壅塞风险</x:v>
      </x:c>
      <x:c r="G18" s="82" t="str">
        <x:v>结构层</x:v>
      </x:c>
      <x:c r="H18" s="68" t="str">
        <x:v>五行生化路径</x:v>
      </x:c>
      <x:c r="I18" s="68" t="str">
        <x:v>任一极旺五行</x:v>
      </x:c>
      <x:c r="J18" s="68" t="str">
        <x:v>其所生五行</x:v>
      </x:c>
      <x:c r="K18" s="68" t="str">
        <x:v>下游五行</x:v>
      </x:c>
      <x:c r="L18" s="82" t="str">
        <x:v>极旺</x:v>
      </x:c>
      <x:c r="M18" s="82" t="str">
        <x:v>待定</x:v>
      </x:c>
      <x:c r="N18" s="68" t="str">
        <x:v>待定</x:v>
      </x:c>
      <x:c r="O18" s="68" t="str">
        <x:v>待定</x:v>
      </x:c>
      <x:c r="P18" s="68" t="str">
        <x:v>待定</x:v>
      </x:c>
      <x:c r="Q18" s="82" t="str">
        <x:v>明显阻断</x:v>
      </x:c>
      <x:c r="R18" s="82" t="str">
        <x:v>源头过旺无泄</x:v>
      </x:c>
      <x:c r="S18" s="68" t="str">
        <x:v>起点</x:v>
      </x:c>
      <x:c r="T18" s="68" t="str">
        <x:v>源头极旺且下游桥梁弱、失效或完全缺失</x:v>
      </x:c>
      <x:c r="U18" s="68" t="str">
        <x:v>待定</x:v>
      </x:c>
      <x:c r="V18" s="68" t="str">
        <x:v>待定</x:v>
      </x:c>
      <x:c r="W18" s="90" t="str">
        <x:v>需检查对调候、格局、日主承载及其他通路的副作用</x:v>
      </x:c>
      <x:c r="X18" s="68" t="str">
        <x:v>M06关系效应、M08五行有效旺衰、M10十神功能与M11组合判断已完成</x:v>
      </x:c>
      <x:c r="Y18" s="68" t="str">
        <x:v>起点、桥梁、终点均按有效力量与实际作用路径判断</x:v>
      </x:c>
      <x:c r="Z18" s="68" t="str">
        <x:v>桥梁有根有源、透达、位置可达且不存在关键制约</x:v>
      </x:c>
      <x:c r="AA18" s="68" t="str">
        <x:v>桥梁失令、无根、受克、合绊、改性或同时被多路调用</x:v>
      </x:c>
      <x:c r="AB18" s="90" t="str">
        <x:v>不得仅因五行缺失、数量少或关系名称直接认定卡点或通关用神</x:v>
      </x:c>
      <x:c r="AC18" s="68" t="str">
        <x:v>若存在更短、更强或副作用更小的替代路径，应并列比较后再裁定</x:v>
      </x:c>
      <x:c r="AD18" s="84" t="str">
        <x:v>M12_SOURCE_流通判定</x:v>
      </x:c>
      <x:c r="AE18" s="84" t="str">
        <x:v>极旺源头无泄时优先标记壅塞风险：按起点—桥梁—终点检查有效力量、连续性与承载；卡点为“源头过旺无泄”时，仅生成通关候选，不直接定用神。</x:v>
      </x:c>
      <x:c r="AF18" s="82" t="str">
        <x:v>较高</x:v>
      </x:c>
      <x:c r="AG18" s="82" t="str">
        <x:v>现代综合</x:v>
      </x:c>
      <x:c r="AH18" s="68" t="str">
        <x:v>流通判断以五行有效力量、生克顺序与十神功能为核心；古典依据可参照《滴天髓》《渊海子平》。 https://zh.wikisource.org/wiki/%E6%BB%B4%E5%A4%A9%E9%AB%93%E9%97%A1%E5%BE%AE https://zh.wikisource.org/zh-hans/%E6%B7%B5%E6%B5%B7%E5%AD%90%E5%B9%B3</x:v>
      </x:c>
      <x:c r="AI18" s="68" t="str">
        <x:v>当“源头极旺且下游桥梁弱、失效或完全缺失”真实成立，且桥梁具备有效力量和连续作用条件时，可按“极旺源头无泄时优先标记壅塞风险”记录。</x:v>
      </x:c>
      <x:c r="AJ18" s="90" t="str">
        <x:v>仅见表面缺失或五行相克，但未证明“源头极旺且下游桥梁弱、失效或完全缺失”形成实际阻断时，不得套用“极旺源头无泄时优先标记壅塞风险”。</x:v>
      </x:c>
      <x:c r="AK18" s="82" t="str">
        <x:v>采用</x:v>
      </x:c>
      <x:c r="AL18" s="82" t="str">
        <x:v>初审</x:v>
      </x:c>
      <x:c r="AM18" s="87" t="n">
        <x:v>46255</x:v>
      </x:c>
    </x:row>
    <x:row r="19">
      <x:c r="A19" s="72" t="str">
        <x:f>IF(OR(C19="",D19=""),"",B19&amp;"-"&amp;UPPER(C19)&amp;"-"&amp;TEXT(D19,"0000")&amp;"-"&amp;E19)</x:f>
        <x:v>M12-SOURCE-0013-V1.0</x:v>
      </x:c>
      <x:c r="B19" s="74" t="str">
        <x:v>M12</x:v>
      </x:c>
      <x:c r="C19" s="74" t="str">
        <x:v>SOURCE</x:v>
      </x:c>
      <x:c r="D19" s="215" t="n">
        <x:v>13</x:v>
      </x:c>
      <x:c r="E19" s="74" t="str">
        <x:v>V1.0</x:v>
      </x:c>
      <x:c r="F19" s="68" t="str">
        <x:v>弱源头不足以支撑长链流通</x:v>
      </x:c>
      <x:c r="G19" s="82" t="str">
        <x:v>结构层</x:v>
      </x:c>
      <x:c r="H19" s="68" t="str">
        <x:v>五行生化路径</x:v>
      </x:c>
      <x:c r="I19" s="68" t="str">
        <x:v>任一弱五行</x:v>
      </x:c>
      <x:c r="J19" s="68" t="str">
        <x:v>第一桥梁</x:v>
      </x:c>
      <x:c r="K19" s="68" t="str">
        <x:v>两层以上终点</x:v>
      </x:c>
      <x:c r="L19" s="82" t="str">
        <x:v>弱</x:v>
      </x:c>
      <x:c r="M19" s="82" t="str">
        <x:v>待定</x:v>
      </x:c>
      <x:c r="N19" s="68" t="str">
        <x:v>待定</x:v>
      </x:c>
      <x:c r="O19" s="68" t="str">
        <x:v>待定</x:v>
      </x:c>
      <x:c r="P19" s="68" t="str">
        <x:v>待定</x:v>
      </x:c>
      <x:c r="Q19" s="82" t="str">
        <x:v>局部阻塞</x:v>
      </x:c>
      <x:c r="R19" s="82" t="str">
        <x:v>链路过长</x:v>
      </x:c>
      <x:c r="S19" s="68" t="str">
        <x:v>起点</x:v>
      </x:c>
      <x:c r="T19" s="68" t="str">
        <x:v>源头自身有效力量不足，无法持续供应后续多层生化</x:v>
      </x:c>
      <x:c r="U19" s="68" t="str">
        <x:v>待定</x:v>
      </x:c>
      <x:c r="V19" s="68" t="str">
        <x:v>待定</x:v>
      </x:c>
      <x:c r="W19" s="90" t="str">
        <x:v>需检查对调候、格局、日主承载及其他通路的副作用</x:v>
      </x:c>
      <x:c r="X19" s="68" t="str">
        <x:v>M06关系效应、M08五行有效旺衰、M10十神功能与M11组合判断已完成</x:v>
      </x:c>
      <x:c r="Y19" s="68" t="str">
        <x:v>起点、桥梁、终点均按有效力量与实际作用路径判断</x:v>
      </x:c>
      <x:c r="Z19" s="68" t="str">
        <x:v>桥梁有根有源、透达、位置可达且不存在关键制约</x:v>
      </x:c>
      <x:c r="AA19" s="68" t="str">
        <x:v>桥梁失令、无根、受克、合绊、改性或同时被多路调用</x:v>
      </x:c>
      <x:c r="AB19" s="90" t="str">
        <x:v>不得仅因五行缺失、数量少或关系名称直接认定卡点或通关用神</x:v>
      </x:c>
      <x:c r="AC19" s="68" t="str">
        <x:v>若存在更短、更强或副作用更小的替代路径，应并列比较后再裁定</x:v>
      </x:c>
      <x:c r="AD19" s="84" t="str">
        <x:v>M12_SOURCE_流通判定</x:v>
      </x:c>
      <x:c r="AE19" s="84" t="str">
        <x:v>弱源头不足以支撑长链流通：按起点—桥梁—终点检查有效力量、连续性与承载；卡点为“链路过长”时，仅生成通关候选，不直接定用神。</x:v>
      </x:c>
      <x:c r="AF19" s="82" t="str">
        <x:v>较高</x:v>
      </x:c>
      <x:c r="AG19" s="82" t="str">
        <x:v>现代综合</x:v>
      </x:c>
      <x:c r="AH19" s="68" t="str">
        <x:v>流通判断以五行有效力量、生克顺序与十神功能为核心；古典依据可参照《滴天髓》《渊海子平》。 https://zh.wikisource.org/wiki/%E6%BB%B4%E5%A4%A9%E9%AB%93%E9%97%A1%E5%BE%AE https://zh.wikisource.org/zh-hans/%E6%B7%B5%E6%B5%B7%E5%AD%90%E5%B9%B3</x:v>
      </x:c>
      <x:c r="AI19" s="68" t="str">
        <x:v>当“源头自身有效力量不足，无法持续供应后续多层生化”真实成立，且桥梁具备有效力量和连续作用条件时，可按“弱源头不足以支撑长链流通”记录。</x:v>
      </x:c>
      <x:c r="AJ19" s="90" t="str">
        <x:v>仅见表面缺失或五行相克，但未证明“源头自身有效力量不足，无法持续供应后续多层生化”形成实际阻断时，不得套用“弱源头不足以支撑长链流通”。</x:v>
      </x:c>
      <x:c r="AK19" s="82" t="str">
        <x:v>采用</x:v>
      </x:c>
      <x:c r="AL19" s="82" t="str">
        <x:v>初审</x:v>
      </x:c>
      <x:c r="AM19" s="87" t="n">
        <x:v>46255</x:v>
      </x:c>
    </x:row>
    <x:row r="20">
      <x:c r="A20" s="72" t="str">
        <x:f>IF(OR(C20="",D20=""),"",B20&amp;"-"&amp;UPPER(C20)&amp;"-"&amp;TEXT(D20,"0000")&amp;"-"&amp;E20)</x:f>
        <x:v>M12-SOURCE-0014-V1.0</x:v>
      </x:c>
      <x:c r="B20" s="74" t="str">
        <x:v>M12</x:v>
      </x:c>
      <x:c r="C20" s="74" t="str">
        <x:v>SOURCE</x:v>
      </x:c>
      <x:c r="D20" s="215" t="n">
        <x:v>14</x:v>
      </x:c>
      <x:c r="E20" s="74" t="str">
        <x:v>V1.0</x:v>
      </x:c>
      <x:c r="F20" s="68" t="str">
        <x:v>名义源头失效时不得建立流通链</x:v>
      </x:c>
      <x:c r="G20" s="82" t="str">
        <x:v>结构层</x:v>
      </x:c>
      <x:c r="H20" s="68" t="str">
        <x:v>五行生化路径</x:v>
      </x:c>
      <x:c r="I20" s="68" t="str">
        <x:v>名义存在但失效的五行</x:v>
      </x:c>
      <x:c r="J20" s="68" t="str">
        <x:v>下一五行</x:v>
      </x:c>
      <x:c r="K20" s="68" t="str">
        <x:v>终点</x:v>
      </x:c>
      <x:c r="L20" s="82" t="str">
        <x:v>极弱</x:v>
      </x:c>
      <x:c r="M20" s="82" t="str">
        <x:v>待定</x:v>
      </x:c>
      <x:c r="N20" s="68" t="str">
        <x:v>待定</x:v>
      </x:c>
      <x:c r="O20" s="68" t="str">
        <x:v>待定</x:v>
      </x:c>
      <x:c r="P20" s="68" t="str">
        <x:v>待定</x:v>
      </x:c>
      <x:c r="Q20" s="82" t="str">
        <x:v>无有效路径</x:v>
      </x:c>
      <x:c r="R20" s="82" t="str">
        <x:v>其他</x:v>
      </x:c>
      <x:c r="S20" s="68" t="str">
        <x:v>起点</x:v>
      </x:c>
      <x:c r="T20" s="68" t="str">
        <x:v>起点已被合化、强制或M08判为无实际可调用力量</x:v>
      </x:c>
      <x:c r="U20" s="68" t="str">
        <x:v>待定</x:v>
      </x:c>
      <x:c r="V20" s="68" t="str">
        <x:v>待定</x:v>
      </x:c>
      <x:c r="W20" s="90" t="str">
        <x:v>需检查对调候、格局、日主承载及其他通路的副作用</x:v>
      </x:c>
      <x:c r="X20" s="68" t="str">
        <x:v>M06关系效应、M08五行有效旺衰、M10十神功能与M11组合判断已完成</x:v>
      </x:c>
      <x:c r="Y20" s="68" t="str">
        <x:v>起点、桥梁、终点均按有效力量与实际作用路径判断</x:v>
      </x:c>
      <x:c r="Z20" s="68" t="str">
        <x:v>桥梁有根有源、透达、位置可达且不存在关键制约</x:v>
      </x:c>
      <x:c r="AA20" s="68" t="str">
        <x:v>桥梁失令、无根、受克、合绊、改性或同时被多路调用</x:v>
      </x:c>
      <x:c r="AB20" s="90" t="str">
        <x:v>不得仅因五行缺失、数量少或关系名称直接认定卡点或通关用神</x:v>
      </x:c>
      <x:c r="AC20" s="68" t="str">
        <x:v>若存在更短、更强或副作用更小的替代路径，应并列比较后再裁定</x:v>
      </x:c>
      <x:c r="AD20" s="84" t="str">
        <x:v>M12_SOURCE_流通判定</x:v>
      </x:c>
      <x:c r="AE20" s="84" t="str">
        <x:v>名义源头失效时不得建立流通链：按起点—桥梁—终点检查有效力量、连续性与承载；卡点为“其他”时，仅生成通关候选，不直接定用神。</x:v>
      </x:c>
      <x:c r="AF20" s="82" t="str">
        <x:v>较高</x:v>
      </x:c>
      <x:c r="AG20" s="82" t="str">
        <x:v>现代综合</x:v>
      </x:c>
      <x:c r="AH20" s="68" t="str">
        <x:v>流通判断以五行有效力量、生克顺序与十神功能为核心；古典依据可参照《滴天髓》《渊海子平》。 https://zh.wikisource.org/wiki/%E6%BB%B4%E5%A4%A9%E9%AB%93%E9%97%A1%E5%BE%AE https://zh.wikisource.org/zh-hans/%E6%B7%B5%E6%B5%B7%E5%AD%90%E5%B9%B3</x:v>
      </x:c>
      <x:c r="AI20" s="68" t="str">
        <x:v>当“起点已被合化、强制或M08判为无实际可调用力量”真实成立，且桥梁具备有效力量和连续作用条件时，可按“名义源头失效时不得建立流通链”记录。</x:v>
      </x:c>
      <x:c r="AJ20" s="90" t="str">
        <x:v>仅见表面缺失或五行相克，但未证明“起点已被合化、强制或M08判为无实际可调用力量”形成实际阻断时，不得套用“名义源头失效时不得建立流通链”。</x:v>
      </x:c>
      <x:c r="AK20" s="82" t="str">
        <x:v>采用</x:v>
      </x:c>
      <x:c r="AL20" s="82" t="str">
        <x:v>初审</x:v>
      </x:c>
      <x:c r="AM20" s="87" t="n">
        <x:v>46255</x:v>
      </x:c>
    </x:row>
    <x:row r="21">
      <x:c r="A21" s="72" t="str">
        <x:f>IF(OR(C21="",D21=""),"",B21&amp;"-"&amp;UPPER(C21)&amp;"-"&amp;TEXT(D21,"0000")&amp;"-"&amp;E21)</x:f>
        <x:v>M12-SOURCE-0015-V1.0</x:v>
      </x:c>
      <x:c r="B21" s="74" t="str">
        <x:v>M12</x:v>
      </x:c>
      <x:c r="C21" s="74" t="str">
        <x:v>SOURCE</x:v>
      </x:c>
      <x:c r="D21" s="215" t="n">
        <x:v>15</x:v>
      </x:c>
      <x:c r="E21" s="74" t="str">
        <x:v>V1.0</x:v>
      </x:c>
      <x:c r="F21" s="68" t="str">
        <x:v>源头被合绊会降低向下游输出效率</x:v>
      </x:c>
      <x:c r="G21" s="82" t="str">
        <x:v>结构层</x:v>
      </x:c>
      <x:c r="H21" s="68" t="str">
        <x:v>五行生化路径</x:v>
      </x:c>
      <x:c r="I21" s="68" t="str">
        <x:v>受合绊五行</x:v>
      </x:c>
      <x:c r="J21" s="68" t="str">
        <x:v>其所生五行</x:v>
      </x:c>
      <x:c r="K21" s="68" t="str">
        <x:v>终点</x:v>
      </x:c>
      <x:c r="L21" s="82" t="str">
        <x:v>中和</x:v>
      </x:c>
      <x:c r="M21" s="82" t="str">
        <x:v>待定</x:v>
      </x:c>
      <x:c r="N21" s="68" t="str">
        <x:v>桥梁有效</x:v>
      </x:c>
      <x:c r="O21" s="68" t="str">
        <x:v>待定</x:v>
      </x:c>
      <x:c r="P21" s="68" t="str">
        <x:v>待定</x:v>
      </x:c>
      <x:c r="Q21" s="82" t="str">
        <x:v>局部阻塞</x:v>
      </x:c>
      <x:c r="R21" s="82" t="str">
        <x:v>其他</x:v>
      </x:c>
      <x:c r="S21" s="68" t="str">
        <x:v>起点</x:v>
      </x:c>
      <x:c r="T21" s="68" t="str">
        <x:v>起点自身功能受合绊，无法按原始力量全额输出</x:v>
      </x:c>
      <x:c r="U21" s="68" t="str">
        <x:v>待定</x:v>
      </x:c>
      <x:c r="V21" s="68" t="str">
        <x:v>待定</x:v>
      </x:c>
      <x:c r="W21" s="90" t="str">
        <x:v>需检查对调候、格局、日主承载及其他通路的副作用</x:v>
      </x:c>
      <x:c r="X21" s="68" t="str">
        <x:v>M06关系效应、M08五行有效旺衰、M10十神功能与M11组合判断已完成</x:v>
      </x:c>
      <x:c r="Y21" s="68" t="str">
        <x:v>起点、桥梁、终点均按有效力量与实际作用路径判断</x:v>
      </x:c>
      <x:c r="Z21" s="68" t="str">
        <x:v>桥梁有根有源、透达、位置可达且不存在关键制约</x:v>
      </x:c>
      <x:c r="AA21" s="68" t="str">
        <x:v>桥梁失令、无根、受克、合绊、改性或同时被多路调用</x:v>
      </x:c>
      <x:c r="AB21" s="90" t="str">
        <x:v>不得仅因五行缺失、数量少或关系名称直接认定卡点或通关用神</x:v>
      </x:c>
      <x:c r="AC21" s="68" t="str">
        <x:v>若存在更短、更强或副作用更小的替代路径，应并列比较后再裁定</x:v>
      </x:c>
      <x:c r="AD21" s="84" t="str">
        <x:v>M12_SOURCE_流通判定</x:v>
      </x:c>
      <x:c r="AE21" s="84" t="str">
        <x:v>源头被合绊会降低向下游输出效率：按起点—桥梁—终点检查有效力量、连续性与承载；卡点为“其他”时，仅生成通关候选，不直接定用神。</x:v>
      </x:c>
      <x:c r="AF21" s="82" t="str">
        <x:v>较高</x:v>
      </x:c>
      <x:c r="AG21" s="82" t="str">
        <x:v>现代综合</x:v>
      </x:c>
      <x:c r="AH21" s="68" t="str">
        <x:v>流通判断以五行有效力量、生克顺序与十神功能为核心；古典依据可参照《滴天髓》《渊海子平》。 https://zh.wikisource.org/wiki/%E6%BB%B4%E5%A4%A9%E9%AB%93%E9%97%A1%E5%BE%AE https://zh.wikisource.org/zh-hans/%E6%B7%B5%E6%B5%B7%E5%AD%90%E5%B9%B3</x:v>
      </x:c>
      <x:c r="AI21" s="68" t="str">
        <x:v>当“起点自身功能受合绊，无法按原始力量全额输出”真实成立，且桥梁具备有效力量和连续作用条件时，可按“源头被合绊会降低向下游输出效率”记录。</x:v>
      </x:c>
      <x:c r="AJ21" s="90" t="str">
        <x:v>仅见表面缺失或五行相克，但未证明“起点自身功能受合绊，无法按原始力量全额输出”形成实际阻断时，不得套用“源头被合绊会降低向下游输出效率”。</x:v>
      </x:c>
      <x:c r="AK21" s="82" t="str">
        <x:v>采用</x:v>
      </x:c>
      <x:c r="AL21" s="82" t="str">
        <x:v>初审</x:v>
      </x:c>
      <x:c r="AM21" s="87" t="n">
        <x:v>46255</x:v>
      </x:c>
    </x:row>
    <x:row r="22">
      <x:c r="A22" s="72" t="str">
        <x:f>IF(OR(C22="",D22=""),"",B22&amp;"-"&amp;UPPER(C22)&amp;"-"&amp;TEXT(D22,"0000")&amp;"-"&amp;E22)</x:f>
        <x:v>M12-SOURCE-0016-V1.0</x:v>
      </x:c>
      <x:c r="B22" s="74" t="str">
        <x:v>M12</x:v>
      </x:c>
      <x:c r="C22" s="74" t="str">
        <x:v>SOURCE</x:v>
      </x:c>
      <x:c r="D22" s="215" t="n">
        <x:v>16</x:v>
      </x:c>
      <x:c r="E22" s="74" t="str">
        <x:v>V1.0</x:v>
      </x:c>
      <x:c r="F22" s="68" t="str">
        <x:v>源头被强克时需先判断是否仍有余力输出</x:v>
      </x:c>
      <x:c r="G22" s="82" t="str">
        <x:v>结构层</x:v>
      </x:c>
      <x:c r="H22" s="68" t="str">
        <x:v>五行生化路径</x:v>
      </x:c>
      <x:c r="I22" s="68" t="str">
        <x:v>受强克五行</x:v>
      </x:c>
      <x:c r="J22" s="68" t="str">
        <x:v>其所生五行</x:v>
      </x:c>
      <x:c r="K22" s="68" t="str">
        <x:v>终点</x:v>
      </x:c>
      <x:c r="L22" s="82" t="str">
        <x:v>待定</x:v>
      </x:c>
      <x:c r="M22" s="82" t="str">
        <x:v>待定</x:v>
      </x:c>
      <x:c r="N22" s="68" t="str">
        <x:v>待定</x:v>
      </x:c>
      <x:c r="O22" s="68" t="str">
        <x:v>待定</x:v>
      </x:c>
      <x:c r="P22" s="68" t="str">
        <x:v>待定</x:v>
      </x:c>
      <x:c r="Q22" s="82" t="str">
        <x:v>局部阻塞</x:v>
      </x:c>
      <x:c r="R22" s="82" t="str">
        <x:v>其他</x:v>
      </x:c>
      <x:c r="S22" s="68" t="str">
        <x:v>起点</x:v>
      </x:c>
      <x:c r="T22" s="68" t="str">
        <x:v>起点有效力量被显著制约，生扶下游能力下降</x:v>
      </x:c>
      <x:c r="U22" s="68" t="str">
        <x:v>待定</x:v>
      </x:c>
      <x:c r="V22" s="68" t="str">
        <x:v>待定</x:v>
      </x:c>
      <x:c r="W22" s="90" t="str">
        <x:v>需检查对调候、格局、日主承载及其他通路的副作用</x:v>
      </x:c>
      <x:c r="X22" s="68" t="str">
        <x:v>M06关系效应、M08五行有效旺衰、M10十神功能与M11组合判断已完成</x:v>
      </x:c>
      <x:c r="Y22" s="68" t="str">
        <x:v>起点、桥梁、终点均按有效力量与实际作用路径判断</x:v>
      </x:c>
      <x:c r="Z22" s="68" t="str">
        <x:v>桥梁有根有源、透达、位置可达且不存在关键制约</x:v>
      </x:c>
      <x:c r="AA22" s="68" t="str">
        <x:v>桥梁失令、无根、受克、合绊、改性或同时被多路调用</x:v>
      </x:c>
      <x:c r="AB22" s="90" t="str">
        <x:v>不得仅因五行缺失、数量少或关系名称直接认定卡点或通关用神</x:v>
      </x:c>
      <x:c r="AC22" s="68" t="str">
        <x:v>若存在更短、更强或副作用更小的替代路径，应并列比较后再裁定</x:v>
      </x:c>
      <x:c r="AD22" s="84" t="str">
        <x:v>M12_SOURCE_流通判定</x:v>
      </x:c>
      <x:c r="AE22" s="84" t="str">
        <x:v>源头被强克时需先判断是否仍有余力输出：按起点—桥梁—终点检查有效力量、连续性与承载；卡点为“其他”时，仅生成通关候选，不直接定用神。</x:v>
      </x:c>
      <x:c r="AF22" s="82" t="str">
        <x:v>较高</x:v>
      </x:c>
      <x:c r="AG22" s="82" t="str">
        <x:v>现代综合</x:v>
      </x:c>
      <x:c r="AH22" s="68" t="str">
        <x:v>流通判断以五行有效力量、生克顺序与十神功能为核心；古典依据可参照《滴天髓》《渊海子平》。 https://zh.wikisource.org/wiki/%E6%BB%B4%E5%A4%A9%E9%AB%93%E9%97%A1%E5%BE%AE https://zh.wikisource.org/zh-hans/%E6%B7%B5%E6%B5%B7%E5%AD%90%E5%B9%B3</x:v>
      </x:c>
      <x:c r="AI22" s="68" t="str">
        <x:v>当“起点有效力量被显著制约，生扶下游能力下降”真实成立，且桥梁具备有效力量和连续作用条件时，可按“源头被强克时需先判断是否仍有余力输出”记录。</x:v>
      </x:c>
      <x:c r="AJ22" s="90" t="str">
        <x:v>仅见表面缺失或五行相克，但未证明“起点有效力量被显著制约，生扶下游能力下降”形成实际阻断时，不得套用“源头被强克时需先判断是否仍有余力输出”。</x:v>
      </x:c>
      <x:c r="AK22" s="82" t="str">
        <x:v>采用</x:v>
      </x:c>
      <x:c r="AL22" s="82" t="str">
        <x:v>初审</x:v>
      </x:c>
      <x:c r="AM22" s="87" t="n">
        <x:v>46255</x:v>
      </x:c>
    </x:row>
    <x:row r="23">
      <x:c r="A23" s="72" t="str">
        <x:f>IF(OR(C23="",D23=""),"",B23&amp;"-"&amp;UPPER(C23)&amp;"-"&amp;TEXT(D23,"0000")&amp;"-"&amp;E23)</x:f>
        <x:v>M12-SOURCE-0017-V1.0</x:v>
      </x:c>
      <x:c r="B23" s="74" t="str">
        <x:v>M12</x:v>
      </x:c>
      <x:c r="C23" s="74" t="str">
        <x:v>SOURCE</x:v>
      </x:c>
      <x:c r="D23" s="215" t="n">
        <x:v>17</x:v>
      </x:c>
      <x:c r="E23" s="74" t="str">
        <x:v>V1.0</x:v>
      </x:c>
      <x:c r="F23" s="68" t="str">
        <x:v>多个独立源头可提高同一桥梁的供给稳定性</x:v>
      </x:c>
      <x:c r="G23" s="82" t="str">
        <x:v>结构层</x:v>
      </x:c>
      <x:c r="H23" s="68" t="str">
        <x:v>五行生化路径</x:v>
      </x:c>
      <x:c r="I23" s="68" t="str">
        <x:v>多个同类或相生源头</x:v>
      </x:c>
      <x:c r="J23" s="68" t="str">
        <x:v>共同桥梁</x:v>
      </x:c>
      <x:c r="K23" s="68" t="str">
        <x:v>终点</x:v>
      </x:c>
      <x:c r="L23" s="82" t="str">
        <x:v>中和偏旺</x:v>
      </x:c>
      <x:c r="M23" s="82" t="str">
        <x:v>中和</x:v>
      </x:c>
      <x:c r="N23" s="68" t="str">
        <x:v>受多源支持</x:v>
      </x:c>
      <x:c r="O23" s="68" t="str">
        <x:v>待定</x:v>
      </x:c>
      <x:c r="P23" s="68" t="str">
        <x:v>待定</x:v>
      </x:c>
      <x:c r="Q23" s="82" t="str">
        <x:v>基本通畅</x:v>
      </x:c>
      <x:c r="R23" s="82" t="str">
        <x:v>其他</x:v>
      </x:c>
      <x:c r="S23" s="68" t="str">
        <x:v>待定</x:v>
      </x:c>
      <x:c r="T23" s="68" t="str">
        <x:v>桥梁同时获得多个独立有效源头供给</x:v>
      </x:c>
      <x:c r="U23" s="68" t="str">
        <x:v>待定</x:v>
      </x:c>
      <x:c r="V23" s="68" t="str">
        <x:v>待定</x:v>
      </x:c>
      <x:c r="W23" s="90" t="str">
        <x:v>需检查对调候、格局、日主承载及其他通路的副作用</x:v>
      </x:c>
      <x:c r="X23" s="68" t="str">
        <x:v>M06关系效应、M08五行有效旺衰、M10十神功能与M11组合判断已完成</x:v>
      </x:c>
      <x:c r="Y23" s="68" t="str">
        <x:v>起点、桥梁、终点均按有效力量与实际作用路径判断</x:v>
      </x:c>
      <x:c r="Z23" s="68" t="str">
        <x:v>桥梁有根有源、透达、位置可达且不存在关键制约</x:v>
      </x:c>
      <x:c r="AA23" s="68" t="str">
        <x:v>桥梁失令、无根、受克、合绊、改性或同时被多路调用</x:v>
      </x:c>
      <x:c r="AB23" s="90" t="str">
        <x:v>不得仅因五行缺失、数量少或关系名称直接认定卡点或通关用神</x:v>
      </x:c>
      <x:c r="AC23" s="68" t="str">
        <x:v>若存在更短、更强或副作用更小的替代路径，应并列比较后再裁定</x:v>
      </x:c>
      <x:c r="AD23" s="84" t="str">
        <x:v>多源供给增强</x:v>
      </x:c>
      <x:c r="AE23" s="84" t="str">
        <x:v>多个独立源头可提高同一桥梁的供给稳定性：按起点—桥梁—终点检查有效力量、连续性与承载；卡点为“其他”时，仅生成通关候选，不直接定用神。</x:v>
      </x:c>
      <x:c r="AF23" s="82" t="str">
        <x:v>较高</x:v>
      </x:c>
      <x:c r="AG23" s="82" t="str">
        <x:v>现代综合</x:v>
      </x:c>
      <x:c r="AH23" s="68" t="str">
        <x:v>流通判断以五行有效力量、生克顺序与十神功能为核心；古典依据可参照《滴天髓》《渊海子平》。 https://zh.wikisource.org/wiki/%E6%BB%B4%E5%A4%A9%E9%AB%93%E9%97%A1%E5%BE%AE https://zh.wikisource.org/zh-hans/%E6%B7%B5%E6%B5%B7%E5%AD%90%E5%B9%B3</x:v>
      </x:c>
      <x:c r="AI23" s="68" t="str">
        <x:v>当“桥梁同时获得多个独立有效源头供给”真实成立，且桥梁具备有效力量和连续作用条件时，可按“多个独立源头可提高同一桥梁的供给稳定性”记录。</x:v>
      </x:c>
      <x:c r="AJ23" s="90" t="str">
        <x:v>仅见表面缺失或五行相克，但未证明“桥梁同时获得多个独立有效源头供给”形成实际阻断时，不得套用“多个独立源头可提高同一桥梁的供给稳定性”。</x:v>
      </x:c>
      <x:c r="AK23" s="82" t="str">
        <x:v>采用</x:v>
      </x:c>
      <x:c r="AL23" s="82" t="str">
        <x:v>初审</x:v>
      </x:c>
      <x:c r="AM23" s="87" t="n">
        <x:v>46255</x:v>
      </x:c>
    </x:row>
    <x:row r="24">
      <x:c r="A24" s="72" t="str">
        <x:f>IF(OR(C24="",D24=""),"",B24&amp;"-"&amp;UPPER(C24)&amp;"-"&amp;TEXT(D24,"0000")&amp;"-"&amp;E24)</x:f>
        <x:v>M12-SOURCE-0018-V1.0</x:v>
      </x:c>
      <x:c r="B24" s="74" t="str">
        <x:v>M12</x:v>
      </x:c>
      <x:c r="C24" s="74" t="str">
        <x:v>SOURCE</x:v>
      </x:c>
      <x:c r="D24" s="215" t="n">
        <x:v>18</x:v>
      </x:c>
      <x:c r="E24" s="74" t="str">
        <x:v>V1.0</x:v>
      </x:c>
      <x:c r="F24" s="68" t="str">
        <x:v>源头过多但集中向单一弱桥梁时会形成入口拥堵</x:v>
      </x:c>
      <x:c r="G24" s="82" t="str">
        <x:v>结构层</x:v>
      </x:c>
      <x:c r="H24" s="68" t="str">
        <x:v>五行生化路径</x:v>
      </x:c>
      <x:c r="I24" s="68" t="str">
        <x:v>多个旺强源头</x:v>
      </x:c>
      <x:c r="J24" s="68" t="str">
        <x:v>单一弱桥梁</x:v>
      </x:c>
      <x:c r="K24" s="68" t="str">
        <x:v>终点</x:v>
      </x:c>
      <x:c r="L24" s="82" t="str">
        <x:v>旺</x:v>
      </x:c>
      <x:c r="M24" s="82" t="str">
        <x:v>弱</x:v>
      </x:c>
      <x:c r="N24" s="68" t="str">
        <x:v>供给超载</x:v>
      </x:c>
      <x:c r="O24" s="68" t="str">
        <x:v>待定</x:v>
      </x:c>
      <x:c r="P24" s="68" t="str">
        <x:v>待定</x:v>
      </x:c>
      <x:c r="Q24" s="82" t="str">
        <x:v>明显阻断</x:v>
      </x:c>
      <x:c r="R24" s="82" t="str">
        <x:v>桥梁太弱</x:v>
      </x:c>
      <x:c r="S24" s="68" t="str">
        <x:v>桥梁</x:v>
      </x:c>
      <x:c r="T24" s="68" t="str">
        <x:v>上游输入能力显著高于桥梁传递能力</x:v>
      </x:c>
      <x:c r="U24" s="68" t="str">
        <x:v>待定</x:v>
      </x:c>
      <x:c r="V24" s="68" t="str">
        <x:v>待定</x:v>
      </x:c>
      <x:c r="W24" s="90" t="str">
        <x:v>需检查对调候、格局、日主承载及其他通路的副作用</x:v>
      </x:c>
      <x:c r="X24" s="68" t="str">
        <x:v>M06关系效应、M08五行有效旺衰、M10十神功能与M11组合判断已完成</x:v>
      </x:c>
      <x:c r="Y24" s="68" t="str">
        <x:v>起点、桥梁、终点均按有效力量与实际作用路径判断</x:v>
      </x:c>
      <x:c r="Z24" s="68" t="str">
        <x:v>桥梁有根有源、透达、位置可达且不存在关键制约</x:v>
      </x:c>
      <x:c r="AA24" s="68" t="str">
        <x:v>桥梁失令、无根、受克、合绊、改性或同时被多路调用</x:v>
      </x:c>
      <x:c r="AB24" s="90" t="str">
        <x:v>不得仅因五行缺失、数量少或关系名称直接认定卡点或通关用神</x:v>
      </x:c>
      <x:c r="AC24" s="68" t="str">
        <x:v>若存在更短、更强或副作用更小的替代路径，应并列比较后再裁定</x:v>
      </x:c>
      <x:c r="AD24" s="84" t="str">
        <x:v>M12_SOURCE_流通判定</x:v>
      </x:c>
      <x:c r="AE24" s="84" t="str">
        <x:v>源头过多但集中向单一弱桥梁时会形成入口拥堵：按起点—桥梁—终点检查有效力量、连续性与承载；卡点为“桥梁太弱”时，仅生成通关候选，不直接定用神。</x:v>
      </x:c>
      <x:c r="AF24" s="82" t="str">
        <x:v>较高</x:v>
      </x:c>
      <x:c r="AG24" s="82" t="str">
        <x:v>现代综合</x:v>
      </x:c>
      <x:c r="AH24" s="68" t="str">
        <x:v>流通判断以五行有效力量、生克顺序与十神功能为核心；古典依据可参照《滴天髓》《渊海子平》。 https://zh.wikisource.org/wiki/%E6%BB%B4%E5%A4%A9%E9%AB%93%E9%97%A1%E5%BE%AE https://zh.wikisource.org/zh-hans/%E6%B7%B5%E6%B5%B7%E5%AD%90%E5%B9%B3</x:v>
      </x:c>
      <x:c r="AI24" s="68" t="str">
        <x:v>当“上游输入能力显著高于桥梁传递能力”真实成立，且桥梁具备有效力量和连续作用条件时，可按“源头过多但集中向单一弱桥梁时会形成入口拥堵”记录。</x:v>
      </x:c>
      <x:c r="AJ24" s="90" t="str">
        <x:v>仅见表面缺失或五行相克，但未证明“上游输入能力显著高于桥梁传递能力”形成实际阻断时，不得套用“源头过多但集中向单一弱桥梁时会形成入口拥堵”。</x:v>
      </x:c>
      <x:c r="AK24" s="82" t="str">
        <x:v>采用</x:v>
      </x:c>
      <x:c r="AL24" s="82" t="str">
        <x:v>初审</x:v>
      </x:c>
      <x:c r="AM24" s="87" t="n">
        <x:v>46255</x:v>
      </x:c>
    </x:row>
    <x:row r="25">
      <x:c r="A25" s="72" t="str">
        <x:f>IF(OR(C25="",D25=""),"",B25&amp;"-"&amp;UPPER(C25)&amp;"-"&amp;TEXT(D25,"0000")&amp;"-"&amp;E25)</x:f>
        <x:v>M12-BRIDGE-0019-V1.0</x:v>
      </x:c>
      <x:c r="B25" s="74" t="str">
        <x:v>M12</x:v>
      </x:c>
      <x:c r="C25" s="74" t="str">
        <x:v>BRIDGE</x:v>
      </x:c>
      <x:c r="D25" s="215" t="n">
        <x:v>19</x:v>
      </x:c>
      <x:c r="E25" s="74" t="str">
        <x:v>V1.0</x:v>
      </x:c>
      <x:c r="F25" s="68" t="str">
        <x:v>桥梁必须自身有效才能承担通关</x:v>
      </x:c>
      <x:c r="G25" s="82" t="str">
        <x:v>结构层</x:v>
      </x:c>
      <x:c r="H25" s="68" t="str">
        <x:v>五行生化路径</x:v>
      </x:c>
      <x:c r="I25" s="68" t="str">
        <x:v>上游五行</x:v>
      </x:c>
      <x:c r="J25" s="68" t="str">
        <x:v>候选桥梁</x:v>
      </x:c>
      <x:c r="K25" s="68" t="str">
        <x:v>下游五行</x:v>
      </x:c>
      <x:c r="L25" s="82" t="str">
        <x:v>待定</x:v>
      </x:c>
      <x:c r="M25" s="82" t="str">
        <x:v>中和</x:v>
      </x:c>
      <x:c r="N25" s="68" t="str">
        <x:v>有效可调用</x:v>
      </x:c>
      <x:c r="O25" s="68" t="str">
        <x:v>待定</x:v>
      </x:c>
      <x:c r="P25" s="68" t="str">
        <x:v>待定</x:v>
      </x:c>
      <x:c r="Q25" s="82" t="str">
        <x:v>局部阻塞</x:v>
      </x:c>
      <x:c r="R25" s="82" t="str">
        <x:v>桥梁太弱</x:v>
      </x:c>
      <x:c r="S25" s="68" t="str">
        <x:v>桥梁</x:v>
      </x:c>
      <x:c r="T25" s="68" t="str">
        <x:v>桥梁只有名义存在但无根无源或已失效</x:v>
      </x:c>
      <x:c r="U25" s="68" t="str">
        <x:v>待定</x:v>
      </x:c>
      <x:c r="V25" s="68" t="str">
        <x:v>待定</x:v>
      </x:c>
      <x:c r="W25" s="90" t="str">
        <x:v>需检查对调候、格局、日主承载及其他通路的副作用</x:v>
      </x:c>
      <x:c r="X25" s="68" t="str">
        <x:v>M06关系效应、M08五行有效旺衰、M10十神功能与M11组合判断已完成</x:v>
      </x:c>
      <x:c r="Y25" s="68" t="str">
        <x:v>起点、桥梁、终点均按有效力量与实际作用路径判断</x:v>
      </x:c>
      <x:c r="Z25" s="68" t="str">
        <x:v>桥梁有根有源、透达、位置可达且不存在关键制约</x:v>
      </x:c>
      <x:c r="AA25" s="68" t="str">
        <x:v>桥梁失令、无根、受克、合绊、改性或同时被多路调用</x:v>
      </x:c>
      <x:c r="AB25" s="90" t="str">
        <x:v>不得仅因五行缺失、数量少或关系名称直接认定卡点或通关用神</x:v>
      </x:c>
      <x:c r="AC25" s="68" t="str">
        <x:v>若存在更短、更强或副作用更小的替代路径，应并列比较后再裁定</x:v>
      </x:c>
      <x:c r="AD25" s="84" t="str">
        <x:v>M12_BRIDGE_流通判定</x:v>
      </x:c>
      <x:c r="AE25" s="84" t="str">
        <x:v>桥梁必须自身有效才能承担通关：按起点—桥梁—终点检查有效力量、连续性与承载；卡点为“桥梁太弱”时，仅生成通关候选，不直接定用神。</x:v>
      </x:c>
      <x:c r="AF25" s="82" t="str">
        <x:v>较高</x:v>
      </x:c>
      <x:c r="AG25" s="82" t="str">
        <x:v>现代综合</x:v>
      </x:c>
      <x:c r="AH25" s="68" t="str">
        <x:v>流通判断以五行有效力量、生克顺序与十神功能为核心；古典依据可参照《滴天髓》《渊海子平》。 https://zh.wikisource.org/wiki/%E6%BB%B4%E5%A4%A9%E9%AB%93%E9%97%A1%E5%BE%AE https://zh.wikisource.org/zh-hans/%E6%B7%B5%E6%B5%B7%E5%AD%90%E5%B9%B3</x:v>
      </x:c>
      <x:c r="AI25" s="68" t="str">
        <x:v>当“桥梁只有名义存在但无根无源或已失效”真实成立，且桥梁具备有效力量和连续作用条件时，可按“桥梁必须自身有效才能承担通关”记录。</x:v>
      </x:c>
      <x:c r="AJ25" s="90" t="str">
        <x:v>仅见表面缺失或五行相克，但未证明“桥梁只有名义存在但无根无源或已失效”形成实际阻断时，不得套用“桥梁必须自身有效才能承担通关”。</x:v>
      </x:c>
      <x:c r="AK25" s="82" t="str">
        <x:v>采用</x:v>
      </x:c>
      <x:c r="AL25" s="82" t="str">
        <x:v>初审</x:v>
      </x:c>
      <x:c r="AM25" s="87" t="n">
        <x:v>46255</x:v>
      </x:c>
    </x:row>
    <x:row r="26">
      <x:c r="A26" s="72" t="str">
        <x:f>IF(OR(C26="",D26=""),"",B26&amp;"-"&amp;UPPER(C26)&amp;"-"&amp;TEXT(D26,"0000")&amp;"-"&amp;E26)</x:f>
        <x:v>M12-BRIDGE-0020-V1.0</x:v>
      </x:c>
      <x:c r="B26" s="74" t="str">
        <x:v>M12</x:v>
      </x:c>
      <x:c r="C26" s="74" t="str">
        <x:v>BRIDGE</x:v>
      </x:c>
      <x:c r="D26" s="215" t="n">
        <x:v>20</x:v>
      </x:c>
      <x:c r="E26" s="74" t="str">
        <x:v>V1.0</x:v>
      </x:c>
      <x:c r="F26" s="68" t="str">
        <x:v>桥梁达到中和以上通常具备稳定传递能力</x:v>
      </x:c>
      <x:c r="G26" s="82" t="str">
        <x:v>结构层</x:v>
      </x:c>
      <x:c r="H26" s="68" t="str">
        <x:v>五行生化路径</x:v>
      </x:c>
      <x:c r="I26" s="68" t="str">
        <x:v>上游五行</x:v>
      </x:c>
      <x:c r="J26" s="68" t="str">
        <x:v>候选桥梁</x:v>
      </x:c>
      <x:c r="K26" s="68" t="str">
        <x:v>下游五行</x:v>
      </x:c>
      <x:c r="L26" s="82" t="str">
        <x:v>待定</x:v>
      </x:c>
      <x:c r="M26" s="82" t="str">
        <x:v>中和偏旺</x:v>
      </x:c>
      <x:c r="N26" s="68" t="str">
        <x:v>稳定有效</x:v>
      </x:c>
      <x:c r="O26" s="68" t="str">
        <x:v>待定</x:v>
      </x:c>
      <x:c r="P26" s="68" t="str">
        <x:v>待定</x:v>
      </x:c>
      <x:c r="Q26" s="82" t="str">
        <x:v>通畅</x:v>
      </x:c>
      <x:c r="R26" s="82" t="str">
        <x:v>其他</x:v>
      </x:c>
      <x:c r="S26" s="68" t="str">
        <x:v>待定</x:v>
      </x:c>
      <x:c r="T26" s="68" t="str">
        <x:v>桥梁有效力量足以承接上游并继续作用下游</x:v>
      </x:c>
      <x:c r="U26" s="68" t="str">
        <x:v>待定</x:v>
      </x:c>
      <x:c r="V26" s="68" t="str">
        <x:v>待定</x:v>
      </x:c>
      <x:c r="W26" s="90" t="str">
        <x:v>需检查对调候、格局、日主承载及其他通路的副作用</x:v>
      </x:c>
      <x:c r="X26" s="68" t="str">
        <x:v>M06关系效应、M08五行有效旺衰、M10十神功能与M11组合判断已完成</x:v>
      </x:c>
      <x:c r="Y26" s="68" t="str">
        <x:v>起点、桥梁、终点均按有效力量与实际作用路径判断</x:v>
      </x:c>
      <x:c r="Z26" s="68" t="str">
        <x:v>桥梁有根有源、透达、位置可达且不存在关键制约</x:v>
      </x:c>
      <x:c r="AA26" s="68" t="str">
        <x:v>桥梁失令、无根、受克、合绊、改性或同时被多路调用</x:v>
      </x:c>
      <x:c r="AB26" s="90" t="str">
        <x:v>不得仅因五行缺失、数量少或关系名称直接认定卡点或通关用神</x:v>
      </x:c>
      <x:c r="AC26" s="68" t="str">
        <x:v>若存在更短、更强或副作用更小的替代路径，应并列比较后再裁定</x:v>
      </x:c>
      <x:c r="AD26" s="84" t="str">
        <x:v>桥梁稳定</x:v>
      </x:c>
      <x:c r="AE26" s="84" t="str">
        <x:v>桥梁达到中和以上通常具备稳定传递能力：按起点—桥梁—终点检查有效力量、连续性与承载；卡点为“其他”时，仅生成通关候选，不直接定用神。</x:v>
      </x:c>
      <x:c r="AF26" s="82" t="str">
        <x:v>较高</x:v>
      </x:c>
      <x:c r="AG26" s="82" t="str">
        <x:v>现代综合</x:v>
      </x:c>
      <x:c r="AH26" s="68" t="str">
        <x:v>流通判断以五行有效力量、生克顺序与十神功能为核心；古典依据可参照《滴天髓》《渊海子平》。 https://zh.wikisource.org/wiki/%E6%BB%B4%E5%A4%A9%E9%AB%93%E9%97%A1%E5%BE%AE https://zh.wikisource.org/zh-hans/%E6%B7%B5%E6%B5%B7%E5%AD%90%E5%B9%B3</x:v>
      </x:c>
      <x:c r="AI26" s="68" t="str">
        <x:v>当“桥梁有效力量足以承接上游并继续作用下游”真实成立，且桥梁具备有效力量和连续作用条件时，可按“桥梁达到中和以上通常具备稳定传递能力”记录。</x:v>
      </x:c>
      <x:c r="AJ26" s="90" t="str">
        <x:v>仅见表面缺失或五行相克，但未证明“桥梁有效力量足以承接上游并继续作用下游”形成实际阻断时，不得套用“桥梁达到中和以上通常具备稳定传递能力”。</x:v>
      </x:c>
      <x:c r="AK26" s="82" t="str">
        <x:v>采用</x:v>
      </x:c>
      <x:c r="AL26" s="82" t="str">
        <x:v>初审</x:v>
      </x:c>
      <x:c r="AM26" s="87" t="n">
        <x:v>46255</x:v>
      </x:c>
    </x:row>
    <x:row r="27">
      <x:c r="A27" s="72" t="str">
        <x:f>IF(OR(C27="",D27=""),"",B27&amp;"-"&amp;UPPER(C27)&amp;"-"&amp;TEXT(D27,"0000")&amp;"-"&amp;E27)</x:f>
        <x:v>M12-BRIDGE-0021-V1.0</x:v>
      </x:c>
      <x:c r="B27" s="74" t="str">
        <x:v>M12</x:v>
      </x:c>
      <x:c r="C27" s="74" t="str">
        <x:v>BRIDGE</x:v>
      </x:c>
      <x:c r="D27" s="215" t="n">
        <x:v>21</x:v>
      </x:c>
      <x:c r="E27" s="74" t="str">
        <x:v>V1.0</x:v>
      </x:c>
      <x:c r="F27" s="68" t="str">
        <x:v>桥梁仅微弱存在时只能形成弱通路</x:v>
      </x:c>
      <x:c r="G27" s="82" t="str">
        <x:v>结构层</x:v>
      </x:c>
      <x:c r="H27" s="68" t="str">
        <x:v>五行生化路径</x:v>
      </x:c>
      <x:c r="I27" s="68" t="str">
        <x:v>上游五行</x:v>
      </x:c>
      <x:c r="J27" s="68" t="str">
        <x:v>弱桥梁</x:v>
      </x:c>
      <x:c r="K27" s="68" t="str">
        <x:v>下游五行</x:v>
      </x:c>
      <x:c r="L27" s="82" t="str">
        <x:v>待定</x:v>
      </x:c>
      <x:c r="M27" s="82" t="str">
        <x:v>弱</x:v>
      </x:c>
      <x:c r="N27" s="68" t="str">
        <x:v>有但承载有限</x:v>
      </x:c>
      <x:c r="O27" s="68" t="str">
        <x:v>待定</x:v>
      </x:c>
      <x:c r="P27" s="68" t="str">
        <x:v>待定</x:v>
      </x:c>
      <x:c r="Q27" s="82" t="str">
        <x:v>局部阻塞</x:v>
      </x:c>
      <x:c r="R27" s="82" t="str">
        <x:v>桥梁太弱</x:v>
      </x:c>
      <x:c r="S27" s="68" t="str">
        <x:v>桥梁</x:v>
      </x:c>
      <x:c r="T27" s="68" t="str">
        <x:v>桥梁存在但有效力量不足以持续传递</x:v>
      </x:c>
      <x:c r="U27" s="68" t="str">
        <x:v>待定</x:v>
      </x:c>
      <x:c r="V27" s="68" t="str">
        <x:v>待定</x:v>
      </x:c>
      <x:c r="W27" s="90" t="str">
        <x:v>需检查对调候、格局、日主承载及其他通路的副作用</x:v>
      </x:c>
      <x:c r="X27" s="68" t="str">
        <x:v>M06关系效应、M08五行有效旺衰、M10十神功能与M11组合判断已完成</x:v>
      </x:c>
      <x:c r="Y27" s="68" t="str">
        <x:v>起点、桥梁、终点均按有效力量与实际作用路径判断</x:v>
      </x:c>
      <x:c r="Z27" s="68" t="str">
        <x:v>桥梁有根有源、透达、位置可达且不存在关键制约</x:v>
      </x:c>
      <x:c r="AA27" s="68" t="str">
        <x:v>桥梁失令、无根、受克、合绊、改性或同时被多路调用</x:v>
      </x:c>
      <x:c r="AB27" s="90" t="str">
        <x:v>不得仅因五行缺失、数量少或关系名称直接认定卡点或通关用神</x:v>
      </x:c>
      <x:c r="AC27" s="68" t="str">
        <x:v>若存在更短、更强或副作用更小的替代路径，应并列比较后再裁定</x:v>
      </x:c>
      <x:c r="AD27" s="84" t="str">
        <x:v>M12_BRIDGE_流通判定</x:v>
      </x:c>
      <x:c r="AE27" s="84" t="str">
        <x:v>桥梁仅微弱存在时只能形成弱通路：按起点—桥梁—终点检查有效力量、连续性与承载；卡点为“桥梁太弱”时，仅生成通关候选，不直接定用神。</x:v>
      </x:c>
      <x:c r="AF27" s="82" t="str">
        <x:v>较高</x:v>
      </x:c>
      <x:c r="AG27" s="82" t="str">
        <x:v>现代综合</x:v>
      </x:c>
      <x:c r="AH27" s="68" t="str">
        <x:v>流通判断以五行有效力量、生克顺序与十神功能为核心；古典依据可参照《滴天髓》《渊海子平》。 https://zh.wikisource.org/wiki/%E6%BB%B4%E5%A4%A9%E9%AB%93%E9%97%A1%E5%BE%AE https://zh.wikisource.org/zh-hans/%E6%B7%B5%E6%B5%B7%E5%AD%90%E5%B9%B3</x:v>
      </x:c>
      <x:c r="AI27" s="68" t="str">
        <x:v>当“桥梁存在但有效力量不足以持续传递”真实成立，且桥梁具备有效力量和连续作用条件时，可按“桥梁仅微弱存在时只能形成弱通路”记录。</x:v>
      </x:c>
      <x:c r="AJ27" s="90" t="str">
        <x:v>仅见表面缺失或五行相克，但未证明“桥梁存在但有效力量不足以持续传递”形成实际阻断时，不得套用“桥梁仅微弱存在时只能形成弱通路”。</x:v>
      </x:c>
      <x:c r="AK27" s="82" t="str">
        <x:v>采用</x:v>
      </x:c>
      <x:c r="AL27" s="82" t="str">
        <x:v>初审</x:v>
      </x:c>
      <x:c r="AM27" s="87" t="n">
        <x:v>46255</x:v>
      </x:c>
    </x:row>
    <x:row r="28">
      <x:c r="A28" s="72" t="str">
        <x:f>IF(OR(C28="",D28=""),"",B28&amp;"-"&amp;UPPER(C28)&amp;"-"&amp;TEXT(D28,"0000")&amp;"-"&amp;E28)</x:f>
        <x:v>M12-BRIDGE-0022-V1.0</x:v>
      </x:c>
      <x:c r="B28" s="74" t="str">
        <x:v>M12</x:v>
      </x:c>
      <x:c r="C28" s="74" t="str">
        <x:v>BRIDGE</x:v>
      </x:c>
      <x:c r="D28" s="215" t="n">
        <x:v>22</x:v>
      </x:c>
      <x:c r="E28" s="74" t="str">
        <x:v>V1.0</x:v>
      </x:c>
      <x:c r="F28" s="68" t="str">
        <x:v>桥梁被直接强克时流通效率下降</x:v>
      </x:c>
      <x:c r="G28" s="82" t="str">
        <x:v>结构层</x:v>
      </x:c>
      <x:c r="H28" s="68" t="str">
        <x:v>五行生化路径</x:v>
      </x:c>
      <x:c r="I28" s="68" t="str">
        <x:v>上游五行</x:v>
      </x:c>
      <x:c r="J28" s="68" t="str">
        <x:v>被克桥梁</x:v>
      </x:c>
      <x:c r="K28" s="68" t="str">
        <x:v>下游五行</x:v>
      </x:c>
      <x:c r="L28" s="82" t="str">
        <x:v>待定</x:v>
      </x:c>
      <x:c r="M28" s="82" t="str">
        <x:v>中和</x:v>
      </x:c>
      <x:c r="N28" s="68" t="str">
        <x:v>受强克</x:v>
      </x:c>
      <x:c r="O28" s="68" t="str">
        <x:v>待定</x:v>
      </x:c>
      <x:c r="P28" s="68" t="str">
        <x:v>待定</x:v>
      </x:c>
      <x:c r="Q28" s="82" t="str">
        <x:v>明显阻断</x:v>
      </x:c>
      <x:c r="R28" s="82" t="str">
        <x:v>桥梁被克</x:v>
      </x:c>
      <x:c r="S28" s="68" t="str">
        <x:v>桥梁</x:v>
      </x:c>
      <x:c r="T28" s="68" t="str">
        <x:v>桥梁承担传递时同时受到强制，实际可调用力量不足</x:v>
      </x:c>
      <x:c r="U28" s="68" t="str">
        <x:v>待定</x:v>
      </x:c>
      <x:c r="V28" s="68" t="str">
        <x:v>待定</x:v>
      </x:c>
      <x:c r="W28" s="90" t="str">
        <x:v>需检查对调候、格局、日主承载及其他通路的副作用</x:v>
      </x:c>
      <x:c r="X28" s="68" t="str">
        <x:v>M06关系效应、M08五行有效旺衰、M10十神功能与M11组合判断已完成</x:v>
      </x:c>
      <x:c r="Y28" s="68" t="str">
        <x:v>起点、桥梁、终点均按有效力量与实际作用路径判断</x:v>
      </x:c>
      <x:c r="Z28" s="68" t="str">
        <x:v>桥梁有根有源、透达、位置可达且不存在关键制约</x:v>
      </x:c>
      <x:c r="AA28" s="68" t="str">
        <x:v>桥梁失令、无根、受克、合绊、改性或同时被多路调用</x:v>
      </x:c>
      <x:c r="AB28" s="90" t="str">
        <x:v>不得仅因五行缺失、数量少或关系名称直接认定卡点或通关用神</x:v>
      </x:c>
      <x:c r="AC28" s="68" t="str">
        <x:v>若存在更短、更强或副作用更小的替代路径，应并列比较后再裁定</x:v>
      </x:c>
      <x:c r="AD28" s="84" t="str">
        <x:v>M12_BRIDGE_流通判定</x:v>
      </x:c>
      <x:c r="AE28" s="84" t="str">
        <x:v>桥梁被直接强克时流通效率下降：按起点—桥梁—终点检查有效力量、连续性与承载；卡点为“桥梁被克”时，仅生成通关候选，不直接定用神。</x:v>
      </x:c>
      <x:c r="AF28" s="82" t="str">
        <x:v>较高</x:v>
      </x:c>
      <x:c r="AG28" s="82" t="str">
        <x:v>现代综合</x:v>
      </x:c>
      <x:c r="AH28" s="68" t="str">
        <x:v>流通判断以五行有效力量、生克顺序与十神功能为核心；古典依据可参照《滴天髓》《渊海子平》。 https://zh.wikisource.org/wiki/%E6%BB%B4%E5%A4%A9%E9%AB%93%E9%97%A1%E5%BE%AE https://zh.wikisource.org/zh-hans/%E6%B7%B5%E6%B5%B7%E5%AD%90%E5%B9%B3</x:v>
      </x:c>
      <x:c r="AI28" s="68" t="str">
        <x:v>当“桥梁承担传递时同时受到强制，实际可调用力量不足”真实成立，且桥梁具备有效力量和连续作用条件时，可按“桥梁被直接强克时流通效率下降”记录。</x:v>
      </x:c>
      <x:c r="AJ28" s="90" t="str">
        <x:v>仅见表面缺失或五行相克，但未证明“桥梁承担传递时同时受到强制，实际可调用力量不足”形成实际阻断时，不得套用“桥梁被直接强克时流通效率下降”。</x:v>
      </x:c>
      <x:c r="AK28" s="82" t="str">
        <x:v>采用</x:v>
      </x:c>
      <x:c r="AL28" s="82" t="str">
        <x:v>初审</x:v>
      </x:c>
      <x:c r="AM28" s="87" t="n">
        <x:v>46255</x:v>
      </x:c>
    </x:row>
    <x:row r="29">
      <x:c r="A29" s="72" t="str">
        <x:f>IF(OR(C29="",D29=""),"",B29&amp;"-"&amp;UPPER(C29)&amp;"-"&amp;TEXT(D29,"0000")&amp;"-"&amp;E29)</x:f>
        <x:v>M12-BRIDGE-0023-V1.0</x:v>
      </x:c>
      <x:c r="B29" s="74" t="str">
        <x:v>M12</x:v>
      </x:c>
      <x:c r="C29" s="74" t="str">
        <x:v>BRIDGE</x:v>
      </x:c>
      <x:c r="D29" s="215" t="n">
        <x:v>23</x:v>
      </x:c>
      <x:c r="E29" s="74" t="str">
        <x:v>V1.0</x:v>
      </x:c>
      <x:c r="F29" s="68" t="str">
        <x:v>桥梁被合绊但未失效时属于受限通路</x:v>
      </x:c>
      <x:c r="G29" s="82" t="str">
        <x:v>结构层</x:v>
      </x:c>
      <x:c r="H29" s="68" t="str">
        <x:v>五行生化路径</x:v>
      </x:c>
      <x:c r="I29" s="68" t="str">
        <x:v>上游五行</x:v>
      </x:c>
      <x:c r="J29" s="68" t="str">
        <x:v>被合绊桥梁</x:v>
      </x:c>
      <x:c r="K29" s="68" t="str">
        <x:v>下游五行</x:v>
      </x:c>
      <x:c r="L29" s="82" t="str">
        <x:v>待定</x:v>
      </x:c>
      <x:c r="M29" s="82" t="str">
        <x:v>中和</x:v>
      </x:c>
      <x:c r="N29" s="68" t="str">
        <x:v>合绊受限</x:v>
      </x:c>
      <x:c r="O29" s="68" t="str">
        <x:v>待定</x:v>
      </x:c>
      <x:c r="P29" s="68" t="str">
        <x:v>待定</x:v>
      </x:c>
      <x:c r="Q29" s="82" t="str">
        <x:v>局部阻塞</x:v>
      </x:c>
      <x:c r="R29" s="82" t="str">
        <x:v>桥梁被合绊</x:v>
      </x:c>
      <x:c r="S29" s="68" t="str">
        <x:v>桥梁</x:v>
      </x:c>
      <x:c r="T29" s="68" t="str">
        <x:v>桥梁被牵制，仍存在但不能全额承担传递</x:v>
      </x:c>
      <x:c r="U29" s="68" t="str">
        <x:v>待定</x:v>
      </x:c>
      <x:c r="V29" s="68" t="str">
        <x:v>待定</x:v>
      </x:c>
      <x:c r="W29" s="90" t="str">
        <x:v>需检查对调候、格局、日主承载及其他通路的副作用</x:v>
      </x:c>
      <x:c r="X29" s="68" t="str">
        <x:v>M06关系效应、M08五行有效旺衰、M10十神功能与M11组合判断已完成</x:v>
      </x:c>
      <x:c r="Y29" s="68" t="str">
        <x:v>起点、桥梁、终点均按有效力量与实际作用路径判断</x:v>
      </x:c>
      <x:c r="Z29" s="68" t="str">
        <x:v>桥梁有根有源、透达、位置可达且不存在关键制约</x:v>
      </x:c>
      <x:c r="AA29" s="68" t="str">
        <x:v>桥梁失令、无根、受克、合绊、改性或同时被多路调用</x:v>
      </x:c>
      <x:c r="AB29" s="90" t="str">
        <x:v>不得仅因五行缺失、数量少或关系名称直接认定卡点或通关用神</x:v>
      </x:c>
      <x:c r="AC29" s="68" t="str">
        <x:v>若存在更短、更强或副作用更小的替代路径，应并列比较后再裁定</x:v>
      </x:c>
      <x:c r="AD29" s="84" t="str">
        <x:v>M12_BRIDGE_流通判定</x:v>
      </x:c>
      <x:c r="AE29" s="84" t="str">
        <x:v>桥梁被合绊但未失效时属于受限通路：按起点—桥梁—终点检查有效力量、连续性与承载；卡点为“桥梁被合绊”时，仅生成通关候选，不直接定用神。</x:v>
      </x:c>
      <x:c r="AF29" s="82" t="str">
        <x:v>较高</x:v>
      </x:c>
      <x:c r="AG29" s="82" t="str">
        <x:v>现代综合</x:v>
      </x:c>
      <x:c r="AH29" s="68" t="str">
        <x:v>流通判断以五行有效力量、生克顺序与十神功能为核心；古典依据可参照《滴天髓》《渊海子平》。 https://zh.wikisource.org/wiki/%E6%BB%B4%E5%A4%A9%E9%AB%93%E9%97%A1%E5%BE%AE https://zh.wikisource.org/zh-hans/%E6%B7%B5%E6%B5%B7%E5%AD%90%E5%B9%B3</x:v>
      </x:c>
      <x:c r="AI29" s="68" t="str">
        <x:v>当“桥梁被牵制，仍存在但不能全额承担传递”真实成立，且桥梁具备有效力量和连续作用条件时，可按“桥梁被合绊但未失效时属于受限通路”记录。</x:v>
      </x:c>
      <x:c r="AJ29" s="90" t="str">
        <x:v>仅见表面缺失或五行相克，但未证明“桥梁被牵制，仍存在但不能全额承担传递”形成实际阻断时，不得套用“桥梁被合绊但未失效时属于受限通路”。</x:v>
      </x:c>
      <x:c r="AK29" s="82" t="str">
        <x:v>采用</x:v>
      </x:c>
      <x:c r="AL29" s="82" t="str">
        <x:v>初审</x:v>
      </x:c>
      <x:c r="AM29" s="87" t="n">
        <x:v>46255</x:v>
      </x:c>
    </x:row>
    <x:row r="30">
      <x:c r="A30" s="72" t="str">
        <x:f>IF(OR(C30="",D30=""),"",B30&amp;"-"&amp;UPPER(C30)&amp;"-"&amp;TEXT(D30,"0000")&amp;"-"&amp;E30)</x:f>
        <x:v>M12-BRIDGE-0024-V1.0</x:v>
      </x:c>
      <x:c r="B30" s="74" t="str">
        <x:v>M12</x:v>
      </x:c>
      <x:c r="C30" s="74" t="str">
        <x:v>BRIDGE</x:v>
      </x:c>
      <x:c r="D30" s="215" t="n">
        <x:v>24</x:v>
      </x:c>
      <x:c r="E30" s="74" t="str">
        <x:v>V1.0</x:v>
      </x:c>
      <x:c r="F30" s="68" t="str">
        <x:v>桥梁实质合化后必须按新五行重建路径</x:v>
      </x:c>
      <x:c r="G30" s="82" t="str">
        <x:v>结构层</x:v>
      </x:c>
      <x:c r="H30" s="68" t="str">
        <x:v>五行生化路径</x:v>
      </x:c>
      <x:c r="I30" s="68" t="str">
        <x:v>原上游</x:v>
      </x:c>
      <x:c r="J30" s="68" t="str">
        <x:v>发生合化的桥梁</x:v>
      </x:c>
      <x:c r="K30" s="68" t="str">
        <x:v>原终点</x:v>
      </x:c>
      <x:c r="L30" s="82" t="str">
        <x:v>待定</x:v>
      </x:c>
      <x:c r="M30" s="82" t="str">
        <x:v>待定</x:v>
      </x:c>
      <x:c r="N30" s="68" t="str">
        <x:v>五行性质已改性</x:v>
      </x:c>
      <x:c r="O30" s="68" t="str">
        <x:v>待定</x:v>
      </x:c>
      <x:c r="P30" s="68" t="str">
        <x:v>待定</x:v>
      </x:c>
      <x:c r="Q30" s="82" t="str">
        <x:v>无有效路径</x:v>
      </x:c>
      <x:c r="R30" s="82" t="str">
        <x:v>其他</x:v>
      </x:c>
      <x:c r="S30" s="68" t="str">
        <x:v>桥梁</x:v>
      </x:c>
      <x:c r="T30" s="68" t="str">
        <x:v>桥梁原五行功能已发生实质改变，旧路径不再成立</x:v>
      </x:c>
      <x:c r="U30" s="68" t="str">
        <x:v>按合化后五行重算</x:v>
      </x:c>
      <x:c r="V30" s="68" t="str">
        <x:v>M06已确认实质合化</x:v>
      </x:c>
      <x:c r="W30" s="90" t="str">
        <x:v>需检查对调候、格局、日主承载及其他通路的副作用</x:v>
      </x:c>
      <x:c r="X30" s="68" t="str">
        <x:v>M06关系效应、M08五行有效旺衰、M10十神功能与M11组合判断已完成</x:v>
      </x:c>
      <x:c r="Y30" s="68" t="str">
        <x:v>起点、桥梁、终点均按有效力量与实际作用路径判断</x:v>
      </x:c>
      <x:c r="Z30" s="68" t="str">
        <x:v>桥梁有根有源、透达、位置可达且不存在关键制约</x:v>
      </x:c>
      <x:c r="AA30" s="68" t="str">
        <x:v>桥梁失令、无根、受克、合绊、改性或同时被多路调用</x:v>
      </x:c>
      <x:c r="AB30" s="90" t="str">
        <x:v>不得仅因五行缺失、数量少或关系名称直接认定卡点或通关用神</x:v>
      </x:c>
      <x:c r="AC30" s="68" t="str">
        <x:v>若存在更短、更强或副作用更小的替代路径，应并列比较后再裁定</x:v>
      </x:c>
      <x:c r="AD30" s="84" t="str">
        <x:v>M12_BRIDGE_流通判定</x:v>
      </x:c>
      <x:c r="AE30" s="84" t="str">
        <x:v>桥梁实质合化后必须按新五行重建路径：按起点—桥梁—终点检查有效力量、连续性与承载；卡点为“其他”时，仅生成通关候选，不直接定用神。</x:v>
      </x:c>
      <x:c r="AF30" s="82" t="str">
        <x:v>较高</x:v>
      </x:c>
      <x:c r="AG30" s="82" t="str">
        <x:v>现代综合</x:v>
      </x:c>
      <x:c r="AH30" s="68" t="str">
        <x:v>流通判断以五行有效力量、生克顺序与十神功能为核心；古典依据可参照《滴天髓》《渊海子平》。 https://zh.wikisource.org/wiki/%E6%BB%B4%E5%A4%A9%E9%AB%93%E9%97%A1%E5%BE%AE https://zh.wikisource.org/zh-hans/%E6%B7%B5%E6%B5%B7%E5%AD%90%E5%B9%B3</x:v>
      </x:c>
      <x:c r="AI30" s="68" t="str">
        <x:v>当“桥梁原五行功能已发生实质改变，旧路径不再成立”真实成立，且桥梁具备有效力量和连续作用条件时，可按“桥梁实质合化后必须按新五行重建路径”记录。</x:v>
      </x:c>
      <x:c r="AJ30" s="90" t="str">
        <x:v>仅见表面缺失或五行相克，但未证明“桥梁原五行功能已发生实质改变，旧路径不再成立”形成实际阻断时，不得套用“桥梁实质合化后必须按新五行重建路径”。</x:v>
      </x:c>
      <x:c r="AK30" s="82" t="str">
        <x:v>采用</x:v>
      </x:c>
      <x:c r="AL30" s="82" t="str">
        <x:v>初审</x:v>
      </x:c>
      <x:c r="AM30" s="87" t="n">
        <x:v>46255</x:v>
      </x:c>
    </x:row>
    <x:row r="31">
      <x:c r="A31" s="72" t="str">
        <x:f>IF(OR(C31="",D31=""),"",B31&amp;"-"&amp;UPPER(C31)&amp;"-"&amp;TEXT(D31,"0000")&amp;"-"&amp;E31)</x:f>
        <x:v>M12-BRIDGE-0025-V1.0</x:v>
      </x:c>
      <x:c r="B31" s="74" t="str">
        <x:v>M12</x:v>
      </x:c>
      <x:c r="C31" s="74" t="str">
        <x:v>BRIDGE</x:v>
      </x:c>
      <x:c r="D31" s="215" t="n">
        <x:v>25</x:v>
      </x:c>
      <x:c r="E31" s="74" t="str">
        <x:v>V1.0</x:v>
      </x:c>
      <x:c r="F31" s="68" t="str">
        <x:v>桥梁同时被多个路径调用时需降低单路容量</x:v>
      </x:c>
      <x:c r="G31" s="82" t="str">
        <x:v>结构层</x:v>
      </x:c>
      <x:c r="H31" s="68" t="str">
        <x:v>五行生化路径</x:v>
      </x:c>
      <x:c r="I31" s="68" t="str">
        <x:v>多个上游</x:v>
      </x:c>
      <x:c r="J31" s="68" t="str">
        <x:v>共享桥梁</x:v>
      </x:c>
      <x:c r="K31" s="68" t="str">
        <x:v>多个下游</x:v>
      </x:c>
      <x:c r="L31" s="82" t="str">
        <x:v>待定</x:v>
      </x:c>
      <x:c r="M31" s="82" t="str">
        <x:v>中和偏旺</x:v>
      </x:c>
      <x:c r="N31" s="68" t="str">
        <x:v>多路共享</x:v>
      </x:c>
      <x:c r="O31" s="68" t="str">
        <x:v>待定</x:v>
      </x:c>
      <x:c r="P31" s="68" t="str">
        <x:v>待定</x:v>
      </x:c>
      <x:c r="Q31" s="82" t="str">
        <x:v>基本通畅</x:v>
      </x:c>
      <x:c r="R31" s="82" t="str">
        <x:v>其他</x:v>
      </x:c>
      <x:c r="S31" s="68" t="str">
        <x:v>桥梁</x:v>
      </x:c>
      <x:c r="T31" s="68" t="str">
        <x:v>同一桥梁的有效力量需要在多个路径间分配</x:v>
      </x:c>
      <x:c r="U31" s="68" t="str">
        <x:v>待定</x:v>
      </x:c>
      <x:c r="V31" s="68" t="str">
        <x:v>待定</x:v>
      </x:c>
      <x:c r="W31" s="90" t="str">
        <x:v>需检查对调候、格局、日主承载及其他通路的副作用</x:v>
      </x:c>
      <x:c r="X31" s="68" t="str">
        <x:v>M06关系效应、M08五行有效旺衰、M10十神功能与M11组合判断已完成</x:v>
      </x:c>
      <x:c r="Y31" s="68" t="str">
        <x:v>起点、桥梁、终点均按有效力量与实际作用路径判断</x:v>
      </x:c>
      <x:c r="Z31" s="68" t="str">
        <x:v>桥梁有根有源、透达、位置可达且不存在关键制约</x:v>
      </x:c>
      <x:c r="AA31" s="68" t="str">
        <x:v>桥梁失令、无根、受克、合绊、改性或同时被多路调用</x:v>
      </x:c>
      <x:c r="AB31" s="90" t="str">
        <x:v>不得仅因五行缺失、数量少或关系名称直接认定卡点或通关用神</x:v>
      </x:c>
      <x:c r="AC31" s="68" t="str">
        <x:v>若存在更短、更强或副作用更小的替代路径，应并列比较后再裁定</x:v>
      </x:c>
      <x:c r="AD31" s="84" t="str">
        <x:v>M12_BRIDGE_流通判定</x:v>
      </x:c>
      <x:c r="AE31" s="84" t="str">
        <x:v>桥梁同时被多个路径调用时需降低单路容量：按起点—桥梁—终点检查有效力量、连续性与承载；卡点为“其他”时，仅生成通关候选，不直接定用神。</x:v>
      </x:c>
      <x:c r="AF31" s="82" t="str">
        <x:v>较高</x:v>
      </x:c>
      <x:c r="AG31" s="82" t="str">
        <x:v>现代综合</x:v>
      </x:c>
      <x:c r="AH31" s="68" t="str">
        <x:v>流通判断以五行有效力量、生克顺序与十神功能为核心；古典依据可参照《滴天髓》《渊海子平》。 https://zh.wikisource.org/wiki/%E6%BB%B4%E5%A4%A9%E9%AB%93%E9%97%A1%E5%BE%AE https://zh.wikisource.org/zh-hans/%E6%B7%B5%E6%B5%B7%E5%AD%90%E5%B9%B3</x:v>
      </x:c>
      <x:c r="AI31" s="68" t="str">
        <x:v>当“同一桥梁的有效力量需要在多个路径间分配”真实成立，且桥梁具备有效力量和连续作用条件时，可按“桥梁同时被多个路径调用时需降低单路容量”记录。</x:v>
      </x:c>
      <x:c r="AJ31" s="90" t="str">
        <x:v>仅见表面缺失或五行相克，但未证明“同一桥梁的有效力量需要在多个路径间分配”形成实际阻断时，不得套用“桥梁同时被多个路径调用时需降低单路容量”。</x:v>
      </x:c>
      <x:c r="AK31" s="82" t="str">
        <x:v>采用</x:v>
      </x:c>
      <x:c r="AL31" s="82" t="str">
        <x:v>初审</x:v>
      </x:c>
      <x:c r="AM31" s="87" t="n">
        <x:v>46255</x:v>
      </x:c>
    </x:row>
    <x:row r="32">
      <x:c r="A32" s="72" t="str">
        <x:f>IF(OR(C32="",D32=""),"",B32&amp;"-"&amp;UPPER(C32)&amp;"-"&amp;TEXT(D32,"0000")&amp;"-"&amp;E32)</x:f>
        <x:v>M12-BRIDGE-0026-V1.0</x:v>
      </x:c>
      <x:c r="B32" s="74" t="str">
        <x:v>M12</x:v>
      </x:c>
      <x:c r="C32" s="74" t="str">
        <x:v>BRIDGE</x:v>
      </x:c>
      <x:c r="D32" s="215" t="n">
        <x:v>26</x:v>
      </x:c>
      <x:c r="E32" s="74" t="str">
        <x:v>V1.0</x:v>
      </x:c>
      <x:c r="F32" s="68" t="str">
        <x:v>桥梁得令有根有源可显著提高通关稳定性</x:v>
      </x:c>
      <x:c r="G32" s="82" t="str">
        <x:v>结构层</x:v>
      </x:c>
      <x:c r="H32" s="68" t="str">
        <x:v>五行生化路径</x:v>
      </x:c>
      <x:c r="I32" s="68" t="str">
        <x:v>上游五行</x:v>
      </x:c>
      <x:c r="J32" s="68" t="str">
        <x:v>候选桥梁</x:v>
      </x:c>
      <x:c r="K32" s="68" t="str">
        <x:v>下游五行</x:v>
      </x:c>
      <x:c r="L32" s="82" t="str">
        <x:v>待定</x:v>
      </x:c>
      <x:c r="M32" s="82" t="str">
        <x:v>旺</x:v>
      </x:c>
      <x:c r="N32" s="68" t="str">
        <x:v>得令有根有源</x:v>
      </x:c>
      <x:c r="O32" s="68" t="str">
        <x:v>待定</x:v>
      </x:c>
      <x:c r="P32" s="68" t="str">
        <x:v>待定</x:v>
      </x:c>
      <x:c r="Q32" s="82" t="str">
        <x:v>通畅</x:v>
      </x:c>
      <x:c r="R32" s="82" t="str">
        <x:v>其他</x:v>
      </x:c>
      <x:c r="S32" s="68" t="str">
        <x:v>待定</x:v>
      </x:c>
      <x:c r="T32" s="68" t="str">
        <x:v>桥梁同时具备季令、根气和生源等独立有效支持</x:v>
      </x:c>
      <x:c r="U32" s="68" t="str">
        <x:v>待定</x:v>
      </x:c>
      <x:c r="V32" s="68" t="str">
        <x:v>待定</x:v>
      </x:c>
      <x:c r="W32" s="90" t="str">
        <x:v>需检查对调候、格局、日主承载及其他通路的副作用</x:v>
      </x:c>
      <x:c r="X32" s="68" t="str">
        <x:v>M06关系效应、M08五行有效旺衰、M10十神功能与M11组合判断已完成</x:v>
      </x:c>
      <x:c r="Y32" s="68" t="str">
        <x:v>起点、桥梁、终点均按有效力量与实际作用路径判断</x:v>
      </x:c>
      <x:c r="Z32" s="68" t="str">
        <x:v>桥梁有根有源、透达、位置可达且不存在关键制约</x:v>
      </x:c>
      <x:c r="AA32" s="68" t="str">
        <x:v>桥梁失令、无根、受克、合绊、改性或同时被多路调用</x:v>
      </x:c>
      <x:c r="AB32" s="90" t="str">
        <x:v>不得仅因五行缺失、数量少或关系名称直接认定卡点或通关用神</x:v>
      </x:c>
      <x:c r="AC32" s="68" t="str">
        <x:v>若存在更短、更强或副作用更小的替代路径，应并列比较后再裁定</x:v>
      </x:c>
      <x:c r="AD32" s="84" t="str">
        <x:v>强桥梁通关</x:v>
      </x:c>
      <x:c r="AE32" s="84" t="str">
        <x:v>桥梁得令有根有源可显著提高通关稳定性：按起点—桥梁—终点检查有效力量、连续性与承载；卡点为“其他”时，仅生成通关候选，不直接定用神。</x:v>
      </x:c>
      <x:c r="AF32" s="82" t="str">
        <x:v>较高</x:v>
      </x:c>
      <x:c r="AG32" s="82" t="str">
        <x:v>现代综合</x:v>
      </x:c>
      <x:c r="AH32" s="68" t="str">
        <x:v>流通判断以五行有效力量、生克顺序与十神功能为核心；古典依据可参照《滴天髓》《渊海子平》。 https://zh.wikisource.org/wiki/%E6%BB%B4%E5%A4%A9%E9%AB%93%E9%97%A1%E5%BE%AE https://zh.wikisource.org/zh-hans/%E6%B7%B5%E6%B5%B7%E5%AD%90%E5%B9%B3</x:v>
      </x:c>
      <x:c r="AI32" s="68" t="str">
        <x:v>当“桥梁同时具备季令、根气和生源等独立有效支持”真实成立，且桥梁具备有效力量和连续作用条件时，可按“桥梁得令有根有源可显著提高通关稳定性”记录。</x:v>
      </x:c>
      <x:c r="AJ32" s="90" t="str">
        <x:v>仅见表面缺失或五行相克，但未证明“桥梁同时具备季令、根气和生源等独立有效支持”形成实际阻断时，不得套用“桥梁得令有根有源可显著提高通关稳定性”。</x:v>
      </x:c>
      <x:c r="AK32" s="82" t="str">
        <x:v>采用</x:v>
      </x:c>
      <x:c r="AL32" s="82" t="str">
        <x:v>初审</x:v>
      </x:c>
      <x:c r="AM32" s="87" t="n">
        <x:v>46255</x:v>
      </x:c>
    </x:row>
    <x:row r="33">
      <x:c r="A33" s="72" t="str">
        <x:f>IF(OR(C33="",D33=""),"",B33&amp;"-"&amp;UPPER(C33)&amp;"-"&amp;TEXT(D33,"0000")&amp;"-"&amp;E33)</x:f>
        <x:v>M12-BRIDGE-0027-V1.0</x:v>
      </x:c>
      <x:c r="B33" s="74" t="str">
        <x:v>M12</x:v>
      </x:c>
      <x:c r="C33" s="74" t="str">
        <x:v>BRIDGE</x:v>
      </x:c>
      <x:c r="D33" s="215" t="n">
        <x:v>27</x:v>
      </x:c>
      <x:c r="E33" s="74" t="str">
        <x:v>V1.0</x:v>
      </x:c>
      <x:c r="F33" s="68" t="str">
        <x:v>桥梁受寒凝时存在但流动性下降</x:v>
      </x:c>
      <x:c r="G33" s="82" t="str">
        <x:v>结构层</x:v>
      </x:c>
      <x:c r="H33" s="68" t="str">
        <x:v>五行生化路径</x:v>
      </x:c>
      <x:c r="I33" s="68" t="str">
        <x:v>上游五行</x:v>
      </x:c>
      <x:c r="J33" s="68" t="str">
        <x:v>受寒凝桥梁</x:v>
      </x:c>
      <x:c r="K33" s="68" t="str">
        <x:v>下游五行</x:v>
      </x:c>
      <x:c r="L33" s="82" t="str">
        <x:v>待定</x:v>
      </x:c>
      <x:c r="M33" s="82" t="str">
        <x:v>中和</x:v>
      </x:c>
      <x:c r="N33" s="68" t="str">
        <x:v>寒凝难行</x:v>
      </x:c>
      <x:c r="O33" s="68" t="str">
        <x:v>待定</x:v>
      </x:c>
      <x:c r="P33" s="68" t="str">
        <x:v>待定</x:v>
      </x:c>
      <x:c r="Q33" s="82" t="str">
        <x:v>局部阻塞</x:v>
      </x:c>
      <x:c r="R33" s="82" t="str">
        <x:v>寒凝</x:v>
      </x:c>
      <x:c r="S33" s="68" t="str">
        <x:v>桥梁</x:v>
      </x:c>
      <x:c r="T33" s="68" t="str">
        <x:v>桥梁物理象义上的生发、蒸腾或化泄效率受低温状态压制</x:v>
      </x:c>
      <x:c r="U33" s="68" t="str">
        <x:v>调候火或相应暖化条件</x:v>
      </x:c>
      <x:c r="V33" s="68" t="str">
        <x:v>M13确认寒凝属于真实主要矛盾</x:v>
      </x:c>
      <x:c r="W33" s="90" t="str">
        <x:v>需检查对调候、格局、日主承载及其他通路的副作用</x:v>
      </x:c>
      <x:c r="X33" s="68" t="str">
        <x:v>M06关系效应、M08五行有效旺衰、M10十神功能与M11组合判断已完成</x:v>
      </x:c>
      <x:c r="Y33" s="68" t="str">
        <x:v>起点、桥梁、终点均按有效力量与实际作用路径判断</x:v>
      </x:c>
      <x:c r="Z33" s="68" t="str">
        <x:v>桥梁有根有源、透达、位置可达且不存在关键制约</x:v>
      </x:c>
      <x:c r="AA33" s="68" t="str">
        <x:v>桥梁失令、无根、受克、合绊、改性或同时被多路调用</x:v>
      </x:c>
      <x:c r="AB33" s="90" t="str">
        <x:v>不得仅因五行缺失、数量少或关系名称直接认定卡点或通关用神</x:v>
      </x:c>
      <x:c r="AC33" s="68" t="str">
        <x:v>若存在更短、更强或副作用更小的替代路径，应并列比较后再裁定</x:v>
      </x:c>
      <x:c r="AD33" s="84" t="str">
        <x:v>M12_BRIDGE_流通判定</x:v>
      </x:c>
      <x:c r="AE33" s="84" t="str">
        <x:v>桥梁受寒凝时存在但流动性下降：按起点—桥梁—终点检查有效力量、连续性与承载；卡点为“寒凝”时，仅生成通关候选，不直接定用神。</x:v>
      </x:c>
      <x:c r="AF33" s="82" t="str">
        <x:v>较高</x:v>
      </x:c>
      <x:c r="AG33" s="82" t="str">
        <x:v>现代综合</x:v>
      </x:c>
      <x:c r="AH33" s="68" t="str">
        <x:v>流通判断以五行有效力量、生克顺序与十神功能为核心；古典依据可参照《滴天髓》《渊海子平》。 https://zh.wikisource.org/wiki/%E6%BB%B4%E5%A4%A9%E9%AB%93%E9%97%A1%E5%BE%AE https://zh.wikisource.org/zh-hans/%E6%B7%B5%E6%B5%B7%E5%AD%90%E5%B9%B3</x:v>
      </x:c>
      <x:c r="AI33" s="68" t="str">
        <x:v>当“桥梁物理象义上的生发、蒸腾或化泄效率受低温状态压制”真实成立，且桥梁具备有效力量和连续作用条件时，可按“桥梁受寒凝时存在但流动性下降”记录。</x:v>
      </x:c>
      <x:c r="AJ33" s="90" t="str">
        <x:v>仅见表面缺失或五行相克，但未证明“桥梁物理象义上的生发、蒸腾或化泄效率受低温状态压制”形成实际阻断时，不得套用“桥梁受寒凝时存在但流动性下降”。</x:v>
      </x:c>
      <x:c r="AK33" s="82" t="str">
        <x:v>采用</x:v>
      </x:c>
      <x:c r="AL33" s="82" t="str">
        <x:v>初审</x:v>
      </x:c>
      <x:c r="AM33" s="87" t="n">
        <x:v>46255</x:v>
      </x:c>
    </x:row>
    <x:row r="34">
      <x:c r="A34" s="72" t="str">
        <x:f>IF(OR(C34="",D34=""),"",B34&amp;"-"&amp;UPPER(C34)&amp;"-"&amp;TEXT(D34,"0000")&amp;"-"&amp;E34)</x:f>
        <x:v>M12-BRIDGE-0028-V1.0</x:v>
      </x:c>
      <x:c r="B34" s="74" t="str">
        <x:v>M12</x:v>
      </x:c>
      <x:c r="C34" s="74" t="str">
        <x:v>BRIDGE</x:v>
      </x:c>
      <x:c r="D34" s="215" t="n">
        <x:v>28</x:v>
      </x:c>
      <x:c r="E34" s="74" t="str">
        <x:v>V1.0</x:v>
      </x:c>
      <x:c r="F34" s="68" t="str">
        <x:v>桥梁受燥枯时连续生化能力下降</x:v>
      </x:c>
      <x:c r="G34" s="82" t="str">
        <x:v>结构层</x:v>
      </x:c>
      <x:c r="H34" s="68" t="str">
        <x:v>五行生化路径</x:v>
      </x:c>
      <x:c r="I34" s="68" t="str">
        <x:v>上游五行</x:v>
      </x:c>
      <x:c r="J34" s="68" t="str">
        <x:v>受燥枯桥梁</x:v>
      </x:c>
      <x:c r="K34" s="68" t="str">
        <x:v>下游五行</x:v>
      </x:c>
      <x:c r="L34" s="82" t="str">
        <x:v>待定</x:v>
      </x:c>
      <x:c r="M34" s="82" t="str">
        <x:v>中和</x:v>
      </x:c>
      <x:c r="N34" s="68" t="str">
        <x:v>燥枯失润</x:v>
      </x:c>
      <x:c r="O34" s="68" t="str">
        <x:v>待定</x:v>
      </x:c>
      <x:c r="P34" s="68" t="str">
        <x:v>待定</x:v>
      </x:c>
      <x:c r="Q34" s="82" t="str">
        <x:v>局部阻塞</x:v>
      </x:c>
      <x:c r="R34" s="82" t="str">
        <x:v>燥枯</x:v>
      </x:c>
      <x:c r="S34" s="68" t="str">
        <x:v>桥梁</x:v>
      </x:c>
      <x:c r="T34" s="68" t="str">
        <x:v>桥梁虽有力量但缺乏持续生发、润泽或承接条件</x:v>
      </x:c>
      <x:c r="U34" s="68" t="str">
        <x:v>调候水或相应润燥条件</x:v>
      </x:c>
      <x:c r="V34" s="68" t="str">
        <x:v>M13确认燥枯为主要矛盾</x:v>
      </x:c>
      <x:c r="W34" s="90" t="str">
        <x:v>需检查对调候、格局、日主承载及其他通路的副作用</x:v>
      </x:c>
      <x:c r="X34" s="68" t="str">
        <x:v>M06关系效应、M08五行有效旺衰、M10十神功能与M11组合判断已完成</x:v>
      </x:c>
      <x:c r="Y34" s="68" t="str">
        <x:v>起点、桥梁、终点均按有效力量与实际作用路径判断</x:v>
      </x:c>
      <x:c r="Z34" s="68" t="str">
        <x:v>桥梁有根有源、透达、位置可达且不存在关键制约</x:v>
      </x:c>
      <x:c r="AA34" s="68" t="str">
        <x:v>桥梁失令、无根、受克、合绊、改性或同时被多路调用</x:v>
      </x:c>
      <x:c r="AB34" s="90" t="str">
        <x:v>不得仅因五行缺失、数量少或关系名称直接认定卡点或通关用神</x:v>
      </x:c>
      <x:c r="AC34" s="68" t="str">
        <x:v>若存在更短、更强或副作用更小的替代路径，应并列比较后再裁定</x:v>
      </x:c>
      <x:c r="AD34" s="84" t="str">
        <x:v>M12_BRIDGE_流通判定</x:v>
      </x:c>
      <x:c r="AE34" s="84" t="str">
        <x:v>桥梁受燥枯时连续生化能力下降：按起点—桥梁—终点检查有效力量、连续性与承载；卡点为“燥枯”时，仅生成通关候选，不直接定用神。</x:v>
      </x:c>
      <x:c r="AF34" s="82" t="str">
        <x:v>较高</x:v>
      </x:c>
      <x:c r="AG34" s="82" t="str">
        <x:v>现代综合</x:v>
      </x:c>
      <x:c r="AH34" s="68" t="str">
        <x:v>流通判断以五行有效力量、生克顺序与十神功能为核心；古典依据可参照《滴天髓》《渊海子平》。 https://zh.wikisource.org/wiki/%E6%BB%B4%E5%A4%A9%E9%AB%93%E9%97%A1%E5%BE%AE https://zh.wikisource.org/zh-hans/%E6%B7%B5%E6%B5%B7%E5%AD%90%E5%B9%B3</x:v>
      </x:c>
      <x:c r="AI34" s="68" t="str">
        <x:v>当“桥梁虽有力量但缺乏持续生发、润泽或承接条件”真实成立，且桥梁具备有效力量和连续作用条件时，可按“桥梁受燥枯时连续生化能力下降”记录。</x:v>
      </x:c>
      <x:c r="AJ34" s="90" t="str">
        <x:v>仅见表面缺失或五行相克，但未证明“桥梁虽有力量但缺乏持续生发、润泽或承接条件”形成实际阻断时，不得套用“桥梁受燥枯时连续生化能力下降”。</x:v>
      </x:c>
      <x:c r="AK34" s="82" t="str">
        <x:v>采用</x:v>
      </x:c>
      <x:c r="AL34" s="82" t="str">
        <x:v>初审</x:v>
      </x:c>
      <x:c r="AM34" s="87" t="n">
        <x:v>46255</x:v>
      </x:c>
    </x:row>
    <x:row r="35">
      <x:c r="A35" s="72" t="str">
        <x:f>IF(OR(C35="",D35=""),"",B35&amp;"-"&amp;UPPER(C35)&amp;"-"&amp;TEXT(D35,"0000")&amp;"-"&amp;E35)</x:f>
        <x:v>M12-BRIDGE-0029-V1.0</x:v>
      </x:c>
      <x:c r="B35" s="74" t="str">
        <x:v>M12</x:v>
      </x:c>
      <x:c r="C35" s="74" t="str">
        <x:v>BRIDGE</x:v>
      </x:c>
      <x:c r="D35" s="215" t="n">
        <x:v>29</x:v>
      </x:c>
      <x:c r="E35" s="74" t="str">
        <x:v>V1.0</x:v>
      </x:c>
      <x:c r="F35" s="68" t="str">
        <x:v>桥梁过旺也可能截留上游力量形成壅塞</x:v>
      </x:c>
      <x:c r="G35" s="82" t="str">
        <x:v>结构层</x:v>
      </x:c>
      <x:c r="H35" s="68" t="str">
        <x:v>五行生化路径</x:v>
      </x:c>
      <x:c r="I35" s="68" t="str">
        <x:v>上游五行</x:v>
      </x:c>
      <x:c r="J35" s="68" t="str">
        <x:v>过旺桥梁</x:v>
      </x:c>
      <x:c r="K35" s="68" t="str">
        <x:v>偏弱终点</x:v>
      </x:c>
      <x:c r="L35" s="82" t="str">
        <x:v>待定</x:v>
      </x:c>
      <x:c r="M35" s="82" t="str">
        <x:v>极旺</x:v>
      </x:c>
      <x:c r="N35" s="68" t="str">
        <x:v>桥梁自身聚集过强</x:v>
      </x:c>
      <x:c r="O35" s="68" t="str">
        <x:v>待定</x:v>
      </x:c>
      <x:c r="P35" s="68" t="str">
        <x:v>待定</x:v>
      </x:c>
      <x:c r="Q35" s="82" t="str">
        <x:v>局部阻塞</x:v>
      </x:c>
      <x:c r="R35" s="82" t="str">
        <x:v>回流壅塞</x:v>
      </x:c>
      <x:c r="S35" s="68" t="str">
        <x:v>桥梁</x:v>
      </x:c>
      <x:c r="T35" s="68" t="str">
        <x:v>中间节点过度成势，力量停留在桥梁而未有效送达终点</x:v>
      </x:c>
      <x:c r="U35" s="68" t="str">
        <x:v>待定</x:v>
      </x:c>
      <x:c r="V35" s="68" t="str">
        <x:v>待定</x:v>
      </x:c>
      <x:c r="W35" s="90" t="str">
        <x:v>需检查对调候、格局、日主承载及其他通路的副作用</x:v>
      </x:c>
      <x:c r="X35" s="68" t="str">
        <x:v>M06关系效应、M08五行有效旺衰、M10十神功能与M11组合判断已完成</x:v>
      </x:c>
      <x:c r="Y35" s="68" t="str">
        <x:v>起点、桥梁、终点均按有效力量与实际作用路径判断</x:v>
      </x:c>
      <x:c r="Z35" s="68" t="str">
        <x:v>桥梁有根有源、透达、位置可达且不存在关键制约</x:v>
      </x:c>
      <x:c r="AA35" s="68" t="str">
        <x:v>桥梁失令、无根、受克、合绊、改性或同时被多路调用</x:v>
      </x:c>
      <x:c r="AB35" s="90" t="str">
        <x:v>不得仅因五行缺失、数量少或关系名称直接认定卡点或通关用神</x:v>
      </x:c>
      <x:c r="AC35" s="68" t="str">
        <x:v>若存在更短、更强或副作用更小的替代路径，应并列比较后再裁定</x:v>
      </x:c>
      <x:c r="AD35" s="84" t="str">
        <x:v>M12_BRIDGE_流通判定</x:v>
      </x:c>
      <x:c r="AE35" s="84" t="str">
        <x:v>桥梁过旺也可能截留上游力量形成壅塞：按起点—桥梁—终点检查有效力量、连续性与承载；卡点为“回流壅塞”时，仅生成通关候选，不直接定用神。</x:v>
      </x:c>
      <x:c r="AF35" s="82" t="str">
        <x:v>较高</x:v>
      </x:c>
      <x:c r="AG35" s="82" t="str">
        <x:v>现代综合</x:v>
      </x:c>
      <x:c r="AH35" s="68" t="str">
        <x:v>流通判断以五行有效力量、生克顺序与十神功能为核心；古典依据可参照《滴天髓》《渊海子平》。 https://zh.wikisource.org/wiki/%E6%BB%B4%E5%A4%A9%E9%AB%93%E9%97%A1%E5%BE%AE https://zh.wikisource.org/zh-hans/%E6%B7%B5%E6%B5%B7%E5%AD%90%E5%B9%B3</x:v>
      </x:c>
      <x:c r="AI35" s="68" t="str">
        <x:v>当“中间节点过度成势，力量停留在桥梁而未有效送达终点”真实成立，且桥梁具备有效力量和连续作用条件时，可按“桥梁过旺也可能截留上游力量形成壅塞”记录。</x:v>
      </x:c>
      <x:c r="AJ35" s="90" t="str">
        <x:v>仅见表面缺失或五行相克，但未证明“中间节点过度成势，力量停留在桥梁而未有效送达终点”形成实际阻断时，不得套用“桥梁过旺也可能截留上游力量形成壅塞”。</x:v>
      </x:c>
      <x:c r="AK35" s="82" t="str">
        <x:v>采用</x:v>
      </x:c>
      <x:c r="AL35" s="82" t="str">
        <x:v>初审</x:v>
      </x:c>
      <x:c r="AM35" s="87" t="n">
        <x:v>46255</x:v>
      </x:c>
    </x:row>
    <x:row r="36">
      <x:c r="A36" s="72" t="str">
        <x:f>IF(OR(C36="",D36=""),"",B36&amp;"-"&amp;UPPER(C36)&amp;"-"&amp;TEXT(D36,"0000")&amp;"-"&amp;E36)</x:f>
        <x:v>M12-BRIDGE-0030-V1.0</x:v>
      </x:c>
      <x:c r="B36" s="74" t="str">
        <x:v>M12</x:v>
      </x:c>
      <x:c r="C36" s="74" t="str">
        <x:v>BRIDGE</x:v>
      </x:c>
      <x:c r="D36" s="215" t="n">
        <x:v>30</x:v>
      </x:c>
      <x:c r="E36" s="74" t="str">
        <x:v>V1.0</x:v>
      </x:c>
      <x:c r="F36" s="68" t="str">
        <x:v>桥梁被冲动不等于流通必然中断</x:v>
      </x:c>
      <x:c r="G36" s="82" t="str">
        <x:v>结构层</x:v>
      </x:c>
      <x:c r="H36" s="68" t="str">
        <x:v>五行生化路径</x:v>
      </x:c>
      <x:c r="I36" s="68" t="str">
        <x:v>上游五行</x:v>
      </x:c>
      <x:c r="J36" s="68" t="str">
        <x:v>受冲桥梁</x:v>
      </x:c>
      <x:c r="K36" s="68" t="str">
        <x:v>下游五行</x:v>
      </x:c>
      <x:c r="L36" s="82" t="str">
        <x:v>待定</x:v>
      </x:c>
      <x:c r="M36" s="82" t="str">
        <x:v>中和</x:v>
      </x:c>
      <x:c r="N36" s="68" t="str">
        <x:v>被冲动</x:v>
      </x:c>
      <x:c r="O36" s="68" t="str">
        <x:v>待定</x:v>
      </x:c>
      <x:c r="P36" s="68" t="str">
        <x:v>待定</x:v>
      </x:c>
      <x:c r="Q36" s="82" t="str">
        <x:v>基本通畅</x:v>
      </x:c>
      <x:c r="R36" s="82" t="str">
        <x:v>其他</x:v>
      </x:c>
      <x:c r="S36" s="68" t="str">
        <x:v>待定</x:v>
      </x:c>
      <x:c r="T36" s="68" t="str">
        <x:v>M06仅判冲动或激活，并未判冲散、失根或功能失效</x:v>
      </x:c>
      <x:c r="U36" s="68" t="str">
        <x:v>待定</x:v>
      </x:c>
      <x:c r="V36" s="68" t="str">
        <x:v>待定</x:v>
      </x:c>
      <x:c r="W36" s="90" t="str">
        <x:v>需检查对调候、格局、日主承载及其他通路的副作用</x:v>
      </x:c>
      <x:c r="X36" s="68" t="str">
        <x:v>M06关系效应、M08五行有效旺衰、M10十神功能与M11组合判断已完成</x:v>
      </x:c>
      <x:c r="Y36" s="68" t="str">
        <x:v>起点、桥梁、终点均按有效力量与实际作用路径判断</x:v>
      </x:c>
      <x:c r="Z36" s="68" t="str">
        <x:v>桥梁有根有源、透达、位置可达且不存在关键制约</x:v>
      </x:c>
      <x:c r="AA36" s="68" t="str">
        <x:v>桥梁失令、无根、受克、合绊、改性或同时被多路调用</x:v>
      </x:c>
      <x:c r="AB36" s="90" t="str">
        <x:v>不得仅因五行缺失、数量少或关系名称直接认定卡点或通关用神</x:v>
      </x:c>
      <x:c r="AC36" s="68" t="str">
        <x:v>若存在更短、更强或副作用更小的替代路径，应并列比较后再裁定</x:v>
      </x:c>
      <x:c r="AD36" s="84" t="str">
        <x:v>冲动桥梁非自动失效</x:v>
      </x:c>
      <x:c r="AE36" s="84" t="str">
        <x:v>桥梁被冲动不等于流通必然中断：按起点—桥梁—终点检查有效力量、连续性与承载；卡点为“其他”时，仅生成通关候选，不直接定用神。</x:v>
      </x:c>
      <x:c r="AF36" s="82" t="str">
        <x:v>较高</x:v>
      </x:c>
      <x:c r="AG36" s="82" t="str">
        <x:v>现代综合</x:v>
      </x:c>
      <x:c r="AH36" s="68" t="str">
        <x:v>流通判断以五行有效力量、生克顺序与十神功能为核心；古典依据可参照《滴天髓》《渊海子平》。 https://zh.wikisource.org/wiki/%E6%BB%B4%E5%A4%A9%E9%AB%93%E9%97%A1%E5%BE%AE https://zh.wikisource.org/zh-hans/%E6%B7%B5%E6%B5%B7%E5%AD%90%E5%B9%B3</x:v>
      </x:c>
      <x:c r="AI36" s="68" t="str">
        <x:v>当“M06仅判冲动或激活，并未判冲散、失根或功能失效”真实成立，且桥梁具备有效力量和连续作用条件时，可按“桥梁被冲动不等于流通必然中断”记录。</x:v>
      </x:c>
      <x:c r="AJ36" s="90" t="str">
        <x:v>仅见表面缺失或五行相克，但未证明“M06仅判冲动或激活，并未判冲散、失根或功能失效”形成实际阻断时，不得套用“桥梁被冲动不等于流通必然中断”。</x:v>
      </x:c>
      <x:c r="AK36" s="82" t="str">
        <x:v>采用</x:v>
      </x:c>
      <x:c r="AL36" s="82" t="str">
        <x:v>初审</x:v>
      </x:c>
      <x:c r="AM36" s="87" t="n">
        <x:v>46255</x:v>
      </x:c>
    </x:row>
    <x:row r="37">
      <x:c r="A37" s="72" t="str">
        <x:f>IF(OR(C37="",D37=""),"",B37&amp;"-"&amp;UPPER(C37)&amp;"-"&amp;TEXT(D37,"0000")&amp;"-"&amp;E37)</x:f>
        <x:v>M12-END-0031-V1.0</x:v>
      </x:c>
      <x:c r="B37" s="74" t="str">
        <x:v>M12</x:v>
      </x:c>
      <x:c r="C37" s="74" t="str">
        <x:v>END</x:v>
      </x:c>
      <x:c r="D37" s="215" t="n">
        <x:v>31</x:v>
      </x:c>
      <x:c r="E37" s="74" t="str">
        <x:v>V1.0</x:v>
      </x:c>
      <x:c r="F37" s="68" t="str">
        <x:v>终点必须具备最低承载能力</x:v>
      </x:c>
      <x:c r="G37" s="82" t="str">
        <x:v>结构层</x:v>
      </x:c>
      <x:c r="H37" s="68" t="str">
        <x:v>五行生化路径</x:v>
      </x:c>
      <x:c r="I37" s="68" t="str">
        <x:v>上游五行</x:v>
      </x:c>
      <x:c r="J37" s="68" t="str">
        <x:v>有效桥梁</x:v>
      </x:c>
      <x:c r="K37" s="68" t="str">
        <x:v>弱终点</x:v>
      </x:c>
      <x:c r="L37" s="82" t="str">
        <x:v>待定</x:v>
      </x:c>
      <x:c r="M37" s="82" t="str">
        <x:v>待定</x:v>
      </x:c>
      <x:c r="N37" s="68" t="str">
        <x:v>待定</x:v>
      </x:c>
      <x:c r="O37" s="68" t="str">
        <x:v>终点偏弱但仍有根或有效节点</x:v>
      </x:c>
      <x:c r="P37" s="68" t="str">
        <x:v>待定</x:v>
      </x:c>
      <x:c r="Q37" s="82" t="str">
        <x:v>局部阻塞</x:v>
      </x:c>
      <x:c r="R37" s="82" t="str">
        <x:v>终点过弱不能承载</x:v>
      </x:c>
      <x:c r="S37" s="68" t="str">
        <x:v>终点</x:v>
      </x:c>
      <x:c r="T37" s="68" t="str">
        <x:v>终点有效力量不足，无法完整承接上游持续输送</x:v>
      </x:c>
      <x:c r="U37" s="68" t="str">
        <x:v>待定</x:v>
      </x:c>
      <x:c r="V37" s="68" t="str">
        <x:v>待定</x:v>
      </x:c>
      <x:c r="W37" s="90" t="str">
        <x:v>需检查对调候、格局、日主承载及其他通路的副作用</x:v>
      </x:c>
      <x:c r="X37" s="68" t="str">
        <x:v>M06关系效应、M08五行有效旺衰、M10十神功能与M11组合判断已完成</x:v>
      </x:c>
      <x:c r="Y37" s="68" t="str">
        <x:v>起点、桥梁、终点均按有效力量与实际作用路径判断</x:v>
      </x:c>
      <x:c r="Z37" s="68" t="str">
        <x:v>桥梁有根有源、透达、位置可达且不存在关键制约</x:v>
      </x:c>
      <x:c r="AA37" s="68" t="str">
        <x:v>桥梁失令、无根、受克、合绊、改性或同时被多路调用</x:v>
      </x:c>
      <x:c r="AB37" s="90" t="str">
        <x:v>不得仅因五行缺失、数量少或关系名称直接认定卡点或通关用神</x:v>
      </x:c>
      <x:c r="AC37" s="68" t="str">
        <x:v>若存在更短、更强或副作用更小的替代路径，应并列比较后再裁定</x:v>
      </x:c>
      <x:c r="AD37" s="84" t="str">
        <x:v>M12_END_流通判定</x:v>
      </x:c>
      <x:c r="AE37" s="84" t="str">
        <x:v>终点必须具备最低承载能力：按起点—桥梁—终点检查有效力量、连续性与承载；卡点为“终点过弱不能承载”时，仅生成通关候选，不直接定用神。</x:v>
      </x:c>
      <x:c r="AF37" s="82" t="str">
        <x:v>较高</x:v>
      </x:c>
      <x:c r="AG37" s="82" t="str">
        <x:v>现代综合</x:v>
      </x:c>
      <x:c r="AH37" s="68" t="str">
        <x:v>流通判断以五行有效力量、生克顺序与十神功能为核心；古典依据可参照《滴天髓》《渊海子平》。 https://zh.wikisource.org/wiki/%E6%BB%B4%E5%A4%A9%E9%AB%93%E9%97%A1%E5%BE%AE https://zh.wikisource.org/zh-hans/%E6%B7%B5%E6%B5%B7%E5%AD%90%E5%B9%B3</x:v>
      </x:c>
      <x:c r="AI37" s="68" t="str">
        <x:v>当“终点有效力量不足，无法完整承接上游持续输送”真实成立，且桥梁具备有效力量和连续作用条件时，可按“终点必须具备最低承载能力”记录。</x:v>
      </x:c>
      <x:c r="AJ37" s="90" t="str">
        <x:v>仅见表面缺失或五行相克，但未证明“终点有效力量不足，无法完整承接上游持续输送”形成实际阻断时，不得套用“终点必须具备最低承载能力”。</x:v>
      </x:c>
      <x:c r="AK37" s="82" t="str">
        <x:v>采用</x:v>
      </x:c>
      <x:c r="AL37" s="82" t="str">
        <x:v>初审</x:v>
      </x:c>
      <x:c r="AM37" s="87" t="n">
        <x:v>46255</x:v>
      </x:c>
    </x:row>
    <x:row r="38">
      <x:c r="A38" s="72" t="str">
        <x:f>IF(OR(C38="",D38=""),"",B38&amp;"-"&amp;UPPER(C38)&amp;"-"&amp;TEXT(D38,"0000")&amp;"-"&amp;E38)</x:f>
        <x:v>M12-END-0032-V1.0</x:v>
      </x:c>
      <x:c r="B38" s="74" t="str">
        <x:v>M12</x:v>
      </x:c>
      <x:c r="C38" s="74" t="str">
        <x:v>END</x:v>
      </x:c>
      <x:c r="D38" s="215" t="n">
        <x:v>32</x:v>
      </x:c>
      <x:c r="E38" s="74" t="str">
        <x:v>V1.0</x:v>
      </x:c>
      <x:c r="F38" s="68" t="str">
        <x:v>终点极弱或失效时路径可判无有效落点</x:v>
      </x:c>
      <x:c r="G38" s="82" t="str">
        <x:v>结构层</x:v>
      </x:c>
      <x:c r="H38" s="68" t="str">
        <x:v>五行生化路径</x:v>
      </x:c>
      <x:c r="I38" s="68" t="str">
        <x:v>上游五行</x:v>
      </x:c>
      <x:c r="J38" s="68" t="str">
        <x:v>有效桥梁</x:v>
      </x:c>
      <x:c r="K38" s="68" t="str">
        <x:v>极弱终点</x:v>
      </x:c>
      <x:c r="L38" s="82" t="str">
        <x:v>待定</x:v>
      </x:c>
      <x:c r="M38" s="82" t="str">
        <x:v>待定</x:v>
      </x:c>
      <x:c r="N38" s="68" t="str">
        <x:v>待定</x:v>
      </x:c>
      <x:c r="O38" s="68" t="str">
        <x:v>终点无根无源或已失效</x:v>
      </x:c>
      <x:c r="P38" s="68" t="str">
        <x:v>待定</x:v>
      </x:c>
      <x:c r="Q38" s="82" t="str">
        <x:v>无有效路径</x:v>
      </x:c>
      <x:c r="R38" s="82" t="str">
        <x:v>终点过弱不能承载</x:v>
      </x:c>
      <x:c r="S38" s="68" t="str">
        <x:v>终点</x:v>
      </x:c>
      <x:c r="T38" s="68" t="str">
        <x:v>终点无法接受或转化传来的力量</x:v>
      </x:c>
      <x:c r="U38" s="68" t="str">
        <x:v>待定</x:v>
      </x:c>
      <x:c r="V38" s="68" t="str">
        <x:v>待定</x:v>
      </x:c>
      <x:c r="W38" s="90" t="str">
        <x:v>需检查对调候、格局、日主承载及其他通路的副作用</x:v>
      </x:c>
      <x:c r="X38" s="68" t="str">
        <x:v>M06关系效应、M08五行有效旺衰、M10十神功能与M11组合判断已完成</x:v>
      </x:c>
      <x:c r="Y38" s="68" t="str">
        <x:v>起点、桥梁、终点均按有效力量与实际作用路径判断</x:v>
      </x:c>
      <x:c r="Z38" s="68" t="str">
        <x:v>桥梁有根有源、透达、位置可达且不存在关键制约</x:v>
      </x:c>
      <x:c r="AA38" s="68" t="str">
        <x:v>桥梁失令、无根、受克、合绊、改性或同时被多路调用</x:v>
      </x:c>
      <x:c r="AB38" s="90" t="str">
        <x:v>不得仅因五行缺失、数量少或关系名称直接认定卡点或通关用神</x:v>
      </x:c>
      <x:c r="AC38" s="68" t="str">
        <x:v>若存在更短、更强或副作用更小的替代路径，应并列比较后再裁定</x:v>
      </x:c>
      <x:c r="AD38" s="84" t="str">
        <x:v>M12_END_流通判定</x:v>
      </x:c>
      <x:c r="AE38" s="84" t="str">
        <x:v>终点极弱或失效时路径可判无有效落点：按起点—桥梁—终点检查有效力量、连续性与承载；卡点为“终点过弱不能承载”时，仅生成通关候选，不直接定用神。</x:v>
      </x:c>
      <x:c r="AF38" s="82" t="str">
        <x:v>较高</x:v>
      </x:c>
      <x:c r="AG38" s="82" t="str">
        <x:v>现代综合</x:v>
      </x:c>
      <x:c r="AH38" s="68" t="str">
        <x:v>流通判断以五行有效力量、生克顺序与十神功能为核心；古典依据可参照《滴天髓》《渊海子平》。 https://zh.wikisource.org/wiki/%E6%BB%B4%E5%A4%A9%E9%AB%93%E9%97%A1%E5%BE%AE https://zh.wikisource.org/zh-hans/%E6%B7%B5%E6%B5%B7%E5%AD%90%E5%B9%B3</x:v>
      </x:c>
      <x:c r="AI38" s="68" t="str">
        <x:v>当“终点无法接受或转化传来的力量”真实成立，且桥梁具备有效力量和连续作用条件时，可按“终点极弱或失效时路径可判无有效落点”记录。</x:v>
      </x:c>
      <x:c r="AJ38" s="90" t="str">
        <x:v>仅见表面缺失或五行相克，但未证明“终点无法接受或转化传来的力量”形成实际阻断时，不得套用“终点极弱或失效时路径可判无有效落点”。</x:v>
      </x:c>
      <x:c r="AK38" s="82" t="str">
        <x:v>采用</x:v>
      </x:c>
      <x:c r="AL38" s="82" t="str">
        <x:v>初审</x:v>
      </x:c>
      <x:c r="AM38" s="87" t="n">
        <x:v>46255</x:v>
      </x:c>
    </x:row>
    <x:row r="39">
      <x:c r="A39" s="72" t="str">
        <x:f>IF(OR(C39="",D39=""),"",B39&amp;"-"&amp;UPPER(C39)&amp;"-"&amp;TEXT(D39,"0000")&amp;"-"&amp;E39)</x:f>
        <x:v>M12-END-0033-V1.0</x:v>
      </x:c>
      <x:c r="B39" s="74" t="str">
        <x:v>M12</x:v>
      </x:c>
      <x:c r="C39" s="74" t="str">
        <x:v>END</x:v>
      </x:c>
      <x:c r="D39" s="215" t="n">
        <x:v>33</x:v>
      </x:c>
      <x:c r="E39" s="74" t="str">
        <x:v>V1.0</x:v>
      </x:c>
      <x:c r="F39" s="68" t="str">
        <x:v>终点中和以上通常可形成稳定落点</x:v>
      </x:c>
      <x:c r="G39" s="82" t="str">
        <x:v>结构层</x:v>
      </x:c>
      <x:c r="H39" s="68" t="str">
        <x:v>五行生化路径</x:v>
      </x:c>
      <x:c r="I39" s="68" t="str">
        <x:v>上游五行</x:v>
      </x:c>
      <x:c r="J39" s="68" t="str">
        <x:v>有效桥梁</x:v>
      </x:c>
      <x:c r="K39" s="68" t="str">
        <x:v>有效终点</x:v>
      </x:c>
      <x:c r="L39" s="82" t="str">
        <x:v>待定</x:v>
      </x:c>
      <x:c r="M39" s="82" t="str">
        <x:v>待定</x:v>
      </x:c>
      <x:c r="N39" s="68" t="str">
        <x:v>待定</x:v>
      </x:c>
      <x:c r="O39" s="68" t="str">
        <x:v>终点中和或中和偏旺</x:v>
      </x:c>
      <x:c r="P39" s="68" t="str">
        <x:v>待定</x:v>
      </x:c>
      <x:c r="Q39" s="82" t="str">
        <x:v>通畅</x:v>
      </x:c>
      <x:c r="R39" s="82" t="str">
        <x:v>其他</x:v>
      </x:c>
      <x:c r="S39" s="68" t="str">
        <x:v>待定</x:v>
      </x:c>
      <x:c r="T39" s="68" t="str">
        <x:v>终点有足够有效力量承接上游</x:v>
      </x:c>
      <x:c r="U39" s="68" t="str">
        <x:v>待定</x:v>
      </x:c>
      <x:c r="V39" s="68" t="str">
        <x:v>待定</x:v>
      </x:c>
      <x:c r="W39" s="90" t="str">
        <x:v>需检查对调候、格局、日主承载及其他通路的副作用</x:v>
      </x:c>
      <x:c r="X39" s="68" t="str">
        <x:v>M06关系效应、M08五行有效旺衰、M10十神功能与M11组合判断已完成</x:v>
      </x:c>
      <x:c r="Y39" s="68" t="str">
        <x:v>起点、桥梁、终点均按有效力量与实际作用路径判断</x:v>
      </x:c>
      <x:c r="Z39" s="68" t="str">
        <x:v>桥梁有根有源、透达、位置可达且不存在关键制约</x:v>
      </x:c>
      <x:c r="AA39" s="68" t="str">
        <x:v>桥梁失令、无根、受克、合绊、改性或同时被多路调用</x:v>
      </x:c>
      <x:c r="AB39" s="90" t="str">
        <x:v>不得仅因五行缺失、数量少或关系名称直接认定卡点或通关用神</x:v>
      </x:c>
      <x:c r="AC39" s="68" t="str">
        <x:v>若存在更短、更强或副作用更小的替代路径，应并列比较后再裁定</x:v>
      </x:c>
      <x:c r="AD39" s="84" t="str">
        <x:v>终点稳定承载</x:v>
      </x:c>
      <x:c r="AE39" s="84" t="str">
        <x:v>终点中和以上通常可形成稳定落点：按起点—桥梁—终点检查有效力量、连续性与承载；卡点为“其他”时，仅生成通关候选，不直接定用神。</x:v>
      </x:c>
      <x:c r="AF39" s="82" t="str">
        <x:v>较高</x:v>
      </x:c>
      <x:c r="AG39" s="82" t="str">
        <x:v>现代综合</x:v>
      </x:c>
      <x:c r="AH39" s="68" t="str">
        <x:v>流通判断以五行有效力量、生克顺序与十神功能为核心；古典依据可参照《滴天髓》《渊海子平》。 https://zh.wikisource.org/wiki/%E6%BB%B4%E5%A4%A9%E9%AB%93%E9%97%A1%E5%BE%AE https://zh.wikisource.org/zh-hans/%E6%B7%B5%E6%B5%B7%E5%AD%90%E5%B9%B3</x:v>
      </x:c>
      <x:c r="AI39" s="68" t="str">
        <x:v>当“终点有足够有效力量承接上游”真实成立，且桥梁具备有效力量和连续作用条件时，可按“终点中和以上通常可形成稳定落点”记录。</x:v>
      </x:c>
      <x:c r="AJ39" s="90" t="str">
        <x:v>仅见表面缺失或五行相克，但未证明“终点有足够有效力量承接上游”形成实际阻断时，不得套用“终点中和以上通常可形成稳定落点”。</x:v>
      </x:c>
      <x:c r="AK39" s="82" t="str">
        <x:v>采用</x:v>
      </x:c>
      <x:c r="AL39" s="82" t="str">
        <x:v>初审</x:v>
      </x:c>
      <x:c r="AM39" s="87" t="n">
        <x:v>46255</x:v>
      </x:c>
    </x:row>
    <x:row r="40">
      <x:c r="A40" s="72" t="str">
        <x:f>IF(OR(C40="",D40=""),"",B40&amp;"-"&amp;UPPER(C40)&amp;"-"&amp;TEXT(D40,"0000")&amp;"-"&amp;E40)</x:f>
        <x:v>M12-END-0034-V1.0</x:v>
      </x:c>
      <x:c r="B40" s="74" t="str">
        <x:v>M12</x:v>
      </x:c>
      <x:c r="C40" s="74" t="str">
        <x:v>END</x:v>
      </x:c>
      <x:c r="D40" s="215" t="n">
        <x:v>34</x:v>
      </x:c>
      <x:c r="E40" s="74" t="str">
        <x:v>V1.0</x:v>
      </x:c>
      <x:c r="F40" s="68" t="str">
        <x:v>终点过旺可能反向压制上游或桥梁</x:v>
      </x:c>
      <x:c r="G40" s="82" t="str">
        <x:v>结构层</x:v>
      </x:c>
      <x:c r="H40" s="68" t="str">
        <x:v>五行生化路径</x:v>
      </x:c>
      <x:c r="I40" s="68" t="str">
        <x:v>上游五行</x:v>
      </x:c>
      <x:c r="J40" s="68" t="str">
        <x:v>桥梁</x:v>
      </x:c>
      <x:c r="K40" s="68" t="str">
        <x:v>极旺终点</x:v>
      </x:c>
      <x:c r="L40" s="82" t="str">
        <x:v>待定</x:v>
      </x:c>
      <x:c r="M40" s="82" t="str">
        <x:v>待定</x:v>
      </x:c>
      <x:c r="N40" s="68" t="str">
        <x:v>待定</x:v>
      </x:c>
      <x:c r="O40" s="68" t="str">
        <x:v>终点过旺并产生反制</x:v>
      </x:c>
      <x:c r="P40" s="68" t="str">
        <x:v>待定</x:v>
      </x:c>
      <x:c r="Q40" s="82" t="str">
        <x:v>局部阻塞</x:v>
      </x:c>
      <x:c r="R40" s="82" t="str">
        <x:v>终点过旺反制</x:v>
      </x:c>
      <x:c r="S40" s="68" t="str">
        <x:v>终点</x:v>
      </x:c>
      <x:c r="T40" s="68" t="str">
        <x:v>终点集团过强，形成反向克制、争夺或截流</x:v>
      </x:c>
      <x:c r="U40" s="68" t="str">
        <x:v>待定</x:v>
      </x:c>
      <x:c r="V40" s="68" t="str">
        <x:v>待定</x:v>
      </x:c>
      <x:c r="W40" s="90" t="str">
        <x:v>需检查对调候、格局、日主承载及其他通路的副作用</x:v>
      </x:c>
      <x:c r="X40" s="68" t="str">
        <x:v>M06关系效应、M08五行有效旺衰、M10十神功能与M11组合判断已完成</x:v>
      </x:c>
      <x:c r="Y40" s="68" t="str">
        <x:v>起点、桥梁、终点均按有效力量与实际作用路径判断</x:v>
      </x:c>
      <x:c r="Z40" s="68" t="str">
        <x:v>桥梁有根有源、透达、位置可达且不存在关键制约</x:v>
      </x:c>
      <x:c r="AA40" s="68" t="str">
        <x:v>桥梁失令、无根、受克、合绊、改性或同时被多路调用</x:v>
      </x:c>
      <x:c r="AB40" s="90" t="str">
        <x:v>不得仅因五行缺失、数量少或关系名称直接认定卡点或通关用神</x:v>
      </x:c>
      <x:c r="AC40" s="68" t="str">
        <x:v>若存在更短、更强或副作用更小的替代路径，应并列比较后再裁定</x:v>
      </x:c>
      <x:c r="AD40" s="84" t="str">
        <x:v>M12_END_流通判定</x:v>
      </x:c>
      <x:c r="AE40" s="84" t="str">
        <x:v>终点过旺可能反向压制上游或桥梁：按起点—桥梁—终点检查有效力量、连续性与承载；卡点为“终点过旺反制”时，仅生成通关候选，不直接定用神。</x:v>
      </x:c>
      <x:c r="AF40" s="82" t="str">
        <x:v>较高</x:v>
      </x:c>
      <x:c r="AG40" s="82" t="str">
        <x:v>现代综合</x:v>
      </x:c>
      <x:c r="AH40" s="68" t="str">
        <x:v>流通判断以五行有效力量、生克顺序与十神功能为核心；古典依据可参照《滴天髓》《渊海子平》。 https://zh.wikisource.org/wiki/%E6%BB%B4%E5%A4%A9%E9%AB%93%E9%97%A1%E5%BE%AE https://zh.wikisource.org/zh-hans/%E6%B7%B5%E6%B5%B7%E5%AD%90%E5%B9%B3</x:v>
      </x:c>
      <x:c r="AI40" s="68" t="str">
        <x:v>当“终点集团过强，形成反向克制、争夺或截流”真实成立，且桥梁具备有效力量和连续作用条件时，可按“终点过旺可能反向压制上游或桥梁”记录。</x:v>
      </x:c>
      <x:c r="AJ40" s="90" t="str">
        <x:v>仅见表面缺失或五行相克，但未证明“终点集团过强，形成反向克制、争夺或截流”形成实际阻断时，不得套用“终点过旺可能反向压制上游或桥梁”。</x:v>
      </x:c>
      <x:c r="AK40" s="82" t="str">
        <x:v>采用</x:v>
      </x:c>
      <x:c r="AL40" s="82" t="str">
        <x:v>初审</x:v>
      </x:c>
      <x:c r="AM40" s="87" t="n">
        <x:v>46255</x:v>
      </x:c>
    </x:row>
    <x:row r="41">
      <x:c r="A41" s="72" t="str">
        <x:f>IF(OR(C41="",D41=""),"",B41&amp;"-"&amp;UPPER(C41)&amp;"-"&amp;TEXT(D41,"0000")&amp;"-"&amp;E41)</x:f>
        <x:v>M12-END-0035-V1.0</x:v>
      </x:c>
      <x:c r="B41" s="74" t="str">
        <x:v>M12</x:v>
      </x:c>
      <x:c r="C41" s="74" t="str">
        <x:v>END</x:v>
      </x:c>
      <x:c r="D41" s="215" t="n">
        <x:v>35</x:v>
      </x:c>
      <x:c r="E41" s="74" t="str">
        <x:v>V1.0</x:v>
      </x:c>
      <x:c r="F41" s="68" t="str">
        <x:v>终点被强克时承载能力需下调</x:v>
      </x:c>
      <x:c r="G41" s="82" t="str">
        <x:v>结构层</x:v>
      </x:c>
      <x:c r="H41" s="68" t="str">
        <x:v>五行生化路径</x:v>
      </x:c>
      <x:c r="I41" s="68" t="str">
        <x:v>上游五行</x:v>
      </x:c>
      <x:c r="J41" s="68" t="str">
        <x:v>桥梁</x:v>
      </x:c>
      <x:c r="K41" s="68" t="str">
        <x:v>受克终点</x:v>
      </x:c>
      <x:c r="L41" s="82" t="str">
        <x:v>待定</x:v>
      </x:c>
      <x:c r="M41" s="82" t="str">
        <x:v>待定</x:v>
      </x:c>
      <x:c r="N41" s="68" t="str">
        <x:v>待定</x:v>
      </x:c>
      <x:c r="O41" s="68" t="str">
        <x:v>终点本有力量但受强制</x:v>
      </x:c>
      <x:c r="P41" s="68" t="str">
        <x:v>待定</x:v>
      </x:c>
      <x:c r="Q41" s="82" t="str">
        <x:v>局部阻塞</x:v>
      </x:c>
      <x:c r="R41" s="82" t="str">
        <x:v>终点过弱不能承载</x:v>
      </x:c>
      <x:c r="S41" s="68" t="str">
        <x:v>终点</x:v>
      </x:c>
      <x:c r="T41" s="68" t="str">
        <x:v>终点在承接上游时同时遭受更强克制</x:v>
      </x:c>
      <x:c r="U41" s="68" t="str">
        <x:v>待定</x:v>
      </x:c>
      <x:c r="V41" s="68" t="str">
        <x:v>待定</x:v>
      </x:c>
      <x:c r="W41" s="90" t="str">
        <x:v>需检查对调候、格局、日主承载及其他通路的副作用</x:v>
      </x:c>
      <x:c r="X41" s="68" t="str">
        <x:v>M06关系效应、M08五行有效旺衰、M10十神功能与M11组合判断已完成</x:v>
      </x:c>
      <x:c r="Y41" s="68" t="str">
        <x:v>起点、桥梁、终点均按有效力量与实际作用路径判断</x:v>
      </x:c>
      <x:c r="Z41" s="68" t="str">
        <x:v>桥梁有根有源、透达、位置可达且不存在关键制约</x:v>
      </x:c>
      <x:c r="AA41" s="68" t="str">
        <x:v>桥梁失令、无根、受克、合绊、改性或同时被多路调用</x:v>
      </x:c>
      <x:c r="AB41" s="90" t="str">
        <x:v>不得仅因五行缺失、数量少或关系名称直接认定卡点或通关用神</x:v>
      </x:c>
      <x:c r="AC41" s="68" t="str">
        <x:v>若存在更短、更强或副作用更小的替代路径，应并列比较后再裁定</x:v>
      </x:c>
      <x:c r="AD41" s="84" t="str">
        <x:v>M12_END_流通判定</x:v>
      </x:c>
      <x:c r="AE41" s="84" t="str">
        <x:v>终点被强克时承载能力需下调：按起点—桥梁—终点检查有效力量、连续性与承载；卡点为“终点过弱不能承载”时，仅生成通关候选，不直接定用神。</x:v>
      </x:c>
      <x:c r="AF41" s="82" t="str">
        <x:v>较高</x:v>
      </x:c>
      <x:c r="AG41" s="82" t="str">
        <x:v>现代综合</x:v>
      </x:c>
      <x:c r="AH41" s="68" t="str">
        <x:v>流通判断以五行有效力量、生克顺序与十神功能为核心；古典依据可参照《滴天髓》《渊海子平》。 https://zh.wikisource.org/wiki/%E6%BB%B4%E5%A4%A9%E9%AB%93%E9%97%A1%E5%BE%AE https://zh.wikisource.org/zh-hans/%E6%B7%B5%E6%B5%B7%E5%AD%90%E5%B9%B3</x:v>
      </x:c>
      <x:c r="AI41" s="68" t="str">
        <x:v>当“终点在承接上游时同时遭受更强克制”真实成立，且桥梁具备有效力量和连续作用条件时，可按“终点被强克时承载能力需下调”记录。</x:v>
      </x:c>
      <x:c r="AJ41" s="90" t="str">
        <x:v>仅见表面缺失或五行相克，但未证明“终点在承接上游时同时遭受更强克制”形成实际阻断时，不得套用“终点被强克时承载能力需下调”。</x:v>
      </x:c>
      <x:c r="AK41" s="82" t="str">
        <x:v>采用</x:v>
      </x:c>
      <x:c r="AL41" s="82" t="str">
        <x:v>初审</x:v>
      </x:c>
      <x:c r="AM41" s="87" t="n">
        <x:v>46255</x:v>
      </x:c>
    </x:row>
    <x:row r="42">
      <x:c r="A42" s="72" t="str">
        <x:f>IF(OR(C42="",D42=""),"",B42&amp;"-"&amp;UPPER(C42)&amp;"-"&amp;TEXT(D42,"0000")&amp;"-"&amp;E42)</x:f>
        <x:v>M12-END-0036-V1.0</x:v>
      </x:c>
      <x:c r="B42" s="74" t="str">
        <x:v>M12</x:v>
      </x:c>
      <x:c r="C42" s="74" t="str">
        <x:v>END</x:v>
      </x:c>
      <x:c r="D42" s="215" t="n">
        <x:v>36</x:v>
      </x:c>
      <x:c r="E42" s="74" t="str">
        <x:v>V1.0</x:v>
      </x:c>
      <x:c r="F42" s="68" t="str">
        <x:v>终点被合化后必须按新功能重判承载</x:v>
      </x:c>
      <x:c r="G42" s="82" t="str">
        <x:v>结构层</x:v>
      </x:c>
      <x:c r="H42" s="68" t="str">
        <x:v>五行生化路径</x:v>
      </x:c>
      <x:c r="I42" s="68" t="str">
        <x:v>上游五行</x:v>
      </x:c>
      <x:c r="J42" s="68" t="str">
        <x:v>桥梁</x:v>
      </x:c>
      <x:c r="K42" s="68" t="str">
        <x:v>发生实质合化的终点</x:v>
      </x:c>
      <x:c r="L42" s="82" t="str">
        <x:v>待定</x:v>
      </x:c>
      <x:c r="M42" s="82" t="str">
        <x:v>待定</x:v>
      </x:c>
      <x:c r="N42" s="68" t="str">
        <x:v>待定</x:v>
      </x:c>
      <x:c r="O42" s="68" t="str">
        <x:v>原终点功能已转化</x:v>
      </x:c>
      <x:c r="P42" s="68" t="str">
        <x:v>待定</x:v>
      </x:c>
      <x:c r="Q42" s="82" t="str">
        <x:v>无有效路径</x:v>
      </x:c>
      <x:c r="R42" s="82" t="str">
        <x:v>其他</x:v>
      </x:c>
      <x:c r="S42" s="68" t="str">
        <x:v>终点</x:v>
      </x:c>
      <x:c r="T42" s="68" t="str">
        <x:v>终点原五行性质改变，原路径不再以原终点收束</x:v>
      </x:c>
      <x:c r="U42" s="68" t="str">
        <x:v>待定</x:v>
      </x:c>
      <x:c r="V42" s="68" t="str">
        <x:v>待定</x:v>
      </x:c>
      <x:c r="W42" s="90" t="str">
        <x:v>需检查对调候、格局、日主承载及其他通路的副作用</x:v>
      </x:c>
      <x:c r="X42" s="68" t="str">
        <x:v>M06关系效应、M08五行有效旺衰、M10十神功能与M11组合判断已完成</x:v>
      </x:c>
      <x:c r="Y42" s="68" t="str">
        <x:v>起点、桥梁、终点均按有效力量与实际作用路径判断</x:v>
      </x:c>
      <x:c r="Z42" s="68" t="str">
        <x:v>桥梁有根有源、透达、位置可达且不存在关键制约</x:v>
      </x:c>
      <x:c r="AA42" s="68" t="str">
        <x:v>桥梁失令、无根、受克、合绊、改性或同时被多路调用</x:v>
      </x:c>
      <x:c r="AB42" s="90" t="str">
        <x:v>不得仅因五行缺失、数量少或关系名称直接认定卡点或通关用神</x:v>
      </x:c>
      <x:c r="AC42" s="68" t="str">
        <x:v>若存在更短、更强或副作用更小的替代路径，应并列比较后再裁定</x:v>
      </x:c>
      <x:c r="AD42" s="84" t="str">
        <x:v>M12_END_流通判定</x:v>
      </x:c>
      <x:c r="AE42" s="84" t="str">
        <x:v>终点被合化后必须按新功能重判承载：按起点—桥梁—终点检查有效力量、连续性与承载；卡点为“其他”时，仅生成通关候选，不直接定用神。</x:v>
      </x:c>
      <x:c r="AF42" s="82" t="str">
        <x:v>较高</x:v>
      </x:c>
      <x:c r="AG42" s="82" t="str">
        <x:v>现代综合</x:v>
      </x:c>
      <x:c r="AH42" s="68" t="str">
        <x:v>流通判断以五行有效力量、生克顺序与十神功能为核心；古典依据可参照《滴天髓》《渊海子平》。 https://zh.wikisource.org/wiki/%E6%BB%B4%E5%A4%A9%E9%AB%93%E9%97%A1%E5%BE%AE https://zh.wikisource.org/zh-hans/%E6%B7%B5%E6%B5%B7%E5%AD%90%E5%B9%B3</x:v>
      </x:c>
      <x:c r="AI42" s="68" t="str">
        <x:v>当“终点原五行性质改变，原路径不再以原终点收束”真实成立，且桥梁具备有效力量和连续作用条件时，可按“终点被合化后必须按新功能重判承载”记录。</x:v>
      </x:c>
      <x:c r="AJ42" s="90" t="str">
        <x:v>仅见表面缺失或五行相克，但未证明“终点原五行性质改变，原路径不再以原终点收束”形成实际阻断时，不得套用“终点被合化后必须按新功能重判承载”。</x:v>
      </x:c>
      <x:c r="AK42" s="82" t="str">
        <x:v>采用</x:v>
      </x:c>
      <x:c r="AL42" s="82" t="str">
        <x:v>初审</x:v>
      </x:c>
      <x:c r="AM42" s="87" t="n">
        <x:v>46255</x:v>
      </x:c>
    </x:row>
    <x:row r="43">
      <x:c r="A43" s="72" t="str">
        <x:f>IF(OR(C43="",D43=""),"",B43&amp;"-"&amp;UPPER(C43)&amp;"-"&amp;TEXT(D43,"0000")&amp;"-"&amp;E43)</x:f>
        <x:v>M12-END-0037-V1.0</x:v>
      </x:c>
      <x:c r="B43" s="74" t="str">
        <x:v>M12</x:v>
      </x:c>
      <x:c r="C43" s="74" t="str">
        <x:v>END</x:v>
      </x:c>
      <x:c r="D43" s="215" t="n">
        <x:v>37</x:v>
      </x:c>
      <x:c r="E43" s="74" t="str">
        <x:v>V1.0</x:v>
      </x:c>
      <x:c r="F43" s="68" t="str">
        <x:v>一个终点接收多个强源时可能超载</x:v>
      </x:c>
      <x:c r="G43" s="82" t="str">
        <x:v>结构层</x:v>
      </x:c>
      <x:c r="H43" s="68" t="str">
        <x:v>五行生化路径</x:v>
      </x:c>
      <x:c r="I43" s="68" t="str">
        <x:v>多个旺强源头</x:v>
      </x:c>
      <x:c r="J43" s="68" t="str">
        <x:v>多个桥梁或同一桥梁</x:v>
      </x:c>
      <x:c r="K43" s="68" t="str">
        <x:v>单一终点</x:v>
      </x:c>
      <x:c r="L43" s="82" t="str">
        <x:v>待定</x:v>
      </x:c>
      <x:c r="M43" s="82" t="str">
        <x:v>待定</x:v>
      </x:c>
      <x:c r="N43" s="68" t="str">
        <x:v>待定</x:v>
      </x:c>
      <x:c r="O43" s="68" t="str">
        <x:v>终点承载有限</x:v>
      </x:c>
      <x:c r="P43" s="68" t="str">
        <x:v>待定</x:v>
      </x:c>
      <x:c r="Q43" s="82" t="str">
        <x:v>局部阻塞</x:v>
      </x:c>
      <x:c r="R43" s="82" t="str">
        <x:v>终点过旺反制</x:v>
      </x:c>
      <x:c r="S43" s="68" t="str">
        <x:v>终点</x:v>
      </x:c>
      <x:c r="T43" s="68" t="str">
        <x:v>多个通路同时向同一终点汇聚，输入高于终点消化能力</x:v>
      </x:c>
      <x:c r="U43" s="68" t="str">
        <x:v>待定</x:v>
      </x:c>
      <x:c r="V43" s="68" t="str">
        <x:v>待定</x:v>
      </x:c>
      <x:c r="W43" s="90" t="str">
        <x:v>需检查对调候、格局、日主承载及其他通路的副作用</x:v>
      </x:c>
      <x:c r="X43" s="68" t="str">
        <x:v>M06关系效应、M08五行有效旺衰、M10十神功能与M11组合判断已完成</x:v>
      </x:c>
      <x:c r="Y43" s="68" t="str">
        <x:v>起点、桥梁、终点均按有效力量与实际作用路径判断</x:v>
      </x:c>
      <x:c r="Z43" s="68" t="str">
        <x:v>桥梁有根有源、透达、位置可达且不存在关键制约</x:v>
      </x:c>
      <x:c r="AA43" s="68" t="str">
        <x:v>桥梁失令、无根、受克、合绊、改性或同时被多路调用</x:v>
      </x:c>
      <x:c r="AB43" s="90" t="str">
        <x:v>不得仅因五行缺失、数量少或关系名称直接认定卡点或通关用神</x:v>
      </x:c>
      <x:c r="AC43" s="68" t="str">
        <x:v>若存在更短、更强或副作用更小的替代路径，应并列比较后再裁定</x:v>
      </x:c>
      <x:c r="AD43" s="84" t="str">
        <x:v>M12_END_流通判定</x:v>
      </x:c>
      <x:c r="AE43" s="84" t="str">
        <x:v>一个终点接收多个强源时可能超载：按起点—桥梁—终点检查有效力量、连续性与承载；卡点为“终点过旺反制”时，仅生成通关候选，不直接定用神。</x:v>
      </x:c>
      <x:c r="AF43" s="82" t="str">
        <x:v>较高</x:v>
      </x:c>
      <x:c r="AG43" s="82" t="str">
        <x:v>现代综合</x:v>
      </x:c>
      <x:c r="AH43" s="68" t="str">
        <x:v>流通判断以五行有效力量、生克顺序与十神功能为核心；古典依据可参照《滴天髓》《渊海子平》。 https://zh.wikisource.org/wiki/%E6%BB%B4%E5%A4%A9%E9%AB%93%E9%97%A1%E5%BE%AE https://zh.wikisource.org/zh-hans/%E6%B7%B5%E6%B5%B7%E5%AD%90%E5%B9%B3</x:v>
      </x:c>
      <x:c r="AI43" s="68" t="str">
        <x:v>当“多个通路同时向同一终点汇聚，输入高于终点消化能力”真实成立，且桥梁具备有效力量和连续作用条件时，可按“一个终点接收多个强源时可能超载”记录。</x:v>
      </x:c>
      <x:c r="AJ43" s="90" t="str">
        <x:v>仅见表面缺失或五行相克，但未证明“多个通路同时向同一终点汇聚，输入高于终点消化能力”形成实际阻断时，不得套用“一个终点接收多个强源时可能超载”。</x:v>
      </x:c>
      <x:c r="AK43" s="82" t="str">
        <x:v>采用</x:v>
      </x:c>
      <x:c r="AL43" s="82" t="str">
        <x:v>初审</x:v>
      </x:c>
      <x:c r="AM43" s="87" t="n">
        <x:v>46255</x:v>
      </x:c>
    </x:row>
    <x:row r="44">
      <x:c r="A44" s="72" t="str">
        <x:f>IF(OR(C44="",D44=""),"",B44&amp;"-"&amp;UPPER(C44)&amp;"-"&amp;TEXT(D44,"0000")&amp;"-"&amp;E44)</x:f>
        <x:v>M12-END-0038-V1.0</x:v>
      </x:c>
      <x:c r="B44" s="74" t="str">
        <x:v>M12</x:v>
      </x:c>
      <x:c r="C44" s="74" t="str">
        <x:v>END</x:v>
      </x:c>
      <x:c r="D44" s="215" t="n">
        <x:v>38</x:v>
      </x:c>
      <x:c r="E44" s="74" t="str">
        <x:v>V1.0</x:v>
      </x:c>
      <x:c r="F44" s="68" t="str">
        <x:v>终点承载评价必须结合其后续是否仍需继续输出</x:v>
      </x:c>
      <x:c r="G44" s="82" t="str">
        <x:v>结构层</x:v>
      </x:c>
      <x:c r="H44" s="68" t="str">
        <x:v>五行生化路径</x:v>
      </x:c>
      <x:c r="I44" s="68" t="str">
        <x:v>上游</x:v>
      </x:c>
      <x:c r="J44" s="68" t="str">
        <x:v>中间五行</x:v>
      </x:c>
      <x:c r="K44" s="68" t="str">
        <x:v>阶段性终点</x:v>
      </x:c>
      <x:c r="L44" s="82" t="str">
        <x:v>待定</x:v>
      </x:c>
      <x:c r="M44" s="82" t="str">
        <x:v>待定</x:v>
      </x:c>
      <x:c r="N44" s="68" t="str">
        <x:v>待定</x:v>
      </x:c>
      <x:c r="O44" s="68" t="str">
        <x:v>终点既承接又可能成为下一段起点</x:v>
      </x:c>
      <x:c r="P44" s="68" t="str">
        <x:v>待定</x:v>
      </x:c>
      <x:c r="Q44" s="82" t="str">
        <x:v>待定</x:v>
      </x:c>
      <x:c r="R44" s="82" t="str">
        <x:v>链路过长</x:v>
      </x:c>
      <x:c r="S44" s="68" t="str">
        <x:v>终点</x:v>
      </x:c>
      <x:c r="T44" s="68" t="str">
        <x:v>阶段性终点如果还需继续输出，则其承载和泄出能力须同时评估</x:v>
      </x:c>
      <x:c r="U44" s="68" t="str">
        <x:v>待定</x:v>
      </x:c>
      <x:c r="V44" s="68" t="str">
        <x:v>待定</x:v>
      </x:c>
      <x:c r="W44" s="90" t="str">
        <x:v>需检查对调候、格局、日主承载及其他通路的副作用</x:v>
      </x:c>
      <x:c r="X44" s="68" t="str">
        <x:v>M06关系效应、M08五行有效旺衰、M10十神功能与M11组合判断已完成</x:v>
      </x:c>
      <x:c r="Y44" s="68" t="str">
        <x:v>起点、桥梁、终点均按有效力量与实际作用路径判断</x:v>
      </x:c>
      <x:c r="Z44" s="68" t="str">
        <x:v>桥梁有根有源、透达、位置可达且不存在关键制约</x:v>
      </x:c>
      <x:c r="AA44" s="68" t="str">
        <x:v>桥梁失令、无根、受克、合绊、改性或同时被多路调用</x:v>
      </x:c>
      <x:c r="AB44" s="90" t="str">
        <x:v>不得仅因五行缺失、数量少或关系名称直接认定卡点或通关用神</x:v>
      </x:c>
      <x:c r="AC44" s="68" t="str">
        <x:v>若存在更短、更强或副作用更小的替代路径，应并列比较后再裁定</x:v>
      </x:c>
      <x:c r="AD44" s="84" t="str">
        <x:v>M12_END_流通判定</x:v>
      </x:c>
      <x:c r="AE44" s="84" t="str">
        <x:v>终点承载评价必须结合其后续是否仍需继续输出：按起点—桥梁—终点检查有效力量、连续性与承载；卡点为“链路过长”时，仅生成通关候选，不直接定用神。</x:v>
      </x:c>
      <x:c r="AF44" s="82" t="str">
        <x:v>较高</x:v>
      </x:c>
      <x:c r="AG44" s="82" t="str">
        <x:v>现代综合</x:v>
      </x:c>
      <x:c r="AH44" s="68" t="str">
        <x:v>流通判断以五行有效力量、生克顺序与十神功能为核心；古典依据可参照《滴天髓》《渊海子平》。 https://zh.wikisource.org/wiki/%E6%BB%B4%E5%A4%A9%E9%AB%93%E9%97%A1%E5%BE%AE https://zh.wikisource.org/zh-hans/%E6%B7%B5%E6%B5%B7%E5%AD%90%E5%B9%B3</x:v>
      </x:c>
      <x:c r="AI44" s="68" t="str">
        <x:v>当“阶段性终点如果还需继续输出，则其承载和泄出能力须同时评估”真实成立，且桥梁具备有效力量和连续作用条件时，可按“终点承载评价必须结合其后续是否仍需继续输出”记录。</x:v>
      </x:c>
      <x:c r="AJ44" s="90" t="str">
        <x:v>仅见表面缺失或五行相克，但未证明“阶段性终点如果还需继续输出，则其承载和泄出能力须同时评估”形成实际阻断时，不得套用“终点承载评价必须结合其后续是否仍需继续输出”。</x:v>
      </x:c>
      <x:c r="AK44" s="82" t="str">
        <x:v>采用</x:v>
      </x:c>
      <x:c r="AL44" s="82" t="str">
        <x:v>初审</x:v>
      </x:c>
      <x:c r="AM44" s="87" t="n">
        <x:v>46255</x:v>
      </x:c>
    </x:row>
    <x:row r="45">
      <x:c r="A45" s="72" t="str">
        <x:f>IF(OR(C45="",D45=""),"",B45&amp;"-"&amp;UPPER(C45)&amp;"-"&amp;TEXT(D45,"0000")&amp;"-"&amp;E45)</x:f>
        <x:v>M12-BLOCK-0039-V1.0</x:v>
      </x:c>
      <x:c r="B45" s="74" t="str">
        <x:v>M12</x:v>
      </x:c>
      <x:c r="C45" s="74" t="str">
        <x:v>BLOCK</x:v>
      </x:c>
      <x:c r="D45" s="215" t="n">
        <x:v>39</x:v>
      </x:c>
      <x:c r="E45" s="74" t="str">
        <x:v>V1.0</x:v>
      </x:c>
      <x:c r="F45" s="68" t="str">
        <x:v>缺少必要桥梁形成真正缺桥</x:v>
      </x:c>
      <x:c r="G45" s="82" t="str">
        <x:v>结构层</x:v>
      </x:c>
      <x:c r="H45" s="68" t="str">
        <x:v>五行生化路径</x:v>
      </x:c>
      <x:c r="I45" s="68" t="str">
        <x:v>相邻但不能直接完成目标流向的上游</x:v>
      </x:c>
      <x:c r="J45" s="68" t="str">
        <x:v>缺失五行</x:v>
      </x:c>
      <x:c r="K45" s="68" t="str">
        <x:v>下游</x:v>
      </x:c>
      <x:c r="L45" s="82" t="str">
        <x:v>待定</x:v>
      </x:c>
      <x:c r="M45" s="82" t="str">
        <x:v>待定</x:v>
      </x:c>
      <x:c r="N45" s="68" t="str">
        <x:v>待定</x:v>
      </x:c>
      <x:c r="O45" s="68" t="str">
        <x:v>待定</x:v>
      </x:c>
      <x:c r="P45" s="68" t="str">
        <x:v>待定</x:v>
      </x:c>
      <x:c r="Q45" s="82" t="str">
        <x:v>明显阻断</x:v>
      </x:c>
      <x:c r="R45" s="82" t="str">
        <x:v>缺桥</x:v>
      </x:c>
      <x:c r="S45" s="68" t="str">
        <x:v>桥梁</x:v>
      </x:c>
      <x:c r="T45" s="68" t="str">
        <x:v>目标生化或通关路径必须经过该五行，而原局该五行完全不现或全部失效</x:v>
      </x:c>
      <x:c r="U45" s="68" t="str">
        <x:v>待定</x:v>
      </x:c>
      <x:c r="V45" s="68" t="str">
        <x:v>待定</x:v>
      </x:c>
      <x:c r="W45" s="90" t="str">
        <x:v>需检查对调候、格局、日主承载及其他通路的副作用</x:v>
      </x:c>
      <x:c r="X45" s="68" t="str">
        <x:v>M06关系效应、M08五行有效旺衰、M10十神功能与M11组合判断已完成</x:v>
      </x:c>
      <x:c r="Y45" s="68" t="str">
        <x:v>起点、桥梁、终点均按有效力量与实际作用路径判断</x:v>
      </x:c>
      <x:c r="Z45" s="68" t="str">
        <x:v>桥梁有根有源、透达、位置可达且不存在关键制约</x:v>
      </x:c>
      <x:c r="AA45" s="68" t="str">
        <x:v>桥梁失令、无根、受克、合绊、改性或同时被多路调用</x:v>
      </x:c>
      <x:c r="AB45" s="90" t="str">
        <x:v>不得仅因五行缺失、数量少或关系名称直接认定卡点或通关用神</x:v>
      </x:c>
      <x:c r="AC45" s="68" t="str">
        <x:v>若存在更短、更强或副作用更小的替代路径，应并列比较后再裁定</x:v>
      </x:c>
      <x:c r="AD45" s="84" t="str">
        <x:v>M12_BLOCK_流通判定</x:v>
      </x:c>
      <x:c r="AE45" s="84" t="str">
        <x:v>缺少必要桥梁形成真正缺桥：按起点—桥梁—终点检查有效力量、连续性与承载；卡点为“缺桥”时，仅生成通关候选，不直接定用神。</x:v>
      </x:c>
      <x:c r="AF45" s="82" t="str">
        <x:v>较高</x:v>
      </x:c>
      <x:c r="AG45" s="82" t="str">
        <x:v>现代综合</x:v>
      </x:c>
      <x:c r="AH45" s="68" t="str">
        <x:v>流通判断以五行有效力量、生克顺序与十神功能为核心；古典依据可参照《滴天髓》《渊海子平》。 https://zh.wikisource.org/wiki/%E6%BB%B4%E5%A4%A9%E9%AB%93%E9%97%A1%E5%BE%AE https://zh.wikisource.org/zh-hans/%E6%B7%B5%E6%B5%B7%E5%AD%90%E5%B9%B3</x:v>
      </x:c>
      <x:c r="AI45" s="68" t="str">
        <x:v>当“目标生化或通关路径必须经过该五行，而原局该五行完全不现或全部失效”真实成立，且桥梁具备有效力量和连续作用条件时，可按“缺少必要桥梁形成真正缺桥”记录。</x:v>
      </x:c>
      <x:c r="AJ45" s="90" t="str">
        <x:v>仅见表面缺失或五行相克，但未证明“目标生化或通关路径必须经过该五行，而原局该五行完全不现或全部失效”形成实际阻断时，不得套用“缺少必要桥梁形成真正缺桥”。</x:v>
      </x:c>
      <x:c r="AK45" s="82" t="str">
        <x:v>采用</x:v>
      </x:c>
      <x:c r="AL45" s="82" t="str">
        <x:v>初审</x:v>
      </x:c>
      <x:c r="AM45" s="87" t="n">
        <x:v>46255</x:v>
      </x:c>
    </x:row>
    <x:row r="46">
      <x:c r="A46" s="72" t="str">
        <x:f>IF(OR(C46="",D46=""),"",B46&amp;"-"&amp;UPPER(C46)&amp;"-"&amp;TEXT(D46,"0000")&amp;"-"&amp;E46)</x:f>
        <x:v>M12-BLOCK-0040-V1.0</x:v>
      </x:c>
      <x:c r="B46" s="74" t="str">
        <x:v>M12</x:v>
      </x:c>
      <x:c r="C46" s="74" t="str">
        <x:v>BLOCK</x:v>
      </x:c>
      <x:c r="D46" s="215" t="n">
        <x:v>40</x:v>
      </x:c>
      <x:c r="E46" s="74" t="str">
        <x:v>V1.0</x:v>
      </x:c>
      <x:c r="F46" s="68" t="str">
        <x:v>桥梁太弱是最常见的局部阻塞</x:v>
      </x:c>
      <x:c r="G46" s="82" t="str">
        <x:v>结构层</x:v>
      </x:c>
      <x:c r="H46" s="68" t="str">
        <x:v>五行生化路径</x:v>
      </x:c>
      <x:c r="I46" s="68" t="str">
        <x:v>有力上游</x:v>
      </x:c>
      <x:c r="J46" s="68" t="str">
        <x:v>弱桥梁</x:v>
      </x:c>
      <x:c r="K46" s="68" t="str">
        <x:v>有承载终点</x:v>
      </x:c>
      <x:c r="L46" s="82" t="str">
        <x:v>旺</x:v>
      </x:c>
      <x:c r="M46" s="82" t="str">
        <x:v>弱</x:v>
      </x:c>
      <x:c r="N46" s="68" t="str">
        <x:v>待定</x:v>
      </x:c>
      <x:c r="O46" s="68" t="str">
        <x:v>待定</x:v>
      </x:c>
      <x:c r="P46" s="68" t="str">
        <x:v>待定</x:v>
      </x:c>
      <x:c r="Q46" s="82" t="str">
        <x:v>局部阻塞</x:v>
      </x:c>
      <x:c r="R46" s="82" t="str">
        <x:v>桥梁太弱</x:v>
      </x:c>
      <x:c r="S46" s="68" t="str">
        <x:v>桥梁</x:v>
      </x:c>
      <x:c r="T46" s="68" t="str">
        <x:v>桥梁有名义节点但有效力量不足以传递上游</x:v>
      </x:c>
      <x:c r="U46" s="68" t="str">
        <x:v>待定</x:v>
      </x:c>
      <x:c r="V46" s="68" t="str">
        <x:v>待定</x:v>
      </x:c>
      <x:c r="W46" s="90" t="str">
        <x:v>需检查对调候、格局、日主承载及其他通路的副作用</x:v>
      </x:c>
      <x:c r="X46" s="68" t="str">
        <x:v>M06关系效应、M08五行有效旺衰、M10十神功能与M11组合判断已完成</x:v>
      </x:c>
      <x:c r="Y46" s="68" t="str">
        <x:v>起点、桥梁、终点均按有效力量与实际作用路径判断</x:v>
      </x:c>
      <x:c r="Z46" s="68" t="str">
        <x:v>桥梁有根有源、透达、位置可达且不存在关键制约</x:v>
      </x:c>
      <x:c r="AA46" s="68" t="str">
        <x:v>桥梁失令、无根、受克、合绊、改性或同时被多路调用</x:v>
      </x:c>
      <x:c r="AB46" s="90" t="str">
        <x:v>不得仅因五行缺失、数量少或关系名称直接认定卡点或通关用神</x:v>
      </x:c>
      <x:c r="AC46" s="68" t="str">
        <x:v>若存在更短、更强或副作用更小的替代路径，应并列比较后再裁定</x:v>
      </x:c>
      <x:c r="AD46" s="84" t="str">
        <x:v>M12_BLOCK_流通判定</x:v>
      </x:c>
      <x:c r="AE46" s="84" t="str">
        <x:v>桥梁太弱是最常见的局部阻塞：按起点—桥梁—终点检查有效力量、连续性与承载；卡点为“桥梁太弱”时，仅生成通关候选，不直接定用神。</x:v>
      </x:c>
      <x:c r="AF46" s="82" t="str">
        <x:v>较高</x:v>
      </x:c>
      <x:c r="AG46" s="82" t="str">
        <x:v>现代综合</x:v>
      </x:c>
      <x:c r="AH46" s="68" t="str">
        <x:v>流通判断以五行有效力量、生克顺序与十神功能为核心；古典依据可参照《滴天髓》《渊海子平》。 https://zh.wikisource.org/wiki/%E6%BB%B4%E5%A4%A9%E9%AB%93%E9%97%A1%E5%BE%AE https://zh.wikisource.org/zh-hans/%E6%B7%B5%E6%B5%B7%E5%AD%90%E5%B9%B3</x:v>
      </x:c>
      <x:c r="AI46" s="68" t="str">
        <x:v>当“桥梁有名义节点但有效力量不足以传递上游”真实成立，且桥梁具备有效力量和连续作用条件时，可按“桥梁太弱是最常见的局部阻塞”记录。</x:v>
      </x:c>
      <x:c r="AJ46" s="90" t="str">
        <x:v>仅见表面缺失或五行相克，但未证明“桥梁有名义节点但有效力量不足以传递上游”形成实际阻断时，不得套用“桥梁太弱是最常见的局部阻塞”。</x:v>
      </x:c>
      <x:c r="AK46" s="82" t="str">
        <x:v>采用</x:v>
      </x:c>
      <x:c r="AL46" s="82" t="str">
        <x:v>初审</x:v>
      </x:c>
      <x:c r="AM46" s="87" t="n">
        <x:v>46255</x:v>
      </x:c>
    </x:row>
    <x:row r="47">
      <x:c r="A47" s="72" t="str">
        <x:f>IF(OR(C47="",D47=""),"",B47&amp;"-"&amp;UPPER(C47)&amp;"-"&amp;TEXT(D47,"0000")&amp;"-"&amp;E47)</x:f>
        <x:v>M12-BLOCK-0041-V1.0</x:v>
      </x:c>
      <x:c r="B47" s="74" t="str">
        <x:v>M12</x:v>
      </x:c>
      <x:c r="C47" s="74" t="str">
        <x:v>BLOCK</x:v>
      </x:c>
      <x:c r="D47" s="215" t="n">
        <x:v>41</x:v>
      </x:c>
      <x:c r="E47" s="74" t="str">
        <x:v>V1.0</x:v>
      </x:c>
      <x:c r="F47" s="68" t="str">
        <x:v>桥梁被克形成外部截断</x:v>
      </x:c>
      <x:c r="G47" s="82" t="str">
        <x:v>结构层</x:v>
      </x:c>
      <x:c r="H47" s="68" t="str">
        <x:v>五行生化路径</x:v>
      </x:c>
      <x:c r="I47" s="68" t="str">
        <x:v>上游</x:v>
      </x:c>
      <x:c r="J47" s="68" t="str">
        <x:v>受克桥梁</x:v>
      </x:c>
      <x:c r="K47" s="68" t="str">
        <x:v>下游</x:v>
      </x:c>
      <x:c r="L47" s="82" t="str">
        <x:v>待定</x:v>
      </x:c>
      <x:c r="M47" s="82" t="str">
        <x:v>待定</x:v>
      </x:c>
      <x:c r="N47" s="68" t="str">
        <x:v>待定</x:v>
      </x:c>
      <x:c r="O47" s="68" t="str">
        <x:v>待定</x:v>
      </x:c>
      <x:c r="P47" s="68" t="str">
        <x:v>待定</x:v>
      </x:c>
      <x:c r="Q47" s="82" t="str">
        <x:v>明显阻断</x:v>
      </x:c>
      <x:c r="R47" s="82" t="str">
        <x:v>桥梁被克</x:v>
      </x:c>
      <x:c r="S47" s="68" t="str">
        <x:v>桥梁</x:v>
      </x:c>
      <x:c r="T47" s="68" t="str">
        <x:v>桥梁有效力量被第三方强克制，无法稳定完成传递</x:v>
      </x:c>
      <x:c r="U47" s="68" t="str">
        <x:v>待定</x:v>
      </x:c>
      <x:c r="V47" s="68" t="str">
        <x:v>待定</x:v>
      </x:c>
      <x:c r="W47" s="90" t="str">
        <x:v>需检查对调候、格局、日主承载及其他通路的副作用</x:v>
      </x:c>
      <x:c r="X47" s="68" t="str">
        <x:v>M06关系效应、M08五行有效旺衰、M10十神功能与M11组合判断已完成</x:v>
      </x:c>
      <x:c r="Y47" s="68" t="str">
        <x:v>起点、桥梁、终点均按有效力量与实际作用路径判断</x:v>
      </x:c>
      <x:c r="Z47" s="68" t="str">
        <x:v>桥梁有根有源、透达、位置可达且不存在关键制约</x:v>
      </x:c>
      <x:c r="AA47" s="68" t="str">
        <x:v>桥梁失令、无根、受克、合绊、改性或同时被多路调用</x:v>
      </x:c>
      <x:c r="AB47" s="90" t="str">
        <x:v>不得仅因五行缺失、数量少或关系名称直接认定卡点或通关用神</x:v>
      </x:c>
      <x:c r="AC47" s="68" t="str">
        <x:v>若存在更短、更强或副作用更小的替代路径，应并列比较后再裁定</x:v>
      </x:c>
      <x:c r="AD47" s="84" t="str">
        <x:v>M12_BLOCK_流通判定</x:v>
      </x:c>
      <x:c r="AE47" s="84" t="str">
        <x:v>桥梁被克形成外部截断：按起点—桥梁—终点检查有效力量、连续性与承载；卡点为“桥梁被克”时，仅生成通关候选，不直接定用神。</x:v>
      </x:c>
      <x:c r="AF47" s="82" t="str">
        <x:v>较高</x:v>
      </x:c>
      <x:c r="AG47" s="82" t="str">
        <x:v>现代综合</x:v>
      </x:c>
      <x:c r="AH47" s="68" t="str">
        <x:v>流通判断以五行有效力量、生克顺序与十神功能为核心；古典依据可参照《滴天髓》《渊海子平》。 https://zh.wikisource.org/wiki/%E6%BB%B4%E5%A4%A9%E9%AB%93%E9%97%A1%E5%BE%AE https://zh.wikisource.org/zh-hans/%E6%B7%B5%E6%B5%B7%E5%AD%90%E5%B9%B3</x:v>
      </x:c>
      <x:c r="AI47" s="68" t="str">
        <x:v>当“桥梁有效力量被第三方强克制，无法稳定完成传递”真实成立，且桥梁具备有效力量和连续作用条件时，可按“桥梁被克形成外部截断”记录。</x:v>
      </x:c>
      <x:c r="AJ47" s="90" t="str">
        <x:v>仅见表面缺失或五行相克，但未证明“桥梁有效力量被第三方强克制，无法稳定完成传递”形成实际阻断时，不得套用“桥梁被克形成外部截断”。</x:v>
      </x:c>
      <x:c r="AK47" s="82" t="str">
        <x:v>采用</x:v>
      </x:c>
      <x:c r="AL47" s="82" t="str">
        <x:v>初审</x:v>
      </x:c>
      <x:c r="AM47" s="87" t="n">
        <x:v>46255</x:v>
      </x:c>
    </x:row>
    <x:row r="48">
      <x:c r="A48" s="72" t="str">
        <x:f>IF(OR(C48="",D48=""),"",B48&amp;"-"&amp;UPPER(C48)&amp;"-"&amp;TEXT(D48,"0000")&amp;"-"&amp;E48)</x:f>
        <x:v>M12-BLOCK-0042-V1.0</x:v>
      </x:c>
      <x:c r="B48" s="74" t="str">
        <x:v>M12</x:v>
      </x:c>
      <x:c r="C48" s="74" t="str">
        <x:v>BLOCK</x:v>
      </x:c>
      <x:c r="D48" s="215" t="n">
        <x:v>42</x:v>
      </x:c>
      <x:c r="E48" s="74" t="str">
        <x:v>V1.0</x:v>
      </x:c>
      <x:c r="F48" s="68" t="str">
        <x:v>桥梁被合绊形成牵制型阻塞</x:v>
      </x:c>
      <x:c r="G48" s="82" t="str">
        <x:v>结构层</x:v>
      </x:c>
      <x:c r="H48" s="68" t="str">
        <x:v>五行生化路径</x:v>
      </x:c>
      <x:c r="I48" s="68" t="str">
        <x:v>上游</x:v>
      </x:c>
      <x:c r="J48" s="68" t="str">
        <x:v>被合绊桥梁</x:v>
      </x:c>
      <x:c r="K48" s="68" t="str">
        <x:v>下游</x:v>
      </x:c>
      <x:c r="L48" s="82" t="str">
        <x:v>待定</x:v>
      </x:c>
      <x:c r="M48" s="82" t="str">
        <x:v>待定</x:v>
      </x:c>
      <x:c r="N48" s="68" t="str">
        <x:v>待定</x:v>
      </x:c>
      <x:c r="O48" s="68" t="str">
        <x:v>待定</x:v>
      </x:c>
      <x:c r="P48" s="68" t="str">
        <x:v>待定</x:v>
      </x:c>
      <x:c r="Q48" s="82" t="str">
        <x:v>局部阻塞</x:v>
      </x:c>
      <x:c r="R48" s="82" t="str">
        <x:v>桥梁被合绊</x:v>
      </x:c>
      <x:c r="S48" s="68" t="str">
        <x:v>桥梁</x:v>
      </x:c>
      <x:c r="T48" s="68" t="str">
        <x:v>桥梁仍存在但被其他关系占用或牵制</x:v>
      </x:c>
      <x:c r="U48" s="68" t="str">
        <x:v>待定</x:v>
      </x:c>
      <x:c r="V48" s="68" t="str">
        <x:v>待定</x:v>
      </x:c>
      <x:c r="W48" s="90" t="str">
        <x:v>需检查对调候、格局、日主承载及其他通路的副作用</x:v>
      </x:c>
      <x:c r="X48" s="68" t="str">
        <x:v>M06关系效应、M08五行有效旺衰、M10十神功能与M11组合判断已完成</x:v>
      </x:c>
      <x:c r="Y48" s="68" t="str">
        <x:v>起点、桥梁、终点均按有效力量与实际作用路径判断</x:v>
      </x:c>
      <x:c r="Z48" s="68" t="str">
        <x:v>桥梁有根有源、透达、位置可达且不存在关键制约</x:v>
      </x:c>
      <x:c r="AA48" s="68" t="str">
        <x:v>桥梁失令、无根、受克、合绊、改性或同时被多路调用</x:v>
      </x:c>
      <x:c r="AB48" s="90" t="str">
        <x:v>不得仅因五行缺失、数量少或关系名称直接认定卡点或通关用神</x:v>
      </x:c>
      <x:c r="AC48" s="68" t="str">
        <x:v>若存在更短、更强或副作用更小的替代路径，应并列比较后再裁定</x:v>
      </x:c>
      <x:c r="AD48" s="84" t="str">
        <x:v>M12_BLOCK_流通判定</x:v>
      </x:c>
      <x:c r="AE48" s="84" t="str">
        <x:v>桥梁被合绊形成牵制型阻塞：按起点—桥梁—终点检查有效力量、连续性与承载；卡点为“桥梁被合绊”时，仅生成通关候选，不直接定用神。</x:v>
      </x:c>
      <x:c r="AF48" s="82" t="str">
        <x:v>较高</x:v>
      </x:c>
      <x:c r="AG48" s="82" t="str">
        <x:v>现代综合</x:v>
      </x:c>
      <x:c r="AH48" s="68" t="str">
        <x:v>流通判断以五行有效力量、生克顺序与十神功能为核心；古典依据可参照《滴天髓》《渊海子平》。 https://zh.wikisource.org/wiki/%E6%BB%B4%E5%A4%A9%E9%AB%93%E9%97%A1%E5%BE%AE https://zh.wikisource.org/zh-hans/%E6%B7%B5%E6%B5%B7%E5%AD%90%E5%B9%B3</x:v>
      </x:c>
      <x:c r="AI48" s="68" t="str">
        <x:v>当“桥梁仍存在但被其他关系占用或牵制”真实成立，且桥梁具备有效力量和连续作用条件时，可按“桥梁被合绊形成牵制型阻塞”记录。</x:v>
      </x:c>
      <x:c r="AJ48" s="90" t="str">
        <x:v>仅见表面缺失或五行相克，但未证明“桥梁仍存在但被其他关系占用或牵制”形成实际阻断时，不得套用“桥梁被合绊形成牵制型阻塞”。</x:v>
      </x:c>
      <x:c r="AK48" s="82" t="str">
        <x:v>采用</x:v>
      </x:c>
      <x:c r="AL48" s="82" t="str">
        <x:v>初审</x:v>
      </x:c>
      <x:c r="AM48" s="87" t="n">
        <x:v>46255</x:v>
      </x:c>
    </x:row>
    <x:row r="49">
      <x:c r="A49" s="72" t="str">
        <x:f>IF(OR(C49="",D49=""),"",B49&amp;"-"&amp;UPPER(C49)&amp;"-"&amp;TEXT(D49,"0000")&amp;"-"&amp;E49)</x:f>
        <x:v>M12-BLOCK-0043-V1.0</x:v>
      </x:c>
      <x:c r="B49" s="74" t="str">
        <x:v>M12</x:v>
      </x:c>
      <x:c r="C49" s="74" t="str">
        <x:v>BLOCK</x:v>
      </x:c>
      <x:c r="D49" s="215" t="n">
        <x:v>43</x:v>
      </x:c>
      <x:c r="E49" s="74" t="str">
        <x:v>V1.0</x:v>
      </x:c>
      <x:c r="F49" s="68" t="str">
        <x:v>源头过旺无泄形成上游壅塞</x:v>
      </x:c>
      <x:c r="G49" s="82" t="str">
        <x:v>结构层</x:v>
      </x:c>
      <x:c r="H49" s="68" t="str">
        <x:v>五行生化路径</x:v>
      </x:c>
      <x:c r="I49" s="68" t="str">
        <x:v>极旺源头</x:v>
      </x:c>
      <x:c r="J49" s="68" t="str">
        <x:v>缺失或弱泄神</x:v>
      </x:c>
      <x:c r="K49" s="68" t="str">
        <x:v>下游</x:v>
      </x:c>
      <x:c r="L49" s="82" t="str">
        <x:v>极旺</x:v>
      </x:c>
      <x:c r="M49" s="82" t="str">
        <x:v>极弱</x:v>
      </x:c>
      <x:c r="N49" s="68" t="str">
        <x:v>待定</x:v>
      </x:c>
      <x:c r="O49" s="68" t="str">
        <x:v>待定</x:v>
      </x:c>
      <x:c r="P49" s="68" t="str">
        <x:v>待定</x:v>
      </x:c>
      <x:c r="Q49" s="82" t="str">
        <x:v>明显阻断</x:v>
      </x:c>
      <x:c r="R49" s="82" t="str">
        <x:v>源头过旺无泄</x:v>
      </x:c>
      <x:c r="S49" s="68" t="str">
        <x:v>起点</x:v>
      </x:c>
      <x:c r="T49" s="68" t="str">
        <x:v>源头强势聚集而无有效泄化通路</x:v>
      </x:c>
      <x:c r="U49" s="68" t="str">
        <x:v>待定</x:v>
      </x:c>
      <x:c r="V49" s="68" t="str">
        <x:v>待定</x:v>
      </x:c>
      <x:c r="W49" s="90" t="str">
        <x:v>需检查对调候、格局、日主承载及其他通路的副作用</x:v>
      </x:c>
      <x:c r="X49" s="68" t="str">
        <x:v>M06关系效应、M08五行有效旺衰、M10十神功能与M11组合判断已完成</x:v>
      </x:c>
      <x:c r="Y49" s="68" t="str">
        <x:v>起点、桥梁、终点均按有效力量与实际作用路径判断</x:v>
      </x:c>
      <x:c r="Z49" s="68" t="str">
        <x:v>桥梁有根有源、透达、位置可达且不存在关键制约</x:v>
      </x:c>
      <x:c r="AA49" s="68" t="str">
        <x:v>桥梁失令、无根、受克、合绊、改性或同时被多路调用</x:v>
      </x:c>
      <x:c r="AB49" s="90" t="str">
        <x:v>不得仅因五行缺失、数量少或关系名称直接认定卡点或通关用神</x:v>
      </x:c>
      <x:c r="AC49" s="68" t="str">
        <x:v>若存在更短、更强或副作用更小的替代路径，应并列比较后再裁定</x:v>
      </x:c>
      <x:c r="AD49" s="84" t="str">
        <x:v>M12_BLOCK_流通判定</x:v>
      </x:c>
      <x:c r="AE49" s="84" t="str">
        <x:v>源头过旺无泄形成上游壅塞：按起点—桥梁—终点检查有效力量、连续性与承载；卡点为“源头过旺无泄”时，仅生成通关候选，不直接定用神。</x:v>
      </x:c>
      <x:c r="AF49" s="82" t="str">
        <x:v>较高</x:v>
      </x:c>
      <x:c r="AG49" s="82" t="str">
        <x:v>现代综合</x:v>
      </x:c>
      <x:c r="AH49" s="68" t="str">
        <x:v>流通判断以五行有效力量、生克顺序与十神功能为核心；古典依据可参照《滴天髓》《渊海子平》。 https://zh.wikisource.org/wiki/%E6%BB%B4%E5%A4%A9%E9%AB%93%E9%97%A1%E5%BE%AE https://zh.wikisource.org/zh-hans/%E6%B7%B5%E6%B5%B7%E5%AD%90%E5%B9%B3</x:v>
      </x:c>
      <x:c r="AI49" s="68" t="str">
        <x:v>当“源头强势聚集而无有效泄化通路”真实成立，且桥梁具备有效力量和连续作用条件时，可按“源头过旺无泄形成上游壅塞”记录。</x:v>
      </x:c>
      <x:c r="AJ49" s="90" t="str">
        <x:v>仅见表面缺失或五行相克，但未证明“源头强势聚集而无有效泄化通路”形成实际阻断时，不得套用“源头过旺无泄形成上游壅塞”。</x:v>
      </x:c>
      <x:c r="AK49" s="82" t="str">
        <x:v>采用</x:v>
      </x:c>
      <x:c r="AL49" s="82" t="str">
        <x:v>初审</x:v>
      </x:c>
      <x:c r="AM49" s="87" t="n">
        <x:v>46255</x:v>
      </x:c>
    </x:row>
    <x:row r="50">
      <x:c r="A50" s="72" t="str">
        <x:f>IF(OR(C50="",D50=""),"",B50&amp;"-"&amp;UPPER(C50)&amp;"-"&amp;TEXT(D50,"0000")&amp;"-"&amp;E50)</x:f>
        <x:v>M12-BLOCK-0044-V1.0</x:v>
      </x:c>
      <x:c r="B50" s="74" t="str">
        <x:v>M12</x:v>
      </x:c>
      <x:c r="C50" s="74" t="str">
        <x:v>BLOCK</x:v>
      </x:c>
      <x:c r="D50" s="215" t="n">
        <x:v>44</x:v>
      </x:c>
      <x:c r="E50" s="74" t="str">
        <x:v>V1.0</x:v>
      </x:c>
      <x:c r="F50" s="68" t="str">
        <x:v>终点过弱导致力量无处落脚</x:v>
      </x:c>
      <x:c r="G50" s="82" t="str">
        <x:v>结构层</x:v>
      </x:c>
      <x:c r="H50" s="68" t="str">
        <x:v>五行生化路径</x:v>
      </x:c>
      <x:c r="I50" s="68" t="str">
        <x:v>强上游</x:v>
      </x:c>
      <x:c r="J50" s="68" t="str">
        <x:v>有效桥梁</x:v>
      </x:c>
      <x:c r="K50" s="68" t="str">
        <x:v>极弱终点</x:v>
      </x:c>
      <x:c r="L50" s="82" t="str">
        <x:v>待定</x:v>
      </x:c>
      <x:c r="M50" s="82" t="str">
        <x:v>待定</x:v>
      </x:c>
      <x:c r="N50" s="68" t="str">
        <x:v>待定</x:v>
      </x:c>
      <x:c r="O50" s="68" t="str">
        <x:v>待定</x:v>
      </x:c>
      <x:c r="P50" s="68" t="str">
        <x:v>待定</x:v>
      </x:c>
      <x:c r="Q50" s="82" t="str">
        <x:v>明显阻断</x:v>
      </x:c>
      <x:c r="R50" s="82" t="str">
        <x:v>终点过弱不能承载</x:v>
      </x:c>
      <x:c r="S50" s="68" t="str">
        <x:v>终点</x:v>
      </x:c>
      <x:c r="T50" s="68" t="str">
        <x:v>终点没有足够根气、透达或功能承接传入力量</x:v>
      </x:c>
      <x:c r="U50" s="68" t="str">
        <x:v>待定</x:v>
      </x:c>
      <x:c r="V50" s="68" t="str">
        <x:v>待定</x:v>
      </x:c>
      <x:c r="W50" s="90" t="str">
        <x:v>需检查对调候、格局、日主承载及其他通路的副作用</x:v>
      </x:c>
      <x:c r="X50" s="68" t="str">
        <x:v>M06关系效应、M08五行有效旺衰、M10十神功能与M11组合判断已完成</x:v>
      </x:c>
      <x:c r="Y50" s="68" t="str">
        <x:v>起点、桥梁、终点均按有效力量与实际作用路径判断</x:v>
      </x:c>
      <x:c r="Z50" s="68" t="str">
        <x:v>桥梁有根有源、透达、位置可达且不存在关键制约</x:v>
      </x:c>
      <x:c r="AA50" s="68" t="str">
        <x:v>桥梁失令、无根、受克、合绊、改性或同时被多路调用</x:v>
      </x:c>
      <x:c r="AB50" s="90" t="str">
        <x:v>不得仅因五行缺失、数量少或关系名称直接认定卡点或通关用神</x:v>
      </x:c>
      <x:c r="AC50" s="68" t="str">
        <x:v>若存在更短、更强或副作用更小的替代路径，应并列比较后再裁定</x:v>
      </x:c>
      <x:c r="AD50" s="84" t="str">
        <x:v>M12_BLOCK_流通判定</x:v>
      </x:c>
      <x:c r="AE50" s="84" t="str">
        <x:v>终点过弱导致力量无处落脚：按起点—桥梁—终点检查有效力量、连续性与承载；卡点为“终点过弱不能承载”时，仅生成通关候选，不直接定用神。</x:v>
      </x:c>
      <x:c r="AF50" s="82" t="str">
        <x:v>较高</x:v>
      </x:c>
      <x:c r="AG50" s="82" t="str">
        <x:v>现代综合</x:v>
      </x:c>
      <x:c r="AH50" s="68" t="str">
        <x:v>流通判断以五行有效力量、生克顺序与十神功能为核心；古典依据可参照《滴天髓》《渊海子平》。 https://zh.wikisource.org/wiki/%E6%BB%B4%E5%A4%A9%E9%AB%93%E9%97%A1%E5%BE%AE https://zh.wikisource.org/zh-hans/%E6%B7%B5%E6%B5%B7%E5%AD%90%E5%B9%B3</x:v>
      </x:c>
      <x:c r="AI50" s="68" t="str">
        <x:v>当“终点没有足够根气、透达或功能承接传入力量”真实成立，且桥梁具备有效力量和连续作用条件时，可按“终点过弱导致力量无处落脚”记录。</x:v>
      </x:c>
      <x:c r="AJ50" s="90" t="str">
        <x:v>仅见表面缺失或五行相克，但未证明“终点没有足够根气、透达或功能承接传入力量”形成实际阻断时，不得套用“终点过弱导致力量无处落脚”。</x:v>
      </x:c>
      <x:c r="AK50" s="82" t="str">
        <x:v>采用</x:v>
      </x:c>
      <x:c r="AL50" s="82" t="str">
        <x:v>初审</x:v>
      </x:c>
      <x:c r="AM50" s="87" t="n">
        <x:v>46255</x:v>
      </x:c>
    </x:row>
    <x:row r="51">
      <x:c r="A51" s="72" t="str">
        <x:f>IF(OR(C51="",D51=""),"",B51&amp;"-"&amp;UPPER(C51)&amp;"-"&amp;TEXT(D51,"0000")&amp;"-"&amp;E51)</x:f>
        <x:v>M12-BLOCK-0045-V1.0</x:v>
      </x:c>
      <x:c r="B51" s="74" t="str">
        <x:v>M12</x:v>
      </x:c>
      <x:c r="C51" s="74" t="str">
        <x:v>BLOCK</x:v>
      </x:c>
      <x:c r="D51" s="215" t="n">
        <x:v>45</x:v>
      </x:c>
      <x:c r="E51" s="74" t="str">
        <x:v>V1.0</x:v>
      </x:c>
      <x:c r="F51" s="68" t="str">
        <x:v>终点过旺反制形成逆向阻塞</x:v>
      </x:c>
      <x:c r="G51" s="82" t="str">
        <x:v>结构层</x:v>
      </x:c>
      <x:c r="H51" s="68" t="str">
        <x:v>五行生化路径</x:v>
      </x:c>
      <x:c r="I51" s="68" t="str">
        <x:v>上游</x:v>
      </x:c>
      <x:c r="J51" s="68" t="str">
        <x:v>桥梁</x:v>
      </x:c>
      <x:c r="K51" s="68" t="str">
        <x:v>极旺终点</x:v>
      </x:c>
      <x:c r="L51" s="82" t="str">
        <x:v>待定</x:v>
      </x:c>
      <x:c r="M51" s="82" t="str">
        <x:v>待定</x:v>
      </x:c>
      <x:c r="N51" s="68" t="str">
        <x:v>待定</x:v>
      </x:c>
      <x:c r="O51" s="68" t="str">
        <x:v>待定</x:v>
      </x:c>
      <x:c r="P51" s="68" t="str">
        <x:v>待定</x:v>
      </x:c>
      <x:c r="Q51" s="82" t="str">
        <x:v>局部阻塞</x:v>
      </x:c>
      <x:c r="R51" s="82" t="str">
        <x:v>终点过旺反制</x:v>
      </x:c>
      <x:c r="S51" s="68" t="str">
        <x:v>终点</x:v>
      </x:c>
      <x:c r="T51" s="68" t="str">
        <x:v>终点强势形成反克、争夺或回流，使传递不能按预期完成</x:v>
      </x:c>
      <x:c r="U51" s="68" t="str">
        <x:v>待定</x:v>
      </x:c>
      <x:c r="V51" s="68" t="str">
        <x:v>待定</x:v>
      </x:c>
      <x:c r="W51" s="90" t="str">
        <x:v>需检查对调候、格局、日主承载及其他通路的副作用</x:v>
      </x:c>
      <x:c r="X51" s="68" t="str">
        <x:v>M06关系效应、M08五行有效旺衰、M10十神功能与M11组合判断已完成</x:v>
      </x:c>
      <x:c r="Y51" s="68" t="str">
        <x:v>起点、桥梁、终点均按有效力量与实际作用路径判断</x:v>
      </x:c>
      <x:c r="Z51" s="68" t="str">
        <x:v>桥梁有根有源、透达、位置可达且不存在关键制约</x:v>
      </x:c>
      <x:c r="AA51" s="68" t="str">
        <x:v>桥梁失令、无根、受克、合绊、改性或同时被多路调用</x:v>
      </x:c>
      <x:c r="AB51" s="90" t="str">
        <x:v>不得仅因五行缺失、数量少或关系名称直接认定卡点或通关用神</x:v>
      </x:c>
      <x:c r="AC51" s="68" t="str">
        <x:v>若存在更短、更强或副作用更小的替代路径，应并列比较后再裁定</x:v>
      </x:c>
      <x:c r="AD51" s="84" t="str">
        <x:v>M12_BLOCK_流通判定</x:v>
      </x:c>
      <x:c r="AE51" s="84" t="str">
        <x:v>终点过旺反制形成逆向阻塞：按起点—桥梁—终点检查有效力量、连续性与承载；卡点为“终点过旺反制”时，仅生成通关候选，不直接定用神。</x:v>
      </x:c>
      <x:c r="AF51" s="82" t="str">
        <x:v>较高</x:v>
      </x:c>
      <x:c r="AG51" s="82" t="str">
        <x:v>现代综合</x:v>
      </x:c>
      <x:c r="AH51" s="68" t="str">
        <x:v>流通判断以五行有效力量、生克顺序与十神功能为核心；古典依据可参照《滴天髓》《渊海子平》。 https://zh.wikisource.org/wiki/%E6%BB%B4%E5%A4%A9%E9%AB%93%E9%97%A1%E5%BE%AE https://zh.wikisource.org/zh-hans/%E6%B7%B5%E6%B5%B7%E5%AD%90%E5%B9%B3</x:v>
      </x:c>
      <x:c r="AI51" s="68" t="str">
        <x:v>当“终点强势形成反克、争夺或回流，使传递不能按预期完成”真实成立，且桥梁具备有效力量和连续作用条件时，可按“终点过旺反制形成逆向阻塞”记录。</x:v>
      </x:c>
      <x:c r="AJ51" s="90" t="str">
        <x:v>仅见表面缺失或五行相克，但未证明“终点强势形成反克、争夺或回流，使传递不能按预期完成”形成实际阻断时，不得套用“终点过旺反制形成逆向阻塞”。</x:v>
      </x:c>
      <x:c r="AK51" s="82" t="str">
        <x:v>采用</x:v>
      </x:c>
      <x:c r="AL51" s="82" t="str">
        <x:v>初审</x:v>
      </x:c>
      <x:c r="AM51" s="87" t="n">
        <x:v>46255</x:v>
      </x:c>
    </x:row>
    <x:row r="52">
      <x:c r="A52" s="72" t="str">
        <x:f>IF(OR(C52="",D52=""),"",B52&amp;"-"&amp;UPPER(C52)&amp;"-"&amp;TEXT(D52,"0000")&amp;"-"&amp;E52)</x:f>
        <x:v>M12-BLOCK-0046-V1.0</x:v>
      </x:c>
      <x:c r="B52" s="74" t="str">
        <x:v>M12</x:v>
      </x:c>
      <x:c r="C52" s="74" t="str">
        <x:v>BLOCK</x:v>
      </x:c>
      <x:c r="D52" s="215" t="n">
        <x:v>46</x:v>
      </x:c>
      <x:c r="E52" s="74" t="str">
        <x:v>V1.0</x:v>
      </x:c>
      <x:c r="F52" s="68" t="str">
        <x:v>两强相战且无桥梁时形成直接冲突</x:v>
      </x:c>
      <x:c r="G52" s="82" t="str">
        <x:v>结构层</x:v>
      </x:c>
      <x:c r="H52" s="68" t="str">
        <x:v>五行克战通关</x:v>
      </x:c>
      <x:c r="I52" s="68" t="str">
        <x:v>强克方</x:v>
      </x:c>
      <x:c r="J52" s="68" t="str">
        <x:v>缺失或无效通关五行</x:v>
      </x:c>
      <x:c r="K52" s="68" t="str">
        <x:v>被克强方</x:v>
      </x:c>
      <x:c r="L52" s="82" t="str">
        <x:v>旺</x:v>
      </x:c>
      <x:c r="M52" s="82" t="str">
        <x:v>极弱</x:v>
      </x:c>
      <x:c r="N52" s="68" t="str">
        <x:v>待定</x:v>
      </x:c>
      <x:c r="O52" s="68" t="str">
        <x:v>待定</x:v>
      </x:c>
      <x:c r="P52" s="68" t="str">
        <x:v>待定</x:v>
      </x:c>
      <x:c r="Q52" s="82" t="str">
        <x:v>明显阻断</x:v>
      </x:c>
      <x:c r="R52" s="82" t="str">
        <x:v>两强相战</x:v>
      </x:c>
      <x:c r="S52" s="68" t="str">
        <x:v>双方之间</x:v>
      </x:c>
      <x:c r="T52" s="68" t="str">
        <x:v>克与被克双方均有力，且中间不存在有效泄化桥梁</x:v>
      </x:c>
      <x:c r="U52" s="68" t="str">
        <x:v>待定</x:v>
      </x:c>
      <x:c r="V52" s="68" t="str">
        <x:v>待定</x:v>
      </x:c>
      <x:c r="W52" s="90" t="str">
        <x:v>需检查对调候、格局、日主承载及其他通路的副作用</x:v>
      </x:c>
      <x:c r="X52" s="68" t="str">
        <x:v>M06关系效应、M08五行有效旺衰、M10十神功能与M11组合判断已完成</x:v>
      </x:c>
      <x:c r="Y52" s="68" t="str">
        <x:v>起点、桥梁、终点均按有效力量与实际作用路径判断</x:v>
      </x:c>
      <x:c r="Z52" s="68" t="str">
        <x:v>桥梁有根有源、透达、位置可达且不存在关键制约</x:v>
      </x:c>
      <x:c r="AA52" s="68" t="str">
        <x:v>桥梁失令、无根、受克、合绊、改性或同时被多路调用</x:v>
      </x:c>
      <x:c r="AB52" s="90" t="str">
        <x:v>不得仅因五行缺失、数量少或关系名称直接认定卡点或通关用神</x:v>
      </x:c>
      <x:c r="AC52" s="68" t="str">
        <x:v>若存在更短、更强或副作用更小的替代路径，应并列比较后再裁定</x:v>
      </x:c>
      <x:c r="AD52" s="84" t="str">
        <x:v>M12_BLOCK_流通判定</x:v>
      </x:c>
      <x:c r="AE52" s="84" t="str">
        <x:v>两强相战且无桥梁时形成直接冲突：按起点—桥梁—终点检查有效力量、连续性与承载；卡点为“两强相战”时，仅生成通关候选，不直接定用神。</x:v>
      </x:c>
      <x:c r="AF52" s="82" t="str">
        <x:v>较高</x:v>
      </x:c>
      <x:c r="AG52" s="82" t="str">
        <x:v>现代综合</x:v>
      </x:c>
      <x:c r="AH52" s="68" t="str">
        <x:v>流通判断以五行有效力量、生克顺序与十神功能为核心；古典依据可参照《滴天髓》《渊海子平》。 https://zh.wikisource.org/wiki/%E6%BB%B4%E5%A4%A9%E9%AB%93%E9%97%A1%E5%BE%AE https://zh.wikisource.org/zh-hans/%E6%B7%B5%E6%B5%B7%E5%AD%90%E5%B9%B3</x:v>
      </x:c>
      <x:c r="AI52" s="68" t="str">
        <x:v>当“克与被克双方均有力，且中间不存在有效泄化桥梁”真实成立，且桥梁具备有效力量和连续作用条件时，可按“两强相战且无桥梁时形成直接冲突”记录。</x:v>
      </x:c>
      <x:c r="AJ52" s="90" t="str">
        <x:v>仅见表面缺失或五行相克，但未证明“克与被克双方均有力，且中间不存在有效泄化桥梁”形成实际阻断时，不得套用“两强相战且无桥梁时形成直接冲突”。</x:v>
      </x:c>
      <x:c r="AK52" s="82" t="str">
        <x:v>采用</x:v>
      </x:c>
      <x:c r="AL52" s="82" t="str">
        <x:v>初审</x:v>
      </x:c>
      <x:c r="AM52" s="87" t="n">
        <x:v>46255</x:v>
      </x:c>
    </x:row>
    <x:row r="53">
      <x:c r="A53" s="72" t="str">
        <x:f>IF(OR(C53="",D53=""),"",B53&amp;"-"&amp;UPPER(C53)&amp;"-"&amp;TEXT(D53,"0000")&amp;"-"&amp;E53)</x:f>
        <x:v>M12-BLOCK-0047-V1.0</x:v>
      </x:c>
      <x:c r="B53" s="74" t="str">
        <x:v>M12</x:v>
      </x:c>
      <x:c r="C53" s="74" t="str">
        <x:v>BLOCK</x:v>
      </x:c>
      <x:c r="D53" s="215" t="n">
        <x:v>47</x:v>
      </x:c>
      <x:c r="E53" s="74" t="str">
        <x:v>V1.0</x:v>
      </x:c>
      <x:c r="F53" s="68" t="str">
        <x:v>寒凝会使原本存在的生化链效率下降</x:v>
      </x:c>
      <x:c r="G53" s="82" t="str">
        <x:v>结构层</x:v>
      </x:c>
      <x:c r="H53" s="68" t="str">
        <x:v>五行生化路径</x:v>
      </x:c>
      <x:c r="I53" s="68" t="str">
        <x:v>寒局源头</x:v>
      </x:c>
      <x:c r="J53" s="68" t="str">
        <x:v>受寒凝关键五行</x:v>
      </x:c>
      <x:c r="K53" s="68" t="str">
        <x:v>下游</x:v>
      </x:c>
      <x:c r="L53" s="82" t="str">
        <x:v>待定</x:v>
      </x:c>
      <x:c r="M53" s="82" t="str">
        <x:v>待定</x:v>
      </x:c>
      <x:c r="N53" s="68" t="str">
        <x:v>待定</x:v>
      </x:c>
      <x:c r="O53" s="68" t="str">
        <x:v>待定</x:v>
      </x:c>
      <x:c r="P53" s="68" t="str">
        <x:v>待定</x:v>
      </x:c>
      <x:c r="Q53" s="82" t="str">
        <x:v>局部阻塞</x:v>
      </x:c>
      <x:c r="R53" s="82" t="str">
        <x:v>寒凝</x:v>
      </x:c>
      <x:c r="S53" s="68" t="str">
        <x:v>关键节点</x:v>
      </x:c>
      <x:c r="T53" s="68" t="str">
        <x:v>低温状态使关键五行难以生发、蒸腾、化泄或流动</x:v>
      </x:c>
      <x:c r="U53" s="68" t="str">
        <x:v>火</x:v>
      </x:c>
      <x:c r="V53" s="68" t="str">
        <x:v>M13确认火能暖局且不破坏更高优先级结构</x:v>
      </x:c>
      <x:c r="W53" s="90" t="str">
        <x:v>需检查对调候、格局、日主承载及其他通路的副作用</x:v>
      </x:c>
      <x:c r="X53" s="68" t="str">
        <x:v>M06关系效应、M08五行有效旺衰、M10十神功能与M11组合判断已完成</x:v>
      </x:c>
      <x:c r="Y53" s="68" t="str">
        <x:v>起点、桥梁、终点均按有效力量与实际作用路径判断</x:v>
      </x:c>
      <x:c r="Z53" s="68" t="str">
        <x:v>桥梁有根有源、透达、位置可达且不存在关键制约</x:v>
      </x:c>
      <x:c r="AA53" s="68" t="str">
        <x:v>桥梁失令、无根、受克、合绊、改性或同时被多路调用</x:v>
      </x:c>
      <x:c r="AB53" s="90" t="str">
        <x:v>不得仅因五行缺失、数量少或关系名称直接认定卡点或通关用神</x:v>
      </x:c>
      <x:c r="AC53" s="68" t="str">
        <x:v>若存在更短、更强或副作用更小的替代路径，应并列比较后再裁定</x:v>
      </x:c>
      <x:c r="AD53" s="84" t="str">
        <x:v>M12_BLOCK_流通判定</x:v>
      </x:c>
      <x:c r="AE53" s="84" t="str">
        <x:v>寒凝会使原本存在的生化链效率下降：按起点—桥梁—终点检查有效力量、连续性与承载；卡点为“寒凝”时，仅生成通关候选，不直接定用神。</x:v>
      </x:c>
      <x:c r="AF53" s="82" t="str">
        <x:v>较高</x:v>
      </x:c>
      <x:c r="AG53" s="82" t="str">
        <x:v>现代综合</x:v>
      </x:c>
      <x:c r="AH53" s="68" t="str">
        <x:v>流通判断以五行有效力量、生克顺序与十神功能为核心；古典依据可参照《滴天髓》《渊海子平》。 https://zh.wikisource.org/wiki/%E6%BB%B4%E5%A4%A9%E9%AB%93%E9%97%A1%E5%BE%AE https://zh.wikisource.org/zh-hans/%E6%B7%B5%E6%B5%B7%E5%AD%90%E5%B9%B3</x:v>
      </x:c>
      <x:c r="AI53" s="68" t="str">
        <x:v>当“低温状态使关键五行难以生发、蒸腾、化泄或流动”真实成立，且桥梁具备有效力量和连续作用条件时，可按“寒凝会使原本存在的生化链效率下降”记录。</x:v>
      </x:c>
      <x:c r="AJ53" s="90" t="str">
        <x:v>仅见表面缺失或五行相克，但未证明“低温状态使关键五行难以生发、蒸腾、化泄或流动”形成实际阻断时，不得套用“寒凝会使原本存在的生化链效率下降”。</x:v>
      </x:c>
      <x:c r="AK53" s="82" t="str">
        <x:v>采用</x:v>
      </x:c>
      <x:c r="AL53" s="82" t="str">
        <x:v>初审</x:v>
      </x:c>
      <x:c r="AM53" s="87" t="n">
        <x:v>46255</x:v>
      </x:c>
    </x:row>
    <x:row r="54">
      <x:c r="A54" s="72" t="str">
        <x:f>IF(OR(C54="",D54=""),"",B54&amp;"-"&amp;UPPER(C54)&amp;"-"&amp;TEXT(D54,"0000")&amp;"-"&amp;E54)</x:f>
        <x:v>M12-BLOCK-0048-V1.0</x:v>
      </x:c>
      <x:c r="B54" s="74" t="str">
        <x:v>M12</x:v>
      </x:c>
      <x:c r="C54" s="74" t="str">
        <x:v>BLOCK</x:v>
      </x:c>
      <x:c r="D54" s="215" t="n">
        <x:v>48</x:v>
      </x:c>
      <x:c r="E54" s="74" t="str">
        <x:v>V1.0</x:v>
      </x:c>
      <x:c r="F54" s="68" t="str">
        <x:v>燥枯会使原本存在的生化链失去润泽</x:v>
      </x:c>
      <x:c r="G54" s="82" t="str">
        <x:v>结构层</x:v>
      </x:c>
      <x:c r="H54" s="68" t="str">
        <x:v>五行生化路径</x:v>
      </x:c>
      <x:c r="I54" s="68" t="str">
        <x:v>燥局源头</x:v>
      </x:c>
      <x:c r="J54" s="68" t="str">
        <x:v>受燥枯关键五行</x:v>
      </x:c>
      <x:c r="K54" s="68" t="str">
        <x:v>下游</x:v>
      </x:c>
      <x:c r="L54" s="82" t="str">
        <x:v>待定</x:v>
      </x:c>
      <x:c r="M54" s="82" t="str">
        <x:v>待定</x:v>
      </x:c>
      <x:c r="N54" s="68" t="str">
        <x:v>待定</x:v>
      </x:c>
      <x:c r="O54" s="68" t="str">
        <x:v>待定</x:v>
      </x:c>
      <x:c r="P54" s="68" t="str">
        <x:v>待定</x:v>
      </x:c>
      <x:c r="Q54" s="82" t="str">
        <x:v>局部阻塞</x:v>
      </x:c>
      <x:c r="R54" s="82" t="str">
        <x:v>燥枯</x:v>
      </x:c>
      <x:c r="S54" s="68" t="str">
        <x:v>关键节点</x:v>
      </x:c>
      <x:c r="T54" s="68" t="str">
        <x:v>高燥状态使关键五行失去持续生发、润泽或承接能力</x:v>
      </x:c>
      <x:c r="U54" s="68" t="str">
        <x:v>水</x:v>
      </x:c>
      <x:c r="V54" s="68" t="str">
        <x:v>M13确认水可润燥且无寒湿过度副作用</x:v>
      </x:c>
      <x:c r="W54" s="90" t="str">
        <x:v>需检查对调候、格局、日主承载及其他通路的副作用</x:v>
      </x:c>
      <x:c r="X54" s="68" t="str">
        <x:v>M06关系效应、M08五行有效旺衰、M10十神功能与M11组合判断已完成</x:v>
      </x:c>
      <x:c r="Y54" s="68" t="str">
        <x:v>起点、桥梁、终点均按有效力量与实际作用路径判断</x:v>
      </x:c>
      <x:c r="Z54" s="68" t="str">
        <x:v>桥梁有根有源、透达、位置可达且不存在关键制约</x:v>
      </x:c>
      <x:c r="AA54" s="68" t="str">
        <x:v>桥梁失令、无根、受克、合绊、改性或同时被多路调用</x:v>
      </x:c>
      <x:c r="AB54" s="90" t="str">
        <x:v>不得仅因五行缺失、数量少或关系名称直接认定卡点或通关用神</x:v>
      </x:c>
      <x:c r="AC54" s="68" t="str">
        <x:v>若存在更短、更强或副作用更小的替代路径，应并列比较后再裁定</x:v>
      </x:c>
      <x:c r="AD54" s="84" t="str">
        <x:v>M12_BLOCK_流通判定</x:v>
      </x:c>
      <x:c r="AE54" s="84" t="str">
        <x:v>燥枯会使原本存在的生化链失去润泽：按起点—桥梁—终点检查有效力量、连续性与承载；卡点为“燥枯”时，仅生成通关候选，不直接定用神。</x:v>
      </x:c>
      <x:c r="AF54" s="82" t="str">
        <x:v>较高</x:v>
      </x:c>
      <x:c r="AG54" s="82" t="str">
        <x:v>现代综合</x:v>
      </x:c>
      <x:c r="AH54" s="68" t="str">
        <x:v>流通判断以五行有效力量、生克顺序与十神功能为核心；古典依据可参照《滴天髓》《渊海子平》。 https://zh.wikisource.org/wiki/%E6%BB%B4%E5%A4%A9%E9%AB%93%E9%97%A1%E5%BE%AE https://zh.wikisource.org/zh-hans/%E6%B7%B5%E6%B5%B7%E5%AD%90%E5%B9%B3</x:v>
      </x:c>
      <x:c r="AI54" s="68" t="str">
        <x:v>当“高燥状态使关键五行失去持续生发、润泽或承接能力”真实成立，且桥梁具备有效力量和连续作用条件时，可按“燥枯会使原本存在的生化链失去润泽”记录。</x:v>
      </x:c>
      <x:c r="AJ54" s="90" t="str">
        <x:v>仅见表面缺失或五行相克，但未证明“高燥状态使关键五行失去持续生发、润泽或承接能力”形成实际阻断时，不得套用“燥枯会使原本存在的生化链失去润泽”。</x:v>
      </x:c>
      <x:c r="AK54" s="82" t="str">
        <x:v>采用</x:v>
      </x:c>
      <x:c r="AL54" s="82" t="str">
        <x:v>初审</x:v>
      </x:c>
      <x:c r="AM54" s="87" t="n">
        <x:v>46255</x:v>
      </x:c>
    </x:row>
    <x:row r="55">
      <x:c r="A55" s="72" t="str">
        <x:f>IF(OR(C55="",D55=""),"",B55&amp;"-"&amp;UPPER(C55)&amp;"-"&amp;TEXT(D55,"0000")&amp;"-"&amp;E55)</x:f>
        <x:v>M12-BLOCK-0049-V1.0</x:v>
      </x:c>
      <x:c r="B55" s="74" t="str">
        <x:v>M12</x:v>
      </x:c>
      <x:c r="C55" s="74" t="str">
        <x:v>BLOCK</x:v>
      </x:c>
      <x:c r="D55" s="215" t="n">
        <x:v>49</x:v>
      </x:c>
      <x:c r="E55" s="74" t="str">
        <x:v>V1.0</x:v>
      </x:c>
      <x:c r="F55" s="68" t="str">
        <x:v>链路过长会导致末端获得的有效力量递减</x:v>
      </x:c>
      <x:c r="G55" s="82" t="str">
        <x:v>结构层</x:v>
      </x:c>
      <x:c r="H55" s="68" t="str">
        <x:v>五行生化路径</x:v>
      </x:c>
      <x:c r="I55" s="68" t="str">
        <x:v>远端源头</x:v>
      </x:c>
      <x:c r="J55" s="68" t="str">
        <x:v>两层以上中间节点</x:v>
      </x:c>
      <x:c r="K55" s="68" t="str">
        <x:v>末端</x:v>
      </x:c>
      <x:c r="L55" s="82" t="str">
        <x:v>待定</x:v>
      </x:c>
      <x:c r="M55" s="82" t="str">
        <x:v>待定</x:v>
      </x:c>
      <x:c r="N55" s="68" t="str">
        <x:v>待定</x:v>
      </x:c>
      <x:c r="O55" s="68" t="str">
        <x:v>待定</x:v>
      </x:c>
      <x:c r="P55" s="68" t="str">
        <x:v>待定</x:v>
      </x:c>
      <x:c r="Q55" s="82" t="str">
        <x:v>局部阻塞</x:v>
      </x:c>
      <x:c r="R55" s="82" t="str">
        <x:v>链路过长</x:v>
      </x:c>
      <x:c r="S55" s="68" t="str">
        <x:v>整条路径</x:v>
      </x:c>
      <x:c r="T55" s="68" t="str">
        <x:v>每经过一层都需要中间节点自身有效并承担传递成本</x:v>
      </x:c>
      <x:c r="U55" s="68" t="str">
        <x:v>待定</x:v>
      </x:c>
      <x:c r="V55" s="68" t="str">
        <x:v>待定</x:v>
      </x:c>
      <x:c r="W55" s="90" t="str">
        <x:v>需检查对调候、格局、日主承载及其他通路的副作用</x:v>
      </x:c>
      <x:c r="X55" s="68" t="str">
        <x:v>M06关系效应、M08五行有效旺衰、M10十神功能与M11组合判断已完成</x:v>
      </x:c>
      <x:c r="Y55" s="68" t="str">
        <x:v>起点、桥梁、终点均按有效力量与实际作用路径判断</x:v>
      </x:c>
      <x:c r="Z55" s="68" t="str">
        <x:v>桥梁有根有源、透达、位置可达且不存在关键制约</x:v>
      </x:c>
      <x:c r="AA55" s="68" t="str">
        <x:v>桥梁失令、无根、受克、合绊、改性或同时被多路调用</x:v>
      </x:c>
      <x:c r="AB55" s="90" t="str">
        <x:v>不得仅因五行缺失、数量少或关系名称直接认定卡点或通关用神</x:v>
      </x:c>
      <x:c r="AC55" s="68" t="str">
        <x:v>若存在更短、更强或副作用更小的替代路径，应并列比较后再裁定</x:v>
      </x:c>
      <x:c r="AD55" s="84" t="str">
        <x:v>M12_BLOCK_流通判定</x:v>
      </x:c>
      <x:c r="AE55" s="84" t="str">
        <x:v>链路过长会导致末端获得的有效力量递减：按起点—桥梁—终点检查有效力量、连续性与承载；卡点为“链路过长”时，仅生成通关候选，不直接定用神。</x:v>
      </x:c>
      <x:c r="AF55" s="82" t="str">
        <x:v>较高</x:v>
      </x:c>
      <x:c r="AG55" s="82" t="str">
        <x:v>现代综合</x:v>
      </x:c>
      <x:c r="AH55" s="68" t="str">
        <x:v>流通判断以五行有效力量、生克顺序与十神功能为核心；古典依据可参照《滴天髓》《渊海子平》。 https://zh.wikisource.org/wiki/%E6%BB%B4%E5%A4%A9%E9%AB%93%E9%97%A1%E5%BE%AE https://zh.wikisource.org/zh-hans/%E6%B7%B5%E6%B5%B7%E5%AD%90%E5%B9%B3</x:v>
      </x:c>
      <x:c r="AI55" s="68" t="str">
        <x:v>当“每经过一层都需要中间节点自身有效并承担传递成本”真实成立，且桥梁具备有效力量和连续作用条件时，可按“链路过长会导致末端获得的有效力量递减”记录。</x:v>
      </x:c>
      <x:c r="AJ55" s="90" t="str">
        <x:v>仅见表面缺失或五行相克，但未证明“每经过一层都需要中间节点自身有效并承担传递成本”形成实际阻断时，不得套用“链路过长会导致末端获得的有效力量递减”。</x:v>
      </x:c>
      <x:c r="AK55" s="82" t="str">
        <x:v>采用</x:v>
      </x:c>
      <x:c r="AL55" s="82" t="str">
        <x:v>初审</x:v>
      </x:c>
      <x:c r="AM55" s="87" t="n">
        <x:v>46255</x:v>
      </x:c>
    </x:row>
    <x:row r="56">
      <x:c r="A56" s="72" t="str">
        <x:f>IF(OR(C56="",D56=""),"",B56&amp;"-"&amp;UPPER(C56)&amp;"-"&amp;TEXT(D56,"0000")&amp;"-"&amp;E56)</x:f>
        <x:v>M12-BLOCK-0050-V1.0</x:v>
      </x:c>
      <x:c r="B56" s="74" t="str">
        <x:v>M12</x:v>
      </x:c>
      <x:c r="C56" s="74" t="str">
        <x:v>BLOCK</x:v>
      </x:c>
      <x:c r="D56" s="215" t="n">
        <x:v>50</x:v>
      </x:c>
      <x:c r="E56" s="74" t="str">
        <x:v>V1.0</x:v>
      </x:c>
      <x:c r="F56" s="68" t="str">
        <x:v>回流壅塞表现为力量在局部反复循环而不能外泄</x:v>
      </x:c>
      <x:c r="G56" s="82" t="str">
        <x:v>结构层</x:v>
      </x:c>
      <x:c r="H56" s="68" t="str">
        <x:v>五行生化路径</x:v>
      </x:c>
      <x:c r="I56" s="68" t="str">
        <x:v>强源头</x:v>
      </x:c>
      <x:c r="J56" s="68" t="str">
        <x:v>强中间节点</x:v>
      </x:c>
      <x:c r="K56" s="68" t="str">
        <x:v>又返回原集团的节点</x:v>
      </x:c>
      <x:c r="L56" s="82" t="str">
        <x:v>待定</x:v>
      </x:c>
      <x:c r="M56" s="82" t="str">
        <x:v>待定</x:v>
      </x:c>
      <x:c r="N56" s="68" t="str">
        <x:v>待定</x:v>
      </x:c>
      <x:c r="O56" s="68" t="str">
        <x:v>待定</x:v>
      </x:c>
      <x:c r="P56" s="68" t="str">
        <x:v>待定</x:v>
      </x:c>
      <x:c r="Q56" s="82" t="str">
        <x:v>局部阻塞</x:v>
      </x:c>
      <x:c r="R56" s="82" t="str">
        <x:v>回流壅塞</x:v>
      </x:c>
      <x:c r="S56" s="68" t="str">
        <x:v>循环节点</x:v>
      </x:c>
      <x:c r="T56" s="68" t="str">
        <x:v>生化关系形成内部循环，缺乏有效外泄终点</x:v>
      </x:c>
      <x:c r="U56" s="68" t="str">
        <x:v>待定</x:v>
      </x:c>
      <x:c r="V56" s="68" t="str">
        <x:v>待定</x:v>
      </x:c>
      <x:c r="W56" s="90" t="str">
        <x:v>需检查对调候、格局、日主承载及其他通路的副作用</x:v>
      </x:c>
      <x:c r="X56" s="68" t="str">
        <x:v>M06关系效应、M08五行有效旺衰、M10十神功能与M11组合判断已完成</x:v>
      </x:c>
      <x:c r="Y56" s="68" t="str">
        <x:v>起点、桥梁、终点均按有效力量与实际作用路径判断</x:v>
      </x:c>
      <x:c r="Z56" s="68" t="str">
        <x:v>桥梁有根有源、透达、位置可达且不存在关键制约</x:v>
      </x:c>
      <x:c r="AA56" s="68" t="str">
        <x:v>桥梁失令、无根、受克、合绊、改性或同时被多路调用</x:v>
      </x:c>
      <x:c r="AB56" s="90" t="str">
        <x:v>不得仅因五行缺失、数量少或关系名称直接认定卡点或通关用神</x:v>
      </x:c>
      <x:c r="AC56" s="68" t="str">
        <x:v>若存在更短、更强或副作用更小的替代路径，应并列比较后再裁定</x:v>
      </x:c>
      <x:c r="AD56" s="84" t="str">
        <x:v>M12_BLOCK_流通判定</x:v>
      </x:c>
      <x:c r="AE56" s="84" t="str">
        <x:v>回流壅塞表现为力量在局部反复循环而不能外泄：按起点—桥梁—终点检查有效力量、连续性与承载；卡点为“回流壅塞”时，仅生成通关候选，不直接定用神。</x:v>
      </x:c>
      <x:c r="AF56" s="82" t="str">
        <x:v>较高</x:v>
      </x:c>
      <x:c r="AG56" s="82" t="str">
        <x:v>现代综合</x:v>
      </x:c>
      <x:c r="AH56" s="68" t="str">
        <x:v>流通判断以五行有效力量、生克顺序与十神功能为核心；古典依据可参照《滴天髓》《渊海子平》。 https://zh.wikisource.org/wiki/%E6%BB%B4%E5%A4%A9%E9%AB%93%E9%97%A1%E5%BE%AE https://zh.wikisource.org/zh-hans/%E6%B7%B5%E6%B5%B7%E5%AD%90%E5%B9%B3</x:v>
      </x:c>
      <x:c r="AI56" s="68" t="str">
        <x:v>当“生化关系形成内部循环，缺乏有效外泄终点”真实成立，且桥梁具备有效力量和连续作用条件时，可按“回流壅塞表现为力量在局部反复循环而不能外泄”记录。</x:v>
      </x:c>
      <x:c r="AJ56" s="90" t="str">
        <x:v>仅见表面缺失或五行相克，但未证明“生化关系形成内部循环，缺乏有效外泄终点”形成实际阻断时，不得套用“回流壅塞表现为力量在局部反复循环而不能外泄”。</x:v>
      </x:c>
      <x:c r="AK56" s="82" t="str">
        <x:v>采用</x:v>
      </x:c>
      <x:c r="AL56" s="82" t="str">
        <x:v>初审</x:v>
      </x:c>
      <x:c r="AM56" s="87" t="n">
        <x:v>46255</x:v>
      </x:c>
    </x:row>
    <x:row r="57">
      <x:c r="A57" s="72" t="str">
        <x:f>IF(OR(C57="",D57=""),"",B57&amp;"-"&amp;UPPER(C57)&amp;"-"&amp;TEXT(D57,"0000")&amp;"-"&amp;E57)</x:f>
        <x:v>M12-BLOCK-0051-V1.0</x:v>
      </x:c>
      <x:c r="B57" s="74" t="str">
        <x:v>M12</x:v>
      </x:c>
      <x:c r="C57" s="74" t="str">
        <x:v>BLOCK</x:v>
      </x:c>
      <x:c r="D57" s="215" t="n">
        <x:v>51</x:v>
      </x:c>
      <x:c r="E57" s="74" t="str">
        <x:v>V1.0</x:v>
      </x:c>
      <x:c r="F57" s="68" t="str">
        <x:v>桥梁被改性会造成路径方向突变</x:v>
      </x:c>
      <x:c r="G57" s="82" t="str">
        <x:v>结构层</x:v>
      </x:c>
      <x:c r="H57" s="68" t="str">
        <x:v>五行生化路径</x:v>
      </x:c>
      <x:c r="I57" s="68" t="str">
        <x:v>原上游</x:v>
      </x:c>
      <x:c r="J57" s="68" t="str">
        <x:v>合化或会局改性的桥梁</x:v>
      </x:c>
      <x:c r="K57" s="68" t="str">
        <x:v>原下游</x:v>
      </x:c>
      <x:c r="L57" s="82" t="str">
        <x:v>待定</x:v>
      </x:c>
      <x:c r="M57" s="82" t="str">
        <x:v>待定</x:v>
      </x:c>
      <x:c r="N57" s="68" t="str">
        <x:v>待定</x:v>
      </x:c>
      <x:c r="O57" s="68" t="str">
        <x:v>待定</x:v>
      </x:c>
      <x:c r="P57" s="68" t="str">
        <x:v>待定</x:v>
      </x:c>
      <x:c r="Q57" s="82" t="str">
        <x:v>无有效路径</x:v>
      </x:c>
      <x:c r="R57" s="82" t="str">
        <x:v>其他</x:v>
      </x:c>
      <x:c r="S57" s="68" t="str">
        <x:v>桥梁</x:v>
      </x:c>
      <x:c r="T57" s="68" t="str">
        <x:v>桥梁五行属性改变，原来生克关系被替换</x:v>
      </x:c>
      <x:c r="U57" s="68" t="str">
        <x:v>待定</x:v>
      </x:c>
      <x:c r="V57" s="68" t="str">
        <x:v>待定</x:v>
      </x:c>
      <x:c r="W57" s="90" t="str">
        <x:v>需检查对调候、格局、日主承载及其他通路的副作用</x:v>
      </x:c>
      <x:c r="X57" s="68" t="str">
        <x:v>M06关系效应、M08五行有效旺衰、M10十神功能与M11组合判断已完成</x:v>
      </x:c>
      <x:c r="Y57" s="68" t="str">
        <x:v>起点、桥梁、终点均按有效力量与实际作用路径判断</x:v>
      </x:c>
      <x:c r="Z57" s="68" t="str">
        <x:v>桥梁有根有源、透达、位置可达且不存在关键制约</x:v>
      </x:c>
      <x:c r="AA57" s="68" t="str">
        <x:v>桥梁失令、无根、受克、合绊、改性或同时被多路调用</x:v>
      </x:c>
      <x:c r="AB57" s="90" t="str">
        <x:v>不得仅因五行缺失、数量少或关系名称直接认定卡点或通关用神</x:v>
      </x:c>
      <x:c r="AC57" s="68" t="str">
        <x:v>若存在更短、更强或副作用更小的替代路径，应并列比较后再裁定</x:v>
      </x:c>
      <x:c r="AD57" s="84" t="str">
        <x:v>M12_BLOCK_流通判定</x:v>
      </x:c>
      <x:c r="AE57" s="84" t="str">
        <x:v>桥梁被改性会造成路径方向突变：按起点—桥梁—终点检查有效力量、连续性与承载；卡点为“其他”时，仅生成通关候选，不直接定用神。</x:v>
      </x:c>
      <x:c r="AF57" s="82" t="str">
        <x:v>较高</x:v>
      </x:c>
      <x:c r="AG57" s="82" t="str">
        <x:v>现代综合</x:v>
      </x:c>
      <x:c r="AH57" s="68" t="str">
        <x:v>流通判断以五行有效力量、生克顺序与十神功能为核心；古典依据可参照《滴天髓》《渊海子平》。 https://zh.wikisource.org/wiki/%E6%BB%B4%E5%A4%A9%E9%AB%93%E9%97%A1%E5%BE%AE https://zh.wikisource.org/zh-hans/%E6%B7%B5%E6%B5%B7%E5%AD%90%E5%B9%B3</x:v>
      </x:c>
      <x:c r="AI57" s="68" t="str">
        <x:v>当“桥梁五行属性改变，原来生克关系被替换”真实成立，且桥梁具备有效力量和连续作用条件时，可按“桥梁被改性会造成路径方向突变”记录。</x:v>
      </x:c>
      <x:c r="AJ57" s="90" t="str">
        <x:v>仅见表面缺失或五行相克，但未证明“桥梁五行属性改变，原来生克关系被替换”形成实际阻断时，不得套用“桥梁被改性会造成路径方向突变”。</x:v>
      </x:c>
      <x:c r="AK57" s="82" t="str">
        <x:v>采用</x:v>
      </x:c>
      <x:c r="AL57" s="82" t="str">
        <x:v>初审</x:v>
      </x:c>
      <x:c r="AM57" s="87" t="n">
        <x:v>46255</x:v>
      </x:c>
    </x:row>
    <x:row r="58">
      <x:c r="A58" s="72" t="str">
        <x:f>IF(OR(C58="",D58=""),"",B58&amp;"-"&amp;UPPER(C58)&amp;"-"&amp;TEXT(D58,"0000")&amp;"-"&amp;E58)</x:f>
        <x:v>M12-BLOCK-0052-V1.0</x:v>
      </x:c>
      <x:c r="B58" s="74" t="str">
        <x:v>M12</x:v>
      </x:c>
      <x:c r="C58" s="74" t="str">
        <x:v>BLOCK</x:v>
      </x:c>
      <x:c r="D58" s="215" t="n">
        <x:v>52</x:v>
      </x:c>
      <x:c r="E58" s="74" t="str">
        <x:v>V1.0</x:v>
      </x:c>
      <x:c r="F58" s="68" t="str">
        <x:v>共享桥梁过载会形成路径竞争</x:v>
      </x:c>
      <x:c r="G58" s="82" t="str">
        <x:v>结构层</x:v>
      </x:c>
      <x:c r="H58" s="68" t="str">
        <x:v>五行生化路径</x:v>
      </x:c>
      <x:c r="I58" s="68" t="str">
        <x:v>两个以上上游</x:v>
      </x:c>
      <x:c r="J58" s="68" t="str">
        <x:v>同一中等桥梁</x:v>
      </x:c>
      <x:c r="K58" s="68" t="str">
        <x:v>不同终点</x:v>
      </x:c>
      <x:c r="L58" s="82" t="str">
        <x:v>待定</x:v>
      </x:c>
      <x:c r="M58" s="82" t="str">
        <x:v>待定</x:v>
      </x:c>
      <x:c r="N58" s="68" t="str">
        <x:v>待定</x:v>
      </x:c>
      <x:c r="O58" s="68" t="str">
        <x:v>待定</x:v>
      </x:c>
      <x:c r="P58" s="68" t="str">
        <x:v>待定</x:v>
      </x:c>
      <x:c r="Q58" s="82" t="str">
        <x:v>局部阻塞</x:v>
      </x:c>
      <x:c r="R58" s="82" t="str">
        <x:v>桥梁太弱</x:v>
      </x:c>
      <x:c r="S58" s="68" t="str">
        <x:v>桥梁</x:v>
      </x:c>
      <x:c r="T58" s="68" t="str">
        <x:v>桥梁有效力量不足以同时服务多条高强度路径</x:v>
      </x:c>
      <x:c r="U58" s="68" t="str">
        <x:v>待定</x:v>
      </x:c>
      <x:c r="V58" s="68" t="str">
        <x:v>待定</x:v>
      </x:c>
      <x:c r="W58" s="90" t="str">
        <x:v>需检查对调候、格局、日主承载及其他通路的副作用</x:v>
      </x:c>
      <x:c r="X58" s="68" t="str">
        <x:v>M06关系效应、M08五行有效旺衰、M10十神功能与M11组合判断已完成</x:v>
      </x:c>
      <x:c r="Y58" s="68" t="str">
        <x:v>起点、桥梁、终点均按有效力量与实际作用路径判断</x:v>
      </x:c>
      <x:c r="Z58" s="68" t="str">
        <x:v>桥梁有根有源、透达、位置可达且不存在关键制约</x:v>
      </x:c>
      <x:c r="AA58" s="68" t="str">
        <x:v>桥梁失令、无根、受克、合绊、改性或同时被多路调用</x:v>
      </x:c>
      <x:c r="AB58" s="90" t="str">
        <x:v>不得仅因五行缺失、数量少或关系名称直接认定卡点或通关用神</x:v>
      </x:c>
      <x:c r="AC58" s="68" t="str">
        <x:v>若存在更短、更强或副作用更小的替代路径，应并列比较后再裁定</x:v>
      </x:c>
      <x:c r="AD58" s="84" t="str">
        <x:v>M12_BLOCK_流通判定</x:v>
      </x:c>
      <x:c r="AE58" s="84" t="str">
        <x:v>共享桥梁过载会形成路径竞争：按起点—桥梁—终点检查有效力量、连续性与承载；卡点为“桥梁太弱”时，仅生成通关候选，不直接定用神。</x:v>
      </x:c>
      <x:c r="AF58" s="82" t="str">
        <x:v>较高</x:v>
      </x:c>
      <x:c r="AG58" s="82" t="str">
        <x:v>现代综合</x:v>
      </x:c>
      <x:c r="AH58" s="68" t="str">
        <x:v>流通判断以五行有效力量、生克顺序与十神功能为核心；古典依据可参照《滴天髓》《渊海子平》。 https://zh.wikisource.org/wiki/%E6%BB%B4%E5%A4%A9%E9%AB%93%E9%97%A1%E5%BE%AE https://zh.wikisource.org/zh-hans/%E6%B7%B5%E6%B5%B7%E5%AD%90%E5%B9%B3</x:v>
      </x:c>
      <x:c r="AI58" s="68" t="str">
        <x:v>当“桥梁有效力量不足以同时服务多条高强度路径”真实成立，且桥梁具备有效力量和连续作用条件时，可按“共享桥梁过载会形成路径竞争”记录。</x:v>
      </x:c>
      <x:c r="AJ58" s="90" t="str">
        <x:v>仅见表面缺失或五行相克，但未证明“桥梁有效力量不足以同时服务多条高强度路径”形成实际阻断时，不得套用“共享桥梁过载会形成路径竞争”。</x:v>
      </x:c>
      <x:c r="AK58" s="82" t="str">
        <x:v>采用</x:v>
      </x:c>
      <x:c r="AL58" s="82" t="str">
        <x:v>初审</x:v>
      </x:c>
      <x:c r="AM58" s="87" t="n">
        <x:v>46255</x:v>
      </x:c>
    </x:row>
    <x:row r="59">
      <x:c r="A59" s="72" t="str">
        <x:f>IF(OR(C59="",D59=""),"",B59&amp;"-"&amp;UPPER(C59)&amp;"-"&amp;TEXT(D59,"0000")&amp;"-"&amp;E59)</x:f>
        <x:v>M12-BLOCK-0053-V1.0</x:v>
      </x:c>
      <x:c r="B59" s="74" t="str">
        <x:v>M12</x:v>
      </x:c>
      <x:c r="C59" s="74" t="str">
        <x:v>BLOCK</x:v>
      </x:c>
      <x:c r="D59" s="215" t="n">
        <x:v>53</x:v>
      </x:c>
      <x:c r="E59" s="74" t="str">
        <x:v>V1.0</x:v>
      </x:c>
      <x:c r="F59" s="68" t="str">
        <x:v>一处卡点被修复后可能暴露下一处次级卡点</x:v>
      </x:c>
      <x:c r="G59" s="82" t="str">
        <x:v>结构层</x:v>
      </x:c>
      <x:c r="H59" s="68" t="str">
        <x:v>五行生化路径</x:v>
      </x:c>
      <x:c r="I59" s="68" t="str">
        <x:v>修复后的源头</x:v>
      </x:c>
      <x:c r="J59" s="68" t="str">
        <x:v>已恢复桥梁</x:v>
      </x:c>
      <x:c r="K59" s="68" t="str">
        <x:v>下一弱节点</x:v>
      </x:c>
      <x:c r="L59" s="82" t="str">
        <x:v>待定</x:v>
      </x:c>
      <x:c r="M59" s="82" t="str">
        <x:v>待定</x:v>
      </x:c>
      <x:c r="N59" s="68" t="str">
        <x:v>待定</x:v>
      </x:c>
      <x:c r="O59" s="68" t="str">
        <x:v>待定</x:v>
      </x:c>
      <x:c r="P59" s="68" t="str">
        <x:v>待定</x:v>
      </x:c>
      <x:c r="Q59" s="82" t="str">
        <x:v>基本通畅</x:v>
      </x:c>
      <x:c r="R59" s="82" t="str">
        <x:v>其他</x:v>
      </x:c>
      <x:c r="S59" s="68" t="str">
        <x:v>下游次级节点</x:v>
      </x:c>
      <x:c r="T59" s="68" t="str">
        <x:v>原第一卡点消失后，力量继续向下游传递并暴露新的承载不足</x:v>
      </x:c>
      <x:c r="U59" s="68" t="str">
        <x:v>待定</x:v>
      </x:c>
      <x:c r="V59" s="68" t="str">
        <x:v>待定</x:v>
      </x:c>
      <x:c r="W59" s="90" t="str">
        <x:v>需检查对调候、格局、日主承载及其他通路的副作用</x:v>
      </x:c>
      <x:c r="X59" s="68" t="str">
        <x:v>M06关系效应、M08五行有效旺衰、M10十神功能与M11组合判断已完成</x:v>
      </x:c>
      <x:c r="Y59" s="68" t="str">
        <x:v>起点、桥梁、终点均按有效力量与实际作用路径判断</x:v>
      </x:c>
      <x:c r="Z59" s="68" t="str">
        <x:v>桥梁有根有源、透达、位置可达且不存在关键制约</x:v>
      </x:c>
      <x:c r="AA59" s="68" t="str">
        <x:v>桥梁失令、无根、受克、合绊、改性或同时被多路调用</x:v>
      </x:c>
      <x:c r="AB59" s="90" t="str">
        <x:v>不得仅因五行缺失、数量少或关系名称直接认定卡点或通关用神</x:v>
      </x:c>
      <x:c r="AC59" s="68" t="str">
        <x:v>若存在更短、更强或副作用更小的替代路径，应并列比较后再裁定</x:v>
      </x:c>
      <x:c r="AD59" s="84" t="str">
        <x:v>卡点递进</x:v>
      </x:c>
      <x:c r="AE59" s="84" t="str">
        <x:v>一处卡点被修复后可能暴露下一处次级卡点：按起点—桥梁—终点检查有效力量、连续性与承载；卡点为“其他”时，仅生成通关候选，不直接定用神。</x:v>
      </x:c>
      <x:c r="AF59" s="82" t="str">
        <x:v>较高</x:v>
      </x:c>
      <x:c r="AG59" s="82" t="str">
        <x:v>现代综合</x:v>
      </x:c>
      <x:c r="AH59" s="68" t="str">
        <x:v>流通判断以五行有效力量、生克顺序与十神功能为核心；古典依据可参照《滴天髓》《渊海子平》。 https://zh.wikisource.org/wiki/%E6%BB%B4%E5%A4%A9%E9%AB%93%E9%97%A1%E5%BE%AE https://zh.wikisource.org/zh-hans/%E6%B7%B5%E6%B5%B7%E5%AD%90%E5%B9%B3</x:v>
      </x:c>
      <x:c r="AI59" s="68" t="str">
        <x:v>当“原第一卡点消失后，力量继续向下游传递并暴露新的承载不足”真实成立，且桥梁具备有效力量和连续作用条件时，可按“一处卡点被修复后可能暴露下一处次级卡点”记录。</x:v>
      </x:c>
      <x:c r="AJ59" s="90" t="str">
        <x:v>仅见表面缺失或五行相克，但未证明“原第一卡点消失后，力量继续向下游传递并暴露新的承载不足”形成实际阻断时，不得套用“一处卡点被修复后可能暴露下一处次级卡点”。</x:v>
      </x:c>
      <x:c r="AK59" s="82" t="str">
        <x:v>采用</x:v>
      </x:c>
      <x:c r="AL59" s="82" t="str">
        <x:v>初审</x:v>
      </x:c>
      <x:c r="AM59" s="87" t="n">
        <x:v>46255</x:v>
      </x:c>
    </x:row>
    <x:row r="60">
      <x:c r="A60" s="72" t="str">
        <x:f>IF(OR(C60="",D60=""),"",B60&amp;"-"&amp;UPPER(C60)&amp;"-"&amp;TEXT(D60,"0000")&amp;"-"&amp;E60)</x:f>
        <x:v>M12-BLOCK-0054-V1.0</x:v>
      </x:c>
      <x:c r="B60" s="74" t="str">
        <x:v>M12</x:v>
      </x:c>
      <x:c r="C60" s="74" t="str">
        <x:v>BLOCK</x:v>
      </x:c>
      <x:c r="D60" s="215" t="n">
        <x:v>54</x:v>
      </x:c>
      <x:c r="E60" s="74" t="str">
        <x:v>V1.0</x:v>
      </x:c>
      <x:c r="F60" s="68" t="str">
        <x:v>同一原局可同时存在多个卡点但需排序主次</x:v>
      </x:c>
      <x:c r="G60" s="82" t="str">
        <x:v>结构层</x:v>
      </x:c>
      <x:c r="H60" s="68" t="str">
        <x:v>五行生化路径</x:v>
      </x:c>
      <x:c r="I60" s="68" t="str">
        <x:v>多个源头</x:v>
      </x:c>
      <x:c r="J60" s="68" t="str">
        <x:v>多个桥梁</x:v>
      </x:c>
      <x:c r="K60" s="68" t="str">
        <x:v>多个终点</x:v>
      </x:c>
      <x:c r="L60" s="82" t="str">
        <x:v>待定</x:v>
      </x:c>
      <x:c r="M60" s="82" t="str">
        <x:v>待定</x:v>
      </x:c>
      <x:c r="N60" s="68" t="str">
        <x:v>待定</x:v>
      </x:c>
      <x:c r="O60" s="68" t="str">
        <x:v>待定</x:v>
      </x:c>
      <x:c r="P60" s="68" t="str">
        <x:v>待定</x:v>
      </x:c>
      <x:c r="Q60" s="82" t="str">
        <x:v>局部阻塞</x:v>
      </x:c>
      <x:c r="R60" s="82" t="str">
        <x:v>其他</x:v>
      </x:c>
      <x:c r="S60" s="68" t="str">
        <x:v>多处</x:v>
      </x:c>
      <x:c r="T60" s="68" t="str">
        <x:v>多条关键路径分别存在阻断，严重度和影响范围不同</x:v>
      </x:c>
      <x:c r="U60" s="68" t="str">
        <x:v>待定</x:v>
      </x:c>
      <x:c r="V60" s="68" t="str">
        <x:v>待定</x:v>
      </x:c>
      <x:c r="W60" s="90" t="str">
        <x:v>需检查对调候、格局、日主承载及其他通路的副作用</x:v>
      </x:c>
      <x:c r="X60" s="68" t="str">
        <x:v>M06关系效应、M08五行有效旺衰、M10十神功能与M11组合判断已完成</x:v>
      </x:c>
      <x:c r="Y60" s="68" t="str">
        <x:v>起点、桥梁、终点均按有效力量与实际作用路径判断</x:v>
      </x:c>
      <x:c r="Z60" s="68" t="str">
        <x:v>桥梁有根有源、透达、位置可达且不存在关键制约</x:v>
      </x:c>
      <x:c r="AA60" s="68" t="str">
        <x:v>桥梁失令、无根、受克、合绊、改性或同时被多路调用</x:v>
      </x:c>
      <x:c r="AB60" s="90" t="str">
        <x:v>不得仅因五行缺失、数量少或关系名称直接认定卡点或通关用神</x:v>
      </x:c>
      <x:c r="AC60" s="68" t="str">
        <x:v>若存在更短、更强或副作用更小的替代路径，应并列比较后再裁定</x:v>
      </x:c>
      <x:c r="AD60" s="84" t="str">
        <x:v>多卡点排序</x:v>
      </x:c>
      <x:c r="AE60" s="84" t="str">
        <x:v>存在多个卡点时，应按影响范围、阻断强度、是否涉及主导组合及可修复性排序为主卡点、次卡点，不做简单数量相加。</x:v>
      </x:c>
      <x:c r="AF60" s="82" t="str">
        <x:v>较高</x:v>
      </x:c>
      <x:c r="AG60" s="82" t="str">
        <x:v>现代综合</x:v>
      </x:c>
      <x:c r="AH60" s="68" t="str">
        <x:v>流通判断以五行有效力量、生克顺序与十神功能为核心；古典依据可参照《滴天髓》《渊海子平》。 https://zh.wikisource.org/wiki/%E6%BB%B4%E5%A4%A9%E9%AB%93%E9%97%A1%E5%BE%AE https://zh.wikisource.org/zh-hans/%E6%B7%B5%E6%B5%B7%E5%AD%90%E5%B9%B3</x:v>
      </x:c>
      <x:c r="AI60" s="68" t="str">
        <x:v>当“多条关键路径分别存在阻断，严重度和影响范围不同”真实成立，且桥梁具备有效力量和连续作用条件时，可按“同一原局可同时存在多个卡点但需排序主次”记录。</x:v>
      </x:c>
      <x:c r="AJ60" s="90" t="str">
        <x:v>仅见表面缺失或五行相克，但未证明“多条关键路径分别存在阻断，严重度和影响范围不同”形成实际阻断时，不得套用“同一原局可同时存在多个卡点但需排序主次”。</x:v>
      </x:c>
      <x:c r="AK60" s="82" t="str">
        <x:v>采用</x:v>
      </x:c>
      <x:c r="AL60" s="82" t="str">
        <x:v>初审</x:v>
      </x:c>
      <x:c r="AM60" s="87" t="n">
        <x:v>46255</x:v>
      </x:c>
    </x:row>
    <x:row r="61">
      <x:c r="A61" s="72" t="str">
        <x:f>IF(OR(C61="",D61=""),"",B61&amp;"-"&amp;UPPER(C61)&amp;"-"&amp;TEXT(D61,"0000")&amp;"-"&amp;E61)</x:f>
        <x:v>M12-WUXING-0055-V1.0</x:v>
      </x:c>
      <x:c r="B61" s="74" t="str">
        <x:v>M12</x:v>
      </x:c>
      <x:c r="C61" s="74" t="str">
        <x:v>WUXING</x:v>
      </x:c>
      <x:c r="D61" s="215" t="n">
        <x:v>55</x:v>
      </x:c>
      <x:c r="E61" s="74" t="str">
        <x:v>V1.0</x:v>
      </x:c>
      <x:c r="F61" s="68" t="str">
        <x:v>金水木连续生化</x:v>
      </x:c>
      <x:c r="G61" s="82" t="str">
        <x:v>结构层</x:v>
      </x:c>
      <x:c r="H61" s="68" t="str">
        <x:v>五行生化路径</x:v>
      </x:c>
      <x:c r="I61" s="68" t="str">
        <x:v>金</x:v>
      </x:c>
      <x:c r="J61" s="68" t="str">
        <x:v>水</x:v>
      </x:c>
      <x:c r="K61" s="68" t="str">
        <x:v>木</x:v>
      </x:c>
      <x:c r="L61" s="82" t="str">
        <x:v>待定</x:v>
      </x:c>
      <x:c r="M61" s="82" t="str">
        <x:v>待定</x:v>
      </x:c>
      <x:c r="N61" s="68" t="str">
        <x:v>待定</x:v>
      </x:c>
      <x:c r="O61" s="68" t="str">
        <x:v>待定</x:v>
      </x:c>
      <x:c r="P61" s="68" t="str">
        <x:v>待定</x:v>
      </x:c>
      <x:c r="Q61" s="82" t="str">
        <x:v>通畅</x:v>
      </x:c>
      <x:c r="R61" s="82" t="str">
        <x:v>其他</x:v>
      </x:c>
      <x:c r="S61" s="68" t="str">
        <x:v>待定</x:v>
      </x:c>
      <x:c r="T61" s="68" t="str">
        <x:v>金能生水，且水能够继续生木</x:v>
      </x:c>
      <x:c r="U61" s="68" t="str">
        <x:v>水</x:v>
      </x:c>
      <x:c r="V61" s="68" t="str">
        <x:v>水必须自身有效且不被关键克合阻断</x:v>
      </x:c>
      <x:c r="W61" s="90" t="str">
        <x:v>需检查对调候、格局、日主承载及其他通路的副作用</x:v>
      </x:c>
      <x:c r="X61" s="68" t="str">
        <x:v>M06关系效应、M08五行有效旺衰、M10十神功能与M11组合判断已完成</x:v>
      </x:c>
      <x:c r="Y61" s="68" t="str">
        <x:v>起点、桥梁、终点均按有效力量与实际作用路径判断</x:v>
      </x:c>
      <x:c r="Z61" s="68" t="str">
        <x:v>桥梁有根有源、透达、位置可达且不存在关键制约</x:v>
      </x:c>
      <x:c r="AA61" s="68" t="str">
        <x:v>桥梁失令、无根、受克、合绊、改性或同时被多路调用</x:v>
      </x:c>
      <x:c r="AB61" s="90" t="str">
        <x:v>不得仅因五行缺失、数量少或关系名称直接认定卡点或通关用神</x:v>
      </x:c>
      <x:c r="AC61" s="68" t="str">
        <x:v>若存在更短、更强或副作用更小的替代路径，应并列比较后再裁定</x:v>
      </x:c>
      <x:c r="AD61" s="84" t="str">
        <x:v>金水木_生化链</x:v>
      </x:c>
      <x:c r="AE61" s="84" t="str">
        <x:v>金水木连续生化：按起点—桥梁—终点检查有效力量、连续性与承载；卡点为“其他”时，仅生成通关候选，不直接定用神。</x:v>
      </x:c>
      <x:c r="AF61" s="82" t="str">
        <x:v>较高</x:v>
      </x:c>
      <x:c r="AG61" s="82" t="str">
        <x:v>现代综合</x:v>
      </x:c>
      <x:c r="AH61" s="68" t="str">
        <x:v>流通判断以五行有效力量、生克顺序与十神功能为核心；古典依据可参照《滴天髓》《渊海子平》。 https://zh.wikisource.org/wiki/%E6%BB%B4%E5%A4%A9%E9%AB%93%E9%97%A1%E5%BE%AE https://zh.wikisource.org/zh-hans/%E6%B7%B5%E6%B5%B7%E5%AD%90%E5%B9%B3</x:v>
      </x:c>
      <x:c r="AI61" s="68" t="str">
        <x:v>当“金能生水，且水能够继续生木”真实成立，且桥梁具备有效力量和连续作用条件时，可按“金水木连续生化”记录。</x:v>
      </x:c>
      <x:c r="AJ61" s="90" t="str">
        <x:v>仅见表面缺失或五行相克，但未证明“金能生水，且水能够继续生木”形成实际阻断时，不得套用“金水木连续生化”。</x:v>
      </x:c>
      <x:c r="AK61" s="82" t="str">
        <x:v>采用</x:v>
      </x:c>
      <x:c r="AL61" s="82" t="str">
        <x:v>初审</x:v>
      </x:c>
      <x:c r="AM61" s="87" t="n">
        <x:v>46255</x:v>
      </x:c>
    </x:row>
    <x:row r="62">
      <x:c r="A62" s="72" t="str">
        <x:f>IF(OR(C62="",D62=""),"",B62&amp;"-"&amp;UPPER(C62)&amp;"-"&amp;TEXT(D62,"0000")&amp;"-"&amp;E62)</x:f>
        <x:v>M12-WUXING-0056-V1.0</x:v>
      </x:c>
      <x:c r="B62" s="74" t="str">
        <x:v>M12</x:v>
      </x:c>
      <x:c r="C62" s="74" t="str">
        <x:v>WUXING</x:v>
      </x:c>
      <x:c r="D62" s="215" t="n">
        <x:v>56</x:v>
      </x:c>
      <x:c r="E62" s="74" t="str">
        <x:v>V1.0</x:v>
      </x:c>
      <x:c r="F62" s="68" t="str">
        <x:v>水木火连续生化</x:v>
      </x:c>
      <x:c r="G62" s="82" t="str">
        <x:v>结构层</x:v>
      </x:c>
      <x:c r="H62" s="68" t="str">
        <x:v>五行生化路径</x:v>
      </x:c>
      <x:c r="I62" s="68" t="str">
        <x:v>水</x:v>
      </x:c>
      <x:c r="J62" s="68" t="str">
        <x:v>木</x:v>
      </x:c>
      <x:c r="K62" s="68" t="str">
        <x:v>火</x:v>
      </x:c>
      <x:c r="L62" s="82" t="str">
        <x:v>待定</x:v>
      </x:c>
      <x:c r="M62" s="82" t="str">
        <x:v>待定</x:v>
      </x:c>
      <x:c r="N62" s="68" t="str">
        <x:v>待定</x:v>
      </x:c>
      <x:c r="O62" s="68" t="str">
        <x:v>待定</x:v>
      </x:c>
      <x:c r="P62" s="68" t="str">
        <x:v>待定</x:v>
      </x:c>
      <x:c r="Q62" s="82" t="str">
        <x:v>通畅</x:v>
      </x:c>
      <x:c r="R62" s="82" t="str">
        <x:v>其他</x:v>
      </x:c>
      <x:c r="S62" s="68" t="str">
        <x:v>待定</x:v>
      </x:c>
      <x:c r="T62" s="68" t="str">
        <x:v>水能生木，且木能够继续生火</x:v>
      </x:c>
      <x:c r="U62" s="68" t="str">
        <x:v>木</x:v>
      </x:c>
      <x:c r="V62" s="68" t="str">
        <x:v>木必须自身有效且不被关键克合阻断</x:v>
      </x:c>
      <x:c r="W62" s="90" t="str">
        <x:v>需检查对调候、格局、日主承载及其他通路的副作用</x:v>
      </x:c>
      <x:c r="X62" s="68" t="str">
        <x:v>M06关系效应、M08五行有效旺衰、M10十神功能与M11组合判断已完成</x:v>
      </x:c>
      <x:c r="Y62" s="68" t="str">
        <x:v>起点、桥梁、终点均按有效力量与实际作用路径判断</x:v>
      </x:c>
      <x:c r="Z62" s="68" t="str">
        <x:v>桥梁有根有源、透达、位置可达且不存在关键制约</x:v>
      </x:c>
      <x:c r="AA62" s="68" t="str">
        <x:v>桥梁失令、无根、受克、合绊、改性或同时被多路调用</x:v>
      </x:c>
      <x:c r="AB62" s="90" t="str">
        <x:v>不得仅因五行缺失、数量少或关系名称直接认定卡点或通关用神</x:v>
      </x:c>
      <x:c r="AC62" s="68" t="str">
        <x:v>若存在更短、更强或副作用更小的替代路径，应并列比较后再裁定</x:v>
      </x:c>
      <x:c r="AD62" s="84" t="str">
        <x:v>水木火_生化链</x:v>
      </x:c>
      <x:c r="AE62" s="84" t="str">
        <x:v>水木火连续生化：按起点—桥梁—终点检查有效力量、连续性与承载；卡点为“其他”时，仅生成通关候选，不直接定用神。</x:v>
      </x:c>
      <x:c r="AF62" s="82" t="str">
        <x:v>较高</x:v>
      </x:c>
      <x:c r="AG62" s="82" t="str">
        <x:v>现代综合</x:v>
      </x:c>
      <x:c r="AH62" s="68" t="str">
        <x:v>流通判断以五行有效力量、生克顺序与十神功能为核心；古典依据可参照《滴天髓》《渊海子平》。 https://zh.wikisource.org/wiki/%E6%BB%B4%E5%A4%A9%E9%AB%93%E9%97%A1%E5%BE%AE https://zh.wikisource.org/zh-hans/%E6%B7%B5%E6%B5%B7%E5%AD%90%E5%B9%B3</x:v>
      </x:c>
      <x:c r="AI62" s="68" t="str">
        <x:v>当“水能生木，且木能够继续生火”真实成立，且桥梁具备有效力量和连续作用条件时，可按“水木火连续生化”记录。</x:v>
      </x:c>
      <x:c r="AJ62" s="90" t="str">
        <x:v>仅见表面缺失或五行相克，但未证明“水能生木，且木能够继续生火”形成实际阻断时，不得套用“水木火连续生化”。</x:v>
      </x:c>
      <x:c r="AK62" s="82" t="str">
        <x:v>采用</x:v>
      </x:c>
      <x:c r="AL62" s="82" t="str">
        <x:v>初审</x:v>
      </x:c>
      <x:c r="AM62" s="87" t="n">
        <x:v>46255</x:v>
      </x:c>
    </x:row>
    <x:row r="63">
      <x:c r="A63" s="72" t="str">
        <x:f>IF(OR(C63="",D63=""),"",B63&amp;"-"&amp;UPPER(C63)&amp;"-"&amp;TEXT(D63,"0000")&amp;"-"&amp;E63)</x:f>
        <x:v>M12-WUXING-0057-V1.0</x:v>
      </x:c>
      <x:c r="B63" s="74" t="str">
        <x:v>M12</x:v>
      </x:c>
      <x:c r="C63" s="74" t="str">
        <x:v>WUXING</x:v>
      </x:c>
      <x:c r="D63" s="215" t="n">
        <x:v>57</x:v>
      </x:c>
      <x:c r="E63" s="74" t="str">
        <x:v>V1.0</x:v>
      </x:c>
      <x:c r="F63" s="68" t="str">
        <x:v>木火土连续生化</x:v>
      </x:c>
      <x:c r="G63" s="82" t="str">
        <x:v>结构层</x:v>
      </x:c>
      <x:c r="H63" s="68" t="str">
        <x:v>五行生化路径</x:v>
      </x:c>
      <x:c r="I63" s="68" t="str">
        <x:v>木</x:v>
      </x:c>
      <x:c r="J63" s="68" t="str">
        <x:v>火</x:v>
      </x:c>
      <x:c r="K63" s="68" t="str">
        <x:v>土</x:v>
      </x:c>
      <x:c r="L63" s="82" t="str">
        <x:v>待定</x:v>
      </x:c>
      <x:c r="M63" s="82" t="str">
        <x:v>待定</x:v>
      </x:c>
      <x:c r="N63" s="68" t="str">
        <x:v>待定</x:v>
      </x:c>
      <x:c r="O63" s="68" t="str">
        <x:v>待定</x:v>
      </x:c>
      <x:c r="P63" s="68" t="str">
        <x:v>待定</x:v>
      </x:c>
      <x:c r="Q63" s="82" t="str">
        <x:v>通畅</x:v>
      </x:c>
      <x:c r="R63" s="82" t="str">
        <x:v>其他</x:v>
      </x:c>
      <x:c r="S63" s="68" t="str">
        <x:v>待定</x:v>
      </x:c>
      <x:c r="T63" s="68" t="str">
        <x:v>木能生火，且火能够继续生土</x:v>
      </x:c>
      <x:c r="U63" s="68" t="str">
        <x:v>火</x:v>
      </x:c>
      <x:c r="V63" s="68" t="str">
        <x:v>火必须自身有效且不被关键克合阻断</x:v>
      </x:c>
      <x:c r="W63" s="90" t="str">
        <x:v>需检查对调候、格局、日主承载及其他通路的副作用</x:v>
      </x:c>
      <x:c r="X63" s="68" t="str">
        <x:v>M06关系效应、M08五行有效旺衰、M10十神功能与M11组合判断已完成</x:v>
      </x:c>
      <x:c r="Y63" s="68" t="str">
        <x:v>起点、桥梁、终点均按有效力量与实际作用路径判断</x:v>
      </x:c>
      <x:c r="Z63" s="68" t="str">
        <x:v>桥梁有根有源、透达、位置可达且不存在关键制约</x:v>
      </x:c>
      <x:c r="AA63" s="68" t="str">
        <x:v>桥梁失令、无根、受克、合绊、改性或同时被多路调用</x:v>
      </x:c>
      <x:c r="AB63" s="90" t="str">
        <x:v>不得仅因五行缺失、数量少或关系名称直接认定卡点或通关用神</x:v>
      </x:c>
      <x:c r="AC63" s="68" t="str">
        <x:v>若存在更短、更强或副作用更小的替代路径，应并列比较后再裁定</x:v>
      </x:c>
      <x:c r="AD63" s="84" t="str">
        <x:v>木火土_生化链</x:v>
      </x:c>
      <x:c r="AE63" s="84" t="str">
        <x:v>木火土连续生化：按起点—桥梁—终点检查有效力量、连续性与承载；卡点为“其他”时，仅生成通关候选，不直接定用神。</x:v>
      </x:c>
      <x:c r="AF63" s="82" t="str">
        <x:v>较高</x:v>
      </x:c>
      <x:c r="AG63" s="82" t="str">
        <x:v>现代综合</x:v>
      </x:c>
      <x:c r="AH63" s="68" t="str">
        <x:v>流通判断以五行有效力量、生克顺序与十神功能为核心；古典依据可参照《滴天髓》《渊海子平》。 https://zh.wikisource.org/wiki/%E6%BB%B4%E5%A4%A9%E9%AB%93%E9%97%A1%E5%BE%AE https://zh.wikisource.org/zh-hans/%E6%B7%B5%E6%B5%B7%E5%AD%90%E5%B9%B3</x:v>
      </x:c>
      <x:c r="AI63" s="68" t="str">
        <x:v>当“木能生火，且火能够继续生土”真实成立，且桥梁具备有效力量和连续作用条件时，可按“木火土连续生化”记录。</x:v>
      </x:c>
      <x:c r="AJ63" s="90" t="str">
        <x:v>仅见表面缺失或五行相克，但未证明“木能生火，且火能够继续生土”形成实际阻断时，不得套用“木火土连续生化”。</x:v>
      </x:c>
      <x:c r="AK63" s="82" t="str">
        <x:v>采用</x:v>
      </x:c>
      <x:c r="AL63" s="82" t="str">
        <x:v>初审</x:v>
      </x:c>
      <x:c r="AM63" s="87" t="n">
        <x:v>46255</x:v>
      </x:c>
    </x:row>
    <x:row r="64">
      <x:c r="A64" s="72" t="str">
        <x:f>IF(OR(C64="",D64=""),"",B64&amp;"-"&amp;UPPER(C64)&amp;"-"&amp;TEXT(D64,"0000")&amp;"-"&amp;E64)</x:f>
        <x:v>M12-WUXING-0058-V1.0</x:v>
      </x:c>
      <x:c r="B64" s="74" t="str">
        <x:v>M12</x:v>
      </x:c>
      <x:c r="C64" s="74" t="str">
        <x:v>WUXING</x:v>
      </x:c>
      <x:c r="D64" s="215" t="n">
        <x:v>58</x:v>
      </x:c>
      <x:c r="E64" s="74" t="str">
        <x:v>V1.0</x:v>
      </x:c>
      <x:c r="F64" s="68" t="str">
        <x:v>火土金连续生化</x:v>
      </x:c>
      <x:c r="G64" s="82" t="str">
        <x:v>结构层</x:v>
      </x:c>
      <x:c r="H64" s="68" t="str">
        <x:v>五行生化路径</x:v>
      </x:c>
      <x:c r="I64" s="68" t="str">
        <x:v>火</x:v>
      </x:c>
      <x:c r="J64" s="68" t="str">
        <x:v>土</x:v>
      </x:c>
      <x:c r="K64" s="68" t="str">
        <x:v>金</x:v>
      </x:c>
      <x:c r="L64" s="82" t="str">
        <x:v>待定</x:v>
      </x:c>
      <x:c r="M64" s="82" t="str">
        <x:v>待定</x:v>
      </x:c>
      <x:c r="N64" s="68" t="str">
        <x:v>待定</x:v>
      </x:c>
      <x:c r="O64" s="68" t="str">
        <x:v>待定</x:v>
      </x:c>
      <x:c r="P64" s="68" t="str">
        <x:v>待定</x:v>
      </x:c>
      <x:c r="Q64" s="82" t="str">
        <x:v>通畅</x:v>
      </x:c>
      <x:c r="R64" s="82" t="str">
        <x:v>其他</x:v>
      </x:c>
      <x:c r="S64" s="68" t="str">
        <x:v>待定</x:v>
      </x:c>
      <x:c r="T64" s="68" t="str">
        <x:v>火能生土，且土能够继续生金</x:v>
      </x:c>
      <x:c r="U64" s="68" t="str">
        <x:v>土</x:v>
      </x:c>
      <x:c r="V64" s="68" t="str">
        <x:v>土必须自身有效且不被关键克合阻断</x:v>
      </x:c>
      <x:c r="W64" s="90" t="str">
        <x:v>需检查对调候、格局、日主承载及其他通路的副作用</x:v>
      </x:c>
      <x:c r="X64" s="68" t="str">
        <x:v>M06关系效应、M08五行有效旺衰、M10十神功能与M11组合判断已完成</x:v>
      </x:c>
      <x:c r="Y64" s="68" t="str">
        <x:v>起点、桥梁、终点均按有效力量与实际作用路径判断</x:v>
      </x:c>
      <x:c r="Z64" s="68" t="str">
        <x:v>桥梁有根有源、透达、位置可达且不存在关键制约</x:v>
      </x:c>
      <x:c r="AA64" s="68" t="str">
        <x:v>桥梁失令、无根、受克、合绊、改性或同时被多路调用</x:v>
      </x:c>
      <x:c r="AB64" s="90" t="str">
        <x:v>不得仅因五行缺失、数量少或关系名称直接认定卡点或通关用神</x:v>
      </x:c>
      <x:c r="AC64" s="68" t="str">
        <x:v>若存在更短、更强或副作用更小的替代路径，应并列比较后再裁定</x:v>
      </x:c>
      <x:c r="AD64" s="84" t="str">
        <x:v>火土金_生化链</x:v>
      </x:c>
      <x:c r="AE64" s="84" t="str">
        <x:v>火土金连续生化：按起点—桥梁—终点检查有效力量、连续性与承载；卡点为“其他”时，仅生成通关候选，不直接定用神。</x:v>
      </x:c>
      <x:c r="AF64" s="82" t="str">
        <x:v>较高</x:v>
      </x:c>
      <x:c r="AG64" s="82" t="str">
        <x:v>现代综合</x:v>
      </x:c>
      <x:c r="AH64" s="68" t="str">
        <x:v>流通判断以五行有效力量、生克顺序与十神功能为核心；古典依据可参照《滴天髓》《渊海子平》。 https://zh.wikisource.org/wiki/%E6%BB%B4%E5%A4%A9%E9%AB%93%E9%97%A1%E5%BE%AE https://zh.wikisource.org/zh-hans/%E6%B7%B5%E6%B5%B7%E5%AD%90%E5%B9%B3</x:v>
      </x:c>
      <x:c r="AI64" s="68" t="str">
        <x:v>当“火能生土，且土能够继续生金”真实成立，且桥梁具备有效力量和连续作用条件时，可按“火土金连续生化”记录。</x:v>
      </x:c>
      <x:c r="AJ64" s="90" t="str">
        <x:v>仅见表面缺失或五行相克，但未证明“火能生土，且土能够继续生金”形成实际阻断时，不得套用“火土金连续生化”。</x:v>
      </x:c>
      <x:c r="AK64" s="82" t="str">
        <x:v>采用</x:v>
      </x:c>
      <x:c r="AL64" s="82" t="str">
        <x:v>初审</x:v>
      </x:c>
      <x:c r="AM64" s="87" t="n">
        <x:v>46255</x:v>
      </x:c>
    </x:row>
    <x:row r="65">
      <x:c r="A65" s="72" t="str">
        <x:f>IF(OR(C65="",D65=""),"",B65&amp;"-"&amp;UPPER(C65)&amp;"-"&amp;TEXT(D65,"0000")&amp;"-"&amp;E65)</x:f>
        <x:v>M12-WUXING-0059-V1.0</x:v>
      </x:c>
      <x:c r="B65" s="74" t="str">
        <x:v>M12</x:v>
      </x:c>
      <x:c r="C65" s="74" t="str">
        <x:v>WUXING</x:v>
      </x:c>
      <x:c r="D65" s="215" t="n">
        <x:v>59</x:v>
      </x:c>
      <x:c r="E65" s="74" t="str">
        <x:v>V1.0</x:v>
      </x:c>
      <x:c r="F65" s="68" t="str">
        <x:v>土金水连续生化</x:v>
      </x:c>
      <x:c r="G65" s="82" t="str">
        <x:v>结构层</x:v>
      </x:c>
      <x:c r="H65" s="68" t="str">
        <x:v>五行生化路径</x:v>
      </x:c>
      <x:c r="I65" s="68" t="str">
        <x:v>土</x:v>
      </x:c>
      <x:c r="J65" s="68" t="str">
        <x:v>金</x:v>
      </x:c>
      <x:c r="K65" s="68" t="str">
        <x:v>水</x:v>
      </x:c>
      <x:c r="L65" s="82" t="str">
        <x:v>待定</x:v>
      </x:c>
      <x:c r="M65" s="82" t="str">
        <x:v>待定</x:v>
      </x:c>
      <x:c r="N65" s="68" t="str">
        <x:v>待定</x:v>
      </x:c>
      <x:c r="O65" s="68" t="str">
        <x:v>待定</x:v>
      </x:c>
      <x:c r="P65" s="68" t="str">
        <x:v>待定</x:v>
      </x:c>
      <x:c r="Q65" s="82" t="str">
        <x:v>通畅</x:v>
      </x:c>
      <x:c r="R65" s="82" t="str">
        <x:v>其他</x:v>
      </x:c>
      <x:c r="S65" s="68" t="str">
        <x:v>待定</x:v>
      </x:c>
      <x:c r="T65" s="68" t="str">
        <x:v>土能生金，且金能够继续生水</x:v>
      </x:c>
      <x:c r="U65" s="68" t="str">
        <x:v>金</x:v>
      </x:c>
      <x:c r="V65" s="68" t="str">
        <x:v>金必须自身有效且不被关键克合阻断</x:v>
      </x:c>
      <x:c r="W65" s="90" t="str">
        <x:v>需检查对调候、格局、日主承载及其他通路的副作用</x:v>
      </x:c>
      <x:c r="X65" s="68" t="str">
        <x:v>M06关系效应、M08五行有效旺衰、M10十神功能与M11组合判断已完成</x:v>
      </x:c>
      <x:c r="Y65" s="68" t="str">
        <x:v>起点、桥梁、终点均按有效力量与实际作用路径判断</x:v>
      </x:c>
      <x:c r="Z65" s="68" t="str">
        <x:v>桥梁有根有源、透达、位置可达且不存在关键制约</x:v>
      </x:c>
      <x:c r="AA65" s="68" t="str">
        <x:v>桥梁失令、无根、受克、合绊、改性或同时被多路调用</x:v>
      </x:c>
      <x:c r="AB65" s="90" t="str">
        <x:v>不得仅因五行缺失、数量少或关系名称直接认定卡点或通关用神</x:v>
      </x:c>
      <x:c r="AC65" s="68" t="str">
        <x:v>若存在更短、更强或副作用更小的替代路径，应并列比较后再裁定</x:v>
      </x:c>
      <x:c r="AD65" s="84" t="str">
        <x:v>土金水_生化链</x:v>
      </x:c>
      <x:c r="AE65" s="84" t="str">
        <x:v>土金水连续生化：按起点—桥梁—终点检查有效力量、连续性与承载；卡点为“其他”时，仅生成通关候选，不直接定用神。</x:v>
      </x:c>
      <x:c r="AF65" s="82" t="str">
        <x:v>较高</x:v>
      </x:c>
      <x:c r="AG65" s="82" t="str">
        <x:v>现代综合</x:v>
      </x:c>
      <x:c r="AH65" s="68" t="str">
        <x:v>流通判断以五行有效力量、生克顺序与十神功能为核心；古典依据可参照《滴天髓》《渊海子平》。 https://zh.wikisource.org/wiki/%E6%BB%B4%E5%A4%A9%E9%AB%93%E9%97%A1%E5%BE%AE https://zh.wikisource.org/zh-hans/%E6%B7%B5%E6%B5%B7%E5%AD%90%E5%B9%B3</x:v>
      </x:c>
      <x:c r="AI65" s="68" t="str">
        <x:v>当“土能生金，且金能够继续生水”真实成立，且桥梁具备有效力量和连续作用条件时，可按“土金水连续生化”记录。</x:v>
      </x:c>
      <x:c r="AJ65" s="90" t="str">
        <x:v>仅见表面缺失或五行相克，但未证明“土能生金，且金能够继续生水”形成实际阻断时，不得套用“土金水连续生化”。</x:v>
      </x:c>
      <x:c r="AK65" s="82" t="str">
        <x:v>采用</x:v>
      </x:c>
      <x:c r="AL65" s="82" t="str">
        <x:v>初审</x:v>
      </x:c>
      <x:c r="AM65" s="87" t="n">
        <x:v>46255</x:v>
      </x:c>
    </x:row>
    <x:row r="66">
      <x:c r="A66" s="72" t="str">
        <x:f>IF(OR(C66="",D66=""),"",B66&amp;"-"&amp;UPPER(C66)&amp;"-"&amp;TEXT(D66,"0000")&amp;"-"&amp;E66)</x:f>
        <x:v>M12-WUXING-0060-V1.0</x:v>
      </x:c>
      <x:c r="B66" s="74" t="str">
        <x:v>M12</x:v>
      </x:c>
      <x:c r="C66" s="74" t="str">
        <x:v>WUXING</x:v>
      </x:c>
      <x:c r="D66" s="215" t="n">
        <x:v>60</x:v>
      </x:c>
      <x:c r="E66" s="74" t="str">
        <x:v>V1.0</x:v>
      </x:c>
      <x:c r="F66" s="68" t="str">
        <x:v>金木相战以水通关</x:v>
      </x:c>
      <x:c r="G66" s="82" t="str">
        <x:v>结构层</x:v>
      </x:c>
      <x:c r="H66" s="68" t="str">
        <x:v>五行克战通关</x:v>
      </x:c>
      <x:c r="I66" s="68" t="str">
        <x:v>金</x:v>
      </x:c>
      <x:c r="J66" s="68" t="str">
        <x:v>水</x:v>
      </x:c>
      <x:c r="K66" s="68" t="str">
        <x:v>木</x:v>
      </x:c>
      <x:c r="L66" s="82" t="str">
        <x:v>旺</x:v>
      </x:c>
      <x:c r="M66" s="82" t="str">
        <x:v>中和</x:v>
      </x:c>
      <x:c r="N66" s="68" t="str">
        <x:v>待定</x:v>
      </x:c>
      <x:c r="O66" s="68" t="str">
        <x:v>木有根有力可承接</x:v>
      </x:c>
      <x:c r="P66" s="68" t="str">
        <x:v>待定</x:v>
      </x:c>
      <x:c r="Q66" s="82" t="str">
        <x:v>基本通畅</x:v>
      </x:c>
      <x:c r="R66" s="82" t="str">
        <x:v>两强相战</x:v>
      </x:c>
      <x:c r="S66" s="68" t="str">
        <x:v>金—木之间</x:v>
      </x:c>
      <x:c r="T66" s="68" t="str">
        <x:v>金与木形成真实两强相战，水既能泄金又能生木</x:v>
      </x:c>
      <x:c r="U66" s="68" t="str">
        <x:v>水</x:v>
      </x:c>
      <x:c r="V66" s="68" t="str">
        <x:v>水需有根有源且不被强制；同时必须确认金木确为主矛盾</x:v>
      </x:c>
      <x:c r="W66" s="90" t="str">
        <x:v>水过强可能改变全局寒暖燥湿、日主旺衰或其他格局结构，需M13/M16/M17复审</x:v>
      </x:c>
      <x:c r="X66" s="68" t="str">
        <x:v>M06关系效应、M08五行有效旺衰、M10十神功能与M11组合判断已完成</x:v>
      </x:c>
      <x:c r="Y66" s="68" t="str">
        <x:v>起点、桥梁、终点均按有效力量与实际作用路径判断</x:v>
      </x:c>
      <x:c r="Z66" s="68" t="str">
        <x:v>桥梁有根有源、透达、位置可达且不存在关键制约</x:v>
      </x:c>
      <x:c r="AA66" s="68" t="str">
        <x:v>桥梁失令、无根、受克、合绊、改性或同时被多路调用</x:v>
      </x:c>
      <x:c r="AB66" s="90" t="str">
        <x:v>不得仅因五行缺失、数量少或关系名称直接认定卡点或通关用神</x:v>
      </x:c>
      <x:c r="AC66" s="68" t="str">
        <x:v>若存在更短、更强或副作用更小的替代路径，应并列比较后再裁定</x:v>
      </x:c>
      <x:c r="AD66" s="84" t="str">
        <x:v>金克木_水通关</x:v>
      </x:c>
      <x:c r="AE66" s="84" t="str">
        <x:v>金木相战以水通关：按起点—桥梁—终点检查有效力量、连续性与承载；卡点为“两强相战”时，仅生成通关候选，不直接定用神。</x:v>
      </x:c>
      <x:c r="AF66" s="82" t="str">
        <x:v>较高</x:v>
      </x:c>
      <x:c r="AG66" s="82" t="str">
        <x:v>现代综合</x:v>
      </x:c>
      <x:c r="AH66" s="68" t="str">
        <x:v>流通判断以五行有效力量、生克顺序与十神功能为核心；古典依据可参照《滴天髓》《渊海子平》。 https://zh.wikisource.org/wiki/%E6%BB%B4%E5%A4%A9%E9%AB%93%E9%97%A1%E5%BE%AE https://zh.wikisource.org/zh-hans/%E6%B7%B5%E6%B5%B7%E5%AD%90%E5%B9%B3</x:v>
      </x:c>
      <x:c r="AI66" s="68" t="str">
        <x:v>当“金与木形成真实两强相战，水既能泄金又能生木”真实成立，且桥梁具备有效力量和连续作用条件时，可按“金木相战以水通关”记录。</x:v>
      </x:c>
      <x:c r="AJ66" s="90" t="str">
        <x:v>仅见表面缺失或五行相克，但未证明“金与木形成真实两强相战，水既能泄金又能生木”形成实际阻断时，不得套用“金木相战以水通关”。</x:v>
      </x:c>
      <x:c r="AK66" s="82" t="str">
        <x:v>采用</x:v>
      </x:c>
      <x:c r="AL66" s="82" t="str">
        <x:v>初审</x:v>
      </x:c>
      <x:c r="AM66" s="87" t="n">
        <x:v>46255</x:v>
      </x:c>
    </x:row>
    <x:row r="67">
      <x:c r="A67" s="72" t="str">
        <x:f>IF(OR(C67="",D67=""),"",B67&amp;"-"&amp;UPPER(C67)&amp;"-"&amp;TEXT(D67,"0000")&amp;"-"&amp;E67)</x:f>
        <x:v>M12-WUXING-0061-V1.0</x:v>
      </x:c>
      <x:c r="B67" s="74" t="str">
        <x:v>M12</x:v>
      </x:c>
      <x:c r="C67" s="74" t="str">
        <x:v>WUXING</x:v>
      </x:c>
      <x:c r="D67" s="215" t="n">
        <x:v>61</x:v>
      </x:c>
      <x:c r="E67" s="74" t="str">
        <x:v>V1.0</x:v>
      </x:c>
      <x:c r="F67" s="68" t="str">
        <x:v>木土相战以火通关</x:v>
      </x:c>
      <x:c r="G67" s="82" t="str">
        <x:v>结构层</x:v>
      </x:c>
      <x:c r="H67" s="68" t="str">
        <x:v>五行克战通关</x:v>
      </x:c>
      <x:c r="I67" s="68" t="str">
        <x:v>木</x:v>
      </x:c>
      <x:c r="J67" s="68" t="str">
        <x:v>火</x:v>
      </x:c>
      <x:c r="K67" s="68" t="str">
        <x:v>土</x:v>
      </x:c>
      <x:c r="L67" s="82" t="str">
        <x:v>旺</x:v>
      </x:c>
      <x:c r="M67" s="82" t="str">
        <x:v>中和</x:v>
      </x:c>
      <x:c r="N67" s="68" t="str">
        <x:v>待定</x:v>
      </x:c>
      <x:c r="O67" s="68" t="str">
        <x:v>土有根有力可承接</x:v>
      </x:c>
      <x:c r="P67" s="68" t="str">
        <x:v>待定</x:v>
      </x:c>
      <x:c r="Q67" s="82" t="str">
        <x:v>基本通畅</x:v>
      </x:c>
      <x:c r="R67" s="82" t="str">
        <x:v>两强相战</x:v>
      </x:c>
      <x:c r="S67" s="68" t="str">
        <x:v>木—土之间</x:v>
      </x:c>
      <x:c r="T67" s="68" t="str">
        <x:v>木与土形成真实两强相战，火既能泄木又能生土</x:v>
      </x:c>
      <x:c r="U67" s="68" t="str">
        <x:v>火</x:v>
      </x:c>
      <x:c r="V67" s="68" t="str">
        <x:v>火需有根有源且不被强制；同时必须确认木土确为主矛盾</x:v>
      </x:c>
      <x:c r="W67" s="90" t="str">
        <x:v>火过强可能改变全局寒暖燥湿、日主旺衰或其他格局结构，需M13/M16/M17复审</x:v>
      </x:c>
      <x:c r="X67" s="68" t="str">
        <x:v>M06关系效应、M08五行有效旺衰、M10十神功能与M11组合判断已完成</x:v>
      </x:c>
      <x:c r="Y67" s="68" t="str">
        <x:v>起点、桥梁、终点均按有效力量与实际作用路径判断</x:v>
      </x:c>
      <x:c r="Z67" s="68" t="str">
        <x:v>桥梁有根有源、透达、位置可达且不存在关键制约</x:v>
      </x:c>
      <x:c r="AA67" s="68" t="str">
        <x:v>桥梁失令、无根、受克、合绊、改性或同时被多路调用</x:v>
      </x:c>
      <x:c r="AB67" s="90" t="str">
        <x:v>不得仅因五行缺失、数量少或关系名称直接认定卡点或通关用神</x:v>
      </x:c>
      <x:c r="AC67" s="68" t="str">
        <x:v>若存在更短、更强或副作用更小的替代路径，应并列比较后再裁定</x:v>
      </x:c>
      <x:c r="AD67" s="84" t="str">
        <x:v>木克土_火通关</x:v>
      </x:c>
      <x:c r="AE67" s="84" t="str">
        <x:v>木土相战以火通关：按起点—桥梁—终点检查有效力量、连续性与承载；卡点为“两强相战”时，仅生成通关候选，不直接定用神。</x:v>
      </x:c>
      <x:c r="AF67" s="82" t="str">
        <x:v>较高</x:v>
      </x:c>
      <x:c r="AG67" s="82" t="str">
        <x:v>现代综合</x:v>
      </x:c>
      <x:c r="AH67" s="68" t="str">
        <x:v>流通判断以五行有效力量、生克顺序与十神功能为核心；古典依据可参照《滴天髓》《渊海子平》。 https://zh.wikisource.org/wiki/%E6%BB%B4%E5%A4%A9%E9%AB%93%E9%97%A1%E5%BE%AE https://zh.wikisource.org/zh-hans/%E6%B7%B5%E6%B5%B7%E5%AD%90%E5%B9%B3</x:v>
      </x:c>
      <x:c r="AI67" s="68" t="str">
        <x:v>当“木与土形成真实两强相战，火既能泄木又能生土”真实成立，且桥梁具备有效力量和连续作用条件时，可按“木土相战以火通关”记录。</x:v>
      </x:c>
      <x:c r="AJ67" s="90" t="str">
        <x:v>仅见表面缺失或五行相克，但未证明“木与土形成真实两强相战，火既能泄木又能生土”形成实际阻断时，不得套用“木土相战以火通关”。</x:v>
      </x:c>
      <x:c r="AK67" s="82" t="str">
        <x:v>采用</x:v>
      </x:c>
      <x:c r="AL67" s="82" t="str">
        <x:v>初审</x:v>
      </x:c>
      <x:c r="AM67" s="87" t="n">
        <x:v>46255</x:v>
      </x:c>
    </x:row>
    <x:row r="68">
      <x:c r="A68" s="72" t="str">
        <x:f>IF(OR(C68="",D68=""),"",B68&amp;"-"&amp;UPPER(C68)&amp;"-"&amp;TEXT(D68,"0000")&amp;"-"&amp;E68)</x:f>
        <x:v>M12-WUXING-0062-V1.0</x:v>
      </x:c>
      <x:c r="B68" s="74" t="str">
        <x:v>M12</x:v>
      </x:c>
      <x:c r="C68" s="74" t="str">
        <x:v>WUXING</x:v>
      </x:c>
      <x:c r="D68" s="215" t="n">
        <x:v>62</x:v>
      </x:c>
      <x:c r="E68" s="74" t="str">
        <x:v>V1.0</x:v>
      </x:c>
      <x:c r="F68" s="68" t="str">
        <x:v>土水相战以金通关</x:v>
      </x:c>
      <x:c r="G68" s="82" t="str">
        <x:v>结构层</x:v>
      </x:c>
      <x:c r="H68" s="68" t="str">
        <x:v>五行克战通关</x:v>
      </x:c>
      <x:c r="I68" s="68" t="str">
        <x:v>土</x:v>
      </x:c>
      <x:c r="J68" s="68" t="str">
        <x:v>金</x:v>
      </x:c>
      <x:c r="K68" s="68" t="str">
        <x:v>水</x:v>
      </x:c>
      <x:c r="L68" s="82" t="str">
        <x:v>旺</x:v>
      </x:c>
      <x:c r="M68" s="82" t="str">
        <x:v>中和</x:v>
      </x:c>
      <x:c r="N68" s="68" t="str">
        <x:v>待定</x:v>
      </x:c>
      <x:c r="O68" s="68" t="str">
        <x:v>水有根有力可承接</x:v>
      </x:c>
      <x:c r="P68" s="68" t="str">
        <x:v>待定</x:v>
      </x:c>
      <x:c r="Q68" s="82" t="str">
        <x:v>基本通畅</x:v>
      </x:c>
      <x:c r="R68" s="82" t="str">
        <x:v>两强相战</x:v>
      </x:c>
      <x:c r="S68" s="68" t="str">
        <x:v>土—水之间</x:v>
      </x:c>
      <x:c r="T68" s="68" t="str">
        <x:v>土与水形成真实两强相战，金既能泄土又能生水</x:v>
      </x:c>
      <x:c r="U68" s="68" t="str">
        <x:v>金</x:v>
      </x:c>
      <x:c r="V68" s="68" t="str">
        <x:v>金需有根有源且不被强制；同时必须确认土水确为主矛盾</x:v>
      </x:c>
      <x:c r="W68" s="90" t="str">
        <x:v>金过强可能改变全局寒暖燥湿、日主旺衰或其他格局结构，需M13/M16/M17复审</x:v>
      </x:c>
      <x:c r="X68" s="68" t="str">
        <x:v>M06关系效应、M08五行有效旺衰、M10十神功能与M11组合判断已完成</x:v>
      </x:c>
      <x:c r="Y68" s="68" t="str">
        <x:v>起点、桥梁、终点均按有效力量与实际作用路径判断</x:v>
      </x:c>
      <x:c r="Z68" s="68" t="str">
        <x:v>桥梁有根有源、透达、位置可达且不存在关键制约</x:v>
      </x:c>
      <x:c r="AA68" s="68" t="str">
        <x:v>桥梁失令、无根、受克、合绊、改性或同时被多路调用</x:v>
      </x:c>
      <x:c r="AB68" s="90" t="str">
        <x:v>不得仅因五行缺失、数量少或关系名称直接认定卡点或通关用神</x:v>
      </x:c>
      <x:c r="AC68" s="68" t="str">
        <x:v>若存在更短、更强或副作用更小的替代路径，应并列比较后再裁定</x:v>
      </x:c>
      <x:c r="AD68" s="84" t="str">
        <x:v>土克水_金通关</x:v>
      </x:c>
      <x:c r="AE68" s="84" t="str">
        <x:v>土水相战以金通关：按起点—桥梁—终点检查有效力量、连续性与承载；卡点为“两强相战”时，仅生成通关候选，不直接定用神。</x:v>
      </x:c>
      <x:c r="AF68" s="82" t="str">
        <x:v>较高</x:v>
      </x:c>
      <x:c r="AG68" s="82" t="str">
        <x:v>现代综合</x:v>
      </x:c>
      <x:c r="AH68" s="68" t="str">
        <x:v>流通判断以五行有效力量、生克顺序与十神功能为核心；古典依据可参照《滴天髓》《渊海子平》。 https://zh.wikisource.org/wiki/%E6%BB%B4%E5%A4%A9%E9%AB%93%E9%97%A1%E5%BE%AE https://zh.wikisource.org/zh-hans/%E6%B7%B5%E6%B5%B7%E5%AD%90%E5%B9%B3</x:v>
      </x:c>
      <x:c r="AI68" s="68" t="str">
        <x:v>当“土与水形成真实两强相战，金既能泄土又能生水”真实成立，且桥梁具备有效力量和连续作用条件时，可按“土水相战以金通关”记录。</x:v>
      </x:c>
      <x:c r="AJ68" s="90" t="str">
        <x:v>仅见表面缺失或五行相克，但未证明“土与水形成真实两强相战，金既能泄土又能生水”形成实际阻断时，不得套用“土水相战以金通关”。</x:v>
      </x:c>
      <x:c r="AK68" s="82" t="str">
        <x:v>采用</x:v>
      </x:c>
      <x:c r="AL68" s="82" t="str">
        <x:v>初审</x:v>
      </x:c>
      <x:c r="AM68" s="87" t="n">
        <x:v>46255</x:v>
      </x:c>
    </x:row>
    <x:row r="69">
      <x:c r="A69" s="72" t="str">
        <x:f>IF(OR(C69="",D69=""),"",B69&amp;"-"&amp;UPPER(C69)&amp;"-"&amp;TEXT(D69,"0000")&amp;"-"&amp;E69)</x:f>
        <x:v>M12-WUXING-0063-V1.0</x:v>
      </x:c>
      <x:c r="B69" s="74" t="str">
        <x:v>M12</x:v>
      </x:c>
      <x:c r="C69" s="74" t="str">
        <x:v>WUXING</x:v>
      </x:c>
      <x:c r="D69" s="215" t="n">
        <x:v>63</x:v>
      </x:c>
      <x:c r="E69" s="74" t="str">
        <x:v>V1.0</x:v>
      </x:c>
      <x:c r="F69" s="68" t="str">
        <x:v>水火相战以木通关</x:v>
      </x:c>
      <x:c r="G69" s="82" t="str">
        <x:v>结构层</x:v>
      </x:c>
      <x:c r="H69" s="68" t="str">
        <x:v>五行克战通关</x:v>
      </x:c>
      <x:c r="I69" s="68" t="str">
        <x:v>水</x:v>
      </x:c>
      <x:c r="J69" s="68" t="str">
        <x:v>木</x:v>
      </x:c>
      <x:c r="K69" s="68" t="str">
        <x:v>火</x:v>
      </x:c>
      <x:c r="L69" s="82" t="str">
        <x:v>旺</x:v>
      </x:c>
      <x:c r="M69" s="82" t="str">
        <x:v>中和</x:v>
      </x:c>
      <x:c r="N69" s="68" t="str">
        <x:v>待定</x:v>
      </x:c>
      <x:c r="O69" s="68" t="str">
        <x:v>火有根有力可承接</x:v>
      </x:c>
      <x:c r="P69" s="68" t="str">
        <x:v>待定</x:v>
      </x:c>
      <x:c r="Q69" s="82" t="str">
        <x:v>基本通畅</x:v>
      </x:c>
      <x:c r="R69" s="82" t="str">
        <x:v>两强相战</x:v>
      </x:c>
      <x:c r="S69" s="68" t="str">
        <x:v>水—火之间</x:v>
      </x:c>
      <x:c r="T69" s="68" t="str">
        <x:v>水与火形成真实两强相战，木既能泄水又能生火</x:v>
      </x:c>
      <x:c r="U69" s="68" t="str">
        <x:v>木</x:v>
      </x:c>
      <x:c r="V69" s="68" t="str">
        <x:v>木需有根有源且不被强制；同时必须确认水火确为主矛盾</x:v>
      </x:c>
      <x:c r="W69" s="90" t="str">
        <x:v>木过强可能改变全局寒暖燥湿、日主旺衰或其他格局结构，需M13/M16/M17复审</x:v>
      </x:c>
      <x:c r="X69" s="68" t="str">
        <x:v>M06关系效应、M08五行有效旺衰、M10十神功能与M11组合判断已完成</x:v>
      </x:c>
      <x:c r="Y69" s="68" t="str">
        <x:v>起点、桥梁、终点均按有效力量与实际作用路径判断</x:v>
      </x:c>
      <x:c r="Z69" s="68" t="str">
        <x:v>桥梁有根有源、透达、位置可达且不存在关键制约</x:v>
      </x:c>
      <x:c r="AA69" s="68" t="str">
        <x:v>桥梁失令、无根、受克、合绊、改性或同时被多路调用</x:v>
      </x:c>
      <x:c r="AB69" s="90" t="str">
        <x:v>不得仅因五行缺失、数量少或关系名称直接认定卡点或通关用神</x:v>
      </x:c>
      <x:c r="AC69" s="68" t="str">
        <x:v>若存在更短、更强或副作用更小的替代路径，应并列比较后再裁定</x:v>
      </x:c>
      <x:c r="AD69" s="84" t="str">
        <x:v>水克火_木通关</x:v>
      </x:c>
      <x:c r="AE69" s="84" t="str">
        <x:v>水火相战以木通关：按起点—桥梁—终点检查有效力量、连续性与承载；卡点为“两强相战”时，仅生成通关候选，不直接定用神。</x:v>
      </x:c>
      <x:c r="AF69" s="82" t="str">
        <x:v>较高</x:v>
      </x:c>
      <x:c r="AG69" s="82" t="str">
        <x:v>现代综合</x:v>
      </x:c>
      <x:c r="AH69" s="68" t="str">
        <x:v>流通判断以五行有效力量、生克顺序与十神功能为核心；古典依据可参照《滴天髓》《渊海子平》。 https://zh.wikisource.org/wiki/%E6%BB%B4%E5%A4%A9%E9%AB%93%E9%97%A1%E5%BE%AE https://zh.wikisource.org/zh-hans/%E6%B7%B5%E6%B5%B7%E5%AD%90%E5%B9%B3</x:v>
      </x:c>
      <x:c r="AI69" s="68" t="str">
        <x:v>当“水与火形成真实两强相战，木既能泄水又能生火”真实成立，且桥梁具备有效力量和连续作用条件时，可按“水火相战以木通关”记录。</x:v>
      </x:c>
      <x:c r="AJ69" s="90" t="str">
        <x:v>仅见表面缺失或五行相克，但未证明“水与火形成真实两强相战，木既能泄水又能生火”形成实际阻断时，不得套用“水火相战以木通关”。</x:v>
      </x:c>
      <x:c r="AK69" s="82" t="str">
        <x:v>采用</x:v>
      </x:c>
      <x:c r="AL69" s="82" t="str">
        <x:v>初审</x:v>
      </x:c>
      <x:c r="AM69" s="87" t="n">
        <x:v>46255</x:v>
      </x:c>
    </x:row>
    <x:row r="70">
      <x:c r="A70" s="72" t="str">
        <x:f>IF(OR(C70="",D70=""),"",B70&amp;"-"&amp;UPPER(C70)&amp;"-"&amp;TEXT(D70,"0000")&amp;"-"&amp;E70)</x:f>
        <x:v>M12-WUXING-0064-V1.0</x:v>
      </x:c>
      <x:c r="B70" s="74" t="str">
        <x:v>M12</x:v>
      </x:c>
      <x:c r="C70" s="74" t="str">
        <x:v>WUXING</x:v>
      </x:c>
      <x:c r="D70" s="215" t="n">
        <x:v>64</x:v>
      </x:c>
      <x:c r="E70" s="74" t="str">
        <x:v>V1.0</x:v>
      </x:c>
      <x:c r="F70" s="68" t="str">
        <x:v>火金相战以土通关</x:v>
      </x:c>
      <x:c r="G70" s="82" t="str">
        <x:v>结构层</x:v>
      </x:c>
      <x:c r="H70" s="68" t="str">
        <x:v>五行克战通关</x:v>
      </x:c>
      <x:c r="I70" s="68" t="str">
        <x:v>火</x:v>
      </x:c>
      <x:c r="J70" s="68" t="str">
        <x:v>土</x:v>
      </x:c>
      <x:c r="K70" s="68" t="str">
        <x:v>金</x:v>
      </x:c>
      <x:c r="L70" s="82" t="str">
        <x:v>旺</x:v>
      </x:c>
      <x:c r="M70" s="82" t="str">
        <x:v>中和</x:v>
      </x:c>
      <x:c r="N70" s="68" t="str">
        <x:v>待定</x:v>
      </x:c>
      <x:c r="O70" s="68" t="str">
        <x:v>金有根有力可承接</x:v>
      </x:c>
      <x:c r="P70" s="68" t="str">
        <x:v>待定</x:v>
      </x:c>
      <x:c r="Q70" s="82" t="str">
        <x:v>基本通畅</x:v>
      </x:c>
      <x:c r="R70" s="82" t="str">
        <x:v>两强相战</x:v>
      </x:c>
      <x:c r="S70" s="68" t="str">
        <x:v>火—金之间</x:v>
      </x:c>
      <x:c r="T70" s="68" t="str">
        <x:v>火与金形成真实两强相战，土既能泄火又能生金</x:v>
      </x:c>
      <x:c r="U70" s="68" t="str">
        <x:v>土</x:v>
      </x:c>
      <x:c r="V70" s="68" t="str">
        <x:v>土需有根有源且不被强制；同时必须确认火金确为主矛盾</x:v>
      </x:c>
      <x:c r="W70" s="90" t="str">
        <x:v>土过强可能改变全局寒暖燥湿、日主旺衰或其他格局结构，需M13/M16/M17复审</x:v>
      </x:c>
      <x:c r="X70" s="68" t="str">
        <x:v>M06关系效应、M08五行有效旺衰、M10十神功能与M11组合判断已完成</x:v>
      </x:c>
      <x:c r="Y70" s="68" t="str">
        <x:v>起点、桥梁、终点均按有效力量与实际作用路径判断</x:v>
      </x:c>
      <x:c r="Z70" s="68" t="str">
        <x:v>桥梁有根有源、透达、位置可达且不存在关键制约</x:v>
      </x:c>
      <x:c r="AA70" s="68" t="str">
        <x:v>桥梁失令、无根、受克、合绊、改性或同时被多路调用</x:v>
      </x:c>
      <x:c r="AB70" s="90" t="str">
        <x:v>不得仅因五行缺失、数量少或关系名称直接认定卡点或通关用神</x:v>
      </x:c>
      <x:c r="AC70" s="68" t="str">
        <x:v>若存在更短、更强或副作用更小的替代路径，应并列比较后再裁定</x:v>
      </x:c>
      <x:c r="AD70" s="84" t="str">
        <x:v>火克金_土通关</x:v>
      </x:c>
      <x:c r="AE70" s="84" t="str">
        <x:v>火金相战以土通关：按起点—桥梁—终点检查有效力量、连续性与承载；卡点为“两强相战”时，仅生成通关候选，不直接定用神。</x:v>
      </x:c>
      <x:c r="AF70" s="82" t="str">
        <x:v>较高</x:v>
      </x:c>
      <x:c r="AG70" s="82" t="str">
        <x:v>现代综合</x:v>
      </x:c>
      <x:c r="AH70" s="68" t="str">
        <x:v>流通判断以五行有效力量、生克顺序与十神功能为核心；古典依据可参照《滴天髓》《渊海子平》。 https://zh.wikisource.org/wiki/%E6%BB%B4%E5%A4%A9%E9%AB%93%E9%97%A1%E5%BE%AE https://zh.wikisource.org/zh-hans/%E6%B7%B5%E6%B5%B7%E5%AD%90%E5%B9%B3</x:v>
      </x:c>
      <x:c r="AI70" s="68" t="str">
        <x:v>当“火与金形成真实两强相战，土既能泄火又能生金”真实成立，且桥梁具备有效力量和连续作用条件时，可按“火金相战以土通关”记录。</x:v>
      </x:c>
      <x:c r="AJ70" s="90" t="str">
        <x:v>仅见表面缺失或五行相克，但未证明“火与金形成真实两强相战，土既能泄火又能生金”形成实际阻断时，不得套用“火金相战以土通关”。</x:v>
      </x:c>
      <x:c r="AK70" s="82" t="str">
        <x:v>采用</x:v>
      </x:c>
      <x:c r="AL70" s="82" t="str">
        <x:v>初审</x:v>
      </x:c>
      <x:c r="AM70" s="87" t="n">
        <x:v>46255</x:v>
      </x:c>
    </x:row>
    <x:row r="71">
      <x:c r="A71" s="72" t="str">
        <x:f>IF(OR(C71="",D71=""),"",B71&amp;"-"&amp;UPPER(C71)&amp;"-"&amp;TEXT(D71,"0000")&amp;"-"&amp;E71)</x:f>
        <x:v>M12-TENGOD-0065-V1.0</x:v>
      </x:c>
      <x:c r="B71" s="74" t="str">
        <x:v>M12</x:v>
      </x:c>
      <x:c r="C71" s="74" t="str">
        <x:v>TENGOD</x:v>
      </x:c>
      <x:c r="D71" s="215" t="n">
        <x:v>65</x:v>
      </x:c>
      <x:c r="E71" s="74" t="str">
        <x:v>V1.0</x:v>
      </x:c>
      <x:c r="F71" s="68" t="str">
        <x:v>官杀→印→身</x:v>
      </x:c>
      <x:c r="G71" s="82" t="str">
        <x:v>结构层</x:v>
      </x:c>
      <x:c r="H71" s="68" t="str">
        <x:v>十神功能路径</x:v>
      </x:c>
      <x:c r="I71" s="68" t="str">
        <x:v>官杀</x:v>
      </x:c>
      <x:c r="J71" s="68" t="str">
        <x:v>印星</x:v>
      </x:c>
      <x:c r="K71" s="68" t="str">
        <x:v>日主</x:v>
      </x:c>
      <x:c r="L71" s="82" t="str">
        <x:v>待定</x:v>
      </x:c>
      <x:c r="M71" s="82" t="str">
        <x:v>待定</x:v>
      </x:c>
      <x:c r="N71" s="68" t="str">
        <x:v>待定</x:v>
      </x:c>
      <x:c r="O71" s="68" t="str">
        <x:v>待定</x:v>
      </x:c>
      <x:c r="P71" s="68" t="str">
        <x:v>待定</x:v>
      </x:c>
      <x:c r="Q71" s="82" t="str">
        <x:v>基本通畅</x:v>
      </x:c>
      <x:c r="R71" s="82" t="str">
        <x:v>其他</x:v>
      </x:c>
      <x:c r="S71" s="68" t="str">
        <x:v>待定</x:v>
      </x:c>
      <x:c r="T71" s="68" t="str">
        <x:v>官杀压力经印星承接并转为生身</x:v>
      </x:c>
      <x:c r="U71" s="68" t="str">
        <x:v>印星</x:v>
      </x:c>
      <x:c r="V71" s="68" t="str">
        <x:v>M10确认相关十神功能有效，M11未出现决定性破坏</x:v>
      </x:c>
      <x:c r="W71" s="90" t="str">
        <x:v>需检查对调候、格局、日主承载及其他通路的副作用</x:v>
      </x:c>
      <x:c r="X71" s="68" t="str">
        <x:v>M06关系效应、M08五行有效旺衰、M10十神功能与M11组合判断已完成</x:v>
      </x:c>
      <x:c r="Y71" s="68" t="str">
        <x:v>起点、桥梁、终点均按有效力量与实际作用路径判断</x:v>
      </x:c>
      <x:c r="Z71" s="68" t="str">
        <x:v>桥梁有根有源、透达、位置可达且不存在关键制约</x:v>
      </x:c>
      <x:c r="AA71" s="68" t="str">
        <x:v>桥梁失令、无根、受克、合绊、改性或同时被多路调用</x:v>
      </x:c>
      <x:c r="AB71" s="90" t="str">
        <x:v>不得仅因五行缺失、数量少或关系名称直接认定卡点或通关用神</x:v>
      </x:c>
      <x:c r="AC71" s="68" t="str">
        <x:v>若存在更短、更强或副作用更小的替代路径，应并列比较后再裁定</x:v>
      </x:c>
      <x:c r="AD71" s="84" t="str">
        <x:v>官杀_印_身</x:v>
      </x:c>
      <x:c r="AE71" s="84" t="str">
        <x:v>官杀→印→身：按起点—桥梁—终点检查有效力量、连续性与承载；卡点为“其他”时，仅生成通关候选，不直接定用神。</x:v>
      </x:c>
      <x:c r="AF71" s="82" t="str">
        <x:v>较高</x:v>
      </x:c>
      <x:c r="AG71" s="82" t="str">
        <x:v>现代综合</x:v>
      </x:c>
      <x:c r="AH71" s="68" t="str">
        <x:v>流通判断以五行有效力量、生克顺序与十神功能为核心；古典依据可参照《滴天髓》《渊海子平》。 https://zh.wikisource.org/wiki/%E6%BB%B4%E5%A4%A9%E9%AB%93%E9%97%A1%E5%BE%AE https://zh.wikisource.org/zh-hans/%E6%B7%B5%E6%B5%B7%E5%AD%90%E5%B9%B3</x:v>
      </x:c>
      <x:c r="AI71" s="68" t="str">
        <x:v>当“官杀压力经印星承接并转为生身”真实成立，且桥梁具备有效力量和连续作用条件时，可按“官杀→印→身”记录。</x:v>
      </x:c>
      <x:c r="AJ71" s="90" t="str">
        <x:v>仅见表面缺失或五行相克，但未证明“官杀压力经印星承接并转为生身”形成实际阻断时，不得套用“官杀→印→身”。</x:v>
      </x:c>
      <x:c r="AK71" s="82" t="str">
        <x:v>采用</x:v>
      </x:c>
      <x:c r="AL71" s="82" t="str">
        <x:v>初审</x:v>
      </x:c>
      <x:c r="AM71" s="87" t="n">
        <x:v>46255</x:v>
      </x:c>
    </x:row>
    <x:row r="72">
      <x:c r="A72" s="72" t="str">
        <x:f>IF(OR(C72="",D72=""),"",B72&amp;"-"&amp;UPPER(C72)&amp;"-"&amp;TEXT(D72,"0000")&amp;"-"&amp;E72)</x:f>
        <x:v>M12-TENGOD-0066-V1.0</x:v>
      </x:c>
      <x:c r="B72" s="74" t="str">
        <x:v>M12</x:v>
      </x:c>
      <x:c r="C72" s="74" t="str">
        <x:v>TENGOD</x:v>
      </x:c>
      <x:c r="D72" s="215" t="n">
        <x:v>66</x:v>
      </x:c>
      <x:c r="E72" s="74" t="str">
        <x:v>V1.0</x:v>
      </x:c>
      <x:c r="F72" s="68" t="str">
        <x:v>身→食伤→财</x:v>
      </x:c>
      <x:c r="G72" s="82" t="str">
        <x:v>结构层</x:v>
      </x:c>
      <x:c r="H72" s="68" t="str">
        <x:v>十神功能路径</x:v>
      </x:c>
      <x:c r="I72" s="68" t="str">
        <x:v>日主</x:v>
      </x:c>
      <x:c r="J72" s="68" t="str">
        <x:v>食伤</x:v>
      </x:c>
      <x:c r="K72" s="68" t="str">
        <x:v>财星</x:v>
      </x:c>
      <x:c r="L72" s="82" t="str">
        <x:v>待定</x:v>
      </x:c>
      <x:c r="M72" s="82" t="str">
        <x:v>待定</x:v>
      </x:c>
      <x:c r="N72" s="68" t="str">
        <x:v>待定</x:v>
      </x:c>
      <x:c r="O72" s="68" t="str">
        <x:v>待定</x:v>
      </x:c>
      <x:c r="P72" s="68" t="str">
        <x:v>待定</x:v>
      </x:c>
      <x:c r="Q72" s="82" t="str">
        <x:v>基本通畅</x:v>
      </x:c>
      <x:c r="R72" s="82" t="str">
        <x:v>其他</x:v>
      </x:c>
      <x:c r="S72" s="68" t="str">
        <x:v>待定</x:v>
      </x:c>
      <x:c r="T72" s="68" t="str">
        <x:v>日主之气经食伤输出并由财星承接</x:v>
      </x:c>
      <x:c r="U72" s="68" t="str">
        <x:v>食伤</x:v>
      </x:c>
      <x:c r="V72" s="68" t="str">
        <x:v>M10确认相关十神功能有效，M11未出现决定性破坏</x:v>
      </x:c>
      <x:c r="W72" s="90" t="str">
        <x:v>需检查对调候、格局、日主承载及其他通路的副作用</x:v>
      </x:c>
      <x:c r="X72" s="68" t="str">
        <x:v>M06关系效应、M08五行有效旺衰、M10十神功能与M11组合判断已完成</x:v>
      </x:c>
      <x:c r="Y72" s="68" t="str">
        <x:v>起点、桥梁、终点均按有效力量与实际作用路径判断</x:v>
      </x:c>
      <x:c r="Z72" s="68" t="str">
        <x:v>桥梁有根有源、透达、位置可达且不存在关键制约</x:v>
      </x:c>
      <x:c r="AA72" s="68" t="str">
        <x:v>桥梁失令、无根、受克、合绊、改性或同时被多路调用</x:v>
      </x:c>
      <x:c r="AB72" s="90" t="str">
        <x:v>不得仅因五行缺失、数量少或关系名称直接认定卡点或通关用神</x:v>
      </x:c>
      <x:c r="AC72" s="68" t="str">
        <x:v>若存在更短、更强或副作用更小的替代路径，应并列比较后再裁定</x:v>
      </x:c>
      <x:c r="AD72" s="84" t="str">
        <x:v>身_食伤_财</x:v>
      </x:c>
      <x:c r="AE72" s="84" t="str">
        <x:v>身→食伤→财：按起点—桥梁—终点检查有效力量、连续性与承载；卡点为“其他”时，仅生成通关候选，不直接定用神。</x:v>
      </x:c>
      <x:c r="AF72" s="82" t="str">
        <x:v>较高</x:v>
      </x:c>
      <x:c r="AG72" s="82" t="str">
        <x:v>现代综合</x:v>
      </x:c>
      <x:c r="AH72" s="68" t="str">
        <x:v>流通判断以五行有效力量、生克顺序与十神功能为核心；古典依据可参照《滴天髓》《渊海子平》。 https://zh.wikisource.org/wiki/%E6%BB%B4%E5%A4%A9%E9%AB%93%E9%97%A1%E5%BE%AE https://zh.wikisource.org/zh-hans/%E6%B7%B5%E6%B5%B7%E5%AD%90%E5%B9%B3</x:v>
      </x:c>
      <x:c r="AI72" s="68" t="str">
        <x:v>当“日主之气经食伤输出并由财星承接”真实成立，且桥梁具备有效力量和连续作用条件时，可按“身→食伤→财”记录。</x:v>
      </x:c>
      <x:c r="AJ72" s="90" t="str">
        <x:v>仅见表面缺失或五行相克，但未证明“日主之气经食伤输出并由财星承接”形成实际阻断时，不得套用“身→食伤→财”。</x:v>
      </x:c>
      <x:c r="AK72" s="82" t="str">
        <x:v>采用</x:v>
      </x:c>
      <x:c r="AL72" s="82" t="str">
        <x:v>初审</x:v>
      </x:c>
      <x:c r="AM72" s="87" t="n">
        <x:v>46255</x:v>
      </x:c>
    </x:row>
    <x:row r="73">
      <x:c r="A73" s="72" t="str">
        <x:f>IF(OR(C73="",D73=""),"",B73&amp;"-"&amp;UPPER(C73)&amp;"-"&amp;TEXT(D73,"0000")&amp;"-"&amp;E73)</x:f>
        <x:v>M12-TENGOD-0067-V1.0</x:v>
      </x:c>
      <x:c r="B73" s="74" t="str">
        <x:v>M12</x:v>
      </x:c>
      <x:c r="C73" s="74" t="str">
        <x:v>TENGOD</x:v>
      </x:c>
      <x:c r="D73" s="215" t="n">
        <x:v>67</x:v>
      </x:c>
      <x:c r="E73" s="74" t="str">
        <x:v>V1.0</x:v>
      </x:c>
      <x:c r="F73" s="68" t="str">
        <x:v>食伤→财→官杀</x:v>
      </x:c>
      <x:c r="G73" s="82" t="str">
        <x:v>结构层</x:v>
      </x:c>
      <x:c r="H73" s="68" t="str">
        <x:v>十神功能路径</x:v>
      </x:c>
      <x:c r="I73" s="68" t="str">
        <x:v>食伤</x:v>
      </x:c>
      <x:c r="J73" s="68" t="str">
        <x:v>财星</x:v>
      </x:c>
      <x:c r="K73" s="68" t="str">
        <x:v>官杀</x:v>
      </x:c>
      <x:c r="L73" s="82" t="str">
        <x:v>待定</x:v>
      </x:c>
      <x:c r="M73" s="82" t="str">
        <x:v>待定</x:v>
      </x:c>
      <x:c r="N73" s="68" t="str">
        <x:v>待定</x:v>
      </x:c>
      <x:c r="O73" s="68" t="str">
        <x:v>待定</x:v>
      </x:c>
      <x:c r="P73" s="68" t="str">
        <x:v>待定</x:v>
      </x:c>
      <x:c r="Q73" s="82" t="str">
        <x:v>基本通畅</x:v>
      </x:c>
      <x:c r="R73" s="82" t="str">
        <x:v>其他</x:v>
      </x:c>
      <x:c r="S73" s="68" t="str">
        <x:v>待定</x:v>
      </x:c>
      <x:c r="T73" s="68" t="str">
        <x:v>食伤生财，财再生官杀</x:v>
      </x:c>
      <x:c r="U73" s="68" t="str">
        <x:v>财星</x:v>
      </x:c>
      <x:c r="V73" s="68" t="str">
        <x:v>M10确认相关十神功能有效，M11未出现决定性破坏</x:v>
      </x:c>
      <x:c r="W73" s="90" t="str">
        <x:v>需检查对调候、格局、日主承载及其他通路的副作用</x:v>
      </x:c>
      <x:c r="X73" s="68" t="str">
        <x:v>M06关系效应、M08五行有效旺衰、M10十神功能与M11组合判断已完成</x:v>
      </x:c>
      <x:c r="Y73" s="68" t="str">
        <x:v>起点、桥梁、终点均按有效力量与实际作用路径判断</x:v>
      </x:c>
      <x:c r="Z73" s="68" t="str">
        <x:v>桥梁有根有源、透达、位置可达且不存在关键制约</x:v>
      </x:c>
      <x:c r="AA73" s="68" t="str">
        <x:v>桥梁失令、无根、受克、合绊、改性或同时被多路调用</x:v>
      </x:c>
      <x:c r="AB73" s="90" t="str">
        <x:v>不得仅因五行缺失、数量少或关系名称直接认定卡点或通关用神</x:v>
      </x:c>
      <x:c r="AC73" s="68" t="str">
        <x:v>若存在更短、更强或副作用更小的替代路径，应并列比较后再裁定</x:v>
      </x:c>
      <x:c r="AD73" s="84" t="str">
        <x:v>食伤_财_官杀</x:v>
      </x:c>
      <x:c r="AE73" s="84" t="str">
        <x:v>食伤→财→官杀：按起点—桥梁—终点检查有效力量、连续性与承载；卡点为“其他”时，仅生成通关候选，不直接定用神。</x:v>
      </x:c>
      <x:c r="AF73" s="82" t="str">
        <x:v>较高</x:v>
      </x:c>
      <x:c r="AG73" s="82" t="str">
        <x:v>现代综合</x:v>
      </x:c>
      <x:c r="AH73" s="68" t="str">
        <x:v>流通判断以五行有效力量、生克顺序与十神功能为核心；古典依据可参照《滴天髓》《渊海子平》。 https://zh.wikisource.org/wiki/%E6%BB%B4%E5%A4%A9%E9%AB%93%E9%97%A1%E5%BE%AE https://zh.wikisource.org/zh-hans/%E6%B7%B5%E6%B5%B7%E5%AD%90%E5%B9%B3</x:v>
      </x:c>
      <x:c r="AI73" s="68" t="str">
        <x:v>当“食伤生财，财再生官杀”真实成立，且桥梁具备有效力量和连续作用条件时，可按“食伤→财→官杀”记录。</x:v>
      </x:c>
      <x:c r="AJ73" s="90" t="str">
        <x:v>仅见表面缺失或五行相克，但未证明“食伤生财，财再生官杀”形成实际阻断时，不得套用“食伤→财→官杀”。</x:v>
      </x:c>
      <x:c r="AK73" s="82" t="str">
        <x:v>采用</x:v>
      </x:c>
      <x:c r="AL73" s="82" t="str">
        <x:v>初审</x:v>
      </x:c>
      <x:c r="AM73" s="87" t="n">
        <x:v>46255</x:v>
      </x:c>
    </x:row>
    <x:row r="74">
      <x:c r="A74" s="72" t="str">
        <x:f>IF(OR(C74="",D74=""),"",B74&amp;"-"&amp;UPPER(C74)&amp;"-"&amp;TEXT(D74,"0000")&amp;"-"&amp;E74)</x:f>
        <x:v>M12-TENGOD-0068-V1.0</x:v>
      </x:c>
      <x:c r="B74" s="74" t="str">
        <x:v>M12</x:v>
      </x:c>
      <x:c r="C74" s="74" t="str">
        <x:v>TENGOD</x:v>
      </x:c>
      <x:c r="D74" s="215" t="n">
        <x:v>68</x:v>
      </x:c>
      <x:c r="E74" s="74" t="str">
        <x:v>V1.0</x:v>
      </x:c>
      <x:c r="F74" s="68" t="str">
        <x:v>财→官杀→印</x:v>
      </x:c>
      <x:c r="G74" s="82" t="str">
        <x:v>结构层</x:v>
      </x:c>
      <x:c r="H74" s="68" t="str">
        <x:v>十神功能路径</x:v>
      </x:c>
      <x:c r="I74" s="68" t="str">
        <x:v>财星</x:v>
      </x:c>
      <x:c r="J74" s="68" t="str">
        <x:v>官杀</x:v>
      </x:c>
      <x:c r="K74" s="68" t="str">
        <x:v>印星</x:v>
      </x:c>
      <x:c r="L74" s="82" t="str">
        <x:v>待定</x:v>
      </x:c>
      <x:c r="M74" s="82" t="str">
        <x:v>待定</x:v>
      </x:c>
      <x:c r="N74" s="68" t="str">
        <x:v>待定</x:v>
      </x:c>
      <x:c r="O74" s="68" t="str">
        <x:v>待定</x:v>
      </x:c>
      <x:c r="P74" s="68" t="str">
        <x:v>待定</x:v>
      </x:c>
      <x:c r="Q74" s="82" t="str">
        <x:v>基本通畅</x:v>
      </x:c>
      <x:c r="R74" s="82" t="str">
        <x:v>其他</x:v>
      </x:c>
      <x:c r="S74" s="68" t="str">
        <x:v>待定</x:v>
      </x:c>
      <x:c r="T74" s="68" t="str">
        <x:v>财生官杀，官杀继续生印</x:v>
      </x:c>
      <x:c r="U74" s="68" t="str">
        <x:v>官杀</x:v>
      </x:c>
      <x:c r="V74" s="68" t="str">
        <x:v>M10确认相关十神功能有效，M11未出现决定性破坏</x:v>
      </x:c>
      <x:c r="W74" s="90" t="str">
        <x:v>需检查对调候、格局、日主承载及其他通路的副作用</x:v>
      </x:c>
      <x:c r="X74" s="68" t="str">
        <x:v>M06关系效应、M08五行有效旺衰、M10十神功能与M11组合判断已完成</x:v>
      </x:c>
      <x:c r="Y74" s="68" t="str">
        <x:v>起点、桥梁、终点均按有效力量与实际作用路径判断</x:v>
      </x:c>
      <x:c r="Z74" s="68" t="str">
        <x:v>桥梁有根有源、透达、位置可达且不存在关键制约</x:v>
      </x:c>
      <x:c r="AA74" s="68" t="str">
        <x:v>桥梁失令、无根、受克、合绊、改性或同时被多路调用</x:v>
      </x:c>
      <x:c r="AB74" s="90" t="str">
        <x:v>不得仅因五行缺失、数量少或关系名称直接认定卡点或通关用神</x:v>
      </x:c>
      <x:c r="AC74" s="68" t="str">
        <x:v>若存在更短、更强或副作用更小的替代路径，应并列比较后再裁定</x:v>
      </x:c>
      <x:c r="AD74" s="84" t="str">
        <x:v>财_官杀_印</x:v>
      </x:c>
      <x:c r="AE74" s="84" t="str">
        <x:v>财→官杀→印：按起点—桥梁—终点检查有效力量、连续性与承载；卡点为“其他”时，仅生成通关候选，不直接定用神。</x:v>
      </x:c>
      <x:c r="AF74" s="82" t="str">
        <x:v>较高</x:v>
      </x:c>
      <x:c r="AG74" s="82" t="str">
        <x:v>现代综合</x:v>
      </x:c>
      <x:c r="AH74" s="68" t="str">
        <x:v>流通判断以五行有效力量、生克顺序与十神功能为核心；古典依据可参照《滴天髓》《渊海子平》。 https://zh.wikisource.org/wiki/%E6%BB%B4%E5%A4%A9%E9%AB%93%E9%97%A1%E5%BE%AE https://zh.wikisource.org/zh-hans/%E6%B7%B5%E6%B5%B7%E5%AD%90%E5%B9%B3</x:v>
      </x:c>
      <x:c r="AI74" s="68" t="str">
        <x:v>当“财生官杀，官杀继续生印”真实成立，且桥梁具备有效力量和连续作用条件时，可按“财→官杀→印”记录。</x:v>
      </x:c>
      <x:c r="AJ74" s="90" t="str">
        <x:v>仅见表面缺失或五行相克，但未证明“财生官杀，官杀继续生印”形成实际阻断时，不得套用“财→官杀→印”。</x:v>
      </x:c>
      <x:c r="AK74" s="82" t="str">
        <x:v>采用</x:v>
      </x:c>
      <x:c r="AL74" s="82" t="str">
        <x:v>初审</x:v>
      </x:c>
      <x:c r="AM74" s="87" t="n">
        <x:v>46255</x:v>
      </x:c>
    </x:row>
    <x:row r="75">
      <x:c r="A75" s="72" t="str">
        <x:f>IF(OR(C75="",D75=""),"",B75&amp;"-"&amp;UPPER(C75)&amp;"-"&amp;TEXT(D75,"0000")&amp;"-"&amp;E75)</x:f>
        <x:v>M12-TENGOD-0069-V1.0</x:v>
      </x:c>
      <x:c r="B75" s="74" t="str">
        <x:v>M12</x:v>
      </x:c>
      <x:c r="C75" s="74" t="str">
        <x:v>TENGOD</x:v>
      </x:c>
      <x:c r="D75" s="215" t="n">
        <x:v>69</x:v>
      </x:c>
      <x:c r="E75" s="74" t="str">
        <x:v>V1.0</x:v>
      </x:c>
      <x:c r="F75" s="68" t="str">
        <x:v>印→身→食伤</x:v>
      </x:c>
      <x:c r="G75" s="82" t="str">
        <x:v>结构层</x:v>
      </x:c>
      <x:c r="H75" s="68" t="str">
        <x:v>十神功能路径</x:v>
      </x:c>
      <x:c r="I75" s="68" t="str">
        <x:v>印星</x:v>
      </x:c>
      <x:c r="J75" s="68" t="str">
        <x:v>日主</x:v>
      </x:c>
      <x:c r="K75" s="68" t="str">
        <x:v>食伤</x:v>
      </x:c>
      <x:c r="L75" s="82" t="str">
        <x:v>待定</x:v>
      </x:c>
      <x:c r="M75" s="82" t="str">
        <x:v>待定</x:v>
      </x:c>
      <x:c r="N75" s="68" t="str">
        <x:v>待定</x:v>
      </x:c>
      <x:c r="O75" s="68" t="str">
        <x:v>待定</x:v>
      </x:c>
      <x:c r="P75" s="68" t="str">
        <x:v>待定</x:v>
      </x:c>
      <x:c r="Q75" s="82" t="str">
        <x:v>基本通畅</x:v>
      </x:c>
      <x:c r="R75" s="82" t="str">
        <x:v>其他</x:v>
      </x:c>
      <x:c r="S75" s="68" t="str">
        <x:v>待定</x:v>
      </x:c>
      <x:c r="T75" s="68" t="str">
        <x:v>印生身后由日主向食伤输出</x:v>
      </x:c>
      <x:c r="U75" s="68" t="str">
        <x:v>日主</x:v>
      </x:c>
      <x:c r="V75" s="68" t="str">
        <x:v>M10确认相关十神功能有效，M11未出现决定性破坏</x:v>
      </x:c>
      <x:c r="W75" s="90" t="str">
        <x:v>需检查对调候、格局、日主承载及其他通路的副作用</x:v>
      </x:c>
      <x:c r="X75" s="68" t="str">
        <x:v>M06关系效应、M08五行有效旺衰、M10十神功能与M11组合判断已完成</x:v>
      </x:c>
      <x:c r="Y75" s="68" t="str">
        <x:v>起点、桥梁、终点均按有效力量与实际作用路径判断</x:v>
      </x:c>
      <x:c r="Z75" s="68" t="str">
        <x:v>桥梁有根有源、透达、位置可达且不存在关键制约</x:v>
      </x:c>
      <x:c r="AA75" s="68" t="str">
        <x:v>桥梁失令、无根、受克、合绊、改性或同时被多路调用</x:v>
      </x:c>
      <x:c r="AB75" s="90" t="str">
        <x:v>不得仅因五行缺失、数量少或关系名称直接认定卡点或通关用神</x:v>
      </x:c>
      <x:c r="AC75" s="68" t="str">
        <x:v>若存在更短、更强或副作用更小的替代路径，应并列比较后再裁定</x:v>
      </x:c>
      <x:c r="AD75" s="84" t="str">
        <x:v>印_身_食伤</x:v>
      </x:c>
      <x:c r="AE75" s="84" t="str">
        <x:v>印→身→食伤：按起点—桥梁—终点检查有效力量、连续性与承载；卡点为“其他”时，仅生成通关候选，不直接定用神。</x:v>
      </x:c>
      <x:c r="AF75" s="82" t="str">
        <x:v>较高</x:v>
      </x:c>
      <x:c r="AG75" s="82" t="str">
        <x:v>现代综合</x:v>
      </x:c>
      <x:c r="AH75" s="68" t="str">
        <x:v>流通判断以五行有效力量、生克顺序与十神功能为核心；古典依据可参照《滴天髓》《渊海子平》。 https://zh.wikisource.org/wiki/%E6%BB%B4%E5%A4%A9%E9%AB%93%E9%97%A1%E5%BE%AE https://zh.wikisource.org/zh-hans/%E6%B7%B5%E6%B5%B7%E5%AD%90%E5%B9%B3</x:v>
      </x:c>
      <x:c r="AI75" s="68" t="str">
        <x:v>当“印生身后由日主向食伤输出”真实成立，且桥梁具备有效力量和连续作用条件时，可按“印→身→食伤”记录。</x:v>
      </x:c>
      <x:c r="AJ75" s="90" t="str">
        <x:v>仅见表面缺失或五行相克，但未证明“印生身后由日主向食伤输出”形成实际阻断时，不得套用“印→身→食伤”。</x:v>
      </x:c>
      <x:c r="AK75" s="82" t="str">
        <x:v>采用</x:v>
      </x:c>
      <x:c r="AL75" s="82" t="str">
        <x:v>初审</x:v>
      </x:c>
      <x:c r="AM75" s="87" t="n">
        <x:v>46255</x:v>
      </x:c>
    </x:row>
    <x:row r="76">
      <x:c r="A76" s="72" t="str">
        <x:f>IF(OR(C76="",D76=""),"",B76&amp;"-"&amp;UPPER(C76)&amp;"-"&amp;TEXT(D76,"0000")&amp;"-"&amp;E76)</x:f>
        <x:v>M12-TENGOD-0070-V1.0</x:v>
      </x:c>
      <x:c r="B76" s="74" t="str">
        <x:v>M12</x:v>
      </x:c>
      <x:c r="C76" s="74" t="str">
        <x:v>TENGOD</x:v>
      </x:c>
      <x:c r="D76" s="215" t="n">
        <x:v>70</x:v>
      </x:c>
      <x:c r="E76" s="74" t="str">
        <x:v>V1.0</x:v>
      </x:c>
      <x:c r="F76" s="68" t="str">
        <x:v>比劫→食伤→财</x:v>
      </x:c>
      <x:c r="G76" s="82" t="str">
        <x:v>结构层</x:v>
      </x:c>
      <x:c r="H76" s="68" t="str">
        <x:v>十神功能路径</x:v>
      </x:c>
      <x:c r="I76" s="68" t="str">
        <x:v>比劫</x:v>
      </x:c>
      <x:c r="J76" s="68" t="str">
        <x:v>食伤</x:v>
      </x:c>
      <x:c r="K76" s="68" t="str">
        <x:v>财星</x:v>
      </x:c>
      <x:c r="L76" s="82" t="str">
        <x:v>待定</x:v>
      </x:c>
      <x:c r="M76" s="82" t="str">
        <x:v>待定</x:v>
      </x:c>
      <x:c r="N76" s="68" t="str">
        <x:v>待定</x:v>
      </x:c>
      <x:c r="O76" s="68" t="str">
        <x:v>待定</x:v>
      </x:c>
      <x:c r="P76" s="68" t="str">
        <x:v>待定</x:v>
      </x:c>
      <x:c r="Q76" s="82" t="str">
        <x:v>基本通畅</x:v>
      </x:c>
      <x:c r="R76" s="82" t="str">
        <x:v>其他</x:v>
      </x:c>
      <x:c r="S76" s="68" t="str">
        <x:v>待定</x:v>
      </x:c>
      <x:c r="T76" s="68" t="str">
        <x:v>同类集团通过食伤向财星释放</x:v>
      </x:c>
      <x:c r="U76" s="68" t="str">
        <x:v>食伤</x:v>
      </x:c>
      <x:c r="V76" s="68" t="str">
        <x:v>M10确认相关十神功能有效，M11未出现决定性破坏</x:v>
      </x:c>
      <x:c r="W76" s="90" t="str">
        <x:v>需检查对调候、格局、日主承载及其他通路的副作用</x:v>
      </x:c>
      <x:c r="X76" s="68" t="str">
        <x:v>M06关系效应、M08五行有效旺衰、M10十神功能与M11组合判断已完成</x:v>
      </x:c>
      <x:c r="Y76" s="68" t="str">
        <x:v>起点、桥梁、终点均按有效力量与实际作用路径判断</x:v>
      </x:c>
      <x:c r="Z76" s="68" t="str">
        <x:v>桥梁有根有源、透达、位置可达且不存在关键制约</x:v>
      </x:c>
      <x:c r="AA76" s="68" t="str">
        <x:v>桥梁失令、无根、受克、合绊、改性或同时被多路调用</x:v>
      </x:c>
      <x:c r="AB76" s="90" t="str">
        <x:v>不得仅因五行缺失、数量少或关系名称直接认定卡点或通关用神</x:v>
      </x:c>
      <x:c r="AC76" s="68" t="str">
        <x:v>若存在更短、更强或副作用更小的替代路径，应并列比较后再裁定</x:v>
      </x:c>
      <x:c r="AD76" s="84" t="str">
        <x:v>比劫_食伤_财</x:v>
      </x:c>
      <x:c r="AE76" s="84" t="str">
        <x:v>比劫→食伤→财：按起点—桥梁—终点检查有效力量、连续性与承载；卡点为“其他”时，仅生成通关候选，不直接定用神。</x:v>
      </x:c>
      <x:c r="AF76" s="82" t="str">
        <x:v>较高</x:v>
      </x:c>
      <x:c r="AG76" s="82" t="str">
        <x:v>现代综合</x:v>
      </x:c>
      <x:c r="AH76" s="68" t="str">
        <x:v>流通判断以五行有效力量、生克顺序与十神功能为核心；古典依据可参照《滴天髓》《渊海子平》。 https://zh.wikisource.org/wiki/%E6%BB%B4%E5%A4%A9%E9%AB%93%E9%97%A1%E5%BE%AE https://zh.wikisource.org/zh-hans/%E6%B7%B5%E6%B5%B7%E5%AD%90%E5%B9%B3</x:v>
      </x:c>
      <x:c r="AI76" s="68" t="str">
        <x:v>当“同类集团通过食伤向财星释放”真实成立，且桥梁具备有效力量和连续作用条件时，可按“比劫→食伤→财”记录。</x:v>
      </x:c>
      <x:c r="AJ76" s="90" t="str">
        <x:v>仅见表面缺失或五行相克，但未证明“同类集团通过食伤向财星释放”形成实际阻断时，不得套用“比劫→食伤→财”。</x:v>
      </x:c>
      <x:c r="AK76" s="82" t="str">
        <x:v>采用</x:v>
      </x:c>
      <x:c r="AL76" s="82" t="str">
        <x:v>初审</x:v>
      </x:c>
      <x:c r="AM76" s="87" t="n">
        <x:v>46255</x:v>
      </x:c>
    </x:row>
    <x:row r="77">
      <x:c r="A77" s="72" t="str">
        <x:f>IF(OR(C77="",D77=""),"",B77&amp;"-"&amp;UPPER(C77)&amp;"-"&amp;TEXT(D77,"0000")&amp;"-"&amp;E77)</x:f>
        <x:v>M12-TENGOD-0071-V1.0</x:v>
      </x:c>
      <x:c r="B77" s="74" t="str">
        <x:v>M12</x:v>
      </x:c>
      <x:c r="C77" s="74" t="str">
        <x:v>TENGOD</x:v>
      </x:c>
      <x:c r="D77" s="215" t="n">
        <x:v>71</x:v>
      </x:c>
      <x:c r="E77" s="74" t="str">
        <x:v>V1.0</x:v>
      </x:c>
      <x:c r="F77" s="68" t="str">
        <x:v>杀→印→比劫</x:v>
      </x:c>
      <x:c r="G77" s="82" t="str">
        <x:v>结构层</x:v>
      </x:c>
      <x:c r="H77" s="68" t="str">
        <x:v>十神功能路径</x:v>
      </x:c>
      <x:c r="I77" s="68" t="str">
        <x:v>七杀</x:v>
      </x:c>
      <x:c r="J77" s="68" t="str">
        <x:v>印星</x:v>
      </x:c>
      <x:c r="K77" s="68" t="str">
        <x:v>比劫</x:v>
      </x:c>
      <x:c r="L77" s="82" t="str">
        <x:v>待定</x:v>
      </x:c>
      <x:c r="M77" s="82" t="str">
        <x:v>待定</x:v>
      </x:c>
      <x:c r="N77" s="68" t="str">
        <x:v>待定</x:v>
      </x:c>
      <x:c r="O77" s="68" t="str">
        <x:v>待定</x:v>
      </x:c>
      <x:c r="P77" s="68" t="str">
        <x:v>待定</x:v>
      </x:c>
      <x:c r="Q77" s="82" t="str">
        <x:v>基本通畅</x:v>
      </x:c>
      <x:c r="R77" s="82" t="str">
        <x:v>其他</x:v>
      </x:c>
      <x:c r="S77" s="68" t="str">
        <x:v>待定</x:v>
      </x:c>
      <x:c r="T77" s="68" t="str">
        <x:v>杀气先入印，再增强日主同党承载</x:v>
      </x:c>
      <x:c r="U77" s="68" t="str">
        <x:v>印星</x:v>
      </x:c>
      <x:c r="V77" s="68" t="str">
        <x:v>M10确认相关十神功能有效，M11未出现决定性破坏</x:v>
      </x:c>
      <x:c r="W77" s="90" t="str">
        <x:v>需检查对调候、格局、日主承载及其他通路的副作用</x:v>
      </x:c>
      <x:c r="X77" s="68" t="str">
        <x:v>M06关系效应、M08五行有效旺衰、M10十神功能与M11组合判断已完成</x:v>
      </x:c>
      <x:c r="Y77" s="68" t="str">
        <x:v>起点、桥梁、终点均按有效力量与实际作用路径判断</x:v>
      </x:c>
      <x:c r="Z77" s="68" t="str">
        <x:v>桥梁有根有源、透达、位置可达且不存在关键制约</x:v>
      </x:c>
      <x:c r="AA77" s="68" t="str">
        <x:v>桥梁失令、无根、受克、合绊、改性或同时被多路调用</x:v>
      </x:c>
      <x:c r="AB77" s="90" t="str">
        <x:v>不得仅因五行缺失、数量少或关系名称直接认定卡点或通关用神</x:v>
      </x:c>
      <x:c r="AC77" s="68" t="str">
        <x:v>若存在更短、更强或副作用更小的替代路径，应并列比较后再裁定</x:v>
      </x:c>
      <x:c r="AD77" s="84" t="str">
        <x:v>杀_印_比劫</x:v>
      </x:c>
      <x:c r="AE77" s="84" t="str">
        <x:v>杀→印→比劫：按起点—桥梁—终点检查有效力量、连续性与承载；卡点为“其他”时，仅生成通关候选，不直接定用神。</x:v>
      </x:c>
      <x:c r="AF77" s="82" t="str">
        <x:v>较高</x:v>
      </x:c>
      <x:c r="AG77" s="82" t="str">
        <x:v>现代综合</x:v>
      </x:c>
      <x:c r="AH77" s="68" t="str">
        <x:v>流通判断以五行有效力量、生克顺序与十神功能为核心；古典依据可参照《滴天髓》《渊海子平》。 https://zh.wikisource.org/wiki/%E6%BB%B4%E5%A4%A9%E9%AB%93%E9%97%A1%E5%BE%AE https://zh.wikisource.org/zh-hans/%E6%B7%B5%E6%B5%B7%E5%AD%90%E5%B9%B3</x:v>
      </x:c>
      <x:c r="AI77" s="68" t="str">
        <x:v>当“杀气先入印，再增强日主同党承载”真实成立，且桥梁具备有效力量和连续作用条件时，可按“杀→印→比劫”记录。</x:v>
      </x:c>
      <x:c r="AJ77" s="90" t="str">
        <x:v>仅见表面缺失或五行相克，但未证明“杀气先入印，再增强日主同党承载”形成实际阻断时，不得套用“杀→印→比劫”。</x:v>
      </x:c>
      <x:c r="AK77" s="82" t="str">
        <x:v>采用</x:v>
      </x:c>
      <x:c r="AL77" s="82" t="str">
        <x:v>初审</x:v>
      </x:c>
      <x:c r="AM77" s="87" t="n">
        <x:v>46255</x:v>
      </x:c>
    </x:row>
    <x:row r="78">
      <x:c r="A78" s="72" t="str">
        <x:f>IF(OR(C78="",D78=""),"",B78&amp;"-"&amp;UPPER(C78)&amp;"-"&amp;TEXT(D78,"0000")&amp;"-"&amp;E78)</x:f>
        <x:v>M12-TENGOD-0072-V1.0</x:v>
      </x:c>
      <x:c r="B78" s="74" t="str">
        <x:v>M12</x:v>
      </x:c>
      <x:c r="C78" s="74" t="str">
        <x:v>TENGOD</x:v>
      </x:c>
      <x:c r="D78" s="215" t="n">
        <x:v>72</x:v>
      </x:c>
      <x:c r="E78" s="74" t="str">
        <x:v>V1.0</x:v>
      </x:c>
      <x:c r="F78" s="68" t="str">
        <x:v>食神→财→官</x:v>
      </x:c>
      <x:c r="G78" s="82" t="str">
        <x:v>结构层</x:v>
      </x:c>
      <x:c r="H78" s="68" t="str">
        <x:v>十神功能路径</x:v>
      </x:c>
      <x:c r="I78" s="68" t="str">
        <x:v>食神</x:v>
      </x:c>
      <x:c r="J78" s="68" t="str">
        <x:v>财星</x:v>
      </x:c>
      <x:c r="K78" s="68" t="str">
        <x:v>正官</x:v>
      </x:c>
      <x:c r="L78" s="82" t="str">
        <x:v>待定</x:v>
      </x:c>
      <x:c r="M78" s="82" t="str">
        <x:v>待定</x:v>
      </x:c>
      <x:c r="N78" s="68" t="str">
        <x:v>待定</x:v>
      </x:c>
      <x:c r="O78" s="68" t="str">
        <x:v>待定</x:v>
      </x:c>
      <x:c r="P78" s="68" t="str">
        <x:v>待定</x:v>
      </x:c>
      <x:c r="Q78" s="82" t="str">
        <x:v>基本通畅</x:v>
      </x:c>
      <x:c r="R78" s="82" t="str">
        <x:v>其他</x:v>
      </x:c>
      <x:c r="S78" s="68" t="str">
        <x:v>待定</x:v>
      </x:c>
      <x:c r="T78" s="68" t="str">
        <x:v>食神输出经财转为官星资源</x:v>
      </x:c>
      <x:c r="U78" s="68" t="str">
        <x:v>财星</x:v>
      </x:c>
      <x:c r="V78" s="68" t="str">
        <x:v>M10确认相关十神功能有效，M11未出现决定性破坏</x:v>
      </x:c>
      <x:c r="W78" s="90" t="str">
        <x:v>需检查对调候、格局、日主承载及其他通路的副作用</x:v>
      </x:c>
      <x:c r="X78" s="68" t="str">
        <x:v>M06关系效应、M08五行有效旺衰、M10十神功能与M11组合判断已完成</x:v>
      </x:c>
      <x:c r="Y78" s="68" t="str">
        <x:v>起点、桥梁、终点均按有效力量与实际作用路径判断</x:v>
      </x:c>
      <x:c r="Z78" s="68" t="str">
        <x:v>桥梁有根有源、透达、位置可达且不存在关键制约</x:v>
      </x:c>
      <x:c r="AA78" s="68" t="str">
        <x:v>桥梁失令、无根、受克、合绊、改性或同时被多路调用</x:v>
      </x:c>
      <x:c r="AB78" s="90" t="str">
        <x:v>不得仅因五行缺失、数量少或关系名称直接认定卡点或通关用神</x:v>
      </x:c>
      <x:c r="AC78" s="68" t="str">
        <x:v>若存在更短、更强或副作用更小的替代路径，应并列比较后再裁定</x:v>
      </x:c>
      <x:c r="AD78" s="84" t="str">
        <x:v>食神_财_官</x:v>
      </x:c>
      <x:c r="AE78" s="84" t="str">
        <x:v>食神→财→官：按起点—桥梁—终点检查有效力量、连续性与承载；卡点为“其他”时，仅生成通关候选，不直接定用神。</x:v>
      </x:c>
      <x:c r="AF78" s="82" t="str">
        <x:v>较高</x:v>
      </x:c>
      <x:c r="AG78" s="82" t="str">
        <x:v>现代综合</x:v>
      </x:c>
      <x:c r="AH78" s="68" t="str">
        <x:v>流通判断以五行有效力量、生克顺序与十神功能为核心；古典依据可参照《滴天髓》《渊海子平》。 https://zh.wikisource.org/wiki/%E6%BB%B4%E5%A4%A9%E9%AB%93%E9%97%A1%E5%BE%AE https://zh.wikisource.org/zh-hans/%E6%B7%B5%E6%B5%B7%E5%AD%90%E5%B9%B3</x:v>
      </x:c>
      <x:c r="AI78" s="68" t="str">
        <x:v>当“食神输出经财转为官星资源”真实成立，且桥梁具备有效力量和连续作用条件时，可按“食神→财→官”记录。</x:v>
      </x:c>
      <x:c r="AJ78" s="90" t="str">
        <x:v>仅见表面缺失或五行相克，但未证明“食神输出经财转为官星资源”形成实际阻断时，不得套用“食神→财→官”。</x:v>
      </x:c>
      <x:c r="AK78" s="82" t="str">
        <x:v>采用</x:v>
      </x:c>
      <x:c r="AL78" s="82" t="str">
        <x:v>初审</x:v>
      </x:c>
      <x:c r="AM78" s="87" t="n">
        <x:v>46255</x:v>
      </x:c>
    </x:row>
    <x:row r="79">
      <x:c r="A79" s="72" t="str">
        <x:f>IF(OR(C79="",D79=""),"",B79&amp;"-"&amp;UPPER(C79)&amp;"-"&amp;TEXT(D79,"0000")&amp;"-"&amp;E79)</x:f>
        <x:v>M12-TENGOD-0073-V1.0</x:v>
      </x:c>
      <x:c r="B79" s="74" t="str">
        <x:v>M12</x:v>
      </x:c>
      <x:c r="C79" s="74" t="str">
        <x:v>TENGOD</x:v>
      </x:c>
      <x:c r="D79" s="215" t="n">
        <x:v>73</x:v>
      </x:c>
      <x:c r="E79" s="74" t="str">
        <x:v>V1.0</x:v>
      </x:c>
      <x:c r="F79" s="68" t="str">
        <x:v>伤官→财→官</x:v>
      </x:c>
      <x:c r="G79" s="82" t="str">
        <x:v>结构层</x:v>
      </x:c>
      <x:c r="H79" s="68" t="str">
        <x:v>十神功能路径</x:v>
      </x:c>
      <x:c r="I79" s="68" t="str">
        <x:v>伤官</x:v>
      </x:c>
      <x:c r="J79" s="68" t="str">
        <x:v>财星</x:v>
      </x:c>
      <x:c r="K79" s="68" t="str">
        <x:v>正官</x:v>
      </x:c>
      <x:c r="L79" s="82" t="str">
        <x:v>待定</x:v>
      </x:c>
      <x:c r="M79" s="82" t="str">
        <x:v>待定</x:v>
      </x:c>
      <x:c r="N79" s="68" t="str">
        <x:v>待定</x:v>
      </x:c>
      <x:c r="O79" s="68" t="str">
        <x:v>待定</x:v>
      </x:c>
      <x:c r="P79" s="68" t="str">
        <x:v>待定</x:v>
      </x:c>
      <x:c r="Q79" s="82" t="str">
        <x:v>基本通畅</x:v>
      </x:c>
      <x:c r="R79" s="82" t="str">
        <x:v>其他</x:v>
      </x:c>
      <x:c r="S79" s="68" t="str">
        <x:v>待定</x:v>
      </x:c>
      <x:c r="T79" s="68" t="str">
        <x:v>以财作中介降低伤官直接克官冲突</x:v>
      </x:c>
      <x:c r="U79" s="68" t="str">
        <x:v>财星</x:v>
      </x:c>
      <x:c r="V79" s="68" t="str">
        <x:v>M10确认相关十神功能有效，M11未出现决定性破坏</x:v>
      </x:c>
      <x:c r="W79" s="90" t="str">
        <x:v>需检查对调候、格局、日主承载及其他通路的副作用</x:v>
      </x:c>
      <x:c r="X79" s="68" t="str">
        <x:v>M06关系效应、M08五行有效旺衰、M10十神功能与M11组合判断已完成</x:v>
      </x:c>
      <x:c r="Y79" s="68" t="str">
        <x:v>起点、桥梁、终点均按有效力量与实际作用路径判断</x:v>
      </x:c>
      <x:c r="Z79" s="68" t="str">
        <x:v>桥梁有根有源、透达、位置可达且不存在关键制约</x:v>
      </x:c>
      <x:c r="AA79" s="68" t="str">
        <x:v>桥梁失令、无根、受克、合绊、改性或同时被多路调用</x:v>
      </x:c>
      <x:c r="AB79" s="90" t="str">
        <x:v>不得仅因五行缺失、数量少或关系名称直接认定卡点或通关用神</x:v>
      </x:c>
      <x:c r="AC79" s="68" t="str">
        <x:v>若存在更短、更强或副作用更小的替代路径，应并列比较后再裁定</x:v>
      </x:c>
      <x:c r="AD79" s="84" t="str">
        <x:v>伤官_财_官</x:v>
      </x:c>
      <x:c r="AE79" s="84" t="str">
        <x:v>伤官→财→官：按起点—桥梁—终点检查有效力量、连续性与承载；卡点为“其他”时，仅生成通关候选，不直接定用神。</x:v>
      </x:c>
      <x:c r="AF79" s="82" t="str">
        <x:v>较高</x:v>
      </x:c>
      <x:c r="AG79" s="82" t="str">
        <x:v>现代综合</x:v>
      </x:c>
      <x:c r="AH79" s="68" t="str">
        <x:v>流通判断以五行有效力量、生克顺序与十神功能为核心；古典依据可参照《滴天髓》《渊海子平》。 https://zh.wikisource.org/wiki/%E6%BB%B4%E5%A4%A9%E9%AB%93%E9%97%A1%E5%BE%AE https://zh.wikisource.org/zh-hans/%E6%B7%B5%E6%B5%B7%E5%AD%90%E5%B9%B3</x:v>
      </x:c>
      <x:c r="AI79" s="68" t="str">
        <x:v>当“以财作中介降低伤官直接克官冲突”真实成立，且桥梁具备有效力量和连续作用条件时，可按“伤官→财→官”记录。</x:v>
      </x:c>
      <x:c r="AJ79" s="90" t="str">
        <x:v>仅见表面缺失或五行相克，但未证明“以财作中介降低伤官直接克官冲突”形成实际阻断时，不得套用“伤官→财→官”。</x:v>
      </x:c>
      <x:c r="AK79" s="82" t="str">
        <x:v>采用</x:v>
      </x:c>
      <x:c r="AL79" s="82" t="str">
        <x:v>初审</x:v>
      </x:c>
      <x:c r="AM79" s="87" t="n">
        <x:v>46255</x:v>
      </x:c>
    </x:row>
    <x:row r="80">
      <x:c r="A80" s="72" t="str">
        <x:f>IF(OR(C80="",D80=""),"",B80&amp;"-"&amp;UPPER(C80)&amp;"-"&amp;TEXT(D80,"0000")&amp;"-"&amp;E80)</x:f>
        <x:v>M12-TENGOD-0074-V1.0</x:v>
      </x:c>
      <x:c r="B80" s="74" t="str">
        <x:v>M12</x:v>
      </x:c>
      <x:c r="C80" s="74" t="str">
        <x:v>TENGOD</x:v>
      </x:c>
      <x:c r="D80" s="215" t="n">
        <x:v>74</x:v>
      </x:c>
      <x:c r="E80" s="74" t="str">
        <x:v>V1.0</x:v>
      </x:c>
      <x:c r="F80" s="68" t="str">
        <x:v>官杀→印→身→食伤</x:v>
      </x:c>
      <x:c r="G80" s="82" t="str">
        <x:v>结构层</x:v>
      </x:c>
      <x:c r="H80" s="68" t="str">
        <x:v>十神功能路径</x:v>
      </x:c>
      <x:c r="I80" s="68" t="str">
        <x:v>官杀</x:v>
      </x:c>
      <x:c r="J80" s="68" t="str">
        <x:v>印星</x:v>
      </x:c>
      <x:c r="K80" s="68" t="str">
        <x:v>食伤</x:v>
      </x:c>
      <x:c r="L80" s="82" t="str">
        <x:v>待定</x:v>
      </x:c>
      <x:c r="M80" s="82" t="str">
        <x:v>待定</x:v>
      </x:c>
      <x:c r="N80" s="68" t="str">
        <x:v>待定</x:v>
      </x:c>
      <x:c r="O80" s="68" t="str">
        <x:v>待定</x:v>
      </x:c>
      <x:c r="P80" s="68" t="str">
        <x:v>待定</x:v>
      </x:c>
      <x:c r="Q80" s="82" t="str">
        <x:v>基本通畅</x:v>
      </x:c>
      <x:c r="R80" s="82" t="str">
        <x:v>其他</x:v>
      </x:c>
      <x:c r="S80" s="68" t="str">
        <x:v>待定</x:v>
      </x:c>
      <x:c r="T80" s="68" t="str">
        <x:v>官杀经印身转化后再由食伤泄出</x:v>
      </x:c>
      <x:c r="U80" s="68" t="str">
        <x:v>印星</x:v>
      </x:c>
      <x:c r="V80" s="68" t="str">
        <x:v>M10确认相关十神功能有效，M11未出现决定性破坏</x:v>
      </x:c>
      <x:c r="W80" s="90" t="str">
        <x:v>需检查对调候、格局、日主承载及其他通路的副作用</x:v>
      </x:c>
      <x:c r="X80" s="68" t="str">
        <x:v>M06关系效应、M08五行有效旺衰、M10十神功能与M11组合判断已完成</x:v>
      </x:c>
      <x:c r="Y80" s="68" t="str">
        <x:v>起点、桥梁、终点均按有效力量与实际作用路径判断</x:v>
      </x:c>
      <x:c r="Z80" s="68" t="str">
        <x:v>桥梁有根有源、透达、位置可达且不存在关键制约</x:v>
      </x:c>
      <x:c r="AA80" s="68" t="str">
        <x:v>桥梁失令、无根、受克、合绊、改性或同时被多路调用</x:v>
      </x:c>
      <x:c r="AB80" s="90" t="str">
        <x:v>不得仅因五行缺失、数量少或关系名称直接认定卡点或通关用神</x:v>
      </x:c>
      <x:c r="AC80" s="68" t="str">
        <x:v>若存在更短、更强或副作用更小的替代路径，应并列比较后再裁定</x:v>
      </x:c>
      <x:c r="AD80" s="84" t="str">
        <x:v>官杀_印_身_食伤</x:v>
      </x:c>
      <x:c r="AE80" s="84" t="str">
        <x:v>官杀→印→身→食伤：按起点—桥梁—终点检查有效力量、连续性与承载；卡点为“其他”时，仅生成通关候选，不直接定用神。</x:v>
      </x:c>
      <x:c r="AF80" s="82" t="str">
        <x:v>较高</x:v>
      </x:c>
      <x:c r="AG80" s="82" t="str">
        <x:v>现代综合</x:v>
      </x:c>
      <x:c r="AH80" s="68" t="str">
        <x:v>流通判断以五行有效力量、生克顺序与十神功能为核心；古典依据可参照《滴天髓》《渊海子平》。 https://zh.wikisource.org/wiki/%E6%BB%B4%E5%A4%A9%E9%AB%93%E9%97%A1%E5%BE%AE https://zh.wikisource.org/zh-hans/%E6%B7%B5%E6%B5%B7%E5%AD%90%E5%B9%B3</x:v>
      </x:c>
      <x:c r="AI80" s="68" t="str">
        <x:v>当“官杀经印身转化后再由食伤泄出”真实成立，且桥梁具备有效力量和连续作用条件时，可按“官杀→印→身→食伤”记录。</x:v>
      </x:c>
      <x:c r="AJ80" s="90" t="str">
        <x:v>仅见表面缺失或五行相克，但未证明“官杀经印身转化后再由食伤泄出”形成实际阻断时，不得套用“官杀→印→身→食伤”。</x:v>
      </x:c>
      <x:c r="AK80" s="82" t="str">
        <x:v>采用</x:v>
      </x:c>
      <x:c r="AL80" s="82" t="str">
        <x:v>初审</x:v>
      </x:c>
      <x:c r="AM80" s="87" t="n">
        <x:v>46255</x:v>
      </x:c>
    </x:row>
    <x:row r="81">
      <x:c r="A81" s="72" t="str">
        <x:f>IF(OR(C81="",D81=""),"",B81&amp;"-"&amp;UPPER(C81)&amp;"-"&amp;TEXT(D81,"0000")&amp;"-"&amp;E81)</x:f>
        <x:v>M12-TONGGUAN-0075-V1.0</x:v>
      </x:c>
      <x:c r="B81" s="74" t="str">
        <x:v>M12</x:v>
      </x:c>
      <x:c r="C81" s="74" t="str">
        <x:v>TONGGUAN</x:v>
      </x:c>
      <x:c r="D81" s="215" t="n">
        <x:v>75</x:v>
      </x:c>
      <x:c r="E81" s="74" t="str">
        <x:v>V1.0</x:v>
      </x:c>
      <x:c r="F81" s="68" t="str">
        <x:v>通关五行必须同时具备泄上游与生下游双重能力</x:v>
      </x:c>
      <x:c r="G81" s="82" t="str">
        <x:v>结构层</x:v>
      </x:c>
      <x:c r="H81" s="68" t="str">
        <x:v>五行克战通关</x:v>
      </x:c>
      <x:c r="I81" s="68" t="str">
        <x:v>克方</x:v>
      </x:c>
      <x:c r="J81" s="68" t="str">
        <x:v>通关候选五行</x:v>
      </x:c>
      <x:c r="K81" s="68" t="str">
        <x:v>被克方</x:v>
      </x:c>
      <x:c r="L81" s="82" t="str">
        <x:v>待定</x:v>
      </x:c>
      <x:c r="M81" s="82" t="str">
        <x:v>待定</x:v>
      </x:c>
      <x:c r="N81" s="68" t="str">
        <x:v>待定</x:v>
      </x:c>
      <x:c r="O81" s="68" t="str">
        <x:v>待定</x:v>
      </x:c>
      <x:c r="P81" s="68" t="str">
        <x:v>待定</x:v>
      </x:c>
      <x:c r="Q81" s="82" t="str">
        <x:v>待定</x:v>
      </x:c>
      <x:c r="R81" s="82" t="str">
        <x:v>两强相战</x:v>
      </x:c>
      <x:c r="S81" s="68" t="str">
        <x:v>待定</x:v>
      </x:c>
      <x:c r="T81" s="68" t="str">
        <x:v>候选五行仅能单向帮助一方，不能同时完成泄与生</x:v>
      </x:c>
      <x:c r="U81" s="68" t="str">
        <x:v>满足泄上游且生下游者</x:v>
      </x:c>
      <x:c r="V81" s="68" t="str">
        <x:v>双向功能均真实有效</x:v>
      </x:c>
      <x:c r="W81" s="90" t="str">
        <x:v>需检查对调候、格局、日主承载及其他通路的副作用</x:v>
      </x:c>
      <x:c r="X81" s="68" t="str">
        <x:v>M06关系效应、M08五行有效旺衰、M10十神功能与M11组合判断已完成</x:v>
      </x:c>
      <x:c r="Y81" s="68" t="str">
        <x:v>起点、桥梁、终点均按有效力量与实际作用路径判断</x:v>
      </x:c>
      <x:c r="Z81" s="68" t="str">
        <x:v>桥梁有根有源、透达、位置可达且不存在关键制约</x:v>
      </x:c>
      <x:c r="AA81" s="68" t="str">
        <x:v>桥梁失令、无根、受克、合绊、改性或同时被多路调用</x:v>
      </x:c>
      <x:c r="AB81" s="90" t="str">
        <x:v>不得仅因五行缺失、数量少或关系名称直接认定卡点或通关用神</x:v>
      </x:c>
      <x:c r="AC81" s="68" t="str">
        <x:v>若存在更短、更强或副作用更小的替代路径，应并列比较后再裁定</x:v>
      </x:c>
      <x:c r="AD81" s="84" t="str">
        <x:v>通关双向条件</x:v>
      </x:c>
      <x:c r="AE81" s="84" t="str">
        <x:v>通关五行必须同时具备泄上游与生下游双重能力：按起点—桥梁—终点检查有效力量、连续性与承载；卡点为“两强相战”时，仅生成通关候选，不直接定用神。</x:v>
      </x:c>
      <x:c r="AF81" s="82" t="str">
        <x:v>较高</x:v>
      </x:c>
      <x:c r="AG81" s="82" t="str">
        <x:v>现代综合</x:v>
      </x:c>
      <x:c r="AH81" s="68" t="str">
        <x:v>流通判断以五行有效力量、生克顺序与十神功能为核心；古典依据可参照《滴天髓》《渊海子平》。 https://zh.wikisource.org/wiki/%E6%BB%B4%E5%A4%A9%E9%AB%93%E9%97%A1%E5%BE%AE https://zh.wikisource.org/zh-hans/%E6%B7%B5%E6%B5%B7%E5%AD%90%E5%B9%B3</x:v>
      </x:c>
      <x:c r="AI81" s="68" t="str">
        <x:v>当“候选五行仅能单向帮助一方，不能同时完成泄与生”真实成立，且桥梁具备有效力量和连续作用条件时，可按“通关五行必须同时具备泄上游与生下游双重能力”记录。</x:v>
      </x:c>
      <x:c r="AJ81" s="90" t="str">
        <x:v>仅见表面缺失或五行相克，但未证明“候选五行仅能单向帮助一方，不能同时完成泄与生”形成实际阻断时，不得套用“通关五行必须同时具备泄上游与生下游双重能力”。</x:v>
      </x:c>
      <x:c r="AK81" s="82" t="str">
        <x:v>采用</x:v>
      </x:c>
      <x:c r="AL81" s="82" t="str">
        <x:v>初审</x:v>
      </x:c>
      <x:c r="AM81" s="87" t="n">
        <x:v>46255</x:v>
      </x:c>
    </x:row>
    <x:row r="82">
      <x:c r="A82" s="72" t="str">
        <x:f>IF(OR(C82="",D82=""),"",B82&amp;"-"&amp;UPPER(C82)&amp;"-"&amp;TEXT(D82,"0000")&amp;"-"&amp;E82)</x:f>
        <x:v>M12-TONGGUAN-0076-V1.0</x:v>
      </x:c>
      <x:c r="B82" s="74" t="str">
        <x:v>M12</x:v>
      </x:c>
      <x:c r="C82" s="74" t="str">
        <x:v>TONGGUAN</x:v>
      </x:c>
      <x:c r="D82" s="215" t="n">
        <x:v>76</x:v>
      </x:c>
      <x:c r="E82" s="74" t="str">
        <x:v>V1.0</x:v>
      </x:c>
      <x:c r="F82" s="68" t="str">
        <x:v>通关五行无根无源时不能承担主通关</x:v>
      </x:c>
      <x:c r="G82" s="82" t="str">
        <x:v>结构层</x:v>
      </x:c>
      <x:c r="H82" s="68" t="str">
        <x:v>五行克战通关</x:v>
      </x:c>
      <x:c r="I82" s="68" t="str">
        <x:v>两强之一</x:v>
      </x:c>
      <x:c r="J82" s="68" t="str">
        <x:v>无根通关五行</x:v>
      </x:c>
      <x:c r="K82" s="68" t="str">
        <x:v>另一强方</x:v>
      </x:c>
      <x:c r="L82" s="82" t="str">
        <x:v>待定</x:v>
      </x:c>
      <x:c r="M82" s="82" t="str">
        <x:v>弱</x:v>
      </x:c>
      <x:c r="N82" s="68" t="str">
        <x:v>待定</x:v>
      </x:c>
      <x:c r="O82" s="68" t="str">
        <x:v>待定</x:v>
      </x:c>
      <x:c r="P82" s="68" t="str">
        <x:v>待定</x:v>
      </x:c>
      <x:c r="Q82" s="82" t="str">
        <x:v>局部阻塞</x:v>
      </x:c>
      <x:c r="R82" s="82" t="str">
        <x:v>桥梁太弱</x:v>
      </x:c>
      <x:c r="S82" s="68" t="str">
        <x:v>待定</x:v>
      </x:c>
      <x:c r="T82" s="68" t="str">
        <x:v>候选通关五行名义存在但有效力量不足</x:v>
      </x:c>
      <x:c r="U82" s="68" t="str">
        <x:v>待定</x:v>
      </x:c>
      <x:c r="V82" s="68" t="str">
        <x:v>待定</x:v>
      </x:c>
      <x:c r="W82" s="90" t="str">
        <x:v>需检查对调候、格局、日主承载及其他通路的副作用</x:v>
      </x:c>
      <x:c r="X82" s="68" t="str">
        <x:v>M06关系效应、M08五行有效旺衰、M10十神功能与M11组合判断已完成</x:v>
      </x:c>
      <x:c r="Y82" s="68" t="str">
        <x:v>起点、桥梁、终点均按有效力量与实际作用路径判断</x:v>
      </x:c>
      <x:c r="Z82" s="68" t="str">
        <x:v>桥梁有根有源、透达、位置可达且不存在关键制约</x:v>
      </x:c>
      <x:c r="AA82" s="68" t="str">
        <x:v>桥梁失令、无根、受克、合绊、改性或同时被多路调用</x:v>
      </x:c>
      <x:c r="AB82" s="90" t="str">
        <x:v>不得仅因五行缺失、数量少或关系名称直接认定卡点或通关用神</x:v>
      </x:c>
      <x:c r="AC82" s="68" t="str">
        <x:v>若存在更短、更强或副作用更小的替代路径，应并列比较后再裁定</x:v>
      </x:c>
      <x:c r="AD82" s="84" t="str">
        <x:v>通关力量门槛</x:v>
      </x:c>
      <x:c r="AE82" s="84" t="str">
        <x:v>通关五行无根无源时不能承担主通关：按起点—桥梁—终点检查有效力量、连续性与承载；卡点为“桥梁太弱”时，仅生成通关候选，不直接定用神。</x:v>
      </x:c>
      <x:c r="AF82" s="82" t="str">
        <x:v>较高</x:v>
      </x:c>
      <x:c r="AG82" s="82" t="str">
        <x:v>现代综合</x:v>
      </x:c>
      <x:c r="AH82" s="68" t="str">
        <x:v>流通判断以五行有效力量、生克顺序与十神功能为核心；古典依据可参照《滴天髓》《渊海子平》。 https://zh.wikisource.org/wiki/%E6%BB%B4%E5%A4%A9%E9%AB%93%E9%97%A1%E5%BE%AE https://zh.wikisource.org/zh-hans/%E6%B7%B5%E6%B5%B7%E5%AD%90%E5%B9%B3</x:v>
      </x:c>
      <x:c r="AI82" s="68" t="str">
        <x:v>当“候选通关五行名义存在但有效力量不足”真实成立，且桥梁具备有效力量和连续作用条件时，可按“通关五行无根无源时不能承担主通关”记录。</x:v>
      </x:c>
      <x:c r="AJ82" s="90" t="str">
        <x:v>仅见表面缺失或五行相克，但未证明“候选通关五行名义存在但有效力量不足”形成实际阻断时，不得套用“通关五行无根无源时不能承担主通关”。</x:v>
      </x:c>
      <x:c r="AK82" s="82" t="str">
        <x:v>采用</x:v>
      </x:c>
      <x:c r="AL82" s="82" t="str">
        <x:v>初审</x:v>
      </x:c>
      <x:c r="AM82" s="87" t="n">
        <x:v>46255</x:v>
      </x:c>
    </x:row>
    <x:row r="83">
      <x:c r="A83" s="72" t="str">
        <x:f>IF(OR(C83="",D83=""),"",B83&amp;"-"&amp;UPPER(C83)&amp;"-"&amp;TEXT(D83,"0000")&amp;"-"&amp;E83)</x:f>
        <x:v>M12-TONGGUAN-0077-V1.0</x:v>
      </x:c>
      <x:c r="B83" s="74" t="str">
        <x:v>M12</x:v>
      </x:c>
      <x:c r="C83" s="74" t="str">
        <x:v>TONGGUAN</x:v>
      </x:c>
      <x:c r="D83" s="215" t="n">
        <x:v>77</x:v>
      </x:c>
      <x:c r="E83" s="74" t="str">
        <x:v>V1.0</x:v>
      </x:c>
      <x:c r="F83" s="68" t="str">
        <x:v>通关五行被强克时不得视为稳定桥梁</x:v>
      </x:c>
      <x:c r="G83" s="82" t="str">
        <x:v>结构层</x:v>
      </x:c>
      <x:c r="H83" s="68" t="str">
        <x:v>五行克战通关</x:v>
      </x:c>
      <x:c r="I83" s="68" t="str">
        <x:v>上游</x:v>
      </x:c>
      <x:c r="J83" s="68" t="str">
        <x:v>受强克通关五行</x:v>
      </x:c>
      <x:c r="K83" s="68" t="str">
        <x:v>下游</x:v>
      </x:c>
      <x:c r="L83" s="82" t="str">
        <x:v>待定</x:v>
      </x:c>
      <x:c r="M83" s="82" t="str">
        <x:v>待定</x:v>
      </x:c>
      <x:c r="N83" s="68" t="str">
        <x:v>待定</x:v>
      </x:c>
      <x:c r="O83" s="68" t="str">
        <x:v>待定</x:v>
      </x:c>
      <x:c r="P83" s="68" t="str">
        <x:v>待定</x:v>
      </x:c>
      <x:c r="Q83" s="82" t="str">
        <x:v>明显阻断</x:v>
      </x:c>
      <x:c r="R83" s="82" t="str">
        <x:v>桥梁被克</x:v>
      </x:c>
      <x:c r="S83" s="68" t="str">
        <x:v>待定</x:v>
      </x:c>
      <x:c r="T83" s="68" t="str">
        <x:v>通关节点本身遭第三方强制，难以持续泄化</x:v>
      </x:c>
      <x:c r="U83" s="68" t="str">
        <x:v>待定</x:v>
      </x:c>
      <x:c r="V83" s="68" t="str">
        <x:v>待定</x:v>
      </x:c>
      <x:c r="W83" s="90" t="str">
        <x:v>需检查对调候、格局、日主承载及其他通路的副作用</x:v>
      </x:c>
      <x:c r="X83" s="68" t="str">
        <x:v>M06关系效应、M08五行有效旺衰、M10十神功能与M11组合判断已完成</x:v>
      </x:c>
      <x:c r="Y83" s="68" t="str">
        <x:v>起点、桥梁、终点均按有效力量与实际作用路径判断</x:v>
      </x:c>
      <x:c r="Z83" s="68" t="str">
        <x:v>桥梁有根有源、透达、位置可达且不存在关键制约</x:v>
      </x:c>
      <x:c r="AA83" s="68" t="str">
        <x:v>桥梁失令、无根、受克、合绊、改性或同时被多路调用</x:v>
      </x:c>
      <x:c r="AB83" s="90" t="str">
        <x:v>不得仅因五行缺失、数量少或关系名称直接认定卡点或通关用神</x:v>
      </x:c>
      <x:c r="AC83" s="68" t="str">
        <x:v>若存在更短、更强或副作用更小的替代路径，应并列比较后再裁定</x:v>
      </x:c>
      <x:c r="AD83" s="84" t="str">
        <x:v>通关被克</x:v>
      </x:c>
      <x:c r="AE83" s="84" t="str">
        <x:v>通关五行被强克时不得视为稳定桥梁：按起点—桥梁—终点检查有效力量、连续性与承载；卡点为“桥梁被克”时，仅生成通关候选，不直接定用神。</x:v>
      </x:c>
      <x:c r="AF83" s="82" t="str">
        <x:v>较高</x:v>
      </x:c>
      <x:c r="AG83" s="82" t="str">
        <x:v>现代综合</x:v>
      </x:c>
      <x:c r="AH83" s="68" t="str">
        <x:v>流通判断以五行有效力量、生克顺序与十神功能为核心；古典依据可参照《滴天髓》《渊海子平》。 https://zh.wikisource.org/wiki/%E6%BB%B4%E5%A4%A9%E9%AB%93%E9%97%A1%E5%BE%AE https://zh.wikisource.org/zh-hans/%E6%B7%B5%E6%B5%B7%E5%AD%90%E5%B9%B3</x:v>
      </x:c>
      <x:c r="AI83" s="68" t="str">
        <x:v>当“通关节点本身遭第三方强制，难以持续泄化”真实成立，且桥梁具备有效力量和连续作用条件时，可按“通关五行被强克时不得视为稳定桥梁”记录。</x:v>
      </x:c>
      <x:c r="AJ83" s="90" t="str">
        <x:v>仅见表面缺失或五行相克，但未证明“通关节点本身遭第三方强制，难以持续泄化”形成实际阻断时，不得套用“通关五行被强克时不得视为稳定桥梁”。</x:v>
      </x:c>
      <x:c r="AK83" s="82" t="str">
        <x:v>采用</x:v>
      </x:c>
      <x:c r="AL83" s="82" t="str">
        <x:v>初审</x:v>
      </x:c>
      <x:c r="AM83" s="87" t="n">
        <x:v>46255</x:v>
      </x:c>
    </x:row>
    <x:row r="84">
      <x:c r="A84" s="72" t="str">
        <x:f>IF(OR(C84="",D84=""),"",B84&amp;"-"&amp;UPPER(C84)&amp;"-"&amp;TEXT(D84,"0000")&amp;"-"&amp;E84)</x:f>
        <x:v>M12-TONGGUAN-0078-V1.0</x:v>
      </x:c>
      <x:c r="B84" s="74" t="str">
        <x:v>M12</x:v>
      </x:c>
      <x:c r="C84" s="74" t="str">
        <x:v>TONGGUAN</x:v>
      </x:c>
      <x:c r="D84" s="215" t="n">
        <x:v>78</x:v>
      </x:c>
      <x:c r="E84" s="74" t="str">
        <x:v>V1.0</x:v>
      </x:c>
      <x:c r="F84" s="68" t="str">
        <x:v>通关五行被合绊时需下调通关等级</x:v>
      </x:c>
      <x:c r="G84" s="82" t="str">
        <x:v>结构层</x:v>
      </x:c>
      <x:c r="H84" s="68" t="str">
        <x:v>五行克战通关</x:v>
      </x:c>
      <x:c r="I84" s="68" t="str">
        <x:v>上游</x:v>
      </x:c>
      <x:c r="J84" s="68" t="str">
        <x:v>被合绊通关五行</x:v>
      </x:c>
      <x:c r="K84" s="68" t="str">
        <x:v>下游</x:v>
      </x:c>
      <x:c r="L84" s="82" t="str">
        <x:v>待定</x:v>
      </x:c>
      <x:c r="M84" s="82" t="str">
        <x:v>待定</x:v>
      </x:c>
      <x:c r="N84" s="68" t="str">
        <x:v>待定</x:v>
      </x:c>
      <x:c r="O84" s="68" t="str">
        <x:v>待定</x:v>
      </x:c>
      <x:c r="P84" s="68" t="str">
        <x:v>待定</x:v>
      </x:c>
      <x:c r="Q84" s="82" t="str">
        <x:v>局部阻塞</x:v>
      </x:c>
      <x:c r="R84" s="82" t="str">
        <x:v>桥梁被合绊</x:v>
      </x:c>
      <x:c r="S84" s="68" t="str">
        <x:v>待定</x:v>
      </x:c>
      <x:c r="T84" s="68" t="str">
        <x:v>通关节点被其他关系占用，无法全额执行桥梁功能</x:v>
      </x:c>
      <x:c r="U84" s="68" t="str">
        <x:v>待定</x:v>
      </x:c>
      <x:c r="V84" s="68" t="str">
        <x:v>待定</x:v>
      </x:c>
      <x:c r="W84" s="90" t="str">
        <x:v>需检查对调候、格局、日主承载及其他通路的副作用</x:v>
      </x:c>
      <x:c r="X84" s="68" t="str">
        <x:v>M06关系效应、M08五行有效旺衰、M10十神功能与M11组合判断已完成</x:v>
      </x:c>
      <x:c r="Y84" s="68" t="str">
        <x:v>起点、桥梁、终点均按有效力量与实际作用路径判断</x:v>
      </x:c>
      <x:c r="Z84" s="68" t="str">
        <x:v>桥梁有根有源、透达、位置可达且不存在关键制约</x:v>
      </x:c>
      <x:c r="AA84" s="68" t="str">
        <x:v>桥梁失令、无根、受克、合绊、改性或同时被多路调用</x:v>
      </x:c>
      <x:c r="AB84" s="90" t="str">
        <x:v>不得仅因五行缺失、数量少或关系名称直接认定卡点或通关用神</x:v>
      </x:c>
      <x:c r="AC84" s="68" t="str">
        <x:v>若存在更短、更强或副作用更小的替代路径，应并列比较后再裁定</x:v>
      </x:c>
      <x:c r="AD84" s="84" t="str">
        <x:v>通关合绊</x:v>
      </x:c>
      <x:c r="AE84" s="84" t="str">
        <x:v>通关五行被合绊时需下调通关等级：按起点—桥梁—终点检查有效力量、连续性与承载；卡点为“桥梁被合绊”时，仅生成通关候选，不直接定用神。</x:v>
      </x:c>
      <x:c r="AF84" s="82" t="str">
        <x:v>较高</x:v>
      </x:c>
      <x:c r="AG84" s="82" t="str">
        <x:v>现代综合</x:v>
      </x:c>
      <x:c r="AH84" s="68" t="str">
        <x:v>流通判断以五行有效力量、生克顺序与十神功能为核心；古典依据可参照《滴天髓》《渊海子平》。 https://zh.wikisource.org/wiki/%E6%BB%B4%E5%A4%A9%E9%AB%93%E9%97%A1%E5%BE%AE https://zh.wikisource.org/zh-hans/%E6%B7%B5%E6%B5%B7%E5%AD%90%E5%B9%B3</x:v>
      </x:c>
      <x:c r="AI84" s="68" t="str">
        <x:v>当“通关节点被其他关系占用，无法全额执行桥梁功能”真实成立，且桥梁具备有效力量和连续作用条件时，可按“通关五行被合绊时需下调通关等级”记录。</x:v>
      </x:c>
      <x:c r="AJ84" s="90" t="str">
        <x:v>仅见表面缺失或五行相克，但未证明“通关节点被其他关系占用，无法全额执行桥梁功能”形成实际阻断时，不得套用“通关五行被合绊时需下调通关等级”。</x:v>
      </x:c>
      <x:c r="AK84" s="82" t="str">
        <x:v>采用</x:v>
      </x:c>
      <x:c r="AL84" s="82" t="str">
        <x:v>初审</x:v>
      </x:c>
      <x:c r="AM84" s="87" t="n">
        <x:v>46255</x:v>
      </x:c>
    </x:row>
    <x:row r="85">
      <x:c r="A85" s="72" t="str">
        <x:f>IF(OR(C85="",D85=""),"",B85&amp;"-"&amp;UPPER(C85)&amp;"-"&amp;TEXT(D85,"0000")&amp;"-"&amp;E85)</x:f>
        <x:v>M12-TONGGUAN-0079-V1.0</x:v>
      </x:c>
      <x:c r="B85" s="74" t="str">
        <x:v>M12</x:v>
      </x:c>
      <x:c r="C85" s="74" t="str">
        <x:v>TONGGUAN</x:v>
      </x:c>
      <x:c r="D85" s="215" t="n">
        <x:v>79</x:v>
      </x:c>
      <x:c r="E85" s="74" t="str">
        <x:v>V1.0</x:v>
      </x:c>
      <x:c r="F85" s="68" t="str">
        <x:v>通关虽然有效但加重寒湿时只能列条件性候选</x:v>
      </x:c>
      <x:c r="G85" s="82" t="str">
        <x:v>结构层</x:v>
      </x:c>
      <x:c r="H85" s="68" t="str">
        <x:v>五行克战通关</x:v>
      </x:c>
      <x:c r="I85" s="68" t="str">
        <x:v>对战两端</x:v>
      </x:c>
      <x:c r="J85" s="68" t="str">
        <x:v>水或湿性通关五行</x:v>
      </x:c>
      <x:c r="K85" s="68" t="str">
        <x:v>目标端</x:v>
      </x:c>
      <x:c r="L85" s="82" t="str">
        <x:v>待定</x:v>
      </x:c>
      <x:c r="M85" s="82" t="str">
        <x:v>待定</x:v>
      </x:c>
      <x:c r="N85" s="68" t="str">
        <x:v>待定</x:v>
      </x:c>
      <x:c r="O85" s="68" t="str">
        <x:v>待定</x:v>
      </x:c>
      <x:c r="P85" s="68" t="str">
        <x:v>待定</x:v>
      </x:c>
      <x:c r="Q85" s="82" t="str">
        <x:v>基本通畅</x:v>
      </x:c>
      <x:c r="R85" s="82" t="str">
        <x:v>其他</x:v>
      </x:c>
      <x:c r="S85" s="68" t="str">
        <x:v>待定</x:v>
      </x:c>
      <x:c r="T85" s="68" t="str">
        <x:v>通关能解决克战，但可能使原局寒湿问题升级</x:v>
      </x:c>
      <x:c r="U85" s="68" t="str">
        <x:v>待定</x:v>
      </x:c>
      <x:c r="V85" s="68" t="str">
        <x:v>待定</x:v>
      </x:c>
      <x:c r="W85" s="90" t="str">
        <x:v>若M13判原局已经偏寒或极寒、偏湿或极湿，则水性通关可能制造更高优先级调候问题</x:v>
      </x:c>
      <x:c r="X85" s="68" t="str">
        <x:v>M06关系效应、M08五行有效旺衰、M10十神功能与M11组合判断已完成</x:v>
      </x:c>
      <x:c r="Y85" s="68" t="str">
        <x:v>起点、桥梁、终点均按有效力量与实际作用路径判断</x:v>
      </x:c>
      <x:c r="Z85" s="68" t="str">
        <x:v>桥梁有根有源、透达、位置可达且不存在关键制约</x:v>
      </x:c>
      <x:c r="AA85" s="68" t="str">
        <x:v>桥梁失令、无根、受克、合绊、改性或同时被多路调用</x:v>
      </x:c>
      <x:c r="AB85" s="90" t="str">
        <x:v>不得仅因五行缺失、数量少或关系名称直接认定卡点或通关用神</x:v>
      </x:c>
      <x:c r="AC85" s="68" t="str">
        <x:v>若存在更短、更强或副作用更小的替代路径，应并列比较后再裁定</x:v>
      </x:c>
      <x:c r="AD85" s="84" t="str">
        <x:v>通关寒湿副作用</x:v>
      </x:c>
      <x:c r="AE85" s="84" t="str">
        <x:v>通关虽然有效但加重寒湿时只能列条件性候选：按起点—桥梁—终点检查有效力量、连续性与承载；卡点为“其他”时，仅生成通关候选，不直接定用神。</x:v>
      </x:c>
      <x:c r="AF85" s="82" t="str">
        <x:v>较高</x:v>
      </x:c>
      <x:c r="AG85" s="82" t="str">
        <x:v>现代综合</x:v>
      </x:c>
      <x:c r="AH85" s="68" t="str">
        <x:v>流通判断以五行有效力量、生克顺序与十神功能为核心；古典依据可参照《滴天髓》《渊海子平》。 https://zh.wikisource.org/wiki/%E6%BB%B4%E5%A4%A9%E9%AB%93%E9%97%A1%E5%BE%AE https://zh.wikisource.org/zh-hans/%E6%B7%B5%E6%B5%B7%E5%AD%90%E5%B9%B3</x:v>
      </x:c>
      <x:c r="AI85" s="68" t="str">
        <x:v>当“通关能解决克战，但可能使原局寒湿问题升级”真实成立，且桥梁具备有效力量和连续作用条件时，可按“通关虽然有效但加重寒湿时只能列条件性候选”记录。</x:v>
      </x:c>
      <x:c r="AJ85" s="90" t="str">
        <x:v>仅见表面缺失或五行相克，但未证明“通关能解决克战，但可能使原局寒湿问题升级”形成实际阻断时，不得套用“通关虽然有效但加重寒湿时只能列条件性候选”。</x:v>
      </x:c>
      <x:c r="AK85" s="82" t="str">
        <x:v>采用</x:v>
      </x:c>
      <x:c r="AL85" s="82" t="str">
        <x:v>初审</x:v>
      </x:c>
      <x:c r="AM85" s="87" t="n">
        <x:v>46255</x:v>
      </x:c>
    </x:row>
    <x:row r="86">
      <x:c r="A86" s="72" t="str">
        <x:f>IF(OR(C86="",D86=""),"",B86&amp;"-"&amp;UPPER(C86)&amp;"-"&amp;TEXT(D86,"0000")&amp;"-"&amp;E86)</x:f>
        <x:v>M12-TONGGUAN-0080-V1.0</x:v>
      </x:c>
      <x:c r="B86" s="74" t="str">
        <x:v>M12</x:v>
      </x:c>
      <x:c r="C86" s="74" t="str">
        <x:v>TONGGUAN</x:v>
      </x:c>
      <x:c r="D86" s="215" t="n">
        <x:v>80</x:v>
      </x:c>
      <x:c r="E86" s="74" t="str">
        <x:v>V1.0</x:v>
      </x:c>
      <x:c r="F86" s="68" t="str">
        <x:v>通关虽然有效但加重燥热时只能列条件性候选</x:v>
      </x:c>
      <x:c r="G86" s="82" t="str">
        <x:v>结构层</x:v>
      </x:c>
      <x:c r="H86" s="68" t="str">
        <x:v>五行克战通关</x:v>
      </x:c>
      <x:c r="I86" s="68" t="str">
        <x:v>对战两端</x:v>
      </x:c>
      <x:c r="J86" s="68" t="str">
        <x:v>火或燥性通关五行</x:v>
      </x:c>
      <x:c r="K86" s="68" t="str">
        <x:v>目标端</x:v>
      </x:c>
      <x:c r="L86" s="82" t="str">
        <x:v>待定</x:v>
      </x:c>
      <x:c r="M86" s="82" t="str">
        <x:v>待定</x:v>
      </x:c>
      <x:c r="N86" s="68" t="str">
        <x:v>待定</x:v>
      </x:c>
      <x:c r="O86" s="68" t="str">
        <x:v>待定</x:v>
      </x:c>
      <x:c r="P86" s="68" t="str">
        <x:v>待定</x:v>
      </x:c>
      <x:c r="Q86" s="82" t="str">
        <x:v>基本通畅</x:v>
      </x:c>
      <x:c r="R86" s="82" t="str">
        <x:v>其他</x:v>
      </x:c>
      <x:c r="S86" s="68" t="str">
        <x:v>待定</x:v>
      </x:c>
      <x:c r="T86" s="68" t="str">
        <x:v>通关能解决克战，但可能使原局燥热问题升级</x:v>
      </x:c>
      <x:c r="U86" s="68" t="str">
        <x:v>待定</x:v>
      </x:c>
      <x:c r="V86" s="68" t="str">
        <x:v>待定</x:v>
      </x:c>
      <x:c r="W86" s="90" t="str">
        <x:v>若M13判原局已经偏暖/极热或偏燥/极燥，则火性通关可能制造更高优先级调候问题</x:v>
      </x:c>
      <x:c r="X86" s="68" t="str">
        <x:v>M06关系效应、M08五行有效旺衰、M10十神功能与M11组合判断已完成</x:v>
      </x:c>
      <x:c r="Y86" s="68" t="str">
        <x:v>起点、桥梁、终点均按有效力量与实际作用路径判断</x:v>
      </x:c>
      <x:c r="Z86" s="68" t="str">
        <x:v>桥梁有根有源、透达、位置可达且不存在关键制约</x:v>
      </x:c>
      <x:c r="AA86" s="68" t="str">
        <x:v>桥梁失令、无根、受克、合绊、改性或同时被多路调用</x:v>
      </x:c>
      <x:c r="AB86" s="90" t="str">
        <x:v>不得仅因五行缺失、数量少或关系名称直接认定卡点或通关用神</x:v>
      </x:c>
      <x:c r="AC86" s="68" t="str">
        <x:v>若存在更短、更强或副作用更小的替代路径，应并列比较后再裁定</x:v>
      </x:c>
      <x:c r="AD86" s="84" t="str">
        <x:v>通关燥热副作用</x:v>
      </x:c>
      <x:c r="AE86" s="84" t="str">
        <x:v>通关虽然有效但加重燥热时只能列条件性候选：按起点—桥梁—终点检查有效力量、连续性与承载；卡点为“其他”时，仅生成通关候选，不直接定用神。</x:v>
      </x:c>
      <x:c r="AF86" s="82" t="str">
        <x:v>较高</x:v>
      </x:c>
      <x:c r="AG86" s="82" t="str">
        <x:v>现代综合</x:v>
      </x:c>
      <x:c r="AH86" s="68" t="str">
        <x:v>流通判断以五行有效力量、生克顺序与十神功能为核心；古典依据可参照《滴天髓》《渊海子平》。 https://zh.wikisource.org/wiki/%E6%BB%B4%E5%A4%A9%E9%AB%93%E9%97%A1%E5%BE%AE https://zh.wikisource.org/zh-hans/%E6%B7%B5%E6%B5%B7%E5%AD%90%E5%B9%B3</x:v>
      </x:c>
      <x:c r="AI86" s="68" t="str">
        <x:v>当“通关能解决克战，但可能使原局燥热问题升级”真实成立，且桥梁具备有效力量和连续作用条件时，可按“通关虽然有效但加重燥热时只能列条件性候选”记录。</x:v>
      </x:c>
      <x:c r="AJ86" s="90" t="str">
        <x:v>仅见表面缺失或五行相克，但未证明“通关能解决克战，但可能使原局燥热问题升级”形成实际阻断时，不得套用“通关虽然有效但加重燥热时只能列条件性候选”。</x:v>
      </x:c>
      <x:c r="AK86" s="82" t="str">
        <x:v>采用</x:v>
      </x:c>
      <x:c r="AL86" s="82" t="str">
        <x:v>初审</x:v>
      </x:c>
      <x:c r="AM86" s="87" t="n">
        <x:v>46255</x:v>
      </x:c>
    </x:row>
    <x:row r="87">
      <x:c r="A87" s="72" t="str">
        <x:f>IF(OR(C87="",D87=""),"",B87&amp;"-"&amp;UPPER(C87)&amp;"-"&amp;TEXT(D87,"0000")&amp;"-"&amp;E87)</x:f>
        <x:v>M12-TONGGUAN-0081-V1.0</x:v>
      </x:c>
      <x:c r="B87" s="74" t="str">
        <x:v>M12</x:v>
      </x:c>
      <x:c r="C87" s="74" t="str">
        <x:v>TONGGUAN</x:v>
      </x:c>
      <x:c r="D87" s="215" t="n">
        <x:v>81</x:v>
      </x:c>
      <x:c r="E87" s="74" t="str">
        <x:v>V1.0</x:v>
      </x:c>
      <x:c r="F87" s="68" t="str">
        <x:v>通关五行若破坏已成立核心组合需降低优先级</x:v>
      </x:c>
      <x:c r="G87" s="82" t="str">
        <x:v>结构层</x:v>
      </x:c>
      <x:c r="H87" s="68" t="str">
        <x:v>复合路径</x:v>
      </x:c>
      <x:c r="I87" s="68" t="str">
        <x:v>原局主矛盾</x:v>
      </x:c>
      <x:c r="J87" s="68" t="str">
        <x:v>通关候选五行</x:v>
      </x:c>
      <x:c r="K87" s="68" t="str">
        <x:v>被调节对象</x:v>
      </x:c>
      <x:c r="L87" s="82" t="str">
        <x:v>待定</x:v>
      </x:c>
      <x:c r="M87" s="82" t="str">
        <x:v>待定</x:v>
      </x:c>
      <x:c r="N87" s="68" t="str">
        <x:v>待定</x:v>
      </x:c>
      <x:c r="O87" s="68" t="str">
        <x:v>待定</x:v>
      </x:c>
      <x:c r="P87" s="68" t="str">
        <x:v>待定</x:v>
      </x:c>
      <x:c r="Q87" s="82" t="str">
        <x:v>基本通畅</x:v>
      </x:c>
      <x:c r="R87" s="82" t="str">
        <x:v>其他</x:v>
      </x:c>
      <x:c r="S87" s="68" t="str">
        <x:v>待定</x:v>
      </x:c>
      <x:c r="T87" s="68" t="str">
        <x:v>通关五行同时强制格神、关键印食或破坏M11已成立的主组合</x:v>
      </x:c>
      <x:c r="U87" s="68" t="str">
        <x:v>待定</x:v>
      </x:c>
      <x:c r="V87" s="68" t="str">
        <x:v>待定</x:v>
      </x:c>
      <x:c r="W87" s="90" t="str">
        <x:v>解决流通但破坏核心组合时，不得在M12直接推荐为主用，转M17/M18裁决</x:v>
      </x:c>
      <x:c r="X87" s="68" t="str">
        <x:v>M06关系效应、M08五行有效旺衰、M10十神功能与M11组合判断已完成</x:v>
      </x:c>
      <x:c r="Y87" s="68" t="str">
        <x:v>起点、桥梁、终点均按有效力量与实际作用路径判断</x:v>
      </x:c>
      <x:c r="Z87" s="68" t="str">
        <x:v>桥梁有根有源、透达、位置可达且不存在关键制约</x:v>
      </x:c>
      <x:c r="AA87" s="68" t="str">
        <x:v>桥梁失令、无根、受克、合绊、改性或同时被多路调用</x:v>
      </x:c>
      <x:c r="AB87" s="90" t="str">
        <x:v>不得仅因五行缺失、数量少或关系名称直接认定卡点或通关用神</x:v>
      </x:c>
      <x:c r="AC87" s="68" t="str">
        <x:v>若存在更短、更强或副作用更小的替代路径，应并列比较后再裁定</x:v>
      </x:c>
      <x:c r="AD87" s="84" t="str">
        <x:v>通关破结构副作用</x:v>
      </x:c>
      <x:c r="AE87" s="84" t="str">
        <x:v>通关五行若破坏已成立核心组合需降低优先级：按起点—桥梁—终点检查有效力量、连续性与承载；卡点为“其他”时，仅生成通关候选，不直接定用神。</x:v>
      </x:c>
      <x:c r="AF87" s="82" t="str">
        <x:v>较高</x:v>
      </x:c>
      <x:c r="AG87" s="82" t="str">
        <x:v>现代综合</x:v>
      </x:c>
      <x:c r="AH87" s="68" t="str">
        <x:v>流通判断以五行有效力量、生克顺序与十神功能为核心；古典依据可参照《滴天髓》《渊海子平》。 https://zh.wikisource.org/wiki/%E6%BB%B4%E5%A4%A9%E9%AB%93%E9%97%A1%E5%BE%AE https://zh.wikisource.org/zh-hans/%E6%B7%B5%E6%B5%B7%E5%AD%90%E5%B9%B3</x:v>
      </x:c>
      <x:c r="AI87" s="68" t="str">
        <x:v>当“通关五行同时强制格神、关键印食或破坏M11已成立的主组合”真实成立，且桥梁具备有效力量和连续作用条件时，可按“通关五行若破坏已成立核心组合需降低优先级”记录。</x:v>
      </x:c>
      <x:c r="AJ87" s="90" t="str">
        <x:v>仅见表面缺失或五行相克，但未证明“通关五行同时强制格神、关键印食或破坏M11已成立的主组合”形成实际阻断时，不得套用“通关五行若破坏已成立核心组合需降低优先级”。</x:v>
      </x:c>
      <x:c r="AK87" s="82" t="str">
        <x:v>采用</x:v>
      </x:c>
      <x:c r="AL87" s="82" t="str">
        <x:v>初审</x:v>
      </x:c>
      <x:c r="AM87" s="87" t="n">
        <x:v>46255</x:v>
      </x:c>
    </x:row>
    <x:row r="88">
      <x:c r="A88" s="72" t="str">
        <x:f>IF(OR(C88="",D88=""),"",B88&amp;"-"&amp;UPPER(C88)&amp;"-"&amp;TEXT(D88,"0000")&amp;"-"&amp;E88)</x:f>
        <x:v>M12-TONGGUAN-0082-V1.0</x:v>
      </x:c>
      <x:c r="B88" s="74" t="str">
        <x:v>M12</x:v>
      </x:c>
      <x:c r="C88" s="74" t="str">
        <x:v>TONGGUAN</x:v>
      </x:c>
      <x:c r="D88" s="215" t="n">
        <x:v>82</x:v>
      </x:c>
      <x:c r="E88" s="74" t="str">
        <x:v>V1.0</x:v>
      </x:c>
      <x:c r="F88" s="68" t="str">
        <x:v>多个通关候选并存时优先副作用更小者</x:v>
      </x:c>
      <x:c r="G88" s="82" t="str">
        <x:v>结构层</x:v>
      </x:c>
      <x:c r="H88" s="68" t="str">
        <x:v>复合路径</x:v>
      </x:c>
      <x:c r="I88" s="68" t="str">
        <x:v>主矛盾起点</x:v>
      </x:c>
      <x:c r="J88" s="68" t="str">
        <x:v>多个通关候选</x:v>
      </x:c>
      <x:c r="K88" s="68" t="str">
        <x:v>主矛盾终点</x:v>
      </x:c>
      <x:c r="L88" s="82" t="str">
        <x:v>待定</x:v>
      </x:c>
      <x:c r="M88" s="82" t="str">
        <x:v>待定</x:v>
      </x:c>
      <x:c r="N88" s="68" t="str">
        <x:v>待定</x:v>
      </x:c>
      <x:c r="O88" s="68" t="str">
        <x:v>待定</x:v>
      </x:c>
      <x:c r="P88" s="68" t="str">
        <x:v>待定</x:v>
      </x:c>
      <x:c r="Q88" s="82" t="str">
        <x:v>待定</x:v>
      </x:c>
      <x:c r="R88" s="82" t="str">
        <x:v>其他</x:v>
      </x:c>
      <x:c r="S88" s="68" t="str">
        <x:v>待定</x:v>
      </x:c>
      <x:c r="T88" s="68" t="str">
        <x:v>存在两种以上可解决同一卡点的路径</x:v>
      </x:c>
      <x:c r="U88" s="68" t="str">
        <x:v>候选A/B并列</x:v>
      </x:c>
      <x:c r="V88" s="68" t="str">
        <x:v>比较通路强度、所需条件、调候、格局和承载副作用</x:v>
      </x:c>
      <x:c r="W88" s="90" t="str">
        <x:v>需检查对调候、格局、日主承载及其他通路的副作用</x:v>
      </x:c>
      <x:c r="X88" s="68" t="str">
        <x:v>M06关系效应、M08五行有效旺衰、M10十神功能与M11组合判断已完成</x:v>
      </x:c>
      <x:c r="Y88" s="68" t="str">
        <x:v>起点、桥梁、终点均按有效力量与实际作用路径判断</x:v>
      </x:c>
      <x:c r="Z88" s="68" t="str">
        <x:v>桥梁有根有源、透达、位置可达且不存在关键制约</x:v>
      </x:c>
      <x:c r="AA88" s="68" t="str">
        <x:v>桥梁失令、无根、受克、合绊、改性或同时被多路调用</x:v>
      </x:c>
      <x:c r="AB88" s="90" t="str">
        <x:v>不得仅因五行缺失、数量少或关系名称直接认定卡点或通关用神</x:v>
      </x:c>
      <x:c r="AC88" s="68" t="str">
        <x:v>若存在更短、更强或副作用更小的替代路径，应并列比较后再裁定</x:v>
      </x:c>
      <x:c r="AD88" s="84" t="str">
        <x:v>通关候选排序</x:v>
      </x:c>
      <x:c r="AE88" s="84" t="str">
        <x:v>多个通关候选并存时，M12仅排序“通路效率＋副作用”；最终主次由M17/M18裁决。</x:v>
      </x:c>
      <x:c r="AF88" s="82" t="str">
        <x:v>较高</x:v>
      </x:c>
      <x:c r="AG88" s="82" t="str">
        <x:v>现代综合</x:v>
      </x:c>
      <x:c r="AH88" s="68" t="str">
        <x:v>流通判断以五行有效力量、生克顺序与十神功能为核心；古典依据可参照《滴天髓》《渊海子平》。 https://zh.wikisource.org/wiki/%E6%BB%B4%E5%A4%A9%E9%AB%93%E9%97%A1%E5%BE%AE https://zh.wikisource.org/zh-hans/%E6%B7%B5%E6%B5%B7%E5%AD%90%E5%B9%B3</x:v>
      </x:c>
      <x:c r="AI88" s="68" t="str">
        <x:v>当“存在两种以上可解决同一卡点的路径”真实成立，且桥梁具备有效力量和连续作用条件时，可按“多个通关候选并存时优先副作用更小者”记录。</x:v>
      </x:c>
      <x:c r="AJ88" s="90" t="str">
        <x:v>仅见表面缺失或五行相克，但未证明“存在两种以上可解决同一卡点的路径”形成实际阻断时，不得套用“多个通关候选并存时优先副作用更小者”。</x:v>
      </x:c>
      <x:c r="AK88" s="82" t="str">
        <x:v>采用</x:v>
      </x:c>
      <x:c r="AL88" s="82" t="str">
        <x:v>初审</x:v>
      </x:c>
      <x:c r="AM88" s="87" t="n">
        <x:v>46255</x:v>
      </x:c>
    </x:row>
    <x:row r="89">
      <x:c r="A89" s="72" t="str">
        <x:f>IF(OR(C89="",D89=""),"",B89&amp;"-"&amp;UPPER(C89)&amp;"-"&amp;TEXT(D89,"0000")&amp;"-"&amp;E89)</x:f>
        <x:v>M12-AGG-0083-V1.0</x:v>
      </x:c>
      <x:c r="B89" s="74" t="str">
        <x:v>M12</x:v>
      </x:c>
      <x:c r="C89" s="74" t="str">
        <x:v>AGG</x:v>
      </x:c>
      <x:c r="D89" s="215" t="n">
        <x:v>83</x:v>
      </x:c>
      <x:c r="E89" s="74" t="str">
        <x:v>V1.0</x:v>
      </x:c>
      <x:c r="F89" s="68" t="str">
        <x:v>主流通路径按覆盖范围和稳定性排序</x:v>
      </x:c>
      <x:c r="G89" s="82" t="str">
        <x:v>结构层</x:v>
      </x:c>
      <x:c r="H89" s="68" t="str">
        <x:v>综合路径</x:v>
      </x:c>
      <x:c r="I89" s="68" t="str">
        <x:v>多个起点</x:v>
      </x:c>
      <x:c r="J89" s="68" t="str">
        <x:v>多个桥梁</x:v>
      </x:c>
      <x:c r="K89" s="68" t="str">
        <x:v>多个终点</x:v>
      </x:c>
      <x:c r="L89" s="82" t="str">
        <x:v>待定</x:v>
      </x:c>
      <x:c r="M89" s="82" t="str">
        <x:v>待定</x:v>
      </x:c>
      <x:c r="N89" s="68" t="str">
        <x:v>待定</x:v>
      </x:c>
      <x:c r="O89" s="68" t="str">
        <x:v>待定</x:v>
      </x:c>
      <x:c r="P89" s="68" t="str">
        <x:v>待定</x:v>
      </x:c>
      <x:c r="Q89" s="82" t="str">
        <x:v>待定</x:v>
      </x:c>
      <x:c r="R89" s="82" t="str">
        <x:v>其他</x:v>
      </x:c>
      <x:c r="S89" s="68" t="str">
        <x:v>待定</x:v>
      </x:c>
      <x:c r="T89" s="68" t="str">
        <x:v>原局存在多条有效生化链，但作用范围和稳定性不同</x:v>
      </x:c>
      <x:c r="U89" s="68" t="str">
        <x:v>待定</x:v>
      </x:c>
      <x:c r="V89" s="68" t="str">
        <x:v>待定</x:v>
      </x:c>
      <x:c r="W89" s="90" t="str">
        <x:v>需检查对调候、格局、日主承载及其他通路的副作用</x:v>
      </x:c>
      <x:c r="X89" s="68" t="str">
        <x:v>M06关系效应、M08五行有效旺衰、M10十神功能与M11组合判断已完成</x:v>
      </x:c>
      <x:c r="Y89" s="68" t="str">
        <x:v>起点、桥梁、终点均按有效力量与实际作用路径判断</x:v>
      </x:c>
      <x:c r="Z89" s="68" t="str">
        <x:v>桥梁有根有源、透达、位置可达且不存在关键制约</x:v>
      </x:c>
      <x:c r="AA89" s="68" t="str">
        <x:v>桥梁失令、无根、受克、合绊、改性或同时被多路调用</x:v>
      </x:c>
      <x:c r="AB89" s="90" t="str">
        <x:v>不得仅因五行缺失、数量少或关系名称直接认定卡点或通关用神</x:v>
      </x:c>
      <x:c r="AC89" s="68" t="str">
        <x:v>若存在更短、更强或副作用更小的替代路径，应并列比较后再裁定</x:v>
      </x:c>
      <x:c r="AD89" s="84" t="str">
        <x:v>主流通路径排序</x:v>
      </x:c>
      <x:c r="AE89" s="84" t="str">
        <x:v>优先输出覆盖核心五行/十神最多、桥梁最稳定、路径更短且副作用较小的1—3条主流通路径。</x:v>
      </x:c>
      <x:c r="AF89" s="82" t="str">
        <x:v>较高</x:v>
      </x:c>
      <x:c r="AG89" s="82" t="str">
        <x:v>现代综合</x:v>
      </x:c>
      <x:c r="AH89" s="68" t="str">
        <x:v>流通判断以五行有效力量、生克顺序与十神功能为核心；古典依据可参照《滴天髓》《渊海子平》。 https://zh.wikisource.org/wiki/%E6%BB%B4%E5%A4%A9%E9%AB%93%E9%97%A1%E5%BE%AE https://zh.wikisource.org/zh-hans/%E6%B7%B5%E6%B5%B7%E5%AD%90%E5%B9%B3</x:v>
      </x:c>
      <x:c r="AI89" s="68" t="str">
        <x:v>当“原局存在多条有效生化链，但作用范围和稳定性不同”真实成立，且桥梁具备有效力量和连续作用条件时，可按“主流通路径按覆盖范围和稳定性排序”记录。</x:v>
      </x:c>
      <x:c r="AJ89" s="90" t="str">
        <x:v>仅见表面缺失或五行相克，但未证明“原局存在多条有效生化链，但作用范围和稳定性不同”形成实际阻断时，不得套用“主流通路径按覆盖范围和稳定性排序”。</x:v>
      </x:c>
      <x:c r="AK89" s="82" t="str">
        <x:v>采用</x:v>
      </x:c>
      <x:c r="AL89" s="82" t="str">
        <x:v>初审</x:v>
      </x:c>
      <x:c r="AM89" s="87" t="n">
        <x:v>46255</x:v>
      </x:c>
    </x:row>
    <x:row r="90">
      <x:c r="A90" s="72" t="str">
        <x:f>IF(OR(C90="",D90=""),"",B90&amp;"-"&amp;UPPER(C90)&amp;"-"&amp;TEXT(D90,"0000")&amp;"-"&amp;E90)</x:f>
        <x:v>M12-AGG-0084-V1.0</x:v>
      </x:c>
      <x:c r="B90" s="74" t="str">
        <x:v>M12</x:v>
      </x:c>
      <x:c r="C90" s="74" t="str">
        <x:v>AGG</x:v>
      </x:c>
      <x:c r="D90" s="215" t="n">
        <x:v>84</x:v>
      </x:c>
      <x:c r="E90" s="74" t="str">
        <x:v>V1.0</x:v>
      </x:c>
      <x:c r="F90" s="68" t="str">
        <x:v>主卡点按阻断强度和影响范围排序</x:v>
      </x:c>
      <x:c r="G90" s="82" t="str">
        <x:v>结构层</x:v>
      </x:c>
      <x:c r="H90" s="68" t="str">
        <x:v>综合路径</x:v>
      </x:c>
      <x:c r="I90" s="68" t="str">
        <x:v>多路径</x:v>
      </x:c>
      <x:c r="J90" s="68" t="str">
        <x:v>多卡点</x:v>
      </x:c>
      <x:c r="K90" s="68" t="str">
        <x:v>多终点</x:v>
      </x:c>
      <x:c r="L90" s="82" t="str">
        <x:v>待定</x:v>
      </x:c>
      <x:c r="M90" s="82" t="str">
        <x:v>待定</x:v>
      </x:c>
      <x:c r="N90" s="68" t="str">
        <x:v>待定</x:v>
      </x:c>
      <x:c r="O90" s="68" t="str">
        <x:v>待定</x:v>
      </x:c>
      <x:c r="P90" s="68" t="str">
        <x:v>待定</x:v>
      </x:c>
      <x:c r="Q90" s="82" t="str">
        <x:v>局部阻塞</x:v>
      </x:c>
      <x:c r="R90" s="82" t="str">
        <x:v>其他</x:v>
      </x:c>
      <x:c r="S90" s="68" t="str">
        <x:v>待定</x:v>
      </x:c>
      <x:c r="T90" s="68" t="str">
        <x:v>多个卡点对全局影响程度不同</x:v>
      </x:c>
      <x:c r="U90" s="68" t="str">
        <x:v>待定</x:v>
      </x:c>
      <x:c r="V90" s="68" t="str">
        <x:v>待定</x:v>
      </x:c>
      <x:c r="W90" s="90" t="str">
        <x:v>需检查对调候、格局、日主承载及其他通路的副作用</x:v>
      </x:c>
      <x:c r="X90" s="68" t="str">
        <x:v>M06关系效应、M08五行有效旺衰、M10十神功能与M11组合判断已完成</x:v>
      </x:c>
      <x:c r="Y90" s="68" t="str">
        <x:v>起点、桥梁、终点均按有效力量与实际作用路径判断</x:v>
      </x:c>
      <x:c r="Z90" s="68" t="str">
        <x:v>桥梁有根有源、透达、位置可达且不存在关键制约</x:v>
      </x:c>
      <x:c r="AA90" s="68" t="str">
        <x:v>桥梁失令、无根、受克、合绊、改性或同时被多路调用</x:v>
      </x:c>
      <x:c r="AB90" s="90" t="str">
        <x:v>不得仅因五行缺失、数量少或关系名称直接认定卡点或通关用神</x:v>
      </x:c>
      <x:c r="AC90" s="68" t="str">
        <x:v>若存在更短、更强或副作用更小的替代路径，应并列比较后再裁定</x:v>
      </x:c>
      <x:c r="AD90" s="84" t="str">
        <x:v>主卡点排序</x:v>
      </x:c>
      <x:c r="AE90" s="84" t="str">
        <x:v>卡点排序至少考虑：是否切断主路径、涉及核心组合、阻断强度、可替代性和后续副作用。</x:v>
      </x:c>
      <x:c r="AF90" s="82" t="str">
        <x:v>较高</x:v>
      </x:c>
      <x:c r="AG90" s="82" t="str">
        <x:v>现代综合</x:v>
      </x:c>
      <x:c r="AH90" s="68" t="str">
        <x:v>流通判断以五行有效力量、生克顺序与十神功能为核心；古典依据可参照《滴天髓》《渊海子平》。 https://zh.wikisource.org/wiki/%E6%BB%B4%E5%A4%A9%E9%AB%93%E9%97%A1%E5%BE%AE https://zh.wikisource.org/zh-hans/%E6%B7%B5%E6%B5%B7%E5%AD%90%E5%B9%B3</x:v>
      </x:c>
      <x:c r="AI90" s="68" t="str">
        <x:v>当“多个卡点对全局影响程度不同”真实成立，且桥梁具备有效力量和连续作用条件时，可按“主卡点按阻断强度和影响范围排序”记录。</x:v>
      </x:c>
      <x:c r="AJ90" s="90" t="str">
        <x:v>仅见表面缺失或五行相克，但未证明“多个卡点对全局影响程度不同”形成实际阻断时，不得套用“主卡点按阻断强度和影响范围排序”。</x:v>
      </x:c>
      <x:c r="AK90" s="82" t="str">
        <x:v>采用</x:v>
      </x:c>
      <x:c r="AL90" s="82" t="str">
        <x:v>初审</x:v>
      </x:c>
      <x:c r="AM90" s="87" t="n">
        <x:v>46255</x:v>
      </x:c>
    </x:row>
    <x:row r="91">
      <x:c r="A91" s="72" t="str">
        <x:f>IF(OR(C91="",D91=""),"",B91&amp;"-"&amp;UPPER(C91)&amp;"-"&amp;TEXT(D91,"0000")&amp;"-"&amp;E91)</x:f>
        <x:v>M12-AGG-0085-V1.0</x:v>
      </x:c>
      <x:c r="B91" s="74" t="str">
        <x:v>M12</x:v>
      </x:c>
      <x:c r="C91" s="74" t="str">
        <x:v>AGG</x:v>
      </x:c>
      <x:c r="D91" s="215" t="n">
        <x:v>85</x:v>
      </x:c>
      <x:c r="E91" s="74" t="str">
        <x:v>V1.0</x:v>
      </x:c>
      <x:c r="F91" s="68" t="str">
        <x:v>流通结论必须保留反向证据</x:v>
      </x:c>
      <x:c r="G91" s="82" t="str">
        <x:v>结构层</x:v>
      </x:c>
      <x:c r="H91" s="68" t="str">
        <x:v>综合路径</x:v>
      </x:c>
      <x:c r="I91" s="68" t="str">
        <x:v>主路径</x:v>
      </x:c>
      <x:c r="J91" s="68" t="str">
        <x:v>关键桥梁</x:v>
      </x:c>
      <x:c r="K91" s="68" t="str">
        <x:v>终点</x:v>
      </x:c>
      <x:c r="L91" s="82" t="str">
        <x:v>待定</x:v>
      </x:c>
      <x:c r="M91" s="82" t="str">
        <x:v>待定</x:v>
      </x:c>
      <x:c r="N91" s="68" t="str">
        <x:v>待定</x:v>
      </x:c>
      <x:c r="O91" s="68" t="str">
        <x:v>待定</x:v>
      </x:c>
      <x:c r="P91" s="68" t="str">
        <x:v>待定</x:v>
      </x:c>
      <x:c r="Q91" s="82" t="str">
        <x:v>待定</x:v>
      </x:c>
      <x:c r="R91" s="82" t="str">
        <x:v>其他</x:v>
      </x:c>
      <x:c r="S91" s="68" t="str">
        <x:v>待定</x:v>
      </x:c>
      <x:c r="T91" s="68" t="str">
        <x:v>主结论存在支持与反对证据并存</x:v>
      </x:c>
      <x:c r="U91" s="68" t="str">
        <x:v>待定</x:v>
      </x:c>
      <x:c r="V91" s="68" t="str">
        <x:v>待定</x:v>
      </x:c>
      <x:c r="W91" s="90" t="str">
        <x:v>需检查对调候、格局、日主承载及其他通路的副作用</x:v>
      </x:c>
      <x:c r="X91" s="68" t="str">
        <x:v>M06关系效应、M08五行有效旺衰、M10十神功能与M11组合判断已完成</x:v>
      </x:c>
      <x:c r="Y91" s="68" t="str">
        <x:v>起点、桥梁、终点均按有效力量与实际作用路径判断</x:v>
      </x:c>
      <x:c r="Z91" s="68" t="str">
        <x:v>桥梁有根有源、透达、位置可达且不存在关键制约</x:v>
      </x:c>
      <x:c r="AA91" s="68" t="str">
        <x:v>桥梁失令、无根、受克、合绊、改性或同时被多路调用</x:v>
      </x:c>
      <x:c r="AB91" s="90" t="str">
        <x:v>不得仅因五行缺失、数量少或关系名称直接认定卡点或通关用神</x:v>
      </x:c>
      <x:c r="AC91" s="68" t="str">
        <x:v>若存在更短、更强或副作用更小的替代路径，应并列比较后再裁定</x:v>
      </x:c>
      <x:c r="AD91" s="84" t="str">
        <x:v>流通反证输出</x:v>
      </x:c>
      <x:c r="AE91" s="84" t="str">
        <x:v>每个主路径/卡点同时记录支持证据、反向证据、替代路径与置信度；争议大时降低置信度。</x:v>
      </x:c>
      <x:c r="AF91" s="82" t="str">
        <x:v>较高</x:v>
      </x:c>
      <x:c r="AG91" s="82" t="str">
        <x:v>现代综合</x:v>
      </x:c>
      <x:c r="AH91" s="68" t="str">
        <x:v>流通判断以五行有效力量、生克顺序与十神功能为核心；古典依据可参照《滴天髓》《渊海子平》。 https://zh.wikisource.org/wiki/%E6%BB%B4%E5%A4%A9%E9%AB%93%E9%97%A1%E5%BE%AE https://zh.wikisource.org/zh-hans/%E6%B7%B5%E6%B5%B7%E5%AD%90%E5%B9%B3</x:v>
      </x:c>
      <x:c r="AI91" s="68" t="str">
        <x:v>当“主结论存在支持与反对证据并存”真实成立，且桥梁具备有效力量和连续作用条件时，可按“流通结论必须保留反向证据”记录。</x:v>
      </x:c>
      <x:c r="AJ91" s="90" t="str">
        <x:v>仅见表面缺失或五行相克，但未证明“主结论存在支持与反对证据并存”形成实际阻断时，不得套用“流通结论必须保留反向证据”。</x:v>
      </x:c>
      <x:c r="AK91" s="82" t="str">
        <x:v>采用</x:v>
      </x:c>
      <x:c r="AL91" s="82" t="str">
        <x:v>初审</x:v>
      </x:c>
      <x:c r="AM91" s="87" t="n">
        <x:v>46255</x:v>
      </x:c>
    </x:row>
    <x:row r="92">
      <x:c r="A92" s="72" t="str">
        <x:f>IF(OR(C92="",D92=""),"",B92&amp;"-"&amp;UPPER(C92)&amp;"-"&amp;TEXT(D92,"0000")&amp;"-"&amp;E92)</x:f>
        <x:v>M12-AGG-0086-V1.0</x:v>
      </x:c>
      <x:c r="B92" s="74" t="str">
        <x:v>M12</x:v>
      </x:c>
      <x:c r="C92" s="74" t="str">
        <x:v>AGG</x:v>
      </x:c>
      <x:c r="D92" s="215" t="n">
        <x:v>86</x:v>
      </x:c>
      <x:c r="E92" s="74" t="str">
        <x:v>V1.0</x:v>
      </x:c>
      <x:c r="F92" s="68" t="str">
        <x:v>M12最终输出统一包含路径、卡点、通关和副作用</x:v>
      </x:c>
      <x:c r="G92" s="82" t="str">
        <x:v>结构层</x:v>
      </x:c>
      <x:c r="H92" s="68" t="str">
        <x:v>综合路径</x:v>
      </x:c>
      <x:c r="I92" s="68" t="str">
        <x:v>主起点</x:v>
      </x:c>
      <x:c r="J92" s="68" t="str">
        <x:v>主桥梁</x:v>
      </x:c>
      <x:c r="K92" s="68" t="str">
        <x:v>主终点</x:v>
      </x:c>
      <x:c r="L92" s="82" t="str">
        <x:v>待定</x:v>
      </x:c>
      <x:c r="M92" s="82" t="str">
        <x:v>待定</x:v>
      </x:c>
      <x:c r="N92" s="68" t="str">
        <x:v>待定</x:v>
      </x:c>
      <x:c r="O92" s="68" t="str">
        <x:v>待定</x:v>
      </x:c>
      <x:c r="P92" s="68" t="str">
        <x:v>待定</x:v>
      </x:c>
      <x:c r="Q92" s="82" t="str">
        <x:v>待定</x:v>
      </x:c>
      <x:c r="R92" s="82" t="str">
        <x:v>其他</x:v>
      </x:c>
      <x:c r="S92" s="68" t="str">
        <x:v>待定</x:v>
      </x:c>
      <x:c r="T92" s="68" t="str">
        <x:v>M12完成全局流通扫描</x:v>
      </x:c>
      <x:c r="U92" s="68" t="str">
        <x:v>待定</x:v>
      </x:c>
      <x:c r="V92" s="68" t="str">
        <x:v>待定</x:v>
      </x:c>
      <x:c r="W92" s="90" t="str">
        <x:v>需检查对调候、格局、日主承载及其他通路的副作用</x:v>
      </x:c>
      <x:c r="X92" s="68" t="str">
        <x:v>M06关系效应、M08五行有效旺衰、M10十神功能与M11组合判断已完成</x:v>
      </x:c>
      <x:c r="Y92" s="68" t="str">
        <x:v>起点、桥梁、终点均按有效力量与实际作用路径判断</x:v>
      </x:c>
      <x:c r="Z92" s="68" t="str">
        <x:v>桥梁有根有源、透达、位置可达且不存在关键制约</x:v>
      </x:c>
      <x:c r="AA92" s="68" t="str">
        <x:v>桥梁失令、无根、受克、合绊、改性或同时被多路调用</x:v>
      </x:c>
      <x:c r="AB92" s="90" t="str">
        <x:v>不得仅因五行缺失、数量少或关系名称直接认定卡点或通关用神</x:v>
      </x:c>
      <x:c r="AC92" s="68" t="str">
        <x:v>若存在更短、更强或副作用更小的替代路径，应并列比较后再裁定</x:v>
      </x:c>
      <x:c r="AD92" s="84" t="str">
        <x:v>M12标准输出</x:v>
      </x:c>
      <x:c r="AE92" s="84" t="str">
        <x:v>M12最终至少输出：主流通路径、起点强度、关键桥梁及状态、终点承载、流通状态、主卡点、卡点原因、通关候选、成立条件、副作用、替代路径与置信度。</x:v>
      </x:c>
      <x:c r="AF92" s="82" t="str">
        <x:v>较高</x:v>
      </x:c>
      <x:c r="AG92" s="82" t="str">
        <x:v>现代综合</x:v>
      </x:c>
      <x:c r="AH92" s="68" t="str">
        <x:v>流通判断以五行有效力量、生克顺序与十神功能为核心；古典依据可参照《滴天髓》《渊海子平》。 https://zh.wikisource.org/wiki/%E6%BB%B4%E5%A4%A9%E9%AB%93%E9%97%A1%E5%BE%AE https://zh.wikisource.org/zh-hans/%E6%B7%B5%E6%B5%B7%E5%AD%90%E5%B9%B3</x:v>
      </x:c>
      <x:c r="AI92" s="68" t="str">
        <x:v>当“M12完成全局流通扫描”真实成立，且桥梁具备有效力量和连续作用条件时，可按“M12最终输出统一包含路径、卡点、通关和副作用”记录。</x:v>
      </x:c>
      <x:c r="AJ92" s="90" t="str">
        <x:v>仅见表面缺失或五行相克，但未证明“M12完成全局流通扫描”形成实际阻断时，不得套用“M12最终输出统一包含路径、卡点、通关和副作用”。</x:v>
      </x:c>
      <x:c r="AK92" s="82" t="str">
        <x:v>采用</x:v>
      </x:c>
      <x:c r="AL92" s="82" t="str">
        <x:v>初审</x:v>
      </x:c>
      <x:c r="AM92" s="87" t="n">
        <x:v>46255</x:v>
      </x:c>
    </x:row>
    <x:row r="93">
      <x:c r="A93" s="72" t="str">
        <x:f>IF(OR(C93="",D93=""),"",B93&amp;"-"&amp;UPPER(C93)&amp;"-"&amp;TEXT(D93,"0000")&amp;"-"&amp;E93)</x:f>
        <x:v>M12-BOUND-0087-V1.0</x:v>
      </x:c>
      <x:c r="B93" s="74" t="str">
        <x:v>M12</x:v>
      </x:c>
      <x:c r="C93" s="74" t="str">
        <x:v>BOUND</x:v>
      </x:c>
      <x:c r="D93" s="215" t="n">
        <x:v>87</x:v>
      </x:c>
      <x:c r="E93" s="74" t="str">
        <x:v>V1.0</x:v>
      </x:c>
      <x:c r="F93" s="68" t="str">
        <x:v>缺什么补什么不属于M12规则</x:v>
      </x:c>
      <x:c r="G93" s="82" t="str">
        <x:v>结构层</x:v>
      </x:c>
      <x:c r="H93" s="68" t="str">
        <x:v>五行生化路径</x:v>
      </x:c>
      <x:c r="I93" s="68" t="str">
        <x:v>待定</x:v>
      </x:c>
      <x:c r="J93" s="68" t="str">
        <x:v>待定</x:v>
      </x:c>
      <x:c r="K93" s="68" t="str">
        <x:v>待定</x:v>
      </x:c>
      <x:c r="L93" s="82" t="str">
        <x:v>待定</x:v>
      </x:c>
      <x:c r="M93" s="82" t="str">
        <x:v>待定</x:v>
      </x:c>
      <x:c r="N93" s="68" t="str">
        <x:v>待定</x:v>
      </x:c>
      <x:c r="O93" s="68" t="str">
        <x:v>待定</x:v>
      </x:c>
      <x:c r="P93" s="68" t="str">
        <x:v>待定</x:v>
      </x:c>
      <x:c r="Q93" s="82" t="str">
        <x:v>待定</x:v>
      </x:c>
      <x:c r="R93" s="82" t="str">
        <x:v>缺桥</x:v>
      </x:c>
      <x:c r="S93" s="68" t="str">
        <x:v>待定</x:v>
      </x:c>
      <x:c r="T93" s="68" t="str">
        <x:v>仅因某五行在八字中缺失就直接判断需要补入</x:v>
      </x:c>
      <x:c r="U93" s="68" t="str">
        <x:v>待定</x:v>
      </x:c>
      <x:c r="V93" s="68" t="str">
        <x:v>待定</x:v>
      </x:c>
      <x:c r="W93" s="90" t="str">
        <x:v>需检查对调候、格局、日主承载及其他通路的副作用</x:v>
      </x:c>
      <x:c r="X93" s="68" t="str">
        <x:v>M06关系效应、M08五行有效旺衰、M10十神功能与M11组合判断已完成</x:v>
      </x:c>
      <x:c r="Y93" s="68" t="str">
        <x:v>起点、桥梁、终点均按有效力量与实际作用路径判断</x:v>
      </x:c>
      <x:c r="Z93" s="68" t="str">
        <x:v>桥梁有根有源、透达、位置可达且不存在关键制约</x:v>
      </x:c>
      <x:c r="AA93" s="68" t="str">
        <x:v>桥梁失令、无根、受克、合绊、改性或同时被多路调用</x:v>
      </x:c>
      <x:c r="AB93" s="90" t="str">
        <x:v>只有当该缺失五行确为关键路径不可替代桥梁，并且补入副作用可接受时，才能列为通关候选</x:v>
      </x:c>
      <x:c r="AC93" s="68" t="str">
        <x:v>若存在更短、更强或副作用更小的替代路径，应并列比较后再裁定</x:v>
      </x:c>
      <x:c r="AD93" s="84" t="str">
        <x:v>禁止缺啥补啥</x:v>
      </x:c>
      <x:c r="AE93" s="84" t="str">
        <x:v>缺什么补什么不属于M12规则：按起点—桥梁—终点检查有效力量、连续性与承载；卡点为“缺桥”时，仅生成通关候选，不直接定用神。</x:v>
      </x:c>
      <x:c r="AF93" s="82" t="str">
        <x:v>较高</x:v>
      </x:c>
      <x:c r="AG93" s="82" t="str">
        <x:v>现代综合</x:v>
      </x:c>
      <x:c r="AH93" s="68" t="str">
        <x:v>流通判断以五行有效力量、生克顺序与十神功能为核心；古典依据可参照《滴天髓》《渊海子平》。 https://zh.wikisource.org/wiki/%E6%BB%B4%E5%A4%A9%E9%AB%93%E9%97%A1%E5%BE%AE https://zh.wikisource.org/zh-hans/%E6%B7%B5%E6%B5%B7%E5%AD%90%E5%B9%B3</x:v>
      </x:c>
      <x:c r="AI93" s="68" t="str">
        <x:v>当“仅因某五行在八字中缺失就直接判断需要补入”真实成立，且桥梁具备有效力量和连续作用条件时，可按“缺什么补什么不属于M12规则”记录。</x:v>
      </x:c>
      <x:c r="AJ93" s="90" t="str">
        <x:v>仅见表面缺失或五行相克，但未证明“仅因某五行在八字中缺失就直接判断需要补入”形成实际阻断时，不得套用“缺什么补什么不属于M12规则”。</x:v>
      </x:c>
      <x:c r="AK93" s="82" t="str">
        <x:v>采用</x:v>
      </x:c>
      <x:c r="AL93" s="82" t="str">
        <x:v>初审</x:v>
      </x:c>
      <x:c r="AM93" s="87" t="n">
        <x:v>46255</x:v>
      </x:c>
    </x:row>
    <x:row r="94">
      <x:c r="A94" s="72" t="str">
        <x:f>IF(OR(C94="",D94=""),"",B94&amp;"-"&amp;UPPER(C94)&amp;"-"&amp;TEXT(D94,"0000")&amp;"-"&amp;E94)</x:f>
        <x:v>M12-BOUND-0088-V1.0</x:v>
      </x:c>
      <x:c r="B94" s="74" t="str">
        <x:v>M12</x:v>
      </x:c>
      <x:c r="C94" s="74" t="str">
        <x:v>BOUND</x:v>
      </x:c>
      <x:c r="D94" s="215" t="n">
        <x:v>88</x:v>
      </x:c>
      <x:c r="E94" s="74" t="str">
        <x:v>V1.0</x:v>
      </x:c>
      <x:c r="F94" s="68" t="str">
        <x:v>旺而不流通与力量弱必须区分</x:v>
      </x:c>
      <x:c r="G94" s="82" t="str">
        <x:v>结构层</x:v>
      </x:c>
      <x:c r="H94" s="68" t="str">
        <x:v>五行生化路径</x:v>
      </x:c>
      <x:c r="I94" s="68" t="str">
        <x:v>旺强五行</x:v>
      </x:c>
      <x:c r="J94" s="68" t="str">
        <x:v>失效下游</x:v>
      </x:c>
      <x:c r="K94" s="68" t="str">
        <x:v>终点</x:v>
      </x:c>
      <x:c r="L94" s="82" t="str">
        <x:v>旺</x:v>
      </x:c>
      <x:c r="M94" s="82" t="str">
        <x:v>待定</x:v>
      </x:c>
      <x:c r="N94" s="68" t="str">
        <x:v>待定</x:v>
      </x:c>
      <x:c r="O94" s="68" t="str">
        <x:v>待定</x:v>
      </x:c>
      <x:c r="P94" s="68" t="str">
        <x:v>待定</x:v>
      </x:c>
      <x:c r="Q94" s="82" t="str">
        <x:v>局部阻塞</x:v>
      </x:c>
      <x:c r="R94" s="82" t="str">
        <x:v>源头过旺无泄</x:v>
      </x:c>
      <x:c r="S94" s="68" t="str">
        <x:v>待定</x:v>
      </x:c>
      <x:c r="T94" s="68" t="str">
        <x:v>起点本身很强，但缺少有效输出路径</x:v>
      </x:c>
      <x:c r="U94" s="68" t="str">
        <x:v>待定</x:v>
      </x:c>
      <x:c r="V94" s="68" t="str">
        <x:v>待定</x:v>
      </x:c>
      <x:c r="W94" s="90" t="str">
        <x:v>需检查对调候、格局、日主承载及其他通路的副作用</x:v>
      </x:c>
      <x:c r="X94" s="68" t="str">
        <x:v>M06关系效应、M08五行有效旺衰、M10十神功能与M11组合判断已完成</x:v>
      </x:c>
      <x:c r="Y94" s="68" t="str">
        <x:v>起点、桥梁、终点均按有效力量与实际作用路径判断</x:v>
      </x:c>
      <x:c r="Z94" s="68" t="str">
        <x:v>桥梁有根有源、透达、位置可达且不存在关键制约</x:v>
      </x:c>
      <x:c r="AA94" s="68" t="str">
        <x:v>桥梁失令、无根、受克、合绊、改性或同时被多路调用</x:v>
      </x:c>
      <x:c r="AB94" s="90" t="str">
        <x:v>不得仅因五行缺失、数量少或关系名称直接认定卡点或通关用神</x:v>
      </x:c>
      <x:c r="AC94" s="68" t="str">
        <x:v>若存在更短、更强或副作用更小的替代路径，应并列比较后再裁定</x:v>
      </x:c>
      <x:c r="AD94" s="84" t="str">
        <x:v>力量与流通分离</x:v>
      </x:c>
      <x:c r="AE94" s="84" t="str">
        <x:v>旺而不流通仍判该五行旺；流通问题记录为功能壅塞，不得因此把五行旺衰下调为弱。</x:v>
      </x:c>
      <x:c r="AF94" s="82" t="str">
        <x:v>较高</x:v>
      </x:c>
      <x:c r="AG94" s="82" t="str">
        <x:v>现代综合</x:v>
      </x:c>
      <x:c r="AH94" s="68" t="str">
        <x:v>流通判断以五行有效力量、生克顺序与十神功能为核心；古典依据可参照《滴天髓》《渊海子平》。 https://zh.wikisource.org/wiki/%E6%BB%B4%E5%A4%A9%E9%AB%93%E9%97%A1%E5%BE%AE https://zh.wikisource.org/zh-hans/%E6%B7%B5%E6%B5%B7%E5%AD%90%E5%B9%B3</x:v>
      </x:c>
      <x:c r="AI94" s="68" t="str">
        <x:v>当“起点本身很强，但缺少有效输出路径”真实成立，且桥梁具备有效力量和连续作用条件时，可按“旺而不流通与力量弱必须区分”记录。</x:v>
      </x:c>
      <x:c r="AJ94" s="90" t="str">
        <x:v>仅见表面缺失或五行相克，但未证明“起点本身很强，但缺少有效输出路径”形成实际阻断时，不得套用“旺而不流通与力量弱必须区分”。</x:v>
      </x:c>
      <x:c r="AK94" s="82" t="str">
        <x:v>采用</x:v>
      </x:c>
      <x:c r="AL94" s="82" t="str">
        <x:v>初审</x:v>
      </x:c>
      <x:c r="AM94" s="87" t="n">
        <x:v>46255</x:v>
      </x:c>
    </x:row>
    <x:row r="95">
      <x:c r="A95" s="72" t="str">
        <x:f>IF(OR(C95="",D95=""),"",B95&amp;"-"&amp;UPPER(C95)&amp;"-"&amp;TEXT(D95,"0000")&amp;"-"&amp;E95)</x:f>
        <x:v>M12-BOUND-0089-V1.0</x:v>
      </x:c>
      <x:c r="B95" s="74" t="str">
        <x:v>M12</x:v>
      </x:c>
      <x:c r="C95" s="74" t="str">
        <x:v>BOUND</x:v>
      </x:c>
      <x:c r="D95" s="215" t="n">
        <x:v>89</x:v>
      </x:c>
      <x:c r="E95" s="74" t="str">
        <x:v>V1.0</x:v>
      </x:c>
      <x:c r="F95" s="68" t="str">
        <x:v>流通通畅不等于该路径一定为喜</x:v>
      </x:c>
      <x:c r="G95" s="82" t="str">
        <x:v>结构层</x:v>
      </x:c>
      <x:c r="H95" s="68" t="str">
        <x:v>五行生化路径</x:v>
      </x:c>
      <x:c r="I95" s="68" t="str">
        <x:v>待定</x:v>
      </x:c>
      <x:c r="J95" s="68" t="str">
        <x:v>待定</x:v>
      </x:c>
      <x:c r="K95" s="68" t="str">
        <x:v>待定</x:v>
      </x:c>
      <x:c r="L95" s="82" t="str">
        <x:v>待定</x:v>
      </x:c>
      <x:c r="M95" s="82" t="str">
        <x:v>待定</x:v>
      </x:c>
      <x:c r="N95" s="68" t="str">
        <x:v>待定</x:v>
      </x:c>
      <x:c r="O95" s="68" t="str">
        <x:v>待定</x:v>
      </x:c>
      <x:c r="P95" s="68" t="str">
        <x:v>待定</x:v>
      </x:c>
      <x:c r="Q95" s="82" t="str">
        <x:v>通畅</x:v>
      </x:c>
      <x:c r="R95" s="82" t="str">
        <x:v>其他</x:v>
      </x:c>
      <x:c r="S95" s="68" t="str">
        <x:v>待定</x:v>
      </x:c>
      <x:c r="T95" s="68" t="str">
        <x:v>某条生化链连续有效，但最终可能增强忌神、破坏格局或加重调候问题</x:v>
      </x:c>
      <x:c r="U95" s="68" t="str">
        <x:v>待定</x:v>
      </x:c>
      <x:c r="V95" s="68" t="str">
        <x:v>待定</x:v>
      </x:c>
      <x:c r="W95" s="90" t="str">
        <x:v>通畅只描述能量传递效率，价值判断转M16/M17/M18</x:v>
      </x:c>
      <x:c r="X95" s="68" t="str">
        <x:v>M06关系效应、M08五行有效旺衰、M10十神功能与M11组合判断已完成</x:v>
      </x:c>
      <x:c r="Y95" s="68" t="str">
        <x:v>起点、桥梁、终点均按有效力量与实际作用路径判断</x:v>
      </x:c>
      <x:c r="Z95" s="68" t="str">
        <x:v>桥梁有根有源、透达、位置可达且不存在关键制约</x:v>
      </x:c>
      <x:c r="AA95" s="68" t="str">
        <x:v>桥梁失令、无根、受克、合绊、改性或同时被多路调用</x:v>
      </x:c>
      <x:c r="AB95" s="90" t="str">
        <x:v>不得仅因五行缺失、数量少或关系名称直接认定卡点或通关用神</x:v>
      </x:c>
      <x:c r="AC95" s="68" t="str">
        <x:v>若存在更短、更强或副作用更小的替代路径，应并列比较后再裁定</x:v>
      </x:c>
      <x:c r="AD95" s="84" t="str">
        <x:v>流通与喜忌分离</x:v>
      </x:c>
      <x:c r="AE95" s="84" t="str">
        <x:v>流通通畅不等于该路径一定为喜：按起点—桥梁—终点检查有效力量、连续性与承载；卡点为“其他”时，仅生成通关候选，不直接定用神。</x:v>
      </x:c>
      <x:c r="AF95" s="82" t="str">
        <x:v>较高</x:v>
      </x:c>
      <x:c r="AG95" s="82" t="str">
        <x:v>现代综合</x:v>
      </x:c>
      <x:c r="AH95" s="68" t="str">
        <x:v>流通判断以五行有效力量、生克顺序与十神功能为核心；古典依据可参照《滴天髓》《渊海子平》。 https://zh.wikisource.org/wiki/%E6%BB%B4%E5%A4%A9%E9%AB%93%E9%97%A1%E5%BE%AE https://zh.wikisource.org/zh-hans/%E6%B7%B5%E6%B5%B7%E5%AD%90%E5%B9%B3</x:v>
      </x:c>
      <x:c r="AI95" s="68" t="str">
        <x:v>当“某条生化链连续有效，但最终可能增强忌神、破坏格局或加重调候问题”真实成立，且桥梁具备有效力量和连续作用条件时，可按“流通通畅不等于该路径一定为喜”记录。</x:v>
      </x:c>
      <x:c r="AJ95" s="90" t="str">
        <x:v>仅见表面缺失或五行相克，但未证明“某条生化链连续有效，但最终可能增强忌神、破坏格局或加重调候问题”形成实际阻断时，不得套用“流通通畅不等于该路径一定为喜”。</x:v>
      </x:c>
      <x:c r="AK95" s="82" t="str">
        <x:v>采用</x:v>
      </x:c>
      <x:c r="AL95" s="82" t="str">
        <x:v>初审</x:v>
      </x:c>
      <x:c r="AM95" s="87" t="n">
        <x:v>46255</x:v>
      </x:c>
    </x:row>
    <x:row r="96">
      <x:c r="A96" s="72" t="str">
        <x:f>IF(OR(C96="",D96=""),"",B96&amp;"-"&amp;UPPER(C96)&amp;"-"&amp;TEXT(D96,"0000")&amp;"-"&amp;E96)</x:f>
        <x:v>M12-BOUND-0090-V1.0</x:v>
      </x:c>
      <x:c r="B96" s="74" t="str">
        <x:v>M12</x:v>
      </x:c>
      <x:c r="C96" s="74" t="str">
        <x:v>BOUND</x:v>
      </x:c>
      <x:c r="D96" s="215" t="n">
        <x:v>90</x:v>
      </x:c>
      <x:c r="E96" s="74" t="str">
        <x:v>V1.0</x:v>
      </x:c>
      <x:c r="F96" s="68" t="str">
        <x:v>M12不直接输出具体事件或岁运时间</x:v>
      </x:c>
      <x:c r="G96" s="82" t="str">
        <x:v>结构层</x:v>
      </x:c>
      <x:c r="H96" s="68" t="str">
        <x:v>五行生化路径</x:v>
      </x:c>
      <x:c r="I96" s="68" t="str">
        <x:v>待定</x:v>
      </x:c>
      <x:c r="J96" s="68" t="str">
        <x:v>待定</x:v>
      </x:c>
      <x:c r="K96" s="68" t="str">
        <x:v>待定</x:v>
      </x:c>
      <x:c r="L96" s="82" t="str">
        <x:v>待定</x:v>
      </x:c>
      <x:c r="M96" s="82" t="str">
        <x:v>待定</x:v>
      </x:c>
      <x:c r="N96" s="68" t="str">
        <x:v>待定</x:v>
      </x:c>
      <x:c r="O96" s="68" t="str">
        <x:v>待定</x:v>
      </x:c>
      <x:c r="P96" s="68" t="str">
        <x:v>待定</x:v>
      </x:c>
      <x:c r="Q96" s="82" t="str">
        <x:v>待定</x:v>
      </x:c>
      <x:c r="R96" s="82" t="str">
        <x:v>其他</x:v>
      </x:c>
      <x:c r="S96" s="68" t="str">
        <x:v>待定</x:v>
      </x:c>
      <x:c r="T96" s="68" t="str">
        <x:v>流通和卡点属于原局静态结构</x:v>
      </x:c>
      <x:c r="U96" s="68" t="str">
        <x:v>待定</x:v>
      </x:c>
      <x:c r="V96" s="68" t="str">
        <x:v>待定</x:v>
      </x:c>
      <x:c r="W96" s="90" t="str">
        <x:v>需检查对调候、格局、日主承载及其他通路的副作用</x:v>
      </x:c>
      <x:c r="X96" s="68" t="str">
        <x:v>M06关系效应、M08五行有效旺衰、M10十神功能与M11组合判断已完成</x:v>
      </x:c>
      <x:c r="Y96" s="68" t="str">
        <x:v>起点、桥梁、终点均按有效力量与实际作用路径判断</x:v>
      </x:c>
      <x:c r="Z96" s="68" t="str">
        <x:v>桥梁有根有源、透达、位置可达且不存在关键制约</x:v>
      </x:c>
      <x:c r="AA96" s="68" t="str">
        <x:v>桥梁失令、无根、受克、合绊、改性或同时被多路调用</x:v>
      </x:c>
      <x:c r="AB96" s="90" t="str">
        <x:v>不得仅因五行缺失、数量少或关系名称直接认定卡点或通关用神</x:v>
      </x:c>
      <x:c r="AC96" s="68" t="str">
        <x:v>岁运如何补桥、冲开或加重卡点由后续动态作用引擎判断</x:v>
      </x:c>
      <x:c r="AD96" s="84" t="str">
        <x:v>流通静动态边界</x:v>
      </x:c>
      <x:c r="AE96" s="84" t="str">
        <x:v>M12只输出原局路径与卡点，不直接断某年某事。</x:v>
      </x:c>
      <x:c r="AF96" s="82" t="str">
        <x:v>较高</x:v>
      </x:c>
      <x:c r="AG96" s="82" t="str">
        <x:v>现代综合</x:v>
      </x:c>
      <x:c r="AH96" s="68" t="str">
        <x:v>流通判断以五行有效力量、生克顺序与十神功能为核心；古典依据可参照《滴天髓》《渊海子平》。 https://zh.wikisource.org/wiki/%E6%BB%B4%E5%A4%A9%E9%AB%93%E9%97%A1%E5%BE%AE https://zh.wikisource.org/zh-hans/%E6%B7%B5%E6%B5%B7%E5%AD%90%E5%B9%B3</x:v>
      </x:c>
      <x:c r="AI96" s="68" t="str">
        <x:v>当“流通和卡点属于原局静态结构”真实成立，且桥梁具备有效力量和连续作用条件时，可按“M12不直接输出具体事件或岁运时间”记录。</x:v>
      </x:c>
      <x:c r="AJ96" s="90" t="str">
        <x:v>仅见表面缺失或五行相克，但未证明“流通和卡点属于原局静态结构”形成实际阻断时，不得套用“M12不直接输出具体事件或岁运时间”。</x:v>
      </x:c>
      <x:c r="AK96" s="82" t="str">
        <x:v>采用</x:v>
      </x:c>
      <x:c r="AL96" s="82" t="str">
        <x:v>初审</x:v>
      </x:c>
      <x:c r="AM96" s="87" t="n">
        <x:v>46255</x:v>
      </x:c>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'99_下拉选项'!$BG$4:$BG$22</x:formula1>
    </x:dataValidation>
    <x:dataValidation type="list" sqref="E7:E96">
      <x:formula1>'99_下拉选项'!$BG$4:$BG$14</x:formula1>
    </x:dataValidation>
    <x:dataValidation type="list" sqref="G7:G96">
      <x:formula1>'99_下拉选项'!$F$4:$F$7</x:formula1>
    </x:dataValidation>
    <x:dataValidation type="list" sqref="L7:L96">
      <x:formula1>'99_下拉选项'!$U$4:$U$11</x:formula1>
    </x:dataValidation>
    <x:dataValidation type="list" sqref="M7:M96">
      <x:formula1>'99_下拉选项'!$U$4:$U$11</x:formula1>
    </x:dataValidation>
    <x:dataValidation type="list" sqref="Q7:Q96">
      <x:formula1>'99_下拉选项'!$AO$4:$AO$9</x:formula1>
    </x:dataValidation>
    <x:dataValidation type="list" sqref="R7:R96">
      <x:formula1>'99_下拉选项'!$AP$4:$AP$16</x:formula1>
    </x:dataValidation>
    <x:dataValidation type="list" sqref="AF7:AF96">
      <x:formula1>'99_下拉选项'!$Q$4:$Q$8</x:formula1>
    </x:dataValidation>
    <x:dataValidation type="list" sqref="AG7:AG96">
      <x:formula1>'99_下拉选项'!$R$4:$R$11</x:formula1>
    </x:dataValidation>
    <x:dataValidation type="list" sqref="AK7:AK96">
      <x:formula1>'99_下拉选项'!$S$4:$S$9</x:formula1>
    </x:dataValidation>
    <x:dataValidation type="list" sqref="AL7:AL96">
      <x:formula1>'99_下拉选项'!$T$4:$T$8</x:formula1>
    </x:dataValidation>
  </x:dataValidations>
  <x:pageMargins left="0.7" right="0.7" top="0.75" bottom="0.75" header="0.3" footer="0.3"/>
  <x:tableParts count="1">
    <x:tablePart xmlns:r="http://schemas.openxmlformats.org/officeDocument/2006/relationships" r:id="R76f136cede35489b"/>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v>M13-GEN-0001-V1.0</x:v>
      </x:c>
      <x:c r="B7" s="74" t="str">
        <x:v>M13</x:v>
      </x:c>
      <x:c r="C7" s="74" t="str">
        <x:v>GEN</x:v>
      </x:c>
      <x:c r="D7" s="215" t="n">
        <x:v>1</x:v>
      </x:c>
      <x:c r="E7" s="74" t="str">
        <x:v>V1.0</x:v>
      </x:c>
      <x:c r="F7" s="68" t="str">
        <x:v>寒暖与燥湿必须分成两个独立坐标</x:v>
      </x:c>
      <x:c r="G7" s="82" t="str">
        <x:v>结构层</x:v>
      </x:c>
      <x:c r="H7" s="82" t="str">
        <x:v>寒暖燥湿综合</x:v>
      </x:c>
      <x:c r="I7" s="68" t="str">
        <x:v>通用</x:v>
      </x:c>
      <x:c r="J7" s="68" t="str">
        <x:v>同一原局可能同时出现寒燥、暖湿等交叉状态</x:v>
      </x:c>
      <x:c r="K7" s="68" t="str">
        <x:v>待定</x:v>
      </x:c>
      <x:c r="L7" s="68" t="str">
        <x:v>待定</x:v>
      </x:c>
      <x:c r="M7" s="82" t="str">
        <x:v>待定</x:v>
      </x:c>
      <x:c r="N7" s="82" t="str">
        <x:v>待定</x:v>
      </x:c>
      <x:c r="O7" s="68" t="str">
        <x:v>禁止把温度和湿度合并成单一冷热标签</x:v>
      </x:c>
      <x:c r="P7" s="68" t="str">
        <x:v>待定</x:v>
      </x:c>
      <x:c r="Q7" s="68" t="str">
        <x:v>双轴分别定级</x:v>
      </x:c>
      <x:c r="R7" s="82" t="str">
        <x:v>待定</x:v>
      </x:c>
      <x:c r="S7" s="82" t="str">
        <x:v>待定</x:v>
      </x:c>
      <x:c r="T7" s="82" t="str">
        <x:v>待定</x:v>
      </x:c>
      <x:c r="U7" s="82" t="str">
        <x:v>待定</x:v>
      </x:c>
      <x:c r="V7" s="82" t="str">
        <x:v>待定</x:v>
      </x:c>
      <x:c r="W7" s="68" t="str">
        <x:v>M02基础映射、M08五行有效旺衰、M12流通卡点已完成</x:v>
      </x:c>
      <x:c r="X7" s="68" t="str">
        <x:v>月令基准与全局有效五行均已核查</x:v>
      </x:c>
      <x:c r="Y7" s="68" t="str">
        <x:v>相关调候五行有根有源、透达且能真实改善关键气候问题</x:v>
      </x:c>
      <x:c r="Z7" s="68" t="str">
        <x:v>调候五行无根、受强制、被合绊、改性或加入后产生新的寒热燥湿问题</x:v>
      </x:c>
      <x:c r="AA7" s="90" t="str">
        <x:v>不得只凭出生月份或某一五行数量直接下最终调候结论</x:v>
      </x:c>
      <x:c r="AB7" s="68" t="str">
        <x:v>特殊格局、核心格局用神或更高优先级病药约束转M16—M18裁决</x:v>
      </x:c>
      <x:c r="AC7" s="84" t="str">
        <x:v>调候双轴模型</x:v>
      </x:c>
      <x:c r="AD7" s="84" t="str">
        <x:v>寒暖与燥湿必须分成两个独立坐标：温度轴判“待定”，湿度轴判“待定”；调候候选为“待定”，是否成为最终用神仍转M16—M18。</x:v>
      </x:c>
      <x:c r="AE7" s="82" t="str">
        <x:v>较高</x:v>
      </x:c>
      <x:c r="AF7" s="82" t="str">
        <x:v>调候</x:v>
      </x:c>
      <x:c r="AG7" s="68" t="str">
        <x:v>调候以月令气候为起点，但必须结合M08五行有效力量与M12流通状态修正；寒暖与燥湿分轴判断，调候候选不自动等于全局主用神。</x:v>
      </x:c>
      <x:c r="AH7" s="68" t="str">
        <x:v>当“同一原局可能同时出现寒燥、暖湿等交叉状态”真实成立，且调候机制能改善主要气候问题时，可按“寒暖与燥湿必须分成两个独立坐标”记录。</x:v>
      </x:c>
      <x:c r="AI7" s="90" t="str">
        <x:v>仅见月份或表面五行标签，但未满足“同一原局可能同时出现寒燥、暖湿等交叉状态”及必要修正条件时，不得套用“寒暖与燥湿必须分成两个独立坐标”。</x:v>
      </x:c>
      <x:c r="AJ7" s="82" t="str">
        <x:v>采用</x:v>
      </x:c>
      <x:c r="AK7" s="82" t="str">
        <x:v>初审</x:v>
      </x:c>
      <x:c r="AL7" s="87" t="n">
        <x:v>46255</x:v>
      </x:c>
    </x:row>
    <x:row r="8">
      <x:c r="A8" s="72" t="str">
        <x:f>IF(OR(C8="",D8=""),"",B8&amp;"-"&amp;UPPER(C8)&amp;"-"&amp;TEXT(D8,"0000")&amp;"-"&amp;E8)</x:f>
        <x:v>M13-GEN-0002-V1.0</x:v>
      </x:c>
      <x:c r="B8" s="74" t="str">
        <x:v>M13</x:v>
      </x:c>
      <x:c r="C8" s="74" t="str">
        <x:v>GEN</x:v>
      </x:c>
      <x:c r="D8" s="215" t="n">
        <x:v>2</x:v>
      </x:c>
      <x:c r="E8" s="74" t="str">
        <x:v>V1.0</x:v>
      </x:c>
      <x:c r="F8" s="68" t="str">
        <x:v>月令只提供气候基准而非最终结论</x:v>
      </x:c>
      <x:c r="G8" s="82" t="str">
        <x:v>结构层</x:v>
      </x:c>
      <x:c r="H8" s="82" t="str">
        <x:v>寒暖燥湿综合</x:v>
      </x:c>
      <x:c r="I8" s="68" t="str">
        <x:v>通用</x:v>
      </x:c>
      <x:c r="J8" s="68" t="str">
        <x:v>月令季节倾向与全局有效火水土势可能一致或相反</x:v>
      </x:c>
      <x:c r="K8" s="68" t="str">
        <x:v>待定</x:v>
      </x:c>
      <x:c r="L8" s="68" t="str">
        <x:v>待定</x:v>
      </x:c>
      <x:c r="M8" s="82" t="str">
        <x:v>待定</x:v>
      </x:c>
      <x:c r="N8" s="82" t="str">
        <x:v>待定</x:v>
      </x:c>
      <x:c r="O8" s="68" t="str">
        <x:v>季节基准需要全局修正</x:v>
      </x:c>
      <x:c r="P8" s="68" t="str">
        <x:v>待定</x:v>
      </x:c>
      <x:c r="Q8" s="68" t="str">
        <x:v>以月令起点再叠加有效五行修正</x:v>
      </x:c>
      <x:c r="R8" s="82" t="str">
        <x:v>待定</x:v>
      </x:c>
      <x:c r="S8" s="82" t="str">
        <x:v>待定</x:v>
      </x:c>
      <x:c r="T8" s="82" t="str">
        <x:v>待定</x:v>
      </x:c>
      <x:c r="U8" s="82" t="str">
        <x:v>待定</x:v>
      </x:c>
      <x:c r="V8" s="82" t="str">
        <x:v>待定</x:v>
      </x:c>
      <x:c r="W8" s="68" t="str">
        <x:v>M02基础映射、M08五行有效旺衰、M12流通卡点已完成</x:v>
      </x:c>
      <x:c r="X8" s="68" t="str">
        <x:v>月令基准与全局有效五行均已核查</x:v>
      </x:c>
      <x:c r="Y8" s="68" t="str">
        <x:v>相关调候五行有根有源、透达且能真实改善关键气候问题</x:v>
      </x:c>
      <x:c r="Z8" s="68" t="str">
        <x:v>调候五行无根、受强制、被合绊、改性或加入后产生新的寒热燥湿问题</x:v>
      </x:c>
      <x:c r="AA8" s="90" t="str">
        <x:v>不得只凭出生月份或某一五行数量直接下最终调候结论</x:v>
      </x:c>
      <x:c r="AB8" s="68" t="str">
        <x:v>特殊格局、核心格局用神或更高优先级病药约束转M16—M18裁决</x:v>
      </x:c>
      <x:c r="AC8" s="84" t="str">
        <x:v>月令气候基准</x:v>
      </x:c>
      <x:c r="AD8" s="84" t="str">
        <x:v>月令只提供气候基准而非最终结论：温度轴判“待定”，湿度轴判“待定”；调候候选为“待定”，是否成为最终用神仍转M16—M18。</x:v>
      </x:c>
      <x:c r="AE8" s="82" t="str">
        <x:v>较高</x:v>
      </x:c>
      <x:c r="AF8" s="82" t="str">
        <x:v>调候</x:v>
      </x:c>
      <x:c r="AG8" s="68" t="str">
        <x:v>调候以月令气候为起点，但必须结合M08五行有效力量与M12流通状态修正；寒暖与燥湿分轴判断，调候候选不自动等于全局主用神。</x:v>
      </x:c>
      <x:c r="AH8" s="68" t="str">
        <x:v>当“月令季节倾向与全局有效火水土势可能一致或相反”真实成立，且调候机制能改善主要气候问题时，可按“月令只提供气候基准而非最终结论”记录。</x:v>
      </x:c>
      <x:c r="AI8" s="90" t="str">
        <x:v>仅见月份或表面五行标签，但未满足“月令季节倾向与全局有效火水土势可能一致或相反”及必要修正条件时，不得套用“月令只提供气候基准而非最终结论”。</x:v>
      </x:c>
      <x:c r="AJ8" s="82" t="str">
        <x:v>采用</x:v>
      </x:c>
      <x:c r="AK8" s="82" t="str">
        <x:v>初审</x:v>
      </x:c>
      <x:c r="AL8" s="87" t="n">
        <x:v>46255</x:v>
      </x:c>
    </x:row>
    <x:row r="9">
      <x:c r="A9" s="72" t="str">
        <x:f>IF(OR(C9="",D9=""),"",B9&amp;"-"&amp;UPPER(C9)&amp;"-"&amp;TEXT(D9,"0000")&amp;"-"&amp;E9)</x:f>
        <x:v>M13-GEN-0003-V1.0</x:v>
      </x:c>
      <x:c r="B9" s="74" t="str">
        <x:v>M13</x:v>
      </x:c>
      <x:c r="C9" s="74" t="str">
        <x:v>GEN</x:v>
      </x:c>
      <x:c r="D9" s="215" t="n">
        <x:v>3</x:v>
      </x:c>
      <x:c r="E9" s="74" t="str">
        <x:v>V1.0</x:v>
      </x:c>
      <x:c r="F9" s="68" t="str">
        <x:v>寒暖采用极寒至极热五级制</x:v>
      </x:c>
      <x:c r="G9" s="82" t="str">
        <x:v>结构层</x:v>
      </x:c>
      <x:c r="H9" s="82" t="str">
        <x:v>寒暖轴</x:v>
      </x:c>
      <x:c r="I9" s="68" t="str">
        <x:v>通用</x:v>
      </x:c>
      <x:c r="J9" s="68" t="str">
        <x:v>完成月令与全局火水修正</x:v>
      </x:c>
      <x:c r="K9" s="68" t="str">
        <x:v>待定</x:v>
      </x:c>
      <x:c r="L9" s="68" t="str">
        <x:v>待定</x:v>
      </x:c>
      <x:c r="M9" s="82" t="str">
        <x:v>待定</x:v>
      </x:c>
      <x:c r="N9" s="82" t="str">
        <x:v>待定</x:v>
      </x:c>
      <x:c r="O9" s="68" t="str">
        <x:v>温度状态需要标准化</x:v>
      </x:c>
      <x:c r="P9" s="68" t="str">
        <x:v>待定</x:v>
      </x:c>
      <x:c r="Q9" s="68" t="str">
        <x:v>输出极寒/偏寒/平衡/偏暖/极热</x:v>
      </x:c>
      <x:c r="R9" s="82" t="str">
        <x:v>待定</x:v>
      </x:c>
      <x:c r="S9" s="82" t="str">
        <x:v>待定</x:v>
      </x:c>
      <x:c r="T9" s="82" t="str">
        <x:v>待定</x:v>
      </x:c>
      <x:c r="U9" s="82" t="str">
        <x:v>待定</x:v>
      </x:c>
      <x:c r="V9" s="82" t="str">
        <x:v>待定</x:v>
      </x:c>
      <x:c r="W9" s="68" t="str">
        <x:v>M02基础映射、M08五行有效旺衰、M12流通卡点已完成</x:v>
      </x:c>
      <x:c r="X9" s="68" t="str">
        <x:v>月令基准与全局有效五行均已核查</x:v>
      </x:c>
      <x:c r="Y9" s="68" t="str">
        <x:v>相关调候五行有根有源、透达且能真实改善关键气候问题</x:v>
      </x:c>
      <x:c r="Z9" s="68" t="str">
        <x:v>调候五行无根、受强制、被合绊、改性或加入后产生新的寒热燥湿问题</x:v>
      </x:c>
      <x:c r="AA9" s="90" t="str">
        <x:v>不得只凭出生月份或某一五行数量直接下最终调候结论</x:v>
      </x:c>
      <x:c r="AB9" s="68" t="str">
        <x:v>特殊格局、核心格局用神或更高优先级病药约束转M16—M18裁决</x:v>
      </x:c>
      <x:c r="AC9" s="84" t="str">
        <x:v>温度五级制</x:v>
      </x:c>
      <x:c r="AD9" s="84" t="str">
        <x:v>寒暖采用极寒至极热五级制：温度轴判“待定”，湿度轴判“待定”；调候候选为“待定”，是否成为最终用神仍转M16—M18。</x:v>
      </x:c>
      <x:c r="AE9" s="82" t="str">
        <x:v>较高</x:v>
      </x:c>
      <x:c r="AF9" s="82" t="str">
        <x:v>调候</x:v>
      </x:c>
      <x:c r="AG9" s="68" t="str">
        <x:v>调候以月令气候为起点，但必须结合M08五行有效力量与M12流通状态修正；寒暖与燥湿分轴判断，调候候选不自动等于全局主用神。</x:v>
      </x:c>
      <x:c r="AH9" s="68" t="str">
        <x:v>当“完成月令与全局火水修正”真实成立，且调候机制能改善主要气候问题时，可按“寒暖采用极寒至极热五级制”记录。</x:v>
      </x:c>
      <x:c r="AI9" s="90" t="str">
        <x:v>仅见月份或表面五行标签，但未满足“完成月令与全局火水修正”及必要修正条件时，不得套用“寒暖采用极寒至极热五级制”。</x:v>
      </x:c>
      <x:c r="AJ9" s="82" t="str">
        <x:v>采用</x:v>
      </x:c>
      <x:c r="AK9" s="82" t="str">
        <x:v>初审</x:v>
      </x:c>
      <x:c r="AL9" s="87" t="n">
        <x:v>46255</x:v>
      </x:c>
    </x:row>
    <x:row r="10">
      <x:c r="A10" s="72" t="str">
        <x:f>IF(OR(C10="",D10=""),"",B10&amp;"-"&amp;UPPER(C10)&amp;"-"&amp;TEXT(D10,"0000")&amp;"-"&amp;E10)</x:f>
        <x:v>M13-GEN-0004-V1.0</x:v>
      </x:c>
      <x:c r="B10" s="74" t="str">
        <x:v>M13</x:v>
      </x:c>
      <x:c r="C10" s="74" t="str">
        <x:v>GEN</x:v>
      </x:c>
      <x:c r="D10" s="215" t="n">
        <x:v>4</x:v>
      </x:c>
      <x:c r="E10" s="74" t="str">
        <x:v>V1.0</x:v>
      </x:c>
      <x:c r="F10" s="68" t="str">
        <x:v>燥湿采用极湿至极燥五级制</x:v>
      </x:c>
      <x:c r="G10" s="82" t="str">
        <x:v>结构层</x:v>
      </x:c>
      <x:c r="H10" s="82" t="str">
        <x:v>燥湿轴</x:v>
      </x:c>
      <x:c r="I10" s="68" t="str">
        <x:v>通用</x:v>
      </x:c>
      <x:c r="J10" s="68" t="str">
        <x:v>完成月令、土性、水势与火势修正</x:v>
      </x:c>
      <x:c r="K10" s="68" t="str">
        <x:v>待定</x:v>
      </x:c>
      <x:c r="L10" s="68" t="str">
        <x:v>待定</x:v>
      </x:c>
      <x:c r="M10" s="82" t="str">
        <x:v>待定</x:v>
      </x:c>
      <x:c r="N10" s="82" t="str">
        <x:v>待定</x:v>
      </x:c>
      <x:c r="O10" s="68" t="str">
        <x:v>湿度状态需要标准化</x:v>
      </x:c>
      <x:c r="P10" s="68" t="str">
        <x:v>待定</x:v>
      </x:c>
      <x:c r="Q10" s="68" t="str">
        <x:v>输出极湿/偏湿/平衡/偏燥/极燥</x:v>
      </x:c>
      <x:c r="R10" s="82" t="str">
        <x:v>待定</x:v>
      </x:c>
      <x:c r="S10" s="82" t="str">
        <x:v>待定</x:v>
      </x:c>
      <x:c r="T10" s="82" t="str">
        <x:v>待定</x:v>
      </x:c>
      <x:c r="U10" s="82" t="str">
        <x:v>待定</x:v>
      </x:c>
      <x:c r="V10" s="82" t="str">
        <x:v>待定</x:v>
      </x:c>
      <x:c r="W10" s="68" t="str">
        <x:v>M02基础映射、M08五行有效旺衰、M12流通卡点已完成</x:v>
      </x:c>
      <x:c r="X10" s="68" t="str">
        <x:v>月令基准与全局有效五行均已核查</x:v>
      </x:c>
      <x:c r="Y10" s="68" t="str">
        <x:v>相关调候五行有根有源、透达且能真实改善关键气候问题</x:v>
      </x:c>
      <x:c r="Z10" s="68" t="str">
        <x:v>调候五行无根、受强制、被合绊、改性或加入后产生新的寒热燥湿问题</x:v>
      </x:c>
      <x:c r="AA10" s="90" t="str">
        <x:v>不得只凭出生月份或某一五行数量直接下最终调候结论</x:v>
      </x:c>
      <x:c r="AB10" s="68" t="str">
        <x:v>特殊格局、核心格局用神或更高优先级病药约束转M16—M18裁决</x:v>
      </x:c>
      <x:c r="AC10" s="84" t="str">
        <x:v>湿度五级制</x:v>
      </x:c>
      <x:c r="AD10" s="84" t="str">
        <x:v>燥湿采用极湿至极燥五级制：温度轴判“待定”，湿度轴判“待定”；调候候选为“待定”，是否成为最终用神仍转M16—M18。</x:v>
      </x:c>
      <x:c r="AE10" s="82" t="str">
        <x:v>较高</x:v>
      </x:c>
      <x:c r="AF10" s="82" t="str">
        <x:v>调候</x:v>
      </x:c>
      <x:c r="AG10" s="68" t="str">
        <x:v>调候以月令气候为起点，但必须结合M08五行有效力量与M12流通状态修正；寒暖与燥湿分轴判断，调候候选不自动等于全局主用神。</x:v>
      </x:c>
      <x:c r="AH10" s="68" t="str">
        <x:v>当“完成月令、土性、水势与火势修正”真实成立，且调候机制能改善主要气候问题时，可按“燥湿采用极湿至极燥五级制”记录。</x:v>
      </x:c>
      <x:c r="AI10" s="90" t="str">
        <x:v>仅见月份或表面五行标签，但未满足“完成月令、土性、水势与火势修正”及必要修正条件时，不得套用“燥湿采用极湿至极燥五级制”。</x:v>
      </x:c>
      <x:c r="AJ10" s="82" t="str">
        <x:v>采用</x:v>
      </x:c>
      <x:c r="AK10" s="82" t="str">
        <x:v>初审</x:v>
      </x:c>
      <x:c r="AL10" s="87" t="n">
        <x:v>46255</x:v>
      </x:c>
    </x:row>
    <x:row r="11">
      <x:c r="A11" s="72" t="str">
        <x:f>IF(OR(C11="",D11=""),"",B11&amp;"-"&amp;UPPER(C11)&amp;"-"&amp;TEXT(D11,"0000")&amp;"-"&amp;E11)</x:f>
        <x:v>M13-GEN-0005-V1.0</x:v>
      </x:c>
      <x:c r="B11" s="74" t="str">
        <x:v>M13</x:v>
      </x:c>
      <x:c r="C11" s="74" t="str">
        <x:v>GEN</x:v>
      </x:c>
      <x:c r="D11" s="215" t="n">
        <x:v>5</x:v>
      </x:c>
      <x:c r="E11" s="74" t="str">
        <x:v>V1.0</x:v>
      </x:c>
      <x:c r="F11" s="68" t="str">
        <x:v>调候判断只读取有效五行而非名义存在</x:v>
      </x:c>
      <x:c r="G11" s="82" t="str">
        <x:v>结构层</x:v>
      </x:c>
      <x:c r="H11" s="82" t="str">
        <x:v>寒暖燥湿综合</x:v>
      </x:c>
      <x:c r="I11" s="68" t="str">
        <x:v>通用</x:v>
      </x:c>
      <x:c r="J11" s="68" t="str">
        <x:v>某火、水或土虽在原局出现但M08已判受限、失效或改性</x:v>
      </x:c>
      <x:c r="K11" s="68" t="str">
        <x:v>待定</x:v>
      </x:c>
      <x:c r="L11" s="68" t="str">
        <x:v>待定</x:v>
      </x:c>
      <x:c r="M11" s="82" t="str">
        <x:v>待定</x:v>
      </x:c>
      <x:c r="N11" s="82" t="str">
        <x:v>待定</x:v>
      </x:c>
      <x:c r="O11" s="68" t="str">
        <x:v>名义调候元素不能承担真实调候</x:v>
      </x:c>
      <x:c r="P11" s="68" t="str">
        <x:v>待定</x:v>
      </x:c>
      <x:c r="Q11" s="68" t="str">
        <x:v>按M08有效性重新评价</x:v>
      </x:c>
      <x:c r="R11" s="82" t="str">
        <x:v>待定</x:v>
      </x:c>
      <x:c r="S11" s="82" t="str">
        <x:v>待定</x:v>
      </x:c>
      <x:c r="T11" s="82" t="str">
        <x:v>待定</x:v>
      </x:c>
      <x:c r="U11" s="82" t="str">
        <x:v>待定</x:v>
      </x:c>
      <x:c r="V11" s="82" t="str">
        <x:v>待定</x:v>
      </x:c>
      <x:c r="W11" s="68" t="str">
        <x:v>M02基础映射、M08五行有效旺衰、M12流通卡点已完成</x:v>
      </x:c>
      <x:c r="X11" s="68" t="str">
        <x:v>月令基准与全局有效五行均已核查</x:v>
      </x:c>
      <x:c r="Y11" s="68" t="str">
        <x:v>相关调候五行有根有源、透达且能真实改善关键气候问题</x:v>
      </x:c>
      <x:c r="Z11" s="68" t="str">
        <x:v>调候五行无根、受强制、被合绊、改性或加入后产生新的寒热燥湿问题</x:v>
      </x:c>
      <x:c r="AA11" s="90" t="str">
        <x:v>不得只凭出生月份或某一五行数量直接下最终调候结论</x:v>
      </x:c>
      <x:c r="AB11" s="68" t="str">
        <x:v>特殊格局、核心格局用神或更高优先级病药约束转M16—M18裁决</x:v>
      </x:c>
      <x:c r="AC11" s="84" t="str">
        <x:v>调候有效力量优先</x:v>
      </x:c>
      <x:c r="AD11" s="84" t="str">
        <x:v>调候判断只读取有效五行而非名义存在：温度轴判“待定”，湿度轴判“待定”；调候候选为“待定”，是否成为最终用神仍转M16—M18。</x:v>
      </x:c>
      <x:c r="AE11" s="82" t="str">
        <x:v>较高</x:v>
      </x:c>
      <x:c r="AF11" s="82" t="str">
        <x:v>调候</x:v>
      </x:c>
      <x:c r="AG11" s="68" t="str">
        <x:v>调候以月令气候为起点，但必须结合M08五行有效力量与M12流通状态修正；寒暖与燥湿分轴判断，调候候选不自动等于全局主用神。</x:v>
      </x:c>
      <x:c r="AH11" s="68" t="str">
        <x:v>当“某火、水或土虽在原局出现但M08已判受限、失效或改性”真实成立，且调候机制能改善主要气候问题时，可按“调候判断只读取有效五行而非名义存在”记录。</x:v>
      </x:c>
      <x:c r="AI11" s="90" t="str">
        <x:v>仅见月份或表面五行标签，但未满足“某火、水或土虽在原局出现但M08已判受限、失效或改性”及必要修正条件时，不得套用“调候判断只读取有效五行而非名义存在”。</x:v>
      </x:c>
      <x:c r="AJ11" s="82" t="str">
        <x:v>采用</x:v>
      </x:c>
      <x:c r="AK11" s="82" t="str">
        <x:v>初审</x:v>
      </x:c>
      <x:c r="AL11" s="87" t="n">
        <x:v>46255</x:v>
      </x:c>
    </x:row>
    <x:row r="12">
      <x:c r="A12" s="72" t="str">
        <x:f>IF(OR(C12="",D12=""),"",B12&amp;"-"&amp;UPPER(C12)&amp;"-"&amp;TEXT(D12,"0000")&amp;"-"&amp;E12)</x:f>
        <x:v>M13-GEN-0006-V1.0</x:v>
      </x:c>
      <x:c r="B12" s="74" t="str">
        <x:v>M13</x:v>
      </x:c>
      <x:c r="C12" s="74" t="str">
        <x:v>GEN</x:v>
      </x:c>
      <x:c r="D12" s="215" t="n">
        <x:v>6</x:v>
      </x:c>
      <x:c r="E12" s="74" t="str">
        <x:v>V1.0</x:v>
      </x:c>
      <x:c r="F12" s="68" t="str">
        <x:v>气候平衡不等于五行力量平衡</x:v>
      </x:c>
      <x:c r="G12" s="82" t="str">
        <x:v>结构层</x:v>
      </x:c>
      <x:c r="H12" s="82" t="str">
        <x:v>寒暖燥湿综合</x:v>
      </x:c>
      <x:c r="I12" s="68" t="str">
        <x:v>通用</x:v>
      </x:c>
      <x:c r="J12" s="68" t="str">
        <x:v>寒暖燥湿适中，但日主或某五行仍明显偏旺偏弱</x:v>
      </x:c>
      <x:c r="K12" s="68" t="str">
        <x:v>待定</x:v>
      </x:c>
      <x:c r="L12" s="68" t="str">
        <x:v>待定</x:v>
      </x:c>
      <x:c r="M12" s="82" t="str">
        <x:v>平衡</x:v>
      </x:c>
      <x:c r="N12" s="82" t="str">
        <x:v>平衡</x:v>
      </x:c>
      <x:c r="O12" s="68" t="str">
        <x:v>调候与扶抑属于不同问题</x:v>
      </x:c>
      <x:c r="P12" s="68" t="str">
        <x:v>待定</x:v>
      </x:c>
      <x:c r="Q12" s="68" t="str">
        <x:v>调候不介入非气候性旺衰问题</x:v>
      </x:c>
      <x:c r="R12" s="82" t="str">
        <x:v>待定</x:v>
      </x:c>
      <x:c r="S12" s="82" t="str">
        <x:v>待定</x:v>
      </x:c>
      <x:c r="T12" s="82" t="str">
        <x:v>待定</x:v>
      </x:c>
      <x:c r="U12" s="82" t="str">
        <x:v>待定</x:v>
      </x:c>
      <x:c r="V12" s="82" t="str">
        <x:v>待定</x:v>
      </x:c>
      <x:c r="W12" s="68" t="str">
        <x:v>M02基础映射、M08五行有效旺衰、M12流通卡点已完成</x:v>
      </x:c>
      <x:c r="X12" s="68" t="str">
        <x:v>月令基准与全局有效五行均已核查</x:v>
      </x:c>
      <x:c r="Y12" s="68" t="str">
        <x:v>相关调候五行有根有源、透达且能真实改善关键气候问题</x:v>
      </x:c>
      <x:c r="Z12" s="68" t="str">
        <x:v>调候五行无根、受强制、被合绊、改性或加入后产生新的寒热燥湿问题</x:v>
      </x:c>
      <x:c r="AA12" s="90" t="str">
        <x:v>不得只凭出生月份或某一五行数量直接下最终调候结论</x:v>
      </x:c>
      <x:c r="AB12" s="68" t="str">
        <x:v>特殊格局、核心格局用神或更高优先级病药约束转M16—M18裁决</x:v>
      </x:c>
      <x:c r="AC12" s="84" t="str">
        <x:v>调候扶抑分离</x:v>
      </x:c>
      <x:c r="AD12" s="84" t="str">
        <x:v>气候平衡不等于五行力量平衡：温度轴判“平衡”，湿度轴判“平衡”；调候候选为“待定”，是否成为最终用神仍转M16—M18。</x:v>
      </x:c>
      <x:c r="AE12" s="82" t="str">
        <x:v>较高</x:v>
      </x:c>
      <x:c r="AF12" s="82" t="str">
        <x:v>调候</x:v>
      </x:c>
      <x:c r="AG12" s="68" t="str">
        <x:v>调候以月令气候为起点，但必须结合M08五行有效力量与M12流通状态修正；寒暖与燥湿分轴判断，调候候选不自动等于全局主用神。</x:v>
      </x:c>
      <x:c r="AH12" s="68" t="str">
        <x:v>当“寒暖燥湿适中，但日主或某五行仍明显偏旺偏弱”真实成立，且调候机制能改善主要气候问题时，可按“气候平衡不等于五行力量平衡”记录。</x:v>
      </x:c>
      <x:c r="AI12" s="90" t="str">
        <x:v>仅见月份或表面五行标签，但未满足“寒暖燥湿适中，但日主或某五行仍明显偏旺偏弱”及必要修正条件时，不得套用“气候平衡不等于五行力量平衡”。</x:v>
      </x:c>
      <x:c r="AJ12" s="82" t="str">
        <x:v>采用</x:v>
      </x:c>
      <x:c r="AK12" s="82" t="str">
        <x:v>初审</x:v>
      </x:c>
      <x:c r="AL12" s="87" t="n">
        <x:v>46255</x:v>
      </x:c>
    </x:row>
    <x:row r="13">
      <x:c r="A13" s="72" t="str">
        <x:f>IF(OR(C13="",D13=""),"",B13&amp;"-"&amp;UPPER(C13)&amp;"-"&amp;TEXT(D13,"0000")&amp;"-"&amp;E13)</x:f>
        <x:v>M13-GEN-0007-V1.0</x:v>
      </x:c>
      <x:c r="B13" s="74" t="str">
        <x:v>M13</x:v>
      </x:c>
      <x:c r="C13" s="74" t="str">
        <x:v>GEN</x:v>
      </x:c>
      <x:c r="D13" s="215" t="n">
        <x:v>7</x:v>
      </x:c>
      <x:c r="E13" s="74" t="str">
        <x:v>V1.0</x:v>
      </x:c>
      <x:c r="F13" s="68" t="str">
        <x:v>调候候选不等于主用神</x:v>
      </x:c>
      <x:c r="G13" s="82" t="str">
        <x:v>结构层</x:v>
      </x:c>
      <x:c r="H13" s="82" t="str">
        <x:v>寒暖燥湿综合</x:v>
      </x:c>
      <x:c r="I13" s="68" t="str">
        <x:v>通用</x:v>
      </x:c>
      <x:c r="J13" s="68" t="str">
        <x:v>某五行能改善寒暖燥湿，但可能破坏格局、加重日主失衡或制造新病</x:v>
      </x:c>
      <x:c r="K13" s="68" t="str">
        <x:v>待定</x:v>
      </x:c>
      <x:c r="L13" s="68" t="str">
        <x:v>待定</x:v>
      </x:c>
      <x:c r="M13" s="82" t="str">
        <x:v>待定</x:v>
      </x:c>
      <x:c r="N13" s="82" t="str">
        <x:v>待定</x:v>
      </x:c>
      <x:c r="O13" s="68" t="str">
        <x:v>调候收益与结构副作用并存</x:v>
      </x:c>
      <x:c r="P13" s="68" t="str">
        <x:v>待定</x:v>
      </x:c>
      <x:c r="Q13" s="68" t="str">
        <x:v>生成调候候选并转M17/M18</x:v>
      </x:c>
      <x:c r="R13" s="82" t="str">
        <x:v>待定</x:v>
      </x:c>
      <x:c r="S13" s="82" t="str">
        <x:v>待定</x:v>
      </x:c>
      <x:c r="T13" s="82" t="str">
        <x:v>待定</x:v>
      </x:c>
      <x:c r="U13" s="82" t="str">
        <x:v>待定</x:v>
      </x:c>
      <x:c r="V13" s="82" t="str">
        <x:v>待定</x:v>
      </x:c>
      <x:c r="W13" s="68" t="str">
        <x:v>M02基础映射、M08五行有效旺衰、M12流通卡点已完成</x:v>
      </x:c>
      <x:c r="X13" s="68" t="str">
        <x:v>月令基准与全局有效五行均已核查</x:v>
      </x:c>
      <x:c r="Y13" s="68" t="str">
        <x:v>相关调候五行有根有源、透达且能真实改善关键气候问题</x:v>
      </x:c>
      <x:c r="Z13" s="68" t="str">
        <x:v>调候五行无根、受强制、被合绊、改性或加入后产生新的寒热燥湿问题</x:v>
      </x:c>
      <x:c r="AA13" s="90" t="str">
        <x:v>不得只凭出生月份或某一五行数量直接下最终调候结论</x:v>
      </x:c>
      <x:c r="AB13" s="68" t="str">
        <x:v>特殊格局、核心格局用神或更高优先级病药约束转M16—M18裁决</x:v>
      </x:c>
      <x:c r="AC13" s="84" t="str">
        <x:v>调候候选与用神分离</x:v>
      </x:c>
      <x:c r="AD13" s="84" t="str">
        <x:v>调候候选不等于主用神：温度轴判“待定”，湿度轴判“待定”；调候候选为“待定”，是否成为最终用神仍转M16—M18。</x:v>
      </x:c>
      <x:c r="AE13" s="82" t="str">
        <x:v>较高</x:v>
      </x:c>
      <x:c r="AF13" s="82" t="str">
        <x:v>调候</x:v>
      </x:c>
      <x:c r="AG13" s="68" t="str">
        <x:v>调候以月令气候为起点，但必须结合M08五行有效力量与M12流通状态修正；寒暖与燥湿分轴判断，调候候选不自动等于全局主用神。</x:v>
      </x:c>
      <x:c r="AH13" s="68" t="str">
        <x:v>当“某五行能改善寒暖燥湿，但可能破坏格局、加重日主失衡或制造新病”真实成立，且调候机制能改善主要气候问题时，可按“调候候选不等于主用神”记录。</x:v>
      </x:c>
      <x:c r="AI13" s="90" t="str">
        <x:v>仅见月份或表面五行标签，但未满足“某五行能改善寒暖燥湿，但可能破坏格局、加重日主失衡或制造新病”及必要修正条件时，不得套用“调候候选不等于主用神”。</x:v>
      </x:c>
      <x:c r="AJ13" s="82" t="str">
        <x:v>采用</x:v>
      </x:c>
      <x:c r="AK13" s="82" t="str">
        <x:v>初审</x:v>
      </x:c>
      <x:c r="AL13" s="87" t="n">
        <x:v>46255</x:v>
      </x:c>
    </x:row>
    <x:row r="14">
      <x:c r="A14" s="72" t="str">
        <x:f>IF(OR(C14="",D14=""),"",B14&amp;"-"&amp;UPPER(C14)&amp;"-"&amp;TEXT(D14,"0000")&amp;"-"&amp;E14)</x:f>
        <x:v>M13-GEN-0008-V1.0</x:v>
      </x:c>
      <x:c r="B14" s="74" t="str">
        <x:v>M13</x:v>
      </x:c>
      <x:c r="C14" s="74" t="str">
        <x:v>GEN</x:v>
      </x:c>
      <x:c r="D14" s="215" t="n">
        <x:v>8</x:v>
      </x:c>
      <x:c r="E14" s="74" t="str">
        <x:v>V1.0</x:v>
      </x:c>
      <x:c r="F14" s="68" t="str">
        <x:v>极端气候达到功能阻断时调候优先级上升</x:v>
      </x:c>
      <x:c r="G14" s="82" t="str">
        <x:v>结构层</x:v>
      </x:c>
      <x:c r="H14" s="82" t="str">
        <x:v>寒暖燥湿综合</x:v>
      </x:c>
      <x:c r="I14" s="68" t="str">
        <x:v>通用</x:v>
      </x:c>
      <x:c r="J14" s="68" t="str">
        <x:v>极寒、极热、极湿或极燥已明显导致M12主路径寒凝、燥枯或失去生化</x:v>
      </x:c>
      <x:c r="K14" s="68" t="str">
        <x:v>待定</x:v>
      </x:c>
      <x:c r="L14" s="68" t="str">
        <x:v>待定</x:v>
      </x:c>
      <x:c r="M14" s="82" t="str">
        <x:v>待定</x:v>
      </x:c>
      <x:c r="N14" s="82" t="str">
        <x:v>待定</x:v>
      </x:c>
      <x:c r="O14" s="68" t="str">
        <x:v>气候问题成为全局功能瓶颈</x:v>
      </x:c>
      <x:c r="P14" s="68" t="str">
        <x:v>待定</x:v>
      </x:c>
      <x:c r="Q14" s="68" t="str">
        <x:v>优先恢复基本生化条件</x:v>
      </x:c>
      <x:c r="R14" s="82" t="str">
        <x:v>待定</x:v>
      </x:c>
      <x:c r="S14" s="82" t="str">
        <x:v>待定</x:v>
      </x:c>
      <x:c r="T14" s="82" t="str">
        <x:v>首要</x:v>
      </x:c>
      <x:c r="U14" s="82" t="str">
        <x:v>待定</x:v>
      </x:c>
      <x:c r="V14" s="82" t="str">
        <x:v>待定</x:v>
      </x:c>
      <x:c r="W14" s="68" t="str">
        <x:v>M02基础映射、M08五行有效旺衰、M12流通卡点已完成</x:v>
      </x:c>
      <x:c r="X14" s="68" t="str">
        <x:v>月令基准与全局有效五行均已核查</x:v>
      </x:c>
      <x:c r="Y14" s="68" t="str">
        <x:v>相关调候五行有根有源、透达且能真实改善关键气候问题</x:v>
      </x:c>
      <x:c r="Z14" s="68" t="str">
        <x:v>调候五行无根、受强制、被合绊、改性或加入后产生新的寒热燥湿问题</x:v>
      </x:c>
      <x:c r="AA14" s="90" t="str">
        <x:v>不得只凭出生月份或某一五行数量直接下最终调候结论</x:v>
      </x:c>
      <x:c r="AB14" s="68" t="str">
        <x:v>特殊格局、核心格局用神或更高优先级病药约束转M16—M18裁决</x:v>
      </x:c>
      <x:c r="AC14" s="84" t="str">
        <x:v>极端调候优先级</x:v>
      </x:c>
      <x:c r="AD14" s="84" t="str">
        <x:v>极端气候达到功能阻断时调候优先级上升：温度轴判“待定”，湿度轴判“待定”；调候候选为“待定”，是否成为最终用神仍转M16—M18。</x:v>
      </x:c>
      <x:c r="AE14" s="82" t="str">
        <x:v>较高</x:v>
      </x:c>
      <x:c r="AF14" s="82" t="str">
        <x:v>调候</x:v>
      </x:c>
      <x:c r="AG14" s="68" t="str">
        <x:v>调候以月令气候为起点，但必须结合M08五行有效力量与M12流通状态修正；寒暖与燥湿分轴判断，调候候选不自动等于全局主用神。</x:v>
      </x:c>
      <x:c r="AH14" s="68" t="str">
        <x:v>当“极寒、极热、极湿或极燥已明显导致M12主路径寒凝、燥枯或失去生化”真实成立，且调候机制能改善主要气候问题时，可按“极端气候达到功能阻断时调候优先级上升”记录。</x:v>
      </x:c>
      <x:c r="AI14" s="90" t="str">
        <x:v>仅见月份或表面五行标签，但未满足“极寒、极热、极湿或极燥已明显导致M12主路径寒凝、燥枯或失去生化”及必要修正条件时，不得套用“极端气候达到功能阻断时调候优先级上升”。</x:v>
      </x:c>
      <x:c r="AJ14" s="82" t="str">
        <x:v>采用</x:v>
      </x:c>
      <x:c r="AK14" s="82" t="str">
        <x:v>初审</x:v>
      </x:c>
      <x:c r="AL14" s="87" t="n">
        <x:v>46255</x:v>
      </x:c>
    </x:row>
    <x:row r="15">
      <x:c r="A15" s="72" t="str">
        <x:f>IF(OR(C15="",D15=""),"",B15&amp;"-"&amp;UPPER(C15)&amp;"-"&amp;TEXT(D15,"0000")&amp;"-"&amp;E15)</x:f>
        <x:v>M13-SEASON-0009-V1.0</x:v>
      </x:c>
      <x:c r="B15" s="74" t="str">
        <x:v>M13</x:v>
      </x:c>
      <x:c r="C15" s="74" t="str">
        <x:v>SEASON</x:v>
      </x:c>
      <x:c r="D15" s="215" t="n">
        <x:v>9</x:v>
      </x:c>
      <x:c r="E15" s="74" t="str">
        <x:v>V1.0</x:v>
      </x:c>
      <x:c r="F15" s="68" t="str">
        <x:v>寅月气候基准</x:v>
      </x:c>
      <x:c r="G15" s="82" t="str">
        <x:v>结构层</x:v>
      </x:c>
      <x:c r="H15" s="82" t="str">
        <x:v>寒暖燥湿综合</x:v>
      </x:c>
      <x:c r="I15" s="68" t="str">
        <x:v>寅月</x:v>
      </x:c>
      <x:c r="J15" s="68" t="str">
        <x:v>初春木旺，寒气未尽</x:v>
      </x:c>
      <x:c r="K15" s="68" t="str">
        <x:v>月令基准</x:v>
      </x:c>
      <x:c r="L15" s="68" t="str">
        <x:v>月令基准</x:v>
      </x:c>
      <x:c r="M15" s="82" t="str">
        <x:v>偏暖</x:v>
      </x:c>
      <x:c r="N15" s="82" t="str">
        <x:v>平衡</x:v>
      </x:c>
      <x:c r="O15" s="68" t="str">
        <x:v>木气初升但余寒仍可能存在</x:v>
      </x:c>
      <x:c r="P15" s="68" t="str">
        <x:v>火</x:v>
      </x:c>
      <x:c r="Q15" s="68" t="str">
        <x:v>暖木助生发</x:v>
      </x:c>
      <x:c r="R15" s="82" t="str">
        <x:v>条件性</x:v>
      </x:c>
      <x:c r="S15" s="82" t="str">
        <x:v>待定</x:v>
      </x:c>
      <x:c r="T15" s="82" t="str">
        <x:v>待定</x:v>
      </x:c>
      <x:c r="U15" s="82" t="str">
        <x:v>待定</x:v>
      </x:c>
      <x:c r="V15" s="82" t="str">
        <x:v>待定</x:v>
      </x:c>
      <x:c r="W15" s="68" t="str">
        <x:v>M02基础映射、M08五行有效旺衰、M12流通卡点已完成</x:v>
      </x:c>
      <x:c r="X15" s="68" t="str">
        <x:v>月令基准与全局有效五行均已核查</x:v>
      </x:c>
      <x:c r="Y15" s="68" t="str">
        <x:v>相关调候五行有根有源、透达且能真实改善关键气候问题</x:v>
      </x:c>
      <x:c r="Z15" s="68" t="str">
        <x:v>调候五行无根、受强制、被合绊、改性或加入后产生新的寒热燥湿问题</x:v>
      </x:c>
      <x:c r="AA15" s="90" t="str">
        <x:v>月令仅提供初始倾向，必须结合全局火水燥湿土与合化成势修正</x:v>
      </x:c>
      <x:c r="AB15" s="68" t="str">
        <x:v>特殊格局、核心格局用神或更高优先级病药约束转M16—M18裁决</x:v>
      </x:c>
      <x:c r="AC15" s="84" t="str">
        <x:v>寅月_气候基准</x:v>
      </x:c>
      <x:c r="AD15" s="84" t="str">
        <x:v>寅月气候基准：温度轴判“偏暖”，湿度轴判“平衡”；调候候选为“火”，是否成为最终用神仍转M16—M18。</x:v>
      </x:c>
      <x:c r="AE15" s="82" t="str">
        <x:v>中等</x:v>
      </x:c>
      <x:c r="AF15" s="82" t="str">
        <x:v>调候</x:v>
      </x:c>
      <x:c r="AG15" s="68" t="str">
        <x:v>调候以月令气候为起点，但必须结合M08五行有效力量与M12流通状态修正；寒暖与燥湿分轴判断，调候候选不自动等于全局主用神。</x:v>
      </x:c>
      <x:c r="AH15" s="68" t="str">
        <x:v>当“初春木旺，寒气未尽”真实成立，且调候机制能改善主要气候问题时，可按“寅月气候基准”记录。</x:v>
      </x:c>
      <x:c r="AI15" s="90" t="str">
        <x:v>仅见月份或表面五行标签，但未满足“初春木旺，寒气未尽”及必要修正条件时，不得套用“寅月气候基准”。</x:v>
      </x:c>
      <x:c r="AJ15" s="82" t="str">
        <x:v>采用</x:v>
      </x:c>
      <x:c r="AK15" s="82" t="str">
        <x:v>初审</x:v>
      </x:c>
      <x:c r="AL15" s="87" t="n">
        <x:v>46255</x:v>
      </x:c>
    </x:row>
    <x:row r="16">
      <x:c r="A16" s="72" t="str">
        <x:f>IF(OR(C16="",D16=""),"",B16&amp;"-"&amp;UPPER(C16)&amp;"-"&amp;TEXT(D16,"0000")&amp;"-"&amp;E16)</x:f>
        <x:v>M13-SEASON-0010-V1.0</x:v>
      </x:c>
      <x:c r="B16" s="74" t="str">
        <x:v>M13</x:v>
      </x:c>
      <x:c r="C16" s="74" t="str">
        <x:v>SEASON</x:v>
      </x:c>
      <x:c r="D16" s="215" t="n">
        <x:v>10</x:v>
      </x:c>
      <x:c r="E16" s="74" t="str">
        <x:v>V1.0</x:v>
      </x:c>
      <x:c r="F16" s="68" t="str">
        <x:v>卯月气候基准</x:v>
      </x:c>
      <x:c r="G16" s="82" t="str">
        <x:v>结构层</x:v>
      </x:c>
      <x:c r="H16" s="82" t="str">
        <x:v>寒暖燥湿综合</x:v>
      </x:c>
      <x:c r="I16" s="68" t="str">
        <x:v>卯月</x:v>
      </x:c>
      <x:c r="J16" s="68" t="str">
        <x:v>仲春木旺，气温上升</x:v>
      </x:c>
      <x:c r="K16" s="68" t="str">
        <x:v>月令基准</x:v>
      </x:c>
      <x:c r="L16" s="68" t="str">
        <x:v>月令基准</x:v>
      </x:c>
      <x:c r="M16" s="82" t="str">
        <x:v>偏暖</x:v>
      </x:c>
      <x:c r="N16" s="82" t="str">
        <x:v>平衡</x:v>
      </x:c>
      <x:c r="O16" s="68" t="str">
        <x:v>木旺生发，通常不以寒为主</x:v>
      </x:c>
      <x:c r="P16" s="68" t="str">
        <x:v>待定</x:v>
      </x:c>
      <x:c r="Q16" s="68" t="str">
        <x:v>视全局修正</x:v>
      </x:c>
      <x:c r="R16" s="82" t="str">
        <x:v>条件性</x:v>
      </x:c>
      <x:c r="S16" s="82" t="str">
        <x:v>待定</x:v>
      </x:c>
      <x:c r="T16" s="82" t="str">
        <x:v>待定</x:v>
      </x:c>
      <x:c r="U16" s="82" t="str">
        <x:v>待定</x:v>
      </x:c>
      <x:c r="V16" s="82" t="str">
        <x:v>待定</x:v>
      </x:c>
      <x:c r="W16" s="68" t="str">
        <x:v>M02基础映射、M08五行有效旺衰、M12流通卡点已完成</x:v>
      </x:c>
      <x:c r="X16" s="68" t="str">
        <x:v>月令基准与全局有效五行均已核查</x:v>
      </x:c>
      <x:c r="Y16" s="68" t="str">
        <x:v>相关调候五行有根有源、透达且能真实改善关键气候问题</x:v>
      </x:c>
      <x:c r="Z16" s="68" t="str">
        <x:v>调候五行无根、受强制、被合绊、改性或加入后产生新的寒热燥湿问题</x:v>
      </x:c>
      <x:c r="AA16" s="90" t="str">
        <x:v>月令仅提供初始倾向，必须结合全局火水燥湿土与合化成势修正</x:v>
      </x:c>
      <x:c r="AB16" s="68" t="str">
        <x:v>特殊格局、核心格局用神或更高优先级病药约束转M16—M18裁决</x:v>
      </x:c>
      <x:c r="AC16" s="84" t="str">
        <x:v>卯月_气候基准</x:v>
      </x:c>
      <x:c r="AD16" s="84" t="str">
        <x:v>卯月气候基准：温度轴判“偏暖”，湿度轴判“平衡”；调候候选为“待定”，是否成为最终用神仍转M16—M18。</x:v>
      </x:c>
      <x:c r="AE16" s="82" t="str">
        <x:v>中等</x:v>
      </x:c>
      <x:c r="AF16" s="82" t="str">
        <x:v>调候</x:v>
      </x:c>
      <x:c r="AG16" s="68" t="str">
        <x:v>调候以月令气候为起点，但必须结合M08五行有效力量与M12流通状态修正；寒暖与燥湿分轴判断，调候候选不自动等于全局主用神。</x:v>
      </x:c>
      <x:c r="AH16" s="68" t="str">
        <x:v>当“仲春木旺，气温上升”真实成立，且调候机制能改善主要气候问题时，可按“卯月气候基准”记录。</x:v>
      </x:c>
      <x:c r="AI16" s="90" t="str">
        <x:v>仅见月份或表面五行标签，但未满足“仲春木旺，气温上升”及必要修正条件时，不得套用“卯月气候基准”。</x:v>
      </x:c>
      <x:c r="AJ16" s="82" t="str">
        <x:v>采用</x:v>
      </x:c>
      <x:c r="AK16" s="82" t="str">
        <x:v>初审</x:v>
      </x:c>
      <x:c r="AL16" s="87" t="n">
        <x:v>46255</x:v>
      </x:c>
    </x:row>
    <x:row r="17">
      <x:c r="A17" s="72" t="str">
        <x:f>IF(OR(C17="",D17=""),"",B17&amp;"-"&amp;UPPER(C17)&amp;"-"&amp;TEXT(D17,"0000")&amp;"-"&amp;E17)</x:f>
        <x:v>M13-SEASON-0011-V1.0</x:v>
      </x:c>
      <x:c r="B17" s="74" t="str">
        <x:v>M13</x:v>
      </x:c>
      <x:c r="C17" s="74" t="str">
        <x:v>SEASON</x:v>
      </x:c>
      <x:c r="D17" s="215" t="n">
        <x:v>11</x:v>
      </x:c>
      <x:c r="E17" s="74" t="str">
        <x:v>V1.0</x:v>
      </x:c>
      <x:c r="F17" s="68" t="str">
        <x:v>辰月气候基准</x:v>
      </x:c>
      <x:c r="G17" s="82" t="str">
        <x:v>结构层</x:v>
      </x:c>
      <x:c r="H17" s="82" t="str">
        <x:v>寒暖燥湿综合</x:v>
      </x:c>
      <x:c r="I17" s="68" t="str">
        <x:v>辰月</x:v>
      </x:c>
      <x:c r="J17" s="68" t="str">
        <x:v>季春湿土当令</x:v>
      </x:c>
      <x:c r="K17" s="68" t="str">
        <x:v>月令基准</x:v>
      </x:c>
      <x:c r="L17" s="68" t="str">
        <x:v>月令基准</x:v>
      </x:c>
      <x:c r="M17" s="82" t="str">
        <x:v>偏暖</x:v>
      </x:c>
      <x:c r="N17" s="82" t="str">
        <x:v>偏湿</x:v>
      </x:c>
      <x:c r="O17" s="68" t="str">
        <x:v>湿土与春水余气可能使湿度升高</x:v>
      </x:c>
      <x:c r="P17" s="68" t="str">
        <x:v>火/木</x:v>
      </x:c>
      <x:c r="Q17" s="68" t="str">
        <x:v>暖土疏湿并维持生发</x:v>
      </x:c>
      <x:c r="R17" s="82" t="str">
        <x:v>条件性</x:v>
      </x:c>
      <x:c r="S17" s="82" t="str">
        <x:v>待定</x:v>
      </x:c>
      <x:c r="T17" s="82" t="str">
        <x:v>待定</x:v>
      </x:c>
      <x:c r="U17" s="82" t="str">
        <x:v>待定</x:v>
      </x:c>
      <x:c r="V17" s="82" t="str">
        <x:v>待定</x:v>
      </x:c>
      <x:c r="W17" s="68" t="str">
        <x:v>M02基础映射、M08五行有效旺衰、M12流通卡点已完成</x:v>
      </x:c>
      <x:c r="X17" s="68" t="str">
        <x:v>月令基准与全局有效五行均已核查</x:v>
      </x:c>
      <x:c r="Y17" s="68" t="str">
        <x:v>相关调候五行有根有源、透达且能真实改善关键气候问题</x:v>
      </x:c>
      <x:c r="Z17" s="68" t="str">
        <x:v>调候五行无根、受强制、被合绊、改性或加入后产生新的寒热燥湿问题</x:v>
      </x:c>
      <x:c r="AA17" s="90" t="str">
        <x:v>月令仅提供初始倾向，必须结合全局火水燥湿土与合化成势修正</x:v>
      </x:c>
      <x:c r="AB17" s="68" t="str">
        <x:v>特殊格局、核心格局用神或更高优先级病药约束转M16—M18裁决</x:v>
      </x:c>
      <x:c r="AC17" s="84" t="str">
        <x:v>辰月_气候基准</x:v>
      </x:c>
      <x:c r="AD17" s="84" t="str">
        <x:v>辰月气候基准：温度轴判“偏暖”，湿度轴判“偏湿”；调候候选为“火/木”，是否成为最终用神仍转M16—M18。</x:v>
      </x:c>
      <x:c r="AE17" s="82" t="str">
        <x:v>中等</x:v>
      </x:c>
      <x:c r="AF17" s="82" t="str">
        <x:v>调候</x:v>
      </x:c>
      <x:c r="AG17" s="68" t="str">
        <x:v>调候以月令气候为起点，但必须结合M08五行有效力量与M12流通状态修正；寒暖与燥湿分轴判断，调候候选不自动等于全局主用神。</x:v>
      </x:c>
      <x:c r="AH17" s="68" t="str">
        <x:v>当“季春湿土当令”真实成立，且调候机制能改善主要气候问题时，可按“辰月气候基准”记录。</x:v>
      </x:c>
      <x:c r="AI17" s="90" t="str">
        <x:v>仅见月份或表面五行标签，但未满足“季春湿土当令”及必要修正条件时，不得套用“辰月气候基准”。</x:v>
      </x:c>
      <x:c r="AJ17" s="82" t="str">
        <x:v>采用</x:v>
      </x:c>
      <x:c r="AK17" s="82" t="str">
        <x:v>初审</x:v>
      </x:c>
      <x:c r="AL17" s="87" t="n">
        <x:v>46255</x:v>
      </x:c>
    </x:row>
    <x:row r="18">
      <x:c r="A18" s="72" t="str">
        <x:f>IF(OR(C18="",D18=""),"",B18&amp;"-"&amp;UPPER(C18)&amp;"-"&amp;TEXT(D18,"0000")&amp;"-"&amp;E18)</x:f>
        <x:v>M13-SEASON-0012-V1.0</x:v>
      </x:c>
      <x:c r="B18" s="74" t="str">
        <x:v>M13</x:v>
      </x:c>
      <x:c r="C18" s="74" t="str">
        <x:v>SEASON</x:v>
      </x:c>
      <x:c r="D18" s="215" t="n">
        <x:v>12</x:v>
      </x:c>
      <x:c r="E18" s="74" t="str">
        <x:v>V1.0</x:v>
      </x:c>
      <x:c r="F18" s="68" t="str">
        <x:v>巳月气候基准</x:v>
      </x:c>
      <x:c r="G18" s="82" t="str">
        <x:v>结构层</x:v>
      </x:c>
      <x:c r="H18" s="82" t="str">
        <x:v>寒暖燥湿综合</x:v>
      </x:c>
      <x:c r="I18" s="68" t="str">
        <x:v>巳月</x:v>
      </x:c>
      <x:c r="J18" s="68" t="str">
        <x:v>初夏火旺</x:v>
      </x:c>
      <x:c r="K18" s="68" t="str">
        <x:v>月令基准</x:v>
      </x:c>
      <x:c r="L18" s="68" t="str">
        <x:v>月令基准</x:v>
      </x:c>
      <x:c r="M18" s="82" t="str">
        <x:v>偏暖</x:v>
      </x:c>
      <x:c r="N18" s="82" t="str">
        <x:v>偏燥</x:v>
      </x:c>
      <x:c r="O18" s="68" t="str">
        <x:v>火升温并逐渐增燥</x:v>
      </x:c>
      <x:c r="P18" s="68" t="str">
        <x:v>水</x:v>
      </x:c>
      <x:c r="Q18" s="68" t="str">
        <x:v>润燥降温</x:v>
      </x:c>
      <x:c r="R18" s="82" t="str">
        <x:v>条件性</x:v>
      </x:c>
      <x:c r="S18" s="82" t="str">
        <x:v>待定</x:v>
      </x:c>
      <x:c r="T18" s="82" t="str">
        <x:v>待定</x:v>
      </x:c>
      <x:c r="U18" s="82" t="str">
        <x:v>待定</x:v>
      </x:c>
      <x:c r="V18" s="82" t="str">
        <x:v>待定</x:v>
      </x:c>
      <x:c r="W18" s="68" t="str">
        <x:v>M02基础映射、M08五行有效旺衰、M12流通卡点已完成</x:v>
      </x:c>
      <x:c r="X18" s="68" t="str">
        <x:v>月令基准与全局有效五行均已核查</x:v>
      </x:c>
      <x:c r="Y18" s="68" t="str">
        <x:v>相关调候五行有根有源、透达且能真实改善关键气候问题</x:v>
      </x:c>
      <x:c r="Z18" s="68" t="str">
        <x:v>调候五行无根、受强制、被合绊、改性或加入后产生新的寒热燥湿问题</x:v>
      </x:c>
      <x:c r="AA18" s="90" t="str">
        <x:v>月令仅提供初始倾向，必须结合全局火水燥湿土与合化成势修正</x:v>
      </x:c>
      <x:c r="AB18" s="68" t="str">
        <x:v>特殊格局、核心格局用神或更高优先级病药约束转M16—M18裁决</x:v>
      </x:c>
      <x:c r="AC18" s="84" t="str">
        <x:v>巳月_气候基准</x:v>
      </x:c>
      <x:c r="AD18" s="84" t="str">
        <x:v>巳月气候基准：温度轴判“偏暖”，湿度轴判“偏燥”；调候候选为“水”，是否成为最终用神仍转M16—M18。</x:v>
      </x:c>
      <x:c r="AE18" s="82" t="str">
        <x:v>中等</x:v>
      </x:c>
      <x:c r="AF18" s="82" t="str">
        <x:v>调候</x:v>
      </x:c>
      <x:c r="AG18" s="68" t="str">
        <x:v>调候以月令气候为起点，但必须结合M08五行有效力量与M12流通状态修正；寒暖与燥湿分轴判断，调候候选不自动等于全局主用神。</x:v>
      </x:c>
      <x:c r="AH18" s="68" t="str">
        <x:v>当“初夏火旺”真实成立，且调候机制能改善主要气候问题时，可按“巳月气候基准”记录。</x:v>
      </x:c>
      <x:c r="AI18" s="90" t="str">
        <x:v>仅见月份或表面五行标签，但未满足“初夏火旺”及必要修正条件时，不得套用“巳月气候基准”。</x:v>
      </x:c>
      <x:c r="AJ18" s="82" t="str">
        <x:v>采用</x:v>
      </x:c>
      <x:c r="AK18" s="82" t="str">
        <x:v>初审</x:v>
      </x:c>
      <x:c r="AL18" s="87" t="n">
        <x:v>46255</x:v>
      </x:c>
    </x:row>
    <x:row r="19">
      <x:c r="A19" s="72" t="str">
        <x:f>IF(OR(C19="",D19=""),"",B19&amp;"-"&amp;UPPER(C19)&amp;"-"&amp;TEXT(D19,"0000")&amp;"-"&amp;E19)</x:f>
        <x:v>M13-SEASON-0013-V1.0</x:v>
      </x:c>
      <x:c r="B19" s="74" t="str">
        <x:v>M13</x:v>
      </x:c>
      <x:c r="C19" s="74" t="str">
        <x:v>SEASON</x:v>
      </x:c>
      <x:c r="D19" s="215" t="n">
        <x:v>13</x:v>
      </x:c>
      <x:c r="E19" s="74" t="str">
        <x:v>V1.0</x:v>
      </x:c>
      <x:c r="F19" s="68" t="str">
        <x:v>午月气候基准</x:v>
      </x:c>
      <x:c r="G19" s="82" t="str">
        <x:v>结构层</x:v>
      </x:c>
      <x:c r="H19" s="82" t="str">
        <x:v>寒暖燥湿综合</x:v>
      </x:c>
      <x:c r="I19" s="68" t="str">
        <x:v>午月</x:v>
      </x:c>
      <x:c r="J19" s="68" t="str">
        <x:v>盛夏火极旺</x:v>
      </x:c>
      <x:c r="K19" s="68" t="str">
        <x:v>月令基准</x:v>
      </x:c>
      <x:c r="L19" s="68" t="str">
        <x:v>月令基准</x:v>
      </x:c>
      <x:c r="M19" s="82" t="str">
        <x:v>极热</x:v>
      </x:c>
      <x:c r="N19" s="82" t="str">
        <x:v>偏燥</x:v>
      </x:c>
      <x:c r="O19" s="68" t="str">
        <x:v>火势最强，易热燥</x:v>
      </x:c>
      <x:c r="P19" s="68" t="str">
        <x:v>水</x:v>
      </x:c>
      <x:c r="Q19" s="68" t="str">
        <x:v>降温润燥</x:v>
      </x:c>
      <x:c r="R19" s="82" t="str">
        <x:v>条件性</x:v>
      </x:c>
      <x:c r="S19" s="82" t="str">
        <x:v>待定</x:v>
      </x:c>
      <x:c r="T19" s="82" t="str">
        <x:v>待定</x:v>
      </x:c>
      <x:c r="U19" s="82" t="str">
        <x:v>待定</x:v>
      </x:c>
      <x:c r="V19" s="82" t="str">
        <x:v>待定</x:v>
      </x:c>
      <x:c r="W19" s="68" t="str">
        <x:v>M02基础映射、M08五行有效旺衰、M12流通卡点已完成</x:v>
      </x:c>
      <x:c r="X19" s="68" t="str">
        <x:v>月令基准与全局有效五行均已核查</x:v>
      </x:c>
      <x:c r="Y19" s="68" t="str">
        <x:v>相关调候五行有根有源、透达且能真实改善关键气候问题</x:v>
      </x:c>
      <x:c r="Z19" s="68" t="str">
        <x:v>调候五行无根、受强制、被合绊、改性或加入后产生新的寒热燥湿问题</x:v>
      </x:c>
      <x:c r="AA19" s="90" t="str">
        <x:v>月令仅提供初始倾向，必须结合全局火水燥湿土与合化成势修正</x:v>
      </x:c>
      <x:c r="AB19" s="68" t="str">
        <x:v>特殊格局、核心格局用神或更高优先级病药约束转M16—M18裁决</x:v>
      </x:c>
      <x:c r="AC19" s="84" t="str">
        <x:v>午月_气候基准</x:v>
      </x:c>
      <x:c r="AD19" s="84" t="str">
        <x:v>午月气候基准：温度轴判“极热”，湿度轴判“偏燥”；调候候选为“水”，是否成为最终用神仍转M16—M18。</x:v>
      </x:c>
      <x:c r="AE19" s="82" t="str">
        <x:v>中等</x:v>
      </x:c>
      <x:c r="AF19" s="82" t="str">
        <x:v>调候</x:v>
      </x:c>
      <x:c r="AG19" s="68" t="str">
        <x:v>调候以月令气候为起点，但必须结合M08五行有效力量与M12流通状态修正；寒暖与燥湿分轴判断，调候候选不自动等于全局主用神。</x:v>
      </x:c>
      <x:c r="AH19" s="68" t="str">
        <x:v>当“盛夏火极旺”真实成立，且调候机制能改善主要气候问题时，可按“午月气候基准”记录。</x:v>
      </x:c>
      <x:c r="AI19" s="90" t="str">
        <x:v>仅见月份或表面五行标签，但未满足“盛夏火极旺”及必要修正条件时，不得套用“午月气候基准”。</x:v>
      </x:c>
      <x:c r="AJ19" s="82" t="str">
        <x:v>采用</x:v>
      </x:c>
      <x:c r="AK19" s="82" t="str">
        <x:v>初审</x:v>
      </x:c>
      <x:c r="AL19" s="87" t="n">
        <x:v>46255</x:v>
      </x:c>
    </x:row>
    <x:row r="20">
      <x:c r="A20" s="72" t="str">
        <x:f>IF(OR(C20="",D20=""),"",B20&amp;"-"&amp;UPPER(C20)&amp;"-"&amp;TEXT(D20,"0000")&amp;"-"&amp;E20)</x:f>
        <x:v>M13-SEASON-0014-V1.0</x:v>
      </x:c>
      <x:c r="B20" s="74" t="str">
        <x:v>M13</x:v>
      </x:c>
      <x:c r="C20" s="74" t="str">
        <x:v>SEASON</x:v>
      </x:c>
      <x:c r="D20" s="215" t="n">
        <x:v>14</x:v>
      </x:c>
      <x:c r="E20" s="74" t="str">
        <x:v>V1.0</x:v>
      </x:c>
      <x:c r="F20" s="68" t="str">
        <x:v>未月气候基准</x:v>
      </x:c>
      <x:c r="G20" s="82" t="str">
        <x:v>结构层</x:v>
      </x:c>
      <x:c r="H20" s="82" t="str">
        <x:v>寒暖燥湿综合</x:v>
      </x:c>
      <x:c r="I20" s="68" t="str">
        <x:v>未月</x:v>
      </x:c>
      <x:c r="J20" s="68" t="str">
        <x:v>季夏燥土偏重</x:v>
      </x:c>
      <x:c r="K20" s="68" t="str">
        <x:v>月令基准</x:v>
      </x:c>
      <x:c r="L20" s="68" t="str">
        <x:v>月令基准</x:v>
      </x:c>
      <x:c r="M20" s="82" t="str">
        <x:v>偏暖</x:v>
      </x:c>
      <x:c r="N20" s="82" t="str">
        <x:v>偏燥</x:v>
      </x:c>
      <x:c r="O20" s="68" t="str">
        <x:v>余火与燥土并见时燥性突出</x:v>
      </x:c>
      <x:c r="P20" s="68" t="str">
        <x:v>水</x:v>
      </x:c>
      <x:c r="Q20" s="68" t="str">
        <x:v>润燥制热</x:v>
      </x:c>
      <x:c r="R20" s="82" t="str">
        <x:v>条件性</x:v>
      </x:c>
      <x:c r="S20" s="82" t="str">
        <x:v>待定</x:v>
      </x:c>
      <x:c r="T20" s="82" t="str">
        <x:v>待定</x:v>
      </x:c>
      <x:c r="U20" s="82" t="str">
        <x:v>待定</x:v>
      </x:c>
      <x:c r="V20" s="82" t="str">
        <x:v>待定</x:v>
      </x:c>
      <x:c r="W20" s="68" t="str">
        <x:v>M02基础映射、M08五行有效旺衰、M12流通卡点已完成</x:v>
      </x:c>
      <x:c r="X20" s="68" t="str">
        <x:v>月令基准与全局有效五行均已核查</x:v>
      </x:c>
      <x:c r="Y20" s="68" t="str">
        <x:v>相关调候五行有根有源、透达且能真实改善关键气候问题</x:v>
      </x:c>
      <x:c r="Z20" s="68" t="str">
        <x:v>调候五行无根、受强制、被合绊、改性或加入后产生新的寒热燥湿问题</x:v>
      </x:c>
      <x:c r="AA20" s="90" t="str">
        <x:v>月令仅提供初始倾向，必须结合全局火水燥湿土与合化成势修正</x:v>
      </x:c>
      <x:c r="AB20" s="68" t="str">
        <x:v>特殊格局、核心格局用神或更高优先级病药约束转M16—M18裁决</x:v>
      </x:c>
      <x:c r="AC20" s="84" t="str">
        <x:v>未月_气候基准</x:v>
      </x:c>
      <x:c r="AD20" s="84" t="str">
        <x:v>未月气候基准：温度轴判“偏暖”，湿度轴判“偏燥”；调候候选为“水”，是否成为最终用神仍转M16—M18。</x:v>
      </x:c>
      <x:c r="AE20" s="82" t="str">
        <x:v>中等</x:v>
      </x:c>
      <x:c r="AF20" s="82" t="str">
        <x:v>调候</x:v>
      </x:c>
      <x:c r="AG20" s="68" t="str">
        <x:v>调候以月令气候为起点，但必须结合M08五行有效力量与M12流通状态修正；寒暖与燥湿分轴判断，调候候选不自动等于全局主用神。</x:v>
      </x:c>
      <x:c r="AH20" s="68" t="str">
        <x:v>当“季夏燥土偏重”真实成立，且调候机制能改善主要气候问题时，可按“未月气候基准”记录。</x:v>
      </x:c>
      <x:c r="AI20" s="90" t="str">
        <x:v>仅见月份或表面五行标签，但未满足“季夏燥土偏重”及必要修正条件时，不得套用“未月气候基准”。</x:v>
      </x:c>
      <x:c r="AJ20" s="82" t="str">
        <x:v>采用</x:v>
      </x:c>
      <x:c r="AK20" s="82" t="str">
        <x:v>初审</x:v>
      </x:c>
      <x:c r="AL20" s="87" t="n">
        <x:v>46255</x:v>
      </x:c>
    </x:row>
    <x:row r="21">
      <x:c r="A21" s="72" t="str">
        <x:f>IF(OR(C21="",D21=""),"",B21&amp;"-"&amp;UPPER(C21)&amp;"-"&amp;TEXT(D21,"0000")&amp;"-"&amp;E21)</x:f>
        <x:v>M13-SEASON-0015-V1.0</x:v>
      </x:c>
      <x:c r="B21" s="74" t="str">
        <x:v>M13</x:v>
      </x:c>
      <x:c r="C21" s="74" t="str">
        <x:v>SEASON</x:v>
      </x:c>
      <x:c r="D21" s="215" t="n">
        <x:v>15</x:v>
      </x:c>
      <x:c r="E21" s="74" t="str">
        <x:v>V1.0</x:v>
      </x:c>
      <x:c r="F21" s="68" t="str">
        <x:v>申月气候基准</x:v>
      </x:c>
      <x:c r="G21" s="82" t="str">
        <x:v>结构层</x:v>
      </x:c>
      <x:c r="H21" s="82" t="str">
        <x:v>寒暖燥湿综合</x:v>
      </x:c>
      <x:c r="I21" s="68" t="str">
        <x:v>申月</x:v>
      </x:c>
      <x:c r="J21" s="68" t="str">
        <x:v>初秋金旺，暑气渐退</x:v>
      </x:c>
      <x:c r="K21" s="68" t="str">
        <x:v>月令基准</x:v>
      </x:c>
      <x:c r="L21" s="68" t="str">
        <x:v>月令基准</x:v>
      </x:c>
      <x:c r="M21" s="82" t="str">
        <x:v>平衡</x:v>
      </x:c>
      <x:c r="N21" s="82" t="str">
        <x:v>偏燥</x:v>
      </x:c>
      <x:c r="O21" s="68" t="str">
        <x:v>金旺而秋燥渐显</x:v>
      </x:c>
      <x:c r="P21" s="68" t="str">
        <x:v>水</x:v>
      </x:c>
      <x:c r="Q21" s="68" t="str">
        <x:v>润金润燥</x:v>
      </x:c>
      <x:c r="R21" s="82" t="str">
        <x:v>条件性</x:v>
      </x:c>
      <x:c r="S21" s="82" t="str">
        <x:v>待定</x:v>
      </x:c>
      <x:c r="T21" s="82" t="str">
        <x:v>待定</x:v>
      </x:c>
      <x:c r="U21" s="82" t="str">
        <x:v>待定</x:v>
      </x:c>
      <x:c r="V21" s="82" t="str">
        <x:v>待定</x:v>
      </x:c>
      <x:c r="W21" s="68" t="str">
        <x:v>M02基础映射、M08五行有效旺衰、M12流通卡点已完成</x:v>
      </x:c>
      <x:c r="X21" s="68" t="str">
        <x:v>月令基准与全局有效五行均已核查</x:v>
      </x:c>
      <x:c r="Y21" s="68" t="str">
        <x:v>相关调候五行有根有源、透达且能真实改善关键气候问题</x:v>
      </x:c>
      <x:c r="Z21" s="68" t="str">
        <x:v>调候五行无根、受强制、被合绊、改性或加入后产生新的寒热燥湿问题</x:v>
      </x:c>
      <x:c r="AA21" s="90" t="str">
        <x:v>月令仅提供初始倾向，必须结合全局火水燥湿土与合化成势修正</x:v>
      </x:c>
      <x:c r="AB21" s="68" t="str">
        <x:v>特殊格局、核心格局用神或更高优先级病药约束转M16—M18裁决</x:v>
      </x:c>
      <x:c r="AC21" s="84" t="str">
        <x:v>申月_气候基准</x:v>
      </x:c>
      <x:c r="AD21" s="84" t="str">
        <x:v>申月气候基准：温度轴判“平衡”，湿度轴判“偏燥”；调候候选为“水”，是否成为最终用神仍转M16—M18。</x:v>
      </x:c>
      <x:c r="AE21" s="82" t="str">
        <x:v>中等</x:v>
      </x:c>
      <x:c r="AF21" s="82" t="str">
        <x:v>调候</x:v>
      </x:c>
      <x:c r="AG21" s="68" t="str">
        <x:v>调候以月令气候为起点，但必须结合M08五行有效力量与M12流通状态修正；寒暖与燥湿分轴判断，调候候选不自动等于全局主用神。</x:v>
      </x:c>
      <x:c r="AH21" s="68" t="str">
        <x:v>当“初秋金旺，暑气渐退”真实成立，且调候机制能改善主要气候问题时，可按“申月气候基准”记录。</x:v>
      </x:c>
      <x:c r="AI21" s="90" t="str">
        <x:v>仅见月份或表面五行标签，但未满足“初秋金旺，暑气渐退”及必要修正条件时，不得套用“申月气候基准”。</x:v>
      </x:c>
      <x:c r="AJ21" s="82" t="str">
        <x:v>采用</x:v>
      </x:c>
      <x:c r="AK21" s="82" t="str">
        <x:v>初审</x:v>
      </x:c>
      <x:c r="AL21" s="87" t="n">
        <x:v>46255</x:v>
      </x:c>
    </x:row>
    <x:row r="22">
      <x:c r="A22" s="72" t="str">
        <x:f>IF(OR(C22="",D22=""),"",B22&amp;"-"&amp;UPPER(C22)&amp;"-"&amp;TEXT(D22,"0000")&amp;"-"&amp;E22)</x:f>
        <x:v>M13-SEASON-0016-V1.0</x:v>
      </x:c>
      <x:c r="B22" s="74" t="str">
        <x:v>M13</x:v>
      </x:c>
      <x:c r="C22" s="74" t="str">
        <x:v>SEASON</x:v>
      </x:c>
      <x:c r="D22" s="215" t="n">
        <x:v>16</x:v>
      </x:c>
      <x:c r="E22" s="74" t="str">
        <x:v>V1.0</x:v>
      </x:c>
      <x:c r="F22" s="68" t="str">
        <x:v>酉月气候基准</x:v>
      </x:c>
      <x:c r="G22" s="82" t="str">
        <x:v>结构层</x:v>
      </x:c>
      <x:c r="H22" s="82" t="str">
        <x:v>寒暖燥湿综合</x:v>
      </x:c>
      <x:c r="I22" s="68" t="str">
        <x:v>酉月</x:v>
      </x:c>
      <x:c r="J22" s="68" t="str">
        <x:v>仲秋金旺，燥气明显</x:v>
      </x:c>
      <x:c r="K22" s="68" t="str">
        <x:v>月令基准</x:v>
      </x:c>
      <x:c r="L22" s="68" t="str">
        <x:v>月令基准</x:v>
      </x:c>
      <x:c r="M22" s="82" t="str">
        <x:v>偏寒</x:v>
      </x:c>
      <x:c r="N22" s="82" t="str">
        <x:v>偏燥</x:v>
      </x:c>
      <x:c r="O22" s="68" t="str">
        <x:v>秋凉与燥金并见</x:v>
      </x:c>
      <x:c r="P22" s="68" t="str">
        <x:v>水/火</x:v>
      </x:c>
      <x:c r="Q22" s="68" t="str">
        <x:v>润燥同时防寒过度</x:v>
      </x:c>
      <x:c r="R22" s="82" t="str">
        <x:v>条件性</x:v>
      </x:c>
      <x:c r="S22" s="82" t="str">
        <x:v>待定</x:v>
      </x:c>
      <x:c r="T22" s="82" t="str">
        <x:v>待定</x:v>
      </x:c>
      <x:c r="U22" s="82" t="str">
        <x:v>待定</x:v>
      </x:c>
      <x:c r="V22" s="82" t="str">
        <x:v>待定</x:v>
      </x:c>
      <x:c r="W22" s="68" t="str">
        <x:v>M02基础映射、M08五行有效旺衰、M12流通卡点已完成</x:v>
      </x:c>
      <x:c r="X22" s="68" t="str">
        <x:v>月令基准与全局有效五行均已核查</x:v>
      </x:c>
      <x:c r="Y22" s="68" t="str">
        <x:v>相关调候五行有根有源、透达且能真实改善关键气候问题</x:v>
      </x:c>
      <x:c r="Z22" s="68" t="str">
        <x:v>调候五行无根、受强制、被合绊、改性或加入后产生新的寒热燥湿问题</x:v>
      </x:c>
      <x:c r="AA22" s="90" t="str">
        <x:v>月令仅提供初始倾向，必须结合全局火水燥湿土与合化成势修正</x:v>
      </x:c>
      <x:c r="AB22" s="68" t="str">
        <x:v>特殊格局、核心格局用神或更高优先级病药约束转M16—M18裁决</x:v>
      </x:c>
      <x:c r="AC22" s="84" t="str">
        <x:v>酉月_气候基准</x:v>
      </x:c>
      <x:c r="AD22" s="84" t="str">
        <x:v>酉月气候基准：温度轴判“偏寒”，湿度轴判“偏燥”；调候候选为“水/火”，是否成为最终用神仍转M16—M18。</x:v>
      </x:c>
      <x:c r="AE22" s="82" t="str">
        <x:v>中等</x:v>
      </x:c>
      <x:c r="AF22" s="82" t="str">
        <x:v>调候</x:v>
      </x:c>
      <x:c r="AG22" s="68" t="str">
        <x:v>调候以月令气候为起点，但必须结合M08五行有效力量与M12流通状态修正；寒暖与燥湿分轴判断，调候候选不自动等于全局主用神。</x:v>
      </x:c>
      <x:c r="AH22" s="68" t="str">
        <x:v>当“仲秋金旺，燥气明显”真实成立，且调候机制能改善主要气候问题时，可按“酉月气候基准”记录。</x:v>
      </x:c>
      <x:c r="AI22" s="90" t="str">
        <x:v>仅见月份或表面五行标签，但未满足“仲秋金旺，燥气明显”及必要修正条件时，不得套用“酉月气候基准”。</x:v>
      </x:c>
      <x:c r="AJ22" s="82" t="str">
        <x:v>采用</x:v>
      </x:c>
      <x:c r="AK22" s="82" t="str">
        <x:v>初审</x:v>
      </x:c>
      <x:c r="AL22" s="87" t="n">
        <x:v>46255</x:v>
      </x:c>
    </x:row>
    <x:row r="23">
      <x:c r="A23" s="72" t="str">
        <x:f>IF(OR(C23="",D23=""),"",B23&amp;"-"&amp;UPPER(C23)&amp;"-"&amp;TEXT(D23,"0000")&amp;"-"&amp;E23)</x:f>
        <x:v>M13-SEASON-0017-V1.0</x:v>
      </x:c>
      <x:c r="B23" s="74" t="str">
        <x:v>M13</x:v>
      </x:c>
      <x:c r="C23" s="74" t="str">
        <x:v>SEASON</x:v>
      </x:c>
      <x:c r="D23" s="215" t="n">
        <x:v>17</x:v>
      </x:c>
      <x:c r="E23" s="74" t="str">
        <x:v>V1.0</x:v>
      </x:c>
      <x:c r="F23" s="68" t="str">
        <x:v>戌月气候基准</x:v>
      </x:c>
      <x:c r="G23" s="82" t="str">
        <x:v>结构层</x:v>
      </x:c>
      <x:c r="H23" s="82" t="str">
        <x:v>寒暖燥湿综合</x:v>
      </x:c>
      <x:c r="I23" s="68" t="str">
        <x:v>戌月</x:v>
      </x:c>
      <x:c r="J23" s="68" t="str">
        <x:v>季秋燥土当令</x:v>
      </x:c>
      <x:c r="K23" s="68" t="str">
        <x:v>月令基准</x:v>
      </x:c>
      <x:c r="L23" s="68" t="str">
        <x:v>月令基准</x:v>
      </x:c>
      <x:c r="M23" s="82" t="str">
        <x:v>偏寒</x:v>
      </x:c>
      <x:c r="N23" s="82" t="str">
        <x:v>偏燥</x:v>
      </x:c>
      <x:c r="O23" s="68" t="str">
        <x:v>燥土与秋凉并重</x:v>
      </x:c>
      <x:c r="P23" s="68" t="str">
        <x:v>水/火</x:v>
      </x:c>
      <x:c r="Q23" s="68" t="str">
        <x:v>润燥并视寒暖取火</x:v>
      </x:c>
      <x:c r="R23" s="82" t="str">
        <x:v>条件性</x:v>
      </x:c>
      <x:c r="S23" s="82" t="str">
        <x:v>待定</x:v>
      </x:c>
      <x:c r="T23" s="82" t="str">
        <x:v>待定</x:v>
      </x:c>
      <x:c r="U23" s="82" t="str">
        <x:v>待定</x:v>
      </x:c>
      <x:c r="V23" s="82" t="str">
        <x:v>待定</x:v>
      </x:c>
      <x:c r="W23" s="68" t="str">
        <x:v>M02基础映射、M08五行有效旺衰、M12流通卡点已完成</x:v>
      </x:c>
      <x:c r="X23" s="68" t="str">
        <x:v>月令基准与全局有效五行均已核查</x:v>
      </x:c>
      <x:c r="Y23" s="68" t="str">
        <x:v>相关调候五行有根有源、透达且能真实改善关键气候问题</x:v>
      </x:c>
      <x:c r="Z23" s="68" t="str">
        <x:v>调候五行无根、受强制、被合绊、改性或加入后产生新的寒热燥湿问题</x:v>
      </x:c>
      <x:c r="AA23" s="90" t="str">
        <x:v>月令仅提供初始倾向，必须结合全局火水燥湿土与合化成势修正</x:v>
      </x:c>
      <x:c r="AB23" s="68" t="str">
        <x:v>特殊格局、核心格局用神或更高优先级病药约束转M16—M18裁决</x:v>
      </x:c>
      <x:c r="AC23" s="84" t="str">
        <x:v>戌月_气候基准</x:v>
      </x:c>
      <x:c r="AD23" s="84" t="str">
        <x:v>戌月气候基准：温度轴判“偏寒”，湿度轴判“偏燥”；调候候选为“水/火”，是否成为最终用神仍转M16—M18。</x:v>
      </x:c>
      <x:c r="AE23" s="82" t="str">
        <x:v>中等</x:v>
      </x:c>
      <x:c r="AF23" s="82" t="str">
        <x:v>调候</x:v>
      </x:c>
      <x:c r="AG23" s="68" t="str">
        <x:v>调候以月令气候为起点，但必须结合M08五行有效力量与M12流通状态修正；寒暖与燥湿分轴判断，调候候选不自动等于全局主用神。</x:v>
      </x:c>
      <x:c r="AH23" s="68" t="str">
        <x:v>当“季秋燥土当令”真实成立，且调候机制能改善主要气候问题时，可按“戌月气候基准”记录。</x:v>
      </x:c>
      <x:c r="AI23" s="90" t="str">
        <x:v>仅见月份或表面五行标签，但未满足“季秋燥土当令”及必要修正条件时，不得套用“戌月气候基准”。</x:v>
      </x:c>
      <x:c r="AJ23" s="82" t="str">
        <x:v>采用</x:v>
      </x:c>
      <x:c r="AK23" s="82" t="str">
        <x:v>初审</x:v>
      </x:c>
      <x:c r="AL23" s="87" t="n">
        <x:v>46255</x:v>
      </x:c>
    </x:row>
    <x:row r="24">
      <x:c r="A24" s="72" t="str">
        <x:f>IF(OR(C24="",D24=""),"",B24&amp;"-"&amp;UPPER(C24)&amp;"-"&amp;TEXT(D24,"0000")&amp;"-"&amp;E24)</x:f>
        <x:v>M13-SEASON-0018-V1.0</x:v>
      </x:c>
      <x:c r="B24" s="74" t="str">
        <x:v>M13</x:v>
      </x:c>
      <x:c r="C24" s="74" t="str">
        <x:v>SEASON</x:v>
      </x:c>
      <x:c r="D24" s="215" t="n">
        <x:v>18</x:v>
      </x:c>
      <x:c r="E24" s="74" t="str">
        <x:v>V1.0</x:v>
      </x:c>
      <x:c r="F24" s="68" t="str">
        <x:v>亥月气候基准</x:v>
      </x:c>
      <x:c r="G24" s="82" t="str">
        <x:v>结构层</x:v>
      </x:c>
      <x:c r="H24" s="82" t="str">
        <x:v>寒暖燥湿综合</x:v>
      </x:c>
      <x:c r="I24" s="68" t="str">
        <x:v>亥月</x:v>
      </x:c>
      <x:c r="J24" s="68" t="str">
        <x:v>初冬水旺</x:v>
      </x:c>
      <x:c r="K24" s="68" t="str">
        <x:v>月令基准</x:v>
      </x:c>
      <x:c r="L24" s="68" t="str">
        <x:v>月令基准</x:v>
      </x:c>
      <x:c r="M24" s="82" t="str">
        <x:v>偏寒</x:v>
      </x:c>
      <x:c r="N24" s="82" t="str">
        <x:v>偏湿</x:v>
      </x:c>
      <x:c r="O24" s="68" t="str">
        <x:v>水气增强，寒湿倾向上升</x:v>
      </x:c>
      <x:c r="P24" s="68" t="str">
        <x:v>火</x:v>
      </x:c>
      <x:c r="Q24" s="68" t="str">
        <x:v>暖局化寒湿</x:v>
      </x:c>
      <x:c r="R24" s="82" t="str">
        <x:v>条件性</x:v>
      </x:c>
      <x:c r="S24" s="82" t="str">
        <x:v>待定</x:v>
      </x:c>
      <x:c r="T24" s="82" t="str">
        <x:v>待定</x:v>
      </x:c>
      <x:c r="U24" s="82" t="str">
        <x:v>待定</x:v>
      </x:c>
      <x:c r="V24" s="82" t="str">
        <x:v>待定</x:v>
      </x:c>
      <x:c r="W24" s="68" t="str">
        <x:v>M02基础映射、M08五行有效旺衰、M12流通卡点已完成</x:v>
      </x:c>
      <x:c r="X24" s="68" t="str">
        <x:v>月令基准与全局有效五行均已核查</x:v>
      </x:c>
      <x:c r="Y24" s="68" t="str">
        <x:v>相关调候五行有根有源、透达且能真实改善关键气候问题</x:v>
      </x:c>
      <x:c r="Z24" s="68" t="str">
        <x:v>调候五行无根、受强制、被合绊、改性或加入后产生新的寒热燥湿问题</x:v>
      </x:c>
      <x:c r="AA24" s="90" t="str">
        <x:v>月令仅提供初始倾向，必须结合全局火水燥湿土与合化成势修正</x:v>
      </x:c>
      <x:c r="AB24" s="68" t="str">
        <x:v>特殊格局、核心格局用神或更高优先级病药约束转M16—M18裁决</x:v>
      </x:c>
      <x:c r="AC24" s="84" t="str">
        <x:v>亥月_气候基准</x:v>
      </x:c>
      <x:c r="AD24" s="84" t="str">
        <x:v>亥月气候基准：温度轴判“偏寒”，湿度轴判“偏湿”；调候候选为“火”，是否成为最终用神仍转M16—M18。</x:v>
      </x:c>
      <x:c r="AE24" s="82" t="str">
        <x:v>中等</x:v>
      </x:c>
      <x:c r="AF24" s="82" t="str">
        <x:v>调候</x:v>
      </x:c>
      <x:c r="AG24" s="68" t="str">
        <x:v>调候以月令气候为起点，但必须结合M08五行有效力量与M12流通状态修正；寒暖与燥湿分轴判断，调候候选不自动等于全局主用神。</x:v>
      </x:c>
      <x:c r="AH24" s="68" t="str">
        <x:v>当“初冬水旺”真实成立，且调候机制能改善主要气候问题时，可按“亥月气候基准”记录。</x:v>
      </x:c>
      <x:c r="AI24" s="90" t="str">
        <x:v>仅见月份或表面五行标签，但未满足“初冬水旺”及必要修正条件时，不得套用“亥月气候基准”。</x:v>
      </x:c>
      <x:c r="AJ24" s="82" t="str">
        <x:v>采用</x:v>
      </x:c>
      <x:c r="AK24" s="82" t="str">
        <x:v>初审</x:v>
      </x:c>
      <x:c r="AL24" s="87" t="n">
        <x:v>46255</x:v>
      </x:c>
    </x:row>
    <x:row r="25">
      <x:c r="A25" s="72" t="str">
        <x:f>IF(OR(C25="",D25=""),"",B25&amp;"-"&amp;UPPER(C25)&amp;"-"&amp;TEXT(D25,"0000")&amp;"-"&amp;E25)</x:f>
        <x:v>M13-SEASON-0019-V1.0</x:v>
      </x:c>
      <x:c r="B25" s="74" t="str">
        <x:v>M13</x:v>
      </x:c>
      <x:c r="C25" s="74" t="str">
        <x:v>SEASON</x:v>
      </x:c>
      <x:c r="D25" s="215" t="n">
        <x:v>19</x:v>
      </x:c>
      <x:c r="E25" s="74" t="str">
        <x:v>V1.0</x:v>
      </x:c>
      <x:c r="F25" s="68" t="str">
        <x:v>子月气候基准</x:v>
      </x:c>
      <x:c r="G25" s="82" t="str">
        <x:v>结构层</x:v>
      </x:c>
      <x:c r="H25" s="82" t="str">
        <x:v>寒暖燥湿综合</x:v>
      </x:c>
      <x:c r="I25" s="68" t="str">
        <x:v>子月</x:v>
      </x:c>
      <x:c r="J25" s="68" t="str">
        <x:v>仲冬水旺至极</x:v>
      </x:c>
      <x:c r="K25" s="68" t="str">
        <x:v>月令基准</x:v>
      </x:c>
      <x:c r="L25" s="68" t="str">
        <x:v>月令基准</x:v>
      </x:c>
      <x:c r="M25" s="82" t="str">
        <x:v>极寒</x:v>
      </x:c>
      <x:c r="N25" s="82" t="str">
        <x:v>偏湿</x:v>
      </x:c>
      <x:c r="O25" s="68" t="str">
        <x:v>寒水最盛，若无火调候易寒凝</x:v>
      </x:c>
      <x:c r="P25" s="68" t="str">
        <x:v>火</x:v>
      </x:c>
      <x:c r="Q25" s="68" t="str">
        <x:v>暖局并恢复生化</x:v>
      </x:c>
      <x:c r="R25" s="82" t="str">
        <x:v>条件性</x:v>
      </x:c>
      <x:c r="S25" s="82" t="str">
        <x:v>待定</x:v>
      </x:c>
      <x:c r="T25" s="82" t="str">
        <x:v>待定</x:v>
      </x:c>
      <x:c r="U25" s="82" t="str">
        <x:v>待定</x:v>
      </x:c>
      <x:c r="V25" s="82" t="str">
        <x:v>待定</x:v>
      </x:c>
      <x:c r="W25" s="68" t="str">
        <x:v>M02基础映射、M08五行有效旺衰、M12流通卡点已完成</x:v>
      </x:c>
      <x:c r="X25" s="68" t="str">
        <x:v>月令基准与全局有效五行均已核查</x:v>
      </x:c>
      <x:c r="Y25" s="68" t="str">
        <x:v>相关调候五行有根有源、透达且能真实改善关键气候问题</x:v>
      </x:c>
      <x:c r="Z25" s="68" t="str">
        <x:v>调候五行无根、受强制、被合绊、改性或加入后产生新的寒热燥湿问题</x:v>
      </x:c>
      <x:c r="AA25" s="90" t="str">
        <x:v>月令仅提供初始倾向，必须结合全局火水燥湿土与合化成势修正</x:v>
      </x:c>
      <x:c r="AB25" s="68" t="str">
        <x:v>特殊格局、核心格局用神或更高优先级病药约束转M16—M18裁决</x:v>
      </x:c>
      <x:c r="AC25" s="84" t="str">
        <x:v>子月_气候基准</x:v>
      </x:c>
      <x:c r="AD25" s="84" t="str">
        <x:v>子月气候基准：温度轴判“极寒”，湿度轴判“偏湿”；调候候选为“火”，是否成为最终用神仍转M16—M18。</x:v>
      </x:c>
      <x:c r="AE25" s="82" t="str">
        <x:v>中等</x:v>
      </x:c>
      <x:c r="AF25" s="82" t="str">
        <x:v>调候</x:v>
      </x:c>
      <x:c r="AG25" s="68" t="str">
        <x:v>调候以月令气候为起点，但必须结合M08五行有效力量与M12流通状态修正；寒暖与燥湿分轴判断，调候候选不自动等于全局主用神。</x:v>
      </x:c>
      <x:c r="AH25" s="68" t="str">
        <x:v>当“仲冬水旺至极”真实成立，且调候机制能改善主要气候问题时，可按“子月气候基准”记录。</x:v>
      </x:c>
      <x:c r="AI25" s="90" t="str">
        <x:v>仅见月份或表面五行标签，但未满足“仲冬水旺至极”及必要修正条件时，不得套用“子月气候基准”。</x:v>
      </x:c>
      <x:c r="AJ25" s="82" t="str">
        <x:v>采用</x:v>
      </x:c>
      <x:c r="AK25" s="82" t="str">
        <x:v>初审</x:v>
      </x:c>
      <x:c r="AL25" s="87" t="n">
        <x:v>46255</x:v>
      </x:c>
    </x:row>
    <x:row r="26">
      <x:c r="A26" s="72" t="str">
        <x:f>IF(OR(C26="",D26=""),"",B26&amp;"-"&amp;UPPER(C26)&amp;"-"&amp;TEXT(D26,"0000")&amp;"-"&amp;E26)</x:f>
        <x:v>M13-SEASON-0020-V1.0</x:v>
      </x:c>
      <x:c r="B26" s="74" t="str">
        <x:v>M13</x:v>
      </x:c>
      <x:c r="C26" s="74" t="str">
        <x:v>SEASON</x:v>
      </x:c>
      <x:c r="D26" s="215" t="n">
        <x:v>20</x:v>
      </x:c>
      <x:c r="E26" s="74" t="str">
        <x:v>V1.0</x:v>
      </x:c>
      <x:c r="F26" s="68" t="str">
        <x:v>丑月气候基准</x:v>
      </x:c>
      <x:c r="G26" s="82" t="str">
        <x:v>结构层</x:v>
      </x:c>
      <x:c r="H26" s="82" t="str">
        <x:v>寒暖燥湿综合</x:v>
      </x:c>
      <x:c r="I26" s="68" t="str">
        <x:v>丑月</x:v>
      </x:c>
      <x:c r="J26" s="68" t="str">
        <x:v>季冬湿土寒湿</x:v>
      </x:c>
      <x:c r="K26" s="68" t="str">
        <x:v>月令基准</x:v>
      </x:c>
      <x:c r="L26" s="68" t="str">
        <x:v>月令基准</x:v>
      </x:c>
      <x:c r="M26" s="82" t="str">
        <x:v>极寒</x:v>
      </x:c>
      <x:c r="N26" s="82" t="str">
        <x:v>偏湿</x:v>
      </x:c>
      <x:c r="O26" s="68" t="str">
        <x:v>寒土湿水并见时寒湿显著</x:v>
      </x:c>
      <x:c r="P26" s="68" t="str">
        <x:v>火</x:v>
      </x:c>
      <x:c r="Q26" s="68" t="str">
        <x:v>暖土化湿</x:v>
      </x:c>
      <x:c r="R26" s="82" t="str">
        <x:v>条件性</x:v>
      </x:c>
      <x:c r="S26" s="82" t="str">
        <x:v>待定</x:v>
      </x:c>
      <x:c r="T26" s="82" t="str">
        <x:v>待定</x:v>
      </x:c>
      <x:c r="U26" s="82" t="str">
        <x:v>待定</x:v>
      </x:c>
      <x:c r="V26" s="82" t="str">
        <x:v>待定</x:v>
      </x:c>
      <x:c r="W26" s="68" t="str">
        <x:v>M02基础映射、M08五行有效旺衰、M12流通卡点已完成</x:v>
      </x:c>
      <x:c r="X26" s="68" t="str">
        <x:v>月令基准与全局有效五行均已核查</x:v>
      </x:c>
      <x:c r="Y26" s="68" t="str">
        <x:v>相关调候五行有根有源、透达且能真实改善关键气候问题</x:v>
      </x:c>
      <x:c r="Z26" s="68" t="str">
        <x:v>调候五行无根、受强制、被合绊、改性或加入后产生新的寒热燥湿问题</x:v>
      </x:c>
      <x:c r="AA26" s="90" t="str">
        <x:v>月令仅提供初始倾向，必须结合全局火水燥湿土与合化成势修正</x:v>
      </x:c>
      <x:c r="AB26" s="68" t="str">
        <x:v>特殊格局、核心格局用神或更高优先级病药约束转M16—M18裁决</x:v>
      </x:c>
      <x:c r="AC26" s="84" t="str">
        <x:v>丑月_气候基准</x:v>
      </x:c>
      <x:c r="AD26" s="84" t="str">
        <x:v>丑月气候基准：温度轴判“极寒”，湿度轴判“偏湿”；调候候选为“火”，是否成为最终用神仍转M16—M18。</x:v>
      </x:c>
      <x:c r="AE26" s="82" t="str">
        <x:v>中等</x:v>
      </x:c>
      <x:c r="AF26" s="82" t="str">
        <x:v>调候</x:v>
      </x:c>
      <x:c r="AG26" s="68" t="str">
        <x:v>调候以月令气候为起点，但必须结合M08五行有效力量与M12流通状态修正；寒暖与燥湿分轴判断，调候候选不自动等于全局主用神。</x:v>
      </x:c>
      <x:c r="AH26" s="68" t="str">
        <x:v>当“季冬湿土寒湿”真实成立，且调候机制能改善主要气候问题时，可按“丑月气候基准”记录。</x:v>
      </x:c>
      <x:c r="AI26" s="90" t="str">
        <x:v>仅见月份或表面五行标签，但未满足“季冬湿土寒湿”及必要修正条件时，不得套用“丑月气候基准”。</x:v>
      </x:c>
      <x:c r="AJ26" s="82" t="str">
        <x:v>采用</x:v>
      </x:c>
      <x:c r="AK26" s="82" t="str">
        <x:v>初审</x:v>
      </x:c>
      <x:c r="AL26" s="87" t="n">
        <x:v>46255</x:v>
      </x:c>
    </x:row>
    <x:row r="27">
      <x:c r="A27" s="72" t="str">
        <x:f>IF(OR(C27="",D27=""),"",B27&amp;"-"&amp;UPPER(C27)&amp;"-"&amp;TEXT(D27,"0000")&amp;"-"&amp;E27)</x:f>
        <x:v>M13-TEMP-0021-V1.0</x:v>
      </x:c>
      <x:c r="B27" s="74" t="str">
        <x:v>M13</x:v>
      </x:c>
      <x:c r="C27" s="74" t="str">
        <x:v>TEMP</x:v>
      </x:c>
      <x:c r="D27" s="215" t="n">
        <x:v>21</x:v>
      </x:c>
      <x:c r="E27" s="74" t="str">
        <x:v>V1.0</x:v>
      </x:c>
      <x:c r="F27" s="68" t="str">
        <x:v>强火成势可将偏寒局向平衡或偏暖修正</x:v>
      </x:c>
      <x:c r="G27" s="82" t="str">
        <x:v>结构层</x:v>
      </x:c>
      <x:c r="H27" s="82" t="str">
        <x:v>寒暖轴</x:v>
      </x:c>
      <x:c r="I27" s="68" t="str">
        <x:v>通用</x:v>
      </x:c>
      <x:c r="J27" s="68" t="str">
        <x:v>原局火达到旺或极旺且真实透达</x:v>
      </x:c>
      <x:c r="K27" s="68" t="str">
        <x:v>明显升温</x:v>
      </x:c>
      <x:c r="L27" s="68" t="str">
        <x:v>视土水关系另判</x:v>
      </x:c>
      <x:c r="M27" s="82" t="str">
        <x:v>待定</x:v>
      </x:c>
      <x:c r="N27" s="82" t="str">
        <x:v>待定</x:v>
      </x:c>
      <x:c r="O27" s="68" t="str">
        <x:v>寒气被强火缓解</x:v>
      </x:c>
      <x:c r="P27" s="68" t="str">
        <x:v>火</x:v>
      </x:c>
      <x:c r="Q27" s="68" t="str">
        <x:v>直接暖局</x:v>
      </x:c>
      <x:c r="R27" s="82" t="str">
        <x:v>是</x:v>
      </x:c>
      <x:c r="S27" s="82" t="str">
        <x:v>有效</x:v>
      </x:c>
      <x:c r="T27" s="82" t="str">
        <x:v>待定</x:v>
      </x:c>
      <x:c r="U27" s="82" t="str">
        <x:v>待定</x:v>
      </x:c>
      <x:c r="V27" s="82" t="str">
        <x:v>待定</x:v>
      </x:c>
      <x:c r="W27" s="68" t="str">
        <x:v>M02基础映射、M08五行有效旺衰、M12流通卡点已完成</x:v>
      </x:c>
      <x:c r="X27" s="68" t="str">
        <x:v>月令基准与全局有效五行均已核查</x:v>
      </x:c>
      <x:c r="Y27" s="68" t="str">
        <x:v>相关调候五行有根有源、透达且能真实改善关键气候问题</x:v>
      </x:c>
      <x:c r="Z27" s="68" t="str">
        <x:v>调候五行无根、受强制、被合绊、改性或加入后产生新的寒热燥湿问题</x:v>
      </x:c>
      <x:c r="AA27" s="90" t="str">
        <x:v>不得只凭出生月份或某一五行数量直接下最终调候结论</x:v>
      </x:c>
      <x:c r="AB27" s="68" t="str">
        <x:v>特殊格局、核心格局用神或更高优先级病药约束转M16—M18裁决</x:v>
      </x:c>
      <x:c r="AC27" s="84" t="str">
        <x:v>强火升温修正</x:v>
      </x:c>
      <x:c r="AD27" s="84" t="str">
        <x:v>强火成势可将偏寒局向平衡或偏暖修正：温度轴判“待定”，湿度轴判“待定”；调候候选为“火”，是否成为最终用神仍转M16—M18。</x:v>
      </x:c>
      <x:c r="AE27" s="82" t="str">
        <x:v>较高</x:v>
      </x:c>
      <x:c r="AF27" s="82" t="str">
        <x:v>调候</x:v>
      </x:c>
      <x:c r="AG27" s="68" t="str">
        <x:v>调候以月令气候为起点，但必须结合M08五行有效力量与M12流通状态修正；寒暖与燥湿分轴判断，调候候选不自动等于全局主用神。</x:v>
      </x:c>
      <x:c r="AH27" s="68" t="str">
        <x:v>当“原局火达到旺或极旺且真实透达”真实成立，且调候机制能改善主要气候问题时，可按“强火成势可将偏寒局向平衡或偏暖修正”记录。</x:v>
      </x:c>
      <x:c r="AI27" s="90" t="str">
        <x:v>仅见月份或表面五行标签，但未满足“原局火达到旺或极旺且真实透达”及必要修正条件时，不得套用“强火成势可将偏寒局向平衡或偏暖修正”。</x:v>
      </x:c>
      <x:c r="AJ27" s="82" t="str">
        <x:v>采用</x:v>
      </x:c>
      <x:c r="AK27" s="82" t="str">
        <x:v>初审</x:v>
      </x:c>
      <x:c r="AL27" s="87" t="n">
        <x:v>46255</x:v>
      </x:c>
    </x:row>
    <x:row r="28">
      <x:c r="A28" s="72" t="str">
        <x:f>IF(OR(C28="",D28=""),"",B28&amp;"-"&amp;UPPER(C28)&amp;"-"&amp;TEXT(D28,"0000")&amp;"-"&amp;E28)</x:f>
        <x:v>M13-TEMP-0022-V1.0</x:v>
      </x:c>
      <x:c r="B28" s="74" t="str">
        <x:v>M13</x:v>
      </x:c>
      <x:c r="C28" s="74" t="str">
        <x:v>TEMP</x:v>
      </x:c>
      <x:c r="D28" s="215" t="n">
        <x:v>22</x:v>
      </x:c>
      <x:c r="E28" s="74" t="str">
        <x:v>V1.0</x:v>
      </x:c>
      <x:c r="F28" s="68" t="str">
        <x:v>弱火无根不足以改变极寒基准</x:v>
      </x:c>
      <x:c r="G28" s="82" t="str">
        <x:v>结构层</x:v>
      </x:c>
      <x:c r="H28" s="82" t="str">
        <x:v>寒暖轴</x:v>
      </x:c>
      <x:c r="I28" s="68" t="str">
        <x:v>通用</x:v>
      </x:c>
      <x:c r="J28" s="68" t="str">
        <x:v>冬月极寒基准下仅见无根弱火或火被强水压制</x:v>
      </x:c>
      <x:c r="K28" s="68" t="str">
        <x:v>升温有限</x:v>
      </x:c>
      <x:c r="L28" s="68" t="str">
        <x:v>待定</x:v>
      </x:c>
      <x:c r="M28" s="82" t="str">
        <x:v>极寒</x:v>
      </x:c>
      <x:c r="N28" s="82" t="str">
        <x:v>待定</x:v>
      </x:c>
      <x:c r="O28" s="68" t="str">
        <x:v>名义有火但不足以暖局</x:v>
      </x:c>
      <x:c r="P28" s="68" t="str">
        <x:v>火</x:v>
      </x:c>
      <x:c r="Q28" s="68" t="str">
        <x:v>需强化有效火而非只看火字</x:v>
      </x:c>
      <x:c r="R28" s="82" t="str">
        <x:v>是</x:v>
      </x:c>
      <x:c r="S28" s="82" t="str">
        <x:v>受限</x:v>
      </x:c>
      <x:c r="T28" s="82" t="str">
        <x:v>高</x:v>
      </x:c>
      <x:c r="U28" s="82" t="str">
        <x:v>待定</x:v>
      </x:c>
      <x:c r="V28" s="82" t="str">
        <x:v>待定</x:v>
      </x:c>
      <x:c r="W28" s="68" t="str">
        <x:v>M02基础映射、M08五行有效旺衰、M12流通卡点已完成</x:v>
      </x:c>
      <x:c r="X28" s="68" t="str">
        <x:v>月令基准与全局有效五行均已核查</x:v>
      </x:c>
      <x:c r="Y28" s="68" t="str">
        <x:v>相关调候五行有根有源、透达且能真实改善关键气候问题</x:v>
      </x:c>
      <x:c r="Z28" s="68" t="str">
        <x:v>调候五行无根、受强制、被合绊、改性或加入后产生新的寒热燥湿问题</x:v>
      </x:c>
      <x:c r="AA28" s="90" t="str">
        <x:v>不得只凭出生月份或某一五行数量直接下最终调候结论</x:v>
      </x:c>
      <x:c r="AB28" s="68" t="str">
        <x:v>特殊格局、核心格局用神或更高优先级病药约束转M16—M18裁决</x:v>
      </x:c>
      <x:c r="AC28" s="84" t="str">
        <x:v>弱火不足暖局</x:v>
      </x:c>
      <x:c r="AD28" s="84" t="str">
        <x:v>弱火无根不足以改变极寒基准：温度轴判“极寒”，湿度轴判“待定”；调候候选为“火”，是否成为最终用神仍转M16—M18。</x:v>
      </x:c>
      <x:c r="AE28" s="82" t="str">
        <x:v>较高</x:v>
      </x:c>
      <x:c r="AF28" s="82" t="str">
        <x:v>调候</x:v>
      </x:c>
      <x:c r="AG28" s="68" t="str">
        <x:v>调候以月令气候为起点，但必须结合M08五行有效力量与M12流通状态修正；寒暖与燥湿分轴判断，调候候选不自动等于全局主用神。</x:v>
      </x:c>
      <x:c r="AH28" s="68" t="str">
        <x:v>当“冬月极寒基准下仅见无根弱火或火被强水压制”真实成立，且调候机制能改善主要气候问题时，可按“弱火无根不足以改变极寒基准”记录。</x:v>
      </x:c>
      <x:c r="AI28" s="90" t="str">
        <x:v>仅见月份或表面五行标签，但未满足“冬月极寒基准下仅见无根弱火或火被强水压制”及必要修正条件时，不得套用“弱火无根不足以改变极寒基准”。</x:v>
      </x:c>
      <x:c r="AJ28" s="82" t="str">
        <x:v>采用</x:v>
      </x:c>
      <x:c r="AK28" s="82" t="str">
        <x:v>初审</x:v>
      </x:c>
      <x:c r="AL28" s="87" t="n">
        <x:v>46255</x:v>
      </x:c>
    </x:row>
    <x:row r="29">
      <x:c r="A29" s="72" t="str">
        <x:f>IF(OR(C29="",D29=""),"",B29&amp;"-"&amp;UPPER(C29)&amp;"-"&amp;TEXT(D29,"0000")&amp;"-"&amp;E29)</x:f>
        <x:v>M13-TEMP-0023-V1.0</x:v>
      </x:c>
      <x:c r="B29" s="74" t="str">
        <x:v>M13</x:v>
      </x:c>
      <x:c r="C29" s="74" t="str">
        <x:v>TEMP</x:v>
      </x:c>
      <x:c r="D29" s="215" t="n">
        <x:v>23</x:v>
      </x:c>
      <x:c r="E29" s="74" t="str">
        <x:v>V1.0</x:v>
      </x:c>
      <x:c r="F29" s="68" t="str">
        <x:v>强水成势可将偏暖局向平衡或偏寒修正</x:v>
      </x:c>
      <x:c r="G29" s="82" t="str">
        <x:v>结构层</x:v>
      </x:c>
      <x:c r="H29" s="82" t="str">
        <x:v>寒暖轴</x:v>
      </x:c>
      <x:c r="I29" s="68" t="str">
        <x:v>通用</x:v>
      </x:c>
      <x:c r="J29" s="68" t="str">
        <x:v>水旺极旺且有根有源、未被燥土火势压制</x:v>
      </x:c>
      <x:c r="K29" s="68" t="str">
        <x:v>明显降温</x:v>
      </x:c>
      <x:c r="L29" s="68" t="str">
        <x:v>待定</x:v>
      </x:c>
      <x:c r="M29" s="82" t="str">
        <x:v>待定</x:v>
      </x:c>
      <x:c r="N29" s="82" t="str">
        <x:v>待定</x:v>
      </x:c>
      <x:c r="O29" s="68" t="str">
        <x:v>水势降低全局温度</x:v>
      </x:c>
      <x:c r="P29" s="68" t="str">
        <x:v>待定</x:v>
      </x:c>
      <x:c r="Q29" s="68" t="str">
        <x:v>按需要控制降温幅度</x:v>
      </x:c>
      <x:c r="R29" s="82" t="str">
        <x:v>待定</x:v>
      </x:c>
      <x:c r="S29" s="82" t="str">
        <x:v>待定</x:v>
      </x:c>
      <x:c r="T29" s="82" t="str">
        <x:v>待定</x:v>
      </x:c>
      <x:c r="U29" s="82" t="str">
        <x:v>待定</x:v>
      </x:c>
      <x:c r="V29" s="82" t="str">
        <x:v>待定</x:v>
      </x:c>
      <x:c r="W29" s="68" t="str">
        <x:v>M02基础映射、M08五行有效旺衰、M12流通卡点已完成</x:v>
      </x:c>
      <x:c r="X29" s="68" t="str">
        <x:v>月令基准与全局有效五行均已核查</x:v>
      </x:c>
      <x:c r="Y29" s="68" t="str">
        <x:v>相关调候五行有根有源、透达且能真实改善关键气候问题</x:v>
      </x:c>
      <x:c r="Z29" s="68" t="str">
        <x:v>调候五行无根、受强制、被合绊、改性或加入后产生新的寒热燥湿问题</x:v>
      </x:c>
      <x:c r="AA29" s="90" t="str">
        <x:v>不得只凭出生月份或某一五行数量直接下最终调候结论</x:v>
      </x:c>
      <x:c r="AB29" s="68" t="str">
        <x:v>特殊格局、核心格局用神或更高优先级病药约束转M16—M18裁决</x:v>
      </x:c>
      <x:c r="AC29" s="84" t="str">
        <x:v>强水降温修正</x:v>
      </x:c>
      <x:c r="AD29" s="84" t="str">
        <x:v>强水成势可将偏暖局向平衡或偏寒修正：温度轴判“待定”，湿度轴判“待定”；调候候选为“待定”，是否成为最终用神仍转M16—M18。</x:v>
      </x:c>
      <x:c r="AE29" s="82" t="str">
        <x:v>较高</x:v>
      </x:c>
      <x:c r="AF29" s="82" t="str">
        <x:v>调候</x:v>
      </x:c>
      <x:c r="AG29" s="68" t="str">
        <x:v>调候以月令气候为起点，但必须结合M08五行有效力量与M12流通状态修正；寒暖与燥湿分轴判断，调候候选不自动等于全局主用神。</x:v>
      </x:c>
      <x:c r="AH29" s="68" t="str">
        <x:v>当“水旺极旺且有根有源、未被燥土火势压制”真实成立，且调候机制能改善主要气候问题时，可按“强水成势可将偏暖局向平衡或偏寒修正”记录。</x:v>
      </x:c>
      <x:c r="AI29" s="90" t="str">
        <x:v>仅见月份或表面五行标签，但未满足“水旺极旺且有根有源、未被燥土火势压制”及必要修正条件时，不得套用“强水成势可将偏暖局向平衡或偏寒修正”。</x:v>
      </x:c>
      <x:c r="AJ29" s="82" t="str">
        <x:v>采用</x:v>
      </x:c>
      <x:c r="AK29" s="82" t="str">
        <x:v>初审</x:v>
      </x:c>
      <x:c r="AL29" s="87" t="n">
        <x:v>46255</x:v>
      </x:c>
    </x:row>
    <x:row r="30">
      <x:c r="A30" s="72" t="str">
        <x:f>IF(OR(C30="",D30=""),"",B30&amp;"-"&amp;UPPER(C30)&amp;"-"&amp;TEXT(D30,"0000")&amp;"-"&amp;E30)</x:f>
        <x:v>M13-TEMP-0024-V1.0</x:v>
      </x:c>
      <x:c r="B30" s="74" t="str">
        <x:v>M13</x:v>
      </x:c>
      <x:c r="C30" s="74" t="str">
        <x:v>TEMP</x:v>
      </x:c>
      <x:c r="D30" s="215" t="n">
        <x:v>24</x:v>
      </x:c>
      <x:c r="E30" s="74" t="str">
        <x:v>V1.0</x:v>
      </x:c>
      <x:c r="F30" s="68" t="str">
        <x:v>夏局弱水无根不足以解除极热</x:v>
      </x:c>
      <x:c r="G30" s="82" t="str">
        <x:v>结构层</x:v>
      </x:c>
      <x:c r="H30" s="82" t="str">
        <x:v>寒暖轴</x:v>
      </x:c>
      <x:c r="I30" s="68" t="str">
        <x:v>通用</x:v>
      </x:c>
      <x:c r="J30" s="68" t="str">
        <x:v>午未等热局中水仅微弱存在且被火土制耗</x:v>
      </x:c>
      <x:c r="K30" s="68" t="str">
        <x:v>降温有限</x:v>
      </x:c>
      <x:c r="L30" s="68" t="str">
        <x:v>待定</x:v>
      </x:c>
      <x:c r="M30" s="82" t="str">
        <x:v>极热</x:v>
      </x:c>
      <x:c r="N30" s="82" t="str">
        <x:v>待定</x:v>
      </x:c>
      <x:c r="O30" s="68" t="str">
        <x:v>名义水难以实际降温</x:v>
      </x:c>
      <x:c r="P30" s="68" t="str">
        <x:v>水</x:v>
      </x:c>
      <x:c r="Q30" s="68" t="str">
        <x:v>需要有效水源</x:v>
      </x:c>
      <x:c r="R30" s="82" t="str">
        <x:v>是</x:v>
      </x:c>
      <x:c r="S30" s="82" t="str">
        <x:v>受限</x:v>
      </x:c>
      <x:c r="T30" s="82" t="str">
        <x:v>高</x:v>
      </x:c>
      <x:c r="U30" s="82" t="str">
        <x:v>待定</x:v>
      </x:c>
      <x:c r="V30" s="82" t="str">
        <x:v>待定</x:v>
      </x:c>
      <x:c r="W30" s="68" t="str">
        <x:v>M02基础映射、M08五行有效旺衰、M12流通卡点已完成</x:v>
      </x:c>
      <x:c r="X30" s="68" t="str">
        <x:v>月令基准与全局有效五行均已核查</x:v>
      </x:c>
      <x:c r="Y30" s="68" t="str">
        <x:v>相关调候五行有根有源、透达且能真实改善关键气候问题</x:v>
      </x:c>
      <x:c r="Z30" s="68" t="str">
        <x:v>调候五行无根、受强制、被合绊、改性或加入后产生新的寒热燥湿问题</x:v>
      </x:c>
      <x:c r="AA30" s="90" t="str">
        <x:v>不得只凭出生月份或某一五行数量直接下最终调候结论</x:v>
      </x:c>
      <x:c r="AB30" s="68" t="str">
        <x:v>特殊格局、核心格局用神或更高优先级病药约束转M16—M18裁决</x:v>
      </x:c>
      <x:c r="AC30" s="84" t="str">
        <x:v>弱水不足制热</x:v>
      </x:c>
      <x:c r="AD30" s="84" t="str">
        <x:v>夏局弱水无根不足以解除极热：温度轴判“极热”，湿度轴判“待定”；调候候选为“水”，是否成为最终用神仍转M16—M18。</x:v>
      </x:c>
      <x:c r="AE30" s="82" t="str">
        <x:v>较高</x:v>
      </x:c>
      <x:c r="AF30" s="82" t="str">
        <x:v>调候</x:v>
      </x:c>
      <x:c r="AG30" s="68" t="str">
        <x:v>调候以月令气候为起点，但必须结合M08五行有效力量与M12流通状态修正；寒暖与燥湿分轴判断，调候候选不自动等于全局主用神。</x:v>
      </x:c>
      <x:c r="AH30" s="68" t="str">
        <x:v>当“午未等热局中水仅微弱存在且被火土制耗”真实成立，且调候机制能改善主要气候问题时，可按“夏局弱水无根不足以解除极热”记录。</x:v>
      </x:c>
      <x:c r="AI30" s="90" t="str">
        <x:v>仅见月份或表面五行标签，但未满足“午未等热局中水仅微弱存在且被火土制耗”及必要修正条件时，不得套用“夏局弱水无根不足以解除极热”。</x:v>
      </x:c>
      <x:c r="AJ30" s="82" t="str">
        <x:v>采用</x:v>
      </x:c>
      <x:c r="AK30" s="82" t="str">
        <x:v>初审</x:v>
      </x:c>
      <x:c r="AL30" s="87" t="n">
        <x:v>46255</x:v>
      </x:c>
    </x:row>
    <x:row r="31">
      <x:c r="A31" s="72" t="str">
        <x:f>IF(OR(C31="",D31=""),"",B31&amp;"-"&amp;UPPER(C31)&amp;"-"&amp;TEXT(D31,"0000")&amp;"-"&amp;E31)</x:f>
        <x:v>M13-TEMP-0025-V1.0</x:v>
      </x:c>
      <x:c r="B31" s="74" t="str">
        <x:v>M13</x:v>
      </x:c>
      <x:c r="C31" s="74" t="str">
        <x:v>TEMP</x:v>
      </x:c>
      <x:c r="D31" s="215" t="n">
        <x:v>25</x:v>
      </x:c>
      <x:c r="E31" s="74" t="str">
        <x:v>V1.0</x:v>
      </x:c>
      <x:c r="F31" s="68" t="str">
        <x:v>木旺可通过生火间接提高温度</x:v>
      </x:c>
      <x:c r="G31" s="82" t="str">
        <x:v>结构层</x:v>
      </x:c>
      <x:c r="H31" s="82" t="str">
        <x:v>寒暖轴</x:v>
      </x:c>
      <x:c r="I31" s="68" t="str">
        <x:v>通用</x:v>
      </x:c>
      <x:c r="J31" s="68" t="str">
        <x:v>木有力且火有根可承接木生火</x:v>
      </x:c>
      <x:c r="K31" s="68" t="str">
        <x:v>间接升温</x:v>
      </x:c>
      <x:c r="L31" s="68" t="str">
        <x:v>待定</x:v>
      </x:c>
      <x:c r="M31" s="82" t="str">
        <x:v>待定</x:v>
      </x:c>
      <x:c r="N31" s="82" t="str">
        <x:v>待定</x:v>
      </x:c>
      <x:c r="O31" s="68" t="str">
        <x:v>木为火源，可能强化暖势</x:v>
      </x:c>
      <x:c r="P31" s="68" t="str">
        <x:v>待定</x:v>
      </x:c>
      <x:c r="Q31" s="68" t="str">
        <x:v>通过木→火链修正温度</x:v>
      </x:c>
      <x:c r="R31" s="82" t="str">
        <x:v>待定</x:v>
      </x:c>
      <x:c r="S31" s="82" t="str">
        <x:v>待定</x:v>
      </x:c>
      <x:c r="T31" s="82" t="str">
        <x:v>待定</x:v>
      </x:c>
      <x:c r="U31" s="82" t="str">
        <x:v>待定</x:v>
      </x:c>
      <x:c r="V31" s="82" t="str">
        <x:v>待定</x:v>
      </x:c>
      <x:c r="W31" s="68" t="str">
        <x:v>M02基础映射、M08五行有效旺衰、M12流通卡点已完成</x:v>
      </x:c>
      <x:c r="X31" s="68" t="str">
        <x:v>月令基准与全局有效五行均已核查</x:v>
      </x:c>
      <x:c r="Y31" s="68" t="str">
        <x:v>相关调候五行有根有源、透达且能真实改善关键气候问题</x:v>
      </x:c>
      <x:c r="Z31" s="68" t="str">
        <x:v>调候五行无根、受强制、被合绊、改性或加入后产生新的寒热燥湿问题</x:v>
      </x:c>
      <x:c r="AA31" s="90" t="str">
        <x:v>不得只凭出生月份或某一五行数量直接下最终调候结论</x:v>
      </x:c>
      <x:c r="AB31" s="68" t="str">
        <x:v>特殊格局、核心格局用神或更高优先级病药约束转M16—M18裁决</x:v>
      </x:c>
      <x:c r="AC31" s="84" t="str">
        <x:v>木生火升温</x:v>
      </x:c>
      <x:c r="AD31" s="84" t="str">
        <x:v>木旺可通过生火间接提高温度：温度轴判“待定”，湿度轴判“待定”；调候候选为“待定”，是否成为最终用神仍转M16—M18。</x:v>
      </x:c>
      <x:c r="AE31" s="82" t="str">
        <x:v>较高</x:v>
      </x:c>
      <x:c r="AF31" s="82" t="str">
        <x:v>调候</x:v>
      </x:c>
      <x:c r="AG31" s="68" t="str">
        <x:v>调候以月令气候为起点，但必须结合M08五行有效力量与M12流通状态修正；寒暖与燥湿分轴判断，调候候选不自动等于全局主用神。</x:v>
      </x:c>
      <x:c r="AH31" s="68" t="str">
        <x:v>当“木有力且火有根可承接木生火”真实成立，且调候机制能改善主要气候问题时，可按“木旺可通过生火间接提高温度”记录。</x:v>
      </x:c>
      <x:c r="AI31" s="90" t="str">
        <x:v>仅见月份或表面五行标签，但未满足“木有力且火有根可承接木生火”及必要修正条件时，不得套用“木旺可通过生火间接提高温度”。</x:v>
      </x:c>
      <x:c r="AJ31" s="82" t="str">
        <x:v>采用</x:v>
      </x:c>
      <x:c r="AK31" s="82" t="str">
        <x:v>初审</x:v>
      </x:c>
      <x:c r="AL31" s="87" t="n">
        <x:v>46255</x:v>
      </x:c>
    </x:row>
    <x:row r="32">
      <x:c r="A32" s="72" t="str">
        <x:f>IF(OR(C32="",D32=""),"",B32&amp;"-"&amp;UPPER(C32)&amp;"-"&amp;TEXT(D32,"0000")&amp;"-"&amp;E32)</x:f>
        <x:v>M13-TEMP-0026-V1.0</x:v>
      </x:c>
      <x:c r="B32" s="74" t="str">
        <x:v>M13</x:v>
      </x:c>
      <x:c r="C32" s="74" t="str">
        <x:v>TEMP</x:v>
      </x:c>
      <x:c r="D32" s="215" t="n">
        <x:v>26</x:v>
      </x:c>
      <x:c r="E32" s="74" t="str">
        <x:v>V1.0</x:v>
      </x:c>
      <x:c r="F32" s="68" t="str">
        <x:v>湿土重可晦火并降低实际暖局效率</x:v>
      </x:c>
      <x:c r="G32" s="82" t="str">
        <x:v>结构层</x:v>
      </x:c>
      <x:c r="H32" s="82" t="str">
        <x:v>寒暖轴</x:v>
      </x:c>
      <x:c r="I32" s="68" t="str">
        <x:v>通用</x:v>
      </x:c>
      <x:c r="J32" s="68" t="str">
        <x:v>辰丑湿土成势且火弱或火被湿土晦</x:v>
      </x:c>
      <x:c r="K32" s="68" t="str">
        <x:v>降温或暖效受限</x:v>
      </x:c>
      <x:c r="L32" s="68" t="str">
        <x:v>增湿</x:v>
      </x:c>
      <x:c r="M32" s="82" t="str">
        <x:v>待定</x:v>
      </x:c>
      <x:c r="N32" s="82" t="str">
        <x:v>偏湿</x:v>
      </x:c>
      <x:c r="O32" s="68" t="str">
        <x:v>湿土使火力难以透达</x:v>
      </x:c>
      <x:c r="P32" s="68" t="str">
        <x:v>火/木</x:v>
      </x:c>
      <x:c r="Q32" s="68" t="str">
        <x:v>暖土、疏土并恢复火势</x:v>
      </x:c>
      <x:c r="R32" s="82" t="str">
        <x:v>待定</x:v>
      </x:c>
      <x:c r="S32" s="82" t="str">
        <x:v>待定</x:v>
      </x:c>
      <x:c r="T32" s="82" t="str">
        <x:v>待定</x:v>
      </x:c>
      <x:c r="U32" s="82" t="str">
        <x:v>待定</x:v>
      </x:c>
      <x:c r="V32" s="82" t="str">
        <x:v>待定</x:v>
      </x:c>
      <x:c r="W32" s="68" t="str">
        <x:v>M02基础映射、M08五行有效旺衰、M12流通卡点已完成</x:v>
      </x:c>
      <x:c r="X32" s="68" t="str">
        <x:v>月令基准与全局有效五行均已核查</x:v>
      </x:c>
      <x:c r="Y32" s="68" t="str">
        <x:v>相关调候五行有根有源、透达且能真实改善关键气候问题</x:v>
      </x:c>
      <x:c r="Z32" s="68" t="str">
        <x:v>调候五行无根、受强制、被合绊、改性或加入后产生新的寒热燥湿问题</x:v>
      </x:c>
      <x:c r="AA32" s="90" t="str">
        <x:v>不得只凭出生月份或某一五行数量直接下最终调候结论</x:v>
      </x:c>
      <x:c r="AB32" s="68" t="str">
        <x:v>特殊格局、核心格局用神或更高优先级病药约束转M16—M18裁决</x:v>
      </x:c>
      <x:c r="AC32" s="84" t="str">
        <x:v>湿土晦火</x:v>
      </x:c>
      <x:c r="AD32" s="84" t="str">
        <x:v>湿土重可晦火并降低实际暖局效率：温度轴判“待定”，湿度轴判“偏湿”；调候候选为“火/木”，是否成为最终用神仍转M16—M18。</x:v>
      </x:c>
      <x:c r="AE32" s="82" t="str">
        <x:v>较高</x:v>
      </x:c>
      <x:c r="AF32" s="82" t="str">
        <x:v>调候</x:v>
      </x:c>
      <x:c r="AG32" s="68" t="str">
        <x:v>调候以月令气候为起点，但必须结合M08五行有效力量与M12流通状态修正；寒暖与燥湿分轴判断，调候候选不自动等于全局主用神。</x:v>
      </x:c>
      <x:c r="AH32" s="68" t="str">
        <x:v>当“辰丑湿土成势且火弱或火被湿土晦”真实成立，且调候机制能改善主要气候问题时，可按“湿土重可晦火并降低实际暖局效率”记录。</x:v>
      </x:c>
      <x:c r="AI32" s="90" t="str">
        <x:v>仅见月份或表面五行标签，但未满足“辰丑湿土成势且火弱或火被湿土晦”及必要修正条件时，不得套用“湿土重可晦火并降低实际暖局效率”。</x:v>
      </x:c>
      <x:c r="AJ32" s="82" t="str">
        <x:v>采用</x:v>
      </x:c>
      <x:c r="AK32" s="82" t="str">
        <x:v>初审</x:v>
      </x:c>
      <x:c r="AL32" s="87" t="n">
        <x:v>46255</x:v>
      </x:c>
    </x:row>
    <x:row r="33">
      <x:c r="A33" s="72" t="str">
        <x:f>IF(OR(C33="",D33=""),"",B33&amp;"-"&amp;UPPER(C33)&amp;"-"&amp;TEXT(D33,"0000")&amp;"-"&amp;E33)</x:f>
        <x:v>M13-TEMP-0027-V1.0</x:v>
      </x:c>
      <x:c r="B33" s="74" t="str">
        <x:v>M13</x:v>
      </x:c>
      <x:c r="C33" s="74" t="str">
        <x:v>TEMP</x:v>
      </x:c>
      <x:c r="D33" s="215" t="n">
        <x:v>27</x:v>
      </x:c>
      <x:c r="E33" s="74" t="str">
        <x:v>V1.0</x:v>
      </x:c>
      <x:c r="F33" s="68" t="str">
        <x:v>燥土与强火并见会放大热势</x:v>
      </x:c>
      <x:c r="G33" s="82" t="str">
        <x:v>结构层</x:v>
      </x:c>
      <x:c r="H33" s="82" t="str">
        <x:v>寒暖轴</x:v>
      </x:c>
      <x:c r="I33" s="68" t="str">
        <x:v>通用</x:v>
      </x:c>
      <x:c r="J33" s="68" t="str">
        <x:v>未戌燥土有力且火旺</x:v>
      </x:c>
      <x:c r="K33" s="68" t="str">
        <x:v>明显升温</x:v>
      </x:c>
      <x:c r="L33" s="68" t="str">
        <x:v>增燥</x:v>
      </x:c>
      <x:c r="M33" s="82" t="str">
        <x:v>极热</x:v>
      </x:c>
      <x:c r="N33" s="82" t="str">
        <x:v>偏燥</x:v>
      </x:c>
      <x:c r="O33" s="68" t="str">
        <x:v>热燥相互强化</x:v>
      </x:c>
      <x:c r="P33" s="68" t="str">
        <x:v>水</x:v>
      </x:c>
      <x:c r="Q33" s="68" t="str">
        <x:v>降温润燥</x:v>
      </x:c>
      <x:c r="R33" s="82" t="str">
        <x:v>待定</x:v>
      </x:c>
      <x:c r="S33" s="82" t="str">
        <x:v>待定</x:v>
      </x:c>
      <x:c r="T33" s="82" t="str">
        <x:v>高</x:v>
      </x:c>
      <x:c r="U33" s="82" t="str">
        <x:v>待定</x:v>
      </x:c>
      <x:c r="V33" s="82" t="str">
        <x:v>待定</x:v>
      </x:c>
      <x:c r="W33" s="68" t="str">
        <x:v>M02基础映射、M08五行有效旺衰、M12流通卡点已完成</x:v>
      </x:c>
      <x:c r="X33" s="68" t="str">
        <x:v>月令基准与全局有效五行均已核查</x:v>
      </x:c>
      <x:c r="Y33" s="68" t="str">
        <x:v>相关调候五行有根有源、透达且能真实改善关键气候问题</x:v>
      </x:c>
      <x:c r="Z33" s="68" t="str">
        <x:v>调候五行无根、受强制、被合绊、改性或加入后产生新的寒热燥湿问题</x:v>
      </x:c>
      <x:c r="AA33" s="90" t="str">
        <x:v>不得只凭出生月份或某一五行数量直接下最终调候结论</x:v>
      </x:c>
      <x:c r="AB33" s="68" t="str">
        <x:v>特殊格局、核心格局用神或更高优先级病药约束转M16—M18裁决</x:v>
      </x:c>
      <x:c r="AC33" s="84" t="str">
        <x:v>火燥土增热</x:v>
      </x:c>
      <x:c r="AD33" s="84" t="str">
        <x:v>燥土与强火并见会放大热势：温度轴判“极热”，湿度轴判“偏燥”；调候候选为“水”，是否成为最终用神仍转M16—M18。</x:v>
      </x:c>
      <x:c r="AE33" s="82" t="str">
        <x:v>较高</x:v>
      </x:c>
      <x:c r="AF33" s="82" t="str">
        <x:v>调候</x:v>
      </x:c>
      <x:c r="AG33" s="68" t="str">
        <x:v>调候以月令气候为起点，但必须结合M08五行有效力量与M12流通状态修正；寒暖与燥湿分轴判断，调候候选不自动等于全局主用神。</x:v>
      </x:c>
      <x:c r="AH33" s="68" t="str">
        <x:v>当“未戌燥土有力且火旺”真实成立，且调候机制能改善主要气候问题时，可按“燥土与强火并见会放大热势”记录。</x:v>
      </x:c>
      <x:c r="AI33" s="90" t="str">
        <x:v>仅见月份或表面五行标签，但未满足“未戌燥土有力且火旺”及必要修正条件时，不得套用“燥土与强火并见会放大热势”。</x:v>
      </x:c>
      <x:c r="AJ33" s="82" t="str">
        <x:v>采用</x:v>
      </x:c>
      <x:c r="AK33" s="82" t="str">
        <x:v>初审</x:v>
      </x:c>
      <x:c r="AL33" s="87" t="n">
        <x:v>46255</x:v>
      </x:c>
    </x:row>
    <x:row r="34">
      <x:c r="A34" s="72" t="str">
        <x:f>IF(OR(C34="",D34=""),"",B34&amp;"-"&amp;UPPER(C34)&amp;"-"&amp;TEXT(D34,"0000")&amp;"-"&amp;E34)</x:f>
        <x:v>M13-TEMP-0028-V1.0</x:v>
      </x:c>
      <x:c r="B34" s="74" t="str">
        <x:v>M13</x:v>
      </x:c>
      <x:c r="C34" s="74" t="str">
        <x:v>TEMP</x:v>
      </x:c>
      <x:c r="D34" s="215" t="n">
        <x:v>28</x:v>
      </x:c>
      <x:c r="E34" s="74" t="str">
        <x:v>V1.0</x:v>
      </x:c>
      <x:c r="F34" s="68" t="str">
        <x:v>金旺本身不直接等同寒但秋令可增强凉性</x:v>
      </x:c>
      <x:c r="G34" s="82" t="str">
        <x:v>结构层</x:v>
      </x:c>
      <x:c r="H34" s="82" t="str">
        <x:v>寒暖轴</x:v>
      </x:c>
      <x:c r="I34" s="68" t="str">
        <x:v>通用</x:v>
      </x:c>
      <x:c r="J34" s="68" t="str">
        <x:v>申酉金旺，且全局火弱、水势又偏强</x:v>
      </x:c>
      <x:c r="K34" s="68" t="str">
        <x:v>偏向降温</x:v>
      </x:c>
      <x:c r="L34" s="68" t="str">
        <x:v>待定</x:v>
      </x:c>
      <x:c r="M34" s="82" t="str">
        <x:v>偏寒</x:v>
      </x:c>
      <x:c r="N34" s="82" t="str">
        <x:v>待定</x:v>
      </x:c>
      <x:c r="O34" s="68" t="str">
        <x:v>秋凉在水强火弱时更明显</x:v>
      </x:c>
      <x:c r="P34" s="68" t="str">
        <x:v>火</x:v>
      </x:c>
      <x:c r="Q34" s="68" t="str">
        <x:v>适度暖局</x:v>
      </x:c>
      <x:c r="R34" s="82" t="str">
        <x:v>待定</x:v>
      </x:c>
      <x:c r="S34" s="82" t="str">
        <x:v>待定</x:v>
      </x:c>
      <x:c r="T34" s="82" t="str">
        <x:v>待定</x:v>
      </x:c>
      <x:c r="U34" s="82" t="str">
        <x:v>待定</x:v>
      </x:c>
      <x:c r="V34" s="82" t="str">
        <x:v>待定</x:v>
      </x:c>
      <x:c r="W34" s="68" t="str">
        <x:v>M02基础映射、M08五行有效旺衰、M12流通卡点已完成</x:v>
      </x:c>
      <x:c r="X34" s="68" t="str">
        <x:v>月令基准与全局有效五行均已核查</x:v>
      </x:c>
      <x:c r="Y34" s="68" t="str">
        <x:v>相关调候五行有根有源、透达且能真实改善关键气候问题</x:v>
      </x:c>
      <x:c r="Z34" s="68" t="str">
        <x:v>调候五行无根、受强制、被合绊、改性或加入后产生新的寒热燥湿问题</x:v>
      </x:c>
      <x:c r="AA34" s="90" t="str">
        <x:v>不得只凭出生月份或某一五行数量直接下最终调候结论</x:v>
      </x:c>
      <x:c r="AB34" s="68" t="str">
        <x:v>特殊格局、核心格局用神或更高优先级病药约束转M16—M18裁决</x:v>
      </x:c>
      <x:c r="AC34" s="84" t="str">
        <x:v>秋金凉性条件化</x:v>
      </x:c>
      <x:c r="AD34" s="84" t="str">
        <x:v>金旺本身不直接等同寒但秋令可增强凉性：温度轴判“偏寒”，湿度轴判“待定”；调候候选为“火”，是否成为最终用神仍转M16—M18。</x:v>
      </x:c>
      <x:c r="AE34" s="82" t="str">
        <x:v>较高</x:v>
      </x:c>
      <x:c r="AF34" s="82" t="str">
        <x:v>调候</x:v>
      </x:c>
      <x:c r="AG34" s="68" t="str">
        <x:v>调候以月令气候为起点，但必须结合M08五行有效力量与M12流通状态修正；寒暖与燥湿分轴判断，调候候选不自动等于全局主用神。</x:v>
      </x:c>
      <x:c r="AH34" s="68" t="str">
        <x:v>当“申酉金旺，且全局火弱、水势又偏强”真实成立，且调候机制能改善主要气候问题时，可按“金旺本身不直接等同寒但秋令可增强凉性”记录。</x:v>
      </x:c>
      <x:c r="AI34" s="90" t="str">
        <x:v>仅见月份或表面五行标签，但未满足“申酉金旺，且全局火弱、水势又偏强”及必要修正条件时，不得套用“金旺本身不直接等同寒但秋令可增强凉性”。</x:v>
      </x:c>
      <x:c r="AJ34" s="82" t="str">
        <x:v>采用</x:v>
      </x:c>
      <x:c r="AK34" s="82" t="str">
        <x:v>初审</x:v>
      </x:c>
      <x:c r="AL34" s="87" t="n">
        <x:v>46255</x:v>
      </x:c>
    </x:row>
    <x:row r="35">
      <x:c r="A35" s="72" t="str">
        <x:f>IF(OR(C35="",D35=""),"",B35&amp;"-"&amp;UPPER(C35)&amp;"-"&amp;TEXT(D35,"0000")&amp;"-"&amp;E35)</x:f>
        <x:v>M13-TEMP-0029-V1.0</x:v>
      </x:c>
      <x:c r="B35" s="74" t="str">
        <x:v>M13</x:v>
      </x:c>
      <x:c r="C35" s="74" t="str">
        <x:v>TEMP</x:v>
      </x:c>
      <x:c r="D35" s="215" t="n">
        <x:v>29</x:v>
      </x:c>
      <x:c r="E35" s="74" t="str">
        <x:v>V1.0</x:v>
      </x:c>
      <x:c r="F35" s="68" t="str">
        <x:v>寒暖平衡必须同时排除极端火水集团</x:v>
      </x:c>
      <x:c r="G35" s="82" t="str">
        <x:v>结构层</x:v>
      </x:c>
      <x:c r="H35" s="82" t="str">
        <x:v>寒暖轴</x:v>
      </x:c>
      <x:c r="I35" s="68" t="str">
        <x:v>通用</x:v>
      </x:c>
      <x:c r="J35" s="68" t="str">
        <x:v>月令基准经火水修正后无一方形成决定性热寒优势</x:v>
      </x:c>
      <x:c r="K35" s="68" t="str">
        <x:v>相互抵消</x:v>
      </x:c>
      <x:c r="L35" s="68" t="str">
        <x:v>待定</x:v>
      </x:c>
      <x:c r="M35" s="82" t="str">
        <x:v>平衡</x:v>
      </x:c>
      <x:c r="N35" s="82" t="str">
        <x:v>待定</x:v>
      </x:c>
      <x:c r="O35" s="68" t="str">
        <x:v>无明显温度病</x:v>
      </x:c>
      <x:c r="P35" s="68" t="str">
        <x:v>待定</x:v>
      </x:c>
      <x:c r="Q35" s="68" t="str">
        <x:v>通常不需以调温为首要</x:v>
      </x:c>
      <x:c r="R35" s="82" t="str">
        <x:v>待定</x:v>
      </x:c>
      <x:c r="S35" s="82" t="str">
        <x:v>待定</x:v>
      </x:c>
      <x:c r="T35" s="82" t="str">
        <x:v>低</x:v>
      </x:c>
      <x:c r="U35" s="82" t="str">
        <x:v>待定</x:v>
      </x:c>
      <x:c r="V35" s="82" t="str">
        <x:v>待定</x:v>
      </x:c>
      <x:c r="W35" s="68" t="str">
        <x:v>M02基础映射、M08五行有效旺衰、M12流通卡点已完成</x:v>
      </x:c>
      <x:c r="X35" s="68" t="str">
        <x:v>月令基准与全局有效五行均已核查</x:v>
      </x:c>
      <x:c r="Y35" s="68" t="str">
        <x:v>相关调候五行有根有源、透达且能真实改善关键气候问题</x:v>
      </x:c>
      <x:c r="Z35" s="68" t="str">
        <x:v>调候五行无根、受强制、被合绊、改性或加入后产生新的寒热燥湿问题</x:v>
      </x:c>
      <x:c r="AA35" s="90" t="str">
        <x:v>不得只凭出生月份或某一五行数量直接下最终调候结论</x:v>
      </x:c>
      <x:c r="AB35" s="68" t="str">
        <x:v>特殊格局、核心格局用神或更高优先级病药约束转M16—M18裁决</x:v>
      </x:c>
      <x:c r="AC35" s="84" t="str">
        <x:v>寒暖平衡</x:v>
      </x:c>
      <x:c r="AD35" s="84" t="str">
        <x:v>寒暖平衡必须同时排除极端火水集团：温度轴判“平衡”，湿度轴判“待定”；调候候选为“待定”，是否成为最终用神仍转M16—M18。</x:v>
      </x:c>
      <x:c r="AE35" s="82" t="str">
        <x:v>较高</x:v>
      </x:c>
      <x:c r="AF35" s="82" t="str">
        <x:v>调候</x:v>
      </x:c>
      <x:c r="AG35" s="68" t="str">
        <x:v>调候以月令气候为起点，但必须结合M08五行有效力量与M12流通状态修正；寒暖与燥湿分轴判断，调候候选不自动等于全局主用神。</x:v>
      </x:c>
      <x:c r="AH35" s="68" t="str">
        <x:v>当“月令基准经火水修正后无一方形成决定性热寒优势”真实成立，且调候机制能改善主要气候问题时，可按“寒暖平衡必须同时排除极端火水集团”记录。</x:v>
      </x:c>
      <x:c r="AI35" s="90" t="str">
        <x:v>仅见月份或表面五行标签，但未满足“月令基准经火水修正后无一方形成决定性热寒优势”及必要修正条件时，不得套用“寒暖平衡必须同时排除极端火水集团”。</x:v>
      </x:c>
      <x:c r="AJ35" s="82" t="str">
        <x:v>采用</x:v>
      </x:c>
      <x:c r="AK35" s="82" t="str">
        <x:v>初审</x:v>
      </x:c>
      <x:c r="AL35" s="87" t="n">
        <x:v>46255</x:v>
      </x:c>
    </x:row>
    <x:row r="36">
      <x:c r="A36" s="72" t="str">
        <x:f>IF(OR(C36="",D36=""),"",B36&amp;"-"&amp;UPPER(C36)&amp;"-"&amp;TEXT(D36,"0000")&amp;"-"&amp;E36)</x:f>
        <x:v>M13-TEMP-0030-V1.0</x:v>
      </x:c>
      <x:c r="B36" s="74" t="str">
        <x:v>M13</x:v>
      </x:c>
      <x:c r="C36" s="74" t="str">
        <x:v>TEMP</x:v>
      </x:c>
      <x:c r="D36" s="215" t="n">
        <x:v>30</x:v>
      </x:c>
      <x:c r="E36" s="74" t="str">
        <x:v>V1.0</x:v>
      </x:c>
      <x:c r="F36" s="68" t="str">
        <x:v>温度极端只有影响功能时才升格为首要病</x:v>
      </x:c>
      <x:c r="G36" s="82" t="str">
        <x:v>结构层</x:v>
      </x:c>
      <x:c r="H36" s="82" t="str">
        <x:v>寒暖轴</x:v>
      </x:c>
      <x:c r="I36" s="68" t="str">
        <x:v>通用</x:v>
      </x:c>
      <x:c r="J36" s="68" t="str">
        <x:v>极寒或极热同时造成M12主路径寒凝、燥枯、火熄或水涸等功能问题</x:v>
      </x:c>
      <x:c r="K36" s="68" t="str">
        <x:v>待定</x:v>
      </x:c>
      <x:c r="L36" s="68" t="str">
        <x:v>待定</x:v>
      </x:c>
      <x:c r="M36" s="82" t="str">
        <x:v>待定</x:v>
      </x:c>
      <x:c r="N36" s="82" t="str">
        <x:v>待定</x:v>
      </x:c>
      <x:c r="O36" s="68" t="str">
        <x:v>温度极端已阻断生化</x:v>
      </x:c>
      <x:c r="P36" s="68" t="str">
        <x:v>火/水</x:v>
      </x:c>
      <x:c r="Q36" s="68" t="str">
        <x:v>恢复基本温度条件</x:v>
      </x:c>
      <x:c r="R36" s="82" t="str">
        <x:v>待定</x:v>
      </x:c>
      <x:c r="S36" s="82" t="str">
        <x:v>待定</x:v>
      </x:c>
      <x:c r="T36" s="82" t="str">
        <x:v>首要</x:v>
      </x:c>
      <x:c r="U36" s="82" t="str">
        <x:v>待定</x:v>
      </x:c>
      <x:c r="V36" s="82" t="str">
        <x:v>待定</x:v>
      </x:c>
      <x:c r="W36" s="68" t="str">
        <x:v>M02基础映射、M08五行有效旺衰、M12流通卡点已完成</x:v>
      </x:c>
      <x:c r="X36" s="68" t="str">
        <x:v>月令基准与全局有效五行均已核查</x:v>
      </x:c>
      <x:c r="Y36" s="68" t="str">
        <x:v>相关调候五行有根有源、透达且能真实改善关键气候问题</x:v>
      </x:c>
      <x:c r="Z36" s="68" t="str">
        <x:v>调候五行无根、受强制、被合绊、改性或加入后产生新的寒热燥湿问题</x:v>
      </x:c>
      <x:c r="AA36" s="90" t="str">
        <x:v>不得只凭出生月份或某一五行数量直接下最终调候结论</x:v>
      </x:c>
      <x:c r="AB36" s="68" t="str">
        <x:v>特殊格局、核心格局用神或更高优先级病药约束转M16—M18裁决</x:v>
      </x:c>
      <x:c r="AC36" s="84" t="str">
        <x:v>温度极端功能化</x:v>
      </x:c>
      <x:c r="AD36" s="84" t="str">
        <x:v>温度极端只有影响功能时才升格为首要病：温度轴判“待定”，湿度轴判“待定”；调候候选为“火/水”，是否成为最终用神仍转M16—M18。</x:v>
      </x:c>
      <x:c r="AE36" s="82" t="str">
        <x:v>较高</x:v>
      </x:c>
      <x:c r="AF36" s="82" t="str">
        <x:v>调候</x:v>
      </x:c>
      <x:c r="AG36" s="68" t="str">
        <x:v>调候以月令气候为起点，但必须结合M08五行有效力量与M12流通状态修正；寒暖与燥湿分轴判断，调候候选不自动等于全局主用神。</x:v>
      </x:c>
      <x:c r="AH36" s="68" t="str">
        <x:v>当“极寒或极热同时造成M12主路径寒凝、燥枯、火熄或水涸等功能问题”真实成立，且调候机制能改善主要气候问题时，可按“温度极端只有影响功能时才升格为首要病”记录。</x:v>
      </x:c>
      <x:c r="AI36" s="90" t="str">
        <x:v>仅见月份或表面五行标签，但未满足“极寒或极热同时造成M12主路径寒凝、燥枯、火熄或水涸等功能问题”及必要修正条件时，不得套用“温度极端只有影响功能时才升格为首要病”。</x:v>
      </x:c>
      <x:c r="AJ36" s="82" t="str">
        <x:v>采用</x:v>
      </x:c>
      <x:c r="AK36" s="82" t="str">
        <x:v>初审</x:v>
      </x:c>
      <x:c r="AL36" s="87" t="n">
        <x:v>46255</x:v>
      </x:c>
    </x:row>
    <x:row r="37">
      <x:c r="A37" s="72" t="str">
        <x:f>IF(OR(C37="",D37=""),"",B37&amp;"-"&amp;UPPER(C37)&amp;"-"&amp;TEXT(D37,"0000")&amp;"-"&amp;E37)</x:f>
        <x:v>M13-HUMID-0031-V1.0</x:v>
      </x:c>
      <x:c r="B37" s="74" t="str">
        <x:v>M13</x:v>
      </x:c>
      <x:c r="C37" s="74" t="str">
        <x:v>HUMID</x:v>
      </x:c>
      <x:c r="D37" s="215" t="n">
        <x:v>31</x:v>
      </x:c>
      <x:c r="E37" s="74" t="str">
        <x:v>V1.0</x:v>
      </x:c>
      <x:c r="F37" s="68" t="str">
        <x:v>强水与湿土同势会显著提高湿度</x:v>
      </x:c>
      <x:c r="G37" s="82" t="str">
        <x:v>结构层</x:v>
      </x:c>
      <x:c r="H37" s="82" t="str">
        <x:v>燥湿轴</x:v>
      </x:c>
      <x:c r="I37" s="68" t="str">
        <x:v>通用</x:v>
      </x:c>
      <x:c r="J37" s="68" t="str">
        <x:v>水旺且辰丑湿土有力，或湿土重复成势</x:v>
      </x:c>
      <x:c r="K37" s="68" t="str">
        <x:v>待定</x:v>
      </x:c>
      <x:c r="L37" s="68" t="str">
        <x:v>明显增湿</x:v>
      </x:c>
      <x:c r="M37" s="82" t="str">
        <x:v>待定</x:v>
      </x:c>
      <x:c r="N37" s="82" t="str">
        <x:v>极湿</x:v>
      </x:c>
      <x:c r="O37" s="68" t="str">
        <x:v>水湿壅滞、火木生化受阻</x:v>
      </x:c>
      <x:c r="P37" s="68" t="str">
        <x:v>火/木</x:v>
      </x:c>
      <x:c r="Q37" s="68" t="str">
        <x:v>暖湿、疏土、推动生化</x:v>
      </x:c>
      <x:c r="R37" s="82" t="str">
        <x:v>待定</x:v>
      </x:c>
      <x:c r="S37" s="82" t="str">
        <x:v>待定</x:v>
      </x:c>
      <x:c r="T37" s="82" t="str">
        <x:v>高</x:v>
      </x:c>
      <x:c r="U37" s="82" t="str">
        <x:v>待定</x:v>
      </x:c>
      <x:c r="V37" s="82" t="str">
        <x:v>待定</x:v>
      </x:c>
      <x:c r="W37" s="68" t="str">
        <x:v>M02基础映射、M08五行有效旺衰、M12流通卡点已完成</x:v>
      </x:c>
      <x:c r="X37" s="68" t="str">
        <x:v>月令基准与全局有效五行均已核查</x:v>
      </x:c>
      <x:c r="Y37" s="68" t="str">
        <x:v>相关调候五行有根有源、透达且能真实改善关键气候问题</x:v>
      </x:c>
      <x:c r="Z37" s="68" t="str">
        <x:v>调候五行无根、受强制、被合绊、改性或加入后产生新的寒热燥湿问题</x:v>
      </x:c>
      <x:c r="AA37" s="90" t="str">
        <x:v>不得只凭出生月份或某一五行数量直接下最终调候结论</x:v>
      </x:c>
      <x:c r="AB37" s="68" t="str">
        <x:v>特殊格局、核心格局用神或更高优先级病药约束转M16—M18裁决</x:v>
      </x:c>
      <x:c r="AC37" s="84" t="str">
        <x:v>水湿同势</x:v>
      </x:c>
      <x:c r="AD37" s="84" t="str">
        <x:v>强水与湿土同势会显著提高湿度：温度轴判“待定”，湿度轴判“极湿”；调候候选为“火/木”，是否成为最终用神仍转M16—M18。</x:v>
      </x:c>
      <x:c r="AE37" s="82" t="str">
        <x:v>较高</x:v>
      </x:c>
      <x:c r="AF37" s="82" t="str">
        <x:v>调候</x:v>
      </x:c>
      <x:c r="AG37" s="68" t="str">
        <x:v>调候以月令气候为起点，但必须结合M08五行有效力量与M12流通状态修正；寒暖与燥湿分轴判断，调候候选不自动等于全局主用神。</x:v>
      </x:c>
      <x:c r="AH37" s="68" t="str">
        <x:v>当“水旺且辰丑湿土有力，或湿土重复成势”真实成立，且调候机制能改善主要气候问题时，可按“强水与湿土同势会显著提高湿度”记录。</x:v>
      </x:c>
      <x:c r="AI37" s="90" t="str">
        <x:v>仅见月份或表面五行标签，但未满足“水旺且辰丑湿土有力，或湿土重复成势”及必要修正条件时，不得套用“强水与湿土同势会显著提高湿度”。</x:v>
      </x:c>
      <x:c r="AJ37" s="82" t="str">
        <x:v>采用</x:v>
      </x:c>
      <x:c r="AK37" s="82" t="str">
        <x:v>初审</x:v>
      </x:c>
      <x:c r="AL37" s="87" t="n">
        <x:v>46255</x:v>
      </x:c>
    </x:row>
    <x:row r="38">
      <x:c r="A38" s="72" t="str">
        <x:f>IF(OR(C38="",D38=""),"",B38&amp;"-"&amp;UPPER(C38)&amp;"-"&amp;TEXT(D38,"0000")&amp;"-"&amp;E38)</x:f>
        <x:v>M13-HUMID-0032-V1.0</x:v>
      </x:c>
      <x:c r="B38" s="74" t="str">
        <x:v>M13</x:v>
      </x:c>
      <x:c r="C38" s="74" t="str">
        <x:v>HUMID</x:v>
      </x:c>
      <x:c r="D38" s="215" t="n">
        <x:v>32</x:v>
      </x:c>
      <x:c r="E38" s="74" t="str">
        <x:v>V1.0</x:v>
      </x:c>
      <x:c r="F38" s="68" t="str">
        <x:v>水旺但土不湿未必达到极湿</x:v>
      </x:c>
      <x:c r="G38" s="82" t="str">
        <x:v>结构层</x:v>
      </x:c>
      <x:c r="H38" s="82" t="str">
        <x:v>燥湿轴</x:v>
      </x:c>
      <x:c r="I38" s="68" t="str">
        <x:v>通用</x:v>
      </x:c>
      <x:c r="J38" s="68" t="str">
        <x:v>水旺但湿土不足，且火木仍能有效流通</x:v>
      </x:c>
      <x:c r="K38" s="68" t="str">
        <x:v>待定</x:v>
      </x:c>
      <x:c r="L38" s="68" t="str">
        <x:v>增湿有限</x:v>
      </x:c>
      <x:c r="M38" s="82" t="str">
        <x:v>待定</x:v>
      </x:c>
      <x:c r="N38" s="82" t="str">
        <x:v>偏湿</x:v>
      </x:c>
      <x:c r="O38" s="68" t="str">
        <x:v>湿度增加但未形成壅滞</x:v>
      </x:c>
      <x:c r="P38" s="68" t="str">
        <x:v>待定</x:v>
      </x:c>
      <x:c r="Q38" s="68" t="str">
        <x:v>视流通是否受阻决定</x:v>
      </x:c>
      <x:c r="R38" s="82" t="str">
        <x:v>待定</x:v>
      </x:c>
      <x:c r="S38" s="82" t="str">
        <x:v>待定</x:v>
      </x:c>
      <x:c r="T38" s="82" t="str">
        <x:v>中</x:v>
      </x:c>
      <x:c r="U38" s="82" t="str">
        <x:v>待定</x:v>
      </x:c>
      <x:c r="V38" s="82" t="str">
        <x:v>待定</x:v>
      </x:c>
      <x:c r="W38" s="68" t="str">
        <x:v>M02基础映射、M08五行有效旺衰、M12流通卡点已完成</x:v>
      </x:c>
      <x:c r="X38" s="68" t="str">
        <x:v>月令基准与全局有效五行均已核查</x:v>
      </x:c>
      <x:c r="Y38" s="68" t="str">
        <x:v>相关调候五行有根有源、透达且能真实改善关键气候问题</x:v>
      </x:c>
      <x:c r="Z38" s="68" t="str">
        <x:v>调候五行无根、受强制、被合绊、改性或加入后产生新的寒热燥湿问题</x:v>
      </x:c>
      <x:c r="AA38" s="90" t="str">
        <x:v>不得只凭出生月份或某一五行数量直接下最终调候结论</x:v>
      </x:c>
      <x:c r="AB38" s="68" t="str">
        <x:v>特殊格局、核心格局用神或更高优先级病药约束转M16—M18裁决</x:v>
      </x:c>
      <x:c r="AC38" s="84" t="str">
        <x:v>水旺非极湿</x:v>
      </x:c>
      <x:c r="AD38" s="84" t="str">
        <x:v>水旺但土不湿未必达到极湿：温度轴判“待定”，湿度轴判“偏湿”；调候候选为“待定”，是否成为最终用神仍转M16—M18。</x:v>
      </x:c>
      <x:c r="AE38" s="82" t="str">
        <x:v>较高</x:v>
      </x:c>
      <x:c r="AF38" s="82" t="str">
        <x:v>调候</x:v>
      </x:c>
      <x:c r="AG38" s="68" t="str">
        <x:v>调候以月令气候为起点，但必须结合M08五行有效力量与M12流通状态修正；寒暖与燥湿分轴判断，调候候选不自动等于全局主用神。</x:v>
      </x:c>
      <x:c r="AH38" s="68" t="str">
        <x:v>当“水旺但湿土不足，且火木仍能有效流通”真实成立，且调候机制能改善主要气候问题时，可按“水旺但土不湿未必达到极湿”记录。</x:v>
      </x:c>
      <x:c r="AI38" s="90" t="str">
        <x:v>仅见月份或表面五行标签，但未满足“水旺但湿土不足，且火木仍能有效流通”及必要修正条件时，不得套用“水旺但土不湿未必达到极湿”。</x:v>
      </x:c>
      <x:c r="AJ38" s="82" t="str">
        <x:v>采用</x:v>
      </x:c>
      <x:c r="AK38" s="82" t="str">
        <x:v>初审</x:v>
      </x:c>
      <x:c r="AL38" s="87" t="n">
        <x:v>46255</x:v>
      </x:c>
    </x:row>
    <x:row r="39">
      <x:c r="A39" s="72" t="str">
        <x:f>IF(OR(C39="",D39=""),"",B39&amp;"-"&amp;UPPER(C39)&amp;"-"&amp;TEXT(D39,"0000")&amp;"-"&amp;E39)</x:f>
        <x:v>M13-HUMID-0033-V1.0</x:v>
      </x:c>
      <x:c r="B39" s="74" t="str">
        <x:v>M13</x:v>
      </x:c>
      <x:c r="C39" s="74" t="str">
        <x:v>HUMID</x:v>
      </x:c>
      <x:c r="D39" s="215" t="n">
        <x:v>33</x:v>
      </x:c>
      <x:c r="E39" s="74" t="str">
        <x:v>V1.0</x:v>
      </x:c>
      <x:c r="F39" s="68" t="str">
        <x:v>辰丑湿土成势属于增湿的重要证据</x:v>
      </x:c>
      <x:c r="G39" s="82" t="str">
        <x:v>结构层</x:v>
      </x:c>
      <x:c r="H39" s="82" t="str">
        <x:v>燥湿轴</x:v>
      </x:c>
      <x:c r="I39" s="68" t="str">
        <x:v>通用</x:v>
      </x:c>
      <x:c r="J39" s="68" t="str">
        <x:v>辰丑多现且有效，未被强火燥化</x:v>
      </x:c>
      <x:c r="K39" s="68" t="str">
        <x:v>待定</x:v>
      </x:c>
      <x:c r="L39" s="68" t="str">
        <x:v>明显增湿</x:v>
      </x:c>
      <x:c r="M39" s="82" t="str">
        <x:v>待定</x:v>
      </x:c>
      <x:c r="N39" s="82" t="str">
        <x:v>偏湿</x:v>
      </x:c>
      <x:c r="O39" s="68" t="str">
        <x:v>湿土储湿、滞气</x:v>
      </x:c>
      <x:c r="P39" s="68" t="str">
        <x:v>火/木</x:v>
      </x:c>
      <x:c r="Q39" s="68" t="str">
        <x:v>暖土疏湿</x:v>
      </x:c>
      <x:c r="R39" s="82" t="str">
        <x:v>待定</x:v>
      </x:c>
      <x:c r="S39" s="82" t="str">
        <x:v>待定</x:v>
      </x:c>
      <x:c r="T39" s="82" t="str">
        <x:v>待定</x:v>
      </x:c>
      <x:c r="U39" s="82" t="str">
        <x:v>待定</x:v>
      </x:c>
      <x:c r="V39" s="82" t="str">
        <x:v>待定</x:v>
      </x:c>
      <x:c r="W39" s="68" t="str">
        <x:v>M02基础映射、M08五行有效旺衰、M12流通卡点已完成</x:v>
      </x:c>
      <x:c r="X39" s="68" t="str">
        <x:v>月令基准与全局有效五行均已核查</x:v>
      </x:c>
      <x:c r="Y39" s="68" t="str">
        <x:v>相关调候五行有根有源、透达且能真实改善关键气候问题</x:v>
      </x:c>
      <x:c r="Z39" s="68" t="str">
        <x:v>调候五行无根、受强制、被合绊、改性或加入后产生新的寒热燥湿问题</x:v>
      </x:c>
      <x:c r="AA39" s="90" t="str">
        <x:v>不得只凭出生月份或某一五行数量直接下最终调候结论</x:v>
      </x:c>
      <x:c r="AB39" s="68" t="str">
        <x:v>特殊格局、核心格局用神或更高优先级病药约束转M16—M18裁决</x:v>
      </x:c>
      <x:c r="AC39" s="84" t="str">
        <x:v>辰丑湿土</x:v>
      </x:c>
      <x:c r="AD39" s="84" t="str">
        <x:v>辰丑湿土成势属于增湿的重要证据：温度轴判“待定”，湿度轴判“偏湿”；调候候选为“火/木”，是否成为最终用神仍转M16—M18。</x:v>
      </x:c>
      <x:c r="AE39" s="82" t="str">
        <x:v>较高</x:v>
      </x:c>
      <x:c r="AF39" s="82" t="str">
        <x:v>调候</x:v>
      </x:c>
      <x:c r="AG39" s="68" t="str">
        <x:v>调候以月令气候为起点，但必须结合M08五行有效力量与M12流通状态修正；寒暖与燥湿分轴判断，调候候选不自动等于全局主用神。</x:v>
      </x:c>
      <x:c r="AH39" s="68" t="str">
        <x:v>当“辰丑多现且有效，未被强火燥化”真实成立，且调候机制能改善主要气候问题时，可按“辰丑湿土成势属于增湿的重要证据”记录。</x:v>
      </x:c>
      <x:c r="AI39" s="90" t="str">
        <x:v>仅见月份或表面五行标签，但未满足“辰丑多现且有效，未被强火燥化”及必要修正条件时，不得套用“辰丑湿土成势属于增湿的重要证据”。</x:v>
      </x:c>
      <x:c r="AJ39" s="82" t="str">
        <x:v>采用</x:v>
      </x:c>
      <x:c r="AK39" s="82" t="str">
        <x:v>初审</x:v>
      </x:c>
      <x:c r="AL39" s="87" t="n">
        <x:v>46255</x:v>
      </x:c>
    </x:row>
    <x:row r="40">
      <x:c r="A40" s="72" t="str">
        <x:f>IF(OR(C40="",D40=""),"",B40&amp;"-"&amp;UPPER(C40)&amp;"-"&amp;TEXT(D40,"0000")&amp;"-"&amp;E40)</x:f>
        <x:v>M13-HUMID-0034-V1.0</x:v>
      </x:c>
      <x:c r="B40" s="74" t="str">
        <x:v>M13</x:v>
      </x:c>
      <x:c r="C40" s="74" t="str">
        <x:v>HUMID</x:v>
      </x:c>
      <x:c r="D40" s="215" t="n">
        <x:v>34</x:v>
      </x:c>
      <x:c r="E40" s="74" t="str">
        <x:v>V1.0</x:v>
      </x:c>
      <x:c r="F40" s="68" t="str">
        <x:v>未戌燥土成势属于增燥的重要证据</x:v>
      </x:c>
      <x:c r="G40" s="82" t="str">
        <x:v>结构层</x:v>
      </x:c>
      <x:c r="H40" s="82" t="str">
        <x:v>燥湿轴</x:v>
      </x:c>
      <x:c r="I40" s="68" t="str">
        <x:v>通用</x:v>
      </x:c>
      <x:c r="J40" s="68" t="str">
        <x:v>未戌多现且有效，水弱</x:v>
      </x:c>
      <x:c r="K40" s="68" t="str">
        <x:v>待定</x:v>
      </x:c>
      <x:c r="L40" s="68" t="str">
        <x:v>明显增燥</x:v>
      </x:c>
      <x:c r="M40" s="82" t="str">
        <x:v>待定</x:v>
      </x:c>
      <x:c r="N40" s="82" t="str">
        <x:v>偏燥</x:v>
      </x:c>
      <x:c r="O40" s="68" t="str">
        <x:v>土燥失润</x:v>
      </x:c>
      <x:c r="P40" s="68" t="str">
        <x:v>水</x:v>
      </x:c>
      <x:c r="Q40" s="68" t="str">
        <x:v>润燥</x:v>
      </x:c>
      <x:c r="R40" s="82" t="str">
        <x:v>待定</x:v>
      </x:c>
      <x:c r="S40" s="82" t="str">
        <x:v>待定</x:v>
      </x:c>
      <x:c r="T40" s="82" t="str">
        <x:v>待定</x:v>
      </x:c>
      <x:c r="U40" s="82" t="str">
        <x:v>待定</x:v>
      </x:c>
      <x:c r="V40" s="82" t="str">
        <x:v>待定</x:v>
      </x:c>
      <x:c r="W40" s="68" t="str">
        <x:v>M02基础映射、M08五行有效旺衰、M12流通卡点已完成</x:v>
      </x:c>
      <x:c r="X40" s="68" t="str">
        <x:v>月令基准与全局有效五行均已核查</x:v>
      </x:c>
      <x:c r="Y40" s="68" t="str">
        <x:v>相关调候五行有根有源、透达且能真实改善关键气候问题</x:v>
      </x:c>
      <x:c r="Z40" s="68" t="str">
        <x:v>调候五行无根、受强制、被合绊、改性或加入后产生新的寒热燥湿问题</x:v>
      </x:c>
      <x:c r="AA40" s="90" t="str">
        <x:v>不得只凭出生月份或某一五行数量直接下最终调候结论</x:v>
      </x:c>
      <x:c r="AB40" s="68" t="str">
        <x:v>特殊格局、核心格局用神或更高优先级病药约束转M16—M18裁决</x:v>
      </x:c>
      <x:c r="AC40" s="84" t="str">
        <x:v>未戌燥土</x:v>
      </x:c>
      <x:c r="AD40" s="84" t="str">
        <x:v>未戌燥土成势属于增燥的重要证据：温度轴判“待定”，湿度轴判“偏燥”；调候候选为“水”，是否成为最终用神仍转M16—M18。</x:v>
      </x:c>
      <x:c r="AE40" s="82" t="str">
        <x:v>较高</x:v>
      </x:c>
      <x:c r="AF40" s="82" t="str">
        <x:v>调候</x:v>
      </x:c>
      <x:c r="AG40" s="68" t="str">
        <x:v>调候以月令气候为起点，但必须结合M08五行有效力量与M12流通状态修正；寒暖与燥湿分轴判断，调候候选不自动等于全局主用神。</x:v>
      </x:c>
      <x:c r="AH40" s="68" t="str">
        <x:v>当“未戌多现且有效，水弱”真实成立，且调候机制能改善主要气候问题时，可按“未戌燥土成势属于增燥的重要证据”记录。</x:v>
      </x:c>
      <x:c r="AI40" s="90" t="str">
        <x:v>仅见月份或表面五行标签，但未满足“未戌多现且有效，水弱”及必要修正条件时，不得套用“未戌燥土成势属于增燥的重要证据”。</x:v>
      </x:c>
      <x:c r="AJ40" s="82" t="str">
        <x:v>采用</x:v>
      </x:c>
      <x:c r="AK40" s="82" t="str">
        <x:v>初审</x:v>
      </x:c>
      <x:c r="AL40" s="87" t="n">
        <x:v>46255</x:v>
      </x:c>
    </x:row>
    <x:row r="41">
      <x:c r="A41" s="72" t="str">
        <x:f>IF(OR(C41="",D41=""),"",B41&amp;"-"&amp;UPPER(C41)&amp;"-"&amp;TEXT(D41,"0000")&amp;"-"&amp;E41)</x:f>
        <x:v>M13-HUMID-0035-V1.0</x:v>
      </x:c>
      <x:c r="B41" s="74" t="str">
        <x:v>M13</x:v>
      </x:c>
      <x:c r="C41" s="74" t="str">
        <x:v>HUMID</x:v>
      </x:c>
      <x:c r="D41" s="215" t="n">
        <x:v>35</x:v>
      </x:c>
      <x:c r="E41" s="74" t="str">
        <x:v>V1.0</x:v>
      </x:c>
      <x:c r="F41" s="68" t="str">
        <x:v>强火会蒸耗水分并提高燥度</x:v>
      </x:c>
      <x:c r="G41" s="82" t="str">
        <x:v>结构层</x:v>
      </x:c>
      <x:c r="H41" s="82" t="str">
        <x:v>燥湿轴</x:v>
      </x:c>
      <x:c r="I41" s="68" t="str">
        <x:v>通用</x:v>
      </x:c>
      <x:c r="J41" s="68" t="str">
        <x:v>火旺极旺且水弱、湿土少</x:v>
      </x:c>
      <x:c r="K41" s="68" t="str">
        <x:v>待定</x:v>
      </x:c>
      <x:c r="L41" s="68" t="str">
        <x:v>明显增燥</x:v>
      </x:c>
      <x:c r="M41" s="82" t="str">
        <x:v>待定</x:v>
      </x:c>
      <x:c r="N41" s="82" t="str">
        <x:v>偏燥</x:v>
      </x:c>
      <x:c r="O41" s="68" t="str">
        <x:v>火旺耗津，生化偏枯</x:v>
      </x:c>
      <x:c r="P41" s="68" t="str">
        <x:v>水</x:v>
      </x:c>
      <x:c r="Q41" s="68" t="str">
        <x:v>润燥制火</x:v>
      </x:c>
      <x:c r="R41" s="82" t="str">
        <x:v>待定</x:v>
      </x:c>
      <x:c r="S41" s="82" t="str">
        <x:v>待定</x:v>
      </x:c>
      <x:c r="T41" s="82" t="str">
        <x:v>待定</x:v>
      </x:c>
      <x:c r="U41" s="82" t="str">
        <x:v>待定</x:v>
      </x:c>
      <x:c r="V41" s="82" t="str">
        <x:v>待定</x:v>
      </x:c>
      <x:c r="W41" s="68" t="str">
        <x:v>M02基础映射、M08五行有效旺衰、M12流通卡点已完成</x:v>
      </x:c>
      <x:c r="X41" s="68" t="str">
        <x:v>月令基准与全局有效五行均已核查</x:v>
      </x:c>
      <x:c r="Y41" s="68" t="str">
        <x:v>相关调候五行有根有源、透达且能真实改善关键气候问题</x:v>
      </x:c>
      <x:c r="Z41" s="68" t="str">
        <x:v>调候五行无根、受强制、被合绊、改性或加入后产生新的寒热燥湿问题</x:v>
      </x:c>
      <x:c r="AA41" s="90" t="str">
        <x:v>不得只凭出生月份或某一五行数量直接下最终调候结论</x:v>
      </x:c>
      <x:c r="AB41" s="68" t="str">
        <x:v>特殊格局、核心格局用神或更高优先级病药约束转M16—M18裁决</x:v>
      </x:c>
      <x:c r="AC41" s="84" t="str">
        <x:v>强火增燥</x:v>
      </x:c>
      <x:c r="AD41" s="84" t="str">
        <x:v>强火会蒸耗水分并提高燥度：温度轴判“待定”，湿度轴判“偏燥”；调候候选为“水”，是否成为最终用神仍转M16—M18。</x:v>
      </x:c>
      <x:c r="AE41" s="82" t="str">
        <x:v>较高</x:v>
      </x:c>
      <x:c r="AF41" s="82" t="str">
        <x:v>调候</x:v>
      </x:c>
      <x:c r="AG41" s="68" t="str">
        <x:v>调候以月令气候为起点，但必须结合M08五行有效力量与M12流通状态修正；寒暖与燥湿分轴判断，调候候选不自动等于全局主用神。</x:v>
      </x:c>
      <x:c r="AH41" s="68" t="str">
        <x:v>当“火旺极旺且水弱、湿土少”真实成立，且调候机制能改善主要气候问题时，可按“强火会蒸耗水分并提高燥度”记录。</x:v>
      </x:c>
      <x:c r="AI41" s="90" t="str">
        <x:v>仅见月份或表面五行标签，但未满足“火旺极旺且水弱、湿土少”及必要修正条件时，不得套用“强火会蒸耗水分并提高燥度”。</x:v>
      </x:c>
      <x:c r="AJ41" s="82" t="str">
        <x:v>采用</x:v>
      </x:c>
      <x:c r="AK41" s="82" t="str">
        <x:v>初审</x:v>
      </x:c>
      <x:c r="AL41" s="87" t="n">
        <x:v>46255</x:v>
      </x:c>
    </x:row>
    <x:row r="42">
      <x:c r="A42" s="72" t="str">
        <x:f>IF(OR(C42="",D42=""),"",B42&amp;"-"&amp;UPPER(C42)&amp;"-"&amp;TEXT(D42,"0000")&amp;"-"&amp;E42)</x:f>
        <x:v>M13-HUMID-0036-V1.0</x:v>
      </x:c>
      <x:c r="B42" s="74" t="str">
        <x:v>M13</x:v>
      </x:c>
      <x:c r="C42" s="74" t="str">
        <x:v>HUMID</x:v>
      </x:c>
      <x:c r="D42" s="215" t="n">
        <x:v>36</x:v>
      </x:c>
      <x:c r="E42" s="74" t="str">
        <x:v>V1.0</x:v>
      </x:c>
      <x:c r="F42" s="68" t="str">
        <x:v>有效水可缓解燥局但过量会转为湿病</x:v>
      </x:c>
      <x:c r="G42" s="82" t="str">
        <x:v>结构层</x:v>
      </x:c>
      <x:c r="H42" s="82" t="str">
        <x:v>燥湿轴</x:v>
      </x:c>
      <x:c r="I42" s="68" t="str">
        <x:v>通用</x:v>
      </x:c>
      <x:c r="J42" s="68" t="str">
        <x:v>原局偏燥，水能真实进入关键节点</x:v>
      </x:c>
      <x:c r="K42" s="68" t="str">
        <x:v>待定</x:v>
      </x:c>
      <x:c r="L42" s="68" t="str">
        <x:v>向平衡修正</x:v>
      </x:c>
      <x:c r="M42" s="82" t="str">
        <x:v>待定</x:v>
      </x:c>
      <x:c r="N42" s="82" t="str">
        <x:v>平衡</x:v>
      </x:c>
      <x:c r="O42" s="68" t="str">
        <x:v>润燥有效但需控制水量</x:v>
      </x:c>
      <x:c r="P42" s="68" t="str">
        <x:v>水</x:v>
      </x:c>
      <x:c r="Q42" s="68" t="str">
        <x:v>润燥</x:v>
      </x:c>
      <x:c r="R42" s="82" t="str">
        <x:v>条件性</x:v>
      </x:c>
      <x:c r="S42" s="82" t="str">
        <x:v>有效</x:v>
      </x:c>
      <x:c r="T42" s="82" t="str">
        <x:v>待定</x:v>
      </x:c>
      <x:c r="U42" s="82" t="str">
        <x:v>待定</x:v>
      </x:c>
      <x:c r="V42" s="82" t="str">
        <x:v>待定</x:v>
      </x:c>
      <x:c r="W42" s="68" t="str">
        <x:v>M02基础映射、M08五行有效旺衰、M12流通卡点已完成</x:v>
      </x:c>
      <x:c r="X42" s="68" t="str">
        <x:v>月令基准与全局有效五行均已核查</x:v>
      </x:c>
      <x:c r="Y42" s="68" t="str">
        <x:v>相关调候五行有根有源、透达且能真实改善关键气候问题</x:v>
      </x:c>
      <x:c r="Z42" s="68" t="str">
        <x:v>调候五行无根、受强制、被合绊、改性或加入后产生新的寒热燥湿问题</x:v>
      </x:c>
      <x:c r="AA42" s="90" t="str">
        <x:v>不得只凭出生月份或某一五行数量直接下最终调候结论</x:v>
      </x:c>
      <x:c r="AB42" s="68" t="str">
        <x:v>特殊格局、核心格局用神或更高优先级病药约束转M16—M18裁决</x:v>
      </x:c>
      <x:c r="AC42" s="84" t="str">
        <x:v>水润燥适量</x:v>
      </x:c>
      <x:c r="AD42" s="84" t="str">
        <x:v>有效水可缓解燥局但过量会转为湿病：温度轴判“待定”，湿度轴判“平衡”；调候候选为“水”，是否成为最终用神仍转M16—M18。</x:v>
      </x:c>
      <x:c r="AE42" s="82" t="str">
        <x:v>较高</x:v>
      </x:c>
      <x:c r="AF42" s="82" t="str">
        <x:v>调候</x:v>
      </x:c>
      <x:c r="AG42" s="68" t="str">
        <x:v>调候以月令气候为起点，但必须结合M08五行有效力量与M12流通状态修正；寒暖与燥湿分轴判断，调候候选不自动等于全局主用神。</x:v>
      </x:c>
      <x:c r="AH42" s="68" t="str">
        <x:v>当“原局偏燥，水能真实进入关键节点”真实成立，且调候机制能改善主要气候问题时，可按“有效水可缓解燥局但过量会转为湿病”记录。</x:v>
      </x:c>
      <x:c r="AI42" s="90" t="str">
        <x:v>仅见月份或表面五行标签，但未满足“原局偏燥，水能真实进入关键节点”及必要修正条件时，不得套用“有效水可缓解燥局但过量会转为湿病”。</x:v>
      </x:c>
      <x:c r="AJ42" s="82" t="str">
        <x:v>采用</x:v>
      </x:c>
      <x:c r="AK42" s="82" t="str">
        <x:v>初审</x:v>
      </x:c>
      <x:c r="AL42" s="87" t="n">
        <x:v>46255</x:v>
      </x:c>
    </x:row>
    <x:row r="43">
      <x:c r="A43" s="72" t="str">
        <x:f>IF(OR(C43="",D43=""),"",B43&amp;"-"&amp;UPPER(C43)&amp;"-"&amp;TEXT(D43,"0000")&amp;"-"&amp;E43)</x:f>
        <x:v>M13-HUMID-0037-V1.0</x:v>
      </x:c>
      <x:c r="B43" s="74" t="str">
        <x:v>M13</x:v>
      </x:c>
      <x:c r="C43" s="74" t="str">
        <x:v>HUMID</x:v>
      </x:c>
      <x:c r="D43" s="215" t="n">
        <x:v>37</x:v>
      </x:c>
      <x:c r="E43" s="74" t="str">
        <x:v>V1.0</x:v>
      </x:c>
      <x:c r="F43" s="68" t="str">
        <x:v>有效火可化湿但过量会由湿转燥</x:v>
      </x:c>
      <x:c r="G43" s="82" t="str">
        <x:v>结构层</x:v>
      </x:c>
      <x:c r="H43" s="82" t="str">
        <x:v>燥湿轴</x:v>
      </x:c>
      <x:c r="I43" s="68" t="str">
        <x:v>通用</x:v>
      </x:c>
      <x:c r="J43" s="68" t="str">
        <x:v>原局偏湿，火有根有源并能暖土化湿</x:v>
      </x:c>
      <x:c r="K43" s="68" t="str">
        <x:v>待定</x:v>
      </x:c>
      <x:c r="L43" s="68" t="str">
        <x:v>向平衡修正</x:v>
      </x:c>
      <x:c r="M43" s="82" t="str">
        <x:v>待定</x:v>
      </x:c>
      <x:c r="N43" s="82" t="str">
        <x:v>平衡</x:v>
      </x:c>
      <x:c r="O43" s="68" t="str">
        <x:v>化湿有效但需防过燥</x:v>
      </x:c>
      <x:c r="P43" s="68" t="str">
        <x:v>火</x:v>
      </x:c>
      <x:c r="Q43" s="68" t="str">
        <x:v>暖燥化湿</x:v>
      </x:c>
      <x:c r="R43" s="82" t="str">
        <x:v>条件性</x:v>
      </x:c>
      <x:c r="S43" s="82" t="str">
        <x:v>有效</x:v>
      </x:c>
      <x:c r="T43" s="82" t="str">
        <x:v>待定</x:v>
      </x:c>
      <x:c r="U43" s="82" t="str">
        <x:v>待定</x:v>
      </x:c>
      <x:c r="V43" s="82" t="str">
        <x:v>待定</x:v>
      </x:c>
      <x:c r="W43" s="68" t="str">
        <x:v>M02基础映射、M08五行有效旺衰、M12流通卡点已完成</x:v>
      </x:c>
      <x:c r="X43" s="68" t="str">
        <x:v>月令基准与全局有效五行均已核查</x:v>
      </x:c>
      <x:c r="Y43" s="68" t="str">
        <x:v>相关调候五行有根有源、透达且能真实改善关键气候问题</x:v>
      </x:c>
      <x:c r="Z43" s="68" t="str">
        <x:v>调候五行无根、受强制、被合绊、改性或加入后产生新的寒热燥湿问题</x:v>
      </x:c>
      <x:c r="AA43" s="90" t="str">
        <x:v>不得只凭出生月份或某一五行数量直接下最终调候结论</x:v>
      </x:c>
      <x:c r="AB43" s="68" t="str">
        <x:v>特殊格局、核心格局用神或更高优先级病药约束转M16—M18裁决</x:v>
      </x:c>
      <x:c r="AC43" s="84" t="str">
        <x:v>火化湿适量</x:v>
      </x:c>
      <x:c r="AD43" s="84" t="str">
        <x:v>有效火可化湿但过量会由湿转燥：温度轴判“待定”，湿度轴判“平衡”；调候候选为“火”，是否成为最终用神仍转M16—M18。</x:v>
      </x:c>
      <x:c r="AE43" s="82" t="str">
        <x:v>较高</x:v>
      </x:c>
      <x:c r="AF43" s="82" t="str">
        <x:v>调候</x:v>
      </x:c>
      <x:c r="AG43" s="68" t="str">
        <x:v>调候以月令气候为起点，但必须结合M08五行有效力量与M12流通状态修正；寒暖与燥湿分轴判断，调候候选不自动等于全局主用神。</x:v>
      </x:c>
      <x:c r="AH43" s="68" t="str">
        <x:v>当“原局偏湿，火有根有源并能暖土化湿”真实成立，且调候机制能改善主要气候问题时，可按“有效火可化湿但过量会由湿转燥”记录。</x:v>
      </x:c>
      <x:c r="AI43" s="90" t="str">
        <x:v>仅见月份或表面五行标签，但未满足“原局偏湿，火有根有源并能暖土化湿”及必要修正条件时，不得套用“有效火可化湿但过量会由湿转燥”。</x:v>
      </x:c>
      <x:c r="AJ43" s="82" t="str">
        <x:v>采用</x:v>
      </x:c>
      <x:c r="AK43" s="82" t="str">
        <x:v>初审</x:v>
      </x:c>
      <x:c r="AL43" s="87" t="n">
        <x:v>46255</x:v>
      </x:c>
    </x:row>
    <x:row r="44">
      <x:c r="A44" s="72" t="str">
        <x:f>IF(OR(C44="",D44=""),"",B44&amp;"-"&amp;UPPER(C44)&amp;"-"&amp;TEXT(D44,"0000")&amp;"-"&amp;E44)</x:f>
        <x:v>M13-HUMID-0038-V1.0</x:v>
      </x:c>
      <x:c r="B44" s="74" t="str">
        <x:v>M13</x:v>
      </x:c>
      <x:c r="C44" s="74" t="str">
        <x:v>HUMID</x:v>
      </x:c>
      <x:c r="D44" s="215" t="n">
        <x:v>38</x:v>
      </x:c>
      <x:c r="E44" s="74" t="str">
        <x:v>V1.0</x:v>
      </x:c>
      <x:c r="F44" s="68" t="str">
        <x:v>木可疏湿土但必须自身有生发条件</x:v>
      </x:c>
      <x:c r="G44" s="82" t="str">
        <x:v>结构层</x:v>
      </x:c>
      <x:c r="H44" s="82" t="str">
        <x:v>燥湿轴</x:v>
      </x:c>
      <x:c r="I44" s="68" t="str">
        <x:v>通用</x:v>
      </x:c>
      <x:c r="J44" s="68" t="str">
        <x:v>湿土壅滞，木有效且未被金强制或寒凝</x:v>
      </x:c>
      <x:c r="K44" s="68" t="str">
        <x:v>待定</x:v>
      </x:c>
      <x:c r="L44" s="68" t="str">
        <x:v>降低湿滞</x:v>
      </x:c>
      <x:c r="M44" s="82" t="str">
        <x:v>待定</x:v>
      </x:c>
      <x:c r="N44" s="82" t="str">
        <x:v>待定</x:v>
      </x:c>
      <x:c r="O44" s="68" t="str">
        <x:v>土湿壅滞可由木疏泄</x:v>
      </x:c>
      <x:c r="P44" s="68" t="str">
        <x:v>木</x:v>
      </x:c>
      <x:c r="Q44" s="68" t="str">
        <x:v>疏土导湿</x:v>
      </x:c>
      <x:c r="R44" s="82" t="str">
        <x:v>条件性</x:v>
      </x:c>
      <x:c r="S44" s="82" t="str">
        <x:v>有效</x:v>
      </x:c>
      <x:c r="T44" s="82" t="str">
        <x:v>待定</x:v>
      </x:c>
      <x:c r="U44" s="82" t="str">
        <x:v>待定</x:v>
      </x:c>
      <x:c r="V44" s="82" t="str">
        <x:v>待定</x:v>
      </x:c>
      <x:c r="W44" s="68" t="str">
        <x:v>M02基础映射、M08五行有效旺衰、M12流通卡点已完成</x:v>
      </x:c>
      <x:c r="X44" s="68" t="str">
        <x:v>月令基准与全局有效五行均已核查</x:v>
      </x:c>
      <x:c r="Y44" s="68" t="str">
        <x:v>相关调候五行有根有源、透达且能真实改善关键气候问题</x:v>
      </x:c>
      <x:c r="Z44" s="68" t="str">
        <x:v>调候五行无根、受强制、被合绊、改性或加入后产生新的寒热燥湿问题</x:v>
      </x:c>
      <x:c r="AA44" s="90" t="str">
        <x:v>不得只凭出生月份或某一五行数量直接下最终调候结论</x:v>
      </x:c>
      <x:c r="AB44" s="68" t="str">
        <x:v>特殊格局、核心格局用神或更高优先级病药约束转M16—M18裁决</x:v>
      </x:c>
      <x:c r="AC44" s="84" t="str">
        <x:v>木疏湿土</x:v>
      </x:c>
      <x:c r="AD44" s="84" t="str">
        <x:v>木可疏湿土但必须自身有生发条件：温度轴判“待定”，湿度轴判“待定”；调候候选为“木”，是否成为最终用神仍转M16—M18。</x:v>
      </x:c>
      <x:c r="AE44" s="82" t="str">
        <x:v>较高</x:v>
      </x:c>
      <x:c r="AF44" s="82" t="str">
        <x:v>调候</x:v>
      </x:c>
      <x:c r="AG44" s="68" t="str">
        <x:v>调候以月令气候为起点，但必须结合M08五行有效力量与M12流通状态修正；寒暖与燥湿分轴判断，调候候选不自动等于全局主用神。</x:v>
      </x:c>
      <x:c r="AH44" s="68" t="str">
        <x:v>当“湿土壅滞，木有效且未被金强制或寒凝”真实成立，且调候机制能改善主要气候问题时，可按“木可疏湿土但必须自身有生发条件”记录。</x:v>
      </x:c>
      <x:c r="AI44" s="90" t="str">
        <x:v>仅见月份或表面五行标签，但未满足“湿土壅滞，木有效且未被金强制或寒凝”及必要修正条件时，不得套用“木可疏湿土但必须自身有生发条件”。</x:v>
      </x:c>
      <x:c r="AJ44" s="82" t="str">
        <x:v>采用</x:v>
      </x:c>
      <x:c r="AK44" s="82" t="str">
        <x:v>初审</x:v>
      </x:c>
      <x:c r="AL44" s="87" t="n">
        <x:v>46255</x:v>
      </x:c>
    </x:row>
    <x:row r="45">
      <x:c r="A45" s="72" t="str">
        <x:f>IF(OR(C45="",D45=""),"",B45&amp;"-"&amp;UPPER(C45)&amp;"-"&amp;TEXT(D45,"0000")&amp;"-"&amp;E45)</x:f>
        <x:v>M13-HUMID-0039-V1.0</x:v>
      </x:c>
      <x:c r="B45" s="74" t="str">
        <x:v>M13</x:v>
      </x:c>
      <x:c r="C45" s="74" t="str">
        <x:v>HUMID</x:v>
      </x:c>
      <x:c r="D45" s="215" t="n">
        <x:v>39</x:v>
      </x:c>
      <x:c r="E45" s="74" t="str">
        <x:v>V1.0</x:v>
      </x:c>
      <x:c r="F45" s="68" t="str">
        <x:v>燥湿平衡必须排除局部湿库或燥土集团</x:v>
      </x:c>
      <x:c r="G45" s="82" t="str">
        <x:v>结构层</x:v>
      </x:c>
      <x:c r="H45" s="82" t="str">
        <x:v>燥湿轴</x:v>
      </x:c>
      <x:c r="I45" s="68" t="str">
        <x:v>通用</x:v>
      </x:c>
      <x:c r="J45" s="68" t="str">
        <x:v>全局水火土性相对协调，未出现湿土或燥土成势阻断</x:v>
      </x:c>
      <x:c r="K45" s="68" t="str">
        <x:v>待定</x:v>
      </x:c>
      <x:c r="L45" s="68" t="str">
        <x:v>待定</x:v>
      </x:c>
      <x:c r="M45" s="82" t="str">
        <x:v>待定</x:v>
      </x:c>
      <x:c r="N45" s="82" t="str">
        <x:v>平衡</x:v>
      </x:c>
      <x:c r="O45" s="68" t="str">
        <x:v>无明显湿度病</x:v>
      </x:c>
      <x:c r="P45" s="68" t="str">
        <x:v>待定</x:v>
      </x:c>
      <x:c r="Q45" s="68" t="str">
        <x:v>通常不需以润燥化湿为首要</x:v>
      </x:c>
      <x:c r="R45" s="82" t="str">
        <x:v>待定</x:v>
      </x:c>
      <x:c r="S45" s="82" t="str">
        <x:v>待定</x:v>
      </x:c>
      <x:c r="T45" s="82" t="str">
        <x:v>低</x:v>
      </x:c>
      <x:c r="U45" s="82" t="str">
        <x:v>待定</x:v>
      </x:c>
      <x:c r="V45" s="82" t="str">
        <x:v>待定</x:v>
      </x:c>
      <x:c r="W45" s="68" t="str">
        <x:v>M02基础映射、M08五行有效旺衰、M12流通卡点已完成</x:v>
      </x:c>
      <x:c r="X45" s="68" t="str">
        <x:v>月令基准与全局有效五行均已核查</x:v>
      </x:c>
      <x:c r="Y45" s="68" t="str">
        <x:v>相关调候五行有根有源、透达且能真实改善关键气候问题</x:v>
      </x:c>
      <x:c r="Z45" s="68" t="str">
        <x:v>调候五行无根、受强制、被合绊、改性或加入后产生新的寒热燥湿问题</x:v>
      </x:c>
      <x:c r="AA45" s="90" t="str">
        <x:v>不得只凭出生月份或某一五行数量直接下最终调候结论</x:v>
      </x:c>
      <x:c r="AB45" s="68" t="str">
        <x:v>特殊格局、核心格局用神或更高优先级病药约束转M16—M18裁决</x:v>
      </x:c>
      <x:c r="AC45" s="84" t="str">
        <x:v>燥湿平衡</x:v>
      </x:c>
      <x:c r="AD45" s="84" t="str">
        <x:v>燥湿平衡必须排除局部湿库或燥土集团：温度轴判“待定”，湿度轴判“平衡”；调候候选为“待定”，是否成为最终用神仍转M16—M18。</x:v>
      </x:c>
      <x:c r="AE45" s="82" t="str">
        <x:v>较高</x:v>
      </x:c>
      <x:c r="AF45" s="82" t="str">
        <x:v>调候</x:v>
      </x:c>
      <x:c r="AG45" s="68" t="str">
        <x:v>调候以月令气候为起点，但必须结合M08五行有效力量与M12流通状态修正；寒暖与燥湿分轴判断，调候候选不自动等于全局主用神。</x:v>
      </x:c>
      <x:c r="AH45" s="68" t="str">
        <x:v>当“全局水火土性相对协调，未出现湿土或燥土成势阻断”真实成立，且调候机制能改善主要气候问题时，可按“燥湿平衡必须排除局部湿库或燥土集团”记录。</x:v>
      </x:c>
      <x:c r="AI45" s="90" t="str">
        <x:v>仅见月份或表面五行标签，但未满足“全局水火土性相对协调，未出现湿土或燥土成势阻断”及必要修正条件时，不得套用“燥湿平衡必须排除局部湿库或燥土集团”。</x:v>
      </x:c>
      <x:c r="AJ45" s="82" t="str">
        <x:v>采用</x:v>
      </x:c>
      <x:c r="AK45" s="82" t="str">
        <x:v>初审</x:v>
      </x:c>
      <x:c r="AL45" s="87" t="n">
        <x:v>46255</x:v>
      </x:c>
    </x:row>
    <x:row r="46">
      <x:c r="A46" s="72" t="str">
        <x:f>IF(OR(C46="",D46=""),"",B46&amp;"-"&amp;UPPER(C46)&amp;"-"&amp;TEXT(D46,"0000")&amp;"-"&amp;E46)</x:f>
        <x:v>M13-HUMID-0040-V1.0</x:v>
      </x:c>
      <x:c r="B46" s="74" t="str">
        <x:v>M13</x:v>
      </x:c>
      <x:c r="C46" s="74" t="str">
        <x:v>HUMID</x:v>
      </x:c>
      <x:c r="D46" s="215" t="n">
        <x:v>40</x:v>
      </x:c>
      <x:c r="E46" s="74" t="str">
        <x:v>V1.0</x:v>
      </x:c>
      <x:c r="F46" s="68" t="str">
        <x:v>极湿极燥只有影响流通时才提高紧急度</x:v>
      </x:c>
      <x:c r="G46" s="82" t="str">
        <x:v>结构层</x:v>
      </x:c>
      <x:c r="H46" s="82" t="str">
        <x:v>燥湿轴</x:v>
      </x:c>
      <x:c r="I46" s="68" t="str">
        <x:v>通用</x:v>
      </x:c>
      <x:c r="J46" s="68" t="str">
        <x:v>极湿或极燥造成M12寒凝、燥枯、桥梁失效或终点不能承载</x:v>
      </x:c>
      <x:c r="K46" s="68" t="str">
        <x:v>待定</x:v>
      </x:c>
      <x:c r="L46" s="68" t="str">
        <x:v>待定</x:v>
      </x:c>
      <x:c r="M46" s="82" t="str">
        <x:v>待定</x:v>
      </x:c>
      <x:c r="N46" s="82" t="str">
        <x:v>待定</x:v>
      </x:c>
      <x:c r="O46" s="68" t="str">
        <x:v>湿度极端已转化为功能障碍</x:v>
      </x:c>
      <x:c r="P46" s="68" t="str">
        <x:v>火/水/木</x:v>
      </x:c>
      <x:c r="Q46" s="68" t="str">
        <x:v>针对性暖湿、润燥或疏湿</x:v>
      </x:c>
      <x:c r="R46" s="82" t="str">
        <x:v>待定</x:v>
      </x:c>
      <x:c r="S46" s="82" t="str">
        <x:v>待定</x:v>
      </x:c>
      <x:c r="T46" s="82" t="str">
        <x:v>首要</x:v>
      </x:c>
      <x:c r="U46" s="82" t="str">
        <x:v>待定</x:v>
      </x:c>
      <x:c r="V46" s="82" t="str">
        <x:v>待定</x:v>
      </x:c>
      <x:c r="W46" s="68" t="str">
        <x:v>M02基础映射、M08五行有效旺衰、M12流通卡点已完成</x:v>
      </x:c>
      <x:c r="X46" s="68" t="str">
        <x:v>月令基准与全局有效五行均已核查</x:v>
      </x:c>
      <x:c r="Y46" s="68" t="str">
        <x:v>相关调候五行有根有源、透达且能真实改善关键气候问题</x:v>
      </x:c>
      <x:c r="Z46" s="68" t="str">
        <x:v>调候五行无根、受强制、被合绊、改性或加入后产生新的寒热燥湿问题</x:v>
      </x:c>
      <x:c r="AA46" s="90" t="str">
        <x:v>不得只凭出生月份或某一五行数量直接下最终调候结论</x:v>
      </x:c>
      <x:c r="AB46" s="68" t="str">
        <x:v>特殊格局、核心格局用神或更高优先级病药约束转M16—M18裁决</x:v>
      </x:c>
      <x:c r="AC46" s="84" t="str">
        <x:v>湿度极端功能化</x:v>
      </x:c>
      <x:c r="AD46" s="84" t="str">
        <x:v>极湿极燥只有影响流通时才提高紧急度：温度轴判“待定”，湿度轴判“待定”；调候候选为“火/水/木”，是否成为最终用神仍转M16—M18。</x:v>
      </x:c>
      <x:c r="AE46" s="82" t="str">
        <x:v>较高</x:v>
      </x:c>
      <x:c r="AF46" s="82" t="str">
        <x:v>调候</x:v>
      </x:c>
      <x:c r="AG46" s="68" t="str">
        <x:v>调候以月令气候为起点，但必须结合M08五行有效力量与M12流通状态修正；寒暖与燥湿分轴判断，调候候选不自动等于全局主用神。</x:v>
      </x:c>
      <x:c r="AH46" s="68" t="str">
        <x:v>当“极湿或极燥造成M12寒凝、燥枯、桥梁失效或终点不能承载”真实成立，且调候机制能改善主要气候问题时，可按“极湿极燥只有影响流通时才提高紧急度”记录。</x:v>
      </x:c>
      <x:c r="AI46" s="90" t="str">
        <x:v>仅见月份或表面五行标签，但未满足“极湿或极燥造成M12寒凝、燥枯、桥梁失效或终点不能承载”及必要修正条件时，不得套用“极湿极燥只有影响流通时才提高紧急度”。</x:v>
      </x:c>
      <x:c r="AJ46" s="82" t="str">
        <x:v>采用</x:v>
      </x:c>
      <x:c r="AK46" s="82" t="str">
        <x:v>初审</x:v>
      </x:c>
      <x:c r="AL46" s="87" t="n">
        <x:v>46255</x:v>
      </x:c>
    </x:row>
    <x:row r="47">
      <x:c r="A47" s="72" t="str">
        <x:f>IF(OR(C47="",D47=""),"",B47&amp;"-"&amp;UPPER(C47)&amp;"-"&amp;TEXT(D47,"0000")&amp;"-"&amp;E47)</x:f>
        <x:v>M13-COMBO-0041-V1.0</x:v>
      </x:c>
      <x:c r="B47" s="74" t="str">
        <x:v>M13</x:v>
      </x:c>
      <x:c r="C47" s="74" t="str">
        <x:v>COMBO</x:v>
      </x:c>
      <x:c r="D47" s="215" t="n">
        <x:v>41</x:v>
      </x:c>
      <x:c r="E47" s="74" t="str">
        <x:v>V1.0</x:v>
      </x:c>
      <x:c r="F47" s="68" t="str">
        <x:v>寒湿状态识别</x:v>
      </x:c>
      <x:c r="G47" s="82" t="str">
        <x:v>结构层</x:v>
      </x:c>
      <x:c r="H47" s="82" t="str">
        <x:v>寒暖燥湿综合</x:v>
      </x:c>
      <x:c r="I47" s="68" t="str">
        <x:v>通用</x:v>
      </x:c>
      <x:c r="J47" s="68" t="str">
        <x:v>温度轴=偏寒且湿度轴=偏湿</x:v>
      </x:c>
      <x:c r="K47" s="68" t="str">
        <x:v>待定</x:v>
      </x:c>
      <x:c r="L47" s="68" t="str">
        <x:v>待定</x:v>
      </x:c>
      <x:c r="M47" s="82" t="str">
        <x:v>偏寒</x:v>
      </x:c>
      <x:c r="N47" s="82" t="str">
        <x:v>偏湿</x:v>
      </x:c>
      <x:c r="O47" s="68" t="str">
        <x:v>寒与湿同时形成主矛盾</x:v>
      </x:c>
      <x:c r="P47" s="68" t="str">
        <x:v>火/木</x:v>
      </x:c>
      <x:c r="Q47" s="68" t="str">
        <x:v>以火暖局化湿，木辅助疏湿生火</x:v>
      </x:c>
      <x:c r="R47" s="82" t="str">
        <x:v>待定</x:v>
      </x:c>
      <x:c r="S47" s="82" t="str">
        <x:v>待定</x:v>
      </x:c>
      <x:c r="T47" s="82" t="str">
        <x:v>中</x:v>
      </x:c>
      <x:c r="U47" s="82" t="str">
        <x:v>待定</x:v>
      </x:c>
      <x:c r="V47" s="82" t="str">
        <x:v>待定</x:v>
      </x:c>
      <x:c r="W47" s="68" t="str">
        <x:v>M02基础映射、M08五行有效旺衰、M12流通卡点已完成</x:v>
      </x:c>
      <x:c r="X47" s="68" t="str">
        <x:v>月令基准与全局有效五行均已核查</x:v>
      </x:c>
      <x:c r="Y47" s="68" t="str">
        <x:v>相关调候五行有根有源、透达且能真实改善关键气候问题</x:v>
      </x:c>
      <x:c r="Z47" s="68" t="str">
        <x:v>调候五行无根、受强制、被合绊、改性或加入后产生新的寒热燥湿问题</x:v>
      </x:c>
      <x:c r="AA47" s="90" t="str">
        <x:v>不得只凭出生月份或某一五行数量直接下最终调候结论</x:v>
      </x:c>
      <x:c r="AB47" s="68" t="str">
        <x:v>特殊格局、核心格局用神或更高优先级病药约束转M16—M18裁决</x:v>
      </x:c>
      <x:c r="AC47" s="84" t="str">
        <x:v>寒湿_双轴状态</x:v>
      </x:c>
      <x:c r="AD47" s="84" t="str">
        <x:v>寒湿状态识别：温度轴判“偏寒”，湿度轴判“偏湿”；调候候选为“火/木”，是否成为最终用神仍转M16—M18。</x:v>
      </x:c>
      <x:c r="AE47" s="82" t="str">
        <x:v>较高</x:v>
      </x:c>
      <x:c r="AF47" s="82" t="str">
        <x:v>调候</x:v>
      </x:c>
      <x:c r="AG47" s="68" t="str">
        <x:v>调候以月令气候为起点，但必须结合M08五行有效力量与M12流通状态修正；寒暖与燥湿分轴判断，调候候选不自动等于全局主用神。</x:v>
      </x:c>
      <x:c r="AH47" s="68" t="str">
        <x:v>当“温度轴=偏寒且湿度轴=偏湿”真实成立，且调候机制能改善主要气候问题时，可按“寒湿状态识别”记录。</x:v>
      </x:c>
      <x:c r="AI47" s="90" t="str">
        <x:v>仅见月份或表面五行标签，但未满足“温度轴=偏寒且湿度轴=偏湿”及必要修正条件时，不得套用“寒湿状态识别”。</x:v>
      </x:c>
      <x:c r="AJ47" s="82" t="str">
        <x:v>采用</x:v>
      </x:c>
      <x:c r="AK47" s="82" t="str">
        <x:v>初审</x:v>
      </x:c>
      <x:c r="AL47" s="87" t="n">
        <x:v>46255</x:v>
      </x:c>
    </x:row>
    <x:row r="48">
      <x:c r="A48" s="72" t="str">
        <x:f>IF(OR(C48="",D48=""),"",B48&amp;"-"&amp;UPPER(C48)&amp;"-"&amp;TEXT(D48,"0000")&amp;"-"&amp;E48)</x:f>
        <x:v>M13-COMBO-0042-V1.0</x:v>
      </x:c>
      <x:c r="B48" s="74" t="str">
        <x:v>M13</x:v>
      </x:c>
      <x:c r="C48" s="74" t="str">
        <x:v>COMBO</x:v>
      </x:c>
      <x:c r="D48" s="215" t="n">
        <x:v>42</x:v>
      </x:c>
      <x:c r="E48" s="74" t="str">
        <x:v>V1.0</x:v>
      </x:c>
      <x:c r="F48" s="68" t="str">
        <x:v>寒燥状态识别</x:v>
      </x:c>
      <x:c r="G48" s="82" t="str">
        <x:v>结构层</x:v>
      </x:c>
      <x:c r="H48" s="82" t="str">
        <x:v>寒暖燥湿综合</x:v>
      </x:c>
      <x:c r="I48" s="68" t="str">
        <x:v>通用</x:v>
      </x:c>
      <x:c r="J48" s="68" t="str">
        <x:v>温度轴=偏寒且湿度轴=偏燥</x:v>
      </x:c>
      <x:c r="K48" s="68" t="str">
        <x:v>待定</x:v>
      </x:c>
      <x:c r="L48" s="68" t="str">
        <x:v>待定</x:v>
      </x:c>
      <x:c r="M48" s="82" t="str">
        <x:v>偏寒</x:v>
      </x:c>
      <x:c r="N48" s="82" t="str">
        <x:v>偏燥</x:v>
      </x:c>
      <x:c r="O48" s="68" t="str">
        <x:v>温度低但水分不足、燥性明显</x:v>
      </x:c>
      <x:c r="P48" s="68" t="str">
        <x:v>火/水</x:v>
      </x:c>
      <x:c r="Q48" s="68" t="str">
        <x:v>暖而兼润，避免单纯加火更燥</x:v>
      </x:c>
      <x:c r="R48" s="82" t="str">
        <x:v>待定</x:v>
      </x:c>
      <x:c r="S48" s="82" t="str">
        <x:v>待定</x:v>
      </x:c>
      <x:c r="T48" s="82" t="str">
        <x:v>中</x:v>
      </x:c>
      <x:c r="U48" s="82" t="str">
        <x:v>待定</x:v>
      </x:c>
      <x:c r="V48" s="82" t="str">
        <x:v>待定</x:v>
      </x:c>
      <x:c r="W48" s="68" t="str">
        <x:v>M02基础映射、M08五行有效旺衰、M12流通卡点已完成</x:v>
      </x:c>
      <x:c r="X48" s="68" t="str">
        <x:v>月令基准与全局有效五行均已核查</x:v>
      </x:c>
      <x:c r="Y48" s="68" t="str">
        <x:v>相关调候五行有根有源、透达且能真实改善关键气候问题</x:v>
      </x:c>
      <x:c r="Z48" s="68" t="str">
        <x:v>调候五行无根、受强制、被合绊、改性或加入后产生新的寒热燥湿问题</x:v>
      </x:c>
      <x:c r="AA48" s="90" t="str">
        <x:v>不得只凭出生月份或某一五行数量直接下最终调候结论</x:v>
      </x:c>
      <x:c r="AB48" s="68" t="str">
        <x:v>特殊格局、核心格局用神或更高优先级病药约束转M16—M18裁决</x:v>
      </x:c>
      <x:c r="AC48" s="84" t="str">
        <x:v>寒燥_双轴状态</x:v>
      </x:c>
      <x:c r="AD48" s="84" t="str">
        <x:v>寒燥状态识别：温度轴判“偏寒”，湿度轴判“偏燥”；调候候选为“火/水”，是否成为最终用神仍转M16—M18。</x:v>
      </x:c>
      <x:c r="AE48" s="82" t="str">
        <x:v>较高</x:v>
      </x:c>
      <x:c r="AF48" s="82" t="str">
        <x:v>调候</x:v>
      </x:c>
      <x:c r="AG48" s="68" t="str">
        <x:v>调候以月令气候为起点，但必须结合M08五行有效力量与M12流通状态修正；寒暖与燥湿分轴判断，调候候选不自动等于全局主用神。</x:v>
      </x:c>
      <x:c r="AH48" s="68" t="str">
        <x:v>当“温度轴=偏寒且湿度轴=偏燥”真实成立，且调候机制能改善主要气候问题时，可按“寒燥状态识别”记录。</x:v>
      </x:c>
      <x:c r="AI48" s="90" t="str">
        <x:v>仅见月份或表面五行标签，但未满足“温度轴=偏寒且湿度轴=偏燥”及必要修正条件时，不得套用“寒燥状态识别”。</x:v>
      </x:c>
      <x:c r="AJ48" s="82" t="str">
        <x:v>采用</x:v>
      </x:c>
      <x:c r="AK48" s="82" t="str">
        <x:v>初审</x:v>
      </x:c>
      <x:c r="AL48" s="87" t="n">
        <x:v>46255</x:v>
      </x:c>
    </x:row>
    <x:row r="49">
      <x:c r="A49" s="72" t="str">
        <x:f>IF(OR(C49="",D49=""),"",B49&amp;"-"&amp;UPPER(C49)&amp;"-"&amp;TEXT(D49,"0000")&amp;"-"&amp;E49)</x:f>
        <x:v>M13-COMBO-0043-V1.0</x:v>
      </x:c>
      <x:c r="B49" s="74" t="str">
        <x:v>M13</x:v>
      </x:c>
      <x:c r="C49" s="74" t="str">
        <x:v>COMBO</x:v>
      </x:c>
      <x:c r="D49" s="215" t="n">
        <x:v>43</x:v>
      </x:c>
      <x:c r="E49" s="74" t="str">
        <x:v>V1.0</x:v>
      </x:c>
      <x:c r="F49" s="68" t="str">
        <x:v>暖湿状态识别</x:v>
      </x:c>
      <x:c r="G49" s="82" t="str">
        <x:v>结构层</x:v>
      </x:c>
      <x:c r="H49" s="82" t="str">
        <x:v>寒暖燥湿综合</x:v>
      </x:c>
      <x:c r="I49" s="68" t="str">
        <x:v>通用</x:v>
      </x:c>
      <x:c r="J49" s="68" t="str">
        <x:v>温度轴=偏暖且湿度轴=偏湿</x:v>
      </x:c>
      <x:c r="K49" s="68" t="str">
        <x:v>待定</x:v>
      </x:c>
      <x:c r="L49" s="68" t="str">
        <x:v>待定</x:v>
      </x:c>
      <x:c r="M49" s="82" t="str">
        <x:v>偏暖</x:v>
      </x:c>
      <x:c r="N49" s="82" t="str">
        <x:v>偏湿</x:v>
      </x:c>
      <x:c r="O49" s="68" t="str">
        <x:v>温度偏高但湿气壅滞</x:v>
      </x:c>
      <x:c r="P49" s="68" t="str">
        <x:v>木/土性调节/适度火</x:v>
      </x:c>
      <x:c r="Q49" s="68" t="str">
        <x:v>疏湿优先，火须防进一步升温</x:v>
      </x:c>
      <x:c r="R49" s="82" t="str">
        <x:v>待定</x:v>
      </x:c>
      <x:c r="S49" s="82" t="str">
        <x:v>待定</x:v>
      </x:c>
      <x:c r="T49" s="82" t="str">
        <x:v>中</x:v>
      </x:c>
      <x:c r="U49" s="82" t="str">
        <x:v>待定</x:v>
      </x:c>
      <x:c r="V49" s="82" t="str">
        <x:v>待定</x:v>
      </x:c>
      <x:c r="W49" s="68" t="str">
        <x:v>M02基础映射、M08五行有效旺衰、M12流通卡点已完成</x:v>
      </x:c>
      <x:c r="X49" s="68" t="str">
        <x:v>月令基准与全局有效五行均已核查</x:v>
      </x:c>
      <x:c r="Y49" s="68" t="str">
        <x:v>相关调候五行有根有源、透达且能真实改善关键气候问题</x:v>
      </x:c>
      <x:c r="Z49" s="68" t="str">
        <x:v>调候五行无根、受强制、被合绊、改性或加入后产生新的寒热燥湿问题</x:v>
      </x:c>
      <x:c r="AA49" s="90" t="str">
        <x:v>不得只凭出生月份或某一五行数量直接下最终调候结论</x:v>
      </x:c>
      <x:c r="AB49" s="68" t="str">
        <x:v>特殊格局、核心格局用神或更高优先级病药约束转M16—M18裁决</x:v>
      </x:c>
      <x:c r="AC49" s="84" t="str">
        <x:v>暖湿_双轴状态</x:v>
      </x:c>
      <x:c r="AD49" s="84" t="str">
        <x:v>暖湿状态识别：温度轴判“偏暖”，湿度轴判“偏湿”；调候候选为“木/土性调节/适度火”，是否成为最终用神仍转M16—M18。</x:v>
      </x:c>
      <x:c r="AE49" s="82" t="str">
        <x:v>较高</x:v>
      </x:c>
      <x:c r="AF49" s="82" t="str">
        <x:v>调候</x:v>
      </x:c>
      <x:c r="AG49" s="68" t="str">
        <x:v>调候以月令气候为起点，但必须结合M08五行有效力量与M12流通状态修正；寒暖与燥湿分轴判断，调候候选不自动等于全局主用神。</x:v>
      </x:c>
      <x:c r="AH49" s="68" t="str">
        <x:v>当“温度轴=偏暖且湿度轴=偏湿”真实成立，且调候机制能改善主要气候问题时，可按“暖湿状态识别”记录。</x:v>
      </x:c>
      <x:c r="AI49" s="90" t="str">
        <x:v>仅见月份或表面五行标签，但未满足“温度轴=偏暖且湿度轴=偏湿”及必要修正条件时，不得套用“暖湿状态识别”。</x:v>
      </x:c>
      <x:c r="AJ49" s="82" t="str">
        <x:v>采用</x:v>
      </x:c>
      <x:c r="AK49" s="82" t="str">
        <x:v>初审</x:v>
      </x:c>
      <x:c r="AL49" s="87" t="n">
        <x:v>46255</x:v>
      </x:c>
    </x:row>
    <x:row r="50">
      <x:c r="A50" s="72" t="str">
        <x:f>IF(OR(C50="",D50=""),"",B50&amp;"-"&amp;UPPER(C50)&amp;"-"&amp;TEXT(D50,"0000")&amp;"-"&amp;E50)</x:f>
        <x:v>M13-COMBO-0044-V1.0</x:v>
      </x:c>
      <x:c r="B50" s="74" t="str">
        <x:v>M13</x:v>
      </x:c>
      <x:c r="C50" s="74" t="str">
        <x:v>COMBO</x:v>
      </x:c>
      <x:c r="D50" s="215" t="n">
        <x:v>44</x:v>
      </x:c>
      <x:c r="E50" s="74" t="str">
        <x:v>V1.0</x:v>
      </x:c>
      <x:c r="F50" s="68" t="str">
        <x:v>暖燥状态识别</x:v>
      </x:c>
      <x:c r="G50" s="82" t="str">
        <x:v>结构层</x:v>
      </x:c>
      <x:c r="H50" s="82" t="str">
        <x:v>寒暖燥湿综合</x:v>
      </x:c>
      <x:c r="I50" s="68" t="str">
        <x:v>通用</x:v>
      </x:c>
      <x:c r="J50" s="68" t="str">
        <x:v>温度轴=偏暖且湿度轴=偏燥</x:v>
      </x:c>
      <x:c r="K50" s="68" t="str">
        <x:v>待定</x:v>
      </x:c>
      <x:c r="L50" s="68" t="str">
        <x:v>待定</x:v>
      </x:c>
      <x:c r="M50" s="82" t="str">
        <x:v>偏暖</x:v>
      </x:c>
      <x:c r="N50" s="82" t="str">
        <x:v>偏燥</x:v>
      </x:c>
      <x:c r="O50" s="68" t="str">
        <x:v>热与燥叠加</x:v>
      </x:c>
      <x:c r="P50" s="68" t="str">
        <x:v>水</x:v>
      </x:c>
      <x:c r="Q50" s="68" t="str">
        <x:v>降温润燥</x:v>
      </x:c>
      <x:c r="R50" s="82" t="str">
        <x:v>待定</x:v>
      </x:c>
      <x:c r="S50" s="82" t="str">
        <x:v>待定</x:v>
      </x:c>
      <x:c r="T50" s="82" t="str">
        <x:v>中</x:v>
      </x:c>
      <x:c r="U50" s="82" t="str">
        <x:v>待定</x:v>
      </x:c>
      <x:c r="V50" s="82" t="str">
        <x:v>待定</x:v>
      </x:c>
      <x:c r="W50" s="68" t="str">
        <x:v>M02基础映射、M08五行有效旺衰、M12流通卡点已完成</x:v>
      </x:c>
      <x:c r="X50" s="68" t="str">
        <x:v>月令基准与全局有效五行均已核查</x:v>
      </x:c>
      <x:c r="Y50" s="68" t="str">
        <x:v>相关调候五行有根有源、透达且能真实改善关键气候问题</x:v>
      </x:c>
      <x:c r="Z50" s="68" t="str">
        <x:v>调候五行无根、受强制、被合绊、改性或加入后产生新的寒热燥湿问题</x:v>
      </x:c>
      <x:c r="AA50" s="90" t="str">
        <x:v>不得只凭出生月份或某一五行数量直接下最终调候结论</x:v>
      </x:c>
      <x:c r="AB50" s="68" t="str">
        <x:v>特殊格局、核心格局用神或更高优先级病药约束转M16—M18裁决</x:v>
      </x:c>
      <x:c r="AC50" s="84" t="str">
        <x:v>暖燥_双轴状态</x:v>
      </x:c>
      <x:c r="AD50" s="84" t="str">
        <x:v>暖燥状态识别：温度轴判“偏暖”，湿度轴判“偏燥”；调候候选为“水”，是否成为最终用神仍转M16—M18。</x:v>
      </x:c>
      <x:c r="AE50" s="82" t="str">
        <x:v>较高</x:v>
      </x:c>
      <x:c r="AF50" s="82" t="str">
        <x:v>调候</x:v>
      </x:c>
      <x:c r="AG50" s="68" t="str">
        <x:v>调候以月令气候为起点，但必须结合M08五行有效力量与M12流通状态修正；寒暖与燥湿分轴判断，调候候选不自动等于全局主用神。</x:v>
      </x:c>
      <x:c r="AH50" s="68" t="str">
        <x:v>当“温度轴=偏暖且湿度轴=偏燥”真实成立，且调候机制能改善主要气候问题时，可按“暖燥状态识别”记录。</x:v>
      </x:c>
      <x:c r="AI50" s="90" t="str">
        <x:v>仅见月份或表面五行标签，但未满足“温度轴=偏暖且湿度轴=偏燥”及必要修正条件时，不得套用“暖燥状态识别”。</x:v>
      </x:c>
      <x:c r="AJ50" s="82" t="str">
        <x:v>采用</x:v>
      </x:c>
      <x:c r="AK50" s="82" t="str">
        <x:v>初审</x:v>
      </x:c>
      <x:c r="AL50" s="87" t="n">
        <x:v>46255</x:v>
      </x:c>
    </x:row>
    <x:row r="51">
      <x:c r="A51" s="72" t="str">
        <x:f>IF(OR(C51="",D51=""),"",B51&amp;"-"&amp;UPPER(C51)&amp;"-"&amp;TEXT(D51,"0000")&amp;"-"&amp;E51)</x:f>
        <x:v>M13-COMBO-0045-V1.0</x:v>
      </x:c>
      <x:c r="B51" s="74" t="str">
        <x:v>M13</x:v>
      </x:c>
      <x:c r="C51" s="74" t="str">
        <x:v>COMBO</x:v>
      </x:c>
      <x:c r="D51" s="215" t="n">
        <x:v>45</x:v>
      </x:c>
      <x:c r="E51" s="74" t="str">
        <x:v>V1.0</x:v>
      </x:c>
      <x:c r="F51" s="68" t="str">
        <x:v>极寒湿状态识别</x:v>
      </x:c>
      <x:c r="G51" s="82" t="str">
        <x:v>结构层</x:v>
      </x:c>
      <x:c r="H51" s="82" t="str">
        <x:v>寒暖燥湿综合</x:v>
      </x:c>
      <x:c r="I51" s="68" t="str">
        <x:v>通用</x:v>
      </x:c>
      <x:c r="J51" s="68" t="str">
        <x:v>温度轴=极寒且湿度轴=极湿</x:v>
      </x:c>
      <x:c r="K51" s="68" t="str">
        <x:v>待定</x:v>
      </x:c>
      <x:c r="L51" s="68" t="str">
        <x:v>待定</x:v>
      </x:c>
      <x:c r="M51" s="82" t="str">
        <x:v>极寒</x:v>
      </x:c>
      <x:c r="N51" s="82" t="str">
        <x:v>极湿</x:v>
      </x:c>
      <x:c r="O51" s="68" t="str">
        <x:v>寒湿已明显阻断木火和整体生化</x:v>
      </x:c>
      <x:c r="P51" s="68" t="str">
        <x:v>火</x:v>
      </x:c>
      <x:c r="Q51" s="68" t="str">
        <x:v>优先暖局，必要时木辅助引火疏湿</x:v>
      </x:c>
      <x:c r="R51" s="82" t="str">
        <x:v>待定</x:v>
      </x:c>
      <x:c r="S51" s="82" t="str">
        <x:v>待定</x:v>
      </x:c>
      <x:c r="T51" s="82" t="str">
        <x:v>高</x:v>
      </x:c>
      <x:c r="U51" s="82" t="str">
        <x:v>待定</x:v>
      </x:c>
      <x:c r="V51" s="82" t="str">
        <x:v>待定</x:v>
      </x:c>
      <x:c r="W51" s="68" t="str">
        <x:v>M02基础映射、M08五行有效旺衰、M12流通卡点已完成</x:v>
      </x:c>
      <x:c r="X51" s="68" t="str">
        <x:v>月令基准与全局有效五行均已核查</x:v>
      </x:c>
      <x:c r="Y51" s="68" t="str">
        <x:v>相关调候五行有根有源、透达且能真实改善关键气候问题</x:v>
      </x:c>
      <x:c r="Z51" s="68" t="str">
        <x:v>调候五行无根、受强制、被合绊、改性或加入后产生新的寒热燥湿问题</x:v>
      </x:c>
      <x:c r="AA51" s="90" t="str">
        <x:v>不得只凭出生月份或某一五行数量直接下最终调候结论</x:v>
      </x:c>
      <x:c r="AB51" s="68" t="str">
        <x:v>特殊格局、核心格局用神或更高优先级病药约束转M16—M18裁决</x:v>
      </x:c>
      <x:c r="AC51" s="84" t="str">
        <x:v>极寒湿_双轴状态</x:v>
      </x:c>
      <x:c r="AD51" s="84" t="str">
        <x:v>极寒湿状态识别：温度轴判“极寒”，湿度轴判“极湿”；调候候选为“火”，是否成为最终用神仍转M16—M18。</x:v>
      </x:c>
      <x:c r="AE51" s="82" t="str">
        <x:v>较高</x:v>
      </x:c>
      <x:c r="AF51" s="82" t="str">
        <x:v>调候</x:v>
      </x:c>
      <x:c r="AG51" s="68" t="str">
        <x:v>调候以月令气候为起点，但必须结合M08五行有效力量与M12流通状态修正；寒暖与燥湿分轴判断，调候候选不自动等于全局主用神。</x:v>
      </x:c>
      <x:c r="AH51" s="68" t="str">
        <x:v>当“温度轴=极寒且湿度轴=极湿”真实成立，且调候机制能改善主要气候问题时，可按“极寒湿状态识别”记录。</x:v>
      </x:c>
      <x:c r="AI51" s="90" t="str">
        <x:v>仅见月份或表面五行标签，但未满足“温度轴=极寒且湿度轴=极湿”及必要修正条件时，不得套用“极寒湿状态识别”。</x:v>
      </x:c>
      <x:c r="AJ51" s="82" t="str">
        <x:v>采用</x:v>
      </x:c>
      <x:c r="AK51" s="82" t="str">
        <x:v>初审</x:v>
      </x:c>
      <x:c r="AL51" s="87" t="n">
        <x:v>46255</x:v>
      </x:c>
    </x:row>
    <x:row r="52">
      <x:c r="A52" s="72" t="str">
        <x:f>IF(OR(C52="",D52=""),"",B52&amp;"-"&amp;UPPER(C52)&amp;"-"&amp;TEXT(D52,"0000")&amp;"-"&amp;E52)</x:f>
        <x:v>M13-COMBO-0046-V1.0</x:v>
      </x:c>
      <x:c r="B52" s="74" t="str">
        <x:v>M13</x:v>
      </x:c>
      <x:c r="C52" s="74" t="str">
        <x:v>COMBO</x:v>
      </x:c>
      <x:c r="D52" s="215" t="n">
        <x:v>46</x:v>
      </x:c>
      <x:c r="E52" s="74" t="str">
        <x:v>V1.0</x:v>
      </x:c>
      <x:c r="F52" s="68" t="str">
        <x:v>极热燥状态识别</x:v>
      </x:c>
      <x:c r="G52" s="82" t="str">
        <x:v>结构层</x:v>
      </x:c>
      <x:c r="H52" s="82" t="str">
        <x:v>寒暖燥湿综合</x:v>
      </x:c>
      <x:c r="I52" s="68" t="str">
        <x:v>通用</x:v>
      </x:c>
      <x:c r="J52" s="68" t="str">
        <x:v>温度轴=极热且湿度轴=极燥</x:v>
      </x:c>
      <x:c r="K52" s="68" t="str">
        <x:v>待定</x:v>
      </x:c>
      <x:c r="L52" s="68" t="str">
        <x:v>待定</x:v>
      </x:c>
      <x:c r="M52" s="82" t="str">
        <x:v>极热</x:v>
      </x:c>
      <x:c r="N52" s="82" t="str">
        <x:v>极燥</x:v>
      </x:c>
      <x:c r="O52" s="68" t="str">
        <x:v>热燥已造成水木失养与生化枯竭</x:v>
      </x:c>
      <x:c r="P52" s="68" t="str">
        <x:v>水</x:v>
      </x:c>
      <x:c r="Q52" s="68" t="str">
        <x:v>优先降温润燥</x:v>
      </x:c>
      <x:c r="R52" s="82" t="str">
        <x:v>待定</x:v>
      </x:c>
      <x:c r="S52" s="82" t="str">
        <x:v>待定</x:v>
      </x:c>
      <x:c r="T52" s="82" t="str">
        <x:v>高</x:v>
      </x:c>
      <x:c r="U52" s="82" t="str">
        <x:v>待定</x:v>
      </x:c>
      <x:c r="V52" s="82" t="str">
        <x:v>待定</x:v>
      </x:c>
      <x:c r="W52" s="68" t="str">
        <x:v>M02基础映射、M08五行有效旺衰、M12流通卡点已完成</x:v>
      </x:c>
      <x:c r="X52" s="68" t="str">
        <x:v>月令基准与全局有效五行均已核查</x:v>
      </x:c>
      <x:c r="Y52" s="68" t="str">
        <x:v>相关调候五行有根有源、透达且能真实改善关键气候问题</x:v>
      </x:c>
      <x:c r="Z52" s="68" t="str">
        <x:v>调候五行无根、受强制、被合绊、改性或加入后产生新的寒热燥湿问题</x:v>
      </x:c>
      <x:c r="AA52" s="90" t="str">
        <x:v>不得只凭出生月份或某一五行数量直接下最终调候结论</x:v>
      </x:c>
      <x:c r="AB52" s="68" t="str">
        <x:v>特殊格局、核心格局用神或更高优先级病药约束转M16—M18裁决</x:v>
      </x:c>
      <x:c r="AC52" s="84" t="str">
        <x:v>极热燥_双轴状态</x:v>
      </x:c>
      <x:c r="AD52" s="84" t="str">
        <x:v>极热燥状态识别：温度轴判“极热”，湿度轴判“极燥”；调候候选为“水”，是否成为最终用神仍转M16—M18。</x:v>
      </x:c>
      <x:c r="AE52" s="82" t="str">
        <x:v>较高</x:v>
      </x:c>
      <x:c r="AF52" s="82" t="str">
        <x:v>调候</x:v>
      </x:c>
      <x:c r="AG52" s="68" t="str">
        <x:v>调候以月令气候为起点，但必须结合M08五行有效力量与M12流通状态修正；寒暖与燥湿分轴判断，调候候选不自动等于全局主用神。</x:v>
      </x:c>
      <x:c r="AH52" s="68" t="str">
        <x:v>当“温度轴=极热且湿度轴=极燥”真实成立，且调候机制能改善主要气候问题时，可按“极热燥状态识别”记录。</x:v>
      </x:c>
      <x:c r="AI52" s="90" t="str">
        <x:v>仅见月份或表面五行标签，但未满足“温度轴=极热且湿度轴=极燥”及必要修正条件时，不得套用“极热燥状态识别”。</x:v>
      </x:c>
      <x:c r="AJ52" s="82" t="str">
        <x:v>采用</x:v>
      </x:c>
      <x:c r="AK52" s="82" t="str">
        <x:v>初审</x:v>
      </x:c>
      <x:c r="AL52" s="87" t="n">
        <x:v>46255</x:v>
      </x:c>
    </x:row>
    <x:row r="53">
      <x:c r="A53" s="72" t="str">
        <x:f>IF(OR(C53="",D53=""),"",B53&amp;"-"&amp;UPPER(C53)&amp;"-"&amp;TEXT(D53,"0000")&amp;"-"&amp;E53)</x:f>
        <x:v>M13-COMBO-0047-V1.0</x:v>
      </x:c>
      <x:c r="B53" s="74" t="str">
        <x:v>M13</x:v>
      </x:c>
      <x:c r="C53" s="74" t="str">
        <x:v>COMBO</x:v>
      </x:c>
      <x:c r="D53" s="215" t="n">
        <x:v>47</x:v>
      </x:c>
      <x:c r="E53" s="74" t="str">
        <x:v>V1.0</x:v>
      </x:c>
      <x:c r="F53" s="68" t="str">
        <x:v>寒暖平衡偏湿状态识别</x:v>
      </x:c>
      <x:c r="G53" s="82" t="str">
        <x:v>结构层</x:v>
      </x:c>
      <x:c r="H53" s="82" t="str">
        <x:v>寒暖燥湿综合</x:v>
      </x:c>
      <x:c r="I53" s="68" t="str">
        <x:v>通用</x:v>
      </x:c>
      <x:c r="J53" s="68" t="str">
        <x:v>温度轴=平衡且湿度轴=偏湿</x:v>
      </x:c>
      <x:c r="K53" s="68" t="str">
        <x:v>待定</x:v>
      </x:c>
      <x:c r="L53" s="68" t="str">
        <x:v>待定</x:v>
      </x:c>
      <x:c r="M53" s="82" t="str">
        <x:v>平衡</x:v>
      </x:c>
      <x:c r="N53" s="82" t="str">
        <x:v>偏湿</x:v>
      </x:c>
      <x:c r="O53" s="68" t="str">
        <x:v>温度适中但湿度问题独立存在</x:v>
      </x:c>
      <x:c r="P53" s="68" t="str">
        <x:v>木/火</x:v>
      </x:c>
      <x:c r="Q53" s="68" t="str">
        <x:v>针对湿度而非继续调温</x:v>
      </x:c>
      <x:c r="R53" s="82" t="str">
        <x:v>待定</x:v>
      </x:c>
      <x:c r="S53" s="82" t="str">
        <x:v>待定</x:v>
      </x:c>
      <x:c r="T53" s="82" t="str">
        <x:v>中</x:v>
      </x:c>
      <x:c r="U53" s="82" t="str">
        <x:v>待定</x:v>
      </x:c>
      <x:c r="V53" s="82" t="str">
        <x:v>待定</x:v>
      </x:c>
      <x:c r="W53" s="68" t="str">
        <x:v>M02基础映射、M08五行有效旺衰、M12流通卡点已完成</x:v>
      </x:c>
      <x:c r="X53" s="68" t="str">
        <x:v>月令基准与全局有效五行均已核查</x:v>
      </x:c>
      <x:c r="Y53" s="68" t="str">
        <x:v>相关调候五行有根有源、透达且能真实改善关键气候问题</x:v>
      </x:c>
      <x:c r="Z53" s="68" t="str">
        <x:v>调候五行无根、受强制、被合绊、改性或加入后产生新的寒热燥湿问题</x:v>
      </x:c>
      <x:c r="AA53" s="90" t="str">
        <x:v>不得只凭出生月份或某一五行数量直接下最终调候结论</x:v>
      </x:c>
      <x:c r="AB53" s="68" t="str">
        <x:v>特殊格局、核心格局用神或更高优先级病药约束转M16—M18裁决</x:v>
      </x:c>
      <x:c r="AC53" s="84" t="str">
        <x:v>寒暖平衡偏湿_双轴状态</x:v>
      </x:c>
      <x:c r="AD53" s="84" t="str">
        <x:v>寒暖平衡偏湿状态识别：温度轴判“平衡”，湿度轴判“偏湿”；调候候选为“木/火”，是否成为最终用神仍转M16—M18。</x:v>
      </x:c>
      <x:c r="AE53" s="82" t="str">
        <x:v>较高</x:v>
      </x:c>
      <x:c r="AF53" s="82" t="str">
        <x:v>调候</x:v>
      </x:c>
      <x:c r="AG53" s="68" t="str">
        <x:v>调候以月令气候为起点，但必须结合M08五行有效力量与M12流通状态修正；寒暖与燥湿分轴判断，调候候选不自动等于全局主用神。</x:v>
      </x:c>
      <x:c r="AH53" s="68" t="str">
        <x:v>当“温度轴=平衡且湿度轴=偏湿”真实成立，且调候机制能改善主要气候问题时，可按“寒暖平衡偏湿状态识别”记录。</x:v>
      </x:c>
      <x:c r="AI53" s="90" t="str">
        <x:v>仅见月份或表面五行标签，但未满足“温度轴=平衡且湿度轴=偏湿”及必要修正条件时，不得套用“寒暖平衡偏湿状态识别”。</x:v>
      </x:c>
      <x:c r="AJ53" s="82" t="str">
        <x:v>采用</x:v>
      </x:c>
      <x:c r="AK53" s="82" t="str">
        <x:v>初审</x:v>
      </x:c>
      <x:c r="AL53" s="87" t="n">
        <x:v>46255</x:v>
      </x:c>
    </x:row>
    <x:row r="54">
      <x:c r="A54" s="72" t="str">
        <x:f>IF(OR(C54="",D54=""),"",B54&amp;"-"&amp;UPPER(C54)&amp;"-"&amp;TEXT(D54,"0000")&amp;"-"&amp;E54)</x:f>
        <x:v>M13-COMBO-0048-V1.0</x:v>
      </x:c>
      <x:c r="B54" s="74" t="str">
        <x:v>M13</x:v>
      </x:c>
      <x:c r="C54" s="74" t="str">
        <x:v>COMBO</x:v>
      </x:c>
      <x:c r="D54" s="215" t="n">
        <x:v>48</x:v>
      </x:c>
      <x:c r="E54" s="74" t="str">
        <x:v>V1.0</x:v>
      </x:c>
      <x:c r="F54" s="68" t="str">
        <x:v>寒暖平衡偏燥状态识别</x:v>
      </x:c>
      <x:c r="G54" s="82" t="str">
        <x:v>结构层</x:v>
      </x:c>
      <x:c r="H54" s="82" t="str">
        <x:v>寒暖燥湿综合</x:v>
      </x:c>
      <x:c r="I54" s="68" t="str">
        <x:v>通用</x:v>
      </x:c>
      <x:c r="J54" s="68" t="str">
        <x:v>温度轴=平衡且湿度轴=偏燥</x:v>
      </x:c>
      <x:c r="K54" s="68" t="str">
        <x:v>待定</x:v>
      </x:c>
      <x:c r="L54" s="68" t="str">
        <x:v>待定</x:v>
      </x:c>
      <x:c r="M54" s="82" t="str">
        <x:v>平衡</x:v>
      </x:c>
      <x:c r="N54" s="82" t="str">
        <x:v>偏燥</x:v>
      </x:c>
      <x:c r="O54" s="68" t="str">
        <x:v>温度适中但燥性独立存在</x:v>
      </x:c>
      <x:c r="P54" s="68" t="str">
        <x:v>水</x:v>
      </x:c>
      <x:c r="Q54" s="68" t="str">
        <x:v>只解决润燥，不额外改变温度过多</x:v>
      </x:c>
      <x:c r="R54" s="82" t="str">
        <x:v>待定</x:v>
      </x:c>
      <x:c r="S54" s="82" t="str">
        <x:v>待定</x:v>
      </x:c>
      <x:c r="T54" s="82" t="str">
        <x:v>中</x:v>
      </x:c>
      <x:c r="U54" s="82" t="str">
        <x:v>待定</x:v>
      </x:c>
      <x:c r="V54" s="82" t="str">
        <x:v>待定</x:v>
      </x:c>
      <x:c r="W54" s="68" t="str">
        <x:v>M02基础映射、M08五行有效旺衰、M12流通卡点已完成</x:v>
      </x:c>
      <x:c r="X54" s="68" t="str">
        <x:v>月令基准与全局有效五行均已核查</x:v>
      </x:c>
      <x:c r="Y54" s="68" t="str">
        <x:v>相关调候五行有根有源、透达且能真实改善关键气候问题</x:v>
      </x:c>
      <x:c r="Z54" s="68" t="str">
        <x:v>调候五行无根、受强制、被合绊、改性或加入后产生新的寒热燥湿问题</x:v>
      </x:c>
      <x:c r="AA54" s="90" t="str">
        <x:v>不得只凭出生月份或某一五行数量直接下最终调候结论</x:v>
      </x:c>
      <x:c r="AB54" s="68" t="str">
        <x:v>特殊格局、核心格局用神或更高优先级病药约束转M16—M18裁决</x:v>
      </x:c>
      <x:c r="AC54" s="84" t="str">
        <x:v>寒暖平衡偏燥_双轴状态</x:v>
      </x:c>
      <x:c r="AD54" s="84" t="str">
        <x:v>寒暖平衡偏燥状态识别：温度轴判“平衡”，湿度轴判“偏燥”；调候候选为“水”，是否成为最终用神仍转M16—M18。</x:v>
      </x:c>
      <x:c r="AE54" s="82" t="str">
        <x:v>较高</x:v>
      </x:c>
      <x:c r="AF54" s="82" t="str">
        <x:v>调候</x:v>
      </x:c>
      <x:c r="AG54" s="68" t="str">
        <x:v>调候以月令气候为起点，但必须结合M08五行有效力量与M12流通状态修正；寒暖与燥湿分轴判断，调候候选不自动等于全局主用神。</x:v>
      </x:c>
      <x:c r="AH54" s="68" t="str">
        <x:v>当“温度轴=平衡且湿度轴=偏燥”真实成立，且调候机制能改善主要气候问题时，可按“寒暖平衡偏燥状态识别”记录。</x:v>
      </x:c>
      <x:c r="AI54" s="90" t="str">
        <x:v>仅见月份或表面五行标签，但未满足“温度轴=平衡且湿度轴=偏燥”及必要修正条件时，不得套用“寒暖平衡偏燥状态识别”。</x:v>
      </x:c>
      <x:c r="AJ54" s="82" t="str">
        <x:v>采用</x:v>
      </x:c>
      <x:c r="AK54" s="82" t="str">
        <x:v>初审</x:v>
      </x:c>
      <x:c r="AL54" s="87" t="n">
        <x:v>46255</x:v>
      </x:c>
    </x:row>
    <x:row r="55">
      <x:c r="A55" s="72" t="str">
        <x:f>IF(OR(C55="",D55=""),"",B55&amp;"-"&amp;UPPER(C55)&amp;"-"&amp;TEXT(D55,"0000")&amp;"-"&amp;E55)</x:f>
        <x:v>M13-EFFECT-0049-V1.0</x:v>
      </x:c>
      <x:c r="B55" s="74" t="str">
        <x:v>M13</x:v>
      </x:c>
      <x:c r="C55" s="74" t="str">
        <x:v>EFFECT</x:v>
      </x:c>
      <x:c r="D55" s="215" t="n">
        <x:v>49</x:v>
      </x:c>
      <x:c r="E55" s="74" t="str">
        <x:v>V1.0</x:v>
      </x:c>
      <x:c r="F55" s="68" t="str">
        <x:v>调候五行完全不现只表示原局无现成调候资源</x:v>
      </x:c>
      <x:c r="G55" s="82" t="str">
        <x:v>结构层</x:v>
      </x:c>
      <x:c r="H55" s="82" t="str">
        <x:v>寒暖燥湿综合</x:v>
      </x:c>
      <x:c r="I55" s="68" t="str">
        <x:v>通用</x:v>
      </x:c>
      <x:c r="J55" s="68" t="str">
        <x:v>主要气候问题已成立，但候选调候五行四柱明藏均不现</x:v>
      </x:c>
      <x:c r="K55" s="68" t="str">
        <x:v>待定</x:v>
      </x:c>
      <x:c r="L55" s="68" t="str">
        <x:v>待定</x:v>
      </x:c>
      <x:c r="M55" s="82" t="str">
        <x:v>待定</x:v>
      </x:c>
      <x:c r="N55" s="82" t="str">
        <x:v>待定</x:v>
      </x:c>
      <x:c r="O55" s="68" t="str">
        <x:v>调候资源缺失</x:v>
      </x:c>
      <x:c r="P55" s="68" t="str">
        <x:v>对应调候五行</x:v>
      </x:c>
      <x:c r="Q55" s="68" t="str">
        <x:v>记录缺失而非直接判喜神</x:v>
      </x:c>
      <x:c r="R55" s="82" t="str">
        <x:v>否</x:v>
      </x:c>
      <x:c r="S55" s="82" t="str">
        <x:v>失效</x:v>
      </x:c>
      <x:c r="T55" s="82" t="str">
        <x:v>待定</x:v>
      </x:c>
      <x:c r="U55" s="82" t="str">
        <x:v>待定</x:v>
      </x:c>
      <x:c r="V55" s="82" t="str">
        <x:v>待定</x:v>
      </x:c>
      <x:c r="W55" s="68" t="str">
        <x:v>M02基础映射、M08五行有效旺衰、M12流通卡点已完成</x:v>
      </x:c>
      <x:c r="X55" s="68" t="str">
        <x:v>月令基准与全局有效五行均已核查</x:v>
      </x:c>
      <x:c r="Y55" s="68" t="str">
        <x:v>相关调候五行有根有源、透达且能真实改善关键气候问题</x:v>
      </x:c>
      <x:c r="Z55" s="68" t="str">
        <x:v>调候五行无根、受强制、被合绊、改性或加入后产生新的寒热燥湿问题</x:v>
      </x:c>
      <x:c r="AA55" s="90" t="str">
        <x:v>不得只凭出生月份或某一五行数量直接下最终调候结论</x:v>
      </x:c>
      <x:c r="AB55" s="68" t="str">
        <x:v>特殊格局、核心格局用神或更高优先级病药约束转M16—M18裁决</x:v>
      </x:c>
      <x:c r="AC55" s="84" t="str">
        <x:v>调候五行不现</x:v>
      </x:c>
      <x:c r="AD55" s="84" t="str">
        <x:v>调候五行完全不现只表示原局无现成调候资源：温度轴判“待定”，湿度轴判“待定”；调候候选为“对应调候五行”，是否成为最终用神仍转M16—M18。</x:v>
      </x:c>
      <x:c r="AE55" s="82" t="str">
        <x:v>较高</x:v>
      </x:c>
      <x:c r="AF55" s="82" t="str">
        <x:v>调候</x:v>
      </x:c>
      <x:c r="AG55" s="68" t="str">
        <x:v>调候以月令气候为起点，但必须结合M08五行有效力量与M12流通状态修正；寒暖与燥湿分轴判断，调候候选不自动等于全局主用神。</x:v>
      </x:c>
      <x:c r="AH55" s="68" t="str">
        <x:v>当“主要气候问题已成立，但候选调候五行四柱明藏均不现”真实成立，且调候机制能改善主要气候问题时，可按“调候五行完全不现只表示原局无现成调候资源”记录。</x:v>
      </x:c>
      <x:c r="AI55" s="90" t="str">
        <x:v>仅见月份或表面五行标签，但未满足“主要气候问题已成立，但候选调候五行四柱明藏均不现”及必要修正条件时，不得套用“调候五行完全不现只表示原局无现成调候资源”。</x:v>
      </x:c>
      <x:c r="AJ55" s="82" t="str">
        <x:v>采用</x:v>
      </x:c>
      <x:c r="AK55" s="82" t="str">
        <x:v>初审</x:v>
      </x:c>
      <x:c r="AL55" s="87" t="n">
        <x:v>46255</x:v>
      </x:c>
    </x:row>
    <x:row r="56">
      <x:c r="A56" s="72" t="str">
        <x:f>IF(OR(C56="",D56=""),"",B56&amp;"-"&amp;UPPER(C56)&amp;"-"&amp;TEXT(D56,"0000")&amp;"-"&amp;E56)</x:f>
        <x:v>M13-EFFECT-0050-V1.0</x:v>
      </x:c>
      <x:c r="B56" s="74" t="str">
        <x:v>M13</x:v>
      </x:c>
      <x:c r="C56" s="74" t="str">
        <x:v>EFFECT</x:v>
      </x:c>
      <x:c r="D56" s="215" t="n">
        <x:v>50</x:v>
      </x:c>
      <x:c r="E56" s="74" t="str">
        <x:v>V1.0</x:v>
      </x:c>
      <x:c r="F56" s="68" t="str">
        <x:v>调候五行存在但无根时有效性偏低</x:v>
      </x:c>
      <x:c r="G56" s="82" t="str">
        <x:v>结构层</x:v>
      </x:c>
      <x:c r="H56" s="82" t="str">
        <x:v>寒暖燥湿综合</x:v>
      </x:c>
      <x:c r="I56" s="68" t="str">
        <x:v>通用</x:v>
      </x:c>
      <x:c r="J56" s="68" t="str">
        <x:v>候选调候五行透干或藏支，但M08判无根无源</x:v>
      </x:c>
      <x:c r="K56" s="68" t="str">
        <x:v>待定</x:v>
      </x:c>
      <x:c r="L56" s="68" t="str">
        <x:v>待定</x:v>
      </x:c>
      <x:c r="M56" s="82" t="str">
        <x:v>待定</x:v>
      </x:c>
      <x:c r="N56" s="82" t="str">
        <x:v>待定</x:v>
      </x:c>
      <x:c r="O56" s="68" t="str">
        <x:v>有名义调候资源但持续性不足</x:v>
      </x:c>
      <x:c r="P56" s="68" t="str">
        <x:v>对应调候五行</x:v>
      </x:c>
      <x:c r="Q56" s="68" t="str">
        <x:v>调候能力有限</x:v>
      </x:c>
      <x:c r="R56" s="82" t="str">
        <x:v>是</x:v>
      </x:c>
      <x:c r="S56" s="82" t="str">
        <x:v>受限</x:v>
      </x:c>
      <x:c r="T56" s="82" t="str">
        <x:v>待定</x:v>
      </x:c>
      <x:c r="U56" s="82" t="str">
        <x:v>待定</x:v>
      </x:c>
      <x:c r="V56" s="82" t="str">
        <x:v>待定</x:v>
      </x:c>
      <x:c r="W56" s="68" t="str">
        <x:v>M02基础映射、M08五行有效旺衰、M12流通卡点已完成</x:v>
      </x:c>
      <x:c r="X56" s="68" t="str">
        <x:v>月令基准与全局有效五行均已核查</x:v>
      </x:c>
      <x:c r="Y56" s="68" t="str">
        <x:v>相关调候五行有根有源、透达且能真实改善关键气候问题</x:v>
      </x:c>
      <x:c r="Z56" s="68" t="str">
        <x:v>调候五行无根、受强制、被合绊、改性或加入后产生新的寒热燥湿问题</x:v>
      </x:c>
      <x:c r="AA56" s="90" t="str">
        <x:v>不得只凭出生月份或某一五行数量直接下最终调候结论</x:v>
      </x:c>
      <x:c r="AB56" s="68" t="str">
        <x:v>特殊格局、核心格局用神或更高优先级病药约束转M16—M18裁决</x:v>
      </x:c>
      <x:c r="AC56" s="84" t="str">
        <x:v>调候五行无根</x:v>
      </x:c>
      <x:c r="AD56" s="84" t="str">
        <x:v>调候五行存在但无根时有效性偏低：温度轴判“待定”，湿度轴判“待定”；调候候选为“对应调候五行”，是否成为最终用神仍转M16—M18。</x:v>
      </x:c>
      <x:c r="AE56" s="82" t="str">
        <x:v>较高</x:v>
      </x:c>
      <x:c r="AF56" s="82" t="str">
        <x:v>调候</x:v>
      </x:c>
      <x:c r="AG56" s="68" t="str">
        <x:v>调候以月令气候为起点，但必须结合M08五行有效力量与M12流通状态修正；寒暖与燥湿分轴判断，调候候选不自动等于全局主用神。</x:v>
      </x:c>
      <x:c r="AH56" s="68" t="str">
        <x:v>当“候选调候五行透干或藏支，但M08判无根无源”真实成立，且调候机制能改善主要气候问题时，可按“调候五行存在但无根时有效性偏低”记录。</x:v>
      </x:c>
      <x:c r="AI56" s="90" t="str">
        <x:v>仅见月份或表面五行标签，但未满足“候选调候五行透干或藏支，但M08判无根无源”及必要修正条件时，不得套用“调候五行存在但无根时有效性偏低”。</x:v>
      </x:c>
      <x:c r="AJ56" s="82" t="str">
        <x:v>采用</x:v>
      </x:c>
      <x:c r="AK56" s="82" t="str">
        <x:v>初审</x:v>
      </x:c>
      <x:c r="AL56" s="87" t="n">
        <x:v>46255</x:v>
      </x:c>
    </x:row>
    <x:row r="57">
      <x:c r="A57" s="72" t="str">
        <x:f>IF(OR(C57="",D57=""),"",B57&amp;"-"&amp;UPPER(C57)&amp;"-"&amp;TEXT(D57,"0000")&amp;"-"&amp;E57)</x:f>
        <x:v>M13-EFFECT-0051-V1.0</x:v>
      </x:c>
      <x:c r="B57" s="74" t="str">
        <x:v>M13</x:v>
      </x:c>
      <x:c r="C57" s="74" t="str">
        <x:v>EFFECT</x:v>
      </x:c>
      <x:c r="D57" s="215" t="n">
        <x:v>51</x:v>
      </x:c>
      <x:c r="E57" s="74" t="str">
        <x:v>V1.0</x:v>
      </x:c>
      <x:c r="F57" s="68" t="str">
        <x:v>调候五行有根有源且透达时有效性高</x:v>
      </x:c>
      <x:c r="G57" s="82" t="str">
        <x:v>结构层</x:v>
      </x:c>
      <x:c r="H57" s="82" t="str">
        <x:v>寒暖燥湿综合</x:v>
      </x:c>
      <x:c r="I57" s="68" t="str">
        <x:v>通用</x:v>
      </x:c>
      <x:c r="J57" s="68" t="str">
        <x:v>候选调候五行有有效根、生源并能作用关键气候节点</x:v>
      </x:c>
      <x:c r="K57" s="68" t="str">
        <x:v>待定</x:v>
      </x:c>
      <x:c r="L57" s="68" t="str">
        <x:v>待定</x:v>
      </x:c>
      <x:c r="M57" s="82" t="str">
        <x:v>待定</x:v>
      </x:c>
      <x:c r="N57" s="82" t="str">
        <x:v>待定</x:v>
      </x:c>
      <x:c r="O57" s="68" t="str">
        <x:v>调候资源可稳定发挥</x:v>
      </x:c>
      <x:c r="P57" s="68" t="str">
        <x:v>对应调候五行</x:v>
      </x:c>
      <x:c r="Q57" s="68" t="str">
        <x:v>直接改善气候失衡</x:v>
      </x:c>
      <x:c r="R57" s="82" t="str">
        <x:v>是</x:v>
      </x:c>
      <x:c r="S57" s="82" t="str">
        <x:v>有效</x:v>
      </x:c>
      <x:c r="T57" s="82" t="str">
        <x:v>待定</x:v>
      </x:c>
      <x:c r="U57" s="82" t="str">
        <x:v>待定</x:v>
      </x:c>
      <x:c r="V57" s="82" t="str">
        <x:v>待定</x:v>
      </x:c>
      <x:c r="W57" s="68" t="str">
        <x:v>M02基础映射、M08五行有效旺衰、M12流通卡点已完成</x:v>
      </x:c>
      <x:c r="X57" s="68" t="str">
        <x:v>月令基准与全局有效五行均已核查</x:v>
      </x:c>
      <x:c r="Y57" s="68" t="str">
        <x:v>相关调候五行有根有源、透达且能真实改善关键气候问题</x:v>
      </x:c>
      <x:c r="Z57" s="68" t="str">
        <x:v>调候五行无根、受强制、被合绊、改性或加入后产生新的寒热燥湿问题</x:v>
      </x:c>
      <x:c r="AA57" s="90" t="str">
        <x:v>不得只凭出生月份或某一五行数量直接下最终调候结论</x:v>
      </x:c>
      <x:c r="AB57" s="68" t="str">
        <x:v>特殊格局、核心格局用神或更高优先级病药约束转M16—M18裁决</x:v>
      </x:c>
      <x:c r="AC57" s="84" t="str">
        <x:v>调候五行有效</x:v>
      </x:c>
      <x:c r="AD57" s="84" t="str">
        <x:v>调候五行有根有源且透达时有效性高：温度轴判“待定”，湿度轴判“待定”；调候候选为“对应调候五行”，是否成为最终用神仍转M16—M18。</x:v>
      </x:c>
      <x:c r="AE57" s="82" t="str">
        <x:v>较高</x:v>
      </x:c>
      <x:c r="AF57" s="82" t="str">
        <x:v>调候</x:v>
      </x:c>
      <x:c r="AG57" s="68" t="str">
        <x:v>调候以月令气候为起点，但必须结合M08五行有效力量与M12流通状态修正；寒暖与燥湿分轴判断，调候候选不自动等于全局主用神。</x:v>
      </x:c>
      <x:c r="AH57" s="68" t="str">
        <x:v>当“候选调候五行有有效根、生源并能作用关键气候节点”真实成立，且调候机制能改善主要气候问题时，可按“调候五行有根有源且透达时有效性高”记录。</x:v>
      </x:c>
      <x:c r="AI57" s="90" t="str">
        <x:v>仅见月份或表面五行标签，但未满足“候选调候五行有有效根、生源并能作用关键气候节点”及必要修正条件时，不得套用“调候五行有根有源且透达时有效性高”。</x:v>
      </x:c>
      <x:c r="AJ57" s="82" t="str">
        <x:v>采用</x:v>
      </x:c>
      <x:c r="AK57" s="82" t="str">
        <x:v>初审</x:v>
      </x:c>
      <x:c r="AL57" s="87" t="n">
        <x:v>46255</x:v>
      </x:c>
    </x:row>
    <x:row r="58">
      <x:c r="A58" s="72" t="str">
        <x:f>IF(OR(C58="",D58=""),"",B58&amp;"-"&amp;UPPER(C58)&amp;"-"&amp;TEXT(D58,"0000")&amp;"-"&amp;E58)</x:f>
        <x:v>M13-EFFECT-0052-V1.0</x:v>
      </x:c>
      <x:c r="B58" s="74" t="str">
        <x:v>M13</x:v>
      </x:c>
      <x:c r="C58" s="74" t="str">
        <x:v>EFFECT</x:v>
      </x:c>
      <x:c r="D58" s="215" t="n">
        <x:v>52</x:v>
      </x:c>
      <x:c r="E58" s="74" t="str">
        <x:v>V1.0</x:v>
      </x:c>
      <x:c r="F58" s="68" t="str">
        <x:v>调候五行被强克时需降低有效性</x:v>
      </x:c>
      <x:c r="G58" s="82" t="str">
        <x:v>结构层</x:v>
      </x:c>
      <x:c r="H58" s="82" t="str">
        <x:v>寒暖燥湿综合</x:v>
      </x:c>
      <x:c r="I58" s="68" t="str">
        <x:v>通用</x:v>
      </x:c>
      <x:c r="J58" s="68" t="str">
        <x:v>候选调候五行虽存在，但受到更强五行直接有效克制</x:v>
      </x:c>
      <x:c r="K58" s="68" t="str">
        <x:v>待定</x:v>
      </x:c>
      <x:c r="L58" s="68" t="str">
        <x:v>待定</x:v>
      </x:c>
      <x:c r="M58" s="82" t="str">
        <x:v>待定</x:v>
      </x:c>
      <x:c r="N58" s="82" t="str">
        <x:v>待定</x:v>
      </x:c>
      <x:c r="O58" s="68" t="str">
        <x:v>调候功能被压制</x:v>
      </x:c>
      <x:c r="P58" s="68" t="str">
        <x:v>对应调候五行</x:v>
      </x:c>
      <x:c r="Q58" s="68" t="str">
        <x:v>需先解除强制或增强根源</x:v>
      </x:c>
      <x:c r="R58" s="82" t="str">
        <x:v>是</x:v>
      </x:c>
      <x:c r="S58" s="82" t="str">
        <x:v>受限</x:v>
      </x:c>
      <x:c r="T58" s="82" t="str">
        <x:v>待定</x:v>
      </x:c>
      <x:c r="U58" s="82" t="str">
        <x:v>待定</x:v>
      </x:c>
      <x:c r="V58" s="82" t="str">
        <x:v>待定</x:v>
      </x:c>
      <x:c r="W58" s="68" t="str">
        <x:v>M02基础映射、M08五行有效旺衰、M12流通卡点已完成</x:v>
      </x:c>
      <x:c r="X58" s="68" t="str">
        <x:v>月令基准与全局有效五行均已核查</x:v>
      </x:c>
      <x:c r="Y58" s="68" t="str">
        <x:v>相关调候五行有根有源、透达且能真实改善关键气候问题</x:v>
      </x:c>
      <x:c r="Z58" s="68" t="str">
        <x:v>调候五行无根、受强制、被合绊、改性或加入后产生新的寒热燥湿问题</x:v>
      </x:c>
      <x:c r="AA58" s="90" t="str">
        <x:v>不得只凭出生月份或某一五行数量直接下最终调候结论</x:v>
      </x:c>
      <x:c r="AB58" s="68" t="str">
        <x:v>特殊格局、核心格局用神或更高优先级病药约束转M16—M18裁决</x:v>
      </x:c>
      <x:c r="AC58" s="84" t="str">
        <x:v>调候五行受克</x:v>
      </x:c>
      <x:c r="AD58" s="84" t="str">
        <x:v>调候五行被强克时需降低有效性：温度轴判“待定”，湿度轴判“待定”；调候候选为“对应调候五行”，是否成为最终用神仍转M16—M18。</x:v>
      </x:c>
      <x:c r="AE58" s="82" t="str">
        <x:v>较高</x:v>
      </x:c>
      <x:c r="AF58" s="82" t="str">
        <x:v>调候</x:v>
      </x:c>
      <x:c r="AG58" s="68" t="str">
        <x:v>调候以月令气候为起点，但必须结合M08五行有效力量与M12流通状态修正；寒暖与燥湿分轴判断，调候候选不自动等于全局主用神。</x:v>
      </x:c>
      <x:c r="AH58" s="68" t="str">
        <x:v>当“候选调候五行虽存在，但受到更强五行直接有效克制”真实成立，且调候机制能改善主要气候问题时，可按“调候五行被强克时需降低有效性”记录。</x:v>
      </x:c>
      <x:c r="AI58" s="90" t="str">
        <x:v>仅见月份或表面五行标签，但未满足“候选调候五行虽存在，但受到更强五行直接有效克制”及必要修正条件时，不得套用“调候五行被强克时需降低有效性”。</x:v>
      </x:c>
      <x:c r="AJ58" s="82" t="str">
        <x:v>采用</x:v>
      </x:c>
      <x:c r="AK58" s="82" t="str">
        <x:v>初审</x:v>
      </x:c>
      <x:c r="AL58" s="87" t="n">
        <x:v>46255</x:v>
      </x:c>
    </x:row>
    <x:row r="59">
      <x:c r="A59" s="72" t="str">
        <x:f>IF(OR(C59="",D59=""),"",B59&amp;"-"&amp;UPPER(C59)&amp;"-"&amp;TEXT(D59,"0000")&amp;"-"&amp;E59)</x:f>
        <x:v>M13-EFFECT-0053-V1.0</x:v>
      </x:c>
      <x:c r="B59" s="74" t="str">
        <x:v>M13</x:v>
      </x:c>
      <x:c r="C59" s="74" t="str">
        <x:v>EFFECT</x:v>
      </x:c>
      <x:c r="D59" s="215" t="n">
        <x:v>53</x:v>
      </x:c>
      <x:c r="E59" s="74" t="str">
        <x:v>V1.0</x:v>
      </x:c>
      <x:c r="F59" s="68" t="str">
        <x:v>调候五行被合绊时功能受限但不等于消失</x:v>
      </x:c>
      <x:c r="G59" s="82" t="str">
        <x:v>结构层</x:v>
      </x:c>
      <x:c r="H59" s="82" t="str">
        <x:v>寒暖燥湿综合</x:v>
      </x:c>
      <x:c r="I59" s="68" t="str">
        <x:v>通用</x:v>
      </x:c>
      <x:c r="J59" s="68" t="str">
        <x:v>候选调候五行被合绊，M06未判实质合化消失</x:v>
      </x:c>
      <x:c r="K59" s="68" t="str">
        <x:v>待定</x:v>
      </x:c>
      <x:c r="L59" s="68" t="str">
        <x:v>待定</x:v>
      </x:c>
      <x:c r="M59" s="82" t="str">
        <x:v>待定</x:v>
      </x:c>
      <x:c r="N59" s="82" t="str">
        <x:v>待定</x:v>
      </x:c>
      <x:c r="O59" s="68" t="str">
        <x:v>调候资源被牵制</x:v>
      </x:c>
      <x:c r="P59" s="68" t="str">
        <x:v>对应调候五行</x:v>
      </x:c>
      <x:c r="Q59" s="68" t="str">
        <x:v>仍可有限调候</x:v>
      </x:c>
      <x:c r="R59" s="82" t="str">
        <x:v>是</x:v>
      </x:c>
      <x:c r="S59" s="82" t="str">
        <x:v>受限</x:v>
      </x:c>
      <x:c r="T59" s="82" t="str">
        <x:v>待定</x:v>
      </x:c>
      <x:c r="U59" s="82" t="str">
        <x:v>待定</x:v>
      </x:c>
      <x:c r="V59" s="82" t="str">
        <x:v>待定</x:v>
      </x:c>
      <x:c r="W59" s="68" t="str">
        <x:v>M02基础映射、M08五行有效旺衰、M12流通卡点已完成</x:v>
      </x:c>
      <x:c r="X59" s="68" t="str">
        <x:v>月令基准与全局有效五行均已核查</x:v>
      </x:c>
      <x:c r="Y59" s="68" t="str">
        <x:v>相关调候五行有根有源、透达且能真实改善关键气候问题</x:v>
      </x:c>
      <x:c r="Z59" s="68" t="str">
        <x:v>调候五行无根、受强制、被合绊、改性或加入后产生新的寒热燥湿问题</x:v>
      </x:c>
      <x:c r="AA59" s="90" t="str">
        <x:v>不得只凭出生月份或某一五行数量直接下最终调候结论</x:v>
      </x:c>
      <x:c r="AB59" s="68" t="str">
        <x:v>特殊格局、核心格局用神或更高优先级病药约束转M16—M18裁决</x:v>
      </x:c>
      <x:c r="AC59" s="84" t="str">
        <x:v>调候五行合绊</x:v>
      </x:c>
      <x:c r="AD59" s="84" t="str">
        <x:v>调候五行被合绊时功能受限但不等于消失：温度轴判“待定”，湿度轴判“待定”；调候候选为“对应调候五行”，是否成为最终用神仍转M16—M18。</x:v>
      </x:c>
      <x:c r="AE59" s="82" t="str">
        <x:v>较高</x:v>
      </x:c>
      <x:c r="AF59" s="82" t="str">
        <x:v>调候</x:v>
      </x:c>
      <x:c r="AG59" s="68" t="str">
        <x:v>调候以月令气候为起点，但必须结合M08五行有效力量与M12流通状态修正；寒暖与燥湿分轴判断，调候候选不自动等于全局主用神。</x:v>
      </x:c>
      <x:c r="AH59" s="68" t="str">
        <x:v>当“候选调候五行被合绊，M06未判实质合化消失”真实成立，且调候机制能改善主要气候问题时，可按“调候五行被合绊时功能受限但不等于消失”记录。</x:v>
      </x:c>
      <x:c r="AI59" s="90" t="str">
        <x:v>仅见月份或表面五行标签，但未满足“候选调候五行被合绊，M06未判实质合化消失”及必要修正条件时，不得套用“调候五行被合绊时功能受限但不等于消失”。</x:v>
      </x:c>
      <x:c r="AJ59" s="82" t="str">
        <x:v>采用</x:v>
      </x:c>
      <x:c r="AK59" s="82" t="str">
        <x:v>初审</x:v>
      </x:c>
      <x:c r="AL59" s="87" t="n">
        <x:v>46255</x:v>
      </x:c>
    </x:row>
    <x:row r="60">
      <x:c r="A60" s="72" t="str">
        <x:f>IF(OR(C60="",D60=""),"",B60&amp;"-"&amp;UPPER(C60)&amp;"-"&amp;TEXT(D60,"0000")&amp;"-"&amp;E60)</x:f>
        <x:v>M13-EFFECT-0054-V1.0</x:v>
      </x:c>
      <x:c r="B60" s="74" t="str">
        <x:v>M13</x:v>
      </x:c>
      <x:c r="C60" s="74" t="str">
        <x:v>EFFECT</x:v>
      </x:c>
      <x:c r="D60" s="215" t="n">
        <x:v>54</x:v>
      </x:c>
      <x:c r="E60" s="74" t="str">
        <x:v>V1.0</x:v>
      </x:c>
      <x:c r="F60" s="68" t="str">
        <x:v>调候五行实质合化后必须按新五行重判</x:v>
      </x:c>
      <x:c r="G60" s="82" t="str">
        <x:v>结构层</x:v>
      </x:c>
      <x:c r="H60" s="82" t="str">
        <x:v>寒暖燥湿综合</x:v>
      </x:c>
      <x:c r="I60" s="68" t="str">
        <x:v>通用</x:v>
      </x:c>
      <x:c r="J60" s="68" t="str">
        <x:v>候选调候五行经M06确认实质合化或会局改性</x:v>
      </x:c>
      <x:c r="K60" s="68" t="str">
        <x:v>待定</x:v>
      </x:c>
      <x:c r="L60" s="68" t="str">
        <x:v>待定</x:v>
      </x:c>
      <x:c r="M60" s="82" t="str">
        <x:v>待定</x:v>
      </x:c>
      <x:c r="N60" s="82" t="str">
        <x:v>待定</x:v>
      </x:c>
      <x:c r="O60" s="68" t="str">
        <x:v>原调候属性发生变化</x:v>
      </x:c>
      <x:c r="P60" s="68" t="str">
        <x:v>按化神重算</x:v>
      </x:c>
      <x:c r="Q60" s="68" t="str">
        <x:v>重建寒暖燥湿修正</x:v>
      </x:c>
      <x:c r="R60" s="82" t="str">
        <x:v>条件性</x:v>
      </x:c>
      <x:c r="S60" s="82" t="str">
        <x:v>待定</x:v>
      </x:c>
      <x:c r="T60" s="82" t="str">
        <x:v>待定</x:v>
      </x:c>
      <x:c r="U60" s="82" t="str">
        <x:v>待定</x:v>
      </x:c>
      <x:c r="V60" s="82" t="str">
        <x:v>待定</x:v>
      </x:c>
      <x:c r="W60" s="68" t="str">
        <x:v>M02基础映射、M08五行有效旺衰、M12流通卡点已完成</x:v>
      </x:c>
      <x:c r="X60" s="68" t="str">
        <x:v>月令基准与全局有效五行均已核查</x:v>
      </x:c>
      <x:c r="Y60" s="68" t="str">
        <x:v>相关调候五行有根有源、透达且能真实改善关键气候问题</x:v>
      </x:c>
      <x:c r="Z60" s="68" t="str">
        <x:v>调候五行无根、受强制、被合绊、改性或加入后产生新的寒热燥湿问题</x:v>
      </x:c>
      <x:c r="AA60" s="90" t="str">
        <x:v>不得只凭出生月份或某一五行数量直接下最终调候结论</x:v>
      </x:c>
      <x:c r="AB60" s="68" t="str">
        <x:v>特殊格局、核心格局用神或更高优先级病药约束转M16—M18裁决</x:v>
      </x:c>
      <x:c r="AC60" s="84" t="str">
        <x:v>调候五行改性</x:v>
      </x:c>
      <x:c r="AD60" s="84" t="str">
        <x:v>调候五行实质合化后必须按新五行重判：温度轴判“待定”，湿度轴判“待定”；调候候选为“按化神重算”，是否成为最终用神仍转M16—M18。</x:v>
      </x:c>
      <x:c r="AE60" s="82" t="str">
        <x:v>较高</x:v>
      </x:c>
      <x:c r="AF60" s="82" t="str">
        <x:v>调候</x:v>
      </x:c>
      <x:c r="AG60" s="68" t="str">
        <x:v>调候以月令气候为起点，但必须结合M08五行有效力量与M12流通状态修正；寒暖与燥湿分轴判断，调候候选不自动等于全局主用神。</x:v>
      </x:c>
      <x:c r="AH60" s="68" t="str">
        <x:v>当“候选调候五行经M06确认实质合化或会局改性”真实成立，且调候机制能改善主要气候问题时，可按“调候五行实质合化后必须按新五行重判”记录。</x:v>
      </x:c>
      <x:c r="AI60" s="90" t="str">
        <x:v>仅见月份或表面五行标签，但未满足“候选调候五行经M06确认实质合化或会局改性”及必要修正条件时，不得套用“调候五行实质合化后必须按新五行重判”。</x:v>
      </x:c>
      <x:c r="AJ60" s="82" t="str">
        <x:v>采用</x:v>
      </x:c>
      <x:c r="AK60" s="82" t="str">
        <x:v>初审</x:v>
      </x:c>
      <x:c r="AL60" s="87" t="n">
        <x:v>46255</x:v>
      </x:c>
    </x:row>
    <x:row r="61">
      <x:c r="A61" s="72" t="str">
        <x:f>IF(OR(C61="",D61=""),"",B61&amp;"-"&amp;UPPER(C61)&amp;"-"&amp;TEXT(D61,"0000")&amp;"-"&amp;E61)</x:f>
        <x:v>M13-EFFECT-0055-V1.0</x:v>
      </x:c>
      <x:c r="B61" s="74" t="str">
        <x:v>M13</x:v>
      </x:c>
      <x:c r="C61" s="74" t="str">
        <x:v>EFFECT</x:v>
      </x:c>
      <x:c r="D61" s="215" t="n">
        <x:v>55</x:v>
      </x:c>
      <x:c r="E61" s="74" t="str">
        <x:v>V1.0</x:v>
      </x:c>
      <x:c r="F61" s="68" t="str">
        <x:v>调候五行过强可制造反向气候新病</x:v>
      </x:c>
      <x:c r="G61" s="82" t="str">
        <x:v>结构层</x:v>
      </x:c>
      <x:c r="H61" s="82" t="str">
        <x:v>寒暖燥湿综合</x:v>
      </x:c>
      <x:c r="I61" s="68" t="str">
        <x:v>通用</x:v>
      </x:c>
      <x:c r="J61" s="68" t="str">
        <x:v>候选调候五行加入后达到旺极旺并使原问题跨越平衡点</x:v>
      </x:c>
      <x:c r="K61" s="68" t="str">
        <x:v>待定</x:v>
      </x:c>
      <x:c r="L61" s="68" t="str">
        <x:v>待定</x:v>
      </x:c>
      <x:c r="M61" s="82" t="str">
        <x:v>待定</x:v>
      </x:c>
      <x:c r="N61" s="82" t="str">
        <x:v>待定</x:v>
      </x:c>
      <x:c r="O61" s="68" t="str">
        <x:v>药过量转成新寒热燥湿病</x:v>
      </x:c>
      <x:c r="P61" s="68" t="str">
        <x:v>原调候五行</x:v>
      </x:c>
      <x:c r="Q61" s="68" t="str">
        <x:v>降低使用优先级或改为条件性</x:v>
      </x:c>
      <x:c r="R61" s="82" t="str">
        <x:v>是</x:v>
      </x:c>
      <x:c r="S61" s="82" t="str">
        <x:v>过度</x:v>
      </x:c>
      <x:c r="T61" s="82" t="str">
        <x:v>待定</x:v>
      </x:c>
      <x:c r="U61" s="82" t="str">
        <x:v>待定</x:v>
      </x:c>
      <x:c r="V61" s="82" t="str">
        <x:v>待定</x:v>
      </x:c>
      <x:c r="W61" s="68" t="str">
        <x:v>M02基础映射、M08五行有效旺衰、M12流通卡点已完成</x:v>
      </x:c>
      <x:c r="X61" s="68" t="str">
        <x:v>月令基准与全局有效五行均已核查</x:v>
      </x:c>
      <x:c r="Y61" s="68" t="str">
        <x:v>相关调候五行有根有源、透达且能真实改善关键气候问题</x:v>
      </x:c>
      <x:c r="Z61" s="68" t="str">
        <x:v>调候五行无根、受强制、被合绊、改性或加入后产生新的寒热燥湿问题</x:v>
      </x:c>
      <x:c r="AA61" s="90" t="str">
        <x:v>不得只凭出生月份或某一五行数量直接下最终调候结论</x:v>
      </x:c>
      <x:c r="AB61" s="68" t="str">
        <x:v>特殊格局、核心格局用神或更高优先级病药约束转M16—M18裁决</x:v>
      </x:c>
      <x:c r="AC61" s="84" t="str">
        <x:v>调候过度</x:v>
      </x:c>
      <x:c r="AD61" s="84" t="str">
        <x:v>调候五行过强可制造反向气候新病：温度轴判“待定”，湿度轴判“待定”；调候候选为“原调候五行”，是否成为最终用神仍转M16—M18。</x:v>
      </x:c>
      <x:c r="AE61" s="82" t="str">
        <x:v>较高</x:v>
      </x:c>
      <x:c r="AF61" s="82" t="str">
        <x:v>调候</x:v>
      </x:c>
      <x:c r="AG61" s="68" t="str">
        <x:v>调候以月令气候为起点，但必须结合M08五行有效力量与M12流通状态修正；寒暖与燥湿分轴判断，调候候选不自动等于全局主用神。</x:v>
      </x:c>
      <x:c r="AH61" s="68" t="str">
        <x:v>当“候选调候五行加入后达到旺极旺并使原问题跨越平衡点”真实成立，且调候机制能改善主要气候问题时，可按“调候五行过强可制造反向气候新病”记录。</x:v>
      </x:c>
      <x:c r="AI61" s="90" t="str">
        <x:v>仅见月份或表面五行标签，但未满足“候选调候五行加入后达到旺极旺并使原问题跨越平衡点”及必要修正条件时，不得套用“调候五行过强可制造反向气候新病”。</x:v>
      </x:c>
      <x:c r="AJ61" s="82" t="str">
        <x:v>采用</x:v>
      </x:c>
      <x:c r="AK61" s="82" t="str">
        <x:v>初审</x:v>
      </x:c>
      <x:c r="AL61" s="87" t="n">
        <x:v>46255</x:v>
      </x:c>
    </x:row>
    <x:row r="62">
      <x:c r="A62" s="72" t="str">
        <x:f>IF(OR(C62="",D62=""),"",B62&amp;"-"&amp;UPPER(C62)&amp;"-"&amp;TEXT(D62,"0000")&amp;"-"&amp;E62)</x:f>
        <x:v>M13-EFFECT-0056-V1.0</x:v>
      </x:c>
      <x:c r="B62" s="74" t="str">
        <x:v>M13</x:v>
      </x:c>
      <x:c r="C62" s="74" t="str">
        <x:v>EFFECT</x:v>
      </x:c>
      <x:c r="D62" s="215" t="n">
        <x:v>56</x:v>
      </x:c>
      <x:c r="E62" s="74" t="str">
        <x:v>V1.0</x:v>
      </x:c>
      <x:c r="F62" s="68" t="str">
        <x:v>调候元素必须作用于关键卡点才算功能有效</x:v>
      </x:c>
      <x:c r="G62" s="82" t="str">
        <x:v>结构层</x:v>
      </x:c>
      <x:c r="H62" s="82" t="str">
        <x:v>寒暖燥湿综合</x:v>
      </x:c>
      <x:c r="I62" s="68" t="str">
        <x:v>通用</x:v>
      </x:c>
      <x:c r="J62" s="68" t="str">
        <x:v>候选五行虽能理论上暖、润、燥湿，但无法进入M12主卡点或主要生化路径</x:v>
      </x:c>
      <x:c r="K62" s="68" t="str">
        <x:v>待定</x:v>
      </x:c>
      <x:c r="L62" s="68" t="str">
        <x:v>待定</x:v>
      </x:c>
      <x:c r="M62" s="82" t="str">
        <x:v>待定</x:v>
      </x:c>
      <x:c r="N62" s="82" t="str">
        <x:v>待定</x:v>
      </x:c>
      <x:c r="O62" s="68" t="str">
        <x:v>理论调候与实际路径脱节</x:v>
      </x:c>
      <x:c r="P62" s="68" t="str">
        <x:v>候选五行</x:v>
      </x:c>
      <x:c r="Q62" s="68" t="str">
        <x:v>不能有效触达病位</x:v>
      </x:c>
      <x:c r="R62" s="82" t="str">
        <x:v>是</x:v>
      </x:c>
      <x:c r="S62" s="82" t="str">
        <x:v>受限</x:v>
      </x:c>
      <x:c r="T62" s="82" t="str">
        <x:v>待定</x:v>
      </x:c>
      <x:c r="U62" s="82" t="str">
        <x:v>待定</x:v>
      </x:c>
      <x:c r="V62" s="82" t="str">
        <x:v>待定</x:v>
      </x:c>
      <x:c r="W62" s="68" t="str">
        <x:v>M02基础映射、M08五行有效旺衰、M12流通卡点已完成</x:v>
      </x:c>
      <x:c r="X62" s="68" t="str">
        <x:v>月令基准与全局有效五行均已核查</x:v>
      </x:c>
      <x:c r="Y62" s="68" t="str">
        <x:v>相关调候五行有根有源、透达且能真实改善关键气候问题</x:v>
      </x:c>
      <x:c r="Z62" s="68" t="str">
        <x:v>调候五行无根、受强制、被合绊、改性或加入后产生新的寒热燥湿问题</x:v>
      </x:c>
      <x:c r="AA62" s="90" t="str">
        <x:v>不得只凭出生月份或某一五行数量直接下最终调候结论</x:v>
      </x:c>
      <x:c r="AB62" s="68" t="str">
        <x:v>特殊格局、核心格局用神或更高优先级病药约束转M16—M18裁决</x:v>
      </x:c>
      <x:c r="AC62" s="84" t="str">
        <x:v>调候作用路径要求</x:v>
      </x:c>
      <x:c r="AD62" s="84" t="str">
        <x:v>调候元素必须作用于关键卡点才算功能有效：温度轴判“待定”，湿度轴判“待定”；调候候选为“候选五行”，是否成为最终用神仍转M16—M18。</x:v>
      </x:c>
      <x:c r="AE62" s="82" t="str">
        <x:v>较高</x:v>
      </x:c>
      <x:c r="AF62" s="82" t="str">
        <x:v>调候</x:v>
      </x:c>
      <x:c r="AG62" s="68" t="str">
        <x:v>调候以月令气候为起点，但必须结合M08五行有效力量与M12流通状态修正；寒暖与燥湿分轴判断，调候候选不自动等于全局主用神。</x:v>
      </x:c>
      <x:c r="AH62" s="68" t="str">
        <x:v>当“候选五行虽能理论上暖、润、燥湿，但无法进入M12主卡点或主要生化路径”真实成立，且调候机制能改善主要气候问题时，可按“调候元素必须作用于关键卡点才算功能有效”记录。</x:v>
      </x:c>
      <x:c r="AI62" s="90" t="str">
        <x:v>仅见月份或表面五行标签，但未满足“候选五行虽能理论上暖、润、燥湿，但无法进入M12主卡点或主要生化路径”及必要修正条件时，不得套用“调候元素必须作用于关键卡点才算功能有效”。</x:v>
      </x:c>
      <x:c r="AJ62" s="82" t="str">
        <x:v>采用</x:v>
      </x:c>
      <x:c r="AK62" s="82" t="str">
        <x:v>初审</x:v>
      </x:c>
      <x:c r="AL62" s="87" t="n">
        <x:v>46255</x:v>
      </x:c>
    </x:row>
    <x:row r="63">
      <x:c r="A63" s="72" t="str">
        <x:f>IF(OR(C63="",D63=""),"",B63&amp;"-"&amp;UPPER(C63)&amp;"-"&amp;TEXT(D63,"0000")&amp;"-"&amp;E63)</x:f>
        <x:v>M13-CONFLICT-0057-V1.0</x:v>
      </x:c>
      <x:c r="B63" s="74" t="str">
        <x:v>M13</x:v>
      </x:c>
      <x:c r="C63" s="74" t="str">
        <x:v>CONFLICT</x:v>
      </x:c>
      <x:c r="D63" s="215" t="n">
        <x:v>57</x:v>
      </x:c>
      <x:c r="E63" s="74" t="str">
        <x:v>V1.0</x:v>
      </x:c>
      <x:c r="F63" s="68" t="str">
        <x:v>调候候选与扶抑方向一致时优先级提高</x:v>
      </x:c>
      <x:c r="G63" s="82" t="str">
        <x:v>结构层</x:v>
      </x:c>
      <x:c r="H63" s="82" t="str">
        <x:v>寒暖燥湿综合</x:v>
      </x:c>
      <x:c r="I63" s="68" t="str">
        <x:v>通用</x:v>
      </x:c>
      <x:c r="J63" s="68" t="str">
        <x:v>同一五行既能改善寒暖燥湿，又能改善M09日主或全局旺衰失衡</x:v>
      </x:c>
      <x:c r="K63" s="68" t="str">
        <x:v>待定</x:v>
      </x:c>
      <x:c r="L63" s="68" t="str">
        <x:v>待定</x:v>
      </x:c>
      <x:c r="M63" s="82" t="str">
        <x:v>待定</x:v>
      </x:c>
      <x:c r="N63" s="82" t="str">
        <x:v>待定</x:v>
      </x:c>
      <x:c r="O63" s="68" t="str">
        <x:v>两种需求同向</x:v>
      </x:c>
      <x:c r="P63" s="68" t="str">
        <x:v>同一五行</x:v>
      </x:c>
      <x:c r="Q63" s="68" t="str">
        <x:v>一药多效</x:v>
      </x:c>
      <x:c r="R63" s="82" t="str">
        <x:v>待定</x:v>
      </x:c>
      <x:c r="S63" s="82" t="str">
        <x:v>待定</x:v>
      </x:c>
      <x:c r="T63" s="82" t="str">
        <x:v>高</x:v>
      </x:c>
      <x:c r="U63" s="82" t="str">
        <x:v>否</x:v>
      </x:c>
      <x:c r="V63" s="82" t="str">
        <x:v>待定</x:v>
      </x:c>
      <x:c r="W63" s="68" t="str">
        <x:v>M02基础映射、M08五行有效旺衰、M12流通卡点已完成</x:v>
      </x:c>
      <x:c r="X63" s="68" t="str">
        <x:v>月令基准与全局有效五行均已核查</x:v>
      </x:c>
      <x:c r="Y63" s="68" t="str">
        <x:v>相关调候五行有根有源、透达且能真实改善关键气候问题</x:v>
      </x:c>
      <x:c r="Z63" s="68" t="str">
        <x:v>调候五行无根、受强制、被合绊、改性或加入后产生新的寒热燥湿问题</x:v>
      </x:c>
      <x:c r="AA63" s="90" t="str">
        <x:v>不得只凭出生月份或某一五行数量直接下最终调候结论</x:v>
      </x:c>
      <x:c r="AB63" s="68" t="str">
        <x:v>特殊格局、核心格局用神或更高优先级病药约束转M16—M18裁决</x:v>
      </x:c>
      <x:c r="AC63" s="84" t="str">
        <x:v>调候扶抑一致</x:v>
      </x:c>
      <x:c r="AD63" s="84" t="str">
        <x:v>调候候选与扶抑方向一致时优先级提高：温度轴判“待定”，湿度轴判“待定”；调候候选为“同一五行”，是否成为最终用神仍转M16—M18。</x:v>
      </x:c>
      <x:c r="AE63" s="82" t="str">
        <x:v>较高</x:v>
      </x:c>
      <x:c r="AF63" s="82" t="str">
        <x:v>调候</x:v>
      </x:c>
      <x:c r="AG63" s="68" t="str">
        <x:v>调候以月令气候为起点，但必须结合M08五行有效力量与M12流通状态修正；寒暖与燥湿分轴判断，调候候选不自动等于全局主用神。</x:v>
      </x:c>
      <x:c r="AH63" s="68" t="str">
        <x:v>当“同一五行既能改善寒暖燥湿，又能改善M09日主或全局旺衰失衡”真实成立，且调候机制能改善主要气候问题时，可按“调候候选与扶抑方向一致时优先级提高”记录。</x:v>
      </x:c>
      <x:c r="AI63" s="90" t="str">
        <x:v>仅见月份或表面五行标签，但未满足“同一五行既能改善寒暖燥湿，又能改善M09日主或全局旺衰失衡”及必要修正条件时，不得套用“调候候选与扶抑方向一致时优先级提高”。</x:v>
      </x:c>
      <x:c r="AJ63" s="82" t="str">
        <x:v>采用</x:v>
      </x:c>
      <x:c r="AK63" s="82" t="str">
        <x:v>初审</x:v>
      </x:c>
      <x:c r="AL63" s="87" t="n">
        <x:v>46255</x:v>
      </x:c>
    </x:row>
    <x:row r="64">
      <x:c r="A64" s="72" t="str">
        <x:f>IF(OR(C64="",D64=""),"",B64&amp;"-"&amp;UPPER(C64)&amp;"-"&amp;TEXT(D64,"0000")&amp;"-"&amp;E64)</x:f>
        <x:v>M13-CONFLICT-0058-V1.0</x:v>
      </x:c>
      <x:c r="B64" s="74" t="str">
        <x:v>M13</x:v>
      </x:c>
      <x:c r="C64" s="74" t="str">
        <x:v>CONFLICT</x:v>
      </x:c>
      <x:c r="D64" s="215" t="n">
        <x:v>58</x:v>
      </x:c>
      <x:c r="E64" s="74" t="str">
        <x:v>V1.0</x:v>
      </x:c>
      <x:c r="F64" s="68" t="str">
        <x:v>调候候选与扶抑方向冲突时必须条件化</x:v>
      </x:c>
      <x:c r="G64" s="82" t="str">
        <x:v>结构层</x:v>
      </x:c>
      <x:c r="H64" s="82" t="str">
        <x:v>寒暖燥湿综合</x:v>
      </x:c>
      <x:c r="I64" s="68" t="str">
        <x:v>通用</x:v>
      </x:c>
      <x:c r="J64" s="68" t="str">
        <x:v>调候需要某五行，但该五行会明显加重日主或全局旺衰失衡</x:v>
      </x:c>
      <x:c r="K64" s="68" t="str">
        <x:v>待定</x:v>
      </x:c>
      <x:c r="L64" s="68" t="str">
        <x:v>待定</x:v>
      </x:c>
      <x:c r="M64" s="82" t="str">
        <x:v>待定</x:v>
      </x:c>
      <x:c r="N64" s="82" t="str">
        <x:v>待定</x:v>
      </x:c>
      <x:c r="O64" s="68" t="str">
        <x:v>调候收益与扶抑副作用冲突</x:v>
      </x:c>
      <x:c r="P64" s="68" t="str">
        <x:v>调候五行</x:v>
      </x:c>
      <x:c r="Q64" s="68" t="str">
        <x:v>限量或寻找替代调候路径</x:v>
      </x:c>
      <x:c r="R64" s="82" t="str">
        <x:v>待定</x:v>
      </x:c>
      <x:c r="S64" s="82" t="str">
        <x:v>待定</x:v>
      </x:c>
      <x:c r="T64" s="82" t="str">
        <x:v>待定</x:v>
      </x:c>
      <x:c r="U64" s="82" t="str">
        <x:v>是</x:v>
      </x:c>
      <x:c r="V64" s="82" t="str">
        <x:v>待定</x:v>
      </x:c>
      <x:c r="W64" s="68" t="str">
        <x:v>M02基础映射、M08五行有效旺衰、M12流通卡点已完成</x:v>
      </x:c>
      <x:c r="X64" s="68" t="str">
        <x:v>月令基准与全局有效五行均已核查</x:v>
      </x:c>
      <x:c r="Y64" s="68" t="str">
        <x:v>相关调候五行有根有源、透达且能真实改善关键气候问题</x:v>
      </x:c>
      <x:c r="Z64" s="68" t="str">
        <x:v>调候五行无根、受强制、被合绊、改性或加入后产生新的寒热燥湿问题</x:v>
      </x:c>
      <x:c r="AA64" s="90" t="str">
        <x:v>不得只凭出生月份或某一五行数量直接下最终调候结论</x:v>
      </x:c>
      <x:c r="AB64" s="68" t="str">
        <x:v>特殊格局、核心格局用神或更高优先级病药约束转M16—M18裁决</x:v>
      </x:c>
      <x:c r="AC64" s="84" t="str">
        <x:v>调候扶抑冲突</x:v>
      </x:c>
      <x:c r="AD64" s="84" t="str">
        <x:v>调候候选与扶抑方向冲突时必须条件化：温度轴判“待定”，湿度轴判“待定”；调候候选为“调候五行”，是否成为最终用神仍转M16—M18。</x:v>
      </x:c>
      <x:c r="AE64" s="82" t="str">
        <x:v>较高</x:v>
      </x:c>
      <x:c r="AF64" s="82" t="str">
        <x:v>调候</x:v>
      </x:c>
      <x:c r="AG64" s="68" t="str">
        <x:v>调候以月令气候为起点，但必须结合M08五行有效力量与M12流通状态修正；寒暖与燥湿分轴判断，调候候选不自动等于全局主用神。</x:v>
      </x:c>
      <x:c r="AH64" s="68" t="str">
        <x:v>当“调候需要某五行，但该五行会明显加重日主或全局旺衰失衡”真实成立，且调候机制能改善主要气候问题时，可按“调候候选与扶抑方向冲突时必须条件化”记录。</x:v>
      </x:c>
      <x:c r="AI64" s="90" t="str">
        <x:v>仅见月份或表面五行标签，但未满足“调候需要某五行，但该五行会明显加重日主或全局旺衰失衡”及必要修正条件时，不得套用“调候候选与扶抑方向冲突时必须条件化”。</x:v>
      </x:c>
      <x:c r="AJ64" s="82" t="str">
        <x:v>采用</x:v>
      </x:c>
      <x:c r="AK64" s="82" t="str">
        <x:v>初审</x:v>
      </x:c>
      <x:c r="AL64" s="87" t="n">
        <x:v>46255</x:v>
      </x:c>
    </x:row>
    <x:row r="65">
      <x:c r="A65" s="72" t="str">
        <x:f>IF(OR(C65="",D65=""),"",B65&amp;"-"&amp;UPPER(C65)&amp;"-"&amp;TEXT(D65,"0000")&amp;"-"&amp;E65)</x:f>
        <x:v>M13-CONFLICT-0059-V1.0</x:v>
      </x:c>
      <x:c r="B65" s="74" t="str">
        <x:v>M13</x:v>
      </x:c>
      <x:c r="C65" s="74" t="str">
        <x:v>CONFLICT</x:v>
      </x:c>
      <x:c r="D65" s="215" t="n">
        <x:v>59</x:v>
      </x:c>
      <x:c r="E65" s="74" t="str">
        <x:v>V1.0</x:v>
      </x:c>
      <x:c r="F65" s="68" t="str">
        <x:v>调候候选维护格局时可提高优先级</x:v>
      </x:c>
      <x:c r="G65" s="82" t="str">
        <x:v>结构层</x:v>
      </x:c>
      <x:c r="H65" s="82" t="str">
        <x:v>寒暖燥湿综合</x:v>
      </x:c>
      <x:c r="I65" s="68" t="str">
        <x:v>通用</x:v>
      </x:c>
      <x:c r="J65" s="68" t="str">
        <x:v>调候五行同时属于M14/M15格局所需或能保护核心格神</x:v>
      </x:c>
      <x:c r="K65" s="68" t="str">
        <x:v>待定</x:v>
      </x:c>
      <x:c r="L65" s="68" t="str">
        <x:v>待定</x:v>
      </x:c>
      <x:c r="M65" s="82" t="str">
        <x:v>待定</x:v>
      </x:c>
      <x:c r="N65" s="82" t="str">
        <x:v>待定</x:v>
      </x:c>
      <x:c r="O65" s="68" t="str">
        <x:v>调候与格局方向一致</x:v>
      </x:c>
      <x:c r="P65" s="68" t="str">
        <x:v>调候五行</x:v>
      </x:c>
      <x:c r="Q65" s="68" t="str">
        <x:v>兼顾气候与护格</x:v>
      </x:c>
      <x:c r="R65" s="82" t="str">
        <x:v>待定</x:v>
      </x:c>
      <x:c r="S65" s="82" t="str">
        <x:v>待定</x:v>
      </x:c>
      <x:c r="T65" s="82" t="str">
        <x:v>高</x:v>
      </x:c>
      <x:c r="U65" s="82" t="str">
        <x:v>待定</x:v>
      </x:c>
      <x:c r="V65" s="82" t="str">
        <x:v>否</x:v>
      </x:c>
      <x:c r="W65" s="68" t="str">
        <x:v>M02基础映射、M08五行有效旺衰、M12流通卡点已完成</x:v>
      </x:c>
      <x:c r="X65" s="68" t="str">
        <x:v>月令基准与全局有效五行均已核查</x:v>
      </x:c>
      <x:c r="Y65" s="68" t="str">
        <x:v>相关调候五行有根有源、透达且能真实改善关键气候问题</x:v>
      </x:c>
      <x:c r="Z65" s="68" t="str">
        <x:v>调候五行无根、受强制、被合绊、改性或加入后产生新的寒热燥湿问题</x:v>
      </x:c>
      <x:c r="AA65" s="90" t="str">
        <x:v>不得只凭出生月份或某一五行数量直接下最终调候结论</x:v>
      </x:c>
      <x:c r="AB65" s="68" t="str">
        <x:v>特殊格局、核心格局用神或更高优先级病药约束转M16—M18裁决</x:v>
      </x:c>
      <x:c r="AC65" s="84" t="str">
        <x:v>调候格局一致</x:v>
      </x:c>
      <x:c r="AD65" s="84" t="str">
        <x:v>调候候选维护格局时可提高优先级：温度轴判“待定”，湿度轴判“待定”；调候候选为“调候五行”，是否成为最终用神仍转M16—M18。</x:v>
      </x:c>
      <x:c r="AE65" s="82" t="str">
        <x:v>较高</x:v>
      </x:c>
      <x:c r="AF65" s="82" t="str">
        <x:v>调候</x:v>
      </x:c>
      <x:c r="AG65" s="68" t="str">
        <x:v>调候以月令气候为起点，但必须结合M08五行有效力量与M12流通状态修正；寒暖与燥湿分轴判断，调候候选不自动等于全局主用神。</x:v>
      </x:c>
      <x:c r="AH65" s="68" t="str">
        <x:v>当“调候五行同时属于M14/M15格局所需或能保护核心格神”真实成立，且调候机制能改善主要气候问题时，可按“调候候选维护格局时可提高优先级”记录。</x:v>
      </x:c>
      <x:c r="AI65" s="90" t="str">
        <x:v>仅见月份或表面五行标签，但未满足“调候五行同时属于M14/M15格局所需或能保护核心格神”及必要修正条件时，不得套用“调候候选维护格局时可提高优先级”。</x:v>
      </x:c>
      <x:c r="AJ65" s="82" t="str">
        <x:v>采用</x:v>
      </x:c>
      <x:c r="AK65" s="82" t="str">
        <x:v>初审</x:v>
      </x:c>
      <x:c r="AL65" s="87" t="n">
        <x:v>46255</x:v>
      </x:c>
    </x:row>
    <x:row r="66">
      <x:c r="A66" s="72" t="str">
        <x:f>IF(OR(C66="",D66=""),"",B66&amp;"-"&amp;UPPER(C66)&amp;"-"&amp;TEXT(D66,"0000")&amp;"-"&amp;E66)</x:f>
        <x:v>M13-CONFLICT-0060-V1.0</x:v>
      </x:c>
      <x:c r="B66" s="74" t="str">
        <x:v>M13</x:v>
      </x:c>
      <x:c r="C66" s="74" t="str">
        <x:v>CONFLICT</x:v>
      </x:c>
      <x:c r="D66" s="215" t="n">
        <x:v>60</x:v>
      </x:c>
      <x:c r="E66" s="74" t="str">
        <x:v>V1.0</x:v>
      </x:c>
      <x:c r="F66" s="68" t="str">
        <x:v>调候候选破坏核心格局时不得直接作为主用</x:v>
      </x:c>
      <x:c r="G66" s="82" t="str">
        <x:v>结构层</x:v>
      </x:c>
      <x:c r="H66" s="82" t="str">
        <x:v>寒暖燥湿综合</x:v>
      </x:c>
      <x:c r="I66" s="68" t="str">
        <x:v>通用</x:v>
      </x:c>
      <x:c r="J66" s="68" t="str">
        <x:v>调候五行虽能改善气候，但会强克、合去或泄损核心格神</x:v>
      </x:c>
      <x:c r="K66" s="68" t="str">
        <x:v>待定</x:v>
      </x:c>
      <x:c r="L66" s="68" t="str">
        <x:v>待定</x:v>
      </x:c>
      <x:c r="M66" s="82" t="str">
        <x:v>待定</x:v>
      </x:c>
      <x:c r="N66" s="82" t="str">
        <x:v>待定</x:v>
      </x:c>
      <x:c r="O66" s="68" t="str">
        <x:v>调候与格局冲突</x:v>
      </x:c>
      <x:c r="P66" s="68" t="str">
        <x:v>调候五行</x:v>
      </x:c>
      <x:c r="Q66" s="68" t="str">
        <x:v>降级为条件性或寻找替代方案</x:v>
      </x:c>
      <x:c r="R66" s="82" t="str">
        <x:v>待定</x:v>
      </x:c>
      <x:c r="S66" s="82" t="str">
        <x:v>待定</x:v>
      </x:c>
      <x:c r="T66" s="82" t="str">
        <x:v>待定</x:v>
      </x:c>
      <x:c r="U66" s="82" t="str">
        <x:v>待定</x:v>
      </x:c>
      <x:c r="V66" s="82" t="str">
        <x:v>是</x:v>
      </x:c>
      <x:c r="W66" s="68" t="str">
        <x:v>M02基础映射、M08五行有效旺衰、M12流通卡点已完成</x:v>
      </x:c>
      <x:c r="X66" s="68" t="str">
        <x:v>月令基准与全局有效五行均已核查</x:v>
      </x:c>
      <x:c r="Y66" s="68" t="str">
        <x:v>相关调候五行有根有源、透达且能真实改善关键气候问题</x:v>
      </x:c>
      <x:c r="Z66" s="68" t="str">
        <x:v>调候五行无根、受强制、被合绊、改性或加入后产生新的寒热燥湿问题</x:v>
      </x:c>
      <x:c r="AA66" s="90" t="str">
        <x:v>不得只凭出生月份或某一五行数量直接下最终调候结论</x:v>
      </x:c>
      <x:c r="AB66" s="68" t="str">
        <x:v>特殊格局、核心格局用神或更高优先级病药约束转M16—M18裁决</x:v>
      </x:c>
      <x:c r="AC66" s="84" t="str">
        <x:v>调候破格冲突</x:v>
      </x:c>
      <x:c r="AD66" s="84" t="str">
        <x:v>调候候选破坏核心格局时不得直接作为主用：温度轴判“待定”，湿度轴判“待定”；调候候选为“调候五行”，是否成为最终用神仍转M16—M18。</x:v>
      </x:c>
      <x:c r="AE66" s="82" t="str">
        <x:v>较高</x:v>
      </x:c>
      <x:c r="AF66" s="82" t="str">
        <x:v>调候</x:v>
      </x:c>
      <x:c r="AG66" s="68" t="str">
        <x:v>调候以月令气候为起点，但必须结合M08五行有效力量与M12流通状态修正；寒暖与燥湿分轴判断，调候候选不自动等于全局主用神。</x:v>
      </x:c>
      <x:c r="AH66" s="68" t="str">
        <x:v>当“调候五行虽能改善气候，但会强克、合去或泄损核心格神”真实成立，且调候机制能改善主要气候问题时，可按“调候候选破坏核心格局时不得直接作为主用”记录。</x:v>
      </x:c>
      <x:c r="AI66" s="90" t="str">
        <x:v>仅见月份或表面五行标签，但未满足“调候五行虽能改善气候，但会强克、合去或泄损核心格神”及必要修正条件时，不得套用“调候候选破坏核心格局时不得直接作为主用”。</x:v>
      </x:c>
      <x:c r="AJ66" s="82" t="str">
        <x:v>采用</x:v>
      </x:c>
      <x:c r="AK66" s="82" t="str">
        <x:v>初审</x:v>
      </x:c>
      <x:c r="AL66" s="87" t="n">
        <x:v>46255</x:v>
      </x:c>
    </x:row>
    <x:row r="67">
      <x:c r="A67" s="72" t="str">
        <x:f>IF(OR(C67="",D67=""),"",B67&amp;"-"&amp;UPPER(C67)&amp;"-"&amp;TEXT(D67,"0000")&amp;"-"&amp;E67)</x:f>
        <x:v>M13-CONFLICT-0061-V1.0</x:v>
      </x:c>
      <x:c r="B67" s="74" t="str">
        <x:v>M13</x:v>
      </x:c>
      <x:c r="C67" s="74" t="str">
        <x:v>CONFLICT</x:v>
      </x:c>
      <x:c r="D67" s="215" t="n">
        <x:v>61</x:v>
      </x:c>
      <x:c r="E67" s="74" t="str">
        <x:v>V1.0</x:v>
      </x:c>
      <x:c r="F67" s="68" t="str">
        <x:v>特殊格局严格成立时调候接受格局硬约束</x:v>
      </x:c>
      <x:c r="G67" s="82" t="str">
        <x:v>结构层</x:v>
      </x:c>
      <x:c r="H67" s="82" t="str">
        <x:v>寒暖燥湿综合</x:v>
      </x:c>
      <x:c r="I67" s="68" t="str">
        <x:v>通用</x:v>
      </x:c>
      <x:c r="J67" s="68" t="str">
        <x:v>M14/M15后续确认从格、化气等特殊格局严格成立</x:v>
      </x:c>
      <x:c r="K67" s="68" t="str">
        <x:v>待定</x:v>
      </x:c>
      <x:c r="L67" s="68" t="str">
        <x:v>待定</x:v>
      </x:c>
      <x:c r="M67" s="82" t="str">
        <x:v>待定</x:v>
      </x:c>
      <x:c r="N67" s="82" t="str">
        <x:v>待定</x:v>
      </x:c>
      <x:c r="O67" s="68" t="str">
        <x:v>普通调候可能破坏特殊格局气势</x:v>
      </x:c>
      <x:c r="P67" s="68" t="str">
        <x:v>待定</x:v>
      </x:c>
      <x:c r="Q67" s="68" t="str">
        <x:v>以不破特殊格局为前提</x:v>
      </x:c>
      <x:c r="R67" s="82" t="str">
        <x:v>待定</x:v>
      </x:c>
      <x:c r="S67" s="82" t="str">
        <x:v>待定</x:v>
      </x:c>
      <x:c r="T67" s="82" t="str">
        <x:v>待定</x:v>
      </x:c>
      <x:c r="U67" s="82" t="str">
        <x:v>待定</x:v>
      </x:c>
      <x:c r="V67" s="82" t="str">
        <x:v>是</x:v>
      </x:c>
      <x:c r="W67" s="68" t="str">
        <x:v>M02基础映射、M08五行有效旺衰、M12流通卡点已完成</x:v>
      </x:c>
      <x:c r="X67" s="68" t="str">
        <x:v>月令基准与全局有效五行均已核查</x:v>
      </x:c>
      <x:c r="Y67" s="68" t="str">
        <x:v>相关调候五行有根有源、透达且能真实改善关键气候问题</x:v>
      </x:c>
      <x:c r="Z67" s="68" t="str">
        <x:v>调候五行无根、受强制、被合绊、改性或加入后产生新的寒热燥湿问题</x:v>
      </x:c>
      <x:c r="AA67" s="90" t="str">
        <x:v>不得只凭出生月份或某一五行数量直接下最终调候结论</x:v>
      </x:c>
      <x:c r="AB67" s="68" t="str">
        <x:v>特殊格局、核心格局用神或更高优先级病药约束转M16—M18裁决</x:v>
      </x:c>
      <x:c r="AC67" s="84" t="str">
        <x:v>特殊格局调候约束</x:v>
      </x:c>
      <x:c r="AD67" s="84" t="str">
        <x:v>特殊格局严格成立时调候接受格局硬约束：温度轴判“待定”，湿度轴判“待定”；调候候选为“待定”，是否成为最终用神仍转M16—M18。</x:v>
      </x:c>
      <x:c r="AE67" s="82" t="str">
        <x:v>较高</x:v>
      </x:c>
      <x:c r="AF67" s="82" t="str">
        <x:v>调候</x:v>
      </x:c>
      <x:c r="AG67" s="68" t="str">
        <x:v>调候以月令气候为起点，但必须结合M08五行有效力量与M12流通状态修正；寒暖与燥湿分轴判断，调候候选不自动等于全局主用神。</x:v>
      </x:c>
      <x:c r="AH67" s="68" t="str">
        <x:v>当“M14/M15后续确认从格、化气等特殊格局严格成立”真实成立，且调候机制能改善主要气候问题时，可按“特殊格局严格成立时调候接受格局硬约束”记录。</x:v>
      </x:c>
      <x:c r="AI67" s="90" t="str">
        <x:v>仅见月份或表面五行标签，但未满足“M14/M15后续确认从格、化气等特殊格局严格成立”及必要修正条件时，不得套用“特殊格局严格成立时调候接受格局硬约束”。</x:v>
      </x:c>
      <x:c r="AJ67" s="82" t="str">
        <x:v>采用</x:v>
      </x:c>
      <x:c r="AK67" s="82" t="str">
        <x:v>初审</x:v>
      </x:c>
      <x:c r="AL67" s="87" t="n">
        <x:v>46255</x:v>
      </x:c>
    </x:row>
    <x:row r="68">
      <x:c r="A68" s="72" t="str">
        <x:f>IF(OR(C68="",D68=""),"",B68&amp;"-"&amp;UPPER(C68)&amp;"-"&amp;TEXT(D68,"0000")&amp;"-"&amp;E68)</x:f>
        <x:v>M13-CONFLICT-0062-V1.0</x:v>
      </x:c>
      <x:c r="B68" s="74" t="str">
        <x:v>M13</x:v>
      </x:c>
      <x:c r="C68" s="74" t="str">
        <x:v>CONFLICT</x:v>
      </x:c>
      <x:c r="D68" s="215" t="n">
        <x:v>62</x:v>
      </x:c>
      <x:c r="E68" s="74" t="str">
        <x:v>V1.0</x:v>
      </x:c>
      <x:c r="F68" s="68" t="str">
        <x:v>通关与调候同一五行时形成高价值复合候选</x:v>
      </x:c>
      <x:c r="G68" s="82" t="str">
        <x:v>结构层</x:v>
      </x:c>
      <x:c r="H68" s="82" t="str">
        <x:v>寒暖燥湿综合</x:v>
      </x:c>
      <x:c r="I68" s="68" t="str">
        <x:v>通用</x:v>
      </x:c>
      <x:c r="J68" s="68" t="str">
        <x:v>M12通关候选与M13调候候选五行一致，且无重大格局副作用</x:v>
      </x:c>
      <x:c r="K68" s="68" t="str">
        <x:v>待定</x:v>
      </x:c>
      <x:c r="L68" s="68" t="str">
        <x:v>待定</x:v>
      </x:c>
      <x:c r="M68" s="82" t="str">
        <x:v>待定</x:v>
      </x:c>
      <x:c r="N68" s="82" t="str">
        <x:v>待定</x:v>
      </x:c>
      <x:c r="O68" s="68" t="str">
        <x:v>同时解决流通和气候问题</x:v>
      </x:c>
      <x:c r="P68" s="68" t="str">
        <x:v>同一五行</x:v>
      </x:c>
      <x:c r="Q68" s="68" t="str">
        <x:v>通关＋调候复合</x:v>
      </x:c>
      <x:c r="R68" s="82" t="str">
        <x:v>待定</x:v>
      </x:c>
      <x:c r="S68" s="82" t="str">
        <x:v>待定</x:v>
      </x:c>
      <x:c r="T68" s="82" t="str">
        <x:v>高</x:v>
      </x:c>
      <x:c r="U68" s="82" t="str">
        <x:v>否</x:v>
      </x:c>
      <x:c r="V68" s="82" t="str">
        <x:v>否</x:v>
      </x:c>
      <x:c r="W68" s="68" t="str">
        <x:v>M02基础映射、M08五行有效旺衰、M12流通卡点已完成</x:v>
      </x:c>
      <x:c r="X68" s="68" t="str">
        <x:v>月令基准与全局有效五行均已核查</x:v>
      </x:c>
      <x:c r="Y68" s="68" t="str">
        <x:v>相关调候五行有根有源、透达且能真实改善关键气候问题</x:v>
      </x:c>
      <x:c r="Z68" s="68" t="str">
        <x:v>调候五行无根、受强制、被合绊、改性或加入后产生新的寒热燥湿问题</x:v>
      </x:c>
      <x:c r="AA68" s="90" t="str">
        <x:v>不得只凭出生月份或某一五行数量直接下最终调候结论</x:v>
      </x:c>
      <x:c r="AB68" s="68" t="str">
        <x:v>特殊格局、核心格局用神或更高优先级病药约束转M16—M18裁决</x:v>
      </x:c>
      <x:c r="AC68" s="84" t="str">
        <x:v>通关调候一致</x:v>
      </x:c>
      <x:c r="AD68" s="84" t="str">
        <x:v>通关与调候同一五行时形成高价值复合候选：温度轴判“待定”，湿度轴判“待定”；调候候选为“同一五行”，是否成为最终用神仍转M16—M18。</x:v>
      </x:c>
      <x:c r="AE68" s="82" t="str">
        <x:v>较高</x:v>
      </x:c>
      <x:c r="AF68" s="82" t="str">
        <x:v>调候</x:v>
      </x:c>
      <x:c r="AG68" s="68" t="str">
        <x:v>调候以月令气候为起点，但必须结合M08五行有效力量与M12流通状态修正；寒暖与燥湿分轴判断，调候候选不自动等于全局主用神。</x:v>
      </x:c>
      <x:c r="AH68" s="68" t="str">
        <x:v>当“M12通关候选与M13调候候选五行一致，且无重大格局副作用”真实成立，且调候机制能改善主要气候问题时，可按“通关与调候同一五行时形成高价值复合候选”记录。</x:v>
      </x:c>
      <x:c r="AI68" s="90" t="str">
        <x:v>仅见月份或表面五行标签，但未满足“M12通关候选与M13调候候选五行一致，且无重大格局副作用”及必要修正条件时，不得套用“通关与调候同一五行时形成高价值复合候选”。</x:v>
      </x:c>
      <x:c r="AJ68" s="82" t="str">
        <x:v>采用</x:v>
      </x:c>
      <x:c r="AK68" s="82" t="str">
        <x:v>初审</x:v>
      </x:c>
      <x:c r="AL68" s="87" t="n">
        <x:v>46255</x:v>
      </x:c>
    </x:row>
    <x:row r="69">
      <x:c r="A69" s="72" t="str">
        <x:f>IF(OR(C69="",D69=""),"",B69&amp;"-"&amp;UPPER(C69)&amp;"-"&amp;TEXT(D69,"0000")&amp;"-"&amp;E69)</x:f>
        <x:v>M13-CONFLICT-0063-V1.0</x:v>
      </x:c>
      <x:c r="B69" s="74" t="str">
        <x:v>M13</x:v>
      </x:c>
      <x:c r="C69" s="74" t="str">
        <x:v>CONFLICT</x:v>
      </x:c>
      <x:c r="D69" s="215" t="n">
        <x:v>63</x:v>
      </x:c>
      <x:c r="E69" s="74" t="str">
        <x:v>V1.0</x:v>
      </x:c>
      <x:c r="F69" s="68" t="str">
        <x:v>通关有效但会恶化气候时必须降级</x:v>
      </x:c>
      <x:c r="G69" s="82" t="str">
        <x:v>结构层</x:v>
      </x:c>
      <x:c r="H69" s="82" t="str">
        <x:v>寒暖燥湿综合</x:v>
      </x:c>
      <x:c r="I69" s="68" t="str">
        <x:v>通用</x:v>
      </x:c>
      <x:c r="J69" s="68" t="str">
        <x:v>M12通关候选能解决两强相战，但会把原局推向极寒湿或极热燥</x:v>
      </x:c>
      <x:c r="K69" s="68" t="str">
        <x:v>待定</x:v>
      </x:c>
      <x:c r="L69" s="68" t="str">
        <x:v>待定</x:v>
      </x:c>
      <x:c r="M69" s="82" t="str">
        <x:v>待定</x:v>
      </x:c>
      <x:c r="N69" s="82" t="str">
        <x:v>待定</x:v>
      </x:c>
      <x:c r="O69" s="68" t="str">
        <x:v>流通收益与气候副作用冲突</x:v>
      </x:c>
      <x:c r="P69" s="68" t="str">
        <x:v>通关五行</x:v>
      </x:c>
      <x:c r="Q69" s="68" t="str">
        <x:v>降低优先级或寻找替代桥梁</x:v>
      </x:c>
      <x:c r="R69" s="82" t="str">
        <x:v>待定</x:v>
      </x:c>
      <x:c r="S69" s="82" t="str">
        <x:v>待定</x:v>
      </x:c>
      <x:c r="T69" s="82" t="str">
        <x:v>待定</x:v>
      </x:c>
      <x:c r="U69" s="82" t="str">
        <x:v>待定</x:v>
      </x:c>
      <x:c r="V69" s="82" t="str">
        <x:v>条件性</x:v>
      </x:c>
      <x:c r="W69" s="68" t="str">
        <x:v>M02基础映射、M08五行有效旺衰、M12流通卡点已完成</x:v>
      </x:c>
      <x:c r="X69" s="68" t="str">
        <x:v>月令基准与全局有效五行均已核查</x:v>
      </x:c>
      <x:c r="Y69" s="68" t="str">
        <x:v>相关调候五行有根有源、透达且能真实改善关键气候问题</x:v>
      </x:c>
      <x:c r="Z69" s="68" t="str">
        <x:v>调候五行无根、受强制、被合绊、改性或加入后产生新的寒热燥湿问题</x:v>
      </x:c>
      <x:c r="AA69" s="90" t="str">
        <x:v>不得只凭出生月份或某一五行数量直接下最终调候结论</x:v>
      </x:c>
      <x:c r="AB69" s="68" t="str">
        <x:v>特殊格局、核心格局用神或更高优先级病药约束转M16—M18裁决</x:v>
      </x:c>
      <x:c r="AC69" s="84" t="str">
        <x:v>通关调候冲突</x:v>
      </x:c>
      <x:c r="AD69" s="84" t="str">
        <x:v>通关有效但会恶化气候时必须降级：温度轴判“待定”，湿度轴判“待定”；调候候选为“通关五行”，是否成为最终用神仍转M16—M18。</x:v>
      </x:c>
      <x:c r="AE69" s="82" t="str">
        <x:v>较高</x:v>
      </x:c>
      <x:c r="AF69" s="82" t="str">
        <x:v>调候</x:v>
      </x:c>
      <x:c r="AG69" s="68" t="str">
        <x:v>调候以月令气候为起点，但必须结合M08五行有效力量与M12流通状态修正；寒暖与燥湿分轴判断，调候候选不自动等于全局主用神。</x:v>
      </x:c>
      <x:c r="AH69" s="68" t="str">
        <x:v>当“M12通关候选能解决两强相战，但会把原局推向极寒湿或极热燥”真实成立，且调候机制能改善主要气候问题时，可按“通关有效但会恶化气候时必须降级”记录。</x:v>
      </x:c>
      <x:c r="AI69" s="90" t="str">
        <x:v>仅见月份或表面五行标签，但未满足“M12通关候选能解决两强相战，但会把原局推向极寒湿或极热燥”及必要修正条件时，不得套用“通关有效但会恶化气候时必须降级”。</x:v>
      </x:c>
      <x:c r="AJ69" s="82" t="str">
        <x:v>采用</x:v>
      </x:c>
      <x:c r="AK69" s="82" t="str">
        <x:v>初审</x:v>
      </x:c>
      <x:c r="AL69" s="87" t="n">
        <x:v>46255</x:v>
      </x:c>
    </x:row>
    <x:row r="70">
      <x:c r="A70" s="72" t="str">
        <x:f>IF(OR(C70="",D70=""),"",B70&amp;"-"&amp;UPPER(C70)&amp;"-"&amp;TEXT(D70,"0000")&amp;"-"&amp;E70)</x:f>
        <x:v>M13-CONFLICT-0064-V1.0</x:v>
      </x:c>
      <x:c r="B70" s="74" t="str">
        <x:v>M13</x:v>
      </x:c>
      <x:c r="C70" s="74" t="str">
        <x:v>CONFLICT</x:v>
      </x:c>
      <x:c r="D70" s="215" t="n">
        <x:v>64</x:v>
      </x:c>
      <x:c r="E70" s="74" t="str">
        <x:v>V1.0</x:v>
      </x:c>
      <x:c r="F70" s="68" t="str">
        <x:v>调候优先级只在气候成为根本病时上升到首要</x:v>
      </x:c>
      <x:c r="G70" s="82" t="str">
        <x:v>结构层</x:v>
      </x:c>
      <x:c r="H70" s="82" t="str">
        <x:v>寒暖燥湿综合</x:v>
      </x:c>
      <x:c r="I70" s="68" t="str">
        <x:v>通用</x:v>
      </x:c>
      <x:c r="J70" s="68" t="str">
        <x:v>气候失衡是M12多个卡点和M08功能受限的共同根因</x:v>
      </x:c>
      <x:c r="K70" s="68" t="str">
        <x:v>待定</x:v>
      </x:c>
      <x:c r="L70" s="68" t="str">
        <x:v>待定</x:v>
      </x:c>
      <x:c r="M70" s="82" t="str">
        <x:v>待定</x:v>
      </x:c>
      <x:c r="N70" s="82" t="str">
        <x:v>待定</x:v>
      </x:c>
      <x:c r="O70" s="68" t="str">
        <x:v>寒暖燥湿成为根本病而非表层现象</x:v>
      </x:c>
      <x:c r="P70" s="68" t="str">
        <x:v>对应调候五行</x:v>
      </x:c>
      <x:c r="Q70" s="68" t="str">
        <x:v>先恢复基础生化环境</x:v>
      </x:c>
      <x:c r="R70" s="82" t="str">
        <x:v>待定</x:v>
      </x:c>
      <x:c r="S70" s="82" t="str">
        <x:v>待定</x:v>
      </x:c>
      <x:c r="T70" s="82" t="str">
        <x:v>首要</x:v>
      </x:c>
      <x:c r="U70" s="82" t="str">
        <x:v>待定</x:v>
      </x:c>
      <x:c r="V70" s="82" t="str">
        <x:v>待定</x:v>
      </x:c>
      <x:c r="W70" s="68" t="str">
        <x:v>M02基础映射、M08五行有效旺衰、M12流通卡点已完成</x:v>
      </x:c>
      <x:c r="X70" s="68" t="str">
        <x:v>月令基准与全局有效五行均已核查</x:v>
      </x:c>
      <x:c r="Y70" s="68" t="str">
        <x:v>相关调候五行有根有源、透达且能真实改善关键气候问题</x:v>
      </x:c>
      <x:c r="Z70" s="68" t="str">
        <x:v>调候五行无根、受强制、被合绊、改性或加入后产生新的寒热燥湿问题</x:v>
      </x:c>
      <x:c r="AA70" s="90" t="str">
        <x:v>不得只凭出生月份或某一五行数量直接下最终调候结论</x:v>
      </x:c>
      <x:c r="AB70" s="68" t="str">
        <x:v>特殊格局、核心格局用神或更高优先级病药约束转M16—M18裁决</x:v>
      </x:c>
      <x:c r="AC70" s="84" t="str">
        <x:v>调候根本病升级</x:v>
      </x:c>
      <x:c r="AD70" s="84" t="str">
        <x:v>调候优先级只在气候成为根本病时上升到首要：温度轴判“待定”，湿度轴判“待定”；调候候选为“对应调候五行”，是否成为最终用神仍转M16—M18。</x:v>
      </x:c>
      <x:c r="AE70" s="82" t="str">
        <x:v>较高</x:v>
      </x:c>
      <x:c r="AF70" s="82" t="str">
        <x:v>调候</x:v>
      </x:c>
      <x:c r="AG70" s="68" t="str">
        <x:v>调候以月令气候为起点，但必须结合M08五行有效力量与M12流通状态修正；寒暖与燥湿分轴判断，调候候选不自动等于全局主用神。</x:v>
      </x:c>
      <x:c r="AH70" s="68" t="str">
        <x:v>当“气候失衡是M12多个卡点和M08功能受限的共同根因”真实成立，且调候机制能改善主要气候问题时，可按“调候优先级只在气候成为根本病时上升到首要”记录。</x:v>
      </x:c>
      <x:c r="AI70" s="90" t="str">
        <x:v>仅见月份或表面五行标签，但未满足“气候失衡是M12多个卡点和M08功能受限的共同根因”及必要修正条件时，不得套用“调候优先级只在气候成为根本病时上升到首要”。</x:v>
      </x:c>
      <x:c r="AJ70" s="82" t="str">
        <x:v>采用</x:v>
      </x:c>
      <x:c r="AK70" s="82" t="str">
        <x:v>初审</x:v>
      </x:c>
      <x:c r="AL70" s="87" t="n">
        <x:v>46255</x:v>
      </x:c>
    </x:row>
    <x:row r="71">
      <x:c r="A71" s="72" t="str">
        <x:f>IF(OR(C71="",D71=""),"",B71&amp;"-"&amp;UPPER(C71)&amp;"-"&amp;TEXT(D71,"0000")&amp;"-"&amp;E71)</x:f>
        <x:v>M13-BOUND-0065-V1.0</x:v>
      </x:c>
      <x:c r="B71" s="74" t="str">
        <x:v>M13</x:v>
      </x:c>
      <x:c r="C71" s="74" t="str">
        <x:v>BOUND</x:v>
      </x:c>
      <x:c r="D71" s="215" t="n">
        <x:v>65</x:v>
      </x:c>
      <x:c r="E71" s="74" t="str">
        <x:v>V1.0</x:v>
      </x:c>
      <x:c r="F71" s="68" t="str">
        <x:v>冬月不自动判极寒</x:v>
      </x:c>
      <x:c r="G71" s="82" t="str">
        <x:v>结构层</x:v>
      </x:c>
      <x:c r="H71" s="82" t="str">
        <x:v>寒暖燥湿综合</x:v>
      </x:c>
      <x:c r="I71" s="68" t="str">
        <x:v>通用</x:v>
      </x:c>
      <x:c r="J71" s="68" t="str">
        <x:v>冬月出生但火土有效、火有根有源且全局水势不强</x:v>
      </x:c>
      <x:c r="K71" s="68" t="str">
        <x:v>待定</x:v>
      </x:c>
      <x:c r="L71" s="68" t="str">
        <x:v>待定</x:v>
      </x:c>
      <x:c r="M71" s="82" t="str">
        <x:v>待定</x:v>
      </x:c>
      <x:c r="N71" s="82" t="str">
        <x:v>待定</x:v>
      </x:c>
      <x:c r="O71" s="68" t="str">
        <x:v>月份与全局可能相互抵消</x:v>
      </x:c>
      <x:c r="P71" s="68" t="str">
        <x:v>待定</x:v>
      </x:c>
      <x:c r="Q71" s="68" t="str">
        <x:v>需按全局修正</x:v>
      </x:c>
      <x:c r="R71" s="82" t="str">
        <x:v>待定</x:v>
      </x:c>
      <x:c r="S71" s="82" t="str">
        <x:v>待定</x:v>
      </x:c>
      <x:c r="T71" s="82" t="str">
        <x:v>待定</x:v>
      </x:c>
      <x:c r="U71" s="82" t="str">
        <x:v>待定</x:v>
      </x:c>
      <x:c r="V71" s="82" t="str">
        <x:v>待定</x:v>
      </x:c>
      <x:c r="W71" s="68" t="str">
        <x:v>M02基础映射、M08五行有效旺衰、M12流通卡点已完成</x:v>
      </x:c>
      <x:c r="X71" s="68" t="str">
        <x:v>月令基准与全局有效五行均已核查</x:v>
      </x:c>
      <x:c r="Y71" s="68" t="str">
        <x:v>相关调候五行有根有源、透达且能真实改善关键气候问题</x:v>
      </x:c>
      <x:c r="Z71" s="68" t="str">
        <x:v>调候五行无根、受强制、被合绊、改性或加入后产生新的寒热燥湿问题</x:v>
      </x:c>
      <x:c r="AA71" s="90" t="str">
        <x:v>不得只因亥子丑月出生直接判极寒</x:v>
      </x:c>
      <x:c r="AB71" s="68" t="str">
        <x:v>特殊格局、核心格局用神或更高优先级病药约束转M16—M18裁决</x:v>
      </x:c>
      <x:c r="AC71" s="84" t="str">
        <x:v>冬月非自动极寒</x:v>
      </x:c>
      <x:c r="AD71" s="84" t="str">
        <x:v>冬月不自动判极寒：温度轴判“待定”，湿度轴判“待定”；调候候选为“待定”，是否成为最终用神仍转M16—M18。</x:v>
      </x:c>
      <x:c r="AE71" s="82" t="str">
        <x:v>较高</x:v>
      </x:c>
      <x:c r="AF71" s="82" t="str">
        <x:v>调候</x:v>
      </x:c>
      <x:c r="AG71" s="68" t="str">
        <x:v>调候以月令气候为起点，但必须结合M08五行有效力量与M12流通状态修正；寒暖与燥湿分轴判断，调候候选不自动等于全局主用神。</x:v>
      </x:c>
      <x:c r="AH71" s="68" t="str">
        <x:v>当“冬月出生但火土有效、火有根有源且全局水势不强”真实成立，且调候机制能改善主要气候问题时，可按“冬月不自动判极寒”记录。</x:v>
      </x:c>
      <x:c r="AI71" s="90" t="str">
        <x:v>仅见月份或表面五行标签，但未满足“冬月出生但火土有效、火有根有源且全局水势不强”及必要修正条件时，不得套用“冬月不自动判极寒”。</x:v>
      </x:c>
      <x:c r="AJ71" s="82" t="str">
        <x:v>采用</x:v>
      </x:c>
      <x:c r="AK71" s="82" t="str">
        <x:v>初审</x:v>
      </x:c>
      <x:c r="AL71" s="87" t="n">
        <x:v>46255</x:v>
      </x:c>
    </x:row>
    <x:row r="72">
      <x:c r="A72" s="72" t="str">
        <x:f>IF(OR(C72="",D72=""),"",B72&amp;"-"&amp;UPPER(C72)&amp;"-"&amp;TEXT(D72,"0000")&amp;"-"&amp;E72)</x:f>
        <x:v>M13-BOUND-0066-V1.0</x:v>
      </x:c>
      <x:c r="B72" s="74" t="str">
        <x:v>M13</x:v>
      </x:c>
      <x:c r="C72" s="74" t="str">
        <x:v>BOUND</x:v>
      </x:c>
      <x:c r="D72" s="215" t="n">
        <x:v>66</x:v>
      </x:c>
      <x:c r="E72" s="74" t="str">
        <x:v>V1.0</x:v>
      </x:c>
      <x:c r="F72" s="68" t="str">
        <x:v>夏月不自动判极热</x:v>
      </x:c>
      <x:c r="G72" s="82" t="str">
        <x:v>结构层</x:v>
      </x:c>
      <x:c r="H72" s="82" t="str">
        <x:v>寒暖燥湿综合</x:v>
      </x:c>
      <x:c r="I72" s="68" t="str">
        <x:v>通用</x:v>
      </x:c>
      <x:c r="J72" s="68" t="str">
        <x:v>夏月出生但水旺有根、火受制且湿土能调节</x:v>
      </x:c>
      <x:c r="K72" s="68" t="str">
        <x:v>待定</x:v>
      </x:c>
      <x:c r="L72" s="68" t="str">
        <x:v>待定</x:v>
      </x:c>
      <x:c r="M72" s="82" t="str">
        <x:v>待定</x:v>
      </x:c>
      <x:c r="N72" s="82" t="str">
        <x:v>待定</x:v>
      </x:c>
      <x:c r="O72" s="68" t="str">
        <x:v>月份热势可能被全局水势修正</x:v>
      </x:c>
      <x:c r="P72" s="68" t="str">
        <x:v>待定</x:v>
      </x:c>
      <x:c r="Q72" s="68" t="str">
        <x:v>需按全局修正</x:v>
      </x:c>
      <x:c r="R72" s="82" t="str">
        <x:v>待定</x:v>
      </x:c>
      <x:c r="S72" s="82" t="str">
        <x:v>待定</x:v>
      </x:c>
      <x:c r="T72" s="82" t="str">
        <x:v>待定</x:v>
      </x:c>
      <x:c r="U72" s="82" t="str">
        <x:v>待定</x:v>
      </x:c>
      <x:c r="V72" s="82" t="str">
        <x:v>待定</x:v>
      </x:c>
      <x:c r="W72" s="68" t="str">
        <x:v>M02基础映射、M08五行有效旺衰、M12流通卡点已完成</x:v>
      </x:c>
      <x:c r="X72" s="68" t="str">
        <x:v>月令基准与全局有效五行均已核查</x:v>
      </x:c>
      <x:c r="Y72" s="68" t="str">
        <x:v>相关调候五行有根有源、透达且能真实改善关键气候问题</x:v>
      </x:c>
      <x:c r="Z72" s="68" t="str">
        <x:v>调候五行无根、受强制、被合绊、改性或加入后产生新的寒热燥湿问题</x:v>
      </x:c>
      <x:c r="AA72" s="90" t="str">
        <x:v>不得只因巳午未月出生直接判极热</x:v>
      </x:c>
      <x:c r="AB72" s="68" t="str">
        <x:v>特殊格局、核心格局用神或更高优先级病药约束转M16—M18裁决</x:v>
      </x:c>
      <x:c r="AC72" s="84" t="str">
        <x:v>夏月非自动极热</x:v>
      </x:c>
      <x:c r="AD72" s="84" t="str">
        <x:v>夏月不自动判极热：温度轴判“待定”，湿度轴判“待定”；调候候选为“待定”，是否成为最终用神仍转M16—M18。</x:v>
      </x:c>
      <x:c r="AE72" s="82" t="str">
        <x:v>较高</x:v>
      </x:c>
      <x:c r="AF72" s="82" t="str">
        <x:v>调候</x:v>
      </x:c>
      <x:c r="AG72" s="68" t="str">
        <x:v>调候以月令气候为起点，但必须结合M08五行有效力量与M12流通状态修正；寒暖与燥湿分轴判断，调候候选不自动等于全局主用神。</x:v>
      </x:c>
      <x:c r="AH72" s="68" t="str">
        <x:v>当“夏月出生但水旺有根、火受制且湿土能调节”真实成立，且调候机制能改善主要气候问题时，可按“夏月不自动判极热”记录。</x:v>
      </x:c>
      <x:c r="AI72" s="90" t="str">
        <x:v>仅见月份或表面五行标签，但未满足“夏月出生但水旺有根、火受制且湿土能调节”及必要修正条件时，不得套用“夏月不自动判极热”。</x:v>
      </x:c>
      <x:c r="AJ72" s="82" t="str">
        <x:v>采用</x:v>
      </x:c>
      <x:c r="AK72" s="82" t="str">
        <x:v>初审</x:v>
      </x:c>
      <x:c r="AL72" s="87" t="n">
        <x:v>46255</x:v>
      </x:c>
    </x:row>
    <x:row r="73">
      <x:c r="A73" s="72" t="str">
        <x:f>IF(OR(C73="",D73=""),"",B73&amp;"-"&amp;UPPER(C73)&amp;"-"&amp;TEXT(D73,"0000")&amp;"-"&amp;E73)</x:f>
        <x:v>M13-BOUND-0067-V1.0</x:v>
      </x:c>
      <x:c r="B73" s="74" t="str">
        <x:v>M13</x:v>
      </x:c>
      <x:c r="C73" s="74" t="str">
        <x:v>BOUND</x:v>
      </x:c>
      <x:c r="D73" s="215" t="n">
        <x:v>67</x:v>
      </x:c>
      <x:c r="E73" s="74" t="str">
        <x:v>V1.0</x:v>
      </x:c>
      <x:c r="F73" s="68" t="str">
        <x:v>调候需要某五行不等于越多越好</x:v>
      </x:c>
      <x:c r="G73" s="82" t="str">
        <x:v>结构层</x:v>
      </x:c>
      <x:c r="H73" s="82" t="str">
        <x:v>寒暖燥湿综合</x:v>
      </x:c>
      <x:c r="I73" s="68" t="str">
        <x:v>通用</x:v>
      </x:c>
      <x:c r="J73" s="68" t="str">
        <x:v>候选调候五行已能把气候推近平衡</x:v>
      </x:c>
      <x:c r="K73" s="68" t="str">
        <x:v>待定</x:v>
      </x:c>
      <x:c r="L73" s="68" t="str">
        <x:v>待定</x:v>
      </x:c>
      <x:c r="M73" s="82" t="str">
        <x:v>待定</x:v>
      </x:c>
      <x:c r="N73" s="82" t="str">
        <x:v>待定</x:v>
      </x:c>
      <x:c r="O73" s="68" t="str">
        <x:v>继续增强会越过平衡并制造反向病</x:v>
      </x:c>
      <x:c r="P73" s="68" t="str">
        <x:v>调候五行</x:v>
      </x:c>
      <x:c r="Q73" s="68" t="str">
        <x:v>控制强度</x:v>
      </x:c>
      <x:c r="R73" s="82" t="str">
        <x:v>待定</x:v>
      </x:c>
      <x:c r="S73" s="82" t="str">
        <x:v>过度</x:v>
      </x:c>
      <x:c r="T73" s="82" t="str">
        <x:v>待定</x:v>
      </x:c>
      <x:c r="U73" s="82" t="str">
        <x:v>待定</x:v>
      </x:c>
      <x:c r="V73" s="82" t="str">
        <x:v>待定</x:v>
      </x:c>
      <x:c r="W73" s="68" t="str">
        <x:v>M02基础映射、M08五行有效旺衰、M12流通卡点已完成</x:v>
      </x:c>
      <x:c r="X73" s="68" t="str">
        <x:v>月令基准与全局有效五行均已核查</x:v>
      </x:c>
      <x:c r="Y73" s="68" t="str">
        <x:v>相关调候五行有根有源、透达且能真实改善关键气候问题</x:v>
      </x:c>
      <x:c r="Z73" s="68" t="str">
        <x:v>调候五行无根、受强制、被合绊、改性或加入后产生新的寒热燥湿问题</x:v>
      </x:c>
      <x:c r="AA73" s="90" t="str">
        <x:v>不得只凭出生月份或某一五行数量直接下最终调候结论</x:v>
      </x:c>
      <x:c r="AB73" s="68" t="str">
        <x:v>特殊格局、核心格局用神或更高优先级病药约束转M16—M18裁决</x:v>
      </x:c>
      <x:c r="AC73" s="84" t="str">
        <x:v>调候剂量边界</x:v>
      </x:c>
      <x:c r="AD73" s="84" t="str">
        <x:v>调候需要某五行不等于越多越好：温度轴判“待定”，湿度轴判“待定”；调候候选为“调候五行”，是否成为最终用神仍转M16—M18。</x:v>
      </x:c>
      <x:c r="AE73" s="82" t="str">
        <x:v>较高</x:v>
      </x:c>
      <x:c r="AF73" s="82" t="str">
        <x:v>调候</x:v>
      </x:c>
      <x:c r="AG73" s="68" t="str">
        <x:v>调候以月令气候为起点，但必须结合M08五行有效力量与M12流通状态修正；寒暖与燥湿分轴判断，调候候选不自动等于全局主用神。</x:v>
      </x:c>
      <x:c r="AH73" s="68" t="str">
        <x:v>当“候选调候五行已能把气候推近平衡”真实成立，且调候机制能改善主要气候问题时，可按“调候需要某五行不等于越多越好”记录。</x:v>
      </x:c>
      <x:c r="AI73" s="90" t="str">
        <x:v>仅见月份或表面五行标签，但未满足“候选调候五行已能把气候推近平衡”及必要修正条件时，不得套用“调候需要某五行不等于越多越好”。</x:v>
      </x:c>
      <x:c r="AJ73" s="82" t="str">
        <x:v>采用</x:v>
      </x:c>
      <x:c r="AK73" s="82" t="str">
        <x:v>初审</x:v>
      </x:c>
      <x:c r="AL73" s="87" t="n">
        <x:v>46255</x:v>
      </x:c>
    </x:row>
    <x:row r="74">
      <x:c r="A74" s="72" t="str">
        <x:f>IF(OR(C74="",D74=""),"",B74&amp;"-"&amp;UPPER(C74)&amp;"-"&amp;TEXT(D74,"0000")&amp;"-"&amp;E74)</x:f>
        <x:v>M13-BOUND-0068-V1.0</x:v>
      </x:c>
      <x:c r="B74" s="74" t="str">
        <x:v>M13</x:v>
      </x:c>
      <x:c r="C74" s="74" t="str">
        <x:v>BOUND</x:v>
      </x:c>
      <x:c r="D74" s="215" t="n">
        <x:v>68</x:v>
      </x:c>
      <x:c r="E74" s="74" t="str">
        <x:v>V1.0</x:v>
      </x:c>
      <x:c r="F74" s="68" t="str">
        <x:v>湿土与燥土标签不得脱离全局使用</x:v>
      </x:c>
      <x:c r="G74" s="82" t="str">
        <x:v>结构层</x:v>
      </x:c>
      <x:c r="H74" s="82" t="str">
        <x:v>寒暖燥湿综合</x:v>
      </x:c>
      <x:c r="I74" s="68" t="str">
        <x:v>通用</x:v>
      </x:c>
      <x:c r="J74" s="68" t="str">
        <x:v>辰丑或未戌出现，但受到强火、水、合化或季令明显修正</x:v>
      </x:c>
      <x:c r="K74" s="68" t="str">
        <x:v>待定</x:v>
      </x:c>
      <x:c r="L74" s="68" t="str">
        <x:v>待定</x:v>
      </x:c>
      <x:c r="M74" s="82" t="str">
        <x:v>待定</x:v>
      </x:c>
      <x:c r="N74" s="82" t="str">
        <x:v>待定</x:v>
      </x:c>
      <x:c r="O74" s="68" t="str">
        <x:v>土性标签会被全局条件改变</x:v>
      </x:c>
      <x:c r="P74" s="68" t="str">
        <x:v>待定</x:v>
      </x:c>
      <x:c r="Q74" s="68" t="str">
        <x:v>按有效状态修正</x:v>
      </x:c>
      <x:c r="R74" s="82" t="str">
        <x:v>待定</x:v>
      </x:c>
      <x:c r="S74" s="82" t="str">
        <x:v>待定</x:v>
      </x:c>
      <x:c r="T74" s="82" t="str">
        <x:v>待定</x:v>
      </x:c>
      <x:c r="U74" s="82" t="str">
        <x:v>待定</x:v>
      </x:c>
      <x:c r="V74" s="82" t="str">
        <x:v>待定</x:v>
      </x:c>
      <x:c r="W74" s="68" t="str">
        <x:v>M02基础映射、M08五行有效旺衰、M12流通卡点已完成</x:v>
      </x:c>
      <x:c r="X74" s="68" t="str">
        <x:v>月令基准与全局有效五行均已核查</x:v>
      </x:c>
      <x:c r="Y74" s="68" t="str">
        <x:v>相关调候五行有根有源、透达且能真实改善关键气候问题</x:v>
      </x:c>
      <x:c r="Z74" s="68" t="str">
        <x:v>调候五行无根、受强制、被合绊、改性或加入后产生新的寒热燥湿问题</x:v>
      </x:c>
      <x:c r="AA74" s="90" t="str">
        <x:v>不得只凭出生月份或某一五行数量直接下最终调候结论</x:v>
      </x:c>
      <x:c r="AB74" s="68" t="str">
        <x:v>特殊格局、核心格局用神或更高优先级病药约束转M16—M18裁决</x:v>
      </x:c>
      <x:c r="AC74" s="84" t="str">
        <x:v>土性条件化</x:v>
      </x:c>
      <x:c r="AD74" s="84" t="str">
        <x:v>湿土与燥土标签不得脱离全局使用：温度轴判“待定”，湿度轴判“待定”；调候候选为“待定”，是否成为最终用神仍转M16—M18。</x:v>
      </x:c>
      <x:c r="AE74" s="82" t="str">
        <x:v>中等</x:v>
      </x:c>
      <x:c r="AF74" s="82" t="str">
        <x:v>调候</x:v>
      </x:c>
      <x:c r="AG74" s="68" t="str">
        <x:v>调候以月令气候为起点，但必须结合M08五行有效力量与M12流通状态修正；寒暖与燥湿分轴判断，调候候选不自动等于全局主用神。</x:v>
      </x:c>
      <x:c r="AH74" s="68" t="str">
        <x:v>当“辰丑或未戌出现，但受到强火、水、合化或季令明显修正”真实成立，且调候机制能改善主要气候问题时，可按“湿土与燥土标签不得脱离全局使用”记录。</x:v>
      </x:c>
      <x:c r="AI74" s="90" t="str">
        <x:v>仅见月份或表面五行标签，但未满足“辰丑或未戌出现，但受到强火、水、合化或季令明显修正”及必要修正条件时，不得套用“湿土与燥土标签不得脱离全局使用”。</x:v>
      </x:c>
      <x:c r="AJ74" s="82" t="str">
        <x:v>采用</x:v>
      </x:c>
      <x:c r="AK74" s="82" t="str">
        <x:v>初审</x:v>
      </x:c>
      <x:c r="AL74" s="87" t="n">
        <x:v>46255</x:v>
      </x:c>
    </x:row>
    <x:row r="75">
      <x:c r="A75" s="72" t="str">
        <x:f>IF(OR(C75="",D75=""),"",B75&amp;"-"&amp;UPPER(C75)&amp;"-"&amp;TEXT(D75,"0000")&amp;"-"&amp;E75)</x:f>
        <x:v>M13-BOUND-0069-V1.0</x:v>
      </x:c>
      <x:c r="B75" s="74" t="str">
        <x:v>M13</x:v>
      </x:c>
      <x:c r="C75" s="74" t="str">
        <x:v>BOUND</x:v>
      </x:c>
      <x:c r="D75" s="215" t="n">
        <x:v>69</x:v>
      </x:c>
      <x:c r="E75" s="74" t="str">
        <x:v>V1.0</x:v>
      </x:c>
      <x:c r="F75" s="68" t="str">
        <x:v>寒暖燥湿不能直接推出身体疾病或现实事件</x:v>
      </x:c>
      <x:c r="G75" s="82" t="str">
        <x:v>结构层</x:v>
      </x:c>
      <x:c r="H75" s="82" t="str">
        <x:v>寒暖燥湿综合</x:v>
      </x:c>
      <x:c r="I75" s="68" t="str">
        <x:v>通用</x:v>
      </x:c>
      <x:c r="J75" s="68" t="str">
        <x:v>M13完成气候判断</x:v>
      </x:c>
      <x:c r="K75" s="68" t="str">
        <x:v>待定</x:v>
      </x:c>
      <x:c r="L75" s="68" t="str">
        <x:v>待定</x:v>
      </x:c>
      <x:c r="M75" s="82" t="str">
        <x:v>待定</x:v>
      </x:c>
      <x:c r="N75" s="82" t="str">
        <x:v>待定</x:v>
      </x:c>
      <x:c r="O75" s="68" t="str">
        <x:v>调候结论仅为命局结构状态</x:v>
      </x:c>
      <x:c r="P75" s="68" t="str">
        <x:v>待定</x:v>
      </x:c>
      <x:c r="Q75" s="68" t="str">
        <x:v>上层应用另行解释</x:v>
      </x:c>
      <x:c r="R75" s="82" t="str">
        <x:v>待定</x:v>
      </x:c>
      <x:c r="S75" s="82" t="str">
        <x:v>待定</x:v>
      </x:c>
      <x:c r="T75" s="82" t="str">
        <x:v>待定</x:v>
      </x:c>
      <x:c r="U75" s="82" t="str">
        <x:v>待定</x:v>
      </x:c>
      <x:c r="V75" s="82" t="str">
        <x:v>待定</x:v>
      </x:c>
      <x:c r="W75" s="68" t="str">
        <x:v>M02基础映射、M08五行有效旺衰、M12流通卡点已完成</x:v>
      </x:c>
      <x:c r="X75" s="68" t="str">
        <x:v>月令基准与全局有效五行均已核查</x:v>
      </x:c>
      <x:c r="Y75" s="68" t="str">
        <x:v>相关调候五行有根有源、透达且能真实改善关键气候问题</x:v>
      </x:c>
      <x:c r="Z75" s="68" t="str">
        <x:v>调候五行无根、受强制、被合绊、改性或加入后产生新的寒热燥湿问题</x:v>
      </x:c>
      <x:c r="AA75" s="90" t="str">
        <x:v>不得只凭出生月份或某一五行数量直接下最终调候结论</x:v>
      </x:c>
      <x:c r="AB75" s="68" t="str">
        <x:v>特殊格局、核心格局用神或更高优先级病药约束转M16—M18裁决</x:v>
      </x:c>
      <x:c r="AC75" s="84" t="str">
        <x:v>调候事件边界</x:v>
      </x:c>
      <x:c r="AD75" s="84" t="str">
        <x:v>M13只输出结构性寒暖燥湿与调候需求，不直接断疾病、婚恋、财富或具体事件。</x:v>
      </x:c>
      <x:c r="AE75" s="82" t="str">
        <x:v>较高</x:v>
      </x:c>
      <x:c r="AF75" s="82" t="str">
        <x:v>调候</x:v>
      </x:c>
      <x:c r="AG75" s="68" t="str">
        <x:v>调候以月令气候为起点，但必须结合M08五行有效力量与M12流通状态修正；寒暖与燥湿分轴判断，调候候选不自动等于全局主用神。</x:v>
      </x:c>
      <x:c r="AH75" s="68" t="str">
        <x:v>当“M13完成气候判断”真实成立，且调候机制能改善主要气候问题时，可按“寒暖燥湿不能直接推出身体疾病或现实事件”记录。</x:v>
      </x:c>
      <x:c r="AI75" s="90" t="str">
        <x:v>仅见月份或表面五行标签，但未满足“M13完成气候判断”及必要修正条件时，不得套用“寒暖燥湿不能直接推出身体疾病或现实事件”。</x:v>
      </x:c>
      <x:c r="AJ75" s="82" t="str">
        <x:v>采用</x:v>
      </x:c>
      <x:c r="AK75" s="82" t="str">
        <x:v>初审</x:v>
      </x:c>
      <x:c r="AL75" s="87" t="n">
        <x:v>46255</x:v>
      </x:c>
    </x:row>
    <x:row r="76">
      <x:c r="A76" s="72" t="str">
        <x:f>IF(OR(C76="",D76=""),"",B76&amp;"-"&amp;UPPER(C76)&amp;"-"&amp;TEXT(D76,"0000")&amp;"-"&amp;E76)</x:f>
        <x:v>M13-BOUND-0070-V1.0</x:v>
      </x:c>
      <x:c r="B76" s="74" t="str">
        <x:v>M13</x:v>
      </x:c>
      <x:c r="C76" s="74" t="str">
        <x:v>BOUND</x:v>
      </x:c>
      <x:c r="D76" s="215" t="n">
        <x:v>70</x:v>
      </x:c>
      <x:c r="E76" s="74" t="str">
        <x:v>V1.0</x:v>
      </x:c>
      <x:c r="F76" s="68" t="str">
        <x:v>M13标准输出必须同时给出双轴、候选及冲突</x:v>
      </x:c>
      <x:c r="G76" s="82" t="str">
        <x:v>结构层</x:v>
      </x:c>
      <x:c r="H76" s="82" t="str">
        <x:v>寒暖燥湿综合</x:v>
      </x:c>
      <x:c r="I76" s="68" t="str">
        <x:v>通用</x:v>
      </x:c>
      <x:c r="J76" s="68" t="str">
        <x:v>完成所有寒暖燥湿规则评估</x:v>
      </x:c>
      <x:c r="K76" s="68" t="str">
        <x:v>待定</x:v>
      </x:c>
      <x:c r="L76" s="68" t="str">
        <x:v>待定</x:v>
      </x:c>
      <x:c r="M76" s="82" t="str">
        <x:v>待定</x:v>
      </x:c>
      <x:c r="N76" s="82" t="str">
        <x:v>待定</x:v>
      </x:c>
      <x:c r="O76" s="68" t="str">
        <x:v>需要可审计的调候结论</x:v>
      </x:c>
      <x:c r="P76" s="68" t="str">
        <x:v>待定</x:v>
      </x:c>
      <x:c r="Q76" s="68" t="str">
        <x:v>统一结构化输出</x:v>
      </x:c>
      <x:c r="R76" s="82" t="str">
        <x:v>待定</x:v>
      </x:c>
      <x:c r="S76" s="82" t="str">
        <x:v>待定</x:v>
      </x:c>
      <x:c r="T76" s="82" t="str">
        <x:v>待定</x:v>
      </x:c>
      <x:c r="U76" s="82" t="str">
        <x:v>待定</x:v>
      </x:c>
      <x:c r="V76" s="82" t="str">
        <x:v>待定</x:v>
      </x:c>
      <x:c r="W76" s="68" t="str">
        <x:v>M02基础映射、M08五行有效旺衰、M12流通卡点已完成</x:v>
      </x:c>
      <x:c r="X76" s="68" t="str">
        <x:v>月令基准与全局有效五行均已核查</x:v>
      </x:c>
      <x:c r="Y76" s="68" t="str">
        <x:v>相关调候五行有根有源、透达且能真实改善关键气候问题</x:v>
      </x:c>
      <x:c r="Z76" s="68" t="str">
        <x:v>调候五行无根、受强制、被合绊、改性或加入后产生新的寒热燥湿问题</x:v>
      </x:c>
      <x:c r="AA76" s="90" t="str">
        <x:v>不得只凭出生月份或某一五行数量直接下最终调候结论</x:v>
      </x:c>
      <x:c r="AB76" s="68" t="str">
        <x:v>特殊格局、核心格局用神或更高优先级病药约束转M16—M18裁决</x:v>
      </x:c>
      <x:c r="AC76" s="84" t="str">
        <x:v>M13标准输出</x:v>
      </x:c>
      <x:c r="AD76" s="84" t="str">
        <x:v>M13最终输出：温度状态、湿度状态、主要气候问题、调候候选五行、存在性、有效性、调候机制、紧急度、与扶抑冲突、与格局冲突、反向证据与置信度。</x:v>
      </x:c>
      <x:c r="AE76" s="82" t="str">
        <x:v>较高</x:v>
      </x:c>
      <x:c r="AF76" s="82" t="str">
        <x:v>调候</x:v>
      </x:c>
      <x:c r="AG76" s="68" t="str">
        <x:v>调候以月令气候为起点，但必须结合M08五行有效力量与M12流通状态修正；寒暖与燥湿分轴判断，调候候选不自动等于全局主用神。</x:v>
      </x:c>
      <x:c r="AH76" s="68" t="str">
        <x:v>当“完成所有寒暖燥湿规则评估”真实成立，且调候机制能改善主要气候问题时，可按“M13标准输出必须同时给出双轴、候选及冲突”记录。</x:v>
      </x:c>
      <x:c r="AI76" s="90" t="str">
        <x:v>仅见月份或表面五行标签，但未满足“完成所有寒暖燥湿规则评估”及必要修正条件时，不得套用“M13标准输出必须同时给出双轴、候选及冲突”。</x:v>
      </x:c>
      <x:c r="AJ76" s="82" t="str">
        <x:v>采用</x:v>
      </x:c>
      <x:c r="AK76" s="82" t="str">
        <x:v>初审</x:v>
      </x:c>
      <x:c r="AL76" s="87" t="n">
        <x:v>46255</x:v>
      </x:c>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30">
    <x:dataValidation type="list" sqref="E6:E105">
      <x:formula1>'99_下拉选项'!$BG$4:$BG$12</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 type="list" sqref="E6:E130">
      <x:formula1>'99_下拉选项'!$BG$4:$BG$14</x:formula1>
    </x:dataValidation>
    <x:dataValidation type="list" sqref="E7:E105">
      <x:formula1>'99_下拉选项'!$BG$4:$BG$22</x:formula1>
    </x:dataValidation>
    <x:dataValidation type="list" sqref="E7:E76">
      <x:formula1>'99_下拉选项'!$BG$4:$BG$14</x:formula1>
    </x:dataValidation>
    <x:dataValidation type="list" sqref="G7:G76">
      <x:formula1>'99_下拉选项'!$F$4:$F$7</x:formula1>
    </x:dataValidation>
    <x:dataValidation type="list" sqref="H7:H76">
      <x:formula1>'99_下拉选项'!$AM$4:$AM$6</x:formula1>
    </x:dataValidation>
    <x:dataValidation type="list" sqref="M7:M76">
      <x:formula1>'99_下拉选项'!$AK$4:$AK$9</x:formula1>
    </x:dataValidation>
    <x:dataValidation type="list" sqref="N7:N76">
      <x:formula1>'99_下拉选项'!$AL$4:$AL$9</x:formula1>
    </x:dataValidation>
    <x:dataValidation type="list" sqref="R7:R76">
      <x:formula1>'99_下拉选项'!$X$4:$X$7</x:formula1>
    </x:dataValidation>
    <x:dataValidation type="list" sqref="S7:S76">
      <x:formula1>'99_下拉选项'!$W$4:$W$8</x:formula1>
    </x:dataValidation>
    <x:dataValidation type="list" sqref="T7:T76">
      <x:formula1>'99_下拉选项'!$AN$4:$AN$8</x:formula1>
    </x:dataValidation>
    <x:dataValidation type="list" sqref="U7:U76">
      <x:formula1>'99_下拉选项'!$X$4:$X$7</x:formula1>
    </x:dataValidation>
    <x:dataValidation type="list" sqref="V7:V76">
      <x:formula1>'99_下拉选项'!$X$4:$X$7</x:formula1>
    </x:dataValidation>
    <x:dataValidation type="list" sqref="AE7:AE76">
      <x:formula1>'99_下拉选项'!$Q$4:$Q$8</x:formula1>
    </x:dataValidation>
    <x:dataValidation type="list" sqref="AF7:AF76">
      <x:formula1>'99_下拉选项'!$R$4:$R$11</x:formula1>
    </x:dataValidation>
    <x:dataValidation type="list" sqref="AJ7:AJ76">
      <x:formula1>'99_下拉选项'!$S$4:$S$9</x:formula1>
    </x:dataValidation>
    <x:dataValidation type="list" sqref="AK7:AK76">
      <x:formula1>'99_下拉选项'!$T$4:$T$8</x:formula1>
    </x:dataValidation>
  </x:dataValidations>
  <x:pageMargins left="0.7" right="0.7" top="0.75" bottom="0.75" header="0.3" footer="0.3"/>
  <x:tableParts count="1">
    <x:tablePart xmlns:r="http://schemas.openxmlformats.org/officeDocument/2006/relationships" r:id="R50c04bb114984707"/>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v>M14-GEN-0001-V1.0</x:v>
      </x:c>
      <x:c r="B7" s="74" t="str">
        <x:v>M14</x:v>
      </x:c>
      <x:c r="C7" s="74" t="str">
        <x:v>GEN</x:v>
      </x:c>
      <x:c r="D7" s="215" t="n">
        <x:v>1</x:v>
      </x:c>
      <x:c r="E7" s="74" t="str">
        <x:v>V1.0</x:v>
      </x:c>
      <x:c r="F7" s="68" t="str">
        <x:v>格局必须先生成候选清单再逐项淘汰</x:v>
      </x:c>
      <x:c r="G7" s="82" t="str">
        <x:v>综合层</x:v>
      </x:c>
      <x:c r="H7" s="82" t="str">
        <x:v>普通格局</x:v>
      </x:c>
      <x:c r="I7" s="68" t="str">
        <x:v>格局候选通用</x:v>
      </x:c>
      <x:c r="J7" s="68" t="str">
        <x:v>先读取月令主气、中气及月令所透十神</x:v>
      </x:c>
      <x:c r="K7" s="68" t="str">
        <x:v>透干可增强候选，但不作为所有格局的绝对唯一条件</x:v>
      </x:c>
      <x:c r="L7" s="82" t="str">
        <x:v>待定</x:v>
      </x:c>
      <x:c r="M7" s="68" t="str">
        <x:v>待定</x:v>
      </x:c>
      <x:c r="N7" s="68" t="str">
        <x:v>待定</x:v>
      </x:c>
      <x:c r="O7" s="68" t="str">
        <x:v>结合M09日主旺衰与承载判断</x:v>
      </x:c>
      <x:c r="P7" s="68" t="str">
        <x:v>同时生成所有达到最低证据门槛的普通、建禄羊刃和特殊格局候选</x:v>
      </x:c>
      <x:c r="Q7" s="68" t="str">
        <x:v>不适用</x:v>
      </x:c>
      <x:c r="R7" s="68" t="str">
        <x:v>格神得令、有根、透达、清纯，并得到有效生扶或制化配合</x:v>
      </x:c>
      <x:c r="S7" s="68" t="str">
        <x:v>存在更强月令主气、格神功能被替代或全局主势明显转向其他结构</x:v>
      </x:c>
      <x:c r="T7" s="90" t="str">
        <x:v>格神失效、无真实功能，或候选只由单一表面十神名称产生</x:v>
      </x:c>
      <x:c r="U7" s="68" t="str">
        <x:v>特殊格局、建禄羊刃及明确从化结构另用专门规则</x:v>
      </x:c>
      <x:c r="V7" s="82" t="str">
        <x:v>候选</x:v>
      </x:c>
      <x:c r="W7" s="68" t="str">
        <x:v>并列候选</x:v>
      </x:c>
      <x:c r="X7" s="84" t="str">
        <x:v>多候选生成</x:v>
      </x:c>
      <x:c r="Y7" s="84" t="str">
        <x:v>先列出全部合格候选，再按月令、格神有效性、主导性和严格门槛淘汰；禁止先定一个格再倒推证据。</x:v>
      </x:c>
      <x:c r="Z7" s="82" t="str">
        <x:v>较高</x:v>
      </x:c>
      <x:c r="AA7" s="82" t="str">
        <x:v>子平格局</x:v>
      </x:c>
      <x:c r="AB7" s="68" t="str">
        <x:v>M14只生成和排除格局候选。候选须综合月令、透干、格神有效力量、清纯度、日主配合与全局主导性；候选成立不等于M15最终成格。</x:v>
      </x:c>
      <x:c r="AC7" s="68" t="str">
        <x:v>月令与格神有效性共同支持“格局候选通用”，且没有决定性否决条件。</x:v>
      </x:c>
      <x:c r="AD7" s="90" t="str">
        <x:v>仅见相关十神或五行出现，但月令、格神有效性或全局主导性不成立，不能直接列“格局候选通用”。</x:v>
      </x:c>
      <x:c r="AE7" s="68" t="str">
        <x:v>https://zh.wikisource.org/zh-hans/%E6%B7%B5%E6%B5%B7%E5%AD%90%E5%B9%B3 ; https://zh.wikisource.org/wiki/%E6%BB%B4%E5%A4%A9%E9%AB%93%E9%97%A1%E5%BE%AE</x:v>
      </x:c>
      <x:c r="AF7" s="82" t="str">
        <x:v>采用</x:v>
      </x:c>
      <x:c r="AG7" s="82" t="str">
        <x:v>初审</x:v>
      </x:c>
      <x:c r="AH7" s="87" t="n">
        <x:v>46260</x:v>
      </x:c>
    </x:row>
    <x:row r="8">
      <x:c r="A8" s="72" t="str">
        <x:f>IF(OR(C8="",D8=""),"",B8&amp;"-"&amp;UPPER(C8)&amp;"-"&amp;TEXT(D8,"0000")&amp;"-"&amp;E8)</x:f>
        <x:v>M14-GEN-0002-V1.0</x:v>
      </x:c>
      <x:c r="B8" s="74" t="str">
        <x:v>M14</x:v>
      </x:c>
      <x:c r="C8" s="74" t="str">
        <x:v>GEN</x:v>
      </x:c>
      <x:c r="D8" s="215" t="n">
        <x:v>2</x:v>
      </x:c>
      <x:c r="E8" s="74" t="str">
        <x:v>V1.0</x:v>
      </x:c>
      <x:c r="F8" s="68" t="str">
        <x:v>月令主气是普通格局的首要候选来源</x:v>
      </x:c>
      <x:c r="G8" s="82" t="str">
        <x:v>综合层</x:v>
      </x:c>
      <x:c r="H8" s="82" t="str">
        <x:v>普通格局</x:v>
      </x:c>
      <x:c r="I8" s="68" t="str">
        <x:v>格局候选通用</x:v>
      </x:c>
      <x:c r="J8" s="68" t="str">
        <x:v>月令本气映射为某十神，且该十神在M10具备有效功能</x:v>
      </x:c>
      <x:c r="K8" s="68" t="str">
        <x:v>透干可增强候选，但不作为所有格局的绝对唯一条件</x:v>
      </x:c>
      <x:c r="L8" s="82" t="str">
        <x:v>待定</x:v>
      </x:c>
      <x:c r="M8" s="68" t="str">
        <x:v>待定</x:v>
      </x:c>
      <x:c r="N8" s="68" t="str">
        <x:v>待定</x:v>
      </x:c>
      <x:c r="O8" s="68" t="str">
        <x:v>结合M09日主旺衰与承载判断</x:v>
      </x:c>
      <x:c r="P8" s="68" t="str">
        <x:v>月令主气十神有效即可生成对应普通格候选</x:v>
      </x:c>
      <x:c r="Q8" s="68" t="str">
        <x:v>不适用</x:v>
      </x:c>
      <x:c r="R8" s="68" t="str">
        <x:v>格神得令、有根、透达、清纯，并得到有效生扶或制化配合</x:v>
      </x:c>
      <x:c r="S8" s="68" t="str">
        <x:v>存在更强月令主气、格神功能被替代或全局主势明显转向其他结构</x:v>
      </x:c>
      <x:c r="T8" s="90" t="str">
        <x:v>格神失效、无真实功能，或候选只由单一表面十神名称产生</x:v>
      </x:c>
      <x:c r="U8" s="68" t="str">
        <x:v>特殊格局、建禄羊刃及明确从化结构另用专门规则</x:v>
      </x:c>
      <x:c r="V8" s="82" t="str">
        <x:v>候选</x:v>
      </x:c>
      <x:c r="W8" s="68" t="str">
        <x:v>月令中气或全局主势候选</x:v>
      </x:c>
      <x:c r="X8" s="84" t="str">
        <x:v>月令主气取候选</x:v>
      </x:c>
      <x:c r="Y8" s="84" t="str">
        <x:v>格局候选通用列为“候选”：主要依据为月令与格神有效性；仍需M15检验成格、破格、救应与层次。</x:v>
      </x:c>
      <x:c r="Z8" s="82" t="str">
        <x:v>较高</x:v>
      </x:c>
      <x:c r="AA8" s="82" t="str">
        <x:v>子平格局</x:v>
      </x:c>
      <x:c r="AB8" s="68" t="str">
        <x:v>M14只生成和排除格局候选。候选须综合月令、透干、格神有效力量、清纯度、日主配合与全局主导性；候选成立不等于M15最终成格。</x:v>
      </x:c>
      <x:c r="AC8" s="68" t="str">
        <x:v>月令与格神有效性共同支持“格局候选通用”，且没有决定性否决条件。</x:v>
      </x:c>
      <x:c r="AD8" s="90" t="str">
        <x:v>仅见相关十神或五行出现，但月令、格神有效性或全局主导性不成立，不能直接列“格局候选通用”。</x:v>
      </x:c>
      <x:c r="AE8" s="68" t="str">
        <x:v>https://zh.wikisource.org/zh-hans/%E6%B7%B5%E6%B5%B7%E5%AD%90%E5%B9%B3 ; https://zh.wikisource.org/wiki/%E6%BB%B4%E5%A4%A9%E9%AB%93%E9%97%A1%E5%BE%AE</x:v>
      </x:c>
      <x:c r="AF8" s="82" t="str">
        <x:v>采用</x:v>
      </x:c>
      <x:c r="AG8" s="82" t="str">
        <x:v>初审</x:v>
      </x:c>
      <x:c r="AH8" s="87" t="n">
        <x:v>46260</x:v>
      </x:c>
    </x:row>
    <x:row r="9">
      <x:c r="A9" s="72" t="str">
        <x:f>IF(OR(C9="",D9=""),"",B9&amp;"-"&amp;UPPER(C9)&amp;"-"&amp;TEXT(D9,"0000")&amp;"-"&amp;E9)</x:f>
        <x:v>M14-GEN-0003-V1.0</x:v>
      </x:c>
      <x:c r="B9" s="74" t="str">
        <x:v>M14</x:v>
      </x:c>
      <x:c r="C9" s="74" t="str">
        <x:v>GEN</x:v>
      </x:c>
      <x:c r="D9" s="215" t="n">
        <x:v>3</x:v>
      </x:c>
      <x:c r="E9" s="74" t="str">
        <x:v>V1.0</x:v>
      </x:c>
      <x:c r="F9" s="68" t="str">
        <x:v>月令中气余气透干可生成次级候选</x:v>
      </x:c>
      <x:c r="G9" s="82" t="str">
        <x:v>综合层</x:v>
      </x:c>
      <x:c r="H9" s="82" t="str">
        <x:v>普通格局</x:v>
      </x:c>
      <x:c r="I9" s="68" t="str">
        <x:v>格局候选通用</x:v>
      </x:c>
      <x:c r="J9" s="68" t="str">
        <x:v>月令中气或余气透干并在M10达到有效水平</x:v>
      </x:c>
      <x:c r="K9" s="68" t="str">
        <x:v>中余气透干且有根有力</x:v>
      </x:c>
      <x:c r="L9" s="82" t="str">
        <x:v>较清</x:v>
      </x:c>
      <x:c r="M9" s="68" t="str">
        <x:v>待定</x:v>
      </x:c>
      <x:c r="N9" s="68" t="str">
        <x:v>待定</x:v>
      </x:c>
      <x:c r="O9" s="68" t="str">
        <x:v>结合M09日主旺衰与承载判断</x:v>
      </x:c>
      <x:c r="P9" s="68" t="str">
        <x:v>月令主气不构成稳定格局，且中余气透出成为主要功能轴</x:v>
      </x:c>
      <x:c r="Q9" s="68" t="str">
        <x:v>不适用</x:v>
      </x:c>
      <x:c r="R9" s="68" t="str">
        <x:v>格神得令、有根、透达、清纯，并得到有效生扶或制化配合</x:v>
      </x:c>
      <x:c r="S9" s="68" t="str">
        <x:v>存在更强月令主气、格神功能被替代或全局主势明显转向其他结构</x:v>
      </x:c>
      <x:c r="T9" s="90" t="str">
        <x:v>格神失效、无真实功能，或候选只由单一表面十神名称产生</x:v>
      </x:c>
      <x:c r="U9" s="68" t="str">
        <x:v>特殊格局、建禄羊刃及明确从化结构另用专门规则</x:v>
      </x:c>
      <x:c r="V9" s="82" t="str">
        <x:v>候选</x:v>
      </x:c>
      <x:c r="W9" s="68" t="str">
        <x:v>月令主气候选</x:v>
      </x:c>
      <x:c r="X9" s="84" t="str">
        <x:v>月令中余气候选</x:v>
      </x:c>
      <x:c r="Y9" s="84" t="str">
        <x:v>格局候选通用列为“候选”：主要依据为月令与格神有效性；仍需M15检验成格、破格、救应与层次。</x:v>
      </x:c>
      <x:c r="Z9" s="82" t="str">
        <x:v>较高</x:v>
      </x:c>
      <x:c r="AA9" s="82" t="str">
        <x:v>子平格局</x:v>
      </x:c>
      <x:c r="AB9" s="68" t="str">
        <x:v>M14只生成和排除格局候选。候选须综合月令、透干、格神有效力量、清纯度、日主配合与全局主导性；候选成立不等于M15最终成格。</x:v>
      </x:c>
      <x:c r="AC9" s="68" t="str">
        <x:v>月令与格神有效性共同支持“格局候选通用”，且没有决定性否决条件。</x:v>
      </x:c>
      <x:c r="AD9" s="90" t="str">
        <x:v>仅见相关十神或五行出现，但月令、格神有效性或全局主导性不成立，不能直接列“格局候选通用”。</x:v>
      </x:c>
      <x:c r="AE9" s="68" t="str">
        <x:v>https://zh.wikisource.org/zh-hans/%E6%B7%B5%E6%B5%B7%E5%AD%90%E5%B9%B3 ; https://zh.wikisource.org/wiki/%E6%BB%B4%E5%A4%A9%E9%AB%93%E9%97%A1%E5%BE%AE</x:v>
      </x:c>
      <x:c r="AF9" s="82" t="str">
        <x:v>采用</x:v>
      </x:c>
      <x:c r="AG9" s="82" t="str">
        <x:v>初审</x:v>
      </x:c>
      <x:c r="AH9" s="87" t="n">
        <x:v>46260</x:v>
      </x:c>
    </x:row>
    <x:row r="10">
      <x:c r="A10" s="72" t="str">
        <x:f>IF(OR(C10="",D10=""),"",B10&amp;"-"&amp;UPPER(C10)&amp;"-"&amp;TEXT(D10,"0000")&amp;"-"&amp;E10)</x:f>
        <x:v>M14-GEN-0004-V1.0</x:v>
      </x:c>
      <x:c r="B10" s="74" t="str">
        <x:v>M14</x:v>
      </x:c>
      <x:c r="C10" s="74" t="str">
        <x:v>GEN</x:v>
      </x:c>
      <x:c r="D10" s="215" t="n">
        <x:v>4</x:v>
      </x:c>
      <x:c r="E10" s="74" t="str">
        <x:v>V1.0</x:v>
      </x:c>
      <x:c r="F10" s="68" t="str">
        <x:v>透干增强格神显性但不自动成格</x:v>
      </x:c>
      <x:c r="G10" s="82" t="str">
        <x:v>综合层</x:v>
      </x:c>
      <x:c r="H10" s="82" t="str">
        <x:v>普通格局</x:v>
      </x:c>
      <x:c r="I10" s="68" t="str">
        <x:v>格局候选通用</x:v>
      </x:c>
      <x:c r="J10" s="68" t="str">
        <x:v>月令或全局已经提供格神来源</x:v>
      </x:c>
      <x:c r="K10" s="68" t="str">
        <x:v>格神透干属于显性增强证据</x:v>
      </x:c>
      <x:c r="L10" s="82" t="str">
        <x:v>待定</x:v>
      </x:c>
      <x:c r="M10" s="68" t="str">
        <x:v>待定</x:v>
      </x:c>
      <x:c r="N10" s="68" t="str">
        <x:v>待定</x:v>
      </x:c>
      <x:c r="O10" s="68" t="str">
        <x:v>结合M09日主旺衰与承载判断</x:v>
      </x:c>
      <x:c r="P10" s="68" t="str">
        <x:v>透干必须与根气、有效力量和全局功能共同成立</x:v>
      </x:c>
      <x:c r="Q10" s="68" t="str">
        <x:v>不适用</x:v>
      </x:c>
      <x:c r="R10" s="68" t="str">
        <x:v>格神得令、有根、透达、清纯，并得到有效生扶或制化配合</x:v>
      </x:c>
      <x:c r="S10" s="68" t="str">
        <x:v>存在更强月令主气、格神功能被替代或全局主势明显转向其他结构</x:v>
      </x:c>
      <x:c r="T10" s="90" t="str">
        <x:v>格神失效、无真实功能，或候选只由单一表面十神名称产生</x:v>
      </x:c>
      <x:c r="U10" s="68" t="str">
        <x:v>特殊格局、建禄羊刃及明确从化结构另用专门规则</x:v>
      </x:c>
      <x:c r="V10" s="82" t="str">
        <x:v>候选</x:v>
      </x:c>
      <x:c r="W10" s="68" t="str">
        <x:v>待定</x:v>
      </x:c>
      <x:c r="X10" s="84" t="str">
        <x:v>透干非充分条件</x:v>
      </x:c>
      <x:c r="Y10" s="84" t="str">
        <x:v>格局候选通用列为“候选”：主要依据为月令与格神有效性；仍需M15检验成格、破格、救应与层次。</x:v>
      </x:c>
      <x:c r="Z10" s="82" t="str">
        <x:v>较高</x:v>
      </x:c>
      <x:c r="AA10" s="82" t="str">
        <x:v>子平格局</x:v>
      </x:c>
      <x:c r="AB10" s="68" t="str">
        <x:v>M14只生成和排除格局候选。候选须综合月令、透干、格神有效力量、清纯度、日主配合与全局主导性；候选成立不等于M15最终成格。</x:v>
      </x:c>
      <x:c r="AC10" s="68" t="str">
        <x:v>月令与格神有效性共同支持“格局候选通用”，且没有决定性否决条件。</x:v>
      </x:c>
      <x:c r="AD10" s="90" t="str">
        <x:v>仅见相关十神或五行出现，但月令、格神有效性或全局主导性不成立，不能直接列“格局候选通用”。</x:v>
      </x:c>
      <x:c r="AE10" s="68" t="str">
        <x:v>https://zh.wikisource.org/zh-hans/%E6%B7%B5%E6%B5%B7%E5%AD%90%E5%B9%B3 ; https://zh.wikisource.org/wiki/%E6%BB%B4%E5%A4%A9%E9%AB%93%E9%97%A1%E5%BE%AE</x:v>
      </x:c>
      <x:c r="AF10" s="82" t="str">
        <x:v>采用</x:v>
      </x:c>
      <x:c r="AG10" s="82" t="str">
        <x:v>初审</x:v>
      </x:c>
      <x:c r="AH10" s="87" t="n">
        <x:v>46260</x:v>
      </x:c>
    </x:row>
    <x:row r="11">
      <x:c r="A11" s="72" t="str">
        <x:f>IF(OR(C11="",D11=""),"",B11&amp;"-"&amp;UPPER(C11)&amp;"-"&amp;TEXT(D11,"0000")&amp;"-"&amp;E11)</x:f>
        <x:v>M14-GEN-0005-V1.0</x:v>
      </x:c>
      <x:c r="B11" s="74" t="str">
        <x:v>M14</x:v>
      </x:c>
      <x:c r="C11" s="74" t="str">
        <x:v>GEN</x:v>
      </x:c>
      <x:c r="D11" s="215" t="n">
        <x:v>5</x:v>
      </x:c>
      <x:c r="E11" s="74" t="str">
        <x:v>V1.0</x:v>
      </x:c>
      <x:c r="F11" s="68" t="str">
        <x:v>格神有根有力是候选稳定性的核心</x:v>
      </x:c>
      <x:c r="G11" s="82" t="str">
        <x:v>综合层</x:v>
      </x:c>
      <x:c r="H11" s="82" t="str">
        <x:v>普通格局</x:v>
      </x:c>
      <x:c r="I11" s="68" t="str">
        <x:v>格局候选通用</x:v>
      </x:c>
      <x:c r="J11" s="68" t="str">
        <x:v>待核查月令主气、中气与全局主势</x:v>
      </x:c>
      <x:c r="K11" s="68" t="str">
        <x:v>透干可增强候选，但不作为所有格局的绝对唯一条件</x:v>
      </x:c>
      <x:c r="L11" s="82" t="str">
        <x:v>待定</x:v>
      </x:c>
      <x:c r="M11" s="68" t="str">
        <x:v>至少存在一个可调用的有效根或稳定生源</x:v>
      </x:c>
      <x:c r="N11" s="68" t="str">
        <x:v>中和以上通常形成较稳定候选；偏弱时仅作弱候选</x:v>
      </x:c>
      <x:c r="O11" s="68" t="str">
        <x:v>结合M09日主旺衰与承载判断</x:v>
      </x:c>
      <x:c r="P11" s="68" t="str">
        <x:v>格神并非名义存在，而能真实执行对应十神功能</x:v>
      </x:c>
      <x:c r="Q11" s="68" t="str">
        <x:v>不适用</x:v>
      </x:c>
      <x:c r="R11" s="68" t="str">
        <x:v>格神得令、有根、透达、清纯，并得到有效生扶或制化配合</x:v>
      </x:c>
      <x:c r="S11" s="68" t="str">
        <x:v>存在更强月令主气、格神功能被替代或全局主势明显转向其他结构</x:v>
      </x:c>
      <x:c r="T11" s="90" t="str">
        <x:v>格神失效、无真实功能，或候选只由单一表面十神名称产生</x:v>
      </x:c>
      <x:c r="U11" s="68" t="str">
        <x:v>特殊格局、建禄羊刃及明确从化结构另用专门规则</x:v>
      </x:c>
      <x:c r="V11" s="82" t="str">
        <x:v>基本成立</x:v>
      </x:c>
      <x:c r="W11" s="68" t="str">
        <x:v>待定</x:v>
      </x:c>
      <x:c r="X11" s="84" t="str">
        <x:v>格神有效性门槛</x:v>
      </x:c>
      <x:c r="Y11" s="84" t="str">
        <x:v>格局候选通用列为“基本成立”：主要依据为月令与格神有效性；仍需M15检验成格、破格、救应与层次。</x:v>
      </x:c>
      <x:c r="Z11" s="82" t="str">
        <x:v>较高</x:v>
      </x:c>
      <x:c r="AA11" s="82" t="str">
        <x:v>子平格局</x:v>
      </x:c>
      <x:c r="AB11" s="68" t="str">
        <x:v>M14只生成和排除格局候选。候选须综合月令、透干、格神有效力量、清纯度、日主配合与全局主导性；候选成立不等于M15最终成格。</x:v>
      </x:c>
      <x:c r="AC11" s="68" t="str">
        <x:v>月令与格神有效性共同支持“格局候选通用”，且没有决定性否决条件。</x:v>
      </x:c>
      <x:c r="AD11" s="90" t="str">
        <x:v>仅见相关十神或五行出现，但月令、格神有效性或全局主导性不成立，不能直接列“格局候选通用”。</x:v>
      </x:c>
      <x:c r="AE11" s="68" t="str">
        <x:v>https://zh.wikisource.org/zh-hans/%E6%B7%B5%E6%B5%B7%E5%AD%90%E5%B9%B3 ; https://zh.wikisource.org/wiki/%E6%BB%B4%E5%A4%A9%E9%AB%93%E9%97%A1%E5%BE%AE</x:v>
      </x:c>
      <x:c r="AF11" s="82" t="str">
        <x:v>采用</x:v>
      </x:c>
      <x:c r="AG11" s="82" t="str">
        <x:v>初审</x:v>
      </x:c>
      <x:c r="AH11" s="87" t="n">
        <x:v>46260</x:v>
      </x:c>
    </x:row>
    <x:row r="12">
      <x:c r="A12" s="72" t="str">
        <x:f>IF(OR(C12="",D12=""),"",B12&amp;"-"&amp;UPPER(C12)&amp;"-"&amp;TEXT(D12,"0000")&amp;"-"&amp;E12)</x:f>
        <x:v>M14-GEN-0006-V1.0</x:v>
      </x:c>
      <x:c r="B12" s="74" t="str">
        <x:v>M14</x:v>
      </x:c>
      <x:c r="C12" s="74" t="str">
        <x:v>GEN</x:v>
      </x:c>
      <x:c r="D12" s="215" t="n">
        <x:v>6</x:v>
      </x:c>
      <x:c r="E12" s="74" t="str">
        <x:v>V1.0</x:v>
      </x:c>
      <x:c r="F12" s="68" t="str">
        <x:v>日主配合决定候选能否运行但不单独决定取格</x:v>
      </x:c>
      <x:c r="G12" s="82" t="str">
        <x:v>综合层</x:v>
      </x:c>
      <x:c r="H12" s="82" t="str">
        <x:v>普通格局</x:v>
      </x:c>
      <x:c r="I12" s="68" t="str">
        <x:v>格局候选通用</x:v>
      </x:c>
      <x:c r="J12" s="68" t="str">
        <x:v>待核查月令主气、中气与全局主势</x:v>
      </x:c>
      <x:c r="K12" s="68" t="str">
        <x:v>透干可增强候选，但不作为所有格局的绝对唯一条件</x:v>
      </x:c>
      <x:c r="L12" s="82" t="str">
        <x:v>待定</x:v>
      </x:c>
      <x:c r="M12" s="68" t="str">
        <x:v>待定</x:v>
      </x:c>
      <x:c r="N12" s="68" t="str">
        <x:v>待定</x:v>
      </x:c>
      <x:c r="O12" s="68" t="str">
        <x:v>日主能够承受格神带来的生、制、泄、耗，或存在有效制化承载</x:v>
      </x:c>
      <x:c r="P12" s="68" t="str">
        <x:v>月令与格神候选已成立，再检查日主是否能配合</x:v>
      </x:c>
      <x:c r="Q12" s="68" t="str">
        <x:v>不适用</x:v>
      </x:c>
      <x:c r="R12" s="68" t="str">
        <x:v>格神得令、有根、透达、清纯，并得到有效生扶或制化配合</x:v>
      </x:c>
      <x:c r="S12" s="68" t="str">
        <x:v>存在更强月令主气、格神功能被替代或全局主势明显转向其他结构</x:v>
      </x:c>
      <x:c r="T12" s="90" t="str">
        <x:v>格神失效、无真实功能，或候选只由单一表面十神名称产生</x:v>
      </x:c>
      <x:c r="U12" s="68" t="str">
        <x:v>特殊格局、建禄羊刃及明确从化结构另用专门规则</x:v>
      </x:c>
      <x:c r="V12" s="82" t="str">
        <x:v>候选</x:v>
      </x:c>
      <x:c r="W12" s="68" t="str">
        <x:v>待定</x:v>
      </x:c>
      <x:c r="X12" s="84" t="str">
        <x:v>日主配合门槛</x:v>
      </x:c>
      <x:c r="Y12" s="84" t="str">
        <x:v>格局候选通用列为“候选”：主要依据为月令与格神有效性；仍需M15检验成格、破格、救应与层次。</x:v>
      </x:c>
      <x:c r="Z12" s="82" t="str">
        <x:v>较高</x:v>
      </x:c>
      <x:c r="AA12" s="82" t="str">
        <x:v>子平格局</x:v>
      </x:c>
      <x:c r="AB12" s="68" t="str">
        <x:v>M14只生成和排除格局候选。候选须综合月令、透干、格神有效力量、清纯度、日主配合与全局主导性；候选成立不等于M15最终成格。</x:v>
      </x:c>
      <x:c r="AC12" s="68" t="str">
        <x:v>月令与格神有效性共同支持“格局候选通用”，且没有决定性否决条件。</x:v>
      </x:c>
      <x:c r="AD12" s="90" t="str">
        <x:v>仅见相关十神或五行出现，但月令、格神有效性或全局主导性不成立，不能直接列“格局候选通用”。</x:v>
      </x:c>
      <x:c r="AE12" s="68" t="str">
        <x:v>https://zh.wikisource.org/zh-hans/%E6%B7%B5%E6%B5%B7%E5%AD%90%E5%B9%B3 ; https://zh.wikisource.org/wiki/%E6%BB%B4%E5%A4%A9%E9%AB%93%E9%97%A1%E5%BE%AE</x:v>
      </x:c>
      <x:c r="AF12" s="82" t="str">
        <x:v>采用</x:v>
      </x:c>
      <x:c r="AG12" s="82" t="str">
        <x:v>初审</x:v>
      </x:c>
      <x:c r="AH12" s="87" t="n">
        <x:v>46260</x:v>
      </x:c>
    </x:row>
    <x:row r="13">
      <x:c r="A13" s="72" t="str">
        <x:f>IF(OR(C13="",D13=""),"",B13&amp;"-"&amp;UPPER(C13)&amp;"-"&amp;TEXT(D13,"0000")&amp;"-"&amp;E13)</x:f>
        <x:v>M14-GEN-0007-V1.0</x:v>
      </x:c>
      <x:c r="B13" s="74" t="str">
        <x:v>M14</x:v>
      </x:c>
      <x:c r="C13" s="74" t="str">
        <x:v>GEN</x:v>
      </x:c>
      <x:c r="D13" s="215" t="n">
        <x:v>7</x:v>
      </x:c>
      <x:c r="E13" s="74" t="str">
        <x:v>V1.0</x:v>
      </x:c>
      <x:c r="F13" s="68" t="str">
        <x:v>主气清纯度用于候选排序而非单项否决</x:v>
      </x:c>
      <x:c r="G13" s="82" t="str">
        <x:v>综合层</x:v>
      </x:c>
      <x:c r="H13" s="82" t="str">
        <x:v>普通格局</x:v>
      </x:c>
      <x:c r="I13" s="68" t="str">
        <x:v>格局候选通用</x:v>
      </x:c>
      <x:c r="J13" s="68" t="str">
        <x:v>待核查月令主气、中气与全局主势</x:v>
      </x:c>
      <x:c r="K13" s="68" t="str">
        <x:v>透干可增强候选，但不作为所有格局的绝对唯一条件</x:v>
      </x:c>
      <x:c r="L13" s="82" t="str">
        <x:v>待定</x:v>
      </x:c>
      <x:c r="M13" s="68" t="str">
        <x:v>待定</x:v>
      </x:c>
      <x:c r="N13" s="68" t="str">
        <x:v>待定</x:v>
      </x:c>
      <x:c r="O13" s="68" t="str">
        <x:v>结合M09日主旺衰与承载判断</x:v>
      </x:c>
      <x:c r="P13" s="68" t="str">
        <x:v>同类正偏十神、官杀、食伤或印枭并见时判断主从与有效性</x:v>
      </x:c>
      <x:c r="Q13" s="68" t="str">
        <x:v>不适用</x:v>
      </x:c>
      <x:c r="R13" s="68" t="str">
        <x:v>格神得令、有根、透达、清纯，并得到有效生扶或制化配合</x:v>
      </x:c>
      <x:c r="S13" s="68" t="str">
        <x:v>严重混杂且无清化会降低候选优先级</x:v>
      </x:c>
      <x:c r="T13" s="90" t="str">
        <x:v>只有当混杂使格神功能完全无法主导时才否决</x:v>
      </x:c>
      <x:c r="U13" s="68" t="str">
        <x:v>特殊格局、建禄羊刃及明确从化结构另用专门规则</x:v>
      </x:c>
      <x:c r="V13" s="82" t="str">
        <x:v>候选</x:v>
      </x:c>
      <x:c r="W13" s="68" t="str">
        <x:v>清化后的次级候选</x:v>
      </x:c>
      <x:c r="X13" s="84" t="str">
        <x:v>清纯度排序</x:v>
      </x:c>
      <x:c r="Y13" s="84" t="str">
        <x:v>格局候选通用列为“候选”：主要依据为月令与格神有效性；仍需M15检验成格、破格、救应与层次。</x:v>
      </x:c>
      <x:c r="Z13" s="82" t="str">
        <x:v>较高</x:v>
      </x:c>
      <x:c r="AA13" s="82" t="str">
        <x:v>子平格局</x:v>
      </x:c>
      <x:c r="AB13" s="68" t="str">
        <x:v>M14只生成和排除格局候选。候选须综合月令、透干、格神有效力量、清纯度、日主配合与全局主导性；候选成立不等于M15最终成格。</x:v>
      </x:c>
      <x:c r="AC13" s="68" t="str">
        <x:v>月令与格神有效性共同支持“格局候选通用”，且没有决定性否决条件。</x:v>
      </x:c>
      <x:c r="AD13" s="90" t="str">
        <x:v>仅见相关十神或五行出现，但月令、格神有效性或全局主导性不成立，不能直接列“格局候选通用”。</x:v>
      </x:c>
      <x:c r="AE13" s="68" t="str">
        <x:v>https://zh.wikisource.org/zh-hans/%E6%B7%B5%E6%B5%B7%E5%AD%90%E5%B9%B3 ; https://zh.wikisource.org/wiki/%E6%BB%B4%E5%A4%A9%E9%AB%93%E9%97%A1%E5%BE%AE</x:v>
      </x:c>
      <x:c r="AF13" s="82" t="str">
        <x:v>采用</x:v>
      </x:c>
      <x:c r="AG13" s="82" t="str">
        <x:v>初审</x:v>
      </x:c>
      <x:c r="AH13" s="87" t="n">
        <x:v>46260</x:v>
      </x:c>
    </x:row>
    <x:row r="14">
      <x:c r="A14" s="72" t="str">
        <x:f>IF(OR(C14="",D14=""),"",B14&amp;"-"&amp;UPPER(C14)&amp;"-"&amp;TEXT(D14,"0000")&amp;"-"&amp;E14)</x:f>
        <x:v>M14-GEN-0008-V1.0</x:v>
      </x:c>
      <x:c r="B14" s="74" t="str">
        <x:v>M14</x:v>
      </x:c>
      <x:c r="C14" s="74" t="str">
        <x:v>GEN</x:v>
      </x:c>
      <x:c r="D14" s="215" t="n">
        <x:v>8</x:v>
      </x:c>
      <x:c r="E14" s="74" t="str">
        <x:v>V1.0</x:v>
      </x:c>
      <x:c r="F14" s="68" t="str">
        <x:v>组合成立只为格局提供支持不能替代月令取格</x:v>
      </x:c>
      <x:c r="G14" s="82" t="str">
        <x:v>综合层</x:v>
      </x:c>
      <x:c r="H14" s="82" t="str">
        <x:v>普通格局</x:v>
      </x:c>
      <x:c r="I14" s="68" t="str">
        <x:v>格局候选通用</x:v>
      </x:c>
      <x:c r="J14" s="68" t="str">
        <x:v>待核查月令主气、中气与全局主势</x:v>
      </x:c>
      <x:c r="K14" s="68" t="str">
        <x:v>透干可增强候选，但不作为所有格局的绝对唯一条件</x:v>
      </x:c>
      <x:c r="L14" s="82" t="str">
        <x:v>待定</x:v>
      </x:c>
      <x:c r="M14" s="68" t="str">
        <x:v>待定</x:v>
      </x:c>
      <x:c r="N14" s="68" t="str">
        <x:v>待定</x:v>
      </x:c>
      <x:c r="O14" s="68" t="str">
        <x:v>结合M09日主旺衰与承载判断</x:v>
      </x:c>
      <x:c r="P14" s="68" t="str">
        <x:v>M11组合达到基本成立以上，并与月令格神方向一致</x:v>
      </x:c>
      <x:c r="Q14" s="68" t="str">
        <x:v>不适用</x:v>
      </x:c>
      <x:c r="R14" s="68" t="str">
        <x:v>格神得令、有根、透达、清纯，并得到有效生扶或制化配合</x:v>
      </x:c>
      <x:c r="S14" s="68" t="str">
        <x:v>组合仅局部成立但不主导全局</x:v>
      </x:c>
      <x:c r="T14" s="90" t="str">
        <x:v>格神失效、无真实功能，或候选只由单一表面十神名称产生</x:v>
      </x:c>
      <x:c r="U14" s="68" t="str">
        <x:v>特殊格局、建禄羊刃及明确从化结构另用专门规则</x:v>
      </x:c>
      <x:c r="V14" s="82" t="str">
        <x:v>候选</x:v>
      </x:c>
      <x:c r="W14" s="68" t="str">
        <x:v>局部组合候选</x:v>
      </x:c>
      <x:c r="X14" s="84" t="str">
        <x:v>组合与格局分层</x:v>
      </x:c>
      <x:c r="Y14" s="84" t="str">
        <x:v>M11组合可增强格局候选，但不能直接把局部食神制杀、官印相生等组合升级为最终格局。</x:v>
      </x:c>
      <x:c r="Z14" s="82" t="str">
        <x:v>较高</x:v>
      </x:c>
      <x:c r="AA14" s="82" t="str">
        <x:v>子平格局</x:v>
      </x:c>
      <x:c r="AB14" s="68" t="str">
        <x:v>M14只生成和排除格局候选。候选须综合月令、透干、格神有效力量、清纯度、日主配合与全局主导性；候选成立不等于M15最终成格。</x:v>
      </x:c>
      <x:c r="AC14" s="68" t="str">
        <x:v>月令与格神有效性共同支持“格局候选通用”，且没有决定性否决条件。</x:v>
      </x:c>
      <x:c r="AD14" s="90" t="str">
        <x:v>仅见相关十神或五行出现，但月令、格神有效性或全局主导性不成立，不能直接列“格局候选通用”。</x:v>
      </x:c>
      <x:c r="AE14" s="68" t="str">
        <x:v>https://zh.wikisource.org/zh-hans/%E6%B7%B5%E6%B5%B7%E5%AD%90%E5%B9%B3 ; https://zh.wikisource.org/wiki/%E6%BB%B4%E5%A4%A9%E9%AB%93%E9%97%A1%E5%BE%AE</x:v>
      </x:c>
      <x:c r="AF14" s="82" t="str">
        <x:v>采用</x:v>
      </x:c>
      <x:c r="AG14" s="82" t="str">
        <x:v>初审</x:v>
      </x:c>
      <x:c r="AH14" s="87" t="n">
        <x:v>46260</x:v>
      </x:c>
    </x:row>
    <x:row r="15">
      <x:c r="A15" s="72" t="str">
        <x:f>IF(OR(C15="",D15=""),"",B15&amp;"-"&amp;UPPER(C15)&amp;"-"&amp;TEXT(D15,"0000")&amp;"-"&amp;E15)</x:f>
        <x:v>M14-GUAN-0009-V1.0</x:v>
      </x:c>
      <x:c r="B15" s="74" t="str">
        <x:v>M14</x:v>
      </x:c>
      <x:c r="C15" s="74" t="str">
        <x:v>GUAN</x:v>
      </x:c>
      <x:c r="D15" s="215" t="n">
        <x:v>9</x:v>
      </x:c>
      <x:c r="E15" s="74" t="str">
        <x:v>V1.0</x:v>
      </x:c>
      <x:c r="F15" s="68" t="str">
        <x:v>月令正官主气生成正官格候选</x:v>
      </x:c>
      <x:c r="G15" s="82" t="str">
        <x:v>综合层</x:v>
      </x:c>
      <x:c r="H15" s="82" t="str">
        <x:v>普通格局</x:v>
      </x:c>
      <x:c r="I15" s="68" t="str">
        <x:v>正官格候选</x:v>
      </x:c>
      <x:c r="J15" s="68" t="str">
        <x:v>月令本气为正官，或月令官星得令并成为主要功能轴</x:v>
      </x:c>
      <x:c r="K15" s="68" t="str">
        <x:v>正官透干为强增强条件</x:v>
      </x:c>
      <x:c r="L15" s="82" t="str">
        <x:v>较清</x:v>
      </x:c>
      <x:c r="M15" s="68" t="str">
        <x:v>正官有根</x:v>
      </x:c>
      <x:c r="N15" s="68" t="str">
        <x:v>中和偏旺</x:v>
      </x:c>
      <x:c r="O15" s="68" t="str">
        <x:v>日主有根有承载，官制身不过度</x:v>
      </x:c>
      <x:c r="P15" s="68" t="str">
        <x:v>正官得令、有效且能够稳定制身</x:v>
      </x:c>
      <x:c r="Q15" s="68" t="str">
        <x:v>不适用</x:v>
      </x:c>
      <x:c r="R15" s="68" t="str">
        <x:v>格神得令、有根、透达、清纯，并得到有效生扶或制化配合</x:v>
      </x:c>
      <x:c r="S15" s="68" t="str">
        <x:v>存在更强月令主气、格神功能被替代或全局主势明显转向其他结构</x:v>
      </x:c>
      <x:c r="T15" s="90" t="str">
        <x:v>格神失效、无真实功能，或候选只由单一表面十神名称产生</x:v>
      </x:c>
      <x:c r="U15" s="68" t="str">
        <x:v>特殊格局、建禄羊刃及明确从化结构另用专门规则</x:v>
      </x:c>
      <x:c r="V15" s="82" t="str">
        <x:v>候选</x:v>
      </x:c>
      <x:c r="W15" s="68" t="str">
        <x:v>官印相生、财官相生候选</x:v>
      </x:c>
      <x:c r="X15" s="84" t="str">
        <x:v>正官格候选_候选</x:v>
      </x:c>
      <x:c r="Y15" s="84" t="str">
        <x:v>正官格候选列为“候选”：主要依据为月令与格神有效性；仍需M15检验成格、破格、救应与层次。</x:v>
      </x:c>
      <x:c r="Z15" s="82" t="str">
        <x:v>较高</x:v>
      </x:c>
      <x:c r="AA15" s="82" t="str">
        <x:v>子平格局</x:v>
      </x:c>
      <x:c r="AB15" s="68" t="str">
        <x:v>M14只生成和排除格局候选。候选须综合月令、透干、格神有效力量、清纯度、日主配合与全局主导性；候选成立不等于M15最终成格。</x:v>
      </x:c>
      <x:c r="AC15" s="68" t="str">
        <x:v>月令与格神有效性共同支持“正官格候选”，且没有决定性否决条件。</x:v>
      </x:c>
      <x:c r="AD15" s="90" t="str">
        <x:v>仅见相关十神或五行出现，但月令、格神有效性或全局主导性不成立，不能直接列“正官格候选”。</x:v>
      </x:c>
      <x:c r="AE15" s="68" t="str">
        <x:v>https://zh.wikisource.org/zh-hans/%E6%B7%B5%E6%B5%B7%E5%AD%90%E5%B9%B3 ; https://zh.wikisource.org/wiki/%E6%BB%B4%E5%A4%A9%E9%AB%93%E9%97%A1%E5%BE%AE</x:v>
      </x:c>
      <x:c r="AF15" s="82" t="str">
        <x:v>采用</x:v>
      </x:c>
      <x:c r="AG15" s="82" t="str">
        <x:v>初审</x:v>
      </x:c>
      <x:c r="AH15" s="87" t="n">
        <x:v>46260</x:v>
      </x:c>
    </x:row>
    <x:row r="16">
      <x:c r="A16" s="72" t="str">
        <x:f>IF(OR(C16="",D16=""),"",B16&amp;"-"&amp;UPPER(C16)&amp;"-"&amp;TEXT(D16,"0000")&amp;"-"&amp;E16)</x:f>
        <x:v>M14-GUAN-0010-V1.0</x:v>
      </x:c>
      <x:c r="B16" s="74" t="str">
        <x:v>M14</x:v>
      </x:c>
      <x:c r="C16" s="74" t="str">
        <x:v>GUAN</x:v>
      </x:c>
      <x:c r="D16" s="215" t="n">
        <x:v>10</x:v>
      </x:c>
      <x:c r="E16" s="74" t="str">
        <x:v>V1.0</x:v>
      </x:c>
      <x:c r="F16" s="68" t="str">
        <x:v>月令藏官透干可生成正官格次候选</x:v>
      </x:c>
      <x:c r="G16" s="82" t="str">
        <x:v>综合层</x:v>
      </x:c>
      <x:c r="H16" s="82" t="str">
        <x:v>普通格局</x:v>
      </x:c>
      <x:c r="I16" s="68" t="str">
        <x:v>正官格候选</x:v>
      </x:c>
      <x:c r="J16" s="68" t="str">
        <x:v>月令藏正官且正官透干，月令主气未形成更强替代格</x:v>
      </x:c>
      <x:c r="K16" s="68" t="str">
        <x:v>正官透干并有根</x:v>
      </x:c>
      <x:c r="L16" s="82" t="str">
        <x:v>较清</x:v>
      </x:c>
      <x:c r="M16" s="68" t="str">
        <x:v>有根</x:v>
      </x:c>
      <x:c r="N16" s="68" t="str">
        <x:v>中和</x:v>
      </x:c>
      <x:c r="O16" s="68" t="str">
        <x:v>结合M09日主旺衰与承载判断</x:v>
      </x:c>
      <x:c r="P16" s="68" t="str">
        <x:v>官星由月令引出并成为显性结构核心</x:v>
      </x:c>
      <x:c r="Q16" s="68" t="str">
        <x:v>不适用</x:v>
      </x:c>
      <x:c r="R16" s="68" t="str">
        <x:v>格神得令、有根、透达、清纯，并得到有效生扶或制化配合</x:v>
      </x:c>
      <x:c r="S16" s="68" t="str">
        <x:v>存在更强月令主气、格神功能被替代或全局主势明显转向其他结构</x:v>
      </x:c>
      <x:c r="T16" s="90" t="str">
        <x:v>格神失效、无真实功能，或候选只由单一表面十神名称产生</x:v>
      </x:c>
      <x:c r="U16" s="68" t="str">
        <x:v>特殊格局、建禄羊刃及明确从化结构另用专门规则</x:v>
      </x:c>
      <x:c r="V16" s="82" t="str">
        <x:v>候选</x:v>
      </x:c>
      <x:c r="W16" s="68" t="str">
        <x:v>月令主气候选</x:v>
      </x:c>
      <x:c r="X16" s="84" t="str">
        <x:v>正官格候选_候选</x:v>
      </x:c>
      <x:c r="Y16" s="84" t="str">
        <x:v>正官格候选列为“候选”：主要依据为月令与格神有效性；仍需M15检验成格、破格、救应与层次。</x:v>
      </x:c>
      <x:c r="Z16" s="82" t="str">
        <x:v>较高</x:v>
      </x:c>
      <x:c r="AA16" s="82" t="str">
        <x:v>子平格局</x:v>
      </x:c>
      <x:c r="AB16" s="68" t="str">
        <x:v>M14只生成和排除格局候选。候选须综合月令、透干、格神有效力量、清纯度、日主配合与全局主导性；候选成立不等于M15最终成格。</x:v>
      </x:c>
      <x:c r="AC16" s="68" t="str">
        <x:v>月令与格神有效性共同支持“正官格候选”，且没有决定性否决条件。</x:v>
      </x:c>
      <x:c r="AD16" s="90" t="str">
        <x:v>仅见相关十神或五行出现，但月令、格神有效性或全局主导性不成立，不能直接列“正官格候选”。</x:v>
      </x:c>
      <x:c r="AE16" s="68" t="str">
        <x:v>https://zh.wikisource.org/zh-hans/%E6%B7%B5%E6%B5%B7%E5%AD%90%E5%B9%B3 ; https://zh.wikisource.org/wiki/%E6%BB%B4%E5%A4%A9%E9%AB%93%E9%97%A1%E5%BE%AE</x:v>
      </x:c>
      <x:c r="AF16" s="82" t="str">
        <x:v>采用</x:v>
      </x:c>
      <x:c r="AG16" s="82" t="str">
        <x:v>初审</x:v>
      </x:c>
      <x:c r="AH16" s="87" t="n">
        <x:v>46260</x:v>
      </x:c>
    </x:row>
    <x:row r="17">
      <x:c r="A17" s="72" t="str">
        <x:f>IF(OR(C17="",D17=""),"",B17&amp;"-"&amp;UPPER(C17)&amp;"-"&amp;TEXT(D17,"0000")&amp;"-"&amp;E17)</x:f>
        <x:v>M14-GUAN-0011-V1.0</x:v>
      </x:c>
      <x:c r="B17" s="74" t="str">
        <x:v>M14</x:v>
      </x:c>
      <x:c r="C17" s="74" t="str">
        <x:v>GUAN</x:v>
      </x:c>
      <x:c r="D17" s="215" t="n">
        <x:v>11</x:v>
      </x:c>
      <x:c r="E17" s="74" t="str">
        <x:v>V1.0</x:v>
      </x:c>
      <x:c r="F17" s="68" t="str">
        <x:v>官印相生可增强正官格候选</x:v>
      </x:c>
      <x:c r="G17" s="82" t="str">
        <x:v>综合层</x:v>
      </x:c>
      <x:c r="H17" s="82" t="str">
        <x:v>普通格局</x:v>
      </x:c>
      <x:c r="I17" s="68" t="str">
        <x:v>正官格候选</x:v>
      </x:c>
      <x:c r="J17" s="68" t="str">
        <x:v>正官具有月令依据</x:v>
      </x:c>
      <x:c r="K17" s="68" t="str">
        <x:v>官印均透或功能清晰</x:v>
      </x:c>
      <x:c r="L17" s="82" t="str">
        <x:v>较清</x:v>
      </x:c>
      <x:c r="M17" s="68" t="str">
        <x:v>官印均有有效根源</x:v>
      </x:c>
      <x:c r="N17" s="68" t="str">
        <x:v>中和偏旺</x:v>
      </x:c>
      <x:c r="O17" s="68" t="str">
        <x:v>印能承接官气并生日主</x:v>
      </x:c>
      <x:c r="P17" s="68" t="str">
        <x:v>M11官印相生达到基本成立以上</x:v>
      </x:c>
      <x:c r="Q17" s="68" t="str">
        <x:v>不适用</x:v>
      </x:c>
      <x:c r="R17" s="68" t="str">
        <x:v>格神得令、有根、透达、清纯，并得到有效生扶或制化配合</x:v>
      </x:c>
      <x:c r="S17" s="68" t="str">
        <x:v>存在更强月令主气、格神功能被替代或全局主势明显转向其他结构</x:v>
      </x:c>
      <x:c r="T17" s="90" t="str">
        <x:v>格神失效、无真实功能，或候选只由单一表面十神名称产生</x:v>
      </x:c>
      <x:c r="U17" s="68" t="str">
        <x:v>特殊格局、建禄羊刃及明确从化结构另用专门规则</x:v>
      </x:c>
      <x:c r="V17" s="82" t="str">
        <x:v>基本成立</x:v>
      </x:c>
      <x:c r="W17" s="68" t="str">
        <x:v>正印格候选</x:v>
      </x:c>
      <x:c r="X17" s="84" t="str">
        <x:v>正官格候选_候选</x:v>
      </x:c>
      <x:c r="Y17" s="84" t="str">
        <x:v>正官格候选列为“基本成立”：主要依据为月令与格神有效性；仍需M15检验成格、破格、救应与层次。</x:v>
      </x:c>
      <x:c r="Z17" s="82" t="str">
        <x:v>较高</x:v>
      </x:c>
      <x:c r="AA17" s="82" t="str">
        <x:v>子平格局</x:v>
      </x:c>
      <x:c r="AB17" s="68" t="str">
        <x:v>M14只生成和排除格局候选。候选须综合月令、透干、格神有效力量、清纯度、日主配合与全局主导性；候选成立不等于M15最终成格。</x:v>
      </x:c>
      <x:c r="AC17" s="68" t="str">
        <x:v>月令与格神有效性共同支持“正官格候选”，且没有决定性否决条件。</x:v>
      </x:c>
      <x:c r="AD17" s="90" t="str">
        <x:v>仅见相关十神或五行出现，但月令、格神有效性或全局主导性不成立，不能直接列“正官格候选”。</x:v>
      </x:c>
      <x:c r="AE17" s="68" t="str">
        <x:v>https://zh.wikisource.org/zh-hans/%E6%B7%B5%E6%B5%B7%E5%AD%90%E5%B9%B3 ; https://zh.wikisource.org/wiki/%E6%BB%B4%E5%A4%A9%E9%AB%93%E9%97%A1%E5%BE%AE</x:v>
      </x:c>
      <x:c r="AF17" s="82" t="str">
        <x:v>采用</x:v>
      </x:c>
      <x:c r="AG17" s="82" t="str">
        <x:v>初审</x:v>
      </x:c>
      <x:c r="AH17" s="87" t="n">
        <x:v>46260</x:v>
      </x:c>
    </x:row>
    <x:row r="18">
      <x:c r="A18" s="72" t="str">
        <x:f>IF(OR(C18="",D18=""),"",B18&amp;"-"&amp;UPPER(C18)&amp;"-"&amp;TEXT(D18,"0000")&amp;"-"&amp;E18)</x:f>
        <x:v>M14-GUAN-0012-V1.0</x:v>
      </x:c>
      <x:c r="B18" s="74" t="str">
        <x:v>M14</x:v>
      </x:c>
      <x:c r="C18" s="74" t="str">
        <x:v>GUAN</x:v>
      </x:c>
      <x:c r="D18" s="215" t="n">
        <x:v>12</x:v>
      </x:c>
      <x:c r="E18" s="74" t="str">
        <x:v>V1.0</x:v>
      </x:c>
      <x:c r="F18" s="68" t="str">
        <x:v>财生官可增强正官格候选但须防财坏印</x:v>
      </x:c>
      <x:c r="G18" s="82" t="str">
        <x:v>综合层</x:v>
      </x:c>
      <x:c r="H18" s="82" t="str">
        <x:v>普通格局</x:v>
      </x:c>
      <x:c r="I18" s="68" t="str">
        <x:v>正官格候选</x:v>
      </x:c>
      <x:c r="J18" s="68" t="str">
        <x:v>正官候选已生成</x:v>
      </x:c>
      <x:c r="K18" s="68" t="str">
        <x:v>财官作用路径清晰</x:v>
      </x:c>
      <x:c r="L18" s="82" t="str">
        <x:v>待定</x:v>
      </x:c>
      <x:c r="M18" s="68" t="str">
        <x:v>待定</x:v>
      </x:c>
      <x:c r="N18" s="68" t="str">
        <x:v>待定</x:v>
      </x:c>
      <x:c r="O18" s="68" t="str">
        <x:v>结合M09日主旺衰与承载判断</x:v>
      </x:c>
      <x:c r="P18" s="68" t="str">
        <x:v>M11财官相生成立，且财不过度破坏关键印星</x:v>
      </x:c>
      <x:c r="Q18" s="68" t="str">
        <x:v>不适用</x:v>
      </x:c>
      <x:c r="R18" s="68" t="str">
        <x:v>格神得令、有根、透达、清纯，并得到有效生扶或制化配合</x:v>
      </x:c>
      <x:c r="S18" s="68" t="str">
        <x:v>存在更强月令主气、格神功能被替代或全局主势明显转向其他结构</x:v>
      </x:c>
      <x:c r="T18" s="90" t="str">
        <x:v>格神失效、无真实功能，或候选只由单一表面十神名称产生</x:v>
      </x:c>
      <x:c r="U18" s="68" t="str">
        <x:v>特殊格局、建禄羊刃及明确从化结构另用专门规则</x:v>
      </x:c>
      <x:c r="V18" s="82" t="str">
        <x:v>基本成立</x:v>
      </x:c>
      <x:c r="W18" s="68" t="str">
        <x:v>财格候选</x:v>
      </x:c>
      <x:c r="X18" s="84" t="str">
        <x:v>正官格_财官增强</x:v>
      </x:c>
      <x:c r="Y18" s="84" t="str">
        <x:v>正官格候选列为“基本成立”：主要依据为月令与格神有效性；仍需M15检验成格、破格、救应与层次。</x:v>
      </x:c>
      <x:c r="Z18" s="82" t="str">
        <x:v>较高</x:v>
      </x:c>
      <x:c r="AA18" s="82" t="str">
        <x:v>子平格局</x:v>
      </x:c>
      <x:c r="AB18" s="68" t="str">
        <x:v>M14只生成和排除格局候选。候选须综合月令、透干、格神有效力量、清纯度、日主配合与全局主导性；候选成立不等于M15最终成格。</x:v>
      </x:c>
      <x:c r="AC18" s="68" t="str">
        <x:v>月令与格神有效性共同支持“正官格候选”，且没有决定性否决条件。</x:v>
      </x:c>
      <x:c r="AD18" s="90" t="str">
        <x:v>仅见相关十神或五行出现，但月令、格神有效性或全局主导性不成立，不能直接列“正官格候选”。</x:v>
      </x:c>
      <x:c r="AE18" s="68" t="str">
        <x:v>https://zh.wikisource.org/zh-hans/%E6%B7%B5%E6%B5%B7%E5%AD%90%E5%B9%B3 ; https://zh.wikisource.org/wiki/%E6%BB%B4%E5%A4%A9%E9%AB%93%E9%97%A1%E5%BE%AE</x:v>
      </x:c>
      <x:c r="AF18" s="82" t="str">
        <x:v>采用</x:v>
      </x:c>
      <x:c r="AG18" s="82" t="str">
        <x:v>初审</x:v>
      </x:c>
      <x:c r="AH18" s="87" t="n">
        <x:v>46260</x:v>
      </x:c>
    </x:row>
    <x:row r="19">
      <x:c r="A19" s="72" t="str">
        <x:f>IF(OR(C19="",D19=""),"",B19&amp;"-"&amp;UPPER(C19)&amp;"-"&amp;TEXT(D19,"0000")&amp;"-"&amp;E19)</x:f>
        <x:v>M14-GUAN-0013-V1.0</x:v>
      </x:c>
      <x:c r="B19" s="74" t="str">
        <x:v>M14</x:v>
      </x:c>
      <x:c r="C19" s="74" t="str">
        <x:v>GUAN</x:v>
      </x:c>
      <x:c r="D19" s="215" t="n">
        <x:v>13</x:v>
      </x:c>
      <x:c r="E19" s="74" t="str">
        <x:v>V1.0</x:v>
      </x:c>
      <x:c r="F19" s="68" t="str">
        <x:v>伤官强制官会降低或排除正官格候选</x:v>
      </x:c>
      <x:c r="G19" s="82" t="str">
        <x:v>综合层</x:v>
      </x:c>
      <x:c r="H19" s="82" t="str">
        <x:v>普通格局</x:v>
      </x:c>
      <x:c r="I19" s="68" t="str">
        <x:v>正官格候选</x:v>
      </x:c>
      <x:c r="J19" s="68" t="str">
        <x:v>正官具有月令依据</x:v>
      </x:c>
      <x:c r="K19" s="68" t="str">
        <x:v>透干可增强候选，但不作为所有格局的绝对唯一条件</x:v>
      </x:c>
      <x:c r="L19" s="82" t="str">
        <x:v>有杂</x:v>
      </x:c>
      <x:c r="M19" s="68" t="str">
        <x:v>正官根气受损或仍待定</x:v>
      </x:c>
      <x:c r="N19" s="68" t="str">
        <x:v>受限</x:v>
      </x:c>
      <x:c r="O19" s="68" t="str">
        <x:v>结合M09日主旺衰与承载判断</x:v>
      </x:c>
      <x:c r="P19" s="68" t="str">
        <x:v>正官原可列候选，但M11伤官见官冲突成立</x:v>
      </x:c>
      <x:c r="Q19" s="68" t="str">
        <x:v>不适用</x:v>
      </x:c>
      <x:c r="R19" s="68" t="str">
        <x:v>格神得令、有根、透达、清纯，并得到有效生扶或制化配合</x:v>
      </x:c>
      <x:c r="S19" s="68" t="str">
        <x:v>伤官对正官形成持续有效克制</x:v>
      </x:c>
      <x:c r="T19" s="90" t="str">
        <x:v>正官被制至失效且无印制伤、财通关等救应</x:v>
      </x:c>
      <x:c r="U19" s="68" t="str">
        <x:v>特殊格局、建禄羊刃及明确从化结构另用专门规则</x:v>
      </x:c>
      <x:c r="V19" s="82" t="str">
        <x:v>不成立</x:v>
      </x:c>
      <x:c r="W19" s="68" t="str">
        <x:v>伤官格或伤官配印候选</x:v>
      </x:c>
      <x:c r="X19" s="84" t="str">
        <x:v>正官格_伤官破官</x:v>
      </x:c>
      <x:c r="Y19" s="84" t="str">
        <x:v>正官格候选列为“不成立”：主要依据为月令与格神有效性；仍需M15检验成格、破格、救应与层次。</x:v>
      </x:c>
      <x:c r="Z19" s="82" t="str">
        <x:v>较高</x:v>
      </x:c>
      <x:c r="AA19" s="82" t="str">
        <x:v>子平格局</x:v>
      </x:c>
      <x:c r="AB19" s="68" t="str">
        <x:v>M14只生成和排除格局候选。候选须综合月令、透干、格神有效力量、清纯度、日主配合与全局主导性；候选成立不等于M15最终成格。</x:v>
      </x:c>
      <x:c r="AC19" s="68" t="str">
        <x:v>月令与格神有效性共同支持“正官格候选”，且没有决定性否决条件。</x:v>
      </x:c>
      <x:c r="AD19" s="90" t="str">
        <x:v>仅见相关十神或五行出现，但月令、格神有效性或全局主导性不成立，不能直接列“正官格候选”。</x:v>
      </x:c>
      <x:c r="AE19" s="68" t="str">
        <x:v>https://zh.wikisource.org/zh-hans/%E6%B7%B5%E6%B5%B7%E5%AD%90%E5%B9%B3 ; https://zh.wikisource.org/wiki/%E6%BB%B4%E5%A4%A9%E9%AB%93%E9%97%A1%E5%BE%AE</x:v>
      </x:c>
      <x:c r="AF19" s="82" t="str">
        <x:v>采用</x:v>
      </x:c>
      <x:c r="AG19" s="82" t="str">
        <x:v>初审</x:v>
      </x:c>
      <x:c r="AH19" s="87" t="n">
        <x:v>46260</x:v>
      </x:c>
    </x:row>
    <x:row r="20">
      <x:c r="A20" s="72" t="str">
        <x:f>IF(OR(C20="",D20=""),"",B20&amp;"-"&amp;UPPER(C20)&amp;"-"&amp;TEXT(D20,"0000")&amp;"-"&amp;E20)</x:f>
        <x:v>M14-GUAN-0014-V1.0</x:v>
      </x:c>
      <x:c r="B20" s="74" t="str">
        <x:v>M14</x:v>
      </x:c>
      <x:c r="C20" s="74" t="str">
        <x:v>GUAN</x:v>
      </x:c>
      <x:c r="D20" s="215" t="n">
        <x:v>14</x:v>
      </x:c>
      <x:c r="E20" s="74" t="str">
        <x:v>V1.0</x:v>
      </x:c>
      <x:c r="F20" s="68" t="str">
        <x:v>官杀混杂主从不清时正官格降级</x:v>
      </x:c>
      <x:c r="G20" s="82" t="str">
        <x:v>综合层</x:v>
      </x:c>
      <x:c r="H20" s="82" t="str">
        <x:v>普通格局</x:v>
      </x:c>
      <x:c r="I20" s="68" t="str">
        <x:v>正官格候选</x:v>
      </x:c>
      <x:c r="J20" s="68" t="str">
        <x:v>正官有月令依据，但七杀同时有效</x:v>
      </x:c>
      <x:c r="K20" s="68" t="str">
        <x:v>透干可增强候选，但不作为所有格局的绝对唯一条件</x:v>
      </x:c>
      <x:c r="L20" s="82" t="str">
        <x:v>混杂</x:v>
      </x:c>
      <x:c r="M20" s="68" t="str">
        <x:v>待定</x:v>
      </x:c>
      <x:c r="N20" s="68" t="str">
        <x:v>待定</x:v>
      </x:c>
      <x:c r="O20" s="68" t="str">
        <x:v>结合M09日主旺衰与承载判断</x:v>
      </x:c>
      <x:c r="P20" s="68" t="str">
        <x:v>官杀并见且双方都参与制身</x:v>
      </x:c>
      <x:c r="Q20" s="68" t="str">
        <x:v>不适用</x:v>
      </x:c>
      <x:c r="R20" s="68" t="str">
        <x:v>格神得令、有根、透达、清纯，并得到有效生扶或制化配合</x:v>
      </x:c>
      <x:c r="S20" s="68" t="str">
        <x:v>官杀双强、主从不清、无合制清化</x:v>
      </x:c>
      <x:c r="T20" s="90" t="str">
        <x:v>格神失效、无真实功能，或候选只由单一表面十神名称产生</x:v>
      </x:c>
      <x:c r="U20" s="68" t="str">
        <x:v>特殊格局、建禄羊刃及明确从化结构另用专门规则</x:v>
      </x:c>
      <x:c r="V20" s="82" t="str">
        <x:v>候选</x:v>
      </x:c>
      <x:c r="W20" s="68" t="str">
        <x:v>七杀格或官杀混杂结构</x:v>
      </x:c>
      <x:c r="X20" s="84" t="str">
        <x:v>正官格_官杀混杂</x:v>
      </x:c>
      <x:c r="Y20" s="84" t="str">
        <x:v>正官格候选列为“候选”：主要依据为月令与格神有效性；仍需M15检验成格、破格、救应与层次。</x:v>
      </x:c>
      <x:c r="Z20" s="82" t="str">
        <x:v>较高</x:v>
      </x:c>
      <x:c r="AA20" s="82" t="str">
        <x:v>子平格局</x:v>
      </x:c>
      <x:c r="AB20" s="68" t="str">
        <x:v>M14只生成和排除格局候选。候选须综合月令、透干、格神有效力量、清纯度、日主配合与全局主导性；候选成立不等于M15最终成格。</x:v>
      </x:c>
      <x:c r="AC20" s="68" t="str">
        <x:v>月令与格神有效性共同支持“正官格候选”，且没有决定性否决条件。</x:v>
      </x:c>
      <x:c r="AD20" s="90" t="str">
        <x:v>仅见相关十神或五行出现，但月令、格神有效性或全局主导性不成立，不能直接列“正官格候选”。</x:v>
      </x:c>
      <x:c r="AE20" s="68" t="str">
        <x:v>https://zh.wikisource.org/zh-hans/%E6%B7%B5%E6%B5%B7%E5%AD%90%E5%B9%B3 ; https://zh.wikisource.org/wiki/%E6%BB%B4%E5%A4%A9%E9%AB%93%E9%97%A1%E5%BE%AE</x:v>
      </x:c>
      <x:c r="AF20" s="82" t="str">
        <x:v>采用</x:v>
      </x:c>
      <x:c r="AG20" s="82" t="str">
        <x:v>初审</x:v>
      </x:c>
      <x:c r="AH20" s="87" t="n">
        <x:v>46260</x:v>
      </x:c>
    </x:row>
    <x:row r="21">
      <x:c r="A21" s="72" t="str">
        <x:f>IF(OR(C21="",D21=""),"",B21&amp;"-"&amp;UPPER(C21)&amp;"-"&amp;TEXT(D21,"0000")&amp;"-"&amp;E21)</x:f>
        <x:v>M14-SHA-0015-V1.0</x:v>
      </x:c>
      <x:c r="B21" s="74" t="str">
        <x:v>M14</x:v>
      </x:c>
      <x:c r="C21" s="74" t="str">
        <x:v>SHA</x:v>
      </x:c>
      <x:c r="D21" s="215" t="n">
        <x:v>15</x:v>
      </x:c>
      <x:c r="E21" s="74" t="str">
        <x:v>V1.0</x:v>
      </x:c>
      <x:c r="F21" s="68" t="str">
        <x:v>月令七杀主气生成七杀格候选</x:v>
      </x:c>
      <x:c r="G21" s="82" t="str">
        <x:v>综合层</x:v>
      </x:c>
      <x:c r="H21" s="82" t="str">
        <x:v>普通格局</x:v>
      </x:c>
      <x:c r="I21" s="68" t="str">
        <x:v>七杀格候选</x:v>
      </x:c>
      <x:c r="J21" s="68" t="str">
        <x:v>月令本气为七杀，或七杀得令成为主要制身轴</x:v>
      </x:c>
      <x:c r="K21" s="68" t="str">
        <x:v>七杀透干为强增强条件</x:v>
      </x:c>
      <x:c r="L21" s="82" t="str">
        <x:v>较清</x:v>
      </x:c>
      <x:c r="M21" s="68" t="str">
        <x:v>七杀有根</x:v>
      </x:c>
      <x:c r="N21" s="68" t="str">
        <x:v>中和偏旺</x:v>
      </x:c>
      <x:c r="O21" s="68" t="str">
        <x:v>日主有承载，或食制印化等制化路径明确</x:v>
      </x:c>
      <x:c r="P21" s="68" t="str">
        <x:v>七杀得令、有效并形成真实压力</x:v>
      </x:c>
      <x:c r="Q21" s="68" t="str">
        <x:v>不适用</x:v>
      </x:c>
      <x:c r="R21" s="68" t="str">
        <x:v>格神得令、有根、透达、清纯，并得到有效生扶或制化配合</x:v>
      </x:c>
      <x:c r="S21" s="68" t="str">
        <x:v>存在更强月令主气、格神功能被替代或全局主势明显转向其他结构</x:v>
      </x:c>
      <x:c r="T21" s="90" t="str">
        <x:v>格神失效、无真实功能，或候选只由单一表面十神名称产生</x:v>
      </x:c>
      <x:c r="U21" s="68" t="str">
        <x:v>特殊格局、建禄羊刃及明确从化结构另用专门规则</x:v>
      </x:c>
      <x:c r="V21" s="82" t="str">
        <x:v>候选</x:v>
      </x:c>
      <x:c r="W21" s="68" t="str">
        <x:v>食神制杀、杀印相生候选</x:v>
      </x:c>
      <x:c r="X21" s="84" t="str">
        <x:v>七杀格候选_候选</x:v>
      </x:c>
      <x:c r="Y21" s="84" t="str">
        <x:v>七杀格候选列为“候选”：主要依据为月令与格神有效性；仍需M15检验成格、破格、救应与层次。</x:v>
      </x:c>
      <x:c r="Z21" s="82" t="str">
        <x:v>较高</x:v>
      </x:c>
      <x:c r="AA21" s="82" t="str">
        <x:v>子平格局</x:v>
      </x:c>
      <x:c r="AB21" s="68" t="str">
        <x:v>M14只生成和排除格局候选。候选须综合月令、透干、格神有效力量、清纯度、日主配合与全局主导性；候选成立不等于M15最终成格。</x:v>
      </x:c>
      <x:c r="AC21" s="68" t="str">
        <x:v>月令与格神有效性共同支持“七杀格候选”，且没有决定性否决条件。</x:v>
      </x:c>
      <x:c r="AD21" s="90" t="str">
        <x:v>仅见相关十神或五行出现，但月令、格神有效性或全局主导性不成立，不能直接列“七杀格候选”。</x:v>
      </x:c>
      <x:c r="AE21" s="68" t="str">
        <x:v>https://zh.wikisource.org/zh-hans/%E6%B7%B5%E6%B5%B7%E5%AD%90%E5%B9%B3 ; https://zh.wikisource.org/wiki/%E6%BB%B4%E5%A4%A9%E9%AB%93%E9%97%A1%E5%BE%AE</x:v>
      </x:c>
      <x:c r="AF21" s="82" t="str">
        <x:v>采用</x:v>
      </x:c>
      <x:c r="AG21" s="82" t="str">
        <x:v>初审</x:v>
      </x:c>
      <x:c r="AH21" s="87" t="n">
        <x:v>46260</x:v>
      </x:c>
    </x:row>
    <x:row r="22">
      <x:c r="A22" s="72" t="str">
        <x:f>IF(OR(C22="",D22=""),"",B22&amp;"-"&amp;UPPER(C22)&amp;"-"&amp;TEXT(D22,"0000")&amp;"-"&amp;E22)</x:f>
        <x:v>M14-SHA-0016-V1.0</x:v>
      </x:c>
      <x:c r="B22" s="74" t="str">
        <x:v>M14</x:v>
      </x:c>
      <x:c r="C22" s="74" t="str">
        <x:v>SHA</x:v>
      </x:c>
      <x:c r="D22" s="215" t="n">
        <x:v>16</x:v>
      </x:c>
      <x:c r="E22" s="74" t="str">
        <x:v>V1.0</x:v>
      </x:c>
      <x:c r="F22" s="68" t="str">
        <x:v>月令藏杀透干可生成七杀格次候选</x:v>
      </x:c>
      <x:c r="G22" s="82" t="str">
        <x:v>综合层</x:v>
      </x:c>
      <x:c r="H22" s="82" t="str">
        <x:v>普通格局</x:v>
      </x:c>
      <x:c r="I22" s="68" t="str">
        <x:v>七杀格候选</x:v>
      </x:c>
      <x:c r="J22" s="68" t="str">
        <x:v>月令藏七杀且透干，月令主气未形成更强替代格</x:v>
      </x:c>
      <x:c r="K22" s="68" t="str">
        <x:v>七杀透干并有根有源</x:v>
      </x:c>
      <x:c r="L22" s="82" t="str">
        <x:v>较清</x:v>
      </x:c>
      <x:c r="M22" s="68" t="str">
        <x:v>有根</x:v>
      </x:c>
      <x:c r="N22" s="68" t="str">
        <x:v>中和</x:v>
      </x:c>
      <x:c r="O22" s="68" t="str">
        <x:v>结合M09日主旺衰与承载判断</x:v>
      </x:c>
      <x:c r="P22" s="68" t="str">
        <x:v>七杀由月令引出并成为全局主要压力源</x:v>
      </x:c>
      <x:c r="Q22" s="68" t="str">
        <x:v>不适用</x:v>
      </x:c>
      <x:c r="R22" s="68" t="str">
        <x:v>格神得令、有根、透达、清纯，并得到有效生扶或制化配合</x:v>
      </x:c>
      <x:c r="S22" s="68" t="str">
        <x:v>存在更强月令主气、格神功能被替代或全局主势明显转向其他结构</x:v>
      </x:c>
      <x:c r="T22" s="90" t="str">
        <x:v>格神失效、无真实功能，或候选只由单一表面十神名称产生</x:v>
      </x:c>
      <x:c r="U22" s="68" t="str">
        <x:v>特殊格局、建禄羊刃及明确从化结构另用专门规则</x:v>
      </x:c>
      <x:c r="V22" s="82" t="str">
        <x:v>候选</x:v>
      </x:c>
      <x:c r="W22" s="68" t="str">
        <x:v>待定</x:v>
      </x:c>
      <x:c r="X22" s="84" t="str">
        <x:v>七杀格候选_候选</x:v>
      </x:c>
      <x:c r="Y22" s="84" t="str">
        <x:v>七杀格候选列为“候选”：主要依据为月令与格神有效性；仍需M15检验成格、破格、救应与层次。</x:v>
      </x:c>
      <x:c r="Z22" s="82" t="str">
        <x:v>较高</x:v>
      </x:c>
      <x:c r="AA22" s="82" t="str">
        <x:v>子平格局</x:v>
      </x:c>
      <x:c r="AB22" s="68" t="str">
        <x:v>M14只生成和排除格局候选。候选须综合月令、透干、格神有效力量、清纯度、日主配合与全局主导性；候选成立不等于M15最终成格。</x:v>
      </x:c>
      <x:c r="AC22" s="68" t="str">
        <x:v>月令与格神有效性共同支持“七杀格候选”，且没有决定性否决条件。</x:v>
      </x:c>
      <x:c r="AD22" s="90" t="str">
        <x:v>仅见相关十神或五行出现，但月令、格神有效性或全局主导性不成立，不能直接列“七杀格候选”。</x:v>
      </x:c>
      <x:c r="AE22" s="68" t="str">
        <x:v>https://zh.wikisource.org/zh-hans/%E6%B7%B5%E6%B5%B7%E5%AD%90%E5%B9%B3 ; https://zh.wikisource.org/wiki/%E6%BB%B4%E5%A4%A9%E9%AB%93%E9%97%A1%E5%BE%AE</x:v>
      </x:c>
      <x:c r="AF22" s="82" t="str">
        <x:v>采用</x:v>
      </x:c>
      <x:c r="AG22" s="82" t="str">
        <x:v>初审</x:v>
      </x:c>
      <x:c r="AH22" s="87" t="n">
        <x:v>46260</x:v>
      </x:c>
    </x:row>
    <x:row r="23">
      <x:c r="A23" s="72" t="str">
        <x:f>IF(OR(C23="",D23=""),"",B23&amp;"-"&amp;UPPER(C23)&amp;"-"&amp;TEXT(D23,"0000")&amp;"-"&amp;E23)</x:f>
        <x:v>M14-SHA-0017-V1.0</x:v>
      </x:c>
      <x:c r="B23" s="74" t="str">
        <x:v>M14</x:v>
      </x:c>
      <x:c r="C23" s="74" t="str">
        <x:v>SHA</x:v>
      </x:c>
      <x:c r="D23" s="215" t="n">
        <x:v>17</x:v>
      </x:c>
      <x:c r="E23" s="74" t="str">
        <x:v>V1.0</x:v>
      </x:c>
      <x:c r="F23" s="68" t="str">
        <x:v>食神制杀可增强七杀格候选</x:v>
      </x:c>
      <x:c r="G23" s="82" t="str">
        <x:v>综合层</x:v>
      </x:c>
      <x:c r="H23" s="82" t="str">
        <x:v>普通格局</x:v>
      </x:c>
      <x:c r="I23" s="68" t="str">
        <x:v>七杀格候选</x:v>
      </x:c>
      <x:c r="J23" s="68" t="str">
        <x:v>七杀具有月令依据</x:v>
      </x:c>
      <x:c r="K23" s="68" t="str">
        <x:v>透干可增强候选，但不作为所有格局的绝对唯一条件</x:v>
      </x:c>
      <x:c r="L23" s="82" t="str">
        <x:v>待定</x:v>
      </x:c>
      <x:c r="M23" s="68" t="str">
        <x:v>待定</x:v>
      </x:c>
      <x:c r="N23" s="68" t="str">
        <x:v>待定</x:v>
      </x:c>
      <x:c r="O23" s="68" t="str">
        <x:v>日主能承担食神泄身且杀压得到合理控制</x:v>
      </x:c>
      <x:c r="P23" s="68" t="str">
        <x:v>M11食神制杀达到基本成立以上，比例不过与不及</x:v>
      </x:c>
      <x:c r="Q23" s="68" t="str">
        <x:v>不适用</x:v>
      </x:c>
      <x:c r="R23" s="68" t="str">
        <x:v>格神得令、有根、透达、清纯，并得到有效生扶或制化配合</x:v>
      </x:c>
      <x:c r="S23" s="68" t="str">
        <x:v>存在更强月令主气、格神功能被替代或全局主势明显转向其他结构</x:v>
      </x:c>
      <x:c r="T23" s="90" t="str">
        <x:v>格神失效、无真实功能，或候选只由单一表面十神名称产生</x:v>
      </x:c>
      <x:c r="U23" s="68" t="str">
        <x:v>特殊格局、建禄羊刃及明确从化结构另用专门规则</x:v>
      </x:c>
      <x:c r="V23" s="82" t="str">
        <x:v>基本成立</x:v>
      </x:c>
      <x:c r="W23" s="68" t="str">
        <x:v>食神格候选</x:v>
      </x:c>
      <x:c r="X23" s="84" t="str">
        <x:v>七杀格_食制增强</x:v>
      </x:c>
      <x:c r="Y23" s="84" t="str">
        <x:v>七杀格候选列为“基本成立”：主要依据为月令与格神有效性；仍需M15检验成格、破格、救应与层次。</x:v>
      </x:c>
      <x:c r="Z23" s="82" t="str">
        <x:v>较高</x:v>
      </x:c>
      <x:c r="AA23" s="82" t="str">
        <x:v>子平格局</x:v>
      </x:c>
      <x:c r="AB23" s="68" t="str">
        <x:v>M14只生成和排除格局候选。候选须综合月令、透干、格神有效力量、清纯度、日主配合与全局主导性；候选成立不等于M15最终成格。</x:v>
      </x:c>
      <x:c r="AC23" s="68" t="str">
        <x:v>月令与格神有效性共同支持“七杀格候选”，且没有决定性否决条件。</x:v>
      </x:c>
      <x:c r="AD23" s="90" t="str">
        <x:v>仅见相关十神或五行出现，但月令、格神有效性或全局主导性不成立，不能直接列“七杀格候选”。</x:v>
      </x:c>
      <x:c r="AE23" s="68" t="str">
        <x:v>https://zh.wikisource.org/zh-hans/%E6%B7%B5%E6%B5%B7%E5%AD%90%E5%B9%B3 ; https://zh.wikisource.org/wiki/%E6%BB%B4%E5%A4%A9%E9%AB%93%E9%97%A1%E5%BE%AE</x:v>
      </x:c>
      <x:c r="AF23" s="82" t="str">
        <x:v>采用</x:v>
      </x:c>
      <x:c r="AG23" s="82" t="str">
        <x:v>初审</x:v>
      </x:c>
      <x:c r="AH23" s="87" t="n">
        <x:v>46260</x:v>
      </x:c>
    </x:row>
    <x:row r="24">
      <x:c r="A24" s="72" t="str">
        <x:f>IF(OR(C24="",D24=""),"",B24&amp;"-"&amp;UPPER(C24)&amp;"-"&amp;TEXT(D24,"0000")&amp;"-"&amp;E24)</x:f>
        <x:v>M14-SHA-0018-V1.0</x:v>
      </x:c>
      <x:c r="B24" s="74" t="str">
        <x:v>M14</x:v>
      </x:c>
      <x:c r="C24" s="74" t="str">
        <x:v>SHA</x:v>
      </x:c>
      <x:c r="D24" s="215" t="n">
        <x:v>18</x:v>
      </x:c>
      <x:c r="E24" s="74" t="str">
        <x:v>V1.0</x:v>
      </x:c>
      <x:c r="F24" s="68" t="str">
        <x:v>杀印相生可增强七杀格候选</x:v>
      </x:c>
      <x:c r="G24" s="82" t="str">
        <x:v>综合层</x:v>
      </x:c>
      <x:c r="H24" s="82" t="str">
        <x:v>普通格局</x:v>
      </x:c>
      <x:c r="I24" s="68" t="str">
        <x:v>七杀格候选</x:v>
      </x:c>
      <x:c r="J24" s="68" t="str">
        <x:v>七杀有月令依据</x:v>
      </x:c>
      <x:c r="K24" s="68" t="str">
        <x:v>透干可增强候选，但不作为所有格局的绝对唯一条件</x:v>
      </x:c>
      <x:c r="L24" s="82" t="str">
        <x:v>待定</x:v>
      </x:c>
      <x:c r="M24" s="68" t="str">
        <x:v>待定</x:v>
      </x:c>
      <x:c r="N24" s="68" t="str">
        <x:v>待定</x:v>
      </x:c>
      <x:c r="O24" s="68" t="str">
        <x:v>印能承接七杀并继续生日主</x:v>
      </x:c>
      <x:c r="P24" s="68" t="str">
        <x:v>M11杀印相生达到基本成立以上</x:v>
      </x:c>
      <x:c r="Q24" s="68" t="str">
        <x:v>不适用</x:v>
      </x:c>
      <x:c r="R24" s="68" t="str">
        <x:v>格神得令、有根、透达、清纯，并得到有效生扶或制化配合</x:v>
      </x:c>
      <x:c r="S24" s="68" t="str">
        <x:v>存在更强月令主气、格神功能被替代或全局主势明显转向其他结构</x:v>
      </x:c>
      <x:c r="T24" s="90" t="str">
        <x:v>格神失效、无真实功能，或候选只由单一表面十神名称产生</x:v>
      </x:c>
      <x:c r="U24" s="68" t="str">
        <x:v>特殊格局、建禄羊刃及明确从化结构另用专门规则</x:v>
      </x:c>
      <x:c r="V24" s="82" t="str">
        <x:v>基本成立</x:v>
      </x:c>
      <x:c r="W24" s="68" t="str">
        <x:v>印格候选</x:v>
      </x:c>
      <x:c r="X24" s="84" t="str">
        <x:v>七杀格_杀印增强</x:v>
      </x:c>
      <x:c r="Y24" s="84" t="str">
        <x:v>七杀格候选列为“基本成立”：主要依据为月令与格神有效性；仍需M15检验成格、破格、救应与层次。</x:v>
      </x:c>
      <x:c r="Z24" s="82" t="str">
        <x:v>较高</x:v>
      </x:c>
      <x:c r="AA24" s="82" t="str">
        <x:v>子平格局</x:v>
      </x:c>
      <x:c r="AB24" s="68" t="str">
        <x:v>M14只生成和排除格局候选。候选须综合月令、透干、格神有效力量、清纯度、日主配合与全局主导性；候选成立不等于M15最终成格。</x:v>
      </x:c>
      <x:c r="AC24" s="68" t="str">
        <x:v>月令与格神有效性共同支持“七杀格候选”，且没有决定性否决条件。</x:v>
      </x:c>
      <x:c r="AD24" s="90" t="str">
        <x:v>仅见相关十神或五行出现，但月令、格神有效性或全局主导性不成立，不能直接列“七杀格候选”。</x:v>
      </x:c>
      <x:c r="AE24" s="68" t="str">
        <x:v>https://zh.wikisource.org/zh-hans/%E6%B7%B5%E6%B5%B7%E5%AD%90%E5%B9%B3 ; https://zh.wikisource.org/wiki/%E6%BB%B4%E5%A4%A9%E9%AB%93%E9%97%A1%E5%BE%AE</x:v>
      </x:c>
      <x:c r="AF24" s="82" t="str">
        <x:v>采用</x:v>
      </x:c>
      <x:c r="AG24" s="82" t="str">
        <x:v>初审</x:v>
      </x:c>
      <x:c r="AH24" s="87" t="n">
        <x:v>46260</x:v>
      </x:c>
    </x:row>
    <x:row r="25">
      <x:c r="A25" s="72" t="str">
        <x:f>IF(OR(C25="",D25=""),"",B25&amp;"-"&amp;UPPER(C25)&amp;"-"&amp;TEXT(D25,"0000")&amp;"-"&amp;E25)</x:f>
        <x:v>M14-SHA-0019-V1.0</x:v>
      </x:c>
      <x:c r="B25" s="74" t="str">
        <x:v>M14</x:v>
      </x:c>
      <x:c r="C25" s="74" t="str">
        <x:v>SHA</x:v>
      </x:c>
      <x:c r="D25" s="215" t="n">
        <x:v>19</x:v>
      </x:c>
      <x:c r="E25" s="74" t="str">
        <x:v>V1.0</x:v>
      </x:c>
      <x:c r="F25" s="68" t="str">
        <x:v>七杀弱无根且不形成压力时排除七杀格</x:v>
      </x:c>
      <x:c r="G25" s="82" t="str">
        <x:v>综合层</x:v>
      </x:c>
      <x:c r="H25" s="82" t="str">
        <x:v>普通格局</x:v>
      </x:c>
      <x:c r="I25" s="68" t="str">
        <x:v>七杀格候选</x:v>
      </x:c>
      <x:c r="J25" s="68" t="str">
        <x:v>仅有表面七杀或月令余气</x:v>
      </x:c>
      <x:c r="K25" s="68" t="str">
        <x:v>透干可增强候选，但不作为所有格局的绝对唯一条件</x:v>
      </x:c>
      <x:c r="L25" s="82" t="str">
        <x:v>待定</x:v>
      </x:c>
      <x:c r="M25" s="68" t="str">
        <x:v>无根或根失效</x:v>
      </x:c>
      <x:c r="N25" s="68" t="str">
        <x:v>极弱</x:v>
      </x:c>
      <x:c r="O25" s="68" t="str">
        <x:v>结合M09日主旺衰与承载判断</x:v>
      </x:c>
      <x:c r="P25" s="68" t="str">
        <x:v>七杀没有形成真实制身功能</x:v>
      </x:c>
      <x:c r="Q25" s="68" t="str">
        <x:v>不适用</x:v>
      </x:c>
      <x:c r="R25" s="68" t="str">
        <x:v>格神得令、有根、透达、清纯，并得到有效生扶或制化配合</x:v>
      </x:c>
      <x:c r="S25" s="68" t="str">
        <x:v>存在更强月令主气、格神功能被替代或全局主势明显转向其他结构</x:v>
      </x:c>
      <x:c r="T25" s="90" t="str">
        <x:v>杀弱无根且无财生杀、无成势支持</x:v>
      </x:c>
      <x:c r="U25" s="68" t="str">
        <x:v>特殊格局、建禄羊刃及明确从化结构另用专门规则</x:v>
      </x:c>
      <x:c r="V25" s="82" t="str">
        <x:v>不成立</x:v>
      </x:c>
      <x:c r="W25" s="68" t="str">
        <x:v>其他月令候选</x:v>
      </x:c>
      <x:c r="X25" s="84" t="str">
        <x:v>七杀格_杀弱否决</x:v>
      </x:c>
      <x:c r="Y25" s="84" t="str">
        <x:v>七杀格候选列为“不成立”：主要依据为月令与格神有效性；仍需M15检验成格、破格、救应与层次。</x:v>
      </x:c>
      <x:c r="Z25" s="82" t="str">
        <x:v>较高</x:v>
      </x:c>
      <x:c r="AA25" s="82" t="str">
        <x:v>子平格局</x:v>
      </x:c>
      <x:c r="AB25" s="68" t="str">
        <x:v>M14只生成和排除格局候选。候选须综合月令、透干、格神有效力量、清纯度、日主配合与全局主导性；候选成立不等于M15最终成格。</x:v>
      </x:c>
      <x:c r="AC25" s="68" t="str">
        <x:v>月令与格神有效性共同支持“七杀格候选”，且没有决定性否决条件。</x:v>
      </x:c>
      <x:c r="AD25" s="90" t="str">
        <x:v>仅见相关十神或五行出现，但月令、格神有效性或全局主导性不成立，不能直接列“七杀格候选”。</x:v>
      </x:c>
      <x:c r="AE25" s="68" t="str">
        <x:v>https://zh.wikisource.org/zh-hans/%E6%B7%B5%E6%B5%B7%E5%AD%90%E5%B9%B3 ; https://zh.wikisource.org/wiki/%E6%BB%B4%E5%A4%A9%E9%AB%93%E9%97%A1%E5%BE%AE</x:v>
      </x:c>
      <x:c r="AF25" s="82" t="str">
        <x:v>采用</x:v>
      </x:c>
      <x:c r="AG25" s="82" t="str">
        <x:v>初审</x:v>
      </x:c>
      <x:c r="AH25" s="87" t="n">
        <x:v>46260</x:v>
      </x:c>
    </x:row>
    <x:row r="26">
      <x:c r="A26" s="72" t="str">
        <x:f>IF(OR(C26="",D26=""),"",B26&amp;"-"&amp;UPPER(C26)&amp;"-"&amp;TEXT(D26,"0000")&amp;"-"&amp;E26)</x:f>
        <x:v>M14-SHA-0020-V1.0</x:v>
      </x:c>
      <x:c r="B26" s="74" t="str">
        <x:v>M14</x:v>
      </x:c>
      <x:c r="C26" s="74" t="str">
        <x:v>SHA</x:v>
      </x:c>
      <x:c r="D26" s="215" t="n">
        <x:v>20</x:v>
      </x:c>
      <x:c r="E26" s="74" t="str">
        <x:v>V1.0</x:v>
      </x:c>
      <x:c r="F26" s="68" t="str">
        <x:v>官杀混杂无清化时七杀格候选降级</x:v>
      </x:c>
      <x:c r="G26" s="82" t="str">
        <x:v>综合层</x:v>
      </x:c>
      <x:c r="H26" s="82" t="str">
        <x:v>普通格局</x:v>
      </x:c>
      <x:c r="I26" s="68" t="str">
        <x:v>七杀格候选</x:v>
      </x:c>
      <x:c r="J26" s="68" t="str">
        <x:v>七杀有月令依据但正官同时有效</x:v>
      </x:c>
      <x:c r="K26" s="68" t="str">
        <x:v>透干可增强候选，但不作为所有格局的绝对唯一条件</x:v>
      </x:c>
      <x:c r="L26" s="82" t="str">
        <x:v>混杂</x:v>
      </x:c>
      <x:c r="M26" s="68" t="str">
        <x:v>待定</x:v>
      </x:c>
      <x:c r="N26" s="68" t="str">
        <x:v>待定</x:v>
      </x:c>
      <x:c r="O26" s="68" t="str">
        <x:v>结合M09日主旺衰与承载判断</x:v>
      </x:c>
      <x:c r="P26" s="68" t="str">
        <x:v>月令依据、格神有效性与全局主导性共同支持</x:v>
      </x:c>
      <x:c r="Q26" s="68" t="str">
        <x:v>不适用</x:v>
      </x:c>
      <x:c r="R26" s="68" t="str">
        <x:v>格神得令、有根、透达、清纯，并得到有效生扶或制化配合</x:v>
      </x:c>
      <x:c r="S26" s="68" t="str">
        <x:v>官杀双强且无去官留杀、去杀留官等主从清化</x:v>
      </x:c>
      <x:c r="T26" s="90" t="str">
        <x:v>格神失效、无真实功能，或候选只由单一表面十神名称产生</x:v>
      </x:c>
      <x:c r="U26" s="68" t="str">
        <x:v>特殊格局、建禄羊刃及明确从化结构另用专门规则</x:v>
      </x:c>
      <x:c r="V26" s="82" t="str">
        <x:v>候选</x:v>
      </x:c>
      <x:c r="W26" s="68" t="str">
        <x:v>正官格或官杀混杂结构</x:v>
      </x:c>
      <x:c r="X26" s="84" t="str">
        <x:v>七杀格_官杀混杂</x:v>
      </x:c>
      <x:c r="Y26" s="84" t="str">
        <x:v>七杀格候选列为“候选”：主要依据为月令与格神有效性；仍需M15检验成格、破格、救应与层次。</x:v>
      </x:c>
      <x:c r="Z26" s="82" t="str">
        <x:v>较高</x:v>
      </x:c>
      <x:c r="AA26" s="82" t="str">
        <x:v>子平格局</x:v>
      </x:c>
      <x:c r="AB26" s="68" t="str">
        <x:v>M14只生成和排除格局候选。候选须综合月令、透干、格神有效力量、清纯度、日主配合与全局主导性；候选成立不等于M15最终成格。</x:v>
      </x:c>
      <x:c r="AC26" s="68" t="str">
        <x:v>月令与格神有效性共同支持“七杀格候选”，且没有决定性否决条件。</x:v>
      </x:c>
      <x:c r="AD26" s="90" t="str">
        <x:v>仅见相关十神或五行出现，但月令、格神有效性或全局主导性不成立，不能直接列“七杀格候选”。</x:v>
      </x:c>
      <x:c r="AE26" s="68" t="str">
        <x:v>https://zh.wikisource.org/zh-hans/%E6%B7%B5%E6%B5%B7%E5%AD%90%E5%B9%B3 ; https://zh.wikisource.org/wiki/%E6%BB%B4%E5%A4%A9%E9%AB%93%E9%97%A1%E5%BE%AE</x:v>
      </x:c>
      <x:c r="AF26" s="82" t="str">
        <x:v>采用</x:v>
      </x:c>
      <x:c r="AG26" s="82" t="str">
        <x:v>初审</x:v>
      </x:c>
      <x:c r="AH26" s="87" t="n">
        <x:v>46260</x:v>
      </x:c>
    </x:row>
    <x:row r="27">
      <x:c r="A27" s="72" t="str">
        <x:f>IF(OR(C27="",D27=""),"",B27&amp;"-"&amp;UPPER(C27)&amp;"-"&amp;TEXT(D27,"0000")&amp;"-"&amp;E27)</x:f>
        <x:v>M14-YIN-0021-V1.0</x:v>
      </x:c>
      <x:c r="B27" s="74" t="str">
        <x:v>M14</x:v>
      </x:c>
      <x:c r="C27" s="74" t="str">
        <x:v>YIN</x:v>
      </x:c>
      <x:c r="D27" s="215" t="n">
        <x:v>21</x:v>
      </x:c>
      <x:c r="E27" s="74" t="str">
        <x:v>V1.0</x:v>
      </x:c>
      <x:c r="F27" s="68" t="str">
        <x:v>月令正印主气生成正印格候选</x:v>
      </x:c>
      <x:c r="G27" s="82" t="str">
        <x:v>综合层</x:v>
      </x:c>
      <x:c r="H27" s="82" t="str">
        <x:v>普通格局</x:v>
      </x:c>
      <x:c r="I27" s="68" t="str">
        <x:v>正印格候选</x:v>
      </x:c>
      <x:c r="J27" s="68" t="str">
        <x:v>月令本气为正印，或正印得令并成为主要生扶轴</x:v>
      </x:c>
      <x:c r="K27" s="68" t="str">
        <x:v>正印透干为增强条件</x:v>
      </x:c>
      <x:c r="L27" s="82" t="str">
        <x:v>较清</x:v>
      </x:c>
      <x:c r="M27" s="68" t="str">
        <x:v>正印有根</x:v>
      </x:c>
      <x:c r="N27" s="68" t="str">
        <x:v>中和偏旺</x:v>
      </x:c>
      <x:c r="O27" s="68" t="str">
        <x:v>日主能承受印生，不因印多而壅滞</x:v>
      </x:c>
      <x:c r="P27" s="68" t="str">
        <x:v>正印得令、有力且生身功能明确</x:v>
      </x:c>
      <x:c r="Q27" s="68" t="str">
        <x:v>不适用</x:v>
      </x:c>
      <x:c r="R27" s="68" t="str">
        <x:v>格神得令、有根、透达、清纯，并得到有效生扶或制化配合</x:v>
      </x:c>
      <x:c r="S27" s="68" t="str">
        <x:v>存在更强月令主气、格神功能被替代或全局主势明显转向其他结构</x:v>
      </x:c>
      <x:c r="T27" s="90" t="str">
        <x:v>格神失效、无真实功能，或候选只由单一表面十神名称产生</x:v>
      </x:c>
      <x:c r="U27" s="68" t="str">
        <x:v>特殊格局、建禄羊刃及明确从化结构另用专门规则</x:v>
      </x:c>
      <x:c r="V27" s="82" t="str">
        <x:v>候选</x:v>
      </x:c>
      <x:c r="W27" s="68" t="str">
        <x:v>官印相生、印比结构候选</x:v>
      </x:c>
      <x:c r="X27" s="84" t="str">
        <x:v>正印格候选_候选</x:v>
      </x:c>
      <x:c r="Y27" s="84" t="str">
        <x:v>正印格候选列为“候选”：主要依据为月令与格神有效性；仍需M15检验成格、破格、救应与层次。</x:v>
      </x:c>
      <x:c r="Z27" s="82" t="str">
        <x:v>较高</x:v>
      </x:c>
      <x:c r="AA27" s="82" t="str">
        <x:v>子平格局</x:v>
      </x:c>
      <x:c r="AB27" s="68" t="str">
        <x:v>M14只生成和排除格局候选。候选须综合月令、透干、格神有效力量、清纯度、日主配合与全局主导性；候选成立不等于M15最终成格。</x:v>
      </x:c>
      <x:c r="AC27" s="68" t="str">
        <x:v>月令与格神有效性共同支持“正印格候选”，且没有决定性否决条件。</x:v>
      </x:c>
      <x:c r="AD27" s="90" t="str">
        <x:v>仅见相关十神或五行出现，但月令、格神有效性或全局主导性不成立，不能直接列“正印格候选”。</x:v>
      </x:c>
      <x:c r="AE27" s="68" t="str">
        <x:v>https://zh.wikisource.org/zh-hans/%E6%B7%B5%E6%B5%B7%E5%AD%90%E5%B9%B3 ; https://zh.wikisource.org/wiki/%E6%BB%B4%E5%A4%A9%E9%AB%93%E9%97%A1%E5%BE%AE</x:v>
      </x:c>
      <x:c r="AF27" s="82" t="str">
        <x:v>采用</x:v>
      </x:c>
      <x:c r="AG27" s="82" t="str">
        <x:v>初审</x:v>
      </x:c>
      <x:c r="AH27" s="87" t="n">
        <x:v>46260</x:v>
      </x:c>
    </x:row>
    <x:row r="28">
      <x:c r="A28" s="72" t="str">
        <x:f>IF(OR(C28="",D28=""),"",B28&amp;"-"&amp;UPPER(C28)&amp;"-"&amp;TEXT(D28,"0000")&amp;"-"&amp;E28)</x:f>
        <x:v>M14-YIN-0022-V1.0</x:v>
      </x:c>
      <x:c r="B28" s="74" t="str">
        <x:v>M14</x:v>
      </x:c>
      <x:c r="C28" s="74" t="str">
        <x:v>YIN</x:v>
      </x:c>
      <x:c r="D28" s="215" t="n">
        <x:v>22</x:v>
      </x:c>
      <x:c r="E28" s="74" t="str">
        <x:v>V1.0</x:v>
      </x:c>
      <x:c r="F28" s="68" t="str">
        <x:v>月令偏印主气生成偏印格候选</x:v>
      </x:c>
      <x:c r="G28" s="82" t="str">
        <x:v>综合层</x:v>
      </x:c>
      <x:c r="H28" s="82" t="str">
        <x:v>普通格局</x:v>
      </x:c>
      <x:c r="I28" s="68" t="str">
        <x:v>偏印格候选</x:v>
      </x:c>
      <x:c r="J28" s="68" t="str">
        <x:v>月令本气为偏印，或偏印得令成为主要生扶/制食轴</x:v>
      </x:c>
      <x:c r="K28" s="68" t="str">
        <x:v>偏印透干为增强条件</x:v>
      </x:c>
      <x:c r="L28" s="82" t="str">
        <x:v>较清</x:v>
      </x:c>
      <x:c r="M28" s="68" t="str">
        <x:v>偏印有根</x:v>
      </x:c>
      <x:c r="N28" s="68" t="str">
        <x:v>中和偏旺</x:v>
      </x:c>
      <x:c r="O28" s="68" t="str">
        <x:v>日主需要印扶，且偏印不过度制食</x:v>
      </x:c>
      <x:c r="P28" s="68" t="str">
        <x:v>偏印有效并主导全局</x:v>
      </x:c>
      <x:c r="Q28" s="68" t="str">
        <x:v>不适用</x:v>
      </x:c>
      <x:c r="R28" s="68" t="str">
        <x:v>格神得令、有根、透达、清纯，并得到有效生扶或制化配合</x:v>
      </x:c>
      <x:c r="S28" s="68" t="str">
        <x:v>存在更强月令主气、格神功能被替代或全局主势明显转向其他结构</x:v>
      </x:c>
      <x:c r="T28" s="90" t="str">
        <x:v>格神失效、无真实功能，或候选只由单一表面十神名称产生</x:v>
      </x:c>
      <x:c r="U28" s="68" t="str">
        <x:v>特殊格局、建禄羊刃及明确从化结构另用专门规则</x:v>
      </x:c>
      <x:c r="V28" s="82" t="str">
        <x:v>候选</x:v>
      </x:c>
      <x:c r="W28" s="68" t="str">
        <x:v>杀印相生、枭神夺食结构候选</x:v>
      </x:c>
      <x:c r="X28" s="84" t="str">
        <x:v>偏印格候选_候选</x:v>
      </x:c>
      <x:c r="Y28" s="84" t="str">
        <x:v>偏印格候选列为“候选”：主要依据为月令与格神有效性；仍需M15检验成格、破格、救应与层次。</x:v>
      </x:c>
      <x:c r="Z28" s="82" t="str">
        <x:v>较高</x:v>
      </x:c>
      <x:c r="AA28" s="82" t="str">
        <x:v>子平格局</x:v>
      </x:c>
      <x:c r="AB28" s="68" t="str">
        <x:v>M14只生成和排除格局候选。候选须综合月令、透干、格神有效力量、清纯度、日主配合与全局主导性；候选成立不等于M15最终成格。</x:v>
      </x:c>
      <x:c r="AC28" s="68" t="str">
        <x:v>月令与格神有效性共同支持“偏印格候选”，且没有决定性否决条件。</x:v>
      </x:c>
      <x:c r="AD28" s="90" t="str">
        <x:v>仅见相关十神或五行出现，但月令、格神有效性或全局主导性不成立，不能直接列“偏印格候选”。</x:v>
      </x:c>
      <x:c r="AE28" s="68" t="str">
        <x:v>https://zh.wikisource.org/zh-hans/%E6%B7%B5%E6%B5%B7%E5%AD%90%E5%B9%B3 ; https://zh.wikisource.org/wiki/%E6%BB%B4%E5%A4%A9%E9%AB%93%E9%97%A1%E5%BE%AE</x:v>
      </x:c>
      <x:c r="AF28" s="82" t="str">
        <x:v>采用</x:v>
      </x:c>
      <x:c r="AG28" s="82" t="str">
        <x:v>初审</x:v>
      </x:c>
      <x:c r="AH28" s="87" t="n">
        <x:v>46260</x:v>
      </x:c>
    </x:row>
    <x:row r="29">
      <x:c r="A29" s="72" t="str">
        <x:f>IF(OR(C29="",D29=""),"",B29&amp;"-"&amp;UPPER(C29)&amp;"-"&amp;TEXT(D29,"0000")&amp;"-"&amp;E29)</x:f>
        <x:v>M14-YIN-0023-V1.0</x:v>
      </x:c>
      <x:c r="B29" s="74" t="str">
        <x:v>M14</x:v>
      </x:c>
      <x:c r="C29" s="74" t="str">
        <x:v>YIN</x:v>
      </x:c>
      <x:c r="D29" s="215" t="n">
        <x:v>23</x:v>
      </x:c>
      <x:c r="E29" s="74" t="str">
        <x:v>V1.0</x:v>
      </x:c>
      <x:c r="F29" s="68" t="str">
        <x:v>官印相生增强正印格候选</x:v>
      </x:c>
      <x:c r="G29" s="82" t="str">
        <x:v>综合层</x:v>
      </x:c>
      <x:c r="H29" s="82" t="str">
        <x:v>普通格局</x:v>
      </x:c>
      <x:c r="I29" s="68" t="str">
        <x:v>正印格候选</x:v>
      </x:c>
      <x:c r="J29" s="68" t="str">
        <x:v>正印具有月令依据</x:v>
      </x:c>
      <x:c r="K29" s="68" t="str">
        <x:v>透干可增强候选，但不作为所有格局的绝对唯一条件</x:v>
      </x:c>
      <x:c r="L29" s="82" t="str">
        <x:v>待定</x:v>
      </x:c>
      <x:c r="M29" s="68" t="str">
        <x:v>待定</x:v>
      </x:c>
      <x:c r="N29" s="68" t="str">
        <x:v>待定</x:v>
      </x:c>
      <x:c r="O29" s="68" t="str">
        <x:v>结合M09日主旺衰与承载判断</x:v>
      </x:c>
      <x:c r="P29" s="68" t="str">
        <x:v>官星能生印，印能生日主，M11官印相生成立</x:v>
      </x:c>
      <x:c r="Q29" s="68" t="str">
        <x:v>不适用</x:v>
      </x:c>
      <x:c r="R29" s="68" t="str">
        <x:v>格神得令、有根、透达、清纯，并得到有效生扶或制化配合</x:v>
      </x:c>
      <x:c r="S29" s="68" t="str">
        <x:v>存在更强月令主气、格神功能被替代或全局主势明显转向其他结构</x:v>
      </x:c>
      <x:c r="T29" s="90" t="str">
        <x:v>格神失效、无真实功能，或候选只由单一表面十神名称产生</x:v>
      </x:c>
      <x:c r="U29" s="68" t="str">
        <x:v>特殊格局、建禄羊刃及明确从化结构另用专门规则</x:v>
      </x:c>
      <x:c r="V29" s="82" t="str">
        <x:v>基本成立</x:v>
      </x:c>
      <x:c r="W29" s="68" t="str">
        <x:v>正官格候选</x:v>
      </x:c>
      <x:c r="X29" s="84" t="str">
        <x:v>正印格_官印增强</x:v>
      </x:c>
      <x:c r="Y29" s="84" t="str">
        <x:v>正印格候选列为“基本成立”：主要依据为月令与格神有效性；仍需M15检验成格、破格、救应与层次。</x:v>
      </x:c>
      <x:c r="Z29" s="82" t="str">
        <x:v>较高</x:v>
      </x:c>
      <x:c r="AA29" s="82" t="str">
        <x:v>子平格局</x:v>
      </x:c>
      <x:c r="AB29" s="68" t="str">
        <x:v>M14只生成和排除格局候选。候选须综合月令、透干、格神有效力量、清纯度、日主配合与全局主导性；候选成立不等于M15最终成格。</x:v>
      </x:c>
      <x:c r="AC29" s="68" t="str">
        <x:v>月令与格神有效性共同支持“正印格候选”，且没有决定性否决条件。</x:v>
      </x:c>
      <x:c r="AD29" s="90" t="str">
        <x:v>仅见相关十神或五行出现，但月令、格神有效性或全局主导性不成立，不能直接列“正印格候选”。</x:v>
      </x:c>
      <x:c r="AE29" s="68" t="str">
        <x:v>https://zh.wikisource.org/zh-hans/%E6%B7%B5%E6%B5%B7%E5%AD%90%E5%B9%B3 ; https://zh.wikisource.org/wiki/%E6%BB%B4%E5%A4%A9%E9%AB%93%E9%97%A1%E5%BE%AE</x:v>
      </x:c>
      <x:c r="AF29" s="82" t="str">
        <x:v>采用</x:v>
      </x:c>
      <x:c r="AG29" s="82" t="str">
        <x:v>初审</x:v>
      </x:c>
      <x:c r="AH29" s="87" t="n">
        <x:v>46260</x:v>
      </x:c>
    </x:row>
    <x:row r="30">
      <x:c r="A30" s="72" t="str">
        <x:f>IF(OR(C30="",D30=""),"",B30&amp;"-"&amp;UPPER(C30)&amp;"-"&amp;TEXT(D30,"0000")&amp;"-"&amp;E30)</x:f>
        <x:v>M14-YIN-0024-V1.0</x:v>
      </x:c>
      <x:c r="B30" s="74" t="str">
        <x:v>M14</x:v>
      </x:c>
      <x:c r="C30" s="74" t="str">
        <x:v>YIN</x:v>
      </x:c>
      <x:c r="D30" s="215" t="n">
        <x:v>24</x:v>
      </x:c>
      <x:c r="E30" s="74" t="str">
        <x:v>V1.0</x:v>
      </x:c>
      <x:c r="F30" s="68" t="str">
        <x:v>杀印相生增强偏印格候选</x:v>
      </x:c>
      <x:c r="G30" s="82" t="str">
        <x:v>综合层</x:v>
      </x:c>
      <x:c r="H30" s="82" t="str">
        <x:v>普通格局</x:v>
      </x:c>
      <x:c r="I30" s="68" t="str">
        <x:v>偏印格候选</x:v>
      </x:c>
      <x:c r="J30" s="68" t="str">
        <x:v>偏印或印星具有月令依据</x:v>
      </x:c>
      <x:c r="K30" s="68" t="str">
        <x:v>透干可增强候选，但不作为所有格局的绝对唯一条件</x:v>
      </x:c>
      <x:c r="L30" s="82" t="str">
        <x:v>待定</x:v>
      </x:c>
      <x:c r="M30" s="68" t="str">
        <x:v>待定</x:v>
      </x:c>
      <x:c r="N30" s="68" t="str">
        <x:v>待定</x:v>
      </x:c>
      <x:c r="O30" s="68" t="str">
        <x:v>结合M09日主旺衰与承载判断</x:v>
      </x:c>
      <x:c r="P30" s="68" t="str">
        <x:v>七杀生印、印生身链路成立</x:v>
      </x:c>
      <x:c r="Q30" s="68" t="str">
        <x:v>不适用</x:v>
      </x:c>
      <x:c r="R30" s="68" t="str">
        <x:v>格神得令、有根、透达、清纯，并得到有效生扶或制化配合</x:v>
      </x:c>
      <x:c r="S30" s="68" t="str">
        <x:v>存在更强月令主气、格神功能被替代或全局主势明显转向其他结构</x:v>
      </x:c>
      <x:c r="T30" s="90" t="str">
        <x:v>格神失效、无真实功能，或候选只由单一表面十神名称产生</x:v>
      </x:c>
      <x:c r="U30" s="68" t="str">
        <x:v>特殊格局、建禄羊刃及明确从化结构另用专门规则</x:v>
      </x:c>
      <x:c r="V30" s="82" t="str">
        <x:v>基本成立</x:v>
      </x:c>
      <x:c r="W30" s="68" t="str">
        <x:v>七杀格候选</x:v>
      </x:c>
      <x:c r="X30" s="84" t="str">
        <x:v>偏印格_杀印增强</x:v>
      </x:c>
      <x:c r="Y30" s="84" t="str">
        <x:v>偏印格候选列为“基本成立”：主要依据为月令与格神有效性；仍需M15检验成格、破格、救应与层次。</x:v>
      </x:c>
      <x:c r="Z30" s="82" t="str">
        <x:v>较高</x:v>
      </x:c>
      <x:c r="AA30" s="82" t="str">
        <x:v>子平格局</x:v>
      </x:c>
      <x:c r="AB30" s="68" t="str">
        <x:v>M14只生成和排除格局候选。候选须综合月令、透干、格神有效力量、清纯度、日主配合与全局主导性；候选成立不等于M15最终成格。</x:v>
      </x:c>
      <x:c r="AC30" s="68" t="str">
        <x:v>月令与格神有效性共同支持“偏印格候选”，且没有决定性否决条件。</x:v>
      </x:c>
      <x:c r="AD30" s="90" t="str">
        <x:v>仅见相关十神或五行出现，但月令、格神有效性或全局主导性不成立，不能直接列“偏印格候选”。</x:v>
      </x:c>
      <x:c r="AE30" s="68" t="str">
        <x:v>https://zh.wikisource.org/zh-hans/%E6%B7%B5%E6%B5%B7%E5%AD%90%E5%B9%B3 ; https://zh.wikisource.org/wiki/%E6%BB%B4%E5%A4%A9%E9%AB%93%E9%97%A1%E5%BE%AE</x:v>
      </x:c>
      <x:c r="AF30" s="82" t="str">
        <x:v>采用</x:v>
      </x:c>
      <x:c r="AG30" s="82" t="str">
        <x:v>初审</x:v>
      </x:c>
      <x:c r="AH30" s="87" t="n">
        <x:v>46260</x:v>
      </x:c>
    </x:row>
    <x:row r="31">
      <x:c r="A31" s="72" t="str">
        <x:f>IF(OR(C31="",D31=""),"",B31&amp;"-"&amp;UPPER(C31)&amp;"-"&amp;TEXT(D31,"0000")&amp;"-"&amp;E31)</x:f>
        <x:v>M14-YIN-0025-V1.0</x:v>
      </x:c>
      <x:c r="B31" s="74" t="str">
        <x:v>M14</x:v>
      </x:c>
      <x:c r="C31" s="74" t="str">
        <x:v>YIN</x:v>
      </x:c>
      <x:c r="D31" s="215" t="n">
        <x:v>25</x:v>
      </x:c>
      <x:c r="E31" s="74" t="str">
        <x:v>V1.0</x:v>
      </x:c>
      <x:c r="F31" s="68" t="str">
        <x:v>财星强制关键印星会排除印格候选</x:v>
      </x:c>
      <x:c r="G31" s="82" t="str">
        <x:v>综合层</x:v>
      </x:c>
      <x:c r="H31" s="82" t="str">
        <x:v>普通格局</x:v>
      </x:c>
      <x:c r="I31" s="68" t="str">
        <x:v>印格候选</x:v>
      </x:c>
      <x:c r="J31" s="68" t="str">
        <x:v>印星本有月令依据</x:v>
      </x:c>
      <x:c r="K31" s="68" t="str">
        <x:v>透干可增强候选，但不作为所有格局的绝对唯一条件</x:v>
      </x:c>
      <x:c r="L31" s="82" t="str">
        <x:v>待定</x:v>
      </x:c>
      <x:c r="M31" s="68" t="str">
        <x:v>印根受损或待定</x:v>
      </x:c>
      <x:c r="N31" s="68" t="str">
        <x:v>受限</x:v>
      </x:c>
      <x:c r="O31" s="68" t="str">
        <x:v>结合M09日主旺衰与承载判断</x:v>
      </x:c>
      <x:c r="P31" s="68" t="str">
        <x:v>财坏印形成实质作用</x:v>
      </x:c>
      <x:c r="Q31" s="68" t="str">
        <x:v>不适用</x:v>
      </x:c>
      <x:c r="R31" s="68" t="str">
        <x:v>格神得令、有根、透达、清纯，并得到有效生扶或制化配合</x:v>
      </x:c>
      <x:c r="S31" s="68" t="str">
        <x:v>存在更强月令主气、格神功能被替代或全局主势明显转向其他结构</x:v>
      </x:c>
      <x:c r="T31" s="90" t="str">
        <x:v>关键印星被财制至失效且无比劫制财等救应</x:v>
      </x:c>
      <x:c r="U31" s="68" t="str">
        <x:v>特殊格局、建禄羊刃及明确从化结构另用专门规则</x:v>
      </x:c>
      <x:c r="V31" s="82" t="str">
        <x:v>不成立</x:v>
      </x:c>
      <x:c r="W31" s="68" t="str">
        <x:v>财格候选</x:v>
      </x:c>
      <x:c r="X31" s="84" t="str">
        <x:v>印格_财破否决</x:v>
      </x:c>
      <x:c r="Y31" s="84" t="str">
        <x:v>印格候选列为“不成立”：主要依据为月令与格神有效性；仍需M15检验成格、破格、救应与层次。</x:v>
      </x:c>
      <x:c r="Z31" s="82" t="str">
        <x:v>较高</x:v>
      </x:c>
      <x:c r="AA31" s="82" t="str">
        <x:v>子平格局</x:v>
      </x:c>
      <x:c r="AB31" s="68" t="str">
        <x:v>M14只生成和排除格局候选。候选须综合月令、透干、格神有效力量、清纯度、日主配合与全局主导性；候选成立不等于M15最终成格。</x:v>
      </x:c>
      <x:c r="AC31" s="68" t="str">
        <x:v>月令与格神有效性共同支持“印格候选”，且没有决定性否决条件。</x:v>
      </x:c>
      <x:c r="AD31" s="90" t="str">
        <x:v>仅见相关十神或五行出现，但月令、格神有效性或全局主导性不成立，不能直接列“印格候选”。</x:v>
      </x:c>
      <x:c r="AE31" s="68" t="str">
        <x:v>https://zh.wikisource.org/zh-hans/%E6%B7%B5%E6%B5%B7%E5%AD%90%E5%B9%B3 ; https://zh.wikisource.org/wiki/%E6%BB%B4%E5%A4%A9%E9%AB%93%E9%97%A1%E5%BE%AE</x:v>
      </x:c>
      <x:c r="AF31" s="82" t="str">
        <x:v>采用</x:v>
      </x:c>
      <x:c r="AG31" s="82" t="str">
        <x:v>初审</x:v>
      </x:c>
      <x:c r="AH31" s="87" t="n">
        <x:v>46260</x:v>
      </x:c>
    </x:row>
    <x:row r="32">
      <x:c r="A32" s="72" t="str">
        <x:f>IF(OR(C32="",D32=""),"",B32&amp;"-"&amp;UPPER(C32)&amp;"-"&amp;TEXT(D32,"0000")&amp;"-"&amp;E32)</x:f>
        <x:v>M14-YIN-0026-V1.0</x:v>
      </x:c>
      <x:c r="B32" s="74" t="str">
        <x:v>M14</x:v>
      </x:c>
      <x:c r="C32" s="74" t="str">
        <x:v>YIN</x:v>
      </x:c>
      <x:c r="D32" s="215" t="n">
        <x:v>26</x:v>
      </x:c>
      <x:c r="E32" s="74" t="str">
        <x:v>V1.0</x:v>
      </x:c>
      <x:c r="F32" s="68" t="str">
        <x:v>正偏印并见需判断主从和枭夺食</x:v>
      </x:c>
      <x:c r="G32" s="82" t="str">
        <x:v>综合层</x:v>
      </x:c>
      <x:c r="H32" s="82" t="str">
        <x:v>普通格局</x:v>
      </x:c>
      <x:c r="I32" s="68" t="str">
        <x:v>印格候选</x:v>
      </x:c>
      <x:c r="J32" s="68" t="str">
        <x:v>印星具有月令依据</x:v>
      </x:c>
      <x:c r="K32" s="68" t="str">
        <x:v>透干可增强候选，但不作为所有格局的绝对唯一条件</x:v>
      </x:c>
      <x:c r="L32" s="82" t="str">
        <x:v>有杂</x:v>
      </x:c>
      <x:c r="M32" s="68" t="str">
        <x:v>待定</x:v>
      </x:c>
      <x:c r="N32" s="68" t="str">
        <x:v>待定</x:v>
      </x:c>
      <x:c r="O32" s="68" t="str">
        <x:v>结合M09日主旺衰与承载判断</x:v>
      </x:c>
      <x:c r="P32" s="68" t="str">
        <x:v>正印偏印同时有效，但一方可能主导</x:v>
      </x:c>
      <x:c r="Q32" s="68" t="str">
        <x:v>不适用</x:v>
      </x:c>
      <x:c r="R32" s="68" t="str">
        <x:v>格神得令、有根、透达、清纯，并得到有效生扶或制化配合</x:v>
      </x:c>
      <x:c r="S32" s="68" t="str">
        <x:v>偏印强夺食或印枭混杂使格神功能不清</x:v>
      </x:c>
      <x:c r="T32" s="90" t="str">
        <x:v>格神失效、无真实功能，或候选只由单一表面十神名称产生</x:v>
      </x:c>
      <x:c r="U32" s="68" t="str">
        <x:v>特殊格局、建禄羊刃及明确从化结构另用专门规则</x:v>
      </x:c>
      <x:c r="V32" s="82" t="str">
        <x:v>候选</x:v>
      </x:c>
      <x:c r="W32" s="68" t="str">
        <x:v>正印格/偏印格并列</x:v>
      </x:c>
      <x:c r="X32" s="84" t="str">
        <x:v>印格_印枭混杂</x:v>
      </x:c>
      <x:c r="Y32" s="84" t="str">
        <x:v>印格候选列为“候选”：主要依据为月令与格神有效性；仍需M15检验成格、破格、救应与层次。</x:v>
      </x:c>
      <x:c r="Z32" s="82" t="str">
        <x:v>较高</x:v>
      </x:c>
      <x:c r="AA32" s="82" t="str">
        <x:v>子平格局</x:v>
      </x:c>
      <x:c r="AB32" s="68" t="str">
        <x:v>M14只生成和排除格局候选。候选须综合月令、透干、格神有效力量、清纯度、日主配合与全局主导性；候选成立不等于M15最终成格。</x:v>
      </x:c>
      <x:c r="AC32" s="68" t="str">
        <x:v>月令与格神有效性共同支持“印格候选”，且没有决定性否决条件。</x:v>
      </x:c>
      <x:c r="AD32" s="90" t="str">
        <x:v>仅见相关十神或五行出现，但月令、格神有效性或全局主导性不成立，不能直接列“印格候选”。</x:v>
      </x:c>
      <x:c r="AE32" s="68" t="str">
        <x:v>https://zh.wikisource.org/zh-hans/%E6%B7%B5%E6%B5%B7%E5%AD%90%E5%B9%B3 ; https://zh.wikisource.org/wiki/%E6%BB%B4%E5%A4%A9%E9%AB%93%E9%97%A1%E5%BE%AE</x:v>
      </x:c>
      <x:c r="AF32" s="82" t="str">
        <x:v>采用</x:v>
      </x:c>
      <x:c r="AG32" s="82" t="str">
        <x:v>初审</x:v>
      </x:c>
      <x:c r="AH32" s="87" t="n">
        <x:v>46260</x:v>
      </x:c>
    </x:row>
    <x:row r="33">
      <x:c r="A33" s="72" t="str">
        <x:f>IF(OR(C33="",D33=""),"",B33&amp;"-"&amp;UPPER(C33)&amp;"-"&amp;TEXT(D33,"0000")&amp;"-"&amp;E33)</x:f>
        <x:v>M14-CAI-0027-V1.0</x:v>
      </x:c>
      <x:c r="B33" s="74" t="str">
        <x:v>M14</x:v>
      </x:c>
      <x:c r="C33" s="74" t="str">
        <x:v>CAI</x:v>
      </x:c>
      <x:c r="D33" s="215" t="n">
        <x:v>27</x:v>
      </x:c>
      <x:c r="E33" s="74" t="str">
        <x:v>V1.0</x:v>
      </x:c>
      <x:c r="F33" s="68" t="str">
        <x:v>月令正财主气生成正财格候选</x:v>
      </x:c>
      <x:c r="G33" s="82" t="str">
        <x:v>综合层</x:v>
      </x:c>
      <x:c r="H33" s="82" t="str">
        <x:v>普通格局</x:v>
      </x:c>
      <x:c r="I33" s="68" t="str">
        <x:v>正财格候选</x:v>
      </x:c>
      <x:c r="J33" s="68" t="str">
        <x:v>月令本气为正财，或正财得令成为主要耗用轴</x:v>
      </x:c>
      <x:c r="K33" s="68" t="str">
        <x:v>正财透干为增强条件</x:v>
      </x:c>
      <x:c r="L33" s="82" t="str">
        <x:v>较清</x:v>
      </x:c>
      <x:c r="M33" s="68" t="str">
        <x:v>正财有根</x:v>
      </x:c>
      <x:c r="N33" s="68" t="str">
        <x:v>中和偏旺</x:v>
      </x:c>
      <x:c r="O33" s="68" t="str">
        <x:v>日主有足够承载任财</x:v>
      </x:c>
      <x:c r="P33" s="68" t="str">
        <x:v>正财得令、有效且日主可任</x:v>
      </x:c>
      <x:c r="Q33" s="68" t="str">
        <x:v>不适用</x:v>
      </x:c>
      <x:c r="R33" s="68" t="str">
        <x:v>格神得令、有根、透达、清纯，并得到有效生扶或制化配合</x:v>
      </x:c>
      <x:c r="S33" s="68" t="str">
        <x:v>存在更强月令主气、格神功能被替代或全局主势明显转向其他结构</x:v>
      </x:c>
      <x:c r="T33" s="90" t="str">
        <x:v>格神失效、无真实功能，或候选只由单一表面十神名称产生</x:v>
      </x:c>
      <x:c r="U33" s="68" t="str">
        <x:v>特殊格局、建禄羊刃及明确从化结构另用专门规则</x:v>
      </x:c>
      <x:c r="V33" s="82" t="str">
        <x:v>候选</x:v>
      </x:c>
      <x:c r="W33" s="68" t="str">
        <x:v>食伤生财、财官相生候选</x:v>
      </x:c>
      <x:c r="X33" s="84" t="str">
        <x:v>正财格候选_候选</x:v>
      </x:c>
      <x:c r="Y33" s="84" t="str">
        <x:v>正财格候选列为“候选”：主要依据为月令与格神有效性；仍需M15检验成格、破格、救应与层次。</x:v>
      </x:c>
      <x:c r="Z33" s="82" t="str">
        <x:v>较高</x:v>
      </x:c>
      <x:c r="AA33" s="82" t="str">
        <x:v>子平格局</x:v>
      </x:c>
      <x:c r="AB33" s="68" t="str">
        <x:v>M14只生成和排除格局候选。候选须综合月令、透干、格神有效力量、清纯度、日主配合与全局主导性；候选成立不等于M15最终成格。</x:v>
      </x:c>
      <x:c r="AC33" s="68" t="str">
        <x:v>月令与格神有效性共同支持“正财格候选”，且没有决定性否决条件。</x:v>
      </x:c>
      <x:c r="AD33" s="90" t="str">
        <x:v>仅见相关十神或五行出现，但月令、格神有效性或全局主导性不成立，不能直接列“正财格候选”。</x:v>
      </x:c>
      <x:c r="AE33" s="68" t="str">
        <x:v>https://zh.wikisource.org/zh-hans/%E6%B7%B5%E6%B5%B7%E5%AD%90%E5%B9%B3 ; https://zh.wikisource.org/wiki/%E6%BB%B4%E5%A4%A9%E9%AB%93%E9%97%A1%E5%BE%AE</x:v>
      </x:c>
      <x:c r="AF33" s="82" t="str">
        <x:v>采用</x:v>
      </x:c>
      <x:c r="AG33" s="82" t="str">
        <x:v>初审</x:v>
      </x:c>
      <x:c r="AH33" s="87" t="n">
        <x:v>46260</x:v>
      </x:c>
    </x:row>
    <x:row r="34">
      <x:c r="A34" s="72" t="str">
        <x:f>IF(OR(C34="",D34=""),"",B34&amp;"-"&amp;UPPER(C34)&amp;"-"&amp;TEXT(D34,"0000")&amp;"-"&amp;E34)</x:f>
        <x:v>M14-CAI-0028-V1.0</x:v>
      </x:c>
      <x:c r="B34" s="74" t="str">
        <x:v>M14</x:v>
      </x:c>
      <x:c r="C34" s="74" t="str">
        <x:v>CAI</x:v>
      </x:c>
      <x:c r="D34" s="215" t="n">
        <x:v>28</x:v>
      </x:c>
      <x:c r="E34" s="74" t="str">
        <x:v>V1.0</x:v>
      </x:c>
      <x:c r="F34" s="68" t="str">
        <x:v>月令偏财主气生成偏财格候选</x:v>
      </x:c>
      <x:c r="G34" s="82" t="str">
        <x:v>综合层</x:v>
      </x:c>
      <x:c r="H34" s="82" t="str">
        <x:v>普通格局</x:v>
      </x:c>
      <x:c r="I34" s="68" t="str">
        <x:v>偏财格候选</x:v>
      </x:c>
      <x:c r="J34" s="68" t="str">
        <x:v>月令本气为偏财，或偏财得令成为主要耗用轴</x:v>
      </x:c>
      <x:c r="K34" s="68" t="str">
        <x:v>偏财透干为增强条件</x:v>
      </x:c>
      <x:c r="L34" s="82" t="str">
        <x:v>较清</x:v>
      </x:c>
      <x:c r="M34" s="68" t="str">
        <x:v>偏财有根</x:v>
      </x:c>
      <x:c r="N34" s="68" t="str">
        <x:v>中和偏旺</x:v>
      </x:c>
      <x:c r="O34" s="68" t="str">
        <x:v>日主有根有势，能够承受财耗</x:v>
      </x:c>
      <x:c r="P34" s="68" t="str">
        <x:v>偏财有效并成为全局主要资源流向</x:v>
      </x:c>
      <x:c r="Q34" s="68" t="str">
        <x:v>不适用</x:v>
      </x:c>
      <x:c r="R34" s="68" t="str">
        <x:v>格神得令、有根、透达、清纯，并得到有效生扶或制化配合</x:v>
      </x:c>
      <x:c r="S34" s="68" t="str">
        <x:v>存在更强月令主气、格神功能被替代或全局主势明显转向其他结构</x:v>
      </x:c>
      <x:c r="T34" s="90" t="str">
        <x:v>格神失效、无真实功能，或候选只由单一表面十神名称产生</x:v>
      </x:c>
      <x:c r="U34" s="68" t="str">
        <x:v>特殊格局、建禄羊刃及明确从化结构另用专门规则</x:v>
      </x:c>
      <x:c r="V34" s="82" t="str">
        <x:v>候选</x:v>
      </x:c>
      <x:c r="W34" s="68" t="str">
        <x:v>食伤生财、财生官杀候选</x:v>
      </x:c>
      <x:c r="X34" s="84" t="str">
        <x:v>偏财格候选_候选</x:v>
      </x:c>
      <x:c r="Y34" s="84" t="str">
        <x:v>偏财格候选列为“候选”：主要依据为月令与格神有效性；仍需M15检验成格、破格、救应与层次。</x:v>
      </x:c>
      <x:c r="Z34" s="82" t="str">
        <x:v>较高</x:v>
      </x:c>
      <x:c r="AA34" s="82" t="str">
        <x:v>子平格局</x:v>
      </x:c>
      <x:c r="AB34" s="68" t="str">
        <x:v>M14只生成和排除格局候选。候选须综合月令、透干、格神有效力量、清纯度、日主配合与全局主导性；候选成立不等于M15最终成格。</x:v>
      </x:c>
      <x:c r="AC34" s="68" t="str">
        <x:v>月令与格神有效性共同支持“偏财格候选”，且没有决定性否决条件。</x:v>
      </x:c>
      <x:c r="AD34" s="90" t="str">
        <x:v>仅见相关十神或五行出现，但月令、格神有效性或全局主导性不成立，不能直接列“偏财格候选”。</x:v>
      </x:c>
      <x:c r="AE34" s="68" t="str">
        <x:v>https://zh.wikisource.org/zh-hans/%E6%B7%B5%E6%B5%B7%E5%AD%90%E5%B9%B3 ; https://zh.wikisource.org/wiki/%E6%BB%B4%E5%A4%A9%E9%AB%93%E9%97%A1%E5%BE%AE</x:v>
      </x:c>
      <x:c r="AF34" s="82" t="str">
        <x:v>采用</x:v>
      </x:c>
      <x:c r="AG34" s="82" t="str">
        <x:v>初审</x:v>
      </x:c>
      <x:c r="AH34" s="87" t="n">
        <x:v>46260</x:v>
      </x:c>
    </x:row>
    <x:row r="35">
      <x:c r="A35" s="72" t="str">
        <x:f>IF(OR(C35="",D35=""),"",B35&amp;"-"&amp;UPPER(C35)&amp;"-"&amp;TEXT(D35,"0000")&amp;"-"&amp;E35)</x:f>
        <x:v>M14-CAI-0029-V1.0</x:v>
      </x:c>
      <x:c r="B35" s="74" t="str">
        <x:v>M14</x:v>
      </x:c>
      <x:c r="C35" s="74" t="str">
        <x:v>CAI</x:v>
      </x:c>
      <x:c r="D35" s="215" t="n">
        <x:v>29</x:v>
      </x:c>
      <x:c r="E35" s="74" t="str">
        <x:v>V1.0</x:v>
      </x:c>
      <x:c r="F35" s="68" t="str">
        <x:v>食伤生财增强财格候选</x:v>
      </x:c>
      <x:c r="G35" s="82" t="str">
        <x:v>综合层</x:v>
      </x:c>
      <x:c r="H35" s="82" t="str">
        <x:v>普通格局</x:v>
      </x:c>
      <x:c r="I35" s="68" t="str">
        <x:v>财格候选</x:v>
      </x:c>
      <x:c r="J35" s="68" t="str">
        <x:v>财星具有月令依据</x:v>
      </x:c>
      <x:c r="K35" s="68" t="str">
        <x:v>透干可增强候选，但不作为所有格局的绝对唯一条件</x:v>
      </x:c>
      <x:c r="L35" s="82" t="str">
        <x:v>待定</x:v>
      </x:c>
      <x:c r="M35" s="68" t="str">
        <x:v>待定</x:v>
      </x:c>
      <x:c r="N35" s="68" t="str">
        <x:v>待定</x:v>
      </x:c>
      <x:c r="O35" s="68" t="str">
        <x:v>结合M09日主旺衰与承载判断</x:v>
      </x:c>
      <x:c r="P35" s="68" t="str">
        <x:v>M11食伤生财成立且财星能承接</x:v>
      </x:c>
      <x:c r="Q35" s="68" t="str">
        <x:v>不适用</x:v>
      </x:c>
      <x:c r="R35" s="68" t="str">
        <x:v>格神得令、有根、透达、清纯，并得到有效生扶或制化配合</x:v>
      </x:c>
      <x:c r="S35" s="68" t="str">
        <x:v>存在更强月令主气、格神功能被替代或全局主势明显转向其他结构</x:v>
      </x:c>
      <x:c r="T35" s="90" t="str">
        <x:v>格神失效、无真实功能，或候选只由单一表面十神名称产生</x:v>
      </x:c>
      <x:c r="U35" s="68" t="str">
        <x:v>特殊格局、建禄羊刃及明确从化结构另用专门规则</x:v>
      </x:c>
      <x:c r="V35" s="82" t="str">
        <x:v>基本成立</x:v>
      </x:c>
      <x:c r="W35" s="68" t="str">
        <x:v>食神格或伤官格候选</x:v>
      </x:c>
      <x:c r="X35" s="84" t="str">
        <x:v>财格_食伤生财增强</x:v>
      </x:c>
      <x:c r="Y35" s="84" t="str">
        <x:v>财格候选列为“基本成立”：主要依据为月令与格神有效性；仍需M15检验成格、破格、救应与层次。</x:v>
      </x:c>
      <x:c r="Z35" s="82" t="str">
        <x:v>较高</x:v>
      </x:c>
      <x:c r="AA35" s="82" t="str">
        <x:v>子平格局</x:v>
      </x:c>
      <x:c r="AB35" s="68" t="str">
        <x:v>M14只生成和排除格局候选。候选须综合月令、透干、格神有效力量、清纯度、日主配合与全局主导性；候选成立不等于M15最终成格。</x:v>
      </x:c>
      <x:c r="AC35" s="68" t="str">
        <x:v>月令与格神有效性共同支持“财格候选”，且没有决定性否决条件。</x:v>
      </x:c>
      <x:c r="AD35" s="90" t="str">
        <x:v>仅见相关十神或五行出现，但月令、格神有效性或全局主导性不成立，不能直接列“财格候选”。</x:v>
      </x:c>
      <x:c r="AE35" s="68" t="str">
        <x:v>https://zh.wikisource.org/zh-hans/%E6%B7%B5%E6%B5%B7%E5%AD%90%E5%B9%B3 ; https://zh.wikisource.org/wiki/%E6%BB%B4%E5%A4%A9%E9%AB%93%E9%97%A1%E5%BE%AE</x:v>
      </x:c>
      <x:c r="AF35" s="82" t="str">
        <x:v>采用</x:v>
      </x:c>
      <x:c r="AG35" s="82" t="str">
        <x:v>初审</x:v>
      </x:c>
      <x:c r="AH35" s="87" t="n">
        <x:v>46260</x:v>
      </x:c>
    </x:row>
    <x:row r="36">
      <x:c r="A36" s="72" t="str">
        <x:f>IF(OR(C36="",D36=""),"",B36&amp;"-"&amp;UPPER(C36)&amp;"-"&amp;TEXT(D36,"0000")&amp;"-"&amp;E36)</x:f>
        <x:v>M14-CAI-0030-V1.0</x:v>
      </x:c>
      <x:c r="B36" s="74" t="str">
        <x:v>M14</x:v>
      </x:c>
      <x:c r="C36" s="74" t="str">
        <x:v>CAI</x:v>
      </x:c>
      <x:c r="D36" s="215" t="n">
        <x:v>30</x:v>
      </x:c>
      <x:c r="E36" s="74" t="str">
        <x:v>V1.0</x:v>
      </x:c>
      <x:c r="F36" s="68" t="str">
        <x:v>财官相生可增强财格候选</x:v>
      </x:c>
      <x:c r="G36" s="82" t="str">
        <x:v>综合层</x:v>
      </x:c>
      <x:c r="H36" s="82" t="str">
        <x:v>普通格局</x:v>
      </x:c>
      <x:c r="I36" s="68" t="str">
        <x:v>财格候选</x:v>
      </x:c>
      <x:c r="J36" s="68" t="str">
        <x:v>财星具有月令依据</x:v>
      </x:c>
      <x:c r="K36" s="68" t="str">
        <x:v>透干可增强候选，但不作为所有格局的绝对唯一条件</x:v>
      </x:c>
      <x:c r="L36" s="82" t="str">
        <x:v>待定</x:v>
      </x:c>
      <x:c r="M36" s="68" t="str">
        <x:v>待定</x:v>
      </x:c>
      <x:c r="N36" s="68" t="str">
        <x:v>待定</x:v>
      </x:c>
      <x:c r="O36" s="68" t="str">
        <x:v>结合M09日主旺衰与承载判断</x:v>
      </x:c>
      <x:c r="P36" s="68" t="str">
        <x:v>财生官链路有效，官星能够承接且不反过度制身</x:v>
      </x:c>
      <x:c r="Q36" s="68" t="str">
        <x:v>不适用</x:v>
      </x:c>
      <x:c r="R36" s="68" t="str">
        <x:v>格神得令、有根、透达、清纯，并得到有效生扶或制化配合</x:v>
      </x:c>
      <x:c r="S36" s="68" t="str">
        <x:v>存在更强月令主气、格神功能被替代或全局主势明显转向其他结构</x:v>
      </x:c>
      <x:c r="T36" s="90" t="str">
        <x:v>格神失效、无真实功能，或候选只由单一表面十神名称产生</x:v>
      </x:c>
      <x:c r="U36" s="68" t="str">
        <x:v>特殊格局、建禄羊刃及明确从化结构另用专门规则</x:v>
      </x:c>
      <x:c r="V36" s="82" t="str">
        <x:v>基本成立</x:v>
      </x:c>
      <x:c r="W36" s="68" t="str">
        <x:v>正官格候选</x:v>
      </x:c>
      <x:c r="X36" s="84" t="str">
        <x:v>财格_财官增强</x:v>
      </x:c>
      <x:c r="Y36" s="84" t="str">
        <x:v>财格候选列为“基本成立”：主要依据为月令与格神有效性；仍需M15检验成格、破格、救应与层次。</x:v>
      </x:c>
      <x:c r="Z36" s="82" t="str">
        <x:v>较高</x:v>
      </x:c>
      <x:c r="AA36" s="82" t="str">
        <x:v>子平格局</x:v>
      </x:c>
      <x:c r="AB36" s="68" t="str">
        <x:v>M14只生成和排除格局候选。候选须综合月令、透干、格神有效力量、清纯度、日主配合与全局主导性；候选成立不等于M15最终成格。</x:v>
      </x:c>
      <x:c r="AC36" s="68" t="str">
        <x:v>月令与格神有效性共同支持“财格候选”，且没有决定性否决条件。</x:v>
      </x:c>
      <x:c r="AD36" s="90" t="str">
        <x:v>仅见相关十神或五行出现，但月令、格神有效性或全局主导性不成立，不能直接列“财格候选”。</x:v>
      </x:c>
      <x:c r="AE36" s="68" t="str">
        <x:v>https://zh.wikisource.org/zh-hans/%E6%B7%B5%E6%B5%B7%E5%AD%90%E5%B9%B3 ; https://zh.wikisource.org/wiki/%E6%BB%B4%E5%A4%A9%E9%AB%93%E9%97%A1%E5%BE%AE</x:v>
      </x:c>
      <x:c r="AF36" s="82" t="str">
        <x:v>采用</x:v>
      </x:c>
      <x:c r="AG36" s="82" t="str">
        <x:v>初审</x:v>
      </x:c>
      <x:c r="AH36" s="87" t="n">
        <x:v>46260</x:v>
      </x:c>
    </x:row>
    <x:row r="37">
      <x:c r="A37" s="72" t="str">
        <x:f>IF(OR(C37="",D37=""),"",B37&amp;"-"&amp;UPPER(C37)&amp;"-"&amp;TEXT(D37,"0000")&amp;"-"&amp;E37)</x:f>
        <x:v>M14-CAI-0031-V1.0</x:v>
      </x:c>
      <x:c r="B37" s="74" t="str">
        <x:v>M14</x:v>
      </x:c>
      <x:c r="C37" s="74" t="str">
        <x:v>CAI</x:v>
      </x:c>
      <x:c r="D37" s="215" t="n">
        <x:v>31</x:v>
      </x:c>
      <x:c r="E37" s="74" t="str">
        <x:v>V1.0</x:v>
      </x:c>
      <x:c r="F37" s="68" t="str">
        <x:v>比劫强制财会降低或排除财格候选</x:v>
      </x:c>
      <x:c r="G37" s="82" t="str">
        <x:v>综合层</x:v>
      </x:c>
      <x:c r="H37" s="82" t="str">
        <x:v>普通格局</x:v>
      </x:c>
      <x:c r="I37" s="68" t="str">
        <x:v>财格候选</x:v>
      </x:c>
      <x:c r="J37" s="68" t="str">
        <x:v>财星本有月令依据</x:v>
      </x:c>
      <x:c r="K37" s="68" t="str">
        <x:v>透干可增强候选，但不作为所有格局的绝对唯一条件</x:v>
      </x:c>
      <x:c r="L37" s="82" t="str">
        <x:v>待定</x:v>
      </x:c>
      <x:c r="M37" s="68" t="str">
        <x:v>财根受损或仍有余力</x:v>
      </x:c>
      <x:c r="N37" s="68" t="str">
        <x:v>受限</x:v>
      </x:c>
      <x:c r="O37" s="68" t="str">
        <x:v>结合M09日主旺衰与承载判断</x:v>
      </x:c>
      <x:c r="P37" s="68" t="str">
        <x:v>M11比劫夺财冲突成立</x:v>
      </x:c>
      <x:c r="Q37" s="68" t="str">
        <x:v>不适用</x:v>
      </x:c>
      <x:c r="R37" s="68" t="str">
        <x:v>格神得令、有根、透达、清纯，并得到有效生扶或制化配合</x:v>
      </x:c>
      <x:c r="S37" s="68" t="str">
        <x:v>存在更强月令主气、格神功能被替代或全局主势明显转向其他结构</x:v>
      </x:c>
      <x:c r="T37" s="90" t="str">
        <x:v>财星被比劫制至失效且无食伤通关或官杀制比</x:v>
      </x:c>
      <x:c r="U37" s="68" t="str">
        <x:v>特殊格局、建禄羊刃及明确从化结构另用专门规则</x:v>
      </x:c>
      <x:c r="V37" s="82" t="str">
        <x:v>不成立</x:v>
      </x:c>
      <x:c r="W37" s="68" t="str">
        <x:v>建禄/羊刃或比劫结构候选</x:v>
      </x:c>
      <x:c r="X37" s="84" t="str">
        <x:v>财格_比劫破财</x:v>
      </x:c>
      <x:c r="Y37" s="84" t="str">
        <x:v>财格候选列为“不成立”：主要依据为月令与格神有效性；仍需M15检验成格、破格、救应与层次。</x:v>
      </x:c>
      <x:c r="Z37" s="82" t="str">
        <x:v>较高</x:v>
      </x:c>
      <x:c r="AA37" s="82" t="str">
        <x:v>子平格局</x:v>
      </x:c>
      <x:c r="AB37" s="68" t="str">
        <x:v>M14只生成和排除格局候选。候选须综合月令、透干、格神有效力量、清纯度、日主配合与全局主导性；候选成立不等于M15最终成格。</x:v>
      </x:c>
      <x:c r="AC37" s="68" t="str">
        <x:v>月令与格神有效性共同支持“财格候选”，且没有决定性否决条件。</x:v>
      </x:c>
      <x:c r="AD37" s="90" t="str">
        <x:v>仅见相关十神或五行出现，但月令、格神有效性或全局主导性不成立，不能直接列“财格候选”。</x:v>
      </x:c>
      <x:c r="AE37" s="68" t="str">
        <x:v>https://zh.wikisource.org/zh-hans/%E6%B7%B5%E6%B5%B7%E5%AD%90%E5%B9%B3 ; https://zh.wikisource.org/wiki/%E6%BB%B4%E5%A4%A9%E9%AB%93%E9%97%A1%E5%BE%AE</x:v>
      </x:c>
      <x:c r="AF37" s="82" t="str">
        <x:v>采用</x:v>
      </x:c>
      <x:c r="AG37" s="82" t="str">
        <x:v>初审</x:v>
      </x:c>
      <x:c r="AH37" s="87" t="n">
        <x:v>46260</x:v>
      </x:c>
    </x:row>
    <x:row r="38">
      <x:c r="A38" s="72" t="str">
        <x:f>IF(OR(C38="",D38=""),"",B38&amp;"-"&amp;UPPER(C38)&amp;"-"&amp;TEXT(D38,"0000")&amp;"-"&amp;E38)</x:f>
        <x:v>M14-CAI-0032-V1.0</x:v>
      </x:c>
      <x:c r="B38" s="74" t="str">
        <x:v>M14</x:v>
      </x:c>
      <x:c r="C38" s="74" t="str">
        <x:v>CAI</x:v>
      </x:c>
      <x:c r="D38" s="215" t="n">
        <x:v>32</x:v>
      </x:c>
      <x:c r="E38" s="74" t="str">
        <x:v>V1.0</x:v>
      </x:c>
      <x:c r="F38" s="68" t="str">
        <x:v>财旺身弱无承载时财格候选降级</x:v>
      </x:c>
      <x:c r="G38" s="82" t="str">
        <x:v>综合层</x:v>
      </x:c>
      <x:c r="H38" s="82" t="str">
        <x:v>普通格局</x:v>
      </x:c>
      <x:c r="I38" s="68" t="str">
        <x:v>财格候选</x:v>
      </x:c>
      <x:c r="J38" s="68" t="str">
        <x:v>财星得令有力</x:v>
      </x:c>
      <x:c r="K38" s="68" t="str">
        <x:v>透干可增强候选，但不作为所有格局的绝对唯一条件</x:v>
      </x:c>
      <x:c r="L38" s="82" t="str">
        <x:v>待定</x:v>
      </x:c>
      <x:c r="M38" s="68" t="str">
        <x:v>待定</x:v>
      </x:c>
      <x:c r="N38" s="68" t="str">
        <x:v>旺</x:v>
      </x:c>
      <x:c r="O38" s="68" t="str">
        <x:v>日主弱或极弱，印比不足</x:v>
      </x:c>
      <x:c r="P38" s="68" t="str">
        <x:v>财格表面条件成立但日主不能任财</x:v>
      </x:c>
      <x:c r="Q38" s="68" t="str">
        <x:v>不适用</x:v>
      </x:c>
      <x:c r="R38" s="68" t="str">
        <x:v>格神得令、有根、透达、清纯，并得到有效生扶或制化配合</x:v>
      </x:c>
      <x:c r="S38" s="68" t="str">
        <x:v>财耗超过日主承载</x:v>
      </x:c>
      <x:c r="T38" s="90" t="str">
        <x:v>格神失效、无真实功能，或候选只由单一表面十神名称产生</x:v>
      </x:c>
      <x:c r="U38" s="68" t="str">
        <x:v>特殊格局、建禄羊刃及明确从化结构另用专门规则</x:v>
      </x:c>
      <x:c r="V38" s="82" t="str">
        <x:v>候选</x:v>
      </x:c>
      <x:c r="W38" s="68" t="str">
        <x:v>从财格候选或财多身弱结构</x:v>
      </x:c>
      <x:c r="X38" s="84" t="str">
        <x:v>财格_身弱承载不足</x:v>
      </x:c>
      <x:c r="Y38" s="84" t="str">
        <x:v>财格候选列为“候选”：主要依据为月令与格神有效性；仍需M15检验成格、破格、救应与层次。</x:v>
      </x:c>
      <x:c r="Z38" s="82" t="str">
        <x:v>较高</x:v>
      </x:c>
      <x:c r="AA38" s="82" t="str">
        <x:v>子平格局</x:v>
      </x:c>
      <x:c r="AB38" s="68" t="str">
        <x:v>M14只生成和排除格局候选。候选须综合月令、透干、格神有效力量、清纯度、日主配合与全局主导性；候选成立不等于M15最终成格。</x:v>
      </x:c>
      <x:c r="AC38" s="68" t="str">
        <x:v>月令与格神有效性共同支持“财格候选”，且没有决定性否决条件。</x:v>
      </x:c>
      <x:c r="AD38" s="90" t="str">
        <x:v>仅见相关十神或五行出现，但月令、格神有效性或全局主导性不成立，不能直接列“财格候选”。</x:v>
      </x:c>
      <x:c r="AE38" s="68" t="str">
        <x:v>https://zh.wikisource.org/zh-hans/%E6%B7%B5%E6%B5%B7%E5%AD%90%E5%B9%B3 ; https://zh.wikisource.org/wiki/%E6%BB%B4%E5%A4%A9%E9%AB%93%E9%97%A1%E5%BE%AE</x:v>
      </x:c>
      <x:c r="AF38" s="82" t="str">
        <x:v>采用</x:v>
      </x:c>
      <x:c r="AG38" s="82" t="str">
        <x:v>初审</x:v>
      </x:c>
      <x:c r="AH38" s="87" t="n">
        <x:v>46260</x:v>
      </x:c>
    </x:row>
    <x:row r="39">
      <x:c r="A39" s="72" t="str">
        <x:f>IF(OR(C39="",D39=""),"",B39&amp;"-"&amp;UPPER(C39)&amp;"-"&amp;TEXT(D39,"0000")&amp;"-"&amp;E39)</x:f>
        <x:v>M14-SHISHANG-0033-V1.0</x:v>
      </x:c>
      <x:c r="B39" s="74" t="str">
        <x:v>M14</x:v>
      </x:c>
      <x:c r="C39" s="74" t="str">
        <x:v>SHISHANG</x:v>
      </x:c>
      <x:c r="D39" s="215" t="n">
        <x:v>33</x:v>
      </x:c>
      <x:c r="E39" s="74" t="str">
        <x:v>V1.0</x:v>
      </x:c>
      <x:c r="F39" s="68" t="str">
        <x:v>月令食神主气生成食神格候选</x:v>
      </x:c>
      <x:c r="G39" s="82" t="str">
        <x:v>综合层</x:v>
      </x:c>
      <x:c r="H39" s="82" t="str">
        <x:v>普通格局</x:v>
      </x:c>
      <x:c r="I39" s="68" t="str">
        <x:v>食神格候选</x:v>
      </x:c>
      <x:c r="J39" s="68" t="str">
        <x:v>月令本气为食神，或食神得令成为主要泄秀轴</x:v>
      </x:c>
      <x:c r="K39" s="68" t="str">
        <x:v>食神透干且有根为增强条件</x:v>
      </x:c>
      <x:c r="L39" s="82" t="str">
        <x:v>较清</x:v>
      </x:c>
      <x:c r="M39" s="68" t="str">
        <x:v>食神有根</x:v>
      </x:c>
      <x:c r="N39" s="68" t="str">
        <x:v>中和偏旺</x:v>
      </x:c>
      <x:c r="O39" s="68" t="str">
        <x:v>日主有足够力量可泄</x:v>
      </x:c>
      <x:c r="P39" s="68" t="str">
        <x:v>食神得令、有效并承担泄秀、生财或制杀功能</x:v>
      </x:c>
      <x:c r="Q39" s="68" t="str">
        <x:v>不适用</x:v>
      </x:c>
      <x:c r="R39" s="68" t="str">
        <x:v>格神得令、有根、透达、清纯，并得到有效生扶或制化配合</x:v>
      </x:c>
      <x:c r="S39" s="68" t="str">
        <x:v>存在更强月令主气、格神功能被替代或全局主势明显转向其他结构</x:v>
      </x:c>
      <x:c r="T39" s="90" t="str">
        <x:v>格神失效、无真实功能，或候选只由单一表面十神名称产生</x:v>
      </x:c>
      <x:c r="U39" s="68" t="str">
        <x:v>特殊格局、建禄羊刃及明确从化结构另用专门规则</x:v>
      </x:c>
      <x:c r="V39" s="82" t="str">
        <x:v>候选</x:v>
      </x:c>
      <x:c r="W39" s="68" t="str">
        <x:v>食神生财、食神制杀候选</x:v>
      </x:c>
      <x:c r="X39" s="84" t="str">
        <x:v>食神格候选_候选</x:v>
      </x:c>
      <x:c r="Y39" s="84" t="str">
        <x:v>食神格候选列为“候选”：主要依据为月令与格神有效性；仍需M15检验成格、破格、救应与层次。</x:v>
      </x:c>
      <x:c r="Z39" s="82" t="str">
        <x:v>较高</x:v>
      </x:c>
      <x:c r="AA39" s="82" t="str">
        <x:v>子平格局</x:v>
      </x:c>
      <x:c r="AB39" s="68" t="str">
        <x:v>M14只生成和排除格局候选。候选须综合月令、透干、格神有效力量、清纯度、日主配合与全局主导性；候选成立不等于M15最终成格。</x:v>
      </x:c>
      <x:c r="AC39" s="68" t="str">
        <x:v>月令与格神有效性共同支持“食神格候选”，且没有决定性否决条件。</x:v>
      </x:c>
      <x:c r="AD39" s="90" t="str">
        <x:v>仅见相关十神或五行出现，但月令、格神有效性或全局主导性不成立，不能直接列“食神格候选”。</x:v>
      </x:c>
      <x:c r="AE39" s="68" t="str">
        <x:v>https://zh.wikisource.org/zh-hans/%E6%B7%B5%E6%B5%B7%E5%AD%90%E5%B9%B3 ; https://zh.wikisource.org/wiki/%E6%BB%B4%E5%A4%A9%E9%AB%93%E9%97%A1%E5%BE%AE</x:v>
      </x:c>
      <x:c r="AF39" s="82" t="str">
        <x:v>采用</x:v>
      </x:c>
      <x:c r="AG39" s="82" t="str">
        <x:v>初审</x:v>
      </x:c>
      <x:c r="AH39" s="87" t="n">
        <x:v>46260</x:v>
      </x:c>
    </x:row>
    <x:row r="40">
      <x:c r="A40" s="72" t="str">
        <x:f>IF(OR(C40="",D40=""),"",B40&amp;"-"&amp;UPPER(C40)&amp;"-"&amp;TEXT(D40,"0000")&amp;"-"&amp;E40)</x:f>
        <x:v>M14-SHISHANG-0034-V1.0</x:v>
      </x:c>
      <x:c r="B40" s="74" t="str">
        <x:v>M14</x:v>
      </x:c>
      <x:c r="C40" s="74" t="str">
        <x:v>SHISHANG</x:v>
      </x:c>
      <x:c r="D40" s="215" t="n">
        <x:v>34</x:v>
      </x:c>
      <x:c r="E40" s="74" t="str">
        <x:v>V1.0</x:v>
      </x:c>
      <x:c r="F40" s="68" t="str">
        <x:v>食神生财增强食神格候选</x:v>
      </x:c>
      <x:c r="G40" s="82" t="str">
        <x:v>综合层</x:v>
      </x:c>
      <x:c r="H40" s="82" t="str">
        <x:v>普通格局</x:v>
      </x:c>
      <x:c r="I40" s="68" t="str">
        <x:v>食神格候选</x:v>
      </x:c>
      <x:c r="J40" s="68" t="str">
        <x:v>食神具有月令依据</x:v>
      </x:c>
      <x:c r="K40" s="68" t="str">
        <x:v>透干可增强候选，但不作为所有格局的绝对唯一条件</x:v>
      </x:c>
      <x:c r="L40" s="82" t="str">
        <x:v>待定</x:v>
      </x:c>
      <x:c r="M40" s="68" t="str">
        <x:v>待定</x:v>
      </x:c>
      <x:c r="N40" s="68" t="str">
        <x:v>待定</x:v>
      </x:c>
      <x:c r="O40" s="68" t="str">
        <x:v>结合M09日主旺衰与承载判断</x:v>
      </x:c>
      <x:c r="P40" s="68" t="str">
        <x:v>M11食神生财达到基本成立以上</x:v>
      </x:c>
      <x:c r="Q40" s="68" t="str">
        <x:v>不适用</x:v>
      </x:c>
      <x:c r="R40" s="68" t="str">
        <x:v>格神得令、有根、透达、清纯，并得到有效生扶或制化配合</x:v>
      </x:c>
      <x:c r="S40" s="68" t="str">
        <x:v>存在更强月令主气、格神功能被替代或全局主势明显转向其他结构</x:v>
      </x:c>
      <x:c r="T40" s="90" t="str">
        <x:v>格神失效、无真实功能，或候选只由单一表面十神名称产生</x:v>
      </x:c>
      <x:c r="U40" s="68" t="str">
        <x:v>特殊格局、建禄羊刃及明确从化结构另用专门规则</x:v>
      </x:c>
      <x:c r="V40" s="82" t="str">
        <x:v>基本成立</x:v>
      </x:c>
      <x:c r="W40" s="68" t="str">
        <x:v>财格候选</x:v>
      </x:c>
      <x:c r="X40" s="84" t="str">
        <x:v>食神格_生财增强</x:v>
      </x:c>
      <x:c r="Y40" s="84" t="str">
        <x:v>食神格候选列为“基本成立”：主要依据为月令与格神有效性；仍需M15检验成格、破格、救应与层次。</x:v>
      </x:c>
      <x:c r="Z40" s="82" t="str">
        <x:v>较高</x:v>
      </x:c>
      <x:c r="AA40" s="82" t="str">
        <x:v>子平格局</x:v>
      </x:c>
      <x:c r="AB40" s="68" t="str">
        <x:v>M14只生成和排除格局候选。候选须综合月令、透干、格神有效力量、清纯度、日主配合与全局主导性；候选成立不等于M15最终成格。</x:v>
      </x:c>
      <x:c r="AC40" s="68" t="str">
        <x:v>月令与格神有效性共同支持“食神格候选”，且没有决定性否决条件。</x:v>
      </x:c>
      <x:c r="AD40" s="90" t="str">
        <x:v>仅见相关十神或五行出现，但月令、格神有效性或全局主导性不成立，不能直接列“食神格候选”。</x:v>
      </x:c>
      <x:c r="AE40" s="68" t="str">
        <x:v>https://zh.wikisource.org/zh-hans/%E6%B7%B5%E6%B5%B7%E5%AD%90%E5%B9%B3 ; https://zh.wikisource.org/wiki/%E6%BB%B4%E5%A4%A9%E9%AB%93%E9%97%A1%E5%BE%AE</x:v>
      </x:c>
      <x:c r="AF40" s="82" t="str">
        <x:v>采用</x:v>
      </x:c>
      <x:c r="AG40" s="82" t="str">
        <x:v>初审</x:v>
      </x:c>
      <x:c r="AH40" s="87" t="n">
        <x:v>46260</x:v>
      </x:c>
    </x:row>
    <x:row r="41">
      <x:c r="A41" s="72" t="str">
        <x:f>IF(OR(C41="",D41=""),"",B41&amp;"-"&amp;UPPER(C41)&amp;"-"&amp;TEXT(D41,"0000")&amp;"-"&amp;E41)</x:f>
        <x:v>M14-SHISHANG-0035-V1.0</x:v>
      </x:c>
      <x:c r="B41" s="74" t="str">
        <x:v>M14</x:v>
      </x:c>
      <x:c r="C41" s="74" t="str">
        <x:v>SHISHANG</x:v>
      </x:c>
      <x:c r="D41" s="215" t="n">
        <x:v>35</x:v>
      </x:c>
      <x:c r="E41" s="74" t="str">
        <x:v>V1.0</x:v>
      </x:c>
      <x:c r="F41" s="68" t="str">
        <x:v>枭神夺食会降低或排除食神格候选</x:v>
      </x:c>
      <x:c r="G41" s="82" t="str">
        <x:v>综合层</x:v>
      </x:c>
      <x:c r="H41" s="82" t="str">
        <x:v>普通格局</x:v>
      </x:c>
      <x:c r="I41" s="68" t="str">
        <x:v>食神格候选</x:v>
      </x:c>
      <x:c r="J41" s="68" t="str">
        <x:v>食神本有月令依据</x:v>
      </x:c>
      <x:c r="K41" s="68" t="str">
        <x:v>透干可增强候选，但不作为所有格局的绝对唯一条件</x:v>
      </x:c>
      <x:c r="L41" s="82" t="str">
        <x:v>待定</x:v>
      </x:c>
      <x:c r="M41" s="68" t="str">
        <x:v>待定</x:v>
      </x:c>
      <x:c r="N41" s="68" t="str">
        <x:v>受限</x:v>
      </x:c>
      <x:c r="O41" s="68" t="str">
        <x:v>结合M09日主旺衰与承载判断</x:v>
      </x:c>
      <x:c r="P41" s="68" t="str">
        <x:v>偏印对食神形成实质强制</x:v>
      </x:c>
      <x:c r="Q41" s="68" t="str">
        <x:v>不适用</x:v>
      </x:c>
      <x:c r="R41" s="68" t="str">
        <x:v>格神得令、有根、透达、清纯，并得到有效生扶或制化配合</x:v>
      </x:c>
      <x:c r="S41" s="68" t="str">
        <x:v>存在更强月令主气、格神功能被替代或全局主势明显转向其他结构</x:v>
      </x:c>
      <x:c r="T41" s="90" t="str">
        <x:v>食神被枭制至失效且无财制枭救应</x:v>
      </x:c>
      <x:c r="U41" s="68" t="str">
        <x:v>特殊格局、建禄羊刃及明确从化结构另用专门规则</x:v>
      </x:c>
      <x:c r="V41" s="82" t="str">
        <x:v>不成立</x:v>
      </x:c>
      <x:c r="W41" s="68" t="str">
        <x:v>偏印格候选</x:v>
      </x:c>
      <x:c r="X41" s="84" t="str">
        <x:v>食神格_枭夺食否决</x:v>
      </x:c>
      <x:c r="Y41" s="84" t="str">
        <x:v>食神格候选列为“不成立”：主要依据为月令与格神有效性；仍需M15检验成格、破格、救应与层次。</x:v>
      </x:c>
      <x:c r="Z41" s="82" t="str">
        <x:v>较高</x:v>
      </x:c>
      <x:c r="AA41" s="82" t="str">
        <x:v>子平格局</x:v>
      </x:c>
      <x:c r="AB41" s="68" t="str">
        <x:v>M14只生成和排除格局候选。候选须综合月令、透干、格神有效力量、清纯度、日主配合与全局主导性；候选成立不等于M15最终成格。</x:v>
      </x:c>
      <x:c r="AC41" s="68" t="str">
        <x:v>月令与格神有效性共同支持“食神格候选”，且没有决定性否决条件。</x:v>
      </x:c>
      <x:c r="AD41" s="90" t="str">
        <x:v>仅见相关十神或五行出现，但月令、格神有效性或全局主导性不成立，不能直接列“食神格候选”。</x:v>
      </x:c>
      <x:c r="AE41" s="68" t="str">
        <x:v>https://zh.wikisource.org/zh-hans/%E6%B7%B5%E6%B5%B7%E5%AD%90%E5%B9%B3 ; https://zh.wikisource.org/wiki/%E6%BB%B4%E5%A4%A9%E9%AB%93%E9%97%A1%E5%BE%AE</x:v>
      </x:c>
      <x:c r="AF41" s="82" t="str">
        <x:v>采用</x:v>
      </x:c>
      <x:c r="AG41" s="82" t="str">
        <x:v>初审</x:v>
      </x:c>
      <x:c r="AH41" s="87" t="n">
        <x:v>46260</x:v>
      </x:c>
    </x:row>
    <x:row r="42">
      <x:c r="A42" s="72" t="str">
        <x:f>IF(OR(C42="",D42=""),"",B42&amp;"-"&amp;UPPER(C42)&amp;"-"&amp;TEXT(D42,"0000")&amp;"-"&amp;E42)</x:f>
        <x:v>M14-SHISHANG-0036-V1.0</x:v>
      </x:c>
      <x:c r="B42" s="74" t="str">
        <x:v>M14</x:v>
      </x:c>
      <x:c r="C42" s="74" t="str">
        <x:v>SHISHANG</x:v>
      </x:c>
      <x:c r="D42" s="215" t="n">
        <x:v>36</x:v>
      </x:c>
      <x:c r="E42" s="74" t="str">
        <x:v>V1.0</x:v>
      </x:c>
      <x:c r="F42" s="68" t="str">
        <x:v>食伤混杂主从不清时食神格降级</x:v>
      </x:c>
      <x:c r="G42" s="82" t="str">
        <x:v>综合层</x:v>
      </x:c>
      <x:c r="H42" s="82" t="str">
        <x:v>普通格局</x:v>
      </x:c>
      <x:c r="I42" s="68" t="str">
        <x:v>食神格候选</x:v>
      </x:c>
      <x:c r="J42" s="68" t="str">
        <x:v>食神有月令依据但伤官同时有效</x:v>
      </x:c>
      <x:c r="K42" s="68" t="str">
        <x:v>透干可增强候选，但不作为所有格局的绝对唯一条件</x:v>
      </x:c>
      <x:c r="L42" s="82" t="str">
        <x:v>混杂</x:v>
      </x:c>
      <x:c r="M42" s="68" t="str">
        <x:v>待定</x:v>
      </x:c>
      <x:c r="N42" s="68" t="str">
        <x:v>待定</x:v>
      </x:c>
      <x:c r="O42" s="68" t="str">
        <x:v>结合M09日主旺衰与承载判断</x:v>
      </x:c>
      <x:c r="P42" s="68" t="str">
        <x:v>月令依据、格神有效性与全局主导性共同支持</x:v>
      </x:c>
      <x:c r="Q42" s="68" t="str">
        <x:v>不适用</x:v>
      </x:c>
      <x:c r="R42" s="68" t="str">
        <x:v>格神得令、有根、透达、清纯，并得到有效生扶或制化配合</x:v>
      </x:c>
      <x:c r="S42" s="68" t="str">
        <x:v>食神伤官双强、主从不清</x:v>
      </x:c>
      <x:c r="T42" s="90" t="str">
        <x:v>格神失效、无真实功能，或候选只由单一表面十神名称产生</x:v>
      </x:c>
      <x:c r="U42" s="68" t="str">
        <x:v>特殊格局、建禄羊刃及明确从化结构另用专门规则</x:v>
      </x:c>
      <x:c r="V42" s="82" t="str">
        <x:v>候选</x:v>
      </x:c>
      <x:c r="W42" s="68" t="str">
        <x:v>伤官格或食伤混杂结构</x:v>
      </x:c>
      <x:c r="X42" s="84" t="str">
        <x:v>食神格_食伤混杂</x:v>
      </x:c>
      <x:c r="Y42" s="84" t="str">
        <x:v>食神格候选列为“候选”：主要依据为月令与格神有效性；仍需M15检验成格、破格、救应与层次。</x:v>
      </x:c>
      <x:c r="Z42" s="82" t="str">
        <x:v>较高</x:v>
      </x:c>
      <x:c r="AA42" s="82" t="str">
        <x:v>子平格局</x:v>
      </x:c>
      <x:c r="AB42" s="68" t="str">
        <x:v>M14只生成和排除格局候选。候选须综合月令、透干、格神有效力量、清纯度、日主配合与全局主导性；候选成立不等于M15最终成格。</x:v>
      </x:c>
      <x:c r="AC42" s="68" t="str">
        <x:v>月令与格神有效性共同支持“食神格候选”，且没有决定性否决条件。</x:v>
      </x:c>
      <x:c r="AD42" s="90" t="str">
        <x:v>仅见相关十神或五行出现，但月令、格神有效性或全局主导性不成立，不能直接列“食神格候选”。</x:v>
      </x:c>
      <x:c r="AE42" s="68" t="str">
        <x:v>https://zh.wikisource.org/zh-hans/%E6%B7%B5%E6%B5%B7%E5%AD%90%E5%B9%B3 ; https://zh.wikisource.org/wiki/%E6%BB%B4%E5%A4%A9%E9%AB%93%E9%97%A1%E5%BE%AE</x:v>
      </x:c>
      <x:c r="AF42" s="82" t="str">
        <x:v>采用</x:v>
      </x:c>
      <x:c r="AG42" s="82" t="str">
        <x:v>初审</x:v>
      </x:c>
      <x:c r="AH42" s="87" t="n">
        <x:v>46260</x:v>
      </x:c>
    </x:row>
    <x:row r="43">
      <x:c r="A43" s="72" t="str">
        <x:f>IF(OR(C43="",D43=""),"",B43&amp;"-"&amp;UPPER(C43)&amp;"-"&amp;TEXT(D43,"0000")&amp;"-"&amp;E43)</x:f>
        <x:v>M14-SHISHANG-0037-V1.0</x:v>
      </x:c>
      <x:c r="B43" s="74" t="str">
        <x:v>M14</x:v>
      </x:c>
      <x:c r="C43" s="74" t="str">
        <x:v>SHISHANG</x:v>
      </x:c>
      <x:c r="D43" s="215" t="n">
        <x:v>37</x:v>
      </x:c>
      <x:c r="E43" s="74" t="str">
        <x:v>V1.0</x:v>
      </x:c>
      <x:c r="F43" s="68" t="str">
        <x:v>月令伤官主气生成伤官格候选</x:v>
      </x:c>
      <x:c r="G43" s="82" t="str">
        <x:v>综合层</x:v>
      </x:c>
      <x:c r="H43" s="82" t="str">
        <x:v>普通格局</x:v>
      </x:c>
      <x:c r="I43" s="68" t="str">
        <x:v>伤官格候选</x:v>
      </x:c>
      <x:c r="J43" s="68" t="str">
        <x:v>月令本气为伤官，或伤官得令成为主要泄身/制官轴</x:v>
      </x:c>
      <x:c r="K43" s="68" t="str">
        <x:v>伤官透干且有根为增强条件</x:v>
      </x:c>
      <x:c r="L43" s="82" t="str">
        <x:v>较清</x:v>
      </x:c>
      <x:c r="M43" s="68" t="str">
        <x:v>伤官有根</x:v>
      </x:c>
      <x:c r="N43" s="68" t="str">
        <x:v>中和偏旺</x:v>
      </x:c>
      <x:c r="O43" s="68" t="str">
        <x:v>日主有力量可泄，且伤官功能有合理出口</x:v>
      </x:c>
      <x:c r="P43" s="68" t="str">
        <x:v>伤官有效并主导全局</x:v>
      </x:c>
      <x:c r="Q43" s="68" t="str">
        <x:v>不适用</x:v>
      </x:c>
      <x:c r="R43" s="68" t="str">
        <x:v>格神得令、有根、透达、清纯，并得到有效生扶或制化配合</x:v>
      </x:c>
      <x:c r="S43" s="68" t="str">
        <x:v>存在更强月令主气、格神功能被替代或全局主势明显转向其他结构</x:v>
      </x:c>
      <x:c r="T43" s="90" t="str">
        <x:v>格神失效、无真实功能，或候选只由单一表面十神名称产生</x:v>
      </x:c>
      <x:c r="U43" s="68" t="str">
        <x:v>特殊格局、建禄羊刃及明确从化结构另用专门规则</x:v>
      </x:c>
      <x:c r="V43" s="82" t="str">
        <x:v>候选</x:v>
      </x:c>
      <x:c r="W43" s="68" t="str">
        <x:v>伤官生财、伤官配印候选</x:v>
      </x:c>
      <x:c r="X43" s="84" t="str">
        <x:v>伤官格候选_候选</x:v>
      </x:c>
      <x:c r="Y43" s="84" t="str">
        <x:v>伤官格候选列为“候选”：主要依据为月令与格神有效性；仍需M15检验成格、破格、救应与层次。</x:v>
      </x:c>
      <x:c r="Z43" s="82" t="str">
        <x:v>较高</x:v>
      </x:c>
      <x:c r="AA43" s="82" t="str">
        <x:v>子平格局</x:v>
      </x:c>
      <x:c r="AB43" s="68" t="str">
        <x:v>M14只生成和排除格局候选。候选须综合月令、透干、格神有效力量、清纯度、日主配合与全局主导性；候选成立不等于M15最终成格。</x:v>
      </x:c>
      <x:c r="AC43" s="68" t="str">
        <x:v>月令与格神有效性共同支持“伤官格候选”，且没有决定性否决条件。</x:v>
      </x:c>
      <x:c r="AD43" s="90" t="str">
        <x:v>仅见相关十神或五行出现，但月令、格神有效性或全局主导性不成立，不能直接列“伤官格候选”。</x:v>
      </x:c>
      <x:c r="AE43" s="68" t="str">
        <x:v>https://zh.wikisource.org/zh-hans/%E6%B7%B5%E6%B5%B7%E5%AD%90%E5%B9%B3 ; https://zh.wikisource.org/wiki/%E6%BB%B4%E5%A4%A9%E9%AB%93%E9%97%A1%E5%BE%AE</x:v>
      </x:c>
      <x:c r="AF43" s="82" t="str">
        <x:v>采用</x:v>
      </x:c>
      <x:c r="AG43" s="82" t="str">
        <x:v>初审</x:v>
      </x:c>
      <x:c r="AH43" s="87" t="n">
        <x:v>46260</x:v>
      </x:c>
    </x:row>
    <x:row r="44">
      <x:c r="A44" s="72" t="str">
        <x:f>IF(OR(C44="",D44=""),"",B44&amp;"-"&amp;UPPER(C44)&amp;"-"&amp;TEXT(D44,"0000")&amp;"-"&amp;E44)</x:f>
        <x:v>M14-SHISHANG-0038-V1.0</x:v>
      </x:c>
      <x:c r="B44" s="74" t="str">
        <x:v>M14</x:v>
      </x:c>
      <x:c r="C44" s="74" t="str">
        <x:v>SHISHANG</x:v>
      </x:c>
      <x:c r="D44" s="215" t="n">
        <x:v>38</x:v>
      </x:c>
      <x:c r="E44" s="74" t="str">
        <x:v>V1.0</x:v>
      </x:c>
      <x:c r="F44" s="68" t="str">
        <x:v>伤官生财可增强伤官格候选</x:v>
      </x:c>
      <x:c r="G44" s="82" t="str">
        <x:v>综合层</x:v>
      </x:c>
      <x:c r="H44" s="82" t="str">
        <x:v>普通格局</x:v>
      </x:c>
      <x:c r="I44" s="68" t="str">
        <x:v>伤官格候选</x:v>
      </x:c>
      <x:c r="J44" s="68" t="str">
        <x:v>伤官具有月令依据</x:v>
      </x:c>
      <x:c r="K44" s="68" t="str">
        <x:v>透干可增强候选，但不作为所有格局的绝对唯一条件</x:v>
      </x:c>
      <x:c r="L44" s="82" t="str">
        <x:v>待定</x:v>
      </x:c>
      <x:c r="M44" s="68" t="str">
        <x:v>待定</x:v>
      </x:c>
      <x:c r="N44" s="68" t="str">
        <x:v>待定</x:v>
      </x:c>
      <x:c r="O44" s="68" t="str">
        <x:v>结合M09日主旺衰与承载判断</x:v>
      </x:c>
      <x:c r="P44" s="68" t="str">
        <x:v>M11伤官生财成立，财星能承接</x:v>
      </x:c>
      <x:c r="Q44" s="68" t="str">
        <x:v>不适用</x:v>
      </x:c>
      <x:c r="R44" s="68" t="str">
        <x:v>格神得令、有根、透达、清纯，并得到有效生扶或制化配合</x:v>
      </x:c>
      <x:c r="S44" s="68" t="str">
        <x:v>存在更强月令主气、格神功能被替代或全局主势明显转向其他结构</x:v>
      </x:c>
      <x:c r="T44" s="90" t="str">
        <x:v>格神失效、无真实功能，或候选只由单一表面十神名称产生</x:v>
      </x:c>
      <x:c r="U44" s="68" t="str">
        <x:v>特殊格局、建禄羊刃及明确从化结构另用专门规则</x:v>
      </x:c>
      <x:c r="V44" s="82" t="str">
        <x:v>基本成立</x:v>
      </x:c>
      <x:c r="W44" s="68" t="str">
        <x:v>财格候选</x:v>
      </x:c>
      <x:c r="X44" s="84" t="str">
        <x:v>伤官格_生财增强</x:v>
      </x:c>
      <x:c r="Y44" s="84" t="str">
        <x:v>伤官格候选列为“基本成立”：主要依据为月令与格神有效性；仍需M15检验成格、破格、救应与层次。</x:v>
      </x:c>
      <x:c r="Z44" s="82" t="str">
        <x:v>较高</x:v>
      </x:c>
      <x:c r="AA44" s="82" t="str">
        <x:v>子平格局</x:v>
      </x:c>
      <x:c r="AB44" s="68" t="str">
        <x:v>M14只生成和排除格局候选。候选须综合月令、透干、格神有效力量、清纯度、日主配合与全局主导性；候选成立不等于M15最终成格。</x:v>
      </x:c>
      <x:c r="AC44" s="68" t="str">
        <x:v>月令与格神有效性共同支持“伤官格候选”，且没有决定性否决条件。</x:v>
      </x:c>
      <x:c r="AD44" s="90" t="str">
        <x:v>仅见相关十神或五行出现，但月令、格神有效性或全局主导性不成立，不能直接列“伤官格候选”。</x:v>
      </x:c>
      <x:c r="AE44" s="68" t="str">
        <x:v>https://zh.wikisource.org/zh-hans/%E6%B7%B5%E6%B5%B7%E5%AD%90%E5%B9%B3 ; https://zh.wikisource.org/wiki/%E6%BB%B4%E5%A4%A9%E9%AB%93%E9%97%A1%E5%BE%AE</x:v>
      </x:c>
      <x:c r="AF44" s="82" t="str">
        <x:v>采用</x:v>
      </x:c>
      <x:c r="AG44" s="82" t="str">
        <x:v>初审</x:v>
      </x:c>
      <x:c r="AH44" s="87" t="n">
        <x:v>46260</x:v>
      </x:c>
    </x:row>
    <x:row r="45">
      <x:c r="A45" s="72" t="str">
        <x:f>IF(OR(C45="",D45=""),"",B45&amp;"-"&amp;UPPER(C45)&amp;"-"&amp;TEXT(D45,"0000")&amp;"-"&amp;E45)</x:f>
        <x:v>M14-SHISHANG-0039-V1.0</x:v>
      </x:c>
      <x:c r="B45" s="74" t="str">
        <x:v>M14</x:v>
      </x:c>
      <x:c r="C45" s="74" t="str">
        <x:v>SHISHANG</x:v>
      </x:c>
      <x:c r="D45" s="215" t="n">
        <x:v>39</x:v>
      </x:c>
      <x:c r="E45" s="74" t="str">
        <x:v>V1.0</x:v>
      </x:c>
      <x:c r="F45" s="68" t="str">
        <x:v>伤官配印可增强并稳定伤官格候选</x:v>
      </x:c>
      <x:c r="G45" s="82" t="str">
        <x:v>综合层</x:v>
      </x:c>
      <x:c r="H45" s="82" t="str">
        <x:v>普通格局</x:v>
      </x:c>
      <x:c r="I45" s="68" t="str">
        <x:v>伤官格候选</x:v>
      </x:c>
      <x:c r="J45" s="68" t="str">
        <x:v>伤官具有月令依据</x:v>
      </x:c>
      <x:c r="K45" s="68" t="str">
        <x:v>透干可增强候选，但不作为所有格局的绝对唯一条件</x:v>
      </x:c>
      <x:c r="L45" s="82" t="str">
        <x:v>待定</x:v>
      </x:c>
      <x:c r="M45" s="68" t="str">
        <x:v>待定</x:v>
      </x:c>
      <x:c r="N45" s="68" t="str">
        <x:v>待定</x:v>
      </x:c>
      <x:c r="O45" s="68" t="str">
        <x:v>结合M09日主旺衰与承载判断</x:v>
      </x:c>
      <x:c r="P45" s="68" t="str">
        <x:v>M11伤官配印成立，印能制伤而不过度</x:v>
      </x:c>
      <x:c r="Q45" s="68" t="str">
        <x:v>不适用</x:v>
      </x:c>
      <x:c r="R45" s="68" t="str">
        <x:v>格神得令、有根、透达、清纯，并得到有效生扶或制化配合</x:v>
      </x:c>
      <x:c r="S45" s="68" t="str">
        <x:v>存在更强月令主气、格神功能被替代或全局主势明显转向其他结构</x:v>
      </x:c>
      <x:c r="T45" s="90" t="str">
        <x:v>格神失效、无真实功能，或候选只由单一表面十神名称产生</x:v>
      </x:c>
      <x:c r="U45" s="68" t="str">
        <x:v>特殊格局、建禄羊刃及明确从化结构另用专门规则</x:v>
      </x:c>
      <x:c r="V45" s="82" t="str">
        <x:v>基本成立</x:v>
      </x:c>
      <x:c r="W45" s="68" t="str">
        <x:v>印格候选</x:v>
      </x:c>
      <x:c r="X45" s="84" t="str">
        <x:v>伤官格_配印增强</x:v>
      </x:c>
      <x:c r="Y45" s="84" t="str">
        <x:v>伤官格候选列为“基本成立”：主要依据为月令与格神有效性；仍需M15检验成格、破格、救应与层次。</x:v>
      </x:c>
      <x:c r="Z45" s="82" t="str">
        <x:v>较高</x:v>
      </x:c>
      <x:c r="AA45" s="82" t="str">
        <x:v>子平格局</x:v>
      </x:c>
      <x:c r="AB45" s="68" t="str">
        <x:v>M14只生成和排除格局候选。候选须综合月令、透干、格神有效力量、清纯度、日主配合与全局主导性；候选成立不等于M15最终成格。</x:v>
      </x:c>
      <x:c r="AC45" s="68" t="str">
        <x:v>月令与格神有效性共同支持“伤官格候选”，且没有决定性否决条件。</x:v>
      </x:c>
      <x:c r="AD45" s="90" t="str">
        <x:v>仅见相关十神或五行出现，但月令、格神有效性或全局主导性不成立，不能直接列“伤官格候选”。</x:v>
      </x:c>
      <x:c r="AE45" s="68" t="str">
        <x:v>https://zh.wikisource.org/zh-hans/%E6%B7%B5%E6%B5%B7%E5%AD%90%E5%B9%B3 ; https://zh.wikisource.org/wiki/%E6%BB%B4%E5%A4%A9%E9%AB%93%E9%97%A1%E5%BE%AE</x:v>
      </x:c>
      <x:c r="AF45" s="82" t="str">
        <x:v>采用</x:v>
      </x:c>
      <x:c r="AG45" s="82" t="str">
        <x:v>初审</x:v>
      </x:c>
      <x:c r="AH45" s="87" t="n">
        <x:v>46260</x:v>
      </x:c>
    </x:row>
    <x:row r="46">
      <x:c r="A46" s="72" t="str">
        <x:f>IF(OR(C46="",D46=""),"",B46&amp;"-"&amp;UPPER(C46)&amp;"-"&amp;TEXT(D46,"0000")&amp;"-"&amp;E46)</x:f>
        <x:v>M14-SHISHANG-0040-V1.0</x:v>
      </x:c>
      <x:c r="B46" s="74" t="str">
        <x:v>M14</x:v>
      </x:c>
      <x:c r="C46" s="74" t="str">
        <x:v>SHISHANG</x:v>
      </x:c>
      <x:c r="D46" s="215" t="n">
        <x:v>40</x:v>
      </x:c>
      <x:c r="E46" s="74" t="str">
        <x:v>V1.0</x:v>
      </x:c>
      <x:c r="F46" s="68" t="str">
        <x:v>伤官见官无救应时伤官格候选带破</x:v>
      </x:c>
      <x:c r="G46" s="82" t="str">
        <x:v>综合层</x:v>
      </x:c>
      <x:c r="H46" s="82" t="str">
        <x:v>普通格局</x:v>
      </x:c>
      <x:c r="I46" s="68" t="str">
        <x:v>伤官格候选</x:v>
      </x:c>
      <x:c r="J46" s="68" t="str">
        <x:v>伤官有月令依据</x:v>
      </x:c>
      <x:c r="K46" s="68" t="str">
        <x:v>透干可增强候选，但不作为所有格局的绝对唯一条件</x:v>
      </x:c>
      <x:c r="L46" s="82" t="str">
        <x:v>有杂</x:v>
      </x:c>
      <x:c r="M46" s="68" t="str">
        <x:v>待定</x:v>
      </x:c>
      <x:c r="N46" s="68" t="str">
        <x:v>待定</x:v>
      </x:c>
      <x:c r="O46" s="68" t="str">
        <x:v>结合M09日主旺衰与承载判断</x:v>
      </x:c>
      <x:c r="P46" s="68" t="str">
        <x:v>伤官与正官形成实质冲突</x:v>
      </x:c>
      <x:c r="Q46" s="68" t="str">
        <x:v>不适用</x:v>
      </x:c>
      <x:c r="R46" s="68" t="str">
        <x:v>格神得令、有根、透达、清纯，并得到有效生扶或制化配合</x:v>
      </x:c>
      <x:c r="S46" s="68" t="str">
        <x:v>无印制伤、无财通关、官星仍为关键功能</x:v>
      </x:c>
      <x:c r="T46" s="90" t="str">
        <x:v>格神失效、无真实功能，或候选只由单一表面十神名称产生</x:v>
      </x:c>
      <x:c r="U46" s="68" t="str">
        <x:v>特殊格局、建禄羊刃及明确从化结构另用专门规则</x:v>
      </x:c>
      <x:c r="V46" s="82" t="str">
        <x:v>成立但有破</x:v>
      </x:c>
      <x:c r="W46" s="68" t="str">
        <x:v>正官格或伤官配印候选</x:v>
      </x:c>
      <x:c r="X46" s="84" t="str">
        <x:v>伤官格_见官有破</x:v>
      </x:c>
      <x:c r="Y46" s="84" t="str">
        <x:v>伤官格候选列为“成立但有破”：主要依据为月令与格神有效性；仍需M15检验成格、破格、救应与层次。</x:v>
      </x:c>
      <x:c r="Z46" s="82" t="str">
        <x:v>较高</x:v>
      </x:c>
      <x:c r="AA46" s="82" t="str">
        <x:v>子平格局</x:v>
      </x:c>
      <x:c r="AB46" s="68" t="str">
        <x:v>M14只生成和排除格局候选。候选须综合月令、透干、格神有效力量、清纯度、日主配合与全局主导性；候选成立不等于M15最终成格。</x:v>
      </x:c>
      <x:c r="AC46" s="68" t="str">
        <x:v>月令与格神有效性共同支持“伤官格候选”，且没有决定性否决条件。</x:v>
      </x:c>
      <x:c r="AD46" s="90" t="str">
        <x:v>仅见相关十神或五行出现，但月令、格神有效性或全局主导性不成立，不能直接列“伤官格候选”。</x:v>
      </x:c>
      <x:c r="AE46" s="68" t="str">
        <x:v>https://zh.wikisource.org/zh-hans/%E6%B7%B5%E6%B5%B7%E5%AD%90%E5%B9%B3 ; https://zh.wikisource.org/wiki/%E6%BB%B4%E5%A4%A9%E9%AB%93%E9%97%A1%E5%BE%AE</x:v>
      </x:c>
      <x:c r="AF46" s="82" t="str">
        <x:v>采用</x:v>
      </x:c>
      <x:c r="AG46" s="82" t="str">
        <x:v>初审</x:v>
      </x:c>
      <x:c r="AH46" s="87" t="n">
        <x:v>46260</x:v>
      </x:c>
    </x:row>
    <x:row r="47">
      <x:c r="A47" s="72" t="str">
        <x:f>IF(OR(C47="",D47=""),"",B47&amp;"-"&amp;UPPER(C47)&amp;"-"&amp;TEXT(D47,"0000")&amp;"-"&amp;E47)</x:f>
        <x:v>M14-JIANREN-0041-V1.0</x:v>
      </x:c>
      <x:c r="B47" s="74" t="str">
        <x:v>M14</x:v>
      </x:c>
      <x:c r="C47" s="74" t="str">
        <x:v>JIANREN</x:v>
      </x:c>
      <x:c r="D47" s="215" t="n">
        <x:v>41</x:v>
      </x:c>
      <x:c r="E47" s="74" t="str">
        <x:v>V1.0</x:v>
      </x:c>
      <x:c r="F47" s="68" t="str">
        <x:v>日主临月令禄地生成建禄候选</x:v>
      </x:c>
      <x:c r="G47" s="82" t="str">
        <x:v>综合层</x:v>
      </x:c>
      <x:c r="H47" s="82" t="str">
        <x:v>建禄羊刃</x:v>
      </x:c>
      <x:c r="I47" s="68" t="str">
        <x:v>建禄格候选</x:v>
      </x:c>
      <x:c r="J47" s="68" t="str">
        <x:v>月支为日主禄地：甲寅、乙卯、丙戊巳、丁己午、庚申、辛酉、壬亥、癸子</x:v>
      </x:c>
      <x:c r="K47" s="68" t="str">
        <x:v>比劫透干可增强身势，但不是唯一条件</x:v>
      </x:c>
      <x:c r="L47" s="82" t="str">
        <x:v>待定</x:v>
      </x:c>
      <x:c r="M47" s="68" t="str">
        <x:v>月令本气强根</x:v>
      </x:c>
      <x:c r="N47" s="68" t="str">
        <x:v>旺</x:v>
      </x:c>
      <x:c r="O47" s="68" t="str">
        <x:v>日主通常得令得地，需重点寻找财官食伤等取用方向</x:v>
      </x:c>
      <x:c r="P47" s="68" t="str">
        <x:v>月令直接为日主禄地</x:v>
      </x:c>
      <x:c r="Q47" s="68" t="str">
        <x:v>不适用</x:v>
      </x:c>
      <x:c r="R47" s="68" t="str">
        <x:v>格神得令、有根、透达、清纯，并得到有效生扶或制化配合</x:v>
      </x:c>
      <x:c r="S47" s="68" t="str">
        <x:v>存在更强月令主气、格神功能被替代或全局主势明显转向其他结构</x:v>
      </x:c>
      <x:c r="T47" s="90" t="str">
        <x:v>格神失效、无真实功能，或候选只由单一表面十神名称产生</x:v>
      </x:c>
      <x:c r="U47" s="68" t="str">
        <x:v>若严格从旺、专旺或化气成立，转特殊格局候选</x:v>
      </x:c>
      <x:c r="V47" s="82" t="str">
        <x:v>候选</x:v>
      </x:c>
      <x:c r="W47" s="68" t="str">
        <x:v>身旺任财、身旺任官杀、食伤泄秀</x:v>
      </x:c>
      <x:c r="X47" s="84" t="str">
        <x:v>建禄格候选_候选</x:v>
      </x:c>
      <x:c r="Y47" s="84" t="str">
        <x:v>建禄格候选列为“候选”：主要依据为月令与格神有效性；仍需M15检验成格、破格、救应与层次。</x:v>
      </x:c>
      <x:c r="Z47" s="82" t="str">
        <x:v>较高</x:v>
      </x:c>
      <x:c r="AA47" s="82" t="str">
        <x:v>子平格局</x:v>
      </x:c>
      <x:c r="AB47" s="68" t="str">
        <x:v>M14只生成和排除格局候选。候选须综合月令、透干、格神有效力量、清纯度、日主配合与全局主导性；候选成立不等于M15最终成格。</x:v>
      </x:c>
      <x:c r="AC47" s="68" t="str">
        <x:v>月令与格神有效性共同支持“建禄格候选”，且没有决定性否决条件。</x:v>
      </x:c>
      <x:c r="AD47" s="90" t="str">
        <x:v>仅见相关十神或五行出现，但月令、格神有效性或全局主导性不成立，不能直接列“建禄格候选”。</x:v>
      </x:c>
      <x:c r="AE47" s="68" t="str">
        <x:v>https://zh.wikisource.org/zh-hans/%E6%B7%B5%E6%B5%B7%E5%AD%90%E5%B9%B3 ; https://zh.wikisource.org/wiki/%E6%BB%B4%E5%A4%A9%E9%AB%93%E9%97%A1%E5%BE%AE</x:v>
      </x:c>
      <x:c r="AF47" s="82" t="str">
        <x:v>采用</x:v>
      </x:c>
      <x:c r="AG47" s="82" t="str">
        <x:v>初审</x:v>
      </x:c>
      <x:c r="AH47" s="87" t="n">
        <x:v>46260</x:v>
      </x:c>
    </x:row>
    <x:row r="48">
      <x:c r="A48" s="72" t="str">
        <x:f>IF(OR(C48="",D48=""),"",B48&amp;"-"&amp;UPPER(C48)&amp;"-"&amp;TEXT(D48,"0000")&amp;"-"&amp;E48)</x:f>
        <x:v>M14-JIANREN-0042-V1.0</x:v>
      </x:c>
      <x:c r="B48" s="74" t="str">
        <x:v>M14</x:v>
      </x:c>
      <x:c r="C48" s="74" t="str">
        <x:v>JIANREN</x:v>
      </x:c>
      <x:c r="D48" s="215" t="n">
        <x:v>42</x:v>
      </x:c>
      <x:c r="E48" s="74" t="str">
        <x:v>V1.0</x:v>
      </x:c>
      <x:c r="F48" s="68" t="str">
        <x:v>建禄不等于最终身旺无疑</x:v>
      </x:c>
      <x:c r="G48" s="82" t="str">
        <x:v>综合层</x:v>
      </x:c>
      <x:c r="H48" s="82" t="str">
        <x:v>建禄羊刃</x:v>
      </x:c>
      <x:c r="I48" s="68" t="str">
        <x:v>建禄格候选</x:v>
      </x:c>
      <x:c r="J48" s="68" t="str">
        <x:v>日主临月令禄地</x:v>
      </x:c>
      <x:c r="K48" s="68" t="str">
        <x:v>透干可增强候选，但不作为所有格局的绝对唯一条件</x:v>
      </x:c>
      <x:c r="L48" s="82" t="str">
        <x:v>待定</x:v>
      </x:c>
      <x:c r="M48" s="68" t="str">
        <x:v>待定</x:v>
      </x:c>
      <x:c r="N48" s="68" t="str">
        <x:v>中和偏旺</x:v>
      </x:c>
      <x:c r="O48" s="68" t="str">
        <x:v>仍需读取M09有效根、印比与制泄耗</x:v>
      </x:c>
      <x:c r="P48" s="68" t="str">
        <x:v>建禄只提供高权重得令得地证据</x:v>
      </x:c>
      <x:c r="Q48" s="68" t="str">
        <x:v>不适用</x:v>
      </x:c>
      <x:c r="R48" s="68" t="str">
        <x:v>格神得令、有根、透达、清纯，并得到有效生扶或制化配合</x:v>
      </x:c>
      <x:c r="S48" s="68" t="str">
        <x:v>存在更强月令主气、格神功能被替代或全局主势明显转向其他结构</x:v>
      </x:c>
      <x:c r="T48" s="90" t="str">
        <x:v>格神失效、无真实功能，或候选只由单一表面十神名称产生</x:v>
      </x:c>
      <x:c r="U48" s="68" t="str">
        <x:v>特殊格局、建禄羊刃及明确从化结构另用专门规则</x:v>
      </x:c>
      <x:c r="V48" s="82" t="str">
        <x:v>候选</x:v>
      </x:c>
      <x:c r="W48" s="68" t="str">
        <x:v>待定</x:v>
      </x:c>
      <x:c r="X48" s="84" t="str">
        <x:v>建禄_旺衰边界</x:v>
      </x:c>
      <x:c r="Y48" s="84" t="str">
        <x:v>建禄可列候选，但日主最终旺衰与格局运行仍需结合全局制泄耗，不得仅凭月令禄地定旺或定格。</x:v>
      </x:c>
      <x:c r="Z48" s="82" t="str">
        <x:v>较高</x:v>
      </x:c>
      <x:c r="AA48" s="82" t="str">
        <x:v>子平格局</x:v>
      </x:c>
      <x:c r="AB48" s="68" t="str">
        <x:v>M14只生成和排除格局候选。候选须综合月令、透干、格神有效力量、清纯度、日主配合与全局主导性；候选成立不等于M15最终成格。</x:v>
      </x:c>
      <x:c r="AC48" s="68" t="str">
        <x:v>月令与格神有效性共同支持“建禄格候选”，且没有决定性否决条件。</x:v>
      </x:c>
      <x:c r="AD48" s="90" t="str">
        <x:v>仅见相关十神或五行出现，但月令、格神有效性或全局主导性不成立，不能直接列“建禄格候选”。</x:v>
      </x:c>
      <x:c r="AE48" s="68" t="str">
        <x:v>https://zh.wikisource.org/zh-hans/%E6%B7%B5%E6%B5%B7%E5%AD%90%E5%B9%B3 ; https://zh.wikisource.org/wiki/%E6%BB%B4%E5%A4%A9%E9%AB%93%E9%97%A1%E5%BE%AE</x:v>
      </x:c>
      <x:c r="AF48" s="82" t="str">
        <x:v>采用</x:v>
      </x:c>
      <x:c r="AG48" s="82" t="str">
        <x:v>初审</x:v>
      </x:c>
      <x:c r="AH48" s="87" t="n">
        <x:v>46260</x:v>
      </x:c>
    </x:row>
    <x:row r="49">
      <x:c r="A49" s="72" t="str">
        <x:f>IF(OR(C49="",D49=""),"",B49&amp;"-"&amp;UPPER(C49)&amp;"-"&amp;TEXT(D49,"0000")&amp;"-"&amp;E49)</x:f>
        <x:v>M14-JIANREN-0043-V1.0</x:v>
      </x:c>
      <x:c r="B49" s="74" t="str">
        <x:v>M14</x:v>
      </x:c>
      <x:c r="C49" s="74" t="str">
        <x:v>JIANREN</x:v>
      </x:c>
      <x:c r="D49" s="215" t="n">
        <x:v>43</x:v>
      </x:c>
      <x:c r="E49" s="74" t="str">
        <x:v>V1.0</x:v>
      </x:c>
      <x:c r="F49" s="68" t="str">
        <x:v>建禄遇财官食伤有效时形成主要替代结构</x:v>
      </x:c>
      <x:c r="G49" s="82" t="str">
        <x:v>综合层</x:v>
      </x:c>
      <x:c r="H49" s="82" t="str">
        <x:v>建禄羊刃</x:v>
      </x:c>
      <x:c r="I49" s="68" t="str">
        <x:v>建禄格候选</x:v>
      </x:c>
      <x:c r="J49" s="68" t="str">
        <x:v>建禄候选成立</x:v>
      </x:c>
      <x:c r="K49" s="68" t="str">
        <x:v>透干可增强候选，但不作为所有格局的绝对唯一条件</x:v>
      </x:c>
      <x:c r="L49" s="82" t="str">
        <x:v>待定</x:v>
      </x:c>
      <x:c r="M49" s="68" t="str">
        <x:v>待定</x:v>
      </x:c>
      <x:c r="N49" s="68" t="str">
        <x:v>待定</x:v>
      </x:c>
      <x:c r="O49" s="68" t="str">
        <x:v>结合M09日主旺衰与承载判断</x:v>
      </x:c>
      <x:c r="P49" s="68" t="str">
        <x:v>财、官杀或食伤在M10/M11形成清晰有效功能</x:v>
      </x:c>
      <x:c r="Q49" s="68" t="str">
        <x:v>不适用</x:v>
      </x:c>
      <x:c r="R49" s="68" t="str">
        <x:v>格神得令、有根、透达、清纯，并得到有效生扶或制化配合</x:v>
      </x:c>
      <x:c r="S49" s="68" t="str">
        <x:v>存在更强月令主气、格神功能被替代或全局主势明显转向其他结构</x:v>
      </x:c>
      <x:c r="T49" s="90" t="str">
        <x:v>格神失效、无真实功能，或候选只由单一表面十神名称产生</x:v>
      </x:c>
      <x:c r="U49" s="68" t="str">
        <x:v>特殊格局、建禄羊刃及明确从化结构另用专门规则</x:v>
      </x:c>
      <x:c r="V49" s="82" t="str">
        <x:v>候选</x:v>
      </x:c>
      <x:c r="W49" s="68" t="str">
        <x:v>身旺任财、官杀制衡、食伤泄秀</x:v>
      </x:c>
      <x:c r="X49" s="84" t="str">
        <x:v>建禄_取用方向</x:v>
      </x:c>
      <x:c r="Y49" s="84" t="str">
        <x:v>建禄格候选列为“候选”：主要依据为月令与格神有效性；仍需M15检验成格、破格、救应与层次。</x:v>
      </x:c>
      <x:c r="Z49" s="82" t="str">
        <x:v>较高</x:v>
      </x:c>
      <x:c r="AA49" s="82" t="str">
        <x:v>子平格局</x:v>
      </x:c>
      <x:c r="AB49" s="68" t="str">
        <x:v>M14只生成和排除格局候选。候选须综合月令、透干、格神有效力量、清纯度、日主配合与全局主导性；候选成立不等于M15最终成格。</x:v>
      </x:c>
      <x:c r="AC49" s="68" t="str">
        <x:v>月令与格神有效性共同支持“建禄格候选”，且没有决定性否决条件。</x:v>
      </x:c>
      <x:c r="AD49" s="90" t="str">
        <x:v>仅见相关十神或五行出现，但月令、格神有效性或全局主导性不成立，不能直接列“建禄格候选”。</x:v>
      </x:c>
      <x:c r="AE49" s="68" t="str">
        <x:v>https://zh.wikisource.org/zh-hans/%E6%B7%B5%E6%B5%B7%E5%AD%90%E5%B9%B3 ; https://zh.wikisource.org/wiki/%E6%BB%B4%E5%A4%A9%E9%AB%93%E9%97%A1%E5%BE%AE</x:v>
      </x:c>
      <x:c r="AF49" s="82" t="str">
        <x:v>采用</x:v>
      </x:c>
      <x:c r="AG49" s="82" t="str">
        <x:v>初审</x:v>
      </x:c>
      <x:c r="AH49" s="87" t="n">
        <x:v>46260</x:v>
      </x:c>
    </x:row>
    <x:row r="50">
      <x:c r="A50" s="72" t="str">
        <x:f>IF(OR(C50="",D50=""),"",B50&amp;"-"&amp;UPPER(C50)&amp;"-"&amp;TEXT(D50,"0000")&amp;"-"&amp;E50)</x:f>
        <x:v>M14-JIANREN-0044-V1.0</x:v>
      </x:c>
      <x:c r="B50" s="74" t="str">
        <x:v>M14</x:v>
      </x:c>
      <x:c r="C50" s="74" t="str">
        <x:v>JIANREN</x:v>
      </x:c>
      <x:c r="D50" s="215" t="n">
        <x:v>44</x:v>
      </x:c>
      <x:c r="E50" s="74" t="str">
        <x:v>V1.0</x:v>
      </x:c>
      <x:c r="F50" s="68" t="str">
        <x:v>比劫过旺无泄时建禄候选带壅塞</x:v>
      </x:c>
      <x:c r="G50" s="82" t="str">
        <x:v>综合层</x:v>
      </x:c>
      <x:c r="H50" s="82" t="str">
        <x:v>建禄羊刃</x:v>
      </x:c>
      <x:c r="I50" s="68" t="str">
        <x:v>建禄格候选</x:v>
      </x:c>
      <x:c r="J50" s="68" t="str">
        <x:v>建禄且比劫成势</x:v>
      </x:c>
      <x:c r="K50" s="68" t="str">
        <x:v>透干可增强候选，但不作为所有格局的绝对唯一条件</x:v>
      </x:c>
      <x:c r="L50" s="82" t="str">
        <x:v>有杂</x:v>
      </x:c>
      <x:c r="M50" s="68" t="str">
        <x:v>待定</x:v>
      </x:c>
      <x:c r="N50" s="68" t="str">
        <x:v>极旺</x:v>
      </x:c>
      <x:c r="O50" s="68" t="str">
        <x:v>结合M09日主旺衰与承载判断</x:v>
      </x:c>
      <x:c r="P50" s="68" t="str">
        <x:v>M12源头过旺无泄或回流壅塞成立</x:v>
      </x:c>
      <x:c r="Q50" s="68" t="str">
        <x:v>不适用</x:v>
      </x:c>
      <x:c r="R50" s="68" t="str">
        <x:v>格神得令、有根、透达、清纯，并得到有效生扶或制化配合</x:v>
      </x:c>
      <x:c r="S50" s="68" t="str">
        <x:v>存在更强月令主气、格神功能被替代或全局主势明显转向其他结构</x:v>
      </x:c>
      <x:c r="T50" s="90" t="str">
        <x:v>格神失效、无真实功能，或候选只由单一表面十神名称产生</x:v>
      </x:c>
      <x:c r="U50" s="68" t="str">
        <x:v>特殊格局、建禄羊刃及明确从化结构另用专门规则</x:v>
      </x:c>
      <x:c r="V50" s="82" t="str">
        <x:v>成立但有破</x:v>
      </x:c>
      <x:c r="W50" s="68" t="str">
        <x:v>从旺/专旺候选</x:v>
      </x:c>
      <x:c r="X50" s="84" t="str">
        <x:v>建禄_比劫壅塞</x:v>
      </x:c>
      <x:c r="Y50" s="84" t="str">
        <x:v>建禄格候选列为“成立但有破”：主要依据为月令与格神有效性；仍需M15检验成格、破格、救应与层次。</x:v>
      </x:c>
      <x:c r="Z50" s="82" t="str">
        <x:v>较高</x:v>
      </x:c>
      <x:c r="AA50" s="82" t="str">
        <x:v>子平格局</x:v>
      </x:c>
      <x:c r="AB50" s="68" t="str">
        <x:v>M14只生成和排除格局候选。候选须综合月令、透干、格神有效力量、清纯度、日主配合与全局主导性；候选成立不等于M15最终成格。</x:v>
      </x:c>
      <x:c r="AC50" s="68" t="str">
        <x:v>月令与格神有效性共同支持“建禄格候选”，且没有决定性否决条件。</x:v>
      </x:c>
      <x:c r="AD50" s="90" t="str">
        <x:v>仅见相关十神或五行出现，但月令、格神有效性或全局主导性不成立，不能直接列“建禄格候选”。</x:v>
      </x:c>
      <x:c r="AE50" s="68" t="str">
        <x:v>https://zh.wikisource.org/zh-hans/%E6%B7%B5%E6%B5%B7%E5%AD%90%E5%B9%B3 ; https://zh.wikisource.org/wiki/%E6%BB%B4%E5%A4%A9%E9%AB%93%E9%97%A1%E5%BE%AE</x:v>
      </x:c>
      <x:c r="AF50" s="82" t="str">
        <x:v>采用</x:v>
      </x:c>
      <x:c r="AG50" s="82" t="str">
        <x:v>初审</x:v>
      </x:c>
      <x:c r="AH50" s="87" t="n">
        <x:v>46260</x:v>
      </x:c>
    </x:row>
    <x:row r="51">
      <x:c r="A51" s="72" t="str">
        <x:f>IF(OR(C51="",D51=""),"",B51&amp;"-"&amp;UPPER(C51)&amp;"-"&amp;TEXT(D51,"0000")&amp;"-"&amp;E51)</x:f>
        <x:v>M14-JIANREN-0045-V1.0</x:v>
      </x:c>
      <x:c r="B51" s="74" t="str">
        <x:v>M14</x:v>
      </x:c>
      <x:c r="C51" s="74" t="str">
        <x:v>JIANREN</x:v>
      </x:c>
      <x:c r="D51" s="215" t="n">
        <x:v>45</x:v>
      </x:c>
      <x:c r="E51" s="74" t="str">
        <x:v>V1.0</x:v>
      </x:c>
      <x:c r="F51" s="68" t="str">
        <x:v>月令为日主羊刃地生成羊刃候选</x:v>
      </x:c>
      <x:c r="G51" s="82" t="str">
        <x:v>综合层</x:v>
      </x:c>
      <x:c r="H51" s="82" t="str">
        <x:v>建禄羊刃</x:v>
      </x:c>
      <x:c r="I51" s="68" t="str">
        <x:v>羊刃格候选</x:v>
      </x:c>
      <x:c r="J51" s="68" t="str">
        <x:v>按采用流派确认日主羊刃临月令；阳干常用甲卯、丙午、戊午、庚酉、壬子</x:v>
      </x:c>
      <x:c r="K51" s="68" t="str">
        <x:v>比劫透干或刃势成党为增强条件</x:v>
      </x:c>
      <x:c r="L51" s="82" t="str">
        <x:v>待定</x:v>
      </x:c>
      <x:c r="M51" s="68" t="str">
        <x:v>月令强根</x:v>
      </x:c>
      <x:c r="N51" s="68" t="str">
        <x:v>旺</x:v>
      </x:c>
      <x:c r="O51" s="68" t="str">
        <x:v>日主通常强，需官杀制刃或食伤财星泄耗</x:v>
      </x:c>
      <x:c r="P51" s="68" t="str">
        <x:v>月令刃地且刃势真实有效</x:v>
      </x:c>
      <x:c r="Q51" s="68" t="str">
        <x:v>阴干羊刃取法存在流派差异，需M21登记</x:v>
      </x:c>
      <x:c r="R51" s="68" t="str">
        <x:v>格神得令、有根、透达、清纯，并得到有效生扶或制化配合</x:v>
      </x:c>
      <x:c r="S51" s="68" t="str">
        <x:v>存在更强月令主气、格神功能被替代或全局主势明显转向其他结构</x:v>
      </x:c>
      <x:c r="T51" s="90" t="str">
        <x:v>格神失效、无真实功能，或候选只由单一表面十神名称产生</x:v>
      </x:c>
      <x:c r="U51" s="68" t="str">
        <x:v>特殊格局、建禄羊刃及明确从化结构另用专门规则</x:v>
      </x:c>
      <x:c r="V51" s="82" t="str">
        <x:v>候选</x:v>
      </x:c>
      <x:c r="W51" s="68" t="str">
        <x:v>羊刃驾杀、食伤泄秀候选</x:v>
      </x:c>
      <x:c r="X51" s="84" t="str">
        <x:v>羊刃格候选_候选</x:v>
      </x:c>
      <x:c r="Y51" s="84" t="str">
        <x:v>羊刃格候选列为“候选”：主要依据为月令与格神有效性；仍需M15检验成格、破格、救应与层次。</x:v>
      </x:c>
      <x:c r="Z51" s="82" t="str">
        <x:v>较高</x:v>
      </x:c>
      <x:c r="AA51" s="82" t="str">
        <x:v>子平格局</x:v>
      </x:c>
      <x:c r="AB51" s="68" t="str">
        <x:v>M14只生成和排除格局候选。候选须综合月令、透干、格神有效力量、清纯度、日主配合与全局主导性；候选成立不等于M15最终成格。</x:v>
      </x:c>
      <x:c r="AC51" s="68" t="str">
        <x:v>月令与格神有效性共同支持“羊刃格候选”，且没有决定性否决条件。</x:v>
      </x:c>
      <x:c r="AD51" s="90" t="str">
        <x:v>仅见相关十神或五行出现，但月令、格神有效性或全局主导性不成立，不能直接列“羊刃格候选”。</x:v>
      </x:c>
      <x:c r="AE51" s="68" t="str">
        <x:v>https://zh.wikisource.org/zh-hans/%E6%B7%B5%E6%B5%B7%E5%AD%90%E5%B9%B3 ; https://zh.wikisource.org/wiki/%E6%BB%B4%E5%A4%A9%E9%AB%93%E9%97%A1%E5%BE%AE</x:v>
      </x:c>
      <x:c r="AF51" s="82" t="str">
        <x:v>采用</x:v>
      </x:c>
      <x:c r="AG51" s="82" t="str">
        <x:v>初审</x:v>
      </x:c>
      <x:c r="AH51" s="87" t="n">
        <x:v>46260</x:v>
      </x:c>
    </x:row>
    <x:row r="52">
      <x:c r="A52" s="72" t="str">
        <x:f>IF(OR(C52="",D52=""),"",B52&amp;"-"&amp;UPPER(C52)&amp;"-"&amp;TEXT(D52,"0000")&amp;"-"&amp;E52)</x:f>
        <x:v>M14-JIANREN-0046-V1.0</x:v>
      </x:c>
      <x:c r="B52" s="74" t="str">
        <x:v>M14</x:v>
      </x:c>
      <x:c r="C52" s="74" t="str">
        <x:v>JIANREN</x:v>
      </x:c>
      <x:c r="D52" s="215" t="n">
        <x:v>46</x:v>
      </x:c>
      <x:c r="E52" s="74" t="str">
        <x:v>V1.0</x:v>
      </x:c>
      <x:c r="F52" s="68" t="str">
        <x:v>羊刃驾杀成立可增强羊刃候选</x:v>
      </x:c>
      <x:c r="G52" s="82" t="str">
        <x:v>综合层</x:v>
      </x:c>
      <x:c r="H52" s="82" t="str">
        <x:v>建禄羊刃</x:v>
      </x:c>
      <x:c r="I52" s="68" t="str">
        <x:v>羊刃格候选</x:v>
      </x:c>
      <x:c r="J52" s="68" t="str">
        <x:v>羊刃候选成立</x:v>
      </x:c>
      <x:c r="K52" s="68" t="str">
        <x:v>透干可增强候选，但不作为所有格局的绝对唯一条件</x:v>
      </x:c>
      <x:c r="L52" s="82" t="str">
        <x:v>待定</x:v>
      </x:c>
      <x:c r="M52" s="68" t="str">
        <x:v>待定</x:v>
      </x:c>
      <x:c r="N52" s="68" t="str">
        <x:v>待定</x:v>
      </x:c>
      <x:c r="O52" s="68" t="str">
        <x:v>结合M09日主旺衰与承载判断</x:v>
      </x:c>
      <x:c r="P52" s="68" t="str">
        <x:v>M11羊刃驾杀达到基本成立以上</x:v>
      </x:c>
      <x:c r="Q52" s="68" t="str">
        <x:v>不适用</x:v>
      </x:c>
      <x:c r="R52" s="68" t="str">
        <x:v>格神得令、有根、透达、清纯，并得到有效生扶或制化配合</x:v>
      </x:c>
      <x:c r="S52" s="68" t="str">
        <x:v>存在更强月令主气、格神功能被替代或全局主势明显转向其他结构</x:v>
      </x:c>
      <x:c r="T52" s="90" t="str">
        <x:v>格神失效、无真实功能，或候选只由单一表面十神名称产生</x:v>
      </x:c>
      <x:c r="U52" s="68" t="str">
        <x:v>特殊格局、建禄羊刃及明确从化结构另用专门规则</x:v>
      </x:c>
      <x:c r="V52" s="82" t="str">
        <x:v>基本成立</x:v>
      </x:c>
      <x:c r="W52" s="68" t="str">
        <x:v>七杀格候选</x:v>
      </x:c>
      <x:c r="X52" s="84" t="str">
        <x:v>羊刃_驾杀增强</x:v>
      </x:c>
      <x:c r="Y52" s="84" t="str">
        <x:v>羊刃格候选列为“基本成立”：主要依据为月令与格神有效性；仍需M15检验成格、破格、救应与层次。</x:v>
      </x:c>
      <x:c r="Z52" s="82" t="str">
        <x:v>较高</x:v>
      </x:c>
      <x:c r="AA52" s="82" t="str">
        <x:v>子平格局</x:v>
      </x:c>
      <x:c r="AB52" s="68" t="str">
        <x:v>M14只生成和排除格局候选。候选须综合月令、透干、格神有效力量、清纯度、日主配合与全局主导性；候选成立不等于M15最终成格。</x:v>
      </x:c>
      <x:c r="AC52" s="68" t="str">
        <x:v>月令与格神有效性共同支持“羊刃格候选”，且没有决定性否决条件。</x:v>
      </x:c>
      <x:c r="AD52" s="90" t="str">
        <x:v>仅见相关十神或五行出现，但月令、格神有效性或全局主导性不成立，不能直接列“羊刃格候选”。</x:v>
      </x:c>
      <x:c r="AE52" s="68" t="str">
        <x:v>https://zh.wikisource.org/zh-hans/%E6%B7%B5%E6%B5%B7%E5%AD%90%E5%B9%B3 ; https://zh.wikisource.org/wiki/%E6%BB%B4%E5%A4%A9%E9%AB%93%E9%97%A1%E5%BE%AE</x:v>
      </x:c>
      <x:c r="AF52" s="82" t="str">
        <x:v>采用</x:v>
      </x:c>
      <x:c r="AG52" s="82" t="str">
        <x:v>初审</x:v>
      </x:c>
      <x:c r="AH52" s="87" t="n">
        <x:v>46260</x:v>
      </x:c>
    </x:row>
    <x:row r="53">
      <x:c r="A53" s="72" t="str">
        <x:f>IF(OR(C53="",D53=""),"",B53&amp;"-"&amp;UPPER(C53)&amp;"-"&amp;TEXT(D53,"0000")&amp;"-"&amp;E53)</x:f>
        <x:v>M14-JIANREN-0047-V1.0</x:v>
      </x:c>
      <x:c r="B53" s="74" t="str">
        <x:v>M14</x:v>
      </x:c>
      <x:c r="C53" s="74" t="str">
        <x:v>JIANREN</x:v>
      </x:c>
      <x:c r="D53" s="215" t="n">
        <x:v>47</x:v>
      </x:c>
      <x:c r="E53" s="74" t="str">
        <x:v>V1.0</x:v>
      </x:c>
      <x:c r="F53" s="68" t="str">
        <x:v>杀弱无根不足以驾刃时羊刃驾杀候选排除</x:v>
      </x:c>
      <x:c r="G53" s="82" t="str">
        <x:v>综合层</x:v>
      </x:c>
      <x:c r="H53" s="82" t="str">
        <x:v>建禄羊刃</x:v>
      </x:c>
      <x:c r="I53" s="68" t="str">
        <x:v>羊刃格候选</x:v>
      </x:c>
      <x:c r="J53" s="68" t="str">
        <x:v>羊刃得令成势</x:v>
      </x:c>
      <x:c r="K53" s="68" t="str">
        <x:v>透干可增强候选，但不作为所有格局的绝对唯一条件</x:v>
      </x:c>
      <x:c r="L53" s="82" t="str">
        <x:v>待定</x:v>
      </x:c>
      <x:c r="M53" s="68" t="str">
        <x:v>待定</x:v>
      </x:c>
      <x:c r="N53" s="68" t="str">
        <x:v>旺</x:v>
      </x:c>
      <x:c r="O53" s="68" t="str">
        <x:v>结合M09日主旺衰与承载判断</x:v>
      </x:c>
      <x:c r="P53" s="68" t="str">
        <x:v>七杀存在但弱或失效</x:v>
      </x:c>
      <x:c r="Q53" s="68" t="str">
        <x:v>不适用</x:v>
      </x:c>
      <x:c r="R53" s="68" t="str">
        <x:v>格神得令、有根、透达、清纯，并得到有效生扶或制化配合</x:v>
      </x:c>
      <x:c r="S53" s="68" t="str">
        <x:v>存在更强月令主气、格神功能被替代或全局主势明显转向其他结构</x:v>
      </x:c>
      <x:c r="T53" s="90" t="str">
        <x:v>杀无根无源，不能对强刃形成有效制衡</x:v>
      </x:c>
      <x:c r="U53" s="68" t="str">
        <x:v>特殊格局、建禄羊刃及明确从化结构另用专门规则</x:v>
      </x:c>
      <x:c r="V53" s="82" t="str">
        <x:v>候选</x:v>
      </x:c>
      <x:c r="W53" s="68" t="str">
        <x:v>建禄/从旺/专旺候选</x:v>
      </x:c>
      <x:c r="X53" s="84" t="str">
        <x:v>羊刃_杀弱</x:v>
      </x:c>
      <x:c r="Y53" s="84" t="str">
        <x:v>羊刃格候选列为“候选”：主要依据为月令与格神有效性；仍需M15检验成格、破格、救应与层次。</x:v>
      </x:c>
      <x:c r="Z53" s="82" t="str">
        <x:v>较高</x:v>
      </x:c>
      <x:c r="AA53" s="82" t="str">
        <x:v>子平格局</x:v>
      </x:c>
      <x:c r="AB53" s="68" t="str">
        <x:v>M14只生成和排除格局候选。候选须综合月令、透干、格神有效力量、清纯度、日主配合与全局主导性；候选成立不等于M15最终成格。</x:v>
      </x:c>
      <x:c r="AC53" s="68" t="str">
        <x:v>月令与格神有效性共同支持“羊刃格候选”，且没有决定性否决条件。</x:v>
      </x:c>
      <x:c r="AD53" s="90" t="str">
        <x:v>仅见相关十神或五行出现，但月令、格神有效性或全局主导性不成立，不能直接列“羊刃格候选”。</x:v>
      </x:c>
      <x:c r="AE53" s="68" t="str">
        <x:v>https://zh.wikisource.org/zh-hans/%E6%B7%B5%E6%B5%B7%E5%AD%90%E5%B9%B3 ; https://zh.wikisource.org/wiki/%E6%BB%B4%E5%A4%A9%E9%AB%93%E9%97%A1%E5%BE%AE</x:v>
      </x:c>
      <x:c r="AF53" s="82" t="str">
        <x:v>采用</x:v>
      </x:c>
      <x:c r="AG53" s="82" t="str">
        <x:v>初审</x:v>
      </x:c>
      <x:c r="AH53" s="87" t="n">
        <x:v>46260</x:v>
      </x:c>
    </x:row>
    <x:row r="54">
      <x:c r="A54" s="72" t="str">
        <x:f>IF(OR(C54="",D54=""),"",B54&amp;"-"&amp;UPPER(C54)&amp;"-"&amp;TEXT(D54,"0000")&amp;"-"&amp;E54)</x:f>
        <x:v>M14-JIANREN-0048-V1.0</x:v>
      </x:c>
      <x:c r="B54" s="74" t="str">
        <x:v>M14</x:v>
      </x:c>
      <x:c r="C54" s="74" t="str">
        <x:v>JIANREN</x:v>
      </x:c>
      <x:c r="D54" s="215" t="n">
        <x:v>48</x:v>
      </x:c>
      <x:c r="E54" s="74" t="str">
        <x:v>V1.0</x:v>
      </x:c>
      <x:c r="F54" s="68" t="str">
        <x:v>阴干羊刃映射应作为争议规则管理</x:v>
      </x:c>
      <x:c r="G54" s="82" t="str">
        <x:v>综合层</x:v>
      </x:c>
      <x:c r="H54" s="82" t="str">
        <x:v>建禄羊刃</x:v>
      </x:c>
      <x:c r="I54" s="68" t="str">
        <x:v>羊刃格候选</x:v>
      </x:c>
      <x:c r="J54" s="68" t="str">
        <x:v>涉及乙、丁、己、辛、癸的羊刃取法</x:v>
      </x:c>
      <x:c r="K54" s="68" t="str">
        <x:v>透干可增强候选，但不作为所有格局的绝对唯一条件</x:v>
      </x:c>
      <x:c r="L54" s="82" t="str">
        <x:v>待定</x:v>
      </x:c>
      <x:c r="M54" s="68" t="str">
        <x:v>待定</x:v>
      </x:c>
      <x:c r="N54" s="68" t="str">
        <x:v>待定</x:v>
      </x:c>
      <x:c r="O54" s="68" t="str">
        <x:v>结合M09日主旺衰与承载判断</x:v>
      </x:c>
      <x:c r="P54" s="68" t="str">
        <x:v>仅在已选择的流派口径内生成候选</x:v>
      </x:c>
      <x:c r="Q54" s="68" t="str">
        <x:v>不同流派对阴干羊刃地与是否取刃格存在差异</x:v>
      </x:c>
      <x:c r="R54" s="68" t="str">
        <x:v>格神得令、有根、透达、清纯，并得到有效生扶或制化配合</x:v>
      </x:c>
      <x:c r="S54" s="68" t="str">
        <x:v>存在更强月令主气、格神功能被替代或全局主势明显转向其他结构</x:v>
      </x:c>
      <x:c r="T54" s="90" t="str">
        <x:v>格神失效、无真实功能，或候选只由单一表面十神名称产生</x:v>
      </x:c>
      <x:c r="U54" s="68" t="str">
        <x:v>特殊格局、建禄羊刃及明确从化结构另用专门规则</x:v>
      </x:c>
      <x:c r="V54" s="82" t="str">
        <x:v>待定</x:v>
      </x:c>
      <x:c r="W54" s="68" t="str">
        <x:v>建禄或比劫结构候选</x:v>
      </x:c>
      <x:c r="X54" s="84" t="str">
        <x:v>阴干羊刃_流派争议</x:v>
      </x:c>
      <x:c r="Y54" s="84" t="str">
        <x:v>羊刃格候选列为“待定”：主要依据为月令与格神有效性；仍需M15检验成格、破格、救应与层次。</x:v>
      </x:c>
      <x:c r="Z54" s="82" t="str">
        <x:v>待验证</x:v>
      </x:c>
      <x:c r="AA54" s="82" t="str">
        <x:v>待定</x:v>
      </x:c>
      <x:c r="AB54" s="68" t="str">
        <x:v>M14只生成和排除格局候选。候选须综合月令、透干、格神有效力量、清纯度、日主配合与全局主导性；候选成立不等于M15最终成格。</x:v>
      </x:c>
      <x:c r="AC54" s="68" t="str">
        <x:v>月令与格神有效性共同支持“羊刃格候选”，且没有决定性否决条件。</x:v>
      </x:c>
      <x:c r="AD54" s="90" t="str">
        <x:v>仅见相关十神或五行出现，但月令、格神有效性或全局主导性不成立，不能直接列“羊刃格候选”。</x:v>
      </x:c>
      <x:c r="AE54" s="68" t="str">
        <x:v>https://zh.wikisource.org/wiki/%E6%BB%B4%E5%A4%A9%E9%AB%93%E9%97%A1%E5%BE%AE ; https://zh.wikisource.org/zh-hans/%E6%BB%B4%E5%A4%A9%E9%AB%93</x:v>
      </x:c>
      <x:c r="AF54" s="82" t="str">
        <x:v>待验证</x:v>
      </x:c>
      <x:c r="AG54" s="82" t="str">
        <x:v>初审</x:v>
      </x:c>
      <x:c r="AH54" s="87" t="n">
        <x:v>46260</x:v>
      </x:c>
    </x:row>
    <x:row r="55">
      <x:c r="A55" s="72" t="str">
        <x:f>IF(OR(C55="",D55=""),"",B55&amp;"-"&amp;UPPER(C55)&amp;"-"&amp;TEXT(D55,"0000")&amp;"-"&amp;E55)</x:f>
        <x:v>M14-CONG-0049-V1.0</x:v>
      </x:c>
      <x:c r="B55" s="74" t="str">
        <x:v>M14</x:v>
      </x:c>
      <x:c r="C55" s="74" t="str">
        <x:v>CONG</x:v>
      </x:c>
      <x:c r="D55" s="215" t="n">
        <x:v>49</x:v>
      </x:c>
      <x:c r="E55" s="74" t="str">
        <x:v>V1.0</x:v>
      </x:c>
      <x:c r="F55" s="68" t="str">
        <x:v>日主孤立无气是从格核心门槛</x:v>
      </x:c>
      <x:c r="G55" s="82" t="str">
        <x:v>综合层</x:v>
      </x:c>
      <x:c r="H55" s="82" t="str">
        <x:v>从格</x:v>
      </x:c>
      <x:c r="I55" s="68" t="str">
        <x:v>从格通用候选</x:v>
      </x:c>
      <x:c r="J55" s="68" t="str">
        <x:v>月令与全局主势明显不助日主</x:v>
      </x:c>
      <x:c r="K55" s="68" t="str">
        <x:v>日主外的主导集团透干成势</x:v>
      </x:c>
      <x:c r="L55" s="82" t="str">
        <x:v>较清</x:v>
      </x:c>
      <x:c r="M55" s="68" t="str">
        <x:v>日主无有效根或仅残弱假根</x:v>
      </x:c>
      <x:c r="N55" s="68" t="str">
        <x:v>日主极弱</x:v>
      </x:c>
      <x:c r="O55" s="68" t="str">
        <x:v>日主缺乏独立承载，只能顺从主势</x:v>
      </x:c>
      <x:c r="P55" s="68" t="str">
        <x:v>M09极弱，印比无有效生扶，全局主势高度集中</x:v>
      </x:c>
      <x:c r="Q55" s="68" t="str">
        <x:v>日主无有效根、无有效印比、主导五行/十神成势且方向一致</x:v>
      </x:c>
      <x:c r="R55" s="68" t="str">
        <x:v>格神得令、有根、透达、清纯，并得到有效生扶或制化配合</x:v>
      </x:c>
      <x:c r="S55" s="68" t="str">
        <x:v>存在更强月令主气、格神功能被替代或全局主势明显转向其他结构</x:v>
      </x:c>
      <x:c r="T55" s="90" t="str">
        <x:v>格神失效、无真实功能，或候选只由单一表面十神名称产生</x:v>
      </x:c>
      <x:c r="U55" s="68" t="str">
        <x:v>特殊格局、建禄羊刃及明确从化结构另用专门规则</x:v>
      </x:c>
      <x:c r="V55" s="82" t="str">
        <x:v>候选</x:v>
      </x:c>
      <x:c r="W55" s="68" t="str">
        <x:v>普通身弱格局</x:v>
      </x:c>
      <x:c r="X55" s="84" t="str">
        <x:v>从格_通用硬门槛</x:v>
      </x:c>
      <x:c r="Y55" s="84" t="str">
        <x:v>从格通用候选列为“候选”：主要依据为月令与格神有效性；仍需M15检验成格、破格、救应与层次。</x:v>
      </x:c>
      <x:c r="Z55" s="82" t="str">
        <x:v>较高</x:v>
      </x:c>
      <x:c r="AA55" s="82" t="str">
        <x:v>子平格局</x:v>
      </x:c>
      <x:c r="AB55" s="68" t="str">
        <x:v>M14只生成和排除格局候选。候选须综合月令、透干、格神有效力量、清纯度、日主配合与全局主导性；候选成立不等于M15最终成格。</x:v>
      </x:c>
      <x:c r="AC55" s="68" t="str">
        <x:v>月令与格神有效性共同支持“从格通用候选”，且没有决定性否决条件。</x:v>
      </x:c>
      <x:c r="AD55" s="90" t="str">
        <x:v>仅见相关十神或五行出现，但月令、格神有效性或全局主导性不成立，不能直接列“从格通用候选”。</x:v>
      </x:c>
      <x:c r="AE55" s="68" t="str">
        <x:v>https://zh.wikisource.org/wiki/%E6%BB%B4%E5%A4%A9%E9%AB%93%E9%97%A1%E5%BE%AE ; https://zh.wikisource.org/zh-hans/%E6%BB%B4%E5%A4%A9%E9%AB%93</x:v>
      </x:c>
      <x:c r="AF55" s="82" t="str">
        <x:v>采用</x:v>
      </x:c>
      <x:c r="AG55" s="82" t="str">
        <x:v>初审</x:v>
      </x:c>
      <x:c r="AH55" s="87" t="n">
        <x:v>46260</x:v>
      </x:c>
    </x:row>
    <x:row r="56">
      <x:c r="A56" s="72" t="str">
        <x:f>IF(OR(C56="",D56=""),"",B56&amp;"-"&amp;UPPER(C56)&amp;"-"&amp;TEXT(D56,"0000")&amp;"-"&amp;E56)</x:f>
        <x:v>M14-CONG-0050-V1.0</x:v>
      </x:c>
      <x:c r="B56" s="74" t="str">
        <x:v>M14</x:v>
      </x:c>
      <x:c r="C56" s="74" t="str">
        <x:v>CONG</x:v>
      </x:c>
      <x:c r="D56" s="215" t="n">
        <x:v>50</x:v>
      </x:c>
      <x:c r="E56" s="74" t="str">
        <x:v>V1.0</x:v>
      </x:c>
      <x:c r="F56" s="68" t="str">
        <x:v>财星成势且日主无依生成从财候选</x:v>
      </x:c>
      <x:c r="G56" s="82" t="str">
        <x:v>综合层</x:v>
      </x:c>
      <x:c r="H56" s="82" t="str">
        <x:v>从格</x:v>
      </x:c>
      <x:c r="I56" s="68" t="str">
        <x:v>从财格候选</x:v>
      </x:c>
      <x:c r="J56" s="68" t="str">
        <x:v>财星得令或全局财势主导</x:v>
      </x:c>
      <x:c r="K56" s="68" t="str">
        <x:v>财星透干成党</x:v>
      </x:c>
      <x:c r="L56" s="82" t="str">
        <x:v>较清</x:v>
      </x:c>
      <x:c r="M56" s="68" t="str">
        <x:v>日主无有效根</x:v>
      </x:c>
      <x:c r="N56" s="68" t="str">
        <x:v>财星旺极旺</x:v>
      </x:c>
      <x:c r="O56" s="68" t="str">
        <x:v>日主无印比生扶，不能任财而只能从财势</x:v>
      </x:c>
      <x:c r="P56" s="68" t="str">
        <x:v>财星成为唯一或绝对主导集团</x:v>
      </x:c>
      <x:c r="Q56" s="68" t="str">
        <x:v>日主孤立无气；财势强；无有力印比、官杀逆转或其他主导集团</x:v>
      </x:c>
      <x:c r="R56" s="68" t="str">
        <x:v>格神得令、有根、透达、清纯，并得到有效生扶或制化配合</x:v>
      </x:c>
      <x:c r="S56" s="68" t="str">
        <x:v>存在更强月令主气、格神功能被替代或全局主势明显转向其他结构</x:v>
      </x:c>
      <x:c r="T56" s="90" t="str">
        <x:v>格神失效、无真实功能，或候选只由单一表面十神名称产生</x:v>
      </x:c>
      <x:c r="U56" s="68" t="str">
        <x:v>特殊格局、建禄羊刃及明确从化结构另用专门规则</x:v>
      </x:c>
      <x:c r="V56" s="82" t="str">
        <x:v>候选</x:v>
      </x:c>
      <x:c r="W56" s="68" t="str">
        <x:v>财格/财多身弱候选</x:v>
      </x:c>
      <x:c r="X56" s="84" t="str">
        <x:v>从财格候选_候选</x:v>
      </x:c>
      <x:c r="Y56" s="84" t="str">
        <x:v>从财格候选列为“候选”：主要依据为月令与格神有效性；仍需M15检验成格、破格、救应与层次。</x:v>
      </x:c>
      <x:c r="Z56" s="82" t="str">
        <x:v>较高</x:v>
      </x:c>
      <x:c r="AA56" s="82" t="str">
        <x:v>子平格局</x:v>
      </x:c>
      <x:c r="AB56" s="68" t="str">
        <x:v>M14只生成和排除格局候选。候选须综合月令、透干、格神有效力量、清纯度、日主配合与全局主导性；候选成立不等于M15最终成格。</x:v>
      </x:c>
      <x:c r="AC56" s="68" t="str">
        <x:v>月令与格神有效性共同支持“从财格候选”，且没有决定性否决条件。</x:v>
      </x:c>
      <x:c r="AD56" s="90" t="str">
        <x:v>仅见相关十神或五行出现，但月令、格神有效性或全局主导性不成立，不能直接列“从财格候选”。</x:v>
      </x:c>
      <x:c r="AE56" s="68" t="str">
        <x:v>https://zh.wikisource.org/wiki/%E6%BB%B4%E5%A4%A9%E9%AB%93%E9%97%A1%E5%BE%AE ; https://zh.wikisource.org/zh-hans/%E6%BB%B4%E5%A4%A9%E9%AB%93</x:v>
      </x:c>
      <x:c r="AF56" s="82" t="str">
        <x:v>采用</x:v>
      </x:c>
      <x:c r="AG56" s="82" t="str">
        <x:v>初审</x:v>
      </x:c>
      <x:c r="AH56" s="87" t="n">
        <x:v>46260</x:v>
      </x:c>
    </x:row>
    <x:row r="57">
      <x:c r="A57" s="72" t="str">
        <x:f>IF(OR(C57="",D57=""),"",B57&amp;"-"&amp;UPPER(C57)&amp;"-"&amp;TEXT(D57,"0000")&amp;"-"&amp;E57)</x:f>
        <x:v>M14-CONG-0051-V1.0</x:v>
      </x:c>
      <x:c r="B57" s="74" t="str">
        <x:v>M14</x:v>
      </x:c>
      <x:c r="C57" s="74" t="str">
        <x:v>CONG</x:v>
      </x:c>
      <x:c r="D57" s="215" t="n">
        <x:v>51</x:v>
      </x:c>
      <x:c r="E57" s="74" t="str">
        <x:v>V1.0</x:v>
      </x:c>
      <x:c r="F57" s="68" t="str">
        <x:v>官杀成势且日主无依生成从官杀候选</x:v>
      </x:c>
      <x:c r="G57" s="82" t="str">
        <x:v>综合层</x:v>
      </x:c>
      <x:c r="H57" s="82" t="str">
        <x:v>从格</x:v>
      </x:c>
      <x:c r="I57" s="68" t="str">
        <x:v>从官杀格候选</x:v>
      </x:c>
      <x:c r="J57" s="68" t="str">
        <x:v>官杀得令或全局官杀主导</x:v>
      </x:c>
      <x:c r="K57" s="68" t="str">
        <x:v>官杀透干成党</x:v>
      </x:c>
      <x:c r="L57" s="82" t="str">
        <x:v>较清</x:v>
      </x:c>
      <x:c r="M57" s="68" t="str">
        <x:v>日主无有效根</x:v>
      </x:c>
      <x:c r="N57" s="68" t="str">
        <x:v>官杀旺极旺</x:v>
      </x:c>
      <x:c r="O57" s="68" t="str">
        <x:v>日主无印比承载，只能从官杀势</x:v>
      </x:c>
      <x:c r="P57" s="68" t="str">
        <x:v>官杀成为唯一或绝对主导集团</x:v>
      </x:c>
      <x:c r="Q57" s="68" t="str">
        <x:v>日主孤立无气；官杀强；无有效印比、食伤强制或其他逆势</x:v>
      </x:c>
      <x:c r="R57" s="68" t="str">
        <x:v>格神得令、有根、透达、清纯，并得到有效生扶或制化配合</x:v>
      </x:c>
      <x:c r="S57" s="68" t="str">
        <x:v>存在更强月令主气、格神功能被替代或全局主势明显转向其他结构</x:v>
      </x:c>
      <x:c r="T57" s="90" t="str">
        <x:v>格神失效、无真实功能，或候选只由单一表面十神名称产生</x:v>
      </x:c>
      <x:c r="U57" s="68" t="str">
        <x:v>特殊格局、建禄羊刃及明确从化结构另用专门规则</x:v>
      </x:c>
      <x:c r="V57" s="82" t="str">
        <x:v>候选</x:v>
      </x:c>
      <x:c r="W57" s="68" t="str">
        <x:v>七杀格/正官格/杀旺攻身候选</x:v>
      </x:c>
      <x:c r="X57" s="84" t="str">
        <x:v>从官杀格候选_候选</x:v>
      </x:c>
      <x:c r="Y57" s="84" t="str">
        <x:v>从官杀格候选列为“候选”：主要依据为月令与格神有效性；仍需M15检验成格、破格、救应与层次。</x:v>
      </x:c>
      <x:c r="Z57" s="82" t="str">
        <x:v>较高</x:v>
      </x:c>
      <x:c r="AA57" s="82" t="str">
        <x:v>子平格局</x:v>
      </x:c>
      <x:c r="AB57" s="68" t="str">
        <x:v>M14只生成和排除格局候选。候选须综合月令、透干、格神有效力量、清纯度、日主配合与全局主导性；候选成立不等于M15最终成格。</x:v>
      </x:c>
      <x:c r="AC57" s="68" t="str">
        <x:v>月令与格神有效性共同支持“从官杀格候选”，且没有决定性否决条件。</x:v>
      </x:c>
      <x:c r="AD57" s="90" t="str">
        <x:v>仅见相关十神或五行出现，但月令、格神有效性或全局主导性不成立，不能直接列“从官杀格候选”。</x:v>
      </x:c>
      <x:c r="AE57" s="68" t="str">
        <x:v>https://zh.wikisource.org/wiki/%E6%BB%B4%E5%A4%A9%E9%AB%93%E9%97%A1%E5%BE%AE ; https://zh.wikisource.org/zh-hans/%E6%BB%B4%E5%A4%A9%E9%AB%93</x:v>
      </x:c>
      <x:c r="AF57" s="82" t="str">
        <x:v>采用</x:v>
      </x:c>
      <x:c r="AG57" s="82" t="str">
        <x:v>初审</x:v>
      </x:c>
      <x:c r="AH57" s="87" t="n">
        <x:v>46260</x:v>
      </x:c>
    </x:row>
    <x:row r="58">
      <x:c r="A58" s="72" t="str">
        <x:f>IF(OR(C58="",D58=""),"",B58&amp;"-"&amp;UPPER(C58)&amp;"-"&amp;TEXT(D58,"0000")&amp;"-"&amp;E58)</x:f>
        <x:v>M14-CONG-0052-V1.0</x:v>
      </x:c>
      <x:c r="B58" s="74" t="str">
        <x:v>M14</x:v>
      </x:c>
      <x:c r="C58" s="74" t="str">
        <x:v>CONG</x:v>
      </x:c>
      <x:c r="D58" s="215" t="n">
        <x:v>52</x:v>
      </x:c>
      <x:c r="E58" s="74" t="str">
        <x:v>V1.0</x:v>
      </x:c>
      <x:c r="F58" s="68" t="str">
        <x:v>食伤成势并有财承接生成从儿候选</x:v>
      </x:c>
      <x:c r="G58" s="82" t="str">
        <x:v>综合层</x:v>
      </x:c>
      <x:c r="H58" s="82" t="str">
        <x:v>从格</x:v>
      </x:c>
      <x:c r="I58" s="68" t="str">
        <x:v>从儿格候选</x:v>
      </x:c>
      <x:c r="J58" s="68" t="str">
        <x:v>食伤得令或食伤集团主导</x:v>
      </x:c>
      <x:c r="K58" s="68" t="str">
        <x:v>食伤透干，财星有承接更强</x:v>
      </x:c>
      <x:c r="L58" s="82" t="str">
        <x:v>较清</x:v>
      </x:c>
      <x:c r="M58" s="68" t="str">
        <x:v>日主根气不构成逆势</x:v>
      </x:c>
      <x:c r="N58" s="68" t="str">
        <x:v>食伤旺极旺</x:v>
      </x:c>
      <x:c r="O58" s="68" t="str">
        <x:v>日主之气顺势流向食伤，印星不强行逆转</x:v>
      </x:c>
      <x:c r="P58" s="68" t="str">
        <x:v>食伤成势，M11食伤生财或泄秀链清晰</x:v>
      </x:c>
      <x:c r="Q58" s="68" t="str">
        <x:v>食伤主导；印星不能有效制食伤；官杀不形成主导逆冲；财星承接为强增强</x:v>
      </x:c>
      <x:c r="R58" s="68" t="str">
        <x:v>格神得令、有根、透达、清纯，并得到有效生扶或制化配合</x:v>
      </x:c>
      <x:c r="S58" s="68" t="str">
        <x:v>存在更强月令主气、格神功能被替代或全局主势明显转向其他结构</x:v>
      </x:c>
      <x:c r="T58" s="90" t="str">
        <x:v>格神失效、无真实功能，或候选只由单一表面十神名称产生</x:v>
      </x:c>
      <x:c r="U58" s="68" t="str">
        <x:v>特殊格局、建禄羊刃及明确从化结构另用专门规则</x:v>
      </x:c>
      <x:c r="V58" s="82" t="str">
        <x:v>候选</x:v>
      </x:c>
      <x:c r="W58" s="68" t="str">
        <x:v>食神格/伤官格/食伤生财候选</x:v>
      </x:c>
      <x:c r="X58" s="84" t="str">
        <x:v>从儿格候选_候选</x:v>
      </x:c>
      <x:c r="Y58" s="84" t="str">
        <x:v>从儿格候选列为“候选”：主要依据为月令与格神有效性；仍需M15检验成格、破格、救应与层次。</x:v>
      </x:c>
      <x:c r="Z58" s="82" t="str">
        <x:v>较高</x:v>
      </x:c>
      <x:c r="AA58" s="82" t="str">
        <x:v>子平格局</x:v>
      </x:c>
      <x:c r="AB58" s="68" t="str">
        <x:v>M14只生成和排除格局候选。候选须综合月令、透干、格神有效力量、清纯度、日主配合与全局主导性；候选成立不等于M15最终成格。</x:v>
      </x:c>
      <x:c r="AC58" s="68" t="str">
        <x:v>月令与格神有效性共同支持“从儿格候选”，且没有决定性否决条件。</x:v>
      </x:c>
      <x:c r="AD58" s="90" t="str">
        <x:v>仅见相关十神或五行出现，但月令、格神有效性或全局主导性不成立，不能直接列“从儿格候选”。</x:v>
      </x:c>
      <x:c r="AE58" s="68" t="str">
        <x:v>https://zh.wikisource.org/wiki/%E6%BB%B4%E5%A4%A9%E9%AB%93%E9%97%A1%E5%BE%AE ; https://zh.wikisource.org/zh-hans/%E6%BB%B4%E5%A4%A9%E9%AB%93</x:v>
      </x:c>
      <x:c r="AF58" s="82" t="str">
        <x:v>采用</x:v>
      </x:c>
      <x:c r="AG58" s="82" t="str">
        <x:v>初审</x:v>
      </x:c>
      <x:c r="AH58" s="87" t="n">
        <x:v>46260</x:v>
      </x:c>
    </x:row>
    <x:row r="59">
      <x:c r="A59" s="72" t="str">
        <x:f>IF(OR(C59="",D59=""),"",B59&amp;"-"&amp;UPPER(C59)&amp;"-"&amp;TEXT(D59,"0000")&amp;"-"&amp;E59)</x:f>
        <x:v>M14-CONG-0053-V1.0</x:v>
      </x:c>
      <x:c r="B59" s="74" t="str">
        <x:v>M14</x:v>
      </x:c>
      <x:c r="C59" s="74" t="str">
        <x:v>CONG</x:v>
      </x:c>
      <x:c r="D59" s="215" t="n">
        <x:v>53</x:v>
      </x:c>
      <x:c r="E59" s="74" t="str">
        <x:v>V1.0</x:v>
      </x:c>
      <x:c r="F59" s="68" t="str">
        <x:v>比劫一气旺极生成从旺候选</x:v>
      </x:c>
      <x:c r="G59" s="82" t="str">
        <x:v>综合层</x:v>
      </x:c>
      <x:c r="H59" s="82" t="str">
        <x:v>从格</x:v>
      </x:c>
      <x:c r="I59" s="68" t="str">
        <x:v>从旺格候选</x:v>
      </x:c>
      <x:c r="J59" s="68" t="str">
        <x:v>日主得令，比劫成势</x:v>
      </x:c>
      <x:c r="K59" s="68" t="str">
        <x:v>比劫透干成党</x:v>
      </x:c>
      <x:c r="L59" s="82" t="str">
        <x:v>较清</x:v>
      </x:c>
      <x:c r="M59" s="68" t="str">
        <x:v>日主多重强根</x:v>
      </x:c>
      <x:c r="N59" s="68" t="str">
        <x:v>日主与比劫极旺</x:v>
      </x:c>
      <x:c r="O59" s="68" t="str">
        <x:v>顺其旺势，不以普通抑制逻辑优先</x:v>
      </x:c>
      <x:c r="P59" s="68" t="str">
        <x:v>四柱比劫主导，官杀无力，印可生旺</x:v>
      </x:c>
      <x:c r="Q59" s="68" t="str">
        <x:v>旺极且无有效官杀制约；财星不能形成独立对抗；全局气势顺向一致</x:v>
      </x:c>
      <x:c r="R59" s="68" t="str">
        <x:v>格神得令、有根、透达、清纯，并得到有效生扶或制化配合</x:v>
      </x:c>
      <x:c r="S59" s="68" t="str">
        <x:v>存在更强月令主气、格神功能被替代或全局主势明显转向其他结构</x:v>
      </x:c>
      <x:c r="T59" s="90" t="str">
        <x:v>格神失效、无真实功能，或候选只由单一表面十神名称产生</x:v>
      </x:c>
      <x:c r="U59" s="68" t="str">
        <x:v>特殊格局、建禄羊刃及明确从化结构另用专门规则</x:v>
      </x:c>
      <x:c r="V59" s="82" t="str">
        <x:v>候选</x:v>
      </x:c>
      <x:c r="W59" s="68" t="str">
        <x:v>建禄/羊刃/专旺候选</x:v>
      </x:c>
      <x:c r="X59" s="84" t="str">
        <x:v>从旺格候选_候选</x:v>
      </x:c>
      <x:c r="Y59" s="84" t="str">
        <x:v>从旺格候选列为“候选”：主要依据为月令与格神有效性；仍需M15检验成格、破格、救应与层次。</x:v>
      </x:c>
      <x:c r="Z59" s="82" t="str">
        <x:v>较高</x:v>
      </x:c>
      <x:c r="AA59" s="82" t="str">
        <x:v>子平格局</x:v>
      </x:c>
      <x:c r="AB59" s="68" t="str">
        <x:v>M14只生成和排除格局候选。候选须综合月令、透干、格神有效力量、清纯度、日主配合与全局主导性；候选成立不等于M15最终成格。</x:v>
      </x:c>
      <x:c r="AC59" s="68" t="str">
        <x:v>月令与格神有效性共同支持“从旺格候选”，且没有决定性否决条件。</x:v>
      </x:c>
      <x:c r="AD59" s="90" t="str">
        <x:v>仅见相关十神或五行出现，但月令、格神有效性或全局主导性不成立，不能直接列“从旺格候选”。</x:v>
      </x:c>
      <x:c r="AE59" s="68" t="str">
        <x:v>https://zh.wikisource.org/wiki/%E6%BB%B4%E5%A4%A9%E9%AB%93%E9%97%A1%E5%BE%AE ; https://zh.wikisource.org/zh-hans/%E6%BB%B4%E5%A4%A9%E9%AB%93</x:v>
      </x:c>
      <x:c r="AF59" s="82" t="str">
        <x:v>采用</x:v>
      </x:c>
      <x:c r="AG59" s="82" t="str">
        <x:v>初审</x:v>
      </x:c>
      <x:c r="AH59" s="87" t="n">
        <x:v>46260</x:v>
      </x:c>
    </x:row>
    <x:row r="60">
      <x:c r="A60" s="72" t="str">
        <x:f>IF(OR(C60="",D60=""),"",B60&amp;"-"&amp;UPPER(C60)&amp;"-"&amp;TEXT(D60,"0000")&amp;"-"&amp;E60)</x:f>
        <x:v>M14-CONG-0054-V1.0</x:v>
      </x:c>
      <x:c r="B60" s="74" t="str">
        <x:v>M14</x:v>
      </x:c>
      <x:c r="C60" s="74" t="str">
        <x:v>CONG</x:v>
      </x:c>
      <x:c r="D60" s="215" t="n">
        <x:v>54</x:v>
      </x:c>
      <x:c r="E60" s="74" t="str">
        <x:v>V1.0</x:v>
      </x:c>
      <x:c r="F60" s="68" t="str">
        <x:v>印比重重且日主当令生成从强候选</x:v>
      </x:c>
      <x:c r="G60" s="82" t="str">
        <x:v>综合层</x:v>
      </x:c>
      <x:c r="H60" s="82" t="str">
        <x:v>从格</x:v>
      </x:c>
      <x:c r="I60" s="68" t="str">
        <x:v>从强格候选</x:v>
      </x:c>
      <x:c r="J60" s="68" t="str">
        <x:v>印比得令或同势</x:v>
      </x:c>
      <x:c r="K60" s="68" t="str">
        <x:v>印比透干重叠</x:v>
      </x:c>
      <x:c r="L60" s="82" t="str">
        <x:v>较清</x:v>
      </x:c>
      <x:c r="M60" s="68" t="str">
        <x:v>日主多重强根</x:v>
      </x:c>
      <x:c r="N60" s="68" t="str">
        <x:v>印比极旺</x:v>
      </x:c>
      <x:c r="O60" s="68" t="str">
        <x:v>顺印比强势</x:v>
      </x:c>
      <x:c r="P60" s="68" t="str">
        <x:v>印绶重重、比劫叠叠，财官食伤无有效逆势</x:v>
      </x:c>
      <x:c r="Q60" s="68" t="str">
        <x:v>印比形成绝对主导，财官食伤不能构成独立集团</x:v>
      </x:c>
      <x:c r="R60" s="68" t="str">
        <x:v>格神得令、有根、透达、清纯，并得到有效生扶或制化配合</x:v>
      </x:c>
      <x:c r="S60" s="68" t="str">
        <x:v>存在更强月令主气、格神功能被替代或全局主势明显转向其他结构</x:v>
      </x:c>
      <x:c r="T60" s="90" t="str">
        <x:v>格神失效、无真实功能，或候选只由单一表面十神名称产生</x:v>
      </x:c>
      <x:c r="U60" s="68" t="str">
        <x:v>特殊格局、建禄羊刃及明确从化结构另用专门规则</x:v>
      </x:c>
      <x:c r="V60" s="82" t="str">
        <x:v>候选</x:v>
      </x:c>
      <x:c r="W60" s="68" t="str">
        <x:v>正印格/偏印格/建禄候选</x:v>
      </x:c>
      <x:c r="X60" s="84" t="str">
        <x:v>从强格候选_候选</x:v>
      </x:c>
      <x:c r="Y60" s="84" t="str">
        <x:v>从强格候选列为“候选”：主要依据为月令与格神有效性；仍需M15检验成格、破格、救应与层次。</x:v>
      </x:c>
      <x:c r="Z60" s="82" t="str">
        <x:v>较高</x:v>
      </x:c>
      <x:c r="AA60" s="82" t="str">
        <x:v>子平格局</x:v>
      </x:c>
      <x:c r="AB60" s="68" t="str">
        <x:v>M14只生成和排除格局候选。候选须综合月令、透干、格神有效力量、清纯度、日主配合与全局主导性；候选成立不等于M15最终成格。</x:v>
      </x:c>
      <x:c r="AC60" s="68" t="str">
        <x:v>月令与格神有效性共同支持“从强格候选”，且没有决定性否决条件。</x:v>
      </x:c>
      <x:c r="AD60" s="90" t="str">
        <x:v>仅见相关十神或五行出现，但月令、格神有效性或全局主导性不成立，不能直接列“从强格候选”。</x:v>
      </x:c>
      <x:c r="AE60" s="68" t="str">
        <x:v>https://zh.wikisource.org/wiki/%E6%BB%B4%E5%A4%A9%E9%AB%93%E9%97%A1%E5%BE%AE ; https://zh.wikisource.org/zh-hans/%E6%BB%B4%E5%A4%A9%E9%AB%93</x:v>
      </x:c>
      <x:c r="AF60" s="82" t="str">
        <x:v>采用</x:v>
      </x:c>
      <x:c r="AG60" s="82" t="str">
        <x:v>初审</x:v>
      </x:c>
      <x:c r="AH60" s="87" t="n">
        <x:v>46260</x:v>
      </x:c>
    </x:row>
    <x:row r="61">
      <x:c r="A61" s="72" t="str">
        <x:f>IF(OR(C61="",D61=""),"",B61&amp;"-"&amp;UPPER(C61)&amp;"-"&amp;TEXT(D61,"0000")&amp;"-"&amp;E61)</x:f>
        <x:v>M14-CONG-0055-V1.0</x:v>
      </x:c>
      <x:c r="B61" s="74" t="str">
        <x:v>M14</x:v>
      </x:c>
      <x:c r="C61" s="74" t="str">
        <x:v>CONG</x:v>
      </x:c>
      <x:c r="D61" s="215" t="n">
        <x:v>55</x:v>
      </x:c>
      <x:c r="E61" s="74" t="str">
        <x:v>V1.0</x:v>
      </x:c>
      <x:c r="F61" s="68" t="str">
        <x:v>财官食伤混合成势而日主无根可生成从势候选</x:v>
      </x:c>
      <x:c r="G61" s="82" t="str">
        <x:v>综合层</x:v>
      </x:c>
      <x:c r="H61" s="82" t="str">
        <x:v>从格</x:v>
      </x:c>
      <x:c r="I61" s="68" t="str">
        <x:v>从势格候选</x:v>
      </x:c>
      <x:c r="J61" s="68" t="str">
        <x:v>异党多类共同主导，月令支持其中主势</x:v>
      </x:c>
      <x:c r="K61" s="68" t="str">
        <x:v>透干可增强候选，但不作为所有格局的绝对唯一条件</x:v>
      </x:c>
      <x:c r="L61" s="82" t="str">
        <x:v>有杂</x:v>
      </x:c>
      <x:c r="M61" s="68" t="str">
        <x:v>日主无有效根</x:v>
      </x:c>
      <x:c r="N61" s="68" t="str">
        <x:v>日主极弱</x:v>
      </x:c>
      <x:c r="O61" s="68" t="str">
        <x:v>日主不能自立，也不能专从单一十神</x:v>
      </x:c>
      <x:c r="P61" s="68" t="str">
        <x:v>财官食伤均旺或形成连续生化，印比不助身</x:v>
      </x:c>
      <x:c r="Q61" s="68" t="str">
        <x:v>异党整体气势一致；日主孤立；不能归入单一从财、从官杀或从儿</x:v>
      </x:c>
      <x:c r="R61" s="68" t="str">
        <x:v>格神得令、有根、透达、清纯，并得到有效生扶或制化配合</x:v>
      </x:c>
      <x:c r="S61" s="68" t="str">
        <x:v>存在更强月令主气、格神功能被替代或全局主势明显转向其他结构</x:v>
      </x:c>
      <x:c r="T61" s="90" t="str">
        <x:v>格神失效、无真实功能，或候选只由单一表面十神名称产生</x:v>
      </x:c>
      <x:c r="U61" s="68" t="str">
        <x:v>特殊格局、建禄羊刃及明确从化结构另用专门规则</x:v>
      </x:c>
      <x:c r="V61" s="82" t="str">
        <x:v>候选</x:v>
      </x:c>
      <x:c r="W61" s="68" t="str">
        <x:v>从财/从官杀/从儿候选</x:v>
      </x:c>
      <x:c r="X61" s="84" t="str">
        <x:v>从势格候选_候选</x:v>
      </x:c>
      <x:c r="Y61" s="84" t="str">
        <x:v>从势格候选列为“候选”：主要依据为月令与格神有效性；仍需M15检验成格、破格、救应与层次。</x:v>
      </x:c>
      <x:c r="Z61" s="82" t="str">
        <x:v>较高</x:v>
      </x:c>
      <x:c r="AA61" s="82" t="str">
        <x:v>子平格局</x:v>
      </x:c>
      <x:c r="AB61" s="68" t="str">
        <x:v>M14只生成和排除格局候选。候选须综合月令、透干、格神有效力量、清纯度、日主配合与全局主导性；候选成立不等于M15最终成格。</x:v>
      </x:c>
      <x:c r="AC61" s="68" t="str">
        <x:v>月令与格神有效性共同支持“从势格候选”，且没有决定性否决条件。</x:v>
      </x:c>
      <x:c r="AD61" s="90" t="str">
        <x:v>仅见相关十神或五行出现，但月令、格神有效性或全局主导性不成立，不能直接列“从势格候选”。</x:v>
      </x:c>
      <x:c r="AE61" s="68" t="str">
        <x:v>https://zh.wikisource.org/wiki/%E6%BB%B4%E5%A4%A9%E9%AB%93%E9%97%A1%E5%BE%AE ; https://zh.wikisource.org/zh-hans/%E6%BB%B4%E5%A4%A9%E9%AB%93</x:v>
      </x:c>
      <x:c r="AF61" s="82" t="str">
        <x:v>采用</x:v>
      </x:c>
      <x:c r="AG61" s="82" t="str">
        <x:v>初审</x:v>
      </x:c>
      <x:c r="AH61" s="87" t="n">
        <x:v>46260</x:v>
      </x:c>
    </x:row>
    <x:row r="62">
      <x:c r="A62" s="72" t="str">
        <x:f>IF(OR(C62="",D62=""),"",B62&amp;"-"&amp;UPPER(C62)&amp;"-"&amp;TEXT(D62,"0000")&amp;"-"&amp;E62)</x:f>
        <x:v>M14-CONG-0056-V1.0</x:v>
      </x:c>
      <x:c r="B62" s="74" t="str">
        <x:v>M14</x:v>
      </x:c>
      <x:c r="C62" s="74" t="str">
        <x:v>CONG</x:v>
      </x:c>
      <x:c r="D62" s="215" t="n">
        <x:v>56</x:v>
      </x:c>
      <x:c r="E62" s="74" t="str">
        <x:v>V1.0</x:v>
      </x:c>
      <x:c r="F62" s="68" t="str">
        <x:v>残根或微弱印比存在时只能生成假从候选</x:v>
      </x:c>
      <x:c r="G62" s="82" t="str">
        <x:v>综合层</x:v>
      </x:c>
      <x:c r="H62" s="82" t="str">
        <x:v>从格</x:v>
      </x:c>
      <x:c r="I62" s="68" t="str">
        <x:v>假从候选</x:v>
      </x:c>
      <x:c r="J62" s="68" t="str">
        <x:v>全局主势明显，但日主仍有微根或微弱生扶</x:v>
      </x:c>
      <x:c r="K62" s="68" t="str">
        <x:v>透干可增强候选，但不作为所有格局的绝对唯一条件</x:v>
      </x:c>
      <x:c r="L62" s="82" t="str">
        <x:v>待定</x:v>
      </x:c>
      <x:c r="M62" s="68" t="str">
        <x:v>残根、受损根或低效印比</x:v>
      </x:c>
      <x:c r="N62" s="68" t="str">
        <x:v>日主弱极弱</x:v>
      </x:c>
      <x:c r="O62" s="68" t="str">
        <x:v>日主有少量反向证据但不足自立</x:v>
      </x:c>
      <x:c r="P62" s="68" t="str">
        <x:v>大势近从，但不满足真从无依硬门槛</x:v>
      </x:c>
      <x:c r="Q62" s="68" t="str">
        <x:v>保留反向根气和生扶，禁止标记真从</x:v>
      </x:c>
      <x:c r="R62" s="68" t="str">
        <x:v>格神得令、有根、透达、清纯，并得到有效生扶或制化配合</x:v>
      </x:c>
      <x:c r="S62" s="68" t="str">
        <x:v>存在更强月令主气、格神功能被替代或全局主势明显转向其他结构</x:v>
      </x:c>
      <x:c r="T62" s="90" t="str">
        <x:v>格神失效、无真实功能，或候选只由单一表面十神名称产生</x:v>
      </x:c>
      <x:c r="U62" s="68" t="str">
        <x:v>特殊格局、建禄羊刃及明确从化结构另用专门规则</x:v>
      </x:c>
      <x:c r="V62" s="82" t="str">
        <x:v>候选</x:v>
      </x:c>
      <x:c r="W62" s="68" t="str">
        <x:v>普通身弱格局/真从候选</x:v>
      </x:c>
      <x:c r="X62" s="84" t="str">
        <x:v>假从_候选</x:v>
      </x:c>
      <x:c r="Y62" s="84" t="str">
        <x:v>假从候选列为“候选”：主要依据为月令与格神有效性；仍需M15检验成格、破格、救应与层次。</x:v>
      </x:c>
      <x:c r="Z62" s="82" t="str">
        <x:v>中等</x:v>
      </x:c>
      <x:c r="AA62" s="82" t="str">
        <x:v>子平格局</x:v>
      </x:c>
      <x:c r="AB62" s="68" t="str">
        <x:v>M14只生成和排除格局候选。候选须综合月令、透干、格神有效力量、清纯度、日主配合与全局主导性；候选成立不等于M15最终成格。</x:v>
      </x:c>
      <x:c r="AC62" s="68" t="str">
        <x:v>月令与格神有效性共同支持“假从候选”，且没有决定性否决条件。</x:v>
      </x:c>
      <x:c r="AD62" s="90" t="str">
        <x:v>仅见相关十神或五行出现，但月令、格神有效性或全局主导性不成立，不能直接列“假从候选”。</x:v>
      </x:c>
      <x:c r="AE62" s="68" t="str">
        <x:v>https://zh.wikisource.org/wiki/%E6%BB%B4%E5%A4%A9%E9%AB%93%E9%97%A1%E5%BE%AE ; https://zh.wikisource.org/zh-hans/%E6%BB%B4%E5%A4%A9%E9%AB%93</x:v>
      </x:c>
      <x:c r="AF62" s="82" t="str">
        <x:v>待验证</x:v>
      </x:c>
      <x:c r="AG62" s="82" t="str">
        <x:v>初审</x:v>
      </x:c>
      <x:c r="AH62" s="87" t="n">
        <x:v>46260</x:v>
      </x:c>
    </x:row>
    <x:row r="63">
      <x:c r="A63" s="72" t="str">
        <x:f>IF(OR(C63="",D63=""),"",B63&amp;"-"&amp;UPPER(C63)&amp;"-"&amp;TEXT(D63,"0000")&amp;"-"&amp;E63)</x:f>
        <x:v>M14-CONG-0057-V1.0</x:v>
      </x:c>
      <x:c r="B63" s="74" t="str">
        <x:v>M14</x:v>
      </x:c>
      <x:c r="C63" s="74" t="str">
        <x:v>CONG</x:v>
      </x:c>
      <x:c r="D63" s="215" t="n">
        <x:v>57</x:v>
      </x:c>
      <x:c r="E63" s="74" t="str">
        <x:v>V1.0</x:v>
      </x:c>
      <x:c r="F63" s="68" t="str">
        <x:v>一枚有效强根或有力印比可否决真从候选</x:v>
      </x:c>
      <x:c r="G63" s="82" t="str">
        <x:v>综合层</x:v>
      </x:c>
      <x:c r="H63" s="82" t="str">
        <x:v>从格</x:v>
      </x:c>
      <x:c r="I63" s="68" t="str">
        <x:v>从格通用候选</x:v>
      </x:c>
      <x:c r="J63" s="68" t="str">
        <x:v>表面异党成势</x:v>
      </x:c>
      <x:c r="K63" s="68" t="str">
        <x:v>透干可增强候选，但不作为所有格局的绝对唯一条件</x:v>
      </x:c>
      <x:c r="L63" s="82" t="str">
        <x:v>待定</x:v>
      </x:c>
      <x:c r="M63" s="68" t="str">
        <x:v>日主存在可调用强根</x:v>
      </x:c>
      <x:c r="N63" s="68" t="str">
        <x:v>日主至少中和偏弱以上</x:v>
      </x:c>
      <x:c r="O63" s="68" t="str">
        <x:v>日主仍具独立承载</x:v>
      </x:c>
      <x:c r="P63" s="68" t="str">
        <x:v>从格表面条件存在</x:v>
      </x:c>
      <x:c r="Q63" s="68" t="str">
        <x:v>不适用</x:v>
      </x:c>
      <x:c r="R63" s="68" t="str">
        <x:v>格神得令、有根、透达、清纯，并得到有效生扶或制化配合</x:v>
      </x:c>
      <x:c r="S63" s="68" t="str">
        <x:v>存在更强月令主气、格神功能被替代或全局主势明显转向其他结构</x:v>
      </x:c>
      <x:c r="T63" s="90" t="str">
        <x:v>有效强根、当令印比或稳定生扶足以使日主自立</x:v>
      </x:c>
      <x:c r="U63" s="68" t="str">
        <x:v>特殊格局、建禄羊刃及明确从化结构另用专门规则</x:v>
      </x:c>
      <x:c r="V63" s="82" t="str">
        <x:v>不成立</x:v>
      </x:c>
      <x:c r="W63" s="68" t="str">
        <x:v>普通身弱/中和格局</x:v>
      </x:c>
      <x:c r="X63" s="84" t="str">
        <x:v>真从_强根否决</x:v>
      </x:c>
      <x:c r="Y63" s="84" t="str">
        <x:v>从格通用候选列为“不成立”：主要依据为月令与格神有效性；仍需M15检验成格、破格、救应与层次。</x:v>
      </x:c>
      <x:c r="Z63" s="82" t="str">
        <x:v>较高</x:v>
      </x:c>
      <x:c r="AA63" s="82" t="str">
        <x:v>子平格局</x:v>
      </x:c>
      <x:c r="AB63" s="68" t="str">
        <x:v>M14只生成和排除格局候选。候选须综合月令、透干、格神有效力量、清纯度、日主配合与全局主导性；候选成立不等于M15最终成格。</x:v>
      </x:c>
      <x:c r="AC63" s="68" t="str">
        <x:v>月令与格神有效性共同支持“从格通用候选”，且没有决定性否决条件。</x:v>
      </x:c>
      <x:c r="AD63" s="90" t="str">
        <x:v>仅见相关十神或五行出现，但月令、格神有效性或全局主导性不成立，不能直接列“从格通用候选”。</x:v>
      </x:c>
      <x:c r="AE63" s="68" t="str">
        <x:v>https://zh.wikisource.org/wiki/%E6%BB%B4%E5%A4%A9%E9%AB%93%E9%97%A1%E5%BE%AE ; https://zh.wikisource.org/zh-hans/%E6%BB%B4%E5%A4%A9%E9%AB%93</x:v>
      </x:c>
      <x:c r="AF63" s="82" t="str">
        <x:v>采用</x:v>
      </x:c>
      <x:c r="AG63" s="82" t="str">
        <x:v>初审</x:v>
      </x:c>
      <x:c r="AH63" s="87" t="n">
        <x:v>46260</x:v>
      </x:c>
    </x:row>
    <x:row r="64">
      <x:c r="A64" s="72" t="str">
        <x:f>IF(OR(C64="",D64=""),"",B64&amp;"-"&amp;UPPER(C64)&amp;"-"&amp;TEXT(D64,"0000")&amp;"-"&amp;E64)</x:f>
        <x:v>M14-CONG-0058-V1.0</x:v>
      </x:c>
      <x:c r="B64" s="74" t="str">
        <x:v>M14</x:v>
      </x:c>
      <x:c r="C64" s="74" t="str">
        <x:v>CONG</x:v>
      </x:c>
      <x:c r="D64" s="215" t="n">
        <x:v>58</x:v>
      </x:c>
      <x:c r="E64" s="74" t="str">
        <x:v>V1.0</x:v>
      </x:c>
      <x:c r="F64" s="68" t="str">
        <x:v>身弱不等于从格</x:v>
      </x:c>
      <x:c r="G64" s="82" t="str">
        <x:v>综合层</x:v>
      </x:c>
      <x:c r="H64" s="82" t="str">
        <x:v>从格</x:v>
      </x:c>
      <x:c r="I64" s="68" t="str">
        <x:v>从格通用候选</x:v>
      </x:c>
      <x:c r="J64" s="68" t="str">
        <x:v>日主失令或偏弱</x:v>
      </x:c>
      <x:c r="K64" s="68" t="str">
        <x:v>透干可增强候选，但不作为所有格局的绝对唯一条件</x:v>
      </x:c>
      <x:c r="L64" s="82" t="str">
        <x:v>待定</x:v>
      </x:c>
      <x:c r="M64" s="68" t="str">
        <x:v>可能仍有根</x:v>
      </x:c>
      <x:c r="N64" s="68" t="str">
        <x:v>日主弱</x:v>
      </x:c>
      <x:c r="O64" s="68" t="str">
        <x:v>仍能借印比、根气或制化维持承载</x:v>
      </x:c>
      <x:c r="P64" s="68" t="str">
        <x:v>只有普通身弱证据，未达到孤立无气</x:v>
      </x:c>
      <x:c r="Q64" s="68" t="str">
        <x:v>不适用</x:v>
      </x:c>
      <x:c r="R64" s="68" t="str">
        <x:v>格神得令、有根、透达、清纯，并得到有效生扶或制化配合</x:v>
      </x:c>
      <x:c r="S64" s="68" t="str">
        <x:v>存在更强月令主气、格神功能被替代或全局主势明显转向其他结构</x:v>
      </x:c>
      <x:c r="T64" s="90" t="str">
        <x:v>未达到极弱无依和主势绝对集中</x:v>
      </x:c>
      <x:c r="U64" s="68" t="str">
        <x:v>特殊格局、建禄羊刃及明确从化结构另用专门规则</x:v>
      </x:c>
      <x:c r="V64" s="82" t="str">
        <x:v>不成立</x:v>
      </x:c>
      <x:c r="W64" s="68" t="str">
        <x:v>普通格局候选</x:v>
      </x:c>
      <x:c r="X64" s="84" t="str">
        <x:v>身弱非从格</x:v>
      </x:c>
      <x:c r="Y64" s="84" t="str">
        <x:v>从格通用候选列为“不成立”：主要依据为月令与格神有效性；仍需M15检验成格、破格、救应与层次。</x:v>
      </x:c>
      <x:c r="Z64" s="82" t="str">
        <x:v>较高</x:v>
      </x:c>
      <x:c r="AA64" s="82" t="str">
        <x:v>子平格局</x:v>
      </x:c>
      <x:c r="AB64" s="68" t="str">
        <x:v>M14只生成和排除格局候选。候选须综合月令、透干、格神有效力量、清纯度、日主配合与全局主导性；候选成立不等于M15最终成格。</x:v>
      </x:c>
      <x:c r="AC64" s="68" t="str">
        <x:v>月令与格神有效性共同支持“从格通用候选”，且没有决定性否决条件。</x:v>
      </x:c>
      <x:c r="AD64" s="90" t="str">
        <x:v>仅见相关十神或五行出现，但月令、格神有效性或全局主导性不成立，不能直接列“从格通用候选”。</x:v>
      </x:c>
      <x:c r="AE64" s="68" t="str">
        <x:v>https://zh.wikisource.org/wiki/%E6%BB%B4%E5%A4%A9%E9%AB%93%E9%97%A1%E5%BE%AE ; https://zh.wikisource.org/zh-hans/%E6%BB%B4%E5%A4%A9%E9%AB%93</x:v>
      </x:c>
      <x:c r="AF64" s="82" t="str">
        <x:v>采用</x:v>
      </x:c>
      <x:c r="AG64" s="82" t="str">
        <x:v>初审</x:v>
      </x:c>
      <x:c r="AH64" s="87" t="n">
        <x:v>46260</x:v>
      </x:c>
    </x:row>
    <x:row r="65">
      <x:c r="A65" s="72" t="str">
        <x:f>IF(OR(C65="",D65=""),"",B65&amp;"-"&amp;UPPER(C65)&amp;"-"&amp;TEXT(D65,"0000")&amp;"-"&amp;E65)</x:f>
        <x:v>M14-HUAQI-0059-V1.0</x:v>
      </x:c>
      <x:c r="B65" s="74" t="str">
        <x:v>M14</x:v>
      </x:c>
      <x:c r="C65" s="74" t="str">
        <x:v>HUAQI</x:v>
      </x:c>
      <x:c r="D65" s="215" t="n">
        <x:v>59</x:v>
      </x:c>
      <x:c r="E65" s="74" t="str">
        <x:v>V1.0</x:v>
      </x:c>
      <x:c r="F65" s="68" t="str">
        <x:v>日主参与天干五合并满足化神主导才生成化气候选</x:v>
      </x:c>
      <x:c r="G65" s="82" t="str">
        <x:v>综合层</x:v>
      </x:c>
      <x:c r="H65" s="82" t="str">
        <x:v>化气格</x:v>
      </x:c>
      <x:c r="I65" s="68" t="str">
        <x:v>化气格通用候选</x:v>
      </x:c>
      <x:c r="J65" s="68" t="str">
        <x:v>化神得令、得势或获得强季节支持</x:v>
      </x:c>
      <x:c r="K65" s="68" t="str">
        <x:v>日主与相合天干真实相合，且M06仅在具备实质合化条件时确认</x:v>
      </x:c>
      <x:c r="L65" s="82" t="str">
        <x:v>较清</x:v>
      </x:c>
      <x:c r="M65" s="68" t="str">
        <x:v>日主原气无强根或强根不足以抗化</x:v>
      </x:c>
      <x:c r="N65" s="68" t="str">
        <x:v>化神旺</x:v>
      </x:c>
      <x:c r="O65" s="68" t="str">
        <x:v>日主顺从化神，不保留强烈本气自立</x:v>
      </x:c>
      <x:c r="P65" s="68" t="str">
        <x:v>日主参与五合，化神得令成势，原气弱，破化因素不足</x:v>
      </x:c>
      <x:c r="Q65" s="68" t="str">
        <x:v>日主参与固定五合；化神得令/成势；原气无强根；无强争合、强克、冲破或逆势集团</x:v>
      </x:c>
      <x:c r="R65" s="68" t="str">
        <x:v>格神得令、有根、透达、清纯，并得到有效生扶或制化配合</x:v>
      </x:c>
      <x:c r="S65" s="68" t="str">
        <x:v>存在更强月令主气、格神功能被替代或全局主势明显转向其他结构</x:v>
      </x:c>
      <x:c r="T65" s="90" t="str">
        <x:v>格神失效、无真实功能，或候选只由单一表面十神名称产生</x:v>
      </x:c>
      <x:c r="U65" s="68" t="str">
        <x:v>特殊格局、建禄羊刃及明确从化结构另用专门规则</x:v>
      </x:c>
      <x:c r="V65" s="82" t="str">
        <x:v>候选</x:v>
      </x:c>
      <x:c r="W65" s="68" t="str">
        <x:v>普通合绊/合而不化/假化候选</x:v>
      </x:c>
      <x:c r="X65" s="84" t="str">
        <x:v>化气格_通用硬门槛</x:v>
      </x:c>
      <x:c r="Y65" s="84" t="str">
        <x:v>化气格通用候选列为“候选”：主要依据为月令与格神有效性；仍需M15检验成格、破格、救应与层次。</x:v>
      </x:c>
      <x:c r="Z65" s="82" t="str">
        <x:v>较高</x:v>
      </x:c>
      <x:c r="AA65" s="82" t="str">
        <x:v>子平格局</x:v>
      </x:c>
      <x:c r="AB65" s="68" t="str">
        <x:v>M14只生成和排除格局候选。候选须综合月令、透干、格神有效力量、清纯度、日主配合与全局主导性；候选成立不等于M15最终成格。</x:v>
      </x:c>
      <x:c r="AC65" s="68" t="str">
        <x:v>月令与格神有效性共同支持“化气格通用候选”，且没有决定性否决条件。</x:v>
      </x:c>
      <x:c r="AD65" s="90" t="str">
        <x:v>仅见相关十神或五行出现，但月令、格神有效性或全局主导性不成立，不能直接列“化气格通用候选”。</x:v>
      </x:c>
      <x:c r="AE65" s="68" t="str">
        <x:v>https://zh.wikisource.org/wiki/%E6%BB%B4%E5%A4%A9%E9%AB%93%E9%97%A1%E5%BE%AE ; https://zh.wikisource.org/zh-hans/%E6%BB%B4%E5%A4%A9%E9%AB%93</x:v>
      </x:c>
      <x:c r="AF65" s="82" t="str">
        <x:v>采用</x:v>
      </x:c>
      <x:c r="AG65" s="82" t="str">
        <x:v>初审</x:v>
      </x:c>
      <x:c r="AH65" s="87" t="n">
        <x:v>46260</x:v>
      </x:c>
    </x:row>
    <x:row r="66">
      <x:c r="A66" s="72" t="str">
        <x:f>IF(OR(C66="",D66=""),"",B66&amp;"-"&amp;UPPER(C66)&amp;"-"&amp;TEXT(D66,"0000")&amp;"-"&amp;E66)</x:f>
        <x:v>M14-HUAQI-0060-V1.0</x:v>
      </x:c>
      <x:c r="B66" s="74" t="str">
        <x:v>M14</x:v>
      </x:c>
      <x:c r="C66" s="74" t="str">
        <x:v>HUAQI</x:v>
      </x:c>
      <x:c r="D66" s="215" t="n">
        <x:v>60</x:v>
      </x:c>
      <x:c r="E66" s="74" t="str">
        <x:v>V1.0</x:v>
      </x:c>
      <x:c r="F66" s="68" t="str">
        <x:v>甲己相合生成化土候选</x:v>
      </x:c>
      <x:c r="G66" s="82" t="str">
        <x:v>综合层</x:v>
      </x:c>
      <x:c r="H66" s="82" t="str">
        <x:v>化气格</x:v>
      </x:c>
      <x:c r="I66" s="68" t="str">
        <x:v>甲己化土格候选</x:v>
      </x:c>
      <x:c r="J66" s="68" t="str">
        <x:v>土得令、得势或全局气势明显转向土</x:v>
      </x:c>
      <x:c r="K66" s="68" t="str">
        <x:v>日主为甲己之一，并与另一干形成真实合化候选</x:v>
      </x:c>
      <x:c r="L66" s="82" t="str">
        <x:v>较清</x:v>
      </x:c>
      <x:c r="M66" s="68" t="str">
        <x:v>日主原五行无强根或强根受制</x:v>
      </x:c>
      <x:c r="N66" s="68" t="str">
        <x:v>土旺或中和偏旺</x:v>
      </x:c>
      <x:c r="O66" s="68" t="str">
        <x:v>日主不能以原五行独立自立，顺从土势</x:v>
      </x:c>
      <x:c r="P66" s="68" t="str">
        <x:v>M06确认甲己合化条件高度具备，M08显示力量向土重分配</x:v>
      </x:c>
      <x:c r="Q66" s="68" t="str">
        <x:v>化神土有令有势；原气不强；无决定性破化；辰等引化条件仅作流派证据而非机械充分条件</x:v>
      </x:c>
      <x:c r="R66" s="68" t="str">
        <x:v>格神得令、有根、透达、清纯，并得到有效生扶或制化配合</x:v>
      </x:c>
      <x:c r="S66" s="68" t="str">
        <x:v>存在更强月令主气、格神功能被替代或全局主势明显转向其他结构</x:v>
      </x:c>
      <x:c r="T66" s="90" t="str">
        <x:v>格神失效、无真实功能，或候选只由单一表面十神名称产生</x:v>
      </x:c>
      <x:c r="U66" s="68" t="str">
        <x:v>特殊格局、建禄羊刃及明确从化结构另用专门规则</x:v>
      </x:c>
      <x:c r="V66" s="82" t="str">
        <x:v>候选</x:v>
      </x:c>
      <x:c r="W66" s="68" t="str">
        <x:v>合而不化/假化候选</x:v>
      </x:c>
      <x:c r="X66" s="84" t="str">
        <x:v>甲己化土_候选</x:v>
      </x:c>
      <x:c r="Y66" s="84" t="str">
        <x:v>甲己化土格候选列为“候选”：主要依据为月令与格神有效性；仍需M15检验成格、破格、救应与层次。</x:v>
      </x:c>
      <x:c r="Z66" s="82" t="str">
        <x:v>中等</x:v>
      </x:c>
      <x:c r="AA66" s="82" t="str">
        <x:v>子平格局</x:v>
      </x:c>
      <x:c r="AB66" s="68" t="str">
        <x:v>M14只生成和排除格局候选。候选须综合月令、透干、格神有效力量、清纯度、日主配合与全局主导性；候选成立不等于M15最终成格。</x:v>
      </x:c>
      <x:c r="AC66" s="68" t="str">
        <x:v>月令与格神有效性共同支持“甲己化土格候选”，且没有决定性否决条件。</x:v>
      </x:c>
      <x:c r="AD66" s="90" t="str">
        <x:v>仅见相关十神或五行出现，但月令、格神有效性或全局主导性不成立，不能直接列“甲己化土格候选”。</x:v>
      </x:c>
      <x:c r="AE66" s="68" t="str">
        <x:v>https://zh.wikisource.org/wiki/%E6%BB%B4%E5%A4%A9%E9%AB%93%E9%97%A1%E5%BE%AE ; https://zh.wikisource.org/zh-hans/%E6%BB%B4%E5%A4%A9%E9%AB%93</x:v>
      </x:c>
      <x:c r="AF66" s="82" t="str">
        <x:v>采用</x:v>
      </x:c>
      <x:c r="AG66" s="82" t="str">
        <x:v>初审</x:v>
      </x:c>
      <x:c r="AH66" s="87" t="n">
        <x:v>46260</x:v>
      </x:c>
    </x:row>
    <x:row r="67">
      <x:c r="A67" s="72" t="str">
        <x:f>IF(OR(C67="",D67=""),"",B67&amp;"-"&amp;UPPER(C67)&amp;"-"&amp;TEXT(D67,"0000")&amp;"-"&amp;E67)</x:f>
        <x:v>M14-HUAQI-0061-V1.0</x:v>
      </x:c>
      <x:c r="B67" s="74" t="str">
        <x:v>M14</x:v>
      </x:c>
      <x:c r="C67" s="74" t="str">
        <x:v>HUAQI</x:v>
      </x:c>
      <x:c r="D67" s="215" t="n">
        <x:v>61</x:v>
      </x:c>
      <x:c r="E67" s="74" t="str">
        <x:v>V1.0</x:v>
      </x:c>
      <x:c r="F67" s="68" t="str">
        <x:v>乙庚相合生成化金候选</x:v>
      </x:c>
      <x:c r="G67" s="82" t="str">
        <x:v>综合层</x:v>
      </x:c>
      <x:c r="H67" s="82" t="str">
        <x:v>化气格</x:v>
      </x:c>
      <x:c r="I67" s="68" t="str">
        <x:v>乙庚化金格候选</x:v>
      </x:c>
      <x:c r="J67" s="68" t="str">
        <x:v>金得令、得势或全局气势明显转向金</x:v>
      </x:c>
      <x:c r="K67" s="68" t="str">
        <x:v>日主为乙庚之一，并与另一干形成真实合化候选</x:v>
      </x:c>
      <x:c r="L67" s="82" t="str">
        <x:v>较清</x:v>
      </x:c>
      <x:c r="M67" s="68" t="str">
        <x:v>日主原五行无强根或强根受制</x:v>
      </x:c>
      <x:c r="N67" s="68" t="str">
        <x:v>金旺或中和偏旺</x:v>
      </x:c>
      <x:c r="O67" s="68" t="str">
        <x:v>日主不能以原五行独立自立，顺从金势</x:v>
      </x:c>
      <x:c r="P67" s="68" t="str">
        <x:v>M06确认乙庚合化条件高度具备，M08显示力量向金重分配</x:v>
      </x:c>
      <x:c r="Q67" s="68" t="str">
        <x:v>化神金有令有势；原气不强；无决定性破化；辰等引化条件仅作流派证据而非机械充分条件</x:v>
      </x:c>
      <x:c r="R67" s="68" t="str">
        <x:v>格神得令、有根、透达、清纯，并得到有效生扶或制化配合</x:v>
      </x:c>
      <x:c r="S67" s="68" t="str">
        <x:v>存在更强月令主气、格神功能被替代或全局主势明显转向其他结构</x:v>
      </x:c>
      <x:c r="T67" s="90" t="str">
        <x:v>格神失效、无真实功能，或候选只由单一表面十神名称产生</x:v>
      </x:c>
      <x:c r="U67" s="68" t="str">
        <x:v>特殊格局、建禄羊刃及明确从化结构另用专门规则</x:v>
      </x:c>
      <x:c r="V67" s="82" t="str">
        <x:v>候选</x:v>
      </x:c>
      <x:c r="W67" s="68" t="str">
        <x:v>合而不化/假化候选</x:v>
      </x:c>
      <x:c r="X67" s="84" t="str">
        <x:v>乙庚化金_候选</x:v>
      </x:c>
      <x:c r="Y67" s="84" t="str">
        <x:v>乙庚化金格候选列为“候选”：主要依据为月令与格神有效性；仍需M15检验成格、破格、救应与层次。</x:v>
      </x:c>
      <x:c r="Z67" s="82" t="str">
        <x:v>中等</x:v>
      </x:c>
      <x:c r="AA67" s="82" t="str">
        <x:v>子平格局</x:v>
      </x:c>
      <x:c r="AB67" s="68" t="str">
        <x:v>M14只生成和排除格局候选。候选须综合月令、透干、格神有效力量、清纯度、日主配合与全局主导性；候选成立不等于M15最终成格。</x:v>
      </x:c>
      <x:c r="AC67" s="68" t="str">
        <x:v>月令与格神有效性共同支持“乙庚化金格候选”，且没有决定性否决条件。</x:v>
      </x:c>
      <x:c r="AD67" s="90" t="str">
        <x:v>仅见相关十神或五行出现，但月令、格神有效性或全局主导性不成立，不能直接列“乙庚化金格候选”。</x:v>
      </x:c>
      <x:c r="AE67" s="68" t="str">
        <x:v>https://zh.wikisource.org/wiki/%E6%BB%B4%E5%A4%A9%E9%AB%93%E9%97%A1%E5%BE%AE ; https://zh.wikisource.org/zh-hans/%E6%BB%B4%E5%A4%A9%E9%AB%93</x:v>
      </x:c>
      <x:c r="AF67" s="82" t="str">
        <x:v>采用</x:v>
      </x:c>
      <x:c r="AG67" s="82" t="str">
        <x:v>初审</x:v>
      </x:c>
      <x:c r="AH67" s="87" t="n">
        <x:v>46260</x:v>
      </x:c>
    </x:row>
    <x:row r="68">
      <x:c r="A68" s="72" t="str">
        <x:f>IF(OR(C68="",D68=""),"",B68&amp;"-"&amp;UPPER(C68)&amp;"-"&amp;TEXT(D68,"0000")&amp;"-"&amp;E68)</x:f>
        <x:v>M14-HUAQI-0062-V1.0</x:v>
      </x:c>
      <x:c r="B68" s="74" t="str">
        <x:v>M14</x:v>
      </x:c>
      <x:c r="C68" s="74" t="str">
        <x:v>HUAQI</x:v>
      </x:c>
      <x:c r="D68" s="215" t="n">
        <x:v>62</x:v>
      </x:c>
      <x:c r="E68" s="74" t="str">
        <x:v>V1.0</x:v>
      </x:c>
      <x:c r="F68" s="68" t="str">
        <x:v>丙辛相合生成化水候选</x:v>
      </x:c>
      <x:c r="G68" s="82" t="str">
        <x:v>综合层</x:v>
      </x:c>
      <x:c r="H68" s="82" t="str">
        <x:v>化气格</x:v>
      </x:c>
      <x:c r="I68" s="68" t="str">
        <x:v>丙辛化水格候选</x:v>
      </x:c>
      <x:c r="J68" s="68" t="str">
        <x:v>水得令、得势或全局气势明显转向水</x:v>
      </x:c>
      <x:c r="K68" s="68" t="str">
        <x:v>日主为丙辛之一，并与另一干形成真实合化候选</x:v>
      </x:c>
      <x:c r="L68" s="82" t="str">
        <x:v>较清</x:v>
      </x:c>
      <x:c r="M68" s="68" t="str">
        <x:v>日主原五行无强根或强根受制</x:v>
      </x:c>
      <x:c r="N68" s="68" t="str">
        <x:v>水旺或中和偏旺</x:v>
      </x:c>
      <x:c r="O68" s="68" t="str">
        <x:v>日主不能以原五行独立自立，顺从水势</x:v>
      </x:c>
      <x:c r="P68" s="68" t="str">
        <x:v>M06确认丙辛合化条件高度具备，M08显示力量向水重分配</x:v>
      </x:c>
      <x:c r="Q68" s="68" t="str">
        <x:v>化神水有令有势；原气不强；无决定性破化；辰等引化条件仅作流派证据而非机械充分条件</x:v>
      </x:c>
      <x:c r="R68" s="68" t="str">
        <x:v>格神得令、有根、透达、清纯，并得到有效生扶或制化配合</x:v>
      </x:c>
      <x:c r="S68" s="68" t="str">
        <x:v>存在更强月令主气、格神功能被替代或全局主势明显转向其他结构</x:v>
      </x:c>
      <x:c r="T68" s="90" t="str">
        <x:v>格神失效、无真实功能，或候选只由单一表面十神名称产生</x:v>
      </x:c>
      <x:c r="U68" s="68" t="str">
        <x:v>特殊格局、建禄羊刃及明确从化结构另用专门规则</x:v>
      </x:c>
      <x:c r="V68" s="82" t="str">
        <x:v>候选</x:v>
      </x:c>
      <x:c r="W68" s="68" t="str">
        <x:v>合而不化/假化候选</x:v>
      </x:c>
      <x:c r="X68" s="84" t="str">
        <x:v>丙辛化水_候选</x:v>
      </x:c>
      <x:c r="Y68" s="84" t="str">
        <x:v>丙辛化水格候选列为“候选”：主要依据为月令与格神有效性；仍需M15检验成格、破格、救应与层次。</x:v>
      </x:c>
      <x:c r="Z68" s="82" t="str">
        <x:v>中等</x:v>
      </x:c>
      <x:c r="AA68" s="82" t="str">
        <x:v>子平格局</x:v>
      </x:c>
      <x:c r="AB68" s="68" t="str">
        <x:v>M14只生成和排除格局候选。候选须综合月令、透干、格神有效力量、清纯度、日主配合与全局主导性；候选成立不等于M15最终成格。</x:v>
      </x:c>
      <x:c r="AC68" s="68" t="str">
        <x:v>月令与格神有效性共同支持“丙辛化水格候选”，且没有决定性否决条件。</x:v>
      </x:c>
      <x:c r="AD68" s="90" t="str">
        <x:v>仅见相关十神或五行出现，但月令、格神有效性或全局主导性不成立，不能直接列“丙辛化水格候选”。</x:v>
      </x:c>
      <x:c r="AE68" s="68" t="str">
        <x:v>https://zh.wikisource.org/wiki/%E6%BB%B4%E5%A4%A9%E9%AB%93%E9%97%A1%E5%BE%AE ; https://zh.wikisource.org/zh-hans/%E6%BB%B4%E5%A4%A9%E9%AB%93</x:v>
      </x:c>
      <x:c r="AF68" s="82" t="str">
        <x:v>采用</x:v>
      </x:c>
      <x:c r="AG68" s="82" t="str">
        <x:v>初审</x:v>
      </x:c>
      <x:c r="AH68" s="87" t="n">
        <x:v>46260</x:v>
      </x:c>
    </x:row>
    <x:row r="69">
      <x:c r="A69" s="72" t="str">
        <x:f>IF(OR(C69="",D69=""),"",B69&amp;"-"&amp;UPPER(C69)&amp;"-"&amp;TEXT(D69,"0000")&amp;"-"&amp;E69)</x:f>
        <x:v>M14-HUAQI-0063-V1.0</x:v>
      </x:c>
      <x:c r="B69" s="74" t="str">
        <x:v>M14</x:v>
      </x:c>
      <x:c r="C69" s="74" t="str">
        <x:v>HUAQI</x:v>
      </x:c>
      <x:c r="D69" s="215" t="n">
        <x:v>63</x:v>
      </x:c>
      <x:c r="E69" s="74" t="str">
        <x:v>V1.0</x:v>
      </x:c>
      <x:c r="F69" s="68" t="str">
        <x:v>丁壬相合生成化木候选</x:v>
      </x:c>
      <x:c r="G69" s="82" t="str">
        <x:v>综合层</x:v>
      </x:c>
      <x:c r="H69" s="82" t="str">
        <x:v>化气格</x:v>
      </x:c>
      <x:c r="I69" s="68" t="str">
        <x:v>丁壬化木格候选</x:v>
      </x:c>
      <x:c r="J69" s="68" t="str">
        <x:v>木得令、得势或全局气势明显转向木</x:v>
      </x:c>
      <x:c r="K69" s="68" t="str">
        <x:v>日主为丁壬之一，并与另一干形成真实合化候选</x:v>
      </x:c>
      <x:c r="L69" s="82" t="str">
        <x:v>较清</x:v>
      </x:c>
      <x:c r="M69" s="68" t="str">
        <x:v>日主原五行无强根或强根受制</x:v>
      </x:c>
      <x:c r="N69" s="68" t="str">
        <x:v>木旺或中和偏旺</x:v>
      </x:c>
      <x:c r="O69" s="68" t="str">
        <x:v>日主不能以原五行独立自立，顺从木势</x:v>
      </x:c>
      <x:c r="P69" s="68" t="str">
        <x:v>M06确认丁壬合化条件高度具备，M08显示力量向木重分配</x:v>
      </x:c>
      <x:c r="Q69" s="68" t="str">
        <x:v>化神木有令有势；原气不强；无决定性破化；辰等引化条件仅作流派证据而非机械充分条件</x:v>
      </x:c>
      <x:c r="R69" s="68" t="str">
        <x:v>格神得令、有根、透达、清纯，并得到有效生扶或制化配合</x:v>
      </x:c>
      <x:c r="S69" s="68" t="str">
        <x:v>存在更强月令主气、格神功能被替代或全局主势明显转向其他结构</x:v>
      </x:c>
      <x:c r="T69" s="90" t="str">
        <x:v>格神失效、无真实功能，或候选只由单一表面十神名称产生</x:v>
      </x:c>
      <x:c r="U69" s="68" t="str">
        <x:v>特殊格局、建禄羊刃及明确从化结构另用专门规则</x:v>
      </x:c>
      <x:c r="V69" s="82" t="str">
        <x:v>候选</x:v>
      </x:c>
      <x:c r="W69" s="68" t="str">
        <x:v>合而不化/假化候选</x:v>
      </x:c>
      <x:c r="X69" s="84" t="str">
        <x:v>丁壬化木_候选</x:v>
      </x:c>
      <x:c r="Y69" s="84" t="str">
        <x:v>丁壬化木格候选列为“候选”：主要依据为月令与格神有效性；仍需M15检验成格、破格、救应与层次。</x:v>
      </x:c>
      <x:c r="Z69" s="82" t="str">
        <x:v>中等</x:v>
      </x:c>
      <x:c r="AA69" s="82" t="str">
        <x:v>子平格局</x:v>
      </x:c>
      <x:c r="AB69" s="68" t="str">
        <x:v>M14只生成和排除格局候选。候选须综合月令、透干、格神有效力量、清纯度、日主配合与全局主导性；候选成立不等于M15最终成格。</x:v>
      </x:c>
      <x:c r="AC69" s="68" t="str">
        <x:v>月令与格神有效性共同支持“丁壬化木格候选”，且没有决定性否决条件。</x:v>
      </x:c>
      <x:c r="AD69" s="90" t="str">
        <x:v>仅见相关十神或五行出现，但月令、格神有效性或全局主导性不成立，不能直接列“丁壬化木格候选”。</x:v>
      </x:c>
      <x:c r="AE69" s="68" t="str">
        <x:v>https://zh.wikisource.org/wiki/%E6%BB%B4%E5%A4%A9%E9%AB%93%E9%97%A1%E5%BE%AE ; https://zh.wikisource.org/zh-hans/%E6%BB%B4%E5%A4%A9%E9%AB%93</x:v>
      </x:c>
      <x:c r="AF69" s="82" t="str">
        <x:v>采用</x:v>
      </x:c>
      <x:c r="AG69" s="82" t="str">
        <x:v>初审</x:v>
      </x:c>
      <x:c r="AH69" s="87" t="n">
        <x:v>46260</x:v>
      </x:c>
    </x:row>
    <x:row r="70">
      <x:c r="A70" s="72" t="str">
        <x:f>IF(OR(C70="",D70=""),"",B70&amp;"-"&amp;UPPER(C70)&amp;"-"&amp;TEXT(D70,"0000")&amp;"-"&amp;E70)</x:f>
        <x:v>M14-HUAQI-0064-V1.0</x:v>
      </x:c>
      <x:c r="B70" s="74" t="str">
        <x:v>M14</x:v>
      </x:c>
      <x:c r="C70" s="74" t="str">
        <x:v>HUAQI</x:v>
      </x:c>
      <x:c r="D70" s="215" t="n">
        <x:v>64</x:v>
      </x:c>
      <x:c r="E70" s="74" t="str">
        <x:v>V1.0</x:v>
      </x:c>
      <x:c r="F70" s="68" t="str">
        <x:v>戊癸相合生成化火候选</x:v>
      </x:c>
      <x:c r="G70" s="82" t="str">
        <x:v>综合层</x:v>
      </x:c>
      <x:c r="H70" s="82" t="str">
        <x:v>化气格</x:v>
      </x:c>
      <x:c r="I70" s="68" t="str">
        <x:v>戊癸化火格候选</x:v>
      </x:c>
      <x:c r="J70" s="68" t="str">
        <x:v>火得令、得势或全局气势明显转向火</x:v>
      </x:c>
      <x:c r="K70" s="68" t="str">
        <x:v>日主为戊癸之一，并与另一干形成真实合化候选</x:v>
      </x:c>
      <x:c r="L70" s="82" t="str">
        <x:v>较清</x:v>
      </x:c>
      <x:c r="M70" s="68" t="str">
        <x:v>日主原五行无强根或强根受制</x:v>
      </x:c>
      <x:c r="N70" s="68" t="str">
        <x:v>火旺或中和偏旺</x:v>
      </x:c>
      <x:c r="O70" s="68" t="str">
        <x:v>日主不能以原五行独立自立，顺从火势</x:v>
      </x:c>
      <x:c r="P70" s="68" t="str">
        <x:v>M06确认戊癸合化条件高度具备，M08显示力量向火重分配</x:v>
      </x:c>
      <x:c r="Q70" s="68" t="str">
        <x:v>化神火有令有势；原气不强；无决定性破化；辰等引化条件仅作流派证据而非机械充分条件</x:v>
      </x:c>
      <x:c r="R70" s="68" t="str">
        <x:v>格神得令、有根、透达、清纯，并得到有效生扶或制化配合</x:v>
      </x:c>
      <x:c r="S70" s="68" t="str">
        <x:v>存在更强月令主气、格神功能被替代或全局主势明显转向其他结构</x:v>
      </x:c>
      <x:c r="T70" s="90" t="str">
        <x:v>格神失效、无真实功能，或候选只由单一表面十神名称产生</x:v>
      </x:c>
      <x:c r="U70" s="68" t="str">
        <x:v>特殊格局、建禄羊刃及明确从化结构另用专门规则</x:v>
      </x:c>
      <x:c r="V70" s="82" t="str">
        <x:v>候选</x:v>
      </x:c>
      <x:c r="W70" s="68" t="str">
        <x:v>合而不化/假化候选</x:v>
      </x:c>
      <x:c r="X70" s="84" t="str">
        <x:v>戊癸化火_候选</x:v>
      </x:c>
      <x:c r="Y70" s="84" t="str">
        <x:v>戊癸化火格候选列为“候选”：主要依据为月令与格神有效性；仍需M15检验成格、破格、救应与层次。</x:v>
      </x:c>
      <x:c r="Z70" s="82" t="str">
        <x:v>中等</x:v>
      </x:c>
      <x:c r="AA70" s="82" t="str">
        <x:v>子平格局</x:v>
      </x:c>
      <x:c r="AB70" s="68" t="str">
        <x:v>M14只生成和排除格局候选。候选须综合月令、透干、格神有效力量、清纯度、日主配合与全局主导性；候选成立不等于M15最终成格。</x:v>
      </x:c>
      <x:c r="AC70" s="68" t="str">
        <x:v>月令与格神有效性共同支持“戊癸化火格候选”，且没有决定性否决条件。</x:v>
      </x:c>
      <x:c r="AD70" s="90" t="str">
        <x:v>仅见相关十神或五行出现，但月令、格神有效性或全局主导性不成立，不能直接列“戊癸化火格候选”。</x:v>
      </x:c>
      <x:c r="AE70" s="68" t="str">
        <x:v>https://zh.wikisource.org/wiki/%E6%BB%B4%E5%A4%A9%E9%AB%93%E9%97%A1%E5%BE%AE ; https://zh.wikisource.org/zh-hans/%E6%BB%B4%E5%A4%A9%E9%AB%93</x:v>
      </x:c>
      <x:c r="AF70" s="82" t="str">
        <x:v>采用</x:v>
      </x:c>
      <x:c r="AG70" s="82" t="str">
        <x:v>初审</x:v>
      </x:c>
      <x:c r="AH70" s="87" t="n">
        <x:v>46260</x:v>
      </x:c>
    </x:row>
    <x:row r="71">
      <x:c r="A71" s="72" t="str">
        <x:f>IF(OR(C71="",D71=""),"",B71&amp;"-"&amp;UPPER(C71)&amp;"-"&amp;TEXT(D71,"0000")&amp;"-"&amp;E71)</x:f>
        <x:v>M14-ZHUAN-0065-V1.0</x:v>
      </x:c>
      <x:c r="B71" s="74" t="str">
        <x:v>M14</x:v>
      </x:c>
      <x:c r="C71" s="74" t="str">
        <x:v>ZHUAN</x:v>
      </x:c>
      <x:c r="D71" s="215" t="n">
        <x:v>65</x:v>
      </x:c>
      <x:c r="E71" s="74" t="str">
        <x:v>V1.0</x:v>
      </x:c>
      <x:c r="F71" s="68" t="str">
        <x:v>单一五行一气成势可生成专旺候选</x:v>
      </x:c>
      <x:c r="G71" s="82" t="str">
        <x:v>综合层</x:v>
      </x:c>
      <x:c r="H71" s="82" t="str">
        <x:v>专旺候选</x:v>
      </x:c>
      <x:c r="I71" s="68" t="str">
        <x:v>专旺格通用候选</x:v>
      </x:c>
      <x:c r="J71" s="68" t="str">
        <x:v>日主同类五行得令，地支成方成局或多重强根</x:v>
      </x:c>
      <x:c r="K71" s="68" t="str">
        <x:v>同类透干成党</x:v>
      </x:c>
      <x:c r="L71" s="82" t="str">
        <x:v>较清</x:v>
      </x:c>
      <x:c r="M71" s="68" t="str">
        <x:v>多重强根</x:v>
      </x:c>
      <x:c r="N71" s="68" t="str">
        <x:v>极旺</x:v>
      </x:c>
      <x:c r="O71" s="68" t="str">
        <x:v>日主顺从本气极旺之势</x:v>
      </x:c>
      <x:c r="P71" s="68" t="str">
        <x:v>一气独旺，克制该五行的力量无效，生泄路径符合专旺气势</x:v>
      </x:c>
      <x:c r="Q71" s="68" t="str">
        <x:v>同一五行绝对主导；反克力量弱；杂气不足以改变主势；不得仅由数量多生成</x:v>
      </x:c>
      <x:c r="R71" s="68" t="str">
        <x:v>格神得令、有根、透达、清纯，并得到有效生扶或制化配合</x:v>
      </x:c>
      <x:c r="S71" s="68" t="str">
        <x:v>存在更强月令主气、格神功能被替代或全局主势明显转向其他结构</x:v>
      </x:c>
      <x:c r="T71" s="90" t="str">
        <x:v>格神失效、无真实功能，或候选只由单一表面十神名称产生</x:v>
      </x:c>
      <x:c r="U71" s="68" t="str">
        <x:v>特殊格局、建禄羊刃及明确从化结构另用专门规则</x:v>
      </x:c>
      <x:c r="V71" s="82" t="str">
        <x:v>候选</x:v>
      </x:c>
      <x:c r="W71" s="68" t="str">
        <x:v>从旺/建禄/羊刃候选</x:v>
      </x:c>
      <x:c r="X71" s="84" t="str">
        <x:v>专旺_通用候选</x:v>
      </x:c>
      <x:c r="Y71" s="84" t="str">
        <x:v>专旺格通用候选列为“候选”：主要依据为月令与格神有效性；仍需M15检验成格、破格、救应与层次。</x:v>
      </x:c>
      <x:c r="Z71" s="82" t="str">
        <x:v>较高</x:v>
      </x:c>
      <x:c r="AA71" s="82" t="str">
        <x:v>子平格局</x:v>
      </x:c>
      <x:c r="AB71" s="68" t="str">
        <x:v>M14只生成和排除格局候选。候选须综合月令、透干、格神有效力量、清纯度、日主配合与全局主导性；候选成立不等于M15最终成格。</x:v>
      </x:c>
      <x:c r="AC71" s="68" t="str">
        <x:v>月令与格神有效性共同支持“专旺格通用候选”，且没有决定性否决条件。</x:v>
      </x:c>
      <x:c r="AD71" s="90" t="str">
        <x:v>仅见相关十神或五行出现，但月令、格神有效性或全局主导性不成立，不能直接列“专旺格通用候选”。</x:v>
      </x:c>
      <x:c r="AE71" s="68" t="str">
        <x:v>https://zh.wikisource.org/wiki/%E6%BB%B4%E5%A4%A9%E9%AB%93%E9%97%A1%E5%BE%AE ; https://zh.wikisource.org/zh-hans/%E6%BB%B4%E5%A4%A9%E9%AB%93</x:v>
      </x:c>
      <x:c r="AF71" s="82" t="str">
        <x:v>采用</x:v>
      </x:c>
      <x:c r="AG71" s="82" t="str">
        <x:v>初审</x:v>
      </x:c>
      <x:c r="AH71" s="87" t="n">
        <x:v>46260</x:v>
      </x:c>
    </x:row>
    <x:row r="72">
      <x:c r="A72" s="72" t="str">
        <x:f>IF(OR(C72="",D72=""),"",B72&amp;"-"&amp;UPPER(C72)&amp;"-"&amp;TEXT(D72,"0000")&amp;"-"&amp;E72)</x:f>
        <x:v>M14-ZHUAN-0066-V1.0</x:v>
      </x:c>
      <x:c r="B72" s="74" t="str">
        <x:v>M14</x:v>
      </x:c>
      <x:c r="C72" s="74" t="str">
        <x:v>ZHUAN</x:v>
      </x:c>
      <x:c r="D72" s="215" t="n">
        <x:v>66</x:v>
      </x:c>
      <x:c r="E72" s="74" t="str">
        <x:v>V1.0</x:v>
      </x:c>
      <x:c r="F72" s="68" t="str">
        <x:v>木一气成势生成曲直格候选</x:v>
      </x:c>
      <x:c r="G72" s="82" t="str">
        <x:v>综合层</x:v>
      </x:c>
      <x:c r="H72" s="82" t="str">
        <x:v>专旺候选</x:v>
      </x:c>
      <x:c r="I72" s="68" t="str">
        <x:v>曲直格候选</x:v>
      </x:c>
      <x:c r="J72" s="68" t="str">
        <x:v>寅卯辰或木局木势成方</x:v>
      </x:c>
      <x:c r="K72" s="68" t="str">
        <x:v>木透干成党</x:v>
      </x:c>
      <x:c r="L72" s="82" t="str">
        <x:v>较清</x:v>
      </x:c>
      <x:c r="M72" s="68" t="str">
        <x:v>木多重强根</x:v>
      </x:c>
      <x:c r="N72" s="68" t="str">
        <x:v>木极旺</x:v>
      </x:c>
      <x:c r="O72" s="68" t="str">
        <x:v>日主属木并顺从同类旺势</x:v>
      </x:c>
      <x:c r="P72" s="68" t="str">
        <x:v>木成为全局绝对主导，流通方向不逆其势</x:v>
      </x:c>
      <x:c r="Q72" s="68" t="str">
        <x:v>克木的金无力或不能形成有效破局；杂气不足以改变主势</x:v>
      </x:c>
      <x:c r="R72" s="68" t="str">
        <x:v>格神得令、有根、透达、清纯，并得到有效生扶或制化配合</x:v>
      </x:c>
      <x:c r="S72" s="68" t="str">
        <x:v>存在更强月令主气、格神功能被替代或全局主势明显转向其他结构</x:v>
      </x:c>
      <x:c r="T72" s="90" t="str">
        <x:v>格神失效、无真实功能，或候选只由单一表面十神名称产生</x:v>
      </x:c>
      <x:c r="U72" s="68" t="str">
        <x:v>特殊格局、建禄羊刃及明确从化结构另用专门规则</x:v>
      </x:c>
      <x:c r="V72" s="82" t="str">
        <x:v>候选</x:v>
      </x:c>
      <x:c r="W72" s="68" t="str">
        <x:v>从旺/从强候选</x:v>
      </x:c>
      <x:c r="X72" s="84" t="str">
        <x:v>曲直格候选_候选</x:v>
      </x:c>
      <x:c r="Y72" s="84" t="str">
        <x:v>曲直格候选列为“候选”：主要依据为月令与格神有效性；仍需M15检验成格、破格、救应与层次。</x:v>
      </x:c>
      <x:c r="Z72" s="82" t="str">
        <x:v>较高</x:v>
      </x:c>
      <x:c r="AA72" s="82" t="str">
        <x:v>子平格局</x:v>
      </x:c>
      <x:c r="AB72" s="68" t="str">
        <x:v>M14只生成和排除格局候选。候选须综合月令、透干、格神有效力量、清纯度、日主配合与全局主导性；候选成立不等于M15最终成格。</x:v>
      </x:c>
      <x:c r="AC72" s="68" t="str">
        <x:v>月令与格神有效性共同支持“曲直格候选”，且没有决定性否决条件。</x:v>
      </x:c>
      <x:c r="AD72" s="90" t="str">
        <x:v>仅见相关十神或五行出现，但月令、格神有效性或全局主导性不成立，不能直接列“曲直格候选”。</x:v>
      </x:c>
      <x:c r="AE72" s="68" t="str">
        <x:v>https://zh.wikisource.org/wiki/%E6%BB%B4%E5%A4%A9%E9%AB%93%E9%97%A1%E5%BE%AE ; https://zh.wikisource.org/zh-hans/%E6%BB%B4%E5%A4%A9%E9%AB%93</x:v>
      </x:c>
      <x:c r="AF72" s="82" t="str">
        <x:v>采用</x:v>
      </x:c>
      <x:c r="AG72" s="82" t="str">
        <x:v>初审</x:v>
      </x:c>
      <x:c r="AH72" s="87" t="n">
        <x:v>46260</x:v>
      </x:c>
    </x:row>
    <x:row r="73">
      <x:c r="A73" s="72" t="str">
        <x:f>IF(OR(C73="",D73=""),"",B73&amp;"-"&amp;UPPER(C73)&amp;"-"&amp;TEXT(D73,"0000")&amp;"-"&amp;E73)</x:f>
        <x:v>M14-ZHUAN-0067-V1.0</x:v>
      </x:c>
      <x:c r="B73" s="74" t="str">
        <x:v>M14</x:v>
      </x:c>
      <x:c r="C73" s="74" t="str">
        <x:v>ZHUAN</x:v>
      </x:c>
      <x:c r="D73" s="215" t="n">
        <x:v>67</x:v>
      </x:c>
      <x:c r="E73" s="74" t="str">
        <x:v>V1.0</x:v>
      </x:c>
      <x:c r="F73" s="68" t="str">
        <x:v>火一气成势生成炎上格候选</x:v>
      </x:c>
      <x:c r="G73" s="82" t="str">
        <x:v>综合层</x:v>
      </x:c>
      <x:c r="H73" s="82" t="str">
        <x:v>专旺候选</x:v>
      </x:c>
      <x:c r="I73" s="68" t="str">
        <x:v>炎上格候选</x:v>
      </x:c>
      <x:c r="J73" s="68" t="str">
        <x:v>巳午未或火局火势成方</x:v>
      </x:c>
      <x:c r="K73" s="68" t="str">
        <x:v>火透干成党</x:v>
      </x:c>
      <x:c r="L73" s="82" t="str">
        <x:v>较清</x:v>
      </x:c>
      <x:c r="M73" s="68" t="str">
        <x:v>火多重强根</x:v>
      </x:c>
      <x:c r="N73" s="68" t="str">
        <x:v>火极旺</x:v>
      </x:c>
      <x:c r="O73" s="68" t="str">
        <x:v>日主属火并顺从同类旺势</x:v>
      </x:c>
      <x:c r="P73" s="68" t="str">
        <x:v>火成为全局绝对主导，流通方向不逆其势</x:v>
      </x:c>
      <x:c r="Q73" s="68" t="str">
        <x:v>克火的水无力或不能形成有效破局；杂气不足以改变主势</x:v>
      </x:c>
      <x:c r="R73" s="68" t="str">
        <x:v>格神得令、有根、透达、清纯，并得到有效生扶或制化配合</x:v>
      </x:c>
      <x:c r="S73" s="68" t="str">
        <x:v>存在更强月令主气、格神功能被替代或全局主势明显转向其他结构</x:v>
      </x:c>
      <x:c r="T73" s="90" t="str">
        <x:v>格神失效、无真实功能，或候选只由单一表面十神名称产生</x:v>
      </x:c>
      <x:c r="U73" s="68" t="str">
        <x:v>特殊格局、建禄羊刃及明确从化结构另用专门规则</x:v>
      </x:c>
      <x:c r="V73" s="82" t="str">
        <x:v>候选</x:v>
      </x:c>
      <x:c r="W73" s="68" t="str">
        <x:v>从旺/从强候选</x:v>
      </x:c>
      <x:c r="X73" s="84" t="str">
        <x:v>炎上格候选_候选</x:v>
      </x:c>
      <x:c r="Y73" s="84" t="str">
        <x:v>炎上格候选列为“候选”：主要依据为月令与格神有效性；仍需M15检验成格、破格、救应与层次。</x:v>
      </x:c>
      <x:c r="Z73" s="82" t="str">
        <x:v>较高</x:v>
      </x:c>
      <x:c r="AA73" s="82" t="str">
        <x:v>子平格局</x:v>
      </x:c>
      <x:c r="AB73" s="68" t="str">
        <x:v>M14只生成和排除格局候选。候选须综合月令、透干、格神有效力量、清纯度、日主配合与全局主导性；候选成立不等于M15最终成格。</x:v>
      </x:c>
      <x:c r="AC73" s="68" t="str">
        <x:v>月令与格神有效性共同支持“炎上格候选”，且没有决定性否决条件。</x:v>
      </x:c>
      <x:c r="AD73" s="90" t="str">
        <x:v>仅见相关十神或五行出现，但月令、格神有效性或全局主导性不成立，不能直接列“炎上格候选”。</x:v>
      </x:c>
      <x:c r="AE73" s="68" t="str">
        <x:v>https://zh.wikisource.org/wiki/%E6%BB%B4%E5%A4%A9%E9%AB%93%E9%97%A1%E5%BE%AE ; https://zh.wikisource.org/zh-hans/%E6%BB%B4%E5%A4%A9%E9%AB%93</x:v>
      </x:c>
      <x:c r="AF73" s="82" t="str">
        <x:v>采用</x:v>
      </x:c>
      <x:c r="AG73" s="82" t="str">
        <x:v>初审</x:v>
      </x:c>
      <x:c r="AH73" s="87" t="n">
        <x:v>46260</x:v>
      </x:c>
    </x:row>
    <x:row r="74">
      <x:c r="A74" s="72" t="str">
        <x:f>IF(OR(C74="",D74=""),"",B74&amp;"-"&amp;UPPER(C74)&amp;"-"&amp;TEXT(D74,"0000")&amp;"-"&amp;E74)</x:f>
        <x:v>M14-ZHUAN-0068-V1.0</x:v>
      </x:c>
      <x:c r="B74" s="74" t="str">
        <x:v>M14</x:v>
      </x:c>
      <x:c r="C74" s="74" t="str">
        <x:v>ZHUAN</x:v>
      </x:c>
      <x:c r="D74" s="215" t="n">
        <x:v>68</x:v>
      </x:c>
      <x:c r="E74" s="74" t="str">
        <x:v>V1.0</x:v>
      </x:c>
      <x:c r="F74" s="68" t="str">
        <x:v>土一气成势生成稼穑格候选</x:v>
      </x:c>
      <x:c r="G74" s="82" t="str">
        <x:v>综合层</x:v>
      </x:c>
      <x:c r="H74" s="82" t="str">
        <x:v>专旺候选</x:v>
      </x:c>
      <x:c r="I74" s="68" t="str">
        <x:v>稼穑格候选</x:v>
      </x:c>
      <x:c r="J74" s="68" t="str">
        <x:v>四季土月且土势极旺</x:v>
      </x:c>
      <x:c r="K74" s="68" t="str">
        <x:v>土透干成党</x:v>
      </x:c>
      <x:c r="L74" s="82" t="str">
        <x:v>较清</x:v>
      </x:c>
      <x:c r="M74" s="68" t="str">
        <x:v>土多重强根</x:v>
      </x:c>
      <x:c r="N74" s="68" t="str">
        <x:v>土极旺</x:v>
      </x:c>
      <x:c r="O74" s="68" t="str">
        <x:v>日主属土并顺从同类旺势</x:v>
      </x:c>
      <x:c r="P74" s="68" t="str">
        <x:v>土成为全局绝对主导，流通方向不逆其势</x:v>
      </x:c>
      <x:c r="Q74" s="68" t="str">
        <x:v>克土的木无力或不能形成有效破局；杂气不足以改变主势</x:v>
      </x:c>
      <x:c r="R74" s="68" t="str">
        <x:v>格神得令、有根、透达、清纯，并得到有效生扶或制化配合</x:v>
      </x:c>
      <x:c r="S74" s="68" t="str">
        <x:v>存在更强月令主气、格神功能被替代或全局主势明显转向其他结构</x:v>
      </x:c>
      <x:c r="T74" s="90" t="str">
        <x:v>格神失效、无真实功能，或候选只由单一表面十神名称产生</x:v>
      </x:c>
      <x:c r="U74" s="68" t="str">
        <x:v>特殊格局、建禄羊刃及明确从化结构另用专门规则</x:v>
      </x:c>
      <x:c r="V74" s="82" t="str">
        <x:v>候选</x:v>
      </x:c>
      <x:c r="W74" s="68" t="str">
        <x:v>从旺/从强候选</x:v>
      </x:c>
      <x:c r="X74" s="84" t="str">
        <x:v>稼穑格候选_候选</x:v>
      </x:c>
      <x:c r="Y74" s="84" t="str">
        <x:v>稼穑格候选列为“候选”：主要依据为月令与格神有效性；仍需M15检验成格、破格、救应与层次。</x:v>
      </x:c>
      <x:c r="Z74" s="82" t="str">
        <x:v>较高</x:v>
      </x:c>
      <x:c r="AA74" s="82" t="str">
        <x:v>子平格局</x:v>
      </x:c>
      <x:c r="AB74" s="68" t="str">
        <x:v>M14只生成和排除格局候选。候选须综合月令、透干、格神有效力量、清纯度、日主配合与全局主导性；候选成立不等于M15最终成格。</x:v>
      </x:c>
      <x:c r="AC74" s="68" t="str">
        <x:v>月令与格神有效性共同支持“稼穑格候选”，且没有决定性否决条件。</x:v>
      </x:c>
      <x:c r="AD74" s="90" t="str">
        <x:v>仅见相关十神或五行出现，但月令、格神有效性或全局主导性不成立，不能直接列“稼穑格候选”。</x:v>
      </x:c>
      <x:c r="AE74" s="68" t="str">
        <x:v>https://zh.wikisource.org/wiki/%E6%BB%B4%E5%A4%A9%E9%AB%93%E9%97%A1%E5%BE%AE ; https://zh.wikisource.org/zh-hans/%E6%BB%B4%E5%A4%A9%E9%AB%93</x:v>
      </x:c>
      <x:c r="AF74" s="82" t="str">
        <x:v>采用</x:v>
      </x:c>
      <x:c r="AG74" s="82" t="str">
        <x:v>初审</x:v>
      </x:c>
      <x:c r="AH74" s="87" t="n">
        <x:v>46260</x:v>
      </x:c>
    </x:row>
    <x:row r="75">
      <x:c r="A75" s="72" t="str">
        <x:f>IF(OR(C75="",D75=""),"",B75&amp;"-"&amp;UPPER(C75)&amp;"-"&amp;TEXT(D75,"0000")&amp;"-"&amp;E75)</x:f>
        <x:v>M14-ZHUAN-0069-V1.0</x:v>
      </x:c>
      <x:c r="B75" s="74" t="str">
        <x:v>M14</x:v>
      </x:c>
      <x:c r="C75" s="74" t="str">
        <x:v>ZHUAN</x:v>
      </x:c>
      <x:c r="D75" s="215" t="n">
        <x:v>69</x:v>
      </x:c>
      <x:c r="E75" s="74" t="str">
        <x:v>V1.0</x:v>
      </x:c>
      <x:c r="F75" s="68" t="str">
        <x:v>金一气成势生成从革格候选</x:v>
      </x:c>
      <x:c r="G75" s="82" t="str">
        <x:v>综合层</x:v>
      </x:c>
      <x:c r="H75" s="82" t="str">
        <x:v>专旺候选</x:v>
      </x:c>
      <x:c r="I75" s="68" t="str">
        <x:v>从革格候选</x:v>
      </x:c>
      <x:c r="J75" s="68" t="str">
        <x:v>申酉戌或金局金势成方</x:v>
      </x:c>
      <x:c r="K75" s="68" t="str">
        <x:v>金透干成党</x:v>
      </x:c>
      <x:c r="L75" s="82" t="str">
        <x:v>较清</x:v>
      </x:c>
      <x:c r="M75" s="68" t="str">
        <x:v>金多重强根</x:v>
      </x:c>
      <x:c r="N75" s="68" t="str">
        <x:v>金极旺</x:v>
      </x:c>
      <x:c r="O75" s="68" t="str">
        <x:v>日主属金并顺从同类旺势</x:v>
      </x:c>
      <x:c r="P75" s="68" t="str">
        <x:v>金成为全局绝对主导，流通方向不逆其势</x:v>
      </x:c>
      <x:c r="Q75" s="68" t="str">
        <x:v>克金的火无力或不能形成有效破局；杂气不足以改变主势</x:v>
      </x:c>
      <x:c r="R75" s="68" t="str">
        <x:v>格神得令、有根、透达、清纯，并得到有效生扶或制化配合</x:v>
      </x:c>
      <x:c r="S75" s="68" t="str">
        <x:v>存在更强月令主气、格神功能被替代或全局主势明显转向其他结构</x:v>
      </x:c>
      <x:c r="T75" s="90" t="str">
        <x:v>格神失效、无真实功能，或候选只由单一表面十神名称产生</x:v>
      </x:c>
      <x:c r="U75" s="68" t="str">
        <x:v>特殊格局、建禄羊刃及明确从化结构另用专门规则</x:v>
      </x:c>
      <x:c r="V75" s="82" t="str">
        <x:v>候选</x:v>
      </x:c>
      <x:c r="W75" s="68" t="str">
        <x:v>从旺/从强候选</x:v>
      </x:c>
      <x:c r="X75" s="84" t="str">
        <x:v>从革格候选_候选</x:v>
      </x:c>
      <x:c r="Y75" s="84" t="str">
        <x:v>从革格候选列为“候选”：主要依据为月令与格神有效性；仍需M15检验成格、破格、救应与层次。</x:v>
      </x:c>
      <x:c r="Z75" s="82" t="str">
        <x:v>较高</x:v>
      </x:c>
      <x:c r="AA75" s="82" t="str">
        <x:v>子平格局</x:v>
      </x:c>
      <x:c r="AB75" s="68" t="str">
        <x:v>M14只生成和排除格局候选。候选须综合月令、透干、格神有效力量、清纯度、日主配合与全局主导性；候选成立不等于M15最终成格。</x:v>
      </x:c>
      <x:c r="AC75" s="68" t="str">
        <x:v>月令与格神有效性共同支持“从革格候选”，且没有决定性否决条件。</x:v>
      </x:c>
      <x:c r="AD75" s="90" t="str">
        <x:v>仅见相关十神或五行出现，但月令、格神有效性或全局主导性不成立，不能直接列“从革格候选”。</x:v>
      </x:c>
      <x:c r="AE75" s="68" t="str">
        <x:v>https://zh.wikisource.org/wiki/%E6%BB%B4%E5%A4%A9%E9%AB%93%E9%97%A1%E5%BE%AE ; https://zh.wikisource.org/zh-hans/%E6%BB%B4%E5%A4%A9%E9%AB%93</x:v>
      </x:c>
      <x:c r="AF75" s="82" t="str">
        <x:v>采用</x:v>
      </x:c>
      <x:c r="AG75" s="82" t="str">
        <x:v>初审</x:v>
      </x:c>
      <x:c r="AH75" s="87" t="n">
        <x:v>46260</x:v>
      </x:c>
    </x:row>
    <x:row r="76">
      <x:c r="A76" s="72" t="str">
        <x:f>IF(OR(C76="",D76=""),"",B76&amp;"-"&amp;UPPER(C76)&amp;"-"&amp;TEXT(D76,"0000")&amp;"-"&amp;E76)</x:f>
        <x:v>M14-ZHUAN-0070-V1.0</x:v>
      </x:c>
      <x:c r="B76" s="74" t="str">
        <x:v>M14</x:v>
      </x:c>
      <x:c r="C76" s="74" t="str">
        <x:v>ZHUAN</x:v>
      </x:c>
      <x:c r="D76" s="215" t="n">
        <x:v>70</x:v>
      </x:c>
      <x:c r="E76" s="74" t="str">
        <x:v>V1.0</x:v>
      </x:c>
      <x:c r="F76" s="68" t="str">
        <x:v>水一气成势生成润下格候选</x:v>
      </x:c>
      <x:c r="G76" s="82" t="str">
        <x:v>综合层</x:v>
      </x:c>
      <x:c r="H76" s="82" t="str">
        <x:v>专旺候选</x:v>
      </x:c>
      <x:c r="I76" s="68" t="str">
        <x:v>润下格候选</x:v>
      </x:c>
      <x:c r="J76" s="68" t="str">
        <x:v>亥子丑或水局水势成方</x:v>
      </x:c>
      <x:c r="K76" s="68" t="str">
        <x:v>水透干成党</x:v>
      </x:c>
      <x:c r="L76" s="82" t="str">
        <x:v>较清</x:v>
      </x:c>
      <x:c r="M76" s="68" t="str">
        <x:v>水多重强根</x:v>
      </x:c>
      <x:c r="N76" s="68" t="str">
        <x:v>水极旺</x:v>
      </x:c>
      <x:c r="O76" s="68" t="str">
        <x:v>日主属水并顺从同类旺势</x:v>
      </x:c>
      <x:c r="P76" s="68" t="str">
        <x:v>水成为全局绝对主导，流通方向不逆其势</x:v>
      </x:c>
      <x:c r="Q76" s="68" t="str">
        <x:v>克水的土无力或不能形成有效破局；杂气不足以改变主势</x:v>
      </x:c>
      <x:c r="R76" s="68" t="str">
        <x:v>格神得令、有根、透达、清纯，并得到有效生扶或制化配合</x:v>
      </x:c>
      <x:c r="S76" s="68" t="str">
        <x:v>存在更强月令主气、格神功能被替代或全局主势明显转向其他结构</x:v>
      </x:c>
      <x:c r="T76" s="90" t="str">
        <x:v>格神失效、无真实功能，或候选只由单一表面十神名称产生</x:v>
      </x:c>
      <x:c r="U76" s="68" t="str">
        <x:v>特殊格局、建禄羊刃及明确从化结构另用专门规则</x:v>
      </x:c>
      <x:c r="V76" s="82" t="str">
        <x:v>候选</x:v>
      </x:c>
      <x:c r="W76" s="68" t="str">
        <x:v>从旺/从强候选</x:v>
      </x:c>
      <x:c r="X76" s="84" t="str">
        <x:v>润下格候选_候选</x:v>
      </x:c>
      <x:c r="Y76" s="84" t="str">
        <x:v>润下格候选列为“候选”：主要依据为月令与格神有效性；仍需M15检验成格、破格、救应与层次。</x:v>
      </x:c>
      <x:c r="Z76" s="82" t="str">
        <x:v>较高</x:v>
      </x:c>
      <x:c r="AA76" s="82" t="str">
        <x:v>子平格局</x:v>
      </x:c>
      <x:c r="AB76" s="68" t="str">
        <x:v>M14只生成和排除格局候选。候选须综合月令、透干、格神有效力量、清纯度、日主配合与全局主导性；候选成立不等于M15最终成格。</x:v>
      </x:c>
      <x:c r="AC76" s="68" t="str">
        <x:v>月令与格神有效性共同支持“润下格候选”，且没有决定性否决条件。</x:v>
      </x:c>
      <x:c r="AD76" s="90" t="str">
        <x:v>仅见相关十神或五行出现，但月令、格神有效性或全局主导性不成立，不能直接列“润下格候选”。</x:v>
      </x:c>
      <x:c r="AE76" s="68" t="str">
        <x:v>https://zh.wikisource.org/wiki/%E6%BB%B4%E5%A4%A9%E9%AB%93%E9%97%A1%E5%BE%AE ; https://zh.wikisource.org/zh-hans/%E6%BB%B4%E5%A4%A9%E9%AB%93</x:v>
      </x:c>
      <x:c r="AF76" s="82" t="str">
        <x:v>采用</x:v>
      </x:c>
      <x:c r="AG76" s="82" t="str">
        <x:v>初审</x:v>
      </x:c>
      <x:c r="AH76" s="87" t="n">
        <x:v>46260</x:v>
      </x:c>
    </x:row>
    <x:row r="77">
      <x:c r="A77" s="72" t="str">
        <x:f>IF(OR(C77="",D77=""),"",B77&amp;"-"&amp;UPPER(C77)&amp;"-"&amp;TEXT(D77,"0000")&amp;"-"&amp;E77)</x:f>
        <x:v>M14-RANK-0071-V1.0</x:v>
      </x:c>
      <x:c r="B77" s="74" t="str">
        <x:v>M14</x:v>
      </x:c>
      <x:c r="C77" s="74" t="str">
        <x:v>RANK</x:v>
      </x:c>
      <x:c r="D77" s="215" t="n">
        <x:v>71</x:v>
      </x:c>
      <x:c r="E77" s="74" t="str">
        <x:v>V1.0</x:v>
      </x:c>
      <x:c r="F77" s="68" t="str">
        <x:v>月令主气候选通常高于非月令局部组合候选</x:v>
      </x:c>
      <x:c r="G77" s="82" t="str">
        <x:v>综合层</x:v>
      </x:c>
      <x:c r="H77" s="82" t="str">
        <x:v>普通格局</x:v>
      </x:c>
      <x:c r="I77" s="68" t="str">
        <x:v>格局候选排序</x:v>
      </x:c>
      <x:c r="J77" s="68" t="str">
        <x:v>比较月令主气与局部组合来源</x:v>
      </x:c>
      <x:c r="K77" s="68" t="str">
        <x:v>透干可增强候选，但不作为所有格局的绝对唯一条件</x:v>
      </x:c>
      <x:c r="L77" s="82" t="str">
        <x:v>待定</x:v>
      </x:c>
      <x:c r="M77" s="68" t="str">
        <x:v>待定</x:v>
      </x:c>
      <x:c r="N77" s="68" t="str">
        <x:v>待定</x:v>
      </x:c>
      <x:c r="O77" s="68" t="str">
        <x:v>结合M09日主旺衰与承载判断</x:v>
      </x:c>
      <x:c r="P77" s="68" t="str">
        <x:v>月令主气格神有效，局部组合未形成全局主导</x:v>
      </x:c>
      <x:c r="Q77" s="68" t="str">
        <x:v>不适用</x:v>
      </x:c>
      <x:c r="R77" s="68" t="str">
        <x:v>格神得令、有根、透达、清纯，并得到有效生扶或制化配合</x:v>
      </x:c>
      <x:c r="S77" s="68" t="str">
        <x:v>存在更强月令主气、格神功能被替代或全局主势明显转向其他结构</x:v>
      </x:c>
      <x:c r="T77" s="90" t="str">
        <x:v>格神失效、无真实功能，或候选只由单一表面十神名称产生</x:v>
      </x:c>
      <x:c r="U77" s="68" t="str">
        <x:v>特殊格局、建禄羊刃及明确从化结构另用专门规则</x:v>
      </x:c>
      <x:c r="V77" s="82" t="str">
        <x:v>基本成立</x:v>
      </x:c>
      <x:c r="W77" s="68" t="str">
        <x:v>次级局部组合候选</x:v>
      </x:c>
      <x:c r="X77" s="84" t="str">
        <x:v>候选排序_月令优先</x:v>
      </x:c>
      <x:c r="Y77" s="84" t="str">
        <x:v>月令主气格神有效时通常列第一候选；局部组合保留为结构支持，不越级替代。</x:v>
      </x:c>
      <x:c r="Z77" s="82" t="str">
        <x:v>较高</x:v>
      </x:c>
      <x:c r="AA77" s="82" t="str">
        <x:v>子平格局</x:v>
      </x:c>
      <x:c r="AB77" s="68" t="str">
        <x:v>M14只生成和排除格局候选。候选须综合月令、透干、格神有效力量、清纯度、日主配合与全局主导性；候选成立不等于M15最终成格。</x:v>
      </x:c>
      <x:c r="AC77" s="68" t="str">
        <x:v>月令与格神有效性共同支持“格局候选排序”，且没有决定性否决条件。</x:v>
      </x:c>
      <x:c r="AD77" s="90" t="str">
        <x:v>仅见相关十神或五行出现，但月令、格神有效性或全局主导性不成立，不能直接列“格局候选排序”。</x:v>
      </x:c>
      <x:c r="AE77" s="68" t="str">
        <x:v>https://zh.wikisource.org/zh-hans/%E6%B7%B5%E6%B5%B7%E5%AD%90%E5%B9%B3 ; https://zh.wikisource.org/wiki/%E6%BB%B4%E5%A4%A9%E9%AB%93%E9%97%A1%E5%BE%AE</x:v>
      </x:c>
      <x:c r="AF77" s="82" t="str">
        <x:v>采用</x:v>
      </x:c>
      <x:c r="AG77" s="82" t="str">
        <x:v>初审</x:v>
      </x:c>
      <x:c r="AH77" s="87" t="n">
        <x:v>46260</x:v>
      </x:c>
    </x:row>
    <x:row r="78">
      <x:c r="A78" s="72" t="str">
        <x:f>IF(OR(C78="",D78=""),"",B78&amp;"-"&amp;UPPER(C78)&amp;"-"&amp;TEXT(D78,"0000")&amp;"-"&amp;E78)</x:f>
        <x:v>M14-RANK-0072-V1.0</x:v>
      </x:c>
      <x:c r="B78" s="74" t="str">
        <x:v>M14</x:v>
      </x:c>
      <x:c r="C78" s="74" t="str">
        <x:v>RANK</x:v>
      </x:c>
      <x:c r="D78" s="215" t="n">
        <x:v>72</x:v>
      </x:c>
      <x:c r="E78" s="74" t="str">
        <x:v>V1.0</x:v>
      </x:c>
      <x:c r="F78" s="68" t="str">
        <x:v>特殊格局必须凭严格门槛而非优先级自动覆盖普通格</x:v>
      </x:c>
      <x:c r="G78" s="82" t="str">
        <x:v>综合层</x:v>
      </x:c>
      <x:c r="H78" s="82" t="str">
        <x:v>特殊格局</x:v>
      </x:c>
      <x:c r="I78" s="68" t="str">
        <x:v>格局候选排序</x:v>
      </x:c>
      <x:c r="J78" s="68" t="str">
        <x:v>待核查月令主气、中气与全局主势</x:v>
      </x:c>
      <x:c r="K78" s="68" t="str">
        <x:v>透干可增强候选，但不作为所有格局的绝对唯一条件</x:v>
      </x:c>
      <x:c r="L78" s="82" t="str">
        <x:v>待定</x:v>
      </x:c>
      <x:c r="M78" s="68" t="str">
        <x:v>待定</x:v>
      </x:c>
      <x:c r="N78" s="68" t="str">
        <x:v>待定</x:v>
      </x:c>
      <x:c r="O78" s="68" t="str">
        <x:v>结合M09日主旺衰与承载判断</x:v>
      </x:c>
      <x:c r="P78" s="68" t="str">
        <x:v>从格、化气或专旺达到各自严格门槛</x:v>
      </x:c>
      <x:c r="Q78" s="68" t="str">
        <x:v>特殊格证据必须同时满足，不因名称特殊自动优先</x:v>
      </x:c>
      <x:c r="R78" s="68" t="str">
        <x:v>格神得令、有根、透达、清纯，并得到有效生扶或制化配合</x:v>
      </x:c>
      <x:c r="S78" s="68" t="str">
        <x:v>存在更强月令主气、格神功能被替代或全局主势明显转向其他结构</x:v>
      </x:c>
      <x:c r="T78" s="90" t="str">
        <x:v>格神失效、无真实功能，或候选只由单一表面十神名称产生</x:v>
      </x:c>
      <x:c r="U78" s="68" t="str">
        <x:v>特殊格局、建禄羊刃及明确从化结构另用专门规则</x:v>
      </x:c>
      <x:c r="V78" s="82" t="str">
        <x:v>候选</x:v>
      </x:c>
      <x:c r="W78" s="68" t="str">
        <x:v>普通格局候选</x:v>
      </x:c>
      <x:c r="X78" s="84" t="str">
        <x:v>候选排序_特殊格严格</x:v>
      </x:c>
      <x:c r="Y78" s="84" t="str">
        <x:v>格局候选排序列为“候选”：主要依据为月令与格神有效性；仍需M15检验成格、破格、救应与层次。</x:v>
      </x:c>
      <x:c r="Z78" s="82" t="str">
        <x:v>较高</x:v>
      </x:c>
      <x:c r="AA78" s="82" t="str">
        <x:v>子平格局</x:v>
      </x:c>
      <x:c r="AB78" s="68" t="str">
        <x:v>M14只生成和排除格局候选。候选须综合月令、透干、格神有效力量、清纯度、日主配合与全局主导性；候选成立不等于M15最终成格。</x:v>
      </x:c>
      <x:c r="AC78" s="68" t="str">
        <x:v>月令与格神有效性共同支持“格局候选排序”，且没有决定性否决条件。</x:v>
      </x:c>
      <x:c r="AD78" s="90" t="str">
        <x:v>仅见相关十神或五行出现，但月令、格神有效性或全局主导性不成立，不能直接列“格局候选排序”。</x:v>
      </x:c>
      <x:c r="AE78" s="68" t="str">
        <x:v>https://zh.wikisource.org/zh-hans/%E6%B7%B5%E6%B5%B7%E5%AD%90%E5%B9%B3 ; https://zh.wikisource.org/wiki/%E6%BB%B4%E5%A4%A9%E9%AB%93%E9%97%A1%E5%BE%AE</x:v>
      </x:c>
      <x:c r="AF78" s="82" t="str">
        <x:v>采用</x:v>
      </x:c>
      <x:c r="AG78" s="82" t="str">
        <x:v>初审</x:v>
      </x:c>
      <x:c r="AH78" s="87" t="n">
        <x:v>46260</x:v>
      </x:c>
    </x:row>
    <x:row r="79">
      <x:c r="A79" s="72" t="str">
        <x:f>IF(OR(C79="",D79=""),"",B79&amp;"-"&amp;UPPER(C79)&amp;"-"&amp;TEXT(D79,"0000")&amp;"-"&amp;E79)</x:f>
        <x:v>M14-RANK-0073-V1.0</x:v>
      </x:c>
      <x:c r="B79" s="74" t="str">
        <x:v>M14</x:v>
      </x:c>
      <x:c r="C79" s="74" t="str">
        <x:v>RANK</x:v>
      </x:c>
      <x:c r="D79" s="215" t="n">
        <x:v>73</x:v>
      </x:c>
      <x:c r="E79" s="74" t="str">
        <x:v>V1.0</x:v>
      </x:c>
      <x:c r="F79" s="68" t="str">
        <x:v>格神有效力量高于名义月令标签</x:v>
      </x:c>
      <x:c r="G79" s="82" t="str">
        <x:v>综合层</x:v>
      </x:c>
      <x:c r="H79" s="82" t="str">
        <x:v>普通格局</x:v>
      </x:c>
      <x:c r="I79" s="68" t="str">
        <x:v>格局候选排序</x:v>
      </x:c>
      <x:c r="J79" s="68" t="str">
        <x:v>月令虽提供候选，但格神已被制化或失效</x:v>
      </x:c>
      <x:c r="K79" s="68" t="str">
        <x:v>透干可增强候选，但不作为所有格局的绝对唯一条件</x:v>
      </x:c>
      <x:c r="L79" s="82" t="str">
        <x:v>待定</x:v>
      </x:c>
      <x:c r="M79" s="68" t="str">
        <x:v>待定</x:v>
      </x:c>
      <x:c r="N79" s="68" t="str">
        <x:v>格神实际有效力量优先</x:v>
      </x:c>
      <x:c r="O79" s="68" t="str">
        <x:v>结合M09日主旺衰与承载判断</x:v>
      </x:c>
      <x:c r="P79" s="68" t="str">
        <x:v>比较月令标签与M08/M10实际功能</x:v>
      </x:c>
      <x:c r="Q79" s="68" t="str">
        <x:v>不适用</x:v>
      </x:c>
      <x:c r="R79" s="68" t="str">
        <x:v>格神得令、有根、透达、清纯，并得到有效生扶或制化配合</x:v>
      </x:c>
      <x:c r="S79" s="68" t="str">
        <x:v>存在更强月令主气、格神功能被替代或全局主势明显转向其他结构</x:v>
      </x:c>
      <x:c r="T79" s="90" t="str">
        <x:v>格神失效、无真实功能，或候选只由单一表面十神名称产生</x:v>
      </x:c>
      <x:c r="U79" s="68" t="str">
        <x:v>特殊格局、建禄羊刃及明确从化结构另用专门规则</x:v>
      </x:c>
      <x:c r="V79" s="82" t="str">
        <x:v>候选</x:v>
      </x:c>
      <x:c r="W79" s="68" t="str">
        <x:v>实际主导格神候选</x:v>
      </x:c>
      <x:c r="X79" s="84" t="str">
        <x:v>候选排序_有效性优先</x:v>
      </x:c>
      <x:c r="Y79" s="84" t="str">
        <x:v>格局候选排序列为“候选”：主要依据为月令与格神有效性；仍需M15检验成格、破格、救应与层次。</x:v>
      </x:c>
      <x:c r="Z79" s="82" t="str">
        <x:v>较高</x:v>
      </x:c>
      <x:c r="AA79" s="82" t="str">
        <x:v>子平格局</x:v>
      </x:c>
      <x:c r="AB79" s="68" t="str">
        <x:v>M14只生成和排除格局候选。候选须综合月令、透干、格神有效力量、清纯度、日主配合与全局主导性；候选成立不等于M15最终成格。</x:v>
      </x:c>
      <x:c r="AC79" s="68" t="str">
        <x:v>月令与格神有效性共同支持“格局候选排序”，且没有决定性否决条件。</x:v>
      </x:c>
      <x:c r="AD79" s="90" t="str">
        <x:v>仅见相关十神或五行出现，但月令、格神有效性或全局主导性不成立，不能直接列“格局候选排序”。</x:v>
      </x:c>
      <x:c r="AE79" s="68" t="str">
        <x:v>https://zh.wikisource.org/zh-hans/%E6%B7%B5%E6%B5%B7%E5%AD%90%E5%B9%B3 ; https://zh.wikisource.org/wiki/%E6%BB%B4%E5%A4%A9%E9%AB%93%E9%97%A1%E5%BE%AE</x:v>
      </x:c>
      <x:c r="AF79" s="82" t="str">
        <x:v>采用</x:v>
      </x:c>
      <x:c r="AG79" s="82" t="str">
        <x:v>初审</x:v>
      </x:c>
      <x:c r="AH79" s="87" t="n">
        <x:v>46260</x:v>
      </x:c>
    </x:row>
    <x:row r="80">
      <x:c r="A80" s="72" t="str">
        <x:f>IF(OR(C80="",D80=""),"",B80&amp;"-"&amp;UPPER(C80)&amp;"-"&amp;TEXT(D80,"0000")&amp;"-"&amp;E80)</x:f>
        <x:v>M14-RANK-0074-V1.0</x:v>
      </x:c>
      <x:c r="B80" s="74" t="str">
        <x:v>M14</x:v>
      </x:c>
      <x:c r="C80" s="74" t="str">
        <x:v>RANK</x:v>
      </x:c>
      <x:c r="D80" s="215" t="n">
        <x:v>74</x:v>
      </x:c>
      <x:c r="E80" s="74" t="str">
        <x:v>V1.0</x:v>
      </x:c>
      <x:c r="F80" s="68" t="str">
        <x:v>全局主导性用于区分第一候选和备选</x:v>
      </x:c>
      <x:c r="G80" s="82" t="str">
        <x:v>综合层</x:v>
      </x:c>
      <x:c r="H80" s="82" t="str">
        <x:v>普通格局</x:v>
      </x:c>
      <x:c r="I80" s="68" t="str">
        <x:v>格局候选排序</x:v>
      </x:c>
      <x:c r="J80" s="68" t="str">
        <x:v>待核查月令主气、中气与全局主势</x:v>
      </x:c>
      <x:c r="K80" s="68" t="str">
        <x:v>透干可增强候选，但不作为所有格局的绝对唯一条件</x:v>
      </x:c>
      <x:c r="L80" s="82" t="str">
        <x:v>待定</x:v>
      </x:c>
      <x:c r="M80" s="68" t="str">
        <x:v>待定</x:v>
      </x:c>
      <x:c r="N80" s="68" t="str">
        <x:v>待定</x:v>
      </x:c>
      <x:c r="O80" s="68" t="str">
        <x:v>结合M09日主旺衰与承载判断</x:v>
      </x:c>
      <x:c r="P80" s="68" t="str">
        <x:v>候选格神覆盖月令、透干、根气、组合和主要流通路径</x:v>
      </x:c>
      <x:c r="Q80" s="68" t="str">
        <x:v>不适用</x:v>
      </x:c>
      <x:c r="R80" s="68" t="str">
        <x:v>格神得令、有根、透达、清纯，并得到有效生扶或制化配合</x:v>
      </x:c>
      <x:c r="S80" s="68" t="str">
        <x:v>存在更强月令主气、格神功能被替代或全局主势明显转向其他结构</x:v>
      </x:c>
      <x:c r="T80" s="90" t="str">
        <x:v>格神失效、无真实功能，或候选只由单一表面十神名称产生</x:v>
      </x:c>
      <x:c r="U80" s="68" t="str">
        <x:v>特殊格局、建禄羊刃及明确从化结构另用专门规则</x:v>
      </x:c>
      <x:c r="V80" s="82" t="str">
        <x:v>基本成立</x:v>
      </x:c>
      <x:c r="W80" s="68" t="str">
        <x:v>次候选</x:v>
      </x:c>
      <x:c r="X80" s="84" t="str">
        <x:v>候选排序_全局主导</x:v>
      </x:c>
      <x:c r="Y80" s="84" t="str">
        <x:v>格局候选排序列为“基本成立”：主要依据为月令与格神有效性；仍需M15检验成格、破格、救应与层次。</x:v>
      </x:c>
      <x:c r="Z80" s="82" t="str">
        <x:v>较高</x:v>
      </x:c>
      <x:c r="AA80" s="82" t="str">
        <x:v>子平格局</x:v>
      </x:c>
      <x:c r="AB80" s="68" t="str">
        <x:v>M14只生成和排除格局候选。候选须综合月令、透干、格神有效力量、清纯度、日主配合与全局主导性；候选成立不等于M15最终成格。</x:v>
      </x:c>
      <x:c r="AC80" s="68" t="str">
        <x:v>月令与格神有效性共同支持“格局候选排序”，且没有决定性否决条件。</x:v>
      </x:c>
      <x:c r="AD80" s="90" t="str">
        <x:v>仅见相关十神或五行出现，但月令、格神有效性或全局主导性不成立，不能直接列“格局候选排序”。</x:v>
      </x:c>
      <x:c r="AE80" s="68" t="str">
        <x:v>https://zh.wikisource.org/zh-hans/%E6%B7%B5%E6%B5%B7%E5%AD%90%E5%B9%B3 ; https://zh.wikisource.org/wiki/%E6%BB%B4%E5%A4%A9%E9%AB%93%E9%97%A1%E5%BE%AE</x:v>
      </x:c>
      <x:c r="AF80" s="82" t="str">
        <x:v>采用</x:v>
      </x:c>
      <x:c r="AG80" s="82" t="str">
        <x:v>初审</x:v>
      </x:c>
      <x:c r="AH80" s="87" t="n">
        <x:v>46260</x:v>
      </x:c>
    </x:row>
    <x:row r="81">
      <x:c r="A81" s="72" t="str">
        <x:f>IF(OR(C81="",D81=""),"",B81&amp;"-"&amp;UPPER(C81)&amp;"-"&amp;TEXT(D81,"0000")&amp;"-"&amp;E81)</x:f>
        <x:v>M14-RANK-0075-V1.0</x:v>
      </x:c>
      <x:c r="B81" s="74" t="str">
        <x:v>M14</x:v>
      </x:c>
      <x:c r="C81" s="74" t="str">
        <x:v>RANK</x:v>
      </x:c>
      <x:c r="D81" s="215" t="n">
        <x:v>75</x:v>
      </x:c>
      <x:c r="E81" s="74" t="str">
        <x:v>V1.0</x:v>
      </x:c>
      <x:c r="F81" s="68" t="str">
        <x:v>主候选与替代候选都必须保留排除理由</x:v>
      </x:c>
      <x:c r="G81" s="82" t="str">
        <x:v>综合层</x:v>
      </x:c>
      <x:c r="H81" s="82" t="str">
        <x:v>普通格局</x:v>
      </x:c>
      <x:c r="I81" s="68" t="str">
        <x:v>格局候选排序</x:v>
      </x:c>
      <x:c r="J81" s="68" t="str">
        <x:v>待核查月令主气、中气与全局主势</x:v>
      </x:c>
      <x:c r="K81" s="68" t="str">
        <x:v>透干可增强候选，但不作为所有格局的绝对唯一条件</x:v>
      </x:c>
      <x:c r="L81" s="82" t="str">
        <x:v>待定</x:v>
      </x:c>
      <x:c r="M81" s="68" t="str">
        <x:v>待定</x:v>
      </x:c>
      <x:c r="N81" s="68" t="str">
        <x:v>待定</x:v>
      </x:c>
      <x:c r="O81" s="68" t="str">
        <x:v>结合M09日主旺衰与承载判断</x:v>
      </x:c>
      <x:c r="P81" s="68" t="str">
        <x:v>存在两个以上候选且证据接近</x:v>
      </x:c>
      <x:c r="Q81" s="68" t="str">
        <x:v>不适用</x:v>
      </x:c>
      <x:c r="R81" s="68" t="str">
        <x:v>格神得令、有根、透达、清纯，并得到有效生扶或制化配合</x:v>
      </x:c>
      <x:c r="S81" s="68" t="str">
        <x:v>存在更强月令主气、格神功能被替代或全局主势明显转向其他结构</x:v>
      </x:c>
      <x:c r="T81" s="90" t="str">
        <x:v>格神失效、无真实功能，或候选只由单一表面十神名称产生</x:v>
      </x:c>
      <x:c r="U81" s="68" t="str">
        <x:v>特殊格局、建禄羊刃及明确从化结构另用专门规则</x:v>
      </x:c>
      <x:c r="V81" s="82" t="str">
        <x:v>待定</x:v>
      </x:c>
      <x:c r="W81" s="68" t="str">
        <x:v>并列候选</x:v>
      </x:c>
      <x:c r="X81" s="84" t="str">
        <x:v>候选排序_并列保留</x:v>
      </x:c>
      <x:c r="Y81" s="84" t="str">
        <x:v>证据接近时保留第一候选、第二候选及各自支持/反向证据，不得强行唯一化。</x:v>
      </x:c>
      <x:c r="Z81" s="82" t="str">
        <x:v>中等</x:v>
      </x:c>
      <x:c r="AA81" s="82" t="str">
        <x:v>子平格局</x:v>
      </x:c>
      <x:c r="AB81" s="68" t="str">
        <x:v>M14只生成和排除格局候选。候选须综合月令、透干、格神有效力量、清纯度、日主配合与全局主导性；候选成立不等于M15最终成格。</x:v>
      </x:c>
      <x:c r="AC81" s="68" t="str">
        <x:v>月令与格神有效性共同支持“格局候选排序”，且没有决定性否决条件。</x:v>
      </x:c>
      <x:c r="AD81" s="90" t="str">
        <x:v>仅见相关十神或五行出现，但月令、格神有效性或全局主导性不成立，不能直接列“格局候选排序”。</x:v>
      </x:c>
      <x:c r="AE81" s="68" t="str">
        <x:v>https://zh.wikisource.org/zh-hans/%E6%B7%B5%E6%B5%B7%E5%AD%90%E5%B9%B3 ; https://zh.wikisource.org/wiki/%E6%BB%B4%E5%A4%A9%E9%AB%93%E9%97%A1%E5%BE%AE</x:v>
      </x:c>
      <x:c r="AF81" s="82" t="str">
        <x:v>采用</x:v>
      </x:c>
      <x:c r="AG81" s="82" t="str">
        <x:v>初审</x:v>
      </x:c>
      <x:c r="AH81" s="87" t="n">
        <x:v>46260</x:v>
      </x:c>
    </x:row>
    <x:row r="82">
      <x:c r="A82" s="72" t="str">
        <x:f>IF(OR(C82="",D82=""),"",B82&amp;"-"&amp;UPPER(C82)&amp;"-"&amp;TEXT(D82,"0000")&amp;"-"&amp;E82)</x:f>
        <x:v>M14-RANK-0076-V1.0</x:v>
      </x:c>
      <x:c r="B82" s="74" t="str">
        <x:v>M14</x:v>
      </x:c>
      <x:c r="C82" s="74" t="str">
        <x:v>RANK</x:v>
      </x:c>
      <x:c r="D82" s="215" t="n">
        <x:v>76</x:v>
      </x:c>
      <x:c r="E82" s="74" t="str">
        <x:v>V1.0</x:v>
      </x:c>
      <x:c r="F82" s="68" t="str">
        <x:v>M14最终最多输出一至三个核心候选</x:v>
      </x:c>
      <x:c r="G82" s="82" t="str">
        <x:v>综合层</x:v>
      </x:c>
      <x:c r="H82" s="82" t="str">
        <x:v>普通格局</x:v>
      </x:c>
      <x:c r="I82" s="68" t="str">
        <x:v>格局候选排序</x:v>
      </x:c>
      <x:c r="J82" s="68" t="str">
        <x:v>待核查月令主气、中气与全局主势</x:v>
      </x:c>
      <x:c r="K82" s="68" t="str">
        <x:v>透干可增强候选，但不作为所有格局的绝对唯一条件</x:v>
      </x:c>
      <x:c r="L82" s="82" t="str">
        <x:v>待定</x:v>
      </x:c>
      <x:c r="M82" s="68" t="str">
        <x:v>待定</x:v>
      </x:c>
      <x:c r="N82" s="68" t="str">
        <x:v>待定</x:v>
      </x:c>
      <x:c r="O82" s="68" t="str">
        <x:v>结合M09日主旺衰与承载判断</x:v>
      </x:c>
      <x:c r="P82" s="68" t="str">
        <x:v>完成全部候选生成、排除与排序</x:v>
      </x:c>
      <x:c r="Q82" s="68" t="str">
        <x:v>不适用</x:v>
      </x:c>
      <x:c r="R82" s="68" t="str">
        <x:v>格神得令、有根、透达、清纯，并得到有效生扶或制化配合</x:v>
      </x:c>
      <x:c r="S82" s="68" t="str">
        <x:v>存在更强月令主气、格神功能被替代或全局主势明显转向其他结构</x:v>
      </x:c>
      <x:c r="T82" s="90" t="str">
        <x:v>格神失效、无真实功能，或候选只由单一表面十神名称产生</x:v>
      </x:c>
      <x:c r="U82" s="68" t="str">
        <x:v>特殊格局、建禄羊刃及明确从化结构另用专门规则</x:v>
      </x:c>
      <x:c r="V82" s="82" t="str">
        <x:v>待定</x:v>
      </x:c>
      <x:c r="W82" s="68" t="str">
        <x:v>其他被排除候选</x:v>
      </x:c>
      <x:c r="X82" s="84" t="str">
        <x:v>M14候选输出</x:v>
      </x:c>
      <x:c r="Y82" s="84" t="str">
        <x:v>M14最终输出1—3个核心候选：候选名称、类别、月令依据、格神有效性、日主配合、增强、排除、替代候选、状态与置信度。</x:v>
      </x:c>
      <x:c r="Z82" s="82" t="str">
        <x:v>较高</x:v>
      </x:c>
      <x:c r="AA82" s="82" t="str">
        <x:v>子平格局</x:v>
      </x:c>
      <x:c r="AB82" s="68" t="str">
        <x:v>M14只生成和排除格局候选。候选须综合月令、透干、格神有效力量、清纯度、日主配合与全局主导性；候选成立不等于M15最终成格。</x:v>
      </x:c>
      <x:c r="AC82" s="68" t="str">
        <x:v>月令与格神有效性共同支持“格局候选排序”，且没有决定性否决条件。</x:v>
      </x:c>
      <x:c r="AD82" s="90" t="str">
        <x:v>仅见相关十神或五行出现，但月令、格神有效性或全局主导性不成立，不能直接列“格局候选排序”。</x:v>
      </x:c>
      <x:c r="AE82" s="68" t="str">
        <x:v>https://zh.wikisource.org/zh-hans/%E6%B7%B5%E6%B5%B7%E5%AD%90%E5%B9%B3 ; https://zh.wikisource.org/wiki/%E6%BB%B4%E5%A4%A9%E9%AB%93%E9%97%A1%E5%BE%AE</x:v>
      </x:c>
      <x:c r="AF82" s="82" t="str">
        <x:v>采用</x:v>
      </x:c>
      <x:c r="AG82" s="82" t="str">
        <x:v>初审</x:v>
      </x:c>
      <x:c r="AH82" s="87" t="n">
        <x:v>46260</x:v>
      </x:c>
    </x:row>
    <x:row r="83">
      <x:c r="A83" s="72" t="str">
        <x:f>IF(OR(C83="",D83=""),"",B83&amp;"-"&amp;UPPER(C83)&amp;"-"&amp;TEXT(D83,"0000")&amp;"-"&amp;E83)</x:f>
        <x:v>M14-BOUND-0077-V1.0</x:v>
      </x:c>
      <x:c r="B83" s="74" t="str">
        <x:v>M14</x:v>
      </x:c>
      <x:c r="C83" s="74" t="str">
        <x:v>BOUND</x:v>
      </x:c>
      <x:c r="D83" s="215" t="n">
        <x:v>77</x:v>
      </x:c>
      <x:c r="E83" s="74" t="str">
        <x:v>V1.0</x:v>
      </x:c>
      <x:c r="F83" s="68" t="str">
        <x:v>候选状态不等于最终成格</x:v>
      </x:c>
      <x:c r="G83" s="82" t="str">
        <x:v>综合层</x:v>
      </x:c>
      <x:c r="H83" s="82" t="str">
        <x:v>其他</x:v>
      </x:c>
      <x:c r="I83" s="68" t="str">
        <x:v>格局判断边界</x:v>
      </x:c>
      <x:c r="J83" s="68" t="str">
        <x:v>待核查月令主气、中气与全局主势</x:v>
      </x:c>
      <x:c r="K83" s="68" t="str">
        <x:v>透干可增强候选，但不作为所有格局的绝对唯一条件</x:v>
      </x:c>
      <x:c r="L83" s="82" t="str">
        <x:v>待定</x:v>
      </x:c>
      <x:c r="M83" s="68" t="str">
        <x:v>待定</x:v>
      </x:c>
      <x:c r="N83" s="68" t="str">
        <x:v>待定</x:v>
      </x:c>
      <x:c r="O83" s="68" t="str">
        <x:v>结合M09日主旺衰与承载判断</x:v>
      </x:c>
      <x:c r="P83" s="68" t="str">
        <x:v>M14某候选达到候选或基本成立</x:v>
      </x:c>
      <x:c r="Q83" s="68" t="str">
        <x:v>不适用</x:v>
      </x:c>
      <x:c r="R83" s="68" t="str">
        <x:v>格神得令、有根、透达、清纯，并得到有效生扶或制化配合</x:v>
      </x:c>
      <x:c r="S83" s="68" t="str">
        <x:v>存在更强月令主气、格神功能被替代或全局主势明显转向其他结构</x:v>
      </x:c>
      <x:c r="T83" s="90" t="str">
        <x:v>格神失效、无真实功能，或候选只由单一表面十神名称产生</x:v>
      </x:c>
      <x:c r="U83" s="68" t="str">
        <x:v>特殊格局、建禄羊刃及明确从化结构另用专门规则</x:v>
      </x:c>
      <x:c r="V83" s="82" t="str">
        <x:v>候选</x:v>
      </x:c>
      <x:c r="W83" s="68" t="str">
        <x:v>转M15</x:v>
      </x:c>
      <x:c r="X83" s="84" t="str">
        <x:v>候选成格分离</x:v>
      </x:c>
      <x:c r="Y83" s="84" t="str">
        <x:v>M14只说明值得进入M15审查；不得直接写成最终格局、清纯成立或层次高低。</x:v>
      </x:c>
      <x:c r="Z83" s="82" t="str">
        <x:v>较高</x:v>
      </x:c>
      <x:c r="AA83" s="82" t="str">
        <x:v>子平格局</x:v>
      </x:c>
      <x:c r="AB83" s="68" t="str">
        <x:v>M14只生成和排除格局候选。候选须综合月令、透干、格神有效力量、清纯度、日主配合与全局主导性；候选成立不等于M15最终成格。</x:v>
      </x:c>
      <x:c r="AC83" s="68" t="str">
        <x:v>月令与格神有效性共同支持“格局判断边界”，且没有决定性否决条件。</x:v>
      </x:c>
      <x:c r="AD83" s="90" t="str">
        <x:v>仅见相关十神或五行出现，但月令、格神有效性或全局主导性不成立，不能直接列“格局判断边界”。</x:v>
      </x:c>
      <x:c r="AE83" s="68" t="str">
        <x:v>https://zh.wikisource.org/zh-hans/%E6%B7%B5%E6%B5%B7%E5%AD%90%E5%B9%B3 ; https://zh.wikisource.org/wiki/%E6%BB%B4%E5%A4%A9%E9%AB%93%E9%97%A1%E5%BE%AE</x:v>
      </x:c>
      <x:c r="AF83" s="82" t="str">
        <x:v>采用</x:v>
      </x:c>
      <x:c r="AG83" s="82" t="str">
        <x:v>初审</x:v>
      </x:c>
      <x:c r="AH83" s="87" t="n">
        <x:v>46260</x:v>
      </x:c>
    </x:row>
    <x:row r="84">
      <x:c r="A84" s="72" t="str">
        <x:f>IF(OR(C84="",D84=""),"",B84&amp;"-"&amp;UPPER(C84)&amp;"-"&amp;TEXT(D84,"0000")&amp;"-"&amp;E84)</x:f>
        <x:v>M14-BOUND-0078-V1.0</x:v>
      </x:c>
      <x:c r="B84" s="74" t="str">
        <x:v>M14</x:v>
      </x:c>
      <x:c r="C84" s="74" t="str">
        <x:v>BOUND</x:v>
      </x:c>
      <x:c r="D84" s="215" t="n">
        <x:v>78</x:v>
      </x:c>
      <x:c r="E84" s="74" t="str">
        <x:v>V1.0</x:v>
      </x:c>
      <x:c r="F84" s="68" t="str">
        <x:v>不能只凭月令一个字机械定格</x:v>
      </x:c>
      <x:c r="G84" s="82" t="str">
        <x:v>综合层</x:v>
      </x:c>
      <x:c r="H84" s="82" t="str">
        <x:v>其他</x:v>
      </x:c>
      <x:c r="I84" s="68" t="str">
        <x:v>格局判断边界</x:v>
      </x:c>
      <x:c r="J84" s="68" t="str">
        <x:v>月令提供重要候选来源</x:v>
      </x:c>
      <x:c r="K84" s="68" t="str">
        <x:v>透干可增强候选，但不作为所有格局的绝对唯一条件</x:v>
      </x:c>
      <x:c r="L84" s="82" t="str">
        <x:v>待定</x:v>
      </x:c>
      <x:c r="M84" s="68" t="str">
        <x:v>待定</x:v>
      </x:c>
      <x:c r="N84" s="68" t="str">
        <x:v>待定</x:v>
      </x:c>
      <x:c r="O84" s="68" t="str">
        <x:v>结合M09日主旺衰与承载判断</x:v>
      </x:c>
      <x:c r="P84" s="68" t="str">
        <x:v>仍需格神有效性、透干根气、日主配合和全局主导性</x:v>
      </x:c>
      <x:c r="Q84" s="68" t="str">
        <x:v>不适用</x:v>
      </x:c>
      <x:c r="R84" s="68" t="str">
        <x:v>格神得令、有根、透达、清纯，并得到有效生扶或制化配合</x:v>
      </x:c>
      <x:c r="S84" s="68" t="str">
        <x:v>存在更强月令主气、格神功能被替代或全局主势明显转向其他结构</x:v>
      </x:c>
      <x:c r="T84" s="90" t="str">
        <x:v>仅凭月支藏干标签直接定格</x:v>
      </x:c>
      <x:c r="U84" s="68" t="str">
        <x:v>特殊格局、建禄羊刃及明确从化结构另用专门规则</x:v>
      </x:c>
      <x:c r="V84" s="82" t="str">
        <x:v>不成立</x:v>
      </x:c>
      <x:c r="W84" s="68" t="str">
        <x:v>重新生成候选</x:v>
      </x:c>
      <x:c r="X84" s="84" t="str">
        <x:v>禁止月令一字定格</x:v>
      </x:c>
      <x:c r="Y84" s="84" t="str">
        <x:v>格局判断边界列为“不成立”：主要依据为月令与格神有效性；仍需M15检验成格、破格、救应与层次。</x:v>
      </x:c>
      <x:c r="Z84" s="82" t="str">
        <x:v>较高</x:v>
      </x:c>
      <x:c r="AA84" s="82" t="str">
        <x:v>子平格局</x:v>
      </x:c>
      <x:c r="AB84" s="68" t="str">
        <x:v>M14只生成和排除格局候选。候选须综合月令、透干、格神有效力量、清纯度、日主配合与全局主导性；候选成立不等于M15最终成格。</x:v>
      </x:c>
      <x:c r="AC84" s="68" t="str">
        <x:v>月令与格神有效性共同支持“格局判断边界”，且没有决定性否决条件。</x:v>
      </x:c>
      <x:c r="AD84" s="90" t="str">
        <x:v>仅见相关十神或五行出现，但月令、格神有效性或全局主导性不成立，不能直接列“格局判断边界”。</x:v>
      </x:c>
      <x:c r="AE84" s="68" t="str">
        <x:v>https://zh.wikisource.org/zh-hans/%E6%B7%B5%E6%B5%B7%E5%AD%90%E5%B9%B3 ; https://zh.wikisource.org/wiki/%E6%BB%B4%E5%A4%A9%E9%AB%93%E9%97%A1%E5%BE%AE</x:v>
      </x:c>
      <x:c r="AF84" s="82" t="str">
        <x:v>采用</x:v>
      </x:c>
      <x:c r="AG84" s="82" t="str">
        <x:v>初审</x:v>
      </x:c>
      <x:c r="AH84" s="87" t="n">
        <x:v>46260</x:v>
      </x:c>
    </x:row>
    <x:row r="85">
      <x:c r="A85" s="72" t="str">
        <x:f>IF(OR(C85="",D85=""),"",B85&amp;"-"&amp;UPPER(C85)&amp;"-"&amp;TEXT(D85,"0000")&amp;"-"&amp;E85)</x:f>
        <x:v>M14-BOUND-0079-V1.0</x:v>
      </x:c>
      <x:c r="B85" s="74" t="str">
        <x:v>M14</x:v>
      </x:c>
      <x:c r="C85" s="74" t="str">
        <x:v>BOUND</x:v>
      </x:c>
      <x:c r="D85" s="215" t="n">
        <x:v>79</x:v>
      </x:c>
      <x:c r="E85" s="74" t="str">
        <x:v>V1.0</x:v>
      </x:c>
      <x:c r="F85" s="68" t="str">
        <x:v>格局候选不能直接推出富贵贫贱或具体事件</x:v>
      </x:c>
      <x:c r="G85" s="82" t="str">
        <x:v>综合层</x:v>
      </x:c>
      <x:c r="H85" s="82" t="str">
        <x:v>其他</x:v>
      </x:c>
      <x:c r="I85" s="68" t="str">
        <x:v>格局判断边界</x:v>
      </x:c>
      <x:c r="J85" s="68" t="str">
        <x:v>待核查月令主气、中气与全局主势</x:v>
      </x:c>
      <x:c r="K85" s="68" t="str">
        <x:v>透干可增强候选，但不作为所有格局的绝对唯一条件</x:v>
      </x:c>
      <x:c r="L85" s="82" t="str">
        <x:v>待定</x:v>
      </x:c>
      <x:c r="M85" s="68" t="str">
        <x:v>待定</x:v>
      </x:c>
      <x:c r="N85" s="68" t="str">
        <x:v>待定</x:v>
      </x:c>
      <x:c r="O85" s="68" t="str">
        <x:v>结合M09日主旺衰与承载判断</x:v>
      </x:c>
      <x:c r="P85" s="68" t="str">
        <x:v>格局候选已经确定</x:v>
      </x:c>
      <x:c r="Q85" s="68" t="str">
        <x:v>不适用</x:v>
      </x:c>
      <x:c r="R85" s="68" t="str">
        <x:v>格神得令、有根、透达、清纯，并得到有效生扶或制化配合</x:v>
      </x:c>
      <x:c r="S85" s="68" t="str">
        <x:v>存在更强月令主气、格神功能被替代或全局主势明显转向其他结构</x:v>
      </x:c>
      <x:c r="T85" s="90" t="str">
        <x:v>格神失效、无真实功能，或候选只由单一表面十神名称产生</x:v>
      </x:c>
      <x:c r="U85" s="68" t="str">
        <x:v>特殊格局、建禄羊刃及明确从化结构另用专门规则</x:v>
      </x:c>
      <x:c r="V85" s="82" t="str">
        <x:v>待定</x:v>
      </x:c>
      <x:c r="W85" s="68" t="str">
        <x:v>上层模型</x:v>
      </x:c>
      <x:c r="X85" s="84" t="str">
        <x:v>格局事件边界</x:v>
      </x:c>
      <x:c r="Y85" s="84" t="str">
        <x:v>格局候选仅为结构分类，不直接推出财富、职位、婚姻、健康或具体人生事件。</x:v>
      </x:c>
      <x:c r="Z85" s="82" t="str">
        <x:v>较高</x:v>
      </x:c>
      <x:c r="AA85" s="82" t="str">
        <x:v>子平格局</x:v>
      </x:c>
      <x:c r="AB85" s="68" t="str">
        <x:v>M14只生成和排除格局候选。候选须综合月令、透干、格神有效力量、清纯度、日主配合与全局主导性；候选成立不等于M15最终成格。</x:v>
      </x:c>
      <x:c r="AC85" s="68" t="str">
        <x:v>月令与格神有效性共同支持“格局判断边界”，且没有决定性否决条件。</x:v>
      </x:c>
      <x:c r="AD85" s="90" t="str">
        <x:v>仅见相关十神或五行出现，但月令、格神有效性或全局主导性不成立，不能直接列“格局判断边界”。</x:v>
      </x:c>
      <x:c r="AE85" s="68" t="str">
        <x:v>https://zh.wikisource.org/zh-hans/%E6%B7%B5%E6%B5%B7%E5%AD%90%E5%B9%B3 ; https://zh.wikisource.org/wiki/%E6%BB%B4%E5%A4%A9%E9%AB%93%E9%97%A1%E5%BE%AE</x:v>
      </x:c>
      <x:c r="AF85" s="82" t="str">
        <x:v>采用</x:v>
      </x:c>
      <x:c r="AG85" s="82" t="str">
        <x:v>初审</x:v>
      </x:c>
      <x:c r="AH85" s="87" t="n">
        <x:v>46260</x:v>
      </x:c>
    </x:row>
    <x:row r="86">
      <x:c r="A86" s="72" t="str">
        <x:f>IF(OR(C86="",D86=""),"",B86&amp;"-"&amp;UPPER(C86)&amp;"-"&amp;TEXT(D86,"0000")&amp;"-"&amp;E86)</x:f>
        <x:v>M14-BOUND-0080-V1.0</x:v>
      </x:c>
      <x:c r="B86" s="74" t="str">
        <x:v>M14</x:v>
      </x:c>
      <x:c r="C86" s="74" t="str">
        <x:v>BOUND</x:v>
      </x:c>
      <x:c r="D86" s="215" t="n">
        <x:v>80</x:v>
      </x:c>
      <x:c r="E86" s="74" t="str">
        <x:v>V1.0</x:v>
      </x:c>
      <x:c r="F86" s="68" t="str">
        <x:v>原局候选与岁运成格必须分开</x:v>
      </x:c>
      <x:c r="G86" s="82" t="str">
        <x:v>综合层</x:v>
      </x:c>
      <x:c r="H86" s="82" t="str">
        <x:v>其他</x:v>
      </x:c>
      <x:c r="I86" s="68" t="str">
        <x:v>格局判断边界</x:v>
      </x:c>
      <x:c r="J86" s="68" t="str">
        <x:v>待核查月令主气、中气与全局主势</x:v>
      </x:c>
      <x:c r="K86" s="68" t="str">
        <x:v>透干可增强候选，但不作为所有格局的绝对唯一条件</x:v>
      </x:c>
      <x:c r="L86" s="82" t="str">
        <x:v>待定</x:v>
      </x:c>
      <x:c r="M86" s="68" t="str">
        <x:v>待定</x:v>
      </x:c>
      <x:c r="N86" s="68" t="str">
        <x:v>待定</x:v>
      </x:c>
      <x:c r="O86" s="68" t="str">
        <x:v>结合M09日主旺衰与承载判断</x:v>
      </x:c>
      <x:c r="P86" s="68" t="str">
        <x:v>原局缺少关键格神、清化或严格条件，但未来岁运可能补足</x:v>
      </x:c>
      <x:c r="Q86" s="68" t="str">
        <x:v>不适用</x:v>
      </x:c>
      <x:c r="R86" s="68" t="str">
        <x:v>格神得令、有根、透达、清纯，并得到有效生扶或制化配合</x:v>
      </x:c>
      <x:c r="S86" s="68" t="str">
        <x:v>存在更强月令主气、格神功能被替代或全局主势明显转向其他结构</x:v>
      </x:c>
      <x:c r="T86" s="90" t="str">
        <x:v>格神失效、无真实功能，或候选只由单一表面十神名称产生</x:v>
      </x:c>
      <x:c r="U86" s="68" t="str">
        <x:v>岁运补成由动态作用引擎判断</x:v>
      </x:c>
      <x:c r="V86" s="82" t="str">
        <x:v>不成立</x:v>
      </x:c>
      <x:c r="W86" s="68" t="str">
        <x:v>岁运触发候选</x:v>
      </x:c>
      <x:c r="X86" s="84" t="str">
        <x:v>格局静动态边界</x:v>
      </x:c>
      <x:c r="Y86" s="84" t="str">
        <x:v>原局未满足候选门槛时不得用未来岁运提前认定原局成格。</x:v>
      </x:c>
      <x:c r="Z86" s="82" t="str">
        <x:v>较高</x:v>
      </x:c>
      <x:c r="AA86" s="82" t="str">
        <x:v>子平格局</x:v>
      </x:c>
      <x:c r="AB86" s="68" t="str">
        <x:v>M14只生成和排除格局候选。候选须综合月令、透干、格神有效力量、清纯度、日主配合与全局主导性；候选成立不等于M15最终成格。</x:v>
      </x:c>
      <x:c r="AC86" s="68" t="str">
        <x:v>月令与格神有效性共同支持“格局判断边界”，且没有决定性否决条件。</x:v>
      </x:c>
      <x:c r="AD86" s="90" t="str">
        <x:v>仅见相关十神或五行出现，但月令、格神有效性或全局主导性不成立，不能直接列“格局判断边界”。</x:v>
      </x:c>
      <x:c r="AE86" s="68" t="str">
        <x:v>https://zh.wikisource.org/zh-hans/%E6%B7%B5%E6%B5%B7%E5%AD%90%E5%B9%B3 ; https://zh.wikisource.org/wiki/%E6%BB%B4%E5%A4%A9%E9%AB%93%E9%97%A1%E5%BE%AE</x:v>
      </x:c>
      <x:c r="AF86" s="82" t="str">
        <x:v>采用</x:v>
      </x:c>
      <x:c r="AG86" s="82" t="str">
        <x:v>初审</x:v>
      </x:c>
      <x:c r="AH86" s="87" t="n">
        <x:v>46260</x:v>
      </x:c>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 type="list" sqref="E6:E130">
      <x:formula1>'99_下拉选项'!$BG$4:$BG$14</x:formula1>
    </x:dataValidation>
    <x:dataValidation type="list" sqref="E7:E105">
      <x:formula1>'99_下拉选项'!$BG$4:$BG$22</x:formula1>
    </x:dataValidation>
    <x:dataValidation type="list" sqref="E7:E86">
      <x:formula1>'99_下拉选项'!$BG$4:$BG$14</x:formula1>
    </x:dataValidation>
    <x:dataValidation type="list" sqref="G7:G86">
      <x:formula1>'99_下拉选项'!$F$4:$F$7</x:formula1>
    </x:dataValidation>
    <x:dataValidation type="list" sqref="H7:H86">
      <x:formula1>'99_下拉选项'!$AC$4:$AC$10</x:formula1>
    </x:dataValidation>
    <x:dataValidation type="list" sqref="L7:L86">
      <x:formula1>'99_下拉选项'!$AE$4:$AE$9</x:formula1>
    </x:dataValidation>
    <x:dataValidation type="list" sqref="V7:V86">
      <x:formula1>'99_下拉选项'!$AD$4:$AD$11</x:formula1>
    </x:dataValidation>
    <x:dataValidation type="list" sqref="Z7:Z86">
      <x:formula1>'99_下拉选项'!$Q$4:$Q$8</x:formula1>
    </x:dataValidation>
    <x:dataValidation type="list" sqref="AA7:AA86">
      <x:formula1>'99_下拉选项'!$R$4:$R$11</x:formula1>
    </x:dataValidation>
    <x:dataValidation type="list" sqref="AF7:AF86">
      <x:formula1>'99_下拉选项'!$S$4:$S$9</x:formula1>
    </x:dataValidation>
    <x:dataValidation type="list" sqref="AG7:AG86">
      <x:formula1>'99_下拉选项'!$T$4:$T$8</x:formula1>
    </x:dataValidation>
  </x:dataValidations>
  <x:pageMargins left="0.7" right="0.7" top="0.75" bottom="0.75" header="0.3" footer="0.3"/>
  <x:tableParts count="1">
    <x:tablePart xmlns:r="http://schemas.openxmlformats.org/officeDocument/2006/relationships" r:id="R425714c5f89f4ffe"/>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v>M15-GEN-0001-V1.0</x:v>
      </x:c>
      <x:c r="B7" s="74" t="str">
        <x:v>M15</x:v>
      </x:c>
      <x:c r="C7" s="74" t="str">
        <x:v>GEN</x:v>
      </x:c>
      <x:c r="D7" s="215" t="n">
        <x:v>1</x:v>
      </x:c>
      <x:c r="E7" s="74" t="str">
        <x:v>V1.0</x:v>
      </x:c>
      <x:c r="F7" s="68" t="str">
        <x:v>候选只有满足核心成格条件才进入基本成立</x:v>
      </x:c>
      <x:c r="G7" s="82" t="str">
        <x:v>综合层</x:v>
      </x:c>
      <x:c r="H7" s="68" t="str">
        <x:v>所有M14候选</x:v>
      </x:c>
      <x:c r="I7" s="68" t="str">
        <x:v>M14候选具备月令或严格结构依据，格神有效，日主配合，结构可真实运行</x:v>
      </x:c>
      <x:c r="J7" s="68" t="str">
        <x:v>月令依据、格神根气与有效力量、日主配合及M11组合证据相互支持</x:v>
      </x:c>
      <x:c r="K7" s="68" t="str">
        <x:v>无决定性破格因素</x:v>
      </x:c>
      <x:c r="L7" s="82" t="str">
        <x:v>无破</x:v>
      </x:c>
      <x:c r="M7" s="68" t="str">
        <x:v>无须救应</x:v>
      </x:c>
      <x:c r="N7" s="82" t="str">
        <x:v>无救应</x:v>
      </x:c>
      <x:c r="O7" s="84" t="str">
        <x:v>基本成立</x:v>
      </x:c>
      <x:c r="P7" s="82" t="str">
        <x:v>待定</x:v>
      </x:c>
      <x:c r="Q7" s="68" t="str">
        <x:v>达到成格最低门槛，但尚未证明清纯或高层次</x:v>
      </x:c>
      <x:c r="R7" s="68" t="str">
        <x:v>M14已生成候选；M08、M09、M10、M11相关结论可追溯</x:v>
      </x:c>
      <x:c r="S7" s="68" t="str">
        <x:v>格神与关键配合十神均以有效力量和实际功能为准</x:v>
      </x:c>
      <x:c r="T7" s="68" t="str">
        <x:v>格神得令、有根、透达、清纯，组合路径稳定且日主承载匹配</x:v>
      </x:c>
      <x:c r="U7" s="68" t="str">
        <x:v>格神受制、混杂、路径受阻、日主承载不足或救应只能局部作用</x:v>
      </x:c>
      <x:c r="V7" s="90" t="str">
        <x:v>格神失效、核心作用路径完全中断，或特殊格局硬门槛被有效反证否决</x:v>
      </x:c>
      <x:c r="W7" s="68" t="str">
        <x:v>特殊格局严格条件、流派争议及岁运补成另按专门规则处理</x:v>
      </x:c>
      <x:c r="X7" s="84" t="str">
        <x:v>格局最低成立门槛</x:v>
      </x:c>
      <x:c r="Y7" s="84" t="str">
        <x:v>所有M14候选判为“基本成立”：破格等级为“无破”，救应为“无救应”，清纯度为“待定”；层次需结合全局继续评估。</x:v>
      </x:c>
      <x:c r="Z7" s="68" t="str">
        <x:v>若“格神失效、核心作用路径完全中断，或特殊格局硬门槛被有效反证否决”成立，应降低为成立但有破或不成立，不得维持当前结论。</x:v>
      </x:c>
      <x:c r="AA7" s="82" t="str">
        <x:v>较高</x:v>
      </x:c>
      <x:c r="AB7" s="82" t="str">
        <x:v>子平格局</x:v>
      </x:c>
      <x:c r="AC7" s="68" t="str">
        <x:v>格局成败须区分：格神是否有效、结构是否能运行、是否存在破坏、救应是否直接修复破格机制，以及格局成立与层次高低。</x:v>
      </x:c>
      <x:c r="AD7" s="68" t="str">
        <x:v>当“M14候选具备月令或严格结构依据，格神有效，日主配合，结构可真实运行”成立，且成格证据相互支持、无决定性否决时，可按本规则判断。</x:v>
      </x:c>
      <x:c r="AE7" s="90" t="str">
        <x:v>只有格局名称或局部组合，但“格神失效、核心作用路径完全中断，或特殊格局硬门槛被有效反证否决”成立时，不能按本规则维持格局。</x:v>
      </x:c>
      <x:c r="AF7" s="68" t="str">
        <x:v>https://zh.wikisource.org/zh-hans/%E6%B7%B5%E6%B5%B7%E5%AD%90%E5%B9%B3 ; https://zh.wikisource.org/wiki/%E6%BB%B4%E5%A4%A9%E9%AB%93%E9%97%A1%E5%BE%AE</x:v>
      </x:c>
      <x:c r="AG7" s="82" t="str">
        <x:v>采用</x:v>
      </x:c>
      <x:c r="AH7" s="82" t="str">
        <x:v>初审</x:v>
      </x:c>
      <x:c r="AI7" s="87" t="n">
        <x:v>46260</x:v>
      </x:c>
    </x:row>
    <x:row r="8">
      <x:c r="A8" s="72" t="str">
        <x:f>IF(OR(C8="",D8=""),"",B8&amp;"-"&amp;UPPER(C8)&amp;"-"&amp;TEXT(D8,"0000")&amp;"-"&amp;E8)</x:f>
        <x:v>M15-GEN-0002-V1.0</x:v>
      </x:c>
      <x:c r="B8" s="74" t="str">
        <x:v>M15</x:v>
      </x:c>
      <x:c r="C8" s="74" t="str">
        <x:v>GEN</x:v>
      </x:c>
      <x:c r="D8" s="215" t="n">
        <x:v>2</x:v>
      </x:c>
      <x:c r="E8" s="74" t="str">
        <x:v>V1.0</x:v>
      </x:c>
      <x:c r="F8" s="68" t="str">
        <x:v>格神清纯且无实质破坏可判清纯成立</x:v>
      </x:c>
      <x:c r="G8" s="82" t="str">
        <x:v>综合层</x:v>
      </x:c>
      <x:c r="H8" s="68" t="str">
        <x:v>所有M14候选</x:v>
      </x:c>
      <x:c r="I8" s="68" t="str">
        <x:v>格神得令有根、功能主导，关键配合完整，未发现实际破格因素</x:v>
      </x:c>
      <x:c r="J8" s="68" t="str">
        <x:v>月令依据、格神根气与有效力量、日主配合及M11组合证据相互支持</x:v>
      </x:c>
      <x:c r="K8" s="68" t="str">
        <x:v>无实质破格</x:v>
      </x:c>
      <x:c r="L8" s="82" t="str">
        <x:v>无破</x:v>
      </x:c>
      <x:c r="M8" s="68" t="str">
        <x:v>无须救应</x:v>
      </x:c>
      <x:c r="N8" s="82" t="str">
        <x:v>无救应</x:v>
      </x:c>
      <x:c r="O8" s="84" t="str">
        <x:v>清纯成立</x:v>
      </x:c>
      <x:c r="P8" s="82" t="str">
        <x:v>清纯</x:v>
      </x:c>
      <x:c r="Q8" s="68" t="str">
        <x:v>结构完整、主次明确、运行稳定，属于较高质量的成立状态</x:v>
      </x:c>
      <x:c r="R8" s="68" t="str">
        <x:v>M14已生成候选；M08、M09、M10、M11相关结论可追溯</x:v>
      </x:c>
      <x:c r="S8" s="68" t="str">
        <x:v>格神与关键配合十神均以有效力量和实际功能为准</x:v>
      </x:c>
      <x:c r="T8" s="68" t="str">
        <x:v>格神得令、有根、透达、清纯，组合路径稳定且日主承载匹配</x:v>
      </x:c>
      <x:c r="U8" s="68" t="str">
        <x:v>格神受制、混杂、路径受阻、日主承载不足或救应只能局部作用</x:v>
      </x:c>
      <x:c r="V8" s="90" t="str">
        <x:v>格神失效、核心作用路径完全中断，或特殊格局硬门槛被有效反证否决</x:v>
      </x:c>
      <x:c r="W8" s="68" t="str">
        <x:v>特殊格局严格条件、流派争议及岁运补成另按专门规则处理</x:v>
      </x:c>
      <x:c r="X8" s="84" t="str">
        <x:v>清纯成立</x:v>
      </x:c>
      <x:c r="Y8" s="84" t="str">
        <x:v>所有M14候选判为“清纯成立”：破格等级为“无破”，救应为“无救应”，清纯度为“清纯”；层次需结合全局继续评估。</x:v>
      </x:c>
      <x:c r="Z8" s="68" t="str">
        <x:v>若“格神失效、核心作用路径完全中断，或特殊格局硬门槛被有效反证否决”成立，应降低为成立但有破或不成立，不得维持当前结论。</x:v>
      </x:c>
      <x:c r="AA8" s="82" t="str">
        <x:v>较高</x:v>
      </x:c>
      <x:c r="AB8" s="82" t="str">
        <x:v>子平格局</x:v>
      </x:c>
      <x:c r="AC8" s="68" t="str">
        <x:v>格局成败须区分：格神是否有效、结构是否能运行、是否存在破坏、救应是否直接修复破格机制，以及格局成立与层次高低。</x:v>
      </x:c>
      <x:c r="AD8" s="68" t="str">
        <x:v>当“格神得令有根、功能主导，关键配合完整，未发现实际破格因素”成立，且成格证据相互支持、无决定性否决时，可按本规则判断。</x:v>
      </x:c>
      <x:c r="AE8" s="90" t="str">
        <x:v>只有格局名称或局部组合，但“格神失效、核心作用路径完全中断，或特殊格局硬门槛被有效反证否决”成立时，不能按本规则维持格局。</x:v>
      </x:c>
      <x:c r="AF8" s="68" t="str">
        <x:v>https://zh.wikisource.org/zh-hans/%E6%B7%B5%E6%B5%B7%E5%AD%90%E5%B9%B3 ; https://zh.wikisource.org/wiki/%E6%BB%B4%E5%A4%A9%E9%AB%93%E9%97%A1%E5%BE%AE</x:v>
      </x:c>
      <x:c r="AG8" s="82" t="str">
        <x:v>采用</x:v>
      </x:c>
      <x:c r="AH8" s="82" t="str">
        <x:v>初审</x:v>
      </x:c>
      <x:c r="AI8" s="87" t="n">
        <x:v>46260</x:v>
      </x:c>
    </x:row>
    <x:row r="9">
      <x:c r="A9" s="72" t="str">
        <x:f>IF(OR(C9="",D9=""),"",B9&amp;"-"&amp;UPPER(C9)&amp;"-"&amp;TEXT(D9,"0000")&amp;"-"&amp;E9)</x:f>
        <x:v>M15-GEN-0003-V1.0</x:v>
      </x:c>
      <x:c r="B9" s="74" t="str">
        <x:v>M15</x:v>
      </x:c>
      <x:c r="C9" s="74" t="str">
        <x:v>GEN</x:v>
      </x:c>
      <x:c r="D9" s="215" t="n">
        <x:v>3</x:v>
      </x:c>
      <x:c r="E9" s="74" t="str">
        <x:v>V1.0</x:v>
      </x:c>
      <x:c r="F9" s="68" t="str">
        <x:v>轻微破损不否决格局但降低稳定性</x:v>
      </x:c>
      <x:c r="G9" s="82" t="str">
        <x:v>综合层</x:v>
      </x:c>
      <x:c r="H9" s="68" t="str">
        <x:v>所有M14候选</x:v>
      </x:c>
      <x:c r="I9" s="68" t="str">
        <x:v>格局核心条件仍成立，破坏只影响局部节点或次级功能</x:v>
      </x:c>
      <x:c r="J9" s="68" t="str">
        <x:v>月令依据、格神根气与有效力量、日主配合及M11组合证据相互支持</x:v>
      </x:c>
      <x:c r="K9" s="68" t="str">
        <x:v>存在局部合绊、轻制、轻杂或次级通路受阻</x:v>
      </x:c>
      <x:c r="L9" s="82" t="str">
        <x:v>轻微</x:v>
      </x:c>
      <x:c r="M9" s="68" t="str">
        <x:v>无须救应</x:v>
      </x:c>
      <x:c r="N9" s="82" t="str">
        <x:v>无救应</x:v>
      </x:c>
      <x:c r="O9" s="84" t="str">
        <x:v>成立但有破</x:v>
      </x:c>
      <x:c r="P9" s="82" t="str">
        <x:v>有杂</x:v>
      </x:c>
      <x:c r="Q9" s="68" t="str">
        <x:v>格局可运行，但稳定性和清纯度低于无破结构</x:v>
      </x:c>
      <x:c r="R9" s="68" t="str">
        <x:v>M14已生成候选；M08、M09、M10、M11相关结论可追溯</x:v>
      </x:c>
      <x:c r="S9" s="68" t="str">
        <x:v>格神与关键配合十神均以有效力量和实际功能为准</x:v>
      </x:c>
      <x:c r="T9" s="68" t="str">
        <x:v>格神得令、有根、透达、清纯，组合路径稳定且日主承载匹配</x:v>
      </x:c>
      <x:c r="U9" s="68" t="str">
        <x:v>格神受制、混杂、路径受阻、日主承载不足或救应只能局部作用</x:v>
      </x:c>
      <x:c r="V9" s="90" t="str">
        <x:v>格神失效、核心作用路径完全中断，或特殊格局硬门槛被有效反证否决</x:v>
      </x:c>
      <x:c r="W9" s="68" t="str">
        <x:v>特殊格局严格条件、流派争议及岁运补成另按专门规则处理</x:v>
      </x:c>
      <x:c r="X9" s="84" t="str">
        <x:v>轻微破格</x:v>
      </x:c>
      <x:c r="Y9" s="84" t="str">
        <x:v>所有M14候选判为“成立但有破”：破格等级为“轻微”，救应为“无救应”，清纯度为“有杂”；层次需结合全局继续评估。</x:v>
      </x:c>
      <x:c r="Z9" s="68" t="str">
        <x:v>若“格神失效、核心作用路径完全中断，或特殊格局硬门槛被有效反证否决”成立，应降低为成立但有破或不成立，不得维持当前结论。</x:v>
      </x:c>
      <x:c r="AA9" s="82" t="str">
        <x:v>较高</x:v>
      </x:c>
      <x:c r="AB9" s="82" t="str">
        <x:v>子平格局</x:v>
      </x:c>
      <x:c r="AC9" s="68" t="str">
        <x:v>格局成败须区分：格神是否有效、结构是否能运行、是否存在破坏、救应是否直接修复破格机制，以及格局成立与层次高低。</x:v>
      </x:c>
      <x:c r="AD9" s="68" t="str">
        <x:v>当“格局核心条件仍成立，破坏只影响局部节点或次级功能”成立，且成格证据相互支持、无决定性否决时，可按本规则判断。</x:v>
      </x:c>
      <x:c r="AE9" s="90" t="str">
        <x:v>只有格局名称或局部组合，但“格神失效、核心作用路径完全中断，或特殊格局硬门槛被有效反证否决”成立时，不能按本规则维持格局。</x:v>
      </x:c>
      <x:c r="AF9" s="68" t="str">
        <x:v>https://zh.wikisource.org/zh-hans/%E6%B7%B5%E6%B5%B7%E5%AD%90%E5%B9%B3 ; https://zh.wikisource.org/wiki/%E6%BB%B4%E5%A4%A9%E9%AB%93%E9%97%A1%E5%BE%AE</x:v>
      </x:c>
      <x:c r="AG9" s="82" t="str">
        <x:v>采用</x:v>
      </x:c>
      <x:c r="AH9" s="82" t="str">
        <x:v>初审</x:v>
      </x:c>
      <x:c r="AI9" s="87" t="n">
        <x:v>46260</x:v>
      </x:c>
    </x:row>
    <x:row r="10">
      <x:c r="A10" s="72" t="str">
        <x:f>IF(OR(C10="",D10=""),"",B10&amp;"-"&amp;UPPER(C10)&amp;"-"&amp;TEXT(D10,"0000")&amp;"-"&amp;E10)</x:f>
        <x:v>M15-GEN-0004-V1.0</x:v>
      </x:c>
      <x:c r="B10" s="74" t="str">
        <x:v>M15</x:v>
      </x:c>
      <x:c r="C10" s="74" t="str">
        <x:v>GEN</x:v>
      </x:c>
      <x:c r="D10" s="215" t="n">
        <x:v>4</x:v>
      </x:c>
      <x:c r="E10" s="74" t="str">
        <x:v>V1.0</x:v>
      </x:c>
      <x:c r="F10" s="68" t="str">
        <x:v>一般破格会明显降低格局层次</x:v>
      </x:c>
      <x:c r="G10" s="82" t="str">
        <x:v>综合层</x:v>
      </x:c>
      <x:c r="H10" s="68" t="str">
        <x:v>所有M14候选</x:v>
      </x:c>
      <x:c r="I10" s="68" t="str">
        <x:v>格局核心仍未完全失效，但格神、关键配合或日主承载受到明显损伤</x:v>
      </x:c>
      <x:c r="J10" s="68" t="str">
        <x:v>月令依据、格神根气与有效力量、日主配合及M11组合证据相互支持</x:v>
      </x:c>
      <x:c r="K10" s="68" t="str">
        <x:v>关键节点受制、混杂、比例失衡或主路径局部中断</x:v>
      </x:c>
      <x:c r="L10" s="82" t="str">
        <x:v>一般</x:v>
      </x:c>
      <x:c r="M10" s="68" t="str">
        <x:v>无须救应</x:v>
      </x:c>
      <x:c r="N10" s="82" t="str">
        <x:v>无救应</x:v>
      </x:c>
      <x:c r="O10" s="84" t="str">
        <x:v>成立但有破</x:v>
      </x:c>
      <x:c r="P10" s="82" t="str">
        <x:v>混杂</x:v>
      </x:c>
      <x:c r="Q10" s="68" t="str">
        <x:v>格局只能部分运行，层次和可持续性明显下降</x:v>
      </x:c>
      <x:c r="R10" s="68" t="str">
        <x:v>M14已生成候选；M08、M09、M10、M11相关结论可追溯</x:v>
      </x:c>
      <x:c r="S10" s="68" t="str">
        <x:v>格神与关键配合十神均以有效力量和实际功能为准</x:v>
      </x:c>
      <x:c r="T10" s="68" t="str">
        <x:v>格神得令、有根、透达、清纯，组合路径稳定且日主承载匹配</x:v>
      </x:c>
      <x:c r="U10" s="68" t="str">
        <x:v>格神受制、混杂、路径受阻、日主承载不足或救应只能局部作用</x:v>
      </x:c>
      <x:c r="V10" s="90" t="str">
        <x:v>格神失效、核心作用路径完全中断，或特殊格局硬门槛被有效反证否决</x:v>
      </x:c>
      <x:c r="W10" s="68" t="str">
        <x:v>特殊格局严格条件、流派争议及岁运补成另按专门规则处理</x:v>
      </x:c>
      <x:c r="X10" s="84" t="str">
        <x:v>一般破格</x:v>
      </x:c>
      <x:c r="Y10" s="84" t="str">
        <x:v>所有M14候选判为“成立但有破”：破格等级为“一般”，救应为“无救应”，清纯度为“混杂”；层次需结合全局继续评估。</x:v>
      </x:c>
      <x:c r="Z10" s="68" t="str">
        <x:v>若“格神失效、核心作用路径完全中断，或特殊格局硬门槛被有效反证否决”成立，应降低为成立但有破或不成立，不得维持当前结论。</x:v>
      </x:c>
      <x:c r="AA10" s="82" t="str">
        <x:v>较高</x:v>
      </x:c>
      <x:c r="AB10" s="82" t="str">
        <x:v>子平格局</x:v>
      </x:c>
      <x:c r="AC10" s="68" t="str">
        <x:v>格局成败须区分：格神是否有效、结构是否能运行、是否存在破坏、救应是否直接修复破格机制，以及格局成立与层次高低。</x:v>
      </x:c>
      <x:c r="AD10" s="68" t="str">
        <x:v>当“格局核心仍未完全失效，但格神、关键配合或日主承载受到明显损伤”成立，且成格证据相互支持、无决定性否决时，可按本规则判断。</x:v>
      </x:c>
      <x:c r="AE10" s="90" t="str">
        <x:v>只有格局名称或局部组合，但“格神失效、核心作用路径完全中断，或特殊格局硬门槛被有效反证否决”成立时，不能按本规则维持格局。</x:v>
      </x:c>
      <x:c r="AF10" s="68" t="str">
        <x:v>https://zh.wikisource.org/zh-hans/%E6%B7%B5%E6%B5%B7%E5%AD%90%E5%B9%B3 ; https://zh.wikisource.org/wiki/%E6%BB%B4%E5%A4%A9%E9%AB%93%E9%97%A1%E5%BE%AE</x:v>
      </x:c>
      <x:c r="AG10" s="82" t="str">
        <x:v>采用</x:v>
      </x:c>
      <x:c r="AH10" s="82" t="str">
        <x:v>初审</x:v>
      </x:c>
      <x:c r="AI10" s="87" t="n">
        <x:v>46260</x:v>
      </x:c>
    </x:row>
    <x:row r="11">
      <x:c r="A11" s="72" t="str">
        <x:f>IF(OR(C11="",D11=""),"",B11&amp;"-"&amp;UPPER(C11)&amp;"-"&amp;TEXT(D11,"0000")&amp;"-"&amp;E11)</x:f>
        <x:v>M15-GEN-0005-V1.0</x:v>
      </x:c>
      <x:c r="B11" s="74" t="str">
        <x:v>M15</x:v>
      </x:c>
      <x:c r="C11" s="74" t="str">
        <x:v>GEN</x:v>
      </x:c>
      <x:c r="D11" s="215" t="n">
        <x:v>5</x:v>
      </x:c>
      <x:c r="E11" s="74" t="str">
        <x:v>V1.0</x:v>
      </x:c>
      <x:c r="F11" s="68" t="str">
        <x:v>严重破格使格局接近失去主导性</x:v>
      </x:c>
      <x:c r="G11" s="82" t="str">
        <x:v>综合层</x:v>
      </x:c>
      <x:c r="H11" s="68" t="str">
        <x:v>所有M14候选</x:v>
      </x:c>
      <x:c r="I11" s="68" t="str">
        <x:v>候选曾具成格基础，但主要格神或关键配合受到严重损伤</x:v>
      </x:c>
      <x:c r="J11" s="68" t="str">
        <x:v>月令依据、格神根气与有效力量、日主配合及M11组合证据相互支持</x:v>
      </x:c>
      <x:c r="K11" s="68" t="str">
        <x:v>格神受重制、关键用神失效、主结构被另一集团夺权</x:v>
      </x:c>
      <x:c r="L11" s="82" t="str">
        <x:v>严重</x:v>
      </x:c>
      <x:c r="M11" s="68" t="str">
        <x:v>无须救应</x:v>
      </x:c>
      <x:c r="N11" s="82" t="str">
        <x:v>无救应</x:v>
      </x:c>
      <x:c r="O11" s="84" t="str">
        <x:v>成立但有破</x:v>
      </x:c>
      <x:c r="P11" s="82" t="str">
        <x:v>严重混杂</x:v>
      </x:c>
      <x:c r="Q11" s="68" t="str">
        <x:v>仅保留残余格局功能，通常不再作为清晰主格</x:v>
      </x:c>
      <x:c r="R11" s="68" t="str">
        <x:v>M14已生成候选；M08、M09、M10、M11相关结论可追溯</x:v>
      </x:c>
      <x:c r="S11" s="68" t="str">
        <x:v>格神与关键配合十神均以有效力量和实际功能为准</x:v>
      </x:c>
      <x:c r="T11" s="68" t="str">
        <x:v>格神得令、有根、透达、清纯，组合路径稳定且日主承载匹配</x:v>
      </x:c>
      <x:c r="U11" s="68" t="str">
        <x:v>格神受制、混杂、路径受阻、日主承载不足或救应只能局部作用</x:v>
      </x:c>
      <x:c r="V11" s="90" t="str">
        <x:v>格神失效、核心作用路径完全中断，或特殊格局硬门槛被有效反证否决</x:v>
      </x:c>
      <x:c r="W11" s="68" t="str">
        <x:v>特殊格局严格条件、流派争议及岁运补成另按专门规则处理</x:v>
      </x:c>
      <x:c r="X11" s="84" t="str">
        <x:v>严重破格</x:v>
      </x:c>
      <x:c r="Y11" s="84" t="str">
        <x:v>所有M14候选判为“成立但有破”：破格等级为“严重”，救应为“无救应”，清纯度为“严重混杂”；层次需结合全局继续评估。</x:v>
      </x:c>
      <x:c r="Z11" s="68" t="str">
        <x:v>若“格神失效、核心作用路径完全中断，或特殊格局硬门槛被有效反证否决”成立，应降低为成立但有破或不成立，不得维持当前结论。</x:v>
      </x:c>
      <x:c r="AA11" s="82" t="str">
        <x:v>较高</x:v>
      </x:c>
      <x:c r="AB11" s="82" t="str">
        <x:v>子平格局</x:v>
      </x:c>
      <x:c r="AC11" s="68" t="str">
        <x:v>格局成败须区分：格神是否有效、结构是否能运行、是否存在破坏、救应是否直接修复破格机制，以及格局成立与层次高低。</x:v>
      </x:c>
      <x:c r="AD11" s="68" t="str">
        <x:v>当“候选曾具成格基础，但主要格神或关键配合受到严重损伤”成立，且成格证据相互支持、无决定性否决时，可按本规则判断。</x:v>
      </x:c>
      <x:c r="AE11" s="90" t="str">
        <x:v>只有格局名称或局部组合，但“格神失效、核心作用路径完全中断，或特殊格局硬门槛被有效反证否决”成立时，不能按本规则维持格局。</x:v>
      </x:c>
      <x:c r="AF11" s="68" t="str">
        <x:v>https://zh.wikisource.org/zh-hans/%E6%B7%B5%E6%B5%B7%E5%AD%90%E5%B9%B3 ; https://zh.wikisource.org/wiki/%E6%BB%B4%E5%A4%A9%E9%AB%93%E9%97%A1%E5%BE%AE</x:v>
      </x:c>
      <x:c r="AG11" s="82" t="str">
        <x:v>采用</x:v>
      </x:c>
      <x:c r="AH11" s="82" t="str">
        <x:v>初审</x:v>
      </x:c>
      <x:c r="AI11" s="87" t="n">
        <x:v>46260</x:v>
      </x:c>
    </x:row>
    <x:row r="12">
      <x:c r="A12" s="72" t="str">
        <x:f>IF(OR(C12="",D12=""),"",B12&amp;"-"&amp;UPPER(C12)&amp;"-"&amp;TEXT(D12,"0000")&amp;"-"&amp;E12)</x:f>
        <x:v>M15-GEN-0006-V1.0</x:v>
      </x:c>
      <x:c r="B12" s="74" t="str">
        <x:v>M15</x:v>
      </x:c>
      <x:c r="C12" s="74" t="str">
        <x:v>GEN</x:v>
      </x:c>
      <x:c r="D12" s="215" t="n">
        <x:v>6</x:v>
      </x:c>
      <x:c r="E12" s="74" t="str">
        <x:v>V1.0</x:v>
      </x:c>
      <x:c r="F12" s="68" t="str">
        <x:v>根本破格应判格局不成立</x:v>
      </x:c>
      <x:c r="G12" s="82" t="str">
        <x:v>综合层</x:v>
      </x:c>
      <x:c r="H12" s="68" t="str">
        <x:v>所有M14候选</x:v>
      </x:c>
      <x:c r="I12" s="68" t="str">
        <x:v>表面候选存在，但格神失效或核心结构不能运行</x:v>
      </x:c>
      <x:c r="J12" s="68" t="str">
        <x:v>月令依据、格神根气与有效力量、日主配合及M11组合证据相互支持</x:v>
      </x:c>
      <x:c r="K12" s="68" t="str">
        <x:v>格神被制化至失效、核心路径完全切断或特殊格局硬门槛失败</x:v>
      </x:c>
      <x:c r="L12" s="82" t="str">
        <x:v>根本破格</x:v>
      </x:c>
      <x:c r="M12" s="68" t="str">
        <x:v>无有效救应</x:v>
      </x:c>
      <x:c r="N12" s="82" t="str">
        <x:v>无救应</x:v>
      </x:c>
      <x:c r="O12" s="84" t="str">
        <x:v>不成立</x:v>
      </x:c>
      <x:c r="P12" s="82" t="str">
        <x:v>待定</x:v>
      </x:c>
      <x:c r="Q12" s="68" t="str">
        <x:v>格局名称不能成立，应返回M14替代候选</x:v>
      </x:c>
      <x:c r="R12" s="68" t="str">
        <x:v>M14已生成候选；M08、M09、M10、M11相关结论可追溯</x:v>
      </x:c>
      <x:c r="S12" s="68" t="str">
        <x:v>格神与关键配合十神均以有效力量和实际功能为准</x:v>
      </x:c>
      <x:c r="T12" s="68" t="str">
        <x:v>格神得令、有根、透达、清纯，组合路径稳定且日主承载匹配</x:v>
      </x:c>
      <x:c r="U12" s="68" t="str">
        <x:v>格神受制、混杂、路径受阻、日主承载不足或救应只能局部作用</x:v>
      </x:c>
      <x:c r="V12" s="90" t="str">
        <x:v>格神失效、核心作用路径完全中断，或特殊格局硬门槛被有效反证否决</x:v>
      </x:c>
      <x:c r="W12" s="68" t="str">
        <x:v>特殊格局严格条件、流派争议及岁运补成另按专门规则处理</x:v>
      </x:c>
      <x:c r="X12" s="84" t="str">
        <x:v>根本破格否决</x:v>
      </x:c>
      <x:c r="Y12" s="84" t="str">
        <x:v>所有M14候选判为“不成立”：破格等级为“根本破格”，救应为“无救应”，清纯度为“待定”；层次需结合全局继续评估。</x:v>
      </x:c>
      <x:c r="Z12" s="68" t="str">
        <x:v>若“格神失效、核心作用路径完全中断，或特殊格局硬门槛被有效反证否决”成立，应降低为成立但有破或不成立，不得维持当前结论。</x:v>
      </x:c>
      <x:c r="AA12" s="82" t="str">
        <x:v>较高</x:v>
      </x:c>
      <x:c r="AB12" s="82" t="str">
        <x:v>子平格局</x:v>
      </x:c>
      <x:c r="AC12" s="68" t="str">
        <x:v>格局成败须区分：格神是否有效、结构是否能运行、是否存在破坏、救应是否直接修复破格机制，以及格局成立与层次高低。</x:v>
      </x:c>
      <x:c r="AD12" s="68" t="str">
        <x:v>当“表面候选存在，但格神失效或核心结构不能运行”成立，且成格证据相互支持、无决定性否决时，可按本规则判断。</x:v>
      </x:c>
      <x:c r="AE12" s="90" t="str">
        <x:v>只有格局名称或局部组合，但“格神失效、核心作用路径完全中断，或特殊格局硬门槛被有效反证否决”成立时，不能按本规则维持格局。</x:v>
      </x:c>
      <x:c r="AF12" s="68" t="str">
        <x:v>https://zh.wikisource.org/zh-hans/%E6%B7%B5%E6%B5%B7%E5%AD%90%E5%B9%B3 ; https://zh.wikisource.org/wiki/%E6%BB%B4%E5%A4%A9%E9%AB%93%E9%97%A1%E5%BE%AE</x:v>
      </x:c>
      <x:c r="AG12" s="82" t="str">
        <x:v>采用</x:v>
      </x:c>
      <x:c r="AH12" s="82" t="str">
        <x:v>初审</x:v>
      </x:c>
      <x:c r="AI12" s="87" t="n">
        <x:v>46260</x:v>
      </x:c>
    </x:row>
    <x:row r="13">
      <x:c r="A13" s="72" t="str">
        <x:f>IF(OR(C13="",D13=""),"",B13&amp;"-"&amp;UPPER(C13)&amp;"-"&amp;TEXT(D13,"0000")&amp;"-"&amp;E13)</x:f>
        <x:v>M15-GEN-0007-V1.0</x:v>
      </x:c>
      <x:c r="B13" s="74" t="str">
        <x:v>M15</x:v>
      </x:c>
      <x:c r="C13" s="74" t="str">
        <x:v>GEN</x:v>
      </x:c>
      <x:c r="D13" s="215" t="n">
        <x:v>7</x:v>
      </x:c>
      <x:c r="E13" s="74" t="str">
        <x:v>V1.0</x:v>
      </x:c>
      <x:c r="F13" s="68" t="str">
        <x:v>救应必须直接修复破格机制</x:v>
      </x:c>
      <x:c r="G13" s="82" t="str">
        <x:v>综合层</x:v>
      </x:c>
      <x:c r="H13" s="68" t="str">
        <x:v>所有M14候选</x:v>
      </x:c>
      <x:c r="I13" s="68" t="str">
        <x:v>格局存在明确破格因素，同时出现第三力量</x:v>
      </x:c>
      <x:c r="J13" s="68" t="str">
        <x:v>第三力量与破格因素存在真实作用路径，能恢复格神或关键配合</x:v>
      </x:c>
      <x:c r="K13" s="68" t="str">
        <x:v>已有破格</x:v>
      </x:c>
      <x:c r="L13" s="82" t="str">
        <x:v>一般</x:v>
      </x:c>
      <x:c r="M13" s="68" t="str">
        <x:v>直接制去、合住、通关或重新生扶受损关键节点</x:v>
      </x:c>
      <x:c r="N13" s="82" t="str">
        <x:v>部分有效</x:v>
      </x:c>
      <x:c r="O13" s="84" t="str">
        <x:v>有破有救</x:v>
      </x:c>
      <x:c r="P13" s="82" t="str">
        <x:v>有杂</x:v>
      </x:c>
      <x:c r="Q13" s="68" t="str">
        <x:v>救应只在实际修复破格时有效，不因另有喜神而自动称救</x:v>
      </x:c>
      <x:c r="R13" s="68" t="str">
        <x:v>M14已生成候选；M08、M09、M10、M11相关结论可追溯</x:v>
      </x:c>
      <x:c r="S13" s="68" t="str">
        <x:v>格神与关键配合十神均以有效力量和实际功能为准</x:v>
      </x:c>
      <x:c r="T13" s="68" t="str">
        <x:v>格神得令、有根、透达、清纯，组合路径稳定且日主承载匹配</x:v>
      </x:c>
      <x:c r="U13" s="68" t="str">
        <x:v>格神受制、混杂、路径受阻、日主承载不足或救应只能局部作用</x:v>
      </x:c>
      <x:c r="V13" s="90" t="str">
        <x:v>格神失效、核心作用路径完全中断，或特殊格局硬门槛被有效反证否决</x:v>
      </x:c>
      <x:c r="W13" s="68" t="str">
        <x:v>特殊格局严格条件、流派争议及岁运补成另按专门规则处理</x:v>
      </x:c>
      <x:c r="X13" s="84" t="str">
        <x:v>救应直接性</x:v>
      </x:c>
      <x:c r="Y13" s="84" t="str">
        <x:v>所有M14候选判为“有破有救”：破格等级为“一般”，救应为“部分有效”，清纯度为“有杂”；层次需结合全局继续评估。</x:v>
      </x:c>
      <x:c r="Z13" s="68" t="str">
        <x:v>若“格神失效、核心作用路径完全中断，或特殊格局硬门槛被有效反证否决”成立，应降低为成立但有破或不成立，不得维持当前结论。</x:v>
      </x:c>
      <x:c r="AA13" s="82" t="str">
        <x:v>较高</x:v>
      </x:c>
      <x:c r="AB13" s="82" t="str">
        <x:v>子平格局</x:v>
      </x:c>
      <x:c r="AC13" s="68" t="str">
        <x:v>格局成败须区分：格神是否有效、结构是否能运行、是否存在破坏、救应是否直接修复破格机制，以及格局成立与层次高低。</x:v>
      </x:c>
      <x:c r="AD13" s="68" t="str">
        <x:v>当“格局存在明确破格因素，同时出现第三力量”成立，且成格证据相互支持、无决定性否决时，可按本规则判断。</x:v>
      </x:c>
      <x:c r="AE13" s="90" t="str">
        <x:v>只有格局名称或局部组合，但“格神失效、核心作用路径完全中断，或特殊格局硬门槛被有效反证否决”成立时，不能按本规则维持格局。</x:v>
      </x:c>
      <x:c r="AF13" s="68" t="str">
        <x:v>https://zh.wikisource.org/zh-hans/%E6%B7%B5%E6%B5%B7%E5%AD%90%E5%B9%B3 ; https://zh.wikisource.org/wiki/%E6%BB%B4%E5%A4%A9%E9%AB%93%E9%97%A1%E5%BE%AE</x:v>
      </x:c>
      <x:c r="AG13" s="82" t="str">
        <x:v>采用</x:v>
      </x:c>
      <x:c r="AH13" s="82" t="str">
        <x:v>初审</x:v>
      </x:c>
      <x:c r="AI13" s="87" t="n">
        <x:v>46260</x:v>
      </x:c>
    </x:row>
    <x:row r="14">
      <x:c r="A14" s="72" t="str">
        <x:f>IF(OR(C14="",D14=""),"",B14&amp;"-"&amp;UPPER(C14)&amp;"-"&amp;TEXT(D14,"0000")&amp;"-"&amp;E14)</x:f>
        <x:v>M15-GEN-0008-V1.0</x:v>
      </x:c>
      <x:c r="B14" s="74" t="str">
        <x:v>M15</x:v>
      </x:c>
      <x:c r="C14" s="74" t="str">
        <x:v>GEN</x:v>
      </x:c>
      <x:c r="D14" s="215" t="n">
        <x:v>8</x:v>
      </x:c>
      <x:c r="E14" s="74" t="str">
        <x:v>V1.0</x:v>
      </x:c>
      <x:c r="F14" s="68" t="str">
        <x:v>救应强弱决定格局恢复程度</x:v>
      </x:c>
      <x:c r="G14" s="82" t="str">
        <x:v>综合层</x:v>
      </x:c>
      <x:c r="H14" s="68" t="str">
        <x:v>所有M14候选</x:v>
      </x:c>
      <x:c r="I14" s="68" t="str">
        <x:v>破格与救应同时存在</x:v>
      </x:c>
      <x:c r="J14" s="68" t="str">
        <x:v>比较破格力量、救应力量、作用路径和持续性</x:v>
      </x:c>
      <x:c r="K14" s="68" t="str">
        <x:v>破格因素仍有剩余作用</x:v>
      </x:c>
      <x:c r="L14" s="82" t="str">
        <x:v>一般</x:v>
      </x:c>
      <x:c r="M14" s="68" t="str">
        <x:v>有效救应</x:v>
      </x:c>
      <x:c r="N14" s="82" t="str">
        <x:v>明显有效</x:v>
      </x:c>
      <x:c r="O14" s="84" t="str">
        <x:v>有破有救</x:v>
      </x:c>
      <x:c r="P14" s="82" t="str">
        <x:v>有杂</x:v>
      </x:c>
      <x:c r="Q14" s="68" t="str">
        <x:v>弱救应仅减轻破损，强救应才能恢复格局主要功能</x:v>
      </x:c>
      <x:c r="R14" s="68" t="str">
        <x:v>M14已生成候选；M08、M09、M10、M11相关结论可追溯</x:v>
      </x:c>
      <x:c r="S14" s="68" t="str">
        <x:v>格神与关键配合十神均以有效力量和实际功能为准</x:v>
      </x:c>
      <x:c r="T14" s="68" t="str">
        <x:v>格神得令、有根、透达、清纯，组合路径稳定且日主承载匹配</x:v>
      </x:c>
      <x:c r="U14" s="68" t="str">
        <x:v>格神受制、混杂、路径受阻、日主承载不足或救应只能局部作用</x:v>
      </x:c>
      <x:c r="V14" s="90" t="str">
        <x:v>格神失效、核心作用路径完全中断，或特殊格局硬门槛被有效反证否决</x:v>
      </x:c>
      <x:c r="W14" s="68" t="str">
        <x:v>特殊格局严格条件、流派争议及岁运补成另按专门规则处理</x:v>
      </x:c>
      <x:c r="X14" s="84" t="str">
        <x:v>救应强度分级</x:v>
      </x:c>
      <x:c r="Y14" s="84" t="str">
        <x:v>所有M14候选判为“有破有救”：破格等级为“一般”，救应为“明显有效”，清纯度为“有杂”；层次需结合全局继续评估。</x:v>
      </x:c>
      <x:c r="Z14" s="68" t="str">
        <x:v>若“格神失效、核心作用路径完全中断，或特殊格局硬门槛被有效反证否决”成立，应降低为成立但有破或不成立，不得维持当前结论。</x:v>
      </x:c>
      <x:c r="AA14" s="82" t="str">
        <x:v>较高</x:v>
      </x:c>
      <x:c r="AB14" s="82" t="str">
        <x:v>子平格局</x:v>
      </x:c>
      <x:c r="AC14" s="68" t="str">
        <x:v>格局成败须区分：格神是否有效、结构是否能运行、是否存在破坏、救应是否直接修复破格机制，以及格局成立与层次高低。</x:v>
      </x:c>
      <x:c r="AD14" s="68" t="str">
        <x:v>当“破格与救应同时存在”成立，且成格证据相互支持、无决定性否决时，可按本规则判断。</x:v>
      </x:c>
      <x:c r="AE14" s="90" t="str">
        <x:v>只有格局名称或局部组合，但“格神失效、核心作用路径完全中断，或特殊格局硬门槛被有效反证否决”成立时，不能按本规则维持格局。</x:v>
      </x:c>
      <x:c r="AF14" s="68" t="str">
        <x:v>https://zh.wikisource.org/zh-hans/%E6%B7%B5%E6%B5%B7%E5%AD%90%E5%B9%B3 ; https://zh.wikisource.org/wiki/%E6%BB%B4%E5%A4%A9%E9%AB%93%E9%97%A1%E5%BE%AE</x:v>
      </x:c>
      <x:c r="AG14" s="82" t="str">
        <x:v>采用</x:v>
      </x:c>
      <x:c r="AH14" s="82" t="str">
        <x:v>初审</x:v>
      </x:c>
      <x:c r="AI14" s="87" t="n">
        <x:v>46260</x:v>
      </x:c>
    </x:row>
    <x:row r="15">
      <x:c r="A15" s="72" t="str">
        <x:f>IF(OR(C15="",D15=""),"",B15&amp;"-"&amp;UPPER(C15)&amp;"-"&amp;TEXT(D15,"0000")&amp;"-"&amp;E15)</x:f>
        <x:v>M15-GEN-0009-V1.0</x:v>
      </x:c>
      <x:c r="B15" s="74" t="str">
        <x:v>M15</x:v>
      </x:c>
      <x:c r="C15" s="74" t="str">
        <x:v>GEN</x:v>
      </x:c>
      <x:c r="D15" s="215" t="n">
        <x:v>9</x:v>
      </x:c>
      <x:c r="E15" s="74" t="str">
        <x:v>V1.0</x:v>
      </x:c>
      <x:c r="F15" s="68" t="str">
        <x:v>格局成立与格局层次必须分开</x:v>
      </x:c>
      <x:c r="G15" s="82" t="str">
        <x:v>综合层</x:v>
      </x:c>
      <x:c r="H15" s="68" t="str">
        <x:v>所有M14候选</x:v>
      </x:c>
      <x:c r="I15" s="68" t="str">
        <x:v>格局达到基本成立或以上</x:v>
      </x:c>
      <x:c r="J15" s="68" t="str">
        <x:v>成格条件成立，但清纯度、制化比例、流通、调候和日主承载可能不同</x:v>
      </x:c>
      <x:c r="K15" s="68" t="str">
        <x:v>待定</x:v>
      </x:c>
      <x:c r="L15" s="82" t="str">
        <x:v>待定</x:v>
      </x:c>
      <x:c r="M15" s="68" t="str">
        <x:v>待定</x:v>
      </x:c>
      <x:c r="N15" s="82" t="str">
        <x:v>待定</x:v>
      </x:c>
      <x:c r="O15" s="84" t="str">
        <x:v>基本成立</x:v>
      </x:c>
      <x:c r="P15" s="82" t="str">
        <x:v>待定</x:v>
      </x:c>
      <x:c r="Q15" s="68" t="str">
        <x:v>成立只回答能否运行；层次回答运行质量、稳定性和副作用</x:v>
      </x:c>
      <x:c r="R15" s="68" t="str">
        <x:v>M14已生成候选；M08、M09、M10、M11相关结论可追溯</x:v>
      </x:c>
      <x:c r="S15" s="68" t="str">
        <x:v>格神与关键配合十神均以有效力量和实际功能为准</x:v>
      </x:c>
      <x:c r="T15" s="68" t="str">
        <x:v>格神得令、有根、透达、清纯，组合路径稳定且日主承载匹配</x:v>
      </x:c>
      <x:c r="U15" s="68" t="str">
        <x:v>格神受制、混杂、路径受阻、日主承载不足或救应只能局部作用</x:v>
      </x:c>
      <x:c r="V15" s="90" t="str">
        <x:v>格神失效、核心作用路径完全中断，或特殊格局硬门槛被有效反证否决</x:v>
      </x:c>
      <x:c r="W15" s="68" t="str">
        <x:v>特殊格局严格条件、流派争议及岁运补成另按专门规则处理</x:v>
      </x:c>
      <x:c r="X15" s="84" t="str">
        <x:v>成立层次分离</x:v>
      </x:c>
      <x:c r="Y15" s="84" t="str">
        <x:v>所有M14候选判为“基本成立”：破格等级为“待定”，救应为“待定”，清纯度为“待定”；层次需结合全局继续评估。</x:v>
      </x:c>
      <x:c r="Z15" s="68" t="str">
        <x:v>若“格神失效、核心作用路径完全中断，或特殊格局硬门槛被有效反证否决”成立，应降低为成立但有破或不成立，不得维持当前结论。</x:v>
      </x:c>
      <x:c r="AA15" s="82" t="str">
        <x:v>较高</x:v>
      </x:c>
      <x:c r="AB15" s="82" t="str">
        <x:v>子平格局</x:v>
      </x:c>
      <x:c r="AC15" s="68" t="str">
        <x:v>格局成败须区分：格神是否有效、结构是否能运行、是否存在破坏、救应是否直接修复破格机制，以及格局成立与层次高低。</x:v>
      </x:c>
      <x:c r="AD15" s="68" t="str">
        <x:v>当“格局达到基本成立或以上”成立，且成格证据相互支持、无决定性否决时，可按本规则判断。</x:v>
      </x:c>
      <x:c r="AE15" s="90" t="str">
        <x:v>只有格局名称或局部组合，但“格神失效、核心作用路径完全中断，或特殊格局硬门槛被有效反证否决”成立时，不能按本规则维持格局。</x:v>
      </x:c>
      <x:c r="AF15" s="68" t="str">
        <x:v>https://zh.wikisource.org/zh-hans/%E6%B7%B5%E6%B5%B7%E5%AD%90%E5%B9%B3 ; https://zh.wikisource.org/wiki/%E6%BB%B4%E5%A4%A9%E9%AB%93%E9%97%A1%E5%BE%AE</x:v>
      </x:c>
      <x:c r="AG15" s="82" t="str">
        <x:v>采用</x:v>
      </x:c>
      <x:c r="AH15" s="82" t="str">
        <x:v>初审</x:v>
      </x:c>
      <x:c r="AI15" s="87" t="n">
        <x:v>46260</x:v>
      </x:c>
    </x:row>
    <x:row r="16">
      <x:c r="A16" s="72" t="str">
        <x:f>IF(OR(C16="",D16=""),"",B16&amp;"-"&amp;UPPER(C16)&amp;"-"&amp;TEXT(D16,"0000")&amp;"-"&amp;E16)</x:f>
        <x:v>M15-GEN-0010-V1.0</x:v>
      </x:c>
      <x:c r="B16" s="74" t="str">
        <x:v>M15</x:v>
      </x:c>
      <x:c r="C16" s="74" t="str">
        <x:v>GEN</x:v>
      </x:c>
      <x:c r="D16" s="215" t="n">
        <x:v>10</x:v>
      </x:c>
      <x:c r="E16" s="74" t="str">
        <x:v>V1.0</x:v>
      </x:c>
      <x:c r="F16" s="68" t="str">
        <x:v>多个破格因素不得机械按数量叠加</x:v>
      </x:c>
      <x:c r="G16" s="82" t="str">
        <x:v>综合层</x:v>
      </x:c>
      <x:c r="H16" s="68" t="str">
        <x:v>所有M14候选</x:v>
      </x:c>
      <x:c r="I16" s="68" t="str">
        <x:v>格局同时存在两个以上破格因素</x:v>
      </x:c>
      <x:c r="J16" s="68" t="str">
        <x:v>逐项判断是否共享节点、是否相互放大、是否被同一救应修复</x:v>
      </x:c>
      <x:c r="K16" s="68" t="str">
        <x:v>多重破格因素</x:v>
      </x:c>
      <x:c r="L16" s="82" t="str">
        <x:v>待定</x:v>
      </x:c>
      <x:c r="M16" s="68" t="str">
        <x:v>可能共享救应</x:v>
      </x:c>
      <x:c r="N16" s="82" t="str">
        <x:v>待定</x:v>
      </x:c>
      <x:c r="O16" s="84" t="str">
        <x:v>待定</x:v>
      </x:c>
      <x:c r="P16" s="82" t="str">
        <x:v>待定</x:v>
      </x:c>
      <x:c r="Q16" s="68" t="str">
        <x:v>以净破坏强度和对核心结构的影响判断，不使用固定扣分</x:v>
      </x:c>
      <x:c r="R16" s="68" t="str">
        <x:v>M14已生成候选；M08、M09、M10、M11相关结论可追溯</x:v>
      </x:c>
      <x:c r="S16" s="68" t="str">
        <x:v>格神与关键配合十神均以有效力量和实际功能为准</x:v>
      </x:c>
      <x:c r="T16" s="68" t="str">
        <x:v>格神得令、有根、透达、清纯，组合路径稳定且日主承载匹配</x:v>
      </x:c>
      <x:c r="U16" s="68" t="str">
        <x:v>格神受制、混杂、路径受阻、日主承载不足或救应只能局部作用</x:v>
      </x:c>
      <x:c r="V16" s="90" t="str">
        <x:v>格神失效、核心作用路径完全中断，或特殊格局硬门槛被有效反证否决</x:v>
      </x:c>
      <x:c r="W16" s="68" t="str">
        <x:v>特殊格局严格条件、流派争议及岁运补成另按专门规则处理</x:v>
      </x:c>
      <x:c r="X16" s="84" t="str">
        <x:v>多重破格净效应</x:v>
      </x:c>
      <x:c r="Y16" s="84" t="str">
        <x:v>所有M14候选判为“待定”：破格等级为“待定”，救应为“待定”，清纯度为“待定”；层次需结合全局继续评估。</x:v>
      </x:c>
      <x:c r="Z16" s="68" t="str">
        <x:v>若“格神失效、核心作用路径完全中断，或特殊格局硬门槛被有效反证否决”成立，应降低为成立但有破或不成立，不得维持当前结论。</x:v>
      </x:c>
      <x:c r="AA16" s="82" t="str">
        <x:v>较高</x:v>
      </x:c>
      <x:c r="AB16" s="82" t="str">
        <x:v>子平格局</x:v>
      </x:c>
      <x:c r="AC16" s="68" t="str">
        <x:v>格局成败须区分：格神是否有效、结构是否能运行、是否存在破坏、救应是否直接修复破格机制，以及格局成立与层次高低。</x:v>
      </x:c>
      <x:c r="AD16" s="68" t="str">
        <x:v>当“格局同时存在两个以上破格因素”成立，且成格证据相互支持、无决定性否决时，可按本规则判断。</x:v>
      </x:c>
      <x:c r="AE16" s="90" t="str">
        <x:v>只有格局名称或局部组合，但“格神失效、核心作用路径完全中断，或特殊格局硬门槛被有效反证否决”成立时，不能按本规则维持格局。</x:v>
      </x:c>
      <x:c r="AF16" s="68" t="str">
        <x:v>https://zh.wikisource.org/zh-hans/%E6%B7%B5%E6%B5%B7%E5%AD%90%E5%B9%B3 ; https://zh.wikisource.org/wiki/%E6%BB%B4%E5%A4%A9%E9%AB%93%E9%97%A1%E5%BE%AE</x:v>
      </x:c>
      <x:c r="AG16" s="82" t="str">
        <x:v>采用</x:v>
      </x:c>
      <x:c r="AH16" s="82" t="str">
        <x:v>初审</x:v>
      </x:c>
      <x:c r="AI16" s="87" t="n">
        <x:v>46260</x:v>
      </x:c>
    </x:row>
    <x:row r="17">
      <x:c r="A17" s="72" t="str">
        <x:f>IF(OR(C17="",D17=""),"",B17&amp;"-"&amp;UPPER(C17)&amp;"-"&amp;TEXT(D17,"0000")&amp;"-"&amp;E17)</x:f>
        <x:v>M15-GUAN-0011-V1.0</x:v>
      </x:c>
      <x:c r="B17" s="74" t="str">
        <x:v>M15</x:v>
      </x:c>
      <x:c r="C17" s="74" t="str">
        <x:v>GUAN</x:v>
      </x:c>
      <x:c r="D17" s="215" t="n">
        <x:v>11</x:v>
      </x:c>
      <x:c r="E17" s="74" t="str">
        <x:v>V1.0</x:v>
      </x:c>
      <x:c r="F17" s="68" t="str">
        <x:v>正官格的基本成格条件</x:v>
      </x:c>
      <x:c r="G17" s="82" t="str">
        <x:v>综合层</x:v>
      </x:c>
      <x:c r="H17" s="68" t="str">
        <x:v>正官格候选</x:v>
      </x:c>
      <x:c r="I17" s="68" t="str">
        <x:v>正官具月令依据、有效有根，日主能承官，官星未被强伤官或混杀夺权</x:v>
      </x:c>
      <x:c r="J17" s="68" t="str">
        <x:v>官星得令透达，官印或财官路径至少一项稳定</x:v>
      </x:c>
      <x:c r="K17" s="68" t="str">
        <x:v>无决定性破格因素</x:v>
      </x:c>
      <x:c r="L17" s="82" t="str">
        <x:v>无破</x:v>
      </x:c>
      <x:c r="M17" s="68" t="str">
        <x:v>无须救应</x:v>
      </x:c>
      <x:c r="N17" s="82" t="str">
        <x:v>无救应</x:v>
      </x:c>
      <x:c r="O17" s="84" t="str">
        <x:v>基本成立</x:v>
      </x:c>
      <x:c r="P17" s="82" t="str">
        <x:v>较清</x:v>
      </x:c>
      <x:c r="Q17" s="68" t="str">
        <x:v>官星能够稳定发挥制衡功能，仍需审查财印配合与混杂</x:v>
      </x:c>
      <x:c r="R17" s="68" t="str">
        <x:v>M14已生成候选；M08、M09、M10、M11相关结论可追溯</x:v>
      </x:c>
      <x:c r="S17" s="68" t="str">
        <x:v>格神与关键配合十神均以有效力量和实际功能为准</x:v>
      </x:c>
      <x:c r="T17" s="68" t="str">
        <x:v>格神得令、有根、透达、清纯，组合路径稳定且日主承载匹配</x:v>
      </x:c>
      <x:c r="U17" s="68" t="str">
        <x:v>格神受制、混杂、路径受阻、日主承载不足或救应只能局部作用</x:v>
      </x:c>
      <x:c r="V17" s="90" t="str">
        <x:v>格神失效、核心作用路径完全中断，或特殊格局硬门槛被有效反证否决</x:v>
      </x:c>
      <x:c r="W17" s="68" t="str">
        <x:v>特殊格局严格条件、流派争议及岁运补成另按专门规则处理</x:v>
      </x:c>
      <x:c r="X17" s="84" t="str">
        <x:v>正官格候选_成败救应</x:v>
      </x:c>
      <x:c r="Y17" s="84" t="str">
        <x:v>正官格候选判为“基本成立”：破格等级为“无破”，救应为“无救应”，清纯度为“较清”；层次需结合全局继续评估。</x:v>
      </x:c>
      <x:c r="Z17" s="68" t="str">
        <x:v>若“格神失效、核心作用路径完全中断，或特殊格局硬门槛被有效反证否决”成立，应降低为成立但有破或不成立，不得维持当前结论。</x:v>
      </x:c>
      <x:c r="AA17" s="82" t="str">
        <x:v>较高</x:v>
      </x:c>
      <x:c r="AB17" s="82" t="str">
        <x:v>子平格局</x:v>
      </x:c>
      <x:c r="AC17" s="68" t="str">
        <x:v>格局成败须区分：格神是否有效、结构是否能运行、是否存在破坏、救应是否直接修复破格机制，以及格局成立与层次高低。</x:v>
      </x:c>
      <x:c r="AD17" s="68" t="str">
        <x:v>当“正官具月令依据、有效有根，日主能承官，官星未被强伤官或混杀夺权”成立，且成格证据相互支持、无决定性否决时，可按本规则判断。</x:v>
      </x:c>
      <x:c r="AE17" s="90" t="str">
        <x:v>只有格局名称或局部组合，但“格神失效、核心作用路径完全中断，或特殊格局硬门槛被有效反证否决”成立时，不能按本规则维持格局。</x:v>
      </x:c>
      <x:c r="AF17" s="68" t="str">
        <x:v>https://zh.wikisource.org/zh-hans/%E6%B7%B5%E6%B5%B7%E5%AD%90%E5%B9%B3 ; https://zh.wikisource.org/wiki/%E6%BB%B4%E5%A4%A9%E9%AB%93%E9%97%A1%E5%BE%AE</x:v>
      </x:c>
      <x:c r="AG17" s="82" t="str">
        <x:v>采用</x:v>
      </x:c>
      <x:c r="AH17" s="82" t="str">
        <x:v>初审</x:v>
      </x:c>
      <x:c r="AI17" s="87" t="n">
        <x:v>46260</x:v>
      </x:c>
    </x:row>
    <x:row r="18">
      <x:c r="A18" s="72" t="str">
        <x:f>IF(OR(C18="",D18=""),"",B18&amp;"-"&amp;UPPER(C18)&amp;"-"&amp;TEXT(D18,"0000")&amp;"-"&amp;E18)</x:f>
        <x:v>M15-GUAN-0012-V1.0</x:v>
      </x:c>
      <x:c r="B18" s="74" t="str">
        <x:v>M15</x:v>
      </x:c>
      <x:c r="C18" s="74" t="str">
        <x:v>GUAN</x:v>
      </x:c>
      <x:c r="D18" s="215" t="n">
        <x:v>12</x:v>
      </x:c>
      <x:c r="E18" s="74" t="str">
        <x:v>V1.0</x:v>
      </x:c>
      <x:c r="F18" s="68" t="str">
        <x:v>官印相生完整可判正官格清纯增强</x:v>
      </x:c>
      <x:c r="G18" s="82" t="str">
        <x:v>综合层</x:v>
      </x:c>
      <x:c r="H18" s="68" t="str">
        <x:v>正官格候选</x:v>
      </x:c>
      <x:c r="I18" s="68" t="str">
        <x:v>正官有效，印星能承官并生日主，官印链连续</x:v>
      </x:c>
      <x:c r="J18" s="68" t="str">
        <x:v>M11官印相生明显成立，官印均有根有源</x:v>
      </x:c>
      <x:c r="K18" s="68" t="str">
        <x:v>无决定性破格因素</x:v>
      </x:c>
      <x:c r="L18" s="82" t="str">
        <x:v>无破</x:v>
      </x:c>
      <x:c r="M18" s="68" t="str">
        <x:v>无须救应</x:v>
      </x:c>
      <x:c r="N18" s="82" t="str">
        <x:v>无救应</x:v>
      </x:c>
      <x:c r="O18" s="84" t="str">
        <x:v>清纯成立</x:v>
      </x:c>
      <x:c r="P18" s="82" t="str">
        <x:v>清纯</x:v>
      </x:c>
      <x:c r="Q18" s="68" t="str">
        <x:v>官有来源、印能化承，结构稳定且日主承载良好</x:v>
      </x:c>
      <x:c r="R18" s="68" t="str">
        <x:v>M14已生成候选；M08、M09、M10、M11相关结论可追溯</x:v>
      </x:c>
      <x:c r="S18" s="68" t="str">
        <x:v>格神与关键配合十神均以有效力量和实际功能为准</x:v>
      </x:c>
      <x:c r="T18" s="68" t="str">
        <x:v>格神得令、有根、透达、清纯，组合路径稳定且日主承载匹配</x:v>
      </x:c>
      <x:c r="U18" s="68" t="str">
        <x:v>格神受制、混杂、路径受阻、日主承载不足或救应只能局部作用</x:v>
      </x:c>
      <x:c r="V18" s="90" t="str">
        <x:v>格神失效、核心作用路径完全中断，或特殊格局硬门槛被有效反证否决</x:v>
      </x:c>
      <x:c r="W18" s="68" t="str">
        <x:v>特殊格局严格条件、流派争议及岁运补成另按专门规则处理</x:v>
      </x:c>
      <x:c r="X18" s="84" t="str">
        <x:v>正官格_官印清纯</x:v>
      </x:c>
      <x:c r="Y18" s="84" t="str">
        <x:v>正官格候选判为“清纯成立”：破格等级为“无破”，救应为“无救应”，清纯度为“清纯”；层次需结合全局继续评估。</x:v>
      </x:c>
      <x:c r="Z18" s="68" t="str">
        <x:v>若“格神失效、核心作用路径完全中断，或特殊格局硬门槛被有效反证否决”成立，应降低为成立但有破或不成立，不得维持当前结论。</x:v>
      </x:c>
      <x:c r="AA18" s="82" t="str">
        <x:v>较高</x:v>
      </x:c>
      <x:c r="AB18" s="82" t="str">
        <x:v>子平格局</x:v>
      </x:c>
      <x:c r="AC18" s="68" t="str">
        <x:v>格局成败须区分：格神是否有效、结构是否能运行、是否存在破坏、救应是否直接修复破格机制，以及格局成立与层次高低。</x:v>
      </x:c>
      <x:c r="AD18" s="68" t="str">
        <x:v>当“正官有效，印星能承官并生日主，官印链连续”成立，且成格证据相互支持、无决定性否决时，可按本规则判断。</x:v>
      </x:c>
      <x:c r="AE18" s="90" t="str">
        <x:v>只有格局名称或局部组合，但“格神失效、核心作用路径完全中断，或特殊格局硬门槛被有效反证否决”成立时，不能按本规则维持格局。</x:v>
      </x:c>
      <x:c r="AF18" s="68" t="str">
        <x:v>https://zh.wikisource.org/zh-hans/%E6%B7%B5%E6%B5%B7%E5%AD%90%E5%B9%B3 ; https://zh.wikisource.org/wiki/%E6%BB%B4%E5%A4%A9%E9%AB%93%E9%97%A1%E5%BE%AE</x:v>
      </x:c>
      <x:c r="AG18" s="82" t="str">
        <x:v>采用</x:v>
      </x:c>
      <x:c r="AH18" s="82" t="str">
        <x:v>初审</x:v>
      </x:c>
      <x:c r="AI18" s="87" t="n">
        <x:v>46260</x:v>
      </x:c>
    </x:row>
    <x:row r="19">
      <x:c r="A19" s="72" t="str">
        <x:f>IF(OR(C19="",D19=""),"",B19&amp;"-"&amp;UPPER(C19)&amp;"-"&amp;TEXT(D19,"0000")&amp;"-"&amp;E19)</x:f>
        <x:v>M15-GUAN-0013-V1.0</x:v>
      </x:c>
      <x:c r="B19" s="74" t="str">
        <x:v>M15</x:v>
      </x:c>
      <x:c r="C19" s="74" t="str">
        <x:v>GUAN</x:v>
      </x:c>
      <x:c r="D19" s="215" t="n">
        <x:v>13</x:v>
      </x:c>
      <x:c r="E19" s="74" t="str">
        <x:v>V1.0</x:v>
      </x:c>
      <x:c r="F19" s="68" t="str">
        <x:v>财官相生可提高正官格运行层次</x:v>
      </x:c>
      <x:c r="G19" s="82" t="str">
        <x:v>综合层</x:v>
      </x:c>
      <x:c r="H19" s="68" t="str">
        <x:v>正官格候选</x:v>
      </x:c>
      <x:c r="I19" s="68" t="str">
        <x:v>财星有效生官，官星可承接，财不过度坏印或耗身</x:v>
      </x:c>
      <x:c r="J19" s="68" t="str">
        <x:v>财→官路径连续，日主有能力承受财耗与官制</x:v>
      </x:c>
      <x:c r="K19" s="68" t="str">
        <x:v>无决定性破格因素</x:v>
      </x:c>
      <x:c r="L19" s="82" t="str">
        <x:v>无破</x:v>
      </x:c>
      <x:c r="M19" s="68" t="str">
        <x:v>无须救应</x:v>
      </x:c>
      <x:c r="N19" s="82" t="str">
        <x:v>无救应</x:v>
      </x:c>
      <x:c r="O19" s="84" t="str">
        <x:v>清纯成立</x:v>
      </x:c>
      <x:c r="P19" s="82" t="str">
        <x:v>较清</x:v>
      </x:c>
      <x:c r="Q19" s="68" t="str">
        <x:v>财官相辅，正官格资源链较完整</x:v>
      </x:c>
      <x:c r="R19" s="68" t="str">
        <x:v>M14已生成候选；M08、M09、M10、M11相关结论可追溯</x:v>
      </x:c>
      <x:c r="S19" s="68" t="str">
        <x:v>格神与关键配合十神均以有效力量和实际功能为准</x:v>
      </x:c>
      <x:c r="T19" s="68" t="str">
        <x:v>格神得令、有根、透达、清纯，组合路径稳定且日主承载匹配</x:v>
      </x:c>
      <x:c r="U19" s="68" t="str">
        <x:v>格神受制、混杂、路径受阻、日主承载不足或救应只能局部作用</x:v>
      </x:c>
      <x:c r="V19" s="90" t="str">
        <x:v>格神失效、核心作用路径完全中断，或特殊格局硬门槛被有效反证否决</x:v>
      </x:c>
      <x:c r="W19" s="68" t="str">
        <x:v>特殊格局严格条件、流派争议及岁运补成另按专门规则处理</x:v>
      </x:c>
      <x:c r="X19" s="84" t="str">
        <x:v>正官格_财官相生</x:v>
      </x:c>
      <x:c r="Y19" s="84" t="str">
        <x:v>正官格候选判为“清纯成立”：破格等级为“无破”，救应为“无救应”，清纯度为“较清”；层次需结合全局继续评估。</x:v>
      </x:c>
      <x:c r="Z19" s="68" t="str">
        <x:v>若“格神失效、核心作用路径完全中断，或特殊格局硬门槛被有效反证否决”成立，应降低为成立但有破或不成立，不得维持当前结论。</x:v>
      </x:c>
      <x:c r="AA19" s="82" t="str">
        <x:v>较高</x:v>
      </x:c>
      <x:c r="AB19" s="82" t="str">
        <x:v>子平格局</x:v>
      </x:c>
      <x:c r="AC19" s="68" t="str">
        <x:v>格局成败须区分：格神是否有效、结构是否能运行、是否存在破坏、救应是否直接修复破格机制，以及格局成立与层次高低。</x:v>
      </x:c>
      <x:c r="AD19" s="68" t="str">
        <x:v>当“财星有效生官，官星可承接，财不过度坏印或耗身”成立，且成格证据相互支持、无决定性否决时，可按本规则判断。</x:v>
      </x:c>
      <x:c r="AE19" s="90" t="str">
        <x:v>只有格局名称或局部组合，但“格神失效、核心作用路径完全中断，或特殊格局硬门槛被有效反证否决”成立时，不能按本规则维持格局。</x:v>
      </x:c>
      <x:c r="AF19" s="68" t="str">
        <x:v>https://zh.wikisource.org/zh-hans/%E6%B7%B5%E6%B5%B7%E5%AD%90%E5%B9%B3 ; https://zh.wikisource.org/wiki/%E6%BB%B4%E5%A4%A9%E9%AB%93%E9%97%A1%E5%BE%AE</x:v>
      </x:c>
      <x:c r="AG19" s="82" t="str">
        <x:v>采用</x:v>
      </x:c>
      <x:c r="AH19" s="82" t="str">
        <x:v>初审</x:v>
      </x:c>
      <x:c r="AI19" s="87" t="n">
        <x:v>46260</x:v>
      </x:c>
    </x:row>
    <x:row r="20">
      <x:c r="A20" s="72" t="str">
        <x:f>IF(OR(C20="",D20=""),"",B20&amp;"-"&amp;UPPER(C20)&amp;"-"&amp;TEXT(D20,"0000")&amp;"-"&amp;E20)</x:f>
        <x:v>M15-GUAN-0014-V1.0</x:v>
      </x:c>
      <x:c r="B20" s="74" t="str">
        <x:v>M15</x:v>
      </x:c>
      <x:c r="C20" s="74" t="str">
        <x:v>GUAN</x:v>
      </x:c>
      <x:c r="D20" s="215" t="n">
        <x:v>14</x:v>
      </x:c>
      <x:c r="E20" s="74" t="str">
        <x:v>V1.0</x:v>
      </x:c>
      <x:c r="F20" s="68" t="str">
        <x:v>伤官见官无救应构成严重破格</x:v>
      </x:c>
      <x:c r="G20" s="82" t="str">
        <x:v>综合层</x:v>
      </x:c>
      <x:c r="H20" s="68" t="str">
        <x:v>正官格候选</x:v>
      </x:c>
      <x:c r="I20" s="68" t="str">
        <x:v>正官原具成格基础</x:v>
      </x:c>
      <x:c r="J20" s="68" t="str">
        <x:v>月令依据、格神根气与有效力量、日主配合及M11组合证据相互支持</x:v>
      </x:c>
      <x:c r="K20" s="68" t="str">
        <x:v>伤官有力并直接持续克制正官</x:v>
      </x:c>
      <x:c r="L20" s="82" t="str">
        <x:v>严重</x:v>
      </x:c>
      <x:c r="M20" s="68" t="str">
        <x:v>无印制伤、无财通关</x:v>
      </x:c>
      <x:c r="N20" s="82" t="str">
        <x:v>无救应</x:v>
      </x:c>
      <x:c r="O20" s="84" t="str">
        <x:v>成立但有破</x:v>
      </x:c>
      <x:c r="P20" s="82" t="str">
        <x:v>混杂</x:v>
      </x:c>
      <x:c r="Q20" s="68" t="str">
        <x:v>官星主导性显著受损；若官被制至失效则转根本破格</x:v>
      </x:c>
      <x:c r="R20" s="68" t="str">
        <x:v>M14已生成候选；M08、M09、M10、M11相关结论可追溯</x:v>
      </x:c>
      <x:c r="S20" s="68" t="str">
        <x:v>格神与关键配合十神均以有效力量和实际功能为准</x:v>
      </x:c>
      <x:c r="T20" s="68" t="str">
        <x:v>格神得令、有根、透达、清纯，组合路径稳定且日主承载匹配</x:v>
      </x:c>
      <x:c r="U20" s="68" t="str">
        <x:v>格神受制、混杂、路径受阻、日主承载不足或救应只能局部作用</x:v>
      </x:c>
      <x:c r="V20" s="90" t="str">
        <x:v>正官被伤官制至失效且不存在恢复路径</x:v>
      </x:c>
      <x:c r="W20" s="68" t="str">
        <x:v>特殊格局严格条件、流派争议及岁运补成另按专门规则处理</x:v>
      </x:c>
      <x:c r="X20" s="84" t="str">
        <x:v>正官格_伤官破格</x:v>
      </x:c>
      <x:c r="Y20" s="84" t="str">
        <x:v>正官格候选判为“成立但有破”：破格等级为“严重”，救应为“无救应”，清纯度为“混杂”；层次需结合全局继续评估。</x:v>
      </x:c>
      <x:c r="Z20" s="68" t="str">
        <x:v>若“正官被伤官制至失效且不存在恢复路径”成立，应降低为成立但有破或不成立，不得维持当前结论。</x:v>
      </x:c>
      <x:c r="AA20" s="82" t="str">
        <x:v>较高</x:v>
      </x:c>
      <x:c r="AB20" s="82" t="str">
        <x:v>子平格局</x:v>
      </x:c>
      <x:c r="AC20" s="68" t="str">
        <x:v>格局成败须区分：格神是否有效、结构是否能运行、是否存在破坏、救应是否直接修复破格机制，以及格局成立与层次高低。</x:v>
      </x:c>
      <x:c r="AD20" s="68" t="str">
        <x:v>当“正官原具成格基础”成立，且成格证据相互支持、无决定性否决时，可按本规则判断。</x:v>
      </x:c>
      <x:c r="AE20" s="90" t="str">
        <x:v>只有格局名称或局部组合，但“正官被伤官制至失效且不存在恢复路径”成立时，不能按本规则维持格局。</x:v>
      </x:c>
      <x:c r="AF20" s="68" t="str">
        <x:v>https://zh.wikisource.org/zh-hans/%E6%B7%B5%E6%B5%B7%E5%AD%90%E5%B9%B3 ; https://zh.wikisource.org/wiki/%E6%BB%B4%E5%A4%A9%E9%AB%93%E9%97%A1%E5%BE%AE</x:v>
      </x:c>
      <x:c r="AG20" s="82" t="str">
        <x:v>采用</x:v>
      </x:c>
      <x:c r="AH20" s="82" t="str">
        <x:v>初审</x:v>
      </x:c>
      <x:c r="AI20" s="87" t="n">
        <x:v>46260</x:v>
      </x:c>
    </x:row>
    <x:row r="21">
      <x:c r="A21" s="72" t="str">
        <x:f>IF(OR(C21="",D21=""),"",B21&amp;"-"&amp;UPPER(C21)&amp;"-"&amp;TEXT(D21,"0000")&amp;"-"&amp;E21)</x:f>
        <x:v>M15-GUAN-0015-V1.0</x:v>
      </x:c>
      <x:c r="B21" s="74" t="str">
        <x:v>M15</x:v>
      </x:c>
      <x:c r="C21" s="74" t="str">
        <x:v>GUAN</x:v>
      </x:c>
      <x:c r="D21" s="215" t="n">
        <x:v>15</x:v>
      </x:c>
      <x:c r="E21" s="74" t="str">
        <x:v>V1.0</x:v>
      </x:c>
      <x:c r="F21" s="68" t="str">
        <x:v>印制伤官可救正官格</x:v>
      </x:c>
      <x:c r="G21" s="82" t="str">
        <x:v>综合层</x:v>
      </x:c>
      <x:c r="H21" s="68" t="str">
        <x:v>正官格候选</x:v>
      </x:c>
      <x:c r="I21" s="68" t="str">
        <x:v>正官格遭伤官破坏，印星有效制伤</x:v>
      </x:c>
      <x:c r="J21" s="68" t="str">
        <x:v>印→伤官克制路径真实，官星功能得到恢复</x:v>
      </x:c>
      <x:c r="K21" s="68" t="str">
        <x:v>伤官克官</x:v>
      </x:c>
      <x:c r="L21" s="82" t="str">
        <x:v>一般</x:v>
      </x:c>
      <x:c r="M21" s="68" t="str">
        <x:v>印星制伤并护官</x:v>
      </x:c>
      <x:c r="N21" s="82" t="str">
        <x:v>明显有效</x:v>
      </x:c>
      <x:c r="O21" s="84" t="str">
        <x:v>有破有救</x:v>
      </x:c>
      <x:c r="P21" s="82" t="str">
        <x:v>有杂</x:v>
      </x:c>
      <x:c r="Q21" s="68" t="str">
        <x:v>格局恢复主要运行，但层次低于原局无伤官者</x:v>
      </x:c>
      <x:c r="R21" s="68" t="str">
        <x:v>M14已生成候选；M08、M09、M10、M11相关结论可追溯</x:v>
      </x:c>
      <x:c r="S21" s="68" t="str">
        <x:v>格神与关键配合十神均以有效力量和实际功能为准</x:v>
      </x:c>
      <x:c r="T21" s="68" t="str">
        <x:v>格神得令、有根、透达、清纯，组合路径稳定且日主承载匹配</x:v>
      </x:c>
      <x:c r="U21" s="68" t="str">
        <x:v>格神受制、混杂、路径受阻、日主承载不足或救应只能局部作用</x:v>
      </x:c>
      <x:c r="V21" s="90" t="str">
        <x:v>格神失效、核心作用路径完全中断，或特殊格局硬门槛被有效反证否决</x:v>
      </x:c>
      <x:c r="W21" s="68" t="str">
        <x:v>特殊格局严格条件、流派争议及岁运补成另按专门规则处理</x:v>
      </x:c>
      <x:c r="X21" s="84" t="str">
        <x:v>正官格_印制伤救应</x:v>
      </x:c>
      <x:c r="Y21" s="84" t="str">
        <x:v>正官格候选判为“有破有救”：破格等级为“一般”，救应为“明显有效”，清纯度为“有杂”；层次需结合全局继续评估。</x:v>
      </x:c>
      <x:c r="Z21" s="68" t="str">
        <x:v>若“格神失效、核心作用路径完全中断，或特殊格局硬门槛被有效反证否决”成立，应降低为成立但有破或不成立，不得维持当前结论。</x:v>
      </x:c>
      <x:c r="AA21" s="82" t="str">
        <x:v>较高</x:v>
      </x:c>
      <x:c r="AB21" s="82" t="str">
        <x:v>子平格局</x:v>
      </x:c>
      <x:c r="AC21" s="68" t="str">
        <x:v>格局成败须区分：格神是否有效、结构是否能运行、是否存在破坏、救应是否直接修复破格机制，以及格局成立与层次高低。</x:v>
      </x:c>
      <x:c r="AD21" s="68" t="str">
        <x:v>当“正官格遭伤官破坏，印星有效制伤”成立，且成格证据相互支持、无决定性否决时，可按本规则判断。</x:v>
      </x:c>
      <x:c r="AE21" s="90" t="str">
        <x:v>只有格局名称或局部组合，但“格神失效、核心作用路径完全中断，或特殊格局硬门槛被有效反证否决”成立时，不能按本规则维持格局。</x:v>
      </x:c>
      <x:c r="AF21" s="68" t="str">
        <x:v>https://zh.wikisource.org/zh-hans/%E6%B7%B5%E6%B5%B7%E5%AD%90%E5%B9%B3 ; https://zh.wikisource.org/wiki/%E6%BB%B4%E5%A4%A9%E9%AB%93%E9%97%A1%E5%BE%AE</x:v>
      </x:c>
      <x:c r="AG21" s="82" t="str">
        <x:v>采用</x:v>
      </x:c>
      <x:c r="AH21" s="82" t="str">
        <x:v>初审</x:v>
      </x:c>
      <x:c r="AI21" s="87" t="n">
        <x:v>46260</x:v>
      </x:c>
    </x:row>
    <x:row r="22">
      <x:c r="A22" s="72" t="str">
        <x:f>IF(OR(C22="",D22=""),"",B22&amp;"-"&amp;UPPER(C22)&amp;"-"&amp;TEXT(D22,"0000")&amp;"-"&amp;E22)</x:f>
        <x:v>M15-GUAN-0016-V1.0</x:v>
      </x:c>
      <x:c r="B22" s="74" t="str">
        <x:v>M15</x:v>
      </x:c>
      <x:c r="C22" s="74" t="str">
        <x:v>GUAN</x:v>
      </x:c>
      <x:c r="D22" s="215" t="n">
        <x:v>16</x:v>
      </x:c>
      <x:c r="E22" s="74" t="str">
        <x:v>V1.0</x:v>
      </x:c>
      <x:c r="F22" s="68" t="str">
        <x:v>财通伤官生官可形成条件性救应</x:v>
      </x:c>
      <x:c r="G22" s="82" t="str">
        <x:v>综合层</x:v>
      </x:c>
      <x:c r="H22" s="68" t="str">
        <x:v>正官格候选</x:v>
      </x:c>
      <x:c r="I22" s="68" t="str">
        <x:v>伤官克官冲突存在，财星能承接伤官并继续生官</x:v>
      </x:c>
      <x:c r="J22" s="68" t="str">
        <x:v>伤→财→官链路连续且财不过度坏印</x:v>
      </x:c>
      <x:c r="K22" s="68" t="str">
        <x:v>伤官见官</x:v>
      </x:c>
      <x:c r="L22" s="82" t="str">
        <x:v>一般</x:v>
      </x:c>
      <x:c r="M22" s="68" t="str">
        <x:v>财星通关</x:v>
      </x:c>
      <x:c r="N22" s="82" t="str">
        <x:v>部分有效</x:v>
      </x:c>
      <x:c r="O22" s="84" t="str">
        <x:v>有破有救</x:v>
      </x:c>
      <x:c r="P22" s="82" t="str">
        <x:v>有杂</x:v>
      </x:c>
      <x:c r="Q22" s="68" t="str">
        <x:v>直接冲突得到缓和，但财的副作用需同步评估</x:v>
      </x:c>
      <x:c r="R22" s="68" t="str">
        <x:v>M14已生成候选；M08、M09、M10、M11相关结论可追溯</x:v>
      </x:c>
      <x:c r="S22" s="68" t="str">
        <x:v>格神与关键配合十神均以有效力量和实际功能为准</x:v>
      </x:c>
      <x:c r="T22" s="68" t="str">
        <x:v>格神得令、有根、透达、清纯，组合路径稳定且日主承载匹配</x:v>
      </x:c>
      <x:c r="U22" s="68" t="str">
        <x:v>格神受制、混杂、路径受阻、日主承载不足或救应只能局部作用</x:v>
      </x:c>
      <x:c r="V22" s="90" t="str">
        <x:v>格神失效、核心作用路径完全中断，或特殊格局硬门槛被有效反证否决</x:v>
      </x:c>
      <x:c r="W22" s="68" t="str">
        <x:v>特殊格局严格条件、流派争议及岁运补成另按专门规则处理</x:v>
      </x:c>
      <x:c r="X22" s="84" t="str">
        <x:v>正官格_财通关救应</x:v>
      </x:c>
      <x:c r="Y22" s="84" t="str">
        <x:v>正官格候选判为“有破有救”：破格等级为“一般”，救应为“部分有效”，清纯度为“有杂”；层次需结合全局继续评估。</x:v>
      </x:c>
      <x:c r="Z22" s="68" t="str">
        <x:v>若“格神失效、核心作用路径完全中断，或特殊格局硬门槛被有效反证否决”成立，应降低为成立但有破或不成立，不得维持当前结论。</x:v>
      </x:c>
      <x:c r="AA22" s="82" t="str">
        <x:v>较高</x:v>
      </x:c>
      <x:c r="AB22" s="82" t="str">
        <x:v>子平格局</x:v>
      </x:c>
      <x:c r="AC22" s="68" t="str">
        <x:v>格局成败须区分：格神是否有效、结构是否能运行、是否存在破坏、救应是否直接修复破格机制，以及格局成立与层次高低。</x:v>
      </x:c>
      <x:c r="AD22" s="68" t="str">
        <x:v>当“伤官克官冲突存在，财星能承接伤官并继续生官”成立，且成格证据相互支持、无决定性否决时，可按本规则判断。</x:v>
      </x:c>
      <x:c r="AE22" s="90" t="str">
        <x:v>只有格局名称或局部组合，但“格神失效、核心作用路径完全中断，或特殊格局硬门槛被有效反证否决”成立时，不能按本规则维持格局。</x:v>
      </x:c>
      <x:c r="AF22" s="68" t="str">
        <x:v>https://zh.wikisource.org/zh-hans/%E6%B7%B5%E6%B5%B7%E5%AD%90%E5%B9%B3 ; https://zh.wikisource.org/wiki/%E6%BB%B4%E5%A4%A9%E9%AB%93%E9%97%A1%E5%BE%AE</x:v>
      </x:c>
      <x:c r="AG22" s="82" t="str">
        <x:v>采用</x:v>
      </x:c>
      <x:c r="AH22" s="82" t="str">
        <x:v>初审</x:v>
      </x:c>
      <x:c r="AI22" s="87" t="n">
        <x:v>46260</x:v>
      </x:c>
    </x:row>
    <x:row r="23">
      <x:c r="A23" s="72" t="str">
        <x:f>IF(OR(C23="",D23=""),"",B23&amp;"-"&amp;UPPER(C23)&amp;"-"&amp;TEXT(D23,"0000")&amp;"-"&amp;E23)</x:f>
        <x:v>M15-GUAN-0017-V1.0</x:v>
      </x:c>
      <x:c r="B23" s="74" t="str">
        <x:v>M15</x:v>
      </x:c>
      <x:c r="C23" s="74" t="str">
        <x:v>GUAN</x:v>
      </x:c>
      <x:c r="D23" s="215" t="n">
        <x:v>17</x:v>
      </x:c>
      <x:c r="E23" s="74" t="str">
        <x:v>V1.0</x:v>
      </x:c>
      <x:c r="F23" s="68" t="str">
        <x:v>官杀混杂无清化降低正官格层次</x:v>
      </x:c>
      <x:c r="G23" s="82" t="str">
        <x:v>综合层</x:v>
      </x:c>
      <x:c r="H23" s="68" t="str">
        <x:v>正官格候选</x:v>
      </x:c>
      <x:c r="I23" s="68" t="str">
        <x:v>正官仍具月令和有效性基础</x:v>
      </x:c>
      <x:c r="J23" s="68" t="str">
        <x:v>月令依据、格神根气与有效力量、日主配合及M11组合证据相互支持</x:v>
      </x:c>
      <x:c r="K23" s="68" t="str">
        <x:v>七杀同时有效，官杀均参与制身且主从不清</x:v>
      </x:c>
      <x:c r="L23" s="82" t="str">
        <x:v>一般</x:v>
      </x:c>
      <x:c r="M23" s="68" t="str">
        <x:v>合杀、制杀或形成明确去留</x:v>
      </x:c>
      <x:c r="N23" s="82" t="str">
        <x:v>待定</x:v>
      </x:c>
      <x:c r="O23" s="84" t="str">
        <x:v>成立但有破</x:v>
      </x:c>
      <x:c r="P23" s="82" t="str">
        <x:v>混杂</x:v>
      </x:c>
      <x:c r="Q23" s="68" t="str">
        <x:v>正官主导性下降，需审是否可去杀留官</x:v>
      </x:c>
      <x:c r="R23" s="68" t="str">
        <x:v>M14已生成候选；M08、M09、M10、M11相关结论可追溯</x:v>
      </x:c>
      <x:c r="S23" s="68" t="str">
        <x:v>格神与关键配合十神均以有效力量和实际功能为准</x:v>
      </x:c>
      <x:c r="T23" s="68" t="str">
        <x:v>格神得令、有根、透达、清纯，组合路径稳定且日主承载匹配</x:v>
      </x:c>
      <x:c r="U23" s="68" t="str">
        <x:v>格神受制、混杂、路径受阻、日主承载不足或救应只能局部作用</x:v>
      </x:c>
      <x:c r="V23" s="90" t="str">
        <x:v>格神失效、核心作用路径完全中断，或特殊格局硬门槛被有效反证否决</x:v>
      </x:c>
      <x:c r="W23" s="68" t="str">
        <x:v>特殊格局严格条件、流派争议及岁运补成另按专门规则处理</x:v>
      </x:c>
      <x:c r="X23" s="84" t="str">
        <x:v>正官格_官杀混杂</x:v>
      </x:c>
      <x:c r="Y23" s="84" t="str">
        <x:v>正官格候选判为“成立但有破”：破格等级为“一般”，救应为“待定”，清纯度为“混杂”；层次需结合全局继续评估。</x:v>
      </x:c>
      <x:c r="Z23" s="68" t="str">
        <x:v>若“格神失效、核心作用路径完全中断，或特殊格局硬门槛被有效反证否决”成立，应降低为成立但有破或不成立，不得维持当前结论。</x:v>
      </x:c>
      <x:c r="AA23" s="82" t="str">
        <x:v>较高</x:v>
      </x:c>
      <x:c r="AB23" s="82" t="str">
        <x:v>子平格局</x:v>
      </x:c>
      <x:c r="AC23" s="68" t="str">
        <x:v>格局成败须区分：格神是否有效、结构是否能运行、是否存在破坏、救应是否直接修复破格机制，以及格局成立与层次高低。</x:v>
      </x:c>
      <x:c r="AD23" s="68" t="str">
        <x:v>当“正官仍具月令和有效性基础”成立，且成格证据相互支持、无决定性否决时，可按本规则判断。</x:v>
      </x:c>
      <x:c r="AE23" s="90" t="str">
        <x:v>只有格局名称或局部组合，但“格神失效、核心作用路径完全中断，或特殊格局硬门槛被有效反证否决”成立时，不能按本规则维持格局。</x:v>
      </x:c>
      <x:c r="AF23" s="68" t="str">
        <x:v>https://zh.wikisource.org/zh-hans/%E6%B7%B5%E6%B5%B7%E5%AD%90%E5%B9%B3 ; https://zh.wikisource.org/wiki/%E6%BB%B4%E5%A4%A9%E9%AB%93%E9%97%A1%E5%BE%AE</x:v>
      </x:c>
      <x:c r="AG23" s="82" t="str">
        <x:v>采用</x:v>
      </x:c>
      <x:c r="AH23" s="82" t="str">
        <x:v>初审</x:v>
      </x:c>
      <x:c r="AI23" s="87" t="n">
        <x:v>46260</x:v>
      </x:c>
    </x:row>
    <x:row r="24">
      <x:c r="A24" s="72" t="str">
        <x:f>IF(OR(C24="",D24=""),"",B24&amp;"-"&amp;UPPER(C24)&amp;"-"&amp;TEXT(D24,"0000")&amp;"-"&amp;E24)</x:f>
        <x:v>M15-GUAN-0018-V1.0</x:v>
      </x:c>
      <x:c r="B24" s="74" t="str">
        <x:v>M15</x:v>
      </x:c>
      <x:c r="C24" s="74" t="str">
        <x:v>GUAN</x:v>
      </x:c>
      <x:c r="D24" s="215" t="n">
        <x:v>18</x:v>
      </x:c>
      <x:c r="E24" s="74" t="str">
        <x:v>V1.0</x:v>
      </x:c>
      <x:c r="F24" s="68" t="str">
        <x:v>去杀留官可恢复正官格清纯度</x:v>
      </x:c>
      <x:c r="G24" s="82" t="str">
        <x:v>综合层</x:v>
      </x:c>
      <x:c r="H24" s="68" t="str">
        <x:v>正官格候选</x:v>
      </x:c>
      <x:c r="I24" s="68" t="str">
        <x:v>官杀并见但七杀被有效合住、制去或转化，正官保持有效</x:v>
      </x:c>
      <x:c r="J24" s="68" t="str">
        <x:v>七杀功能显著下降，正官重新成为唯一主导制身者</x:v>
      </x:c>
      <x:c r="K24" s="68" t="str">
        <x:v>原官杀混杂</x:v>
      </x:c>
      <x:c r="L24" s="82" t="str">
        <x:v>轻微</x:v>
      </x:c>
      <x:c r="M24" s="68" t="str">
        <x:v>去杀留官</x:v>
      </x:c>
      <x:c r="N24" s="82" t="str">
        <x:v>完全救应</x:v>
      </x:c>
      <x:c r="O24" s="84" t="str">
        <x:v>有破有救</x:v>
      </x:c>
      <x:c r="P24" s="82" t="str">
        <x:v>较清</x:v>
      </x:c>
      <x:c r="Q24" s="68" t="str">
        <x:v>混杂被清化，正官格可恢复较高稳定度</x:v>
      </x:c>
      <x:c r="R24" s="68" t="str">
        <x:v>M14已生成候选；M08、M09、M10、M11相关结论可追溯</x:v>
      </x:c>
      <x:c r="S24" s="68" t="str">
        <x:v>格神与关键配合十神均以有效力量和实际功能为准</x:v>
      </x:c>
      <x:c r="T24" s="68" t="str">
        <x:v>格神得令、有根、透达、清纯，组合路径稳定且日主承载匹配</x:v>
      </x:c>
      <x:c r="U24" s="68" t="str">
        <x:v>格神受制、混杂、路径受阻、日主承载不足或救应只能局部作用</x:v>
      </x:c>
      <x:c r="V24" s="90" t="str">
        <x:v>格神失效、核心作用路径完全中断，或特殊格局硬门槛被有效反证否决</x:v>
      </x:c>
      <x:c r="W24" s="68" t="str">
        <x:v>特殊格局严格条件、流派争议及岁运补成另按专门规则处理</x:v>
      </x:c>
      <x:c r="X24" s="84" t="str">
        <x:v>正官格_去杀留官</x:v>
      </x:c>
      <x:c r="Y24" s="84" t="str">
        <x:v>正官格候选判为“有破有救”：破格等级为“轻微”，救应为“完全救应”，清纯度为“较清”；层次需结合全局继续评估。</x:v>
      </x:c>
      <x:c r="Z24" s="68" t="str">
        <x:v>若“格神失效、核心作用路径完全中断，或特殊格局硬门槛被有效反证否决”成立，应降低为成立但有破或不成立，不得维持当前结论。</x:v>
      </x:c>
      <x:c r="AA24" s="82" t="str">
        <x:v>较高</x:v>
      </x:c>
      <x:c r="AB24" s="82" t="str">
        <x:v>子平格局</x:v>
      </x:c>
      <x:c r="AC24" s="68" t="str">
        <x:v>格局成败须区分：格神是否有效、结构是否能运行、是否存在破坏、救应是否直接修复破格机制，以及格局成立与层次高低。</x:v>
      </x:c>
      <x:c r="AD24" s="68" t="str">
        <x:v>当“官杀并见但七杀被有效合住、制去或转化，正官保持有效”成立，且成格证据相互支持、无决定性否决时，可按本规则判断。</x:v>
      </x:c>
      <x:c r="AE24" s="90" t="str">
        <x:v>只有格局名称或局部组合，但“格神失效、核心作用路径完全中断，或特殊格局硬门槛被有效反证否决”成立时，不能按本规则维持格局。</x:v>
      </x:c>
      <x:c r="AF24" s="68" t="str">
        <x:v>https://zh.wikisource.org/zh-hans/%E6%B7%B5%E6%B5%B7%E5%AD%90%E5%B9%B3 ; https://zh.wikisource.org/wiki/%E6%BB%B4%E5%A4%A9%E9%AB%93%E9%97%A1%E5%BE%AE</x:v>
      </x:c>
      <x:c r="AG24" s="82" t="str">
        <x:v>采用</x:v>
      </x:c>
      <x:c r="AH24" s="82" t="str">
        <x:v>初审</x:v>
      </x:c>
      <x:c r="AI24" s="87" t="n">
        <x:v>46260</x:v>
      </x:c>
    </x:row>
    <x:row r="25">
      <x:c r="A25" s="72" t="str">
        <x:f>IF(OR(C25="",D25=""),"",B25&amp;"-"&amp;UPPER(C25)&amp;"-"&amp;TEXT(D25,"0000")&amp;"-"&amp;E25)</x:f>
        <x:v>M15-SHA-0019-V1.0</x:v>
      </x:c>
      <x:c r="B25" s="74" t="str">
        <x:v>M15</x:v>
      </x:c>
      <x:c r="C25" s="74" t="str">
        <x:v>SHA</x:v>
      </x:c>
      <x:c r="D25" s="215" t="n">
        <x:v>19</x:v>
      </x:c>
      <x:c r="E25" s="74" t="str">
        <x:v>V1.0</x:v>
      </x:c>
      <x:c r="F25" s="68" t="str">
        <x:v>七杀格必须具备承载或制化才能稳定成格</x:v>
      </x:c>
      <x:c r="G25" s="82" t="str">
        <x:v>综合层</x:v>
      </x:c>
      <x:c r="H25" s="68" t="str">
        <x:v>七杀格候选</x:v>
      </x:c>
      <x:c r="I25" s="68" t="str">
        <x:v>七杀得令有根并形成真实压力，日主有承载或存在食制、印化</x:v>
      </x:c>
      <x:c r="J25" s="68" t="str">
        <x:v>杀星有效，制化路径至少一条稳定</x:v>
      </x:c>
      <x:c r="K25" s="68" t="str">
        <x:v>无决定性破格因素</x:v>
      </x:c>
      <x:c r="L25" s="82" t="str">
        <x:v>无破</x:v>
      </x:c>
      <x:c r="M25" s="68" t="str">
        <x:v>无须救应</x:v>
      </x:c>
      <x:c r="N25" s="82" t="str">
        <x:v>无救应</x:v>
      </x:c>
      <x:c r="O25" s="84" t="str">
        <x:v>基本成立</x:v>
      </x:c>
      <x:c r="P25" s="82" t="str">
        <x:v>较清</x:v>
      </x:c>
      <x:c r="Q25" s="68" t="str">
        <x:v>七杀有权且不至无序攻身，格局具备运行基础</x:v>
      </x:c>
      <x:c r="R25" s="68" t="str">
        <x:v>M14已生成候选；M08、M09、M10、M11相关结论可追溯</x:v>
      </x:c>
      <x:c r="S25" s="68" t="str">
        <x:v>格神与关键配合十神均以有效力量和实际功能为准</x:v>
      </x:c>
      <x:c r="T25" s="68" t="str">
        <x:v>格神得令、有根、透达、清纯，组合路径稳定且日主承载匹配</x:v>
      </x:c>
      <x:c r="U25" s="68" t="str">
        <x:v>格神受制、混杂、路径受阻、日主承载不足或救应只能局部作用</x:v>
      </x:c>
      <x:c r="V25" s="90" t="str">
        <x:v>格神失效、核心作用路径完全中断，或特殊格局硬门槛被有效反证否决</x:v>
      </x:c>
      <x:c r="W25" s="68" t="str">
        <x:v>特殊格局严格条件、流派争议及岁运补成另按专门规则处理</x:v>
      </x:c>
      <x:c r="X25" s="84" t="str">
        <x:v>七杀格候选_成败救应</x:v>
      </x:c>
      <x:c r="Y25" s="84" t="str">
        <x:v>七杀格候选判为“基本成立”：破格等级为“无破”，救应为“无救应”，清纯度为“较清”；层次需结合全局继续评估。</x:v>
      </x:c>
      <x:c r="Z25" s="68" t="str">
        <x:v>若“格神失效、核心作用路径完全中断，或特殊格局硬门槛被有效反证否决”成立，应降低为成立但有破或不成立，不得维持当前结论。</x:v>
      </x:c>
      <x:c r="AA25" s="82" t="str">
        <x:v>较高</x:v>
      </x:c>
      <x:c r="AB25" s="82" t="str">
        <x:v>子平格局</x:v>
      </x:c>
      <x:c r="AC25" s="68" t="str">
        <x:v>格局成败须区分：格神是否有效、结构是否能运行、是否存在破坏、救应是否直接修复破格机制，以及格局成立与层次高低。</x:v>
      </x:c>
      <x:c r="AD25" s="68" t="str">
        <x:v>当“七杀得令有根并形成真实压力，日主有承载或存在食制、印化”成立，且成格证据相互支持、无决定性否决时，可按本规则判断。</x:v>
      </x:c>
      <x:c r="AE25" s="90" t="str">
        <x:v>只有格局名称或局部组合，但“格神失效、核心作用路径完全中断，或特殊格局硬门槛被有效反证否决”成立时，不能按本规则维持格局。</x:v>
      </x:c>
      <x:c r="AF25" s="68" t="str">
        <x:v>https://zh.wikisource.org/zh-hans/%E6%B7%B5%E6%B5%B7%E5%AD%90%E5%B9%B3 ; https://zh.wikisource.org/wiki/%E6%BB%B4%E5%A4%A9%E9%AB%93%E9%97%A1%E5%BE%AE</x:v>
      </x:c>
      <x:c r="AG25" s="82" t="str">
        <x:v>采用</x:v>
      </x:c>
      <x:c r="AH25" s="82" t="str">
        <x:v>初审</x:v>
      </x:c>
      <x:c r="AI25" s="87" t="n">
        <x:v>46260</x:v>
      </x:c>
    </x:row>
    <x:row r="26">
      <x:c r="A26" s="72" t="str">
        <x:f>IF(OR(C26="",D26=""),"",B26&amp;"-"&amp;UPPER(C26)&amp;"-"&amp;TEXT(D26,"0000")&amp;"-"&amp;E26)</x:f>
        <x:v>M15-SHA-0020-V1.0</x:v>
      </x:c>
      <x:c r="B26" s="74" t="str">
        <x:v>M15</x:v>
      </x:c>
      <x:c r="C26" s="74" t="str">
        <x:v>SHA</x:v>
      </x:c>
      <x:c r="D26" s="215" t="n">
        <x:v>20</x:v>
      </x:c>
      <x:c r="E26" s="74" t="str">
        <x:v>V1.0</x:v>
      </x:c>
      <x:c r="F26" s="68" t="str">
        <x:v>食神制杀比例适中可判七杀格清纯成立</x:v>
      </x:c>
      <x:c r="G26" s="82" t="str">
        <x:v>综合层</x:v>
      </x:c>
      <x:c r="H26" s="68" t="str">
        <x:v>七杀格候选</x:v>
      </x:c>
      <x:c r="I26" s="68" t="str">
        <x:v>杀有力、食神有力、制杀路径清晰，制而不过</x:v>
      </x:c>
      <x:c r="J26" s="68" t="str">
        <x:v>M11食神制杀明显成立，无强枭夺食</x:v>
      </x:c>
      <x:c r="K26" s="68" t="str">
        <x:v>无决定性破格因素</x:v>
      </x:c>
      <x:c r="L26" s="82" t="str">
        <x:v>无破</x:v>
      </x:c>
      <x:c r="M26" s="68" t="str">
        <x:v>无须救应</x:v>
      </x:c>
      <x:c r="N26" s="82" t="str">
        <x:v>无救应</x:v>
      </x:c>
      <x:c r="O26" s="84" t="str">
        <x:v>清纯成立</x:v>
      </x:c>
      <x:c r="P26" s="82" t="str">
        <x:v>清纯</x:v>
      </x:c>
      <x:c r="Q26" s="68" t="str">
        <x:v>制化目标明确，七杀压力转化为可控结构</x:v>
      </x:c>
      <x:c r="R26" s="68" t="str">
        <x:v>M14已生成候选；M08、M09、M10、M11相关结论可追溯</x:v>
      </x:c>
      <x:c r="S26" s="68" t="str">
        <x:v>格神与关键配合十神均以有效力量和实际功能为准</x:v>
      </x:c>
      <x:c r="T26" s="68" t="str">
        <x:v>格神得令、有根、透达、清纯，组合路径稳定且日主承载匹配</x:v>
      </x:c>
      <x:c r="U26" s="68" t="str">
        <x:v>格神受制、混杂、路径受阻、日主承载不足或救应只能局部作用</x:v>
      </x:c>
      <x:c r="V26" s="90" t="str">
        <x:v>格神失效、核心作用路径完全中断，或特殊格局硬门槛被有效反证否决</x:v>
      </x:c>
      <x:c r="W26" s="68" t="str">
        <x:v>特殊格局严格条件、流派争议及岁运补成另按专门规则处理</x:v>
      </x:c>
      <x:c r="X26" s="84" t="str">
        <x:v>七杀格_食神制杀清纯</x:v>
      </x:c>
      <x:c r="Y26" s="84" t="str">
        <x:v>七杀格候选判为“清纯成立”：破格等级为“无破”，救应为“无救应”，清纯度为“清纯”；层次需结合全局继续评估。</x:v>
      </x:c>
      <x:c r="Z26" s="68" t="str">
        <x:v>若“格神失效、核心作用路径完全中断，或特殊格局硬门槛被有效反证否决”成立，应降低为成立但有破或不成立，不得维持当前结论。</x:v>
      </x:c>
      <x:c r="AA26" s="82" t="str">
        <x:v>较高</x:v>
      </x:c>
      <x:c r="AB26" s="82" t="str">
        <x:v>子平格局</x:v>
      </x:c>
      <x:c r="AC26" s="68" t="str">
        <x:v>格局成败须区分：格神是否有效、结构是否能运行、是否存在破坏、救应是否直接修复破格机制，以及格局成立与层次高低。</x:v>
      </x:c>
      <x:c r="AD26" s="68" t="str">
        <x:v>当“杀有力、食神有力、制杀路径清晰，制而不过”成立，且成格证据相互支持、无决定性否决时，可按本规则判断。</x:v>
      </x:c>
      <x:c r="AE26" s="90" t="str">
        <x:v>只有格局名称或局部组合，但“格神失效、核心作用路径完全中断，或特殊格局硬门槛被有效反证否决”成立时，不能按本规则维持格局。</x:v>
      </x:c>
      <x:c r="AF26" s="68" t="str">
        <x:v>https://zh.wikisource.org/zh-hans/%E6%B7%B5%E6%B5%B7%E5%AD%90%E5%B9%B3 ; https://zh.wikisource.org/wiki/%E6%BB%B4%E5%A4%A9%E9%AB%93%E9%97%A1%E5%BE%AE</x:v>
      </x:c>
      <x:c r="AG26" s="82" t="str">
        <x:v>采用</x:v>
      </x:c>
      <x:c r="AH26" s="82" t="str">
        <x:v>初审</x:v>
      </x:c>
      <x:c r="AI26" s="87" t="n">
        <x:v>46260</x:v>
      </x:c>
    </x:row>
    <x:row r="27">
      <x:c r="A27" s="72" t="str">
        <x:f>IF(OR(C27="",D27=""),"",B27&amp;"-"&amp;UPPER(C27)&amp;"-"&amp;TEXT(D27,"0000")&amp;"-"&amp;E27)</x:f>
        <x:v>M15-SHA-0021-V1.0</x:v>
      </x:c>
      <x:c r="B27" s="74" t="str">
        <x:v>M15</x:v>
      </x:c>
      <x:c r="C27" s="74" t="str">
        <x:v>SHA</x:v>
      </x:c>
      <x:c r="D27" s="215" t="n">
        <x:v>21</x:v>
      </x:c>
      <x:c r="E27" s="74" t="str">
        <x:v>V1.0</x:v>
      </x:c>
      <x:c r="F27" s="68" t="str">
        <x:v>杀印相生完整可判七杀格清纯成立</x:v>
      </x:c>
      <x:c r="G27" s="82" t="str">
        <x:v>综合层</x:v>
      </x:c>
      <x:c r="H27" s="68" t="str">
        <x:v>七杀格候选</x:v>
      </x:c>
      <x:c r="I27" s="68" t="str">
        <x:v>七杀生印、印生身两段连续，印能承杀</x:v>
      </x:c>
      <x:c r="J27" s="68" t="str">
        <x:v>M11杀印相生明显成立，无财坏印</x:v>
      </x:c>
      <x:c r="K27" s="68" t="str">
        <x:v>无决定性破格因素</x:v>
      </x:c>
      <x:c r="L27" s="82" t="str">
        <x:v>无破</x:v>
      </x:c>
      <x:c r="M27" s="68" t="str">
        <x:v>无须救应</x:v>
      </x:c>
      <x:c r="N27" s="82" t="str">
        <x:v>无救应</x:v>
      </x:c>
      <x:c r="O27" s="84" t="str">
        <x:v>清纯成立</x:v>
      </x:c>
      <x:c r="P27" s="82" t="str">
        <x:v>较清</x:v>
      </x:c>
      <x:c r="Q27" s="68" t="str">
        <x:v>杀气经印转化，日主承载和结构稳定性较高</x:v>
      </x:c>
      <x:c r="R27" s="68" t="str">
        <x:v>M14已生成候选；M08、M09、M10、M11相关结论可追溯</x:v>
      </x:c>
      <x:c r="S27" s="68" t="str">
        <x:v>格神与关键配合十神均以有效力量和实际功能为准</x:v>
      </x:c>
      <x:c r="T27" s="68" t="str">
        <x:v>格神得令、有根、透达、清纯，组合路径稳定且日主承载匹配</x:v>
      </x:c>
      <x:c r="U27" s="68" t="str">
        <x:v>格神受制、混杂、路径受阻、日主承载不足或救应只能局部作用</x:v>
      </x:c>
      <x:c r="V27" s="90" t="str">
        <x:v>格神失效、核心作用路径完全中断，或特殊格局硬门槛被有效反证否决</x:v>
      </x:c>
      <x:c r="W27" s="68" t="str">
        <x:v>特殊格局严格条件、流派争议及岁运补成另按专门规则处理</x:v>
      </x:c>
      <x:c r="X27" s="84" t="str">
        <x:v>七杀格_杀印相生清纯</x:v>
      </x:c>
      <x:c r="Y27" s="84" t="str">
        <x:v>七杀格候选判为“清纯成立”：破格等级为“无破”，救应为“无救应”，清纯度为“较清”；层次需结合全局继续评估。</x:v>
      </x:c>
      <x:c r="Z27" s="68" t="str">
        <x:v>若“格神失效、核心作用路径完全中断，或特殊格局硬门槛被有效反证否决”成立，应降低为成立但有破或不成立，不得维持当前结论。</x:v>
      </x:c>
      <x:c r="AA27" s="82" t="str">
        <x:v>较高</x:v>
      </x:c>
      <x:c r="AB27" s="82" t="str">
        <x:v>子平格局</x:v>
      </x:c>
      <x:c r="AC27" s="68" t="str">
        <x:v>格局成败须区分：格神是否有效、结构是否能运行、是否存在破坏、救应是否直接修复破格机制，以及格局成立与层次高低。</x:v>
      </x:c>
      <x:c r="AD27" s="68" t="str">
        <x:v>当“七杀生印、印生身两段连续，印能承杀”成立，且成格证据相互支持、无决定性否决时，可按本规则判断。</x:v>
      </x:c>
      <x:c r="AE27" s="90" t="str">
        <x:v>只有格局名称或局部组合，但“格神失效、核心作用路径完全中断，或特殊格局硬门槛被有效反证否决”成立时，不能按本规则维持格局。</x:v>
      </x:c>
      <x:c r="AF27" s="68" t="str">
        <x:v>https://zh.wikisource.org/zh-hans/%E6%B7%B5%E6%B5%B7%E5%AD%90%E5%B9%B3 ; https://zh.wikisource.org/wiki/%E6%BB%B4%E5%A4%A9%E9%AB%93%E9%97%A1%E5%BE%AE</x:v>
      </x:c>
      <x:c r="AG27" s="82" t="str">
        <x:v>采用</x:v>
      </x:c>
      <x:c r="AH27" s="82" t="str">
        <x:v>初审</x:v>
      </x:c>
      <x:c r="AI27" s="87" t="n">
        <x:v>46260</x:v>
      </x:c>
    </x:row>
    <x:row r="28">
      <x:c r="A28" s="72" t="str">
        <x:f>IF(OR(C28="",D28=""),"",B28&amp;"-"&amp;UPPER(C28)&amp;"-"&amp;TEXT(D28,"0000")&amp;"-"&amp;E28)</x:f>
        <x:v>M15-SHA-0022-V1.0</x:v>
      </x:c>
      <x:c r="B28" s="74" t="str">
        <x:v>M15</x:v>
      </x:c>
      <x:c r="C28" s="74" t="str">
        <x:v>SHA</x:v>
      </x:c>
      <x:c r="D28" s="215" t="n">
        <x:v>22</x:v>
      </x:c>
      <x:c r="E28" s="74" t="str">
        <x:v>V1.0</x:v>
      </x:c>
      <x:c r="F28" s="68" t="str">
        <x:v>七杀无制无化且日主弱构成严重破格</x:v>
      </x:c>
      <x:c r="G28" s="82" t="str">
        <x:v>综合层</x:v>
      </x:c>
      <x:c r="H28" s="68" t="str">
        <x:v>七杀格候选</x:v>
      </x:c>
      <x:c r="I28" s="68" t="str">
        <x:v>七杀候选有月令依据但缺乏有效制化</x:v>
      </x:c>
      <x:c r="J28" s="68" t="str">
        <x:v>月令依据、格神根气与有效力量、日主配合及M11组合证据相互支持</x:v>
      </x:c>
      <x:c r="K28" s="68" t="str">
        <x:v>杀旺直接攻身，食神印星均不能承担制化</x:v>
      </x:c>
      <x:c r="L28" s="82" t="str">
        <x:v>严重</x:v>
      </x:c>
      <x:c r="M28" s="68" t="str">
        <x:v>无有效救应</x:v>
      </x:c>
      <x:c r="N28" s="82" t="str">
        <x:v>无救应</x:v>
      </x:c>
      <x:c r="O28" s="84" t="str">
        <x:v>成立但有破</x:v>
      </x:c>
      <x:c r="P28" s="82" t="str">
        <x:v>较清</x:v>
      </x:c>
      <x:c r="Q28" s="68" t="str">
        <x:v>格神虽有权，但结构失衡；若日主完全无承载可能不成立</x:v>
      </x:c>
      <x:c r="R28" s="68" t="str">
        <x:v>M14已生成候选；M08、M09、M10、M11相关结论可追溯</x:v>
      </x:c>
      <x:c r="S28" s="68" t="str">
        <x:v>格神与关键配合十神均以有效力量和实际功能为准</x:v>
      </x:c>
      <x:c r="T28" s="68" t="str">
        <x:v>格神得令、有根、透达、清纯，组合路径稳定且日主承载匹配</x:v>
      </x:c>
      <x:c r="U28" s="68" t="str">
        <x:v>格神受制、混杂、路径受阻、日主承载不足或救应只能局部作用</x:v>
      </x:c>
      <x:c r="V28" s="90" t="str">
        <x:v>格神失效、核心作用路径完全中断，或特殊格局硬门槛被有效反证否决</x:v>
      </x:c>
      <x:c r="W28" s="68" t="str">
        <x:v>特殊格局严格条件、流派争议及岁运补成另按专门规则处理</x:v>
      </x:c>
      <x:c r="X28" s="84" t="str">
        <x:v>七杀格_无制无化</x:v>
      </x:c>
      <x:c r="Y28" s="84" t="str">
        <x:v>七杀格候选判为“成立但有破”：破格等级为“严重”，救应为“无救应”，清纯度为“较清”；层次需结合全局继续评估。</x:v>
      </x:c>
      <x:c r="Z28" s="68" t="str">
        <x:v>若“格神失效、核心作用路径完全中断，或特殊格局硬门槛被有效反证否决”成立，应降低为成立但有破或不成立，不得维持当前结论。</x:v>
      </x:c>
      <x:c r="AA28" s="82" t="str">
        <x:v>较高</x:v>
      </x:c>
      <x:c r="AB28" s="82" t="str">
        <x:v>子平格局</x:v>
      </x:c>
      <x:c r="AC28" s="68" t="str">
        <x:v>格局成败须区分：格神是否有效、结构是否能运行、是否存在破坏、救应是否直接修复破格机制，以及格局成立与层次高低。</x:v>
      </x:c>
      <x:c r="AD28" s="68" t="str">
        <x:v>当“七杀候选有月令依据但缺乏有效制化”成立，且成格证据相互支持、无决定性否决时，可按本规则判断。</x:v>
      </x:c>
      <x:c r="AE28" s="90" t="str">
        <x:v>只有格局名称或局部组合，但“格神失效、核心作用路径完全中断，或特殊格局硬门槛被有效反证否决”成立时，不能按本规则维持格局。</x:v>
      </x:c>
      <x:c r="AF28" s="68" t="str">
        <x:v>https://zh.wikisource.org/zh-hans/%E6%B7%B5%E6%B5%B7%E5%AD%90%E5%B9%B3 ; https://zh.wikisource.org/wiki/%E6%BB%B4%E5%A4%A9%E9%AB%93%E9%97%A1%E5%BE%AE</x:v>
      </x:c>
      <x:c r="AG28" s="82" t="str">
        <x:v>采用</x:v>
      </x:c>
      <x:c r="AH28" s="82" t="str">
        <x:v>初审</x:v>
      </x:c>
      <x:c r="AI28" s="87" t="n">
        <x:v>46260</x:v>
      </x:c>
    </x:row>
    <x:row r="29">
      <x:c r="A29" s="72" t="str">
        <x:f>IF(OR(C29="",D29=""),"",B29&amp;"-"&amp;UPPER(C29)&amp;"-"&amp;TEXT(D29,"0000")&amp;"-"&amp;E29)</x:f>
        <x:v>M15-SHA-0023-V1.0</x:v>
      </x:c>
      <x:c r="B29" s="74" t="str">
        <x:v>M15</x:v>
      </x:c>
      <x:c r="C29" s="74" t="str">
        <x:v>SHA</x:v>
      </x:c>
      <x:c r="D29" s="215" t="n">
        <x:v>23</x:v>
      </x:c>
      <x:c r="E29" s="74" t="str">
        <x:v>V1.0</x:v>
      </x:c>
      <x:c r="F29" s="68" t="str">
        <x:v>制杀太过会破坏七杀格平衡</x:v>
      </x:c>
      <x:c r="G29" s="82" t="str">
        <x:v>综合层</x:v>
      </x:c>
      <x:c r="H29" s="68" t="str">
        <x:v>七杀格候选</x:v>
      </x:c>
      <x:c r="I29" s="68" t="str">
        <x:v>食神制杀结构原成立</x:v>
      </x:c>
      <x:c r="J29" s="68" t="str">
        <x:v>月令依据、格神根气与有效力量、日主配合及M11组合证据相互支持</x:v>
      </x:c>
      <x:c r="K29" s="68" t="str">
        <x:v>食伤过旺，将七杀制至残弱或失效</x:v>
      </x:c>
      <x:c r="L29" s="82" t="str">
        <x:v>一般</x:v>
      </x:c>
      <x:c r="M29" s="68" t="str">
        <x:v>财星生杀或印星制食伤须谨慎比较</x:v>
      </x:c>
      <x:c r="N29" s="82" t="str">
        <x:v>待定</x:v>
      </x:c>
      <x:c r="O29" s="84" t="str">
        <x:v>成立但有破</x:v>
      </x:c>
      <x:c r="P29" s="82" t="str">
        <x:v>有杂</x:v>
      </x:c>
      <x:c r="Q29" s="68" t="str">
        <x:v>七杀失去必要制衡功能，制化由平衡转为过度</x:v>
      </x:c>
      <x:c r="R29" s="68" t="str">
        <x:v>M14已生成候选；M08、M09、M10、M11相关结论可追溯</x:v>
      </x:c>
      <x:c r="S29" s="68" t="str">
        <x:v>格神与关键配合十神均以有效力量和实际功能为准</x:v>
      </x:c>
      <x:c r="T29" s="68" t="str">
        <x:v>格神得令、有根、透达、清纯，组合路径稳定且日主承载匹配</x:v>
      </x:c>
      <x:c r="U29" s="68" t="str">
        <x:v>格神受制、混杂、路径受阻、日主承载不足或救应只能局部作用</x:v>
      </x:c>
      <x:c r="V29" s="90" t="str">
        <x:v>格神失效、核心作用路径完全中断，或特殊格局硬门槛被有效反证否决</x:v>
      </x:c>
      <x:c r="W29" s="68" t="str">
        <x:v>特殊格局严格条件、流派争议及岁运补成另按专门规则处理</x:v>
      </x:c>
      <x:c r="X29" s="84" t="str">
        <x:v>七杀格_制杀太过</x:v>
      </x:c>
      <x:c r="Y29" s="84" t="str">
        <x:v>七杀格候选判为“成立但有破”：破格等级为“一般”，救应为“待定”，清纯度为“有杂”；层次需结合全局继续评估。</x:v>
      </x:c>
      <x:c r="Z29" s="68" t="str">
        <x:v>若“格神失效、核心作用路径完全中断，或特殊格局硬门槛被有效反证否决”成立，应降低为成立但有破或不成立，不得维持当前结论。</x:v>
      </x:c>
      <x:c r="AA29" s="82" t="str">
        <x:v>较高</x:v>
      </x:c>
      <x:c r="AB29" s="82" t="str">
        <x:v>子平格局</x:v>
      </x:c>
      <x:c r="AC29" s="68" t="str">
        <x:v>格局成败须区分：格神是否有效、结构是否能运行、是否存在破坏、救应是否直接修复破格机制，以及格局成立与层次高低。</x:v>
      </x:c>
      <x:c r="AD29" s="68" t="str">
        <x:v>当“食神制杀结构原成立”成立，且成格证据相互支持、无决定性否决时，可按本规则判断。</x:v>
      </x:c>
      <x:c r="AE29" s="90" t="str">
        <x:v>只有格局名称或局部组合，但“格神失效、核心作用路径完全中断，或特殊格局硬门槛被有效反证否决”成立时，不能按本规则维持格局。</x:v>
      </x:c>
      <x:c r="AF29" s="68" t="str">
        <x:v>https://zh.wikisource.org/zh-hans/%E6%B7%B5%E6%B5%B7%E5%AD%90%E5%B9%B3 ; https://zh.wikisource.org/wiki/%E6%BB%B4%E5%A4%A9%E9%AB%93%E9%97%A1%E5%BE%AE</x:v>
      </x:c>
      <x:c r="AG29" s="82" t="str">
        <x:v>采用</x:v>
      </x:c>
      <x:c r="AH29" s="82" t="str">
        <x:v>初审</x:v>
      </x:c>
      <x:c r="AI29" s="87" t="n">
        <x:v>46260</x:v>
      </x:c>
    </x:row>
    <x:row r="30">
      <x:c r="A30" s="72" t="str">
        <x:f>IF(OR(C30="",D30=""),"",B30&amp;"-"&amp;UPPER(C30)&amp;"-"&amp;TEXT(D30,"0000")&amp;"-"&amp;E30)</x:f>
        <x:v>M15-SHA-0024-V1.0</x:v>
      </x:c>
      <x:c r="B30" s="74" t="str">
        <x:v>M15</x:v>
      </x:c>
      <x:c r="C30" s="74" t="str">
        <x:v>SHA</x:v>
      </x:c>
      <x:c r="D30" s="215" t="n">
        <x:v>24</x:v>
      </x:c>
      <x:c r="E30" s="74" t="str">
        <x:v>V1.0</x:v>
      </x:c>
      <x:c r="F30" s="68" t="str">
        <x:v>枭夺食会破坏食神制杀型七杀格</x:v>
      </x:c>
      <x:c r="G30" s="82" t="str">
        <x:v>综合层</x:v>
      </x:c>
      <x:c r="H30" s="68" t="str">
        <x:v>七杀格候选</x:v>
      </x:c>
      <x:c r="I30" s="68" t="str">
        <x:v>七杀格主要依赖食神制杀</x:v>
      </x:c>
      <x:c r="J30" s="68" t="str">
        <x:v>月令依据、格神根气与有效力量、日主配合及M11组合证据相互支持</x:v>
      </x:c>
      <x:c r="K30" s="68" t="str">
        <x:v>偏印强克关键食神，使制杀功能受限或失效</x:v>
      </x:c>
      <x:c r="L30" s="82" t="str">
        <x:v>严重</x:v>
      </x:c>
      <x:c r="M30" s="68" t="str">
        <x:v>财星制枭护食</x:v>
      </x:c>
      <x:c r="N30" s="82" t="str">
        <x:v>待定</x:v>
      </x:c>
      <x:c r="O30" s="84" t="str">
        <x:v>成立但有破</x:v>
      </x:c>
      <x:c r="P30" s="82" t="str">
        <x:v>混杂</x:v>
      </x:c>
      <x:c r="Q30" s="68" t="str">
        <x:v>制杀环节受损，格局稳定性明显下降</x:v>
      </x:c>
      <x:c r="R30" s="68" t="str">
        <x:v>M14已生成候选；M08、M09、M10、M11相关结论可追溯</x:v>
      </x:c>
      <x:c r="S30" s="68" t="str">
        <x:v>格神与关键配合十神均以有效力量和实际功能为准</x:v>
      </x:c>
      <x:c r="T30" s="68" t="str">
        <x:v>格神得令、有根、透达、清纯，组合路径稳定且日主承载匹配</x:v>
      </x:c>
      <x:c r="U30" s="68" t="str">
        <x:v>格神受制、混杂、路径受阻、日主承载不足或救应只能局部作用</x:v>
      </x:c>
      <x:c r="V30" s="90" t="str">
        <x:v>格神失效、核心作用路径完全中断，或特殊格局硬门槛被有效反证否决</x:v>
      </x:c>
      <x:c r="W30" s="68" t="str">
        <x:v>特殊格局严格条件、流派争议及岁运补成另按专门规则处理</x:v>
      </x:c>
      <x:c r="X30" s="84" t="str">
        <x:v>七杀格_枭夺食破格</x:v>
      </x:c>
      <x:c r="Y30" s="84" t="str">
        <x:v>七杀格候选判为“成立但有破”：破格等级为“严重”，救应为“待定”，清纯度为“混杂”；层次需结合全局继续评估。</x:v>
      </x:c>
      <x:c r="Z30" s="68" t="str">
        <x:v>若“格神失效、核心作用路径完全中断，或特殊格局硬门槛被有效反证否决”成立，应降低为成立但有破或不成立，不得维持当前结论。</x:v>
      </x:c>
      <x:c r="AA30" s="82" t="str">
        <x:v>较高</x:v>
      </x:c>
      <x:c r="AB30" s="82" t="str">
        <x:v>子平格局</x:v>
      </x:c>
      <x:c r="AC30" s="68" t="str">
        <x:v>格局成败须区分：格神是否有效、结构是否能运行、是否存在破坏、救应是否直接修复破格机制，以及格局成立与层次高低。</x:v>
      </x:c>
      <x:c r="AD30" s="68" t="str">
        <x:v>当“七杀格主要依赖食神制杀”成立，且成格证据相互支持、无决定性否决时，可按本规则判断。</x:v>
      </x:c>
      <x:c r="AE30" s="90" t="str">
        <x:v>只有格局名称或局部组合，但“格神失效、核心作用路径完全中断，或特殊格局硬门槛被有效反证否决”成立时，不能按本规则维持格局。</x:v>
      </x:c>
      <x:c r="AF30" s="68" t="str">
        <x:v>https://zh.wikisource.org/zh-hans/%E6%B7%B5%E6%B5%B7%E5%AD%90%E5%B9%B3 ; https://zh.wikisource.org/wiki/%E6%BB%B4%E5%A4%A9%E9%AB%93%E9%97%A1%E5%BE%AE</x:v>
      </x:c>
      <x:c r="AG30" s="82" t="str">
        <x:v>采用</x:v>
      </x:c>
      <x:c r="AH30" s="82" t="str">
        <x:v>初审</x:v>
      </x:c>
      <x:c r="AI30" s="87" t="n">
        <x:v>46260</x:v>
      </x:c>
    </x:row>
    <x:row r="31">
      <x:c r="A31" s="72" t="str">
        <x:f>IF(OR(C31="",D31=""),"",B31&amp;"-"&amp;UPPER(C31)&amp;"-"&amp;TEXT(D31,"0000")&amp;"-"&amp;E31)</x:f>
        <x:v>M15-SHA-0025-V1.0</x:v>
      </x:c>
      <x:c r="B31" s="74" t="str">
        <x:v>M15</x:v>
      </x:c>
      <x:c r="C31" s="74" t="str">
        <x:v>SHA</x:v>
      </x:c>
      <x:c r="D31" s="215" t="n">
        <x:v>25</x:v>
      </x:c>
      <x:c r="E31" s="74" t="str">
        <x:v>V1.0</x:v>
      </x:c>
      <x:c r="F31" s="68" t="str">
        <x:v>财制枭护食可救食神制杀型七杀格</x:v>
      </x:c>
      <x:c r="G31" s="82" t="str">
        <x:v>综合层</x:v>
      </x:c>
      <x:c r="H31" s="68" t="str">
        <x:v>七杀格候选</x:v>
      </x:c>
      <x:c r="I31" s="68" t="str">
        <x:v>枭夺食已经破坏制杀，但财星能有效制枭且不过度生杀</x:v>
      </x:c>
      <x:c r="J31" s="68" t="str">
        <x:v>财制枭路径直接，食神功能恢复，杀不过度增强</x:v>
      </x:c>
      <x:c r="K31" s="68" t="str">
        <x:v>枭夺食</x:v>
      </x:c>
      <x:c r="L31" s="82" t="str">
        <x:v>一般</x:v>
      </x:c>
      <x:c r="M31" s="68" t="str">
        <x:v>财制枭护食</x:v>
      </x:c>
      <x:c r="N31" s="82" t="str">
        <x:v>明显有效</x:v>
      </x:c>
      <x:c r="O31" s="84" t="str">
        <x:v>有破有救</x:v>
      </x:c>
      <x:c r="P31" s="82" t="str">
        <x:v>有杂</x:v>
      </x:c>
      <x:c r="Q31" s="68" t="str">
        <x:v>食神制杀得以恢复，但财生杀副作用需保留</x:v>
      </x:c>
      <x:c r="R31" s="68" t="str">
        <x:v>M14已生成候选；M08、M09、M10、M11相关结论可追溯</x:v>
      </x:c>
      <x:c r="S31" s="68" t="str">
        <x:v>格神与关键配合十神均以有效力量和实际功能为准</x:v>
      </x:c>
      <x:c r="T31" s="68" t="str">
        <x:v>格神得令、有根、透达、清纯，组合路径稳定且日主承载匹配</x:v>
      </x:c>
      <x:c r="U31" s="68" t="str">
        <x:v>格神受制、混杂、路径受阻、日主承载不足或救应只能局部作用</x:v>
      </x:c>
      <x:c r="V31" s="90" t="str">
        <x:v>格神失效、核心作用路径完全中断，或特殊格局硬门槛被有效反证否决</x:v>
      </x:c>
      <x:c r="W31" s="68" t="str">
        <x:v>特殊格局严格条件、流派争议及岁运补成另按专门规则处理</x:v>
      </x:c>
      <x:c r="X31" s="84" t="str">
        <x:v>七杀格_财制枭救应</x:v>
      </x:c>
      <x:c r="Y31" s="84" t="str">
        <x:v>七杀格候选判为“有破有救”：破格等级为“一般”，救应为“明显有效”，清纯度为“有杂”；层次需结合全局继续评估。</x:v>
      </x:c>
      <x:c r="Z31" s="68" t="str">
        <x:v>若“格神失效、核心作用路径完全中断，或特殊格局硬门槛被有效反证否决”成立，应降低为成立但有破或不成立，不得维持当前结论。</x:v>
      </x:c>
      <x:c r="AA31" s="82" t="str">
        <x:v>较高</x:v>
      </x:c>
      <x:c r="AB31" s="82" t="str">
        <x:v>子平格局</x:v>
      </x:c>
      <x:c r="AC31" s="68" t="str">
        <x:v>格局成败须区分：格神是否有效、结构是否能运行、是否存在破坏、救应是否直接修复破格机制，以及格局成立与层次高低。</x:v>
      </x:c>
      <x:c r="AD31" s="68" t="str">
        <x:v>当“枭夺食已经破坏制杀，但财星能有效制枭且不过度生杀”成立，且成格证据相互支持、无决定性否决时，可按本规则判断。</x:v>
      </x:c>
      <x:c r="AE31" s="90" t="str">
        <x:v>只有格局名称或局部组合，但“格神失效、核心作用路径完全中断，或特殊格局硬门槛被有效反证否决”成立时，不能按本规则维持格局。</x:v>
      </x:c>
      <x:c r="AF31" s="68" t="str">
        <x:v>https://zh.wikisource.org/zh-hans/%E6%B7%B5%E6%B5%B7%E5%AD%90%E5%B9%B3 ; https://zh.wikisource.org/wiki/%E6%BB%B4%E5%A4%A9%E9%AB%93%E9%97%A1%E5%BE%AE</x:v>
      </x:c>
      <x:c r="AG31" s="82" t="str">
        <x:v>采用</x:v>
      </x:c>
      <x:c r="AH31" s="82" t="str">
        <x:v>初审</x:v>
      </x:c>
      <x:c r="AI31" s="87" t="n">
        <x:v>46260</x:v>
      </x:c>
    </x:row>
    <x:row r="32">
      <x:c r="A32" s="72" t="str">
        <x:f>IF(OR(C32="",D32=""),"",B32&amp;"-"&amp;UPPER(C32)&amp;"-"&amp;TEXT(D32,"0000")&amp;"-"&amp;E32)</x:f>
        <x:v>M15-SHA-0026-V1.0</x:v>
      </x:c>
      <x:c r="B32" s="74" t="str">
        <x:v>M15</x:v>
      </x:c>
      <x:c r="C32" s="74" t="str">
        <x:v>SHA</x:v>
      </x:c>
      <x:c r="D32" s="215" t="n">
        <x:v>26</x:v>
      </x:c>
      <x:c r="E32" s="74" t="str">
        <x:v>V1.0</x:v>
      </x:c>
      <x:c r="F32" s="68" t="str">
        <x:v>印化杀可救无食制的七杀格</x:v>
      </x:c>
      <x:c r="G32" s="82" t="str">
        <x:v>综合层</x:v>
      </x:c>
      <x:c r="H32" s="68" t="str">
        <x:v>七杀格候选</x:v>
      </x:c>
      <x:c r="I32" s="68" t="str">
        <x:v>食神不足，但印星有效承接七杀并生日主</x:v>
      </x:c>
      <x:c r="J32" s="68" t="str">
        <x:v>杀→印→身链路连续</x:v>
      </x:c>
      <x:c r="K32" s="68" t="str">
        <x:v>原杀压直接落身</x:v>
      </x:c>
      <x:c r="L32" s="82" t="str">
        <x:v>一般</x:v>
      </x:c>
      <x:c r="M32" s="68" t="str">
        <x:v>印星化杀生身</x:v>
      </x:c>
      <x:c r="N32" s="82" t="str">
        <x:v>明显有效</x:v>
      </x:c>
      <x:c r="O32" s="84" t="str">
        <x:v>有破有救</x:v>
      </x:c>
      <x:c r="P32" s="82" t="str">
        <x:v>较清</x:v>
      </x:c>
      <x:c r="Q32" s="68" t="str">
        <x:v>制化路线由食制转为印化，格局可重新稳定</x:v>
      </x:c>
      <x:c r="R32" s="68" t="str">
        <x:v>M14已生成候选；M08、M09、M10、M11相关结论可追溯</x:v>
      </x:c>
      <x:c r="S32" s="68" t="str">
        <x:v>格神与关键配合十神均以有效力量和实际功能为准</x:v>
      </x:c>
      <x:c r="T32" s="68" t="str">
        <x:v>格神得令、有根、透达、清纯，组合路径稳定且日主承载匹配</x:v>
      </x:c>
      <x:c r="U32" s="68" t="str">
        <x:v>格神受制、混杂、路径受阻、日主承载不足或救应只能局部作用</x:v>
      </x:c>
      <x:c r="V32" s="90" t="str">
        <x:v>格神失效、核心作用路径完全中断，或特殊格局硬门槛被有效反证否决</x:v>
      </x:c>
      <x:c r="W32" s="68" t="str">
        <x:v>特殊格局严格条件、流派争议及岁运补成另按专门规则处理</x:v>
      </x:c>
      <x:c r="X32" s="84" t="str">
        <x:v>七杀格_印化杀救应</x:v>
      </x:c>
      <x:c r="Y32" s="84" t="str">
        <x:v>七杀格候选判为“有破有救”：破格等级为“一般”，救应为“明显有效”，清纯度为“较清”；层次需结合全局继续评估。</x:v>
      </x:c>
      <x:c r="Z32" s="68" t="str">
        <x:v>若“格神失效、核心作用路径完全中断，或特殊格局硬门槛被有效反证否决”成立，应降低为成立但有破或不成立，不得维持当前结论。</x:v>
      </x:c>
      <x:c r="AA32" s="82" t="str">
        <x:v>较高</x:v>
      </x:c>
      <x:c r="AB32" s="82" t="str">
        <x:v>子平格局</x:v>
      </x:c>
      <x:c r="AC32" s="68" t="str">
        <x:v>格局成败须区分：格神是否有效、结构是否能运行、是否存在破坏、救应是否直接修复破格机制，以及格局成立与层次高低。</x:v>
      </x:c>
      <x:c r="AD32" s="68" t="str">
        <x:v>当“食神不足，但印星有效承接七杀并生日主”成立，且成格证据相互支持、无决定性否决时，可按本规则判断。</x:v>
      </x:c>
      <x:c r="AE32" s="90" t="str">
        <x:v>只有格局名称或局部组合，但“格神失效、核心作用路径完全中断，或特殊格局硬门槛被有效反证否决”成立时，不能按本规则维持格局。</x:v>
      </x:c>
      <x:c r="AF32" s="68" t="str">
        <x:v>https://zh.wikisource.org/zh-hans/%E6%B7%B5%E6%B5%B7%E5%AD%90%E5%B9%B3 ; https://zh.wikisource.org/wiki/%E6%BB%B4%E5%A4%A9%E9%AB%93%E9%97%A1%E5%BE%AE</x:v>
      </x:c>
      <x:c r="AG32" s="82" t="str">
        <x:v>采用</x:v>
      </x:c>
      <x:c r="AH32" s="82" t="str">
        <x:v>初审</x:v>
      </x:c>
      <x:c r="AI32" s="87" t="n">
        <x:v>46260</x:v>
      </x:c>
    </x:row>
    <x:row r="33">
      <x:c r="A33" s="72" t="str">
        <x:f>IF(OR(C33="",D33=""),"",B33&amp;"-"&amp;UPPER(C33)&amp;"-"&amp;TEXT(D33,"0000")&amp;"-"&amp;E33)</x:f>
        <x:v>M15-YIN-0027-V1.0</x:v>
      </x:c>
      <x:c r="B33" s="74" t="str">
        <x:v>M15</x:v>
      </x:c>
      <x:c r="C33" s="74" t="str">
        <x:v>YIN</x:v>
      </x:c>
      <x:c r="D33" s="215" t="n">
        <x:v>27</x:v>
      </x:c>
      <x:c r="E33" s="74" t="str">
        <x:v>V1.0</x:v>
      </x:c>
      <x:c r="F33" s="68" t="str">
        <x:v>印格基本成格要求印星真实生身并不过度</x:v>
      </x:c>
      <x:c r="G33" s="82" t="str">
        <x:v>综合层</x:v>
      </x:c>
      <x:c r="H33" s="68" t="str">
        <x:v>正印格/偏印格候选</x:v>
      </x:c>
      <x:c r="I33" s="68" t="str">
        <x:v>印星有月令依据、有根有源，日主需要或能承受印生</x:v>
      </x:c>
      <x:c r="J33" s="68" t="str">
        <x:v>印星有效生身，未被财星重制，未形成严重壅塞</x:v>
      </x:c>
      <x:c r="K33" s="68" t="str">
        <x:v>无决定性破格因素</x:v>
      </x:c>
      <x:c r="L33" s="82" t="str">
        <x:v>无破</x:v>
      </x:c>
      <x:c r="M33" s="68" t="str">
        <x:v>无须救应</x:v>
      </x:c>
      <x:c r="N33" s="82" t="str">
        <x:v>无救应</x:v>
      </x:c>
      <x:c r="O33" s="84" t="str">
        <x:v>基本成立</x:v>
      </x:c>
      <x:c r="P33" s="82" t="str">
        <x:v>较清</x:v>
      </x:c>
      <x:c r="Q33" s="68" t="str">
        <x:v>印星能够完成生扶或承接官杀功能</x:v>
      </x:c>
      <x:c r="R33" s="68" t="str">
        <x:v>M14已生成候选；M08、M09、M10、M11相关结论可追溯</x:v>
      </x:c>
      <x:c r="S33" s="68" t="str">
        <x:v>格神与关键配合十神均以有效力量和实际功能为准</x:v>
      </x:c>
      <x:c r="T33" s="68" t="str">
        <x:v>格神得令、有根、透达、清纯，组合路径稳定且日主承载匹配</x:v>
      </x:c>
      <x:c r="U33" s="68" t="str">
        <x:v>格神受制、混杂、路径受阻、日主承载不足或救应只能局部作用</x:v>
      </x:c>
      <x:c r="V33" s="90" t="str">
        <x:v>格神失效、核心作用路径完全中断，或特殊格局硬门槛被有效反证否决</x:v>
      </x:c>
      <x:c r="W33" s="68" t="str">
        <x:v>特殊格局严格条件、流派争议及岁运补成另按专门规则处理</x:v>
      </x:c>
      <x:c r="X33" s="84" t="str">
        <x:v>正印格/偏印格候选_成败救应</x:v>
      </x:c>
      <x:c r="Y33" s="84" t="str">
        <x:v>正印格/偏印格候选判为“基本成立”：破格等级为“无破”，救应为“无救应”，清纯度为“较清”；层次需结合全局继续评估。</x:v>
      </x:c>
      <x:c r="Z33" s="68" t="str">
        <x:v>若“格神失效、核心作用路径完全中断，或特殊格局硬门槛被有效反证否决”成立，应降低为成立但有破或不成立，不得维持当前结论。</x:v>
      </x:c>
      <x:c r="AA33" s="82" t="str">
        <x:v>较高</x:v>
      </x:c>
      <x:c r="AB33" s="82" t="str">
        <x:v>子平格局</x:v>
      </x:c>
      <x:c r="AC33" s="68" t="str">
        <x:v>格局成败须区分：格神是否有效、结构是否能运行、是否存在破坏、救应是否直接修复破格机制，以及格局成立与层次高低。</x:v>
      </x:c>
      <x:c r="AD33" s="68" t="str">
        <x:v>当“印星有月令依据、有根有源，日主需要或能承受印生”成立，且成格证据相互支持、无决定性否决时，可按本规则判断。</x:v>
      </x:c>
      <x:c r="AE33" s="90" t="str">
        <x:v>只有格局名称或局部组合，但“格神失效、核心作用路径完全中断，或特殊格局硬门槛被有效反证否决”成立时，不能按本规则维持格局。</x:v>
      </x:c>
      <x:c r="AF33" s="68" t="str">
        <x:v>https://zh.wikisource.org/zh-hans/%E6%B7%B5%E6%B5%B7%E5%AD%90%E5%B9%B3 ; https://zh.wikisource.org/wiki/%E6%BB%B4%E5%A4%A9%E9%AB%93%E9%97%A1%E5%BE%AE</x:v>
      </x:c>
      <x:c r="AG33" s="82" t="str">
        <x:v>采用</x:v>
      </x:c>
      <x:c r="AH33" s="82" t="str">
        <x:v>初审</x:v>
      </x:c>
      <x:c r="AI33" s="87" t="n">
        <x:v>46260</x:v>
      </x:c>
    </x:row>
    <x:row r="34">
      <x:c r="A34" s="72" t="str">
        <x:f>IF(OR(C34="",D34=""),"",B34&amp;"-"&amp;UPPER(C34)&amp;"-"&amp;TEXT(D34,"0000")&amp;"-"&amp;E34)</x:f>
        <x:v>M15-YIN-0028-V1.0</x:v>
      </x:c>
      <x:c r="B34" s="74" t="str">
        <x:v>M15</x:v>
      </x:c>
      <x:c r="C34" s="74" t="str">
        <x:v>YIN</x:v>
      </x:c>
      <x:c r="D34" s="215" t="n">
        <x:v>28</x:v>
      </x:c>
      <x:c r="E34" s="74" t="str">
        <x:v>V1.0</x:v>
      </x:c>
      <x:c r="F34" s="68" t="str">
        <x:v>官印相生清晰可提高正印格层次</x:v>
      </x:c>
      <x:c r="G34" s="82" t="str">
        <x:v>综合层</x:v>
      </x:c>
      <x:c r="H34" s="68" t="str">
        <x:v>正印格候选</x:v>
      </x:c>
      <x:c r="I34" s="68" t="str">
        <x:v>官星生印，印星生日主，链路连续</x:v>
      </x:c>
      <x:c r="J34" s="68" t="str">
        <x:v>官印均清纯有效，日主承载匹配</x:v>
      </x:c>
      <x:c r="K34" s="68" t="str">
        <x:v>无决定性破格因素</x:v>
      </x:c>
      <x:c r="L34" s="82" t="str">
        <x:v>无破</x:v>
      </x:c>
      <x:c r="M34" s="68" t="str">
        <x:v>无须救应</x:v>
      </x:c>
      <x:c r="N34" s="82" t="str">
        <x:v>无救应</x:v>
      </x:c>
      <x:c r="O34" s="84" t="str">
        <x:v>清纯成立</x:v>
      </x:c>
      <x:c r="P34" s="82" t="str">
        <x:v>清纯</x:v>
      </x:c>
      <x:c r="Q34" s="68" t="str">
        <x:v>印有源、官有序，结构完整稳定</x:v>
      </x:c>
      <x:c r="R34" s="68" t="str">
        <x:v>M14已生成候选；M08、M09、M10、M11相关结论可追溯</x:v>
      </x:c>
      <x:c r="S34" s="68" t="str">
        <x:v>格神与关键配合十神均以有效力量和实际功能为准</x:v>
      </x:c>
      <x:c r="T34" s="68" t="str">
        <x:v>格神得令、有根、透达、清纯，组合路径稳定且日主承载匹配</x:v>
      </x:c>
      <x:c r="U34" s="68" t="str">
        <x:v>格神受制、混杂、路径受阻、日主承载不足或救应只能局部作用</x:v>
      </x:c>
      <x:c r="V34" s="90" t="str">
        <x:v>格神失效、核心作用路径完全中断，或特殊格局硬门槛被有效反证否决</x:v>
      </x:c>
      <x:c r="W34" s="68" t="str">
        <x:v>特殊格局严格条件、流派争议及岁运补成另按专门规则处理</x:v>
      </x:c>
      <x:c r="X34" s="84" t="str">
        <x:v>正印格_官印相生</x:v>
      </x:c>
      <x:c r="Y34" s="84" t="str">
        <x:v>正印格候选判为“清纯成立”：破格等级为“无破”，救应为“无救应”，清纯度为“清纯”；层次需结合全局继续评估。</x:v>
      </x:c>
      <x:c r="Z34" s="68" t="str">
        <x:v>若“格神失效、核心作用路径完全中断，或特殊格局硬门槛被有效反证否决”成立，应降低为成立但有破或不成立，不得维持当前结论。</x:v>
      </x:c>
      <x:c r="AA34" s="82" t="str">
        <x:v>较高</x:v>
      </x:c>
      <x:c r="AB34" s="82" t="str">
        <x:v>子平格局</x:v>
      </x:c>
      <x:c r="AC34" s="68" t="str">
        <x:v>格局成败须区分：格神是否有效、结构是否能运行、是否存在破坏、救应是否直接修复破格机制，以及格局成立与层次高低。</x:v>
      </x:c>
      <x:c r="AD34" s="68" t="str">
        <x:v>当“官星生印，印星生日主，链路连续”成立，且成格证据相互支持、无决定性否决时，可按本规则判断。</x:v>
      </x:c>
      <x:c r="AE34" s="90" t="str">
        <x:v>只有格局名称或局部组合，但“格神失效、核心作用路径完全中断，或特殊格局硬门槛被有效反证否决”成立时，不能按本规则维持格局。</x:v>
      </x:c>
      <x:c r="AF34" s="68" t="str">
        <x:v>https://zh.wikisource.org/zh-hans/%E6%B7%B5%E6%B5%B7%E5%AD%90%E5%B9%B3 ; https://zh.wikisource.org/wiki/%E6%BB%B4%E5%A4%A9%E9%AB%93%E9%97%A1%E5%BE%AE</x:v>
      </x:c>
      <x:c r="AG34" s="82" t="str">
        <x:v>采用</x:v>
      </x:c>
      <x:c r="AH34" s="82" t="str">
        <x:v>初审</x:v>
      </x:c>
      <x:c r="AI34" s="87" t="n">
        <x:v>46260</x:v>
      </x:c>
    </x:row>
    <x:row r="35">
      <x:c r="A35" s="72" t="str">
        <x:f>IF(OR(C35="",D35=""),"",B35&amp;"-"&amp;UPPER(C35)&amp;"-"&amp;TEXT(D35,"0000")&amp;"-"&amp;E35)</x:f>
        <x:v>M15-YIN-0029-V1.0</x:v>
      </x:c>
      <x:c r="B35" s="74" t="str">
        <x:v>M15</x:v>
      </x:c>
      <x:c r="C35" s="74" t="str">
        <x:v>YIN</x:v>
      </x:c>
      <x:c r="D35" s="215" t="n">
        <x:v>29</x:v>
      </x:c>
      <x:c r="E35" s="74" t="str">
        <x:v>V1.0</x:v>
      </x:c>
      <x:c r="F35" s="68" t="str">
        <x:v>杀印相生清晰可提高偏印格层次</x:v>
      </x:c>
      <x:c r="G35" s="82" t="str">
        <x:v>综合层</x:v>
      </x:c>
      <x:c r="H35" s="68" t="str">
        <x:v>偏印格候选</x:v>
      </x:c>
      <x:c r="I35" s="68" t="str">
        <x:v>七杀有效生偏印，偏印继续生日主</x:v>
      </x:c>
      <x:c r="J35" s="68" t="str">
        <x:v>杀印链稳定，财不坏印，日主能承</x:v>
      </x:c>
      <x:c r="K35" s="68" t="str">
        <x:v>无决定性破格因素</x:v>
      </x:c>
      <x:c r="L35" s="82" t="str">
        <x:v>无破</x:v>
      </x:c>
      <x:c r="M35" s="68" t="str">
        <x:v>无须救应</x:v>
      </x:c>
      <x:c r="N35" s="82" t="str">
        <x:v>无救应</x:v>
      </x:c>
      <x:c r="O35" s="84" t="str">
        <x:v>清纯成立</x:v>
      </x:c>
      <x:c r="P35" s="82" t="str">
        <x:v>较清</x:v>
      </x:c>
      <x:c r="Q35" s="68" t="str">
        <x:v>偏印承担化杀生身核心功能</x:v>
      </x:c>
      <x:c r="R35" s="68" t="str">
        <x:v>M14已生成候选；M08、M09、M10、M11相关结论可追溯</x:v>
      </x:c>
      <x:c r="S35" s="68" t="str">
        <x:v>格神与关键配合十神均以有效力量和实际功能为准</x:v>
      </x:c>
      <x:c r="T35" s="68" t="str">
        <x:v>格神得令、有根、透达、清纯，组合路径稳定且日主承载匹配</x:v>
      </x:c>
      <x:c r="U35" s="68" t="str">
        <x:v>格神受制、混杂、路径受阻、日主承载不足或救应只能局部作用</x:v>
      </x:c>
      <x:c r="V35" s="90" t="str">
        <x:v>格神失效、核心作用路径完全中断，或特殊格局硬门槛被有效反证否决</x:v>
      </x:c>
      <x:c r="W35" s="68" t="str">
        <x:v>特殊格局严格条件、流派争议及岁运补成另按专门规则处理</x:v>
      </x:c>
      <x:c r="X35" s="84" t="str">
        <x:v>偏印格_杀印相生</x:v>
      </x:c>
      <x:c r="Y35" s="84" t="str">
        <x:v>偏印格候选判为“清纯成立”：破格等级为“无破”，救应为“无救应”，清纯度为“较清”；层次需结合全局继续评估。</x:v>
      </x:c>
      <x:c r="Z35" s="68" t="str">
        <x:v>若“格神失效、核心作用路径完全中断，或特殊格局硬门槛被有效反证否决”成立，应降低为成立但有破或不成立，不得维持当前结论。</x:v>
      </x:c>
      <x:c r="AA35" s="82" t="str">
        <x:v>较高</x:v>
      </x:c>
      <x:c r="AB35" s="82" t="str">
        <x:v>子平格局</x:v>
      </x:c>
      <x:c r="AC35" s="68" t="str">
        <x:v>格局成败须区分：格神是否有效、结构是否能运行、是否存在破坏、救应是否直接修复破格机制，以及格局成立与层次高低。</x:v>
      </x:c>
      <x:c r="AD35" s="68" t="str">
        <x:v>当“七杀有效生偏印，偏印继续生日主”成立，且成格证据相互支持、无决定性否决时，可按本规则判断。</x:v>
      </x:c>
      <x:c r="AE35" s="90" t="str">
        <x:v>只有格局名称或局部组合，但“格神失效、核心作用路径完全中断，或特殊格局硬门槛被有效反证否决”成立时，不能按本规则维持格局。</x:v>
      </x:c>
      <x:c r="AF35" s="68" t="str">
        <x:v>https://zh.wikisource.org/zh-hans/%E6%B7%B5%E6%B5%B7%E5%AD%90%E5%B9%B3 ; https://zh.wikisource.org/wiki/%E6%BB%B4%E5%A4%A9%E9%AB%93%E9%97%A1%E5%BE%AE</x:v>
      </x:c>
      <x:c r="AG35" s="82" t="str">
        <x:v>采用</x:v>
      </x:c>
      <x:c r="AH35" s="82" t="str">
        <x:v>初审</x:v>
      </x:c>
      <x:c r="AI35" s="87" t="n">
        <x:v>46260</x:v>
      </x:c>
    </x:row>
    <x:row r="36">
      <x:c r="A36" s="72" t="str">
        <x:f>IF(OR(C36="",D36=""),"",B36&amp;"-"&amp;UPPER(C36)&amp;"-"&amp;TEXT(D36,"0000")&amp;"-"&amp;E36)</x:f>
        <x:v>M15-YIN-0030-V1.0</x:v>
      </x:c>
      <x:c r="B36" s="74" t="str">
        <x:v>M15</x:v>
      </x:c>
      <x:c r="C36" s="74" t="str">
        <x:v>YIN</x:v>
      </x:c>
      <x:c r="D36" s="215" t="n">
        <x:v>30</x:v>
      </x:c>
      <x:c r="E36" s="74" t="str">
        <x:v>V1.0</x:v>
      </x:c>
      <x:c r="F36" s="68" t="str">
        <x:v>财坏关键印星构成严重破格</x:v>
      </x:c>
      <x:c r="G36" s="82" t="str">
        <x:v>综合层</x:v>
      </x:c>
      <x:c r="H36" s="68" t="str">
        <x:v>印格候选</x:v>
      </x:c>
      <x:c r="I36" s="68" t="str">
        <x:v>印格原成立且印为生身、化杀或制伤关键节点</x:v>
      </x:c>
      <x:c r="J36" s="68" t="str">
        <x:v>月令依据、格神根气与有效力量、日主配合及M11组合证据相互支持</x:v>
      </x:c>
      <x:c r="K36" s="68" t="str">
        <x:v>财星有力并直接克制关键印星</x:v>
      </x:c>
      <x:c r="L36" s="82" t="str">
        <x:v>严重</x:v>
      </x:c>
      <x:c r="M36" s="68" t="str">
        <x:v>比劫制财或财星被合制</x:v>
      </x:c>
      <x:c r="N36" s="82" t="str">
        <x:v>待定</x:v>
      </x:c>
      <x:c r="O36" s="84" t="str">
        <x:v>成立但有破</x:v>
      </x:c>
      <x:c r="P36" s="82" t="str">
        <x:v>有杂</x:v>
      </x:c>
      <x:c r="Q36" s="68" t="str">
        <x:v>印星主功能受损；若印完全失效则格局不成立</x:v>
      </x:c>
      <x:c r="R36" s="68" t="str">
        <x:v>M14已生成候选；M08、M09、M10、M11相关结论可追溯</x:v>
      </x:c>
      <x:c r="S36" s="68" t="str">
        <x:v>格神与关键配合十神均以有效力量和实际功能为准</x:v>
      </x:c>
      <x:c r="T36" s="68" t="str">
        <x:v>格神得令、有根、透达、清纯，组合路径稳定且日主承载匹配</x:v>
      </x:c>
      <x:c r="U36" s="68" t="str">
        <x:v>格神受制、混杂、路径受阻、日主承载不足或救应只能局部作用</x:v>
      </x:c>
      <x:c r="V36" s="90" t="str">
        <x:v>格神失效、核心作用路径完全中断，或特殊格局硬门槛被有效反证否决</x:v>
      </x:c>
      <x:c r="W36" s="68" t="str">
        <x:v>特殊格局严格条件、流派争议及岁运补成另按专门规则处理</x:v>
      </x:c>
      <x:c r="X36" s="84" t="str">
        <x:v>印格_财坏印</x:v>
      </x:c>
      <x:c r="Y36" s="84" t="str">
        <x:v>印格候选判为“成立但有破”：破格等级为“严重”，救应为“待定”，清纯度为“有杂”；层次需结合全局继续评估。</x:v>
      </x:c>
      <x:c r="Z36" s="68" t="str">
        <x:v>若“格神失效、核心作用路径完全中断，或特殊格局硬门槛被有效反证否决”成立，应降低为成立但有破或不成立，不得维持当前结论。</x:v>
      </x:c>
      <x:c r="AA36" s="82" t="str">
        <x:v>较高</x:v>
      </x:c>
      <x:c r="AB36" s="82" t="str">
        <x:v>子平格局</x:v>
      </x:c>
      <x:c r="AC36" s="68" t="str">
        <x:v>格局成败须区分：格神是否有效、结构是否能运行、是否存在破坏、救应是否直接修复破格机制，以及格局成立与层次高低。</x:v>
      </x:c>
      <x:c r="AD36" s="68" t="str">
        <x:v>当“印格原成立且印为生身、化杀或制伤关键节点”成立，且成格证据相互支持、无决定性否决时，可按本规则判断。</x:v>
      </x:c>
      <x:c r="AE36" s="90" t="str">
        <x:v>只有格局名称或局部组合，但“格神失效、核心作用路径完全中断，或特殊格局硬门槛被有效反证否决”成立时，不能按本规则维持格局。</x:v>
      </x:c>
      <x:c r="AF36" s="68" t="str">
        <x:v>https://zh.wikisource.org/zh-hans/%E6%B7%B5%E6%B5%B7%E5%AD%90%E5%B9%B3 ; https://zh.wikisource.org/wiki/%E6%BB%B4%E5%A4%A9%E9%AB%93%E9%97%A1%E5%BE%AE</x:v>
      </x:c>
      <x:c r="AG36" s="82" t="str">
        <x:v>采用</x:v>
      </x:c>
      <x:c r="AH36" s="82" t="str">
        <x:v>初审</x:v>
      </x:c>
      <x:c r="AI36" s="87" t="n">
        <x:v>46260</x:v>
      </x:c>
    </x:row>
    <x:row r="37">
      <x:c r="A37" s="72" t="str">
        <x:f>IF(OR(C37="",D37=""),"",B37&amp;"-"&amp;UPPER(C37)&amp;"-"&amp;TEXT(D37,"0000")&amp;"-"&amp;E37)</x:f>
        <x:v>M15-YIN-0031-V1.0</x:v>
      </x:c>
      <x:c r="B37" s="74" t="str">
        <x:v>M15</x:v>
      </x:c>
      <x:c r="C37" s="74" t="str">
        <x:v>YIN</x:v>
      </x:c>
      <x:c r="D37" s="215" t="n">
        <x:v>31</x:v>
      </x:c>
      <x:c r="E37" s="74" t="str">
        <x:v>V1.0</x:v>
      </x:c>
      <x:c r="F37" s="68" t="str">
        <x:v>比劫制财可救财坏印</x:v>
      </x:c>
      <x:c r="G37" s="82" t="str">
        <x:v>综合层</x:v>
      </x:c>
      <x:c r="H37" s="68" t="str">
        <x:v>印格候选</x:v>
      </x:c>
      <x:c r="I37" s="68" t="str">
        <x:v>财星正在破坏关键印星，比劫有力并能制财</x:v>
      </x:c>
      <x:c r="J37" s="68" t="str">
        <x:v>比劫→财克制真实，印星功能恢复</x:v>
      </x:c>
      <x:c r="K37" s="68" t="str">
        <x:v>财坏印</x:v>
      </x:c>
      <x:c r="L37" s="82" t="str">
        <x:v>一般</x:v>
      </x:c>
      <x:c r="M37" s="68" t="str">
        <x:v>比劫制财护印</x:v>
      </x:c>
      <x:c r="N37" s="82" t="str">
        <x:v>明显有效</x:v>
      </x:c>
      <x:c r="O37" s="84" t="str">
        <x:v>有破有救</x:v>
      </x:c>
      <x:c r="P37" s="82" t="str">
        <x:v>有杂</x:v>
      </x:c>
      <x:c r="Q37" s="68" t="str">
        <x:v>格局主要功能恢复，但比劫过强副作用需另审</x:v>
      </x:c>
      <x:c r="R37" s="68" t="str">
        <x:v>M14已生成候选；M08、M09、M10、M11相关结论可追溯</x:v>
      </x:c>
      <x:c r="S37" s="68" t="str">
        <x:v>格神与关键配合十神均以有效力量和实际功能为准</x:v>
      </x:c>
      <x:c r="T37" s="68" t="str">
        <x:v>格神得令、有根、透达、清纯，组合路径稳定且日主承载匹配</x:v>
      </x:c>
      <x:c r="U37" s="68" t="str">
        <x:v>格神受制、混杂、路径受阻、日主承载不足或救应只能局部作用</x:v>
      </x:c>
      <x:c r="V37" s="90" t="str">
        <x:v>格神失效、核心作用路径完全中断，或特殊格局硬门槛被有效反证否决</x:v>
      </x:c>
      <x:c r="W37" s="68" t="str">
        <x:v>特殊格局严格条件、流派争议及岁运补成另按专门规则处理</x:v>
      </x:c>
      <x:c r="X37" s="84" t="str">
        <x:v>印格_比劫制财救应</x:v>
      </x:c>
      <x:c r="Y37" s="84" t="str">
        <x:v>印格候选判为“有破有救”：破格等级为“一般”，救应为“明显有效”，清纯度为“有杂”；层次需结合全局继续评估。</x:v>
      </x:c>
      <x:c r="Z37" s="68" t="str">
        <x:v>若“格神失效、核心作用路径完全中断，或特殊格局硬门槛被有效反证否决”成立，应降低为成立但有破或不成立，不得维持当前结论。</x:v>
      </x:c>
      <x:c r="AA37" s="82" t="str">
        <x:v>较高</x:v>
      </x:c>
      <x:c r="AB37" s="82" t="str">
        <x:v>子平格局</x:v>
      </x:c>
      <x:c r="AC37" s="68" t="str">
        <x:v>格局成败须区分：格神是否有效、结构是否能运行、是否存在破坏、救应是否直接修复破格机制，以及格局成立与层次高低。</x:v>
      </x:c>
      <x:c r="AD37" s="68" t="str">
        <x:v>当“财星正在破坏关键印星，比劫有力并能制财”成立，且成格证据相互支持、无决定性否决时，可按本规则判断。</x:v>
      </x:c>
      <x:c r="AE37" s="90" t="str">
        <x:v>只有格局名称或局部组合，但“格神失效、核心作用路径完全中断，或特殊格局硬门槛被有效反证否决”成立时，不能按本规则维持格局。</x:v>
      </x:c>
      <x:c r="AF37" s="68" t="str">
        <x:v>https://zh.wikisource.org/zh-hans/%E6%B7%B5%E6%B5%B7%E5%AD%90%E5%B9%B3 ; https://zh.wikisource.org/wiki/%E6%BB%B4%E5%A4%A9%E9%AB%93%E9%97%A1%E5%BE%AE</x:v>
      </x:c>
      <x:c r="AG37" s="82" t="str">
        <x:v>采用</x:v>
      </x:c>
      <x:c r="AH37" s="82" t="str">
        <x:v>初审</x:v>
      </x:c>
      <x:c r="AI37" s="87" t="n">
        <x:v>46260</x:v>
      </x:c>
    </x:row>
    <x:row r="38">
      <x:c r="A38" s="72" t="str">
        <x:f>IF(OR(C38="",D38=""),"",B38&amp;"-"&amp;UPPER(C38)&amp;"-"&amp;TEXT(D38,"0000")&amp;"-"&amp;E38)</x:f>
        <x:v>M15-YIN-0032-V1.0</x:v>
      </x:c>
      <x:c r="B38" s="74" t="str">
        <x:v>M15</x:v>
      </x:c>
      <x:c r="C38" s="74" t="str">
        <x:v>YIN</x:v>
      </x:c>
      <x:c r="D38" s="215" t="n">
        <x:v>32</x:v>
      </x:c>
      <x:c r="E38" s="74" t="str">
        <x:v>V1.0</x:v>
      </x:c>
      <x:c r="F38" s="68" t="str">
        <x:v>印多身滞会降低印格层次</x:v>
      </x:c>
      <x:c r="G38" s="82" t="str">
        <x:v>综合层</x:v>
      </x:c>
      <x:c r="H38" s="68" t="str">
        <x:v>印格候选</x:v>
      </x:c>
      <x:c r="I38" s="68" t="str">
        <x:v>印星得令成势，但日主已旺，食伤输出受压</x:v>
      </x:c>
      <x:c r="J38" s="68" t="str">
        <x:v>月令依据、格神根气与有效力量、日主配合及M11组合证据相互支持</x:v>
      </x:c>
      <x:c r="K38" s="68" t="str">
        <x:v>印生过度并阻断必要泄出</x:v>
      </x:c>
      <x:c r="L38" s="82" t="str">
        <x:v>一般</x:v>
      </x:c>
      <x:c r="M38" s="68" t="str">
        <x:v>食伤有效泄秀或财星适度制印</x:v>
      </x:c>
      <x:c r="N38" s="82" t="str">
        <x:v>待定</x:v>
      </x:c>
      <x:c r="O38" s="84" t="str">
        <x:v>成立但有破</x:v>
      </x:c>
      <x:c r="P38" s="82" t="str">
        <x:v>较清</x:v>
      </x:c>
      <x:c r="Q38" s="68" t="str">
        <x:v>格局成立但流通不佳，层次受壅滞限制</x:v>
      </x:c>
      <x:c r="R38" s="68" t="str">
        <x:v>M14已生成候选；M08、M09、M10、M11相关结论可追溯</x:v>
      </x:c>
      <x:c r="S38" s="68" t="str">
        <x:v>格神与关键配合十神均以有效力量和实际功能为准</x:v>
      </x:c>
      <x:c r="T38" s="68" t="str">
        <x:v>格神得令、有根、透达、清纯，组合路径稳定且日主承载匹配</x:v>
      </x:c>
      <x:c r="U38" s="68" t="str">
        <x:v>格神受制、混杂、路径受阻、日主承载不足或救应只能局部作用</x:v>
      </x:c>
      <x:c r="V38" s="90" t="str">
        <x:v>格神失效、核心作用路径完全中断，或特殊格局硬门槛被有效反证否决</x:v>
      </x:c>
      <x:c r="W38" s="68" t="str">
        <x:v>特殊格局严格条件、流派争议及岁运补成另按专门规则处理</x:v>
      </x:c>
      <x:c r="X38" s="84" t="str">
        <x:v>印格_印多身滞</x:v>
      </x:c>
      <x:c r="Y38" s="84" t="str">
        <x:v>印格候选判为“成立但有破”：破格等级为“一般”，救应为“待定”，清纯度为“较清”；层次需结合全局继续评估。</x:v>
      </x:c>
      <x:c r="Z38" s="68" t="str">
        <x:v>若“格神失效、核心作用路径完全中断，或特殊格局硬门槛被有效反证否决”成立，应降低为成立但有破或不成立，不得维持当前结论。</x:v>
      </x:c>
      <x:c r="AA38" s="82" t="str">
        <x:v>较高</x:v>
      </x:c>
      <x:c r="AB38" s="82" t="str">
        <x:v>子平格局</x:v>
      </x:c>
      <x:c r="AC38" s="68" t="str">
        <x:v>格局成败须区分：格神是否有效、结构是否能运行、是否存在破坏、救应是否直接修复破格机制，以及格局成立与层次高低。</x:v>
      </x:c>
      <x:c r="AD38" s="68" t="str">
        <x:v>当“印星得令成势，但日主已旺，食伤输出受压”成立，且成格证据相互支持、无决定性否决时，可按本规则判断。</x:v>
      </x:c>
      <x:c r="AE38" s="90" t="str">
        <x:v>只有格局名称或局部组合，但“格神失效、核心作用路径完全中断，或特殊格局硬门槛被有效反证否决”成立时，不能按本规则维持格局。</x:v>
      </x:c>
      <x:c r="AF38" s="68" t="str">
        <x:v>https://zh.wikisource.org/zh-hans/%E6%B7%B5%E6%B5%B7%E5%AD%90%E5%B9%B3 ; https://zh.wikisource.org/wiki/%E6%BB%B4%E5%A4%A9%E9%AB%93%E9%97%A1%E5%BE%AE</x:v>
      </x:c>
      <x:c r="AG38" s="82" t="str">
        <x:v>采用</x:v>
      </x:c>
      <x:c r="AH38" s="82" t="str">
        <x:v>初审</x:v>
      </x:c>
      <x:c r="AI38" s="87" t="n">
        <x:v>46260</x:v>
      </x:c>
    </x:row>
    <x:row r="39">
      <x:c r="A39" s="72" t="str">
        <x:f>IF(OR(C39="",D39=""),"",B39&amp;"-"&amp;UPPER(C39)&amp;"-"&amp;TEXT(D39,"0000")&amp;"-"&amp;E39)</x:f>
        <x:v>M15-YIN-0033-V1.0</x:v>
      </x:c>
      <x:c r="B39" s="74" t="str">
        <x:v>M15</x:v>
      </x:c>
      <x:c r="C39" s="74" t="str">
        <x:v>YIN</x:v>
      </x:c>
      <x:c r="D39" s="215" t="n">
        <x:v>33</x:v>
      </x:c>
      <x:c r="E39" s="74" t="str">
        <x:v>V1.0</x:v>
      </x:c>
      <x:c r="F39" s="68" t="str">
        <x:v>枭神夺食会使偏印格带明显副作用</x:v>
      </x:c>
      <x:c r="G39" s="82" t="str">
        <x:v>综合层</x:v>
      </x:c>
      <x:c r="H39" s="68" t="str">
        <x:v>偏印格候选</x:v>
      </x:c>
      <x:c r="I39" s="68" t="str">
        <x:v>偏印格成立且食神承担关键生财或制杀功能</x:v>
      </x:c>
      <x:c r="J39" s="68" t="str">
        <x:v>月令依据、格神根气与有效力量、日主配合及M11组合证据相互支持</x:v>
      </x:c>
      <x:c r="K39" s="68" t="str">
        <x:v>偏印强制食神，破坏关键输出</x:v>
      </x:c>
      <x:c r="L39" s="82" t="str">
        <x:v>一般</x:v>
      </x:c>
      <x:c r="M39" s="68" t="str">
        <x:v>财星制枭</x:v>
      </x:c>
      <x:c r="N39" s="82" t="str">
        <x:v>待定</x:v>
      </x:c>
      <x:c r="O39" s="84" t="str">
        <x:v>成立但有破</x:v>
      </x:c>
      <x:c r="P39" s="82" t="str">
        <x:v>有杂</x:v>
      </x:c>
      <x:c r="Q39" s="68" t="str">
        <x:v>偏印格仍可运行，但重要食神功能受损</x:v>
      </x:c>
      <x:c r="R39" s="68" t="str">
        <x:v>M14已生成候选；M08、M09、M10、M11相关结论可追溯</x:v>
      </x:c>
      <x:c r="S39" s="68" t="str">
        <x:v>格神与关键配合十神均以有效力量和实际功能为准</x:v>
      </x:c>
      <x:c r="T39" s="68" t="str">
        <x:v>格神得令、有根、透达、清纯，组合路径稳定且日主承载匹配</x:v>
      </x:c>
      <x:c r="U39" s="68" t="str">
        <x:v>格神受制、混杂、路径受阻、日主承载不足或救应只能局部作用</x:v>
      </x:c>
      <x:c r="V39" s="90" t="str">
        <x:v>格神失效、核心作用路径完全中断，或特殊格局硬门槛被有效反证否决</x:v>
      </x:c>
      <x:c r="W39" s="68" t="str">
        <x:v>特殊格局严格条件、流派争议及岁运补成另按专门规则处理</x:v>
      </x:c>
      <x:c r="X39" s="84" t="str">
        <x:v>偏印格_枭夺食</x:v>
      </x:c>
      <x:c r="Y39" s="84" t="str">
        <x:v>偏印格候选判为“成立但有破”：破格等级为“一般”，救应为“待定”，清纯度为“有杂”；层次需结合全局继续评估。</x:v>
      </x:c>
      <x:c r="Z39" s="68" t="str">
        <x:v>若“格神失效、核心作用路径完全中断，或特殊格局硬门槛被有效反证否决”成立，应降低为成立但有破或不成立，不得维持当前结论。</x:v>
      </x:c>
      <x:c r="AA39" s="82" t="str">
        <x:v>较高</x:v>
      </x:c>
      <x:c r="AB39" s="82" t="str">
        <x:v>子平格局</x:v>
      </x:c>
      <x:c r="AC39" s="68" t="str">
        <x:v>格局成败须区分：格神是否有效、结构是否能运行、是否存在破坏、救应是否直接修复破格机制，以及格局成立与层次高低。</x:v>
      </x:c>
      <x:c r="AD39" s="68" t="str">
        <x:v>当“偏印格成立且食神承担关键生财或制杀功能”成立，且成格证据相互支持、无决定性否决时，可按本规则判断。</x:v>
      </x:c>
      <x:c r="AE39" s="90" t="str">
        <x:v>只有格局名称或局部组合，但“格神失效、核心作用路径完全中断，或特殊格局硬门槛被有效反证否决”成立时，不能按本规则维持格局。</x:v>
      </x:c>
      <x:c r="AF39" s="68" t="str">
        <x:v>https://zh.wikisource.org/zh-hans/%E6%B7%B5%E6%B5%B7%E5%AD%90%E5%B9%B3 ; https://zh.wikisource.org/wiki/%E6%BB%B4%E5%A4%A9%E9%AB%93%E9%97%A1%E5%BE%AE</x:v>
      </x:c>
      <x:c r="AG39" s="82" t="str">
        <x:v>采用</x:v>
      </x:c>
      <x:c r="AH39" s="82" t="str">
        <x:v>初审</x:v>
      </x:c>
      <x:c r="AI39" s="87" t="n">
        <x:v>46260</x:v>
      </x:c>
    </x:row>
    <x:row r="40">
      <x:c r="A40" s="72" t="str">
        <x:f>IF(OR(C40="",D40=""),"",B40&amp;"-"&amp;UPPER(C40)&amp;"-"&amp;TEXT(D40,"0000")&amp;"-"&amp;E40)</x:f>
        <x:v>M15-YIN-0034-V1.0</x:v>
      </x:c>
      <x:c r="B40" s="74" t="str">
        <x:v>M15</x:v>
      </x:c>
      <x:c r="C40" s="74" t="str">
        <x:v>YIN</x:v>
      </x:c>
      <x:c r="D40" s="215" t="n">
        <x:v>34</x:v>
      </x:c>
      <x:c r="E40" s="74" t="str">
        <x:v>V1.0</x:v>
      </x:c>
      <x:c r="F40" s="68" t="str">
        <x:v>印枭混杂主从不清时格局降级</x:v>
      </x:c>
      <x:c r="G40" s="82" t="str">
        <x:v>综合层</x:v>
      </x:c>
      <x:c r="H40" s="68" t="str">
        <x:v>印格候选</x:v>
      </x:c>
      <x:c r="I40" s="68" t="str">
        <x:v>正印与偏印均有效且共同主导生身或制食伤</x:v>
      </x:c>
      <x:c r="J40" s="68" t="str">
        <x:v>月令依据、格神根气与有效力量、日主配合及M11组合证据相互支持</x:v>
      </x:c>
      <x:c r="K40" s="68" t="str">
        <x:v>印枭双强、功能主从不清</x:v>
      </x:c>
      <x:c r="L40" s="82" t="str">
        <x:v>轻微</x:v>
      </x:c>
      <x:c r="M40" s="68" t="str">
        <x:v>形成明确主从或一方被有效制化</x:v>
      </x:c>
      <x:c r="N40" s="82" t="str">
        <x:v>待定</x:v>
      </x:c>
      <x:c r="O40" s="84" t="str">
        <x:v>成立但有破</x:v>
      </x:c>
      <x:c r="P40" s="82" t="str">
        <x:v>混杂</x:v>
      </x:c>
      <x:c r="Q40" s="68" t="str">
        <x:v>格局仍成立，但清纯度和取用稳定性下降</x:v>
      </x:c>
      <x:c r="R40" s="68" t="str">
        <x:v>M14已生成候选；M08、M09、M10、M11相关结论可追溯</x:v>
      </x:c>
      <x:c r="S40" s="68" t="str">
        <x:v>格神与关键配合十神均以有效力量和实际功能为准</x:v>
      </x:c>
      <x:c r="T40" s="68" t="str">
        <x:v>格神得令、有根、透达、清纯，组合路径稳定且日主承载匹配</x:v>
      </x:c>
      <x:c r="U40" s="68" t="str">
        <x:v>格神受制、混杂、路径受阻、日主承载不足或救应只能局部作用</x:v>
      </x:c>
      <x:c r="V40" s="90" t="str">
        <x:v>格神失效、核心作用路径完全中断，或特殊格局硬门槛被有效反证否决</x:v>
      </x:c>
      <x:c r="W40" s="68" t="str">
        <x:v>特殊格局严格条件、流派争议及岁运补成另按专门规则处理</x:v>
      </x:c>
      <x:c r="X40" s="84" t="str">
        <x:v>印格_印枭混杂</x:v>
      </x:c>
      <x:c r="Y40" s="84" t="str">
        <x:v>印格候选判为“成立但有破”：破格等级为“轻微”，救应为“待定”，清纯度为“混杂”；层次需结合全局继续评估。</x:v>
      </x:c>
      <x:c r="Z40" s="68" t="str">
        <x:v>若“格神失效、核心作用路径完全中断，或特殊格局硬门槛被有效反证否决”成立，应降低为成立但有破或不成立，不得维持当前结论。</x:v>
      </x:c>
      <x:c r="AA40" s="82" t="str">
        <x:v>较高</x:v>
      </x:c>
      <x:c r="AB40" s="82" t="str">
        <x:v>子平格局</x:v>
      </x:c>
      <x:c r="AC40" s="68" t="str">
        <x:v>格局成败须区分：格神是否有效、结构是否能运行、是否存在破坏、救应是否直接修复破格机制，以及格局成立与层次高低。</x:v>
      </x:c>
      <x:c r="AD40" s="68" t="str">
        <x:v>当“正印与偏印均有效且共同主导生身或制食伤”成立，且成格证据相互支持、无决定性否决时，可按本规则判断。</x:v>
      </x:c>
      <x:c r="AE40" s="90" t="str">
        <x:v>只有格局名称或局部组合，但“格神失效、核心作用路径完全中断，或特殊格局硬门槛被有效反证否决”成立时，不能按本规则维持格局。</x:v>
      </x:c>
      <x:c r="AF40" s="68" t="str">
        <x:v>https://zh.wikisource.org/zh-hans/%E6%B7%B5%E6%B5%B7%E5%AD%90%E5%B9%B3 ; https://zh.wikisource.org/wiki/%E6%BB%B4%E5%A4%A9%E9%AB%93%E9%97%A1%E5%BE%AE</x:v>
      </x:c>
      <x:c r="AG40" s="82" t="str">
        <x:v>采用</x:v>
      </x:c>
      <x:c r="AH40" s="82" t="str">
        <x:v>初审</x:v>
      </x:c>
      <x:c r="AI40" s="87" t="n">
        <x:v>46260</x:v>
      </x:c>
    </x:row>
    <x:row r="41">
      <x:c r="A41" s="72" t="str">
        <x:f>IF(OR(C41="",D41=""),"",B41&amp;"-"&amp;UPPER(C41)&amp;"-"&amp;TEXT(D41,"0000")&amp;"-"&amp;E41)</x:f>
        <x:v>M15-CAI-0035-V1.0</x:v>
      </x:c>
      <x:c r="B41" s="74" t="str">
        <x:v>M15</x:v>
      </x:c>
      <x:c r="C41" s="74" t="str">
        <x:v>CAI</x:v>
      </x:c>
      <x:c r="D41" s="215" t="n">
        <x:v>35</x:v>
      </x:c>
      <x:c r="E41" s="74" t="str">
        <x:v>V1.0</x:v>
      </x:c>
      <x:c r="F41" s="68" t="str">
        <x:v>财格基本成格要求财星有力且日主能任</x:v>
      </x:c>
      <x:c r="G41" s="82" t="str">
        <x:v>综合层</x:v>
      </x:c>
      <x:c r="H41" s="68" t="str">
        <x:v>正财格/偏财格候选</x:v>
      </x:c>
      <x:c r="I41" s="68" t="str">
        <x:v>财星有月令依据、有根有源，日主具备承载，财未被比劫完全制去</x:v>
      </x:c>
      <x:c r="J41" s="68" t="str">
        <x:v>财星有效，食伤生财或财官链可运行</x:v>
      </x:c>
      <x:c r="K41" s="68" t="str">
        <x:v>无决定性破格因素</x:v>
      </x:c>
      <x:c r="L41" s="82" t="str">
        <x:v>无破</x:v>
      </x:c>
      <x:c r="M41" s="68" t="str">
        <x:v>无须救应</x:v>
      </x:c>
      <x:c r="N41" s="82" t="str">
        <x:v>无救应</x:v>
      </x:c>
      <x:c r="O41" s="84" t="str">
        <x:v>基本成立</x:v>
      </x:c>
      <x:c r="P41" s="82" t="str">
        <x:v>较清</x:v>
      </x:c>
      <x:c r="Q41" s="68" t="str">
        <x:v>财星能够形成稳定耗用与资源流向</x:v>
      </x:c>
      <x:c r="R41" s="68" t="str">
        <x:v>M14已生成候选；M08、M09、M10、M11相关结论可追溯</x:v>
      </x:c>
      <x:c r="S41" s="68" t="str">
        <x:v>格神与关键配合十神均以有效力量和实际功能为准</x:v>
      </x:c>
      <x:c r="T41" s="68" t="str">
        <x:v>格神得令、有根、透达、清纯，组合路径稳定且日主承载匹配</x:v>
      </x:c>
      <x:c r="U41" s="68" t="str">
        <x:v>格神受制、混杂、路径受阻、日主承载不足或救应只能局部作用</x:v>
      </x:c>
      <x:c r="V41" s="90" t="str">
        <x:v>格神失效、核心作用路径完全中断，或特殊格局硬门槛被有效反证否决</x:v>
      </x:c>
      <x:c r="W41" s="68" t="str">
        <x:v>特殊格局严格条件、流派争议及岁运补成另按专门规则处理</x:v>
      </x:c>
      <x:c r="X41" s="84" t="str">
        <x:v>正财格/偏财格候选_成败救应</x:v>
      </x:c>
      <x:c r="Y41" s="84" t="str">
        <x:v>正财格/偏财格候选判为“基本成立”：破格等级为“无破”，救应为“无救应”，清纯度为“较清”；层次需结合全局继续评估。</x:v>
      </x:c>
      <x:c r="Z41" s="68" t="str">
        <x:v>若“格神失效、核心作用路径完全中断，或特殊格局硬门槛被有效反证否决”成立，应降低为成立但有破或不成立，不得维持当前结论。</x:v>
      </x:c>
      <x:c r="AA41" s="82" t="str">
        <x:v>较高</x:v>
      </x:c>
      <x:c r="AB41" s="82" t="str">
        <x:v>子平格局</x:v>
      </x:c>
      <x:c r="AC41" s="68" t="str">
        <x:v>格局成败须区分：格神是否有效、结构是否能运行、是否存在破坏、救应是否直接修复破格机制，以及格局成立与层次高低。</x:v>
      </x:c>
      <x:c r="AD41" s="68" t="str">
        <x:v>当“财星有月令依据、有根有源，日主具备承载，财未被比劫完全制去”成立，且成格证据相互支持、无决定性否决时，可按本规则判断。</x:v>
      </x:c>
      <x:c r="AE41" s="90" t="str">
        <x:v>只有格局名称或局部组合，但“格神失效、核心作用路径完全中断，或特殊格局硬门槛被有效反证否决”成立时，不能按本规则维持格局。</x:v>
      </x:c>
      <x:c r="AF41" s="68" t="str">
        <x:v>https://zh.wikisource.org/zh-hans/%E6%B7%B5%E6%B5%B7%E5%AD%90%E5%B9%B3 ; https://zh.wikisource.org/wiki/%E6%BB%B4%E5%A4%A9%E9%AB%93%E9%97%A1%E5%BE%AE</x:v>
      </x:c>
      <x:c r="AG41" s="82" t="str">
        <x:v>采用</x:v>
      </x:c>
      <x:c r="AH41" s="82" t="str">
        <x:v>初审</x:v>
      </x:c>
      <x:c r="AI41" s="87" t="n">
        <x:v>46260</x:v>
      </x:c>
    </x:row>
    <x:row r="42">
      <x:c r="A42" s="72" t="str">
        <x:f>IF(OR(C42="",D42=""),"",B42&amp;"-"&amp;UPPER(C42)&amp;"-"&amp;TEXT(D42,"0000")&amp;"-"&amp;E42)</x:f>
        <x:v>M15-CAI-0036-V1.0</x:v>
      </x:c>
      <x:c r="B42" s="74" t="str">
        <x:v>M15</x:v>
      </x:c>
      <x:c r="C42" s="74" t="str">
        <x:v>CAI</x:v>
      </x:c>
      <x:c r="D42" s="215" t="n">
        <x:v>36</x:v>
      </x:c>
      <x:c r="E42" s="74" t="str">
        <x:v>V1.0</x:v>
      </x:c>
      <x:c r="F42" s="68" t="str">
        <x:v>食伤生财完整可提高财格层次</x:v>
      </x:c>
      <x:c r="G42" s="82" t="str">
        <x:v>综合层</x:v>
      </x:c>
      <x:c r="H42" s="68" t="str">
        <x:v>财格候选</x:v>
      </x:c>
      <x:c r="I42" s="68" t="str">
        <x:v>食伤有效生财，财星能承接，日主有足够源头</x:v>
      </x:c>
      <x:c r="J42" s="68" t="str">
        <x:v>身→食伤→财链路连续</x:v>
      </x:c>
      <x:c r="K42" s="68" t="str">
        <x:v>无决定性破格因素</x:v>
      </x:c>
      <x:c r="L42" s="82" t="str">
        <x:v>无破</x:v>
      </x:c>
      <x:c r="M42" s="68" t="str">
        <x:v>无须救应</x:v>
      </x:c>
      <x:c r="N42" s="82" t="str">
        <x:v>无救应</x:v>
      </x:c>
      <x:c r="O42" s="84" t="str">
        <x:v>清纯成立</x:v>
      </x:c>
      <x:c r="P42" s="82" t="str">
        <x:v>较清</x:v>
      </x:c>
      <x:c r="Q42" s="68" t="str">
        <x:v>财有源、输出有路，结构连续性较高</x:v>
      </x:c>
      <x:c r="R42" s="68" t="str">
        <x:v>M14已生成候选；M08、M09、M10、M11相关结论可追溯</x:v>
      </x:c>
      <x:c r="S42" s="68" t="str">
        <x:v>格神与关键配合十神均以有效力量和实际功能为准</x:v>
      </x:c>
      <x:c r="T42" s="68" t="str">
        <x:v>格神得令、有根、透达、清纯，组合路径稳定且日主承载匹配</x:v>
      </x:c>
      <x:c r="U42" s="68" t="str">
        <x:v>格神受制、混杂、路径受阻、日主承载不足或救应只能局部作用</x:v>
      </x:c>
      <x:c r="V42" s="90" t="str">
        <x:v>格神失效、核心作用路径完全中断，或特殊格局硬门槛被有效反证否决</x:v>
      </x:c>
      <x:c r="W42" s="68" t="str">
        <x:v>特殊格局严格条件、流派争议及岁运补成另按专门规则处理</x:v>
      </x:c>
      <x:c r="X42" s="84" t="str">
        <x:v>财格_食伤生财</x:v>
      </x:c>
      <x:c r="Y42" s="84" t="str">
        <x:v>财格候选判为“清纯成立”：破格等级为“无破”，救应为“无救应”，清纯度为“较清”；层次需结合全局继续评估。</x:v>
      </x:c>
      <x:c r="Z42" s="68" t="str">
        <x:v>若“格神失效、核心作用路径完全中断，或特殊格局硬门槛被有效反证否决”成立，应降低为成立但有破或不成立，不得维持当前结论。</x:v>
      </x:c>
      <x:c r="AA42" s="82" t="str">
        <x:v>较高</x:v>
      </x:c>
      <x:c r="AB42" s="82" t="str">
        <x:v>子平格局</x:v>
      </x:c>
      <x:c r="AC42" s="68" t="str">
        <x:v>格局成败须区分：格神是否有效、结构是否能运行、是否存在破坏、救应是否直接修复破格机制，以及格局成立与层次高低。</x:v>
      </x:c>
      <x:c r="AD42" s="68" t="str">
        <x:v>当“食伤有效生财，财星能承接，日主有足够源头”成立，且成格证据相互支持、无决定性否决时，可按本规则判断。</x:v>
      </x:c>
      <x:c r="AE42" s="90" t="str">
        <x:v>只有格局名称或局部组合，但“格神失效、核心作用路径完全中断，或特殊格局硬门槛被有效反证否决”成立时，不能按本规则维持格局。</x:v>
      </x:c>
      <x:c r="AF42" s="68" t="str">
        <x:v>https://zh.wikisource.org/zh-hans/%E6%B7%B5%E6%B5%B7%E5%AD%90%E5%B9%B3 ; https://zh.wikisource.org/wiki/%E6%BB%B4%E5%A4%A9%E9%AB%93%E9%97%A1%E5%BE%AE</x:v>
      </x:c>
      <x:c r="AG42" s="82" t="str">
        <x:v>采用</x:v>
      </x:c>
      <x:c r="AH42" s="82" t="str">
        <x:v>初审</x:v>
      </x:c>
      <x:c r="AI42" s="87" t="n">
        <x:v>46260</x:v>
      </x:c>
    </x:row>
    <x:row r="43">
      <x:c r="A43" s="72" t="str">
        <x:f>IF(OR(C43="",D43=""),"",B43&amp;"-"&amp;UPPER(C43)&amp;"-"&amp;TEXT(D43,"0000")&amp;"-"&amp;E43)</x:f>
        <x:v>M15-CAI-0037-V1.0</x:v>
      </x:c>
      <x:c r="B43" s="74" t="str">
        <x:v>M15</x:v>
      </x:c>
      <x:c r="C43" s="74" t="str">
        <x:v>CAI</x:v>
      </x:c>
      <x:c r="D43" s="215" t="n">
        <x:v>37</x:v>
      </x:c>
      <x:c r="E43" s="74" t="str">
        <x:v>V1.0</x:v>
      </x:c>
      <x:c r="F43" s="68" t="str">
        <x:v>财官相生完整可提高财格层次</x:v>
      </x:c>
      <x:c r="G43" s="82" t="str">
        <x:v>综合层</x:v>
      </x:c>
      <x:c r="H43" s="68" t="str">
        <x:v>财格候选</x:v>
      </x:c>
      <x:c r="I43" s="68" t="str">
        <x:v>财星生官，官星有效承接，日主能承受财耗官制</x:v>
      </x:c>
      <x:c r="J43" s="68" t="str">
        <x:v>财→官链清晰，官不过度，印不被财重破</x:v>
      </x:c>
      <x:c r="K43" s="68" t="str">
        <x:v>无决定性破格因素</x:v>
      </x:c>
      <x:c r="L43" s="82" t="str">
        <x:v>无破</x:v>
      </x:c>
      <x:c r="M43" s="68" t="str">
        <x:v>无须救应</x:v>
      </x:c>
      <x:c r="N43" s="82" t="str">
        <x:v>无救应</x:v>
      </x:c>
      <x:c r="O43" s="84" t="str">
        <x:v>清纯成立</x:v>
      </x:c>
      <x:c r="P43" s="82" t="str">
        <x:v>较清</x:v>
      </x:c>
      <x:c r="Q43" s="68" t="str">
        <x:v>财官资源链完整，格局运行较稳定</x:v>
      </x:c>
      <x:c r="R43" s="68" t="str">
        <x:v>M14已生成候选；M08、M09、M10、M11相关结论可追溯</x:v>
      </x:c>
      <x:c r="S43" s="68" t="str">
        <x:v>格神与关键配合十神均以有效力量和实际功能为准</x:v>
      </x:c>
      <x:c r="T43" s="68" t="str">
        <x:v>格神得令、有根、透达、清纯，组合路径稳定且日主承载匹配</x:v>
      </x:c>
      <x:c r="U43" s="68" t="str">
        <x:v>格神受制、混杂、路径受阻、日主承载不足或救应只能局部作用</x:v>
      </x:c>
      <x:c r="V43" s="90" t="str">
        <x:v>格神失效、核心作用路径完全中断，或特殊格局硬门槛被有效反证否决</x:v>
      </x:c>
      <x:c r="W43" s="68" t="str">
        <x:v>特殊格局严格条件、流派争议及岁运补成另按专门规则处理</x:v>
      </x:c>
      <x:c r="X43" s="84" t="str">
        <x:v>财格_财官相生</x:v>
      </x:c>
      <x:c r="Y43" s="84" t="str">
        <x:v>财格候选判为“清纯成立”：破格等级为“无破”，救应为“无救应”，清纯度为“较清”；层次需结合全局继续评估。</x:v>
      </x:c>
      <x:c r="Z43" s="68" t="str">
        <x:v>若“格神失效、核心作用路径完全中断，或特殊格局硬门槛被有效反证否决”成立，应降低为成立但有破或不成立，不得维持当前结论。</x:v>
      </x:c>
      <x:c r="AA43" s="82" t="str">
        <x:v>较高</x:v>
      </x:c>
      <x:c r="AB43" s="82" t="str">
        <x:v>子平格局</x:v>
      </x:c>
      <x:c r="AC43" s="68" t="str">
        <x:v>格局成败须区分：格神是否有效、结构是否能运行、是否存在破坏、救应是否直接修复破格机制，以及格局成立与层次高低。</x:v>
      </x:c>
      <x:c r="AD43" s="68" t="str">
        <x:v>当“财星生官，官星有效承接，日主能承受财耗官制”成立，且成格证据相互支持、无决定性否决时，可按本规则判断。</x:v>
      </x:c>
      <x:c r="AE43" s="90" t="str">
        <x:v>只有格局名称或局部组合，但“格神失效、核心作用路径完全中断，或特殊格局硬门槛被有效反证否决”成立时，不能按本规则维持格局。</x:v>
      </x:c>
      <x:c r="AF43" s="68" t="str">
        <x:v>https://zh.wikisource.org/zh-hans/%E6%B7%B5%E6%B5%B7%E5%AD%90%E5%B9%B3 ; https://zh.wikisource.org/wiki/%E6%BB%B4%E5%A4%A9%E9%AB%93%E9%97%A1%E5%BE%AE</x:v>
      </x:c>
      <x:c r="AG43" s="82" t="str">
        <x:v>采用</x:v>
      </x:c>
      <x:c r="AH43" s="82" t="str">
        <x:v>初审</x:v>
      </x:c>
      <x:c r="AI43" s="87" t="n">
        <x:v>46260</x:v>
      </x:c>
    </x:row>
    <x:row r="44">
      <x:c r="A44" s="72" t="str">
        <x:f>IF(OR(C44="",D44=""),"",B44&amp;"-"&amp;UPPER(C44)&amp;"-"&amp;TEXT(D44,"0000")&amp;"-"&amp;E44)</x:f>
        <x:v>M15-CAI-0038-V1.0</x:v>
      </x:c>
      <x:c r="B44" s="74" t="str">
        <x:v>M15</x:v>
      </x:c>
      <x:c r="C44" s="74" t="str">
        <x:v>CAI</x:v>
      </x:c>
      <x:c r="D44" s="215" t="n">
        <x:v>38</x:v>
      </x:c>
      <x:c r="E44" s="74" t="str">
        <x:v>V1.0</x:v>
      </x:c>
      <x:c r="F44" s="68" t="str">
        <x:v>财旺身弱不能任财构成严重破格</x:v>
      </x:c>
      <x:c r="G44" s="82" t="str">
        <x:v>综合层</x:v>
      </x:c>
      <x:c r="H44" s="68" t="str">
        <x:v>财格候选</x:v>
      </x:c>
      <x:c r="I44" s="68" t="str">
        <x:v>财格表面条件成立，但日主弱或极弱，印比不足</x:v>
      </x:c>
      <x:c r="J44" s="68" t="str">
        <x:v>月令依据、格神根气与有效力量、日主配合及M11组合证据相互支持</x:v>
      </x:c>
      <x:c r="K44" s="68" t="str">
        <x:v>财耗超过日主承载</x:v>
      </x:c>
      <x:c r="L44" s="82" t="str">
        <x:v>严重</x:v>
      </x:c>
      <x:c r="M44" s="68" t="str">
        <x:v>印比生扶或比劫分担制财</x:v>
      </x:c>
      <x:c r="N44" s="82" t="str">
        <x:v>待定</x:v>
      </x:c>
      <x:c r="O44" s="84" t="str">
        <x:v>成立但有破</x:v>
      </x:c>
      <x:c r="P44" s="82" t="str">
        <x:v>较清</x:v>
      </x:c>
      <x:c r="Q44" s="68" t="str">
        <x:v>财星有权但日主无法承担，格局运行成本过高</x:v>
      </x:c>
      <x:c r="R44" s="68" t="str">
        <x:v>M14已生成候选；M08、M09、M10、M11相关结论可追溯</x:v>
      </x:c>
      <x:c r="S44" s="68" t="str">
        <x:v>格神与关键配合十神均以有效力量和实际功能为准</x:v>
      </x:c>
      <x:c r="T44" s="68" t="str">
        <x:v>格神得令、有根、透达、清纯，组合路径稳定且日主承载匹配</x:v>
      </x:c>
      <x:c r="U44" s="68" t="str">
        <x:v>格神受制、混杂、路径受阻、日主承载不足或救应只能局部作用</x:v>
      </x:c>
      <x:c r="V44" s="90" t="str">
        <x:v>格神失效、核心作用路径完全中断，或特殊格局硬门槛被有效反证否决</x:v>
      </x:c>
      <x:c r="W44" s="68" t="str">
        <x:v>特殊格局严格条件、流派争议及岁运补成另按专门规则处理</x:v>
      </x:c>
      <x:c r="X44" s="84" t="str">
        <x:v>财格_身弱不任</x:v>
      </x:c>
      <x:c r="Y44" s="84" t="str">
        <x:v>财格候选判为“成立但有破”：破格等级为“严重”，救应为“待定”，清纯度为“较清”；层次需结合全局继续评估。</x:v>
      </x:c>
      <x:c r="Z44" s="68" t="str">
        <x:v>若“格神失效、核心作用路径完全中断，或特殊格局硬门槛被有效反证否决”成立，应降低为成立但有破或不成立，不得维持当前结论。</x:v>
      </x:c>
      <x:c r="AA44" s="82" t="str">
        <x:v>较高</x:v>
      </x:c>
      <x:c r="AB44" s="82" t="str">
        <x:v>子平格局</x:v>
      </x:c>
      <x:c r="AC44" s="68" t="str">
        <x:v>格局成败须区分：格神是否有效、结构是否能运行、是否存在破坏、救应是否直接修复破格机制，以及格局成立与层次高低。</x:v>
      </x:c>
      <x:c r="AD44" s="68" t="str">
        <x:v>当“财格表面条件成立，但日主弱或极弱，印比不足”成立，且成格证据相互支持、无决定性否决时，可按本规则判断。</x:v>
      </x:c>
      <x:c r="AE44" s="90" t="str">
        <x:v>只有格局名称或局部组合，但“格神失效、核心作用路径完全中断，或特殊格局硬门槛被有效反证否决”成立时，不能按本规则维持格局。</x:v>
      </x:c>
      <x:c r="AF44" s="68" t="str">
        <x:v>https://zh.wikisource.org/zh-hans/%E6%B7%B5%E6%B5%B7%E5%AD%90%E5%B9%B3 ; https://zh.wikisource.org/wiki/%E6%BB%B4%E5%A4%A9%E9%AB%93%E9%97%A1%E5%BE%AE</x:v>
      </x:c>
      <x:c r="AG44" s="82" t="str">
        <x:v>采用</x:v>
      </x:c>
      <x:c r="AH44" s="82" t="str">
        <x:v>初审</x:v>
      </x:c>
      <x:c r="AI44" s="87" t="n">
        <x:v>46260</x:v>
      </x:c>
    </x:row>
    <x:row r="45">
      <x:c r="A45" s="72" t="str">
        <x:f>IF(OR(C45="",D45=""),"",B45&amp;"-"&amp;UPPER(C45)&amp;"-"&amp;TEXT(D45,"0000")&amp;"-"&amp;E45)</x:f>
        <x:v>M15-CAI-0039-V1.0</x:v>
      </x:c>
      <x:c r="B45" s="74" t="str">
        <x:v>M15</x:v>
      </x:c>
      <x:c r="C45" s="74" t="str">
        <x:v>CAI</x:v>
      </x:c>
      <x:c r="D45" s="215" t="n">
        <x:v>39</x:v>
      </x:c>
      <x:c r="E45" s="74" t="str">
        <x:v>V1.0</x:v>
      </x:c>
      <x:c r="F45" s="68" t="str">
        <x:v>比劫夺财会破坏财格核心</x:v>
      </x:c>
      <x:c r="G45" s="82" t="str">
        <x:v>综合层</x:v>
      </x:c>
      <x:c r="H45" s="68" t="str">
        <x:v>财格候选</x:v>
      </x:c>
      <x:c r="I45" s="68" t="str">
        <x:v>财格成立且财星为主要格神</x:v>
      </x:c>
      <x:c r="J45" s="68" t="str">
        <x:v>月令依据、格神根气与有效力量、日主配合及M11组合证据相互支持</x:v>
      </x:c>
      <x:c r="K45" s="68" t="str">
        <x:v>比劫有力并直接制财，使财星受限</x:v>
      </x:c>
      <x:c r="L45" s="82" t="str">
        <x:v>严重</x:v>
      </x:c>
      <x:c r="M45" s="68" t="str">
        <x:v>官杀制比或食伤通关生财</x:v>
      </x:c>
      <x:c r="N45" s="82" t="str">
        <x:v>待定</x:v>
      </x:c>
      <x:c r="O45" s="84" t="str">
        <x:v>成立但有破</x:v>
      </x:c>
      <x:c r="P45" s="82" t="str">
        <x:v>有杂</x:v>
      </x:c>
      <x:c r="Q45" s="68" t="str">
        <x:v>财星主导性下降；财被制至失效时转不成立</x:v>
      </x:c>
      <x:c r="R45" s="68" t="str">
        <x:v>M14已生成候选；M08、M09、M10、M11相关结论可追溯</x:v>
      </x:c>
      <x:c r="S45" s="68" t="str">
        <x:v>格神与关键配合十神均以有效力量和实际功能为准</x:v>
      </x:c>
      <x:c r="T45" s="68" t="str">
        <x:v>格神得令、有根、透达、清纯，组合路径稳定且日主承载匹配</x:v>
      </x:c>
      <x:c r="U45" s="68" t="str">
        <x:v>格神受制、混杂、路径受阻、日主承载不足或救应只能局部作用</x:v>
      </x:c>
      <x:c r="V45" s="90" t="str">
        <x:v>格神失效、核心作用路径完全中断，或特殊格局硬门槛被有效反证否决</x:v>
      </x:c>
      <x:c r="W45" s="68" t="str">
        <x:v>特殊格局严格条件、流派争议及岁运补成另按专门规则处理</x:v>
      </x:c>
      <x:c r="X45" s="84" t="str">
        <x:v>财格_比劫夺财</x:v>
      </x:c>
      <x:c r="Y45" s="84" t="str">
        <x:v>财格候选判为“成立但有破”：破格等级为“严重”，救应为“待定”，清纯度为“有杂”；层次需结合全局继续评估。</x:v>
      </x:c>
      <x:c r="Z45" s="68" t="str">
        <x:v>若“格神失效、核心作用路径完全中断，或特殊格局硬门槛被有效反证否决”成立，应降低为成立但有破或不成立，不得维持当前结论。</x:v>
      </x:c>
      <x:c r="AA45" s="82" t="str">
        <x:v>较高</x:v>
      </x:c>
      <x:c r="AB45" s="82" t="str">
        <x:v>子平格局</x:v>
      </x:c>
      <x:c r="AC45" s="68" t="str">
        <x:v>格局成败须区分：格神是否有效、结构是否能运行、是否存在破坏、救应是否直接修复破格机制，以及格局成立与层次高低。</x:v>
      </x:c>
      <x:c r="AD45" s="68" t="str">
        <x:v>当“财格成立且财星为主要格神”成立，且成格证据相互支持、无决定性否决时，可按本规则判断。</x:v>
      </x:c>
      <x:c r="AE45" s="90" t="str">
        <x:v>只有格局名称或局部组合，但“格神失效、核心作用路径完全中断，或特殊格局硬门槛被有效反证否决”成立时，不能按本规则维持格局。</x:v>
      </x:c>
      <x:c r="AF45" s="68" t="str">
        <x:v>https://zh.wikisource.org/zh-hans/%E6%B7%B5%E6%B5%B7%E5%AD%90%E5%B9%B3 ; https://zh.wikisource.org/wiki/%E6%BB%B4%E5%A4%A9%E9%AB%93%E9%97%A1%E5%BE%AE</x:v>
      </x:c>
      <x:c r="AG45" s="82" t="str">
        <x:v>采用</x:v>
      </x:c>
      <x:c r="AH45" s="82" t="str">
        <x:v>初审</x:v>
      </x:c>
      <x:c r="AI45" s="87" t="n">
        <x:v>46260</x:v>
      </x:c>
    </x:row>
    <x:row r="46">
      <x:c r="A46" s="72" t="str">
        <x:f>IF(OR(C46="",D46=""),"",B46&amp;"-"&amp;UPPER(C46)&amp;"-"&amp;TEXT(D46,"0000")&amp;"-"&amp;E46)</x:f>
        <x:v>M15-CAI-0040-V1.0</x:v>
      </x:c>
      <x:c r="B46" s="74" t="str">
        <x:v>M15</x:v>
      </x:c>
      <x:c r="C46" s="74" t="str">
        <x:v>CAI</x:v>
      </x:c>
      <x:c r="D46" s="215" t="n">
        <x:v>40</x:v>
      </x:c>
      <x:c r="E46" s="74" t="str">
        <x:v>V1.0</x:v>
      </x:c>
      <x:c r="F46" s="68" t="str">
        <x:v>官杀制比可救比劫夺财</x:v>
      </x:c>
      <x:c r="G46" s="82" t="str">
        <x:v>综合层</x:v>
      </x:c>
      <x:c r="H46" s="68" t="str">
        <x:v>财格候选</x:v>
      </x:c>
      <x:c r="I46" s="68" t="str">
        <x:v>比劫正在破财，官杀有效制约比劫且不过度攻身</x:v>
      </x:c>
      <x:c r="J46" s="68" t="str">
        <x:v>官杀→比劫制约路径真实，财星恢复</x:v>
      </x:c>
      <x:c r="K46" s="68" t="str">
        <x:v>比劫夺财</x:v>
      </x:c>
      <x:c r="L46" s="82" t="str">
        <x:v>一般</x:v>
      </x:c>
      <x:c r="M46" s="68" t="str">
        <x:v>官杀制比护财</x:v>
      </x:c>
      <x:c r="N46" s="82" t="str">
        <x:v>明显有效</x:v>
      </x:c>
      <x:c r="O46" s="84" t="str">
        <x:v>有破有救</x:v>
      </x:c>
      <x:c r="P46" s="82" t="str">
        <x:v>有杂</x:v>
      </x:c>
      <x:c r="Q46" s="68" t="str">
        <x:v>财格恢复，但需核查日主是否能承官杀</x:v>
      </x:c>
      <x:c r="R46" s="68" t="str">
        <x:v>M14已生成候选；M08、M09、M10、M11相关结论可追溯</x:v>
      </x:c>
      <x:c r="S46" s="68" t="str">
        <x:v>格神与关键配合十神均以有效力量和实际功能为准</x:v>
      </x:c>
      <x:c r="T46" s="68" t="str">
        <x:v>格神得令、有根、透达、清纯，组合路径稳定且日主承载匹配</x:v>
      </x:c>
      <x:c r="U46" s="68" t="str">
        <x:v>格神受制、混杂、路径受阻、日主承载不足或救应只能局部作用</x:v>
      </x:c>
      <x:c r="V46" s="90" t="str">
        <x:v>格神失效、核心作用路径完全中断，或特殊格局硬门槛被有效反证否决</x:v>
      </x:c>
      <x:c r="W46" s="68" t="str">
        <x:v>特殊格局严格条件、流派争议及岁运补成另按专门规则处理</x:v>
      </x:c>
      <x:c r="X46" s="84" t="str">
        <x:v>财格_官杀制比救应</x:v>
      </x:c>
      <x:c r="Y46" s="84" t="str">
        <x:v>财格候选判为“有破有救”：破格等级为“一般”，救应为“明显有效”，清纯度为“有杂”；层次需结合全局继续评估。</x:v>
      </x:c>
      <x:c r="Z46" s="68" t="str">
        <x:v>若“格神失效、核心作用路径完全中断，或特殊格局硬门槛被有效反证否决”成立，应降低为成立但有破或不成立，不得维持当前结论。</x:v>
      </x:c>
      <x:c r="AA46" s="82" t="str">
        <x:v>较高</x:v>
      </x:c>
      <x:c r="AB46" s="82" t="str">
        <x:v>子平格局</x:v>
      </x:c>
      <x:c r="AC46" s="68" t="str">
        <x:v>格局成败须区分：格神是否有效、结构是否能运行、是否存在破坏、救应是否直接修复破格机制，以及格局成立与层次高低。</x:v>
      </x:c>
      <x:c r="AD46" s="68" t="str">
        <x:v>当“比劫正在破财，官杀有效制约比劫且不过度攻身”成立，且成格证据相互支持、无决定性否决时，可按本规则判断。</x:v>
      </x:c>
      <x:c r="AE46" s="90" t="str">
        <x:v>只有格局名称或局部组合，但“格神失效、核心作用路径完全中断，或特殊格局硬门槛被有效反证否决”成立时，不能按本规则维持格局。</x:v>
      </x:c>
      <x:c r="AF46" s="68" t="str">
        <x:v>https://zh.wikisource.org/zh-hans/%E6%B7%B5%E6%B5%B7%E5%AD%90%E5%B9%B3 ; https://zh.wikisource.org/wiki/%E6%BB%B4%E5%A4%A9%E9%AB%93%E9%97%A1%E5%BE%AE</x:v>
      </x:c>
      <x:c r="AG46" s="82" t="str">
        <x:v>采用</x:v>
      </x:c>
      <x:c r="AH46" s="82" t="str">
        <x:v>初审</x:v>
      </x:c>
      <x:c r="AI46" s="87" t="n">
        <x:v>46260</x:v>
      </x:c>
    </x:row>
    <x:row r="47">
      <x:c r="A47" s="72" t="str">
        <x:f>IF(OR(C47="",D47=""),"",B47&amp;"-"&amp;UPPER(C47)&amp;"-"&amp;TEXT(D47,"0000")&amp;"-"&amp;E47)</x:f>
        <x:v>M15-CAI-0041-V1.0</x:v>
      </x:c>
      <x:c r="B47" s="74" t="str">
        <x:v>M15</x:v>
      </x:c>
      <x:c r="C47" s="74" t="str">
        <x:v>CAI</x:v>
      </x:c>
      <x:c r="D47" s="215" t="n">
        <x:v>41</x:v>
      </x:c>
      <x:c r="E47" s="74" t="str">
        <x:v>V1.0</x:v>
      </x:c>
      <x:c r="F47" s="68" t="str">
        <x:v>食伤持续生财可部分修复财星受损</x:v>
      </x:c>
      <x:c r="G47" s="82" t="str">
        <x:v>综合层</x:v>
      </x:c>
      <x:c r="H47" s="68" t="str">
        <x:v>财格候选</x:v>
      </x:c>
      <x:c r="I47" s="68" t="str">
        <x:v>财星受比劫制约但食伤有力持续生财</x:v>
      </x:c>
      <x:c r="J47" s="68" t="str">
        <x:v>食伤生财输入能够抵消部分财损</x:v>
      </x:c>
      <x:c r="K47" s="68" t="str">
        <x:v>比劫制财</x:v>
      </x:c>
      <x:c r="L47" s="82" t="str">
        <x:v>一般</x:v>
      </x:c>
      <x:c r="M47" s="68" t="str">
        <x:v>食伤生财补源</x:v>
      </x:c>
      <x:c r="N47" s="82" t="str">
        <x:v>部分有效</x:v>
      </x:c>
      <x:c r="O47" s="84" t="str">
        <x:v>有破有救</x:v>
      </x:c>
      <x:c r="P47" s="82" t="str">
        <x:v>有杂</x:v>
      </x:c>
      <x:c r="Q47" s="68" t="str">
        <x:v>财星有补充来源，但不能视为完全解除比劫克财</x:v>
      </x:c>
      <x:c r="R47" s="68" t="str">
        <x:v>M14已生成候选；M08、M09、M10、M11相关结论可追溯</x:v>
      </x:c>
      <x:c r="S47" s="68" t="str">
        <x:v>格神与关键配合十神均以有效力量和实际功能为准</x:v>
      </x:c>
      <x:c r="T47" s="68" t="str">
        <x:v>格神得令、有根、透达、清纯，组合路径稳定且日主承载匹配</x:v>
      </x:c>
      <x:c r="U47" s="68" t="str">
        <x:v>格神受制、混杂、路径受阻、日主承载不足或救应只能局部作用</x:v>
      </x:c>
      <x:c r="V47" s="90" t="str">
        <x:v>格神失效、核心作用路径完全中断，或特殊格局硬门槛被有效反证否决</x:v>
      </x:c>
      <x:c r="W47" s="68" t="str">
        <x:v>特殊格局严格条件、流派争议及岁运补成另按专门规则处理</x:v>
      </x:c>
      <x:c r="X47" s="84" t="str">
        <x:v>财格_食伤补财救应</x:v>
      </x:c>
      <x:c r="Y47" s="84" t="str">
        <x:v>财格候选判为“有破有救”：破格等级为“一般”，救应为“部分有效”，清纯度为“有杂”；层次需结合全局继续评估。</x:v>
      </x:c>
      <x:c r="Z47" s="68" t="str">
        <x:v>若“格神失效、核心作用路径完全中断，或特殊格局硬门槛被有效反证否决”成立，应降低为成立但有破或不成立，不得维持当前结论。</x:v>
      </x:c>
      <x:c r="AA47" s="82" t="str">
        <x:v>较高</x:v>
      </x:c>
      <x:c r="AB47" s="82" t="str">
        <x:v>子平格局</x:v>
      </x:c>
      <x:c r="AC47" s="68" t="str">
        <x:v>格局成败须区分：格神是否有效、结构是否能运行、是否存在破坏、救应是否直接修复破格机制，以及格局成立与层次高低。</x:v>
      </x:c>
      <x:c r="AD47" s="68" t="str">
        <x:v>当“财星受比劫制约但食伤有力持续生财”成立，且成格证据相互支持、无决定性否决时，可按本规则判断。</x:v>
      </x:c>
      <x:c r="AE47" s="90" t="str">
        <x:v>只有格局名称或局部组合，但“格神失效、核心作用路径完全中断，或特殊格局硬门槛被有效反证否决”成立时，不能按本规则维持格局。</x:v>
      </x:c>
      <x:c r="AF47" s="68" t="str">
        <x:v>https://zh.wikisource.org/zh-hans/%E6%B7%B5%E6%B5%B7%E5%AD%90%E5%B9%B3 ; https://zh.wikisource.org/wiki/%E6%BB%B4%E5%A4%A9%E9%AB%93%E9%97%A1%E5%BE%AE</x:v>
      </x:c>
      <x:c r="AG47" s="82" t="str">
        <x:v>采用</x:v>
      </x:c>
      <x:c r="AH47" s="82" t="str">
        <x:v>初审</x:v>
      </x:c>
      <x:c r="AI47" s="87" t="n">
        <x:v>46260</x:v>
      </x:c>
    </x:row>
    <x:row r="48">
      <x:c r="A48" s="72" t="str">
        <x:f>IF(OR(C48="",D48=""),"",B48&amp;"-"&amp;UPPER(C48)&amp;"-"&amp;TEXT(D48,"0000")&amp;"-"&amp;E48)</x:f>
        <x:v>M15-CAI-0042-V1.0</x:v>
      </x:c>
      <x:c r="B48" s="74" t="str">
        <x:v>M15</x:v>
      </x:c>
      <x:c r="C48" s="74" t="str">
        <x:v>CAI</x:v>
      </x:c>
      <x:c r="D48" s="215" t="n">
        <x:v>42</x:v>
      </x:c>
      <x:c r="E48" s="74" t="str">
        <x:v>V1.0</x:v>
      </x:c>
      <x:c r="F48" s="68" t="str">
        <x:v>财星坏印并破坏关键配合时财格层次下降</x:v>
      </x:c>
      <x:c r="G48" s="82" t="str">
        <x:v>综合层</x:v>
      </x:c>
      <x:c r="H48" s="68" t="str">
        <x:v>财格候选</x:v>
      </x:c>
      <x:c r="I48" s="68" t="str">
        <x:v>财格成立，但印星同时承担日主承载或官杀化解功能</x:v>
      </x:c>
      <x:c r="J48" s="68" t="str">
        <x:v>月令依据、格神根气与有效力量、日主配合及M11组合证据相互支持</x:v>
      </x:c>
      <x:c r="K48" s="68" t="str">
        <x:v>财星过强制印，破坏日主承载或格局配合</x:v>
      </x:c>
      <x:c r="L48" s="82" t="str">
        <x:v>一般</x:v>
      </x:c>
      <x:c r="M48" s="68" t="str">
        <x:v>比劫制财或官印链补充</x:v>
      </x:c>
      <x:c r="N48" s="82" t="str">
        <x:v>待定</x:v>
      </x:c>
      <x:c r="O48" s="84" t="str">
        <x:v>成立但有破</x:v>
      </x:c>
      <x:c r="P48" s="82" t="str">
        <x:v>有杂</x:v>
      </x:c>
      <x:c r="Q48" s="68" t="str">
        <x:v>财格自身有力，但副作用削弱整体结构层次</x:v>
      </x:c>
      <x:c r="R48" s="68" t="str">
        <x:v>M14已生成候选；M08、M09、M10、M11相关结论可追溯</x:v>
      </x:c>
      <x:c r="S48" s="68" t="str">
        <x:v>格神与关键配合十神均以有效力量和实际功能为准</x:v>
      </x:c>
      <x:c r="T48" s="68" t="str">
        <x:v>格神得令、有根、透达、清纯，组合路径稳定且日主承载匹配</x:v>
      </x:c>
      <x:c r="U48" s="68" t="str">
        <x:v>格神受制、混杂、路径受阻、日主承载不足或救应只能局部作用</x:v>
      </x:c>
      <x:c r="V48" s="90" t="str">
        <x:v>格神失效、核心作用路径完全中断，或特殊格局硬门槛被有效反证否决</x:v>
      </x:c>
      <x:c r="W48" s="68" t="str">
        <x:v>特殊格局严格条件、流派争议及岁运补成另按专门规则处理</x:v>
      </x:c>
      <x:c r="X48" s="84" t="str">
        <x:v>财格_财坏印副作用</x:v>
      </x:c>
      <x:c r="Y48" s="84" t="str">
        <x:v>财格候选判为“成立但有破”：破格等级为“一般”，救应为“待定”，清纯度为“有杂”；层次需结合全局继续评估。</x:v>
      </x:c>
      <x:c r="Z48" s="68" t="str">
        <x:v>若“格神失效、核心作用路径完全中断，或特殊格局硬门槛被有效反证否决”成立，应降低为成立但有破或不成立，不得维持当前结论。</x:v>
      </x:c>
      <x:c r="AA48" s="82" t="str">
        <x:v>较高</x:v>
      </x:c>
      <x:c r="AB48" s="82" t="str">
        <x:v>子平格局</x:v>
      </x:c>
      <x:c r="AC48" s="68" t="str">
        <x:v>格局成败须区分：格神是否有效、结构是否能运行、是否存在破坏、救应是否直接修复破格机制，以及格局成立与层次高低。</x:v>
      </x:c>
      <x:c r="AD48" s="68" t="str">
        <x:v>当“财格成立，但印星同时承担日主承载或官杀化解功能”成立，且成格证据相互支持、无决定性否决时，可按本规则判断。</x:v>
      </x:c>
      <x:c r="AE48" s="90" t="str">
        <x:v>只有格局名称或局部组合，但“格神失效、核心作用路径完全中断，或特殊格局硬门槛被有效反证否决”成立时，不能按本规则维持格局。</x:v>
      </x:c>
      <x:c r="AF48" s="68" t="str">
        <x:v>https://zh.wikisource.org/zh-hans/%E6%B7%B5%E6%B5%B7%E5%AD%90%E5%B9%B3 ; https://zh.wikisource.org/wiki/%E6%BB%B4%E5%A4%A9%E9%AB%93%E9%97%A1%E5%BE%AE</x:v>
      </x:c>
      <x:c r="AG48" s="82" t="str">
        <x:v>采用</x:v>
      </x:c>
      <x:c r="AH48" s="82" t="str">
        <x:v>初审</x:v>
      </x:c>
      <x:c r="AI48" s="87" t="n">
        <x:v>46260</x:v>
      </x:c>
    </x:row>
    <x:row r="49">
      <x:c r="A49" s="72" t="str">
        <x:f>IF(OR(C49="",D49=""),"",B49&amp;"-"&amp;UPPER(C49)&amp;"-"&amp;TEXT(D49,"0000")&amp;"-"&amp;E49)</x:f>
        <x:v>M15-SHISHANG-0043-V1.0</x:v>
      </x:c>
      <x:c r="B49" s="74" t="str">
        <x:v>M15</x:v>
      </x:c>
      <x:c r="C49" s="74" t="str">
        <x:v>SHISHANG</x:v>
      </x:c>
      <x:c r="D49" s="215" t="n">
        <x:v>43</x:v>
      </x:c>
      <x:c r="E49" s="74" t="str">
        <x:v>V1.0</x:v>
      </x:c>
      <x:c r="F49" s="68" t="str">
        <x:v>食神格基本成格要求食神有力且日主可泄</x:v>
      </x:c>
      <x:c r="G49" s="82" t="str">
        <x:v>综合层</x:v>
      </x:c>
      <x:c r="H49" s="68" t="str">
        <x:v>食神格候选</x:v>
      </x:c>
      <x:c r="I49" s="68" t="str">
        <x:v>食神具月令依据、有根有源，日主有力量可泄，食神未被枭重制</x:v>
      </x:c>
      <x:c r="J49" s="68" t="str">
        <x:v>食神泄秀、生财或制杀至少一项功能稳定</x:v>
      </x:c>
      <x:c r="K49" s="68" t="str">
        <x:v>无决定性破格因素</x:v>
      </x:c>
      <x:c r="L49" s="82" t="str">
        <x:v>无破</x:v>
      </x:c>
      <x:c r="M49" s="68" t="str">
        <x:v>无须救应</x:v>
      </x:c>
      <x:c r="N49" s="82" t="str">
        <x:v>无救应</x:v>
      </x:c>
      <x:c r="O49" s="84" t="str">
        <x:v>基本成立</x:v>
      </x:c>
      <x:c r="P49" s="82" t="str">
        <x:v>较清</x:v>
      </x:c>
      <x:c r="Q49" s="68" t="str">
        <x:v>食神能够形成稳定输出</x:v>
      </x:c>
      <x:c r="R49" s="68" t="str">
        <x:v>M14已生成候选；M08、M09、M10、M11相关结论可追溯</x:v>
      </x:c>
      <x:c r="S49" s="68" t="str">
        <x:v>格神与关键配合十神均以有效力量和实际功能为准</x:v>
      </x:c>
      <x:c r="T49" s="68" t="str">
        <x:v>格神得令、有根、透达、清纯，组合路径稳定且日主承载匹配</x:v>
      </x:c>
      <x:c r="U49" s="68" t="str">
        <x:v>格神受制、混杂、路径受阻、日主承载不足或救应只能局部作用</x:v>
      </x:c>
      <x:c r="V49" s="90" t="str">
        <x:v>格神失效、核心作用路径完全中断，或特殊格局硬门槛被有效反证否决</x:v>
      </x:c>
      <x:c r="W49" s="68" t="str">
        <x:v>特殊格局严格条件、流派争议及岁运补成另按专门规则处理</x:v>
      </x:c>
      <x:c r="X49" s="84" t="str">
        <x:v>食神格候选_成败救应</x:v>
      </x:c>
      <x:c r="Y49" s="84" t="str">
        <x:v>食神格候选判为“基本成立”：破格等级为“无破”，救应为“无救应”，清纯度为“较清”；层次需结合全局继续评估。</x:v>
      </x:c>
      <x:c r="Z49" s="68" t="str">
        <x:v>若“格神失效、核心作用路径完全中断，或特殊格局硬门槛被有效反证否决”成立，应降低为成立但有破或不成立，不得维持当前结论。</x:v>
      </x:c>
      <x:c r="AA49" s="82" t="str">
        <x:v>较高</x:v>
      </x:c>
      <x:c r="AB49" s="82" t="str">
        <x:v>子平格局</x:v>
      </x:c>
      <x:c r="AC49" s="68" t="str">
        <x:v>格局成败须区分：格神是否有效、结构是否能运行、是否存在破坏、救应是否直接修复破格机制，以及格局成立与层次高低。</x:v>
      </x:c>
      <x:c r="AD49" s="68" t="str">
        <x:v>当“食神具月令依据、有根有源，日主有力量可泄，食神未被枭重制”成立，且成格证据相互支持、无决定性否决时，可按本规则判断。</x:v>
      </x:c>
      <x:c r="AE49" s="90" t="str">
        <x:v>只有格局名称或局部组合，但“格神失效、核心作用路径完全中断，或特殊格局硬门槛被有效反证否决”成立时，不能按本规则维持格局。</x:v>
      </x:c>
      <x:c r="AF49" s="68" t="str">
        <x:v>https://zh.wikisource.org/zh-hans/%E6%B7%B5%E6%B5%B7%E5%AD%90%E5%B9%B3 ; https://zh.wikisource.org/wiki/%E6%BB%B4%E5%A4%A9%E9%AB%93%E9%97%A1%E5%BE%AE</x:v>
      </x:c>
      <x:c r="AG49" s="82" t="str">
        <x:v>采用</x:v>
      </x:c>
      <x:c r="AH49" s="82" t="str">
        <x:v>初审</x:v>
      </x:c>
      <x:c r="AI49" s="87" t="n">
        <x:v>46260</x:v>
      </x:c>
    </x:row>
    <x:row r="50">
      <x:c r="A50" s="72" t="str">
        <x:f>IF(OR(C50="",D50=""),"",B50&amp;"-"&amp;UPPER(C50)&amp;"-"&amp;TEXT(D50,"0000")&amp;"-"&amp;E50)</x:f>
        <x:v>M15-SHISHANG-0044-V1.0</x:v>
      </x:c>
      <x:c r="B50" s="74" t="str">
        <x:v>M15</x:v>
      </x:c>
      <x:c r="C50" s="74" t="str">
        <x:v>SHISHANG</x:v>
      </x:c>
      <x:c r="D50" s="215" t="n">
        <x:v>44</x:v>
      </x:c>
      <x:c r="E50" s="74" t="str">
        <x:v>V1.0</x:v>
      </x:c>
      <x:c r="F50" s="68" t="str">
        <x:v>食神生财完整可判食神格清纯增强</x:v>
      </x:c>
      <x:c r="G50" s="82" t="str">
        <x:v>综合层</x:v>
      </x:c>
      <x:c r="H50" s="68" t="str">
        <x:v>食神格候选</x:v>
      </x:c>
      <x:c r="I50" s="68" t="str">
        <x:v>食神有力生财，财星能承接，日主供给充足</x:v>
      </x:c>
      <x:c r="J50" s="68" t="str">
        <x:v>身→食神→财连续</x:v>
      </x:c>
      <x:c r="K50" s="68" t="str">
        <x:v>无决定性破格因素</x:v>
      </x:c>
      <x:c r="L50" s="82" t="str">
        <x:v>无破</x:v>
      </x:c>
      <x:c r="M50" s="68" t="str">
        <x:v>无须救应</x:v>
      </x:c>
      <x:c r="N50" s="82" t="str">
        <x:v>无救应</x:v>
      </x:c>
      <x:c r="O50" s="84" t="str">
        <x:v>清纯成立</x:v>
      </x:c>
      <x:c r="P50" s="82" t="str">
        <x:v>清纯</x:v>
      </x:c>
      <x:c r="Q50" s="68" t="str">
        <x:v>泄秀与财星承接完整，结构流通较佳</x:v>
      </x:c>
      <x:c r="R50" s="68" t="str">
        <x:v>M14已生成候选；M08、M09、M10、M11相关结论可追溯</x:v>
      </x:c>
      <x:c r="S50" s="68" t="str">
        <x:v>格神与关键配合十神均以有效力量和实际功能为准</x:v>
      </x:c>
      <x:c r="T50" s="68" t="str">
        <x:v>格神得令、有根、透达、清纯，组合路径稳定且日主承载匹配</x:v>
      </x:c>
      <x:c r="U50" s="68" t="str">
        <x:v>格神受制、混杂、路径受阻、日主承载不足或救应只能局部作用</x:v>
      </x:c>
      <x:c r="V50" s="90" t="str">
        <x:v>格神失效、核心作用路径完全中断，或特殊格局硬门槛被有效反证否决</x:v>
      </x:c>
      <x:c r="W50" s="68" t="str">
        <x:v>特殊格局严格条件、流派争议及岁运补成另按专门规则处理</x:v>
      </x:c>
      <x:c r="X50" s="84" t="str">
        <x:v>食神格_生财清纯</x:v>
      </x:c>
      <x:c r="Y50" s="84" t="str">
        <x:v>食神格候选判为“清纯成立”：破格等级为“无破”，救应为“无救应”，清纯度为“清纯”；层次需结合全局继续评估。</x:v>
      </x:c>
      <x:c r="Z50" s="68" t="str">
        <x:v>若“格神失效、核心作用路径完全中断，或特殊格局硬门槛被有效反证否决”成立，应降低为成立但有破或不成立，不得维持当前结论。</x:v>
      </x:c>
      <x:c r="AA50" s="82" t="str">
        <x:v>较高</x:v>
      </x:c>
      <x:c r="AB50" s="82" t="str">
        <x:v>子平格局</x:v>
      </x:c>
      <x:c r="AC50" s="68" t="str">
        <x:v>格局成败须区分：格神是否有效、结构是否能运行、是否存在破坏、救应是否直接修复破格机制，以及格局成立与层次高低。</x:v>
      </x:c>
      <x:c r="AD50" s="68" t="str">
        <x:v>当“食神有力生财，财星能承接，日主供给充足”成立，且成格证据相互支持、无决定性否决时，可按本规则判断。</x:v>
      </x:c>
      <x:c r="AE50" s="90" t="str">
        <x:v>只有格局名称或局部组合，但“格神失效、核心作用路径完全中断，或特殊格局硬门槛被有效反证否决”成立时，不能按本规则维持格局。</x:v>
      </x:c>
      <x:c r="AF50" s="68" t="str">
        <x:v>https://zh.wikisource.org/zh-hans/%E6%B7%B5%E6%B5%B7%E5%AD%90%E5%B9%B3 ; https://zh.wikisource.org/wiki/%E6%BB%B4%E5%A4%A9%E9%AB%93%E9%97%A1%E5%BE%AE</x:v>
      </x:c>
      <x:c r="AG50" s="82" t="str">
        <x:v>采用</x:v>
      </x:c>
      <x:c r="AH50" s="82" t="str">
        <x:v>初审</x:v>
      </x:c>
      <x:c r="AI50" s="87" t="n">
        <x:v>46260</x:v>
      </x:c>
    </x:row>
    <x:row r="51">
      <x:c r="A51" s="72" t="str">
        <x:f>IF(OR(C51="",D51=""),"",B51&amp;"-"&amp;UPPER(C51)&amp;"-"&amp;TEXT(D51,"0000")&amp;"-"&amp;E51)</x:f>
        <x:v>M15-SHISHANG-0045-V1.0</x:v>
      </x:c>
      <x:c r="B51" s="74" t="str">
        <x:v>M15</x:v>
      </x:c>
      <x:c r="C51" s="74" t="str">
        <x:v>SHISHANG</x:v>
      </x:c>
      <x:c r="D51" s="215" t="n">
        <x:v>45</x:v>
      </x:c>
      <x:c r="E51" s="74" t="str">
        <x:v>V1.0</x:v>
      </x:c>
      <x:c r="F51" s="68" t="str">
        <x:v>食神制杀比例适中可提高食神格层次</x:v>
      </x:c>
      <x:c r="G51" s="82" t="str">
        <x:v>综合层</x:v>
      </x:c>
      <x:c r="H51" s="68" t="str">
        <x:v>食神格候选</x:v>
      </x:c>
      <x:c r="I51" s="68" t="str">
        <x:v>食神有效制杀，杀有必要被制，制而不过</x:v>
      </x:c>
      <x:c r="J51" s="68" t="str">
        <x:v>M11食神制杀明显成立</x:v>
      </x:c>
      <x:c r="K51" s="68" t="str">
        <x:v>无决定性破格因素</x:v>
      </x:c>
      <x:c r="L51" s="82" t="str">
        <x:v>无破</x:v>
      </x:c>
      <x:c r="M51" s="68" t="str">
        <x:v>无须救应</x:v>
      </x:c>
      <x:c r="N51" s="82" t="str">
        <x:v>无救应</x:v>
      </x:c>
      <x:c r="O51" s="84" t="str">
        <x:v>清纯成立</x:v>
      </x:c>
      <x:c r="P51" s="82" t="str">
        <x:v>较清</x:v>
      </x:c>
      <x:c r="Q51" s="68" t="str">
        <x:v>食神承担关键制化功能，结构目标明确</x:v>
      </x:c>
      <x:c r="R51" s="68" t="str">
        <x:v>M14已生成候选；M08、M09、M10、M11相关结论可追溯</x:v>
      </x:c>
      <x:c r="S51" s="68" t="str">
        <x:v>格神与关键配合十神均以有效力量和实际功能为准</x:v>
      </x:c>
      <x:c r="T51" s="68" t="str">
        <x:v>格神得令、有根、透达、清纯，组合路径稳定且日主承载匹配</x:v>
      </x:c>
      <x:c r="U51" s="68" t="str">
        <x:v>格神受制、混杂、路径受阻、日主承载不足或救应只能局部作用</x:v>
      </x:c>
      <x:c r="V51" s="90" t="str">
        <x:v>格神失效、核心作用路径完全中断，或特殊格局硬门槛被有效反证否决</x:v>
      </x:c>
      <x:c r="W51" s="68" t="str">
        <x:v>特殊格局严格条件、流派争议及岁运补成另按专门规则处理</x:v>
      </x:c>
      <x:c r="X51" s="84" t="str">
        <x:v>食神格_制杀清纯</x:v>
      </x:c>
      <x:c r="Y51" s="84" t="str">
        <x:v>食神格候选判为“清纯成立”：破格等级为“无破”，救应为“无救应”，清纯度为“较清”；层次需结合全局继续评估。</x:v>
      </x:c>
      <x:c r="Z51" s="68" t="str">
        <x:v>若“格神失效、核心作用路径完全中断，或特殊格局硬门槛被有效反证否决”成立，应降低为成立但有破或不成立，不得维持当前结论。</x:v>
      </x:c>
      <x:c r="AA51" s="82" t="str">
        <x:v>较高</x:v>
      </x:c>
      <x:c r="AB51" s="82" t="str">
        <x:v>子平格局</x:v>
      </x:c>
      <x:c r="AC51" s="68" t="str">
        <x:v>格局成败须区分：格神是否有效、结构是否能运行、是否存在破坏、救应是否直接修复破格机制，以及格局成立与层次高低。</x:v>
      </x:c>
      <x:c r="AD51" s="68" t="str">
        <x:v>当“食神有效制杀，杀有必要被制，制而不过”成立，且成格证据相互支持、无决定性否决时，可按本规则判断。</x:v>
      </x:c>
      <x:c r="AE51" s="90" t="str">
        <x:v>只有格局名称或局部组合，但“格神失效、核心作用路径完全中断，或特殊格局硬门槛被有效反证否决”成立时，不能按本规则维持格局。</x:v>
      </x:c>
      <x:c r="AF51" s="68" t="str">
        <x:v>https://zh.wikisource.org/zh-hans/%E6%B7%B5%E6%B5%B7%E5%AD%90%E5%B9%B3 ; https://zh.wikisource.org/wiki/%E6%BB%B4%E5%A4%A9%E9%AB%93%E9%97%A1%E5%BE%AE</x:v>
      </x:c>
      <x:c r="AG51" s="82" t="str">
        <x:v>采用</x:v>
      </x:c>
      <x:c r="AH51" s="82" t="str">
        <x:v>初审</x:v>
      </x:c>
      <x:c r="AI51" s="87" t="n">
        <x:v>46260</x:v>
      </x:c>
    </x:row>
    <x:row r="52">
      <x:c r="A52" s="72" t="str">
        <x:f>IF(OR(C52="",D52=""),"",B52&amp;"-"&amp;UPPER(C52)&amp;"-"&amp;TEXT(D52,"0000")&amp;"-"&amp;E52)</x:f>
        <x:v>M15-SHISHANG-0046-V1.0</x:v>
      </x:c>
      <x:c r="B52" s="74" t="str">
        <x:v>M15</x:v>
      </x:c>
      <x:c r="C52" s="74" t="str">
        <x:v>SHISHANG</x:v>
      </x:c>
      <x:c r="D52" s="215" t="n">
        <x:v>46</x:v>
      </x:c>
      <x:c r="E52" s="74" t="str">
        <x:v>V1.0</x:v>
      </x:c>
      <x:c r="F52" s="68" t="str">
        <x:v>枭神夺食构成食神格严重破格</x:v>
      </x:c>
      <x:c r="G52" s="82" t="str">
        <x:v>综合层</x:v>
      </x:c>
      <x:c r="H52" s="68" t="str">
        <x:v>食神格候选</x:v>
      </x:c>
      <x:c r="I52" s="68" t="str">
        <x:v>食神为格神或关键组合核心</x:v>
      </x:c>
      <x:c r="J52" s="68" t="str">
        <x:v>月令依据、格神根气与有效力量、日主配合及M11组合证据相互支持</x:v>
      </x:c>
      <x:c r="K52" s="68" t="str">
        <x:v>偏印强克食神，使泄秀、生财或制杀功能受损</x:v>
      </x:c>
      <x:c r="L52" s="82" t="str">
        <x:v>严重</x:v>
      </x:c>
      <x:c r="M52" s="68" t="str">
        <x:v>财制枭护食</x:v>
      </x:c>
      <x:c r="N52" s="82" t="str">
        <x:v>待定</x:v>
      </x:c>
      <x:c r="O52" s="84" t="str">
        <x:v>成立但有破</x:v>
      </x:c>
      <x:c r="P52" s="82" t="str">
        <x:v>有杂</x:v>
      </x:c>
      <x:c r="Q52" s="68" t="str">
        <x:v>食神主功能明显下降；食神失效时格局不成立</x:v>
      </x:c>
      <x:c r="R52" s="68" t="str">
        <x:v>M14已生成候选；M08、M09、M10、M11相关结论可追溯</x:v>
      </x:c>
      <x:c r="S52" s="68" t="str">
        <x:v>格神与关键配合十神均以有效力量和实际功能为准</x:v>
      </x:c>
      <x:c r="T52" s="68" t="str">
        <x:v>格神得令、有根、透达、清纯，组合路径稳定且日主承载匹配</x:v>
      </x:c>
      <x:c r="U52" s="68" t="str">
        <x:v>格神受制、混杂、路径受阻、日主承载不足或救应只能局部作用</x:v>
      </x:c>
      <x:c r="V52" s="90" t="str">
        <x:v>格神失效、核心作用路径完全中断，或特殊格局硬门槛被有效反证否决</x:v>
      </x:c>
      <x:c r="W52" s="68" t="str">
        <x:v>特殊格局严格条件、流派争议及岁运补成另按专门规则处理</x:v>
      </x:c>
      <x:c r="X52" s="84" t="str">
        <x:v>食神格_枭夺食</x:v>
      </x:c>
      <x:c r="Y52" s="84" t="str">
        <x:v>食神格候选判为“成立但有破”：破格等级为“严重”，救应为“待定”，清纯度为“有杂”；层次需结合全局继续评估。</x:v>
      </x:c>
      <x:c r="Z52" s="68" t="str">
        <x:v>若“格神失效、核心作用路径完全中断，或特殊格局硬门槛被有效反证否决”成立，应降低为成立但有破或不成立，不得维持当前结论。</x:v>
      </x:c>
      <x:c r="AA52" s="82" t="str">
        <x:v>较高</x:v>
      </x:c>
      <x:c r="AB52" s="82" t="str">
        <x:v>子平格局</x:v>
      </x:c>
      <x:c r="AC52" s="68" t="str">
        <x:v>格局成败须区分：格神是否有效、结构是否能运行、是否存在破坏、救应是否直接修复破格机制，以及格局成立与层次高低。</x:v>
      </x:c>
      <x:c r="AD52" s="68" t="str">
        <x:v>当“食神为格神或关键组合核心”成立，且成格证据相互支持、无决定性否决时，可按本规则判断。</x:v>
      </x:c>
      <x:c r="AE52" s="90" t="str">
        <x:v>只有格局名称或局部组合，但“格神失效、核心作用路径完全中断，或特殊格局硬门槛被有效反证否决”成立时，不能按本规则维持格局。</x:v>
      </x:c>
      <x:c r="AF52" s="68" t="str">
        <x:v>https://zh.wikisource.org/zh-hans/%E6%B7%B5%E6%B5%B7%E5%AD%90%E5%B9%B3 ; https://zh.wikisource.org/wiki/%E6%BB%B4%E5%A4%A9%E9%AB%93%E9%97%A1%E5%BE%AE</x:v>
      </x:c>
      <x:c r="AG52" s="82" t="str">
        <x:v>采用</x:v>
      </x:c>
      <x:c r="AH52" s="82" t="str">
        <x:v>初审</x:v>
      </x:c>
      <x:c r="AI52" s="87" t="n">
        <x:v>46260</x:v>
      </x:c>
    </x:row>
    <x:row r="53">
      <x:c r="A53" s="72" t="str">
        <x:f>IF(OR(C53="",D53=""),"",B53&amp;"-"&amp;UPPER(C53)&amp;"-"&amp;TEXT(D53,"0000")&amp;"-"&amp;E53)</x:f>
        <x:v>M15-SHISHANG-0047-V1.0</x:v>
      </x:c>
      <x:c r="B53" s="74" t="str">
        <x:v>M15</x:v>
      </x:c>
      <x:c r="C53" s="74" t="str">
        <x:v>SHISHANG</x:v>
      </x:c>
      <x:c r="D53" s="215" t="n">
        <x:v>47</x:v>
      </x:c>
      <x:c r="E53" s="74" t="str">
        <x:v>V1.0</x:v>
      </x:c>
      <x:c r="F53" s="68" t="str">
        <x:v>财制枭可救食神格</x:v>
      </x:c>
      <x:c r="G53" s="82" t="str">
        <x:v>综合层</x:v>
      </x:c>
      <x:c r="H53" s="68" t="str">
        <x:v>食神格候选</x:v>
      </x:c>
      <x:c r="I53" s="68" t="str">
        <x:v>枭夺食成立，财星能够有效制偏印且不过度耗身或生杀</x:v>
      </x:c>
      <x:c r="J53" s="68" t="str">
        <x:v>财→偏印克制真实，食神功能恢复</x:v>
      </x:c>
      <x:c r="K53" s="68" t="str">
        <x:v>枭夺食</x:v>
      </x:c>
      <x:c r="L53" s="82" t="str">
        <x:v>一般</x:v>
      </x:c>
      <x:c r="M53" s="68" t="str">
        <x:v>财制枭护食</x:v>
      </x:c>
      <x:c r="N53" s="82" t="str">
        <x:v>明显有效</x:v>
      </x:c>
      <x:c r="O53" s="84" t="str">
        <x:v>有破有救</x:v>
      </x:c>
      <x:c r="P53" s="82" t="str">
        <x:v>有杂</x:v>
      </x:c>
      <x:c r="Q53" s="68" t="str">
        <x:v>食神格恢复主要功能，但财的次级副作用需保留</x:v>
      </x:c>
      <x:c r="R53" s="68" t="str">
        <x:v>M14已生成候选；M08、M09、M10、M11相关结论可追溯</x:v>
      </x:c>
      <x:c r="S53" s="68" t="str">
        <x:v>格神与关键配合十神均以有效力量和实际功能为准</x:v>
      </x:c>
      <x:c r="T53" s="68" t="str">
        <x:v>格神得令、有根、透达、清纯，组合路径稳定且日主承载匹配</x:v>
      </x:c>
      <x:c r="U53" s="68" t="str">
        <x:v>格神受制、混杂、路径受阻、日主承载不足或救应只能局部作用</x:v>
      </x:c>
      <x:c r="V53" s="90" t="str">
        <x:v>格神失效、核心作用路径完全中断，或特殊格局硬门槛被有效反证否决</x:v>
      </x:c>
      <x:c r="W53" s="68" t="str">
        <x:v>特殊格局严格条件、流派争议及岁运补成另按专门规则处理</x:v>
      </x:c>
      <x:c r="X53" s="84" t="str">
        <x:v>食神格_财制枭救应</x:v>
      </x:c>
      <x:c r="Y53" s="84" t="str">
        <x:v>食神格候选判为“有破有救”：破格等级为“一般”，救应为“明显有效”，清纯度为“有杂”；层次需结合全局继续评估。</x:v>
      </x:c>
      <x:c r="Z53" s="68" t="str">
        <x:v>若“格神失效、核心作用路径完全中断，或特殊格局硬门槛被有效反证否决”成立，应降低为成立但有破或不成立，不得维持当前结论。</x:v>
      </x:c>
      <x:c r="AA53" s="82" t="str">
        <x:v>较高</x:v>
      </x:c>
      <x:c r="AB53" s="82" t="str">
        <x:v>子平格局</x:v>
      </x:c>
      <x:c r="AC53" s="68" t="str">
        <x:v>格局成败须区分：格神是否有效、结构是否能运行、是否存在破坏、救应是否直接修复破格机制，以及格局成立与层次高低。</x:v>
      </x:c>
      <x:c r="AD53" s="68" t="str">
        <x:v>当“枭夺食成立，财星能够有效制偏印且不过度耗身或生杀”成立，且成格证据相互支持、无决定性否决时，可按本规则判断。</x:v>
      </x:c>
      <x:c r="AE53" s="90" t="str">
        <x:v>只有格局名称或局部组合，但“格神失效、核心作用路径完全中断，或特殊格局硬门槛被有效反证否决”成立时，不能按本规则维持格局。</x:v>
      </x:c>
      <x:c r="AF53" s="68" t="str">
        <x:v>https://zh.wikisource.org/zh-hans/%E6%B7%B5%E6%B5%B7%E5%AD%90%E5%B9%B3 ; https://zh.wikisource.org/wiki/%E6%BB%B4%E5%A4%A9%E9%AB%93%E9%97%A1%E5%BE%AE</x:v>
      </x:c>
      <x:c r="AG53" s="82" t="str">
        <x:v>采用</x:v>
      </x:c>
      <x:c r="AH53" s="82" t="str">
        <x:v>初审</x:v>
      </x:c>
      <x:c r="AI53" s="87" t="n">
        <x:v>46260</x:v>
      </x:c>
    </x:row>
    <x:row r="54">
      <x:c r="A54" s="72" t="str">
        <x:f>IF(OR(C54="",D54=""),"",B54&amp;"-"&amp;UPPER(C54)&amp;"-"&amp;TEXT(D54,"0000")&amp;"-"&amp;E54)</x:f>
        <x:v>M15-SHISHANG-0048-V1.0</x:v>
      </x:c>
      <x:c r="B54" s="74" t="str">
        <x:v>M15</x:v>
      </x:c>
      <x:c r="C54" s="74" t="str">
        <x:v>SHISHANG</x:v>
      </x:c>
      <x:c r="D54" s="215" t="n">
        <x:v>48</x:v>
      </x:c>
      <x:c r="E54" s="74" t="str">
        <x:v>V1.0</x:v>
      </x:c>
      <x:c r="F54" s="68" t="str">
        <x:v>伤官格基本成格要求伤官有合理出口</x:v>
      </x:c>
      <x:c r="G54" s="82" t="str">
        <x:v>综合层</x:v>
      </x:c>
      <x:c r="H54" s="68" t="str">
        <x:v>伤官格候选</x:v>
      </x:c>
      <x:c r="I54" s="68" t="str">
        <x:v>伤官具月令依据、有根有力，日主可泄，且伤官能生财或配印</x:v>
      </x:c>
      <x:c r="J54" s="68" t="str">
        <x:v>伤官生财或伤官配印至少一条路径稳定</x:v>
      </x:c>
      <x:c r="K54" s="68" t="str">
        <x:v>无决定性破格因素</x:v>
      </x:c>
      <x:c r="L54" s="82" t="str">
        <x:v>无破</x:v>
      </x:c>
      <x:c r="M54" s="68" t="str">
        <x:v>无须救应</x:v>
      </x:c>
      <x:c r="N54" s="82" t="str">
        <x:v>无救应</x:v>
      </x:c>
      <x:c r="O54" s="84" t="str">
        <x:v>基本成立</x:v>
      </x:c>
      <x:c r="P54" s="82" t="str">
        <x:v>较清</x:v>
      </x:c>
      <x:c r="Q54" s="68" t="str">
        <x:v>伤官输出有承接或约束，不形成无序冲突</x:v>
      </x:c>
      <x:c r="R54" s="68" t="str">
        <x:v>M14已生成候选；M08、M09、M10、M11相关结论可追溯</x:v>
      </x:c>
      <x:c r="S54" s="68" t="str">
        <x:v>格神与关键配合十神均以有效力量和实际功能为准</x:v>
      </x:c>
      <x:c r="T54" s="68" t="str">
        <x:v>格神得令、有根、透达、清纯，组合路径稳定且日主承载匹配</x:v>
      </x:c>
      <x:c r="U54" s="68" t="str">
        <x:v>格神受制、混杂、路径受阻、日主承载不足或救应只能局部作用</x:v>
      </x:c>
      <x:c r="V54" s="90" t="str">
        <x:v>格神失效、核心作用路径完全中断，或特殊格局硬门槛被有效反证否决</x:v>
      </x:c>
      <x:c r="W54" s="68" t="str">
        <x:v>特殊格局严格条件、流派争议及岁运补成另按专门规则处理</x:v>
      </x:c>
      <x:c r="X54" s="84" t="str">
        <x:v>伤官格候选_成败救应</x:v>
      </x:c>
      <x:c r="Y54" s="84" t="str">
        <x:v>伤官格候选判为“基本成立”：破格等级为“无破”，救应为“无救应”，清纯度为“较清”；层次需结合全局继续评估。</x:v>
      </x:c>
      <x:c r="Z54" s="68" t="str">
        <x:v>若“格神失效、核心作用路径完全中断，或特殊格局硬门槛被有效反证否决”成立，应降低为成立但有破或不成立，不得维持当前结论。</x:v>
      </x:c>
      <x:c r="AA54" s="82" t="str">
        <x:v>较高</x:v>
      </x:c>
      <x:c r="AB54" s="82" t="str">
        <x:v>子平格局</x:v>
      </x:c>
      <x:c r="AC54" s="68" t="str">
        <x:v>格局成败须区分：格神是否有效、结构是否能运行、是否存在破坏、救应是否直接修复破格机制，以及格局成立与层次高低。</x:v>
      </x:c>
      <x:c r="AD54" s="68" t="str">
        <x:v>当“伤官具月令依据、有根有力，日主可泄，且伤官能生财或配印”成立，且成格证据相互支持、无决定性否决时，可按本规则判断。</x:v>
      </x:c>
      <x:c r="AE54" s="90" t="str">
        <x:v>只有格局名称或局部组合，但“格神失效、核心作用路径完全中断，或特殊格局硬门槛被有效反证否决”成立时，不能按本规则维持格局。</x:v>
      </x:c>
      <x:c r="AF54" s="68" t="str">
        <x:v>https://zh.wikisource.org/zh-hans/%E6%B7%B5%E6%B5%B7%E5%AD%90%E5%B9%B3 ; https://zh.wikisource.org/wiki/%E6%BB%B4%E5%A4%A9%E9%AB%93%E9%97%A1%E5%BE%AE</x:v>
      </x:c>
      <x:c r="AG54" s="82" t="str">
        <x:v>采用</x:v>
      </x:c>
      <x:c r="AH54" s="82" t="str">
        <x:v>初审</x:v>
      </x:c>
      <x:c r="AI54" s="87" t="n">
        <x:v>46260</x:v>
      </x:c>
    </x:row>
    <x:row r="55">
      <x:c r="A55" s="72" t="str">
        <x:f>IF(OR(C55="",D55=""),"",B55&amp;"-"&amp;UPPER(C55)&amp;"-"&amp;TEXT(D55,"0000")&amp;"-"&amp;E55)</x:f>
        <x:v>M15-SHISHANG-0049-V1.0</x:v>
      </x:c>
      <x:c r="B55" s="74" t="str">
        <x:v>M15</x:v>
      </x:c>
      <x:c r="C55" s="74" t="str">
        <x:v>SHISHANG</x:v>
      </x:c>
      <x:c r="D55" s="215" t="n">
        <x:v>49</x:v>
      </x:c>
      <x:c r="E55" s="74" t="str">
        <x:v>V1.0</x:v>
      </x:c>
      <x:c r="F55" s="68" t="str">
        <x:v>伤官生财完整可判伤官格清纯增强</x:v>
      </x:c>
      <x:c r="G55" s="82" t="str">
        <x:v>综合层</x:v>
      </x:c>
      <x:c r="H55" s="68" t="str">
        <x:v>伤官格候选</x:v>
      </x:c>
      <x:c r="I55" s="68" t="str">
        <x:v>伤官有力生财，财星能承接，日主供给匹配</x:v>
      </x:c>
      <x:c r="J55" s="68" t="str">
        <x:v>身→伤官→财链连续</x:v>
      </x:c>
      <x:c r="K55" s="68" t="str">
        <x:v>无决定性破格因素</x:v>
      </x:c>
      <x:c r="L55" s="82" t="str">
        <x:v>无破</x:v>
      </x:c>
      <x:c r="M55" s="68" t="str">
        <x:v>无须救应</x:v>
      </x:c>
      <x:c r="N55" s="82" t="str">
        <x:v>无救应</x:v>
      </x:c>
      <x:c r="O55" s="84" t="str">
        <x:v>清纯成立</x:v>
      </x:c>
      <x:c r="P55" s="82" t="str">
        <x:v>较清</x:v>
      </x:c>
      <x:c r="Q55" s="68" t="str">
        <x:v>伤官输出转化为财星，冲突性降低</x:v>
      </x:c>
      <x:c r="R55" s="68" t="str">
        <x:v>M14已生成候选；M08、M09、M10、M11相关结论可追溯</x:v>
      </x:c>
      <x:c r="S55" s="68" t="str">
        <x:v>格神与关键配合十神均以有效力量和实际功能为准</x:v>
      </x:c>
      <x:c r="T55" s="68" t="str">
        <x:v>格神得令、有根、透达、清纯，组合路径稳定且日主承载匹配</x:v>
      </x:c>
      <x:c r="U55" s="68" t="str">
        <x:v>格神受制、混杂、路径受阻、日主承载不足或救应只能局部作用</x:v>
      </x:c>
      <x:c r="V55" s="90" t="str">
        <x:v>格神失效、核心作用路径完全中断，或特殊格局硬门槛被有效反证否决</x:v>
      </x:c>
      <x:c r="W55" s="68" t="str">
        <x:v>特殊格局严格条件、流派争议及岁运补成另按专门规则处理</x:v>
      </x:c>
      <x:c r="X55" s="84" t="str">
        <x:v>伤官格_生财清纯</x:v>
      </x:c>
      <x:c r="Y55" s="84" t="str">
        <x:v>伤官格候选判为“清纯成立”：破格等级为“无破”，救应为“无救应”，清纯度为“较清”；层次需结合全局继续评估。</x:v>
      </x:c>
      <x:c r="Z55" s="68" t="str">
        <x:v>若“格神失效、核心作用路径完全中断，或特殊格局硬门槛被有效反证否决”成立，应降低为成立但有破或不成立，不得维持当前结论。</x:v>
      </x:c>
      <x:c r="AA55" s="82" t="str">
        <x:v>较高</x:v>
      </x:c>
      <x:c r="AB55" s="82" t="str">
        <x:v>子平格局</x:v>
      </x:c>
      <x:c r="AC55" s="68" t="str">
        <x:v>格局成败须区分：格神是否有效、结构是否能运行、是否存在破坏、救应是否直接修复破格机制，以及格局成立与层次高低。</x:v>
      </x:c>
      <x:c r="AD55" s="68" t="str">
        <x:v>当“伤官有力生财，财星能承接，日主供给匹配”成立，且成格证据相互支持、无决定性否决时，可按本规则判断。</x:v>
      </x:c>
      <x:c r="AE55" s="90" t="str">
        <x:v>只有格局名称或局部组合，但“格神失效、核心作用路径完全中断，或特殊格局硬门槛被有效反证否决”成立时，不能按本规则维持格局。</x:v>
      </x:c>
      <x:c r="AF55" s="68" t="str">
        <x:v>https://zh.wikisource.org/zh-hans/%E6%B7%B5%E6%B5%B7%E5%AD%90%E5%B9%B3 ; https://zh.wikisource.org/wiki/%E6%BB%B4%E5%A4%A9%E9%AB%93%E9%97%A1%E5%BE%AE</x:v>
      </x:c>
      <x:c r="AG55" s="82" t="str">
        <x:v>采用</x:v>
      </x:c>
      <x:c r="AH55" s="82" t="str">
        <x:v>初审</x:v>
      </x:c>
      <x:c r="AI55" s="87" t="n">
        <x:v>46260</x:v>
      </x:c>
    </x:row>
    <x:row r="56">
      <x:c r="A56" s="72" t="str">
        <x:f>IF(OR(C56="",D56=""),"",B56&amp;"-"&amp;UPPER(C56)&amp;"-"&amp;TEXT(D56,"0000")&amp;"-"&amp;E56)</x:f>
        <x:v>M15-SHISHANG-0050-V1.0</x:v>
      </x:c>
      <x:c r="B56" s="74" t="str">
        <x:v>M15</x:v>
      </x:c>
      <x:c r="C56" s="74" t="str">
        <x:v>SHISHANG</x:v>
      </x:c>
      <x:c r="D56" s="215" t="n">
        <x:v>50</x:v>
      </x:c>
      <x:c r="E56" s="74" t="str">
        <x:v>V1.0</x:v>
      </x:c>
      <x:c r="F56" s="68" t="str">
        <x:v>伤官配印比例适中可判伤官格清纯增强</x:v>
      </x:c>
      <x:c r="G56" s="82" t="str">
        <x:v>综合层</x:v>
      </x:c>
      <x:c r="H56" s="68" t="str">
        <x:v>伤官格候选</x:v>
      </x:c>
      <x:c r="I56" s="68" t="str">
        <x:v>伤官有力，印星能制伤而不过度，日主需要印扶</x:v>
      </x:c>
      <x:c r="J56" s="68" t="str">
        <x:v>M11伤官配印明显成立，无财重破印</x:v>
      </x:c>
      <x:c r="K56" s="68" t="str">
        <x:v>无决定性破格因素</x:v>
      </x:c>
      <x:c r="L56" s="82" t="str">
        <x:v>无破</x:v>
      </x:c>
      <x:c r="M56" s="68" t="str">
        <x:v>无须救应</x:v>
      </x:c>
      <x:c r="N56" s="82" t="str">
        <x:v>无救应</x:v>
      </x:c>
      <x:c r="O56" s="84" t="str">
        <x:v>清纯成立</x:v>
      </x:c>
      <x:c r="P56" s="82" t="str">
        <x:v>较清</x:v>
      </x:c>
      <x:c r="Q56" s="68" t="str">
        <x:v>伤官得到约束，印又能扶身，结构稳定</x:v>
      </x:c>
      <x:c r="R56" s="68" t="str">
        <x:v>M14已生成候选；M08、M09、M10、M11相关结论可追溯</x:v>
      </x:c>
      <x:c r="S56" s="68" t="str">
        <x:v>格神与关键配合十神均以有效力量和实际功能为准</x:v>
      </x:c>
      <x:c r="T56" s="68" t="str">
        <x:v>格神得令、有根、透达、清纯，组合路径稳定且日主承载匹配</x:v>
      </x:c>
      <x:c r="U56" s="68" t="str">
        <x:v>格神受制、混杂、路径受阻、日主承载不足或救应只能局部作用</x:v>
      </x:c>
      <x:c r="V56" s="90" t="str">
        <x:v>格神失效、核心作用路径完全中断，或特殊格局硬门槛被有效反证否决</x:v>
      </x:c>
      <x:c r="W56" s="68" t="str">
        <x:v>特殊格局严格条件、流派争议及岁运补成另按专门规则处理</x:v>
      </x:c>
      <x:c r="X56" s="84" t="str">
        <x:v>伤官格_配印清纯</x:v>
      </x:c>
      <x:c r="Y56" s="84" t="str">
        <x:v>伤官格候选判为“清纯成立”：破格等级为“无破”，救应为“无救应”，清纯度为“较清”；层次需结合全局继续评估。</x:v>
      </x:c>
      <x:c r="Z56" s="68" t="str">
        <x:v>若“格神失效、核心作用路径完全中断，或特殊格局硬门槛被有效反证否决”成立，应降低为成立但有破或不成立，不得维持当前结论。</x:v>
      </x:c>
      <x:c r="AA56" s="82" t="str">
        <x:v>较高</x:v>
      </x:c>
      <x:c r="AB56" s="82" t="str">
        <x:v>子平格局</x:v>
      </x:c>
      <x:c r="AC56" s="68" t="str">
        <x:v>格局成败须区分：格神是否有效、结构是否能运行、是否存在破坏、救应是否直接修复破格机制，以及格局成立与层次高低。</x:v>
      </x:c>
      <x:c r="AD56" s="68" t="str">
        <x:v>当“伤官有力，印星能制伤而不过度，日主需要印扶”成立，且成格证据相互支持、无决定性否决时，可按本规则判断。</x:v>
      </x:c>
      <x:c r="AE56" s="90" t="str">
        <x:v>只有格局名称或局部组合，但“格神失效、核心作用路径完全中断，或特殊格局硬门槛被有效反证否决”成立时，不能按本规则维持格局。</x:v>
      </x:c>
      <x:c r="AF56" s="68" t="str">
        <x:v>https://zh.wikisource.org/zh-hans/%E6%B7%B5%E6%B5%B7%E5%AD%90%E5%B9%B3 ; https://zh.wikisource.org/wiki/%E6%BB%B4%E5%A4%A9%E9%AB%93%E9%97%A1%E5%BE%AE</x:v>
      </x:c>
      <x:c r="AG56" s="82" t="str">
        <x:v>采用</x:v>
      </x:c>
      <x:c r="AH56" s="82" t="str">
        <x:v>初审</x:v>
      </x:c>
      <x:c r="AI56" s="87" t="n">
        <x:v>46260</x:v>
      </x:c>
    </x:row>
    <x:row r="57">
      <x:c r="A57" s="72" t="str">
        <x:f>IF(OR(C57="",D57=""),"",B57&amp;"-"&amp;UPPER(C57)&amp;"-"&amp;TEXT(D57,"0000")&amp;"-"&amp;E57)</x:f>
        <x:v>M15-SHISHANG-0051-V1.0</x:v>
      </x:c>
      <x:c r="B57" s="74" t="str">
        <x:v>M15</x:v>
      </x:c>
      <x:c r="C57" s="74" t="str">
        <x:v>SHISHANG</x:v>
      </x:c>
      <x:c r="D57" s="215" t="n">
        <x:v>51</x:v>
      </x:c>
      <x:c r="E57" s="74" t="str">
        <x:v>V1.0</x:v>
      </x:c>
      <x:c r="F57" s="68" t="str">
        <x:v>伤官见官无救应构成严重破格</x:v>
      </x:c>
      <x:c r="G57" s="82" t="str">
        <x:v>综合层</x:v>
      </x:c>
      <x:c r="H57" s="68" t="str">
        <x:v>伤官格候选</x:v>
      </x:c>
      <x:c r="I57" s="68" t="str">
        <x:v>伤官格成立且正官仍承担关键功能</x:v>
      </x:c>
      <x:c r="J57" s="68" t="str">
        <x:v>月令依据、格神根气与有效力量、日主配合及M11组合证据相互支持</x:v>
      </x:c>
      <x:c r="K57" s="68" t="str">
        <x:v>伤官直接强克正官，双方均有力</x:v>
      </x:c>
      <x:c r="L57" s="82" t="str">
        <x:v>严重</x:v>
      </x:c>
      <x:c r="M57" s="68" t="str">
        <x:v>印制伤或财通关</x:v>
      </x:c>
      <x:c r="N57" s="82" t="str">
        <x:v>待定</x:v>
      </x:c>
      <x:c r="O57" s="84" t="str">
        <x:v>成立但有破</x:v>
      </x:c>
      <x:c r="P57" s="82" t="str">
        <x:v>混杂</x:v>
      </x:c>
      <x:c r="Q57" s="68" t="str">
        <x:v>冲突直接作用于官星，格局稳定性显著下降</x:v>
      </x:c>
      <x:c r="R57" s="68" t="str">
        <x:v>M14已生成候选；M08、M09、M10、M11相关结论可追溯</x:v>
      </x:c>
      <x:c r="S57" s="68" t="str">
        <x:v>格神与关键配合十神均以有效力量和实际功能为准</x:v>
      </x:c>
      <x:c r="T57" s="68" t="str">
        <x:v>格神得令、有根、透达、清纯，组合路径稳定且日主承载匹配</x:v>
      </x:c>
      <x:c r="U57" s="68" t="str">
        <x:v>格神受制、混杂、路径受阻、日主承载不足或救应只能局部作用</x:v>
      </x:c>
      <x:c r="V57" s="90" t="str">
        <x:v>格神失效、核心作用路径完全中断，或特殊格局硬门槛被有效反证否决</x:v>
      </x:c>
      <x:c r="W57" s="68" t="str">
        <x:v>特殊格局严格条件、流派争议及岁运补成另按专门规则处理</x:v>
      </x:c>
      <x:c r="X57" s="84" t="str">
        <x:v>伤官格_见官破格</x:v>
      </x:c>
      <x:c r="Y57" s="84" t="str">
        <x:v>伤官格候选判为“成立但有破”：破格等级为“严重”，救应为“待定”，清纯度为“混杂”；层次需结合全局继续评估。</x:v>
      </x:c>
      <x:c r="Z57" s="68" t="str">
        <x:v>若“格神失效、核心作用路径完全中断，或特殊格局硬门槛被有效反证否决”成立，应降低为成立但有破或不成立，不得维持当前结论。</x:v>
      </x:c>
      <x:c r="AA57" s="82" t="str">
        <x:v>较高</x:v>
      </x:c>
      <x:c r="AB57" s="82" t="str">
        <x:v>子平格局</x:v>
      </x:c>
      <x:c r="AC57" s="68" t="str">
        <x:v>格局成败须区分：格神是否有效、结构是否能运行、是否存在破坏、救应是否直接修复破格机制，以及格局成立与层次高低。</x:v>
      </x:c>
      <x:c r="AD57" s="68" t="str">
        <x:v>当“伤官格成立且正官仍承担关键功能”成立，且成格证据相互支持、无决定性否决时，可按本规则判断。</x:v>
      </x:c>
      <x:c r="AE57" s="90" t="str">
        <x:v>只有格局名称或局部组合，但“格神失效、核心作用路径完全中断，或特殊格局硬门槛被有效反证否决”成立时，不能按本规则维持格局。</x:v>
      </x:c>
      <x:c r="AF57" s="68" t="str">
        <x:v>https://zh.wikisource.org/zh-hans/%E6%B7%B5%E6%B5%B7%E5%AD%90%E5%B9%B3 ; https://zh.wikisource.org/wiki/%E6%BB%B4%E5%A4%A9%E9%AB%93%E9%97%A1%E5%BE%AE</x:v>
      </x:c>
      <x:c r="AG57" s="82" t="str">
        <x:v>采用</x:v>
      </x:c>
      <x:c r="AH57" s="82" t="str">
        <x:v>初审</x:v>
      </x:c>
      <x:c r="AI57" s="87" t="n">
        <x:v>46260</x:v>
      </x:c>
    </x:row>
    <x:row r="58">
      <x:c r="A58" s="72" t="str">
        <x:f>IF(OR(C58="",D58=""),"",B58&amp;"-"&amp;UPPER(C58)&amp;"-"&amp;TEXT(D58,"0000")&amp;"-"&amp;E58)</x:f>
        <x:v>M15-SHISHANG-0052-V1.0</x:v>
      </x:c>
      <x:c r="B58" s="74" t="str">
        <x:v>M15</x:v>
      </x:c>
      <x:c r="C58" s="74" t="str">
        <x:v>SHISHANG</x:v>
      </x:c>
      <x:c r="D58" s="215" t="n">
        <x:v>52</x:v>
      </x:c>
      <x:c r="E58" s="74" t="str">
        <x:v>V1.0</x:v>
      </x:c>
      <x:c r="F58" s="68" t="str">
        <x:v>印制伤或财通关可救伤官见官</x:v>
      </x:c>
      <x:c r="G58" s="82" t="str">
        <x:v>综合层</x:v>
      </x:c>
      <x:c r="H58" s="68" t="str">
        <x:v>伤官格候选</x:v>
      </x:c>
      <x:c r="I58" s="68" t="str">
        <x:v>伤官见官冲突成立，印或财能够真实改变冲突路径</x:v>
      </x:c>
      <x:c r="J58" s="68" t="str">
        <x:v>印制伤，或伤→财→官链至少一条有效</x:v>
      </x:c>
      <x:c r="K58" s="68" t="str">
        <x:v>伤官见官</x:v>
      </x:c>
      <x:c r="L58" s="82" t="str">
        <x:v>一般</x:v>
      </x:c>
      <x:c r="M58" s="68" t="str">
        <x:v>印制伤/财通关</x:v>
      </x:c>
      <x:c r="N58" s="82" t="str">
        <x:v>明显有效</x:v>
      </x:c>
      <x:c r="O58" s="84" t="str">
        <x:v>有破有救</x:v>
      </x:c>
      <x:c r="P58" s="82" t="str">
        <x:v>有杂</x:v>
      </x:c>
      <x:c r="Q58" s="68" t="str">
        <x:v>冲突被修复，但有救结构低于原局无官伤冲突</x:v>
      </x:c>
      <x:c r="R58" s="68" t="str">
        <x:v>M14已生成候选；M08、M09、M10、M11相关结论可追溯</x:v>
      </x:c>
      <x:c r="S58" s="68" t="str">
        <x:v>格神与关键配合十神均以有效力量和实际功能为准</x:v>
      </x:c>
      <x:c r="T58" s="68" t="str">
        <x:v>格神得令、有根、透达、清纯，组合路径稳定且日主承载匹配</x:v>
      </x:c>
      <x:c r="U58" s="68" t="str">
        <x:v>格神受制、混杂、路径受阻、日主承载不足或救应只能局部作用</x:v>
      </x:c>
      <x:c r="V58" s="90" t="str">
        <x:v>格神失效、核心作用路径完全中断，或特殊格局硬门槛被有效反证否决</x:v>
      </x:c>
      <x:c r="W58" s="68" t="str">
        <x:v>特殊格局严格条件、流派争议及岁运补成另按专门规则处理</x:v>
      </x:c>
      <x:c r="X58" s="84" t="str">
        <x:v>伤官格_见官救应</x:v>
      </x:c>
      <x:c r="Y58" s="84" t="str">
        <x:v>伤官格候选判为“有破有救”：破格等级为“一般”，救应为“明显有效”，清纯度为“有杂”；层次需结合全局继续评估。</x:v>
      </x:c>
      <x:c r="Z58" s="68" t="str">
        <x:v>若“格神失效、核心作用路径完全中断，或特殊格局硬门槛被有效反证否决”成立，应降低为成立但有破或不成立，不得维持当前结论。</x:v>
      </x:c>
      <x:c r="AA58" s="82" t="str">
        <x:v>较高</x:v>
      </x:c>
      <x:c r="AB58" s="82" t="str">
        <x:v>子平格局</x:v>
      </x:c>
      <x:c r="AC58" s="68" t="str">
        <x:v>格局成败须区分：格神是否有效、结构是否能运行、是否存在破坏、救应是否直接修复破格机制，以及格局成立与层次高低。</x:v>
      </x:c>
      <x:c r="AD58" s="68" t="str">
        <x:v>当“伤官见官冲突成立，印或财能够真实改变冲突路径”成立，且成格证据相互支持、无决定性否决时，可按本规则判断。</x:v>
      </x:c>
      <x:c r="AE58" s="90" t="str">
        <x:v>只有格局名称或局部组合，但“格神失效、核心作用路径完全中断，或特殊格局硬门槛被有效反证否决”成立时，不能按本规则维持格局。</x:v>
      </x:c>
      <x:c r="AF58" s="68" t="str">
        <x:v>https://zh.wikisource.org/zh-hans/%E6%B7%B5%E6%B5%B7%E5%AD%90%E5%B9%B3 ; https://zh.wikisource.org/wiki/%E6%BB%B4%E5%A4%A9%E9%AB%93%E9%97%A1%E5%BE%AE</x:v>
      </x:c>
      <x:c r="AG58" s="82" t="str">
        <x:v>采用</x:v>
      </x:c>
      <x:c r="AH58" s="82" t="str">
        <x:v>初审</x:v>
      </x:c>
      <x:c r="AI58" s="87" t="n">
        <x:v>46260</x:v>
      </x:c>
    </x:row>
    <x:row r="59">
      <x:c r="A59" s="72" t="str">
        <x:f>IF(OR(C59="",D59=""),"",B59&amp;"-"&amp;UPPER(C59)&amp;"-"&amp;TEXT(D59,"0000")&amp;"-"&amp;E59)</x:f>
        <x:v>M15-JIANREN-0053-V1.0</x:v>
      </x:c>
      <x:c r="B59" s="74" t="str">
        <x:v>M15</x:v>
      </x:c>
      <x:c r="C59" s="74" t="str">
        <x:v>JIANREN</x:v>
      </x:c>
      <x:c r="D59" s="215" t="n">
        <x:v>53</x:v>
      </x:c>
      <x:c r="E59" s="74" t="str">
        <x:v>V1.0</x:v>
      </x:c>
      <x:c r="F59" s="68" t="str">
        <x:v>建禄格需有财官食伤出口才能形成较完整结构</x:v>
      </x:c>
      <x:c r="G59" s="82" t="str">
        <x:v>综合层</x:v>
      </x:c>
      <x:c r="H59" s="68" t="str">
        <x:v>建禄格候选</x:v>
      </x:c>
      <x:c r="I59" s="68" t="str">
        <x:v>日主临月令禄地且身势有力，财、官杀或食伤至少一方有效</x:v>
      </x:c>
      <x:c r="J59" s="68" t="str">
        <x:v>强身有明确制、泄、耗路径</x:v>
      </x:c>
      <x:c r="K59" s="68" t="str">
        <x:v>无决定性破格因素</x:v>
      </x:c>
      <x:c r="L59" s="82" t="str">
        <x:v>无破</x:v>
      </x:c>
      <x:c r="M59" s="68" t="str">
        <x:v>无须救应</x:v>
      </x:c>
      <x:c r="N59" s="82" t="str">
        <x:v>无救应</x:v>
      </x:c>
      <x:c r="O59" s="84" t="str">
        <x:v>基本成立</x:v>
      </x:c>
      <x:c r="P59" s="82" t="str">
        <x:v>待定</x:v>
      </x:c>
      <x:c r="Q59" s="68" t="str">
        <x:v>建禄本身只是强身基础，层次取决于能否合理输出或制衡</x:v>
      </x:c>
      <x:c r="R59" s="68" t="str">
        <x:v>M14已生成候选；M08、M09、M10、M11相关结论可追溯</x:v>
      </x:c>
      <x:c r="S59" s="68" t="str">
        <x:v>格神与关键配合十神均以有效力量和实际功能为准</x:v>
      </x:c>
      <x:c r="T59" s="68" t="str">
        <x:v>格神得令、有根、透达、清纯，组合路径稳定且日主承载匹配</x:v>
      </x:c>
      <x:c r="U59" s="68" t="str">
        <x:v>格神受制、混杂、路径受阻、日主承载不足或救应只能局部作用</x:v>
      </x:c>
      <x:c r="V59" s="90" t="str">
        <x:v>格神失效、核心作用路径完全中断，或特殊格局硬门槛被有效反证否决</x:v>
      </x:c>
      <x:c r="W59" s="68" t="str">
        <x:v>特殊格局严格条件、流派争议及岁运补成另按专门规则处理</x:v>
      </x:c>
      <x:c r="X59" s="84" t="str">
        <x:v>建禄格_基本成格</x:v>
      </x:c>
      <x:c r="Y59" s="84" t="str">
        <x:v>建禄格候选判为“基本成立”：破格等级为“无破”，救应为“无救应”，清纯度为“待定”；层次需结合全局继续评估。</x:v>
      </x:c>
      <x:c r="Z59" s="68" t="str">
        <x:v>若“格神失效、核心作用路径完全中断，或特殊格局硬门槛被有效反证否决”成立，应降低为成立但有破或不成立，不得维持当前结论。</x:v>
      </x:c>
      <x:c r="AA59" s="82" t="str">
        <x:v>较高</x:v>
      </x:c>
      <x:c r="AB59" s="82" t="str">
        <x:v>子平格局</x:v>
      </x:c>
      <x:c r="AC59" s="68" t="str">
        <x:v>格局成败须区分：格神是否有效、结构是否能运行、是否存在破坏、救应是否直接修复破格机制，以及格局成立与层次高低。</x:v>
      </x:c>
      <x:c r="AD59" s="68" t="str">
        <x:v>当“日主临月令禄地且身势有力，财、官杀或食伤至少一方有效”成立，且成格证据相互支持、无决定性否决时，可按本规则判断。</x:v>
      </x:c>
      <x:c r="AE59" s="90" t="str">
        <x:v>只有格局名称或局部组合，但“格神失效、核心作用路径完全中断，或特殊格局硬门槛被有效反证否决”成立时，不能按本规则维持格局。</x:v>
      </x:c>
      <x:c r="AF59" s="68" t="str">
        <x:v>https://zh.wikisource.org/zh-hans/%E6%B7%B5%E6%B5%B7%E5%AD%90%E5%B9%B3 ; https://zh.wikisource.org/wiki/%E6%BB%B4%E5%A4%A9%E9%AB%93%E9%97%A1%E5%BE%AE</x:v>
      </x:c>
      <x:c r="AG59" s="82" t="str">
        <x:v>采用</x:v>
      </x:c>
      <x:c r="AH59" s="82" t="str">
        <x:v>初审</x:v>
      </x:c>
      <x:c r="AI59" s="87" t="n">
        <x:v>46260</x:v>
      </x:c>
    </x:row>
    <x:row r="60">
      <x:c r="A60" s="72" t="str">
        <x:f>IF(OR(C60="",D60=""),"",B60&amp;"-"&amp;UPPER(C60)&amp;"-"&amp;TEXT(D60,"0000")&amp;"-"&amp;E60)</x:f>
        <x:v>M15-JIANREN-0054-V1.0</x:v>
      </x:c>
      <x:c r="B60" s="74" t="str">
        <x:v>M15</x:v>
      </x:c>
      <x:c r="C60" s="74" t="str">
        <x:v>JIANREN</x:v>
      </x:c>
      <x:c r="D60" s="215" t="n">
        <x:v>54</x:v>
      </x:c>
      <x:c r="E60" s="74" t="str">
        <x:v>V1.0</x:v>
      </x:c>
      <x:c r="F60" s="68" t="str">
        <x:v>食伤泄秀可提高建禄格层次</x:v>
      </x:c>
      <x:c r="G60" s="82" t="str">
        <x:v>综合层</x:v>
      </x:c>
      <x:c r="H60" s="68" t="str">
        <x:v>建禄格候选</x:v>
      </x:c>
      <x:c r="I60" s="68" t="str">
        <x:v>建禄身旺，食伤有力且不被印重制，财星可承接更佳</x:v>
      </x:c>
      <x:c r="J60" s="68" t="str">
        <x:v>身→食伤路径连续</x:v>
      </x:c>
      <x:c r="K60" s="68" t="str">
        <x:v>无决定性破格因素</x:v>
      </x:c>
      <x:c r="L60" s="82" t="str">
        <x:v>无破</x:v>
      </x:c>
      <x:c r="M60" s="68" t="str">
        <x:v>无须救应</x:v>
      </x:c>
      <x:c r="N60" s="82" t="str">
        <x:v>无救应</x:v>
      </x:c>
      <x:c r="O60" s="84" t="str">
        <x:v>清纯成立</x:v>
      </x:c>
      <x:c r="P60" s="82" t="str">
        <x:v>较清</x:v>
      </x:c>
      <x:c r="Q60" s="68" t="str">
        <x:v>强身有稳定出口，流通和格局运行较顺</x:v>
      </x:c>
      <x:c r="R60" s="68" t="str">
        <x:v>M14已生成候选；M08、M09、M10、M11相关结论可追溯</x:v>
      </x:c>
      <x:c r="S60" s="68" t="str">
        <x:v>格神与关键配合十神均以有效力量和实际功能为准</x:v>
      </x:c>
      <x:c r="T60" s="68" t="str">
        <x:v>格神得令、有根、透达、清纯，组合路径稳定且日主承载匹配</x:v>
      </x:c>
      <x:c r="U60" s="68" t="str">
        <x:v>格神受制、混杂、路径受阻、日主承载不足或救应只能局部作用</x:v>
      </x:c>
      <x:c r="V60" s="90" t="str">
        <x:v>格神失效、核心作用路径完全中断，或特殊格局硬门槛被有效反证否决</x:v>
      </x:c>
      <x:c r="W60" s="68" t="str">
        <x:v>特殊格局严格条件、流派争议及岁运补成另按专门规则处理</x:v>
      </x:c>
      <x:c r="X60" s="84" t="str">
        <x:v>建禄格_食伤泄秀</x:v>
      </x:c>
      <x:c r="Y60" s="84" t="str">
        <x:v>建禄格候选判为“清纯成立”：破格等级为“无破”，救应为“无救应”，清纯度为“较清”；层次需结合全局继续评估。</x:v>
      </x:c>
      <x:c r="Z60" s="68" t="str">
        <x:v>若“格神失效、核心作用路径完全中断，或特殊格局硬门槛被有效反证否决”成立，应降低为成立但有破或不成立，不得维持当前结论。</x:v>
      </x:c>
      <x:c r="AA60" s="82" t="str">
        <x:v>较高</x:v>
      </x:c>
      <x:c r="AB60" s="82" t="str">
        <x:v>子平格局</x:v>
      </x:c>
      <x:c r="AC60" s="68" t="str">
        <x:v>格局成败须区分：格神是否有效、结构是否能运行、是否存在破坏、救应是否直接修复破格机制，以及格局成立与层次高低。</x:v>
      </x:c>
      <x:c r="AD60" s="68" t="str">
        <x:v>当“建禄身旺，食伤有力且不被印重制，财星可承接更佳”成立，且成格证据相互支持、无决定性否决时，可按本规则判断。</x:v>
      </x:c>
      <x:c r="AE60" s="90" t="str">
        <x:v>只有格局名称或局部组合，但“格神失效、核心作用路径完全中断，或特殊格局硬门槛被有效反证否决”成立时，不能按本规则维持格局。</x:v>
      </x:c>
      <x:c r="AF60" s="68" t="str">
        <x:v>https://zh.wikisource.org/zh-hans/%E6%B7%B5%E6%B5%B7%E5%AD%90%E5%B9%B3 ; https://zh.wikisource.org/wiki/%E6%BB%B4%E5%A4%A9%E9%AB%93%E9%97%A1%E5%BE%AE</x:v>
      </x:c>
      <x:c r="AG60" s="82" t="str">
        <x:v>采用</x:v>
      </x:c>
      <x:c r="AH60" s="82" t="str">
        <x:v>初审</x:v>
      </x:c>
      <x:c r="AI60" s="87" t="n">
        <x:v>46260</x:v>
      </x:c>
    </x:row>
    <x:row r="61">
      <x:c r="A61" s="72" t="str">
        <x:f>IF(OR(C61="",D61=""),"",B61&amp;"-"&amp;UPPER(C61)&amp;"-"&amp;TEXT(D61,"0000")&amp;"-"&amp;E61)</x:f>
        <x:v>M15-JIANREN-0055-V1.0</x:v>
      </x:c>
      <x:c r="B61" s="74" t="str">
        <x:v>M15</x:v>
      </x:c>
      <x:c r="C61" s="74" t="str">
        <x:v>JIANREN</x:v>
      </x:c>
      <x:c r="D61" s="215" t="n">
        <x:v>55</x:v>
      </x:c>
      <x:c r="E61" s="74" t="str">
        <x:v>V1.0</x:v>
      </x:c>
      <x:c r="F61" s="68" t="str">
        <x:v>官杀有力制衡可提高建禄格层次</x:v>
      </x:c>
      <x:c r="G61" s="82" t="str">
        <x:v>综合层</x:v>
      </x:c>
      <x:c r="H61" s="68" t="str">
        <x:v>建禄格候选</x:v>
      </x:c>
      <x:c r="I61" s="68" t="str">
        <x:v>建禄身旺，官杀有根有力且制身不过度</x:v>
      </x:c>
      <x:c r="J61" s="68" t="str">
        <x:v>官杀能够约束比劫集团，日主仍可承载</x:v>
      </x:c>
      <x:c r="K61" s="68" t="str">
        <x:v>无决定性破格因素</x:v>
      </x:c>
      <x:c r="L61" s="82" t="str">
        <x:v>无破</x:v>
      </x:c>
      <x:c r="M61" s="68" t="str">
        <x:v>无须救应</x:v>
      </x:c>
      <x:c r="N61" s="82" t="str">
        <x:v>无救应</x:v>
      </x:c>
      <x:c r="O61" s="84" t="str">
        <x:v>清纯成立</x:v>
      </x:c>
      <x:c r="P61" s="82" t="str">
        <x:v>较清</x:v>
      </x:c>
      <x:c r="Q61" s="68" t="str">
        <x:v>强身得到有效制衡，结构稳定</x:v>
      </x:c>
      <x:c r="R61" s="68" t="str">
        <x:v>M14已生成候选；M08、M09、M10、M11相关结论可追溯</x:v>
      </x:c>
      <x:c r="S61" s="68" t="str">
        <x:v>格神与关键配合十神均以有效力量和实际功能为准</x:v>
      </x:c>
      <x:c r="T61" s="68" t="str">
        <x:v>格神得令、有根、透达、清纯，组合路径稳定且日主承载匹配</x:v>
      </x:c>
      <x:c r="U61" s="68" t="str">
        <x:v>格神受制、混杂、路径受阻、日主承载不足或救应只能局部作用</x:v>
      </x:c>
      <x:c r="V61" s="90" t="str">
        <x:v>格神失效、核心作用路径完全中断，或特殊格局硬门槛被有效反证否决</x:v>
      </x:c>
      <x:c r="W61" s="68" t="str">
        <x:v>特殊格局严格条件、流派争议及岁运补成另按专门规则处理</x:v>
      </x:c>
      <x:c r="X61" s="84" t="str">
        <x:v>建禄格_官杀制衡</x:v>
      </x:c>
      <x:c r="Y61" s="84" t="str">
        <x:v>建禄格候选判为“清纯成立”：破格等级为“无破”，救应为“无救应”，清纯度为“较清”；层次需结合全局继续评估。</x:v>
      </x:c>
      <x:c r="Z61" s="68" t="str">
        <x:v>若“格神失效、核心作用路径完全中断，或特殊格局硬门槛被有效反证否决”成立，应降低为成立但有破或不成立，不得维持当前结论。</x:v>
      </x:c>
      <x:c r="AA61" s="82" t="str">
        <x:v>较高</x:v>
      </x:c>
      <x:c r="AB61" s="82" t="str">
        <x:v>子平格局</x:v>
      </x:c>
      <x:c r="AC61" s="68" t="str">
        <x:v>格局成败须区分：格神是否有效、结构是否能运行、是否存在破坏、救应是否直接修复破格机制，以及格局成立与层次高低。</x:v>
      </x:c>
      <x:c r="AD61" s="68" t="str">
        <x:v>当“建禄身旺，官杀有根有力且制身不过度”成立，且成格证据相互支持、无决定性否决时，可按本规则判断。</x:v>
      </x:c>
      <x:c r="AE61" s="90" t="str">
        <x:v>只有格局名称或局部组合，但“格神失效、核心作用路径完全中断，或特殊格局硬门槛被有效反证否决”成立时，不能按本规则维持格局。</x:v>
      </x:c>
      <x:c r="AF61" s="68" t="str">
        <x:v>https://zh.wikisource.org/zh-hans/%E6%B7%B5%E6%B5%B7%E5%AD%90%E5%B9%B3 ; https://zh.wikisource.org/wiki/%E6%BB%B4%E5%A4%A9%E9%AB%93%E9%97%A1%E5%BE%AE</x:v>
      </x:c>
      <x:c r="AG61" s="82" t="str">
        <x:v>采用</x:v>
      </x:c>
      <x:c r="AH61" s="82" t="str">
        <x:v>初审</x:v>
      </x:c>
      <x:c r="AI61" s="87" t="n">
        <x:v>46260</x:v>
      </x:c>
    </x:row>
    <x:row r="62">
      <x:c r="A62" s="72" t="str">
        <x:f>IF(OR(C62="",D62=""),"",B62&amp;"-"&amp;UPPER(C62)&amp;"-"&amp;TEXT(D62,"0000")&amp;"-"&amp;E62)</x:f>
        <x:v>M15-JIANREN-0056-V1.0</x:v>
      </x:c>
      <x:c r="B62" s="74" t="str">
        <x:v>M15</x:v>
      </x:c>
      <x:c r="C62" s="74" t="str">
        <x:v>JIANREN</x:v>
      </x:c>
      <x:c r="D62" s="215" t="n">
        <x:v>56</x:v>
      </x:c>
      <x:c r="E62" s="74" t="str">
        <x:v>V1.0</x:v>
      </x:c>
      <x:c r="F62" s="68" t="str">
        <x:v>比劫壅塞无泄构成建禄格一般破格</x:v>
      </x:c>
      <x:c r="G62" s="82" t="str">
        <x:v>综合层</x:v>
      </x:c>
      <x:c r="H62" s="68" t="str">
        <x:v>建禄格候选</x:v>
      </x:c>
      <x:c r="I62" s="68" t="str">
        <x:v>建禄成立但比劫过旺，财官食伤均弱或受阻</x:v>
      </x:c>
      <x:c r="J62" s="68" t="str">
        <x:v>月令依据、格神根气与有效力量、日主配合及M11组合证据相互支持</x:v>
      </x:c>
      <x:c r="K62" s="68" t="str">
        <x:v>源头过旺无泄、回流壅塞</x:v>
      </x:c>
      <x:c r="L62" s="82" t="str">
        <x:v>一般</x:v>
      </x:c>
      <x:c r="M62" s="68" t="str">
        <x:v>食伤泄秀或官杀制比</x:v>
      </x:c>
      <x:c r="N62" s="82" t="str">
        <x:v>待定</x:v>
      </x:c>
      <x:c r="O62" s="84" t="str">
        <x:v>成立但有破</x:v>
      </x:c>
      <x:c r="P62" s="82" t="str">
        <x:v>较清</x:v>
      </x:c>
      <x:c r="Q62" s="68" t="str">
        <x:v>身势强但功能出口不足，层次受流通限制</x:v>
      </x:c>
      <x:c r="R62" s="68" t="str">
        <x:v>M14已生成候选；M08、M09、M10、M11相关结论可追溯</x:v>
      </x:c>
      <x:c r="S62" s="68" t="str">
        <x:v>格神与关键配合十神均以有效力量和实际功能为准</x:v>
      </x:c>
      <x:c r="T62" s="68" t="str">
        <x:v>格神得令、有根、透达、清纯，组合路径稳定且日主承载匹配</x:v>
      </x:c>
      <x:c r="U62" s="68" t="str">
        <x:v>格神受制、混杂、路径受阻、日主承载不足或救应只能局部作用</x:v>
      </x:c>
      <x:c r="V62" s="90" t="str">
        <x:v>格神失效、核心作用路径完全中断，或特殊格局硬门槛被有效反证否决</x:v>
      </x:c>
      <x:c r="W62" s="68" t="str">
        <x:v>特殊格局严格条件、流派争议及岁运补成另按专门规则处理</x:v>
      </x:c>
      <x:c r="X62" s="84" t="str">
        <x:v>建禄格_比劫壅塞</x:v>
      </x:c>
      <x:c r="Y62" s="84" t="str">
        <x:v>建禄格候选判为“成立但有破”：破格等级为“一般”，救应为“待定”，清纯度为“较清”；层次需结合全局继续评估。</x:v>
      </x:c>
      <x:c r="Z62" s="68" t="str">
        <x:v>若“格神失效、核心作用路径完全中断，或特殊格局硬门槛被有效反证否决”成立，应降低为成立但有破或不成立，不得维持当前结论。</x:v>
      </x:c>
      <x:c r="AA62" s="82" t="str">
        <x:v>较高</x:v>
      </x:c>
      <x:c r="AB62" s="82" t="str">
        <x:v>子平格局</x:v>
      </x:c>
      <x:c r="AC62" s="68" t="str">
        <x:v>格局成败须区分：格神是否有效、结构是否能运行、是否存在破坏、救应是否直接修复破格机制，以及格局成立与层次高低。</x:v>
      </x:c>
      <x:c r="AD62" s="68" t="str">
        <x:v>当“建禄成立但比劫过旺，财官食伤均弱或受阻”成立，且成格证据相互支持、无决定性否决时，可按本规则判断。</x:v>
      </x:c>
      <x:c r="AE62" s="90" t="str">
        <x:v>只有格局名称或局部组合，但“格神失效、核心作用路径完全中断，或特殊格局硬门槛被有效反证否决”成立时，不能按本规则维持格局。</x:v>
      </x:c>
      <x:c r="AF62" s="68" t="str">
        <x:v>https://zh.wikisource.org/zh-hans/%E6%B7%B5%E6%B5%B7%E5%AD%90%E5%B9%B3 ; https://zh.wikisource.org/wiki/%E6%BB%B4%E5%A4%A9%E9%AB%93%E9%97%A1%E5%BE%AE</x:v>
      </x:c>
      <x:c r="AG62" s="82" t="str">
        <x:v>采用</x:v>
      </x:c>
      <x:c r="AH62" s="82" t="str">
        <x:v>初审</x:v>
      </x:c>
      <x:c r="AI62" s="87" t="n">
        <x:v>46260</x:v>
      </x:c>
    </x:row>
    <x:row r="63">
      <x:c r="A63" s="72" t="str">
        <x:f>IF(OR(C63="",D63=""),"",B63&amp;"-"&amp;UPPER(C63)&amp;"-"&amp;TEXT(D63,"0000")&amp;"-"&amp;E63)</x:f>
        <x:v>M15-JIANREN-0057-V1.0</x:v>
      </x:c>
      <x:c r="B63" s="74" t="str">
        <x:v>M15</x:v>
      </x:c>
      <x:c r="C63" s="74" t="str">
        <x:v>JIANREN</x:v>
      </x:c>
      <x:c r="D63" s="215" t="n">
        <x:v>57</x:v>
      </x:c>
      <x:c r="E63" s="74" t="str">
        <x:v>V1.0</x:v>
      </x:c>
      <x:c r="F63" s="68" t="str">
        <x:v>羊刃格必须有有效制化才能稳定运行</x:v>
      </x:c>
      <x:c r="G63" s="82" t="str">
        <x:v>综合层</x:v>
      </x:c>
      <x:c r="H63" s="68" t="str">
        <x:v>羊刃格候选</x:v>
      </x:c>
      <x:c r="I63" s="68" t="str">
        <x:v>羊刃临月令并成势，官杀或食伤财星能够制泄强刃</x:v>
      </x:c>
      <x:c r="J63" s="68" t="str">
        <x:v>强身有明确制衡，不形成无序比劫壅塞</x:v>
      </x:c>
      <x:c r="K63" s="68" t="str">
        <x:v>无决定性破格因素</x:v>
      </x:c>
      <x:c r="L63" s="82" t="str">
        <x:v>无破</x:v>
      </x:c>
      <x:c r="M63" s="68" t="str">
        <x:v>无须救应</x:v>
      </x:c>
      <x:c r="N63" s="82" t="str">
        <x:v>无救应</x:v>
      </x:c>
      <x:c r="O63" s="84" t="str">
        <x:v>基本成立</x:v>
      </x:c>
      <x:c r="P63" s="82" t="str">
        <x:v>待定</x:v>
      </x:c>
      <x:c r="Q63" s="68" t="str">
        <x:v>刃势有权但受合理约束</x:v>
      </x:c>
      <x:c r="R63" s="68" t="str">
        <x:v>M14已生成候选；M08、M09、M10、M11相关结论可追溯</x:v>
      </x:c>
      <x:c r="S63" s="68" t="str">
        <x:v>格神与关键配合十神均以有效力量和实际功能为准</x:v>
      </x:c>
      <x:c r="T63" s="68" t="str">
        <x:v>格神得令、有根、透达、清纯，组合路径稳定且日主承载匹配</x:v>
      </x:c>
      <x:c r="U63" s="68" t="str">
        <x:v>格神受制、混杂、路径受阻、日主承载不足或救应只能局部作用</x:v>
      </x:c>
      <x:c r="V63" s="90" t="str">
        <x:v>格神失效、核心作用路径完全中断，或特殊格局硬门槛被有效反证否决</x:v>
      </x:c>
      <x:c r="W63" s="68" t="str">
        <x:v>特殊格局严格条件、流派争议及岁运补成另按专门规则处理</x:v>
      </x:c>
      <x:c r="X63" s="84" t="str">
        <x:v>羊刃格候选_成败救应</x:v>
      </x:c>
      <x:c r="Y63" s="84" t="str">
        <x:v>羊刃格候选判为“基本成立”：破格等级为“无破”，救应为“无救应”，清纯度为“待定”；层次需结合全局继续评估。</x:v>
      </x:c>
      <x:c r="Z63" s="68" t="str">
        <x:v>若“格神失效、核心作用路径完全中断，或特殊格局硬门槛被有效反证否决”成立，应降低为成立但有破或不成立，不得维持当前结论。</x:v>
      </x:c>
      <x:c r="AA63" s="82" t="str">
        <x:v>较高</x:v>
      </x:c>
      <x:c r="AB63" s="82" t="str">
        <x:v>子平格局</x:v>
      </x:c>
      <x:c r="AC63" s="68" t="str">
        <x:v>格局成败须区分：格神是否有效、结构是否能运行、是否存在破坏、救应是否直接修复破格机制，以及格局成立与层次高低。</x:v>
      </x:c>
      <x:c r="AD63" s="68" t="str">
        <x:v>当“羊刃临月令并成势，官杀或食伤财星能够制泄强刃”成立，且成格证据相互支持、无决定性否决时，可按本规则判断。</x:v>
      </x:c>
      <x:c r="AE63" s="90" t="str">
        <x:v>只有格局名称或局部组合，但“格神失效、核心作用路径完全中断，或特殊格局硬门槛被有效反证否决”成立时，不能按本规则维持格局。</x:v>
      </x:c>
      <x:c r="AF63" s="68" t="str">
        <x:v>https://zh.wikisource.org/zh-hans/%E6%B7%B5%E6%B5%B7%E5%AD%90%E5%B9%B3 ; https://zh.wikisource.org/wiki/%E6%BB%B4%E5%A4%A9%E9%AB%93%E9%97%A1%E5%BE%AE</x:v>
      </x:c>
      <x:c r="AG63" s="82" t="str">
        <x:v>采用</x:v>
      </x:c>
      <x:c r="AH63" s="82" t="str">
        <x:v>初审</x:v>
      </x:c>
      <x:c r="AI63" s="87" t="n">
        <x:v>46260</x:v>
      </x:c>
    </x:row>
    <x:row r="64">
      <x:c r="A64" s="72" t="str">
        <x:f>IF(OR(C64="",D64=""),"",B64&amp;"-"&amp;UPPER(C64)&amp;"-"&amp;TEXT(D64,"0000")&amp;"-"&amp;E64)</x:f>
        <x:v>M15-JIANREN-0058-V1.0</x:v>
      </x:c>
      <x:c r="B64" s="74" t="str">
        <x:v>M15</x:v>
      </x:c>
      <x:c r="C64" s="74" t="str">
        <x:v>JIANREN</x:v>
      </x:c>
      <x:c r="D64" s="215" t="n">
        <x:v>58</x:v>
      </x:c>
      <x:c r="E64" s="74" t="str">
        <x:v>V1.0</x:v>
      </x:c>
      <x:c r="F64" s="68" t="str">
        <x:v>羊刃驾杀比例适中可判清纯增强</x:v>
      </x:c>
      <x:c r="G64" s="82" t="str">
        <x:v>综合层</x:v>
      </x:c>
      <x:c r="H64" s="68" t="str">
        <x:v>羊刃格候选</x:v>
      </x:c>
      <x:c r="I64" s="68" t="str">
        <x:v>刃强、杀有权，七杀能制刃且日主承受不过度</x:v>
      </x:c>
      <x:c r="J64" s="68" t="str">
        <x:v>M11羊刃驾杀明显成立</x:v>
      </x:c>
      <x:c r="K64" s="68" t="str">
        <x:v>无决定性破格因素</x:v>
      </x:c>
      <x:c r="L64" s="82" t="str">
        <x:v>无破</x:v>
      </x:c>
      <x:c r="M64" s="68" t="str">
        <x:v>无须救应</x:v>
      </x:c>
      <x:c r="N64" s="82" t="str">
        <x:v>无救应</x:v>
      </x:c>
      <x:c r="O64" s="84" t="str">
        <x:v>清纯成立</x:v>
      </x:c>
      <x:c r="P64" s="82" t="str">
        <x:v>较清</x:v>
      </x:c>
      <x:c r="Q64" s="68" t="str">
        <x:v>强刃与七杀相互制衡，结构目标清晰</x:v>
      </x:c>
      <x:c r="R64" s="68" t="str">
        <x:v>M14已生成候选；M08、M09、M10、M11相关结论可追溯</x:v>
      </x:c>
      <x:c r="S64" s="68" t="str">
        <x:v>格神与关键配合十神均以有效力量和实际功能为准</x:v>
      </x:c>
      <x:c r="T64" s="68" t="str">
        <x:v>格神得令、有根、透达、清纯，组合路径稳定且日主承载匹配</x:v>
      </x:c>
      <x:c r="U64" s="68" t="str">
        <x:v>格神受制、混杂、路径受阻、日主承载不足或救应只能局部作用</x:v>
      </x:c>
      <x:c r="V64" s="90" t="str">
        <x:v>格神失效、核心作用路径完全中断，或特殊格局硬门槛被有效反证否决</x:v>
      </x:c>
      <x:c r="W64" s="68" t="str">
        <x:v>特殊格局严格条件、流派争议及岁运补成另按专门规则处理</x:v>
      </x:c>
      <x:c r="X64" s="84" t="str">
        <x:v>羊刃格_驾杀清纯</x:v>
      </x:c>
      <x:c r="Y64" s="84" t="str">
        <x:v>羊刃格候选判为“清纯成立”：破格等级为“无破”，救应为“无救应”，清纯度为“较清”；层次需结合全局继续评估。</x:v>
      </x:c>
      <x:c r="Z64" s="68" t="str">
        <x:v>若“格神失效、核心作用路径完全中断，或特殊格局硬门槛被有效反证否决”成立，应降低为成立但有破或不成立，不得维持当前结论。</x:v>
      </x:c>
      <x:c r="AA64" s="82" t="str">
        <x:v>较高</x:v>
      </x:c>
      <x:c r="AB64" s="82" t="str">
        <x:v>子平格局</x:v>
      </x:c>
      <x:c r="AC64" s="68" t="str">
        <x:v>格局成败须区分：格神是否有效、结构是否能运行、是否存在破坏、救应是否直接修复破格机制，以及格局成立与层次高低。</x:v>
      </x:c>
      <x:c r="AD64" s="68" t="str">
        <x:v>当“刃强、杀有权，七杀能制刃且日主承受不过度”成立，且成格证据相互支持、无决定性否决时，可按本规则判断。</x:v>
      </x:c>
      <x:c r="AE64" s="90" t="str">
        <x:v>只有格局名称或局部组合，但“格神失效、核心作用路径完全中断，或特殊格局硬门槛被有效反证否决”成立时，不能按本规则维持格局。</x:v>
      </x:c>
      <x:c r="AF64" s="68" t="str">
        <x:v>https://zh.wikisource.org/zh-hans/%E6%B7%B5%E6%B5%B7%E5%AD%90%E5%B9%B3 ; https://zh.wikisource.org/wiki/%E6%BB%B4%E5%A4%A9%E9%AB%93%E9%97%A1%E5%BE%AE</x:v>
      </x:c>
      <x:c r="AG64" s="82" t="str">
        <x:v>采用</x:v>
      </x:c>
      <x:c r="AH64" s="82" t="str">
        <x:v>初审</x:v>
      </x:c>
      <x:c r="AI64" s="87" t="n">
        <x:v>46260</x:v>
      </x:c>
    </x:row>
    <x:row r="65">
      <x:c r="A65" s="72" t="str">
        <x:f>IF(OR(C65="",D65=""),"",B65&amp;"-"&amp;UPPER(C65)&amp;"-"&amp;TEXT(D65,"0000")&amp;"-"&amp;E65)</x:f>
        <x:v>M15-JIANREN-0059-V1.0</x:v>
      </x:c>
      <x:c r="B65" s="74" t="str">
        <x:v>M15</x:v>
      </x:c>
      <x:c r="C65" s="74" t="str">
        <x:v>JIANREN</x:v>
      </x:c>
      <x:c r="D65" s="215" t="n">
        <x:v>59</x:v>
      </x:c>
      <x:c r="E65" s="74" t="str">
        <x:v>V1.0</x:v>
      </x:c>
      <x:c r="F65" s="68" t="str">
        <x:v>杀弱不能驾刃会降低羊刃格层次</x:v>
      </x:c>
      <x:c r="G65" s="82" t="str">
        <x:v>综合层</x:v>
      </x:c>
      <x:c r="H65" s="68" t="str">
        <x:v>羊刃格候选</x:v>
      </x:c>
      <x:c r="I65" s="68" t="str">
        <x:v>羊刃成势但七杀弱、无根或失效</x:v>
      </x:c>
      <x:c r="J65" s="68" t="str">
        <x:v>月令依据、格神根气与有效力量、日主配合及M11组合证据相互支持</x:v>
      </x:c>
      <x:c r="K65" s="68" t="str">
        <x:v>制刃力量不足</x:v>
      </x:c>
      <x:c r="L65" s="82" t="str">
        <x:v>一般</x:v>
      </x:c>
      <x:c r="M65" s="68" t="str">
        <x:v>增强官杀有效性或以食伤泄刃</x:v>
      </x:c>
      <x:c r="N65" s="82" t="str">
        <x:v>待定</x:v>
      </x:c>
      <x:c r="O65" s="84" t="str">
        <x:v>成立但有破</x:v>
      </x:c>
      <x:c r="P65" s="82" t="str">
        <x:v>较清</x:v>
      </x:c>
      <x:c r="Q65" s="68" t="str">
        <x:v>刃势缺乏约束，结构偏于壅滞</x:v>
      </x:c>
      <x:c r="R65" s="68" t="str">
        <x:v>M14已生成候选；M08、M09、M10、M11相关结论可追溯</x:v>
      </x:c>
      <x:c r="S65" s="68" t="str">
        <x:v>格神与关键配合十神均以有效力量和实际功能为准</x:v>
      </x:c>
      <x:c r="T65" s="68" t="str">
        <x:v>格神得令、有根、透达、清纯，组合路径稳定且日主承载匹配</x:v>
      </x:c>
      <x:c r="U65" s="68" t="str">
        <x:v>格神受制、混杂、路径受阻、日主承载不足或救应只能局部作用</x:v>
      </x:c>
      <x:c r="V65" s="90" t="str">
        <x:v>格神失效、核心作用路径完全中断，或特殊格局硬门槛被有效反证否决</x:v>
      </x:c>
      <x:c r="W65" s="68" t="str">
        <x:v>特殊格局严格条件、流派争议及岁运补成另按专门规则处理</x:v>
      </x:c>
      <x:c r="X65" s="84" t="str">
        <x:v>羊刃格_杀弱</x:v>
      </x:c>
      <x:c r="Y65" s="84" t="str">
        <x:v>羊刃格候选判为“成立但有破”：破格等级为“一般”，救应为“待定”，清纯度为“较清”；层次需结合全局继续评估。</x:v>
      </x:c>
      <x:c r="Z65" s="68" t="str">
        <x:v>若“格神失效、核心作用路径完全中断，或特殊格局硬门槛被有效反证否决”成立，应降低为成立但有破或不成立，不得维持当前结论。</x:v>
      </x:c>
      <x:c r="AA65" s="82" t="str">
        <x:v>较高</x:v>
      </x:c>
      <x:c r="AB65" s="82" t="str">
        <x:v>子平格局</x:v>
      </x:c>
      <x:c r="AC65" s="68" t="str">
        <x:v>格局成败须区分：格神是否有效、结构是否能运行、是否存在破坏、救应是否直接修复破格机制，以及格局成立与层次高低。</x:v>
      </x:c>
      <x:c r="AD65" s="68" t="str">
        <x:v>当“羊刃成势但七杀弱、无根或失效”成立，且成格证据相互支持、无决定性否决时，可按本规则判断。</x:v>
      </x:c>
      <x:c r="AE65" s="90" t="str">
        <x:v>只有格局名称或局部组合，但“格神失效、核心作用路径完全中断，或特殊格局硬门槛被有效反证否决”成立时，不能按本规则维持格局。</x:v>
      </x:c>
      <x:c r="AF65" s="68" t="str">
        <x:v>https://zh.wikisource.org/zh-hans/%E6%B7%B5%E6%B5%B7%E5%AD%90%E5%B9%B3 ; https://zh.wikisource.org/wiki/%E6%BB%B4%E5%A4%A9%E9%AB%93%E9%97%A1%E5%BE%AE</x:v>
      </x:c>
      <x:c r="AG65" s="82" t="str">
        <x:v>采用</x:v>
      </x:c>
      <x:c r="AH65" s="82" t="str">
        <x:v>初审</x:v>
      </x:c>
      <x:c r="AI65" s="87" t="n">
        <x:v>46260</x:v>
      </x:c>
    </x:row>
    <x:row r="66">
      <x:c r="A66" s="72" t="str">
        <x:f>IF(OR(C66="",D66=""),"",B66&amp;"-"&amp;UPPER(C66)&amp;"-"&amp;TEXT(D66,"0000")&amp;"-"&amp;E66)</x:f>
        <x:v>M15-JIANREN-0060-V1.0</x:v>
      </x:c>
      <x:c r="B66" s="74" t="str">
        <x:v>M15</x:v>
      </x:c>
      <x:c r="C66" s="74" t="str">
        <x:v>JIANREN</x:v>
      </x:c>
      <x:c r="D66" s="215" t="n">
        <x:v>60</x:v>
      </x:c>
      <x:c r="E66" s="74" t="str">
        <x:v>V1.0</x:v>
      </x:c>
      <x:c r="F66" s="68" t="str">
        <x:v>制刃太过会使平衡结构失效</x:v>
      </x:c>
      <x:c r="G66" s="82" t="str">
        <x:v>综合层</x:v>
      </x:c>
      <x:c r="H66" s="68" t="str">
        <x:v>羊刃格候选</x:v>
      </x:c>
      <x:c r="I66" s="68" t="str">
        <x:v>羊刃格以官杀制刃运行</x:v>
      </x:c>
      <x:c r="J66" s="68" t="str">
        <x:v>月令依据、格神根气与有效力量、日主配合及M11组合证据相互支持</x:v>
      </x:c>
      <x:c r="K66" s="68" t="str">
        <x:v>官杀过强，日主和比劫承载被压至不足</x:v>
      </x:c>
      <x:c r="L66" s="82" t="str">
        <x:v>一般</x:v>
      </x:c>
      <x:c r="M66" s="68" t="str">
        <x:v>印星化杀或比劫补充承载</x:v>
      </x:c>
      <x:c r="N66" s="82" t="str">
        <x:v>待定</x:v>
      </x:c>
      <x:c r="O66" s="84" t="str">
        <x:v>成立但有破</x:v>
      </x:c>
      <x:c r="P66" s="82" t="str">
        <x:v>有杂</x:v>
      </x:c>
      <x:c r="Q66" s="68" t="str">
        <x:v>由驾杀平衡转为官杀压身，格局层次下降</x:v>
      </x:c>
      <x:c r="R66" s="68" t="str">
        <x:v>M14已生成候选；M08、M09、M10、M11相关结论可追溯</x:v>
      </x:c>
      <x:c r="S66" s="68" t="str">
        <x:v>格神与关键配合十神均以有效力量和实际功能为准</x:v>
      </x:c>
      <x:c r="T66" s="68" t="str">
        <x:v>格神得令、有根、透达、清纯，组合路径稳定且日主承载匹配</x:v>
      </x:c>
      <x:c r="U66" s="68" t="str">
        <x:v>格神受制、混杂、路径受阻、日主承载不足或救应只能局部作用</x:v>
      </x:c>
      <x:c r="V66" s="90" t="str">
        <x:v>格神失效、核心作用路径完全中断，或特殊格局硬门槛被有效反证否决</x:v>
      </x:c>
      <x:c r="W66" s="68" t="str">
        <x:v>特殊格局严格条件、流派争议及岁运补成另按专门规则处理</x:v>
      </x:c>
      <x:c r="X66" s="84" t="str">
        <x:v>羊刃格_制刃太过</x:v>
      </x:c>
      <x:c r="Y66" s="84" t="str">
        <x:v>羊刃格候选判为“成立但有破”：破格等级为“一般”，救应为“待定”，清纯度为“有杂”；层次需结合全局继续评估。</x:v>
      </x:c>
      <x:c r="Z66" s="68" t="str">
        <x:v>若“格神失效、核心作用路径完全中断，或特殊格局硬门槛被有效反证否决”成立，应降低为成立但有破或不成立，不得维持当前结论。</x:v>
      </x:c>
      <x:c r="AA66" s="82" t="str">
        <x:v>较高</x:v>
      </x:c>
      <x:c r="AB66" s="82" t="str">
        <x:v>子平格局</x:v>
      </x:c>
      <x:c r="AC66" s="68" t="str">
        <x:v>格局成败须区分：格神是否有效、结构是否能运行、是否存在破坏、救应是否直接修复破格机制，以及格局成立与层次高低。</x:v>
      </x:c>
      <x:c r="AD66" s="68" t="str">
        <x:v>当“羊刃格以官杀制刃运行”成立，且成格证据相互支持、无决定性否决时，可按本规则判断。</x:v>
      </x:c>
      <x:c r="AE66" s="90" t="str">
        <x:v>只有格局名称或局部组合，但“格神失效、核心作用路径完全中断，或特殊格局硬门槛被有效反证否决”成立时，不能按本规则维持格局。</x:v>
      </x:c>
      <x:c r="AF66" s="68" t="str">
        <x:v>https://zh.wikisource.org/zh-hans/%E6%B7%B5%E6%B5%B7%E5%AD%90%E5%B9%B3 ; https://zh.wikisource.org/wiki/%E6%BB%B4%E5%A4%A9%E9%AB%93%E9%97%A1%E5%BE%AE</x:v>
      </x:c>
      <x:c r="AG66" s="82" t="str">
        <x:v>采用</x:v>
      </x:c>
      <x:c r="AH66" s="82" t="str">
        <x:v>初审</x:v>
      </x:c>
      <x:c r="AI66" s="87" t="n">
        <x:v>46260</x:v>
      </x:c>
    </x:row>
    <x:row r="67">
      <x:c r="A67" s="72" t="str">
        <x:f>IF(OR(C67="",D67=""),"",B67&amp;"-"&amp;UPPER(C67)&amp;"-"&amp;TEXT(D67,"0000")&amp;"-"&amp;E67)</x:f>
        <x:v>M15-CONG-0061-V1.0</x:v>
      </x:c>
      <x:c r="B67" s="74" t="str">
        <x:v>M15</x:v>
      </x:c>
      <x:c r="C67" s="74" t="str">
        <x:v>CONG</x:v>
      </x:c>
      <x:c r="D67" s="215" t="n">
        <x:v>61</x:v>
      </x:c>
      <x:c r="E67" s="74" t="str">
        <x:v>V1.0</x:v>
      </x:c>
      <x:c r="F67" s="68" t="str">
        <x:v>真从必须全部通过无依与主势集中硬门槛</x:v>
      </x:c>
      <x:c r="G67" s="82" t="str">
        <x:v>综合层</x:v>
      </x:c>
      <x:c r="H67" s="68" t="str">
        <x:v>从格候选</x:v>
      </x:c>
      <x:c r="I67" s="68" t="str">
        <x:v>日主极弱无有效根，无有效印比，主导集团旺极且方向一致</x:v>
      </x:c>
      <x:c r="J67" s="68" t="str">
        <x:v>M14从格候选的所有严格条件同时成立</x:v>
      </x:c>
      <x:c r="K67" s="68" t="str">
        <x:v>无逆势有效力量</x:v>
      </x:c>
      <x:c r="L67" s="82" t="str">
        <x:v>无破</x:v>
      </x:c>
      <x:c r="M67" s="68" t="str">
        <x:v>无须救应</x:v>
      </x:c>
      <x:c r="N67" s="82" t="str">
        <x:v>无救应</x:v>
      </x:c>
      <x:c r="O67" s="84" t="str">
        <x:v>特殊格局严格成立</x:v>
      </x:c>
      <x:c r="P67" s="82" t="str">
        <x:v>清纯</x:v>
      </x:c>
      <x:c r="Q67" s="68" t="str">
        <x:v>真从成立，普通扶抑逻辑需让位于顺势原则</x:v>
      </x:c>
      <x:c r="R67" s="68" t="str">
        <x:v>M14已生成候选；M08、M09、M10、M11相关结论可追溯</x:v>
      </x:c>
      <x:c r="S67" s="68" t="str">
        <x:v>格神与关键配合十神均以有效力量和实际功能为准</x:v>
      </x:c>
      <x:c r="T67" s="68" t="str">
        <x:v>格神得令、有根、透达、清纯，组合路径稳定且日主承载匹配</x:v>
      </x:c>
      <x:c r="U67" s="68" t="str">
        <x:v>格神受制、混杂、路径受阻、日主承载不足或救应只能局部作用</x:v>
      </x:c>
      <x:c r="V67" s="90" t="str">
        <x:v>格神失效、核心作用路径完全中断，或特殊格局硬门槛被有效反证否决</x:v>
      </x:c>
      <x:c r="W67" s="68" t="str">
        <x:v>任何有效强根或有力印比都需重新否决真从</x:v>
      </x:c>
      <x:c r="X67" s="84" t="str">
        <x:v>真从严格成立</x:v>
      </x:c>
      <x:c r="Y67" s="84" t="str">
        <x:v>从格候选判为“特殊格局严格成立”：破格等级为“无破”，救应为“无救应”，清纯度为“清纯”；层次需结合全局继续评估。</x:v>
      </x:c>
      <x:c r="Z67" s="68" t="str">
        <x:v>若“格神失效、核心作用路径完全中断，或特殊格局硬门槛被有效反证否决”成立，应降低为成立但有破或不成立，不得维持当前结论。</x:v>
      </x:c>
      <x:c r="AA67" s="82" t="str">
        <x:v>较高</x:v>
      </x:c>
      <x:c r="AB67" s="82" t="str">
        <x:v>子平格局</x:v>
      </x:c>
      <x:c r="AC67" s="68" t="str">
        <x:v>格局成败须区分：格神是否有效、结构是否能运行、是否存在破坏、救应是否直接修复破格机制，以及格局成立与层次高低。</x:v>
      </x:c>
      <x:c r="AD67" s="68" t="str">
        <x:v>当“日主极弱无有效根，无有效印比，主导集团旺极且方向一致”成立，且成格证据相互支持、无决定性否决时，可按本规则判断。</x:v>
      </x:c>
      <x:c r="AE67" s="90" t="str">
        <x:v>只有格局名称或局部组合，但“格神失效、核心作用路径完全中断，或特殊格局硬门槛被有效反证否决”成立时，不能按本规则维持格局。</x:v>
      </x:c>
      <x:c r="AF67" s="68" t="str">
        <x:v>https://zh.wikisource.org/wiki/%E6%BB%B4%E5%A4%A9%E9%AB%93%E9%97%A1%E5%BE%AE ; https://zh.wikisource.org/zh-hans/%E6%BB%B4%E5%A4%A9%E9%AB%93</x:v>
      </x:c>
      <x:c r="AG67" s="82" t="str">
        <x:v>采用</x:v>
      </x:c>
      <x:c r="AH67" s="82" t="str">
        <x:v>初审</x:v>
      </x:c>
      <x:c r="AI67" s="87" t="n">
        <x:v>46260</x:v>
      </x:c>
    </x:row>
    <x:row r="68">
      <x:c r="A68" s="72" t="str">
        <x:f>IF(OR(C68="",D68=""),"",B68&amp;"-"&amp;UPPER(C68)&amp;"-"&amp;TEXT(D68,"0000")&amp;"-"&amp;E68)</x:f>
        <x:v>M15-CONG-0062-V1.0</x:v>
      </x:c>
      <x:c r="B68" s="74" t="str">
        <x:v>M15</x:v>
      </x:c>
      <x:c r="C68" s="74" t="str">
        <x:v>CONG</x:v>
      </x:c>
      <x:c r="D68" s="215" t="n">
        <x:v>62</x:v>
      </x:c>
      <x:c r="E68" s="74" t="str">
        <x:v>V1.0</x:v>
      </x:c>
      <x:c r="F68" s="68" t="str">
        <x:v>从财格严格成立要求财势绝对主导</x:v>
      </x:c>
      <x:c r="G68" s="82" t="str">
        <x:v>综合层</x:v>
      </x:c>
      <x:c r="H68" s="68" t="str">
        <x:v>从财格候选</x:v>
      </x:c>
      <x:c r="I68" s="68" t="str">
        <x:v>财星得令成势，日主无根无印比，其他异党顺财势或不成逆势</x:v>
      </x:c>
      <x:c r="J68" s="68" t="str">
        <x:v>财集团覆盖月令、透干、根气和主要流通终点</x:v>
      </x:c>
      <x:c r="K68" s="68" t="str">
        <x:v>无决定性破格因素</x:v>
      </x:c>
      <x:c r="L68" s="82" t="str">
        <x:v>无破</x:v>
      </x:c>
      <x:c r="M68" s="68" t="str">
        <x:v>无须救应</x:v>
      </x:c>
      <x:c r="N68" s="82" t="str">
        <x:v>无救应</x:v>
      </x:c>
      <x:c r="O68" s="84" t="str">
        <x:v>特殊格局严格成立</x:v>
      </x:c>
      <x:c r="P68" s="82" t="str">
        <x:v>较清</x:v>
      </x:c>
      <x:c r="Q68" s="68" t="str">
        <x:v>全局顺财势运行，任何扶身强根都会破从</x:v>
      </x:c>
      <x:c r="R68" s="68" t="str">
        <x:v>M14已生成候选；M08、M09、M10、M11相关结论可追溯</x:v>
      </x:c>
      <x:c r="S68" s="68" t="str">
        <x:v>格神与关键配合十神均以有效力量和实际功能为准</x:v>
      </x:c>
      <x:c r="T68" s="68" t="str">
        <x:v>格神得令、有根、透达、清纯，组合路径稳定且日主承载匹配</x:v>
      </x:c>
      <x:c r="U68" s="68" t="str">
        <x:v>格神受制、混杂、路径受阻、日主承载不足或救应只能局部作用</x:v>
      </x:c>
      <x:c r="V68" s="90" t="str">
        <x:v>格神失效、核心作用路径完全中断，或特殊格局硬门槛被有效反证否决</x:v>
      </x:c>
      <x:c r="W68" s="68" t="str">
        <x:v>特殊格局严格条件、流派争议及岁运补成另按专门规则处理</x:v>
      </x:c>
      <x:c r="X68" s="84" t="str">
        <x:v>从财格_严格成立</x:v>
      </x:c>
      <x:c r="Y68" s="84" t="str">
        <x:v>从财格候选判为“特殊格局严格成立”：破格等级为“无破”，救应为“无救应”，清纯度为“较清”；层次需结合全局继续评估。</x:v>
      </x:c>
      <x:c r="Z68" s="68" t="str">
        <x:v>若“格神失效、核心作用路径完全中断，或特殊格局硬门槛被有效反证否决”成立，应降低为成立但有破或不成立，不得维持当前结论。</x:v>
      </x:c>
      <x:c r="AA68" s="82" t="str">
        <x:v>较高</x:v>
      </x:c>
      <x:c r="AB68" s="82" t="str">
        <x:v>子平格局</x:v>
      </x:c>
      <x:c r="AC68" s="68" t="str">
        <x:v>格局成败须区分：格神是否有效、结构是否能运行、是否存在破坏、救应是否直接修复破格机制，以及格局成立与层次高低。</x:v>
      </x:c>
      <x:c r="AD68" s="68" t="str">
        <x:v>当“财星得令成势，日主无根无印比，其他异党顺财势或不成逆势”成立，且成格证据相互支持、无决定性否决时，可按本规则判断。</x:v>
      </x:c>
      <x:c r="AE68" s="90" t="str">
        <x:v>只有格局名称或局部组合，但“格神失效、核心作用路径完全中断，或特殊格局硬门槛被有效反证否决”成立时，不能按本规则维持格局。</x:v>
      </x:c>
      <x:c r="AF68" s="68" t="str">
        <x:v>https://zh.wikisource.org/wiki/%E6%BB%B4%E5%A4%A9%E9%AB%93%E9%97%A1%E5%BE%AE ; https://zh.wikisource.org/zh-hans/%E6%BB%B4%E5%A4%A9%E9%AB%93</x:v>
      </x:c>
      <x:c r="AG68" s="82" t="str">
        <x:v>采用</x:v>
      </x:c>
      <x:c r="AH68" s="82" t="str">
        <x:v>初审</x:v>
      </x:c>
      <x:c r="AI68" s="87" t="n">
        <x:v>46260</x:v>
      </x:c>
    </x:row>
    <x:row r="69">
      <x:c r="A69" s="72" t="str">
        <x:f>IF(OR(C69="",D69=""),"",B69&amp;"-"&amp;UPPER(C69)&amp;"-"&amp;TEXT(D69,"0000")&amp;"-"&amp;E69)</x:f>
        <x:v>M15-CONG-0063-V1.0</x:v>
      </x:c>
      <x:c r="B69" s="74" t="str">
        <x:v>M15</x:v>
      </x:c>
      <x:c r="C69" s="74" t="str">
        <x:v>CONG</x:v>
      </x:c>
      <x:c r="D69" s="215" t="n">
        <x:v>63</x:v>
      </x:c>
      <x:c r="E69" s="74" t="str">
        <x:v>V1.0</x:v>
      </x:c>
      <x:c r="F69" s="68" t="str">
        <x:v>从官杀格严格成立要求官杀绝对主导</x:v>
      </x:c>
      <x:c r="G69" s="82" t="str">
        <x:v>综合层</x:v>
      </x:c>
      <x:c r="H69" s="68" t="str">
        <x:v>从官杀格候选</x:v>
      </x:c>
      <x:c r="I69" s="68" t="str">
        <x:v>官杀得令成势，日主无依，食伤不能有效反制，印比不能自立</x:v>
      </x:c>
      <x:c r="J69" s="68" t="str">
        <x:v>官杀集团成为全局唯一或绝对主势</x:v>
      </x:c>
      <x:c r="K69" s="68" t="str">
        <x:v>无决定性破格因素</x:v>
      </x:c>
      <x:c r="L69" s="82" t="str">
        <x:v>无破</x:v>
      </x:c>
      <x:c r="M69" s="68" t="str">
        <x:v>无须救应</x:v>
      </x:c>
      <x:c r="N69" s="82" t="str">
        <x:v>无救应</x:v>
      </x:c>
      <x:c r="O69" s="84" t="str">
        <x:v>特殊格局严格成立</x:v>
      </x:c>
      <x:c r="P69" s="82" t="str">
        <x:v>较清</x:v>
      </x:c>
      <x:c r="Q69" s="68" t="str">
        <x:v>全局顺官杀势运行，逆势印比食伤为破格因素</x:v>
      </x:c>
      <x:c r="R69" s="68" t="str">
        <x:v>M14已生成候选；M08、M09、M10、M11相关结论可追溯</x:v>
      </x:c>
      <x:c r="S69" s="68" t="str">
        <x:v>格神与关键配合十神均以有效力量和实际功能为准</x:v>
      </x:c>
      <x:c r="T69" s="68" t="str">
        <x:v>格神得令、有根、透达、清纯，组合路径稳定且日主承载匹配</x:v>
      </x:c>
      <x:c r="U69" s="68" t="str">
        <x:v>格神受制、混杂、路径受阻、日主承载不足或救应只能局部作用</x:v>
      </x:c>
      <x:c r="V69" s="90" t="str">
        <x:v>格神失效、核心作用路径完全中断，或特殊格局硬门槛被有效反证否决</x:v>
      </x:c>
      <x:c r="W69" s="68" t="str">
        <x:v>特殊格局严格条件、流派争议及岁运补成另按专门规则处理</x:v>
      </x:c>
      <x:c r="X69" s="84" t="str">
        <x:v>从官杀格_严格成立</x:v>
      </x:c>
      <x:c r="Y69" s="84" t="str">
        <x:v>从官杀格候选判为“特殊格局严格成立”：破格等级为“无破”，救应为“无救应”，清纯度为“较清”；层次需结合全局继续评估。</x:v>
      </x:c>
      <x:c r="Z69" s="68" t="str">
        <x:v>若“格神失效、核心作用路径完全中断，或特殊格局硬门槛被有效反证否决”成立，应降低为成立但有破或不成立，不得维持当前结论。</x:v>
      </x:c>
      <x:c r="AA69" s="82" t="str">
        <x:v>较高</x:v>
      </x:c>
      <x:c r="AB69" s="82" t="str">
        <x:v>子平格局</x:v>
      </x:c>
      <x:c r="AC69" s="68" t="str">
        <x:v>格局成败须区分：格神是否有效、结构是否能运行、是否存在破坏、救应是否直接修复破格机制，以及格局成立与层次高低。</x:v>
      </x:c>
      <x:c r="AD69" s="68" t="str">
        <x:v>当“官杀得令成势，日主无依，食伤不能有效反制，印比不能自立”成立，且成格证据相互支持、无决定性否决时，可按本规则判断。</x:v>
      </x:c>
      <x:c r="AE69" s="90" t="str">
        <x:v>只有格局名称或局部组合，但“格神失效、核心作用路径完全中断，或特殊格局硬门槛被有效反证否决”成立时，不能按本规则维持格局。</x:v>
      </x:c>
      <x:c r="AF69" s="68" t="str">
        <x:v>https://zh.wikisource.org/wiki/%E6%BB%B4%E5%A4%A9%E9%AB%93%E9%97%A1%E5%BE%AE ; https://zh.wikisource.org/zh-hans/%E6%BB%B4%E5%A4%A9%E9%AB%93</x:v>
      </x:c>
      <x:c r="AG69" s="82" t="str">
        <x:v>采用</x:v>
      </x:c>
      <x:c r="AH69" s="82" t="str">
        <x:v>初审</x:v>
      </x:c>
      <x:c r="AI69" s="87" t="n">
        <x:v>46260</x:v>
      </x:c>
    </x:row>
    <x:row r="70">
      <x:c r="A70" s="72" t="str">
        <x:f>IF(OR(C70="",D70=""),"",B70&amp;"-"&amp;UPPER(C70)&amp;"-"&amp;TEXT(D70,"0000")&amp;"-"&amp;E70)</x:f>
        <x:v>M15-CONG-0064-V1.0</x:v>
      </x:c>
      <x:c r="B70" s="74" t="str">
        <x:v>M15</x:v>
      </x:c>
      <x:c r="C70" s="74" t="str">
        <x:v>CONG</x:v>
      </x:c>
      <x:c r="D70" s="215" t="n">
        <x:v>64</x:v>
      </x:c>
      <x:c r="E70" s="74" t="str">
        <x:v>V1.0</x:v>
      </x:c>
      <x:c r="F70" s="68" t="str">
        <x:v>从儿格严格成立要求食伤主导且印不夺食</x:v>
      </x:c>
      <x:c r="G70" s="82" t="str">
        <x:v>综合层</x:v>
      </x:c>
      <x:c r="H70" s="68" t="str">
        <x:v>从儿格候选</x:v>
      </x:c>
      <x:c r="I70" s="68" t="str">
        <x:v>食伤得令成势，日主顺泄，财可承接，印星不能有效制食伤</x:v>
      </x:c>
      <x:c r="J70" s="68" t="str">
        <x:v>身→食伤→财路径成为全局主线</x:v>
      </x:c>
      <x:c r="K70" s="68" t="str">
        <x:v>无决定性破格因素</x:v>
      </x:c>
      <x:c r="L70" s="82" t="str">
        <x:v>无破</x:v>
      </x:c>
      <x:c r="M70" s="68" t="str">
        <x:v>无须救应</x:v>
      </x:c>
      <x:c r="N70" s="82" t="str">
        <x:v>无救应</x:v>
      </x:c>
      <x:c r="O70" s="84" t="str">
        <x:v>特殊格局严格成立</x:v>
      </x:c>
      <x:c r="P70" s="82" t="str">
        <x:v>较清</x:v>
      </x:c>
      <x:c r="Q70" s="68" t="str">
        <x:v>全局顺食伤之势，强印或官杀逆流会破格</x:v>
      </x:c>
      <x:c r="R70" s="68" t="str">
        <x:v>M14已生成候选；M08、M09、M10、M11相关结论可追溯</x:v>
      </x:c>
      <x:c r="S70" s="68" t="str">
        <x:v>格神与关键配合十神均以有效力量和实际功能为准</x:v>
      </x:c>
      <x:c r="T70" s="68" t="str">
        <x:v>格神得令、有根、透达、清纯，组合路径稳定且日主承载匹配</x:v>
      </x:c>
      <x:c r="U70" s="68" t="str">
        <x:v>格神受制、混杂、路径受阻、日主承载不足或救应只能局部作用</x:v>
      </x:c>
      <x:c r="V70" s="90" t="str">
        <x:v>格神失效、核心作用路径完全中断，或特殊格局硬门槛被有效反证否决</x:v>
      </x:c>
      <x:c r="W70" s="68" t="str">
        <x:v>特殊格局严格条件、流派争议及岁运补成另按专门规则处理</x:v>
      </x:c>
      <x:c r="X70" s="84" t="str">
        <x:v>从儿格_严格成立</x:v>
      </x:c>
      <x:c r="Y70" s="84" t="str">
        <x:v>从儿格候选判为“特殊格局严格成立”：破格等级为“无破”，救应为“无救应”，清纯度为“较清”；层次需结合全局继续评估。</x:v>
      </x:c>
      <x:c r="Z70" s="68" t="str">
        <x:v>若“格神失效、核心作用路径完全中断，或特殊格局硬门槛被有效反证否决”成立，应降低为成立但有破或不成立，不得维持当前结论。</x:v>
      </x:c>
      <x:c r="AA70" s="82" t="str">
        <x:v>较高</x:v>
      </x:c>
      <x:c r="AB70" s="82" t="str">
        <x:v>子平格局</x:v>
      </x:c>
      <x:c r="AC70" s="68" t="str">
        <x:v>格局成败须区分：格神是否有效、结构是否能运行、是否存在破坏、救应是否直接修复破格机制，以及格局成立与层次高低。</x:v>
      </x:c>
      <x:c r="AD70" s="68" t="str">
        <x:v>当“食伤得令成势，日主顺泄，财可承接，印星不能有效制食伤”成立，且成格证据相互支持、无决定性否决时，可按本规则判断。</x:v>
      </x:c>
      <x:c r="AE70" s="90" t="str">
        <x:v>只有格局名称或局部组合，但“格神失效、核心作用路径完全中断，或特殊格局硬门槛被有效反证否决”成立时，不能按本规则维持格局。</x:v>
      </x:c>
      <x:c r="AF70" s="68" t="str">
        <x:v>https://zh.wikisource.org/wiki/%E6%BB%B4%E5%A4%A9%E9%AB%93%E9%97%A1%E5%BE%AE ; https://zh.wikisource.org/zh-hans/%E6%BB%B4%E5%A4%A9%E9%AB%93</x:v>
      </x:c>
      <x:c r="AG70" s="82" t="str">
        <x:v>采用</x:v>
      </x:c>
      <x:c r="AH70" s="82" t="str">
        <x:v>初审</x:v>
      </x:c>
      <x:c r="AI70" s="87" t="n">
        <x:v>46260</x:v>
      </x:c>
    </x:row>
    <x:row r="71">
      <x:c r="A71" s="72" t="str">
        <x:f>IF(OR(C71="",D71=""),"",B71&amp;"-"&amp;UPPER(C71)&amp;"-"&amp;TEXT(D71,"0000")&amp;"-"&amp;E71)</x:f>
        <x:v>M15-CONG-0065-V1.0</x:v>
      </x:c>
      <x:c r="B71" s="74" t="str">
        <x:v>M15</x:v>
      </x:c>
      <x:c r="C71" s="74" t="str">
        <x:v>CONG</x:v>
      </x:c>
      <x:c r="D71" s="215" t="n">
        <x:v>65</x:v>
      </x:c>
      <x:c r="E71" s="74" t="str">
        <x:v>V1.0</x:v>
      </x:c>
      <x:c r="F71" s="68" t="str">
        <x:v>从旺格严格成立要求比劫一气且无有效制约</x:v>
      </x:c>
      <x:c r="G71" s="82" t="str">
        <x:v>综合层</x:v>
      </x:c>
      <x:c r="H71" s="68" t="str">
        <x:v>从旺格候选</x:v>
      </x:c>
      <x:c r="I71" s="68" t="str">
        <x:v>日主与比劫极旺，官杀无力，财星不能形成独立对抗，印星顺势生旺</x:v>
      </x:c>
      <x:c r="J71" s="68" t="str">
        <x:v>同类集团覆盖月令、透干与多重强根</x:v>
      </x:c>
      <x:c r="K71" s="68" t="str">
        <x:v>无决定性破格因素</x:v>
      </x:c>
      <x:c r="L71" s="82" t="str">
        <x:v>无破</x:v>
      </x:c>
      <x:c r="M71" s="68" t="str">
        <x:v>无须救应</x:v>
      </x:c>
      <x:c r="N71" s="82" t="str">
        <x:v>无救应</x:v>
      </x:c>
      <x:c r="O71" s="84" t="str">
        <x:v>特殊格局严格成立</x:v>
      </x:c>
      <x:c r="P71" s="82" t="str">
        <x:v>较清</x:v>
      </x:c>
      <x:c r="Q71" s="68" t="str">
        <x:v>顺其旺势，普通克制性用神需谨慎</x:v>
      </x:c>
      <x:c r="R71" s="68" t="str">
        <x:v>M14已生成候选；M08、M09、M10、M11相关结论可追溯</x:v>
      </x:c>
      <x:c r="S71" s="68" t="str">
        <x:v>格神与关键配合十神均以有效力量和实际功能为准</x:v>
      </x:c>
      <x:c r="T71" s="68" t="str">
        <x:v>格神得令、有根、透达、清纯，组合路径稳定且日主承载匹配</x:v>
      </x:c>
      <x:c r="U71" s="68" t="str">
        <x:v>格神受制、混杂、路径受阻、日主承载不足或救应只能局部作用</x:v>
      </x:c>
      <x:c r="V71" s="90" t="str">
        <x:v>格神失效、核心作用路径完全中断，或特殊格局硬门槛被有效反证否决</x:v>
      </x:c>
      <x:c r="W71" s="68" t="str">
        <x:v>特殊格局严格条件、流派争议及岁运补成另按专门规则处理</x:v>
      </x:c>
      <x:c r="X71" s="84" t="str">
        <x:v>从旺格_严格成立</x:v>
      </x:c>
      <x:c r="Y71" s="84" t="str">
        <x:v>从旺格候选判为“特殊格局严格成立”：破格等级为“无破”，救应为“无救应”，清纯度为“较清”；层次需结合全局继续评估。</x:v>
      </x:c>
      <x:c r="Z71" s="68" t="str">
        <x:v>若“格神失效、核心作用路径完全中断，或特殊格局硬门槛被有效反证否决”成立，应降低为成立但有破或不成立，不得维持当前结论。</x:v>
      </x:c>
      <x:c r="AA71" s="82" t="str">
        <x:v>较高</x:v>
      </x:c>
      <x:c r="AB71" s="82" t="str">
        <x:v>子平格局</x:v>
      </x:c>
      <x:c r="AC71" s="68" t="str">
        <x:v>格局成败须区分：格神是否有效、结构是否能运行、是否存在破坏、救应是否直接修复破格机制，以及格局成立与层次高低。</x:v>
      </x:c>
      <x:c r="AD71" s="68" t="str">
        <x:v>当“日主与比劫极旺，官杀无力，财星不能形成独立对抗，印星顺势生旺”成立，且成格证据相互支持、无决定性否决时，可按本规则判断。</x:v>
      </x:c>
      <x:c r="AE71" s="90" t="str">
        <x:v>只有格局名称或局部组合，但“格神失效、核心作用路径完全中断，或特殊格局硬门槛被有效反证否决”成立时，不能按本规则维持格局。</x:v>
      </x:c>
      <x:c r="AF71" s="68" t="str">
        <x:v>https://zh.wikisource.org/wiki/%E6%BB%B4%E5%A4%A9%E9%AB%93%E9%97%A1%E5%BE%AE ; https://zh.wikisource.org/zh-hans/%E6%BB%B4%E5%A4%A9%E9%AB%93</x:v>
      </x:c>
      <x:c r="AG71" s="82" t="str">
        <x:v>采用</x:v>
      </x:c>
      <x:c r="AH71" s="82" t="str">
        <x:v>初审</x:v>
      </x:c>
      <x:c r="AI71" s="87" t="n">
        <x:v>46260</x:v>
      </x:c>
    </x:row>
    <x:row r="72">
      <x:c r="A72" s="72" t="str">
        <x:f>IF(OR(C72="",D72=""),"",B72&amp;"-"&amp;UPPER(C72)&amp;"-"&amp;TEXT(D72,"0000")&amp;"-"&amp;E72)</x:f>
        <x:v>M15-CONG-0066-V1.0</x:v>
      </x:c>
      <x:c r="B72" s="74" t="str">
        <x:v>M15</x:v>
      </x:c>
      <x:c r="C72" s="74" t="str">
        <x:v>CONG</x:v>
      </x:c>
      <x:c r="D72" s="215" t="n">
        <x:v>66</x:v>
      </x:c>
      <x:c r="E72" s="74" t="str">
        <x:v>V1.0</x:v>
      </x:c>
      <x:c r="F72" s="68" t="str">
        <x:v>从强格严格成立要求印比成为绝对主势</x:v>
      </x:c>
      <x:c r="G72" s="82" t="str">
        <x:v>综合层</x:v>
      </x:c>
      <x:c r="H72" s="68" t="str">
        <x:v>从强格候选</x:v>
      </x:c>
      <x:c r="I72" s="68" t="str">
        <x:v>印比极旺，财官食伤不能构成有效逆势集团</x:v>
      </x:c>
      <x:c r="J72" s="68" t="str">
        <x:v>印→身与比劫集团共同主导</x:v>
      </x:c>
      <x:c r="K72" s="68" t="str">
        <x:v>无决定性破格因素</x:v>
      </x:c>
      <x:c r="L72" s="82" t="str">
        <x:v>无破</x:v>
      </x:c>
      <x:c r="M72" s="68" t="str">
        <x:v>无须救应</x:v>
      </x:c>
      <x:c r="N72" s="82" t="str">
        <x:v>无救应</x:v>
      </x:c>
      <x:c r="O72" s="84" t="str">
        <x:v>特殊格局严格成立</x:v>
      </x:c>
      <x:c r="P72" s="82" t="str">
        <x:v>较清</x:v>
      </x:c>
      <x:c r="Q72" s="68" t="str">
        <x:v>顺印比强势，逆势财官需视为破格因素</x:v>
      </x:c>
      <x:c r="R72" s="68" t="str">
        <x:v>M14已生成候选；M08、M09、M10、M11相关结论可追溯</x:v>
      </x:c>
      <x:c r="S72" s="68" t="str">
        <x:v>格神与关键配合十神均以有效力量和实际功能为准</x:v>
      </x:c>
      <x:c r="T72" s="68" t="str">
        <x:v>格神得令、有根、透达、清纯，组合路径稳定且日主承载匹配</x:v>
      </x:c>
      <x:c r="U72" s="68" t="str">
        <x:v>格神受制、混杂、路径受阻、日主承载不足或救应只能局部作用</x:v>
      </x:c>
      <x:c r="V72" s="90" t="str">
        <x:v>格神失效、核心作用路径完全中断，或特殊格局硬门槛被有效反证否决</x:v>
      </x:c>
      <x:c r="W72" s="68" t="str">
        <x:v>特殊格局严格条件、流派争议及岁运补成另按专门规则处理</x:v>
      </x:c>
      <x:c r="X72" s="84" t="str">
        <x:v>从强格_严格成立</x:v>
      </x:c>
      <x:c r="Y72" s="84" t="str">
        <x:v>从强格候选判为“特殊格局严格成立”：破格等级为“无破”，救应为“无救应”，清纯度为“较清”；层次需结合全局继续评估。</x:v>
      </x:c>
      <x:c r="Z72" s="68" t="str">
        <x:v>若“格神失效、核心作用路径完全中断，或特殊格局硬门槛被有效反证否决”成立，应降低为成立但有破或不成立，不得维持当前结论。</x:v>
      </x:c>
      <x:c r="AA72" s="82" t="str">
        <x:v>较高</x:v>
      </x:c>
      <x:c r="AB72" s="82" t="str">
        <x:v>子平格局</x:v>
      </x:c>
      <x:c r="AC72" s="68" t="str">
        <x:v>格局成败须区分：格神是否有效、结构是否能运行、是否存在破坏、救应是否直接修复破格机制，以及格局成立与层次高低。</x:v>
      </x:c>
      <x:c r="AD72" s="68" t="str">
        <x:v>当“印比极旺，财官食伤不能构成有效逆势集团”成立，且成格证据相互支持、无决定性否决时，可按本规则判断。</x:v>
      </x:c>
      <x:c r="AE72" s="90" t="str">
        <x:v>只有格局名称或局部组合，但“格神失效、核心作用路径完全中断，或特殊格局硬门槛被有效反证否决”成立时，不能按本规则维持格局。</x:v>
      </x:c>
      <x:c r="AF72" s="68" t="str">
        <x:v>https://zh.wikisource.org/wiki/%E6%BB%B4%E5%A4%A9%E9%AB%93%E9%97%A1%E5%BE%AE ; https://zh.wikisource.org/zh-hans/%E6%BB%B4%E5%A4%A9%E9%AB%93</x:v>
      </x:c>
      <x:c r="AG72" s="82" t="str">
        <x:v>采用</x:v>
      </x:c>
      <x:c r="AH72" s="82" t="str">
        <x:v>初审</x:v>
      </x:c>
      <x:c r="AI72" s="87" t="n">
        <x:v>46260</x:v>
      </x:c>
    </x:row>
    <x:row r="73">
      <x:c r="A73" s="72" t="str">
        <x:f>IF(OR(C73="",D73=""),"",B73&amp;"-"&amp;UPPER(C73)&amp;"-"&amp;TEXT(D73,"0000")&amp;"-"&amp;E73)</x:f>
        <x:v>M15-CONG-0067-V1.0</x:v>
      </x:c>
      <x:c r="B73" s="74" t="str">
        <x:v>M15</x:v>
      </x:c>
      <x:c r="C73" s="74" t="str">
        <x:v>CONG</x:v>
      </x:c>
      <x:c r="D73" s="215" t="n">
        <x:v>67</x:v>
      </x:c>
      <x:c r="E73" s="74" t="str">
        <x:v>V1.0</x:v>
      </x:c>
      <x:c r="F73" s="68" t="str">
        <x:v>从势格严格成立要求异党整体同向而日主无依</x:v>
      </x:c>
      <x:c r="G73" s="82" t="str">
        <x:v>综合层</x:v>
      </x:c>
      <x:c r="H73" s="68" t="str">
        <x:v>从势格候选</x:v>
      </x:c>
      <x:c r="I73" s="68" t="str">
        <x:v>财官食伤虽非单一集团，但生化方向一致，日主无根无印比</x:v>
      </x:c>
      <x:c r="J73" s="68" t="str">
        <x:v>异党形成连续主势，无法归入单一从财、从官或从儿</x:v>
      </x:c>
      <x:c r="K73" s="68" t="str">
        <x:v>无决定性破格因素</x:v>
      </x:c>
      <x:c r="L73" s="82" t="str">
        <x:v>无破</x:v>
      </x:c>
      <x:c r="M73" s="68" t="str">
        <x:v>无须救应</x:v>
      </x:c>
      <x:c r="N73" s="82" t="str">
        <x:v>无救应</x:v>
      </x:c>
      <x:c r="O73" s="84" t="str">
        <x:v>特殊格局严格成立</x:v>
      </x:c>
      <x:c r="P73" s="82" t="str">
        <x:v>有杂</x:v>
      </x:c>
      <x:c r="Q73" s="68" t="str">
        <x:v>格局可从整体气势，但清纯度通常低于单一从格</x:v>
      </x:c>
      <x:c r="R73" s="68" t="str">
        <x:v>M14已生成候选；M08、M09、M10、M11相关结论可追溯</x:v>
      </x:c>
      <x:c r="S73" s="68" t="str">
        <x:v>格神与关键配合十神均以有效力量和实际功能为准</x:v>
      </x:c>
      <x:c r="T73" s="68" t="str">
        <x:v>格神得令、有根、透达、清纯，组合路径稳定且日主承载匹配</x:v>
      </x:c>
      <x:c r="U73" s="68" t="str">
        <x:v>格神受制、混杂、路径受阻、日主承载不足或救应只能局部作用</x:v>
      </x:c>
      <x:c r="V73" s="90" t="str">
        <x:v>格神失效、核心作用路径完全中断，或特殊格局硬门槛被有效反证否决</x:v>
      </x:c>
      <x:c r="W73" s="68" t="str">
        <x:v>特殊格局严格条件、流派争议及岁运补成另按专门规则处理</x:v>
      </x:c>
      <x:c r="X73" s="84" t="str">
        <x:v>从势格_严格成立</x:v>
      </x:c>
      <x:c r="Y73" s="84" t="str">
        <x:v>从势格候选判为“特殊格局严格成立”：破格等级为“无破”，救应为“无救应”，清纯度为“有杂”；层次需结合全局继续评估。</x:v>
      </x:c>
      <x:c r="Z73" s="68" t="str">
        <x:v>若“格神失效、核心作用路径完全中断，或特殊格局硬门槛被有效反证否决”成立，应降低为成立但有破或不成立，不得维持当前结论。</x:v>
      </x:c>
      <x:c r="AA73" s="82" t="str">
        <x:v>较高</x:v>
      </x:c>
      <x:c r="AB73" s="82" t="str">
        <x:v>子平格局</x:v>
      </x:c>
      <x:c r="AC73" s="68" t="str">
        <x:v>格局成败须区分：格神是否有效、结构是否能运行、是否存在破坏、救应是否直接修复破格机制，以及格局成立与层次高低。</x:v>
      </x:c>
      <x:c r="AD73" s="68" t="str">
        <x:v>当“财官食伤虽非单一集团，但生化方向一致，日主无根无印比”成立，且成格证据相互支持、无决定性否决时，可按本规则判断。</x:v>
      </x:c>
      <x:c r="AE73" s="90" t="str">
        <x:v>只有格局名称或局部组合，但“格神失效、核心作用路径完全中断，或特殊格局硬门槛被有效反证否决”成立时，不能按本规则维持格局。</x:v>
      </x:c>
      <x:c r="AF73" s="68" t="str">
        <x:v>https://zh.wikisource.org/wiki/%E6%BB%B4%E5%A4%A9%E9%AB%93%E9%97%A1%E5%BE%AE ; https://zh.wikisource.org/zh-hans/%E6%BB%B4%E5%A4%A9%E9%AB%93</x:v>
      </x:c>
      <x:c r="AG73" s="82" t="str">
        <x:v>采用</x:v>
      </x:c>
      <x:c r="AH73" s="82" t="str">
        <x:v>初审</x:v>
      </x:c>
      <x:c r="AI73" s="87" t="n">
        <x:v>46260</x:v>
      </x:c>
    </x:row>
    <x:row r="74">
      <x:c r="A74" s="72" t="str">
        <x:f>IF(OR(C74="",D74=""),"",B74&amp;"-"&amp;UPPER(C74)&amp;"-"&amp;TEXT(D74,"0000")&amp;"-"&amp;E74)</x:f>
        <x:v>M15-CONG-0068-V1.0</x:v>
      </x:c>
      <x:c r="B74" s="74" t="str">
        <x:v>M15</x:v>
      </x:c>
      <x:c r="C74" s="74" t="str">
        <x:v>CONG</x:v>
      </x:c>
      <x:c r="D74" s="215" t="n">
        <x:v>68</x:v>
      </x:c>
      <x:c r="E74" s="74" t="str">
        <x:v>V1.0</x:v>
      </x:c>
      <x:c r="F74" s="68" t="str">
        <x:v>有效强根或有力印比构成真从根本破格</x:v>
      </x:c>
      <x:c r="G74" s="82" t="str">
        <x:v>综合层</x:v>
      </x:c>
      <x:c r="H74" s="68" t="str">
        <x:v>从格候选</x:v>
      </x:c>
      <x:c r="I74" s="68" t="str">
        <x:v>表面从格条件成立</x:v>
      </x:c>
      <x:c r="J74" s="68" t="str">
        <x:v>月令依据、格神根气与有效力量、日主配合及M11组合证据相互支持</x:v>
      </x:c>
      <x:c r="K74" s="68" t="str">
        <x:v>日主存在可调用强根、当令印星或成势比劫</x:v>
      </x:c>
      <x:c r="L74" s="82" t="str">
        <x:v>根本破格</x:v>
      </x:c>
      <x:c r="M74" s="68" t="str">
        <x:v>无；这些力量本身就是反从证据</x:v>
      </x:c>
      <x:c r="N74" s="82" t="str">
        <x:v>无救应</x:v>
      </x:c>
      <x:c r="O74" s="84" t="str">
        <x:v>不成立</x:v>
      </x:c>
      <x:c r="P74" s="82" t="str">
        <x:v>待定</x:v>
      </x:c>
      <x:c r="Q74" s="68" t="str">
        <x:v>退回普通身弱、中和或其他格局</x:v>
      </x:c>
      <x:c r="R74" s="68" t="str">
        <x:v>M14已生成候选；M08、M09、M10、M11相关结论可追溯</x:v>
      </x:c>
      <x:c r="S74" s="68" t="str">
        <x:v>格神与关键配合十神均以有效力量和实际功能为准</x:v>
      </x:c>
      <x:c r="T74" s="68" t="str">
        <x:v>格神得令、有根、透达、清纯，组合路径稳定且日主承载匹配</x:v>
      </x:c>
      <x:c r="U74" s="68" t="str">
        <x:v>格神受制、混杂、路径受阻、日主承载不足或救应只能局部作用</x:v>
      </x:c>
      <x:c r="V74" s="90" t="str">
        <x:v>格神失效、核心作用路径完全中断，或特殊格局硬门槛被有效反证否决</x:v>
      </x:c>
      <x:c r="W74" s="68" t="str">
        <x:v>特殊格局严格条件、流派争议及岁运补成另按专门规则处理</x:v>
      </x:c>
      <x:c r="X74" s="84" t="str">
        <x:v>从格_强根破格</x:v>
      </x:c>
      <x:c r="Y74" s="84" t="str">
        <x:v>从格候选判为“不成立”：破格等级为“根本破格”，救应为“无救应”，清纯度为“待定”；层次需结合全局继续评估。</x:v>
      </x:c>
      <x:c r="Z74" s="68" t="str">
        <x:v>若“格神失效、核心作用路径完全中断，或特殊格局硬门槛被有效反证否决”成立，应降低为成立但有破或不成立，不得维持当前结论。</x:v>
      </x:c>
      <x:c r="AA74" s="82" t="str">
        <x:v>较高</x:v>
      </x:c>
      <x:c r="AB74" s="82" t="str">
        <x:v>子平格局</x:v>
      </x:c>
      <x:c r="AC74" s="68" t="str">
        <x:v>格局成败须区分：格神是否有效、结构是否能运行、是否存在破坏、救应是否直接修复破格机制，以及格局成立与层次高低。</x:v>
      </x:c>
      <x:c r="AD74" s="68" t="str">
        <x:v>当“表面从格条件成立”成立，且成格证据相互支持、无决定性否决时，可按本规则判断。</x:v>
      </x:c>
      <x:c r="AE74" s="90" t="str">
        <x:v>只有格局名称或局部组合，但“格神失效、核心作用路径完全中断，或特殊格局硬门槛被有效反证否决”成立时，不能按本规则维持格局。</x:v>
      </x:c>
      <x:c r="AF74" s="68" t="str">
        <x:v>https://zh.wikisource.org/wiki/%E6%BB%B4%E5%A4%A9%E9%AB%93%E9%97%A1%E5%BE%AE ; https://zh.wikisource.org/zh-hans/%E6%BB%B4%E5%A4%A9%E9%AB%93</x:v>
      </x:c>
      <x:c r="AG74" s="82" t="str">
        <x:v>采用</x:v>
      </x:c>
      <x:c r="AH74" s="82" t="str">
        <x:v>初审</x:v>
      </x:c>
      <x:c r="AI74" s="87" t="n">
        <x:v>46260</x:v>
      </x:c>
    </x:row>
    <x:row r="75">
      <x:c r="A75" s="72" t="str">
        <x:f>IF(OR(C75="",D75=""),"",B75&amp;"-"&amp;UPPER(C75)&amp;"-"&amp;TEXT(D75,"0000")&amp;"-"&amp;E75)</x:f>
        <x:v>M15-CONG-0069-V1.0</x:v>
      </x:c>
      <x:c r="B75" s="74" t="str">
        <x:v>M15</x:v>
      </x:c>
      <x:c r="C75" s="74" t="str">
        <x:v>CONG</x:v>
      </x:c>
      <x:c r="D75" s="215" t="n">
        <x:v>69</x:v>
      </x:c>
      <x:c r="E75" s="74" t="str">
        <x:v>V1.0</x:v>
      </x:c>
      <x:c r="F75" s="68" t="str">
        <x:v>假从只能判成立但有破或待定</x:v>
      </x:c>
      <x:c r="G75" s="82" t="str">
        <x:v>综合层</x:v>
      </x:c>
      <x:c r="H75" s="68" t="str">
        <x:v>假从候选</x:v>
      </x:c>
      <x:c r="I75" s="68" t="str">
        <x:v>主势明显接近从格，但日主保留残根或低效印比</x:v>
      </x:c>
      <x:c r="J75" s="68" t="str">
        <x:v>顺势证据强，反向证据弱但未消失</x:v>
      </x:c>
      <x:c r="K75" s="68" t="str">
        <x:v>残根、微印比或局部逆势</x:v>
      </x:c>
      <x:c r="L75" s="82" t="str">
        <x:v>一般</x:v>
      </x:c>
      <x:c r="M75" s="68" t="str">
        <x:v>若反向证据进一步失效可趋近真从；原局不预设</x:v>
      </x:c>
      <x:c r="N75" s="82" t="str">
        <x:v>无救应</x:v>
      </x:c>
      <x:c r="O75" s="84" t="str">
        <x:v>成立但有破</x:v>
      </x:c>
      <x:c r="P75" s="82" t="str">
        <x:v>有杂</x:v>
      </x:c>
      <x:c r="Q75" s="68" t="str">
        <x:v>假从稳定性低于真从，不能套用真从硬结论</x:v>
      </x:c>
      <x:c r="R75" s="68" t="str">
        <x:v>M14已生成候选；M08、M09、M10、M11相关结论可追溯</x:v>
      </x:c>
      <x:c r="S75" s="68" t="str">
        <x:v>格神与关键配合十神均以有效力量和实际功能为准</x:v>
      </x:c>
      <x:c r="T75" s="68" t="str">
        <x:v>格神得令、有根、透达、清纯，组合路径稳定且日主承载匹配</x:v>
      </x:c>
      <x:c r="U75" s="68" t="str">
        <x:v>格神受制、混杂、路径受阻、日主承载不足或救应只能局部作用</x:v>
      </x:c>
      <x:c r="V75" s="90" t="str">
        <x:v>格神失效、核心作用路径完全中断，或特殊格局硬门槛被有效反证否决</x:v>
      </x:c>
      <x:c r="W75" s="68" t="str">
        <x:v>特殊格局严格条件、流派争议及岁运补成另按专门规则处理</x:v>
      </x:c>
      <x:c r="X75" s="84" t="str">
        <x:v>假从_成立但有破</x:v>
      </x:c>
      <x:c r="Y75" s="84" t="str">
        <x:v>假从候选判为“成立但有破”：破格等级为“一般”，救应为“无救应”，清纯度为“有杂”；层次需结合全局继续评估。</x:v>
      </x:c>
      <x:c r="Z75" s="68" t="str">
        <x:v>若“格神失效、核心作用路径完全中断，或特殊格局硬门槛被有效反证否决”成立，应降低为成立但有破或不成立，不得维持当前结论。</x:v>
      </x:c>
      <x:c r="AA75" s="82" t="str">
        <x:v>中等</x:v>
      </x:c>
      <x:c r="AB75" s="82" t="str">
        <x:v>子平格局</x:v>
      </x:c>
      <x:c r="AC75" s="68" t="str">
        <x:v>格局成败须区分：格神是否有效、结构是否能运行、是否存在破坏、救应是否直接修复破格机制，以及格局成立与层次高低。</x:v>
      </x:c>
      <x:c r="AD75" s="68" t="str">
        <x:v>当“主势明显接近从格，但日主保留残根或低效印比”成立，且成格证据相互支持、无决定性否决时，可按本规则判断。</x:v>
      </x:c>
      <x:c r="AE75" s="90" t="str">
        <x:v>只有格局名称或局部组合，但“格神失效、核心作用路径完全中断，或特殊格局硬门槛被有效反证否决”成立时，不能按本规则维持格局。</x:v>
      </x:c>
      <x:c r="AF75" s="68" t="str">
        <x:v>https://zh.wikisource.org/wiki/%E6%BB%B4%E5%A4%A9%E9%AB%93%E9%97%A1%E5%BE%AE ; https://zh.wikisource.org/zh-hans/%E6%BB%B4%E5%A4%A9%E9%AB%93</x:v>
      </x:c>
      <x:c r="AG75" s="82" t="str">
        <x:v>待验证</x:v>
      </x:c>
      <x:c r="AH75" s="82" t="str">
        <x:v>初审</x:v>
      </x:c>
      <x:c r="AI75" s="87" t="n">
        <x:v>46260</x:v>
      </x:c>
    </x:row>
    <x:row r="76">
      <x:c r="A76" s="72" t="str">
        <x:f>IF(OR(C76="",D76=""),"",B76&amp;"-"&amp;UPPER(C76)&amp;"-"&amp;TEXT(D76,"0000")&amp;"-"&amp;E76)</x:f>
        <x:v>M15-CONG-0070-V1.0</x:v>
      </x:c>
      <x:c r="B76" s="74" t="str">
        <x:v>M15</x:v>
      </x:c>
      <x:c r="C76" s="74" t="str">
        <x:v>CONG</x:v>
      </x:c>
      <x:c r="D76" s="215" t="n">
        <x:v>70</x:v>
      </x:c>
      <x:c r="E76" s="74" t="str">
        <x:v>V1.0</x:v>
      </x:c>
      <x:c r="F76" s="68" t="str">
        <x:v>逆势五行虽弱但作用关键时可严重破从</x:v>
      </x:c>
      <x:c r="G76" s="82" t="str">
        <x:v>综合层</x:v>
      </x:c>
      <x:c r="H76" s="68" t="str">
        <x:v>从格候选</x:v>
      </x:c>
      <x:c r="I76" s="68" t="str">
        <x:v>特殊从格候选达到高门槛</x:v>
      </x:c>
      <x:c r="J76" s="68" t="str">
        <x:v>月令依据、格神根气与有效力量、日主配合及M11组合证据相互支持</x:v>
      </x:c>
      <x:c r="K76" s="68" t="str">
        <x:v>一枚或一组逆势五行虽数量少，却有根有源并直击主势关键节点</x:v>
      </x:c>
      <x:c r="L76" s="82" t="str">
        <x:v>严重</x:v>
      </x:c>
      <x:c r="M76" s="68" t="str">
        <x:v>主势制去逆神或使其失效</x:v>
      </x:c>
      <x:c r="N76" s="82" t="str">
        <x:v>待定</x:v>
      </x:c>
      <x:c r="O76" s="84" t="str">
        <x:v>成立但有破</x:v>
      </x:c>
      <x:c r="P76" s="82" t="str">
        <x:v>有杂</x:v>
      </x:c>
      <x:c r="Q76" s="68" t="str">
        <x:v>从格是否破坏取决于逆神有效性，不取决于数量</x:v>
      </x:c>
      <x:c r="R76" s="68" t="str">
        <x:v>M14已生成候选；M08、M09、M10、M11相关结论可追溯</x:v>
      </x:c>
      <x:c r="S76" s="68" t="str">
        <x:v>格神与关键配合十神均以有效力量和实际功能为准</x:v>
      </x:c>
      <x:c r="T76" s="68" t="str">
        <x:v>格神得令、有根、透达、清纯，组合路径稳定且日主承载匹配</x:v>
      </x:c>
      <x:c r="U76" s="68" t="str">
        <x:v>格神受制、混杂、路径受阻、日主承载不足或救应只能局部作用</x:v>
      </x:c>
      <x:c r="V76" s="90" t="str">
        <x:v>格神失效、核心作用路径完全中断，或特殊格局硬门槛被有效反证否决</x:v>
      </x:c>
      <x:c r="W76" s="68" t="str">
        <x:v>特殊格局严格条件、流派争议及岁运补成另按专门规则处理</x:v>
      </x:c>
      <x:c r="X76" s="84" t="str">
        <x:v>从格_有效逆神破格</x:v>
      </x:c>
      <x:c r="Y76" s="84" t="str">
        <x:v>从格候选判为“成立但有破”：破格等级为“严重”，救应为“待定”，清纯度为“有杂”；层次需结合全局继续评估。</x:v>
      </x:c>
      <x:c r="Z76" s="68" t="str">
        <x:v>若“格神失效、核心作用路径完全中断，或特殊格局硬门槛被有效反证否决”成立，应降低为成立但有破或不成立，不得维持当前结论。</x:v>
      </x:c>
      <x:c r="AA76" s="82" t="str">
        <x:v>较高</x:v>
      </x:c>
      <x:c r="AB76" s="82" t="str">
        <x:v>子平格局</x:v>
      </x:c>
      <x:c r="AC76" s="68" t="str">
        <x:v>格局成败须区分：格神是否有效、结构是否能运行、是否存在破坏、救应是否直接修复破格机制，以及格局成立与层次高低。</x:v>
      </x:c>
      <x:c r="AD76" s="68" t="str">
        <x:v>当“特殊从格候选达到高门槛”成立，且成格证据相互支持、无决定性否决时，可按本规则判断。</x:v>
      </x:c>
      <x:c r="AE76" s="90" t="str">
        <x:v>只有格局名称或局部组合，但“格神失效、核心作用路径完全中断，或特殊格局硬门槛被有效反证否决”成立时，不能按本规则维持格局。</x:v>
      </x:c>
      <x:c r="AF76" s="68" t="str">
        <x:v>https://zh.wikisource.org/wiki/%E6%BB%B4%E5%A4%A9%E9%AB%93%E9%97%A1%E5%BE%AE ; https://zh.wikisource.org/zh-hans/%E6%BB%B4%E5%A4%A9%E9%AB%93</x:v>
      </x:c>
      <x:c r="AG76" s="82" t="str">
        <x:v>采用</x:v>
      </x:c>
      <x:c r="AH76" s="82" t="str">
        <x:v>初审</x:v>
      </x:c>
      <x:c r="AI76" s="87" t="n">
        <x:v>46260</x:v>
      </x:c>
    </x:row>
    <x:row r="77">
      <x:c r="A77" s="72" t="str">
        <x:f>IF(OR(C77="",D77=""),"",B77&amp;"-"&amp;UPPER(C77)&amp;"-"&amp;TEXT(D77,"0000")&amp;"-"&amp;E77)</x:f>
        <x:v>M15-HUAQI-0071-V1.0</x:v>
      </x:c>
      <x:c r="B77" s="74" t="str">
        <x:v>M15</x:v>
      </x:c>
      <x:c r="C77" s="74" t="str">
        <x:v>HUAQI</x:v>
      </x:c>
      <x:c r="D77" s="215" t="n">
        <x:v>71</x:v>
      </x:c>
      <x:c r="E77" s="74" t="str">
        <x:v>V1.0</x:v>
      </x:c>
      <x:c r="F77" s="68" t="str">
        <x:v>真化必须通过化神得势与原气不自立的全部硬门槛</x:v>
      </x:c>
      <x:c r="G77" s="82" t="str">
        <x:v>综合层</x:v>
      </x:c>
      <x:c r="H77" s="68" t="str">
        <x:v>化气格候选</x:v>
      </x:c>
      <x:c r="I77" s="68" t="str">
        <x:v>日主参与五合，M06确认实质化势，化神得令成势，原气无强根，破化因素不足</x:v>
      </x:c>
      <x:c r="J77" s="68" t="str">
        <x:v>M08力量已向化神重分配，全局主要路径顺化神</x:v>
      </x:c>
      <x:c r="K77" s="68" t="str">
        <x:v>无决定性破格因素</x:v>
      </x:c>
      <x:c r="L77" s="82" t="str">
        <x:v>无破</x:v>
      </x:c>
      <x:c r="M77" s="68" t="str">
        <x:v>无须救应</x:v>
      </x:c>
      <x:c r="N77" s="82" t="str">
        <x:v>无救应</x:v>
      </x:c>
      <x:c r="O77" s="84" t="str">
        <x:v>特殊格局严格成立</x:v>
      </x:c>
      <x:c r="P77" s="82" t="str">
        <x:v>清纯</x:v>
      </x:c>
      <x:c r="Q77" s="68" t="str">
        <x:v>真化成立，按化神而非原日主五行理解结构</x:v>
      </x:c>
      <x:c r="R77" s="68" t="str">
        <x:v>M14已生成候选；M08、M09、M10、M11相关结论可追溯</x:v>
      </x:c>
      <x:c r="S77" s="68" t="str">
        <x:v>格神与关键配合十神均以有效力量和实际功能为准</x:v>
      </x:c>
      <x:c r="T77" s="68" t="str">
        <x:v>格神得令、有根、透达、清纯，组合路径稳定且日主承载匹配</x:v>
      </x:c>
      <x:c r="U77" s="68" t="str">
        <x:v>格神受制、混杂、路径受阻、日主承载不足或救应只能局部作用</x:v>
      </x:c>
      <x:c r="V77" s="90" t="str">
        <x:v>格神失效、核心作用路径完全中断，或特殊格局硬门槛被有效反证否决</x:v>
      </x:c>
      <x:c r="W77" s="68" t="str">
        <x:v>特殊格局严格条件、流派争议及岁运补成另按专门规则处理</x:v>
      </x:c>
      <x:c r="X77" s="84" t="str">
        <x:v>化气格_真化严格成立</x:v>
      </x:c>
      <x:c r="Y77" s="84" t="str">
        <x:v>化气格候选判为“特殊格局严格成立”：破格等级为“无破”，救应为“无救应”，清纯度为“清纯”；层次需结合全局继续评估。</x:v>
      </x:c>
      <x:c r="Z77" s="68" t="str">
        <x:v>若“格神失效、核心作用路径完全中断，或特殊格局硬门槛被有效反证否决”成立，应降低为成立但有破或不成立，不得维持当前结论。</x:v>
      </x:c>
      <x:c r="AA77" s="82" t="str">
        <x:v>较高</x:v>
      </x:c>
      <x:c r="AB77" s="82" t="str">
        <x:v>子平格局</x:v>
      </x:c>
      <x:c r="AC77" s="68" t="str">
        <x:v>格局成败须区分：格神是否有效、结构是否能运行、是否存在破坏、救应是否直接修复破格机制，以及格局成立与层次高低。</x:v>
      </x:c>
      <x:c r="AD77" s="68" t="str">
        <x:v>当“日主参与五合，M06确认实质化势，化神得令成势，原气无强根，破化因素不足”成立，且成格证据相互支持、无决定性否决时，可按本规则判断。</x:v>
      </x:c>
      <x:c r="AE77" s="90" t="str">
        <x:v>只有格局名称或局部组合，但“格神失效、核心作用路径完全中断，或特殊格局硬门槛被有效反证否决”成立时，不能按本规则维持格局。</x:v>
      </x:c>
      <x:c r="AF77" s="68" t="str">
        <x:v>https://zh.wikisource.org/wiki/%E6%BB%B4%E5%A4%A9%E9%AB%93%E9%97%A1%E5%BE%AE ; https://zh.wikisource.org/zh-hans/%E6%BB%B4%E5%A4%A9%E9%AB%93</x:v>
      </x:c>
      <x:c r="AG77" s="82" t="str">
        <x:v>采用</x:v>
      </x:c>
      <x:c r="AH77" s="82" t="str">
        <x:v>初审</x:v>
      </x:c>
      <x:c r="AI77" s="87" t="n">
        <x:v>46260</x:v>
      </x:c>
    </x:row>
    <x:row r="78">
      <x:c r="A78" s="72" t="str">
        <x:f>IF(OR(C78="",D78=""),"",B78&amp;"-"&amp;UPPER(C78)&amp;"-"&amp;TEXT(D78,"0000")&amp;"-"&amp;E78)</x:f>
        <x:v>M15-HUAQI-0072-V1.0</x:v>
      </x:c>
      <x:c r="B78" s="74" t="str">
        <x:v>M15</x:v>
      </x:c>
      <x:c r="C78" s="74" t="str">
        <x:v>HUAQI</x:v>
      </x:c>
      <x:c r="D78" s="215" t="n">
        <x:v>72</x:v>
      </x:c>
      <x:c r="E78" s="74" t="str">
        <x:v>V1.0</x:v>
      </x:c>
      <x:c r="F78" s="68" t="str">
        <x:v>化神得令有根有源是化气格核心成格证据</x:v>
      </x:c>
      <x:c r="G78" s="82" t="str">
        <x:v>综合层</x:v>
      </x:c>
      <x:c r="H78" s="68" t="str">
        <x:v>化气格候选</x:v>
      </x:c>
      <x:c r="I78" s="68" t="str">
        <x:v>化神得到月令、透干、根气或会局的多重有效支持</x:v>
      </x:c>
      <x:c r="J78" s="68" t="str">
        <x:v>化神至少具备三类独立强证据且主导全局</x:v>
      </x:c>
      <x:c r="K78" s="68" t="str">
        <x:v>无决定性破格因素</x:v>
      </x:c>
      <x:c r="L78" s="82" t="str">
        <x:v>无破</x:v>
      </x:c>
      <x:c r="M78" s="68" t="str">
        <x:v>无须救应</x:v>
      </x:c>
      <x:c r="N78" s="82" t="str">
        <x:v>无救应</x:v>
      </x:c>
      <x:c r="O78" s="84" t="str">
        <x:v>基本成立</x:v>
      </x:c>
      <x:c r="P78" s="82" t="str">
        <x:v>较清</x:v>
      </x:c>
      <x:c r="Q78" s="68" t="str">
        <x:v>化势有承载，可进入真化复核</x:v>
      </x:c>
      <x:c r="R78" s="68" t="str">
        <x:v>M14已生成候选；M08、M09、M10、M11相关结论可追溯</x:v>
      </x:c>
      <x:c r="S78" s="68" t="str">
        <x:v>格神与关键配合十神均以有效力量和实际功能为准</x:v>
      </x:c>
      <x:c r="T78" s="68" t="str">
        <x:v>格神得令、有根、透达、清纯，组合路径稳定且日主承载匹配</x:v>
      </x:c>
      <x:c r="U78" s="68" t="str">
        <x:v>格神受制、混杂、路径受阻、日主承载不足或救应只能局部作用</x:v>
      </x:c>
      <x:c r="V78" s="90" t="str">
        <x:v>格神失效、核心作用路径完全中断，或特殊格局硬门槛被有效反证否决</x:v>
      </x:c>
      <x:c r="W78" s="68" t="str">
        <x:v>特殊格局严格条件、流派争议及岁运补成另按专门规则处理</x:v>
      </x:c>
      <x:c r="X78" s="84" t="str">
        <x:v>化气格_化神有权</x:v>
      </x:c>
      <x:c r="Y78" s="84" t="str">
        <x:v>化气格候选判为“基本成立”：破格等级为“无破”，救应为“无救应”，清纯度为“较清”；层次需结合全局继续评估。</x:v>
      </x:c>
      <x:c r="Z78" s="68" t="str">
        <x:v>若“格神失效、核心作用路径完全中断，或特殊格局硬门槛被有效反证否决”成立，应降低为成立但有破或不成立，不得维持当前结论。</x:v>
      </x:c>
      <x:c r="AA78" s="82" t="str">
        <x:v>较高</x:v>
      </x:c>
      <x:c r="AB78" s="82" t="str">
        <x:v>子平格局</x:v>
      </x:c>
      <x:c r="AC78" s="68" t="str">
        <x:v>格局成败须区分：格神是否有效、结构是否能运行、是否存在破坏、救应是否直接修复破格机制，以及格局成立与层次高低。</x:v>
      </x:c>
      <x:c r="AD78" s="68" t="str">
        <x:v>当“化神得到月令、透干、根气或会局的多重有效支持”成立，且成格证据相互支持、无决定性否决时，可按本规则判断。</x:v>
      </x:c>
      <x:c r="AE78" s="90" t="str">
        <x:v>只有格局名称或局部组合，但“格神失效、核心作用路径完全中断，或特殊格局硬门槛被有效反证否决”成立时，不能按本规则维持格局。</x:v>
      </x:c>
      <x:c r="AF78" s="68" t="str">
        <x:v>https://zh.wikisource.org/wiki/%E6%BB%B4%E5%A4%A9%E9%AB%93%E9%97%A1%E5%BE%AE ; https://zh.wikisource.org/zh-hans/%E6%BB%B4%E5%A4%A9%E9%AB%93</x:v>
      </x:c>
      <x:c r="AG78" s="82" t="str">
        <x:v>采用</x:v>
      </x:c>
      <x:c r="AH78" s="82" t="str">
        <x:v>初审</x:v>
      </x:c>
      <x:c r="AI78" s="87" t="n">
        <x:v>46260</x:v>
      </x:c>
    </x:row>
    <x:row r="79">
      <x:c r="A79" s="72" t="str">
        <x:f>IF(OR(C79="",D79=""),"",B79&amp;"-"&amp;UPPER(C79)&amp;"-"&amp;TEXT(D79,"0000")&amp;"-"&amp;E79)</x:f>
        <x:v>M15-HUAQI-0073-V1.0</x:v>
      </x:c>
      <x:c r="B79" s="74" t="str">
        <x:v>M15</x:v>
      </x:c>
      <x:c r="C79" s="74" t="str">
        <x:v>HUAQI</x:v>
      </x:c>
      <x:c r="D79" s="215" t="n">
        <x:v>73</x:v>
      </x:c>
      <x:c r="E79" s="74" t="str">
        <x:v>V1.0</x:v>
      </x:c>
      <x:c r="F79" s="68" t="str">
        <x:v>日主原气强根会构成化气根本破格</x:v>
      </x:c>
      <x:c r="G79" s="82" t="str">
        <x:v>综合层</x:v>
      </x:c>
      <x:c r="H79" s="68" t="str">
        <x:v>化气格候选</x:v>
      </x:c>
      <x:c r="I79" s="68" t="str">
        <x:v>天干合化候选存在</x:v>
      </x:c>
      <x:c r="J79" s="68" t="str">
        <x:v>月令依据、格神根气与有效力量、日主配合及M11组合证据相互支持</x:v>
      </x:c>
      <x:c r="K79" s="68" t="str">
        <x:v>日主原五行保留可调用强根或同党成势</x:v>
      </x:c>
      <x:c r="L79" s="82" t="str">
        <x:v>根本破格</x:v>
      </x:c>
      <x:c r="M79" s="68" t="str">
        <x:v>无；除非原根被实质制化失效</x:v>
      </x:c>
      <x:c r="N79" s="82" t="str">
        <x:v>无救应</x:v>
      </x:c>
      <x:c r="O79" s="84" t="str">
        <x:v>不成立</x:v>
      </x:c>
      <x:c r="P79" s="82" t="str">
        <x:v>待定</x:v>
      </x:c>
      <x:c r="Q79" s="68" t="str">
        <x:v>只能按合绊、合动或合而不化处理</x:v>
      </x:c>
      <x:c r="R79" s="68" t="str">
        <x:v>M14已生成候选；M08、M09、M10、M11相关结论可追溯</x:v>
      </x:c>
      <x:c r="S79" s="68" t="str">
        <x:v>格神与关键配合十神均以有效力量和实际功能为准</x:v>
      </x:c>
      <x:c r="T79" s="68" t="str">
        <x:v>格神得令、有根、透达、清纯，组合路径稳定且日主承载匹配</x:v>
      </x:c>
      <x:c r="U79" s="68" t="str">
        <x:v>格神受制、混杂、路径受阻、日主承载不足或救应只能局部作用</x:v>
      </x:c>
      <x:c r="V79" s="90" t="str">
        <x:v>格神失效、核心作用路径完全中断，或特殊格局硬门槛被有效反证否决</x:v>
      </x:c>
      <x:c r="W79" s="68" t="str">
        <x:v>特殊格局严格条件、流派争议及岁运补成另按专门规则处理</x:v>
      </x:c>
      <x:c r="X79" s="84" t="str">
        <x:v>化气格_原气强根否决</x:v>
      </x:c>
      <x:c r="Y79" s="84" t="str">
        <x:v>化气格候选判为“不成立”：破格等级为“根本破格”，救应为“无救应”，清纯度为“待定”；层次需结合全局继续评估。</x:v>
      </x:c>
      <x:c r="Z79" s="68" t="str">
        <x:v>若“格神失效、核心作用路径完全中断，或特殊格局硬门槛被有效反证否决”成立，应降低为成立但有破或不成立，不得维持当前结论。</x:v>
      </x:c>
      <x:c r="AA79" s="82" t="str">
        <x:v>较高</x:v>
      </x:c>
      <x:c r="AB79" s="82" t="str">
        <x:v>子平格局</x:v>
      </x:c>
      <x:c r="AC79" s="68" t="str">
        <x:v>格局成败须区分：格神是否有效、结构是否能运行、是否存在破坏、救应是否直接修复破格机制，以及格局成立与层次高低。</x:v>
      </x:c>
      <x:c r="AD79" s="68" t="str">
        <x:v>当“天干合化候选存在”成立，且成格证据相互支持、无决定性否决时，可按本规则判断。</x:v>
      </x:c>
      <x:c r="AE79" s="90" t="str">
        <x:v>只有格局名称或局部组合，但“格神失效、核心作用路径完全中断，或特殊格局硬门槛被有效反证否决”成立时，不能按本规则维持格局。</x:v>
      </x:c>
      <x:c r="AF79" s="68" t="str">
        <x:v>https://zh.wikisource.org/wiki/%E6%BB%B4%E5%A4%A9%E9%AB%93%E9%97%A1%E5%BE%AE ; https://zh.wikisource.org/zh-hans/%E6%BB%B4%E5%A4%A9%E9%AB%93</x:v>
      </x:c>
      <x:c r="AG79" s="82" t="str">
        <x:v>采用</x:v>
      </x:c>
      <x:c r="AH79" s="82" t="str">
        <x:v>初审</x:v>
      </x:c>
      <x:c r="AI79" s="87" t="n">
        <x:v>46260</x:v>
      </x:c>
    </x:row>
    <x:row r="80">
      <x:c r="A80" s="72" t="str">
        <x:f>IF(OR(C80="",D80=""),"",B80&amp;"-"&amp;UPPER(C80)&amp;"-"&amp;TEXT(D80,"0000")&amp;"-"&amp;E80)</x:f>
        <x:v>M15-HUAQI-0074-V1.0</x:v>
      </x:c>
      <x:c r="B80" s="74" t="str">
        <x:v>M15</x:v>
      </x:c>
      <x:c r="C80" s="74" t="str">
        <x:v>HUAQI</x:v>
      </x:c>
      <x:c r="D80" s="215" t="n">
        <x:v>74</x:v>
      </x:c>
      <x:c r="E80" s="74" t="str">
        <x:v>V1.0</x:v>
      </x:c>
      <x:c r="F80" s="68" t="str">
        <x:v>争合妒合会降低或破坏化气纯度</x:v>
      </x:c>
      <x:c r="G80" s="82" t="str">
        <x:v>综合层</x:v>
      </x:c>
      <x:c r="H80" s="68" t="str">
        <x:v>化气格候选</x:v>
      </x:c>
      <x:c r="I80" s="68" t="str">
        <x:v>日主合化候选存在</x:v>
      </x:c>
      <x:c r="J80" s="68" t="str">
        <x:v>月令依据、格神根气与有效力量、日主配合及M11组合证据相互支持</x:v>
      </x:c>
      <x:c r="K80" s="68" t="str">
        <x:v>同一合神被多干争合或出现妒合，化势不专</x:v>
      </x:c>
      <x:c r="L80" s="82" t="str">
        <x:v>严重</x:v>
      </x:c>
      <x:c r="M80" s="68" t="str">
        <x:v>争合一方失效或被制去</x:v>
      </x:c>
      <x:c r="N80" s="82" t="str">
        <x:v>待定</x:v>
      </x:c>
      <x:c r="O80" s="84" t="str">
        <x:v>成立但有破</x:v>
      </x:c>
      <x:c r="P80" s="82" t="str">
        <x:v>混杂</x:v>
      </x:c>
      <x:c r="Q80" s="68" t="str">
        <x:v>化势不专，通常降为假化或合而不化</x:v>
      </x:c>
      <x:c r="R80" s="68" t="str">
        <x:v>M14已生成候选；M08、M09、M10、M11相关结论可追溯</x:v>
      </x:c>
      <x:c r="S80" s="68" t="str">
        <x:v>格神与关键配合十神均以有效力量和实际功能为准</x:v>
      </x:c>
      <x:c r="T80" s="68" t="str">
        <x:v>格神得令、有根、透达、清纯，组合路径稳定且日主承载匹配</x:v>
      </x:c>
      <x:c r="U80" s="68" t="str">
        <x:v>格神受制、混杂、路径受阻、日主承载不足或救应只能局部作用</x:v>
      </x:c>
      <x:c r="V80" s="90" t="str">
        <x:v>格神失效、核心作用路径完全中断，或特殊格局硬门槛被有效反证否决</x:v>
      </x:c>
      <x:c r="W80" s="68" t="str">
        <x:v>特殊格局严格条件、流派争议及岁运补成另按专门规则处理</x:v>
      </x:c>
      <x:c r="X80" s="84" t="str">
        <x:v>化气格_争合破化</x:v>
      </x:c>
      <x:c r="Y80" s="84" t="str">
        <x:v>化气格候选判为“成立但有破”：破格等级为“严重”，救应为“待定”，清纯度为“混杂”；层次需结合全局继续评估。</x:v>
      </x:c>
      <x:c r="Z80" s="68" t="str">
        <x:v>若“格神失效、核心作用路径完全中断，或特殊格局硬门槛被有效反证否决”成立，应降低为成立但有破或不成立，不得维持当前结论。</x:v>
      </x:c>
      <x:c r="AA80" s="82" t="str">
        <x:v>较高</x:v>
      </x:c>
      <x:c r="AB80" s="82" t="str">
        <x:v>子平格局</x:v>
      </x:c>
      <x:c r="AC80" s="68" t="str">
        <x:v>格局成败须区分：格神是否有效、结构是否能运行、是否存在破坏、救应是否直接修复破格机制，以及格局成立与层次高低。</x:v>
      </x:c>
      <x:c r="AD80" s="68" t="str">
        <x:v>当“日主合化候选存在”成立，且成格证据相互支持、无决定性否决时，可按本规则判断。</x:v>
      </x:c>
      <x:c r="AE80" s="90" t="str">
        <x:v>只有格局名称或局部组合，但“格神失效、核心作用路径完全中断，或特殊格局硬门槛被有效反证否决”成立时，不能按本规则维持格局。</x:v>
      </x:c>
      <x:c r="AF80" s="68" t="str">
        <x:v>https://zh.wikisource.org/wiki/%E6%BB%B4%E5%A4%A9%E9%AB%93%E9%97%A1%E5%BE%AE ; https://zh.wikisource.org/zh-hans/%E6%BB%B4%E5%A4%A9%E9%AB%93</x:v>
      </x:c>
      <x:c r="AG80" s="82" t="str">
        <x:v>采用</x:v>
      </x:c>
      <x:c r="AH80" s="82" t="str">
        <x:v>初审</x:v>
      </x:c>
      <x:c r="AI80" s="87" t="n">
        <x:v>46260</x:v>
      </x:c>
    </x:row>
    <x:row r="81">
      <x:c r="A81" s="72" t="str">
        <x:f>IF(OR(C81="",D81=""),"",B81&amp;"-"&amp;UPPER(C81)&amp;"-"&amp;TEXT(D81,"0000")&amp;"-"&amp;E81)</x:f>
        <x:v>M15-HUAQI-0075-V1.0</x:v>
      </x:c>
      <x:c r="B81" s="74" t="str">
        <x:v>M15</x:v>
      </x:c>
      <x:c r="C81" s="74" t="str">
        <x:v>HUAQI</x:v>
      </x:c>
      <x:c r="D81" s="215" t="n">
        <x:v>75</x:v>
      </x:c>
      <x:c r="E81" s="74" t="str">
        <x:v>V1.0</x:v>
      </x:c>
      <x:c r="F81" s="68" t="str">
        <x:v>强克冲破化神会构成严重破化</x:v>
      </x:c>
      <x:c r="G81" s="82" t="str">
        <x:v>综合层</x:v>
      </x:c>
      <x:c r="H81" s="68" t="str">
        <x:v>化气格候选</x:v>
      </x:c>
      <x:c r="I81" s="68" t="str">
        <x:v>化气候选已具化神基础</x:v>
      </x:c>
      <x:c r="J81" s="68" t="str">
        <x:v>月令依据、格神根气与有效力量、日主配合及M11组合证据相互支持</x:v>
      </x:c>
      <x:c r="K81" s="68" t="str">
        <x:v>化神被强克、关键根气被冲散或化局被破</x:v>
      </x:c>
      <x:c r="L81" s="82" t="str">
        <x:v>严重</x:v>
      </x:c>
      <x:c r="M81" s="68" t="str">
        <x:v>生扶化神或制去破化之神</x:v>
      </x:c>
      <x:c r="N81" s="82" t="str">
        <x:v>待定</x:v>
      </x:c>
      <x:c r="O81" s="84" t="str">
        <x:v>成立但有破</x:v>
      </x:c>
      <x:c r="P81" s="82" t="str">
        <x:v>有杂</x:v>
      </x:c>
      <x:c r="Q81" s="68" t="str">
        <x:v>化神主导性下降，需判断能否维持假化</x:v>
      </x:c>
      <x:c r="R81" s="68" t="str">
        <x:v>M14已生成候选；M08、M09、M10、M11相关结论可追溯</x:v>
      </x:c>
      <x:c r="S81" s="68" t="str">
        <x:v>格神与关键配合十神均以有效力量和实际功能为准</x:v>
      </x:c>
      <x:c r="T81" s="68" t="str">
        <x:v>格神得令、有根、透达、清纯，组合路径稳定且日主承载匹配</x:v>
      </x:c>
      <x:c r="U81" s="68" t="str">
        <x:v>格神受制、混杂、路径受阻、日主承载不足或救应只能局部作用</x:v>
      </x:c>
      <x:c r="V81" s="90" t="str">
        <x:v>格神失效、核心作用路径完全中断，或特殊格局硬门槛被有效反证否决</x:v>
      </x:c>
      <x:c r="W81" s="68" t="str">
        <x:v>特殊格局严格条件、流派争议及岁运补成另按专门规则处理</x:v>
      </x:c>
      <x:c r="X81" s="84" t="str">
        <x:v>化气格_化神受损</x:v>
      </x:c>
      <x:c r="Y81" s="84" t="str">
        <x:v>化气格候选判为“成立但有破”：破格等级为“严重”，救应为“待定”，清纯度为“有杂”；层次需结合全局继续评估。</x:v>
      </x:c>
      <x:c r="Z81" s="68" t="str">
        <x:v>若“格神失效、核心作用路径完全中断，或特殊格局硬门槛被有效反证否决”成立，应降低为成立但有破或不成立，不得维持当前结论。</x:v>
      </x:c>
      <x:c r="AA81" s="82" t="str">
        <x:v>较高</x:v>
      </x:c>
      <x:c r="AB81" s="82" t="str">
        <x:v>子平格局</x:v>
      </x:c>
      <x:c r="AC81" s="68" t="str">
        <x:v>格局成败须区分：格神是否有效、结构是否能运行、是否存在破坏、救应是否直接修复破格机制，以及格局成立与层次高低。</x:v>
      </x:c>
      <x:c r="AD81" s="68" t="str">
        <x:v>当“化气候选已具化神基础”成立，且成格证据相互支持、无决定性否决时，可按本规则判断。</x:v>
      </x:c>
      <x:c r="AE81" s="90" t="str">
        <x:v>只有格局名称或局部组合，但“格神失效、核心作用路径完全中断，或特殊格局硬门槛被有效反证否决”成立时，不能按本规则维持格局。</x:v>
      </x:c>
      <x:c r="AF81" s="68" t="str">
        <x:v>https://zh.wikisource.org/wiki/%E6%BB%B4%E5%A4%A9%E9%AB%93%E9%97%A1%E5%BE%AE ; https://zh.wikisource.org/zh-hans/%E6%BB%B4%E5%A4%A9%E9%AB%93</x:v>
      </x:c>
      <x:c r="AG81" s="82" t="str">
        <x:v>采用</x:v>
      </x:c>
      <x:c r="AH81" s="82" t="str">
        <x:v>初审</x:v>
      </x:c>
      <x:c r="AI81" s="87" t="n">
        <x:v>46260</x:v>
      </x:c>
    </x:row>
    <x:row r="82">
      <x:c r="A82" s="72" t="str">
        <x:f>IF(OR(C82="",D82=""),"",B82&amp;"-"&amp;UPPER(C82)&amp;"-"&amp;TEXT(D82,"0000")&amp;"-"&amp;E82)</x:f>
        <x:v>M15-HUAQI-0076-V1.0</x:v>
      </x:c>
      <x:c r="B82" s="74" t="str">
        <x:v>M15</x:v>
      </x:c>
      <x:c r="C82" s="74" t="str">
        <x:v>HUAQI</x:v>
      </x:c>
      <x:c r="D82" s="215" t="n">
        <x:v>76</x:v>
      </x:c>
      <x:c r="E82" s="74" t="str">
        <x:v>V1.0</x:v>
      </x:c>
      <x:c r="F82" s="68" t="str">
        <x:v>化神有势但原气未尽时只能判假化</x:v>
      </x:c>
      <x:c r="G82" s="82" t="str">
        <x:v>综合层</x:v>
      </x:c>
      <x:c r="H82" s="68" t="str">
        <x:v>假化候选</x:v>
      </x:c>
      <x:c r="I82" s="68" t="str">
        <x:v>化神明显成势，但日主仍有残根、同党或局部自立能力</x:v>
      </x:c>
      <x:c r="J82" s="68" t="str">
        <x:v>化势强于原气但未达到完全转化</x:v>
      </x:c>
      <x:c r="K82" s="68" t="str">
        <x:v>原气未尽</x:v>
      </x:c>
      <x:c r="L82" s="82" t="str">
        <x:v>一般</x:v>
      </x:c>
      <x:c r="M82" s="68" t="str">
        <x:v>原气进一步受制或化神增强不作为原局既成事实</x:v>
      </x:c>
      <x:c r="N82" s="82" t="str">
        <x:v>无救应</x:v>
      </x:c>
      <x:c r="O82" s="84" t="str">
        <x:v>成立但有破</x:v>
      </x:c>
      <x:c r="P82" s="82" t="str">
        <x:v>有杂</x:v>
      </x:c>
      <x:c r="Q82" s="68" t="str">
        <x:v>假化低于真化，需同时保留原气与化神双重作用</x:v>
      </x:c>
      <x:c r="R82" s="68" t="str">
        <x:v>M14已生成候选；M08、M09、M10、M11相关结论可追溯</x:v>
      </x:c>
      <x:c r="S82" s="68" t="str">
        <x:v>格神与关键配合十神均以有效力量和实际功能为准</x:v>
      </x:c>
      <x:c r="T82" s="68" t="str">
        <x:v>格神得令、有根、透达、清纯，组合路径稳定且日主承载匹配</x:v>
      </x:c>
      <x:c r="U82" s="68" t="str">
        <x:v>格神受制、混杂、路径受阻、日主承载不足或救应只能局部作用</x:v>
      </x:c>
      <x:c r="V82" s="90" t="str">
        <x:v>格神失效、核心作用路径完全中断，或特殊格局硬门槛被有效反证否决</x:v>
      </x:c>
      <x:c r="W82" s="68" t="str">
        <x:v>特殊格局严格条件、流派争议及岁运补成另按专门规则处理</x:v>
      </x:c>
      <x:c r="X82" s="84" t="str">
        <x:v>化气格_假化</x:v>
      </x:c>
      <x:c r="Y82" s="84" t="str">
        <x:v>假化候选判为“成立但有破”：破格等级为“一般”，救应为“无救应”，清纯度为“有杂”；层次需结合全局继续评估。</x:v>
      </x:c>
      <x:c r="Z82" s="68" t="str">
        <x:v>若“格神失效、核心作用路径完全中断，或特殊格局硬门槛被有效反证否决”成立，应降低为成立但有破或不成立，不得维持当前结论。</x:v>
      </x:c>
      <x:c r="AA82" s="82" t="str">
        <x:v>中等</x:v>
      </x:c>
      <x:c r="AB82" s="82" t="str">
        <x:v>子平格局</x:v>
      </x:c>
      <x:c r="AC82" s="68" t="str">
        <x:v>格局成败须区分：格神是否有效、结构是否能运行、是否存在破坏、救应是否直接修复破格机制，以及格局成立与层次高低。</x:v>
      </x:c>
      <x:c r="AD82" s="68" t="str">
        <x:v>当“化神明显成势，但日主仍有残根、同党或局部自立能力”成立，且成格证据相互支持、无决定性否决时，可按本规则判断。</x:v>
      </x:c>
      <x:c r="AE82" s="90" t="str">
        <x:v>只有格局名称或局部组合，但“格神失效、核心作用路径完全中断，或特殊格局硬门槛被有效反证否决”成立时，不能按本规则维持格局。</x:v>
      </x:c>
      <x:c r="AF82" s="68" t="str">
        <x:v>https://zh.wikisource.org/wiki/%E6%BB%B4%E5%A4%A9%E9%AB%93%E9%97%A1%E5%BE%AE ; https://zh.wikisource.org/zh-hans/%E6%BB%B4%E5%A4%A9%E9%AB%93</x:v>
      </x:c>
      <x:c r="AG82" s="82" t="str">
        <x:v>待验证</x:v>
      </x:c>
      <x:c r="AH82" s="82" t="str">
        <x:v>初审</x:v>
      </x:c>
      <x:c r="AI82" s="87" t="n">
        <x:v>46260</x:v>
      </x:c>
    </x:row>
    <x:row r="83">
      <x:c r="A83" s="72" t="str">
        <x:f>IF(OR(C83="",D83=""),"",B83&amp;"-"&amp;UPPER(C83)&amp;"-"&amp;TEXT(D83,"0000")&amp;"-"&amp;E83)</x:f>
        <x:v>M15-HUAQI-0077-V1.0</x:v>
      </x:c>
      <x:c r="B83" s="74" t="str">
        <x:v>M15</x:v>
      </x:c>
      <x:c r="C83" s="74" t="str">
        <x:v>HUAQI</x:v>
      </x:c>
      <x:c r="D83" s="215" t="n">
        <x:v>77</x:v>
      </x:c>
      <x:c r="E83" s="74" t="str">
        <x:v>V1.0</x:v>
      </x:c>
      <x:c r="F83" s="68" t="str">
        <x:v>生扶化神并制去逆神可形成有破有救</x:v>
      </x:c>
      <x:c r="G83" s="82" t="str">
        <x:v>综合层</x:v>
      </x:c>
      <x:c r="H83" s="68" t="str">
        <x:v>化气格候选</x:v>
      </x:c>
      <x:c r="I83" s="68" t="str">
        <x:v>化神原受损，但第三力量直接生扶化神或制去破化之神</x:v>
      </x:c>
      <x:c r="J83" s="68" t="str">
        <x:v>救应能恢复化神主导性和主要流通路径</x:v>
      </x:c>
      <x:c r="K83" s="68" t="str">
        <x:v>化神受克或化局受破</x:v>
      </x:c>
      <x:c r="L83" s="82" t="str">
        <x:v>一般</x:v>
      </x:c>
      <x:c r="M83" s="68" t="str">
        <x:v>扶化神、制逆神</x:v>
      </x:c>
      <x:c r="N83" s="82" t="str">
        <x:v>明显有效</x:v>
      </x:c>
      <x:c r="O83" s="84" t="str">
        <x:v>有破有救</x:v>
      </x:c>
      <x:c r="P83" s="82" t="str">
        <x:v>有杂</x:v>
      </x:c>
      <x:c r="Q83" s="68" t="str">
        <x:v>化气结构得到恢复，但低于原局真化无破</x:v>
      </x:c>
      <x:c r="R83" s="68" t="str">
        <x:v>M14已生成候选；M08、M09、M10、M11相关结论可追溯</x:v>
      </x:c>
      <x:c r="S83" s="68" t="str">
        <x:v>格神与关键配合十神均以有效力量和实际功能为准</x:v>
      </x:c>
      <x:c r="T83" s="68" t="str">
        <x:v>格神得令、有根、透达、清纯，组合路径稳定且日主承载匹配</x:v>
      </x:c>
      <x:c r="U83" s="68" t="str">
        <x:v>格神受制、混杂、路径受阻、日主承载不足或救应只能局部作用</x:v>
      </x:c>
      <x:c r="V83" s="90" t="str">
        <x:v>格神失效、核心作用路径完全中断，或特殊格局硬门槛被有效反证否决</x:v>
      </x:c>
      <x:c r="W83" s="68" t="str">
        <x:v>特殊格局严格条件、流派争议及岁运补成另按专门规则处理</x:v>
      </x:c>
      <x:c r="X83" s="84" t="str">
        <x:v>化气格_救化</x:v>
      </x:c>
      <x:c r="Y83" s="84" t="str">
        <x:v>化气格候选判为“有破有救”：破格等级为“一般”，救应为“明显有效”，清纯度为“有杂”；层次需结合全局继续评估。</x:v>
      </x:c>
      <x:c r="Z83" s="68" t="str">
        <x:v>若“格神失效、核心作用路径完全中断，或特殊格局硬门槛被有效反证否决”成立，应降低为成立但有破或不成立，不得维持当前结论。</x:v>
      </x:c>
      <x:c r="AA83" s="82" t="str">
        <x:v>较高</x:v>
      </x:c>
      <x:c r="AB83" s="82" t="str">
        <x:v>子平格局</x:v>
      </x:c>
      <x:c r="AC83" s="68" t="str">
        <x:v>格局成败须区分：格神是否有效、结构是否能运行、是否存在破坏、救应是否直接修复破格机制，以及格局成立与层次高低。</x:v>
      </x:c>
      <x:c r="AD83" s="68" t="str">
        <x:v>当“化神原受损，但第三力量直接生扶化神或制去破化之神”成立，且成格证据相互支持、无决定性否决时，可按本规则判断。</x:v>
      </x:c>
      <x:c r="AE83" s="90" t="str">
        <x:v>只有格局名称或局部组合，但“格神失效、核心作用路径完全中断，或特殊格局硬门槛被有效反证否决”成立时，不能按本规则维持格局。</x:v>
      </x:c>
      <x:c r="AF83" s="68" t="str">
        <x:v>https://zh.wikisource.org/wiki/%E6%BB%B4%E5%A4%A9%E9%AB%93%E9%97%A1%E5%BE%AE ; https://zh.wikisource.org/zh-hans/%E6%BB%B4%E5%A4%A9%E9%AB%93</x:v>
      </x:c>
      <x:c r="AG83" s="82" t="str">
        <x:v>采用</x:v>
      </x:c>
      <x:c r="AH83" s="82" t="str">
        <x:v>初审</x:v>
      </x:c>
      <x:c r="AI83" s="87" t="n">
        <x:v>46260</x:v>
      </x:c>
    </x:row>
    <x:row r="84">
      <x:c r="A84" s="72" t="str">
        <x:f>IF(OR(C84="",D84=""),"",B84&amp;"-"&amp;UPPER(C84)&amp;"-"&amp;TEXT(D84,"0000")&amp;"-"&amp;E84)</x:f>
        <x:v>M15-HUAQI-0078-V1.0</x:v>
      </x:c>
      <x:c r="B84" s="74" t="str">
        <x:v>M15</x:v>
      </x:c>
      <x:c r="C84" s="74" t="str">
        <x:v>HUAQI</x:v>
      </x:c>
      <x:c r="D84" s="215" t="n">
        <x:v>78</x:v>
      </x:c>
      <x:c r="E84" s="74" t="str">
        <x:v>V1.0</x:v>
      </x:c>
      <x:c r="F84" s="68" t="str">
        <x:v>化气格清纯度取决于全局是否顺化神</x:v>
      </x:c>
      <x:c r="G84" s="82" t="str">
        <x:v>综合层</x:v>
      </x:c>
      <x:c r="H84" s="68" t="str">
        <x:v>化气格候选</x:v>
      </x:c>
      <x:c r="I84" s="68" t="str">
        <x:v>真化或假化候选成立</x:v>
      </x:c>
      <x:c r="J84" s="68" t="str">
        <x:v>财官印食等十神关系按化神重映射后方向一致</x:v>
      </x:c>
      <x:c r="K84" s="68" t="str">
        <x:v>杂气逆化或原气反复出现</x:v>
      </x:c>
      <x:c r="L84" s="82" t="str">
        <x:v>待定</x:v>
      </x:c>
      <x:c r="M84" s="68" t="str">
        <x:v>待定</x:v>
      </x:c>
      <x:c r="N84" s="82" t="str">
        <x:v>待定</x:v>
      </x:c>
      <x:c r="O84" s="84" t="str">
        <x:v>待定</x:v>
      </x:c>
      <x:c r="P84" s="82" t="str">
        <x:v>待定</x:v>
      </x:c>
      <x:c r="Q84" s="68" t="str">
        <x:v>不能只看天干一合，需看全局是否真正围绕化神运行</x:v>
      </x:c>
      <x:c r="R84" s="68" t="str">
        <x:v>M14已生成候选；M08、M09、M10、M11相关结论可追溯</x:v>
      </x:c>
      <x:c r="S84" s="68" t="str">
        <x:v>格神与关键配合十神均以有效力量和实际功能为准</x:v>
      </x:c>
      <x:c r="T84" s="68" t="str">
        <x:v>格神得令、有根、透达、清纯，组合路径稳定且日主承载匹配</x:v>
      </x:c>
      <x:c r="U84" s="68" t="str">
        <x:v>格神受制、混杂、路径受阻、日主承载不足或救应只能局部作用</x:v>
      </x:c>
      <x:c r="V84" s="90" t="str">
        <x:v>格神失效、核心作用路径完全中断，或特殊格局硬门槛被有效反证否决</x:v>
      </x:c>
      <x:c r="W84" s="68" t="str">
        <x:v>特殊格局严格条件、流派争议及岁运补成另按专门规则处理</x:v>
      </x:c>
      <x:c r="X84" s="84" t="str">
        <x:v>化气格_全局顺化</x:v>
      </x:c>
      <x:c r="Y84" s="84" t="str">
        <x:v>化气格候选判为“待定”：破格等级为“待定”，救应为“待定”，清纯度为“待定”；层次需结合全局继续评估。</x:v>
      </x:c>
      <x:c r="Z84" s="68" t="str">
        <x:v>若“格神失效、核心作用路径完全中断，或特殊格局硬门槛被有效反证否决”成立，应降低为成立但有破或不成立，不得维持当前结论。</x:v>
      </x:c>
      <x:c r="AA84" s="82" t="str">
        <x:v>较高</x:v>
      </x:c>
      <x:c r="AB84" s="82" t="str">
        <x:v>子平格局</x:v>
      </x:c>
      <x:c r="AC84" s="68" t="str">
        <x:v>格局成败须区分：格神是否有效、结构是否能运行、是否存在破坏、救应是否直接修复破格机制，以及格局成立与层次高低。</x:v>
      </x:c>
      <x:c r="AD84" s="68" t="str">
        <x:v>当“真化或假化候选成立”成立，且成格证据相互支持、无决定性否决时，可按本规则判断。</x:v>
      </x:c>
      <x:c r="AE84" s="90" t="str">
        <x:v>只有格局名称或局部组合，但“格神失效、核心作用路径完全中断，或特殊格局硬门槛被有效反证否决”成立时，不能按本规则维持格局。</x:v>
      </x:c>
      <x:c r="AF84" s="68" t="str">
        <x:v>https://zh.wikisource.org/wiki/%E6%BB%B4%E5%A4%A9%E9%AB%93%E9%97%A1%E5%BE%AE ; https://zh.wikisource.org/zh-hans/%E6%BB%B4%E5%A4%A9%E9%AB%93</x:v>
      </x:c>
      <x:c r="AG84" s="82" t="str">
        <x:v>采用</x:v>
      </x:c>
      <x:c r="AH84" s="82" t="str">
        <x:v>初审</x:v>
      </x:c>
      <x:c r="AI84" s="87" t="n">
        <x:v>46260</x:v>
      </x:c>
    </x:row>
    <x:row r="85">
      <x:c r="A85" s="72" t="str">
        <x:f>IF(OR(C85="",D85=""),"",B85&amp;"-"&amp;UPPER(C85)&amp;"-"&amp;TEXT(D85,"0000")&amp;"-"&amp;E85)</x:f>
        <x:v>M15-ZHUAN-0079-V1.0</x:v>
      </x:c>
      <x:c r="B85" s="74" t="str">
        <x:v>M15</x:v>
      </x:c>
      <x:c r="C85" s="74" t="str">
        <x:v>ZHUAN</x:v>
      </x:c>
      <x:c r="D85" s="215" t="n">
        <x:v>79</x:v>
      </x:c>
      <x:c r="E85" s="74" t="str">
        <x:v>V1.0</x:v>
      </x:c>
      <x:c r="F85" s="68" t="str">
        <x:v>专旺格严格成立要求一气独旺且逆神无效</x:v>
      </x:c>
      <x:c r="G85" s="82" t="str">
        <x:v>综合层</x:v>
      </x:c>
      <x:c r="H85" s="68" t="str">
        <x:v>专旺候选</x:v>
      </x:c>
      <x:c r="I85" s="68" t="str">
        <x:v>日主同类五行得令、多根、透干成党，全局一气主导，克制该气的力量无效</x:v>
      </x:c>
      <x:c r="J85" s="68" t="str">
        <x:v>月令、地支方局、透干与主路径均指向同一五行</x:v>
      </x:c>
      <x:c r="K85" s="68" t="str">
        <x:v>无决定性破格因素</x:v>
      </x:c>
      <x:c r="L85" s="82" t="str">
        <x:v>无破</x:v>
      </x:c>
      <x:c r="M85" s="68" t="str">
        <x:v>无须救应</x:v>
      </x:c>
      <x:c r="N85" s="82" t="str">
        <x:v>无救应</x:v>
      </x:c>
      <x:c r="O85" s="84" t="str">
        <x:v>特殊格局严格成立</x:v>
      </x:c>
      <x:c r="P85" s="82" t="str">
        <x:v>清纯</x:v>
      </x:c>
      <x:c r="Q85" s="68" t="str">
        <x:v>一气成象，普通均衡逻辑需服从专旺气势</x:v>
      </x:c>
      <x:c r="R85" s="68" t="str">
        <x:v>M14已生成候选；M08、M09、M10、M11相关结论可追溯</x:v>
      </x:c>
      <x:c r="S85" s="68" t="str">
        <x:v>格神与关键配合十神均以有效力量和实际功能为准</x:v>
      </x:c>
      <x:c r="T85" s="68" t="str">
        <x:v>格神得令、有根、透达、清纯，组合路径稳定且日主承载匹配</x:v>
      </x:c>
      <x:c r="U85" s="68" t="str">
        <x:v>格神受制、混杂、路径受阻、日主承载不足或救应只能局部作用</x:v>
      </x:c>
      <x:c r="V85" s="90" t="str">
        <x:v>格神失效、核心作用路径完全中断，或特殊格局硬门槛被有效反证否决</x:v>
      </x:c>
      <x:c r="W85" s="68" t="str">
        <x:v>特殊格局严格条件、流派争议及岁运补成另按专门规则处理</x:v>
      </x:c>
      <x:c r="X85" s="84" t="str">
        <x:v>专旺格_严格成立</x:v>
      </x:c>
      <x:c r="Y85" s="84" t="str">
        <x:v>专旺候选判为“特殊格局严格成立”：破格等级为“无破”，救应为“无救应”，清纯度为“清纯”；层次需结合全局继续评估。</x:v>
      </x:c>
      <x:c r="Z85" s="68" t="str">
        <x:v>若“格神失效、核心作用路径完全中断，或特殊格局硬门槛被有效反证否决”成立，应降低为成立但有破或不成立，不得维持当前结论。</x:v>
      </x:c>
      <x:c r="AA85" s="82" t="str">
        <x:v>较高</x:v>
      </x:c>
      <x:c r="AB85" s="82" t="str">
        <x:v>子平格局</x:v>
      </x:c>
      <x:c r="AC85" s="68" t="str">
        <x:v>格局成败须区分：格神是否有效、结构是否能运行、是否存在破坏、救应是否直接修复破格机制，以及格局成立与层次高低。</x:v>
      </x:c>
      <x:c r="AD85" s="68" t="str">
        <x:v>当“日主同类五行得令、多根、透干成党，全局一气主导，克制该气的力量无效”成立，且成格证据相互支持、无决定性否决时，可按本规则判断。</x:v>
      </x:c>
      <x:c r="AE85" s="90" t="str">
        <x:v>只有格局名称或局部组合，但“格神失效、核心作用路径完全中断，或特殊格局硬门槛被有效反证否决”成立时，不能按本规则维持格局。</x:v>
      </x:c>
      <x:c r="AF85" s="68" t="str">
        <x:v>https://zh.wikisource.org/wiki/%E6%BB%B4%E5%A4%A9%E9%AB%93%E9%97%A1%E5%BE%AE ; https://zh.wikisource.org/zh-hans/%E6%BB%B4%E5%A4%A9%E9%AB%93</x:v>
      </x:c>
      <x:c r="AG85" s="82" t="str">
        <x:v>采用</x:v>
      </x:c>
      <x:c r="AH85" s="82" t="str">
        <x:v>初审</x:v>
      </x:c>
      <x:c r="AI85" s="87" t="n">
        <x:v>46260</x:v>
      </x:c>
    </x:row>
    <x:row r="86">
      <x:c r="A86" s="72" t="str">
        <x:f>IF(OR(C86="",D86=""),"",B86&amp;"-"&amp;UPPER(C86)&amp;"-"&amp;TEXT(D86,"0000")&amp;"-"&amp;E86)</x:f>
        <x:v>M15-ZHUAN-0080-V1.0</x:v>
      </x:c>
      <x:c r="B86" s="74" t="str">
        <x:v>M15</x:v>
      </x:c>
      <x:c r="C86" s="74" t="str">
        <x:v>ZHUAN</x:v>
      </x:c>
      <x:c r="D86" s="215" t="n">
        <x:v>80</x:v>
      </x:c>
      <x:c r="E86" s="74" t="str">
        <x:v>V1.0</x:v>
      </x:c>
      <x:c r="F86" s="68" t="str">
        <x:v>曲直格候选严格成立条件</x:v>
      </x:c>
      <x:c r="G86" s="82" t="str">
        <x:v>综合层</x:v>
      </x:c>
      <x:c r="H86" s="68" t="str">
        <x:v>曲直格候选</x:v>
      </x:c>
      <x:c r="I86" s="68" t="str">
        <x:v>木得令成方成局、透干成党，日主属木，全局顺木势</x:v>
      </x:c>
      <x:c r="J86" s="68" t="str">
        <x:v>木覆盖月令、根气、透干和主要流通方向</x:v>
      </x:c>
      <x:c r="K86" s="68" t="str">
        <x:v>克木的金无有效成势</x:v>
      </x:c>
      <x:c r="L86" s="82" t="str">
        <x:v>无破</x:v>
      </x:c>
      <x:c r="M86" s="68" t="str">
        <x:v>无须救应</x:v>
      </x:c>
      <x:c r="N86" s="82" t="str">
        <x:v>无救应</x:v>
      </x:c>
      <x:c r="O86" s="84" t="str">
        <x:v>特殊格局严格成立</x:v>
      </x:c>
      <x:c r="P86" s="82" t="str">
        <x:v>清纯</x:v>
      </x:c>
      <x:c r="Q86" s="68" t="str">
        <x:v>木一气成象，杂气不足以改变主势</x:v>
      </x:c>
      <x:c r="R86" s="68" t="str">
        <x:v>M14已生成候选；M08、M09、M10、M11相关结论可追溯</x:v>
      </x:c>
      <x:c r="S86" s="68" t="str">
        <x:v>格神与关键配合十神均以有效力量和实际功能为准</x:v>
      </x:c>
      <x:c r="T86" s="68" t="str">
        <x:v>格神得令、有根、透达、清纯，组合路径稳定且日主承载匹配</x:v>
      </x:c>
      <x:c r="U86" s="68" t="str">
        <x:v>格神受制、混杂、路径受阻、日主承载不足或救应只能局部作用</x:v>
      </x:c>
      <x:c r="V86" s="90" t="str">
        <x:v>格神失效、核心作用路径完全中断，或特殊格局硬门槛被有效反证否决</x:v>
      </x:c>
      <x:c r="W86" s="68" t="str">
        <x:v>特殊格局严格条件、流派争议及岁运补成另按专门规则处理</x:v>
      </x:c>
      <x:c r="X86" s="84" t="str">
        <x:v>曲直格候选_严格成立</x:v>
      </x:c>
      <x:c r="Y86" s="84" t="str">
        <x:v>曲直格候选判为“特殊格局严格成立”：破格等级为“无破”，救应为“无救应”，清纯度为“清纯”；层次需结合全局继续评估。</x:v>
      </x:c>
      <x:c r="Z86" s="68" t="str">
        <x:v>若“格神失效、核心作用路径完全中断，或特殊格局硬门槛被有效反证否决”成立，应降低为成立但有破或不成立，不得维持当前结论。</x:v>
      </x:c>
      <x:c r="AA86" s="82" t="str">
        <x:v>较高</x:v>
      </x:c>
      <x:c r="AB86" s="82" t="str">
        <x:v>子平格局</x:v>
      </x:c>
      <x:c r="AC86" s="68" t="str">
        <x:v>格局成败须区分：格神是否有效、结构是否能运行、是否存在破坏、救应是否直接修复破格机制，以及格局成立与层次高低。</x:v>
      </x:c>
      <x:c r="AD86" s="68" t="str">
        <x:v>当“木得令成方成局、透干成党，日主属木，全局顺木势”成立，且成格证据相互支持、无决定性否决时，可按本规则判断。</x:v>
      </x:c>
      <x:c r="AE86" s="90" t="str">
        <x:v>只有格局名称或局部组合，但“格神失效、核心作用路径完全中断，或特殊格局硬门槛被有效反证否决”成立时，不能按本规则维持格局。</x:v>
      </x:c>
      <x:c r="AF86" s="68" t="str">
        <x:v>https://zh.wikisource.org/wiki/%E6%BB%B4%E5%A4%A9%E9%AB%93%E9%97%A1%E5%BE%AE ; https://zh.wikisource.org/zh-hans/%E6%BB%B4%E5%A4%A9%E9%AB%93</x:v>
      </x:c>
      <x:c r="AG86" s="82" t="str">
        <x:v>采用</x:v>
      </x:c>
      <x:c r="AH86" s="82" t="str">
        <x:v>初审</x:v>
      </x:c>
      <x:c r="AI86" s="87" t="n">
        <x:v>46260</x:v>
      </x:c>
    </x:row>
    <x:row r="87">
      <x:c r="A87" s="72" t="str">
        <x:f>IF(OR(C87="",D87=""),"",B87&amp;"-"&amp;UPPER(C87)&amp;"-"&amp;TEXT(D87,"0000")&amp;"-"&amp;E87)</x:f>
        <x:v>M15-ZHUAN-0081-V1.0</x:v>
      </x:c>
      <x:c r="B87" s="74" t="str">
        <x:v>M15</x:v>
      </x:c>
      <x:c r="C87" s="74" t="str">
        <x:v>ZHUAN</x:v>
      </x:c>
      <x:c r="D87" s="215" t="n">
        <x:v>81</x:v>
      </x:c>
      <x:c r="E87" s="74" t="str">
        <x:v>V1.0</x:v>
      </x:c>
      <x:c r="F87" s="68" t="str">
        <x:v>炎上格候选严格成立条件</x:v>
      </x:c>
      <x:c r="G87" s="82" t="str">
        <x:v>综合层</x:v>
      </x:c>
      <x:c r="H87" s="68" t="str">
        <x:v>炎上格候选</x:v>
      </x:c>
      <x:c r="I87" s="68" t="str">
        <x:v>火得令成方成局、透干成党，日主属火，全局顺火势</x:v>
      </x:c>
      <x:c r="J87" s="68" t="str">
        <x:v>火覆盖月令、根气、透干和主要流通方向</x:v>
      </x:c>
      <x:c r="K87" s="68" t="str">
        <x:v>克火的水无有效成势</x:v>
      </x:c>
      <x:c r="L87" s="82" t="str">
        <x:v>无破</x:v>
      </x:c>
      <x:c r="M87" s="68" t="str">
        <x:v>无须救应</x:v>
      </x:c>
      <x:c r="N87" s="82" t="str">
        <x:v>无救应</x:v>
      </x:c>
      <x:c r="O87" s="84" t="str">
        <x:v>特殊格局严格成立</x:v>
      </x:c>
      <x:c r="P87" s="82" t="str">
        <x:v>清纯</x:v>
      </x:c>
      <x:c r="Q87" s="68" t="str">
        <x:v>火一气成象，杂气不足以改变主势</x:v>
      </x:c>
      <x:c r="R87" s="68" t="str">
        <x:v>M14已生成候选；M08、M09、M10、M11相关结论可追溯</x:v>
      </x:c>
      <x:c r="S87" s="68" t="str">
        <x:v>格神与关键配合十神均以有效力量和实际功能为准</x:v>
      </x:c>
      <x:c r="T87" s="68" t="str">
        <x:v>格神得令、有根、透达、清纯，组合路径稳定且日主承载匹配</x:v>
      </x:c>
      <x:c r="U87" s="68" t="str">
        <x:v>格神受制、混杂、路径受阻、日主承载不足或救应只能局部作用</x:v>
      </x:c>
      <x:c r="V87" s="90" t="str">
        <x:v>格神失效、核心作用路径完全中断，或特殊格局硬门槛被有效反证否决</x:v>
      </x:c>
      <x:c r="W87" s="68" t="str">
        <x:v>特殊格局严格条件、流派争议及岁运补成另按专门规则处理</x:v>
      </x:c>
      <x:c r="X87" s="84" t="str">
        <x:v>炎上格候选_严格成立</x:v>
      </x:c>
      <x:c r="Y87" s="84" t="str">
        <x:v>炎上格候选判为“特殊格局严格成立”：破格等级为“无破”，救应为“无救应”，清纯度为“清纯”；层次需结合全局继续评估。</x:v>
      </x:c>
      <x:c r="Z87" s="68" t="str">
        <x:v>若“格神失效、核心作用路径完全中断，或特殊格局硬门槛被有效反证否决”成立，应降低为成立但有破或不成立，不得维持当前结论。</x:v>
      </x:c>
      <x:c r="AA87" s="82" t="str">
        <x:v>较高</x:v>
      </x:c>
      <x:c r="AB87" s="82" t="str">
        <x:v>子平格局</x:v>
      </x:c>
      <x:c r="AC87" s="68" t="str">
        <x:v>格局成败须区分：格神是否有效、结构是否能运行、是否存在破坏、救应是否直接修复破格机制，以及格局成立与层次高低。</x:v>
      </x:c>
      <x:c r="AD87" s="68" t="str">
        <x:v>当“火得令成方成局、透干成党，日主属火，全局顺火势”成立，且成格证据相互支持、无决定性否决时，可按本规则判断。</x:v>
      </x:c>
      <x:c r="AE87" s="90" t="str">
        <x:v>只有格局名称或局部组合，但“格神失效、核心作用路径完全中断，或特殊格局硬门槛被有效反证否决”成立时，不能按本规则维持格局。</x:v>
      </x:c>
      <x:c r="AF87" s="68" t="str">
        <x:v>https://zh.wikisource.org/wiki/%E6%BB%B4%E5%A4%A9%E9%AB%93%E9%97%A1%E5%BE%AE ; https://zh.wikisource.org/zh-hans/%E6%BB%B4%E5%A4%A9%E9%AB%93</x:v>
      </x:c>
      <x:c r="AG87" s="82" t="str">
        <x:v>采用</x:v>
      </x:c>
      <x:c r="AH87" s="82" t="str">
        <x:v>初审</x:v>
      </x:c>
      <x:c r="AI87" s="87" t="n">
        <x:v>46260</x:v>
      </x:c>
    </x:row>
    <x:row r="88">
      <x:c r="A88" s="72" t="str">
        <x:f>IF(OR(C88="",D88=""),"",B88&amp;"-"&amp;UPPER(C88)&amp;"-"&amp;TEXT(D88,"0000")&amp;"-"&amp;E88)</x:f>
        <x:v>M15-ZHUAN-0082-V1.0</x:v>
      </x:c>
      <x:c r="B88" s="74" t="str">
        <x:v>M15</x:v>
      </x:c>
      <x:c r="C88" s="74" t="str">
        <x:v>ZHUAN</x:v>
      </x:c>
      <x:c r="D88" s="215" t="n">
        <x:v>82</x:v>
      </x:c>
      <x:c r="E88" s="74" t="str">
        <x:v>V1.0</x:v>
      </x:c>
      <x:c r="F88" s="68" t="str">
        <x:v>稼穑格候选严格成立条件</x:v>
      </x:c>
      <x:c r="G88" s="82" t="str">
        <x:v>综合层</x:v>
      </x:c>
      <x:c r="H88" s="68" t="str">
        <x:v>稼穑格候选</x:v>
      </x:c>
      <x:c r="I88" s="68" t="str">
        <x:v>土得令成方成局、透干成党，日主属土，全局顺土势</x:v>
      </x:c>
      <x:c r="J88" s="68" t="str">
        <x:v>土覆盖月令、根气、透干和主要流通方向</x:v>
      </x:c>
      <x:c r="K88" s="68" t="str">
        <x:v>克土的木无有效成势</x:v>
      </x:c>
      <x:c r="L88" s="82" t="str">
        <x:v>无破</x:v>
      </x:c>
      <x:c r="M88" s="68" t="str">
        <x:v>无须救应</x:v>
      </x:c>
      <x:c r="N88" s="82" t="str">
        <x:v>无救应</x:v>
      </x:c>
      <x:c r="O88" s="84" t="str">
        <x:v>特殊格局严格成立</x:v>
      </x:c>
      <x:c r="P88" s="82" t="str">
        <x:v>清纯</x:v>
      </x:c>
      <x:c r="Q88" s="68" t="str">
        <x:v>土一气成象，杂气不足以改变主势</x:v>
      </x:c>
      <x:c r="R88" s="68" t="str">
        <x:v>M14已生成候选；M08、M09、M10、M11相关结论可追溯</x:v>
      </x:c>
      <x:c r="S88" s="68" t="str">
        <x:v>格神与关键配合十神均以有效力量和实际功能为准</x:v>
      </x:c>
      <x:c r="T88" s="68" t="str">
        <x:v>格神得令、有根、透达、清纯，组合路径稳定且日主承载匹配</x:v>
      </x:c>
      <x:c r="U88" s="68" t="str">
        <x:v>格神受制、混杂、路径受阻、日主承载不足或救应只能局部作用</x:v>
      </x:c>
      <x:c r="V88" s="90" t="str">
        <x:v>格神失效、核心作用路径完全中断，或特殊格局硬门槛被有效反证否决</x:v>
      </x:c>
      <x:c r="W88" s="68" t="str">
        <x:v>特殊格局严格条件、流派争议及岁运补成另按专门规则处理</x:v>
      </x:c>
      <x:c r="X88" s="84" t="str">
        <x:v>稼穑格候选_严格成立</x:v>
      </x:c>
      <x:c r="Y88" s="84" t="str">
        <x:v>稼穑格候选判为“特殊格局严格成立”：破格等级为“无破”，救应为“无救应”，清纯度为“清纯”；层次需结合全局继续评估。</x:v>
      </x:c>
      <x:c r="Z88" s="68" t="str">
        <x:v>若“格神失效、核心作用路径完全中断，或特殊格局硬门槛被有效反证否决”成立，应降低为成立但有破或不成立，不得维持当前结论。</x:v>
      </x:c>
      <x:c r="AA88" s="82" t="str">
        <x:v>较高</x:v>
      </x:c>
      <x:c r="AB88" s="82" t="str">
        <x:v>子平格局</x:v>
      </x:c>
      <x:c r="AC88" s="68" t="str">
        <x:v>格局成败须区分：格神是否有效、结构是否能运行、是否存在破坏、救应是否直接修复破格机制，以及格局成立与层次高低。</x:v>
      </x:c>
      <x:c r="AD88" s="68" t="str">
        <x:v>当“土得令成方成局、透干成党，日主属土，全局顺土势”成立，且成格证据相互支持、无决定性否决时，可按本规则判断。</x:v>
      </x:c>
      <x:c r="AE88" s="90" t="str">
        <x:v>只有格局名称或局部组合，但“格神失效、核心作用路径完全中断，或特殊格局硬门槛被有效反证否决”成立时，不能按本规则维持格局。</x:v>
      </x:c>
      <x:c r="AF88" s="68" t="str">
        <x:v>https://zh.wikisource.org/wiki/%E6%BB%B4%E5%A4%A9%E9%AB%93%E9%97%A1%E5%BE%AE ; https://zh.wikisource.org/zh-hans/%E6%BB%B4%E5%A4%A9%E9%AB%93</x:v>
      </x:c>
      <x:c r="AG88" s="82" t="str">
        <x:v>采用</x:v>
      </x:c>
      <x:c r="AH88" s="82" t="str">
        <x:v>初审</x:v>
      </x:c>
      <x:c r="AI88" s="87" t="n">
        <x:v>46260</x:v>
      </x:c>
    </x:row>
    <x:row r="89">
      <x:c r="A89" s="72" t="str">
        <x:f>IF(OR(C89="",D89=""),"",B89&amp;"-"&amp;UPPER(C89)&amp;"-"&amp;TEXT(D89,"0000")&amp;"-"&amp;E89)</x:f>
        <x:v>M15-ZHUAN-0083-V1.0</x:v>
      </x:c>
      <x:c r="B89" s="74" t="str">
        <x:v>M15</x:v>
      </x:c>
      <x:c r="C89" s="74" t="str">
        <x:v>ZHUAN</x:v>
      </x:c>
      <x:c r="D89" s="215" t="n">
        <x:v>83</x:v>
      </x:c>
      <x:c r="E89" s="74" t="str">
        <x:v>V1.0</x:v>
      </x:c>
      <x:c r="F89" s="68" t="str">
        <x:v>从革格候选严格成立条件</x:v>
      </x:c>
      <x:c r="G89" s="82" t="str">
        <x:v>综合层</x:v>
      </x:c>
      <x:c r="H89" s="68" t="str">
        <x:v>从革格候选</x:v>
      </x:c>
      <x:c r="I89" s="68" t="str">
        <x:v>金得令成方成局、透干成党，日主属金，全局顺金势</x:v>
      </x:c>
      <x:c r="J89" s="68" t="str">
        <x:v>金覆盖月令、根气、透干和主要流通方向</x:v>
      </x:c>
      <x:c r="K89" s="68" t="str">
        <x:v>克金的火无有效成势</x:v>
      </x:c>
      <x:c r="L89" s="82" t="str">
        <x:v>无破</x:v>
      </x:c>
      <x:c r="M89" s="68" t="str">
        <x:v>无须救应</x:v>
      </x:c>
      <x:c r="N89" s="82" t="str">
        <x:v>无救应</x:v>
      </x:c>
      <x:c r="O89" s="84" t="str">
        <x:v>特殊格局严格成立</x:v>
      </x:c>
      <x:c r="P89" s="82" t="str">
        <x:v>清纯</x:v>
      </x:c>
      <x:c r="Q89" s="68" t="str">
        <x:v>金一气成象，杂气不足以改变主势</x:v>
      </x:c>
      <x:c r="R89" s="68" t="str">
        <x:v>M14已生成候选；M08、M09、M10、M11相关结论可追溯</x:v>
      </x:c>
      <x:c r="S89" s="68" t="str">
        <x:v>格神与关键配合十神均以有效力量和实际功能为准</x:v>
      </x:c>
      <x:c r="T89" s="68" t="str">
        <x:v>格神得令、有根、透达、清纯，组合路径稳定且日主承载匹配</x:v>
      </x:c>
      <x:c r="U89" s="68" t="str">
        <x:v>格神受制、混杂、路径受阻、日主承载不足或救应只能局部作用</x:v>
      </x:c>
      <x:c r="V89" s="90" t="str">
        <x:v>格神失效、核心作用路径完全中断，或特殊格局硬门槛被有效反证否决</x:v>
      </x:c>
      <x:c r="W89" s="68" t="str">
        <x:v>特殊格局严格条件、流派争议及岁运补成另按专门规则处理</x:v>
      </x:c>
      <x:c r="X89" s="84" t="str">
        <x:v>从革格候选_严格成立</x:v>
      </x:c>
      <x:c r="Y89" s="84" t="str">
        <x:v>从革格候选判为“特殊格局严格成立”：破格等级为“无破”，救应为“无救应”，清纯度为“清纯”；层次需结合全局继续评估。</x:v>
      </x:c>
      <x:c r="Z89" s="68" t="str">
        <x:v>若“格神失效、核心作用路径完全中断，或特殊格局硬门槛被有效反证否决”成立，应降低为成立但有破或不成立，不得维持当前结论。</x:v>
      </x:c>
      <x:c r="AA89" s="82" t="str">
        <x:v>较高</x:v>
      </x:c>
      <x:c r="AB89" s="82" t="str">
        <x:v>子平格局</x:v>
      </x:c>
      <x:c r="AC89" s="68" t="str">
        <x:v>格局成败须区分：格神是否有效、结构是否能运行、是否存在破坏、救应是否直接修复破格机制，以及格局成立与层次高低。</x:v>
      </x:c>
      <x:c r="AD89" s="68" t="str">
        <x:v>当“金得令成方成局、透干成党，日主属金，全局顺金势”成立，且成格证据相互支持、无决定性否决时，可按本规则判断。</x:v>
      </x:c>
      <x:c r="AE89" s="90" t="str">
        <x:v>只有格局名称或局部组合，但“格神失效、核心作用路径完全中断，或特殊格局硬门槛被有效反证否决”成立时，不能按本规则维持格局。</x:v>
      </x:c>
      <x:c r="AF89" s="68" t="str">
        <x:v>https://zh.wikisource.org/wiki/%E6%BB%B4%E5%A4%A9%E9%AB%93%E9%97%A1%E5%BE%AE ; https://zh.wikisource.org/zh-hans/%E6%BB%B4%E5%A4%A9%E9%AB%93</x:v>
      </x:c>
      <x:c r="AG89" s="82" t="str">
        <x:v>采用</x:v>
      </x:c>
      <x:c r="AH89" s="82" t="str">
        <x:v>初审</x:v>
      </x:c>
      <x:c r="AI89" s="87" t="n">
        <x:v>46260</x:v>
      </x:c>
    </x:row>
    <x:row r="90">
      <x:c r="A90" s="72" t="str">
        <x:f>IF(OR(C90="",D90=""),"",B90&amp;"-"&amp;UPPER(C90)&amp;"-"&amp;TEXT(D90,"0000")&amp;"-"&amp;E90)</x:f>
        <x:v>M15-ZHUAN-0084-V1.0</x:v>
      </x:c>
      <x:c r="B90" s="74" t="str">
        <x:v>M15</x:v>
      </x:c>
      <x:c r="C90" s="74" t="str">
        <x:v>ZHUAN</x:v>
      </x:c>
      <x:c r="D90" s="215" t="n">
        <x:v>84</x:v>
      </x:c>
      <x:c r="E90" s="74" t="str">
        <x:v>V1.0</x:v>
      </x:c>
      <x:c r="F90" s="68" t="str">
        <x:v>润下格候选严格成立条件</x:v>
      </x:c>
      <x:c r="G90" s="82" t="str">
        <x:v>综合层</x:v>
      </x:c>
      <x:c r="H90" s="68" t="str">
        <x:v>润下格候选</x:v>
      </x:c>
      <x:c r="I90" s="68" t="str">
        <x:v>水得令成方成局、透干成党，日主属水，全局顺水势</x:v>
      </x:c>
      <x:c r="J90" s="68" t="str">
        <x:v>水覆盖月令、根气、透干和主要流通方向</x:v>
      </x:c>
      <x:c r="K90" s="68" t="str">
        <x:v>克水的土无有效成势</x:v>
      </x:c>
      <x:c r="L90" s="82" t="str">
        <x:v>无破</x:v>
      </x:c>
      <x:c r="M90" s="68" t="str">
        <x:v>无须救应</x:v>
      </x:c>
      <x:c r="N90" s="82" t="str">
        <x:v>无救应</x:v>
      </x:c>
      <x:c r="O90" s="84" t="str">
        <x:v>特殊格局严格成立</x:v>
      </x:c>
      <x:c r="P90" s="82" t="str">
        <x:v>清纯</x:v>
      </x:c>
      <x:c r="Q90" s="68" t="str">
        <x:v>水一气成象，杂气不足以改变主势</x:v>
      </x:c>
      <x:c r="R90" s="68" t="str">
        <x:v>M14已生成候选；M08、M09、M10、M11相关结论可追溯</x:v>
      </x:c>
      <x:c r="S90" s="68" t="str">
        <x:v>格神与关键配合十神均以有效力量和实际功能为准</x:v>
      </x:c>
      <x:c r="T90" s="68" t="str">
        <x:v>格神得令、有根、透达、清纯，组合路径稳定且日主承载匹配</x:v>
      </x:c>
      <x:c r="U90" s="68" t="str">
        <x:v>格神受制、混杂、路径受阻、日主承载不足或救应只能局部作用</x:v>
      </x:c>
      <x:c r="V90" s="90" t="str">
        <x:v>格神失效、核心作用路径完全中断，或特殊格局硬门槛被有效反证否决</x:v>
      </x:c>
      <x:c r="W90" s="68" t="str">
        <x:v>特殊格局严格条件、流派争议及岁运补成另按专门规则处理</x:v>
      </x:c>
      <x:c r="X90" s="84" t="str">
        <x:v>润下格候选_严格成立</x:v>
      </x:c>
      <x:c r="Y90" s="84" t="str">
        <x:v>润下格候选判为“特殊格局严格成立”：破格等级为“无破”，救应为“无救应”，清纯度为“清纯”；层次需结合全局继续评估。</x:v>
      </x:c>
      <x:c r="Z90" s="68" t="str">
        <x:v>若“格神失效、核心作用路径完全中断，或特殊格局硬门槛被有效反证否决”成立，应降低为成立但有破或不成立，不得维持当前结论。</x:v>
      </x:c>
      <x:c r="AA90" s="82" t="str">
        <x:v>较高</x:v>
      </x:c>
      <x:c r="AB90" s="82" t="str">
        <x:v>子平格局</x:v>
      </x:c>
      <x:c r="AC90" s="68" t="str">
        <x:v>格局成败须区分：格神是否有效、结构是否能运行、是否存在破坏、救应是否直接修复破格机制，以及格局成立与层次高低。</x:v>
      </x:c>
      <x:c r="AD90" s="68" t="str">
        <x:v>当“水得令成方成局、透干成党，日主属水，全局顺水势”成立，且成格证据相互支持、无决定性否决时，可按本规则判断。</x:v>
      </x:c>
      <x:c r="AE90" s="90" t="str">
        <x:v>只有格局名称或局部组合，但“格神失效、核心作用路径完全中断，或特殊格局硬门槛被有效反证否决”成立时，不能按本规则维持格局。</x:v>
      </x:c>
      <x:c r="AF90" s="68" t="str">
        <x:v>https://zh.wikisource.org/wiki/%E6%BB%B4%E5%A4%A9%E9%AB%93%E9%97%A1%E5%BE%AE ; https://zh.wikisource.org/zh-hans/%E6%BB%B4%E5%A4%A9%E9%AB%93</x:v>
      </x:c>
      <x:c r="AG90" s="82" t="str">
        <x:v>采用</x:v>
      </x:c>
      <x:c r="AH90" s="82" t="str">
        <x:v>初审</x:v>
      </x:c>
      <x:c r="AI90" s="87" t="n">
        <x:v>46260</x:v>
      </x:c>
    </x:row>
    <x:row r="91">
      <x:c r="A91" s="72" t="str">
        <x:f>IF(OR(C91="",D91=""),"",B91&amp;"-"&amp;UPPER(C91)&amp;"-"&amp;TEXT(D91,"0000")&amp;"-"&amp;E91)</x:f>
        <x:v>M15-ZHUAN-0085-V1.0</x:v>
      </x:c>
      <x:c r="B91" s="74" t="str">
        <x:v>M15</x:v>
      </x:c>
      <x:c r="C91" s="74" t="str">
        <x:v>ZHUAN</x:v>
      </x:c>
      <x:c r="D91" s="215" t="n">
        <x:v>85</x:v>
      </x:c>
      <x:c r="E91" s="74" t="str">
        <x:v>V1.0</x:v>
      </x:c>
      <x:c r="F91" s="68" t="str">
        <x:v>有效逆克力量会严重破坏专旺</x:v>
      </x:c>
      <x:c r="G91" s="82" t="str">
        <x:v>综合层</x:v>
      </x:c>
      <x:c r="H91" s="68" t="str">
        <x:v>专旺候选</x:v>
      </x:c>
      <x:c r="I91" s="68" t="str">
        <x:v>专旺候选具一气基础</x:v>
      </x:c>
      <x:c r="J91" s="68" t="str">
        <x:v>月令依据、格神根气与有效力量、日主配合及M11组合证据相互支持</x:v>
      </x:c>
      <x:c r="K91" s="68" t="str">
        <x:v>克制主气的逆神有根有源并形成真实制约</x:v>
      </x:c>
      <x:c r="L91" s="82" t="str">
        <x:v>严重</x:v>
      </x:c>
      <x:c r="M91" s="68" t="str">
        <x:v>主气制化逆神或逆神被合制失效</x:v>
      </x:c>
      <x:c r="N91" s="82" t="str">
        <x:v>待定</x:v>
      </x:c>
      <x:c r="O91" s="84" t="str">
        <x:v>成立但有破</x:v>
      </x:c>
      <x:c r="P91" s="82" t="str">
        <x:v>有杂</x:v>
      </x:c>
      <x:c r="Q91" s="68" t="str">
        <x:v>专旺纯度下降；逆神形成独立集团时格局不成立</x:v>
      </x:c>
      <x:c r="R91" s="68" t="str">
        <x:v>M14已生成候选；M08、M09、M10、M11相关结论可追溯</x:v>
      </x:c>
      <x:c r="S91" s="68" t="str">
        <x:v>格神与关键配合十神均以有效力量和实际功能为准</x:v>
      </x:c>
      <x:c r="T91" s="68" t="str">
        <x:v>格神得令、有根、透达、清纯，组合路径稳定且日主承载匹配</x:v>
      </x:c>
      <x:c r="U91" s="68" t="str">
        <x:v>格神受制、混杂、路径受阻、日主承载不足或救应只能局部作用</x:v>
      </x:c>
      <x:c r="V91" s="90" t="str">
        <x:v>格神失效、核心作用路径完全中断，或特殊格局硬门槛被有效反证否决</x:v>
      </x:c>
      <x:c r="W91" s="68" t="str">
        <x:v>特殊格局严格条件、流派争议及岁运补成另按专门规则处理</x:v>
      </x:c>
      <x:c r="X91" s="84" t="str">
        <x:v>专旺格_逆克破格</x:v>
      </x:c>
      <x:c r="Y91" s="84" t="str">
        <x:v>专旺候选判为“成立但有破”：破格等级为“严重”，救应为“待定”，清纯度为“有杂”；层次需结合全局继续评估。</x:v>
      </x:c>
      <x:c r="Z91" s="68" t="str">
        <x:v>若“格神失效、核心作用路径完全中断，或特殊格局硬门槛被有效反证否决”成立，应降低为成立但有破或不成立，不得维持当前结论。</x:v>
      </x:c>
      <x:c r="AA91" s="82" t="str">
        <x:v>较高</x:v>
      </x:c>
      <x:c r="AB91" s="82" t="str">
        <x:v>子平格局</x:v>
      </x:c>
      <x:c r="AC91" s="68" t="str">
        <x:v>格局成败须区分：格神是否有效、结构是否能运行、是否存在破坏、救应是否直接修复破格机制，以及格局成立与层次高低。</x:v>
      </x:c>
      <x:c r="AD91" s="68" t="str">
        <x:v>当“专旺候选具一气基础”成立，且成格证据相互支持、无决定性否决时，可按本规则判断。</x:v>
      </x:c>
      <x:c r="AE91" s="90" t="str">
        <x:v>只有格局名称或局部组合，但“格神失效、核心作用路径完全中断，或特殊格局硬门槛被有效反证否决”成立时，不能按本规则维持格局。</x:v>
      </x:c>
      <x:c r="AF91" s="68" t="str">
        <x:v>https://zh.wikisource.org/wiki/%E6%BB%B4%E5%A4%A9%E9%AB%93%E9%97%A1%E5%BE%AE ; https://zh.wikisource.org/zh-hans/%E6%BB%B4%E5%A4%A9%E9%AB%93</x:v>
      </x:c>
      <x:c r="AG91" s="82" t="str">
        <x:v>采用</x:v>
      </x:c>
      <x:c r="AH91" s="82" t="str">
        <x:v>初审</x:v>
      </x:c>
      <x:c r="AI91" s="87" t="n">
        <x:v>46260</x:v>
      </x:c>
    </x:row>
    <x:row r="92">
      <x:c r="A92" s="72" t="str">
        <x:f>IF(OR(C92="",D92=""),"",B92&amp;"-"&amp;UPPER(C92)&amp;"-"&amp;TEXT(D92,"0000")&amp;"-"&amp;E92)</x:f>
        <x:v>M15-ZHUAN-0086-V1.0</x:v>
      </x:c>
      <x:c r="B92" s="74" t="str">
        <x:v>M15</x:v>
      </x:c>
      <x:c r="C92" s="74" t="str">
        <x:v>ZHUAN</x:v>
      </x:c>
      <x:c r="D92" s="215" t="n">
        <x:v>86</x:v>
      </x:c>
      <x:c r="E92" s="74" t="str">
        <x:v>V1.0</x:v>
      </x:c>
      <x:c r="F92" s="68" t="str">
        <x:v>杂气虽少但能改变主路径时不可忽略</x:v>
      </x:c>
      <x:c r="G92" s="82" t="str">
        <x:v>综合层</x:v>
      </x:c>
      <x:c r="H92" s="68" t="str">
        <x:v>专旺候选</x:v>
      </x:c>
      <x:c r="I92" s="68" t="str">
        <x:v>专旺候选成立</x:v>
      </x:c>
      <x:c r="J92" s="68" t="str">
        <x:v>月令依据、格神根气与有效力量、日主配合及M11组合证据相互支持</x:v>
      </x:c>
      <x:c r="K92" s="68" t="str">
        <x:v>异气数量少但位居关键桥梁、格神或直接克制主气</x:v>
      </x:c>
      <x:c r="L92" s="82" t="str">
        <x:v>一般</x:v>
      </x:c>
      <x:c r="M92" s="68" t="str">
        <x:v>主气使杂气失效或杂气顺势转化</x:v>
      </x:c>
      <x:c r="N92" s="82" t="str">
        <x:v>待定</x:v>
      </x:c>
      <x:c r="O92" s="84" t="str">
        <x:v>成立但有破</x:v>
      </x:c>
      <x:c r="P92" s="82" t="str">
        <x:v>有杂</x:v>
      </x:c>
      <x:c r="Q92" s="68" t="str">
        <x:v>专旺判断看有效作用，不按杂气数量机械定纯杂</x:v>
      </x:c>
      <x:c r="R92" s="68" t="str">
        <x:v>M14已生成候选；M08、M09、M10、M11相关结论可追溯</x:v>
      </x:c>
      <x:c r="S92" s="68" t="str">
        <x:v>格神与关键配合十神均以有效力量和实际功能为准</x:v>
      </x:c>
      <x:c r="T92" s="68" t="str">
        <x:v>格神得令、有根、透达、清纯，组合路径稳定且日主承载匹配</x:v>
      </x:c>
      <x:c r="U92" s="68" t="str">
        <x:v>格神受制、混杂、路径受阻、日主承载不足或救应只能局部作用</x:v>
      </x:c>
      <x:c r="V92" s="90" t="str">
        <x:v>格神失效、核心作用路径完全中断，或特殊格局硬门槛被有效反证否决</x:v>
      </x:c>
      <x:c r="W92" s="68" t="str">
        <x:v>特殊格局严格条件、流派争议及岁运补成另按专门规则处理</x:v>
      </x:c>
      <x:c r="X92" s="84" t="str">
        <x:v>专旺格_关键杂气</x:v>
      </x:c>
      <x:c r="Y92" s="84" t="str">
        <x:v>专旺候选判为“成立但有破”：破格等级为“一般”，救应为“待定”，清纯度为“有杂”；层次需结合全局继续评估。</x:v>
      </x:c>
      <x:c r="Z92" s="68" t="str">
        <x:v>若“格神失效、核心作用路径完全中断，或特殊格局硬门槛被有效反证否决”成立，应降低为成立但有破或不成立，不得维持当前结论。</x:v>
      </x:c>
      <x:c r="AA92" s="82" t="str">
        <x:v>较高</x:v>
      </x:c>
      <x:c r="AB92" s="82" t="str">
        <x:v>子平格局</x:v>
      </x:c>
      <x:c r="AC92" s="68" t="str">
        <x:v>格局成败须区分：格神是否有效、结构是否能运行、是否存在破坏、救应是否直接修复破格机制，以及格局成立与层次高低。</x:v>
      </x:c>
      <x:c r="AD92" s="68" t="str">
        <x:v>当“专旺候选成立”成立，且成格证据相互支持、无决定性否决时，可按本规则判断。</x:v>
      </x:c>
      <x:c r="AE92" s="90" t="str">
        <x:v>只有格局名称或局部组合，但“格神失效、核心作用路径完全中断，或特殊格局硬门槛被有效反证否决”成立时，不能按本规则维持格局。</x:v>
      </x:c>
      <x:c r="AF92" s="68" t="str">
        <x:v>https://zh.wikisource.org/wiki/%E6%BB%B4%E5%A4%A9%E9%AB%93%E9%97%A1%E5%BE%AE ; https://zh.wikisource.org/zh-hans/%E6%BB%B4%E5%A4%A9%E9%AB%93</x:v>
      </x:c>
      <x:c r="AG92" s="82" t="str">
        <x:v>采用</x:v>
      </x:c>
      <x:c r="AH92" s="82" t="str">
        <x:v>初审</x:v>
      </x:c>
      <x:c r="AI92" s="87" t="n">
        <x:v>46260</x:v>
      </x:c>
    </x:row>
    <x:row r="93">
      <x:c r="A93" s="72" t="str">
        <x:f>IF(OR(C93="",D93=""),"",B93&amp;"-"&amp;UPPER(C93)&amp;"-"&amp;TEXT(D93,"0000")&amp;"-"&amp;E93)</x:f>
        <x:v>M15-RESCUE-0087-V1.0</x:v>
      </x:c>
      <x:c r="B93" s="74" t="str">
        <x:v>M15</x:v>
      </x:c>
      <x:c r="C93" s="74" t="str">
        <x:v>RESCUE</x:v>
      </x:c>
      <x:c r="D93" s="215" t="n">
        <x:v>87</x:v>
      </x:c>
      <x:c r="E93" s="74" t="str">
        <x:v>V1.0</x:v>
      </x:c>
      <x:c r="F93" s="68" t="str">
        <x:v>无救应表示破格机制未被任何有效力量修复</x:v>
      </x:c>
      <x:c r="G93" s="82" t="str">
        <x:v>综合层</x:v>
      </x:c>
      <x:c r="H93" s="68" t="str">
        <x:v>所有破格候选</x:v>
      </x:c>
      <x:c r="I93" s="68" t="str">
        <x:v>格局存在破损，未发现可直接作用破格因素的第三力量</x:v>
      </x:c>
      <x:c r="J93" s="68" t="str">
        <x:v>月令依据、格神根气与有效力量、日主配合及M11组合证据相互支持</x:v>
      </x:c>
      <x:c r="K93" s="68" t="str">
        <x:v>破格持续存在</x:v>
      </x:c>
      <x:c r="L93" s="82" t="str">
        <x:v>待定</x:v>
      </x:c>
      <x:c r="M93" s="68" t="str">
        <x:v>无</x:v>
      </x:c>
      <x:c r="N93" s="82" t="str">
        <x:v>无救应</x:v>
      </x:c>
      <x:c r="O93" s="84" t="str">
        <x:v>成立但有破</x:v>
      </x:c>
      <x:c r="P93" s="82" t="str">
        <x:v>待定</x:v>
      </x:c>
      <x:c r="Q93" s="68" t="str">
        <x:v>格局只能按破损后的净状态运行</x:v>
      </x:c>
      <x:c r="R93" s="68" t="str">
        <x:v>M14已生成候选；M08、M09、M10、M11相关结论可追溯</x:v>
      </x:c>
      <x:c r="S93" s="68" t="str">
        <x:v>格神与关键配合十神均以有效力量和实际功能为准</x:v>
      </x:c>
      <x:c r="T93" s="68" t="str">
        <x:v>格神得令、有根、透达、清纯，组合路径稳定且日主承载匹配</x:v>
      </x:c>
      <x:c r="U93" s="68" t="str">
        <x:v>格神受制、混杂、路径受阻、日主承载不足或救应只能局部作用</x:v>
      </x:c>
      <x:c r="V93" s="90" t="str">
        <x:v>格神失效、核心作用路径完全中断，或特殊格局硬门槛被有效反证否决</x:v>
      </x:c>
      <x:c r="W93" s="68" t="str">
        <x:v>特殊格局严格条件、流派争议及岁运补成另按专门规则处理</x:v>
      </x:c>
      <x:c r="X93" s="84" t="str">
        <x:v>救应_无救应</x:v>
      </x:c>
      <x:c r="Y93" s="84" t="str">
        <x:v>所有破格候选判为“成立但有破”：破格等级为“待定”，救应为“无救应”，清纯度为“待定”；层次需结合全局继续评估。</x:v>
      </x:c>
      <x:c r="Z93" s="68" t="str">
        <x:v>若“格神失效、核心作用路径完全中断，或特殊格局硬门槛被有效反证否决”成立，应降低为成立但有破或不成立，不得维持当前结论。</x:v>
      </x:c>
      <x:c r="AA93" s="82" t="str">
        <x:v>较高</x:v>
      </x:c>
      <x:c r="AB93" s="82" t="str">
        <x:v>子平格局</x:v>
      </x:c>
      <x:c r="AC93" s="68" t="str">
        <x:v>格局成败须区分：格神是否有效、结构是否能运行、是否存在破坏、救应是否直接修复破格机制，以及格局成立与层次高低。</x:v>
      </x:c>
      <x:c r="AD93" s="68" t="str">
        <x:v>当“格局存在破损，未发现可直接作用破格因素的第三力量”成立，且成格证据相互支持、无决定性否决时，可按本规则判断。</x:v>
      </x:c>
      <x:c r="AE93" s="90" t="str">
        <x:v>只有格局名称或局部组合，但“格神失效、核心作用路径完全中断，或特殊格局硬门槛被有效反证否决”成立时，不能按本规则维持格局。</x:v>
      </x:c>
      <x:c r="AF93" s="68" t="str">
        <x:v>https://zh.wikisource.org/zh-hans/%E6%B7%B5%E6%B5%B7%E5%AD%90%E5%B9%B3 ; https://zh.wikisource.org/wiki/%E6%BB%B4%E5%A4%A9%E9%AB%93%E9%97%A1%E5%BE%AE</x:v>
      </x:c>
      <x:c r="AG93" s="82" t="str">
        <x:v>采用</x:v>
      </x:c>
      <x:c r="AH93" s="82" t="str">
        <x:v>初审</x:v>
      </x:c>
      <x:c r="AI93" s="87" t="n">
        <x:v>46260</x:v>
      </x:c>
    </x:row>
    <x:row r="94">
      <x:c r="A94" s="72" t="str">
        <x:f>IF(OR(C94="",D94=""),"",B94&amp;"-"&amp;UPPER(C94)&amp;"-"&amp;TEXT(D94,"0000")&amp;"-"&amp;E94)</x:f>
        <x:v>M15-RESCUE-0088-V1.0</x:v>
      </x:c>
      <x:c r="B94" s="74" t="str">
        <x:v>M15</x:v>
      </x:c>
      <x:c r="C94" s="74" t="str">
        <x:v>RESCUE</x:v>
      </x:c>
      <x:c r="D94" s="215" t="n">
        <x:v>88</x:v>
      </x:c>
      <x:c r="E94" s="74" t="str">
        <x:v>V1.0</x:v>
      </x:c>
      <x:c r="F94" s="68" t="str">
        <x:v>弱救应只能轻微缓解破格</x:v>
      </x:c>
      <x:c r="G94" s="82" t="str">
        <x:v>综合层</x:v>
      </x:c>
      <x:c r="H94" s="68" t="str">
        <x:v>所有破格候选</x:v>
      </x:c>
      <x:c r="I94" s="68" t="str">
        <x:v>救应存在但无根、遥隔、力量弱或作用路径不完整</x:v>
      </x:c>
      <x:c r="J94" s="68" t="str">
        <x:v>只能部分牵制破格因素</x:v>
      </x:c>
      <x:c r="K94" s="68" t="str">
        <x:v>破格仍占明显优势</x:v>
      </x:c>
      <x:c r="L94" s="82" t="str">
        <x:v>一般</x:v>
      </x:c>
      <x:c r="M94" s="68" t="str">
        <x:v>弱救应</x:v>
      </x:c>
      <x:c r="N94" s="82" t="str">
        <x:v>弱救应</x:v>
      </x:c>
      <x:c r="O94" s="84" t="str">
        <x:v>有破有救</x:v>
      </x:c>
      <x:c r="P94" s="82" t="str">
        <x:v>有杂</x:v>
      </x:c>
      <x:c r="Q94" s="68" t="str">
        <x:v>格局改善有限，层次接近成立但有破</x:v>
      </x:c>
      <x:c r="R94" s="68" t="str">
        <x:v>M14已生成候选；M08、M09、M10、M11相关结论可追溯</x:v>
      </x:c>
      <x:c r="S94" s="68" t="str">
        <x:v>格神与关键配合十神均以有效力量和实际功能为准</x:v>
      </x:c>
      <x:c r="T94" s="68" t="str">
        <x:v>格神得令、有根、透达、清纯，组合路径稳定且日主承载匹配</x:v>
      </x:c>
      <x:c r="U94" s="68" t="str">
        <x:v>格神受制、混杂、路径受阻、日主承载不足或救应只能局部作用</x:v>
      </x:c>
      <x:c r="V94" s="90" t="str">
        <x:v>格神失效、核心作用路径完全中断，或特殊格局硬门槛被有效反证否决</x:v>
      </x:c>
      <x:c r="W94" s="68" t="str">
        <x:v>特殊格局严格条件、流派争议及岁运补成另按专门规则处理</x:v>
      </x:c>
      <x:c r="X94" s="84" t="str">
        <x:v>救应_弱救应</x:v>
      </x:c>
      <x:c r="Y94" s="84" t="str">
        <x:v>所有破格候选判为“有破有救”：破格等级为“一般”，救应为“弱救应”，清纯度为“有杂”；层次需结合全局继续评估。</x:v>
      </x:c>
      <x:c r="Z94" s="68" t="str">
        <x:v>若“格神失效、核心作用路径完全中断，或特殊格局硬门槛被有效反证否决”成立，应降低为成立但有破或不成立，不得维持当前结论。</x:v>
      </x:c>
      <x:c r="AA94" s="82" t="str">
        <x:v>较高</x:v>
      </x:c>
      <x:c r="AB94" s="82" t="str">
        <x:v>子平格局</x:v>
      </x:c>
      <x:c r="AC94" s="68" t="str">
        <x:v>格局成败须区分：格神是否有效、结构是否能运行、是否存在破坏、救应是否直接修复破格机制，以及格局成立与层次高低。</x:v>
      </x:c>
      <x:c r="AD94" s="68" t="str">
        <x:v>当“救应存在但无根、遥隔、力量弱或作用路径不完整”成立，且成格证据相互支持、无决定性否决时，可按本规则判断。</x:v>
      </x:c>
      <x:c r="AE94" s="90" t="str">
        <x:v>只有格局名称或局部组合，但“格神失效、核心作用路径完全中断，或特殊格局硬门槛被有效反证否决”成立时，不能按本规则维持格局。</x:v>
      </x:c>
      <x:c r="AF94" s="68" t="str">
        <x:v>https://zh.wikisource.org/zh-hans/%E6%B7%B5%E6%B5%B7%E5%AD%90%E5%B9%B3 ; https://zh.wikisource.org/wiki/%E6%BB%B4%E5%A4%A9%E9%AB%93%E9%97%A1%E5%BE%AE</x:v>
      </x:c>
      <x:c r="AG94" s="82" t="str">
        <x:v>采用</x:v>
      </x:c>
      <x:c r="AH94" s="82" t="str">
        <x:v>初审</x:v>
      </x:c>
      <x:c r="AI94" s="87" t="n">
        <x:v>46260</x:v>
      </x:c>
    </x:row>
    <x:row r="95">
      <x:c r="A95" s="72" t="str">
        <x:f>IF(OR(C95="",D95=""),"",B95&amp;"-"&amp;UPPER(C95)&amp;"-"&amp;TEXT(D95,"0000")&amp;"-"&amp;E95)</x:f>
        <x:v>M15-RESCUE-0089-V1.0</x:v>
      </x:c>
      <x:c r="B95" s="74" t="str">
        <x:v>M15</x:v>
      </x:c>
      <x:c r="C95" s="74" t="str">
        <x:v>RESCUE</x:v>
      </x:c>
      <x:c r="D95" s="215" t="n">
        <x:v>89</x:v>
      </x:c>
      <x:c r="E95" s="74" t="str">
        <x:v>V1.0</x:v>
      </x:c>
      <x:c r="F95" s="68" t="str">
        <x:v>部分有效救应可恢复局部功能</x:v>
      </x:c>
      <x:c r="G95" s="82" t="str">
        <x:v>综合层</x:v>
      </x:c>
      <x:c r="H95" s="68" t="str">
        <x:v>所有破格候选</x:v>
      </x:c>
      <x:c r="I95" s="68" t="str">
        <x:v>救应对破格因素形成真实作用，但不能完全覆盖全部破坏</x:v>
      </x:c>
      <x:c r="J95" s="68" t="str">
        <x:v>受损格神或关键路径部分恢复</x:v>
      </x:c>
      <x:c r="K95" s="68" t="str">
        <x:v>仍有剩余破损</x:v>
      </x:c>
      <x:c r="L95" s="82" t="str">
        <x:v>一般</x:v>
      </x:c>
      <x:c r="M95" s="68" t="str">
        <x:v>局部修复</x:v>
      </x:c>
      <x:c r="N95" s="82" t="str">
        <x:v>部分有效</x:v>
      </x:c>
      <x:c r="O95" s="84" t="str">
        <x:v>有破有救</x:v>
      </x:c>
      <x:c r="P95" s="82" t="str">
        <x:v>有杂</x:v>
      </x:c>
      <x:c r="Q95" s="68" t="str">
        <x:v>格局可运行但稳定性仍受限制</x:v>
      </x:c>
      <x:c r="R95" s="68" t="str">
        <x:v>M14已生成候选；M08、M09、M10、M11相关结论可追溯</x:v>
      </x:c>
      <x:c r="S95" s="68" t="str">
        <x:v>格神与关键配合十神均以有效力量和实际功能为准</x:v>
      </x:c>
      <x:c r="T95" s="68" t="str">
        <x:v>格神得令、有根、透达、清纯，组合路径稳定且日主承载匹配</x:v>
      </x:c>
      <x:c r="U95" s="68" t="str">
        <x:v>格神受制、混杂、路径受阻、日主承载不足或救应只能局部作用</x:v>
      </x:c>
      <x:c r="V95" s="90" t="str">
        <x:v>格神失效、核心作用路径完全中断，或特殊格局硬门槛被有效反证否决</x:v>
      </x:c>
      <x:c r="W95" s="68" t="str">
        <x:v>特殊格局严格条件、流派争议及岁运补成另按专门规则处理</x:v>
      </x:c>
      <x:c r="X95" s="84" t="str">
        <x:v>救应_部分有效</x:v>
      </x:c>
      <x:c r="Y95" s="84" t="str">
        <x:v>所有破格候选判为“有破有救”：破格等级为“一般”，救应为“部分有效”，清纯度为“有杂”；层次需结合全局继续评估。</x:v>
      </x:c>
      <x:c r="Z95" s="68" t="str">
        <x:v>若“格神失效、核心作用路径完全中断，或特殊格局硬门槛被有效反证否决”成立，应降低为成立但有破或不成立，不得维持当前结论。</x:v>
      </x:c>
      <x:c r="AA95" s="82" t="str">
        <x:v>较高</x:v>
      </x:c>
      <x:c r="AB95" s="82" t="str">
        <x:v>子平格局</x:v>
      </x:c>
      <x:c r="AC95" s="68" t="str">
        <x:v>格局成败须区分：格神是否有效、结构是否能运行、是否存在破坏、救应是否直接修复破格机制，以及格局成立与层次高低。</x:v>
      </x:c>
      <x:c r="AD95" s="68" t="str">
        <x:v>当“救应对破格因素形成真实作用，但不能完全覆盖全部破坏”成立，且成格证据相互支持、无决定性否决时，可按本规则判断。</x:v>
      </x:c>
      <x:c r="AE95" s="90" t="str">
        <x:v>只有格局名称或局部组合，但“格神失效、核心作用路径完全中断，或特殊格局硬门槛被有效反证否决”成立时，不能按本规则维持格局。</x:v>
      </x:c>
      <x:c r="AF95" s="68" t="str">
        <x:v>https://zh.wikisource.org/zh-hans/%E6%B7%B5%E6%B5%B7%E5%AD%90%E5%B9%B3 ; https://zh.wikisource.org/wiki/%E6%BB%B4%E5%A4%A9%E9%AB%93%E9%97%A1%E5%BE%AE</x:v>
      </x:c>
      <x:c r="AG95" s="82" t="str">
        <x:v>采用</x:v>
      </x:c>
      <x:c r="AH95" s="82" t="str">
        <x:v>初审</x:v>
      </x:c>
      <x:c r="AI95" s="87" t="n">
        <x:v>46260</x:v>
      </x:c>
    </x:row>
    <x:row r="96">
      <x:c r="A96" s="72" t="str">
        <x:f>IF(OR(C96="",D96=""),"",B96&amp;"-"&amp;UPPER(C96)&amp;"-"&amp;TEXT(D96,"0000")&amp;"-"&amp;E96)</x:f>
        <x:v>M15-RESCUE-0090-V1.0</x:v>
      </x:c>
      <x:c r="B96" s="74" t="str">
        <x:v>M15</x:v>
      </x:c>
      <x:c r="C96" s="74" t="str">
        <x:v>RESCUE</x:v>
      </x:c>
      <x:c r="D96" s="215" t="n">
        <x:v>90</x:v>
      </x:c>
      <x:c r="E96" s="74" t="str">
        <x:v>V1.0</x:v>
      </x:c>
      <x:c r="F96" s="68" t="str">
        <x:v>明显有效救应可恢复格局主要功能</x:v>
      </x:c>
      <x:c r="G96" s="82" t="str">
        <x:v>综合层</x:v>
      </x:c>
      <x:c r="H96" s="68" t="str">
        <x:v>所有破格候选</x:v>
      </x:c>
      <x:c r="I96" s="68" t="str">
        <x:v>救应有根有源、路径直接，能够压制主要破格因素</x:v>
      </x:c>
      <x:c r="J96" s="68" t="str">
        <x:v>格神与主路径恢复，破格只留次级影响</x:v>
      </x:c>
      <x:c r="K96" s="68" t="str">
        <x:v>主要破格已受控</x:v>
      </x:c>
      <x:c r="L96" s="82" t="str">
        <x:v>轻微</x:v>
      </x:c>
      <x:c r="M96" s="68" t="str">
        <x:v>强救应</x:v>
      </x:c>
      <x:c r="N96" s="82" t="str">
        <x:v>明显有效</x:v>
      </x:c>
      <x:c r="O96" s="84" t="str">
        <x:v>有破有救</x:v>
      </x:c>
      <x:c r="P96" s="82" t="str">
        <x:v>较清</x:v>
      </x:c>
      <x:c r="Q96" s="68" t="str">
        <x:v>格局主要功能恢复，低于原局无破但高于普通破格</x:v>
      </x:c>
      <x:c r="R96" s="68" t="str">
        <x:v>M14已生成候选；M08、M09、M10、M11相关结论可追溯</x:v>
      </x:c>
      <x:c r="S96" s="68" t="str">
        <x:v>格神与关键配合十神均以有效力量和实际功能为准</x:v>
      </x:c>
      <x:c r="T96" s="68" t="str">
        <x:v>格神得令、有根、透达、清纯，组合路径稳定且日主承载匹配</x:v>
      </x:c>
      <x:c r="U96" s="68" t="str">
        <x:v>格神受制、混杂、路径受阻、日主承载不足或救应只能局部作用</x:v>
      </x:c>
      <x:c r="V96" s="90" t="str">
        <x:v>格神失效、核心作用路径完全中断，或特殊格局硬门槛被有效反证否决</x:v>
      </x:c>
      <x:c r="W96" s="68" t="str">
        <x:v>特殊格局严格条件、流派争议及岁运补成另按专门规则处理</x:v>
      </x:c>
      <x:c r="X96" s="84" t="str">
        <x:v>救应_明显有效</x:v>
      </x:c>
      <x:c r="Y96" s="84" t="str">
        <x:v>所有破格候选判为“有破有救”：破格等级为“轻微”，救应为“明显有效”，清纯度为“较清”；层次需结合全局继续评估。</x:v>
      </x:c>
      <x:c r="Z96" s="68" t="str">
        <x:v>若“格神失效、核心作用路径完全中断，或特殊格局硬门槛被有效反证否决”成立，应降低为成立但有破或不成立，不得维持当前结论。</x:v>
      </x:c>
      <x:c r="AA96" s="82" t="str">
        <x:v>较高</x:v>
      </x:c>
      <x:c r="AB96" s="82" t="str">
        <x:v>子平格局</x:v>
      </x:c>
      <x:c r="AC96" s="68" t="str">
        <x:v>格局成败须区分：格神是否有效、结构是否能运行、是否存在破坏、救应是否直接修复破格机制，以及格局成立与层次高低。</x:v>
      </x:c>
      <x:c r="AD96" s="68" t="str">
        <x:v>当“救应有根有源、路径直接，能够压制主要破格因素”成立，且成格证据相互支持、无决定性否决时，可按本规则判断。</x:v>
      </x:c>
      <x:c r="AE96" s="90" t="str">
        <x:v>只有格局名称或局部组合，但“格神失效、核心作用路径完全中断，或特殊格局硬门槛被有效反证否决”成立时，不能按本规则维持格局。</x:v>
      </x:c>
      <x:c r="AF96" s="68" t="str">
        <x:v>https://zh.wikisource.org/zh-hans/%E6%B7%B5%E6%B5%B7%E5%AD%90%E5%B9%B3 ; https://zh.wikisource.org/wiki/%E6%BB%B4%E5%A4%A9%E9%AB%93%E9%97%A1%E5%BE%AE</x:v>
      </x:c>
      <x:c r="AG96" s="82" t="str">
        <x:v>采用</x:v>
      </x:c>
      <x:c r="AH96" s="82" t="str">
        <x:v>初审</x:v>
      </x:c>
      <x:c r="AI96" s="87" t="n">
        <x:v>46260</x:v>
      </x:c>
    </x:row>
    <x:row r="97">
      <x:c r="A97" s="72" t="str">
        <x:f>IF(OR(C97="",D97=""),"",B97&amp;"-"&amp;UPPER(C97)&amp;"-"&amp;TEXT(D97,"0000")&amp;"-"&amp;E97)</x:f>
        <x:v>M15-RESCUE-0091-V1.0</x:v>
      </x:c>
      <x:c r="B97" s="74" t="str">
        <x:v>M15</x:v>
      </x:c>
      <x:c r="C97" s="74" t="str">
        <x:v>RESCUE</x:v>
      </x:c>
      <x:c r="D97" s="215" t="n">
        <x:v>91</x:v>
      </x:c>
      <x:c r="E97" s="74" t="str">
        <x:v>V1.0</x:v>
      </x:c>
      <x:c r="F97" s="68" t="str">
        <x:v>完全救应要求破格因素功能基本消失</x:v>
      </x:c>
      <x:c r="G97" s="82" t="str">
        <x:v>综合层</x:v>
      </x:c>
      <x:c r="H97" s="68" t="str">
        <x:v>所有破格候选</x:v>
      </x:c>
      <x:c r="I97" s="68" t="str">
        <x:v>救应直接制去、合住或转化破格因素，格神与主路径完整恢复</x:v>
      </x:c>
      <x:c r="J97" s="68" t="str">
        <x:v>破格因素不再形成有效破坏</x:v>
      </x:c>
      <x:c r="K97" s="68" t="str">
        <x:v>原破格已被解除</x:v>
      </x:c>
      <x:c r="L97" s="82" t="str">
        <x:v>轻微</x:v>
      </x:c>
      <x:c r="M97" s="68" t="str">
        <x:v>完全修复</x:v>
      </x:c>
      <x:c r="N97" s="82" t="str">
        <x:v>完全救应</x:v>
      </x:c>
      <x:c r="O97" s="84" t="str">
        <x:v>有破有救</x:v>
      </x:c>
      <x:c r="P97" s="82" t="str">
        <x:v>较清</x:v>
      </x:c>
      <x:c r="Q97" s="68" t="str">
        <x:v>格局接近无破状态，但仍应记录曾有破有救的结构</x:v>
      </x:c>
      <x:c r="R97" s="68" t="str">
        <x:v>M14已生成候选；M08、M09、M10、M11相关结论可追溯</x:v>
      </x:c>
      <x:c r="S97" s="68" t="str">
        <x:v>格神与关键配合十神均以有效力量和实际功能为准</x:v>
      </x:c>
      <x:c r="T97" s="68" t="str">
        <x:v>格神得令、有根、透达、清纯，组合路径稳定且日主承载匹配</x:v>
      </x:c>
      <x:c r="U97" s="68" t="str">
        <x:v>格神受制、混杂、路径受阻、日主承载不足或救应只能局部作用</x:v>
      </x:c>
      <x:c r="V97" s="90" t="str">
        <x:v>格神失效、核心作用路径完全中断，或特殊格局硬门槛被有效反证否决</x:v>
      </x:c>
      <x:c r="W97" s="68" t="str">
        <x:v>特殊格局严格条件、流派争议及岁运补成另按专门规则处理</x:v>
      </x:c>
      <x:c r="X97" s="84" t="str">
        <x:v>救应_完全救应</x:v>
      </x:c>
      <x:c r="Y97" s="84" t="str">
        <x:v>所有破格候选判为“有破有救”：破格等级为“轻微”，救应为“完全救应”，清纯度为“较清”；层次需结合全局继续评估。</x:v>
      </x:c>
      <x:c r="Z97" s="68" t="str">
        <x:v>若“格神失效、核心作用路径完全中断，或特殊格局硬门槛被有效反证否决”成立，应降低为成立但有破或不成立，不得维持当前结论。</x:v>
      </x:c>
      <x:c r="AA97" s="82" t="str">
        <x:v>较高</x:v>
      </x:c>
      <x:c r="AB97" s="82" t="str">
        <x:v>子平格局</x:v>
      </x:c>
      <x:c r="AC97" s="68" t="str">
        <x:v>格局成败须区分：格神是否有效、结构是否能运行、是否存在破坏、救应是否直接修复破格机制，以及格局成立与层次高低。</x:v>
      </x:c>
      <x:c r="AD97" s="68" t="str">
        <x:v>当“救应直接制去、合住或转化破格因素，格神与主路径完整恢复”成立，且成格证据相互支持、无决定性否决时，可按本规则判断。</x:v>
      </x:c>
      <x:c r="AE97" s="90" t="str">
        <x:v>只有格局名称或局部组合，但“格神失效、核心作用路径完全中断，或特殊格局硬门槛被有效反证否决”成立时，不能按本规则维持格局。</x:v>
      </x:c>
      <x:c r="AF97" s="68" t="str">
        <x:v>https://zh.wikisource.org/zh-hans/%E6%B7%B5%E6%B5%B7%E5%AD%90%E5%B9%B3 ; https://zh.wikisource.org/wiki/%E6%BB%B4%E5%A4%A9%E9%AB%93%E9%97%A1%E5%BE%AE</x:v>
      </x:c>
      <x:c r="AG97" s="82" t="str">
        <x:v>采用</x:v>
      </x:c>
      <x:c r="AH97" s="82" t="str">
        <x:v>初审</x:v>
      </x:c>
      <x:c r="AI97" s="87" t="n">
        <x:v>46260</x:v>
      </x:c>
    </x:row>
    <x:row r="98">
      <x:c r="A98" s="72" t="str">
        <x:f>IF(OR(C98="",D98=""),"",B98&amp;"-"&amp;UPPER(C98)&amp;"-"&amp;TEXT(D98,"0000")&amp;"-"&amp;E98)</x:f>
        <x:v>M15-RESCUE-0092-V1.0</x:v>
      </x:c>
      <x:c r="B98" s="74" t="str">
        <x:v>M15</x:v>
      </x:c>
      <x:c r="C98" s="74" t="str">
        <x:v>RESCUE</x:v>
      </x:c>
      <x:c r="D98" s="215" t="n">
        <x:v>92</x:v>
      </x:c>
      <x:c r="E98" s="74" t="str">
        <x:v>V1.0</x:v>
      </x:c>
      <x:c r="F98" s="68" t="str">
        <x:v>救应产生更大副作用时不得升格</x:v>
      </x:c>
      <x:c r="G98" s="82" t="str">
        <x:v>综合层</x:v>
      </x:c>
      <x:c r="H98" s="68" t="str">
        <x:v>所有破格候选</x:v>
      </x:c>
      <x:c r="I98" s="68" t="str">
        <x:v>某力量能够修复原破格</x:v>
      </x:c>
      <x:c r="J98" s="68" t="str">
        <x:v>同时会破坏另一核心格神、加重日主失衡或制造更严重调候流通问题</x:v>
      </x:c>
      <x:c r="K98" s="68" t="str">
        <x:v>原破格与新副作用并存</x:v>
      </x:c>
      <x:c r="L98" s="82" t="str">
        <x:v>待定</x:v>
      </x:c>
      <x:c r="M98" s="68" t="str">
        <x:v>有副作用的救应</x:v>
      </x:c>
      <x:c r="N98" s="82" t="str">
        <x:v>部分有效</x:v>
      </x:c>
      <x:c r="O98" s="84" t="str">
        <x:v>有破有救</x:v>
      </x:c>
      <x:c r="P98" s="82" t="str">
        <x:v>有杂</x:v>
      </x:c>
      <x:c r="Q98" s="68" t="str">
        <x:v>只按净收益判断，不因存在救应而自动提高层次</x:v>
      </x:c>
      <x:c r="R98" s="68" t="str">
        <x:v>M14已生成候选；M08、M09、M10、M11相关结论可追溯</x:v>
      </x:c>
      <x:c r="S98" s="68" t="str">
        <x:v>格神与关键配合十神均以有效力量和实际功能为准</x:v>
      </x:c>
      <x:c r="T98" s="68" t="str">
        <x:v>格神得令、有根、透达、清纯，组合路径稳定且日主承载匹配</x:v>
      </x:c>
      <x:c r="U98" s="68" t="str">
        <x:v>格神受制、混杂、路径受阻、日主承载不足或救应只能局部作用</x:v>
      </x:c>
      <x:c r="V98" s="90" t="str">
        <x:v>格神失效、核心作用路径完全中断，或特殊格局硬门槛被有效反证否决</x:v>
      </x:c>
      <x:c r="W98" s="68" t="str">
        <x:v>特殊格局严格条件、流派争议及岁运补成另按专门规则处理</x:v>
      </x:c>
      <x:c r="X98" s="84" t="str">
        <x:v>救应_副作用限制</x:v>
      </x:c>
      <x:c r="Y98" s="84" t="str">
        <x:v>所有破格候选判为“有破有救”：破格等级为“待定”，救应为“部分有效”，清纯度为“有杂”；层次需结合全局继续评估。</x:v>
      </x:c>
      <x:c r="Z98" s="68" t="str">
        <x:v>若“格神失效、核心作用路径完全中断，或特殊格局硬门槛被有效反证否决”成立，应降低为成立但有破或不成立，不得维持当前结论。</x:v>
      </x:c>
      <x:c r="AA98" s="82" t="str">
        <x:v>较高</x:v>
      </x:c>
      <x:c r="AB98" s="82" t="str">
        <x:v>子平格局</x:v>
      </x:c>
      <x:c r="AC98" s="68" t="str">
        <x:v>格局成败须区分：格神是否有效、结构是否能运行、是否存在破坏、救应是否直接修复破格机制，以及格局成立与层次高低。</x:v>
      </x:c>
      <x:c r="AD98" s="68" t="str">
        <x:v>当“某力量能够修复原破格”成立，且成格证据相互支持、无决定性否决时，可按本规则判断。</x:v>
      </x:c>
      <x:c r="AE98" s="90" t="str">
        <x:v>只有格局名称或局部组合，但“格神失效、核心作用路径完全中断，或特殊格局硬门槛被有效反证否决”成立时，不能按本规则维持格局。</x:v>
      </x:c>
      <x:c r="AF98" s="68" t="str">
        <x:v>https://zh.wikisource.org/zh-hans/%E6%B7%B5%E6%B5%B7%E5%AD%90%E5%B9%B3 ; https://zh.wikisource.org/wiki/%E6%BB%B4%E5%A4%A9%E9%AB%93%E9%97%A1%E5%BE%AE</x:v>
      </x:c>
      <x:c r="AG98" s="82" t="str">
        <x:v>采用</x:v>
      </x:c>
      <x:c r="AH98" s="82" t="str">
        <x:v>初审</x:v>
      </x:c>
      <x:c r="AI98" s="87" t="n">
        <x:v>46260</x:v>
      </x:c>
    </x:row>
    <x:row r="99">
      <x:c r="A99" s="72" t="str">
        <x:f>IF(OR(C99="",D99=""),"",B99&amp;"-"&amp;UPPER(C99)&amp;"-"&amp;TEXT(D99,"0000")&amp;"-"&amp;E99)</x:f>
        <x:v>M15-RESCUE-0093-V1.0</x:v>
      </x:c>
      <x:c r="B99" s="74" t="str">
        <x:v>M15</x:v>
      </x:c>
      <x:c r="C99" s="74" t="str">
        <x:v>RESCUE</x:v>
      </x:c>
      <x:c r="D99" s="215" t="n">
        <x:v>93</x:v>
      </x:c>
      <x:c r="E99" s="74" t="str">
        <x:v>V1.0</x:v>
      </x:c>
      <x:c r="F99" s="68" t="str">
        <x:v>救应必须有足够作用容量</x:v>
      </x:c>
      <x:c r="G99" s="82" t="str">
        <x:v>综合层</x:v>
      </x:c>
      <x:c r="H99" s="68" t="str">
        <x:v>所有破格候选</x:v>
      </x:c>
      <x:c r="I99" s="68" t="str">
        <x:v>同一救应力量同时承担多个修复任务</x:v>
      </x:c>
      <x:c r="J99" s="68" t="str">
        <x:v>其有效力量需要在多个对象间分配</x:v>
      </x:c>
      <x:c r="K99" s="68" t="str">
        <x:v>多处破损共享同一救应</x:v>
      </x:c>
      <x:c r="L99" s="82" t="str">
        <x:v>待定</x:v>
      </x:c>
      <x:c r="M99" s="68" t="str">
        <x:v>共享救应</x:v>
      </x:c>
      <x:c r="N99" s="82" t="str">
        <x:v>待定</x:v>
      </x:c>
      <x:c r="O99" s="84" t="str">
        <x:v>待定</x:v>
      </x:c>
      <x:c r="P99" s="82" t="str">
        <x:v>待定</x:v>
      </x:c>
      <x:c r="Q99" s="68" t="str">
        <x:v>不能把同一节点在多个救应中重复全额调用</x:v>
      </x:c>
      <x:c r="R99" s="68" t="str">
        <x:v>M14已生成候选；M08、M09、M10、M11相关结论可追溯</x:v>
      </x:c>
      <x:c r="S99" s="68" t="str">
        <x:v>格神与关键配合十神均以有效力量和实际功能为准</x:v>
      </x:c>
      <x:c r="T99" s="68" t="str">
        <x:v>格神得令、有根、透达、清纯，组合路径稳定且日主承载匹配</x:v>
      </x:c>
      <x:c r="U99" s="68" t="str">
        <x:v>格神受制、混杂、路径受阻、日主承载不足或救应只能局部作用</x:v>
      </x:c>
      <x:c r="V99" s="90" t="str">
        <x:v>格神失效、核心作用路径完全中断，或特殊格局硬门槛被有效反证否决</x:v>
      </x:c>
      <x:c r="W99" s="68" t="str">
        <x:v>特殊格局严格条件、流派争议及岁运补成另按专门规则处理</x:v>
      </x:c>
      <x:c r="X99" s="84" t="str">
        <x:v>救应_容量去重</x:v>
      </x:c>
      <x:c r="Y99" s="84" t="str">
        <x:v>所有破格候选判为“待定”：破格等级为“待定”，救应为“待定”，清纯度为“待定”；层次需结合全局继续评估。</x:v>
      </x:c>
      <x:c r="Z99" s="68" t="str">
        <x:v>若“格神失效、核心作用路径完全中断，或特殊格局硬门槛被有效反证否决”成立，应降低为成立但有破或不成立，不得维持当前结论。</x:v>
      </x:c>
      <x:c r="AA99" s="82" t="str">
        <x:v>较高</x:v>
      </x:c>
      <x:c r="AB99" s="82" t="str">
        <x:v>子平格局</x:v>
      </x:c>
      <x:c r="AC99" s="68" t="str">
        <x:v>格局成败须区分：格神是否有效、结构是否能运行、是否存在破坏、救应是否直接修复破格机制，以及格局成立与层次高低。</x:v>
      </x:c>
      <x:c r="AD99" s="68" t="str">
        <x:v>当“同一救应力量同时承担多个修复任务”成立，且成格证据相互支持、无决定性否决时，可按本规则判断。</x:v>
      </x:c>
      <x:c r="AE99" s="90" t="str">
        <x:v>只有格局名称或局部组合，但“格神失效、核心作用路径完全中断，或特殊格局硬门槛被有效反证否决”成立时，不能按本规则维持格局。</x:v>
      </x:c>
      <x:c r="AF99" s="68" t="str">
        <x:v>https://zh.wikisource.org/zh-hans/%E6%B7%B5%E6%B5%B7%E5%AD%90%E5%B9%B3 ; https://zh.wikisource.org/wiki/%E6%BB%B4%E5%A4%A9%E9%AB%93%E9%97%A1%E5%BE%AE</x:v>
      </x:c>
      <x:c r="AG99" s="82" t="str">
        <x:v>采用</x:v>
      </x:c>
      <x:c r="AH99" s="82" t="str">
        <x:v>初审</x:v>
      </x:c>
      <x:c r="AI99" s="87" t="n">
        <x:v>46260</x:v>
      </x:c>
    </x:row>
    <x:row r="100">
      <x:c r="A100" s="72" t="str">
        <x:f>IF(OR(C100="",D100=""),"",B100&amp;"-"&amp;UPPER(C100)&amp;"-"&amp;TEXT(D100,"0000")&amp;"-"&amp;E100)</x:f>
        <x:v>M15-RESCUE-0094-V1.0</x:v>
      </x:c>
      <x:c r="B100" s="74" t="str">
        <x:v>M15</x:v>
      </x:c>
      <x:c r="C100" s="74" t="str">
        <x:v>RESCUE</x:v>
      </x:c>
      <x:c r="D100" s="215" t="n">
        <x:v>94</x:v>
      </x:c>
      <x:c r="E100" s="74" t="str">
        <x:v>V1.0</x:v>
      </x:c>
      <x:c r="F100" s="68" t="str">
        <x:v>多重救应需要判断是否相互协同</x:v>
      </x:c>
      <x:c r="G100" s="82" t="str">
        <x:v>综合层</x:v>
      </x:c>
      <x:c r="H100" s="68" t="str">
        <x:v>所有破格候选</x:v>
      </x:c>
      <x:c r="I100" s="68" t="str">
        <x:v>两个以上救应力量同时出现</x:v>
      </x:c>
      <x:c r="J100" s="68" t="str">
        <x:v>救应可能互相生扶，也可能互相克制或争夺同一节点</x:v>
      </x:c>
      <x:c r="K100" s="68" t="str">
        <x:v>待定</x:v>
      </x:c>
      <x:c r="L100" s="82" t="str">
        <x:v>待定</x:v>
      </x:c>
      <x:c r="M100" s="68" t="str">
        <x:v>多重救应</x:v>
      </x:c>
      <x:c r="N100" s="82" t="str">
        <x:v>待定</x:v>
      </x:c>
      <x:c r="O100" s="84" t="str">
        <x:v>待定</x:v>
      </x:c>
      <x:c r="P100" s="82" t="str">
        <x:v>待定</x:v>
      </x:c>
      <x:c r="Q100" s="68" t="str">
        <x:v>按协同后的净修复效果定级，不按救应数量累加</x:v>
      </x:c>
      <x:c r="R100" s="68" t="str">
        <x:v>M14已生成候选；M08、M09、M10、M11相关结论可追溯</x:v>
      </x:c>
      <x:c r="S100" s="68" t="str">
        <x:v>格神与关键配合十神均以有效力量和实际功能为准</x:v>
      </x:c>
      <x:c r="T100" s="68" t="str">
        <x:v>格神得令、有根、透达、清纯，组合路径稳定且日主承载匹配</x:v>
      </x:c>
      <x:c r="U100" s="68" t="str">
        <x:v>格神受制、混杂、路径受阻、日主承载不足或救应只能局部作用</x:v>
      </x:c>
      <x:c r="V100" s="90" t="str">
        <x:v>格神失效、核心作用路径完全中断，或特殊格局硬门槛被有效反证否决</x:v>
      </x:c>
      <x:c r="W100" s="68" t="str">
        <x:v>特殊格局严格条件、流派争议及岁运补成另按专门规则处理</x:v>
      </x:c>
      <x:c r="X100" s="84" t="str">
        <x:v>救应_多救应协同</x:v>
      </x:c>
      <x:c r="Y100" s="84" t="str">
        <x:v>所有破格候选判为“待定”：破格等级为“待定”，救应为“待定”，清纯度为“待定”；层次需结合全局继续评估。</x:v>
      </x:c>
      <x:c r="Z100" s="68" t="str">
        <x:v>若“格神失效、核心作用路径完全中断，或特殊格局硬门槛被有效反证否决”成立，应降低为成立但有破或不成立，不得维持当前结论。</x:v>
      </x:c>
      <x:c r="AA100" s="82" t="str">
        <x:v>较高</x:v>
      </x:c>
      <x:c r="AB100" s="82" t="str">
        <x:v>子平格局</x:v>
      </x:c>
      <x:c r="AC100" s="68" t="str">
        <x:v>格局成败须区分：格神是否有效、结构是否能运行、是否存在破坏、救应是否直接修复破格机制，以及格局成立与层次高低。</x:v>
      </x:c>
      <x:c r="AD100" s="68" t="str">
        <x:v>当“两个以上救应力量同时出现”成立，且成格证据相互支持、无决定性否决时，可按本规则判断。</x:v>
      </x:c>
      <x:c r="AE100" s="90" t="str">
        <x:v>只有格局名称或局部组合，但“格神失效、核心作用路径完全中断，或特殊格局硬门槛被有效反证否决”成立时，不能按本规则维持格局。</x:v>
      </x:c>
      <x:c r="AF100" s="68" t="str">
        <x:v>https://zh.wikisource.org/zh-hans/%E6%B7%B5%E6%B5%B7%E5%AD%90%E5%B9%B3 ; https://zh.wikisource.org/wiki/%E6%BB%B4%E5%A4%A9%E9%AB%93%E9%97%A1%E5%BE%AE</x:v>
      </x:c>
      <x:c r="AG100" s="82" t="str">
        <x:v>采用</x:v>
      </x:c>
      <x:c r="AH100" s="82" t="str">
        <x:v>初审</x:v>
      </x:c>
      <x:c r="AI100" s="87" t="n">
        <x:v>46260</x:v>
      </x:c>
    </x:row>
    <x:row r="101">
      <x:c r="A101" s="72" t="str">
        <x:f>IF(OR(C101="",D101=""),"",B101&amp;"-"&amp;UPPER(C101)&amp;"-"&amp;TEXT(D101,"0000")&amp;"-"&amp;E101)</x:f>
        <x:v>M15-RESCUE-0095-V1.0</x:v>
      </x:c>
      <x:c r="B101" s="74" t="str">
        <x:v>M15</x:v>
      </x:c>
      <x:c r="C101" s="74" t="str">
        <x:v>RESCUE</x:v>
      </x:c>
      <x:c r="D101" s="215" t="n">
        <x:v>95</x:v>
      </x:c>
      <x:c r="E101" s="74" t="str">
        <x:v>V1.0</x:v>
      </x:c>
      <x:c r="F101" s="68" t="str">
        <x:v>救应只能修复其对应的破格对象</x:v>
      </x:c>
      <x:c r="G101" s="82" t="str">
        <x:v>综合层</x:v>
      </x:c>
      <x:c r="H101" s="68" t="str">
        <x:v>所有破格候选</x:v>
      </x:c>
      <x:c r="I101" s="68" t="str">
        <x:v>救应与某一破格因素作用路径成立</x:v>
      </x:c>
      <x:c r="J101" s="68" t="str">
        <x:v>对其他无路径的破格因素不产生自动修复</x:v>
      </x:c>
      <x:c r="K101" s="68" t="str">
        <x:v>多类破格并存</x:v>
      </x:c>
      <x:c r="L101" s="82" t="str">
        <x:v>待定</x:v>
      </x:c>
      <x:c r="M101" s="68" t="str">
        <x:v>定向救应</x:v>
      </x:c>
      <x:c r="N101" s="82" t="str">
        <x:v>待定</x:v>
      </x:c>
      <x:c r="O101" s="84" t="str">
        <x:v>待定</x:v>
      </x:c>
      <x:c r="P101" s="82" t="str">
        <x:v>待定</x:v>
      </x:c>
      <x:c r="Q101" s="68" t="str">
        <x:v>一个救应不能无条件包治全局所有破格</x:v>
      </x:c>
      <x:c r="R101" s="68" t="str">
        <x:v>M14已生成候选；M08、M09、M10、M11相关结论可追溯</x:v>
      </x:c>
      <x:c r="S101" s="68" t="str">
        <x:v>格神与关键配合十神均以有效力量和实际功能为准</x:v>
      </x:c>
      <x:c r="T101" s="68" t="str">
        <x:v>格神得令、有根、透达、清纯，组合路径稳定且日主承载匹配</x:v>
      </x:c>
      <x:c r="U101" s="68" t="str">
        <x:v>格神受制、混杂、路径受阻、日主承载不足或救应只能局部作用</x:v>
      </x:c>
      <x:c r="V101" s="90" t="str">
        <x:v>格神失效、核心作用路径完全中断，或特殊格局硬门槛被有效反证否决</x:v>
      </x:c>
      <x:c r="W101" s="68" t="str">
        <x:v>特殊格局严格条件、流派争议及岁运补成另按专门规则处理</x:v>
      </x:c>
      <x:c r="X101" s="84" t="str">
        <x:v>救应_对象限定</x:v>
      </x:c>
      <x:c r="Y101" s="84" t="str">
        <x:v>所有破格候选判为“待定”：破格等级为“待定”，救应为“待定”，清纯度为“待定”；层次需结合全局继续评估。</x:v>
      </x:c>
      <x:c r="Z101" s="68" t="str">
        <x:v>若“格神失效、核心作用路径完全中断，或特殊格局硬门槛被有效反证否决”成立，应降低为成立但有破或不成立，不得维持当前结论。</x:v>
      </x:c>
      <x:c r="AA101" s="82" t="str">
        <x:v>较高</x:v>
      </x:c>
      <x:c r="AB101" s="82" t="str">
        <x:v>子平格局</x:v>
      </x:c>
      <x:c r="AC101" s="68" t="str">
        <x:v>格局成败须区分：格神是否有效、结构是否能运行、是否存在破坏、救应是否直接修复破格机制，以及格局成立与层次高低。</x:v>
      </x:c>
      <x:c r="AD101" s="68" t="str">
        <x:v>当“救应与某一破格因素作用路径成立”成立，且成格证据相互支持、无决定性否决时，可按本规则判断。</x:v>
      </x:c>
      <x:c r="AE101" s="90" t="str">
        <x:v>只有格局名称或局部组合，但“格神失效、核心作用路径完全中断，或特殊格局硬门槛被有效反证否决”成立时，不能按本规则维持格局。</x:v>
      </x:c>
      <x:c r="AF101" s="68" t="str">
        <x:v>https://zh.wikisource.org/zh-hans/%E6%B7%B5%E6%B5%B7%E5%AD%90%E5%B9%B3 ; https://zh.wikisource.org/wiki/%E6%BB%B4%E5%A4%A9%E9%AB%93%E9%97%A1%E5%BE%AE</x:v>
      </x:c>
      <x:c r="AG101" s="82" t="str">
        <x:v>采用</x:v>
      </x:c>
      <x:c r="AH101" s="82" t="str">
        <x:v>初审</x:v>
      </x:c>
      <x:c r="AI101" s="87" t="n">
        <x:v>46260</x:v>
      </x:c>
    </x:row>
    <x:row r="102">
      <x:c r="A102" s="72" t="str">
        <x:f>IF(OR(C102="",D102=""),"",B102&amp;"-"&amp;UPPER(C102)&amp;"-"&amp;TEXT(D102,"0000")&amp;"-"&amp;E102)</x:f>
        <x:v>M15-RESCUE-0096-V1.0</x:v>
      </x:c>
      <x:c r="B102" s="74" t="str">
        <x:v>M15</x:v>
      </x:c>
      <x:c r="C102" s="74" t="str">
        <x:v>RESCUE</x:v>
      </x:c>
      <x:c r="D102" s="215" t="n">
        <x:v>96</x:v>
      </x:c>
      <x:c r="E102" s="74" t="str">
        <x:v>V1.0</x:v>
      </x:c>
      <x:c r="F102" s="68" t="str">
        <x:v>救应有效性应进入格局层次而非改变原始事实</x:v>
      </x:c>
      <x:c r="G102" s="82" t="str">
        <x:v>综合层</x:v>
      </x:c>
      <x:c r="H102" s="68" t="str">
        <x:v>所有格局</x:v>
      </x:c>
      <x:c r="I102" s="68" t="str">
        <x:v>有破有救结构已经确认</x:v>
      </x:c>
      <x:c r="J102" s="68" t="str">
        <x:v>原破格与救应两者均保留记录</x:v>
      </x:c>
      <x:c r="K102" s="68" t="str">
        <x:v>历史破格事实存在</x:v>
      </x:c>
      <x:c r="L102" s="82" t="str">
        <x:v>待定</x:v>
      </x:c>
      <x:c r="M102" s="68" t="str">
        <x:v>有效救应</x:v>
      </x:c>
      <x:c r="N102" s="82" t="str">
        <x:v>待定</x:v>
      </x:c>
      <x:c r="O102" s="84" t="str">
        <x:v>有破有救</x:v>
      </x:c>
      <x:c r="P102" s="82" t="str">
        <x:v>待定</x:v>
      </x:c>
      <x:c r="Q102" s="68" t="str">
        <x:v>输出应说明“有破有救”，不能把它改写成原局从未有破</x:v>
      </x:c>
      <x:c r="R102" s="68" t="str">
        <x:v>M14已生成候选；M08、M09、M10、M11相关结论可追溯</x:v>
      </x:c>
      <x:c r="S102" s="68" t="str">
        <x:v>格神与关键配合十神均以有效力量和实际功能为准</x:v>
      </x:c>
      <x:c r="T102" s="68" t="str">
        <x:v>格神得令、有根、透达、清纯，组合路径稳定且日主承载匹配</x:v>
      </x:c>
      <x:c r="U102" s="68" t="str">
        <x:v>格神受制、混杂、路径受阻、日主承载不足或救应只能局部作用</x:v>
      </x:c>
      <x:c r="V102" s="90" t="str">
        <x:v>格神失效、核心作用路径完全中断，或特殊格局硬门槛被有效反证否决</x:v>
      </x:c>
      <x:c r="W102" s="68" t="str">
        <x:v>特殊格局严格条件、流派争议及岁运补成另按专门规则处理</x:v>
      </x:c>
      <x:c r="X102" s="84" t="str">
        <x:v>救应_事实保留</x:v>
      </x:c>
      <x:c r="Y102" s="84" t="str">
        <x:v>最终表述必须同时保留破格机制和救应机制，并说明净结果与层次，不把有破有救伪装成天然清纯无破。</x:v>
      </x:c>
      <x:c r="Z102" s="68" t="str">
        <x:v>若“格神失效、核心作用路径完全中断，或特殊格局硬门槛被有效反证否决”成立，应降低为成立但有破或不成立，不得维持当前结论。</x:v>
      </x:c>
      <x:c r="AA102" s="82" t="str">
        <x:v>较高</x:v>
      </x:c>
      <x:c r="AB102" s="82" t="str">
        <x:v>子平格局</x:v>
      </x:c>
      <x:c r="AC102" s="68" t="str">
        <x:v>格局成败须区分：格神是否有效、结构是否能运行、是否存在破坏、救应是否直接修复破格机制，以及格局成立与层次高低。</x:v>
      </x:c>
      <x:c r="AD102" s="68" t="str">
        <x:v>当“有破有救结构已经确认”成立，且成格证据相互支持、无决定性否决时，可按本规则判断。</x:v>
      </x:c>
      <x:c r="AE102" s="90" t="str">
        <x:v>只有格局名称或局部组合，但“格神失效、核心作用路径完全中断，或特殊格局硬门槛被有效反证否决”成立时，不能按本规则维持格局。</x:v>
      </x:c>
      <x:c r="AF102" s="68" t="str">
        <x:v>https://zh.wikisource.org/zh-hans/%E6%B7%B5%E6%B5%B7%E5%AD%90%E5%B9%B3 ; https://zh.wikisource.org/wiki/%E6%BB%B4%E5%A4%A9%E9%AB%93%E9%97%A1%E5%BE%AE</x:v>
      </x:c>
      <x:c r="AG102" s="82" t="str">
        <x:v>采用</x:v>
      </x:c>
      <x:c r="AH102" s="82" t="str">
        <x:v>初审</x:v>
      </x:c>
      <x:c r="AI102" s="87" t="n">
        <x:v>46260</x:v>
      </x:c>
    </x:row>
    <x:row r="103">
      <x:c r="A103" s="72" t="str">
        <x:f>IF(OR(C103="",D103=""),"",B103&amp;"-"&amp;UPPER(C103)&amp;"-"&amp;TEXT(D103,"0000")&amp;"-"&amp;E103)</x:f>
        <x:v>M15-BOUND-0097-V1.0</x:v>
      </x:c>
      <x:c r="B103" s="74" t="str">
        <x:v>M15</x:v>
      </x:c>
      <x:c r="C103" s="74" t="str">
        <x:v>BOUND</x:v>
      </x:c>
      <x:c r="D103" s="215" t="n">
        <x:v>97</x:v>
      </x:c>
      <x:c r="E103" s="74" t="str">
        <x:v>V1.0</x:v>
      </x:c>
      <x:c r="F103" s="68" t="str">
        <x:v>格局成立不等于格局层次高</x:v>
      </x:c>
      <x:c r="G103" s="82" t="str">
        <x:v>综合层</x:v>
      </x:c>
      <x:c r="H103" s="68" t="str">
        <x:v>所有格局</x:v>
      </x:c>
      <x:c r="I103" s="68" t="str">
        <x:v>格局达到基本成立</x:v>
      </x:c>
      <x:c r="J103" s="68" t="str">
        <x:v>清纯度、破格、救应、流通、调候与日主承载仍可能一般</x:v>
      </x:c>
      <x:c r="K103" s="68" t="str">
        <x:v>待定</x:v>
      </x:c>
      <x:c r="L103" s="82" t="str">
        <x:v>待定</x:v>
      </x:c>
      <x:c r="M103" s="68" t="str">
        <x:v>待定</x:v>
      </x:c>
      <x:c r="N103" s="82" t="str">
        <x:v>待定</x:v>
      </x:c>
      <x:c r="O103" s="84" t="str">
        <x:v>基本成立</x:v>
      </x:c>
      <x:c r="P103" s="82" t="str">
        <x:v>待定</x:v>
      </x:c>
      <x:c r="Q103" s="68" t="str">
        <x:v>必须单独评价运行质量和稳定性</x:v>
      </x:c>
      <x:c r="R103" s="68" t="str">
        <x:v>M14已生成候选；M08、M09、M10、M11相关结论可追溯</x:v>
      </x:c>
      <x:c r="S103" s="68" t="str">
        <x:v>格神与关键配合十神均以有效力量和实际功能为准</x:v>
      </x:c>
      <x:c r="T103" s="68" t="str">
        <x:v>格神得令、有根、透达、清纯，组合路径稳定且日主承载匹配</x:v>
      </x:c>
      <x:c r="U103" s="68" t="str">
        <x:v>格神受制、混杂、路径受阻、日主承载不足或救应只能局部作用</x:v>
      </x:c>
      <x:c r="V103" s="90" t="str">
        <x:v>格神失效、核心作用路径完全中断，或特殊格局硬门槛被有效反证否决</x:v>
      </x:c>
      <x:c r="W103" s="68" t="str">
        <x:v>特殊格局严格条件、流派争议及岁运补成另按专门规则处理</x:v>
      </x:c>
      <x:c r="X103" s="84" t="str">
        <x:v>格局成立层次边界</x:v>
      </x:c>
      <x:c r="Y103" s="84" t="str">
        <x:v>所有格局判为“基本成立”：破格等级为“待定”，救应为“待定”，清纯度为“待定”；层次需结合全局继续评估。</x:v>
      </x:c>
      <x:c r="Z103" s="68" t="str">
        <x:v>若“格神失效、核心作用路径完全中断，或特殊格局硬门槛被有效反证否决”成立，应降低为成立但有破或不成立，不得维持当前结论。</x:v>
      </x:c>
      <x:c r="AA103" s="82" t="str">
        <x:v>较高</x:v>
      </x:c>
      <x:c r="AB103" s="82" t="str">
        <x:v>子平格局</x:v>
      </x:c>
      <x:c r="AC103" s="68" t="str">
        <x:v>格局成败须区分：格神是否有效、结构是否能运行、是否存在破坏、救应是否直接修复破格机制，以及格局成立与层次高低。</x:v>
      </x:c>
      <x:c r="AD103" s="68" t="str">
        <x:v>当“格局达到基本成立”成立，且成格证据相互支持、无决定性否决时，可按本规则判断。</x:v>
      </x:c>
      <x:c r="AE103" s="90" t="str">
        <x:v>只有格局名称或局部组合，但“格神失效、核心作用路径完全中断，或特殊格局硬门槛被有效反证否决”成立时，不能按本规则维持格局。</x:v>
      </x:c>
      <x:c r="AF103" s="68" t="str">
        <x:v>https://zh.wikisource.org/zh-hans/%E6%B7%B5%E6%B5%B7%E5%AD%90%E5%B9%B3 ; https://zh.wikisource.org/wiki/%E6%BB%B4%E5%A4%A9%E9%AB%93%E9%97%A1%E5%BE%AE</x:v>
      </x:c>
      <x:c r="AG103" s="82" t="str">
        <x:v>采用</x:v>
      </x:c>
      <x:c r="AH103" s="82" t="str">
        <x:v>初审</x:v>
      </x:c>
      <x:c r="AI103" s="87" t="n">
        <x:v>46260</x:v>
      </x:c>
    </x:row>
    <x:row r="104">
      <x:c r="A104" s="72" t="str">
        <x:f>IF(OR(C104="",D104=""),"",B104&amp;"-"&amp;UPPER(C104)&amp;"-"&amp;TEXT(D104,"0000")&amp;"-"&amp;E104)</x:f>
        <x:v>M15-BOUND-0098-V1.0</x:v>
      </x:c>
      <x:c r="B104" s="74" t="str">
        <x:v>M15</x:v>
      </x:c>
      <x:c r="C104" s="74" t="str">
        <x:v>BOUND</x:v>
      </x:c>
      <x:c r="D104" s="215" t="n">
        <x:v>98</x:v>
      </x:c>
      <x:c r="E104" s="74" t="str">
        <x:v>V1.0</x:v>
      </x:c>
      <x:c r="F104" s="68" t="str">
        <x:v>格局有破不等于必然完全不成立</x:v>
      </x:c>
      <x:c r="G104" s="82" t="str">
        <x:v>综合层</x:v>
      </x:c>
      <x:c r="H104" s="68" t="str">
        <x:v>所有格局</x:v>
      </x:c>
      <x:c r="I104" s="68" t="str">
        <x:v>核心格神和结构仍能运行</x:v>
      </x:c>
      <x:c r="J104" s="68" t="str">
        <x:v>月令依据、格神根气与有效力量、日主配合及M11组合证据相互支持</x:v>
      </x:c>
      <x:c r="K104" s="68" t="str">
        <x:v>存在轻微、一般或严重破损</x:v>
      </x:c>
      <x:c r="L104" s="82" t="str">
        <x:v>待定</x:v>
      </x:c>
      <x:c r="M104" s="68" t="str">
        <x:v>待定</x:v>
      </x:c>
      <x:c r="N104" s="82" t="str">
        <x:v>待定</x:v>
      </x:c>
      <x:c r="O104" s="84" t="str">
        <x:v>成立但有破</x:v>
      </x:c>
      <x:c r="P104" s="82" t="str">
        <x:v>待定</x:v>
      </x:c>
      <x:c r="Q104" s="68" t="str">
        <x:v>只有根本破格或核心失效才判不成立</x:v>
      </x:c>
      <x:c r="R104" s="68" t="str">
        <x:v>M14已生成候选；M08、M09、M10、M11相关结论可追溯</x:v>
      </x:c>
      <x:c r="S104" s="68" t="str">
        <x:v>格神与关键配合十神均以有效力量和实际功能为准</x:v>
      </x:c>
      <x:c r="T104" s="68" t="str">
        <x:v>格神得令、有根、透达、清纯，组合路径稳定且日主承载匹配</x:v>
      </x:c>
      <x:c r="U104" s="68" t="str">
        <x:v>格神受制、混杂、路径受阻、日主承载不足或救应只能局部作用</x:v>
      </x:c>
      <x:c r="V104" s="90" t="str">
        <x:v>格神失效、核心作用路径完全中断，或特殊格局硬门槛被有效反证否决</x:v>
      </x:c>
      <x:c r="W104" s="68" t="str">
        <x:v>特殊格局严格条件、流派争议及岁运补成另按专门规则处理</x:v>
      </x:c>
      <x:c r="X104" s="84" t="str">
        <x:v>有破非自动否决</x:v>
      </x:c>
      <x:c r="Y104" s="84" t="str">
        <x:v>所有格局判为“成立但有破”：破格等级为“待定”，救应为“待定”，清纯度为“待定”；层次需结合全局继续评估。</x:v>
      </x:c>
      <x:c r="Z104" s="68" t="str">
        <x:v>若“格神失效、核心作用路径完全中断，或特殊格局硬门槛被有效反证否决”成立，应降低为成立但有破或不成立，不得维持当前结论。</x:v>
      </x:c>
      <x:c r="AA104" s="82" t="str">
        <x:v>较高</x:v>
      </x:c>
      <x:c r="AB104" s="82" t="str">
        <x:v>子平格局</x:v>
      </x:c>
      <x:c r="AC104" s="68" t="str">
        <x:v>格局成败须区分：格神是否有效、结构是否能运行、是否存在破坏、救应是否直接修复破格机制，以及格局成立与层次高低。</x:v>
      </x:c>
      <x:c r="AD104" s="68" t="str">
        <x:v>当“核心格神和结构仍能运行”成立，且成格证据相互支持、无决定性否决时，可按本规则判断。</x:v>
      </x:c>
      <x:c r="AE104" s="90" t="str">
        <x:v>只有格局名称或局部组合，但“格神失效、核心作用路径完全中断，或特殊格局硬门槛被有效反证否决”成立时，不能按本规则维持格局。</x:v>
      </x:c>
      <x:c r="AF104" s="68" t="str">
        <x:v>https://zh.wikisource.org/zh-hans/%E6%B7%B5%E6%B5%B7%E5%AD%90%E5%B9%B3 ; https://zh.wikisource.org/wiki/%E6%BB%B4%E5%A4%A9%E9%AB%93%E9%97%A1%E5%BE%AE</x:v>
      </x:c>
      <x:c r="AG104" s="82" t="str">
        <x:v>采用</x:v>
      </x:c>
      <x:c r="AH104" s="82" t="str">
        <x:v>初审</x:v>
      </x:c>
      <x:c r="AI104" s="87" t="n">
        <x:v>46260</x:v>
      </x:c>
    </x:row>
    <x:row r="105">
      <x:c r="A105" s="72" t="str">
        <x:f>IF(OR(C105="",D105=""),"",B105&amp;"-"&amp;UPPER(C105)&amp;"-"&amp;TEXT(D105,"0000")&amp;"-"&amp;E105)</x:f>
        <x:v>M15-BOUND-0099-V1.0</x:v>
      </x:c>
      <x:c r="B105" s="74" t="str">
        <x:v>M15</x:v>
      </x:c>
      <x:c r="C105" s="74" t="str">
        <x:v>BOUND</x:v>
      </x:c>
      <x:c r="D105" s="215" t="n">
        <x:v>99</x:v>
      </x:c>
      <x:c r="E105" s="74" t="str">
        <x:v>V1.0</x:v>
      </x:c>
      <x:c r="F105" s="68" t="str">
        <x:v>格局成败不能直接推出富贵贫贱与具体事件</x:v>
      </x:c>
      <x:c r="G105" s="82" t="str">
        <x:v>综合层</x:v>
      </x:c>
      <x:c r="H105" s="68" t="str">
        <x:v>所有格局</x:v>
      </x:c>
      <x:c r="I105" s="68" t="str">
        <x:v>M15完成最终格局状态</x:v>
      </x:c>
      <x:c r="J105" s="68" t="str">
        <x:v>格局是结构运行方式，不是现实结果的单因决定</x:v>
      </x:c>
      <x:c r="K105" s="68" t="str">
        <x:v>不适用</x:v>
      </x:c>
      <x:c r="L105" s="82" t="str">
        <x:v>无破</x:v>
      </x:c>
      <x:c r="M105" s="68" t="str">
        <x:v>不适用</x:v>
      </x:c>
      <x:c r="N105" s="82" t="str">
        <x:v>无救应</x:v>
      </x:c>
      <x:c r="O105" s="84" t="str">
        <x:v>待定</x:v>
      </x:c>
      <x:c r="P105" s="82" t="str">
        <x:v>待定</x:v>
      </x:c>
      <x:c r="Q105" s="68" t="str">
        <x:v>现实表现需结合用神、岁运和上层主题模型</x:v>
      </x:c>
      <x:c r="R105" s="68" t="str">
        <x:v>M14已生成候选；M08、M09、M10、M11相关结论可追溯</x:v>
      </x:c>
      <x:c r="S105" s="68" t="str">
        <x:v>格神与关键配合十神均以有效力量和实际功能为准</x:v>
      </x:c>
      <x:c r="T105" s="68" t="str">
        <x:v>格神得令、有根、透达、清纯，组合路径稳定且日主承载匹配</x:v>
      </x:c>
      <x:c r="U105" s="68" t="str">
        <x:v>格神受制、混杂、路径受阻、日主承载不足或救应只能局部作用</x:v>
      </x:c>
      <x:c r="V105" s="90" t="str">
        <x:v>格神失效、核心作用路径完全中断，或特殊格局硬门槛被有效反证否决</x:v>
      </x:c>
      <x:c r="W105" s="68" t="str">
        <x:v>特殊格局严格条件、流派争议及岁运补成另按专门规则处理</x:v>
      </x:c>
      <x:c r="X105" s="84" t="str">
        <x:v>格局事件边界</x:v>
      </x:c>
      <x:c r="Y105" s="84" t="str">
        <x:v>M15只输出格局成立、破格、救应、清纯度与层次，不直接断财富、职位、婚姻、疾病或具体人生事件。</x:v>
      </x:c>
      <x:c r="Z105" s="68" t="str">
        <x:v>若“格神失效、核心作用路径完全中断，或特殊格局硬门槛被有效反证否决”成立，应降低为成立但有破或不成立，不得维持当前结论。</x:v>
      </x:c>
      <x:c r="AA105" s="82" t="str">
        <x:v>较高</x:v>
      </x:c>
      <x:c r="AB105" s="82" t="str">
        <x:v>子平格局</x:v>
      </x:c>
      <x:c r="AC105" s="68" t="str">
        <x:v>格局成败须区分：格神是否有效、结构是否能运行、是否存在破坏、救应是否直接修复破格机制，以及格局成立与层次高低。</x:v>
      </x:c>
      <x:c r="AD105" s="68" t="str">
        <x:v>当“M15完成最终格局状态”成立，且成格证据相互支持、无决定性否决时，可按本规则判断。</x:v>
      </x:c>
      <x:c r="AE105" s="90" t="str">
        <x:v>只有格局名称或局部组合，但“格神失效、核心作用路径完全中断，或特殊格局硬门槛被有效反证否决”成立时，不能按本规则维持格局。</x:v>
      </x:c>
      <x:c r="AF105" s="68" t="str">
        <x:v>https://zh.wikisource.org/zh-hans/%E6%B7%B5%E6%B5%B7%E5%AD%90%E5%B9%B3 ; https://zh.wikisource.org/wiki/%E6%BB%B4%E5%A4%A9%E9%AB%93%E9%97%A1%E5%BE%AE</x:v>
      </x:c>
      <x:c r="AG105" s="82" t="str">
        <x:v>采用</x:v>
      </x:c>
      <x:c r="AH105" s="82" t="str">
        <x:v>初审</x:v>
      </x:c>
      <x:c r="AI105" s="87" t="n">
        <x:v>46260</x:v>
      </x:c>
    </x:row>
    <x:row r="106">
      <x:c r="A106" s="214" t="str">
        <x:f>IF(OR(C106="",D106=""),"",B106&amp;"-"&amp;UPPER(C106)&amp;"-"&amp;TEXT(D106,"0000")&amp;"-"&amp;E106)</x:f>
        <x:v>M15-BOUND-0100-V1.0</x:v>
      </x:c>
      <x:c r="B106" s="214" t="str">
        <x:v>M15</x:v>
      </x:c>
      <x:c r="C106" s="214" t="str">
        <x:v>BOUND</x:v>
      </x:c>
      <x:c r="D106" s="216" t="n">
        <x:v>100</x:v>
      </x:c>
      <x:c r="E106" s="214" t="str">
        <x:v>V1.0</x:v>
      </x:c>
      <x:c r="F106" s="214" t="str">
        <x:v>原局成败与岁运救格必须分开</x:v>
      </x:c>
      <x:c r="G106" s="214" t="str">
        <x:v>综合层</x:v>
      </x:c>
      <x:c r="H106" s="214" t="str">
        <x:v>所有格局</x:v>
      </x:c>
      <x:c r="I106" s="214" t="str">
        <x:v>原局格局存在破损或缺少救应</x:v>
      </x:c>
      <x:c r="J106" s="214" t="str">
        <x:v>未来岁运可能补入救应，但不属于原局静态事实</x:v>
      </x:c>
      <x:c r="K106" s="214" t="str">
        <x:v>原局破格照实保留</x:v>
      </x:c>
      <x:c r="L106" s="214" t="str">
        <x:v>待定</x:v>
      </x:c>
      <x:c r="M106" s="214" t="str">
        <x:v>岁运可能救格</x:v>
      </x:c>
      <x:c r="N106" s="214" t="str">
        <x:v>待定</x:v>
      </x:c>
      <x:c r="O106" s="214" t="str">
        <x:v>待定</x:v>
      </x:c>
      <x:c r="P106" s="214" t="str">
        <x:v>待定</x:v>
      </x:c>
      <x:c r="Q106" s="214" t="str">
        <x:v>原局状态先定，岁运变化由动态作用引擎另判</x:v>
      </x:c>
      <x:c r="R106" s="214" t="str">
        <x:v>M14已生成候选；M08、M09、M10、M11相关结论可追溯</x:v>
      </x:c>
      <x:c r="S106" s="214" t="str">
        <x:v>格神与关键配合十神均以有效力量和实际功能为准</x:v>
      </x:c>
      <x:c r="T106" s="214" t="str">
        <x:v>格神得令、有根、透达、清纯，组合路径稳定且日主承载匹配</x:v>
      </x:c>
      <x:c r="U106" s="214" t="str">
        <x:v>格神受制、混杂、路径受阻、日主承载不足或救应只能局部作用</x:v>
      </x:c>
      <x:c r="V106" s="214" t="str">
        <x:v>格神失效、核心作用路径完全中断，或特殊格局硬门槛被有效反证否决</x:v>
      </x:c>
      <x:c r="W106" s="214" t="str">
        <x:v>岁运引动、成格、破格与救格属于D0动态模型</x:v>
      </x:c>
      <x:c r="X106" s="214" t="str">
        <x:v>格局静动态边界</x:v>
      </x:c>
      <x:c r="Y106" s="214" t="str">
        <x:v>不得用未来岁运的潜在救应提前把原局写成有破有救或清纯成立。</x:v>
      </x:c>
      <x:c r="Z106" s="214" t="str">
        <x:v>若“格神失效、核心作用路径完全中断，或特殊格局硬门槛被有效反证否决”成立，应降低为成立但有破或不成立，不得维持当前结论。</x:v>
      </x:c>
      <x:c r="AA106" s="214" t="str">
        <x:v>较高</x:v>
      </x:c>
      <x:c r="AB106" s="214" t="str">
        <x:v>子平格局</x:v>
      </x:c>
      <x:c r="AC106" s="214" t="str">
        <x:v>格局成败须区分：格神是否有效、结构是否能运行、是否存在破坏、救应是否直接修复破格机制，以及格局成立与层次高低。</x:v>
      </x:c>
      <x:c r="AD106" s="214" t="str">
        <x:v>当“原局格局存在破损或缺少救应”成立，且成格证据相互支持、无决定性否决时，可按本规则判断。</x:v>
      </x:c>
      <x:c r="AE106" s="214" t="str">
        <x:v>只有格局名称或局部组合，但“格神失效、核心作用路径完全中断，或特殊格局硬门槛被有效反证否决”成立时，不能按本规则维持格局。</x:v>
      </x:c>
      <x:c r="AF106" s="214" t="str">
        <x:v>https://zh.wikisource.org/zh-hans/%E6%B7%B5%E6%B5%B7%E5%AD%90%E5%B9%B3 ; https://zh.wikisource.org/wiki/%E6%BB%B4%E5%A4%A9%E9%AB%93%E9%97%A1%E5%BE%AE</x:v>
      </x:c>
      <x:c r="AG106" s="214" t="str">
        <x:v>采用</x:v>
      </x:c>
      <x:c r="AH106" s="214" t="str">
        <x:v>初审</x:v>
      </x:c>
      <x:c r="AI106" s="217" t="n">
        <x:v>46260</x:v>
      </x:c>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'99_下拉选项'!$BG$4:$BG$15</x:formula1>
    </x:dataValidation>
    <x:dataValidation type="list" sqref="G7:G106">
      <x:formula1>'99_下拉选项'!$F$4:$F$7</x:formula1>
    </x:dataValidation>
    <x:dataValidation type="list" sqref="L7:L106">
      <x:formula1>'99_下拉选项'!$AF$4:$AF$9</x:formula1>
    </x:dataValidation>
    <x:dataValidation type="list" sqref="N7:N106">
      <x:formula1>'99_下拉选项'!$AG$4:$AG$9</x:formula1>
    </x:dataValidation>
    <x:dataValidation type="list" sqref="O7:O106">
      <x:formula1>'99_下拉选项'!$AD$4:$AD$11</x:formula1>
    </x:dataValidation>
    <x:dataValidation type="list" sqref="P7:P106">
      <x:formula1>'99_下拉选项'!$AE$4:$AE$9</x:formula1>
    </x:dataValidation>
    <x:dataValidation type="list" sqref="AA7:AA106">
      <x:formula1>'99_下拉选项'!$Q$4:$Q$8</x:formula1>
    </x:dataValidation>
    <x:dataValidation type="list" sqref="AB7:AB106">
      <x:formula1>'99_下拉选项'!$R$4:$R$11</x:formula1>
    </x:dataValidation>
    <x:dataValidation type="list" sqref="AG7:AG106">
      <x:formula1>'99_下拉选项'!$S$4:$S$9</x:formula1>
    </x:dataValidation>
    <x:dataValidation type="list" sqref="AH7:AH106">
      <x:formula1>'99_下拉选项'!$T$4:$T$8</x:formula1>
    </x:dataValidation>
    <x:dataValidation type="list" sqref="E7:E106">
      <x:formula1>'99_下拉选项'!$BG$4:$BG$22</x:formula1>
    </x:dataValidation>
  </x:dataValidations>
  <x:pageMargins left="0.7" right="0.7" top="0.75" bottom="0.75" header="0.3" footer="0.3"/>
  <x:tableParts count="1">
    <x:tablePart xmlns:r="http://schemas.openxmlformats.org/officeDocument/2006/relationships" r:id="R14b67fb77b11402c"/>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v>M16-GEN-0001-V1.0</x:v>
      </x:c>
      <x:c r="B7" s="74" t="str">
        <x:v>M16</x:v>
      </x:c>
      <x:c r="C7" s="74" t="str">
        <x:v>GEN</x:v>
      </x:c>
      <x:c r="D7" s="215" t="n">
        <x:v>1</x:v>
      </x:c>
      <x:c r="E7" s="74" t="str">
        <x:v>V1.0</x:v>
      </x:c>
      <x:c r="F7" s="68" t="str">
        <x:v>根本之病优先于表层症状</x:v>
      </x:c>
      <x:c r="G7" s="82" t="str">
        <x:v>综合层</x:v>
      </x:c>
      <x:c r="H7" s="82" t="str">
        <x:v>复合病</x:v>
      </x:c>
      <x:c r="I7" s="68" t="str">
        <x:v>根因—表象链</x:v>
      </x:c>
      <x:c r="J7" s="68" t="str">
        <x:v>根因识别</x:v>
      </x:c>
      <x:c r="K7" s="68" t="str">
        <x:v>同一表象背后的承载、流通、制化、格局或调候机制失效</x:v>
      </x:c>
      <x:c r="L7" s="68" t="str">
        <x:v>某五行过旺、官杀压力、财耗、寒湿等表面现象</x:v>
      </x:c>
      <x:c r="M7" s="82" t="str">
        <x:v>首要矛盾</x:v>
      </x:c>
      <x:c r="N7" s="68" t="str">
        <x:v>直接修复根因的五行/十神</x:v>
      </x:c>
      <x:c r="O7" s="68" t="str">
        <x:v>处理表层残余问题的辅助药</x:v>
      </x:c>
      <x:c r="P7" s="82" t="str">
        <x:v>复合药理</x:v>
      </x:c>
      <x:c r="Q7" s="68" t="str">
        <x:v>M08—M15已经确认相应结构性失衡与实际功能障碍</x:v>
      </x:c>
      <x:c r="R7" s="90" t="str">
        <x:v>不得只凭五行数量、十神名称或单一旺衰标签直接立病用药</x:v>
      </x:c>
      <x:c r="S7" s="90" t="str">
        <x:v>主要病位未被修复，原有失衡继续运行</x:v>
      </x:c>
      <x:c r="T7" s="90" t="str">
        <x:v>药神反向过度，可能跨越平衡并形成新的结构性失衡</x:v>
      </x:c>
      <x:c r="U7" s="82" t="str">
        <x:v>条件性</x:v>
      </x:c>
      <x:c r="V7" s="90" t="str">
        <x:v>条件性</x:v>
      </x:c>
      <x:c r="W7" s="90" t="str">
        <x:v>药不对症或制造次生失衡</x:v>
      </x:c>
      <x:c r="X7" s="68" t="str">
        <x:v>M08有效旺衰、M09日主旺衰、M10十神功能、M11组合、M12流通、M13调候、M15格局成败均已完成</x:v>
      </x:c>
      <x:c r="Y7" s="68" t="str">
        <x:v>病位、根因、功能障碍与药神作用路径均能够追溯</x:v>
      </x:c>
      <x:c r="Z7" s="68" t="str">
        <x:v>药神有根有源、透达，能够直接进入病位且兼顾多个主要问题</x:v>
      </x:c>
      <x:c r="AA7" s="68" t="str">
        <x:v>药神无根、受强制、被合绊、作用路径遥隔或同时被多个任务分流</x:v>
      </x:c>
      <x:c r="AB7" s="90" t="str">
        <x:v>若该失衡没有造成实际功能障碍，或特殊格局要求顺势，则不得按普通病药立论</x:v>
      </x:c>
      <x:c r="AC7" s="68" t="str">
        <x:v>特殊格局严格成立、岁运动态作用或流派争议转M18/M21及动态引擎</x:v>
      </x:c>
      <x:c r="AD7" s="84" t="str">
        <x:v>根本病优先</x:v>
      </x:c>
      <x:c r="AE7" s="84" t="str">
        <x:v>根本之病在“根因—表象链”：同一表象背后的承载、流通、制化、格局或调候机制失效；表层表现为“某五行过旺、官杀压力、财耗、寒湿等表面现象”。主药候选为“直接修复根因的五行/十神”，药理为“复合药理”；最终喜忌与主次仍转M17/M18裁决。</x:v>
      </x:c>
      <x:c r="AF7" s="82" t="str">
        <x:v>较高</x:v>
      </x:c>
      <x:c r="AG7" s="82" t="str">
        <x:v>病药</x:v>
      </x:c>
      <x:c r="AH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 s="68" t="str">
        <x:v>当“M08—M15已经确认相应结构性失衡与实际功能障碍”真实成立，且药神能够直接作用病位时，可按“根本之病优先于表层症状”记录。</x:v>
      </x:c>
      <x:c r="AJ7" s="90" t="str">
        <x:v>只有表面“某五行过旺、官杀压力、财耗、寒湿等表面现象”，但未证明根因“同一表象背后的承载、流通、制化、格局或调候机制失效”及药神作用路径时，不得套用“根本之病优先于表层症状”。</x:v>
      </x:c>
      <x:c r="AK7" s="82" t="str">
        <x:v>采用</x:v>
      </x:c>
      <x:c r="AL7" s="82" t="str">
        <x:v>初审</x:v>
      </x:c>
      <x:c r="AM7" s="87" t="n">
        <x:v>46260</x:v>
      </x:c>
    </x:row>
    <x:row r="8">
      <x:c r="A8" s="72" t="str">
        <x:f>IF(OR(C8="",D8=""),"",B8&amp;"-"&amp;UPPER(C8)&amp;"-"&amp;TEXT(D8,"0000")&amp;"-"&amp;E8)</x:f>
        <x:v>M16-GEN-0002-V1.0</x:v>
      </x:c>
      <x:c r="B8" s="74" t="str">
        <x:v>M16</x:v>
      </x:c>
      <x:c r="C8" s="74" t="str">
        <x:v>GEN</x:v>
      </x:c>
      <x:c r="D8" s="215" t="n">
        <x:v>2</x:v>
      </x:c>
      <x:c r="E8" s="74" t="str">
        <x:v>V1.0</x:v>
      </x:c>
      <x:c r="F8" s="68" t="str">
        <x:v>病必须以实际功能障碍为成立门槛</x:v>
      </x:c>
      <x:c r="G8" s="82" t="str">
        <x:v>综合层</x:v>
      </x:c>
      <x:c r="H8" s="82" t="str">
        <x:v>待定</x:v>
      </x:c>
      <x:c r="I8" s="68" t="str">
        <x:v>受损功能节点</x:v>
      </x:c>
      <x:c r="J8" s="68" t="str">
        <x:v>功能失衡</x:v>
      </x:c>
      <x:c r="K8" s="68" t="str">
        <x:v>结构失衡已经造成生、克、制、化、泄、承载或调候功能受阻</x:v>
      </x:c>
      <x:c r="L8" s="68" t="str">
        <x:v>力量存在但功能失效、流通中断或格局破损</x:v>
      </x:c>
      <x:c r="M8" s="82" t="str">
        <x:v>明显</x:v>
      </x:c>
      <x:c r="N8" s="68" t="str">
        <x:v>恢复受损功能的直接药神</x:v>
      </x:c>
      <x:c r="O8" s="68" t="str">
        <x:v>保护药神或修复相邻通路的辅助力量</x:v>
      </x:c>
      <x:c r="P8" s="82" t="str">
        <x:v>救应</x:v>
      </x:c>
      <x:c r="Q8" s="68" t="str">
        <x:v>M08—M15已经确认相应结构性失衡与实际功能障碍</x:v>
      </x:c>
      <x:c r="R8" s="90" t="str">
        <x:v>不得只凭五行数量、十神名称或单一旺衰标签直接立病用药</x:v>
      </x:c>
      <x:c r="S8" s="90" t="str">
        <x:v>主要病位未被修复，原有失衡继续运行</x:v>
      </x:c>
      <x:c r="T8" s="90" t="str">
        <x:v>药神反向过度，可能跨越平衡并形成新的结构性失衡</x:v>
      </x:c>
      <x:c r="U8" s="82" t="str">
        <x:v>条件性</x:v>
      </x:c>
      <x:c r="V8" s="90" t="str">
        <x:v>条件性</x:v>
      </x:c>
      <x:c r="W8" s="90" t="str">
        <x:v>待定</x:v>
      </x:c>
      <x:c r="X8" s="68" t="str">
        <x:v>M08有效旺衰、M09日主旺衰、M10十神功能、M11组合、M12流通、M13调候、M15格局成败均已完成</x:v>
      </x:c>
      <x:c r="Y8" s="68" t="str">
        <x:v>病位、根因、功能障碍与药神作用路径均能够追溯</x:v>
      </x:c>
      <x:c r="Z8" s="68" t="str">
        <x:v>药神有根有源、透达，能够直接进入病位且兼顾多个主要问题</x:v>
      </x:c>
      <x:c r="AA8" s="68" t="str">
        <x:v>药神无根、受强制、被合绊、作用路径遥隔或同时被多个任务分流</x:v>
      </x:c>
      <x:c r="AB8" s="90" t="str">
        <x:v>若该失衡没有造成实际功能障碍，或特殊格局要求顺势，则不得按普通病药立论</x:v>
      </x:c>
      <x:c r="AC8" s="68" t="str">
        <x:v>特殊格局严格成立、岁运动态作用或流派争议转M18/M21及动态引擎</x:v>
      </x:c>
      <x:c r="AD8" s="84" t="str">
        <x:v>功能障碍立病</x:v>
      </x:c>
      <x:c r="AE8" s="84" t="str">
        <x:v>根本之病在“受损功能节点”：结构失衡已经造成生、克、制、化、泄、承载或调候功能受阻；表层表现为“力量存在但功能失效、流通中断或格局破损”。主药候选为“恢复受损功能的直接药神”，药理为“救应”；最终喜忌与主次仍转M17/M18裁决。</x:v>
      </x:c>
      <x:c r="AF8" s="82" t="str">
        <x:v>较高</x:v>
      </x:c>
      <x:c r="AG8" s="82" t="str">
        <x:v>病药</x:v>
      </x:c>
      <x:c r="AH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 s="68" t="str">
        <x:v>当“M08—M15已经确认相应结构性失衡与实际功能障碍”真实成立，且药神能够直接作用病位时，可按“病必须以实际功能障碍为成立门槛”记录。</x:v>
      </x:c>
      <x:c r="AJ8" s="90" t="str">
        <x:v>只有表面“力量存在但功能失效、流通中断或格局破损”，但未证明根因“结构失衡已经造成生、克、制、化、泄、承载或调候功能受阻”及药神作用路径时，不得套用“病必须以实际功能障碍为成立门槛”。</x:v>
      </x:c>
      <x:c r="AK8" s="82" t="str">
        <x:v>采用</x:v>
      </x:c>
      <x:c r="AL8" s="82" t="str">
        <x:v>初审</x:v>
      </x:c>
      <x:c r="AM8" s="87" t="n">
        <x:v>46260</x:v>
      </x:c>
    </x:row>
    <x:row r="9">
      <x:c r="A9" s="72" t="str">
        <x:f>IF(OR(C9="",D9=""),"",B9&amp;"-"&amp;UPPER(C9)&amp;"-"&amp;TEXT(D9,"0000")&amp;"-"&amp;E9)</x:f>
        <x:v>M16-GEN-0003-V1.0</x:v>
      </x:c>
      <x:c r="B9" s="74" t="str">
        <x:v>M16</x:v>
      </x:c>
      <x:c r="C9" s="74" t="str">
        <x:v>GEN</x:v>
      </x:c>
      <x:c r="D9" s="215" t="n">
        <x:v>3</x:v>
      </x:c>
      <x:c r="E9" s="74" t="str">
        <x:v>V1.0</x:v>
      </x:c>
      <x:c r="F9" s="68" t="str">
        <x:v>五行旺弱本身不自动构成病</x:v>
      </x:c>
      <x:c r="G9" s="82" t="str">
        <x:v>综合层</x:v>
      </x:c>
      <x:c r="H9" s="82" t="str">
        <x:v>旺衰病</x:v>
      </x:c>
      <x:c r="I9" s="68" t="str">
        <x:v>五行力量层</x:v>
      </x:c>
      <x:c r="J9" s="68" t="str">
        <x:v>力量事实与病性分离</x:v>
      </x:c>
      <x:c r="K9" s="68" t="str">
        <x:v>只有旺弱，没有证明其妨碍承载、流通、格局或调候</x:v>
      </x:c>
      <x:c r="L9" s="68" t="str">
        <x:v>某五行旺或弱</x:v>
      </x:c>
      <x:c r="M9" s="82" t="str">
        <x:v>轻微</x:v>
      </x:c>
      <x:c r="N9" s="68" t="str">
        <x:v>不预设</x:v>
      </x:c>
      <x:c r="O9" s="68" t="str">
        <x:v>不预设</x:v>
      </x:c>
      <x:c r="P9" s="82" t="str">
        <x:v>待定</x:v>
      </x:c>
      <x:c r="Q9" s="68" t="str">
        <x:v>M08已判旺弱，但M12—M15未发现由此产生的实际功能问题</x:v>
      </x:c>
      <x:c r="R9" s="90" t="str">
        <x:v>不得见旺即抑、见弱即扶</x:v>
      </x:c>
      <x:c r="S9" s="90" t="str">
        <x:v>不适用</x:v>
      </x:c>
      <x:c r="T9" s="90" t="str">
        <x:v>错误用药会打破原本可运行的结构</x:v>
      </x:c>
      <x:c r="U9" s="82" t="str">
        <x:v>是</x:v>
      </x:c>
      <x:c r="V9" s="90" t="str">
        <x:v>是</x:v>
      </x:c>
      <x:c r="W9" s="90" t="str">
        <x:v>人为制造旺衰或格局病</x:v>
      </x:c>
      <x:c r="X9" s="68" t="str">
        <x:v>M08有效旺衰、M09日主旺衰、M10十神功能、M11组合、M12流通、M13调候、M15格局成败均已完成</x:v>
      </x:c>
      <x:c r="Y9" s="68" t="str">
        <x:v>病位、根因、功能障碍与药神作用路径均能够追溯</x:v>
      </x:c>
      <x:c r="Z9" s="68" t="str">
        <x:v>药神有根有源、透达，能够直接进入病位且兼顾多个主要问题</x:v>
      </x:c>
      <x:c r="AA9" s="68" t="str">
        <x:v>药神无根、受强制、被合绊、作用路径遥隔或同时被多个任务分流</x:v>
      </x:c>
      <x:c r="AB9" s="90" t="str">
        <x:v>若该失衡没有造成实际功能障碍，或特殊格局要求顺势，则不得按普通病药立论</x:v>
      </x:c>
      <x:c r="AC9" s="68" t="str">
        <x:v>特殊格局严格成立、岁运动态作用或流派争议转M18/M21及动态引擎</x:v>
      </x:c>
      <x:c r="AD9" s="84" t="str">
        <x:v>旺弱非自动为病</x:v>
      </x:c>
      <x:c r="AE9" s="84" t="str">
        <x:v>该五行存在旺弱事实，但尚未形成结构性病位；M16不立病、不指定药神。</x:v>
      </x:c>
      <x:c r="AF9" s="82" t="str">
        <x:v>较高</x:v>
      </x:c>
      <x:c r="AG9" s="82" t="str">
        <x:v>病药</x:v>
      </x:c>
      <x:c r="AH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 s="68" t="str">
        <x:v>当“M08已判旺弱，但M12—M15未发现由此产生的实际功能问题”真实成立，且药神能够直接作用病位时，可按“五行旺弱本身不自动构成病”记录。</x:v>
      </x:c>
      <x:c r="AJ9" s="90" t="str">
        <x:v>只有表面“某五行旺或弱”，但未证明根因“只有旺弱，没有证明其妨碍承载、流通、格局或调候”及药神作用路径时，不得套用“五行旺弱本身不自动构成病”。</x:v>
      </x:c>
      <x:c r="AK9" s="82" t="str">
        <x:v>采用</x:v>
      </x:c>
      <x:c r="AL9" s="82" t="str">
        <x:v>初审</x:v>
      </x:c>
      <x:c r="AM9" s="87" t="n">
        <x:v>46260</x:v>
      </x:c>
    </x:row>
    <x:row r="10">
      <x:c r="A10" s="72" t="str">
        <x:f>IF(OR(C10="",D10=""),"",B10&amp;"-"&amp;UPPER(C10)&amp;"-"&amp;TEXT(D10,"0000")&amp;"-"&amp;E10)</x:f>
        <x:v>M16-GEN-0004-V1.0</x:v>
      </x:c>
      <x:c r="B10" s="74" t="str">
        <x:v>M16</x:v>
      </x:c>
      <x:c r="C10" s="74" t="str">
        <x:v>GEN</x:v>
      </x:c>
      <x:c r="D10" s="215" t="n">
        <x:v>4</x:v>
      </x:c>
      <x:c r="E10" s="74" t="str">
        <x:v>V1.0</x:v>
      </x:c>
      <x:c r="F10" s="68" t="str">
        <x:v>五行缺失本身不自动构成病</x:v>
      </x:c>
      <x:c r="G10" s="82" t="str">
        <x:v>综合层</x:v>
      </x:c>
      <x:c r="H10" s="82" t="str">
        <x:v>流通病</x:v>
      </x:c>
      <x:c r="I10" s="68" t="str">
        <x:v>潜在桥梁</x:v>
      </x:c>
      <x:c r="J10" s="68" t="str">
        <x:v>缺失事实与卡点分离</x:v>
      </x:c>
      <x:c r="K10" s="68" t="str">
        <x:v>缺失五行并非主路径必要桥梁，或已有替代路径</x:v>
      </x:c>
      <x:c r="L10" s="68" t="str">
        <x:v>原局某五行不现</x:v>
      </x:c>
      <x:c r="M10" s="82" t="str">
        <x:v>轻微</x:v>
      </x:c>
      <x:c r="N10" s="68" t="str">
        <x:v>不预设</x:v>
      </x:c>
      <x:c r="O10" s="68" t="str">
        <x:v>不预设</x:v>
      </x:c>
      <x:c r="P10" s="82" t="str">
        <x:v>待定</x:v>
      </x:c>
      <x:c r="Q10" s="68" t="str">
        <x:v>M12未确认该缺失造成缺桥或核心功能阻断</x:v>
      </x:c>
      <x:c r="R10" s="90" t="str">
        <x:v>禁止缺什么补什么</x:v>
      </x:c>
      <x:c r="S10" s="90" t="str">
        <x:v>不适用</x:v>
      </x:c>
      <x:c r="T10" s="90" t="str">
        <x:v>补入无关五行可能破格或加重调候失衡</x:v>
      </x:c>
      <x:c r="U10" s="82" t="str">
        <x:v>条件性</x:v>
      </x:c>
      <x:c r="V10" s="90" t="str">
        <x:v>是</x:v>
      </x:c>
      <x:c r="W10" s="90" t="str">
        <x:v>格局冲突或调候反向病</x:v>
      </x:c>
      <x:c r="X10" s="68" t="str">
        <x:v>M08有效旺衰、M09日主旺衰、M10十神功能、M11组合、M12流通、M13调候、M15格局成败均已完成</x:v>
      </x:c>
      <x:c r="Y10" s="68" t="str">
        <x:v>病位、根因、功能障碍与药神作用路径均能够追溯</x:v>
      </x:c>
      <x:c r="Z10" s="68" t="str">
        <x:v>药神有根有源、透达，能够直接进入病位且兼顾多个主要问题</x:v>
      </x:c>
      <x:c r="AA10" s="68" t="str">
        <x:v>药神无根、受强制、被合绊、作用路径遥隔或同时被多个任务分流</x:v>
      </x:c>
      <x:c r="AB10" s="90" t="str">
        <x:v>若该失衡没有造成实际功能障碍，或特殊格局要求顺势，则不得按普通病药立论</x:v>
      </x:c>
      <x:c r="AC10" s="68" t="str">
        <x:v>特殊格局严格成立、岁运动态作用或流派争议转M18/M21及动态引擎</x:v>
      </x:c>
      <x:c r="AD10" s="84" t="str">
        <x:v>缺失非自动为病</x:v>
      </x:c>
      <x:c r="AE10" s="84" t="str">
        <x:v>该五行虽不现，但未构成关键卡点；不因缺失直接指定药神。</x:v>
      </x:c>
      <x:c r="AF10" s="82" t="str">
        <x:v>较高</x:v>
      </x:c>
      <x:c r="AG10" s="82" t="str">
        <x:v>病药</x:v>
      </x:c>
      <x:c r="AH1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 s="68" t="str">
        <x:v>当“M12未确认该缺失造成缺桥或核心功能阻断”真实成立，且药神能够直接作用病位时，可按“五行缺失本身不自动构成病”记录。</x:v>
      </x:c>
      <x:c r="AJ10" s="90" t="str">
        <x:v>只有表面“原局某五行不现”，但未证明根因“缺失五行并非主路径必要桥梁，或已有替代路径”及药神作用路径时，不得套用“五行缺失本身不自动构成病”。</x:v>
      </x:c>
      <x:c r="AK10" s="82" t="str">
        <x:v>采用</x:v>
      </x:c>
      <x:c r="AL10" s="82" t="str">
        <x:v>初审</x:v>
      </x:c>
      <x:c r="AM10" s="87" t="n">
        <x:v>46260</x:v>
      </x:c>
    </x:row>
    <x:row r="11">
      <x:c r="A11" s="72" t="str">
        <x:f>IF(OR(C11="",D11=""),"",B11&amp;"-"&amp;UPPER(C11)&amp;"-"&amp;TEXT(D11,"0000")&amp;"-"&amp;E11)</x:f>
        <x:v>M16-GEN-0005-V1.0</x:v>
      </x:c>
      <x:c r="B11" s="74" t="str">
        <x:v>M16</x:v>
      </x:c>
      <x:c r="C11" s="74" t="str">
        <x:v>GEN</x:v>
      </x:c>
      <x:c r="D11" s="215" t="n">
        <x:v>5</x:v>
      </x:c>
      <x:c r="E11" s="74" t="str">
        <x:v>V1.0</x:v>
      </x:c>
      <x:c r="F11" s="68" t="str">
        <x:v>同一表象可以对应不同根因和不同药神</x:v>
      </x:c>
      <x:c r="G11" s="82" t="str">
        <x:v>综合层</x:v>
      </x:c>
      <x:c r="H11" s="82" t="str">
        <x:v>复合病</x:v>
      </x:c>
      <x:c r="I11" s="68" t="str">
        <x:v>诊断分叉点</x:v>
      </x:c>
      <x:c r="J11" s="68" t="str">
        <x:v>同象异因</x:v>
      </x:c>
      <x:c r="K11" s="68" t="str">
        <x:v>表象相同但底层可能分别来自旺衰、流通、制化、格局或调候</x:v>
      </x:c>
      <x:c r="L11" s="68" t="str">
        <x:v>例如官杀压力、财星受损或食神功能下降</x:v>
      </x:c>
      <x:c r="M11" s="82" t="str">
        <x:v>明显</x:v>
      </x:c>
      <x:c r="N11" s="68" t="str">
        <x:v>按根因分别选择印、食、比、财或通关五行</x:v>
      </x:c>
      <x:c r="O11" s="68" t="str">
        <x:v>按副作用配置</x:v>
      </x:c>
      <x:c r="P11" s="82" t="str">
        <x:v>复合药理</x:v>
      </x:c>
      <x:c r="Q11" s="68" t="str">
        <x:v>M08—M15已经确认相应结构性失衡与实际功能障碍</x:v>
      </x:c>
      <x:c r="R11" s="90" t="str">
        <x:v>不得只凭五行数量、十神名称或单一旺衰标签直接立病用药</x:v>
      </x:c>
      <x:c r="S11" s="90" t="str">
        <x:v>主要病位未被修复，原有失衡继续运行</x:v>
      </x:c>
      <x:c r="T11" s="90" t="str">
        <x:v>药神反向过度，可能跨越平衡并形成新的结构性失衡</x:v>
      </x:c>
      <x:c r="U11" s="82" t="str">
        <x:v>条件性</x:v>
      </x:c>
      <x:c r="V11" s="90" t="str">
        <x:v>条件性</x:v>
      </x:c>
      <x:c r="W11" s="90" t="str">
        <x:v>误诊导致用药方向相反</x:v>
      </x:c>
      <x:c r="X11" s="68" t="str">
        <x:v>M08有效旺衰、M09日主旺衰、M10十神功能、M11组合、M12流通、M13调候、M15格局成败均已完成</x:v>
      </x:c>
      <x:c r="Y11" s="68" t="str">
        <x:v>病位、根因、功能障碍与药神作用路径均能够追溯</x:v>
      </x:c>
      <x:c r="Z11" s="68" t="str">
        <x:v>药神有根有源、透达，能够直接进入病位且兼顾多个主要问题</x:v>
      </x:c>
      <x:c r="AA11" s="68" t="str">
        <x:v>药神无根、受强制、被合绊、作用路径遥隔或同时被多个任务分流</x:v>
      </x:c>
      <x:c r="AB11" s="90" t="str">
        <x:v>若该失衡没有造成实际功能障碍，或特殊格局要求顺势，则不得按普通病药立论</x:v>
      </x:c>
      <x:c r="AC11" s="68" t="str">
        <x:v>特殊格局严格成立、岁运动态作用或流派争议转M18/M21及动态引擎</x:v>
      </x:c>
      <x:c r="AD11" s="84" t="str">
        <x:v>同象异因</x:v>
      </x:c>
      <x:c r="AE11" s="84" t="str">
        <x:v>根本之病在“诊断分叉点”：表象相同但底层可能分别来自旺衰、流通、制化、格局或调候；表层表现为“例如官杀压力、财星受损或食神功能下降”。主药候选为“按根因分别选择印、食、比、财或通关五行”，药理为“复合药理”；最终喜忌与主次仍转M17/M18裁决。</x:v>
      </x:c>
      <x:c r="AF11" s="82" t="str">
        <x:v>较高</x:v>
      </x:c>
      <x:c r="AG11" s="82" t="str">
        <x:v>病药</x:v>
      </x:c>
      <x:c r="AH1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 s="68" t="str">
        <x:v>当“M08—M15已经确认相应结构性失衡与实际功能障碍”真实成立，且药神能够直接作用病位时，可按“同一表象可以对应不同根因和不同药神”记录。</x:v>
      </x:c>
      <x:c r="AJ11" s="90" t="str">
        <x:v>只有表面“例如官杀压力、财星受损或食神功能下降”，但未证明根因“表象相同但底层可能分别来自旺衰、流通、制化、格局或调候”及药神作用路径时，不得套用“同一表象可以对应不同根因和不同药神”。</x:v>
      </x:c>
      <x:c r="AK11" s="82" t="str">
        <x:v>采用</x:v>
      </x:c>
      <x:c r="AL11" s="82" t="str">
        <x:v>初审</x:v>
      </x:c>
      <x:c r="AM11" s="87" t="n">
        <x:v>46260</x:v>
      </x:c>
    </x:row>
    <x:row r="12">
      <x:c r="A12" s="72" t="str">
        <x:f>IF(OR(C12="",D12=""),"",B12&amp;"-"&amp;UPPER(C12)&amp;"-"&amp;TEXT(D12,"0000")&amp;"-"&amp;E12)</x:f>
        <x:v>M16-GEN-0006-V1.0</x:v>
      </x:c>
      <x:c r="B12" s="74" t="str">
        <x:v>M16</x:v>
      </x:c>
      <x:c r="C12" s="74" t="str">
        <x:v>GEN</x:v>
      </x:c>
      <x:c r="D12" s="215" t="n">
        <x:v>6</x:v>
      </x:c>
      <x:c r="E12" s="74" t="str">
        <x:v>V1.0</x:v>
      </x:c>
      <x:c r="F12" s="68" t="str">
        <x:v>病药关系是相对的而非固定五行标签</x:v>
      </x:c>
      <x:c r="G12" s="82" t="str">
        <x:v>综合层</x:v>
      </x:c>
      <x:c r="H12" s="82" t="str">
        <x:v>复合病</x:v>
      </x:c>
      <x:c r="I12" s="68" t="str">
        <x:v>全局主要矛盾</x:v>
      </x:c>
      <x:c r="J12" s="68" t="str">
        <x:v>条件性价值</x:v>
      </x:c>
      <x:c r="K12" s="68" t="str">
        <x:v>同一五行在不同命局中可能治病，也可能加重另一病位</x:v>
      </x:c>
      <x:c r="L12" s="68" t="str">
        <x:v>某五行同时具备收益与副作用</x:v>
      </x:c>
      <x:c r="M12" s="82" t="str">
        <x:v>待定</x:v>
      </x:c>
      <x:c r="N12" s="68" t="str">
        <x:v>条件性药神</x:v>
      </x:c>
      <x:c r="O12" s="68" t="str">
        <x:v>降低副作用的保护神</x:v>
      </x:c>
      <x:c r="P12" s="82" t="str">
        <x:v>复合药理</x:v>
      </x:c>
      <x:c r="Q12" s="68" t="str">
        <x:v>M08—M15已经确认相应结构性失衡与实际功能障碍</x:v>
      </x:c>
      <x:c r="R12" s="90" t="str">
        <x:v>不得只凭五行数量、十神名称或单一旺衰标签直接立病用药</x:v>
      </x:c>
      <x:c r="S12" s="90" t="str">
        <x:v>主要病位未被修复，原有失衡继续运行</x:v>
      </x:c>
      <x:c r="T12" s="90" t="str">
        <x:v>药神反向过度，可能跨越平衡并形成新的结构性失衡</x:v>
      </x:c>
      <x:c r="U12" s="82" t="str">
        <x:v>条件性</x:v>
      </x:c>
      <x:c r="V12" s="90" t="str">
        <x:v>条件性</x:v>
      </x:c>
      <x:c r="W12" s="90" t="str">
        <x:v>药神转忌或药过成病</x:v>
      </x:c>
      <x:c r="X12" s="68" t="str">
        <x:v>M08有效旺衰、M09日主旺衰、M10十神功能、M11组合、M12流通、M13调候、M15格局成败均已完成</x:v>
      </x:c>
      <x:c r="Y12" s="68" t="str">
        <x:v>病位、根因、功能障碍与药神作用路径均能够追溯</x:v>
      </x:c>
      <x:c r="Z12" s="68" t="str">
        <x:v>药神有根有源、透达，能够直接进入病位且兼顾多个主要问题</x:v>
      </x:c>
      <x:c r="AA12" s="68" t="str">
        <x:v>药神无根、受强制、被合绊、作用路径遥隔或同时被多个任务分流</x:v>
      </x:c>
      <x:c r="AB12" s="90" t="str">
        <x:v>若该失衡没有造成实际功能障碍，或特殊格局要求顺势，则不得按普通病药立论</x:v>
      </x:c>
      <x:c r="AC12" s="68" t="str">
        <x:v>特殊格局严格成立、岁运动态作用或流派争议转M18/M21及动态引擎</x:v>
      </x:c>
      <x:c r="AD12" s="84" t="str">
        <x:v>病药相对性</x:v>
      </x:c>
      <x:c r="AE12" s="84" t="str">
        <x:v>根本之病在“全局主要矛盾”：同一五行在不同命局中可能治病，也可能加重另一病位；表层表现为“某五行同时具备收益与副作用”。主药候选为“条件性药神”，药理为“复合药理”；最终喜忌与主次仍转M17/M18裁决。</x:v>
      </x:c>
      <x:c r="AF12" s="82" t="str">
        <x:v>较高</x:v>
      </x:c>
      <x:c r="AG12" s="82" t="str">
        <x:v>病药</x:v>
      </x:c>
      <x:c r="AH1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2" s="68" t="str">
        <x:v>当“M08—M15已经确认相应结构性失衡与实际功能障碍”真实成立，且药神能够直接作用病位时，可按“病药关系是相对的而非固定五行标签”记录。</x:v>
      </x:c>
      <x:c r="AJ12" s="90" t="str">
        <x:v>只有表面“某五行同时具备收益与副作用”，但未证明根因“同一五行在不同命局中可能治病，也可能加重另一病位”及药神作用路径时，不得套用“病药关系是相对的而非固定五行标签”。</x:v>
      </x:c>
      <x:c r="AK12" s="82" t="str">
        <x:v>采用</x:v>
      </x:c>
      <x:c r="AL12" s="82" t="str">
        <x:v>初审</x:v>
      </x:c>
      <x:c r="AM12" s="87" t="n">
        <x:v>46260</x:v>
      </x:c>
    </x:row>
    <x:row r="13">
      <x:c r="A13" s="72" t="str">
        <x:f>IF(OR(C13="",D13=""),"",B13&amp;"-"&amp;UPPER(C13)&amp;"-"&amp;TEXT(D13,"0000")&amp;"-"&amp;E13)</x:f>
        <x:v>M16-GEN-0007-V1.0</x:v>
      </x:c>
      <x:c r="B13" s="74" t="str">
        <x:v>M16</x:v>
      </x:c>
      <x:c r="C13" s="74" t="str">
        <x:v>GEN</x:v>
      </x:c>
      <x:c r="D13" s="215" t="n">
        <x:v>7</x:v>
      </x:c>
      <x:c r="E13" s="74" t="str">
        <x:v>V1.0</x:v>
      </x:c>
      <x:c r="F13" s="68" t="str">
        <x:v>主药必须直接作用根本病位</x:v>
      </x:c>
      <x:c r="G13" s="82" t="str">
        <x:v>综合层</x:v>
      </x:c>
      <x:c r="H13" s="82" t="str">
        <x:v>复合病</x:v>
      </x:c>
      <x:c r="I13" s="68" t="str">
        <x:v>根本病位</x:v>
      </x:c>
      <x:c r="J13" s="68" t="str">
        <x:v>直接修复</x:v>
      </x:c>
      <x:c r="K13" s="68" t="str">
        <x:v>原局最主要的功能失效机制</x:v>
      </x:c>
      <x:c r="L13" s="68" t="str">
        <x:v>多个表层问题同时出现</x:v>
      </x:c>
      <x:c r="M13" s="82" t="str">
        <x:v>首要矛盾</x:v>
      </x:c>
      <x:c r="N13" s="68" t="str">
        <x:v>能直接修复根因者</x:v>
      </x:c>
      <x:c r="O13" s="68" t="str">
        <x:v>保护主药或处理次级病</x:v>
      </x:c>
      <x:c r="P13" s="82" t="str">
        <x:v>救应</x:v>
      </x:c>
      <x:c r="Q13" s="68" t="str">
        <x:v>M08—M15已经确认相应结构性失衡与实际功能障碍</x:v>
      </x:c>
      <x:c r="R13" s="90" t="str">
        <x:v>不能只因某五行通常有利便列主药；必须证明病位—药神路径</x:v>
      </x:c>
      <x:c r="S13" s="90" t="str">
        <x:v>主要病位未被修复，原有失衡继续运行</x:v>
      </x:c>
      <x:c r="T13" s="90" t="str">
        <x:v>药神反向过度，可能跨越平衡并形成新的结构性失衡</x:v>
      </x:c>
      <x:c r="U13" s="82" t="str">
        <x:v>条件性</x:v>
      </x:c>
      <x:c r="V13" s="90" t="str">
        <x:v>条件性</x:v>
      </x:c>
      <x:c r="W13" s="90" t="str">
        <x:v>待定</x:v>
      </x:c>
      <x:c r="X13" s="68" t="str">
        <x:v>M08有效旺衰、M09日主旺衰、M10十神功能、M11组合、M12流通、M13调候、M15格局成败均已完成</x:v>
      </x:c>
      <x:c r="Y13" s="68" t="str">
        <x:v>病位、根因、功能障碍与药神作用路径均能够追溯</x:v>
      </x:c>
      <x:c r="Z13" s="68" t="str">
        <x:v>药神有根有源、透达，能够直接进入病位且兼顾多个主要问题</x:v>
      </x:c>
      <x:c r="AA13" s="68" t="str">
        <x:v>药神无根、受强制、被合绊、作用路径遥隔或同时被多个任务分流</x:v>
      </x:c>
      <x:c r="AB13" s="90" t="str">
        <x:v>若该失衡没有造成实际功能障碍，或特殊格局要求顺势，则不得按普通病药立论</x:v>
      </x:c>
      <x:c r="AC13" s="68" t="str">
        <x:v>特殊格局严格成立、岁运动态作用或流派争议转M18/M21及动态引擎</x:v>
      </x:c>
      <x:c r="AD13" s="84" t="str">
        <x:v>主药直接性</x:v>
      </x:c>
      <x:c r="AE13" s="84" t="str">
        <x:v>根本之病在“根本病位”：原局最主要的功能失效机制；表层表现为“多个表层问题同时出现”。主药候选为“能直接修复根因者”，药理为“救应”；最终喜忌与主次仍转M17/M18裁决。</x:v>
      </x:c>
      <x:c r="AF13" s="82" t="str">
        <x:v>较高</x:v>
      </x:c>
      <x:c r="AG13" s="82" t="str">
        <x:v>病药</x:v>
      </x:c>
      <x:c r="AH1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3" s="68" t="str">
        <x:v>当“M08—M15已经确认相应结构性失衡与实际功能障碍”真实成立，且药神能够直接作用病位时，可按“主药必须直接作用根本病位”记录。</x:v>
      </x:c>
      <x:c r="AJ13" s="90" t="str">
        <x:v>只有表面“多个表层问题同时出现”，但未证明根因“原局最主要的功能失效机制”及药神作用路径时，不得套用“主药必须直接作用根本病位”。</x:v>
      </x:c>
      <x:c r="AK13" s="82" t="str">
        <x:v>采用</x:v>
      </x:c>
      <x:c r="AL13" s="82" t="str">
        <x:v>初审</x:v>
      </x:c>
      <x:c r="AM13" s="87" t="n">
        <x:v>46260</x:v>
      </x:c>
    </x:row>
    <x:row r="14">
      <x:c r="A14" s="72" t="str">
        <x:f>IF(OR(C14="",D14=""),"",B14&amp;"-"&amp;UPPER(C14)&amp;"-"&amp;TEXT(D14,"0000")&amp;"-"&amp;E14)</x:f>
        <x:v>M16-GEN-0008-V1.0</x:v>
      </x:c>
      <x:c r="B14" s="74" t="str">
        <x:v>M16</x:v>
      </x:c>
      <x:c r="C14" s="74" t="str">
        <x:v>GEN</x:v>
      </x:c>
      <x:c r="D14" s="215" t="n">
        <x:v>8</x:v>
      </x:c>
      <x:c r="E14" s="74" t="str">
        <x:v>V1.0</x:v>
      </x:c>
      <x:c r="F14" s="68" t="str">
        <x:v>病药结论必须保留反向证据与副作用</x:v>
      </x:c>
      <x:c r="G14" s="82" t="str">
        <x:v>综合层</x:v>
      </x:c>
      <x:c r="H14" s="82" t="str">
        <x:v>复合病</x:v>
      </x:c>
      <x:c r="I14" s="68" t="str">
        <x:v>综合诊断输出</x:v>
      </x:c>
      <x:c r="J14" s="68" t="str">
        <x:v>可审计性</x:v>
      </x:c>
      <x:c r="K14" s="68" t="str">
        <x:v>病药判断存在支持、反证与条件限制</x:v>
      </x:c>
      <x:c r="L14" s="68" t="str">
        <x:v>主药候选可能同时影响扶抑、格局、通关和调候</x:v>
      </x:c>
      <x:c r="M14" s="82" t="str">
        <x:v>待定</x:v>
      </x:c>
      <x:c r="N14" s="68" t="str">
        <x:v>主药候选</x:v>
      </x:c>
      <x:c r="O14" s="68" t="str">
        <x:v>辅助药候选</x:v>
      </x:c>
      <x:c r="P14" s="82" t="str">
        <x:v>复合药理</x:v>
      </x:c>
      <x:c r="Q14" s="68" t="str">
        <x:v>M08—M15已经确认相应结构性失衡与实际功能障碍</x:v>
      </x:c>
      <x:c r="R14" s="90" t="str">
        <x:v>不得只凭五行数量、十神名称或单一旺衰标签直接立病用药</x:v>
      </x:c>
      <x:c r="S14" s="90" t="str">
        <x:v>主要病位未被修复，原有失衡继续运行</x:v>
      </x:c>
      <x:c r="T14" s="90" t="str">
        <x:v>药神反向过度，可能跨越平衡并形成新的结构性失衡</x:v>
      </x:c>
      <x:c r="U14" s="82" t="str">
        <x:v>待定</x:v>
      </x:c>
      <x:c r="V14" s="90" t="str">
        <x:v>待定</x:v>
      </x:c>
      <x:c r="W14" s="90" t="str">
        <x:v>待评估</x:v>
      </x:c>
      <x:c r="X14" s="68" t="str">
        <x:v>M08有效旺衰、M09日主旺衰、M10十神功能、M11组合、M12流通、M13调候、M15格局成败均已完成</x:v>
      </x:c>
      <x:c r="Y14" s="68" t="str">
        <x:v>病位、根因、功能障碍与药神作用路径均能够追溯</x:v>
      </x:c>
      <x:c r="Z14" s="68" t="str">
        <x:v>药神有根有源、透达，能够直接进入病位且兼顾多个主要问题</x:v>
      </x:c>
      <x:c r="AA14" s="68" t="str">
        <x:v>药神无根、受强制、被合绊、作用路径遥隔或同时被多个任务分流</x:v>
      </x:c>
      <x:c r="AB14" s="90" t="str">
        <x:v>若该失衡没有造成实际功能障碍，或特殊格局要求顺势，则不得按普通病药立论</x:v>
      </x:c>
      <x:c r="AC14" s="68" t="str">
        <x:v>特殊格局严格成立、岁运动态作用或流派争议转M18/M21及动态引擎</x:v>
      </x:c>
      <x:c r="AD14" s="84" t="str">
        <x:v>病药标准证据链</x:v>
      </x:c>
      <x:c r="AE14" s="84" t="str">
        <x:v>每个病药结论必须同时输出根因、表象、病位、严重度、主药、辅助药、作用路径、禁忌、药力不足、药力过度、格局伤害、新病风险与置信度。</x:v>
      </x:c>
      <x:c r="AF14" s="82" t="str">
        <x:v>较高</x:v>
      </x:c>
      <x:c r="AG14" s="82" t="str">
        <x:v>病药</x:v>
      </x:c>
      <x:c r="AH1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4" s="68" t="str">
        <x:v>当“M08—M15已经确认相应结构性失衡与实际功能障碍”真实成立，且药神能够直接作用病位时，可按“病药结论必须保留反向证据与副作用”记录。</x:v>
      </x:c>
      <x:c r="AJ14" s="90" t="str">
        <x:v>只有表面“主药候选可能同时影响扶抑、格局、通关和调候”，但未证明根因“病药判断存在支持、反证与条件限制”及药神作用路径时，不得套用“病药结论必须保留反向证据与副作用”。</x:v>
      </x:c>
      <x:c r="AK14" s="82" t="str">
        <x:v>采用</x:v>
      </x:c>
      <x:c r="AL14" s="82" t="str">
        <x:v>初审</x:v>
      </x:c>
      <x:c r="AM14" s="87" t="n">
        <x:v>46260</x:v>
      </x:c>
    </x:row>
    <x:row r="15">
      <x:c r="A15" s="72" t="str">
        <x:f>IF(OR(C15="",D15=""),"",B15&amp;"-"&amp;UPPER(C15)&amp;"-"&amp;TEXT(D15,"0000")&amp;"-"&amp;E15)</x:f>
        <x:v>M16-WEAK-0009-V1.0</x:v>
      </x:c>
      <x:c r="B15" s="74" t="str">
        <x:v>M16</x:v>
      </x:c>
      <x:c r="C15" s="74" t="str">
        <x:v>WEAK</x:v>
      </x:c>
      <x:c r="D15" s="215" t="n">
        <x:v>9</x:v>
      </x:c>
      <x:c r="E15" s="74" t="str">
        <x:v>V1.0</x:v>
      </x:c>
      <x:c r="F15" s="68" t="str">
        <x:v>日主无有效根导致基础承载不足</x:v>
      </x:c>
      <x:c r="G15" s="82" t="str">
        <x:v>综合层</x:v>
      </x:c>
      <x:c r="H15" s="82" t="str">
        <x:v>旺衰病</x:v>
      </x:c>
      <x:c r="I15" s="68" t="str">
        <x:v>日主根气与承载</x:v>
      </x:c>
      <x:c r="J15" s="68" t="str">
        <x:v>身弱无依</x:v>
      </x:c>
      <x:c r="K15" s="68" t="str">
        <x:v>日主失令或弱，且无有效根、比劫与印星持续生扶</x:v>
      </x:c>
      <x:c r="L15" s="68" t="str">
        <x:v>财官食伤任一负荷都容易超过承载</x:v>
      </x:c>
      <x:c r="M15" s="82" t="str">
        <x:v>严重</x:v>
      </x:c>
      <x:c r="N15" s="68" t="str">
        <x:v>印星或比劫，按原局副作用择一</x:v>
      </x:c>
      <x:c r="O15" s="68" t="str">
        <x:v>保护根气或制约主要负荷者</x:v>
      </x:c>
      <x:c r="P15" s="82" t="str">
        <x:v>扶</x:v>
      </x:c>
      <x:c r="Q15" s="68" t="str">
        <x:v>M09判日主弱或极弱，M08确认根气和印比均不足，且不满足真从</x:v>
      </x:c>
      <x:c r="R15" s="90" t="str">
        <x:v>真从格严格成立时不得逆势强扶</x:v>
      </x:c>
      <x:c r="S15" s="90" t="str">
        <x:v>主要病位未被修复，原有失衡继续运行</x:v>
      </x:c>
      <x:c r="T15" s="90" t="str">
        <x:v>扶身过度可能破坏财官食伤格局或由弱转旺</x:v>
      </x:c>
      <x:c r="U15" s="82" t="str">
        <x:v>条件性</x:v>
      </x:c>
      <x:c r="V15" s="90" t="str">
        <x:v>条件性</x:v>
      </x:c>
      <x:c r="W15" s="90" t="str">
        <x:v>身旺、印多身滞或比劫夺财</x:v>
      </x:c>
      <x:c r="X15" s="68" t="str">
        <x:v>M08有效旺衰、M09日主旺衰、M10十神功能、M11组合、M12流通、M13调候、M15格局成败均已完成</x:v>
      </x:c>
      <x:c r="Y15" s="68" t="str">
        <x:v>病位、根因、功能障碍与药神作用路径均能够追溯</x:v>
      </x:c>
      <x:c r="Z15" s="68" t="str">
        <x:v>药神有根有源、透达，能够直接进入病位且兼顾多个主要问题</x:v>
      </x:c>
      <x:c r="AA15" s="68" t="str">
        <x:v>药神无根、受强制、被合绊、作用路径遥隔或同时被多个任务分流</x:v>
      </x:c>
      <x:c r="AB15" s="90" t="str">
        <x:v>若该失衡没有造成实际功能障碍，或特殊格局要求顺势，则不得按普通病药立论</x:v>
      </x:c>
      <x:c r="AC15" s="68" t="str">
        <x:v>特殊格局严格成立、岁运动态作用或流派争议转M18/M21及动态引擎</x:v>
      </x:c>
      <x:c r="AD15" s="84" t="str">
        <x:v>身弱无根</x:v>
      </x:c>
      <x:c r="AE15" s="84" t="str">
        <x:v>根本之病在“日主根气与承载”：日主失令或弱，且无有效根、比劫与印星持续生扶；表层表现为“财官食伤任一负荷都容易超过承载”。主药候选为“印星或比劫，按原局副作用择一”，药理为“扶”；最终喜忌与主次仍转M17/M18裁决。</x:v>
      </x:c>
      <x:c r="AF15" s="82" t="str">
        <x:v>较高</x:v>
      </x:c>
      <x:c r="AG15" s="82" t="str">
        <x:v>病药</x:v>
      </x:c>
      <x:c r="AH1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5" s="68" t="str">
        <x:v>当“M09判日主弱或极弱，M08确认根气和印比均不足，且不满足真从”真实成立，且药神能够直接作用病位时，可按“日主无有效根导致基础承载不足”记录。</x:v>
      </x:c>
      <x:c r="AJ15" s="90" t="str">
        <x:v>只有表面“财官食伤任一负荷都容易超过承载”，但未证明根因“日主失令或弱，且无有效根、比劫与印星持续生扶”及药神作用路径时，不得套用“日主无有效根导致基础承载不足”。</x:v>
      </x:c>
      <x:c r="AK15" s="82" t="str">
        <x:v>采用</x:v>
      </x:c>
      <x:c r="AL15" s="82" t="str">
        <x:v>初审</x:v>
      </x:c>
      <x:c r="AM15" s="87" t="n">
        <x:v>46260</x:v>
      </x:c>
    </x:row>
    <x:row r="16">
      <x:c r="A16" s="72" t="str">
        <x:f>IF(OR(C16="",D16=""),"",B16&amp;"-"&amp;UPPER(C16)&amp;"-"&amp;TEXT(D16,"0000")&amp;"-"&amp;E16)</x:f>
        <x:v>M16-WEAK-0010-V1.0</x:v>
      </x:c>
      <x:c r="B16" s="74" t="str">
        <x:v>M16</x:v>
      </x:c>
      <x:c r="C16" s="74" t="str">
        <x:v>WEAK</x:v>
      </x:c>
      <x:c r="D16" s="215" t="n">
        <x:v>10</x:v>
      </x:c>
      <x:c r="E16" s="74" t="str">
        <x:v>V1.0</x:v>
      </x:c>
      <x:c r="F16" s="68" t="str">
        <x:v>日主根气被实质破坏形成承载病</x:v>
      </x:c>
      <x:c r="G16" s="82" t="str">
        <x:v>综合层</x:v>
      </x:c>
      <x:c r="H16" s="82" t="str">
        <x:v>旺衰病</x:v>
      </x:c>
      <x:c r="I16" s="68" t="str">
        <x:v>日主有效根</x:v>
      </x:c>
      <x:c r="J16" s="68" t="str">
        <x:v>根损身弱</x:v>
      </x:c>
      <x:c r="K16" s="68" t="str">
        <x:v>原有根气被M06/M08确认冲散、合化、强制或失去可调用性</x:v>
      </x:c>
      <x:c r="L16" s="68" t="str">
        <x:v>日主由原有承载转为不稳定或偏弱</x:v>
      </x:c>
      <x:c r="M16" s="82" t="str">
        <x:v>明显</x:v>
      </x:c>
      <x:c r="N16" s="68" t="str">
        <x:v>恢复根源的印比或制去破根之神</x:v>
      </x:c>
      <x:c r="O16" s="68" t="str">
        <x:v>替代根气或通关五行</x:v>
      </x:c>
      <x:c r="P16" s="82" t="str">
        <x:v>扶</x:v>
      </x:c>
      <x:c r="Q16" s="68" t="str">
        <x:v>必须确认不是单纯冲动，而是根气实际减损</x:v>
      </x:c>
      <x:c r="R16" s="90" t="str">
        <x:v>不得见冲刑便自动认定拔根</x:v>
      </x:c>
      <x:c r="S16" s="90" t="str">
        <x:v>主要病位未被修复，原有失衡继续运行</x:v>
      </x:c>
      <x:c r="T16" s="90" t="str">
        <x:v>药神反向过度，可能跨越平衡并形成新的结构性失衡</x:v>
      </x:c>
      <x:c r="U16" s="82" t="str">
        <x:v>条件性</x:v>
      </x:c>
      <x:c r="V16" s="90" t="str">
        <x:v>条件性</x:v>
      </x:c>
      <x:c r="W16" s="90" t="str">
        <x:v>待定</x:v>
      </x:c>
      <x:c r="X16" s="68" t="str">
        <x:v>M08有效旺衰、M09日主旺衰、M10十神功能、M11组合、M12流通、M13调候、M15格局成败均已完成</x:v>
      </x:c>
      <x:c r="Y16" s="68" t="str">
        <x:v>病位、根因、功能障碍与药神作用路径均能够追溯</x:v>
      </x:c>
      <x:c r="Z16" s="68" t="str">
        <x:v>药神有根有源、透达，能够直接进入病位且兼顾多个主要问题</x:v>
      </x:c>
      <x:c r="AA16" s="68" t="str">
        <x:v>药神无根、受强制、被合绊、作用路径遥隔或同时被多个任务分流</x:v>
      </x:c>
      <x:c r="AB16" s="90" t="str">
        <x:v>若该失衡没有造成实际功能障碍，或特殊格局要求顺势，则不得按普通病药立论</x:v>
      </x:c>
      <x:c r="AC16" s="68" t="str">
        <x:v>特殊格局严格成立、岁运动态作用或流派争议转M18/M21及动态引擎</x:v>
      </x:c>
      <x:c r="AD16" s="84" t="str">
        <x:v>有效根受损</x:v>
      </x:c>
      <x:c r="AE16" s="84" t="str">
        <x:v>根本之病在“日主有效根”：原有根气被M06/M08确认冲散、合化、强制或失去可调用性；表层表现为“日主由原有承载转为不稳定或偏弱”。主药候选为“恢复根源的印比或制去破根之神”，药理为“扶”；最终喜忌与主次仍转M17/M18裁决。</x:v>
      </x:c>
      <x:c r="AF16" s="82" t="str">
        <x:v>较高</x:v>
      </x:c>
      <x:c r="AG16" s="82" t="str">
        <x:v>病药</x:v>
      </x:c>
      <x:c r="AH1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6" s="68" t="str">
        <x:v>当“必须确认不是单纯冲动，而是根气实际减损”真实成立，且药神能够直接作用病位时，可按“日主根气被实质破坏形成承载病”记录。</x:v>
      </x:c>
      <x:c r="AJ16" s="90" t="str">
        <x:v>只有表面“日主由原有承载转为不稳定或偏弱”，但未证明根因“原有根气被M06/M08确认冲散、合化、强制或失去可调用性”及药神作用路径时，不得套用“日主根气被实质破坏形成承载病”。</x:v>
      </x:c>
      <x:c r="AK16" s="82" t="str">
        <x:v>采用</x:v>
      </x:c>
      <x:c r="AL16" s="82" t="str">
        <x:v>初审</x:v>
      </x:c>
      <x:c r="AM16" s="87" t="n">
        <x:v>46260</x:v>
      </x:c>
    </x:row>
    <x:row r="17">
      <x:c r="A17" s="72" t="str">
        <x:f>IF(OR(C17="",D17=""),"",B17&amp;"-"&amp;UPPER(C17)&amp;"-"&amp;TEXT(D17,"0000")&amp;"-"&amp;E17)</x:f>
        <x:v>M16-WEAK-0011-V1.0</x:v>
      </x:c>
      <x:c r="B17" s="74" t="str">
        <x:v>M16</x:v>
      </x:c>
      <x:c r="C17" s="74" t="str">
        <x:v>WEAK</x:v>
      </x:c>
      <x:c r="D17" s="215" t="n">
        <x:v>11</x:v>
      </x:c>
      <x:c r="E17" s="74" t="str">
        <x:v>V1.0</x:v>
      </x:c>
      <x:c r="F17" s="68" t="str">
        <x:v>食伤过旺导致日主持续过泄</x:v>
      </x:c>
      <x:c r="G17" s="82" t="str">
        <x:v>综合层</x:v>
      </x:c>
      <x:c r="H17" s="82" t="str">
        <x:v>旺衰病</x:v>
      </x:c>
      <x:c r="I17" s="68" t="str">
        <x:v>日主→食伤泄出链</x:v>
      </x:c>
      <x:c r="J17" s="68" t="str">
        <x:v>泄身过度</x:v>
      </x:c>
      <x:c r="K17" s="68" t="str">
        <x:v>食伤旺强且持续泄身，日主根气和印比不足</x:v>
      </x:c>
      <x:c r="L17" s="68" t="str">
        <x:v>日主承载下降，食伤虽旺但源头难续</x:v>
      </x:c>
      <x:c r="M17" s="82" t="str">
        <x:v>明显</x:v>
      </x:c>
      <x:c r="N17" s="68" t="str">
        <x:v>印星制食伤或比劫补身，依组合选择</x:v>
      </x:c>
      <x:c r="O17" s="68" t="str">
        <x:v>恢复根气或保护印星</x:v>
      </x:c>
      <x:c r="P17" s="82" t="str">
        <x:v>扶</x:v>
      </x:c>
      <x:c r="Q17" s="68" t="str">
        <x:v>M09受泄明显，M10食伤功能过度，且非从儿格</x:v>
      </x:c>
      <x:c r="R17" s="90" t="str">
        <x:v>食伤承担制杀或生财核心时，强印可能破坏格局</x:v>
      </x:c>
      <x:c r="S17" s="90" t="str">
        <x:v>主要病位未被修复，原有失衡继续运行</x:v>
      </x:c>
      <x:c r="T17" s="90" t="str">
        <x:v>印过强可能枭夺食，比劫过强可能壅塞或夺财</x:v>
      </x:c>
      <x:c r="U17" s="82" t="str">
        <x:v>条件性</x:v>
      </x:c>
      <x:c r="V17" s="90" t="str">
        <x:v>条件性</x:v>
      </x:c>
      <x:c r="W17" s="90" t="str">
        <x:v>枭夺食、比劫壅塞</x:v>
      </x:c>
      <x:c r="X17" s="68" t="str">
        <x:v>M08有效旺衰、M09日主旺衰、M10十神功能、M11组合、M12流通、M13调候、M15格局成败均已完成</x:v>
      </x:c>
      <x:c r="Y17" s="68" t="str">
        <x:v>病位、根因、功能障碍与药神作用路径均能够追溯</x:v>
      </x:c>
      <x:c r="Z17" s="68" t="str">
        <x:v>药神有根有源、透达，能够直接进入病位且兼顾多个主要问题</x:v>
      </x:c>
      <x:c r="AA17" s="68" t="str">
        <x:v>药神无根、受强制、被合绊、作用路径遥隔或同时被多个任务分流</x:v>
      </x:c>
      <x:c r="AB17" s="90" t="str">
        <x:v>若该失衡没有造成实际功能障碍，或特殊格局要求顺势，则不得按普通病药立论</x:v>
      </x:c>
      <x:c r="AC17" s="68" t="str">
        <x:v>特殊格局严格成立、岁运动态作用或流派争议转M18/M21及动态引擎</x:v>
      </x:c>
      <x:c r="AD17" s="84" t="str">
        <x:v>食伤过泄</x:v>
      </x:c>
      <x:c r="AE17" s="84" t="str">
        <x:v>根本之病在“日主→食伤泄出链”：食伤旺强且持续泄身，日主根气和印比不足；表层表现为“日主承载下降，食伤虽旺但源头难续”。主药候选为“印星制食伤或比劫补身，依组合选择”，药理为“扶”；最终喜忌与主次仍转M17/M18裁决。</x:v>
      </x:c>
      <x:c r="AF17" s="82" t="str">
        <x:v>较高</x:v>
      </x:c>
      <x:c r="AG17" s="82" t="str">
        <x:v>病药</x:v>
      </x:c>
      <x:c r="AH1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7" s="68" t="str">
        <x:v>当“M09受泄明显，M10食伤功能过度，且非从儿格”真实成立，且药神能够直接作用病位时，可按“食伤过旺导致日主持续过泄”记录。</x:v>
      </x:c>
      <x:c r="AJ17" s="90" t="str">
        <x:v>只有表面“日主承载下降，食伤虽旺但源头难续”，但未证明根因“食伤旺强且持续泄身，日主根气和印比不足”及药神作用路径时，不得套用“食伤过旺导致日主持续过泄”。</x:v>
      </x:c>
      <x:c r="AK17" s="82" t="str">
        <x:v>采用</x:v>
      </x:c>
      <x:c r="AL17" s="82" t="str">
        <x:v>初审</x:v>
      </x:c>
      <x:c r="AM17" s="87" t="n">
        <x:v>46260</x:v>
      </x:c>
    </x:row>
    <x:row r="18">
      <x:c r="A18" s="72" t="str">
        <x:f>IF(OR(C18="",D18=""),"",B18&amp;"-"&amp;UPPER(C18)&amp;"-"&amp;TEXT(D18,"0000")&amp;"-"&amp;E18)</x:f>
        <x:v>M16-WEAK-0012-V1.0</x:v>
      </x:c>
      <x:c r="B18" s="74" t="str">
        <x:v>M16</x:v>
      </x:c>
      <x:c r="C18" s="74" t="str">
        <x:v>WEAK</x:v>
      </x:c>
      <x:c r="D18" s="215" t="n">
        <x:v>12</x:v>
      </x:c>
      <x:c r="E18" s="74" t="str">
        <x:v>V1.0</x:v>
      </x:c>
      <x:c r="F18" s="68" t="str">
        <x:v>财星过旺导致日主持续受耗</x:v>
      </x:c>
      <x:c r="G18" s="82" t="str">
        <x:v>综合层</x:v>
      </x:c>
      <x:c r="H18" s="82" t="str">
        <x:v>旺衰病</x:v>
      </x:c>
      <x:c r="I18" s="68" t="str">
        <x:v>日主→财星耗力链</x:v>
      </x:c>
      <x:c r="J18" s="68" t="str">
        <x:v>财多身弱</x:v>
      </x:c>
      <x:c r="K18" s="68" t="str">
        <x:v>财星旺强，日主弱且无足够印比承载</x:v>
      </x:c>
      <x:c r="L18" s="68" t="str">
        <x:v>财星有权但日主不能任财</x:v>
      </x:c>
      <x:c r="M18" s="82" t="str">
        <x:v>严重</x:v>
      </x:c>
      <x:c r="N18" s="68" t="str">
        <x:v>比劫分担制财或印星生身</x:v>
      </x:c>
      <x:c r="O18" s="68" t="str">
        <x:v>食伤节制需谨慎，官杀不可再增压</x:v>
      </x:c>
      <x:c r="P18" s="82" t="str">
        <x:v>扶</x:v>
      </x:c>
      <x:c r="Q18" s="68" t="str">
        <x:v>M09弱，M10财旺，M11财多身弱成立，且非从财格</x:v>
      </x:c>
      <x:c r="R18" s="90" t="str">
        <x:v>从财格严格成立时不得按普通身弱用印比</x:v>
      </x:c>
      <x:c r="S18" s="90" t="str">
        <x:v>主要病位未被修复，原有失衡继续运行</x:v>
      </x:c>
      <x:c r="T18" s="90" t="str">
        <x:v>比劫过强形成夺财，印过强可能阻断食伤生财</x:v>
      </x:c>
      <x:c r="U18" s="82" t="str">
        <x:v>条件性</x:v>
      </x:c>
      <x:c r="V18" s="90" t="str">
        <x:v>条件性</x:v>
      </x:c>
      <x:c r="W18" s="90" t="str">
        <x:v>比劫夺财或印多阻财</x:v>
      </x:c>
      <x:c r="X18" s="68" t="str">
        <x:v>M08有效旺衰、M09日主旺衰、M10十神功能、M11组合、M12流通、M13调候、M15格局成败均已完成</x:v>
      </x:c>
      <x:c r="Y18" s="68" t="str">
        <x:v>病位、根因、功能障碍与药神作用路径均能够追溯</x:v>
      </x:c>
      <x:c r="Z18" s="68" t="str">
        <x:v>药神有根有源、透达，能够直接进入病位且兼顾多个主要问题</x:v>
      </x:c>
      <x:c r="AA18" s="68" t="str">
        <x:v>药神无根、受强制、被合绊、作用路径遥隔或同时被多个任务分流</x:v>
      </x:c>
      <x:c r="AB18" s="90" t="str">
        <x:v>若该失衡没有造成实际功能障碍，或特殊格局要求顺势，则不得按普通病药立论</x:v>
      </x:c>
      <x:c r="AC18" s="68" t="str">
        <x:v>特殊格局严格成立、岁运动态作用或流派争议转M18/M21及动态引擎</x:v>
      </x:c>
      <x:c r="AD18" s="84" t="str">
        <x:v>财多身弱</x:v>
      </x:c>
      <x:c r="AE18" s="84" t="str">
        <x:v>根本之病在“日主→财星耗力链”：财星旺强，日主弱且无足够印比承载；表层表现为“财星有权但日主不能任财”。主药候选为“比劫分担制财或印星生身”，药理为“扶”；最终喜忌与主次仍转M17/M18裁决。</x:v>
      </x:c>
      <x:c r="AF18" s="82" t="str">
        <x:v>较高</x:v>
      </x:c>
      <x:c r="AG18" s="82" t="str">
        <x:v>病药</x:v>
      </x:c>
      <x:c r="AH1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8" s="68" t="str">
        <x:v>当“M09弱，M10财旺，M11财多身弱成立，且非从财格”真实成立，且药神能够直接作用病位时，可按“财星过旺导致日主持续受耗”记录。</x:v>
      </x:c>
      <x:c r="AJ18" s="90" t="str">
        <x:v>只有表面“财星有权但日主不能任财”，但未证明根因“财星旺强，日主弱且无足够印比承载”及药神作用路径时，不得套用“财星过旺导致日主持续受耗”。</x:v>
      </x:c>
      <x:c r="AK18" s="82" t="str">
        <x:v>采用</x:v>
      </x:c>
      <x:c r="AL18" s="82" t="str">
        <x:v>初审</x:v>
      </x:c>
      <x:c r="AM18" s="87" t="n">
        <x:v>46260</x:v>
      </x:c>
    </x:row>
    <x:row r="19">
      <x:c r="A19" s="72" t="str">
        <x:f>IF(OR(C19="",D19=""),"",B19&amp;"-"&amp;UPPER(C19)&amp;"-"&amp;TEXT(D19,"0000")&amp;"-"&amp;E19)</x:f>
        <x:v>M16-WEAK-0013-V1.0</x:v>
      </x:c>
      <x:c r="B19" s="74" t="str">
        <x:v>M16</x:v>
      </x:c>
      <x:c r="C19" s="74" t="str">
        <x:v>WEAK</x:v>
      </x:c>
      <x:c r="D19" s="215" t="n">
        <x:v>13</x:v>
      </x:c>
      <x:c r="E19" s="74" t="str">
        <x:v>V1.0</x:v>
      </x:c>
      <x:c r="F19" s="68" t="str">
        <x:v>官杀压力超过日主承载形成身弱制身病</x:v>
      </x:c>
      <x:c r="G19" s="82" t="str">
        <x:v>综合层</x:v>
      </x:c>
      <x:c r="H19" s="82" t="str">
        <x:v>旺衰病</x:v>
      </x:c>
      <x:c r="I19" s="68" t="str">
        <x:v>官杀→日主制身链</x:v>
      </x:c>
      <x:c r="J19" s="68" t="str">
        <x:v>制身过度</x:v>
      </x:c>
      <x:c r="K19" s="68" t="str">
        <x:v>日主承载不足，官杀有效压力直接落身，现有制化不能分流</x:v>
      </x:c>
      <x:c r="L19" s="68" t="str">
        <x:v>官杀旺或不一定极旺但制身净效应过强</x:v>
      </x:c>
      <x:c r="M19" s="82" t="str">
        <x:v>严重</x:v>
      </x:c>
      <x:c r="N19" s="68" t="str">
        <x:v>印星化官杀或比劫扶身；若食神有条件则转制化药</x:v>
      </x:c>
      <x:c r="O19" s="68" t="str">
        <x:v>保护印星或食神的财比</x:v>
      </x:c>
      <x:c r="P19" s="82" t="str">
        <x:v>复合药理</x:v>
      </x:c>
      <x:c r="Q19" s="68" t="str">
        <x:v>M09受制明显，M10官杀功能过度，且非从官杀</x:v>
      </x:c>
      <x:c r="R19" s="90" t="str">
        <x:v>不得同时无差别加强印和食，避免制化路线竞争或加重泄身</x:v>
      </x:c>
      <x:c r="S19" s="90" t="str">
        <x:v>主要病位未被修复，原有失衡继续运行</x:v>
      </x:c>
      <x:c r="T19" s="90" t="str">
        <x:v>印过旺可能夺食，食过旺可能继续泄身</x:v>
      </x:c>
      <x:c r="U19" s="82" t="str">
        <x:v>条件性</x:v>
      </x:c>
      <x:c r="V19" s="90" t="str">
        <x:v>条件性</x:v>
      </x:c>
      <x:c r="W19" s="90" t="str">
        <x:v>枭夺食或泄身过度</x:v>
      </x:c>
      <x:c r="X19" s="68" t="str">
        <x:v>M08有效旺衰、M09日主旺衰、M10十神功能、M11组合、M12流通、M13调候、M15格局成败均已完成</x:v>
      </x:c>
      <x:c r="Y19" s="68" t="str">
        <x:v>病位、根因、功能障碍与药神作用路径均能够追溯</x:v>
      </x:c>
      <x:c r="Z19" s="68" t="str">
        <x:v>药神有根有源、透达，能够直接进入病位且兼顾多个主要问题</x:v>
      </x:c>
      <x:c r="AA19" s="68" t="str">
        <x:v>药神无根、受强制、被合绊、作用路径遥隔或同时被多个任务分流</x:v>
      </x:c>
      <x:c r="AB19" s="90" t="str">
        <x:v>若该失衡没有造成实际功能障碍，或特殊格局要求顺势，则不得按普通病药立论</x:v>
      </x:c>
      <x:c r="AC19" s="68" t="str">
        <x:v>特殊格局严格成立、岁运动态作用或流派争议转M18/M21及动态引擎</x:v>
      </x:c>
      <x:c r="AD19" s="84" t="str">
        <x:v>官杀超承载</x:v>
      </x:c>
      <x:c r="AE19" s="84" t="str">
        <x:v>根本之病在“官杀→日主制身链”：日主承载不足，官杀有效压力直接落身，现有制化不能分流；表层表现为“官杀旺或不一定极旺但制身净效应过强”。主药候选为“印星化官杀或比劫扶身；若食神有条件则转制化药”，药理为“复合药理”；最终喜忌与主次仍转M17/M18裁决。</x:v>
      </x:c>
      <x:c r="AF19" s="82" t="str">
        <x:v>较高</x:v>
      </x:c>
      <x:c r="AG19" s="82" t="str">
        <x:v>病药</x:v>
      </x:c>
      <x:c r="AH1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9" s="68" t="str">
        <x:v>当“M09受制明显，M10官杀功能过度，且非从官杀”真实成立，且药神能够直接作用病位时，可按“官杀压力超过日主承载形成身弱制身病”记录。</x:v>
      </x:c>
      <x:c r="AJ19" s="90" t="str">
        <x:v>只有表面“官杀旺或不一定极旺但制身净效应过强”，但未证明根因“日主承载不足，官杀有效压力直接落身，现有制化不能分流”及药神作用路径时，不得套用“官杀压力超过日主承载形成身弱制身病”。</x:v>
      </x:c>
      <x:c r="AK19" s="82" t="str">
        <x:v>采用</x:v>
      </x:c>
      <x:c r="AL19" s="82" t="str">
        <x:v>初审</x:v>
      </x:c>
      <x:c r="AM19" s="87" t="n">
        <x:v>46260</x:v>
      </x:c>
    </x:row>
    <x:row r="20">
      <x:c r="A20" s="72" t="str">
        <x:f>IF(OR(C20="",D20=""),"",B20&amp;"-"&amp;UPPER(C20)&amp;"-"&amp;TEXT(D20,"0000")&amp;"-"&amp;E20)</x:f>
        <x:v>M16-WEAK-0014-V1.0</x:v>
      </x:c>
      <x:c r="B20" s="74" t="str">
        <x:v>M16</x:v>
      </x:c>
      <x:c r="C20" s="74" t="str">
        <x:v>WEAK</x:v>
      </x:c>
      <x:c r="D20" s="215" t="n">
        <x:v>14</x:v>
      </x:c>
      <x:c r="E20" s="74" t="str">
        <x:v>V1.0</x:v>
      </x:c>
      <x:c r="F20" s="68" t="str">
        <x:v>关键五行过弱且承担桥梁功能时形成弱病</x:v>
      </x:c>
      <x:c r="G20" s="82" t="str">
        <x:v>综合层</x:v>
      </x:c>
      <x:c r="H20" s="82" t="str">
        <x:v>旺衰病</x:v>
      </x:c>
      <x:c r="I20" s="68" t="str">
        <x:v>关键桥梁五行</x:v>
      </x:c>
      <x:c r="J20" s="68" t="str">
        <x:v>弱而失职</x:v>
      </x:c>
      <x:c r="K20" s="68" t="str">
        <x:v>该五行本身弱，并因此无法完成M12必要通关或生化任务</x:v>
      </x:c>
      <x:c r="L20" s="68" t="str">
        <x:v>五行存在但桥梁失效</x:v>
      </x:c>
      <x:c r="M20" s="82" t="str">
        <x:v>明显</x:v>
      </x:c>
      <x:c r="N20" s="68" t="str">
        <x:v>生扶该桥梁的上游五行或直接增强桥梁</x:v>
      </x:c>
      <x:c r="O20" s="68" t="str">
        <x:v>制去克桥梁之神</x:v>
      </x:c>
      <x:c r="P20" s="82" t="str">
        <x:v>生</x:v>
      </x:c>
      <x:c r="Q20" s="68" t="str">
        <x:v>M12明确该五行为不可替代桥梁且桥梁太弱</x:v>
      </x:c>
      <x:c r="R20" s="90" t="str">
        <x:v>非关键弱五行不得因弱而补</x:v>
      </x:c>
      <x:c r="S20" s="90" t="str">
        <x:v>主要病位未被修复，原有失衡继续运行</x:v>
      </x:c>
      <x:c r="T20" s="90" t="str">
        <x:v>桥梁过旺可能截流、回流壅塞或改变格局</x:v>
      </x:c>
      <x:c r="U20" s="82" t="str">
        <x:v>条件性</x:v>
      </x:c>
      <x:c r="V20" s="90" t="str">
        <x:v>条件性</x:v>
      </x:c>
      <x:c r="W20" s="90" t="str">
        <x:v>桥梁过旺、回流壅塞</x:v>
      </x:c>
      <x:c r="X20" s="68" t="str">
        <x:v>M08有效旺衰、M09日主旺衰、M10十神功能、M11组合、M12流通、M13调候、M15格局成败均已完成</x:v>
      </x:c>
      <x:c r="Y20" s="68" t="str">
        <x:v>病位、根因、功能障碍与药神作用路径均能够追溯</x:v>
      </x:c>
      <x:c r="Z20" s="68" t="str">
        <x:v>药神有根有源、透达，能够直接进入病位且兼顾多个主要问题</x:v>
      </x:c>
      <x:c r="AA20" s="68" t="str">
        <x:v>药神无根、受强制、被合绊、作用路径遥隔或同时被多个任务分流</x:v>
      </x:c>
      <x:c r="AB20" s="90" t="str">
        <x:v>若该失衡没有造成实际功能障碍，或特殊格局要求顺势，则不得按普通病药立论</x:v>
      </x:c>
      <x:c r="AC20" s="68" t="str">
        <x:v>特殊格局严格成立、岁运动态作用或流派争议转M18/M21及动态引擎</x:v>
      </x:c>
      <x:c r="AD20" s="84" t="str">
        <x:v>关键桥梁弱病</x:v>
      </x:c>
      <x:c r="AE20" s="84" t="str">
        <x:v>根本之病在“关键桥梁五行”：该五行本身弱，并因此无法完成M12必要通关或生化任务；表层表现为“五行存在但桥梁失效”。主药候选为“生扶该桥梁的上游五行或直接增强桥梁”，药理为“生”；最终喜忌与主次仍转M17/M18裁决。</x:v>
      </x:c>
      <x:c r="AF20" s="82" t="str">
        <x:v>较高</x:v>
      </x:c>
      <x:c r="AG20" s="82" t="str">
        <x:v>病药</x:v>
      </x:c>
      <x:c r="AH2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0" s="68" t="str">
        <x:v>当“M12明确该五行为不可替代桥梁且桥梁太弱”真实成立，且药神能够直接作用病位时，可按“关键五行过弱且承担桥梁功能时形成弱病”记录。</x:v>
      </x:c>
      <x:c r="AJ20" s="90" t="str">
        <x:v>只有表面“五行存在但桥梁失效”，但未证明根因“该五行本身弱，并因此无法完成M12必要通关或生化任务”及药神作用路径时，不得套用“关键五行过弱且承担桥梁功能时形成弱病”。</x:v>
      </x:c>
      <x:c r="AK20" s="82" t="str">
        <x:v>采用</x:v>
      </x:c>
      <x:c r="AL20" s="82" t="str">
        <x:v>初审</x:v>
      </x:c>
      <x:c r="AM20" s="87" t="n">
        <x:v>46260</x:v>
      </x:c>
    </x:row>
    <x:row r="21">
      <x:c r="A21" s="72" t="str">
        <x:f>IF(OR(C21="",D21=""),"",B21&amp;"-"&amp;UPPER(C21)&amp;"-"&amp;TEXT(D21,"0000")&amp;"-"&amp;E21)</x:f>
        <x:v>M16-WEAK-0015-V1.0</x:v>
      </x:c>
      <x:c r="B21" s="74" t="str">
        <x:v>M16</x:v>
      </x:c>
      <x:c r="C21" s="74" t="str">
        <x:v>WEAK</x:v>
      </x:c>
      <x:c r="D21" s="215" t="n">
        <x:v>15</x:v>
      </x:c>
      <x:c r="E21" s="74" t="str">
        <x:v>V1.0</x:v>
      </x:c>
      <x:c r="F21" s="68" t="str">
        <x:v>关键十神无根无源导致组合功能失效</x:v>
      </x:c>
      <x:c r="G21" s="82" t="str">
        <x:v>综合层</x:v>
      </x:c>
      <x:c r="H21" s="82" t="str">
        <x:v>旺衰病</x:v>
      </x:c>
      <x:c r="I21" s="68" t="str">
        <x:v>十神功能节点</x:v>
      </x:c>
      <x:c r="J21" s="68" t="str">
        <x:v>弱而无功</x:v>
      </x:c>
      <x:c r="K21" s="68" t="str">
        <x:v>承担制化、护格或生化任务的十神仅名义存在，缺根缺源</x:v>
      </x:c>
      <x:c r="L21" s="68" t="str">
        <x:v>组合表面齐全但实际不能运行</x:v>
      </x:c>
      <x:c r="M21" s="82" t="str">
        <x:v>明显</x:v>
      </x:c>
      <x:c r="N21" s="68" t="str">
        <x:v>生扶该十神的五行或保护其根源</x:v>
      </x:c>
      <x:c r="O21" s="68" t="str">
        <x:v>制去直接克制该十神者</x:v>
      </x:c>
      <x:c r="P21" s="82" t="str">
        <x:v>生</x:v>
      </x:c>
      <x:c r="Q21" s="68" t="str">
        <x:v>M10功能受限或失效，M11组合因该十神弱而降级</x:v>
      </x:c>
      <x:c r="R21" s="90" t="str">
        <x:v>必须确认强化该十神不会造成制化过度</x:v>
      </x:c>
      <x:c r="S21" s="90" t="str">
        <x:v>主要病位未被修复，原有失衡继续运行</x:v>
      </x:c>
      <x:c r="T21" s="90" t="str">
        <x:v>十神由弱转过旺可能破坏原比例</x:v>
      </x:c>
      <x:c r="U21" s="82" t="str">
        <x:v>条件性</x:v>
      </x:c>
      <x:c r="V21" s="90" t="str">
        <x:v>条件性</x:v>
      </x:c>
      <x:c r="W21" s="90" t="str">
        <x:v>制化太过或格局改写</x:v>
      </x:c>
      <x:c r="X21" s="68" t="str">
        <x:v>M08有效旺衰、M09日主旺衰、M10十神功能、M11组合、M12流通、M13调候、M15格局成败均已完成</x:v>
      </x:c>
      <x:c r="Y21" s="68" t="str">
        <x:v>病位、根因、功能障碍与药神作用路径均能够追溯</x:v>
      </x:c>
      <x:c r="Z21" s="68" t="str">
        <x:v>药神有根有源、透达，能够直接进入病位且兼顾多个主要问题</x:v>
      </x:c>
      <x:c r="AA21" s="68" t="str">
        <x:v>药神无根、受强制、被合绊、作用路径遥隔或同时被多个任务分流</x:v>
      </x:c>
      <x:c r="AB21" s="90" t="str">
        <x:v>若该失衡没有造成实际功能障碍，或特殊格局要求顺势，则不得按普通病药立论</x:v>
      </x:c>
      <x:c r="AC21" s="68" t="str">
        <x:v>特殊格局严格成立、岁运动态作用或流派争议转M18/M21及动态引擎</x:v>
      </x:c>
      <x:c r="AD21" s="84" t="str">
        <x:v>关键十神弱病</x:v>
      </x:c>
      <x:c r="AE21" s="84" t="str">
        <x:v>根本之病在“十神功能节点”：承担制化、护格或生化任务的十神仅名义存在，缺根缺源；表层表现为“组合表面齐全但实际不能运行”。主药候选为“生扶该十神的五行或保护其根源”，药理为“生”；最终喜忌与主次仍转M17/M18裁决。</x:v>
      </x:c>
      <x:c r="AF21" s="82" t="str">
        <x:v>较高</x:v>
      </x:c>
      <x:c r="AG21" s="82" t="str">
        <x:v>病药</x:v>
      </x:c>
      <x:c r="AH2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1" s="68" t="str">
        <x:v>当“M10功能受限或失效，M11组合因该十神弱而降级”真实成立，且药神能够直接作用病位时，可按“关键十神无根无源导致组合功能失效”记录。</x:v>
      </x:c>
      <x:c r="AJ21" s="90" t="str">
        <x:v>只有表面“组合表面齐全但实际不能运行”，但未证明根因“承担制化、护格或生化任务的十神仅名义存在，缺根缺源”及药神作用路径时，不得套用“关键十神无根无源导致组合功能失效”。</x:v>
      </x:c>
      <x:c r="AK21" s="82" t="str">
        <x:v>采用</x:v>
      </x:c>
      <x:c r="AL21" s="82" t="str">
        <x:v>初审</x:v>
      </x:c>
      <x:c r="AM21" s="87" t="n">
        <x:v>46260</x:v>
      </x:c>
    </x:row>
    <x:row r="22">
      <x:c r="A22" s="72" t="str">
        <x:f>IF(OR(C22="",D22=""),"",B22&amp;"-"&amp;UPPER(C22)&amp;"-"&amp;TEXT(D22,"0000")&amp;"-"&amp;E22)</x:f>
        <x:v>M16-WEAK-0016-V1.0</x:v>
      </x:c>
      <x:c r="B22" s="74" t="str">
        <x:v>M16</x:v>
      </x:c>
      <x:c r="C22" s="74" t="str">
        <x:v>WEAK</x:v>
      </x:c>
      <x:c r="D22" s="215" t="n">
        <x:v>16</x:v>
      </x:c>
      <x:c r="E22" s="74" t="str">
        <x:v>V1.0</x:v>
      </x:c>
      <x:c r="F22" s="68" t="str">
        <x:v>真从格中的日主极弱不按普通身弱立病</x:v>
      </x:c>
      <x:c r="G22" s="82" t="str">
        <x:v>综合层</x:v>
      </x:c>
      <x:c r="H22" s="82" t="str">
        <x:v>旺衰病</x:v>
      </x:c>
      <x:c r="I22" s="68" t="str">
        <x:v>日主</x:v>
      </x:c>
      <x:c r="J22" s="68" t="str">
        <x:v>顺势非病</x:v>
      </x:c>
      <x:c r="K22" s="68" t="str">
        <x:v>M15确认特殊从格严格成立，日主无依属于成格条件</x:v>
      </x:c>
      <x:c r="L22" s="68" t="str">
        <x:v>日主极弱、无根无印比</x:v>
      </x:c>
      <x:c r="M22" s="82" t="str">
        <x:v>轻微</x:v>
      </x:c>
      <x:c r="N22" s="68" t="str">
        <x:v>顺从主势的五行/十神</x:v>
      </x:c>
      <x:c r="O22" s="68" t="str">
        <x:v>维护从格清纯者</x:v>
      </x:c>
      <x:c r="P22" s="82" t="str">
        <x:v>护格</x:v>
      </x:c>
      <x:c r="Q22" s="68" t="str">
        <x:v>从格严格成立且无有效反从证据</x:v>
      </x:c>
      <x:c r="R22" s="90" t="str">
        <x:v>禁止以普通扶身药破从</x:v>
      </x:c>
      <x:c r="S22" s="90" t="str">
        <x:v>主势维护不足可能使从格不稳</x:v>
      </x:c>
      <x:c r="T22" s="90" t="str">
        <x:v>主势过度但仍需检查调候与流通副作用</x:v>
      </x:c>
      <x:c r="U22" s="82" t="str">
        <x:v>否</x:v>
      </x:c>
      <x:c r="V22" s="90" t="str">
        <x:v>条件性</x:v>
      </x:c>
      <x:c r="W22" s="90" t="str">
        <x:v>调候或流通副作用</x:v>
      </x:c>
      <x:c r="X22" s="68" t="str">
        <x:v>M08有效旺衰、M09日主旺衰、M10十神功能、M11组合、M12流通、M13调候、M15格局成败均已完成</x:v>
      </x:c>
      <x:c r="Y22" s="68" t="str">
        <x:v>病位、根因、功能障碍与药神作用路径均能够追溯</x:v>
      </x:c>
      <x:c r="Z22" s="68" t="str">
        <x:v>药神有根有源、透达，能够直接进入病位且兼顾多个主要问题</x:v>
      </x:c>
      <x:c r="AA22" s="68" t="str">
        <x:v>药神无根、受强制、被合绊、作用路径遥隔或同时被多个任务分流</x:v>
      </x:c>
      <x:c r="AB22" s="90" t="str">
        <x:v>若该失衡没有造成实际功能障碍，或特殊格局要求顺势，则不得按普通病药立论</x:v>
      </x:c>
      <x:c r="AC22" s="68" t="str">
        <x:v>特殊格局严格成立、岁运动态作用或流派争议转M18/M21及动态引擎</x:v>
      </x:c>
      <x:c r="AD22" s="84" t="str">
        <x:v>从格弱非病</x:v>
      </x:c>
      <x:c r="AE22" s="84" t="str">
        <x:v>日主极弱在真从结构中属于成格条件，不按普通身弱立病；药神方向须顺势护格。</x:v>
      </x:c>
      <x:c r="AF22" s="82" t="str">
        <x:v>较高</x:v>
      </x:c>
      <x:c r="AG22" s="82" t="str">
        <x:v>病药</x:v>
      </x:c>
      <x:c r="AH2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2" s="68" t="str">
        <x:v>当“从格严格成立且无有效反从证据”真实成立，且药神能够直接作用病位时，可按“真从格中的日主极弱不按普通身弱立病”记录。</x:v>
      </x:c>
      <x:c r="AJ22" s="90" t="str">
        <x:v>只有表面“日主极弱、无根无印比”，但未证明根因“M15确认特殊从格严格成立，日主无依属于成格条件”及药神作用路径时，不得套用“真从格中的日主极弱不按普通身弱立病”。</x:v>
      </x:c>
      <x:c r="AK22" s="82" t="str">
        <x:v>采用</x:v>
      </x:c>
      <x:c r="AL22" s="82" t="str">
        <x:v>初审</x:v>
      </x:c>
      <x:c r="AM22" s="87" t="n">
        <x:v>46260</x:v>
      </x:c>
    </x:row>
    <x:row r="23">
      <x:c r="A23" s="72" t="str">
        <x:f>IF(OR(C23="",D23=""),"",B23&amp;"-"&amp;UPPER(C23)&amp;"-"&amp;TEXT(D23,"0000")&amp;"-"&amp;E23)</x:f>
        <x:v>M16-STRONG-0017-V1.0</x:v>
      </x:c>
      <x:c r="B23" s="74" t="str">
        <x:v>M16</x:v>
      </x:c>
      <x:c r="C23" s="74" t="str">
        <x:v>STRONG</x:v>
      </x:c>
      <x:c r="D23" s="215" t="n">
        <x:v>17</x:v>
      </x:c>
      <x:c r="E23" s="74" t="str">
        <x:v>V1.0</x:v>
      </x:c>
      <x:c r="F23" s="68" t="str">
        <x:v>比劫成势导致日主过旺且无合理出口</x:v>
      </x:c>
      <x:c r="G23" s="82" t="str">
        <x:v>综合层</x:v>
      </x:c>
      <x:c r="H23" s="82" t="str">
        <x:v>旺衰病</x:v>
      </x:c>
      <x:c r="I23" s="68" t="str">
        <x:v>日主—比劫集团</x:v>
      </x:c>
      <x:c r="J23" s="68" t="str">
        <x:v>身旺壅塞</x:v>
      </x:c>
      <x:c r="K23" s="68" t="str">
        <x:v>日主与比劫旺强，财官食伤均弱或受阻</x:v>
      </x:c>
      <x:c r="L23" s="68" t="str">
        <x:v>身势强但制、泄、耗路径不足</x:v>
      </x:c>
      <x:c r="M23" s="82" t="str">
        <x:v>明显</x:v>
      </x:c>
      <x:c r="N23" s="68" t="str">
        <x:v>食伤泄秀或官杀制衡，按格局选择</x:v>
      </x:c>
      <x:c r="O23" s="68" t="str">
        <x:v>财星承接食伤或保护官杀</x:v>
      </x:c>
      <x:c r="P23" s="82" t="str">
        <x:v>泄</x:v>
      </x:c>
      <x:c r="Q23" s="68" t="str">
        <x:v>M09旺或极旺，M12源头过旺无泄，且非从旺/专旺</x:v>
      </x:c>
      <x:c r="R23" s="90" t="str">
        <x:v>核心印格或特殊格局严格成立时不得机械泄制</x:v>
      </x:c>
      <x:c r="S23" s="90" t="str">
        <x:v>主要病位未被修复，原有失衡继续运行</x:v>
      </x:c>
      <x:c r="T23" s="90" t="str">
        <x:v>食伤过泄或官杀过制会由旺转弱</x:v>
      </x:c>
      <x:c r="U23" s="82" t="str">
        <x:v>条件性</x:v>
      </x:c>
      <x:c r="V23" s="90" t="str">
        <x:v>条件性</x:v>
      </x:c>
      <x:c r="W23" s="90" t="str">
        <x:v>泄身过度或官杀压身</x:v>
      </x:c>
      <x:c r="X23" s="68" t="str">
        <x:v>M08有效旺衰、M09日主旺衰、M10十神功能、M11组合、M12流通、M13调候、M15格局成败均已完成</x:v>
      </x:c>
      <x:c r="Y23" s="68" t="str">
        <x:v>病位、根因、功能障碍与药神作用路径均能够追溯</x:v>
      </x:c>
      <x:c r="Z23" s="68" t="str">
        <x:v>药神有根有源、透达，能够直接进入病位且兼顾多个主要问题</x:v>
      </x:c>
      <x:c r="AA23" s="68" t="str">
        <x:v>药神无根、受强制、被合绊、作用路径遥隔或同时被多个任务分流</x:v>
      </x:c>
      <x:c r="AB23" s="90" t="str">
        <x:v>若该失衡没有造成实际功能障碍，或特殊格局要求顺势，则不得按普通病药立论</x:v>
      </x:c>
      <x:c r="AC23" s="68" t="str">
        <x:v>特殊格局严格成立、岁运动态作用或流派争议转M18/M21及动态引擎</x:v>
      </x:c>
      <x:c r="AD23" s="84" t="str">
        <x:v>比劫旺无出口</x:v>
      </x:c>
      <x:c r="AE23" s="84" t="str">
        <x:v>根本之病在“日主—比劫集团”：日主与比劫旺强，财官食伤均弱或受阻；表层表现为“身势强但制、泄、耗路径不足”。主药候选为“食伤泄秀或官杀制衡，按格局选择”，药理为“泄”；最终喜忌与主次仍转M17/M18裁决。</x:v>
      </x:c>
      <x:c r="AF23" s="82" t="str">
        <x:v>较高</x:v>
      </x:c>
      <x:c r="AG23" s="82" t="str">
        <x:v>病药</x:v>
      </x:c>
      <x:c r="AH2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3" s="68" t="str">
        <x:v>当“M09旺或极旺，M12源头过旺无泄，且非从旺/专旺”真实成立，且药神能够直接作用病位时，可按“比劫成势导致日主过旺且无合理出口”记录。</x:v>
      </x:c>
      <x:c r="AJ23" s="90" t="str">
        <x:v>只有表面“身势强但制、泄、耗路径不足”，但未证明根因“日主与比劫旺强，财官食伤均弱或受阻”及药神作用路径时，不得套用“比劫成势导致日主过旺且无合理出口”。</x:v>
      </x:c>
      <x:c r="AK23" s="82" t="str">
        <x:v>采用</x:v>
      </x:c>
      <x:c r="AL23" s="82" t="str">
        <x:v>初审</x:v>
      </x:c>
      <x:c r="AM23" s="87" t="n">
        <x:v>46260</x:v>
      </x:c>
    </x:row>
    <x:row r="24">
      <x:c r="A24" s="72" t="str">
        <x:f>IF(OR(C24="",D24=""),"",B24&amp;"-"&amp;UPPER(C24)&amp;"-"&amp;TEXT(D24,"0000")&amp;"-"&amp;E24)</x:f>
        <x:v>M16-STRONG-0018-V1.0</x:v>
      </x:c>
      <x:c r="B24" s="74" t="str">
        <x:v>M16</x:v>
      </x:c>
      <x:c r="C24" s="74" t="str">
        <x:v>STRONG</x:v>
      </x:c>
      <x:c r="D24" s="215" t="n">
        <x:v>18</x:v>
      </x:c>
      <x:c r="E24" s="74" t="str">
        <x:v>V1.0</x:v>
      </x:c>
      <x:c r="F24" s="68" t="str">
        <x:v>印星过旺持续生身形成印多身滞</x:v>
      </x:c>
      <x:c r="G24" s="82" t="str">
        <x:v>综合层</x:v>
      </x:c>
      <x:c r="H24" s="82" t="str">
        <x:v>旺衰病</x:v>
      </x:c>
      <x:c r="I24" s="68" t="str">
        <x:v>印→日主生扶链</x:v>
      </x:c>
      <x:c r="J24" s="68" t="str">
        <x:v>生扶过度</x:v>
      </x:c>
      <x:c r="K24" s="68" t="str">
        <x:v>印星旺强，日主已旺，食伤输出又被印制</x:v>
      </x:c>
      <x:c r="L24" s="68" t="str">
        <x:v>身势壅滞、输出链受阻</x:v>
      </x:c>
      <x:c r="M24" s="82" t="str">
        <x:v>明显</x:v>
      </x:c>
      <x:c r="N24" s="68" t="str">
        <x:v>食伤泄秀或财星适度制印</x:v>
      </x:c>
      <x:c r="O24" s="68" t="str">
        <x:v>保护食伤或疏通财星</x:v>
      </x:c>
      <x:c r="P24" s="82" t="str">
        <x:v>泄</x:v>
      </x:c>
      <x:c r="Q24" s="68" t="str">
        <x:v>M10印星过度，M11印多身滞成立，且印非关键化杀唯一节点</x:v>
      </x:c>
      <x:c r="R24" s="90" t="str">
        <x:v>杀印相生依赖印星时，强财破印可能伤格</x:v>
      </x:c>
      <x:c r="S24" s="90" t="str">
        <x:v>主要病位未被修复，原有失衡继续运行</x:v>
      </x:c>
      <x:c r="T24" s="90" t="str">
        <x:v>财过强坏印、食伤过旺泄身过度</x:v>
      </x:c>
      <x:c r="U24" s="82" t="str">
        <x:v>条件性</x:v>
      </x:c>
      <x:c r="V24" s="90" t="str">
        <x:v>条件性</x:v>
      </x:c>
      <x:c r="W24" s="90" t="str">
        <x:v>财坏印或食伤过泄</x:v>
      </x:c>
      <x:c r="X24" s="68" t="str">
        <x:v>M08有效旺衰、M09日主旺衰、M10十神功能、M11组合、M12流通、M13调候、M15格局成败均已完成</x:v>
      </x:c>
      <x:c r="Y24" s="68" t="str">
        <x:v>病位、根因、功能障碍与药神作用路径均能够追溯</x:v>
      </x:c>
      <x:c r="Z24" s="68" t="str">
        <x:v>药神有根有源、透达，能够直接进入病位且兼顾多个主要问题</x:v>
      </x:c>
      <x:c r="AA24" s="68" t="str">
        <x:v>药神无根、受强制、被合绊、作用路径遥隔或同时被多个任务分流</x:v>
      </x:c>
      <x:c r="AB24" s="90" t="str">
        <x:v>若该失衡没有造成实际功能障碍，或特殊格局要求顺势，则不得按普通病药立论</x:v>
      </x:c>
      <x:c r="AC24" s="68" t="str">
        <x:v>特殊格局严格成立、岁运动态作用或流派争议转M18/M21及动态引擎</x:v>
      </x:c>
      <x:c r="AD24" s="84" t="str">
        <x:v>印多身滞</x:v>
      </x:c>
      <x:c r="AE24" s="84" t="str">
        <x:v>根本之病在“印→日主生扶链”：印星旺强，日主已旺，食伤输出又被印制；表层表现为“身势壅滞、输出链受阻”。主药候选为“食伤泄秀或财星适度制印”，药理为“泄”；最终喜忌与主次仍转M17/M18裁决。</x:v>
      </x:c>
      <x:c r="AF24" s="82" t="str">
        <x:v>较高</x:v>
      </x:c>
      <x:c r="AG24" s="82" t="str">
        <x:v>病药</x:v>
      </x:c>
      <x:c r="AH2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4" s="68" t="str">
        <x:v>当“M10印星过度，M11印多身滞成立，且印非关键化杀唯一节点”真实成立，且药神能够直接作用病位时，可按“印星过旺持续生身形成印多身滞”记录。</x:v>
      </x:c>
      <x:c r="AJ24" s="90" t="str">
        <x:v>只有表面“身势壅滞、输出链受阻”，但未证明根因“印星旺强，日主已旺，食伤输出又被印制”及药神作用路径时，不得套用“印星过旺持续生身形成印多身滞”。</x:v>
      </x:c>
      <x:c r="AK24" s="82" t="str">
        <x:v>采用</x:v>
      </x:c>
      <x:c r="AL24" s="82" t="str">
        <x:v>初审</x:v>
      </x:c>
      <x:c r="AM24" s="87" t="n">
        <x:v>46260</x:v>
      </x:c>
    </x:row>
    <x:row r="25">
      <x:c r="A25" s="72" t="str">
        <x:f>IF(OR(C25="",D25=""),"",B25&amp;"-"&amp;UPPER(C25)&amp;"-"&amp;TEXT(D25,"0000")&amp;"-"&amp;E25)</x:f>
        <x:v>M16-STRONG-0019-V1.0</x:v>
      </x:c>
      <x:c r="B25" s="74" t="str">
        <x:v>M16</x:v>
      </x:c>
      <x:c r="C25" s="74" t="str">
        <x:v>STRONG</x:v>
      </x:c>
      <x:c r="D25" s="215" t="n">
        <x:v>19</x:v>
      </x:c>
      <x:c r="E25" s="74" t="str">
        <x:v>V1.0</x:v>
      </x:c>
      <x:c r="F25" s="68" t="str">
        <x:v>单一五行极旺且无泄形成源头过旺病</x:v>
      </x:c>
      <x:c r="G25" s="82" t="str">
        <x:v>综合层</x:v>
      </x:c>
      <x:c r="H25" s="82" t="str">
        <x:v>旺衰病</x:v>
      </x:c>
      <x:c r="I25" s="68" t="str">
        <x:v>极旺五行源头</x:v>
      </x:c>
      <x:c r="J25" s="68" t="str">
        <x:v>旺而无泄</x:v>
      </x:c>
      <x:c r="K25" s="68" t="str">
        <x:v>某五行旺极并聚集，M12未找到有效输出或转化路径</x:v>
      </x:c>
      <x:c r="L25" s="68" t="str">
        <x:v>力量强但功能壅塞</x:v>
      </x:c>
      <x:c r="M25" s="82" t="str">
        <x:v>严重</x:v>
      </x:c>
      <x:c r="N25" s="68" t="str">
        <x:v>该五行所生之五行作为泄神</x:v>
      </x:c>
      <x:c r="O25" s="68" t="str">
        <x:v>能保护泄神或建立终点承载者</x:v>
      </x:c>
      <x:c r="P25" s="82" t="str">
        <x:v>泄</x:v>
      </x:c>
      <x:c r="Q25" s="68" t="str">
        <x:v>M08极旺，M12源头过旺无泄，且非专旺/从旺严格成立</x:v>
      </x:c>
      <x:c r="R25" s="90" t="str">
        <x:v>特殊专旺结构不得逆势强泄</x:v>
      </x:c>
      <x:c r="S25" s="90" t="str">
        <x:v>主要病位未被修复，原有失衡继续运行</x:v>
      </x:c>
      <x:c r="T25" s="90" t="str">
        <x:v>泄神过旺会消耗源头过度或推高终点</x:v>
      </x:c>
      <x:c r="U25" s="82" t="str">
        <x:v>条件性</x:v>
      </x:c>
      <x:c r="V25" s="90" t="str">
        <x:v>条件性</x:v>
      </x:c>
      <x:c r="W25" s="90" t="str">
        <x:v>泄耗过度或终点过旺</x:v>
      </x:c>
      <x:c r="X25" s="68" t="str">
        <x:v>M08有效旺衰、M09日主旺衰、M10十神功能、M11组合、M12流通、M13调候、M15格局成败均已完成</x:v>
      </x:c>
      <x:c r="Y25" s="68" t="str">
        <x:v>病位、根因、功能障碍与药神作用路径均能够追溯</x:v>
      </x:c>
      <x:c r="Z25" s="68" t="str">
        <x:v>药神有根有源、透达，能够直接进入病位且兼顾多个主要问题</x:v>
      </x:c>
      <x:c r="AA25" s="68" t="str">
        <x:v>药神无根、受强制、被合绊、作用路径遥隔或同时被多个任务分流</x:v>
      </x:c>
      <x:c r="AB25" s="90" t="str">
        <x:v>若该失衡没有造成实际功能障碍，或特殊格局要求顺势，则不得按普通病药立论</x:v>
      </x:c>
      <x:c r="AC25" s="68" t="str">
        <x:v>特殊格局严格成立、岁运动态作用或流派争议转M18/M21及动态引擎</x:v>
      </x:c>
      <x:c r="AD25" s="84" t="str">
        <x:v>极旺源头无泄</x:v>
      </x:c>
      <x:c r="AE25" s="84" t="str">
        <x:v>根本之病在“极旺五行源头”：某五行旺极并聚集，M12未找到有效输出或转化路径；表层表现为“力量强但功能壅塞”。主药候选为“该五行所生之五行作为泄神”，药理为“泄”；最终喜忌与主次仍转M17/M18裁决。</x:v>
      </x:c>
      <x:c r="AF25" s="82" t="str">
        <x:v>较高</x:v>
      </x:c>
      <x:c r="AG25" s="82" t="str">
        <x:v>病药</x:v>
      </x:c>
      <x:c r="AH2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5" s="68" t="str">
        <x:v>当“M08极旺，M12源头过旺无泄，且非专旺/从旺严格成立”真实成立，且药神能够直接作用病位时，可按“单一五行极旺且无泄形成源头过旺病”记录。</x:v>
      </x:c>
      <x:c r="AJ25" s="90" t="str">
        <x:v>只有表面“力量强但功能壅塞”，但未证明根因“某五行旺极并聚集，M12未找到有效输出或转化路径”及药神作用路径时，不得套用“单一五行极旺且无泄形成源头过旺病”。</x:v>
      </x:c>
      <x:c r="AK25" s="82" t="str">
        <x:v>采用</x:v>
      </x:c>
      <x:c r="AL25" s="82" t="str">
        <x:v>初审</x:v>
      </x:c>
      <x:c r="AM25" s="87" t="n">
        <x:v>46260</x:v>
      </x:c>
    </x:row>
    <x:row r="26">
      <x:c r="A26" s="72" t="str">
        <x:f>IF(OR(C26="",D26=""),"",B26&amp;"-"&amp;UPPER(C26)&amp;"-"&amp;TEXT(D26,"0000")&amp;"-"&amp;E26)</x:f>
        <x:v>M16-STRONG-0020-V1.0</x:v>
      </x:c>
      <x:c r="B26" s="74" t="str">
        <x:v>M16</x:v>
      </x:c>
      <x:c r="C26" s="74" t="str">
        <x:v>STRONG</x:v>
      </x:c>
      <x:c r="D26" s="215" t="n">
        <x:v>20</x:v>
      </x:c>
      <x:c r="E26" s="74" t="str">
        <x:v>V1.0</x:v>
      </x:c>
      <x:c r="F26" s="68" t="str">
        <x:v>财官食伤任一负荷端过旺可形成局部过强病</x:v>
      </x:c>
      <x:c r="G26" s="82" t="str">
        <x:v>综合层</x:v>
      </x:c>
      <x:c r="H26" s="82" t="str">
        <x:v>旺衰病</x:v>
      </x:c>
      <x:c r="I26" s="68" t="str">
        <x:v>过旺十神集团</x:v>
      </x:c>
      <x:c r="J26" s="68" t="str">
        <x:v>功能过度</x:v>
      </x:c>
      <x:c r="K26" s="68" t="str">
        <x:v>某十神有效力量远超日主或其制化对象承载</x:v>
      </x:c>
      <x:c r="L26" s="68" t="str">
        <x:v>耗、制或泄功能超量</x:v>
      </x:c>
      <x:c r="M26" s="82" t="str">
        <x:v>明显</x:v>
      </x:c>
      <x:c r="N26" s="68" t="str">
        <x:v>制约该十神或增强承载的一方</x:v>
      </x:c>
      <x:c r="O26" s="68" t="str">
        <x:v>通关与保护关键组合者</x:v>
      </x:c>
      <x:c r="P26" s="82" t="str">
        <x:v>抑</x:v>
      </x:c>
      <x:c r="Q26" s="68" t="str">
        <x:v>M10功能状态为过度，M11/M15未将其认定为特殊顺势条件</x:v>
      </x:c>
      <x:c r="R26" s="90" t="str">
        <x:v>不能只看该十神旺，要确认其净作用确实失衡</x:v>
      </x:c>
      <x:c r="S26" s="90" t="str">
        <x:v>主要病位未被修复，原有失衡继续运行</x:v>
      </x:c>
      <x:c r="T26" s="90" t="str">
        <x:v>过度压制该十神会破坏格局或造成反向失衡</x:v>
      </x:c>
      <x:c r="U26" s="82" t="str">
        <x:v>条件性</x:v>
      </x:c>
      <x:c r="V26" s="90" t="str">
        <x:v>条件性</x:v>
      </x:c>
      <x:c r="W26" s="90" t="str">
        <x:v>格神受损或制化太过</x:v>
      </x:c>
      <x:c r="X26" s="68" t="str">
        <x:v>M08有效旺衰、M09日主旺衰、M10十神功能、M11组合、M12流通、M13调候、M15格局成败均已完成</x:v>
      </x:c>
      <x:c r="Y26" s="68" t="str">
        <x:v>病位、根因、功能障碍与药神作用路径均能够追溯</x:v>
      </x:c>
      <x:c r="Z26" s="68" t="str">
        <x:v>药神有根有源、透达，能够直接进入病位且兼顾多个主要问题</x:v>
      </x:c>
      <x:c r="AA26" s="68" t="str">
        <x:v>药神无根、受强制、被合绊、作用路径遥隔或同时被多个任务分流</x:v>
      </x:c>
      <x:c r="AB26" s="90" t="str">
        <x:v>若该失衡没有造成实际功能障碍，或特殊格局要求顺势，则不得按普通病药立论</x:v>
      </x:c>
      <x:c r="AC26" s="68" t="str">
        <x:v>特殊格局严格成立、岁运动态作用或流派争议转M18/M21及动态引擎</x:v>
      </x:c>
      <x:c r="AD26" s="84" t="str">
        <x:v>十神功能过旺</x:v>
      </x:c>
      <x:c r="AE26" s="84" t="str">
        <x:v>根本之病在“过旺十神集团”：某十神有效力量远超日主或其制化对象承载；表层表现为“耗、制或泄功能超量”。主药候选为“制约该十神或增强承载的一方”，药理为“抑”；最终喜忌与主次仍转M17/M18裁决。</x:v>
      </x:c>
      <x:c r="AF26" s="82" t="str">
        <x:v>较高</x:v>
      </x:c>
      <x:c r="AG26" s="82" t="str">
        <x:v>病药</x:v>
      </x:c>
      <x:c r="AH2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6" s="68" t="str">
        <x:v>当“M10功能状态为过度，M11/M15未将其认定为特殊顺势条件”真实成立，且药神能够直接作用病位时，可按“财官食伤任一负荷端过旺可形成局部过强病”记录。</x:v>
      </x:c>
      <x:c r="AJ26" s="90" t="str">
        <x:v>只有表面“耗、制或泄功能超量”，但未证明根因“某十神有效力量远超日主或其制化对象承载”及药神作用路径时，不得套用“财官食伤任一负荷端过旺可形成局部过强病”。</x:v>
      </x:c>
      <x:c r="AK26" s="82" t="str">
        <x:v>采用</x:v>
      </x:c>
      <x:c r="AL26" s="82" t="str">
        <x:v>初审</x:v>
      </x:c>
      <x:c r="AM26" s="87" t="n">
        <x:v>46260</x:v>
      </x:c>
    </x:row>
    <x:row r="27">
      <x:c r="A27" s="72" t="str">
        <x:f>IF(OR(C27="",D27=""),"",B27&amp;"-"&amp;UPPER(C27)&amp;"-"&amp;TEXT(D27,"0000")&amp;"-"&amp;E27)</x:f>
        <x:v>M16-STRONG-0021-V1.0</x:v>
      </x:c>
      <x:c r="B27" s="74" t="str">
        <x:v>M16</x:v>
      </x:c>
      <x:c r="C27" s="74" t="str">
        <x:v>STRONG</x:v>
      </x:c>
      <x:c r="D27" s="215" t="n">
        <x:v>21</x:v>
      </x:c>
      <x:c r="E27" s="74" t="str">
        <x:v>V1.0</x:v>
      </x:c>
      <x:c r="F27" s="68" t="str">
        <x:v>旺而流通良好且承担格局功能时不立旺病</x:v>
      </x:c>
      <x:c r="G27" s="82" t="str">
        <x:v>综合层</x:v>
      </x:c>
      <x:c r="H27" s="82" t="str">
        <x:v>旺衰病</x:v>
      </x:c>
      <x:c r="I27" s="68" t="str">
        <x:v>旺强五行/十神</x:v>
      </x:c>
      <x:c r="J27" s="68" t="str">
        <x:v>旺而有用</x:v>
      </x:c>
      <x:c r="K27" s="68" t="str">
        <x:v>力量虽旺，但有稳定泄化、终点承载和格局功能</x:v>
      </x:c>
      <x:c r="L27" s="68" t="str">
        <x:v>某五行或十神旺</x:v>
      </x:c>
      <x:c r="M27" s="82" t="str">
        <x:v>轻微</x:v>
      </x:c>
      <x:c r="N27" s="68" t="str">
        <x:v>不预设抑制药</x:v>
      </x:c>
      <x:c r="O27" s="68" t="str">
        <x:v>维护现有流通者</x:v>
      </x:c>
      <x:c r="P27" s="82" t="str">
        <x:v>护格</x:v>
      </x:c>
      <x:c r="Q27" s="68" t="str">
        <x:v>M12通畅，M15格局成立，旺神未造成承载或制化失衡</x:v>
      </x:c>
      <x:c r="R27" s="90" t="str">
        <x:v>禁止见旺必抑</x:v>
      </x:c>
      <x:c r="S27" s="90" t="str">
        <x:v>不适用</x:v>
      </x:c>
      <x:c r="T27" s="90" t="str">
        <x:v>错误抑制会破坏格局主轴</x:v>
      </x:c>
      <x:c r="U27" s="82" t="str">
        <x:v>是</x:v>
      </x:c>
      <x:c r="V27" s="90" t="str">
        <x:v>是</x:v>
      </x:c>
      <x:c r="W27" s="90" t="str">
        <x:v>格局病或流通病</x:v>
      </x:c>
      <x:c r="X27" s="68" t="str">
        <x:v>M08有效旺衰、M09日主旺衰、M10十神功能、M11组合、M12流通、M13调候、M15格局成败均已完成</x:v>
      </x:c>
      <x:c r="Y27" s="68" t="str">
        <x:v>病位、根因、功能障碍与药神作用路径均能够追溯</x:v>
      </x:c>
      <x:c r="Z27" s="68" t="str">
        <x:v>药神有根有源、透达，能够直接进入病位且兼顾多个主要问题</x:v>
      </x:c>
      <x:c r="AA27" s="68" t="str">
        <x:v>药神无根、受强制、被合绊、作用路径遥隔或同时被多个任务分流</x:v>
      </x:c>
      <x:c r="AB27" s="90" t="str">
        <x:v>若该失衡没有造成实际功能障碍，或特殊格局要求顺势，则不得按普通病药立论</x:v>
      </x:c>
      <x:c r="AC27" s="68" t="str">
        <x:v>特殊格局严格成立、岁运动态作用或流派争议转M18/M21及动态引擎</x:v>
      </x:c>
      <x:c r="AD27" s="84" t="str">
        <x:v>旺而有用非病</x:v>
      </x:c>
      <x:c r="AE27" s="84" t="str">
        <x:v>该五行虽旺，但流通和格局功能正常，不作为旺病处理。</x:v>
      </x:c>
      <x:c r="AF27" s="82" t="str">
        <x:v>较高</x:v>
      </x:c>
      <x:c r="AG27" s="82" t="str">
        <x:v>病药</x:v>
      </x:c>
      <x:c r="AH2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7" s="68" t="str">
        <x:v>当“M12通畅，M15格局成立，旺神未造成承载或制化失衡”真实成立，且药神能够直接作用病位时，可按“旺而流通良好且承担格局功能时不立旺病”记录。</x:v>
      </x:c>
      <x:c r="AJ27" s="90" t="str">
        <x:v>只有表面“某五行或十神旺”，但未证明根因“力量虽旺，但有稳定泄化、终点承载和格局功能”及药神作用路径时，不得套用“旺而流通良好且承担格局功能时不立旺病”。</x:v>
      </x:c>
      <x:c r="AK27" s="82" t="str">
        <x:v>采用</x:v>
      </x:c>
      <x:c r="AL27" s="82" t="str">
        <x:v>初审</x:v>
      </x:c>
      <x:c r="AM27" s="87" t="n">
        <x:v>46260</x:v>
      </x:c>
    </x:row>
    <x:row r="28">
      <x:c r="A28" s="72" t="str">
        <x:f>IF(OR(C28="",D28=""),"",B28&amp;"-"&amp;UPPER(C28)&amp;"-"&amp;TEXT(D28,"0000")&amp;"-"&amp;E28)</x:f>
        <x:v>M16-STRONG-0022-V1.0</x:v>
      </x:c>
      <x:c r="B28" s="74" t="str">
        <x:v>M16</x:v>
      </x:c>
      <x:c r="C28" s="74" t="str">
        <x:v>STRONG</x:v>
      </x:c>
      <x:c r="D28" s="215" t="n">
        <x:v>22</x:v>
      </x:c>
      <x:c r="E28" s="74" t="str">
        <x:v>V1.0</x:v>
      </x:c>
      <x:c r="F28" s="68" t="str">
        <x:v>从旺从强或专旺中的极旺属于顺势条件</x:v>
      </x:c>
      <x:c r="G28" s="82" t="str">
        <x:v>综合层</x:v>
      </x:c>
      <x:c r="H28" s="82" t="str">
        <x:v>旺衰病</x:v>
      </x:c>
      <x:c r="I28" s="68" t="str">
        <x:v>特殊格局主势</x:v>
      </x:c>
      <x:c r="J28" s="68" t="str">
        <x:v>顺旺非病</x:v>
      </x:c>
      <x:c r="K28" s="68" t="str">
        <x:v>M15确认从旺、从强或专旺严格成立</x:v>
      </x:c>
      <x:c r="L28" s="68" t="str">
        <x:v>日主或同类五行极旺</x:v>
      </x:c>
      <x:c r="M28" s="82" t="str">
        <x:v>轻微</x:v>
      </x:c>
      <x:c r="N28" s="68" t="str">
        <x:v>顺势生助或合理泄秀者</x:v>
      </x:c>
      <x:c r="O28" s="68" t="str">
        <x:v>维护格局清纯者</x:v>
      </x:c>
      <x:c r="P28" s="82" t="str">
        <x:v>护格</x:v>
      </x:c>
      <x:c r="Q28" s="68" t="str">
        <x:v>特殊格局严格成立且逆神无效</x:v>
      </x:c>
      <x:c r="R28" s="90" t="str">
        <x:v>不得按普通旺衰用强克逆格</x:v>
      </x:c>
      <x:c r="S28" s="90" t="str">
        <x:v>主要病位未被修复，原有失衡继续运行</x:v>
      </x:c>
      <x:c r="T28" s="90" t="str">
        <x:v>药神反向过度，可能跨越平衡并形成新的结构性失衡</x:v>
      </x:c>
      <x:c r="U28" s="82" t="str">
        <x:v>否</x:v>
      </x:c>
      <x:c r="V28" s="90" t="str">
        <x:v>条件性</x:v>
      </x:c>
      <x:c r="W28" s="90" t="str">
        <x:v>调候、流通或杂气破格</x:v>
      </x:c>
      <x:c r="X28" s="68" t="str">
        <x:v>M08有效旺衰、M09日主旺衰、M10十神功能、M11组合、M12流通、M13调候、M15格局成败均已完成</x:v>
      </x:c>
      <x:c r="Y28" s="68" t="str">
        <x:v>病位、根因、功能障碍与药神作用路径均能够追溯</x:v>
      </x:c>
      <x:c r="Z28" s="68" t="str">
        <x:v>药神有根有源、透达，能够直接进入病位且兼顾多个主要问题</x:v>
      </x:c>
      <x:c r="AA28" s="68" t="str">
        <x:v>药神无根、受强制、被合绊、作用路径遥隔或同时被多个任务分流</x:v>
      </x:c>
      <x:c r="AB28" s="90" t="str">
        <x:v>若该失衡没有造成实际功能障碍，或特殊格局要求顺势，则不得按普通病药立论</x:v>
      </x:c>
      <x:c r="AC28" s="68" t="str">
        <x:v>特殊格局严格成立、岁运动态作用或流派争议转M18/M21及动态引擎</x:v>
      </x:c>
      <x:c r="AD28" s="84" t="str">
        <x:v>特殊旺势非病</x:v>
      </x:c>
      <x:c r="AE28" s="84" t="str">
        <x:v>根本之病在“特殊格局主势”：M15确认从旺、从强或专旺严格成立；表层表现为“日主或同类五行极旺”。主药候选为“顺势生助或合理泄秀者”，药理为“护格”；最终喜忌与主次仍转M17/M18裁决。</x:v>
      </x:c>
      <x:c r="AF28" s="82" t="str">
        <x:v>较高</x:v>
      </x:c>
      <x:c r="AG28" s="82" t="str">
        <x:v>病药</x:v>
      </x:c>
      <x:c r="AH2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8" s="68" t="str">
        <x:v>当“特殊格局严格成立且逆神无效”真实成立，且药神能够直接作用病位时，可按“从旺从强或专旺中的极旺属于顺势条件”记录。</x:v>
      </x:c>
      <x:c r="AJ28" s="90" t="str">
        <x:v>只有表面“日主或同类五行极旺”，但未证明根因“M15确认从旺、从强或专旺严格成立”及药神作用路径时，不得套用“从旺从强或专旺中的极旺属于顺势条件”。</x:v>
      </x:c>
      <x:c r="AK28" s="82" t="str">
        <x:v>采用</x:v>
      </x:c>
      <x:c r="AL28" s="82" t="str">
        <x:v>初审</x:v>
      </x:c>
      <x:c r="AM28" s="87" t="n">
        <x:v>46260</x:v>
      </x:c>
    </x:row>
    <x:row r="29">
      <x:c r="A29" s="72" t="str">
        <x:f>IF(OR(C29="",D29=""),"",B29&amp;"-"&amp;UPPER(C29)&amp;"-"&amp;TEXT(D29,"0000")&amp;"-"&amp;E29)</x:f>
        <x:v>M16-STRONG-0023-V1.0</x:v>
      </x:c>
      <x:c r="B29" s="74" t="str">
        <x:v>M16</x:v>
      </x:c>
      <x:c r="C29" s="74" t="str">
        <x:v>STRONG</x:v>
      </x:c>
      <x:c r="D29" s="215" t="n">
        <x:v>23</x:v>
      </x:c>
      <x:c r="E29" s="74" t="str">
        <x:v>V1.0</x:v>
      </x:c>
      <x:c r="F29" s="68" t="str">
        <x:v>过旺宜泄还是宜制须服从格局和流通</x:v>
      </x:c>
      <x:c r="G29" s="82" t="str">
        <x:v>综合层</x:v>
      </x:c>
      <x:c r="H29" s="82" t="str">
        <x:v>旺衰病</x:v>
      </x:c>
      <x:c r="I29" s="68" t="str">
        <x:v>过旺主势的出口</x:v>
      </x:c>
      <x:c r="J29" s="68" t="str">
        <x:v>药理选择</x:v>
      </x:c>
      <x:c r="K29" s="68" t="str">
        <x:v>同一过旺问题可以通过泄、制或耗处理，但结构成本不同</x:v>
      </x:c>
      <x:c r="L29" s="68" t="str">
        <x:v>强身、强印比或强五行无平衡</x:v>
      </x:c>
      <x:c r="M29" s="82" t="str">
        <x:v>明显</x:v>
      </x:c>
      <x:c r="N29" s="68" t="str">
        <x:v>泄神或制神二选一</x:v>
      </x:c>
      <x:c r="O29" s="68" t="str">
        <x:v>承接终点或保护制神者</x:v>
      </x:c>
      <x:c r="P29" s="82" t="str">
        <x:v>复合药理</x:v>
      </x:c>
      <x:c r="Q29" s="68" t="str">
        <x:v>比较M12路径、M15格局与M13调候后选择净收益更高的路线</x:v>
      </x:c>
      <x:c r="R29" s="90" t="str">
        <x:v>不得同时机械叠加泄与强制，造成过度削弱</x:v>
      </x:c>
      <x:c r="S29" s="90" t="str">
        <x:v>主要病位未被修复，原有失衡继续运行</x:v>
      </x:c>
      <x:c r="T29" s="90" t="str">
        <x:v>药神反向过度，可能跨越平衡并形成新的结构性失衡</x:v>
      </x:c>
      <x:c r="U29" s="82" t="str">
        <x:v>条件性</x:v>
      </x:c>
      <x:c r="V29" s="90" t="str">
        <x:v>条件性</x:v>
      </x:c>
      <x:c r="W29" s="90" t="str">
        <x:v>制泄并用过度、格局冲突</x:v>
      </x:c>
      <x:c r="X29" s="68" t="str">
        <x:v>M08有效旺衰、M09日主旺衰、M10十神功能、M11组合、M12流通、M13调候、M15格局成败均已完成</x:v>
      </x:c>
      <x:c r="Y29" s="68" t="str">
        <x:v>病位、根因、功能障碍与药神作用路径均能够追溯</x:v>
      </x:c>
      <x:c r="Z29" s="68" t="str">
        <x:v>药神有根有源、透达，能够直接进入病位且兼顾多个主要问题</x:v>
      </x:c>
      <x:c r="AA29" s="68" t="str">
        <x:v>药神无根、受强制、被合绊、作用路径遥隔或同时被多个任务分流</x:v>
      </x:c>
      <x:c r="AB29" s="90" t="str">
        <x:v>若该失衡没有造成实际功能障碍，或特殊格局要求顺势，则不得按普通病药立论</x:v>
      </x:c>
      <x:c r="AC29" s="68" t="str">
        <x:v>特殊格局严格成立、岁运动态作用或流派争议转M18/M21及动态引擎</x:v>
      </x:c>
      <x:c r="AD29" s="84" t="str">
        <x:v>旺病药理择路</x:v>
      </x:c>
      <x:c r="AE29" s="84" t="str">
        <x:v>根本之病在“过旺主势的出口”：同一过旺问题可以通过泄、制或耗处理，但结构成本不同；表层表现为“强身、强印比或强五行无平衡”。主药候选为“泄神或制神二选一”，药理为“复合药理”；最终喜忌与主次仍转M17/M18裁决。</x:v>
      </x:c>
      <x:c r="AF29" s="82" t="str">
        <x:v>较高</x:v>
      </x:c>
      <x:c r="AG29" s="82" t="str">
        <x:v>病药</x:v>
      </x:c>
      <x:c r="AH2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9" s="68" t="str">
        <x:v>当“比较M12路径、M15格局与M13调候后选择净收益更高的路线”真实成立，且药神能够直接作用病位时，可按“过旺宜泄还是宜制须服从格局和流通”记录。</x:v>
      </x:c>
      <x:c r="AJ29" s="90" t="str">
        <x:v>只有表面“强身、强印比或强五行无平衡”，但未证明根因“同一过旺问题可以通过泄、制或耗处理，但结构成本不同”及药神作用路径时，不得套用“过旺宜泄还是宜制须服从格局和流通”。</x:v>
      </x:c>
      <x:c r="AK29" s="82" t="str">
        <x:v>采用</x:v>
      </x:c>
      <x:c r="AL29" s="82" t="str">
        <x:v>初审</x:v>
      </x:c>
      <x:c r="AM29" s="87" t="n">
        <x:v>46260</x:v>
      </x:c>
    </x:row>
    <x:row r="30">
      <x:c r="A30" s="72" t="str">
        <x:f>IF(OR(C30="",D30=""),"",B30&amp;"-"&amp;UPPER(C30)&amp;"-"&amp;TEXT(D30,"0000")&amp;"-"&amp;E30)</x:f>
        <x:v>M16-STRONG-0024-V1.0</x:v>
      </x:c>
      <x:c r="B30" s="74" t="str">
        <x:v>M16</x:v>
      </x:c>
      <x:c r="C30" s="74" t="str">
        <x:v>STRONG</x:v>
      </x:c>
      <x:c r="D30" s="215" t="n">
        <x:v>24</x:v>
      </x:c>
      <x:c r="E30" s="74" t="str">
        <x:v>V1.0</x:v>
      </x:c>
      <x:c r="F30" s="68" t="str">
        <x:v>抑制药过量会把旺病转成弱病</x:v>
      </x:c>
      <x:c r="G30" s="82" t="str">
        <x:v>综合层</x:v>
      </x:c>
      <x:c r="H30" s="82" t="str">
        <x:v>旺衰病</x:v>
      </x:c>
      <x:c r="I30" s="68" t="str">
        <x:v>被抑制主势</x:v>
      </x:c>
      <x:c r="J30" s="68" t="str">
        <x:v>药过反弱</x:v>
      </x:c>
      <x:c r="K30" s="68" t="str">
        <x:v>制、泄、耗药神强度超过原旺势可承受范围</x:v>
      </x:c>
      <x:c r="L30" s="68" t="str">
        <x:v>原旺神由有余转为受损或失效</x:v>
      </x:c>
      <x:c r="M30" s="82" t="str">
        <x:v>明显</x:v>
      </x:c>
      <x:c r="N30" s="68" t="str">
        <x:v>降低原药强度并恢复承载</x:v>
      </x:c>
      <x:c r="O30" s="68" t="str">
        <x:v>保护被损格神</x:v>
      </x:c>
      <x:c r="P30" s="82" t="str">
        <x:v>救应</x:v>
      </x:c>
      <x:c r="Q30" s="68" t="str">
        <x:v>药后净效应已跨越中和，出现根损、格神失效或终点断裂</x:v>
      </x:c>
      <x:c r="R30" s="90" t="str">
        <x:v>不得因为原局旺就忽略药量边界</x:v>
      </x:c>
      <x:c r="S30" s="90" t="str">
        <x:v>不适用</x:v>
      </x:c>
      <x:c r="T30" s="90" t="str">
        <x:v>形成身弱、格神受损或流通断裂</x:v>
      </x:c>
      <x:c r="U30" s="82" t="str">
        <x:v>是</x:v>
      </x:c>
      <x:c r="V30" s="90" t="str">
        <x:v>是</x:v>
      </x:c>
      <x:c r="W30" s="90" t="str">
        <x:v>旺病转弱病</x:v>
      </x:c>
      <x:c r="X30" s="68" t="str">
        <x:v>M08有效旺衰、M09日主旺衰、M10十神功能、M11组合、M12流通、M13调候、M15格局成败均已完成</x:v>
      </x:c>
      <x:c r="Y30" s="68" t="str">
        <x:v>病位、根因、功能障碍与药神作用路径均能够追溯</x:v>
      </x:c>
      <x:c r="Z30" s="68" t="str">
        <x:v>药神有根有源、透达，能够直接进入病位且兼顾多个主要问题</x:v>
      </x:c>
      <x:c r="AA30" s="68" t="str">
        <x:v>药神无根、受强制、被合绊、作用路径遥隔或同时被多个任务分流</x:v>
      </x:c>
      <x:c r="AB30" s="90" t="str">
        <x:v>若该失衡没有造成实际功能障碍，或特殊格局要求顺势，则不得按普通病药立论</x:v>
      </x:c>
      <x:c r="AC30" s="68" t="str">
        <x:v>特殊格局严格成立、岁运动态作用或流派争议转M18/M21及动态引擎</x:v>
      </x:c>
      <x:c r="AD30" s="84" t="str">
        <x:v>抑旺过度成新病</x:v>
      </x:c>
      <x:c r="AE30" s="84" t="str">
        <x:v>根本之病在“被抑制主势”：制、泄、耗药神强度超过原旺势可承受范围；表层表现为“原旺神由有余转为受损或失效”。主药候选为“降低原药强度并恢复承载”，药理为“救应”；最终喜忌与主次仍转M17/M18裁决。</x:v>
      </x:c>
      <x:c r="AF30" s="82" t="str">
        <x:v>较高</x:v>
      </x:c>
      <x:c r="AG30" s="82" t="str">
        <x:v>病药</x:v>
      </x:c>
      <x:c r="AH3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0" s="68" t="str">
        <x:v>当“药后净效应已跨越中和，出现根损、格神失效或终点断裂”真实成立，且药神能够直接作用病位时，可按“抑制药过量会把旺病转成弱病”记录。</x:v>
      </x:c>
      <x:c r="AJ30" s="90" t="str">
        <x:v>只有表面“原旺神由有余转为受损或失效”，但未证明根因“制、泄、耗药神强度超过原旺势可承受范围”及药神作用路径时，不得套用“抑制药过量会把旺病转成弱病”。</x:v>
      </x:c>
      <x:c r="AK30" s="82" t="str">
        <x:v>采用</x:v>
      </x:c>
      <x:c r="AL30" s="82" t="str">
        <x:v>初审</x:v>
      </x:c>
      <x:c r="AM30" s="87" t="n">
        <x:v>46260</x:v>
      </x:c>
    </x:row>
    <x:row r="31">
      <x:c r="A31" s="72" t="str">
        <x:f>IF(OR(C31="",D31=""),"",B31&amp;"-"&amp;UPPER(C31)&amp;"-"&amp;TEXT(D31,"0000")&amp;"-"&amp;E31)</x:f>
        <x:v>M16-FLOW-0025-V1.0</x:v>
      </x:c>
      <x:c r="B31" s="74" t="str">
        <x:v>M16</x:v>
      </x:c>
      <x:c r="C31" s="74" t="str">
        <x:v>FLOW</x:v>
      </x:c>
      <x:c r="D31" s="215" t="n">
        <x:v>25</x:v>
      </x:c>
      <x:c r="E31" s="74" t="str">
        <x:v>V1.0</x:v>
      </x:c>
      <x:c r="F31" s="68" t="str">
        <x:v>缺少不可替代桥梁形成缺桥病</x:v>
      </x:c>
      <x:c r="G31" s="82" t="str">
        <x:v>综合层</x:v>
      </x:c>
      <x:c r="H31" s="82" t="str">
        <x:v>流通病</x:v>
      </x:c>
      <x:c r="I31" s="68" t="str">
        <x:v>起点—终点之间的缺失桥梁</x:v>
      </x:c>
      <x:c r="J31" s="68" t="str">
        <x:v>路径中断</x:v>
      </x:c>
      <x:c r="K31" s="68" t="str">
        <x:v>M12确认主路径必须经过某五行，而该五行不现或全部失效</x:v>
      </x:c>
      <x:c r="L31" s="68" t="str">
        <x:v>两端力量无法生化或通关</x:v>
      </x:c>
      <x:c r="M31" s="82" t="str">
        <x:v>严重</x:v>
      </x:c>
      <x:c r="N31" s="68" t="str">
        <x:v>缺失的关键桥梁五行</x:v>
      </x:c>
      <x:c r="O31" s="68" t="str">
        <x:v>生扶并保护桥梁者</x:v>
      </x:c>
      <x:c r="P31" s="82" t="str">
        <x:v>通</x:v>
      </x:c>
      <x:c r="Q31" s="68" t="str">
        <x:v>不存在更短、更强、副作用更小的替代路径</x:v>
      </x:c>
      <x:c r="R31" s="90" t="str">
        <x:v>缺失五行若非主路径必要节点，不得列药</x:v>
      </x:c>
      <x:c r="S31" s="90" t="str">
        <x:v>主要病位未被修复，原有失衡继续运行</x:v>
      </x:c>
      <x:c r="T31" s="90" t="str">
        <x:v>桥梁过旺可能截流、寒湿燥热或改变格局</x:v>
      </x:c>
      <x:c r="U31" s="82" t="str">
        <x:v>条件性</x:v>
      </x:c>
      <x:c r="V31" s="90" t="str">
        <x:v>条件性</x:v>
      </x:c>
      <x:c r="W31" s="90" t="str">
        <x:v>桥梁过旺或调候冲突</x:v>
      </x:c>
      <x:c r="X31" s="68" t="str">
        <x:v>M08有效旺衰、M09日主旺衰、M10十神功能、M11组合、M12流通、M13调候、M15格局成败均已完成</x:v>
      </x:c>
      <x:c r="Y31" s="68" t="str">
        <x:v>病位、根因、功能障碍与药神作用路径均能够追溯</x:v>
      </x:c>
      <x:c r="Z31" s="68" t="str">
        <x:v>药神有根有源、透达，能够直接进入病位且兼顾多个主要问题</x:v>
      </x:c>
      <x:c r="AA31" s="68" t="str">
        <x:v>药神无根、受强制、被合绊、作用路径遥隔或同时被多个任务分流</x:v>
      </x:c>
      <x:c r="AB31" s="90" t="str">
        <x:v>若该失衡没有造成实际功能障碍，或特殊格局要求顺势，则不得按普通病药立论</x:v>
      </x:c>
      <x:c r="AC31" s="68" t="str">
        <x:v>特殊格局严格成立、岁运动态作用或流派争议转M18/M21及动态引擎</x:v>
      </x:c>
      <x:c r="AD31" s="84" t="str">
        <x:v>缺桥病</x:v>
      </x:c>
      <x:c r="AE31" s="84" t="str">
        <x:v>根本之病在“起点—终点之间的缺失桥梁”：M12确认主路径必须经过某五行，而该五行不现或全部失效；表层表现为“两端力量无法生化或通关”。主药候选为“缺失的关键桥梁五行”，药理为“通”；最终喜忌与主次仍转M17/M18裁决。</x:v>
      </x:c>
      <x:c r="AF31" s="82" t="str">
        <x:v>较高</x:v>
      </x:c>
      <x:c r="AG31" s="82" t="str">
        <x:v>病药</x:v>
      </x:c>
      <x:c r="AH3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1" s="68" t="str">
        <x:v>当“不存在更短、更强、副作用更小的替代路径”真实成立，且药神能够直接作用病位时，可按“缺少不可替代桥梁形成缺桥病”记录。</x:v>
      </x:c>
      <x:c r="AJ31" s="90" t="str">
        <x:v>只有表面“两端力量无法生化或通关”，但未证明根因“M12确认主路径必须经过某五行，而该五行不现或全部失效”及药神作用路径时，不得套用“缺少不可替代桥梁形成缺桥病”。</x:v>
      </x:c>
      <x:c r="AK31" s="82" t="str">
        <x:v>采用</x:v>
      </x:c>
      <x:c r="AL31" s="82" t="str">
        <x:v>初审</x:v>
      </x:c>
      <x:c r="AM31" s="87" t="n">
        <x:v>46260</x:v>
      </x:c>
    </x:row>
    <x:row r="32">
      <x:c r="A32" s="72" t="str">
        <x:f>IF(OR(C32="",D32=""),"",B32&amp;"-"&amp;UPPER(C32)&amp;"-"&amp;TEXT(D32,"0000")&amp;"-"&amp;E32)</x:f>
        <x:v>M16-FLOW-0026-V1.0</x:v>
      </x:c>
      <x:c r="B32" s="74" t="str">
        <x:v>M16</x:v>
      </x:c>
      <x:c r="C32" s="74" t="str">
        <x:v>FLOW</x:v>
      </x:c>
      <x:c r="D32" s="215" t="n">
        <x:v>26</x:v>
      </x:c>
      <x:c r="E32" s="74" t="str">
        <x:v>V1.0</x:v>
      </x:c>
      <x:c r="F32" s="68" t="str">
        <x:v>桥梁有而太弱形成传递不足</x:v>
      </x:c>
      <x:c r="G32" s="82" t="str">
        <x:v>综合层</x:v>
      </x:c>
      <x:c r="H32" s="82" t="str">
        <x:v>流通病</x:v>
      </x:c>
      <x:c r="I32" s="68" t="str">
        <x:v>弱桥梁</x:v>
      </x:c>
      <x:c r="J32" s="68" t="str">
        <x:v>桥梁失职</x:v>
      </x:c>
      <x:c r="K32" s="68" t="str">
        <x:v>桥梁存在但有效力量不足以承接上游并作用下游</x:v>
      </x:c>
      <x:c r="L32" s="68" t="str">
        <x:v>路径局部阻塞、力量传递中断</x:v>
      </x:c>
      <x:c r="M32" s="82" t="str">
        <x:v>明显</x:v>
      </x:c>
      <x:c r="N32" s="68" t="str">
        <x:v>直接增强桥梁或生扶桥梁之神</x:v>
      </x:c>
      <x:c r="O32" s="68" t="str">
        <x:v>制去克桥梁者</x:v>
      </x:c>
      <x:c r="P32" s="82" t="str">
        <x:v>生</x:v>
      </x:c>
      <x:c r="Q32" s="68" t="str">
        <x:v>M12桥梁太弱且该路径为主要结构</x:v>
      </x:c>
      <x:c r="R32" s="90" t="str">
        <x:v>不得只凭五行数量、十神名称或单一旺衰标签直接立病用药</x:v>
      </x:c>
      <x:c r="S32" s="90" t="str">
        <x:v>主要病位未被修复，原有失衡继续运行</x:v>
      </x:c>
      <x:c r="T32" s="90" t="str">
        <x:v>桥梁从弱转强过度会形成截流或回流</x:v>
      </x:c>
      <x:c r="U32" s="82" t="str">
        <x:v>条件性</x:v>
      </x:c>
      <x:c r="V32" s="90" t="str">
        <x:v>条件性</x:v>
      </x:c>
      <x:c r="W32" s="90" t="str">
        <x:v>回流壅塞</x:v>
      </x:c>
      <x:c r="X32" s="68" t="str">
        <x:v>M08有效旺衰、M09日主旺衰、M10十神功能、M11组合、M12流通、M13调候、M15格局成败均已完成</x:v>
      </x:c>
      <x:c r="Y32" s="68" t="str">
        <x:v>病位、根因、功能障碍与药神作用路径均能够追溯</x:v>
      </x:c>
      <x:c r="Z32" s="68" t="str">
        <x:v>药神有根有源、透达，能够直接进入病位且兼顾多个主要问题</x:v>
      </x:c>
      <x:c r="AA32" s="68" t="str">
        <x:v>药神无根、受强制、被合绊、作用路径遥隔或同时被多个任务分流</x:v>
      </x:c>
      <x:c r="AB32" s="90" t="str">
        <x:v>若该失衡没有造成实际功能障碍，或特殊格局要求顺势，则不得按普通病药立论</x:v>
      </x:c>
      <x:c r="AC32" s="68" t="str">
        <x:v>特殊格局严格成立、岁运动态作用或流派争议转M18/M21及动态引擎</x:v>
      </x:c>
      <x:c r="AD32" s="84" t="str">
        <x:v>桥弱病</x:v>
      </x:c>
      <x:c r="AE32" s="84" t="str">
        <x:v>根本之病在“弱桥梁”：桥梁存在但有效力量不足以承接上游并作用下游；表层表现为“路径局部阻塞、力量传递中断”。主药候选为“直接增强桥梁或生扶桥梁之神”，药理为“生”；最终喜忌与主次仍转M17/M18裁决。</x:v>
      </x:c>
      <x:c r="AF32" s="82" t="str">
        <x:v>较高</x:v>
      </x:c>
      <x:c r="AG32" s="82" t="str">
        <x:v>病药</x:v>
      </x:c>
      <x:c r="AH3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2" s="68" t="str">
        <x:v>当“M12桥梁太弱且该路径为主要结构”真实成立，且药神能够直接作用病位时，可按“桥梁有而太弱形成传递不足”记录。</x:v>
      </x:c>
      <x:c r="AJ32" s="90" t="str">
        <x:v>只有表面“路径局部阻塞、力量传递中断”，但未证明根因“桥梁存在但有效力量不足以承接上游并作用下游”及药神作用路径时，不得套用“桥梁有而太弱形成传递不足”。</x:v>
      </x:c>
      <x:c r="AK32" s="82" t="str">
        <x:v>采用</x:v>
      </x:c>
      <x:c r="AL32" s="82" t="str">
        <x:v>初审</x:v>
      </x:c>
      <x:c r="AM32" s="87" t="n">
        <x:v>46260</x:v>
      </x:c>
    </x:row>
    <x:row r="33">
      <x:c r="A33" s="72" t="str">
        <x:f>IF(OR(C33="",D33=""),"",B33&amp;"-"&amp;UPPER(C33)&amp;"-"&amp;TEXT(D33,"0000")&amp;"-"&amp;E33)</x:f>
        <x:v>M16-FLOW-0027-V1.0</x:v>
      </x:c>
      <x:c r="B33" s="74" t="str">
        <x:v>M16</x:v>
      </x:c>
      <x:c r="C33" s="74" t="str">
        <x:v>FLOW</x:v>
      </x:c>
      <x:c r="D33" s="215" t="n">
        <x:v>27</x:v>
      </x:c>
      <x:c r="E33" s="74" t="str">
        <x:v>V1.0</x:v>
      </x:c>
      <x:c r="F33" s="68" t="str">
        <x:v>桥梁被强克形成外部截断病</x:v>
      </x:c>
      <x:c r="G33" s="82" t="str">
        <x:v>综合层</x:v>
      </x:c>
      <x:c r="H33" s="82" t="str">
        <x:v>流通病</x:v>
      </x:c>
      <x:c r="I33" s="68" t="str">
        <x:v>受克桥梁</x:v>
      </x:c>
      <x:c r="J33" s="68" t="str">
        <x:v>桥梁被制</x:v>
      </x:c>
      <x:c r="K33" s="68" t="str">
        <x:v>第三方强克桥梁，使其有效传递能力显著下降</x:v>
      </x:c>
      <x:c r="L33" s="68" t="str">
        <x:v>原本存在的生化链变成明显阻断</x:v>
      </x:c>
      <x:c r="M33" s="82" t="str">
        <x:v>严重</x:v>
      </x:c>
      <x:c r="N33" s="68" t="str">
        <x:v>制去克桥梁之神或通关五行</x:v>
      </x:c>
      <x:c r="O33" s="68" t="str">
        <x:v>生扶桥梁</x:v>
      </x:c>
      <x:c r="P33" s="82" t="str">
        <x:v>制</x:v>
      </x:c>
      <x:c r="Q33" s="68" t="str">
        <x:v>M06/M08确认克制真实且为主要阻断</x:v>
      </x:c>
      <x:c r="R33" s="90" t="str">
        <x:v>克桥梁之神若为核心格神，不可直接强制，需寻找替代路径</x:v>
      </x:c>
      <x:c r="S33" s="90" t="str">
        <x:v>主要病位未被修复，原有失衡继续运行</x:v>
      </x:c>
      <x:c r="T33" s="90" t="str">
        <x:v>强制克神可能破格或造成另一端失衡</x:v>
      </x:c>
      <x:c r="U33" s="82" t="str">
        <x:v>条件性</x:v>
      </x:c>
      <x:c r="V33" s="90" t="str">
        <x:v>条件性</x:v>
      </x:c>
      <x:c r="W33" s="90" t="str">
        <x:v>格局破坏或反向克战</x:v>
      </x:c>
      <x:c r="X33" s="68" t="str">
        <x:v>M08有效旺衰、M09日主旺衰、M10十神功能、M11组合、M12流通、M13调候、M15格局成败均已完成</x:v>
      </x:c>
      <x:c r="Y33" s="68" t="str">
        <x:v>病位、根因、功能障碍与药神作用路径均能够追溯</x:v>
      </x:c>
      <x:c r="Z33" s="68" t="str">
        <x:v>药神有根有源、透达，能够直接进入病位且兼顾多个主要问题</x:v>
      </x:c>
      <x:c r="AA33" s="68" t="str">
        <x:v>药神无根、受强制、被合绊、作用路径遥隔或同时被多个任务分流</x:v>
      </x:c>
      <x:c r="AB33" s="90" t="str">
        <x:v>若该失衡没有造成实际功能障碍，或特殊格局要求顺势，则不得按普通病药立论</x:v>
      </x:c>
      <x:c r="AC33" s="68" t="str">
        <x:v>特殊格局严格成立、岁运动态作用或流派争议转M18/M21及动态引擎</x:v>
      </x:c>
      <x:c r="AD33" s="84" t="str">
        <x:v>桥梁受克病</x:v>
      </x:c>
      <x:c r="AE33" s="84" t="str">
        <x:v>根本之病在“受克桥梁”：第三方强克桥梁，使其有效传递能力显著下降；表层表现为“原本存在的生化链变成明显阻断”。主药候选为“制去克桥梁之神或通关五行”，药理为“制”；最终喜忌与主次仍转M17/M18裁决。</x:v>
      </x:c>
      <x:c r="AF33" s="82" t="str">
        <x:v>较高</x:v>
      </x:c>
      <x:c r="AG33" s="82" t="str">
        <x:v>病药</x:v>
      </x:c>
      <x:c r="AH3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3" s="68" t="str">
        <x:v>当“M06/M08确认克制真实且为主要阻断”真实成立，且药神能够直接作用病位时，可按“桥梁被强克形成外部截断病”记录。</x:v>
      </x:c>
      <x:c r="AJ33" s="90" t="str">
        <x:v>只有表面“原本存在的生化链变成明显阻断”，但未证明根因“第三方强克桥梁，使其有效传递能力显著下降”及药神作用路径时，不得套用“桥梁被强克形成外部截断病”。</x:v>
      </x:c>
      <x:c r="AK33" s="82" t="str">
        <x:v>采用</x:v>
      </x:c>
      <x:c r="AL33" s="82" t="str">
        <x:v>初审</x:v>
      </x:c>
      <x:c r="AM33" s="87" t="n">
        <x:v>46260</x:v>
      </x:c>
    </x:row>
    <x:row r="34">
      <x:c r="A34" s="72" t="str">
        <x:f>IF(OR(C34="",D34=""),"",B34&amp;"-"&amp;UPPER(C34)&amp;"-"&amp;TEXT(D34,"0000")&amp;"-"&amp;E34)</x:f>
        <x:v>M16-FLOW-0028-V1.0</x:v>
      </x:c>
      <x:c r="B34" s="74" t="str">
        <x:v>M16</x:v>
      </x:c>
      <x:c r="C34" s="74" t="str">
        <x:v>FLOW</x:v>
      </x:c>
      <x:c r="D34" s="215" t="n">
        <x:v>28</x:v>
      </x:c>
      <x:c r="E34" s="74" t="str">
        <x:v>V1.0</x:v>
      </x:c>
      <x:c r="F34" s="68" t="str">
        <x:v>桥梁被合绊形成占用型阻塞</x:v>
      </x:c>
      <x:c r="G34" s="82" t="str">
        <x:v>综合层</x:v>
      </x:c>
      <x:c r="H34" s="82" t="str">
        <x:v>流通病</x:v>
      </x:c>
      <x:c r="I34" s="68" t="str">
        <x:v>被合绊桥梁</x:v>
      </x:c>
      <x:c r="J34" s="68" t="str">
        <x:v>牵制失职</x:v>
      </x:c>
      <x:c r="K34" s="68" t="str">
        <x:v>桥梁被其他关系占用或冻结，不能全额完成传递</x:v>
      </x:c>
      <x:c r="L34" s="68" t="str">
        <x:v>路径仍有但效率明显下降</x:v>
      </x:c>
      <x:c r="M34" s="82" t="str">
        <x:v>一般</x:v>
      </x:c>
      <x:c r="N34" s="68" t="str">
        <x:v>解合、增强独立桥梁或启用替代路径</x:v>
      </x:c>
      <x:c r="O34" s="68" t="str">
        <x:v>保护桥梁根源</x:v>
      </x:c>
      <x:c r="P34" s="82" t="str">
        <x:v>通</x:v>
      </x:c>
      <x:c r="Q34" s="68" t="str">
        <x:v>M06判合绊/合住而非单纯合意</x:v>
      </x:c>
      <x:c r="R34" s="90" t="str">
        <x:v>若实质合化形成新有效路径，不能按原桥梁被绊处理</x:v>
      </x:c>
      <x:c r="S34" s="90" t="str">
        <x:v>主要病位未被修复，原有失衡继续运行</x:v>
      </x:c>
      <x:c r="T34" s="90" t="str">
        <x:v>强行破合可能损坏已成立组合或格局</x:v>
      </x:c>
      <x:c r="U34" s="82" t="str">
        <x:v>条件性</x:v>
      </x:c>
      <x:c r="V34" s="90" t="str">
        <x:v>条件性</x:v>
      </x:c>
      <x:c r="W34" s="90" t="str">
        <x:v>破坏合化或格局</x:v>
      </x:c>
      <x:c r="X34" s="68" t="str">
        <x:v>M08有效旺衰、M09日主旺衰、M10十神功能、M11组合、M12流通、M13调候、M15格局成败均已完成</x:v>
      </x:c>
      <x:c r="Y34" s="68" t="str">
        <x:v>病位、根因、功能障碍与药神作用路径均能够追溯</x:v>
      </x:c>
      <x:c r="Z34" s="68" t="str">
        <x:v>药神有根有源、透达，能够直接进入病位且兼顾多个主要问题</x:v>
      </x:c>
      <x:c r="AA34" s="68" t="str">
        <x:v>药神无根、受强制、被合绊、作用路径遥隔或同时被多个任务分流</x:v>
      </x:c>
      <x:c r="AB34" s="90" t="str">
        <x:v>若该失衡没有造成实际功能障碍，或特殊格局要求顺势，则不得按普通病药立论</x:v>
      </x:c>
      <x:c r="AC34" s="68" t="str">
        <x:v>特殊格局严格成立、岁运动态作用或流派争议转M18/M21及动态引擎</x:v>
      </x:c>
      <x:c r="AD34" s="84" t="str">
        <x:v>桥梁合绊病</x:v>
      </x:c>
      <x:c r="AE34" s="84" t="str">
        <x:v>根本之病在“被合绊桥梁”：桥梁被其他关系占用或冻结，不能全额完成传递；表层表现为“路径仍有但效率明显下降”。主药候选为“解合、增强独立桥梁或启用替代路径”，药理为“通”；最终喜忌与主次仍转M17/M18裁决。</x:v>
      </x:c>
      <x:c r="AF34" s="82" t="str">
        <x:v>较高</x:v>
      </x:c>
      <x:c r="AG34" s="82" t="str">
        <x:v>病药</x:v>
      </x:c>
      <x:c r="AH3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4" s="68" t="str">
        <x:v>当“M06判合绊/合住而非单纯合意”真实成立，且药神能够直接作用病位时，可按“桥梁被合绊形成占用型阻塞”记录。</x:v>
      </x:c>
      <x:c r="AJ34" s="90" t="str">
        <x:v>只有表面“路径仍有但效率明显下降”，但未证明根因“桥梁被其他关系占用或冻结，不能全额完成传递”及药神作用路径时，不得套用“桥梁被合绊形成占用型阻塞”。</x:v>
      </x:c>
      <x:c r="AK34" s="82" t="str">
        <x:v>采用</x:v>
      </x:c>
      <x:c r="AL34" s="82" t="str">
        <x:v>初审</x:v>
      </x:c>
      <x:c r="AM34" s="87" t="n">
        <x:v>46260</x:v>
      </x:c>
    </x:row>
    <x:row r="35">
      <x:c r="A35" s="72" t="str">
        <x:f>IF(OR(C35="",D35=""),"",B35&amp;"-"&amp;UPPER(C35)&amp;"-"&amp;TEXT(D35,"0000")&amp;"-"&amp;E35)</x:f>
        <x:v>M16-FLOW-0029-V1.0</x:v>
      </x:c>
      <x:c r="B35" s="74" t="str">
        <x:v>M16</x:v>
      </x:c>
      <x:c r="C35" s="74" t="str">
        <x:v>FLOW</x:v>
      </x:c>
      <x:c r="D35" s="215" t="n">
        <x:v>29</x:v>
      </x:c>
      <x:c r="E35" s="74" t="str">
        <x:v>V1.0</x:v>
      </x:c>
      <x:c r="F35" s="68" t="str">
        <x:v>源头过旺无泄形成上游壅塞病</x:v>
      </x:c>
      <x:c r="G35" s="82" t="str">
        <x:v>综合层</x:v>
      </x:c>
      <x:c r="H35" s="82" t="str">
        <x:v>流通病</x:v>
      </x:c>
      <x:c r="I35" s="68" t="str">
        <x:v>旺强源头</x:v>
      </x:c>
      <x:c r="J35" s="68" t="str">
        <x:v>源头壅塞</x:v>
      </x:c>
      <x:c r="K35" s="68" t="str">
        <x:v>源头强势聚集，缺少有效泄神或下游承载</x:v>
      </x:c>
      <x:c r="L35" s="68" t="str">
        <x:v>力量旺而不流通、局部反复聚集</x:v>
      </x:c>
      <x:c r="M35" s="82" t="str">
        <x:v>明显</x:v>
      </x:c>
      <x:c r="N35" s="68" t="str">
        <x:v>源头所生之泄神</x:v>
      </x:c>
      <x:c r="O35" s="68" t="str">
        <x:v>增强终点承载者</x:v>
      </x:c>
      <x:c r="P35" s="82" t="str">
        <x:v>泄</x:v>
      </x:c>
      <x:c r="Q35" s="68" t="str">
        <x:v>M12源头过旺无泄且非专旺顺势</x:v>
      </x:c>
      <x:c r="R35" s="90" t="str">
        <x:v>不得只凭五行数量、十神名称或单一旺衰标签直接立病用药</x:v>
      </x:c>
      <x:c r="S35" s="90" t="str">
        <x:v>主要病位未被修复，原有失衡继续运行</x:v>
      </x:c>
      <x:c r="T35" s="90" t="str">
        <x:v>泄神过旺可导致源头受损或终点过强</x:v>
      </x:c>
      <x:c r="U35" s="82" t="str">
        <x:v>条件性</x:v>
      </x:c>
      <x:c r="V35" s="90" t="str">
        <x:v>条件性</x:v>
      </x:c>
      <x:c r="W35" s="90" t="str">
        <x:v>泄耗过度或终点过旺</x:v>
      </x:c>
      <x:c r="X35" s="68" t="str">
        <x:v>M08有效旺衰、M09日主旺衰、M10十神功能、M11组合、M12流通、M13调候、M15格局成败均已完成</x:v>
      </x:c>
      <x:c r="Y35" s="68" t="str">
        <x:v>病位、根因、功能障碍与药神作用路径均能够追溯</x:v>
      </x:c>
      <x:c r="Z35" s="68" t="str">
        <x:v>药神有根有源、透达，能够直接进入病位且兼顾多个主要问题</x:v>
      </x:c>
      <x:c r="AA35" s="68" t="str">
        <x:v>药神无根、受强制、被合绊、作用路径遥隔或同时被多个任务分流</x:v>
      </x:c>
      <x:c r="AB35" s="90" t="str">
        <x:v>若该失衡没有造成实际功能障碍，或特殊格局要求顺势，则不得按普通病药立论</x:v>
      </x:c>
      <x:c r="AC35" s="68" t="str">
        <x:v>特殊格局严格成立、岁运动态作用或流派争议转M18/M21及动态引擎</x:v>
      </x:c>
      <x:c r="AD35" s="84" t="str">
        <x:v>源头壅塞病</x:v>
      </x:c>
      <x:c r="AE35" s="84" t="str">
        <x:v>根本之病在“旺强源头”：源头强势聚集，缺少有效泄神或下游承载；表层表现为“力量旺而不流通、局部反复聚集”。主药候选为“源头所生之泄神”，药理为“泄”；最终喜忌与主次仍转M17/M18裁决。</x:v>
      </x:c>
      <x:c r="AF35" s="82" t="str">
        <x:v>较高</x:v>
      </x:c>
      <x:c r="AG35" s="82" t="str">
        <x:v>病药</x:v>
      </x:c>
      <x:c r="AH3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5" s="68" t="str">
        <x:v>当“M12源头过旺无泄且非专旺顺势”真实成立，且药神能够直接作用病位时，可按“源头过旺无泄形成上游壅塞病”记录。</x:v>
      </x:c>
      <x:c r="AJ35" s="90" t="str">
        <x:v>只有表面“力量旺而不流通、局部反复聚集”，但未证明根因“源头强势聚集，缺少有效泄神或下游承载”及药神作用路径时，不得套用“源头过旺无泄形成上游壅塞病”。</x:v>
      </x:c>
      <x:c r="AK35" s="82" t="str">
        <x:v>采用</x:v>
      </x:c>
      <x:c r="AL35" s="82" t="str">
        <x:v>初审</x:v>
      </x:c>
      <x:c r="AM35" s="87" t="n">
        <x:v>46260</x:v>
      </x:c>
    </x:row>
    <x:row r="36">
      <x:c r="A36" s="72" t="str">
        <x:f>IF(OR(C36="",D36=""),"",B36&amp;"-"&amp;UPPER(C36)&amp;"-"&amp;TEXT(D36,"0000")&amp;"-"&amp;E36)</x:f>
        <x:v>M16-FLOW-0030-V1.0</x:v>
      </x:c>
      <x:c r="B36" s="74" t="str">
        <x:v>M16</x:v>
      </x:c>
      <x:c r="C36" s="74" t="str">
        <x:v>FLOW</x:v>
      </x:c>
      <x:c r="D36" s="215" t="n">
        <x:v>30</x:v>
      </x:c>
      <x:c r="E36" s="74" t="str">
        <x:v>V1.0</x:v>
      </x:c>
      <x:c r="F36" s="68" t="str">
        <x:v>终点过弱不能承载形成无落点病</x:v>
      </x:c>
      <x:c r="G36" s="82" t="str">
        <x:v>综合层</x:v>
      </x:c>
      <x:c r="H36" s="82" t="str">
        <x:v>流通病</x:v>
      </x:c>
      <x:c r="I36" s="68" t="str">
        <x:v>流通终点</x:v>
      </x:c>
      <x:c r="J36" s="68" t="str">
        <x:v>终点承载不足</x:v>
      </x:c>
      <x:c r="K36" s="68" t="str">
        <x:v>上游与桥梁有效，但终点无根无源或受强制</x:v>
      </x:c>
      <x:c r="L36" s="68" t="str">
        <x:v>力量送达后无法稳定落脚或转化</x:v>
      </x:c>
      <x:c r="M36" s="82" t="str">
        <x:v>明显</x:v>
      </x:c>
      <x:c r="N36" s="68" t="str">
        <x:v>生扶终点或恢复终点根气</x:v>
      </x:c>
      <x:c r="O36" s="68" t="str">
        <x:v>降低上游输入强度</x:v>
      </x:c>
      <x:c r="P36" s="82" t="str">
        <x:v>生</x:v>
      </x:c>
      <x:c r="Q36" s="68" t="str">
        <x:v>M12确认终点为关键落点且承载不足</x:v>
      </x:c>
      <x:c r="R36" s="90" t="str">
        <x:v>不得只凭五行数量、十神名称或单一旺衰标签直接立病用药</x:v>
      </x:c>
      <x:c r="S36" s="90" t="str">
        <x:v>主要病位未被修复，原有失衡继续运行</x:v>
      </x:c>
      <x:c r="T36" s="90" t="str">
        <x:v>终点补强过度会形成反制或新的旺病</x:v>
      </x:c>
      <x:c r="U36" s="82" t="str">
        <x:v>条件性</x:v>
      </x:c>
      <x:c r="V36" s="90" t="str">
        <x:v>条件性</x:v>
      </x:c>
      <x:c r="W36" s="90" t="str">
        <x:v>终点过旺反制</x:v>
      </x:c>
      <x:c r="X36" s="68" t="str">
        <x:v>M08有效旺衰、M09日主旺衰、M10十神功能、M11组合、M12流通、M13调候、M15格局成败均已完成</x:v>
      </x:c>
      <x:c r="Y36" s="68" t="str">
        <x:v>病位、根因、功能障碍与药神作用路径均能够追溯</x:v>
      </x:c>
      <x:c r="Z36" s="68" t="str">
        <x:v>药神有根有源、透达，能够直接进入病位且兼顾多个主要问题</x:v>
      </x:c>
      <x:c r="AA36" s="68" t="str">
        <x:v>药神无根、受强制、被合绊、作用路径遥隔或同时被多个任务分流</x:v>
      </x:c>
      <x:c r="AB36" s="90" t="str">
        <x:v>若该失衡没有造成实际功能障碍，或特殊格局要求顺势，则不得按普通病药立论</x:v>
      </x:c>
      <x:c r="AC36" s="68" t="str">
        <x:v>特殊格局严格成立、岁运动态作用或流派争议转M18/M21及动态引擎</x:v>
      </x:c>
      <x:c r="AD36" s="84" t="str">
        <x:v>终点弱病</x:v>
      </x:c>
      <x:c r="AE36" s="84" t="str">
        <x:v>根本之病在“流通终点”：上游与桥梁有效，但终点无根无源或受强制；表层表现为“力量送达后无法稳定落脚或转化”。主药候选为“生扶终点或恢复终点根气”，药理为“生”；最终喜忌与主次仍转M17/M18裁决。</x:v>
      </x:c>
      <x:c r="AF36" s="82" t="str">
        <x:v>较高</x:v>
      </x:c>
      <x:c r="AG36" s="82" t="str">
        <x:v>病药</x:v>
      </x:c>
      <x:c r="AH3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6" s="68" t="str">
        <x:v>当“M12确认终点为关键落点且承载不足”真实成立，且药神能够直接作用病位时，可按“终点过弱不能承载形成无落点病”记录。</x:v>
      </x:c>
      <x:c r="AJ36" s="90" t="str">
        <x:v>只有表面“力量送达后无法稳定落脚或转化”，但未证明根因“上游与桥梁有效，但终点无根无源或受强制”及药神作用路径时，不得套用“终点过弱不能承载形成无落点病”。</x:v>
      </x:c>
      <x:c r="AK36" s="82" t="str">
        <x:v>采用</x:v>
      </x:c>
      <x:c r="AL36" s="82" t="str">
        <x:v>初审</x:v>
      </x:c>
      <x:c r="AM36" s="87" t="n">
        <x:v>46260</x:v>
      </x:c>
    </x:row>
    <x:row r="37">
      <x:c r="A37" s="72" t="str">
        <x:f>IF(OR(C37="",D37=""),"",B37&amp;"-"&amp;UPPER(C37)&amp;"-"&amp;TEXT(D37,"0000")&amp;"-"&amp;E37)</x:f>
        <x:v>M16-FLOW-0031-V1.0</x:v>
      </x:c>
      <x:c r="B37" s="74" t="str">
        <x:v>M16</x:v>
      </x:c>
      <x:c r="C37" s="74" t="str">
        <x:v>FLOW</x:v>
      </x:c>
      <x:c r="D37" s="215" t="n">
        <x:v>31</x:v>
      </x:c>
      <x:c r="E37" s="74" t="str">
        <x:v>V1.0</x:v>
      </x:c>
      <x:c r="F37" s="68" t="str">
        <x:v>终点过旺反制形成逆向阻塞</x:v>
      </x:c>
      <x:c r="G37" s="82" t="str">
        <x:v>综合层</x:v>
      </x:c>
      <x:c r="H37" s="82" t="str">
        <x:v>流通病</x:v>
      </x:c>
      <x:c r="I37" s="68" t="str">
        <x:v>过旺终点</x:v>
      </x:c>
      <x:c r="J37" s="68" t="str">
        <x:v>终点反制</x:v>
      </x:c>
      <x:c r="K37" s="68" t="str">
        <x:v>终点集团过强，反向克制桥梁或上游，导致预期流向失真</x:v>
      </x:c>
      <x:c r="L37" s="68" t="str">
        <x:v>力量在终点聚集并反噬上游</x:v>
      </x:c>
      <x:c r="M37" s="82" t="str">
        <x:v>明显</x:v>
      </x:c>
      <x:c r="N37" s="68" t="str">
        <x:v>泄终点或制约终点之神</x:v>
      </x:c>
      <x:c r="O37" s="68" t="str">
        <x:v>保护桥梁</x:v>
      </x:c>
      <x:c r="P37" s="82" t="str">
        <x:v>泄</x:v>
      </x:c>
      <x:c r="Q37" s="68" t="str">
        <x:v>M12终点过旺反制真实成立</x:v>
      </x:c>
      <x:c r="R37" s="90" t="str">
        <x:v>终点若为核心格神或特殊主势，须服从格局硬约束</x:v>
      </x:c>
      <x:c r="S37" s="90" t="str">
        <x:v>主要病位未被修复，原有失衡继续运行</x:v>
      </x:c>
      <x:c r="T37" s="90" t="str">
        <x:v>过度削弱终点会造成无落点</x:v>
      </x:c>
      <x:c r="U37" s="82" t="str">
        <x:v>条件性</x:v>
      </x:c>
      <x:c r="V37" s="90" t="str">
        <x:v>条件性</x:v>
      </x:c>
      <x:c r="W37" s="90" t="str">
        <x:v>终点承载不足</x:v>
      </x:c>
      <x:c r="X37" s="68" t="str">
        <x:v>M08有效旺衰、M09日主旺衰、M10十神功能、M11组合、M12流通、M13调候、M15格局成败均已完成</x:v>
      </x:c>
      <x:c r="Y37" s="68" t="str">
        <x:v>病位、根因、功能障碍与药神作用路径均能够追溯</x:v>
      </x:c>
      <x:c r="Z37" s="68" t="str">
        <x:v>药神有根有源、透达，能够直接进入病位且兼顾多个主要问题</x:v>
      </x:c>
      <x:c r="AA37" s="68" t="str">
        <x:v>药神无根、受强制、被合绊、作用路径遥隔或同时被多个任务分流</x:v>
      </x:c>
      <x:c r="AB37" s="90" t="str">
        <x:v>若该失衡没有造成实际功能障碍，或特殊格局要求顺势，则不得按普通病药立论</x:v>
      </x:c>
      <x:c r="AC37" s="68" t="str">
        <x:v>特殊格局严格成立、岁运动态作用或流派争议转M18/M21及动态引擎</x:v>
      </x:c>
      <x:c r="AD37" s="84" t="str">
        <x:v>终点反制病</x:v>
      </x:c>
      <x:c r="AE37" s="84" t="str">
        <x:v>根本之病在“过旺终点”：终点集团过强，反向克制桥梁或上游，导致预期流向失真；表层表现为“力量在终点聚集并反噬上游”。主药候选为“泄终点或制约终点之神”，药理为“泄”；最终喜忌与主次仍转M17/M18裁决。</x:v>
      </x:c>
      <x:c r="AF37" s="82" t="str">
        <x:v>较高</x:v>
      </x:c>
      <x:c r="AG37" s="82" t="str">
        <x:v>病药</x:v>
      </x:c>
      <x:c r="AH3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7" s="68" t="str">
        <x:v>当“M12终点过旺反制真实成立”真实成立，且药神能够直接作用病位时，可按“终点过旺反制形成逆向阻塞”记录。</x:v>
      </x:c>
      <x:c r="AJ37" s="90" t="str">
        <x:v>只有表面“力量在终点聚集并反噬上游”，但未证明根因“终点集团过强，反向克制桥梁或上游，导致预期流向失真”及药神作用路径时，不得套用“终点过旺反制形成逆向阻塞”。</x:v>
      </x:c>
      <x:c r="AK37" s="82" t="str">
        <x:v>采用</x:v>
      </x:c>
      <x:c r="AL37" s="82" t="str">
        <x:v>初审</x:v>
      </x:c>
      <x:c r="AM37" s="87" t="n">
        <x:v>46260</x:v>
      </x:c>
    </x:row>
    <x:row r="38">
      <x:c r="A38" s="72" t="str">
        <x:f>IF(OR(C38="",D38=""),"",B38&amp;"-"&amp;UPPER(C38)&amp;"-"&amp;TEXT(D38,"0000")&amp;"-"&amp;E38)</x:f>
        <x:v>M16-FLOW-0032-V1.0</x:v>
      </x:c>
      <x:c r="B38" s="74" t="str">
        <x:v>M16</x:v>
      </x:c>
      <x:c r="C38" s="74" t="str">
        <x:v>FLOW</x:v>
      </x:c>
      <x:c r="D38" s="215" t="n">
        <x:v>32</x:v>
      </x:c>
      <x:c r="E38" s="74" t="str">
        <x:v>V1.0</x:v>
      </x:c>
      <x:c r="F38" s="68" t="str">
        <x:v>两强相战且无桥梁形成克战病</x:v>
      </x:c>
      <x:c r="G38" s="82" t="str">
        <x:v>综合层</x:v>
      </x:c>
      <x:c r="H38" s="82" t="str">
        <x:v>流通病</x:v>
      </x:c>
      <x:c r="I38" s="68" t="str">
        <x:v>相克两端之间</x:v>
      </x:c>
      <x:c r="J38" s="68" t="str">
        <x:v>两强对战</x:v>
      </x:c>
      <x:c r="K38" s="68" t="str">
        <x:v>克方与被克方均有力，中间没有有效泄化桥梁</x:v>
      </x:c>
      <x:c r="L38" s="68" t="str">
        <x:v>持续对战、双方被引动、流通明显阻断</x:v>
      </x:c>
      <x:c r="M38" s="82" t="str">
        <x:v>严重</x:v>
      </x:c>
      <x:c r="N38" s="68" t="str">
        <x:v>既能泄上游又能生下游的通关五行</x:v>
      </x:c>
      <x:c r="O38" s="68" t="str">
        <x:v>保护通关五行根源</x:v>
      </x:c>
      <x:c r="P38" s="82" t="str">
        <x:v>通</x:v>
      </x:c>
      <x:c r="Q38" s="68" t="str">
        <x:v>M12确认两强相战是主矛盾</x:v>
      </x:c>
      <x:c r="R38" s="90" t="str">
        <x:v>不得只因相克关系存在便立通关病；两端必须都真实有力</x:v>
      </x:c>
      <x:c r="S38" s="90" t="str">
        <x:v>主要病位未被修复，原有失衡继续运行</x:v>
      </x:c>
      <x:c r="T38" s="90" t="str">
        <x:v>通关过旺可能改变调候、日主旺衰或格局</x:v>
      </x:c>
      <x:c r="U38" s="82" t="str">
        <x:v>条件性</x:v>
      </x:c>
      <x:c r="V38" s="90" t="str">
        <x:v>条件性</x:v>
      </x:c>
      <x:c r="W38" s="90" t="str">
        <x:v>调候病、格局冲突</x:v>
      </x:c>
      <x:c r="X38" s="68" t="str">
        <x:v>M08有效旺衰、M09日主旺衰、M10十神功能、M11组合、M12流通、M13调候、M15格局成败均已完成</x:v>
      </x:c>
      <x:c r="Y38" s="68" t="str">
        <x:v>病位、根因、功能障碍与药神作用路径均能够追溯</x:v>
      </x:c>
      <x:c r="Z38" s="68" t="str">
        <x:v>药神有根有源、透达，能够直接进入病位且兼顾多个主要问题</x:v>
      </x:c>
      <x:c r="AA38" s="68" t="str">
        <x:v>药神无根、受强制、被合绊、作用路径遥隔或同时被多个任务分流</x:v>
      </x:c>
      <x:c r="AB38" s="90" t="str">
        <x:v>若该失衡没有造成实际功能障碍，或特殊格局要求顺势，则不得按普通病药立论</x:v>
      </x:c>
      <x:c r="AC38" s="68" t="str">
        <x:v>特殊格局严格成立、岁运动态作用或流派争议转M18/M21及动态引擎</x:v>
      </x:c>
      <x:c r="AD38" s="84" t="str">
        <x:v>两强相战病</x:v>
      </x:c>
      <x:c r="AE38" s="84" t="str">
        <x:v>根本之病在“相克两端之间”：克方与被克方均有力，中间没有有效泄化桥梁；表层表现为“持续对战、双方被引动、流通明显阻断”。主药候选为“既能泄上游又能生下游的通关五行”，药理为“通”；最终喜忌与主次仍转M17/M18裁决。</x:v>
      </x:c>
      <x:c r="AF38" s="82" t="str">
        <x:v>较高</x:v>
      </x:c>
      <x:c r="AG38" s="82" t="str">
        <x:v>病药</x:v>
      </x:c>
      <x:c r="AH3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8" s="68" t="str">
        <x:v>当“M12确认两强相战是主矛盾”真实成立，且药神能够直接作用病位时，可按“两强相战且无桥梁形成克战病”记录。</x:v>
      </x:c>
      <x:c r="AJ38" s="90" t="str">
        <x:v>只有表面“持续对战、双方被引动、流通明显阻断”，但未证明根因“克方与被克方均有力，中间没有有效泄化桥梁”及药神作用路径时，不得套用“两强相战且无桥梁形成克战病”。</x:v>
      </x:c>
      <x:c r="AK38" s="82" t="str">
        <x:v>采用</x:v>
      </x:c>
      <x:c r="AL38" s="82" t="str">
        <x:v>初审</x:v>
      </x:c>
      <x:c r="AM38" s="87" t="n">
        <x:v>46260</x:v>
      </x:c>
    </x:row>
    <x:row r="39">
      <x:c r="A39" s="72" t="str">
        <x:f>IF(OR(C39="",D39=""),"",B39&amp;"-"&amp;UPPER(C39)&amp;"-"&amp;TEXT(D39,"0000")&amp;"-"&amp;E39)</x:f>
        <x:v>M16-FLOW-0033-V1.0</x:v>
      </x:c>
      <x:c r="B39" s="74" t="str">
        <x:v>M16</x:v>
      </x:c>
      <x:c r="C39" s="74" t="str">
        <x:v>FLOW</x:v>
      </x:c>
      <x:c r="D39" s="215" t="n">
        <x:v>33</x:v>
      </x:c>
      <x:c r="E39" s="74" t="str">
        <x:v>V1.0</x:v>
      </x:c>
      <x:c r="F39" s="68" t="str">
        <x:v>链路过长导致末端力量衰减</x:v>
      </x:c>
      <x:c r="G39" s="82" t="str">
        <x:v>综合层</x:v>
      </x:c>
      <x:c r="H39" s="82" t="str">
        <x:v>流通病</x:v>
      </x:c>
      <x:c r="I39" s="68" t="str">
        <x:v>多层生化链</x:v>
      </x:c>
      <x:c r="J39" s="68" t="str">
        <x:v>传递耗散</x:v>
      </x:c>
      <x:c r="K39" s="68" t="str">
        <x:v>力量需跨越多个中间节点，每层均承担容量与耗散成本</x:v>
      </x:c>
      <x:c r="L39" s="68" t="str">
        <x:v>名义链完整但末端实际获得力量不足</x:v>
      </x:c>
      <x:c r="M39" s="82" t="str">
        <x:v>一般</x:v>
      </x:c>
      <x:c r="N39" s="68" t="str">
        <x:v>缩短路径或增强最弱关键桥梁</x:v>
      </x:c>
      <x:c r="O39" s="68" t="str">
        <x:v>直接补强末端承载</x:v>
      </x:c>
      <x:c r="P39" s="82" t="str">
        <x:v>通</x:v>
      </x:c>
      <x:c r="Q39" s="68" t="str">
        <x:v>M12链路过长且末端功能确实不足</x:v>
      </x:c>
      <x:c r="R39" s="90" t="str">
        <x:v>不得只凭五行数量、十神名称或单一旺衰标签直接立病用药</x:v>
      </x:c>
      <x:c r="S39" s="90" t="str">
        <x:v>主要病位未被修复，原有失衡继续运行</x:v>
      </x:c>
      <x:c r="T39" s="90" t="str">
        <x:v>同时强化多层节点可能造成中间壅塞</x:v>
      </x:c>
      <x:c r="U39" s="82" t="str">
        <x:v>条件性</x:v>
      </x:c>
      <x:c r="V39" s="90" t="str">
        <x:v>条件性</x:v>
      </x:c>
      <x:c r="W39" s="90" t="str">
        <x:v>桥梁过旺或多节点竞争</x:v>
      </x:c>
      <x:c r="X39" s="68" t="str">
        <x:v>M08有效旺衰、M09日主旺衰、M10十神功能、M11组合、M12流通、M13调候、M15格局成败均已完成</x:v>
      </x:c>
      <x:c r="Y39" s="68" t="str">
        <x:v>病位、根因、功能障碍与药神作用路径均能够追溯</x:v>
      </x:c>
      <x:c r="Z39" s="68" t="str">
        <x:v>药神有根有源、透达，能够直接进入病位且兼顾多个主要问题</x:v>
      </x:c>
      <x:c r="AA39" s="68" t="str">
        <x:v>药神无根、受强制、被合绊、作用路径遥隔或同时被多个任务分流</x:v>
      </x:c>
      <x:c r="AB39" s="90" t="str">
        <x:v>若该失衡没有造成实际功能障碍，或特殊格局要求顺势，则不得按普通病药立论</x:v>
      </x:c>
      <x:c r="AC39" s="68" t="str">
        <x:v>特殊格局严格成立、岁运动态作用或流派争议转M18/M21及动态引擎</x:v>
      </x:c>
      <x:c r="AD39" s="84" t="str">
        <x:v>长链衰减病</x:v>
      </x:c>
      <x:c r="AE39" s="84" t="str">
        <x:v>根本之病在“多层生化链”：力量需跨越多个中间节点，每层均承担容量与耗散成本；表层表现为“名义链完整但末端实际获得力量不足”。主药候选为“缩短路径或增强最弱关键桥梁”，药理为“通”；最终喜忌与主次仍转M17/M18裁决。</x:v>
      </x:c>
      <x:c r="AF39" s="82" t="str">
        <x:v>较高</x:v>
      </x:c>
      <x:c r="AG39" s="82" t="str">
        <x:v>病药</x:v>
      </x:c>
      <x:c r="AH3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9" s="68" t="str">
        <x:v>当“M12链路过长且末端功能确实不足”真实成立，且药神能够直接作用病位时，可按“链路过长导致末端力量衰减”记录。</x:v>
      </x:c>
      <x:c r="AJ39" s="90" t="str">
        <x:v>只有表面“名义链完整但末端实际获得力量不足”，但未证明根因“力量需跨越多个中间节点，每层均承担容量与耗散成本”及药神作用路径时，不得套用“链路过长导致末端力量衰减”。</x:v>
      </x:c>
      <x:c r="AK39" s="82" t="str">
        <x:v>采用</x:v>
      </x:c>
      <x:c r="AL39" s="82" t="str">
        <x:v>初审</x:v>
      </x:c>
      <x:c r="AM39" s="87" t="n">
        <x:v>46260</x:v>
      </x:c>
    </x:row>
    <x:row r="40">
      <x:c r="A40" s="72" t="str">
        <x:f>IF(OR(C40="",D40=""),"",B40&amp;"-"&amp;UPPER(C40)&amp;"-"&amp;TEXT(D40,"0000")&amp;"-"&amp;E40)</x:f>
        <x:v>M16-FLOW-0034-V1.0</x:v>
      </x:c>
      <x:c r="B40" s="74" t="str">
        <x:v>M16</x:v>
      </x:c>
      <x:c r="C40" s="74" t="str">
        <x:v>FLOW</x:v>
      </x:c>
      <x:c r="D40" s="215" t="n">
        <x:v>34</x:v>
      </x:c>
      <x:c r="E40" s="74" t="str">
        <x:v>V1.0</x:v>
      </x:c>
      <x:c r="F40" s="68" t="str">
        <x:v>回流壅塞形成内部循环病</x:v>
      </x:c>
      <x:c r="G40" s="82" t="str">
        <x:v>综合层</x:v>
      </x:c>
      <x:c r="H40" s="82" t="str">
        <x:v>流通病</x:v>
      </x:c>
      <x:c r="I40" s="68" t="str">
        <x:v>循环生化节点</x:v>
      </x:c>
      <x:c r="J40" s="68" t="str">
        <x:v>力量回流</x:v>
      </x:c>
      <x:c r="K40" s="68" t="str">
        <x:v>力量在局部集团反复相生而缺乏外泄终点</x:v>
      </x:c>
      <x:c r="L40" s="68" t="str">
        <x:v>内部很旺但外部功能不足</x:v>
      </x:c>
      <x:c r="M40" s="82" t="str">
        <x:v>明显</x:v>
      </x:c>
      <x:c r="N40" s="68" t="str">
        <x:v>建立外泄终点的食伤、财或相应五行</x:v>
      </x:c>
      <x:c r="O40" s="68" t="str">
        <x:v>抑制不必要回流节点</x:v>
      </x:c>
      <x:c r="P40" s="82" t="str">
        <x:v>泄</x:v>
      </x:c>
      <x:c r="Q40" s="68" t="str">
        <x:v>M12回流壅塞成立，且非专旺顺势</x:v>
      </x:c>
      <x:c r="R40" s="90" t="str">
        <x:v>不得只凭五行数量、十神名称或单一旺衰标签直接立病用药</x:v>
      </x:c>
      <x:c r="S40" s="90" t="str">
        <x:v>主要病位未被修复，原有失衡继续运行</x:v>
      </x:c>
      <x:c r="T40" s="90" t="str">
        <x:v>泄出过强会破坏原集团承载</x:v>
      </x:c>
      <x:c r="U40" s="82" t="str">
        <x:v>条件性</x:v>
      </x:c>
      <x:c r="V40" s="90" t="str">
        <x:v>条件性</x:v>
      </x:c>
      <x:c r="W40" s="90" t="str">
        <x:v>源头转弱或格局改写</x:v>
      </x:c>
      <x:c r="X40" s="68" t="str">
        <x:v>M08有效旺衰、M09日主旺衰、M10十神功能、M11组合、M12流通、M13调候、M15格局成败均已完成</x:v>
      </x:c>
      <x:c r="Y40" s="68" t="str">
        <x:v>病位、根因、功能障碍与药神作用路径均能够追溯</x:v>
      </x:c>
      <x:c r="Z40" s="68" t="str">
        <x:v>药神有根有源、透达，能够直接进入病位且兼顾多个主要问题</x:v>
      </x:c>
      <x:c r="AA40" s="68" t="str">
        <x:v>药神无根、受强制、被合绊、作用路径遥隔或同时被多个任务分流</x:v>
      </x:c>
      <x:c r="AB40" s="90" t="str">
        <x:v>若该失衡没有造成实际功能障碍，或特殊格局要求顺势，则不得按普通病药立论</x:v>
      </x:c>
      <x:c r="AC40" s="68" t="str">
        <x:v>特殊格局严格成立、岁运动态作用或流派争议转M18/M21及动态引擎</x:v>
      </x:c>
      <x:c r="AD40" s="84" t="str">
        <x:v>回流壅塞病</x:v>
      </x:c>
      <x:c r="AE40" s="84" t="str">
        <x:v>根本之病在“循环生化节点”：力量在局部集团反复相生而缺乏外泄终点；表层表现为“内部很旺但外部功能不足”。主药候选为“建立外泄终点的食伤、财或相应五行”，药理为“泄”；最终喜忌与主次仍转M17/M18裁决。</x:v>
      </x:c>
      <x:c r="AF40" s="82" t="str">
        <x:v>较高</x:v>
      </x:c>
      <x:c r="AG40" s="82" t="str">
        <x:v>病药</x:v>
      </x:c>
      <x:c r="AH4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0" s="68" t="str">
        <x:v>当“M12回流壅塞成立，且非专旺顺势”真实成立，且药神能够直接作用病位时，可按“回流壅塞形成内部循环病”记录。</x:v>
      </x:c>
      <x:c r="AJ40" s="90" t="str">
        <x:v>只有表面“内部很旺但外部功能不足”，但未证明根因“力量在局部集团反复相生而缺乏外泄终点”及药神作用路径时，不得套用“回流壅塞形成内部循环病”。</x:v>
      </x:c>
      <x:c r="AK40" s="82" t="str">
        <x:v>采用</x:v>
      </x:c>
      <x:c r="AL40" s="82" t="str">
        <x:v>初审</x:v>
      </x:c>
      <x:c r="AM40" s="87" t="n">
        <x:v>46260</x:v>
      </x:c>
    </x:row>
    <x:row r="41">
      <x:c r="A41" s="72" t="str">
        <x:f>IF(OR(C41="",D41=""),"",B41&amp;"-"&amp;UPPER(C41)&amp;"-"&amp;TEXT(D41,"0000")&amp;"-"&amp;E41)</x:f>
        <x:v>M16-FLOW-0035-V1.0</x:v>
      </x:c>
      <x:c r="B41" s="74" t="str">
        <x:v>M16</x:v>
      </x:c>
      <x:c r="C41" s="74" t="str">
        <x:v>FLOW</x:v>
      </x:c>
      <x:c r="D41" s="215" t="n">
        <x:v>35</x:v>
      </x:c>
      <x:c r="E41" s="74" t="str">
        <x:v>V1.0</x:v>
      </x:c>
      <x:c r="F41" s="68" t="str">
        <x:v>寒凝导致桥梁存在但不流动</x:v>
      </x:c>
      <x:c r="G41" s="82" t="str">
        <x:v>综合层</x:v>
      </x:c>
      <x:c r="H41" s="82" t="str">
        <x:v>流通病</x:v>
      </x:c>
      <x:c r="I41" s="68" t="str">
        <x:v>受寒关键桥梁</x:v>
      </x:c>
      <x:c r="J41" s="68" t="str">
        <x:v>寒凝阻流</x:v>
      </x:c>
      <x:c r="K41" s="68" t="str">
        <x:v>M13偏寒/极寒使木火生发、蒸腾或水流转化效率不足</x:v>
      </x:c>
      <x:c r="L41" s="68" t="str">
        <x:v>M12路径因寒凝局部阻塞</x:v>
      </x:c>
      <x:c r="M41" s="82" t="str">
        <x:v>明显</x:v>
      </x:c>
      <x:c r="N41" s="68" t="str">
        <x:v>火</x:v>
      </x:c>
      <x:c r="O41" s="68" t="str">
        <x:v>木或能保护火源者</x:v>
      </x:c>
      <x:c r="P41" s="82" t="str">
        <x:v>暖</x:v>
      </x:c>
      <x:c r="Q41" s="68" t="str">
        <x:v>寒凝被确认是路径失效的共同根因</x:v>
      </x:c>
      <x:c r="R41" s="90" t="str">
        <x:v>原局已极燥或火为格局忌神时需条件化</x:v>
      </x:c>
      <x:c r="S41" s="90" t="str">
        <x:v>主要病位未被修复，原有失衡继续运行</x:v>
      </x:c>
      <x:c r="T41" s="90" t="str">
        <x:v>火过度会转成热燥、耗水或破格</x:v>
      </x:c>
      <x:c r="U41" s="82" t="str">
        <x:v>条件性</x:v>
      </x:c>
      <x:c r="V41" s="90" t="str">
        <x:v>是</x:v>
      </x:c>
      <x:c r="W41" s="90" t="str">
        <x:v>极热燥或格局破坏</x:v>
      </x:c>
      <x:c r="X41" s="68" t="str">
        <x:v>M08有效旺衰、M09日主旺衰、M10十神功能、M11组合、M12流通、M13调候、M15格局成败均已完成</x:v>
      </x:c>
      <x:c r="Y41" s="68" t="str">
        <x:v>病位、根因、功能障碍与药神作用路径均能够追溯</x:v>
      </x:c>
      <x:c r="Z41" s="68" t="str">
        <x:v>药神有根有源、透达，能够直接进入病位且兼顾多个主要问题</x:v>
      </x:c>
      <x:c r="AA41" s="68" t="str">
        <x:v>药神无根、受强制、被合绊、作用路径遥隔或同时被多个任务分流</x:v>
      </x:c>
      <x:c r="AB41" s="90" t="str">
        <x:v>若该失衡没有造成实际功能障碍，或特殊格局要求顺势，则不得按普通病药立论</x:v>
      </x:c>
      <x:c r="AC41" s="68" t="str">
        <x:v>特殊格局严格成立、岁运动态作用或流派争议转M18/M21及动态引擎</x:v>
      </x:c>
      <x:c r="AD41" s="84" t="str">
        <x:v>寒凝流通病</x:v>
      </x:c>
      <x:c r="AE41" s="84" t="str">
        <x:v>根本之病在“受寒关键桥梁”：M13偏寒/极寒使木火生发、蒸腾或水流转化效率不足；表层表现为“M12路径因寒凝局部阻塞”。主药候选为“火”，药理为“暖”；最终喜忌与主次仍转M17/M18裁决。</x:v>
      </x:c>
      <x:c r="AF41" s="82" t="str">
        <x:v>较高</x:v>
      </x:c>
      <x:c r="AG41" s="82" t="str">
        <x:v>病药</x:v>
      </x:c>
      <x:c r="AH4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1" s="68" t="str">
        <x:v>当“寒凝被确认是路径失效的共同根因”真实成立，且药神能够直接作用病位时，可按“寒凝导致桥梁存在但不流动”记录。</x:v>
      </x:c>
      <x:c r="AJ41" s="90" t="str">
        <x:v>只有表面“M12路径因寒凝局部阻塞”，但未证明根因“M13偏寒/极寒使木火生发、蒸腾或水流转化效率不足”及药神作用路径时，不得套用“寒凝导致桥梁存在但不流动”。</x:v>
      </x:c>
      <x:c r="AK41" s="82" t="str">
        <x:v>采用</x:v>
      </x:c>
      <x:c r="AL41" s="82" t="str">
        <x:v>初审</x:v>
      </x:c>
      <x:c r="AM41" s="87" t="n">
        <x:v>46260</x:v>
      </x:c>
    </x:row>
    <x:row r="42">
      <x:c r="A42" s="72" t="str">
        <x:f>IF(OR(C42="",D42=""),"",B42&amp;"-"&amp;UPPER(C42)&amp;"-"&amp;TEXT(D42,"0000")&amp;"-"&amp;E42)</x:f>
        <x:v>M16-FLOW-0036-V1.0</x:v>
      </x:c>
      <x:c r="B42" s="74" t="str">
        <x:v>M16</x:v>
      </x:c>
      <x:c r="C42" s="74" t="str">
        <x:v>FLOW</x:v>
      </x:c>
      <x:c r="D42" s="215" t="n">
        <x:v>36</x:v>
      </x:c>
      <x:c r="E42" s="74" t="str">
        <x:v>V1.0</x:v>
      </x:c>
      <x:c r="F42" s="68" t="str">
        <x:v>燥枯导致桥梁失去持续生化能力</x:v>
      </x:c>
      <x:c r="G42" s="82" t="str">
        <x:v>综合层</x:v>
      </x:c>
      <x:c r="H42" s="82" t="str">
        <x:v>流通病</x:v>
      </x:c>
      <x:c r="I42" s="68" t="str">
        <x:v>受燥关键桥梁</x:v>
      </x:c>
      <x:c r="J42" s="68" t="str">
        <x:v>燥枯阻流</x:v>
      </x:c>
      <x:c r="K42" s="68" t="str">
        <x:v>M13偏燥/极燥使木、水或土失去润泽和承接条件</x:v>
      </x:c>
      <x:c r="L42" s="68" t="str">
        <x:v>路径存在但不能持续运行</x:v>
      </x:c>
      <x:c r="M42" s="82" t="str">
        <x:v>明显</x:v>
      </x:c>
      <x:c r="N42" s="68" t="str">
        <x:v>水</x:v>
      </x:c>
      <x:c r="O42" s="68" t="str">
        <x:v>能引水润燥或保护水源者</x:v>
      </x:c>
      <x:c r="P42" s="82" t="str">
        <x:v>润</x:v>
      </x:c>
      <x:c r="Q42" s="68" t="str">
        <x:v>燥枯被确认是桥梁失效的共同根因</x:v>
      </x:c>
      <x:c r="R42" s="90" t="str">
        <x:v>原局极寒湿或水会破格时需寻找替代润法</x:v>
      </x:c>
      <x:c r="S42" s="90" t="str">
        <x:v>主要病位未被修复，原有失衡继续运行</x:v>
      </x:c>
      <x:c r="T42" s="90" t="str">
        <x:v>水过度会转为寒湿、冲坏火格或终点过湿</x:v>
      </x:c>
      <x:c r="U42" s="82" t="str">
        <x:v>条件性</x:v>
      </x:c>
      <x:c r="V42" s="90" t="str">
        <x:v>是</x:v>
      </x:c>
      <x:c r="W42" s="90" t="str">
        <x:v>寒湿或格局冲突</x:v>
      </x:c>
      <x:c r="X42" s="68" t="str">
        <x:v>M08有效旺衰、M09日主旺衰、M10十神功能、M11组合、M12流通、M13调候、M15格局成败均已完成</x:v>
      </x:c>
      <x:c r="Y42" s="68" t="str">
        <x:v>病位、根因、功能障碍与药神作用路径均能够追溯</x:v>
      </x:c>
      <x:c r="Z42" s="68" t="str">
        <x:v>药神有根有源、透达，能够直接进入病位且兼顾多个主要问题</x:v>
      </x:c>
      <x:c r="AA42" s="68" t="str">
        <x:v>药神无根、受强制、被合绊、作用路径遥隔或同时被多个任务分流</x:v>
      </x:c>
      <x:c r="AB42" s="90" t="str">
        <x:v>若该失衡没有造成实际功能障碍，或特殊格局要求顺势，则不得按普通病药立论</x:v>
      </x:c>
      <x:c r="AC42" s="68" t="str">
        <x:v>特殊格局严格成立、岁运动态作用或流派争议转M18/M21及动态引擎</x:v>
      </x:c>
      <x:c r="AD42" s="84" t="str">
        <x:v>燥枯流通病</x:v>
      </x:c>
      <x:c r="AE42" s="84" t="str">
        <x:v>根本之病在“受燥关键桥梁”：M13偏燥/极燥使木、水或土失去润泽和承接条件；表层表现为“路径存在但不能持续运行”。主药候选为“水”，药理为“润”；最终喜忌与主次仍转M17/M18裁决。</x:v>
      </x:c>
      <x:c r="AF42" s="82" t="str">
        <x:v>较高</x:v>
      </x:c>
      <x:c r="AG42" s="82" t="str">
        <x:v>病药</x:v>
      </x:c>
      <x:c r="AH4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2" s="68" t="str">
        <x:v>当“燥枯被确认是桥梁失效的共同根因”真实成立，且药神能够直接作用病位时，可按“燥枯导致桥梁失去持续生化能力”记录。</x:v>
      </x:c>
      <x:c r="AJ42" s="90" t="str">
        <x:v>只有表面“路径存在但不能持续运行”，但未证明根因“M13偏燥/极燥使木、水或土失去润泽和承接条件”及药神作用路径时，不得套用“燥枯导致桥梁失去持续生化能力”。</x:v>
      </x:c>
      <x:c r="AK42" s="82" t="str">
        <x:v>采用</x:v>
      </x:c>
      <x:c r="AL42" s="82" t="str">
        <x:v>初审</x:v>
      </x:c>
      <x:c r="AM42" s="87" t="n">
        <x:v>46260</x:v>
      </x:c>
    </x:row>
    <x:row r="43">
      <x:c r="A43" s="72" t="str">
        <x:f>IF(OR(C43="",D43=""),"",B43&amp;"-"&amp;UPPER(C43)&amp;"-"&amp;TEXT(D43,"0000")&amp;"-"&amp;E43)</x:f>
        <x:v>M16-FLOW-0037-V1.0</x:v>
      </x:c>
      <x:c r="B43" s="74" t="str">
        <x:v>M16</x:v>
      </x:c>
      <x:c r="C43" s="74" t="str">
        <x:v>FLOW</x:v>
      </x:c>
      <x:c r="D43" s="215" t="n">
        <x:v>37</x:v>
      </x:c>
      <x:c r="E43" s="74" t="str">
        <x:v>V1.0</x:v>
      </x:c>
      <x:c r="F43" s="68" t="str">
        <x:v>共享桥梁过载形成容量竞争病</x:v>
      </x:c>
      <x:c r="G43" s="82" t="str">
        <x:v>综合层</x:v>
      </x:c>
      <x:c r="H43" s="82" t="str">
        <x:v>流通病</x:v>
      </x:c>
      <x:c r="I43" s="68" t="str">
        <x:v>多路径共享桥梁</x:v>
      </x:c>
      <x:c r="J43" s="68" t="str">
        <x:v>容量过载</x:v>
      </x:c>
      <x:c r="K43" s="68" t="str">
        <x:v>同一桥梁被多个强源和多个组合同时调用，实际容量不足</x:v>
      </x:c>
      <x:c r="L43" s="68" t="str">
        <x:v>每条路径表面成立但均只能部分运行</x:v>
      </x:c>
      <x:c r="M43" s="82" t="str">
        <x:v>一般</x:v>
      </x:c>
      <x:c r="N43" s="68" t="str">
        <x:v>增强桥梁或减少次级路径竞争</x:v>
      </x:c>
      <x:c r="O43" s="68" t="str">
        <x:v>建立替代桥梁</x:v>
      </x:c>
      <x:c r="P43" s="82" t="str">
        <x:v>通</x:v>
      </x:c>
      <x:c r="Q43" s="68" t="str">
        <x:v>M12/M11确认共享节点并存在容量分流</x:v>
      </x:c>
      <x:c r="R43" s="90" t="str">
        <x:v>不得只凭五行数量、十神名称或单一旺衰标签直接立病用药</x:v>
      </x:c>
      <x:c r="S43" s="90" t="str">
        <x:v>主要病位未被修复，原有失衡继续运行</x:v>
      </x:c>
      <x:c r="T43" s="90" t="str">
        <x:v>桥梁补强过度可能反客为主</x:v>
      </x:c>
      <x:c r="U43" s="82" t="str">
        <x:v>条件性</x:v>
      </x:c>
      <x:c r="V43" s="90" t="str">
        <x:v>条件性</x:v>
      </x:c>
      <x:c r="W43" s="90" t="str">
        <x:v>桥梁壅塞或格局主轴改变</x:v>
      </x:c>
      <x:c r="X43" s="68" t="str">
        <x:v>M08有效旺衰、M09日主旺衰、M10十神功能、M11组合、M12流通、M13调候、M15格局成败均已完成</x:v>
      </x:c>
      <x:c r="Y43" s="68" t="str">
        <x:v>病位、根因、功能障碍与药神作用路径均能够追溯</x:v>
      </x:c>
      <x:c r="Z43" s="68" t="str">
        <x:v>药神有根有源、透达，能够直接进入病位且兼顾多个主要问题</x:v>
      </x:c>
      <x:c r="AA43" s="68" t="str">
        <x:v>药神无根、受强制、被合绊、作用路径遥隔或同时被多个任务分流</x:v>
      </x:c>
      <x:c r="AB43" s="90" t="str">
        <x:v>若该失衡没有造成实际功能障碍，或特殊格局要求顺势，则不得按普通病药立论</x:v>
      </x:c>
      <x:c r="AC43" s="68" t="str">
        <x:v>特殊格局严格成立、岁运动态作用或流派争议转M18/M21及动态引擎</x:v>
      </x:c>
      <x:c r="AD43" s="84" t="str">
        <x:v>共享桥梁过载</x:v>
      </x:c>
      <x:c r="AE43" s="84" t="str">
        <x:v>根本之病在“多路径共享桥梁”：同一桥梁被多个强源和多个组合同时调用，实际容量不足；表层表现为“每条路径表面成立但均只能部分运行”。主药候选为“增强桥梁或减少次级路径竞争”，药理为“通”；最终喜忌与主次仍转M17/M18裁决。</x:v>
      </x:c>
      <x:c r="AF43" s="82" t="str">
        <x:v>较高</x:v>
      </x:c>
      <x:c r="AG43" s="82" t="str">
        <x:v>病药</x:v>
      </x:c>
      <x:c r="AH4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3" s="68" t="str">
        <x:v>当“M12/M11确认共享节点并存在容量分流”真实成立，且药神能够直接作用病位时，可按“共享桥梁过载形成容量竞争病”记录。</x:v>
      </x:c>
      <x:c r="AJ43" s="90" t="str">
        <x:v>只有表面“每条路径表面成立但均只能部分运行”，但未证明根因“同一桥梁被多个强源和多个组合同时调用，实际容量不足”及药神作用路径时，不得套用“共享桥梁过载形成容量竞争病”。</x:v>
      </x:c>
      <x:c r="AK43" s="82" t="str">
        <x:v>采用</x:v>
      </x:c>
      <x:c r="AL43" s="82" t="str">
        <x:v>初审</x:v>
      </x:c>
      <x:c r="AM43" s="87" t="n">
        <x:v>46260</x:v>
      </x:c>
    </x:row>
    <x:row r="44">
      <x:c r="A44" s="72" t="str">
        <x:f>IF(OR(C44="",D44=""),"",B44&amp;"-"&amp;UPPER(C44)&amp;"-"&amp;TEXT(D44,"0000")&amp;"-"&amp;E44)</x:f>
        <x:v>M16-FLOW-0038-V1.0</x:v>
      </x:c>
      <x:c r="B44" s="74" t="str">
        <x:v>M16</x:v>
      </x:c>
      <x:c r="C44" s="74" t="str">
        <x:v>FLOW</x:v>
      </x:c>
      <x:c r="D44" s="215" t="n">
        <x:v>38</x:v>
      </x:c>
      <x:c r="E44" s="74" t="str">
        <x:v>V1.0</x:v>
      </x:c>
      <x:c r="F44" s="68" t="str">
        <x:v>多个通路并存时主药应优先修复主路径卡点</x:v>
      </x:c>
      <x:c r="G44" s="82" t="str">
        <x:v>综合层</x:v>
      </x:c>
      <x:c r="H44" s="82" t="str">
        <x:v>流通病</x:v>
      </x:c>
      <x:c r="I44" s="68" t="str">
        <x:v>主路径首要卡点</x:v>
      </x:c>
      <x:c r="J44" s="68" t="str">
        <x:v>路径优先级</x:v>
      </x:c>
      <x:c r="K44" s="68" t="str">
        <x:v>多条路径分别有卡点，但对全局影响范围不同</x:v>
      </x:c>
      <x:c r="L44" s="68" t="str">
        <x:v>多个候选通关五行并存</x:v>
      </x:c>
      <x:c r="M44" s="82" t="str">
        <x:v>首要矛盾</x:v>
      </x:c>
      <x:c r="N44" s="68" t="str">
        <x:v>修复覆盖范围最大且副作用最小的主卡点者</x:v>
      </x:c>
      <x:c r="O44" s="68" t="str">
        <x:v>处理次级卡点者</x:v>
      </x:c>
      <x:c r="P44" s="82" t="str">
        <x:v>通</x:v>
      </x:c>
      <x:c r="Q44" s="68" t="str">
        <x:v>M12已排序主路径与主卡点</x:v>
      </x:c>
      <x:c r="R44" s="90" t="str">
        <x:v>不得按卡点数量平均用药</x:v>
      </x:c>
      <x:c r="S44" s="90" t="str">
        <x:v>主要病位未被修复，原有失衡继续运行</x:v>
      </x:c>
      <x:c r="T44" s="90" t="str">
        <x:v>药神反向过度，可能跨越平衡并形成新的结构性失衡</x:v>
      </x:c>
      <x:c r="U44" s="82" t="str">
        <x:v>条件性</x:v>
      </x:c>
      <x:c r="V44" s="90" t="str">
        <x:v>条件性</x:v>
      </x:c>
      <x:c r="W44" s="90" t="str">
        <x:v>药力分散、主病未治</x:v>
      </x:c>
      <x:c r="X44" s="68" t="str">
        <x:v>M08有效旺衰、M09日主旺衰、M10十神功能、M11组合、M12流通、M13调候、M15格局成败均已完成</x:v>
      </x:c>
      <x:c r="Y44" s="68" t="str">
        <x:v>病位、根因、功能障碍与药神作用路径均能够追溯</x:v>
      </x:c>
      <x:c r="Z44" s="68" t="str">
        <x:v>药神有根有源、透达，能够直接进入病位且兼顾多个主要问题</x:v>
      </x:c>
      <x:c r="AA44" s="68" t="str">
        <x:v>药神无根、受强制、被合绊、作用路径遥隔或同时被多个任务分流</x:v>
      </x:c>
      <x:c r="AB44" s="90" t="str">
        <x:v>若该失衡没有造成实际功能障碍，或特殊格局要求顺势，则不得按普通病药立论</x:v>
      </x:c>
      <x:c r="AC44" s="68" t="str">
        <x:v>特殊格局严格成立、岁运动态作用或流派争议转M18/M21及动态引擎</x:v>
      </x:c>
      <x:c r="AD44" s="84" t="str">
        <x:v>流通病主次择药</x:v>
      </x:c>
      <x:c r="AE44" s="84" t="str">
        <x:v>根本之病在“主路径首要卡点”：多条路径分别有卡点，但对全局影响范围不同；表层表现为“多个候选通关五行并存”。主药候选为“修复覆盖范围最大且副作用最小的主卡点者”，药理为“通”；最终喜忌与主次仍转M17/M18裁决。</x:v>
      </x:c>
      <x:c r="AF44" s="82" t="str">
        <x:v>较高</x:v>
      </x:c>
      <x:c r="AG44" s="82" t="str">
        <x:v>病药</x:v>
      </x:c>
      <x:c r="AH4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4" s="68" t="str">
        <x:v>当“M12已排序主路径与主卡点”真实成立，且药神能够直接作用病位时，可按“多个通路并存时主药应优先修复主路径卡点”记录。</x:v>
      </x:c>
      <x:c r="AJ44" s="90" t="str">
        <x:v>只有表面“多个候选通关五行并存”，但未证明根因“多条路径分别有卡点，但对全局影响范围不同”及药神作用路径时，不得套用“多个通路并存时主药应优先修复主路径卡点”。</x:v>
      </x:c>
      <x:c r="AK44" s="82" t="str">
        <x:v>采用</x:v>
      </x:c>
      <x:c r="AL44" s="82" t="str">
        <x:v>初审</x:v>
      </x:c>
      <x:c r="AM44" s="87" t="n">
        <x:v>46260</x:v>
      </x:c>
    </x:row>
    <x:row r="45">
      <x:c r="A45" s="72" t="str">
        <x:f>IF(OR(C45="",D45=""),"",B45&amp;"-"&amp;UPPER(C45)&amp;"-"&amp;TEXT(D45,"0000")&amp;"-"&amp;E45)</x:f>
        <x:v>M16-CONTROL-0039-V1.0</x:v>
      </x:c>
      <x:c r="B45" s="74" t="str">
        <x:v>M16</x:v>
      </x:c>
      <x:c r="C45" s="74" t="str">
        <x:v>CONTROL</x:v>
      </x:c>
      <x:c r="D45" s="215" t="n">
        <x:v>39</x:v>
      </x:c>
      <x:c r="E45" s="74" t="str">
        <x:v>V1.0</x:v>
      </x:c>
      <x:c r="F45" s="68" t="str">
        <x:v>七杀无制无化形成直接攻身病</x:v>
      </x:c>
      <x:c r="G45" s="82" t="str">
        <x:v>综合层</x:v>
      </x:c>
      <x:c r="H45" s="82" t="str">
        <x:v>制化病</x:v>
      </x:c>
      <x:c r="I45" s="68" t="str">
        <x:v>七杀—日主作用链</x:v>
      </x:c>
      <x:c r="J45" s="68" t="str">
        <x:v>杀无制化</x:v>
      </x:c>
      <x:c r="K45" s="68" t="str">
        <x:v>七杀有力，日主承载不足，食神制杀与印化杀均不能运行</x:v>
      </x:c>
      <x:c r="L45" s="68" t="str">
        <x:v>杀压直接落身</x:v>
      </x:c>
      <x:c r="M45" s="82" t="str">
        <x:v>严重</x:v>
      </x:c>
      <x:c r="N45" s="68" t="str">
        <x:v>印星或食神，按承载与格局择一</x:v>
      </x:c>
      <x:c r="O45" s="68" t="str">
        <x:v>保护所选制化路线者</x:v>
      </x:c>
      <x:c r="P45" s="82" t="str">
        <x:v>化</x:v>
      </x:c>
      <x:c r="Q45" s="68" t="str">
        <x:v>M11/M15确认无制无化且非从官杀</x:v>
      </x:c>
      <x:c r="R45" s="90" t="str">
        <x:v>身弱食伤再泄或枭夺食时不宜机械用食；财坏印时需先护印</x:v>
      </x:c>
      <x:c r="S45" s="90" t="str">
        <x:v>主要病位未被修复，原有失衡继续运行</x:v>
      </x:c>
      <x:c r="T45" s="90" t="str">
        <x:v>印过旺夺食，食过旺制杀太过或泄身过度</x:v>
      </x:c>
      <x:c r="U45" s="82" t="str">
        <x:v>条件性</x:v>
      </x:c>
      <x:c r="V45" s="90" t="str">
        <x:v>是</x:v>
      </x:c>
      <x:c r="W45" s="90" t="str">
        <x:v>枭夺食、制杀太过或身弱</x:v>
      </x:c>
      <x:c r="X45" s="68" t="str">
        <x:v>M08有效旺衰、M09日主旺衰、M10十神功能、M11组合、M12流通、M13调候、M15格局成败均已完成</x:v>
      </x:c>
      <x:c r="Y45" s="68" t="str">
        <x:v>病位、根因、功能障碍与药神作用路径均能够追溯</x:v>
      </x:c>
      <x:c r="Z45" s="68" t="str">
        <x:v>药神有根有源、透达，能够直接进入病位且兼顾多个主要问题</x:v>
      </x:c>
      <x:c r="AA45" s="68" t="str">
        <x:v>药神无根、受强制、被合绊、作用路径遥隔或同时被多个任务分流</x:v>
      </x:c>
      <x:c r="AB45" s="90" t="str">
        <x:v>若该失衡没有造成实际功能障碍，或特殊格局要求顺势，则不得按普通病药立论</x:v>
      </x:c>
      <x:c r="AC45" s="68" t="str">
        <x:v>特殊格局严格成立、岁运动态作用或流派争议转M18/M21及动态引擎</x:v>
      </x:c>
      <x:c r="AD45" s="84" t="str">
        <x:v>杀无制化病</x:v>
      </x:c>
      <x:c r="AE45" s="84" t="str">
        <x:v>根本之病在“七杀—日主作用链”：七杀有力，日主承载不足，食神制杀与印化杀均不能运行；表层表现为“杀压直接落身”。主药候选为“印星或食神，按承载与格局择一”，药理为“化”；最终喜忌与主次仍转M17/M18裁决。</x:v>
      </x:c>
      <x:c r="AF45" s="82" t="str">
        <x:v>较高</x:v>
      </x:c>
      <x:c r="AG45" s="82" t="str">
        <x:v>病药</x:v>
      </x:c>
      <x:c r="AH4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5" s="68" t="str">
        <x:v>当“M11/M15确认无制无化且非从官杀”真实成立，且药神能够直接作用病位时，可按“七杀无制无化形成直接攻身病”记录。</x:v>
      </x:c>
      <x:c r="AJ45" s="90" t="str">
        <x:v>只有表面“杀压直接落身”，但未证明根因“七杀有力，日主承载不足，食神制杀与印化杀均不能运行”及药神作用路径时，不得套用“七杀无制无化形成直接攻身病”。</x:v>
      </x:c>
      <x:c r="AK45" s="82" t="str">
        <x:v>采用</x:v>
      </x:c>
      <x:c r="AL45" s="82" t="str">
        <x:v>初审</x:v>
      </x:c>
      <x:c r="AM45" s="87" t="n">
        <x:v>46260</x:v>
      </x:c>
    </x:row>
    <x:row r="46">
      <x:c r="A46" s="72" t="str">
        <x:f>IF(OR(C46="",D46=""),"",B46&amp;"-"&amp;UPPER(C46)&amp;"-"&amp;TEXT(D46,"0000")&amp;"-"&amp;E46)</x:f>
        <x:v>M16-CONTROL-0040-V1.0</x:v>
      </x:c>
      <x:c r="B46" s="74" t="str">
        <x:v>M16</x:v>
      </x:c>
      <x:c r="C46" s="74" t="str">
        <x:v>CONTROL</x:v>
      </x:c>
      <x:c r="D46" s="215" t="n">
        <x:v>40</x:v>
      </x:c>
      <x:c r="E46" s="74" t="str">
        <x:v>V1.0</x:v>
      </x:c>
      <x:c r="F46" s="68" t="str">
        <x:v>食神制杀不足形成制杀不及病</x:v>
      </x:c>
      <x:c r="G46" s="82" t="str">
        <x:v>综合层</x:v>
      </x:c>
      <x:c r="H46" s="82" t="str">
        <x:v>制化病</x:v>
      </x:c>
      <x:c r="I46" s="68" t="str">
        <x:v>食神→七杀制约链</x:v>
      </x:c>
      <x:c r="J46" s="68" t="str">
        <x:v>制杀不足</x:v>
      </x:c>
      <x:c r="K46" s="68" t="str">
        <x:v>七杀强而食神弱、受制或路径不稳</x:v>
      </x:c>
      <x:c r="L46" s="68" t="str">
        <x:v>杀压仍有较大部分直接落身</x:v>
      </x:c>
      <x:c r="M46" s="82" t="str">
        <x:v>明显</x:v>
      </x:c>
      <x:c r="N46" s="68" t="str">
        <x:v>增强食神或解除枭制</x:v>
      </x:c>
      <x:c r="O46" s="68" t="str">
        <x:v>财制枭或比劫生食</x:v>
      </x:c>
      <x:c r="P46" s="82" t="str">
        <x:v>制</x:v>
      </x:c>
      <x:c r="Q46" s="68" t="str">
        <x:v>M11食神制杀仅弱成立或制杀不足</x:v>
      </x:c>
      <x:c r="R46" s="90" t="str">
        <x:v>日主极弱无法承担食神泄身时须改走印化路线</x:v>
      </x:c>
      <x:c r="S46" s="90" t="str">
        <x:v>主要病位未被修复，原有失衡继续运行</x:v>
      </x:c>
      <x:c r="T46" s="90" t="str">
        <x:v>食神增强过度会制杀太过并加重泄身</x:v>
      </x:c>
      <x:c r="U46" s="82" t="str">
        <x:v>条件性</x:v>
      </x:c>
      <x:c r="V46" s="90" t="str">
        <x:v>条件性</x:v>
      </x:c>
      <x:c r="W46" s="90" t="str">
        <x:v>制杀太过或泄身过度</x:v>
      </x:c>
      <x:c r="X46" s="68" t="str">
        <x:v>M08有效旺衰、M09日主旺衰、M10十神功能、M11组合、M12流通、M13调候、M15格局成败均已完成</x:v>
      </x:c>
      <x:c r="Y46" s="68" t="str">
        <x:v>病位、根因、功能障碍与药神作用路径均能够追溯</x:v>
      </x:c>
      <x:c r="Z46" s="68" t="str">
        <x:v>药神有根有源、透达，能够直接进入病位且兼顾多个主要问题</x:v>
      </x:c>
      <x:c r="AA46" s="68" t="str">
        <x:v>药神无根、受强制、被合绊、作用路径遥隔或同时被多个任务分流</x:v>
      </x:c>
      <x:c r="AB46" s="90" t="str">
        <x:v>若该失衡没有造成实际功能障碍，或特殊格局要求顺势，则不得按普通病药立论</x:v>
      </x:c>
      <x:c r="AC46" s="68" t="str">
        <x:v>特殊格局严格成立、岁运动态作用或流派争议转M18/M21及动态引擎</x:v>
      </x:c>
      <x:c r="AD46" s="84" t="str">
        <x:v>制杀不及</x:v>
      </x:c>
      <x:c r="AE46" s="84" t="str">
        <x:v>根本之病在“食神→七杀制约链”：七杀强而食神弱、受制或路径不稳；表层表现为“杀压仍有较大部分直接落身”。主药候选为“增强食神或解除枭制”，药理为“制”；最终喜忌与主次仍转M17/M18裁决。</x:v>
      </x:c>
      <x:c r="AF46" s="82" t="str">
        <x:v>较高</x:v>
      </x:c>
      <x:c r="AG46" s="82" t="str">
        <x:v>病药</x:v>
      </x:c>
      <x:c r="AH4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6" s="68" t="str">
        <x:v>当“M11食神制杀仅弱成立或制杀不足”真实成立，且药神能够直接作用病位时，可按“食神制杀不足形成制杀不及病”记录。</x:v>
      </x:c>
      <x:c r="AJ46" s="90" t="str">
        <x:v>只有表面“杀压仍有较大部分直接落身”，但未证明根因“七杀强而食神弱、受制或路径不稳”及药神作用路径时，不得套用“食神制杀不足形成制杀不及病”。</x:v>
      </x:c>
      <x:c r="AK46" s="82" t="str">
        <x:v>采用</x:v>
      </x:c>
      <x:c r="AL46" s="82" t="str">
        <x:v>初审</x:v>
      </x:c>
      <x:c r="AM46" s="87" t="n">
        <x:v>46260</x:v>
      </x:c>
    </x:row>
    <x:row r="47">
      <x:c r="A47" s="72" t="str">
        <x:f>IF(OR(C47="",D47=""),"",B47&amp;"-"&amp;UPPER(C47)&amp;"-"&amp;TEXT(D47,"0000")&amp;"-"&amp;E47)</x:f>
        <x:v>M16-CONTROL-0041-V1.0</x:v>
      </x:c>
      <x:c r="B47" s="74" t="str">
        <x:v>M16</x:v>
      </x:c>
      <x:c r="C47" s="74" t="str">
        <x:v>CONTROL</x:v>
      </x:c>
      <x:c r="D47" s="215" t="n">
        <x:v>41</x:v>
      </x:c>
      <x:c r="E47" s="74" t="str">
        <x:v>V1.0</x:v>
      </x:c>
      <x:c r="F47" s="68" t="str">
        <x:v>制杀太过使七杀失去必要制衡功能</x:v>
      </x:c>
      <x:c r="G47" s="82" t="str">
        <x:v>综合层</x:v>
      </x:c>
      <x:c r="H47" s="82" t="str">
        <x:v>制化病</x:v>
      </x:c>
      <x:c r="I47" s="68" t="str">
        <x:v>食伤—七杀比例</x:v>
      </x:c>
      <x:c r="J47" s="68" t="str">
        <x:v>制化过度</x:v>
      </x:c>
      <x:c r="K47" s="68" t="str">
        <x:v>食伤远强于七杀，将七杀制至残弱或失效</x:v>
      </x:c>
      <x:c r="L47" s="68" t="str">
        <x:v>原本平衡结构转为食伤独旺</x:v>
      </x:c>
      <x:c r="M47" s="82" t="str">
        <x:v>明显</x:v>
      </x:c>
      <x:c r="N47" s="68" t="str">
        <x:v>适度生扶七杀或制约过旺食伤</x:v>
      </x:c>
      <x:c r="O47" s="68" t="str">
        <x:v>财星生杀需防再耗身</x:v>
      </x:c>
      <x:c r="P47" s="82" t="str">
        <x:v>生</x:v>
      </x:c>
      <x:c r="Q47" s="68" t="str">
        <x:v>M11/M15制杀太过成立，且七杀原承担必要格局功能</x:v>
      </x:c>
      <x:c r="R47" s="90" t="str">
        <x:v>杀本为忌且不需保留时，不应为了形式平衡而生杀</x:v>
      </x:c>
      <x:c r="S47" s="90" t="str">
        <x:v>主要病位未被修复，原有失衡继续运行</x:v>
      </x:c>
      <x:c r="T47" s="90" t="str">
        <x:v>生杀过量会恢复杀攻身，制食过度会枭夺食</x:v>
      </x:c>
      <x:c r="U47" s="82" t="str">
        <x:v>条件性</x:v>
      </x:c>
      <x:c r="V47" s="90" t="str">
        <x:v>条件性</x:v>
      </x:c>
      <x:c r="W47" s="90" t="str">
        <x:v>杀旺攻身或枭夺食</x:v>
      </x:c>
      <x:c r="X47" s="68" t="str">
        <x:v>M08有效旺衰、M09日主旺衰、M10十神功能、M11组合、M12流通、M13调候、M15格局成败均已完成</x:v>
      </x:c>
      <x:c r="Y47" s="68" t="str">
        <x:v>病位、根因、功能障碍与药神作用路径均能够追溯</x:v>
      </x:c>
      <x:c r="Z47" s="68" t="str">
        <x:v>药神有根有源、透达，能够直接进入病位且兼顾多个主要问题</x:v>
      </x:c>
      <x:c r="AA47" s="68" t="str">
        <x:v>药神无根、受强制、被合绊、作用路径遥隔或同时被多个任务分流</x:v>
      </x:c>
      <x:c r="AB47" s="90" t="str">
        <x:v>若该失衡没有造成实际功能障碍，或特殊格局要求顺势，则不得按普通病药立论</x:v>
      </x:c>
      <x:c r="AC47" s="68" t="str">
        <x:v>特殊格局严格成立、岁运动态作用或流派争议转M18/M21及动态引擎</x:v>
      </x:c>
      <x:c r="AD47" s="84" t="str">
        <x:v>制杀太过病</x:v>
      </x:c>
      <x:c r="AE47" s="84" t="str">
        <x:v>根本之病在“食伤—七杀比例”：食伤远强于七杀，将七杀制至残弱或失效；表层表现为“原本平衡结构转为食伤独旺”。主药候选为“适度生扶七杀或制约过旺食伤”，药理为“生”；最终喜忌与主次仍转M17/M18裁决。</x:v>
      </x:c>
      <x:c r="AF47" s="82" t="str">
        <x:v>较高</x:v>
      </x:c>
      <x:c r="AG47" s="82" t="str">
        <x:v>病药</x:v>
      </x:c>
      <x:c r="AH4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7" s="68" t="str">
        <x:v>当“M11/M15制杀太过成立，且七杀原承担必要格局功能”真实成立，且药神能够直接作用病位时，可按“制杀太过使七杀失去必要制衡功能”记录。</x:v>
      </x:c>
      <x:c r="AJ47" s="90" t="str">
        <x:v>只有表面“原本平衡结构转为食伤独旺”，但未证明根因“食伤远强于七杀，将七杀制至残弱或失效”及药神作用路径时，不得套用“制杀太过使七杀失去必要制衡功能”。</x:v>
      </x:c>
      <x:c r="AK47" s="82" t="str">
        <x:v>采用</x:v>
      </x:c>
      <x:c r="AL47" s="82" t="str">
        <x:v>初审</x:v>
      </x:c>
      <x:c r="AM47" s="87" t="n">
        <x:v>46260</x:v>
      </x:c>
    </x:row>
    <x:row r="48">
      <x:c r="A48" s="72" t="str">
        <x:f>IF(OR(C48="",D48=""),"",B48&amp;"-"&amp;UPPER(C48)&amp;"-"&amp;TEXT(D48,"0000")&amp;"-"&amp;E48)</x:f>
        <x:v>M16-CONTROL-0042-V1.0</x:v>
      </x:c>
      <x:c r="B48" s="74" t="str">
        <x:v>M16</x:v>
      </x:c>
      <x:c r="C48" s="74" t="str">
        <x:v>CONTROL</x:v>
      </x:c>
      <x:c r="D48" s="215" t="n">
        <x:v>42</x:v>
      </x:c>
      <x:c r="E48" s="74" t="str">
        <x:v>V1.0</x:v>
      </x:c>
      <x:c r="F48" s="68" t="str">
        <x:v>杀印相生链中印弱形成化杀不及</x:v>
      </x:c>
      <x:c r="G48" s="82" t="str">
        <x:v>综合层</x:v>
      </x:c>
      <x:c r="H48" s="82" t="str">
        <x:v>制化病</x:v>
      </x:c>
      <x:c r="I48" s="68" t="str">
        <x:v>七杀→印→日主链</x:v>
      </x:c>
      <x:c r="J48" s="68" t="str">
        <x:v>化杀不及</x:v>
      </x:c>
      <x:c r="K48" s="68" t="str">
        <x:v>七杀有力而印星弱、无根或被财制，无法承接杀气</x:v>
      </x:c>
      <x:c r="L48" s="68" t="str">
        <x:v>杀印相生表面存在但杀压未被转化</x:v>
      </x:c>
      <x:c r="M48" s="82" t="str">
        <x:v>严重</x:v>
      </x:c>
      <x:c r="N48" s="68" t="str">
        <x:v>生扶印星或制财护印</x:v>
      </x:c>
      <x:c r="O48" s="68" t="str">
        <x:v>比劫增强承载</x:v>
      </x:c>
      <x:c r="P48" s="82" t="str">
        <x:v>化</x:v>
      </x:c>
      <x:c r="Q48" s="68" t="str">
        <x:v>M11/M15杀印相生因印弱或财坏印而受损</x:v>
      </x:c>
      <x:c r="R48" s="90" t="str">
        <x:v>印过强可能夺食或加重身旺</x:v>
      </x:c>
      <x:c r="S48" s="90" t="str">
        <x:v>主要病位未被修复，原有失衡继续运行</x:v>
      </x:c>
      <x:c r="T48" s="90" t="str">
        <x:v>印旺过度形成印多身滞、枭夺食</x:v>
      </x:c>
      <x:c r="U48" s="82" t="str">
        <x:v>条件性</x:v>
      </x:c>
      <x:c r="V48" s="90" t="str">
        <x:v>是</x:v>
      </x:c>
      <x:c r="W48" s="90" t="str">
        <x:v>印多身滞或枭夺食</x:v>
      </x:c>
      <x:c r="X48" s="68" t="str">
        <x:v>M08有效旺衰、M09日主旺衰、M10十神功能、M11组合、M12流通、M13调候、M15格局成败均已完成</x:v>
      </x:c>
      <x:c r="Y48" s="68" t="str">
        <x:v>病位、根因、功能障碍与药神作用路径均能够追溯</x:v>
      </x:c>
      <x:c r="Z48" s="68" t="str">
        <x:v>药神有根有源、透达，能够直接进入病位且兼顾多个主要问题</x:v>
      </x:c>
      <x:c r="AA48" s="68" t="str">
        <x:v>药神无根、受强制、被合绊、作用路径遥隔或同时被多个任务分流</x:v>
      </x:c>
      <x:c r="AB48" s="90" t="str">
        <x:v>若该失衡没有造成实际功能障碍，或特殊格局要求顺势，则不得按普通病药立论</x:v>
      </x:c>
      <x:c r="AC48" s="68" t="str">
        <x:v>特殊格局严格成立、岁运动态作用或流派争议转M18/M21及动态引擎</x:v>
      </x:c>
      <x:c r="AD48" s="84" t="str">
        <x:v>化杀不及</x:v>
      </x:c>
      <x:c r="AE48" s="84" t="str">
        <x:v>根本之病在“七杀→印→日主链”：七杀有力而印星弱、无根或被财制，无法承接杀气；表层表现为“杀印相生表面存在但杀压未被转化”。主药候选为“生扶印星或制财护印”，药理为“化”；最终喜忌与主次仍转M17/M18裁决。</x:v>
      </x:c>
      <x:c r="AF48" s="82" t="str">
        <x:v>较高</x:v>
      </x:c>
      <x:c r="AG48" s="82" t="str">
        <x:v>病药</x:v>
      </x:c>
      <x:c r="AH4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8" s="68" t="str">
        <x:v>当“M11/M15杀印相生因印弱或财坏印而受损”真实成立，且药神能够直接作用病位时，可按“杀印相生链中印弱形成化杀不及”记录。</x:v>
      </x:c>
      <x:c r="AJ48" s="90" t="str">
        <x:v>只有表面“杀印相生表面存在但杀压未被转化”，但未证明根因“七杀有力而印星弱、无根或被财制，无法承接杀气”及药神作用路径时，不得套用“杀印相生链中印弱形成化杀不及”。</x:v>
      </x:c>
      <x:c r="AK48" s="82" t="str">
        <x:v>采用</x:v>
      </x:c>
      <x:c r="AL48" s="82" t="str">
        <x:v>初审</x:v>
      </x:c>
      <x:c r="AM48" s="87" t="n">
        <x:v>46260</x:v>
      </x:c>
    </x:row>
    <x:row r="49">
      <x:c r="A49" s="72" t="str">
        <x:f>IF(OR(C49="",D49=""),"",B49&amp;"-"&amp;UPPER(C49)&amp;"-"&amp;TEXT(D49,"0000")&amp;"-"&amp;E49)</x:f>
        <x:v>M16-CONTROL-0043-V1.0</x:v>
      </x:c>
      <x:c r="B49" s="74" t="str">
        <x:v>M16</x:v>
      </x:c>
      <x:c r="C49" s="74" t="str">
        <x:v>CONTROL</x:v>
      </x:c>
      <x:c r="D49" s="215" t="n">
        <x:v>43</x:v>
      </x:c>
      <x:c r="E49" s="74" t="str">
        <x:v>V1.0</x:v>
      </x:c>
      <x:c r="F49" s="68" t="str">
        <x:v>伤官见官形成直接功能冲突病</x:v>
      </x:c>
      <x:c r="G49" s="82" t="str">
        <x:v>综合层</x:v>
      </x:c>
      <x:c r="H49" s="82" t="str">
        <x:v>制化病</x:v>
      </x:c>
      <x:c r="I49" s="68" t="str">
        <x:v>伤官—正官冲突链</x:v>
      </x:c>
      <x:c r="J49" s="68" t="str">
        <x:v>伤官克官</x:v>
      </x:c>
      <x:c r="K49" s="68" t="str">
        <x:v>伤官与正官均有效，伤官直接损害关键官星功能</x:v>
      </x:c>
      <x:c r="L49" s="68" t="str">
        <x:v>官格、官印或财官结构不稳定</x:v>
      </x:c>
      <x:c r="M49" s="82" t="str">
        <x:v>严重</x:v>
      </x:c>
      <x:c r="N49" s="68" t="str">
        <x:v>印星制伤或财星通关，择一为主</x:v>
      </x:c>
      <x:c r="O49" s="68" t="str">
        <x:v>保护官星或主药</x:v>
      </x:c>
      <x:c r="P49" s="82" t="str">
        <x:v>制</x:v>
      </x:c>
      <x:c r="Q49" s="68" t="str">
        <x:v>M11伤官见官成立且M15确认官星为关键</x:v>
      </x:c>
      <x:c r="R49" s="90" t="str">
        <x:v>官星本弱无用或伤官格不需官时，不应机械立病</x:v>
      </x:c>
      <x:c r="S49" s="90" t="str">
        <x:v>主要病位未被修复，原有失衡继续运行</x:v>
      </x:c>
      <x:c r="T49" s="90" t="str">
        <x:v>印过强压制食伤，财过强坏印或生官过度</x:v>
      </x:c>
      <x:c r="U49" s="82" t="str">
        <x:v>条件性</x:v>
      </x:c>
      <x:c r="V49" s="90" t="str">
        <x:v>是</x:v>
      </x:c>
      <x:c r="W49" s="90" t="str">
        <x:v>印多制食或财坏印</x:v>
      </x:c>
      <x:c r="X49" s="68" t="str">
        <x:v>M08有效旺衰、M09日主旺衰、M10十神功能、M11组合、M12流通、M13调候、M15格局成败均已完成</x:v>
      </x:c>
      <x:c r="Y49" s="68" t="str">
        <x:v>病位、根因、功能障碍与药神作用路径均能够追溯</x:v>
      </x:c>
      <x:c r="Z49" s="68" t="str">
        <x:v>药神有根有源、透达，能够直接进入病位且兼顾多个主要问题</x:v>
      </x:c>
      <x:c r="AA49" s="68" t="str">
        <x:v>药神无根、受强制、被合绊、作用路径遥隔或同时被多个任务分流</x:v>
      </x:c>
      <x:c r="AB49" s="90" t="str">
        <x:v>若该失衡没有造成实际功能障碍，或特殊格局要求顺势，则不得按普通病药立论</x:v>
      </x:c>
      <x:c r="AC49" s="68" t="str">
        <x:v>特殊格局严格成立、岁运动态作用或流派争议转M18/M21及动态引擎</x:v>
      </x:c>
      <x:c r="AD49" s="84" t="str">
        <x:v>伤官见官病</x:v>
      </x:c>
      <x:c r="AE49" s="84" t="str">
        <x:v>根本之病在“伤官—正官冲突链”：伤官与正官均有效，伤官直接损害关键官星功能；表层表现为“官格、官印或财官结构不稳定”。主药候选为“印星制伤或财星通关，择一为主”，药理为“制”；最终喜忌与主次仍转M17/M18裁决。</x:v>
      </x:c>
      <x:c r="AF49" s="82" t="str">
        <x:v>较高</x:v>
      </x:c>
      <x:c r="AG49" s="82" t="str">
        <x:v>病药</x:v>
      </x:c>
      <x:c r="AH4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9" s="68" t="str">
        <x:v>当“M11伤官见官成立且M15确认官星为关键”真实成立，且药神能够直接作用病位时，可按“伤官见官形成直接功能冲突病”记录。</x:v>
      </x:c>
      <x:c r="AJ49" s="90" t="str">
        <x:v>只有表面“官格、官印或财官结构不稳定”，但未证明根因“伤官与正官均有效，伤官直接损害关键官星功能”及药神作用路径时，不得套用“伤官见官形成直接功能冲突病”。</x:v>
      </x:c>
      <x:c r="AK49" s="82" t="str">
        <x:v>采用</x:v>
      </x:c>
      <x:c r="AL49" s="82" t="str">
        <x:v>初审</x:v>
      </x:c>
      <x:c r="AM49" s="87" t="n">
        <x:v>46260</x:v>
      </x:c>
    </x:row>
    <x:row r="50">
      <x:c r="A50" s="72" t="str">
        <x:f>IF(OR(C50="",D50=""),"",B50&amp;"-"&amp;UPPER(C50)&amp;"-"&amp;TEXT(D50,"0000")&amp;"-"&amp;E50)</x:f>
        <x:v>M16-CONTROL-0044-V1.0</x:v>
      </x:c>
      <x:c r="B50" s="74" t="str">
        <x:v>M16</x:v>
      </x:c>
      <x:c r="C50" s="74" t="str">
        <x:v>CONTROL</x:v>
      </x:c>
      <x:c r="D50" s="215" t="n">
        <x:v>44</x:v>
      </x:c>
      <x:c r="E50" s="74" t="str">
        <x:v>V1.0</x:v>
      </x:c>
      <x:c r="F50" s="68" t="str">
        <x:v>伤官配印中印弱形成配印不足</x:v>
      </x:c>
      <x:c r="G50" s="82" t="str">
        <x:v>综合层</x:v>
      </x:c>
      <x:c r="H50" s="82" t="str">
        <x:v>制化病</x:v>
      </x:c>
      <x:c r="I50" s="68" t="str">
        <x:v>印星→伤官制约链</x:v>
      </x:c>
      <x:c r="J50" s="68" t="str">
        <x:v>印制不足</x:v>
      </x:c>
      <x:c r="K50" s="68" t="str">
        <x:v>伤官有力而印星弱、受财克或不能直接制伤</x:v>
      </x:c>
      <x:c r="L50" s="68" t="str">
        <x:v>伤官仍过泄或克官</x:v>
      </x:c>
      <x:c r="M50" s="82" t="str">
        <x:v>明显</x:v>
      </x:c>
      <x:c r="N50" s="68" t="str">
        <x:v>增强印星或制财护印</x:v>
      </x:c>
      <x:c r="O50" s="68" t="str">
        <x:v>比劫辅助承载</x:v>
      </x:c>
      <x:c r="P50" s="82" t="str">
        <x:v>制</x:v>
      </x:c>
      <x:c r="Q50" s="68" t="str">
        <x:v>M11伤官配印弱成立，M15印受损</x:v>
      </x:c>
      <x:c r="R50" s="90" t="str">
        <x:v>日主已极旺且印再生身副作用大时需寻找财通关</x:v>
      </x:c>
      <x:c r="S50" s="90" t="str">
        <x:v>主要病位未被修复，原有失衡继续运行</x:v>
      </x:c>
      <x:c r="T50" s="90" t="str">
        <x:v>印过度会把伤官制至失效并加重身势</x:v>
      </x:c>
      <x:c r="U50" s="82" t="str">
        <x:v>条件性</x:v>
      </x:c>
      <x:c r="V50" s="90" t="str">
        <x:v>是</x:v>
      </x:c>
      <x:c r="W50" s="90" t="str">
        <x:v>印多身滞或食伤失效</x:v>
      </x:c>
      <x:c r="X50" s="68" t="str">
        <x:v>M08有效旺衰、M09日主旺衰、M10十神功能、M11组合、M12流通、M13调候、M15格局成败均已完成</x:v>
      </x:c>
      <x:c r="Y50" s="68" t="str">
        <x:v>病位、根因、功能障碍与药神作用路径均能够追溯</x:v>
      </x:c>
      <x:c r="Z50" s="68" t="str">
        <x:v>药神有根有源、透达，能够直接进入病位且兼顾多个主要问题</x:v>
      </x:c>
      <x:c r="AA50" s="68" t="str">
        <x:v>药神无根、受强制、被合绊、作用路径遥隔或同时被多个任务分流</x:v>
      </x:c>
      <x:c r="AB50" s="90" t="str">
        <x:v>若该失衡没有造成实际功能障碍，或特殊格局要求顺势，则不得按普通病药立论</x:v>
      </x:c>
      <x:c r="AC50" s="68" t="str">
        <x:v>特殊格局严格成立、岁运动态作用或流派争议转M18/M21及动态引擎</x:v>
      </x:c>
      <x:c r="AD50" s="84" t="str">
        <x:v>配印不足</x:v>
      </x:c>
      <x:c r="AE50" s="84" t="str">
        <x:v>根本之病在“印星→伤官制约链”：伤官有力而印星弱、受财克或不能直接制伤；表层表现为“伤官仍过泄或克官”。主药候选为“增强印星或制财护印”，药理为“制”；最终喜忌与主次仍转M17/M18裁决。</x:v>
      </x:c>
      <x:c r="AF50" s="82" t="str">
        <x:v>较高</x:v>
      </x:c>
      <x:c r="AG50" s="82" t="str">
        <x:v>病药</x:v>
      </x:c>
      <x:c r="AH5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0" s="68" t="str">
        <x:v>当“M11伤官配印弱成立，M15印受损”真实成立，且药神能够直接作用病位时，可按“伤官配印中印弱形成配印不足”记录。</x:v>
      </x:c>
      <x:c r="AJ50" s="90" t="str">
        <x:v>只有表面“伤官仍过泄或克官”，但未证明根因“伤官有力而印星弱、受财克或不能直接制伤”及药神作用路径时，不得套用“伤官配印中印弱形成配印不足”。</x:v>
      </x:c>
      <x:c r="AK50" s="82" t="str">
        <x:v>采用</x:v>
      </x:c>
      <x:c r="AL50" s="82" t="str">
        <x:v>初审</x:v>
      </x:c>
      <x:c r="AM50" s="87" t="n">
        <x:v>46260</x:v>
      </x:c>
    </x:row>
    <x:row r="51">
      <x:c r="A51" s="72" t="str">
        <x:f>IF(OR(C51="",D51=""),"",B51&amp;"-"&amp;UPPER(C51)&amp;"-"&amp;TEXT(D51,"0000")&amp;"-"&amp;E51)</x:f>
        <x:v>M16-CONTROL-0045-V1.0</x:v>
      </x:c>
      <x:c r="B51" s="74" t="str">
        <x:v>M16</x:v>
      </x:c>
      <x:c r="C51" s="74" t="str">
        <x:v>CONTROL</x:v>
      </x:c>
      <x:c r="D51" s="215" t="n">
        <x:v>45</x:v>
      </x:c>
      <x:c r="E51" s="74" t="str">
        <x:v>V1.0</x:v>
      </x:c>
      <x:c r="F51" s="68" t="str">
        <x:v>枭神夺食破坏关键食神功能</x:v>
      </x:c>
      <x:c r="G51" s="82" t="str">
        <x:v>综合层</x:v>
      </x:c>
      <x:c r="H51" s="82" t="str">
        <x:v>制化病</x:v>
      </x:c>
      <x:c r="I51" s="68" t="str">
        <x:v>偏印→食神克制链</x:v>
      </x:c>
      <x:c r="J51" s="68" t="str">
        <x:v>枭夺食</x:v>
      </x:c>
      <x:c r="K51" s="68" t="str">
        <x:v>偏印有力，直接克制承担生财、制杀或泄秀功能的食神</x:v>
      </x:c>
      <x:c r="L51" s="68" t="str">
        <x:v>食神功能受限或失效</x:v>
      </x:c>
      <x:c r="M51" s="82" t="str">
        <x:v>严重</x:v>
      </x:c>
      <x:c r="N51" s="68" t="str">
        <x:v>财星制枭</x:v>
      </x:c>
      <x:c r="O51" s="68" t="str">
        <x:v>比劫生食或保护财星</x:v>
      </x:c>
      <x:c r="P51" s="82" t="str">
        <x:v>制</x:v>
      </x:c>
      <x:c r="Q51" s="68" t="str">
        <x:v>M11/M15枭神夺食成立，且食神为关键功能节点</x:v>
      </x:c>
      <x:c r="R51" s="90" t="str">
        <x:v>财星过强可能坏正印、生杀或加重财耗</x:v>
      </x:c>
      <x:c r="S51" s="90" t="str">
        <x:v>主要病位未被修复，原有失衡继续运行</x:v>
      </x:c>
      <x:c r="T51" s="90" t="str">
        <x:v>财过强形成财坏印、财多身弱</x:v>
      </x:c>
      <x:c r="U51" s="82" t="str">
        <x:v>条件性</x:v>
      </x:c>
      <x:c r="V51" s="90" t="str">
        <x:v>是</x:v>
      </x:c>
      <x:c r="W51" s="90" t="str">
        <x:v>财坏印或财多身弱</x:v>
      </x:c>
      <x:c r="X51" s="68" t="str">
        <x:v>M08有效旺衰、M09日主旺衰、M10十神功能、M11组合、M12流通、M13调候、M15格局成败均已完成</x:v>
      </x:c>
      <x:c r="Y51" s="68" t="str">
        <x:v>病位、根因、功能障碍与药神作用路径均能够追溯</x:v>
      </x:c>
      <x:c r="Z51" s="68" t="str">
        <x:v>药神有根有源、透达，能够直接进入病位且兼顾多个主要问题</x:v>
      </x:c>
      <x:c r="AA51" s="68" t="str">
        <x:v>药神无根、受强制、被合绊、作用路径遥隔或同时被多个任务分流</x:v>
      </x:c>
      <x:c r="AB51" s="90" t="str">
        <x:v>若该失衡没有造成实际功能障碍，或特殊格局要求顺势，则不得按普通病药立论</x:v>
      </x:c>
      <x:c r="AC51" s="68" t="str">
        <x:v>特殊格局严格成立、岁运动态作用或流派争议转M18/M21及动态引擎</x:v>
      </x:c>
      <x:c r="AD51" s="84" t="str">
        <x:v>枭神夺食病</x:v>
      </x:c>
      <x:c r="AE51" s="84" t="str">
        <x:v>根本之病在“偏印→食神克制链”：偏印有力，直接克制承担生财、制杀或泄秀功能的食神；表层表现为“食神功能受限或失效”。主药候选为“财星制枭”，药理为“制”；最终喜忌与主次仍转M17/M18裁决。</x:v>
      </x:c>
      <x:c r="AF51" s="82" t="str">
        <x:v>较高</x:v>
      </x:c>
      <x:c r="AG51" s="82" t="str">
        <x:v>病药</x:v>
      </x:c>
      <x:c r="AH5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1" s="68" t="str">
        <x:v>当“M11/M15枭神夺食成立，且食神为关键功能节点”真实成立，且药神能够直接作用病位时，可按“枭神夺食破坏关键食神功能”记录。</x:v>
      </x:c>
      <x:c r="AJ51" s="90" t="str">
        <x:v>只有表面“食神功能受限或失效”，但未证明根因“偏印有力，直接克制承担生财、制杀或泄秀功能的食神”及药神作用路径时，不得套用“枭神夺食破坏关键食神功能”。</x:v>
      </x:c>
      <x:c r="AK51" s="82" t="str">
        <x:v>采用</x:v>
      </x:c>
      <x:c r="AL51" s="82" t="str">
        <x:v>初审</x:v>
      </x:c>
      <x:c r="AM51" s="87" t="n">
        <x:v>46260</x:v>
      </x:c>
    </x:row>
    <x:row r="52">
      <x:c r="A52" s="72" t="str">
        <x:f>IF(OR(C52="",D52=""),"",B52&amp;"-"&amp;UPPER(C52)&amp;"-"&amp;TEXT(D52,"0000")&amp;"-"&amp;E52)</x:f>
        <x:v>M16-CONTROL-0046-V1.0</x:v>
      </x:c>
      <x:c r="B52" s="74" t="str">
        <x:v>M16</x:v>
      </x:c>
      <x:c r="C52" s="74" t="str">
        <x:v>CONTROL</x:v>
      </x:c>
      <x:c r="D52" s="215" t="n">
        <x:v>46</x:v>
      </x:c>
      <x:c r="E52" s="74" t="str">
        <x:v>V1.0</x:v>
      </x:c>
      <x:c r="F52" s="68" t="str">
        <x:v>财坏印破坏生身或化杀功能</x:v>
      </x:c>
      <x:c r="G52" s="82" t="str">
        <x:v>综合层</x:v>
      </x:c>
      <x:c r="H52" s="82" t="str">
        <x:v>制化病</x:v>
      </x:c>
      <x:c r="I52" s="68" t="str">
        <x:v>财星→印星克制链</x:v>
      </x:c>
      <x:c r="J52" s="68" t="str">
        <x:v>财坏印</x:v>
      </x:c>
      <x:c r="K52" s="68" t="str">
        <x:v>财星有力并制约关键印星，印承担生身、化杀或配印功能</x:v>
      </x:c>
      <x:c r="L52" s="68" t="str">
        <x:v>日主承载下降、杀印或伤官配印链断裂</x:v>
      </x:c>
      <x:c r="M52" s="82" t="str">
        <x:v>严重</x:v>
      </x:c>
      <x:c r="N52" s="68" t="str">
        <x:v>比劫制财护印或官杀泄财生印的替代路径</x:v>
      </x:c>
      <x:c r="O52" s="68" t="str">
        <x:v>生扶印星</x:v>
      </x:c>
      <x:c r="P52" s="82" t="str">
        <x:v>护格</x:v>
      </x:c>
      <x:c r="Q52" s="68" t="str">
        <x:v>M11/M15财坏印成立且印为关键格神/药神</x:v>
      </x:c>
      <x:c r="R52" s="90" t="str">
        <x:v>财格为主且印非关键时，不得机械制财</x:v>
      </x:c>
      <x:c r="S52" s="90" t="str">
        <x:v>主要病位未被修复，原有失衡继续运行</x:v>
      </x:c>
      <x:c r="T52" s="90" t="str">
        <x:v>比劫过强夺财，印过强身滞</x:v>
      </x:c>
      <x:c r="U52" s="82" t="str">
        <x:v>条件性</x:v>
      </x:c>
      <x:c r="V52" s="90" t="str">
        <x:v>是</x:v>
      </x:c>
      <x:c r="W52" s="90" t="str">
        <x:v>比劫夺财或印多身滞</x:v>
      </x:c>
      <x:c r="X52" s="68" t="str">
        <x:v>M08有效旺衰、M09日主旺衰、M10十神功能、M11组合、M12流通、M13调候、M15格局成败均已完成</x:v>
      </x:c>
      <x:c r="Y52" s="68" t="str">
        <x:v>病位、根因、功能障碍与药神作用路径均能够追溯</x:v>
      </x:c>
      <x:c r="Z52" s="68" t="str">
        <x:v>药神有根有源、透达，能够直接进入病位且兼顾多个主要问题</x:v>
      </x:c>
      <x:c r="AA52" s="68" t="str">
        <x:v>药神无根、受强制、被合绊、作用路径遥隔或同时被多个任务分流</x:v>
      </x:c>
      <x:c r="AB52" s="90" t="str">
        <x:v>若该失衡没有造成实际功能障碍，或特殊格局要求顺势，则不得按普通病药立论</x:v>
      </x:c>
      <x:c r="AC52" s="68" t="str">
        <x:v>特殊格局严格成立、岁运动态作用或流派争议转M18/M21及动态引擎</x:v>
      </x:c>
      <x:c r="AD52" s="84" t="str">
        <x:v>财坏印病</x:v>
      </x:c>
      <x:c r="AE52" s="84" t="str">
        <x:v>根本之病在“财星→印星克制链”：财星有力并制约关键印星，印承担生身、化杀或配印功能；表层表现为“日主承载下降、杀印或伤官配印链断裂”。主药候选为“比劫制财护印或官杀泄财生印的替代路径”，药理为“护格”；最终喜忌与主次仍转M17/M18裁决。</x:v>
      </x:c>
      <x:c r="AF52" s="82" t="str">
        <x:v>较高</x:v>
      </x:c>
      <x:c r="AG52" s="82" t="str">
        <x:v>病药</x:v>
      </x:c>
      <x:c r="AH5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2" s="68" t="str">
        <x:v>当“M11/M15财坏印成立且印为关键格神/药神”真实成立，且药神能够直接作用病位时，可按“财坏印破坏生身或化杀功能”记录。</x:v>
      </x:c>
      <x:c r="AJ52" s="90" t="str">
        <x:v>只有表面“日主承载下降、杀印或伤官配印链断裂”，但未证明根因“财星有力并制约关键印星，印承担生身、化杀或配印功能”及药神作用路径时，不得套用“财坏印破坏生身或化杀功能”。</x:v>
      </x:c>
      <x:c r="AK52" s="82" t="str">
        <x:v>采用</x:v>
      </x:c>
      <x:c r="AL52" s="82" t="str">
        <x:v>初审</x:v>
      </x:c>
      <x:c r="AM52" s="87" t="n">
        <x:v>46260</x:v>
      </x:c>
    </x:row>
    <x:row r="53">
      <x:c r="A53" s="72" t="str">
        <x:f>IF(OR(C53="",D53=""),"",B53&amp;"-"&amp;UPPER(C53)&amp;"-"&amp;TEXT(D53,"0000")&amp;"-"&amp;E53)</x:f>
        <x:v>M16-CONTROL-0047-V1.0</x:v>
      </x:c>
      <x:c r="B53" s="74" t="str">
        <x:v>M16</x:v>
      </x:c>
      <x:c r="C53" s="74" t="str">
        <x:v>CONTROL</x:v>
      </x:c>
      <x:c r="D53" s="215" t="n">
        <x:v>47</x:v>
      </x:c>
      <x:c r="E53" s="74" t="str">
        <x:v>V1.0</x:v>
      </x:c>
      <x:c r="F53" s="68" t="str">
        <x:v>比劫夺财破坏财星承载功能</x:v>
      </x:c>
      <x:c r="G53" s="82" t="str">
        <x:v>综合层</x:v>
      </x:c>
      <x:c r="H53" s="82" t="str">
        <x:v>制化病</x:v>
      </x:c>
      <x:c r="I53" s="68" t="str">
        <x:v>比劫→财星克制链</x:v>
      </x:c>
      <x:c r="J53" s="68" t="str">
        <x:v>夺财</x:v>
      </x:c>
      <x:c r="K53" s="68" t="str">
        <x:v>比劫有力并直接制财，财为格神或主要流通终点</x:v>
      </x:c>
      <x:c r="L53" s="68" t="str">
        <x:v>财星受损，食伤生财链无稳定落点</x:v>
      </x:c>
      <x:c r="M53" s="82" t="str">
        <x:v>严重</x:v>
      </x:c>
      <x:c r="N53" s="68" t="str">
        <x:v>官杀制比或食伤通关生财</x:v>
      </x:c>
      <x:c r="O53" s="68" t="str">
        <x:v>保护财星根源</x:v>
      </x:c>
      <x:c r="P53" s="82" t="str">
        <x:v>制</x:v>
      </x:c>
      <x:c r="Q53" s="68" t="str">
        <x:v>M11/M15比劫夺财成立，且财星为关键</x:v>
      </x:c>
      <x:c r="R53" s="90" t="str">
        <x:v>身弱财旺时比劫可能是护身药，不得只见制财便定病</x:v>
      </x:c>
      <x:c r="S53" s="90" t="str">
        <x:v>主要病位未被修复，原有失衡继续运行</x:v>
      </x:c>
      <x:c r="T53" s="90" t="str">
        <x:v>官杀过强攻身，食伤过旺泄身</x:v>
      </x:c>
      <x:c r="U53" s="82" t="str">
        <x:v>条件性</x:v>
      </x:c>
      <x:c r="V53" s="90" t="str">
        <x:v>是</x:v>
      </x:c>
      <x:c r="W53" s="90" t="str">
        <x:v>官杀压身或食伤过泄</x:v>
      </x:c>
      <x:c r="X53" s="68" t="str">
        <x:v>M08有效旺衰、M09日主旺衰、M10十神功能、M11组合、M12流通、M13调候、M15格局成败均已完成</x:v>
      </x:c>
      <x:c r="Y53" s="68" t="str">
        <x:v>病位、根因、功能障碍与药神作用路径均能够追溯</x:v>
      </x:c>
      <x:c r="Z53" s="68" t="str">
        <x:v>药神有根有源、透达，能够直接进入病位且兼顾多个主要问题</x:v>
      </x:c>
      <x:c r="AA53" s="68" t="str">
        <x:v>药神无根、受强制、被合绊、作用路径遥隔或同时被多个任务分流</x:v>
      </x:c>
      <x:c r="AB53" s="90" t="str">
        <x:v>若该失衡没有造成实际功能障碍，或特殊格局要求顺势，则不得按普通病药立论</x:v>
      </x:c>
      <x:c r="AC53" s="68" t="str">
        <x:v>特殊格局严格成立、岁运动态作用或流派争议转M18/M21及动态引擎</x:v>
      </x:c>
      <x:c r="AD53" s="84" t="str">
        <x:v>比劫夺财病</x:v>
      </x:c>
      <x:c r="AE53" s="84" t="str">
        <x:v>根本之病在“比劫→财星克制链”：比劫有力并直接制财，财为格神或主要流通终点；表层表现为“财星受损，食伤生财链无稳定落点”。主药候选为“官杀制比或食伤通关生财”，药理为“制”；最终喜忌与主次仍转M17/M18裁决。</x:v>
      </x:c>
      <x:c r="AF53" s="82" t="str">
        <x:v>较高</x:v>
      </x:c>
      <x:c r="AG53" s="82" t="str">
        <x:v>病药</x:v>
      </x:c>
      <x:c r="AH5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3" s="68" t="str">
        <x:v>当“M11/M15比劫夺财成立，且财星为关键”真实成立，且药神能够直接作用病位时，可按“比劫夺财破坏财星承载功能”记录。</x:v>
      </x:c>
      <x:c r="AJ53" s="90" t="str">
        <x:v>只有表面“财星受损，食伤生财链无稳定落点”，但未证明根因“比劫有力并直接制财，财为格神或主要流通终点”及药神作用路径时，不得套用“比劫夺财破坏财星承载功能”。</x:v>
      </x:c>
      <x:c r="AK53" s="82" t="str">
        <x:v>采用</x:v>
      </x:c>
      <x:c r="AL53" s="82" t="str">
        <x:v>初审</x:v>
      </x:c>
      <x:c r="AM53" s="87" t="n">
        <x:v>46260</x:v>
      </x:c>
    </x:row>
    <x:row r="54">
      <x:c r="A54" s="72" t="str">
        <x:f>IF(OR(C54="",D54=""),"",B54&amp;"-"&amp;UPPER(C54)&amp;"-"&amp;TEXT(D54,"0000")&amp;"-"&amp;E54)</x:f>
        <x:v>M16-CONTROL-0048-V1.0</x:v>
      </x:c>
      <x:c r="B54" s="74" t="str">
        <x:v>M16</x:v>
      </x:c>
      <x:c r="C54" s="74" t="str">
        <x:v>CONTROL</x:v>
      </x:c>
      <x:c r="D54" s="215" t="n">
        <x:v>48</x:v>
      </x:c>
      <x:c r="E54" s="74" t="str">
        <x:v>V1.0</x:v>
      </x:c>
      <x:c r="F54" s="68" t="str">
        <x:v>官杀混杂主从不清形成多路制身病</x:v>
      </x:c>
      <x:c r="G54" s="82" t="str">
        <x:v>综合层</x:v>
      </x:c>
      <x:c r="H54" s="82" t="str">
        <x:v>制化病</x:v>
      </x:c>
      <x:c r="I54" s="68" t="str">
        <x:v>正官、七杀—日主双路径</x:v>
      </x:c>
      <x:c r="J54" s="68" t="str">
        <x:v>官杀混杂</x:v>
      </x:c>
      <x:c r="K54" s="68" t="str">
        <x:v>官杀均有效且同时制身，主从不清，无去留清化</x:v>
      </x:c>
      <x:c r="L54" s="68" t="str">
        <x:v>制身压力复杂，格局清纯度下降</x:v>
      </x:c>
      <x:c r="M54" s="82" t="str">
        <x:v>明显</x:v>
      </x:c>
      <x:c r="N54" s="68" t="str">
        <x:v>合制一方以清杂，或印化主要官杀</x:v>
      </x:c>
      <x:c r="O54" s="68" t="str">
        <x:v>食神制杀或保护所留官杀者</x:v>
      </x:c>
      <x:c r="P54" s="82" t="str">
        <x:v>清杂</x:v>
      </x:c>
      <x:c r="Q54" s="68" t="str">
        <x:v>M11/M15官杀混杂成立且无清化</x:v>
      </x:c>
      <x:c r="R54" s="90" t="str">
        <x:v>一方极弱或已失效时不立严重混杂病</x:v>
      </x:c>
      <x:c r="S54" s="90" t="str">
        <x:v>主要病位未被修复，原有失衡继续运行</x:v>
      </x:c>
      <x:c r="T54" s="90" t="str">
        <x:v>去留错误会伤所需官杀或导致无制衡</x:v>
      </x:c>
      <x:c r="U54" s="82" t="str">
        <x:v>条件性</x:v>
      </x:c>
      <x:c r="V54" s="90" t="str">
        <x:v>条件性</x:v>
      </x:c>
      <x:c r="W54" s="90" t="str">
        <x:v>官杀失衡或格局破坏</x:v>
      </x:c>
      <x:c r="X54" s="68" t="str">
        <x:v>M08有效旺衰、M09日主旺衰、M10十神功能、M11组合、M12流通、M13调候、M15格局成败均已完成</x:v>
      </x:c>
      <x:c r="Y54" s="68" t="str">
        <x:v>病位、根因、功能障碍与药神作用路径均能够追溯</x:v>
      </x:c>
      <x:c r="Z54" s="68" t="str">
        <x:v>药神有根有源、透达，能够直接进入病位且兼顾多个主要问题</x:v>
      </x:c>
      <x:c r="AA54" s="68" t="str">
        <x:v>药神无根、受强制、被合绊、作用路径遥隔或同时被多个任务分流</x:v>
      </x:c>
      <x:c r="AB54" s="90" t="str">
        <x:v>若该失衡没有造成实际功能障碍，或特殊格局要求顺势，则不得按普通病药立论</x:v>
      </x:c>
      <x:c r="AC54" s="68" t="str">
        <x:v>特殊格局严格成立、岁运动态作用或流派争议转M18/M21及动态引擎</x:v>
      </x:c>
      <x:c r="AD54" s="84" t="str">
        <x:v>官杀混杂病</x:v>
      </x:c>
      <x:c r="AE54" s="84" t="str">
        <x:v>根本之病在“正官、七杀—日主双路径”：官杀均有效且同时制身，主从不清，无去留清化；表层表现为“制身压力复杂，格局清纯度下降”。主药候选为“合制一方以清杂，或印化主要官杀”，药理为“清杂”；最终喜忌与主次仍转M17/M18裁决。</x:v>
      </x:c>
      <x:c r="AF54" s="82" t="str">
        <x:v>较高</x:v>
      </x:c>
      <x:c r="AG54" s="82" t="str">
        <x:v>病药</x:v>
      </x:c>
      <x:c r="AH5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4" s="68" t="str">
        <x:v>当“M11/M15官杀混杂成立且无清化”真实成立，且药神能够直接作用病位时，可按“官杀混杂主从不清形成多路制身病”记录。</x:v>
      </x:c>
      <x:c r="AJ54" s="90" t="str">
        <x:v>只有表面“制身压力复杂，格局清纯度下降”，但未证明根因“官杀均有效且同时制身，主从不清，无去留清化”及药神作用路径时，不得套用“官杀混杂主从不清形成多路制身病”。</x:v>
      </x:c>
      <x:c r="AK54" s="82" t="str">
        <x:v>采用</x:v>
      </x:c>
      <x:c r="AL54" s="82" t="str">
        <x:v>初审</x:v>
      </x:c>
      <x:c r="AM54" s="87" t="n">
        <x:v>46260</x:v>
      </x:c>
    </x:row>
    <x:row r="55">
      <x:c r="A55" s="72" t="str">
        <x:f>IF(OR(C55="",D55=""),"",B55&amp;"-"&amp;UPPER(C55)&amp;"-"&amp;TEXT(D55,"0000")&amp;"-"&amp;E55)</x:f>
        <x:v>M16-CONTROL-0049-V1.0</x:v>
      </x:c>
      <x:c r="B55" s="74" t="str">
        <x:v>M16</x:v>
      </x:c>
      <x:c r="C55" s="74" t="str">
        <x:v>CONTROL</x:v>
      </x:c>
      <x:c r="D55" s="215" t="n">
        <x:v>49</x:v>
      </x:c>
      <x:c r="E55" s="74" t="str">
        <x:v>V1.0</x:v>
      </x:c>
      <x:c r="F55" s="68" t="str">
        <x:v>食伤混杂主从不清导致输出功能分散</x:v>
      </x:c>
      <x:c r="G55" s="82" t="str">
        <x:v>综合层</x:v>
      </x:c>
      <x:c r="H55" s="82" t="str">
        <x:v>制化病</x:v>
      </x:c>
      <x:c r="I55" s="68" t="str">
        <x:v>食神、伤官输出集团</x:v>
      </x:c>
      <x:c r="J55" s="68" t="str">
        <x:v>食伤混杂</x:v>
      </x:c>
      <x:c r="K55" s="68" t="str">
        <x:v>食神与伤官均有效、主从不清，分别承担不同方向功能</x:v>
      </x:c>
      <x:c r="L55" s="68" t="str">
        <x:v>泄秀、生财、制杀、克官路径相互竞争</x:v>
      </x:c>
      <x:c r="M55" s="82" t="str">
        <x:v>一般</x:v>
      </x:c>
      <x:c r="N55" s="68" t="str">
        <x:v>清一留一或通过财星统一承接</x:v>
      </x:c>
      <x:c r="O55" s="68" t="str">
        <x:v>印星适度约束不必要输出</x:v>
      </x:c>
      <x:c r="P55" s="82" t="str">
        <x:v>清杂</x:v>
      </x:c>
      <x:c r="Q55" s="68" t="str">
        <x:v>M11食伤混杂成立并实际影响主组合</x:v>
      </x:c>
      <x:c r="R55" s="90" t="str">
        <x:v>一方弱或两者同向生财且无冲突时，不必强行清杂</x:v>
      </x:c>
      <x:c r="S55" s="90" t="str">
        <x:v>主要病位未被修复，原有失衡继续运行</x:v>
      </x:c>
      <x:c r="T55" s="90" t="str">
        <x:v>印制过度会使食伤整体失效</x:v>
      </x:c>
      <x:c r="U55" s="82" t="str">
        <x:v>条件性</x:v>
      </x:c>
      <x:c r="V55" s="90" t="str">
        <x:v>条件性</x:v>
      </x:c>
      <x:c r="W55" s="90" t="str">
        <x:v>枭夺食或输出不足</x:v>
      </x:c>
      <x:c r="X55" s="68" t="str">
        <x:v>M08有效旺衰、M09日主旺衰、M10十神功能、M11组合、M12流通、M13调候、M15格局成败均已完成</x:v>
      </x:c>
      <x:c r="Y55" s="68" t="str">
        <x:v>病位、根因、功能障碍与药神作用路径均能够追溯</x:v>
      </x:c>
      <x:c r="Z55" s="68" t="str">
        <x:v>药神有根有源、透达，能够直接进入病位且兼顾多个主要问题</x:v>
      </x:c>
      <x:c r="AA55" s="68" t="str">
        <x:v>药神无根、受强制、被合绊、作用路径遥隔或同时被多个任务分流</x:v>
      </x:c>
      <x:c r="AB55" s="90" t="str">
        <x:v>若该失衡没有造成实际功能障碍，或特殊格局要求顺势，则不得按普通病药立论</x:v>
      </x:c>
      <x:c r="AC55" s="68" t="str">
        <x:v>特殊格局严格成立、岁运动态作用或流派争议转M18/M21及动态引擎</x:v>
      </x:c>
      <x:c r="AD55" s="84" t="str">
        <x:v>食伤混杂病</x:v>
      </x:c>
      <x:c r="AE55" s="84" t="str">
        <x:v>根本之病在“食神、伤官输出集团”：食神与伤官均有效、主从不清，分别承担不同方向功能；表层表现为“泄秀、生财、制杀、克官路径相互竞争”。主药候选为“清一留一或通过财星统一承接”，药理为“清杂”；最终喜忌与主次仍转M17/M18裁决。</x:v>
      </x:c>
      <x:c r="AF55" s="82" t="str">
        <x:v>较高</x:v>
      </x:c>
      <x:c r="AG55" s="82" t="str">
        <x:v>病药</x:v>
      </x:c>
      <x:c r="AH5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5" s="68" t="str">
        <x:v>当“M11食伤混杂成立并实际影响主组合”真实成立，且药神能够直接作用病位时，可按“食伤混杂主从不清导致输出功能分散”记录。</x:v>
      </x:c>
      <x:c r="AJ55" s="90" t="str">
        <x:v>只有表面“泄秀、生财、制杀、克官路径相互竞争”，但未证明根因“食神与伤官均有效、主从不清，分别承担不同方向功能”及药神作用路径时，不得套用“食伤混杂主从不清导致输出功能分散”。</x:v>
      </x:c>
      <x:c r="AK55" s="82" t="str">
        <x:v>采用</x:v>
      </x:c>
      <x:c r="AL55" s="82" t="str">
        <x:v>初审</x:v>
      </x:c>
      <x:c r="AM55" s="87" t="n">
        <x:v>46260</x:v>
      </x:c>
    </x:row>
    <x:row r="56">
      <x:c r="A56" s="72" t="str">
        <x:f>IF(OR(C56="",D56=""),"",B56&amp;"-"&amp;UPPER(C56)&amp;"-"&amp;TEXT(D56,"0000")&amp;"-"&amp;E56)</x:f>
        <x:v>M16-CONTROL-0050-V1.0</x:v>
      </x:c>
      <x:c r="B56" s="74" t="str">
        <x:v>M16</x:v>
      </x:c>
      <x:c r="C56" s="74" t="str">
        <x:v>CONTROL</x:v>
      </x:c>
      <x:c r="D56" s="215" t="n">
        <x:v>50</x:v>
      </x:c>
      <x:c r="E56" s="74" t="str">
        <x:v>V1.0</x:v>
      </x:c>
      <x:c r="F56" s="68" t="str">
        <x:v>印枭混杂使生身与制食功能主次不清</x:v>
      </x:c>
      <x:c r="G56" s="82" t="str">
        <x:v>综合层</x:v>
      </x:c>
      <x:c r="H56" s="82" t="str">
        <x:v>制化病</x:v>
      </x:c>
      <x:c r="I56" s="68" t="str">
        <x:v>正印、偏印集团</x:v>
      </x:c>
      <x:c r="J56" s="68" t="str">
        <x:v>印枭混杂</x:v>
      </x:c>
      <x:c r="K56" s="68" t="str">
        <x:v>正偏印均有效，既生身又制食伤，功能方向和清纯度下降</x:v>
      </x:c>
      <x:c r="L56" s="68" t="str">
        <x:v>印格或食伤结构不稳定</x:v>
      </x:c>
      <x:c r="M56" s="82" t="str">
        <x:v>一般</x:v>
      </x:c>
      <x:c r="N56" s="68" t="str">
        <x:v>清一留一或财星适度制偏印</x:v>
      </x:c>
      <x:c r="O56" s="68" t="str">
        <x:v>保护正印或关键食神</x:v>
      </x:c>
      <x:c r="P56" s="82" t="str">
        <x:v>清杂</x:v>
      </x:c>
      <x:c r="Q56" s="68" t="str">
        <x:v>M11/M15印枭混杂成立且影响关键结构</x:v>
      </x:c>
      <x:c r="R56" s="90" t="str">
        <x:v>杀印相生需要偏印或正印时不得机械清除</x:v>
      </x:c>
      <x:c r="S56" s="90" t="str">
        <x:v>主要病位未被修复，原有失衡继续运行</x:v>
      </x:c>
      <x:c r="T56" s="90" t="str">
        <x:v>财过强会坏印，食伤过强会泄身</x:v>
      </x:c>
      <x:c r="U56" s="82" t="str">
        <x:v>条件性</x:v>
      </x:c>
      <x:c r="V56" s="90" t="str">
        <x:v>条件性</x:v>
      </x:c>
      <x:c r="W56" s="90" t="str">
        <x:v>财坏印或身弱</x:v>
      </x:c>
      <x:c r="X56" s="68" t="str">
        <x:v>M08有效旺衰、M09日主旺衰、M10十神功能、M11组合、M12流通、M13调候、M15格局成败均已完成</x:v>
      </x:c>
      <x:c r="Y56" s="68" t="str">
        <x:v>病位、根因、功能障碍与药神作用路径均能够追溯</x:v>
      </x:c>
      <x:c r="Z56" s="68" t="str">
        <x:v>药神有根有源、透达，能够直接进入病位且兼顾多个主要问题</x:v>
      </x:c>
      <x:c r="AA56" s="68" t="str">
        <x:v>药神无根、受强制、被合绊、作用路径遥隔或同时被多个任务分流</x:v>
      </x:c>
      <x:c r="AB56" s="90" t="str">
        <x:v>若该失衡没有造成实际功能障碍，或特殊格局要求顺势，则不得按普通病药立论</x:v>
      </x:c>
      <x:c r="AC56" s="68" t="str">
        <x:v>特殊格局严格成立、岁运动态作用或流派争议转M18/M21及动态引擎</x:v>
      </x:c>
      <x:c r="AD56" s="84" t="str">
        <x:v>印枭混杂病</x:v>
      </x:c>
      <x:c r="AE56" s="84" t="str">
        <x:v>根本之病在“正印、偏印集团”：正偏印均有效，既生身又制食伤，功能方向和清纯度下降；表层表现为“印格或食伤结构不稳定”。主药候选为“清一留一或财星适度制偏印”，药理为“清杂”；最终喜忌与主次仍转M17/M18裁决。</x:v>
      </x:c>
      <x:c r="AF56" s="82" t="str">
        <x:v>较高</x:v>
      </x:c>
      <x:c r="AG56" s="82" t="str">
        <x:v>病药</x:v>
      </x:c>
      <x:c r="AH5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6" s="68" t="str">
        <x:v>当“M11/M15印枭混杂成立且影响关键结构”真实成立，且药神能够直接作用病位时，可按“印枭混杂使生身与制食功能主次不清”记录。</x:v>
      </x:c>
      <x:c r="AJ56" s="90" t="str">
        <x:v>只有表面“印格或食伤结构不稳定”，但未证明根因“正偏印均有效，既生身又制食伤，功能方向和清纯度下降”及药神作用路径时，不得套用“印枭混杂使生身与制食功能主次不清”。</x:v>
      </x:c>
      <x:c r="AK56" s="82" t="str">
        <x:v>采用</x:v>
      </x:c>
      <x:c r="AL56" s="82" t="str">
        <x:v>初审</x:v>
      </x:c>
      <x:c r="AM56" s="87" t="n">
        <x:v>46260</x:v>
      </x:c>
    </x:row>
    <x:row r="57">
      <x:c r="A57" s="72" t="str">
        <x:f>IF(OR(C57="",D57=""),"",B57&amp;"-"&amp;UPPER(C57)&amp;"-"&amp;TEXT(D57,"0000")&amp;"-"&amp;E57)</x:f>
        <x:v>M16-CONTROL-0051-V1.0</x:v>
      </x:c>
      <x:c r="B57" s="74" t="str">
        <x:v>M16</x:v>
      </x:c>
      <x:c r="C57" s="74" t="str">
        <x:v>CONTROL</x:v>
      </x:c>
      <x:c r="D57" s="215" t="n">
        <x:v>51</x:v>
      </x:c>
      <x:c r="E57" s="74" t="str">
        <x:v>V1.0</x:v>
      </x:c>
      <x:c r="F57" s="68" t="str">
        <x:v>财星持续生杀放大七杀压力</x:v>
      </x:c>
      <x:c r="G57" s="82" t="str">
        <x:v>综合层</x:v>
      </x:c>
      <x:c r="H57" s="82" t="str">
        <x:v>制化病</x:v>
      </x:c>
      <x:c r="I57" s="68" t="str">
        <x:v>财→七杀→日主链</x:v>
      </x:c>
      <x:c r="J57" s="68" t="str">
        <x:v>财滋杀</x:v>
      </x:c>
      <x:c r="K57" s="68" t="str">
        <x:v>财星旺强并持续生七杀，七杀制化不足</x:v>
      </x:c>
      <x:c r="L57" s="68" t="str">
        <x:v>日主同时承受财耗与杀制</x:v>
      </x:c>
      <x:c r="M57" s="82" t="str">
        <x:v>严重</x:v>
      </x:c>
      <x:c r="N57" s="68" t="str">
        <x:v>制财、化杀或建立食制杀路线</x:v>
      </x:c>
      <x:c r="O57" s="68" t="str">
        <x:v>印比增强承载</x:v>
      </x:c>
      <x:c r="P57" s="82" t="str">
        <x:v>复合药理</x:v>
      </x:c>
      <x:c r="Q57" s="68" t="str">
        <x:v>M10财生杀、M11/M15杀压过重且非从杀</x:v>
      </x:c>
      <x:c r="R57" s="90" t="str">
        <x:v>财为核心格神时强制财会伤格，需优先化杀或增强承载</x:v>
      </x:c>
      <x:c r="S57" s="90" t="str">
        <x:v>主要病位未被修复，原有失衡继续运行</x:v>
      </x:c>
      <x:c r="T57" s="90" t="str">
        <x:v>制财过度破财格，食制过度泄身</x:v>
      </x:c>
      <x:c r="U57" s="82" t="str">
        <x:v>条件性</x:v>
      </x:c>
      <x:c r="V57" s="90" t="str">
        <x:v>是</x:v>
      </x:c>
      <x:c r="W57" s="90" t="str">
        <x:v>财格受损或泄身过度</x:v>
      </x:c>
      <x:c r="X57" s="68" t="str">
        <x:v>M08有效旺衰、M09日主旺衰、M10十神功能、M11组合、M12流通、M13调候、M15格局成败均已完成</x:v>
      </x:c>
      <x:c r="Y57" s="68" t="str">
        <x:v>病位、根因、功能障碍与药神作用路径均能够追溯</x:v>
      </x:c>
      <x:c r="Z57" s="68" t="str">
        <x:v>药神有根有源、透达，能够直接进入病位且兼顾多个主要问题</x:v>
      </x:c>
      <x:c r="AA57" s="68" t="str">
        <x:v>药神无根、受强制、被合绊、作用路径遥隔或同时被多个任务分流</x:v>
      </x:c>
      <x:c r="AB57" s="90" t="str">
        <x:v>若该失衡没有造成实际功能障碍，或特殊格局要求顺势，则不得按普通病药立论</x:v>
      </x:c>
      <x:c r="AC57" s="68" t="str">
        <x:v>特殊格局严格成立、岁运动态作用或流派争议转M18/M21及动态引擎</x:v>
      </x:c>
      <x:c r="AD57" s="84" t="str">
        <x:v>财滋杀病</x:v>
      </x:c>
      <x:c r="AE57" s="84" t="str">
        <x:v>根本之病在“财→七杀→日主链”：财星旺强并持续生七杀，七杀制化不足；表层表现为“日主同时承受财耗与杀制”。主药候选为“制财、化杀或建立食制杀路线”，药理为“复合药理”；最终喜忌与主次仍转M17/M18裁决。</x:v>
      </x:c>
      <x:c r="AF57" s="82" t="str">
        <x:v>较高</x:v>
      </x:c>
      <x:c r="AG57" s="82" t="str">
        <x:v>病药</x:v>
      </x:c>
      <x:c r="AH5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7" s="68" t="str">
        <x:v>当“M10财生杀、M11/M15杀压过重且非从杀”真实成立，且药神能够直接作用病位时，可按“财星持续生杀放大七杀压力”记录。</x:v>
      </x:c>
      <x:c r="AJ57" s="90" t="str">
        <x:v>只有表面“日主同时承受财耗与杀制”，但未证明根因“财星旺强并持续生七杀，七杀制化不足”及药神作用路径时，不得套用“财星持续生杀放大七杀压力”。</x:v>
      </x:c>
      <x:c r="AK57" s="82" t="str">
        <x:v>采用</x:v>
      </x:c>
      <x:c r="AL57" s="82" t="str">
        <x:v>初审</x:v>
      </x:c>
      <x:c r="AM57" s="87" t="n">
        <x:v>46260</x:v>
      </x:c>
    </x:row>
    <x:row r="58">
      <x:c r="A58" s="72" t="str">
        <x:f>IF(OR(C58="",D58=""),"",B58&amp;"-"&amp;UPPER(C58)&amp;"-"&amp;TEXT(D58,"0000")&amp;"-"&amp;E58)</x:f>
        <x:v>M16-CONTROL-0052-V1.0</x:v>
      </x:c>
      <x:c r="B58" s="74" t="str">
        <x:v>M16</x:v>
      </x:c>
      <x:c r="C58" s="74" t="str">
        <x:v>CONTROL</x:v>
      </x:c>
      <x:c r="D58" s="215" t="n">
        <x:v>52</x:v>
      </x:c>
      <x:c r="E58" s="74" t="str">
        <x:v>V1.0</x:v>
      </x:c>
      <x:c r="F58" s="68" t="str">
        <x:v>制化两立造成路线竞争</x:v>
      </x:c>
      <x:c r="G58" s="82" t="str">
        <x:v>综合层</x:v>
      </x:c>
      <x:c r="H58" s="82" t="str">
        <x:v>制化病</x:v>
      </x:c>
      <x:c r="I58" s="68" t="str">
        <x:v>同一官杀或食伤共享节点</x:v>
      </x:c>
      <x:c r="J58" s="68" t="str">
        <x:v>制化竞争</x:v>
      </x:c>
      <x:c r="K58" s="68" t="str">
        <x:v>食神制杀与印化杀、印制伤与财通关等多路线同时争夺同一力量</x:v>
      </x:c>
      <x:c r="L58" s="68" t="str">
        <x:v>每条路线表面成立但容量不足或互相破坏</x:v>
      </x:c>
      <x:c r="M58" s="82" t="str">
        <x:v>明显</x:v>
      </x:c>
      <x:c r="N58" s="68" t="str">
        <x:v>选择主导且副作用较小的一条制化路线</x:v>
      </x:c>
      <x:c r="O58" s="68" t="str">
        <x:v>保护主路线、降低次路线竞争</x:v>
      </x:c>
      <x:c r="P58" s="82" t="str">
        <x:v>清杂</x:v>
      </x:c>
      <x:c r="Q58" s="68" t="str">
        <x:v>M11制化两立成立且共享节点容量不足</x:v>
      </x:c>
      <x:c r="R58" s="90" t="str">
        <x:v>两条路线能协同且容量充足时，不应强行二选一</x:v>
      </x:c>
      <x:c r="S58" s="90" t="str">
        <x:v>主要病位未被修复，原有失衡继续运行</x:v>
      </x:c>
      <x:c r="T58" s="90" t="str">
        <x:v>药神反向过度，可能跨越平衡并形成新的结构性失衡</x:v>
      </x:c>
      <x:c r="U58" s="82" t="str">
        <x:v>条件性</x:v>
      </x:c>
      <x:c r="V58" s="90" t="str">
        <x:v>条件性</x:v>
      </x:c>
      <x:c r="W58" s="90" t="str">
        <x:v>药力分散、枭夺食或格局冲突</x:v>
      </x:c>
      <x:c r="X58" s="68" t="str">
        <x:v>M08有效旺衰、M09日主旺衰、M10十神功能、M11组合、M12流通、M13调候、M15格局成败均已完成</x:v>
      </x:c>
      <x:c r="Y58" s="68" t="str">
        <x:v>病位、根因、功能障碍与药神作用路径均能够追溯</x:v>
      </x:c>
      <x:c r="Z58" s="68" t="str">
        <x:v>药神有根有源、透达，能够直接进入病位且兼顾多个主要问题</x:v>
      </x:c>
      <x:c r="AA58" s="68" t="str">
        <x:v>药神无根、受强制、被合绊、作用路径遥隔或同时被多个任务分流</x:v>
      </x:c>
      <x:c r="AB58" s="90" t="str">
        <x:v>若该失衡没有造成实际功能障碍，或特殊格局要求顺势，则不得按普通病药立论</x:v>
      </x:c>
      <x:c r="AC58" s="68" t="str">
        <x:v>特殊格局严格成立、岁运动态作用或流派争议转M18/M21及动态引擎</x:v>
      </x:c>
      <x:c r="AD58" s="84" t="str">
        <x:v>制化两立病</x:v>
      </x:c>
      <x:c r="AE58" s="84" t="str">
        <x:v>根本之病在“同一官杀或食伤共享节点”：食神制杀与印化杀、印制伤与财通关等多路线同时争夺同一力量；表层表现为“每条路线表面成立但容量不足或互相破坏”。主药候选为“选择主导且副作用较小的一条制化路线”，药理为“清杂”；最终喜忌与主次仍转M17/M18裁决。</x:v>
      </x:c>
      <x:c r="AF58" s="82" t="str">
        <x:v>较高</x:v>
      </x:c>
      <x:c r="AG58" s="82" t="str">
        <x:v>病药</x:v>
      </x:c>
      <x:c r="AH5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8" s="68" t="str">
        <x:v>当“M11制化两立成立且共享节点容量不足”真实成立，且药神能够直接作用病位时，可按“制化两立造成路线竞争”记录。</x:v>
      </x:c>
      <x:c r="AJ58" s="90" t="str">
        <x:v>只有表面“每条路线表面成立但容量不足或互相破坏”，但未证明根因“食神制杀与印化杀、印制伤与财通关等多路线同时争夺同一力量”及药神作用路径时，不得套用“制化两立造成路线竞争”。</x:v>
      </x:c>
      <x:c r="AK58" s="82" t="str">
        <x:v>采用</x:v>
      </x:c>
      <x:c r="AL58" s="82" t="str">
        <x:v>初审</x:v>
      </x:c>
      <x:c r="AM58" s="87" t="n">
        <x:v>46260</x:v>
      </x:c>
    </x:row>
    <x:row r="59">
      <x:c r="A59" s="72" t="str">
        <x:f>IF(OR(C59="",D59=""),"",B59&amp;"-"&amp;UPPER(C59)&amp;"-"&amp;TEXT(D59,"0000")&amp;"-"&amp;E59)</x:f>
        <x:v>M16-CONTROL-0053-V1.0</x:v>
      </x:c>
      <x:c r="B59" s="74" t="str">
        <x:v>M16</x:v>
      </x:c>
      <x:c r="C59" s="74" t="str">
        <x:v>CONTROL</x:v>
      </x:c>
      <x:c r="D59" s="215" t="n">
        <x:v>53</x:v>
      </x:c>
      <x:c r="E59" s="74" t="str">
        <x:v>V1.0</x:v>
      </x:c>
      <x:c r="F59" s="68" t="str">
        <x:v>羊刃强而无制形成刃势失控</x:v>
      </x:c>
      <x:c r="G59" s="82" t="str">
        <x:v>综合层</x:v>
      </x:c>
      <x:c r="H59" s="82" t="str">
        <x:v>制化病</x:v>
      </x:c>
      <x:c r="I59" s="68" t="str">
        <x:v>羊刃/比劫集团</x:v>
      </x:c>
      <x:c r="J59" s="68" t="str">
        <x:v>强刃无制</x:v>
      </x:c>
      <x:c r="K59" s="68" t="str">
        <x:v>刃势得令成势，官杀弱，食伤财星也不能有效泄耗</x:v>
      </x:c>
      <x:c r="L59" s="68" t="str">
        <x:v>强身集团缺乏制衡</x:v>
      </x:c>
      <x:c r="M59" s="82" t="str">
        <x:v>严重</x:v>
      </x:c>
      <x:c r="N59" s="68" t="str">
        <x:v>有根官杀制刃或食伤泄刃</x:v>
      </x:c>
      <x:c r="O59" s="68" t="str">
        <x:v>印星仅在化杀需要时使用</x:v>
      </x:c>
      <x:c r="P59" s="82" t="str">
        <x:v>制</x:v>
      </x:c>
      <x:c r="Q59" s="68" t="str">
        <x:v>M15羊刃格成立但杀弱或无制</x:v>
      </x:c>
      <x:c r="R59" s="90" t="str">
        <x:v>从旺/专旺严格成立时不得按普通制刃</x:v>
      </x:c>
      <x:c r="S59" s="90" t="str">
        <x:v>主要病位未被修复，原有失衡继续运行</x:v>
      </x:c>
      <x:c r="T59" s="90" t="str">
        <x:v>官杀过强制刃太过，食伤过旺泄身过度</x:v>
      </x:c>
      <x:c r="U59" s="82" t="str">
        <x:v>条件性</x:v>
      </x:c>
      <x:c r="V59" s="90" t="str">
        <x:v>是</x:v>
      </x:c>
      <x:c r="W59" s="90" t="str">
        <x:v>官杀压身或泄身过度</x:v>
      </x:c>
      <x:c r="X59" s="68" t="str">
        <x:v>M08有效旺衰、M09日主旺衰、M10十神功能、M11组合、M12流通、M13调候、M15格局成败均已完成</x:v>
      </x:c>
      <x:c r="Y59" s="68" t="str">
        <x:v>病位、根因、功能障碍与药神作用路径均能够追溯</x:v>
      </x:c>
      <x:c r="Z59" s="68" t="str">
        <x:v>药神有根有源、透达，能够直接进入病位且兼顾多个主要问题</x:v>
      </x:c>
      <x:c r="AA59" s="68" t="str">
        <x:v>药神无根、受强制、被合绊、作用路径遥隔或同时被多个任务分流</x:v>
      </x:c>
      <x:c r="AB59" s="90" t="str">
        <x:v>若该失衡没有造成实际功能障碍，或特殊格局要求顺势，则不得按普通病药立论</x:v>
      </x:c>
      <x:c r="AC59" s="68" t="str">
        <x:v>特殊格局严格成立、岁运动态作用或流派争议转M18/M21及动态引擎</x:v>
      </x:c>
      <x:c r="AD59" s="84" t="str">
        <x:v>羊刃无制病</x:v>
      </x:c>
      <x:c r="AE59" s="84" t="str">
        <x:v>根本之病在“羊刃/比劫集团”：刃势得令成势，官杀弱，食伤财星也不能有效泄耗；表层表现为“强身集团缺乏制衡”。主药候选为“有根官杀制刃或食伤泄刃”，药理为“制”；最终喜忌与主次仍转M17/M18裁决。</x:v>
      </x:c>
      <x:c r="AF59" s="82" t="str">
        <x:v>较高</x:v>
      </x:c>
      <x:c r="AG59" s="82" t="str">
        <x:v>病药</x:v>
      </x:c>
      <x:c r="AH5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9" s="68" t="str">
        <x:v>当“M15羊刃格成立但杀弱或无制”真实成立，且药神能够直接作用病位时，可按“羊刃强而无制形成刃势失控”记录。</x:v>
      </x:c>
      <x:c r="AJ59" s="90" t="str">
        <x:v>只有表面“强身集团缺乏制衡”，但未证明根因“刃势得令成势，官杀弱，食伤财星也不能有效泄耗”及药神作用路径时，不得套用“羊刃强而无制形成刃势失控”。</x:v>
      </x:c>
      <x:c r="AK59" s="82" t="str">
        <x:v>采用</x:v>
      </x:c>
      <x:c r="AL59" s="82" t="str">
        <x:v>初审</x:v>
      </x:c>
      <x:c r="AM59" s="87" t="n">
        <x:v>46260</x:v>
      </x:c>
    </x:row>
    <x:row r="60">
      <x:c r="A60" s="72" t="str">
        <x:f>IF(OR(C60="",D60=""),"",B60&amp;"-"&amp;UPPER(C60)&amp;"-"&amp;TEXT(D60,"0000")&amp;"-"&amp;E60)</x:f>
        <x:v>M16-CONTROL-0054-V1.0</x:v>
      </x:c>
      <x:c r="B60" s="74" t="str">
        <x:v>M16</x:v>
      </x:c>
      <x:c r="C60" s="74" t="str">
        <x:v>CONTROL</x:v>
      </x:c>
      <x:c r="D60" s="215" t="n">
        <x:v>54</x:v>
      </x:c>
      <x:c r="E60" s="74" t="str">
        <x:v>V1.0</x:v>
      </x:c>
      <x:c r="F60" s="68" t="str">
        <x:v>制刃太过使日主承载转弱</x:v>
      </x:c>
      <x:c r="G60" s="82" t="str">
        <x:v>综合层</x:v>
      </x:c>
      <x:c r="H60" s="82" t="str">
        <x:v>制化病</x:v>
      </x:c>
      <x:c r="I60" s="68" t="str">
        <x:v>官杀→羊刃制约链</x:v>
      </x:c>
      <x:c r="J60" s="68" t="str">
        <x:v>制刃过度</x:v>
      </x:c>
      <x:c r="K60" s="68" t="str">
        <x:v>官杀远强于刃势与日主承载，原制衡转为压身</x:v>
      </x:c>
      <x:c r="L60" s="68" t="str">
        <x:v>羊刃驾杀结构失去平衡</x:v>
      </x:c>
      <x:c r="M60" s="82" t="str">
        <x:v>明显</x:v>
      </x:c>
      <x:c r="N60" s="68" t="str">
        <x:v>印星化杀或比劫补充承载</x:v>
      </x:c>
      <x:c r="O60" s="68" t="str">
        <x:v>适度制约官杀</x:v>
      </x:c>
      <x:c r="P60" s="82" t="str">
        <x:v>化</x:v>
      </x:c>
      <x:c r="Q60" s="68" t="str">
        <x:v>M15制刃太过成立</x:v>
      </x:c>
      <x:c r="R60" s="90" t="str">
        <x:v>不能把所有官杀都化掉，需保留必要制衡</x:v>
      </x:c>
      <x:c r="S60" s="90" t="str">
        <x:v>主要病位未被修复，原有失衡继续运行</x:v>
      </x:c>
      <x:c r="T60" s="90" t="str">
        <x:v>印比补强过度会恢复刃旺无制</x:v>
      </x:c>
      <x:c r="U60" s="82" t="str">
        <x:v>条件性</x:v>
      </x:c>
      <x:c r="V60" s="90" t="str">
        <x:v>条件性</x:v>
      </x:c>
      <x:c r="W60" s="90" t="str">
        <x:v>羊刃再旺或印多身滞</x:v>
      </x:c>
      <x:c r="X60" s="68" t="str">
        <x:v>M08有效旺衰、M09日主旺衰、M10十神功能、M11组合、M12流通、M13调候、M15格局成败均已完成</x:v>
      </x:c>
      <x:c r="Y60" s="68" t="str">
        <x:v>病位、根因、功能障碍与药神作用路径均能够追溯</x:v>
      </x:c>
      <x:c r="Z60" s="68" t="str">
        <x:v>药神有根有源、透达，能够直接进入病位且兼顾多个主要问题</x:v>
      </x:c>
      <x:c r="AA60" s="68" t="str">
        <x:v>药神无根、受强制、被合绊、作用路径遥隔或同时被多个任务分流</x:v>
      </x:c>
      <x:c r="AB60" s="90" t="str">
        <x:v>若该失衡没有造成实际功能障碍，或特殊格局要求顺势，则不得按普通病药立论</x:v>
      </x:c>
      <x:c r="AC60" s="68" t="str">
        <x:v>特殊格局严格成立、岁运动态作用或流派争议转M18/M21及动态引擎</x:v>
      </x:c>
      <x:c r="AD60" s="84" t="str">
        <x:v>制刃太过病</x:v>
      </x:c>
      <x:c r="AE60" s="84" t="str">
        <x:v>根本之病在“官杀→羊刃制约链”：官杀远强于刃势与日主承载，原制衡转为压身；表层表现为“羊刃驾杀结构失去平衡”。主药候选为“印星化杀或比劫补充承载”，药理为“化”；最终喜忌与主次仍转M17/M18裁决。</x:v>
      </x:c>
      <x:c r="AF60" s="82" t="str">
        <x:v>较高</x:v>
      </x:c>
      <x:c r="AG60" s="82" t="str">
        <x:v>病药</x:v>
      </x:c>
      <x:c r="AH6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0" s="68" t="str">
        <x:v>当“M15制刃太过成立”真实成立，且药神能够直接作用病位时，可按“制刃太过使日主承载转弱”记录。</x:v>
      </x:c>
      <x:c r="AJ60" s="90" t="str">
        <x:v>只有表面“羊刃驾杀结构失去平衡”，但未证明根因“官杀远强于刃势与日主承载，原制衡转为压身”及药神作用路径时，不得套用“制刃太过使日主承载转弱”。</x:v>
      </x:c>
      <x:c r="AK60" s="82" t="str">
        <x:v>采用</x:v>
      </x:c>
      <x:c r="AL60" s="82" t="str">
        <x:v>初审</x:v>
      </x:c>
      <x:c r="AM60" s="87" t="n">
        <x:v>46260</x:v>
      </x:c>
    </x:row>
    <x:row r="61">
      <x:c r="A61" s="72" t="str">
        <x:f>IF(OR(C61="",D61=""),"",B61&amp;"-"&amp;UPPER(C61)&amp;"-"&amp;TEXT(D61,"0000")&amp;"-"&amp;E61)</x:f>
        <x:v>M16-PATTERN-0055-V1.0</x:v>
      </x:c>
      <x:c r="B61" s="74" t="str">
        <x:v>M16</x:v>
      </x:c>
      <x:c r="C61" s="74" t="str">
        <x:v>PATTERN</x:v>
      </x:c>
      <x:c r="D61" s="215" t="n">
        <x:v>55</x:v>
      </x:c>
      <x:c r="E61" s="74" t="str">
        <x:v>V1.0</x:v>
      </x:c>
      <x:c r="F61" s="68" t="str">
        <x:v>格神受损但尚未失效形成格局病</x:v>
      </x:c>
      <x:c r="G61" s="82" t="str">
        <x:v>综合层</x:v>
      </x:c>
      <x:c r="H61" s="82" t="str">
        <x:v>格局病</x:v>
      </x:c>
      <x:c r="I61" s="68" t="str">
        <x:v>核心格神</x:v>
      </x:c>
      <x:c r="J61" s="68" t="str">
        <x:v>格神受损</x:v>
      </x:c>
      <x:c r="K61" s="68" t="str">
        <x:v>格神被克、合绊、混杂或根源受伤，主要功能下降</x:v>
      </x:c>
      <x:c r="L61" s="68" t="str">
        <x:v>格局成立但有破</x:v>
      </x:c>
      <x:c r="M61" s="82" t="str">
        <x:v>明显</x:v>
      </x:c>
      <x:c r="N61" s="68" t="str">
        <x:v>护持格神或制去破格之神</x:v>
      </x:c>
      <x:c r="O61" s="68" t="str">
        <x:v>恢复格神根源与流通</x:v>
      </x:c>
      <x:c r="P61" s="82" t="str">
        <x:v>护格</x:v>
      </x:c>
      <x:c r="Q61" s="68" t="str">
        <x:v>M15破格等级轻微至严重但非根本破格</x:v>
      </x:c>
      <x:c r="R61" s="90" t="str">
        <x:v>格神本身为全局病因时不能无条件护格</x:v>
      </x:c>
      <x:c r="S61" s="90" t="str">
        <x:v>主要病位未被修复，原有失衡继续运行</x:v>
      </x:c>
      <x:c r="T61" s="90" t="str">
        <x:v>护格过度可能加重旺衰、制化或调候问题</x:v>
      </x:c>
      <x:c r="U61" s="82" t="str">
        <x:v>否</x:v>
      </x:c>
      <x:c r="V61" s="90" t="str">
        <x:v>条件性</x:v>
      </x:c>
      <x:c r="W61" s="90" t="str">
        <x:v>旺衰或调候副作用</x:v>
      </x:c>
      <x:c r="X61" s="68" t="str">
        <x:v>M08有效旺衰、M09日主旺衰、M10十神功能、M11组合、M12流通、M13调候、M15格局成败均已完成</x:v>
      </x:c>
      <x:c r="Y61" s="68" t="str">
        <x:v>病位、根因、功能障碍与药神作用路径均能够追溯</x:v>
      </x:c>
      <x:c r="Z61" s="68" t="str">
        <x:v>药神有根有源、透达，能够直接进入病位且兼顾多个主要问题</x:v>
      </x:c>
      <x:c r="AA61" s="68" t="str">
        <x:v>药神无根、受强制、被合绊、作用路径遥隔或同时被多个任务分流</x:v>
      </x:c>
      <x:c r="AB61" s="90" t="str">
        <x:v>若该失衡没有造成实际功能障碍，或特殊格局要求顺势，则不得按普通病药立论</x:v>
      </x:c>
      <x:c r="AC61" s="68" t="str">
        <x:v>特殊格局严格成立、岁运动态作用或流派争议转M18/M21及动态引擎</x:v>
      </x:c>
      <x:c r="AD61" s="84" t="str">
        <x:v>格神受损病</x:v>
      </x:c>
      <x:c r="AE61" s="84" t="str">
        <x:v>根本之病在“核心格神”：格神被克、合绊、混杂或根源受伤，主要功能下降；表层表现为“格局成立但有破”。主药候选为“护持格神或制去破格之神”，药理为“护格”；最终喜忌与主次仍转M17/M18裁决。</x:v>
      </x:c>
      <x:c r="AF61" s="82" t="str">
        <x:v>较高</x:v>
      </x:c>
      <x:c r="AG61" s="82" t="str">
        <x:v>病药</x:v>
      </x:c>
      <x:c r="AH6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1" s="68" t="str">
        <x:v>当“M15破格等级轻微至严重但非根本破格”真实成立，且药神能够直接作用病位时，可按“格神受损但尚未失效形成格局病”记录。</x:v>
      </x:c>
      <x:c r="AJ61" s="90" t="str">
        <x:v>只有表面“格局成立但有破”，但未证明根因“格神被克、合绊、混杂或根源受伤，主要功能下降”及药神作用路径时，不得套用“格神受损但尚未失效形成格局病”。</x:v>
      </x:c>
      <x:c r="AK61" s="82" t="str">
        <x:v>采用</x:v>
      </x:c>
      <x:c r="AL61" s="82" t="str">
        <x:v>初审</x:v>
      </x:c>
      <x:c r="AM61" s="87" t="n">
        <x:v>46260</x:v>
      </x:c>
    </x:row>
    <x:row r="62">
      <x:c r="A62" s="72" t="str">
        <x:f>IF(OR(C62="",D62=""),"",B62&amp;"-"&amp;UPPER(C62)&amp;"-"&amp;TEXT(D62,"0000")&amp;"-"&amp;E62)</x:f>
        <x:v>M16-PATTERN-0056-V1.0</x:v>
      </x:c>
      <x:c r="B62" s="74" t="str">
        <x:v>M16</x:v>
      </x:c>
      <x:c r="C62" s="74" t="str">
        <x:v>PATTERN</x:v>
      </x:c>
      <x:c r="D62" s="215" t="n">
        <x:v>56</x:v>
      </x:c>
      <x:c r="E62" s="74" t="str">
        <x:v>V1.0</x:v>
      </x:c>
      <x:c r="F62" s="68" t="str">
        <x:v>格神失效构成根本格局病</x:v>
      </x:c>
      <x:c r="G62" s="82" t="str">
        <x:v>综合层</x:v>
      </x:c>
      <x:c r="H62" s="82" t="str">
        <x:v>格局病</x:v>
      </x:c>
      <x:c r="I62" s="68" t="str">
        <x:v>核心格神与主路径</x:v>
      </x:c>
      <x:c r="J62" s="68" t="str">
        <x:v>根本破格</x:v>
      </x:c>
      <x:c r="K62" s="68" t="str">
        <x:v>格神失效或核心作用路径完全中断</x:v>
      </x:c>
      <x:c r="L62" s="68" t="str">
        <x:v>M14候选无法在M15成格</x:v>
      </x:c>
      <x:c r="M62" s="82" t="str">
        <x:v>首要矛盾</x:v>
      </x:c>
      <x:c r="N62" s="68" t="str">
        <x:v>若可修复则恢复格神；否则转用替代格局的药理</x:v>
      </x:c>
      <x:c r="O62" s="68" t="str">
        <x:v>清除根本破格因素</x:v>
      </x:c>
      <x:c r="P62" s="82" t="str">
        <x:v>救应</x:v>
      </x:c>
      <x:c r="Q62" s="68" t="str">
        <x:v>M15根本破格成立</x:v>
      </x:c>
      <x:c r="R62" s="90" t="str">
        <x:v>不能为了保留格局名称而强行指定不现实的药神</x:v>
      </x:c>
      <x:c r="S62" s="90" t="str">
        <x:v>主要病位未被修复，原有失衡继续运行</x:v>
      </x:c>
      <x:c r="T62" s="90" t="str">
        <x:v>强救原格可能破坏更稳定的替代结构</x:v>
      </x:c>
      <x:c r="U62" s="82" t="str">
        <x:v>条件性</x:v>
      </x:c>
      <x:c r="V62" s="90" t="str">
        <x:v>条件性</x:v>
      </x:c>
      <x:c r="W62" s="90" t="str">
        <x:v>替代格局受损</x:v>
      </x:c>
      <x:c r="X62" s="68" t="str">
        <x:v>M08有效旺衰、M09日主旺衰、M10十神功能、M11组合、M12流通、M13调候、M15格局成败均已完成</x:v>
      </x:c>
      <x:c r="Y62" s="68" t="str">
        <x:v>病位、根因、功能障碍与药神作用路径均能够追溯</x:v>
      </x:c>
      <x:c r="Z62" s="68" t="str">
        <x:v>药神有根有源、透达，能够直接进入病位且兼顾多个主要问题</x:v>
      </x:c>
      <x:c r="AA62" s="68" t="str">
        <x:v>药神无根、受强制、被合绊、作用路径遥隔或同时被多个任务分流</x:v>
      </x:c>
      <x:c r="AB62" s="90" t="str">
        <x:v>若该失衡没有造成实际功能障碍，或特殊格局要求顺势，则不得按普通病药立论</x:v>
      </x:c>
      <x:c r="AC62" s="68" t="str">
        <x:v>特殊格局严格成立、岁运动态作用或流派争议转M18/M21及动态引擎</x:v>
      </x:c>
      <x:c r="AD62" s="84" t="str">
        <x:v>根本破格病</x:v>
      </x:c>
      <x:c r="AE62" s="84" t="str">
        <x:v>根本之病在“核心格神与主路径”：格神失效或核心作用路径完全中断；表层表现为“M14候选无法在M15成格”。主药候选为“若可修复则恢复格神；否则转用替代格局的药理”，药理为“救应”；最终喜忌与主次仍转M17/M18裁决。</x:v>
      </x:c>
      <x:c r="AF62" s="82" t="str">
        <x:v>较高</x:v>
      </x:c>
      <x:c r="AG62" s="82" t="str">
        <x:v>病药</x:v>
      </x:c>
      <x:c r="AH6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2" s="68" t="str">
        <x:v>当“M15根本破格成立”真实成立，且药神能够直接作用病位时，可按“格神失效构成根本格局病”记录。</x:v>
      </x:c>
      <x:c r="AJ62" s="90" t="str">
        <x:v>只有表面“M14候选无法在M15成格”，但未证明根因“格神失效或核心作用路径完全中断”及药神作用路径时，不得套用“格神失效构成根本格局病”。</x:v>
      </x:c>
      <x:c r="AK62" s="82" t="str">
        <x:v>采用</x:v>
      </x:c>
      <x:c r="AL62" s="82" t="str">
        <x:v>初审</x:v>
      </x:c>
      <x:c r="AM62" s="87" t="n">
        <x:v>46260</x:v>
      </x:c>
    </x:row>
    <x:row r="63">
      <x:c r="A63" s="72" t="str">
        <x:f>IF(OR(C63="",D63=""),"",B63&amp;"-"&amp;UPPER(C63)&amp;"-"&amp;TEXT(D63,"0000")&amp;"-"&amp;E63)</x:f>
        <x:v>M16-PATTERN-0057-V1.0</x:v>
      </x:c>
      <x:c r="B63" s="74" t="str">
        <x:v>M16</x:v>
      </x:c>
      <x:c r="C63" s="74" t="str">
        <x:v>PATTERN</x:v>
      </x:c>
      <x:c r="D63" s="215" t="n">
        <x:v>57</x:v>
      </x:c>
      <x:c r="E63" s="74" t="str">
        <x:v>V1.0</x:v>
      </x:c>
      <x:c r="F63" s="68" t="str">
        <x:v>格神混杂主从不清形成清纯度病</x:v>
      </x:c>
      <x:c r="G63" s="82" t="str">
        <x:v>综合层</x:v>
      </x:c>
      <x:c r="H63" s="82" t="str">
        <x:v>格局病</x:v>
      </x:c>
      <x:c r="I63" s="68" t="str">
        <x:v>格神与同类异类竞争节点</x:v>
      </x:c>
      <x:c r="J63" s="68" t="str">
        <x:v>格局混杂</x:v>
      </x:c>
      <x:c r="K63" s="68" t="str">
        <x:v>官杀、食伤、印枭或正偏财双强并见，主次不清</x:v>
      </x:c>
      <x:c r="L63" s="68" t="str">
        <x:v>格局有杂、混杂或严重混杂</x:v>
      </x:c>
      <x:c r="M63" s="82" t="str">
        <x:v>一般</x:v>
      </x:c>
      <x:c r="N63" s="68" t="str">
        <x:v>清一留一或建立明确主从</x:v>
      </x:c>
      <x:c r="O63" s="68" t="str">
        <x:v>保护所留格神</x:v>
      </x:c>
      <x:c r="P63" s="82" t="str">
        <x:v>清杂</x:v>
      </x:c>
      <x:c r="Q63" s="68" t="str">
        <x:v>M15清纯度为混杂/严重混杂且影响格局主导性</x:v>
      </x:c>
      <x:c r="R63" s="90" t="str">
        <x:v>多个十神能形成连续良性组合时不应机械清杂</x:v>
      </x:c>
      <x:c r="S63" s="90" t="str">
        <x:v>主要病位未被修复，原有失衡继续运行</x:v>
      </x:c>
      <x:c r="T63" s="90" t="str">
        <x:v>清杂过度会损失必要配合十神</x:v>
      </x:c>
      <x:c r="U63" s="82" t="str">
        <x:v>条件性</x:v>
      </x:c>
      <x:c r="V63" s="90" t="str">
        <x:v>条件性</x:v>
      </x:c>
      <x:c r="W63" s="90" t="str">
        <x:v>格局配合缺失</x:v>
      </x:c>
      <x:c r="X63" s="68" t="str">
        <x:v>M08有效旺衰、M09日主旺衰、M10十神功能、M11组合、M12流通、M13调候、M15格局成败均已完成</x:v>
      </x:c>
      <x:c r="Y63" s="68" t="str">
        <x:v>病位、根因、功能障碍与药神作用路径均能够追溯</x:v>
      </x:c>
      <x:c r="Z63" s="68" t="str">
        <x:v>药神有根有源、透达，能够直接进入病位且兼顾多个主要问题</x:v>
      </x:c>
      <x:c r="AA63" s="68" t="str">
        <x:v>药神无根、受强制、被合绊、作用路径遥隔或同时被多个任务分流</x:v>
      </x:c>
      <x:c r="AB63" s="90" t="str">
        <x:v>若该失衡没有造成实际功能障碍，或特殊格局要求顺势，则不得按普通病药立论</x:v>
      </x:c>
      <x:c r="AC63" s="68" t="str">
        <x:v>特殊格局严格成立、岁运动态作用或流派争议转M18/M21及动态引擎</x:v>
      </x:c>
      <x:c r="AD63" s="84" t="str">
        <x:v>格神混杂病</x:v>
      </x:c>
      <x:c r="AE63" s="84" t="str">
        <x:v>根本之病在“格神与同类异类竞争节点”：官杀、食伤、印枭或正偏财双强并见，主次不清；表层表现为“格局有杂、混杂或严重混杂”。主药候选为“清一留一或建立明确主从”，药理为“清杂”；最终喜忌与主次仍转M17/M18裁决。</x:v>
      </x:c>
      <x:c r="AF63" s="82" t="str">
        <x:v>较高</x:v>
      </x:c>
      <x:c r="AG63" s="82" t="str">
        <x:v>病药</x:v>
      </x:c>
      <x:c r="AH6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3" s="68" t="str">
        <x:v>当“M15清纯度为混杂/严重混杂且影响格局主导性”真实成立，且药神能够直接作用病位时，可按“格神混杂主从不清形成清纯度病”记录。</x:v>
      </x:c>
      <x:c r="AJ63" s="90" t="str">
        <x:v>只有表面“格局有杂、混杂或严重混杂”，但未证明根因“官杀、食伤、印枭或正偏财双强并见，主次不清”及药神作用路径时，不得套用“格神混杂主从不清形成清纯度病”。</x:v>
      </x:c>
      <x:c r="AK63" s="82" t="str">
        <x:v>采用</x:v>
      </x:c>
      <x:c r="AL63" s="82" t="str">
        <x:v>初审</x:v>
      </x:c>
      <x:c r="AM63" s="87" t="n">
        <x:v>46260</x:v>
      </x:c>
    </x:row>
    <x:row r="64">
      <x:c r="A64" s="72" t="str">
        <x:f>IF(OR(C64="",D64=""),"",B64&amp;"-"&amp;UPPER(C64)&amp;"-"&amp;TEXT(D64,"0000")&amp;"-"&amp;E64)</x:f>
        <x:v>M16-PATTERN-0058-V1.0</x:v>
      </x:c>
      <x:c r="B64" s="74" t="str">
        <x:v>M16</x:v>
      </x:c>
      <x:c r="C64" s="74" t="str">
        <x:v>PATTERN</x:v>
      </x:c>
      <x:c r="D64" s="215" t="n">
        <x:v>58</x:v>
      </x:c>
      <x:c r="E64" s="74" t="str">
        <x:v>V1.0</x:v>
      </x:c>
      <x:c r="F64" s="68" t="str">
        <x:v>格局所需用神无力形成运行不足</x:v>
      </x:c>
      <x:c r="G64" s="82" t="str">
        <x:v>综合层</x:v>
      </x:c>
      <x:c r="H64" s="82" t="str">
        <x:v>格局病</x:v>
      </x:c>
      <x:c r="I64" s="68" t="str">
        <x:v>格局关键配合神</x:v>
      </x:c>
      <x:c r="J64" s="68" t="str">
        <x:v>用神无力</x:v>
      </x:c>
      <x:c r="K64" s="68" t="str">
        <x:v>格神虽有力，但完成成格所需的印、食、财、官或通关者偏弱</x:v>
      </x:c>
      <x:c r="L64" s="68" t="str">
        <x:v>格局基本成立但层次低、运行不稳</x:v>
      </x:c>
      <x:c r="M64" s="82" t="str">
        <x:v>明显</x:v>
      </x:c>
      <x:c r="N64" s="68" t="str">
        <x:v>生扶格局关键配合神</x:v>
      </x:c>
      <x:c r="O64" s="68" t="str">
        <x:v>制去直接破坏配合神者</x:v>
      </x:c>
      <x:c r="P64" s="82" t="str">
        <x:v>生</x:v>
      </x:c>
      <x:c r="Q64" s="68" t="str">
        <x:v>M15格局成立，但关键配合十神为弱/受限</x:v>
      </x:c>
      <x:c r="R64" s="90" t="str">
        <x:v>增强配合神前必须检查比例，防止制化过度</x:v>
      </x:c>
      <x:c r="S64" s="90" t="str">
        <x:v>主要病位未被修复，原有失衡继续运行</x:v>
      </x:c>
      <x:c r="T64" s="90" t="str">
        <x:v>配合神过强会反客为主或破坏格神</x:v>
      </x:c>
      <x:c r="U64" s="82" t="str">
        <x:v>条件性</x:v>
      </x:c>
      <x:c r="V64" s="90" t="str">
        <x:v>条件性</x:v>
      </x:c>
      <x:c r="W64" s="90" t="str">
        <x:v>格局改写或制化过度</x:v>
      </x:c>
      <x:c r="X64" s="68" t="str">
        <x:v>M08有效旺衰、M09日主旺衰、M10十神功能、M11组合、M12流通、M13调候、M15格局成败均已完成</x:v>
      </x:c>
      <x:c r="Y64" s="68" t="str">
        <x:v>病位、根因、功能障碍与药神作用路径均能够追溯</x:v>
      </x:c>
      <x:c r="Z64" s="68" t="str">
        <x:v>药神有根有源、透达，能够直接进入病位且兼顾多个主要问题</x:v>
      </x:c>
      <x:c r="AA64" s="68" t="str">
        <x:v>药神无根、受强制、被合绊、作用路径遥隔或同时被多个任务分流</x:v>
      </x:c>
      <x:c r="AB64" s="90" t="str">
        <x:v>若该失衡没有造成实际功能障碍，或特殊格局要求顺势，则不得按普通病药立论</x:v>
      </x:c>
      <x:c r="AC64" s="68" t="str">
        <x:v>特殊格局严格成立、岁运动态作用或流派争议转M18/M21及动态引擎</x:v>
      </x:c>
      <x:c r="AD64" s="84" t="str">
        <x:v>格局配合神无力</x:v>
      </x:c>
      <x:c r="AE64" s="84" t="str">
        <x:v>根本之病在“格局关键配合神”：格神虽有力，但完成成格所需的印、食、财、官或通关者偏弱；表层表现为“格局基本成立但层次低、运行不稳”。主药候选为“生扶格局关键配合神”，药理为“生”；最终喜忌与主次仍转M17/M18裁决。</x:v>
      </x:c>
      <x:c r="AF64" s="82" t="str">
        <x:v>较高</x:v>
      </x:c>
      <x:c r="AG64" s="82" t="str">
        <x:v>病药</x:v>
      </x:c>
      <x:c r="AH6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4" s="68" t="str">
        <x:v>当“M15格局成立，但关键配合十神为弱/受限”真实成立，且药神能够直接作用病位时，可按“格局所需用神无力形成运行不足”记录。</x:v>
      </x:c>
      <x:c r="AJ64" s="90" t="str">
        <x:v>只有表面“格局基本成立但层次低、运行不稳”，但未证明根因“格神虽有力，但完成成格所需的印、食、财、官或通关者偏弱”及药神作用路径时，不得套用“格局所需用神无力形成运行不足”。</x:v>
      </x:c>
      <x:c r="AK64" s="82" t="str">
        <x:v>采用</x:v>
      </x:c>
      <x:c r="AL64" s="82" t="str">
        <x:v>初审</x:v>
      </x:c>
      <x:c r="AM64" s="87" t="n">
        <x:v>46260</x:v>
      </x:c>
    </x:row>
    <x:row r="65">
      <x:c r="A65" s="72" t="str">
        <x:f>IF(OR(C65="",D65=""),"",B65&amp;"-"&amp;UPPER(C65)&amp;"-"&amp;TEXT(D65,"0000")&amp;"-"&amp;E65)</x:f>
        <x:v>M16-PATTERN-0059-V1.0</x:v>
      </x:c>
      <x:c r="B65" s="74" t="str">
        <x:v>M16</x:v>
      </x:c>
      <x:c r="C65" s="74" t="str">
        <x:v>PATTERN</x:v>
      </x:c>
      <x:c r="D65" s="215" t="n">
        <x:v>59</x:v>
      </x:c>
      <x:c r="E65" s="74" t="str">
        <x:v>V1.0</x:v>
      </x:c>
      <x:c r="F65" s="68" t="str">
        <x:v>忌神直接破格形成格局病</x:v>
      </x:c>
      <x:c r="G65" s="82" t="str">
        <x:v>综合层</x:v>
      </x:c>
      <x:c r="H65" s="82" t="str">
        <x:v>格局病</x:v>
      </x:c>
      <x:c r="I65" s="68" t="str">
        <x:v>破格神→格神作用链</x:v>
      </x:c>
      <x:c r="J65" s="68" t="str">
        <x:v>外来破坏</x:v>
      </x:c>
      <x:c r="K65" s="68" t="str">
        <x:v>某五行/十神直接克、合、冲或截断核心格神</x:v>
      </x:c>
      <x:c r="L65" s="68" t="str">
        <x:v>成立但有破或有破有救</x:v>
      </x:c>
      <x:c r="M65" s="82" t="str">
        <x:v>严重</x:v>
      </x:c>
      <x:c r="N65" s="68" t="str">
        <x:v>制去、合住或通关破格神</x:v>
      </x:c>
      <x:c r="O65" s="68" t="str">
        <x:v>护持格神</x:v>
      </x:c>
      <x:c r="P65" s="82" t="str">
        <x:v>制</x:v>
      </x:c>
      <x:c r="Q65" s="68" t="str">
        <x:v>M15已明确破格因素与对象</x:v>
      </x:c>
      <x:c r="R65" s="90" t="str">
        <x:v>破格神同时承担更高优先级调候或承载功能时需净效应裁决</x:v>
      </x:c>
      <x:c r="S65" s="90" t="str">
        <x:v>主要病位未被修复，原有失衡继续运行</x:v>
      </x:c>
      <x:c r="T65" s="90" t="str">
        <x:v>制破格神过度会引发另一结构失衡</x:v>
      </x:c>
      <x:c r="U65" s="82" t="str">
        <x:v>条件性</x:v>
      </x:c>
      <x:c r="V65" s="90" t="str">
        <x:v>条件性</x:v>
      </x:c>
      <x:c r="W65" s="90" t="str">
        <x:v>调候、旺衰或流通新病</x:v>
      </x:c>
      <x:c r="X65" s="68" t="str">
        <x:v>M08有效旺衰、M09日主旺衰、M10十神功能、M11组合、M12流通、M13调候、M15格局成败均已完成</x:v>
      </x:c>
      <x:c r="Y65" s="68" t="str">
        <x:v>病位、根因、功能障碍与药神作用路径均能够追溯</x:v>
      </x:c>
      <x:c r="Z65" s="68" t="str">
        <x:v>药神有根有源、透达，能够直接进入病位且兼顾多个主要问题</x:v>
      </x:c>
      <x:c r="AA65" s="68" t="str">
        <x:v>药神无根、受强制、被合绊、作用路径遥隔或同时被多个任务分流</x:v>
      </x:c>
      <x:c r="AB65" s="90" t="str">
        <x:v>若该失衡没有造成实际功能障碍，或特殊格局要求顺势，则不得按普通病药立论</x:v>
      </x:c>
      <x:c r="AC65" s="68" t="str">
        <x:v>特殊格局严格成立、岁运动态作用或流派争议转M18/M21及动态引擎</x:v>
      </x:c>
      <x:c r="AD65" s="84" t="str">
        <x:v>忌神破格病</x:v>
      </x:c>
      <x:c r="AE65" s="84" t="str">
        <x:v>根本之病在“破格神→格神作用链”：某五行/十神直接克、合、冲或截断核心格神；表层表现为“成立但有破或有破有救”。主药候选为“制去、合住或通关破格神”，药理为“制”；最终喜忌与主次仍转M17/M18裁决。</x:v>
      </x:c>
      <x:c r="AF65" s="82" t="str">
        <x:v>较高</x:v>
      </x:c>
      <x:c r="AG65" s="82" t="str">
        <x:v>病药</x:v>
      </x:c>
      <x:c r="AH6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5" s="68" t="str">
        <x:v>当“M15已明确破格因素与对象”真实成立，且药神能够直接作用病位时，可按“忌神直接破格形成格局病”记录。</x:v>
      </x:c>
      <x:c r="AJ65" s="90" t="str">
        <x:v>只有表面“成立但有破或有破有救”，但未证明根因“某五行/十神直接克、合、冲或截断核心格神”及药神作用路径时，不得套用“忌神直接破格形成格局病”。</x:v>
      </x:c>
      <x:c r="AK65" s="82" t="str">
        <x:v>采用</x:v>
      </x:c>
      <x:c r="AL65" s="82" t="str">
        <x:v>初审</x:v>
      </x:c>
      <x:c r="AM65" s="87" t="n">
        <x:v>46260</x:v>
      </x:c>
    </x:row>
    <x:row r="66">
      <x:c r="A66" s="72" t="str">
        <x:f>IF(OR(C66="",D66=""),"",B66&amp;"-"&amp;UPPER(C66)&amp;"-"&amp;TEXT(D66,"0000")&amp;"-"&amp;E66)</x:f>
        <x:v>M16-PATTERN-0060-V1.0</x:v>
      </x:c>
      <x:c r="B66" s="74" t="str">
        <x:v>M16</x:v>
      </x:c>
      <x:c r="C66" s="74" t="str">
        <x:v>PATTERN</x:v>
      </x:c>
      <x:c r="D66" s="215" t="n">
        <x:v>60</x:v>
      </x:c>
      <x:c r="E66" s="74" t="str">
        <x:v>V1.0</x:v>
      </x:c>
      <x:c r="F66" s="68" t="str">
        <x:v>救应不足导致格局只能部分恢复</x:v>
      </x:c>
      <x:c r="G66" s="82" t="str">
        <x:v>综合层</x:v>
      </x:c>
      <x:c r="H66" s="82" t="str">
        <x:v>格局病</x:v>
      </x:c>
      <x:c r="I66" s="68" t="str">
        <x:v>救应—破格作用链</x:v>
      </x:c>
      <x:c r="J66" s="68" t="str">
        <x:v>救格不足</x:v>
      </x:c>
      <x:c r="K66" s="68" t="str">
        <x:v>救应存在但无根、力量弱、遥隔或只能修复局部</x:v>
      </x:c>
      <x:c r="L66" s="68" t="str">
        <x:v>格局有破有救但救应仅弱/部分有效</x:v>
      </x:c>
      <x:c r="M66" s="82" t="str">
        <x:v>明显</x:v>
      </x:c>
      <x:c r="N66" s="68" t="str">
        <x:v>增强原救应或建立更直接救应</x:v>
      </x:c>
      <x:c r="O66" s="68" t="str">
        <x:v>保护救应根源</x:v>
      </x:c>
      <x:c r="P66" s="82" t="str">
        <x:v>救应</x:v>
      </x:c>
      <x:c r="Q66" s="68" t="str">
        <x:v>M15救应有效性为弱救应或部分有效</x:v>
      </x:c>
      <x:c r="R66" s="90" t="str">
        <x:v>不得忽略救应增强后的副作用</x:v>
      </x:c>
      <x:c r="S66" s="90" t="str">
        <x:v>主要病位未被修复，原有失衡继续运行</x:v>
      </x:c>
      <x:c r="T66" s="90" t="str">
        <x:v>救应过强可能转为新的破格力量</x:v>
      </x:c>
      <x:c r="U66" s="82" t="str">
        <x:v>条件性</x:v>
      </x:c>
      <x:c r="V66" s="90" t="str">
        <x:v>条件性</x:v>
      </x:c>
      <x:c r="W66" s="90" t="str">
        <x:v>救应过度成病</x:v>
      </x:c>
      <x:c r="X66" s="68" t="str">
        <x:v>M08有效旺衰、M09日主旺衰、M10十神功能、M11组合、M12流通、M13调候、M15格局成败均已完成</x:v>
      </x:c>
      <x:c r="Y66" s="68" t="str">
        <x:v>病位、根因、功能障碍与药神作用路径均能够追溯</x:v>
      </x:c>
      <x:c r="Z66" s="68" t="str">
        <x:v>药神有根有源、透达，能够直接进入病位且兼顾多个主要问题</x:v>
      </x:c>
      <x:c r="AA66" s="68" t="str">
        <x:v>药神无根、受强制、被合绊、作用路径遥隔或同时被多个任务分流</x:v>
      </x:c>
      <x:c r="AB66" s="90" t="str">
        <x:v>若该失衡没有造成实际功能障碍，或特殊格局要求顺势，则不得按普通病药立论</x:v>
      </x:c>
      <x:c r="AC66" s="68" t="str">
        <x:v>特殊格局严格成立、岁运动态作用或流派争议转M18/M21及动态引擎</x:v>
      </x:c>
      <x:c r="AD66" s="84" t="str">
        <x:v>救应不足病</x:v>
      </x:c>
      <x:c r="AE66" s="84" t="str">
        <x:v>根本之病在“救应—破格作用链”：救应存在但无根、力量弱、遥隔或只能修复局部；表层表现为“格局有破有救但救应仅弱/部分有效”。主药候选为“增强原救应或建立更直接救应”，药理为“救应”；最终喜忌与主次仍转M17/M18裁决。</x:v>
      </x:c>
      <x:c r="AF66" s="82" t="str">
        <x:v>较高</x:v>
      </x:c>
      <x:c r="AG66" s="82" t="str">
        <x:v>病药</x:v>
      </x:c>
      <x:c r="AH6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6" s="68" t="str">
        <x:v>当“M15救应有效性为弱救应或部分有效”真实成立，且药神能够直接作用病位时，可按“救应不足导致格局只能部分恢复”记录。</x:v>
      </x:c>
      <x:c r="AJ66" s="90" t="str">
        <x:v>只有表面“格局有破有救但救应仅弱/部分有效”，但未证明根因“救应存在但无根、力量弱、遥隔或只能修复局部”及药神作用路径时，不得套用“救应不足导致格局只能部分恢复”。</x:v>
      </x:c>
      <x:c r="AK66" s="82" t="str">
        <x:v>采用</x:v>
      </x:c>
      <x:c r="AL66" s="82" t="str">
        <x:v>初审</x:v>
      </x:c>
      <x:c r="AM66" s="87" t="n">
        <x:v>46260</x:v>
      </x:c>
    </x:row>
    <x:row r="67">
      <x:c r="A67" s="72" t="str">
        <x:f>IF(OR(C67="",D67=""),"",B67&amp;"-"&amp;UPPER(C67)&amp;"-"&amp;TEXT(D67,"0000")&amp;"-"&amp;E67)</x:f>
        <x:v>M16-PATTERN-0061-V1.0</x:v>
      </x:c>
      <x:c r="B67" s="74" t="str">
        <x:v>M16</x:v>
      </x:c>
      <x:c r="C67" s="74" t="str">
        <x:v>PATTERN</x:v>
      </x:c>
      <x:c r="D67" s="215" t="n">
        <x:v>61</x:v>
      </x:c>
      <x:c r="E67" s="74" t="str">
        <x:v>V1.0</x:v>
      </x:c>
      <x:c r="F67" s="68" t="str">
        <x:v>救应过度反而破坏格局比例</x:v>
      </x:c>
      <x:c r="G67" s="82" t="str">
        <x:v>综合层</x:v>
      </x:c>
      <x:c r="H67" s="82" t="str">
        <x:v>格局病</x:v>
      </x:c>
      <x:c r="I67" s="68" t="str">
        <x:v>过强救应节点</x:v>
      </x:c>
      <x:c r="J67" s="68" t="str">
        <x:v>救应反客</x:v>
      </x:c>
      <x:c r="K67" s="68" t="str">
        <x:v>原救应强度超过修复所需，压制格神或关键配合神</x:v>
      </x:c>
      <x:c r="L67" s="68" t="str">
        <x:v>有破有救转为新的制化失衡</x:v>
      </x:c>
      <x:c r="M67" s="82" t="str">
        <x:v>明显</x:v>
      </x:c>
      <x:c r="N67" s="68" t="str">
        <x:v>降低救应强度并恢复格神比例</x:v>
      </x:c>
      <x:c r="O67" s="68" t="str">
        <x:v>保护被过度制约的一方</x:v>
      </x:c>
      <x:c r="P67" s="82" t="str">
        <x:v>救应</x:v>
      </x:c>
      <x:c r="Q67" s="68" t="str">
        <x:v>M15救应本有效，但M16判断其产生更大副作用</x:v>
      </x:c>
      <x:c r="R67" s="90" t="str">
        <x:v>不得因救应名义为喜便忽略药量</x:v>
      </x:c>
      <x:c r="S67" s="90" t="str">
        <x:v>主要病位未被修复，原有失衡继续运行</x:v>
      </x:c>
      <x:c r="T67" s="90" t="str">
        <x:v>继续增强会形成根本破格</x:v>
      </x:c>
      <x:c r="U67" s="82" t="str">
        <x:v>是</x:v>
      </x:c>
      <x:c r="V67" s="90" t="str">
        <x:v>是</x:v>
      </x:c>
      <x:c r="W67" s="90" t="str">
        <x:v>制化过度或格神失效</x:v>
      </x:c>
      <x:c r="X67" s="68" t="str">
        <x:v>M08有效旺衰、M09日主旺衰、M10十神功能、M11组合、M12流通、M13调候、M15格局成败均已完成</x:v>
      </x:c>
      <x:c r="Y67" s="68" t="str">
        <x:v>病位、根因、功能障碍与药神作用路径均能够追溯</x:v>
      </x:c>
      <x:c r="Z67" s="68" t="str">
        <x:v>药神有根有源、透达，能够直接进入病位且兼顾多个主要问题</x:v>
      </x:c>
      <x:c r="AA67" s="68" t="str">
        <x:v>药神无根、受强制、被合绊、作用路径遥隔或同时被多个任务分流</x:v>
      </x:c>
      <x:c r="AB67" s="90" t="str">
        <x:v>若该失衡没有造成实际功能障碍，或特殊格局要求顺势，则不得按普通病药立论</x:v>
      </x:c>
      <x:c r="AC67" s="68" t="str">
        <x:v>特殊格局严格成立、岁运动态作用或流派争议转M18/M21及动态引擎</x:v>
      </x:c>
      <x:c r="AD67" s="84" t="str">
        <x:v>救应过度病</x:v>
      </x:c>
      <x:c r="AE67" s="84" t="str">
        <x:v>根本之病在“过强救应节点”：原救应强度超过修复所需，压制格神或关键配合神；表层表现为“有破有救转为新的制化失衡”。主药候选为“降低救应强度并恢复格神比例”，药理为“救应”；最终喜忌与主次仍转M17/M18裁决。</x:v>
      </x:c>
      <x:c r="AF67" s="82" t="str">
        <x:v>较高</x:v>
      </x:c>
      <x:c r="AG67" s="82" t="str">
        <x:v>病药</x:v>
      </x:c>
      <x:c r="AH6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7" s="68" t="str">
        <x:v>当“M15救应本有效，但M16判断其产生更大副作用”真实成立，且药神能够直接作用病位时，可按“救应过度反而破坏格局比例”记录。</x:v>
      </x:c>
      <x:c r="AJ67" s="90" t="str">
        <x:v>只有表面“有破有救转为新的制化失衡”，但未证明根因“原救应强度超过修复所需，压制格神或关键配合神”及药神作用路径时，不得套用“救应过度反而破坏格局比例”。</x:v>
      </x:c>
      <x:c r="AK67" s="82" t="str">
        <x:v>采用</x:v>
      </x:c>
      <x:c r="AL67" s="82" t="str">
        <x:v>初审</x:v>
      </x:c>
      <x:c r="AM67" s="87" t="n">
        <x:v>46260</x:v>
      </x:c>
    </x:row>
    <x:row r="68">
      <x:c r="A68" s="72" t="str">
        <x:f>IF(OR(C68="",D68=""),"",B68&amp;"-"&amp;UPPER(C68)&amp;"-"&amp;TEXT(D68,"0000")&amp;"-"&amp;E68)</x:f>
        <x:v>M16-PATTERN-0062-V1.0</x:v>
      </x:c>
      <x:c r="B68" s="74" t="str">
        <x:v>M16</x:v>
      </x:c>
      <x:c r="C68" s="74" t="str">
        <x:v>PATTERN</x:v>
      </x:c>
      <x:c r="D68" s="215" t="n">
        <x:v>62</x:v>
      </x:c>
      <x:c r="E68" s="74" t="str">
        <x:v>V1.0</x:v>
      </x:c>
      <x:c r="F68" s="68" t="str">
        <x:v>真从格被有效强根或印比破坏</x:v>
      </x:c>
      <x:c r="G68" s="82" t="str">
        <x:v>综合层</x:v>
      </x:c>
      <x:c r="H68" s="82" t="str">
        <x:v>格局病</x:v>
      </x:c>
      <x:c r="I68" s="68" t="str">
        <x:v>反从根气/印比节点</x:v>
      </x:c>
      <x:c r="J68" s="68" t="str">
        <x:v>破从</x:v>
      </x:c>
      <x:c r="K68" s="68" t="str">
        <x:v>从格主势已成，但日主出现可调用强根或有力印比自立</x:v>
      </x:c>
      <x:c r="L68" s="68" t="str">
        <x:v>真从降为假从或普通格局</x:v>
      </x:c>
      <x:c r="M68" s="82" t="str">
        <x:v>首要矛盾</x:v>
      </x:c>
      <x:c r="N68" s="68" t="str">
        <x:v>若原局事实已存在则不能用药抹除，应重定格局；动态中可制去逆神</x:v>
      </x:c>
      <x:c r="O68" s="68" t="str">
        <x:v>顺从主势者</x:v>
      </x:c>
      <x:c r="P68" s="82" t="str">
        <x:v>护格</x:v>
      </x:c>
      <x:c r="Q68" s="68" t="str">
        <x:v>M15从格强根破格或有效逆神破格成立</x:v>
      </x:c>
      <x:c r="R68" s="90" t="str">
        <x:v>不得为了套从格而忽略真实根气</x:v>
      </x:c>
      <x:c r="S68" s="90" t="str">
        <x:v>主要病位未被修复，原有失衡继续运行</x:v>
      </x:c>
      <x:c r="T68" s="90" t="str">
        <x:v>药神反向过度，可能跨越平衡并形成新的结构性失衡</x:v>
      </x:c>
      <x:c r="U68" s="82" t="str">
        <x:v>是</x:v>
      </x:c>
      <x:c r="V68" s="90" t="str">
        <x:v>否</x:v>
      </x:c>
      <x:c r="W68" s="90" t="str">
        <x:v>格局重定</x:v>
      </x:c>
      <x:c r="X68" s="68" t="str">
        <x:v>M08有效旺衰、M09日主旺衰、M10十神功能、M11组合、M12流通、M13调候、M15格局成败均已完成</x:v>
      </x:c>
      <x:c r="Y68" s="68" t="str">
        <x:v>病位、根因、功能障碍与药神作用路径均能够追溯</x:v>
      </x:c>
      <x:c r="Z68" s="68" t="str">
        <x:v>药神有根有源、透达，能够直接进入病位且兼顾多个主要问题</x:v>
      </x:c>
      <x:c r="AA68" s="68" t="str">
        <x:v>药神无根、受强制、被合绊、作用路径遥隔或同时被多个任务分流</x:v>
      </x:c>
      <x:c r="AB68" s="90" t="str">
        <x:v>若该失衡没有造成实际功能障碍，或特殊格局要求顺势，则不得按普通病药立论</x:v>
      </x:c>
      <x:c r="AC68" s="68" t="str">
        <x:v>特殊格局严格成立、岁运动态作用或流派争议转M18/M21及动态引擎</x:v>
      </x:c>
      <x:c r="AD68" s="84" t="str">
        <x:v>从格破格病</x:v>
      </x:c>
      <x:c r="AE68" s="84" t="str">
        <x:v>有效强根/印比属于真从硬否决；原局应重定格局，而不是简单指定药神“消除”事实。</x:v>
      </x:c>
      <x:c r="AF68" s="82" t="str">
        <x:v>较高</x:v>
      </x:c>
      <x:c r="AG68" s="82" t="str">
        <x:v>病药</x:v>
      </x:c>
      <x:c r="AH6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8" s="68" t="str">
        <x:v>当“M15从格强根破格或有效逆神破格成立”真实成立，且药神能够直接作用病位时，可按“真从格被有效强根或印比破坏”记录。</x:v>
      </x:c>
      <x:c r="AJ68" s="90" t="str">
        <x:v>只有表面“真从降为假从或普通格局”，但未证明根因“从格主势已成，但日主出现可调用强根或有力印比自立”及药神作用路径时，不得套用“真从格被有效强根或印比破坏”。</x:v>
      </x:c>
      <x:c r="AK68" s="82" t="str">
        <x:v>采用</x:v>
      </x:c>
      <x:c r="AL68" s="82" t="str">
        <x:v>初审</x:v>
      </x:c>
      <x:c r="AM68" s="87" t="n">
        <x:v>46260</x:v>
      </x:c>
    </x:row>
    <x:row r="69">
      <x:c r="A69" s="72" t="str">
        <x:f>IF(OR(C69="",D69=""),"",B69&amp;"-"&amp;UPPER(C69)&amp;"-"&amp;TEXT(D69,"0000")&amp;"-"&amp;E69)</x:f>
        <x:v>M16-PATTERN-0063-V1.0</x:v>
      </x:c>
      <x:c r="B69" s="74" t="str">
        <x:v>M16</x:v>
      </x:c>
      <x:c r="C69" s="74" t="str">
        <x:v>PATTERN</x:v>
      </x:c>
      <x:c r="D69" s="215" t="n">
        <x:v>63</x:v>
      </x:c>
      <x:c r="E69" s="74" t="str">
        <x:v>V1.0</x:v>
      </x:c>
      <x:c r="F69" s="68" t="str">
        <x:v>化气格中原气强根或争合形成破化</x:v>
      </x:c>
      <x:c r="G69" s="82" t="str">
        <x:v>综合层</x:v>
      </x:c>
      <x:c r="H69" s="82" t="str">
        <x:v>格局病</x:v>
      </x:c>
      <x:c r="I69" s="68" t="str">
        <x:v>原气根与化神主势</x:v>
      </x:c>
      <x:c r="J69" s="68" t="str">
        <x:v>破化</x:v>
      </x:c>
      <x:c r="K69" s="68" t="str">
        <x:v>日主原五行仍能自立，或争合、强克、冲破使化势不专</x:v>
      </x:c>
      <x:c r="L69" s="68" t="str">
        <x:v>真化降为假化、合绊或合而不化</x:v>
      </x:c>
      <x:c r="M69" s="82" t="str">
        <x:v>严重</x:v>
      </x:c>
      <x:c r="N69" s="68" t="str">
        <x:v>生扶化神并制逆神；若硬门槛失败则重定格局</x:v>
      </x:c>
      <x:c r="O69" s="68" t="str">
        <x:v>保护化神根源</x:v>
      </x:c>
      <x:c r="P69" s="82" t="str">
        <x:v>护格</x:v>
      </x:c>
      <x:c r="Q69" s="68" t="str">
        <x:v>M15化气格原气强根、争合破化或化神受损成立</x:v>
      </x:c>
      <x:c r="R69" s="90" t="str">
        <x:v>不能把原局强根当作可轻易消除的表层病</x:v>
      </x:c>
      <x:c r="S69" s="90" t="str">
        <x:v>主要病位未被修复，原有失衡继续运行</x:v>
      </x:c>
      <x:c r="T69" s="90" t="str">
        <x:v>药神反向过度，可能跨越平衡并形成新的结构性失衡</x:v>
      </x:c>
      <x:c r="U69" s="82" t="str">
        <x:v>条件性</x:v>
      </x:c>
      <x:c r="V69" s="90" t="str">
        <x:v>条件性</x:v>
      </x:c>
      <x:c r="W69" s="90" t="str">
        <x:v>原格局重定或假化不稳</x:v>
      </x:c>
      <x:c r="X69" s="68" t="str">
        <x:v>M08有效旺衰、M09日主旺衰、M10十神功能、M11组合、M12流通、M13调候、M15格局成败均已完成</x:v>
      </x:c>
      <x:c r="Y69" s="68" t="str">
        <x:v>病位、根因、功能障碍与药神作用路径均能够追溯</x:v>
      </x:c>
      <x:c r="Z69" s="68" t="str">
        <x:v>药神有根有源、透达，能够直接进入病位且兼顾多个主要问题</x:v>
      </x:c>
      <x:c r="AA69" s="68" t="str">
        <x:v>药神无根、受强制、被合绊、作用路径遥隔或同时被多个任务分流</x:v>
      </x:c>
      <x:c r="AB69" s="90" t="str">
        <x:v>若该失衡没有造成实际功能障碍，或特殊格局要求顺势，则不得按普通病药立论</x:v>
      </x:c>
      <x:c r="AC69" s="68" t="str">
        <x:v>特殊格局严格成立、岁运动态作用或流派争议转M18/M21及动态引擎</x:v>
      </x:c>
      <x:c r="AD69" s="84" t="str">
        <x:v>化气破化病</x:v>
      </x:c>
      <x:c r="AE69" s="84" t="str">
        <x:v>根本之病在“原气根与化神主势”：日主原五行仍能自立，或争合、强克、冲破使化势不专；表层表现为“真化降为假化、合绊或合而不化”。主药候选为“生扶化神并制逆神；若硬门槛失败则重定格局”，药理为“护格”；最终喜忌与主次仍转M17/M18裁决。</x:v>
      </x:c>
      <x:c r="AF69" s="82" t="str">
        <x:v>较高</x:v>
      </x:c>
      <x:c r="AG69" s="82" t="str">
        <x:v>病药</x:v>
      </x:c>
      <x:c r="AH6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9" s="68" t="str">
        <x:v>当“M15化气格原气强根、争合破化或化神受损成立”真实成立，且药神能够直接作用病位时，可按“化气格中原气强根或争合形成破化”记录。</x:v>
      </x:c>
      <x:c r="AJ69" s="90" t="str">
        <x:v>只有表面“真化降为假化、合绊或合而不化”，但未证明根因“日主原五行仍能自立，或争合、强克、冲破使化势不专”及药神作用路径时，不得套用“化气格中原气强根或争合形成破化”。</x:v>
      </x:c>
      <x:c r="AK69" s="82" t="str">
        <x:v>采用</x:v>
      </x:c>
      <x:c r="AL69" s="82" t="str">
        <x:v>初审</x:v>
      </x:c>
      <x:c r="AM69" s="87" t="n">
        <x:v>46260</x:v>
      </x:c>
    </x:row>
    <x:row r="70">
      <x:c r="A70" s="72" t="str">
        <x:f>IF(OR(C70="",D70=""),"",B70&amp;"-"&amp;UPPER(C70)&amp;"-"&amp;TEXT(D70,"0000")&amp;"-"&amp;E70)</x:f>
        <x:v>M16-PATTERN-0064-V1.0</x:v>
      </x:c>
      <x:c r="B70" s="74" t="str">
        <x:v>M16</x:v>
      </x:c>
      <x:c r="C70" s="74" t="str">
        <x:v>PATTERN</x:v>
      </x:c>
      <x:c r="D70" s="215" t="n">
        <x:v>64</x:v>
      </x:c>
      <x:c r="E70" s="74" t="str">
        <x:v>V1.0</x:v>
      </x:c>
      <x:c r="F70" s="68" t="str">
        <x:v>专旺格中有效逆神形成破格</x:v>
      </x:c>
      <x:c r="G70" s="82" t="str">
        <x:v>综合层</x:v>
      </x:c>
      <x:c r="H70" s="82" t="str">
        <x:v>格局病</x:v>
      </x:c>
      <x:c r="I70" s="68" t="str">
        <x:v>专旺主势—逆克神</x:v>
      </x:c>
      <x:c r="J70" s="68" t="str">
        <x:v>逆神破专</x:v>
      </x:c>
      <x:c r="K70" s="68" t="str">
        <x:v>克制主气的五行有根有源并形成真实逆势</x:v>
      </x:c>
      <x:c r="L70" s="68" t="str">
        <x:v>专旺清纯度下降或不成立</x:v>
      </x:c>
      <x:c r="M70" s="82" t="str">
        <x:v>严重</x:v>
      </x:c>
      <x:c r="N70" s="68" t="str">
        <x:v>使逆神失效或顺势转化；硬门槛失败则重定格局</x:v>
      </x:c>
      <x:c r="O70" s="68" t="str">
        <x:v>维护主势流通</x:v>
      </x:c>
      <x:c r="P70" s="82" t="str">
        <x:v>护格</x:v>
      </x:c>
      <x:c r="Q70" s="68" t="str">
        <x:v>M15专旺逆克破格成立</x:v>
      </x:c>
      <x:c r="R70" s="90" t="str">
        <x:v>逆神是调候必需时必须进入M18冲突裁决</x:v>
      </x:c>
      <x:c r="S70" s="90" t="str">
        <x:v>主要病位未被修复，原有失衡继续运行</x:v>
      </x:c>
      <x:c r="T70" s="90" t="str">
        <x:v>药神反向过度，可能跨越平衡并形成新的结构性失衡</x:v>
      </x:c>
      <x:c r="U70" s="82" t="str">
        <x:v>条件性</x:v>
      </x:c>
      <x:c r="V70" s="90" t="str">
        <x:v>条件性</x:v>
      </x:c>
      <x:c r="W70" s="90" t="str">
        <x:v>调候与格局冲突</x:v>
      </x:c>
      <x:c r="X70" s="68" t="str">
        <x:v>M08有效旺衰、M09日主旺衰、M10十神功能、M11组合、M12流通、M13调候、M15格局成败均已完成</x:v>
      </x:c>
      <x:c r="Y70" s="68" t="str">
        <x:v>病位、根因、功能障碍与药神作用路径均能够追溯</x:v>
      </x:c>
      <x:c r="Z70" s="68" t="str">
        <x:v>药神有根有源、透达，能够直接进入病位且兼顾多个主要问题</x:v>
      </x:c>
      <x:c r="AA70" s="68" t="str">
        <x:v>药神无根、受强制、被合绊、作用路径遥隔或同时被多个任务分流</x:v>
      </x:c>
      <x:c r="AB70" s="90" t="str">
        <x:v>若该失衡没有造成实际功能障碍，或特殊格局要求顺势，则不得按普通病药立论</x:v>
      </x:c>
      <x:c r="AC70" s="68" t="str">
        <x:v>特殊格局严格成立、岁运动态作用或流派争议转M18/M21及动态引擎</x:v>
      </x:c>
      <x:c r="AD70" s="84" t="str">
        <x:v>专旺逆神病</x:v>
      </x:c>
      <x:c r="AE70" s="84" t="str">
        <x:v>根本之病在“专旺主势—逆克神”：克制主气的五行有根有源并形成真实逆势；表层表现为“专旺清纯度下降或不成立”。主药候选为“使逆神失效或顺势转化；硬门槛失败则重定格局”，药理为“护格”；最终喜忌与主次仍转M17/M18裁决。</x:v>
      </x:c>
      <x:c r="AF70" s="82" t="str">
        <x:v>较高</x:v>
      </x:c>
      <x:c r="AG70" s="82" t="str">
        <x:v>病药</x:v>
      </x:c>
      <x:c r="AH7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0" s="68" t="str">
        <x:v>当“M15专旺逆克破格成立”真实成立，且药神能够直接作用病位时，可按“专旺格中有效逆神形成破格”记录。</x:v>
      </x:c>
      <x:c r="AJ70" s="90" t="str">
        <x:v>只有表面“专旺清纯度下降或不成立”，但未证明根因“克制主气的五行有根有源并形成真实逆势”及药神作用路径时，不得套用“专旺格中有效逆神形成破格”。</x:v>
      </x:c>
      <x:c r="AK70" s="82" t="str">
        <x:v>采用</x:v>
      </x:c>
      <x:c r="AL70" s="82" t="str">
        <x:v>初审</x:v>
      </x:c>
      <x:c r="AM70" s="87" t="n">
        <x:v>46260</x:v>
      </x:c>
    </x:row>
    <x:row r="71">
      <x:c r="A71" s="72" t="str">
        <x:f>IF(OR(C71="",D71=""),"",B71&amp;"-"&amp;UPPER(C71)&amp;"-"&amp;TEXT(D71,"0000")&amp;"-"&amp;E71)</x:f>
        <x:v>M16-PATTERN-0065-V1.0</x:v>
      </x:c>
      <x:c r="B71" s="74" t="str">
        <x:v>M16</x:v>
      </x:c>
      <x:c r="C71" s="74" t="str">
        <x:v>PATTERN</x:v>
      </x:c>
      <x:c r="D71" s="215" t="n">
        <x:v>65</x:v>
      </x:c>
      <x:c r="E71" s="74" t="str">
        <x:v>V1.0</x:v>
      </x:c>
      <x:c r="F71" s="68" t="str">
        <x:v>建禄比劫壅塞形成格局运行病</x:v>
      </x:c>
      <x:c r="G71" s="82" t="str">
        <x:v>综合层</x:v>
      </x:c>
      <x:c r="H71" s="82" t="str">
        <x:v>格局病</x:v>
      </x:c>
      <x:c r="I71" s="68" t="str">
        <x:v>建禄强身集团的输出端</x:v>
      </x:c>
      <x:c r="J71" s="68" t="str">
        <x:v>无制无泄</x:v>
      </x:c>
      <x:c r="K71" s="68" t="str">
        <x:v>建禄身旺，比劫成势，财官食伤均不能形成有效出口</x:v>
      </x:c>
      <x:c r="L71" s="68" t="str">
        <x:v>建禄格成立但有破、层次受限</x:v>
      </x:c>
      <x:c r="M71" s="82" t="str">
        <x:v>明显</x:v>
      </x:c>
      <x:c r="N71" s="68" t="str">
        <x:v>食伤泄秀或官杀制衡</x:v>
      </x:c>
      <x:c r="O71" s="68" t="str">
        <x:v>财星承接食伤</x:v>
      </x:c>
      <x:c r="P71" s="82" t="str">
        <x:v>泄</x:v>
      </x:c>
      <x:c r="Q71" s="68" t="str">
        <x:v>M15建禄比劫壅塞成立且非从旺</x:v>
      </x:c>
      <x:c r="R71" s="90" t="str">
        <x:v>不得同时强制泄耗导致过度</x:v>
      </x:c>
      <x:c r="S71" s="90" t="str">
        <x:v>主要病位未被修复，原有失衡继续运行</x:v>
      </x:c>
      <x:c r="T71" s="90" t="str">
        <x:v>泄制过量会由旺转弱或伤格</x:v>
      </x:c>
      <x:c r="U71" s="82" t="str">
        <x:v>条件性</x:v>
      </x:c>
      <x:c r="V71" s="90" t="str">
        <x:v>条件性</x:v>
      </x:c>
      <x:c r="W71" s="90" t="str">
        <x:v>身弱或官杀压身</x:v>
      </x:c>
      <x:c r="X71" s="68" t="str">
        <x:v>M08有效旺衰、M09日主旺衰、M10十神功能、M11组合、M12流通、M13调候、M15格局成败均已完成</x:v>
      </x:c>
      <x:c r="Y71" s="68" t="str">
        <x:v>病位、根因、功能障碍与药神作用路径均能够追溯</x:v>
      </x:c>
      <x:c r="Z71" s="68" t="str">
        <x:v>药神有根有源、透达，能够直接进入病位且兼顾多个主要问题</x:v>
      </x:c>
      <x:c r="AA71" s="68" t="str">
        <x:v>药神无根、受强制、被合绊、作用路径遥隔或同时被多个任务分流</x:v>
      </x:c>
      <x:c r="AB71" s="90" t="str">
        <x:v>若该失衡没有造成实际功能障碍，或特殊格局要求顺势，则不得按普通病药立论</x:v>
      </x:c>
      <x:c r="AC71" s="68" t="str">
        <x:v>特殊格局严格成立、岁运动态作用或流派争议转M18/M21及动态引擎</x:v>
      </x:c>
      <x:c r="AD71" s="84" t="str">
        <x:v>建禄壅塞病</x:v>
      </x:c>
      <x:c r="AE71" s="84" t="str">
        <x:v>根本之病在“建禄强身集团的输出端”：建禄身旺，比劫成势，财官食伤均不能形成有效出口；表层表现为“建禄格成立但有破、层次受限”。主药候选为“食伤泄秀或官杀制衡”，药理为“泄”；最终喜忌与主次仍转M17/M18裁决。</x:v>
      </x:c>
      <x:c r="AF71" s="82" t="str">
        <x:v>较高</x:v>
      </x:c>
      <x:c r="AG71" s="82" t="str">
        <x:v>病药</x:v>
      </x:c>
      <x:c r="AH7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1" s="68" t="str">
        <x:v>当“M15建禄比劫壅塞成立且非从旺”真实成立，且药神能够直接作用病位时，可按“建禄比劫壅塞形成格局运行病”记录。</x:v>
      </x:c>
      <x:c r="AJ71" s="90" t="str">
        <x:v>只有表面“建禄格成立但有破、层次受限”，但未证明根因“建禄身旺，比劫成势，财官食伤均不能形成有效出口”及药神作用路径时，不得套用“建禄比劫壅塞形成格局运行病”。</x:v>
      </x:c>
      <x:c r="AK71" s="82" t="str">
        <x:v>采用</x:v>
      </x:c>
      <x:c r="AL71" s="82" t="str">
        <x:v>初审</x:v>
      </x:c>
      <x:c r="AM71" s="87" t="n">
        <x:v>46260</x:v>
      </x:c>
    </x:row>
    <x:row r="72">
      <x:c r="A72" s="72" t="str">
        <x:f>IF(OR(C72="",D72=""),"",B72&amp;"-"&amp;UPPER(C72)&amp;"-"&amp;TEXT(D72,"0000")&amp;"-"&amp;E72)</x:f>
        <x:v>M16-PATTERN-0066-V1.0</x:v>
      </x:c>
      <x:c r="B72" s="74" t="str">
        <x:v>M16</x:v>
      </x:c>
      <x:c r="C72" s="74" t="str">
        <x:v>PATTERN</x:v>
      </x:c>
      <x:c r="D72" s="215" t="n">
        <x:v>66</x:v>
      </x:c>
      <x:c r="E72" s="74" t="str">
        <x:v>V1.0</x:v>
      </x:c>
      <x:c r="F72" s="68" t="str">
        <x:v>格局清纯成立且运行正常时不立格局病</x:v>
      </x:c>
      <x:c r="G72" s="82" t="str">
        <x:v>综合层</x:v>
      </x:c>
      <x:c r="H72" s="82" t="str">
        <x:v>格局病</x:v>
      </x:c>
      <x:c r="I72" s="68" t="str">
        <x:v>核心格局</x:v>
      </x:c>
      <x:c r="J72" s="68" t="str">
        <x:v>无病</x:v>
      </x:c>
      <x:c r="K72" s="68" t="str">
        <x:v>M15清纯成立或特殊格局严格成立，未发现实际破格与功能障碍</x:v>
      </x:c>
      <x:c r="L72" s="68" t="str">
        <x:v>格局主次明确、运行稳定</x:v>
      </x:c>
      <x:c r="M72" s="82" t="str">
        <x:v>轻微</x:v>
      </x:c>
      <x:c r="N72" s="68" t="str">
        <x:v>不预设护格之外的新药</x:v>
      </x:c>
      <x:c r="O72" s="68" t="str">
        <x:v>维持现有结构者</x:v>
      </x:c>
      <x:c r="P72" s="82" t="str">
        <x:v>护格</x:v>
      </x:c>
      <x:c r="Q72" s="68" t="str">
        <x:v>无破、无需救应，且调候/流通无共同根病</x:v>
      </x:c>
      <x:c r="R72" s="90" t="str">
        <x:v>不得为了凑病药模型而人为立格局病</x:v>
      </x:c>
      <x:c r="S72" s="90" t="str">
        <x:v>不适用</x:v>
      </x:c>
      <x:c r="T72" s="90" t="str">
        <x:v>无必要用药会制造新病</x:v>
      </x:c>
      <x:c r="U72" s="82" t="str">
        <x:v>是</x:v>
      </x:c>
      <x:c r="V72" s="90" t="str">
        <x:v>是</x:v>
      </x:c>
      <x:c r="W72" s="90" t="str">
        <x:v>人为破格</x:v>
      </x:c>
      <x:c r="X72" s="68" t="str">
        <x:v>M08有效旺衰、M09日主旺衰、M10十神功能、M11组合、M12流通、M13调候、M15格局成败均已完成</x:v>
      </x:c>
      <x:c r="Y72" s="68" t="str">
        <x:v>病位、根因、功能障碍与药神作用路径均能够追溯</x:v>
      </x:c>
      <x:c r="Z72" s="68" t="str">
        <x:v>药神有根有源、透达，能够直接进入病位且兼顾多个主要问题</x:v>
      </x:c>
      <x:c r="AA72" s="68" t="str">
        <x:v>药神无根、受强制、被合绊、作用路径遥隔或同时被多个任务分流</x:v>
      </x:c>
      <x:c r="AB72" s="90" t="str">
        <x:v>若该失衡没有造成实际功能障碍，或特殊格局要求顺势，则不得按普通病药立论</x:v>
      </x:c>
      <x:c r="AC72" s="68" t="str">
        <x:v>特殊格局严格成立、岁运动态作用或流派争议转M18/M21及动态引擎</x:v>
      </x:c>
      <x:c r="AD72" s="84" t="str">
        <x:v>清纯格局无病</x:v>
      </x:c>
      <x:c r="AE72" s="84" t="str">
        <x:v>格局运行正常，不另立格局病；只保留维护条件和可能的外部风险。</x:v>
      </x:c>
      <x:c r="AF72" s="82" t="str">
        <x:v>较高</x:v>
      </x:c>
      <x:c r="AG72" s="82" t="str">
        <x:v>病药</x:v>
      </x:c>
      <x:c r="AH7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2" s="68" t="str">
        <x:v>当“无破、无需救应，且调候/流通无共同根病”真实成立，且药神能够直接作用病位时，可按“格局清纯成立且运行正常时不立格局病”记录。</x:v>
      </x:c>
      <x:c r="AJ72" s="90" t="str">
        <x:v>只有表面“格局主次明确、运行稳定”，但未证明根因“M15清纯成立或特殊格局严格成立，未发现实际破格与功能障碍”及药神作用路径时，不得套用“格局清纯成立且运行正常时不立格局病”。</x:v>
      </x:c>
      <x:c r="AK72" s="82" t="str">
        <x:v>采用</x:v>
      </x:c>
      <x:c r="AL72" s="82" t="str">
        <x:v>初审</x:v>
      </x:c>
      <x:c r="AM72" s="87" t="n">
        <x:v>46260</x:v>
      </x:c>
    </x:row>
    <x:row r="73">
      <x:c r="A73" s="72" t="str">
        <x:f>IF(OR(C73="",D73=""),"",B73&amp;"-"&amp;UPPER(C73)&amp;"-"&amp;TEXT(D73,"0000")&amp;"-"&amp;E73)</x:f>
        <x:v>M16-CLIMATE-0067-V1.0</x:v>
      </x:c>
      <x:c r="B73" s="74" t="str">
        <x:v>M16</x:v>
      </x:c>
      <x:c r="C73" s="74" t="str">
        <x:v>CLIMATE</x:v>
      </x:c>
      <x:c r="D73" s="215" t="n">
        <x:v>67</x:v>
      </x:c>
      <x:c r="E73" s="74" t="str">
        <x:v>V1.0</x:v>
      </x:c>
      <x:c r="F73" s="68" t="str">
        <x:v>极寒导致全局生化停滞</x:v>
      </x:c>
      <x:c r="G73" s="82" t="str">
        <x:v>综合层</x:v>
      </x:c>
      <x:c r="H73" s="82" t="str">
        <x:v>调候病</x:v>
      </x:c>
      <x:c r="I73" s="68" t="str">
        <x:v>全局温度轴与木火生化节点</x:v>
      </x:c>
      <x:c r="J73" s="68" t="str">
        <x:v>寒凝</x:v>
      </x:c>
      <x:c r="K73" s="68" t="str">
        <x:v>M13极寒，火弱无效，寒凝已阻断M12关键路径</x:v>
      </x:c>
      <x:c r="L73" s="68" t="str">
        <x:v>木火不生、湿土不化或水寒凝滞</x:v>
      </x:c>
      <x:c r="M73" s="82" t="str">
        <x:v>首要矛盾</x:v>
      </x:c>
      <x:c r="N73" s="68" t="str">
        <x:v>火</x:v>
      </x:c>
      <x:c r="O73" s="68" t="str">
        <x:v>木或能护火源者</x:v>
      </x:c>
      <x:c r="P73" s="82" t="str">
        <x:v>暖</x:v>
      </x:c>
      <x:c r="Q73" s="68" t="str">
        <x:v>极寒不仅是季节标签，而是多个功能障碍的共同根因</x:v>
      </x:c>
      <x:c r="R73" s="90" t="str">
        <x:v>从水、润下等特殊格局或原局极燥时需服从硬约束</x:v>
      </x:c>
      <x:c r="S73" s="90" t="str">
        <x:v>主要病位未被修复，原有失衡继续运行</x:v>
      </x:c>
      <x:c r="T73" s="90" t="str">
        <x:v>火过旺转为热燥、耗水或破格</x:v>
      </x:c>
      <x:c r="U73" s="82" t="str">
        <x:v>条件性</x:v>
      </x:c>
      <x:c r="V73" s="90" t="str">
        <x:v>是</x:v>
      </x:c>
      <x:c r="W73" s="90" t="str">
        <x:v>极热燥或特殊格局破坏</x:v>
      </x:c>
      <x:c r="X73" s="68" t="str">
        <x:v>M08有效旺衰、M09日主旺衰、M10十神功能、M11组合、M12流通、M13调候、M15格局成败均已完成</x:v>
      </x:c>
      <x:c r="Y73" s="68" t="str">
        <x:v>病位、根因、功能障碍与药神作用路径均能够追溯</x:v>
      </x:c>
      <x:c r="Z73" s="68" t="str">
        <x:v>药神有根有源、透达，能够直接进入病位且兼顾多个主要问题</x:v>
      </x:c>
      <x:c r="AA73" s="68" t="str">
        <x:v>药神无根、受强制、被合绊、作用路径遥隔或同时被多个任务分流</x:v>
      </x:c>
      <x:c r="AB73" s="90" t="str">
        <x:v>若该失衡没有造成实际功能障碍，或特殊格局要求顺势，则不得按普通病药立论</x:v>
      </x:c>
      <x:c r="AC73" s="68" t="str">
        <x:v>特殊格局严格成立、岁运动态作用或流派争议转M18/M21及动态引擎</x:v>
      </x:c>
      <x:c r="AD73" s="84" t="str">
        <x:v>极寒病</x:v>
      </x:c>
      <x:c r="AE73" s="84" t="str">
        <x:v>根本之病在“全局温度轴与木火生化节点”：M13极寒，火弱无效，寒凝已阻断M12关键路径；表层表现为“木火不生、湿土不化或水寒凝滞”。主药候选为“火”，药理为“暖”；最终喜忌与主次仍转M17/M18裁决。</x:v>
      </x:c>
      <x:c r="AF73" s="82" t="str">
        <x:v>较高</x:v>
      </x:c>
      <x:c r="AG73" s="82" t="str">
        <x:v>病药</x:v>
      </x:c>
      <x:c r="AH7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3" s="68" t="str">
        <x:v>当“极寒不仅是季节标签，而是多个功能障碍的共同根因”真实成立，且药神能够直接作用病位时，可按“极寒导致全局生化停滞”记录。</x:v>
      </x:c>
      <x:c r="AJ73" s="90" t="str">
        <x:v>只有表面“木火不生、湿土不化或水寒凝滞”，但未证明根因“M13极寒，火弱无效，寒凝已阻断M12关键路径”及药神作用路径时，不得套用“极寒导致全局生化停滞”。</x:v>
      </x:c>
      <x:c r="AK73" s="82" t="str">
        <x:v>采用</x:v>
      </x:c>
      <x:c r="AL73" s="82" t="str">
        <x:v>初审</x:v>
      </x:c>
      <x:c r="AM73" s="87" t="n">
        <x:v>46260</x:v>
      </x:c>
    </x:row>
    <x:row r="74">
      <x:c r="A74" s="72" t="str">
        <x:f>IF(OR(C74="",D74=""),"",B74&amp;"-"&amp;UPPER(C74)&amp;"-"&amp;TEXT(D74,"0000")&amp;"-"&amp;E74)</x:f>
        <x:v>M16-CLIMATE-0068-V1.0</x:v>
      </x:c>
      <x:c r="B74" s="74" t="str">
        <x:v>M16</x:v>
      </x:c>
      <x:c r="C74" s="74" t="str">
        <x:v>CLIMATE</x:v>
      </x:c>
      <x:c r="D74" s="215" t="n">
        <x:v>68</x:v>
      </x:c>
      <x:c r="E74" s="74" t="str">
        <x:v>V1.0</x:v>
      </x:c>
      <x:c r="F74" s="68" t="str">
        <x:v>寒湿并重形成暖局化湿病</x:v>
      </x:c>
      <x:c r="G74" s="82" t="str">
        <x:v>综合层</x:v>
      </x:c>
      <x:c r="H74" s="82" t="str">
        <x:v>调候病</x:v>
      </x:c>
      <x:c r="I74" s="68" t="str">
        <x:v>温度与湿度双轴</x:v>
      </x:c>
      <x:c r="J74" s="68" t="str">
        <x:v>寒湿</x:v>
      </x:c>
      <x:c r="K74" s="68" t="str">
        <x:v>偏寒/极寒与偏湿/极湿共同造成流通壅滞</x:v>
      </x:c>
      <x:c r="L74" s="68" t="str">
        <x:v>湿土晦火、木火生化不足、水湿停聚</x:v>
      </x:c>
      <x:c r="M74" s="82" t="str">
        <x:v>严重</x:v>
      </x:c>
      <x:c r="N74" s="68" t="str">
        <x:v>火</x:v>
      </x:c>
      <x:c r="O74" s="68" t="str">
        <x:v>木</x:v>
      </x:c>
      <x:c r="P74" s="82" t="str">
        <x:v>燥湿</x:v>
      </x:c>
      <x:c r="Q74" s="68" t="str">
        <x:v>M13寒湿状态且M12桥梁受寒凝/湿滞</x:v>
      </x:c>
      <x:c r="R74" s="90" t="str">
        <x:v>火为核心忌神或从水格严格成立时需替代调候方案</x:v>
      </x:c>
      <x:c r="S74" s="90" t="str">
        <x:v>主要病位未被修复，原有失衡继续运行</x:v>
      </x:c>
      <x:c r="T74" s="90" t="str">
        <x:v>火过度形成暖燥，木过旺可能加重火势</x:v>
      </x:c>
      <x:c r="U74" s="82" t="str">
        <x:v>条件性</x:v>
      </x:c>
      <x:c r="V74" s="90" t="str">
        <x:v>是</x:v>
      </x:c>
      <x:c r="W74" s="90" t="str">
        <x:v>暖燥或格局冲突</x:v>
      </x:c>
      <x:c r="X74" s="68" t="str">
        <x:v>M08有效旺衰、M09日主旺衰、M10十神功能、M11组合、M12流通、M13调候、M15格局成败均已完成</x:v>
      </x:c>
      <x:c r="Y74" s="68" t="str">
        <x:v>病位、根因、功能障碍与药神作用路径均能够追溯</x:v>
      </x:c>
      <x:c r="Z74" s="68" t="str">
        <x:v>药神有根有源、透达，能够直接进入病位且兼顾多个主要问题</x:v>
      </x:c>
      <x:c r="AA74" s="68" t="str">
        <x:v>药神无根、受强制、被合绊、作用路径遥隔或同时被多个任务分流</x:v>
      </x:c>
      <x:c r="AB74" s="90" t="str">
        <x:v>若该失衡没有造成实际功能障碍，或特殊格局要求顺势，则不得按普通病药立论</x:v>
      </x:c>
      <x:c r="AC74" s="68" t="str">
        <x:v>特殊格局严格成立、岁运动态作用或流派争议转M18/M21及动态引擎</x:v>
      </x:c>
      <x:c r="AD74" s="84" t="str">
        <x:v>寒湿病</x:v>
      </x:c>
      <x:c r="AE74" s="84" t="str">
        <x:v>根本之病在“温度与湿度双轴”：偏寒/极寒与偏湿/极湿共同造成流通壅滞；表层表现为“湿土晦火、木火生化不足、水湿停聚”。主药候选为“火”，药理为“燥湿”；最终喜忌与主次仍转M17/M18裁决。</x:v>
      </x:c>
      <x:c r="AF74" s="82" t="str">
        <x:v>较高</x:v>
      </x:c>
      <x:c r="AG74" s="82" t="str">
        <x:v>病药</x:v>
      </x:c>
      <x:c r="AH7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4" s="68" t="str">
        <x:v>当“M13寒湿状态且M12桥梁受寒凝/湿滞”真实成立，且药神能够直接作用病位时，可按“寒湿并重形成暖局化湿病”记录。</x:v>
      </x:c>
      <x:c r="AJ74" s="90" t="str">
        <x:v>只有表面“湿土晦火、木火生化不足、水湿停聚”，但未证明根因“偏寒/极寒与偏湿/极湿共同造成流通壅滞”及药神作用路径时，不得套用“寒湿并重形成暖局化湿病”。</x:v>
      </x:c>
      <x:c r="AK74" s="82" t="str">
        <x:v>采用</x:v>
      </x:c>
      <x:c r="AL74" s="82" t="str">
        <x:v>初审</x:v>
      </x:c>
      <x:c r="AM74" s="87" t="n">
        <x:v>46260</x:v>
      </x:c>
    </x:row>
    <x:row r="75">
      <x:c r="A75" s="72" t="str">
        <x:f>IF(OR(C75="",D75=""),"",B75&amp;"-"&amp;UPPER(C75)&amp;"-"&amp;TEXT(D75,"0000")&amp;"-"&amp;E75)</x:f>
        <x:v>M16-CLIMATE-0069-V1.0</x:v>
      </x:c>
      <x:c r="B75" s="74" t="str">
        <x:v>M16</x:v>
      </x:c>
      <x:c r="C75" s="74" t="str">
        <x:v>CLIMATE</x:v>
      </x:c>
      <x:c r="D75" s="215" t="n">
        <x:v>69</x:v>
      </x:c>
      <x:c r="E75" s="74" t="str">
        <x:v>V1.0</x:v>
      </x:c>
      <x:c r="F75" s="68" t="str">
        <x:v>寒燥需要兼顾暖与润</x:v>
      </x:c>
      <x:c r="G75" s="82" t="str">
        <x:v>综合层</x:v>
      </x:c>
      <x:c r="H75" s="82" t="str">
        <x:v>调候病</x:v>
      </x:c>
      <x:c r="I75" s="68" t="str">
        <x:v>温度与湿度双轴</x:v>
      </x:c>
      <x:c r="J75" s="68" t="str">
        <x:v>寒燥</x:v>
      </x:c>
      <x:c r="K75" s="68" t="str">
        <x:v>温度偏寒而湿度偏燥，单纯加火会进一步燥枯</x:v>
      </x:c>
      <x:c r="L75" s="68" t="str">
        <x:v>既寒凝又失润</x:v>
      </x:c>
      <x:c r="M75" s="82" t="str">
        <x:v>明显</x:v>
      </x:c>
      <x:c r="N75" s="68" t="str">
        <x:v>火与水择主辅并控制比例</x:v>
      </x:c>
      <x:c r="O75" s="68" t="str">
        <x:v>木作为协调桥梁</x:v>
      </x:c>
      <x:c r="P75" s="82" t="str">
        <x:v>复合药理</x:v>
      </x:c>
      <x:c r="Q75" s="68" t="str">
        <x:v>M13明确寒燥而非寒湿</x:v>
      </x:c>
      <x:c r="R75" s="90" t="str">
        <x:v>不得只见寒便无限加火，或只见燥便大量加水</x:v>
      </x:c>
      <x:c r="S75" s="90" t="str">
        <x:v>主要病位未被修复，原有失衡继续运行</x:v>
      </x:c>
      <x:c r="T75" s="90" t="str">
        <x:v>火过燥、水过寒，双向都可能制造新病</x:v>
      </x:c>
      <x:c r="U75" s="82" t="str">
        <x:v>条件性</x:v>
      </x:c>
      <x:c r="V75" s="90" t="str">
        <x:v>是</x:v>
      </x:c>
      <x:c r="W75" s="90" t="str">
        <x:v>极热燥或寒湿</x:v>
      </x:c>
      <x:c r="X75" s="68" t="str">
        <x:v>M08有效旺衰、M09日主旺衰、M10十神功能、M11组合、M12流通、M13调候、M15格局成败均已完成</x:v>
      </x:c>
      <x:c r="Y75" s="68" t="str">
        <x:v>病位、根因、功能障碍与药神作用路径均能够追溯</x:v>
      </x:c>
      <x:c r="Z75" s="68" t="str">
        <x:v>药神有根有源、透达，能够直接进入病位且兼顾多个主要问题</x:v>
      </x:c>
      <x:c r="AA75" s="68" t="str">
        <x:v>药神无根、受强制、被合绊、作用路径遥隔或同时被多个任务分流</x:v>
      </x:c>
      <x:c r="AB75" s="90" t="str">
        <x:v>若该失衡没有造成实际功能障碍，或特殊格局要求顺势，则不得按普通病药立论</x:v>
      </x:c>
      <x:c r="AC75" s="68" t="str">
        <x:v>特殊格局严格成立、岁运动态作用或流派争议转M18/M21及动态引擎</x:v>
      </x:c>
      <x:c r="AD75" s="84" t="str">
        <x:v>寒燥病</x:v>
      </x:c>
      <x:c r="AE75" s="84" t="str">
        <x:v>根本之病在“温度与湿度双轴”：温度偏寒而湿度偏燥，单纯加火会进一步燥枯；表层表现为“既寒凝又失润”。主药候选为“火与水择主辅并控制比例”，药理为“复合药理”；最终喜忌与主次仍转M17/M18裁决。</x:v>
      </x:c>
      <x:c r="AF75" s="82" t="str">
        <x:v>较高</x:v>
      </x:c>
      <x:c r="AG75" s="82" t="str">
        <x:v>病药</x:v>
      </x:c>
      <x:c r="AH7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5" s="68" t="str">
        <x:v>当“M13明确寒燥而非寒湿”真实成立，且药神能够直接作用病位时，可按“寒燥需要兼顾暖与润”记录。</x:v>
      </x:c>
      <x:c r="AJ75" s="90" t="str">
        <x:v>只有表面“既寒凝又失润”，但未证明根因“温度偏寒而湿度偏燥，单纯加火会进一步燥枯”及药神作用路径时，不得套用“寒燥需要兼顾暖与润”。</x:v>
      </x:c>
      <x:c r="AK75" s="82" t="str">
        <x:v>采用</x:v>
      </x:c>
      <x:c r="AL75" s="82" t="str">
        <x:v>初审</x:v>
      </x:c>
      <x:c r="AM75" s="87" t="n">
        <x:v>46260</x:v>
      </x:c>
    </x:row>
    <x:row r="76">
      <x:c r="A76" s="72" t="str">
        <x:f>IF(OR(C76="",D76=""),"",B76&amp;"-"&amp;UPPER(C76)&amp;"-"&amp;TEXT(D76,"0000")&amp;"-"&amp;E76)</x:f>
        <x:v>M16-CLIMATE-0070-V1.0</x:v>
      </x:c>
      <x:c r="B76" s="74" t="str">
        <x:v>M16</x:v>
      </x:c>
      <x:c r="C76" s="74" t="str">
        <x:v>CLIMATE</x:v>
      </x:c>
      <x:c r="D76" s="215" t="n">
        <x:v>70</x:v>
      </x:c>
      <x:c r="E76" s="74" t="str">
        <x:v>V1.0</x:v>
      </x:c>
      <x:c r="F76" s="68" t="str">
        <x:v>极热导致水木失养和火炎无制</x:v>
      </x:c>
      <x:c r="G76" s="82" t="str">
        <x:v>综合层</x:v>
      </x:c>
      <x:c r="H76" s="82" t="str">
        <x:v>调候病</x:v>
      </x:c>
      <x:c r="I76" s="68" t="str">
        <x:v>全局温度轴与水木节点</x:v>
      </x:c>
      <x:c r="J76" s="68" t="str">
        <x:v>火炎</x:v>
      </x:c>
      <x:c r="K76" s="68" t="str">
        <x:v>M13极热，水弱无效，热势已影响流通与五行功能</x:v>
      </x:c>
      <x:c r="L76" s="68" t="str">
        <x:v>水涸、木燥、土焦或金受热制</x:v>
      </x:c>
      <x:c r="M76" s="82" t="str">
        <x:v>首要矛盾</x:v>
      </x:c>
      <x:c r="N76" s="68" t="str">
        <x:v>水</x:v>
      </x:c>
      <x:c r="O76" s="68" t="str">
        <x:v>金生水或湿润承接者</x:v>
      </x:c>
      <x:c r="P76" s="82" t="str">
        <x:v>润</x:v>
      </x:c>
      <x:c r="Q76" s="68" t="str">
        <x:v>极热是多个功能失效的共同根因</x:v>
      </x:c>
      <x:c r="R76" s="90" t="str">
        <x:v>从火、炎上等特殊格局严格成立时需服从格局硬约束</x:v>
      </x:c>
      <x:c r="S76" s="90" t="str">
        <x:v>主要病位未被修复，原有失衡继续运行</x:v>
      </x:c>
      <x:c r="T76" s="90" t="str">
        <x:v>水过量转寒湿、冲熄关键火格</x:v>
      </x:c>
      <x:c r="U76" s="82" t="str">
        <x:v>条件性</x:v>
      </x:c>
      <x:c r="V76" s="90" t="str">
        <x:v>是</x:v>
      </x:c>
      <x:c r="W76" s="90" t="str">
        <x:v>寒湿或特殊格局破坏</x:v>
      </x:c>
      <x:c r="X76" s="68" t="str">
        <x:v>M08有效旺衰、M09日主旺衰、M10十神功能、M11组合、M12流通、M13调候、M15格局成败均已完成</x:v>
      </x:c>
      <x:c r="Y76" s="68" t="str">
        <x:v>病位、根因、功能障碍与药神作用路径均能够追溯</x:v>
      </x:c>
      <x:c r="Z76" s="68" t="str">
        <x:v>药神有根有源、透达，能够直接进入病位且兼顾多个主要问题</x:v>
      </x:c>
      <x:c r="AA76" s="68" t="str">
        <x:v>药神无根、受强制、被合绊、作用路径遥隔或同时被多个任务分流</x:v>
      </x:c>
      <x:c r="AB76" s="90" t="str">
        <x:v>若该失衡没有造成实际功能障碍，或特殊格局要求顺势，则不得按普通病药立论</x:v>
      </x:c>
      <x:c r="AC76" s="68" t="str">
        <x:v>特殊格局严格成立、岁运动态作用或流派争议转M18/M21及动态引擎</x:v>
      </x:c>
      <x:c r="AD76" s="84" t="str">
        <x:v>极热病</x:v>
      </x:c>
      <x:c r="AE76" s="84" t="str">
        <x:v>根本之病在“全局温度轴与水木节点”：M13极热，水弱无效，热势已影响流通与五行功能；表层表现为“水涸、木燥、土焦或金受热制”。主药候选为“水”，药理为“润”；最终喜忌与主次仍转M17/M18裁决。</x:v>
      </x:c>
      <x:c r="AF76" s="82" t="str">
        <x:v>较高</x:v>
      </x:c>
      <x:c r="AG76" s="82" t="str">
        <x:v>病药</x:v>
      </x:c>
      <x:c r="AH7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6" s="68" t="str">
        <x:v>当“极热是多个功能失效的共同根因”真实成立，且药神能够直接作用病位时，可按“极热导致水木失养和火炎无制”记录。</x:v>
      </x:c>
      <x:c r="AJ76" s="90" t="str">
        <x:v>只有表面“水涸、木燥、土焦或金受热制”，但未证明根因“M13极热，水弱无效，热势已影响流通与五行功能”及药神作用路径时，不得套用“极热导致水木失养和火炎无制”。</x:v>
      </x:c>
      <x:c r="AK76" s="82" t="str">
        <x:v>采用</x:v>
      </x:c>
      <x:c r="AL76" s="82" t="str">
        <x:v>初审</x:v>
      </x:c>
      <x:c r="AM76" s="87" t="n">
        <x:v>46260</x:v>
      </x:c>
    </x:row>
    <x:row r="77">
      <x:c r="A77" s="72" t="str">
        <x:f>IF(OR(C77="",D77=""),"",B77&amp;"-"&amp;UPPER(C77)&amp;"-"&amp;TEXT(D77,"0000")&amp;"-"&amp;E77)</x:f>
        <x:v>M16-CLIMATE-0071-V1.0</x:v>
      </x:c>
      <x:c r="B77" s="74" t="str">
        <x:v>M16</x:v>
      </x:c>
      <x:c r="C77" s="74" t="str">
        <x:v>CLIMATE</x:v>
      </x:c>
      <x:c r="D77" s="215" t="n">
        <x:v>71</x:v>
      </x:c>
      <x:c r="E77" s="74" t="str">
        <x:v>V1.0</x:v>
      </x:c>
      <x:c r="F77" s="68" t="str">
        <x:v>暖燥并重需要降温润燥</x:v>
      </x:c>
      <x:c r="G77" s="82" t="str">
        <x:v>综合层</x:v>
      </x:c>
      <x:c r="H77" s="82" t="str">
        <x:v>调候病</x:v>
      </x:c>
      <x:c r="I77" s="68" t="str">
        <x:v>温度与湿度双轴</x:v>
      </x:c>
      <x:c r="J77" s="68" t="str">
        <x:v>暖燥</x:v>
      </x:c>
      <x:c r="K77" s="68" t="str">
        <x:v>偏暖/极热与偏燥/极燥叠加</x:v>
      </x:c>
      <x:c r="L77" s="68" t="str">
        <x:v>木水失养、火土燥烈、流通燥枯</x:v>
      </x:c>
      <x:c r="M77" s="82" t="str">
        <x:v>严重</x:v>
      </x:c>
      <x:c r="N77" s="68" t="str">
        <x:v>水</x:v>
      </x:c>
      <x:c r="O77" s="68" t="str">
        <x:v>金或能保护水源者</x:v>
      </x:c>
      <x:c r="P77" s="82" t="str">
        <x:v>润</x:v>
      </x:c>
      <x:c r="Q77" s="68" t="str">
        <x:v>M13暖燥且M12出现燥枯</x:v>
      </x:c>
      <x:c r="R77" s="90" t="str">
        <x:v>水会破坏核心火格或形成两强相战时需条件化</x:v>
      </x:c>
      <x:c r="S77" s="90" t="str">
        <x:v>主要病位未被修复，原有失衡继续运行</x:v>
      </x:c>
      <x:c r="T77" s="90" t="str">
        <x:v>水过量形成寒湿或终点过旺</x:v>
      </x:c>
      <x:c r="U77" s="82" t="str">
        <x:v>条件性</x:v>
      </x:c>
      <x:c r="V77" s="90" t="str">
        <x:v>是</x:v>
      </x:c>
      <x:c r="W77" s="90" t="str">
        <x:v>寒湿或格局冲突</x:v>
      </x:c>
      <x:c r="X77" s="68" t="str">
        <x:v>M08有效旺衰、M09日主旺衰、M10十神功能、M11组合、M12流通、M13调候、M15格局成败均已完成</x:v>
      </x:c>
      <x:c r="Y77" s="68" t="str">
        <x:v>病位、根因、功能障碍与药神作用路径均能够追溯</x:v>
      </x:c>
      <x:c r="Z77" s="68" t="str">
        <x:v>药神有根有源、透达，能够直接进入病位且兼顾多个主要问题</x:v>
      </x:c>
      <x:c r="AA77" s="68" t="str">
        <x:v>药神无根、受强制、被合绊、作用路径遥隔或同时被多个任务分流</x:v>
      </x:c>
      <x:c r="AB77" s="90" t="str">
        <x:v>若该失衡没有造成实际功能障碍，或特殊格局要求顺势，则不得按普通病药立论</x:v>
      </x:c>
      <x:c r="AC77" s="68" t="str">
        <x:v>特殊格局严格成立、岁运动态作用或流派争议转M18/M21及动态引擎</x:v>
      </x:c>
      <x:c r="AD77" s="84" t="str">
        <x:v>暖燥病</x:v>
      </x:c>
      <x:c r="AE77" s="84" t="str">
        <x:v>根本之病在“温度与湿度双轴”：偏暖/极热与偏燥/极燥叠加；表层表现为“木水失养、火土燥烈、流通燥枯”。主药候选为“水”，药理为“润”；最终喜忌与主次仍转M17/M18裁决。</x:v>
      </x:c>
      <x:c r="AF77" s="82" t="str">
        <x:v>较高</x:v>
      </x:c>
      <x:c r="AG77" s="82" t="str">
        <x:v>病药</x:v>
      </x:c>
      <x:c r="AH7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7" s="68" t="str">
        <x:v>当“M13暖燥且M12出现燥枯”真实成立，且药神能够直接作用病位时，可按“暖燥并重需要降温润燥”记录。</x:v>
      </x:c>
      <x:c r="AJ77" s="90" t="str">
        <x:v>只有表面“木水失养、火土燥烈、流通燥枯”，但未证明根因“偏暖/极热与偏燥/极燥叠加”及药神作用路径时，不得套用“暖燥并重需要降温润燥”。</x:v>
      </x:c>
      <x:c r="AK77" s="82" t="str">
        <x:v>采用</x:v>
      </x:c>
      <x:c r="AL77" s="82" t="str">
        <x:v>初审</x:v>
      </x:c>
      <x:c r="AM77" s="87" t="n">
        <x:v>46260</x:v>
      </x:c>
    </x:row>
    <x:row r="78">
      <x:c r="A78" s="72" t="str">
        <x:f>IF(OR(C78="",D78=""),"",B78&amp;"-"&amp;UPPER(C78)&amp;"-"&amp;TEXT(D78,"0000")&amp;"-"&amp;E78)</x:f>
        <x:v>M16-CLIMATE-0072-V1.0</x:v>
      </x:c>
      <x:c r="B78" s="74" t="str">
        <x:v>M16</x:v>
      </x:c>
      <x:c r="C78" s="74" t="str">
        <x:v>CLIMATE</x:v>
      </x:c>
      <x:c r="D78" s="215" t="n">
        <x:v>72</x:v>
      </x:c>
      <x:c r="E78" s="74" t="str">
        <x:v>V1.0</x:v>
      </x:c>
      <x:c r="F78" s="68" t="str">
        <x:v>暖湿应以疏湿为主而非继续升温</x:v>
      </x:c>
      <x:c r="G78" s="82" t="str">
        <x:v>综合层</x:v>
      </x:c>
      <x:c r="H78" s="82" t="str">
        <x:v>调候病</x:v>
      </x:c>
      <x:c r="I78" s="68" t="str">
        <x:v>湿度轴与湿土节点</x:v>
      </x:c>
      <x:c r="J78" s="68" t="str">
        <x:v>暖湿</x:v>
      </x:c>
      <x:c r="K78" s="68" t="str">
        <x:v>温度已偏暖，但湿气壅滞，继续加火可能过热</x:v>
      </x:c>
      <x:c r="L78" s="68" t="str">
        <x:v>湿土滞气、流通不畅</x:v>
      </x:c>
      <x:c r="M78" s="82" t="str">
        <x:v>明显</x:v>
      </x:c>
      <x:c r="N78" s="68" t="str">
        <x:v>木疏湿或适度土性调节</x:v>
      </x:c>
      <x:c r="O78" s="68" t="str">
        <x:v>少量火仅用于化湿</x:v>
      </x:c>
      <x:c r="P78" s="82" t="str">
        <x:v>燥湿</x:v>
      </x:c>
      <x:c r="Q78" s="68" t="str">
        <x:v>M13暖湿且温度并不需要明显上调</x:v>
      </x:c>
      <x:c r="R78" s="90" t="str">
        <x:v>不得把所有湿病都机械以强火处理</x:v>
      </x:c>
      <x:c r="S78" s="90" t="str">
        <x:v>主要病位未被修复，原有失衡继续运行</x:v>
      </x:c>
      <x:c r="T78" s="90" t="str">
        <x:v>火过强形成热燥，木过强可能生火过度</x:v>
      </x:c>
      <x:c r="U78" s="82" t="str">
        <x:v>条件性</x:v>
      </x:c>
      <x:c r="V78" s="90" t="str">
        <x:v>是</x:v>
      </x:c>
      <x:c r="W78" s="90" t="str">
        <x:v>暖燥</x:v>
      </x:c>
      <x:c r="X78" s="68" t="str">
        <x:v>M08有效旺衰、M09日主旺衰、M10十神功能、M11组合、M12流通、M13调候、M15格局成败均已完成</x:v>
      </x:c>
      <x:c r="Y78" s="68" t="str">
        <x:v>病位、根因、功能障碍与药神作用路径均能够追溯</x:v>
      </x:c>
      <x:c r="Z78" s="68" t="str">
        <x:v>药神有根有源、透达，能够直接进入病位且兼顾多个主要问题</x:v>
      </x:c>
      <x:c r="AA78" s="68" t="str">
        <x:v>药神无根、受强制、被合绊、作用路径遥隔或同时被多个任务分流</x:v>
      </x:c>
      <x:c r="AB78" s="90" t="str">
        <x:v>若该失衡没有造成实际功能障碍，或特殊格局要求顺势，则不得按普通病药立论</x:v>
      </x:c>
      <x:c r="AC78" s="68" t="str">
        <x:v>特殊格局严格成立、岁运动态作用或流派争议转M18/M21及动态引擎</x:v>
      </x:c>
      <x:c r="AD78" s="84" t="str">
        <x:v>暖湿病</x:v>
      </x:c>
      <x:c r="AE78" s="84" t="str">
        <x:v>根本之病在“湿度轴与湿土节点”：温度已偏暖，但湿气壅滞，继续加火可能过热；表层表现为“湿土滞气、流通不畅”。主药候选为“木疏湿或适度土性调节”，药理为“燥湿”；最终喜忌与主次仍转M17/M18裁决。</x:v>
      </x:c>
      <x:c r="AF78" s="82" t="str">
        <x:v>较高</x:v>
      </x:c>
      <x:c r="AG78" s="82" t="str">
        <x:v>病药</x:v>
      </x:c>
      <x:c r="AH7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8" s="68" t="str">
        <x:v>当“M13暖湿且温度并不需要明显上调”真实成立，且药神能够直接作用病位时，可按“暖湿应以疏湿为主而非继续升温”记录。</x:v>
      </x:c>
      <x:c r="AJ78" s="90" t="str">
        <x:v>只有表面“湿土滞气、流通不畅”，但未证明根因“温度已偏暖，但湿气壅滞，继续加火可能过热”及药神作用路径时，不得套用“暖湿应以疏湿为主而非继续升温”。</x:v>
      </x:c>
      <x:c r="AK78" s="82" t="str">
        <x:v>采用</x:v>
      </x:c>
      <x:c r="AL78" s="82" t="str">
        <x:v>初审</x:v>
      </x:c>
      <x:c r="AM78" s="87" t="n">
        <x:v>46260</x:v>
      </x:c>
    </x:row>
    <x:row r="79">
      <x:c r="A79" s="72" t="str">
        <x:f>IF(OR(C79="",D79=""),"",B79&amp;"-"&amp;UPPER(C79)&amp;"-"&amp;TEXT(D79,"0000")&amp;"-"&amp;E79)</x:f>
        <x:v>M16-CLIMATE-0073-V1.0</x:v>
      </x:c>
      <x:c r="B79" s="74" t="str">
        <x:v>M16</x:v>
      </x:c>
      <x:c r="C79" s="74" t="str">
        <x:v>CLIMATE</x:v>
      </x:c>
      <x:c r="D79" s="215" t="n">
        <x:v>73</x:v>
      </x:c>
      <x:c r="E79" s="74" t="str">
        <x:v>V1.0</x:v>
      </x:c>
      <x:c r="F79" s="68" t="str">
        <x:v>极湿形成湿滞和桥梁失效</x:v>
      </x:c>
      <x:c r="G79" s="82" t="str">
        <x:v>综合层</x:v>
      </x:c>
      <x:c r="H79" s="82" t="str">
        <x:v>调候病</x:v>
      </x:c>
      <x:c r="I79" s="68" t="str">
        <x:v>湿度轴、湿土与水势</x:v>
      </x:c>
      <x:c r="J79" s="68" t="str">
        <x:v>湿滞</x:v>
      </x:c>
      <x:c r="K79" s="68" t="str">
        <x:v>水与湿土成势，火木不足，湿度极端阻断生化</x:v>
      </x:c>
      <x:c r="L79" s="68" t="str">
        <x:v>桥梁沉滞、火受晦、终点不能承载</x:v>
      </x:c>
      <x:c r="M79" s="82" t="str">
        <x:v>首要矛盾</x:v>
      </x:c>
      <x:c r="N79" s="68" t="str">
        <x:v>火化湿</x:v>
      </x:c>
      <x:c r="O79" s="68" t="str">
        <x:v>木疏土导湿</x:v>
      </x:c>
      <x:c r="P79" s="82" t="str">
        <x:v>燥湿</x:v>
      </x:c>
      <x:c r="Q79" s="68" t="str">
        <x:v>M13极湿且M12多个卡点同源于湿滞</x:v>
      </x:c>
      <x:c r="R79" s="90" t="str">
        <x:v>原局极热或火格核心受损风险需控制火量</x:v>
      </x:c>
      <x:c r="S79" s="90" t="str">
        <x:v>主要病位未被修复，原有失衡继续运行</x:v>
      </x:c>
      <x:c r="T79" s="90" t="str">
        <x:v>火过量转热燥，木火同增可过暖</x:v>
      </x:c>
      <x:c r="U79" s="82" t="str">
        <x:v>条件性</x:v>
      </x:c>
      <x:c r="V79" s="90" t="str">
        <x:v>是</x:v>
      </x:c>
      <x:c r="W79" s="90" t="str">
        <x:v>暖燥</x:v>
      </x:c>
      <x:c r="X79" s="68" t="str">
        <x:v>M08有效旺衰、M09日主旺衰、M10十神功能、M11组合、M12流通、M13调候、M15格局成败均已完成</x:v>
      </x:c>
      <x:c r="Y79" s="68" t="str">
        <x:v>病位、根因、功能障碍与药神作用路径均能够追溯</x:v>
      </x:c>
      <x:c r="Z79" s="68" t="str">
        <x:v>药神有根有源、透达，能够直接进入病位且兼顾多个主要问题</x:v>
      </x:c>
      <x:c r="AA79" s="68" t="str">
        <x:v>药神无根、受强制、被合绊、作用路径遥隔或同时被多个任务分流</x:v>
      </x:c>
      <x:c r="AB79" s="90" t="str">
        <x:v>若该失衡没有造成实际功能障碍，或特殊格局要求顺势，则不得按普通病药立论</x:v>
      </x:c>
      <x:c r="AC79" s="68" t="str">
        <x:v>特殊格局严格成立、岁运动态作用或流派争议转M18/M21及动态引擎</x:v>
      </x:c>
      <x:c r="AD79" s="84" t="str">
        <x:v>极湿病</x:v>
      </x:c>
      <x:c r="AE79" s="84" t="str">
        <x:v>根本之病在“湿度轴、湿土与水势”：水与湿土成势，火木不足，湿度极端阻断生化；表层表现为“桥梁沉滞、火受晦、终点不能承载”。主药候选为“火化湿”，药理为“燥湿”；最终喜忌与主次仍转M17/M18裁决。</x:v>
      </x:c>
      <x:c r="AF79" s="82" t="str">
        <x:v>较高</x:v>
      </x:c>
      <x:c r="AG79" s="82" t="str">
        <x:v>病药</x:v>
      </x:c>
      <x:c r="AH7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9" s="68" t="str">
        <x:v>当“M13极湿且M12多个卡点同源于湿滞”真实成立，且药神能够直接作用病位时，可按“极湿形成湿滞和桥梁失效”记录。</x:v>
      </x:c>
      <x:c r="AJ79" s="90" t="str">
        <x:v>只有表面“桥梁沉滞、火受晦、终点不能承载”，但未证明根因“水与湿土成势，火木不足，湿度极端阻断生化”及药神作用路径时，不得套用“极湿形成湿滞和桥梁失效”。</x:v>
      </x:c>
      <x:c r="AK79" s="82" t="str">
        <x:v>采用</x:v>
      </x:c>
      <x:c r="AL79" s="82" t="str">
        <x:v>初审</x:v>
      </x:c>
      <x:c r="AM79" s="87" t="n">
        <x:v>46260</x:v>
      </x:c>
    </x:row>
    <x:row r="80">
      <x:c r="A80" s="72" t="str">
        <x:f>IF(OR(C80="",D80=""),"",B80&amp;"-"&amp;UPPER(C80)&amp;"-"&amp;TEXT(D80,"0000")&amp;"-"&amp;E80)</x:f>
        <x:v>M16-CLIMATE-0074-V1.0</x:v>
      </x:c>
      <x:c r="B80" s="74" t="str">
        <x:v>M16</x:v>
      </x:c>
      <x:c r="C80" s="74" t="str">
        <x:v>CLIMATE</x:v>
      </x:c>
      <x:c r="D80" s="215" t="n">
        <x:v>74</x:v>
      </x:c>
      <x:c r="E80" s="74" t="str">
        <x:v>V1.0</x:v>
      </x:c>
      <x:c r="F80" s="68" t="str">
        <x:v>极燥形成燥枯和承接失败</x:v>
      </x:c>
      <x:c r="G80" s="82" t="str">
        <x:v>综合层</x:v>
      </x:c>
      <x:c r="H80" s="82" t="str">
        <x:v>调候病</x:v>
      </x:c>
      <x:c r="I80" s="68" t="str">
        <x:v>湿度轴与水木节点</x:v>
      </x:c>
      <x:c r="J80" s="68" t="str">
        <x:v>燥烈</x:v>
      </x:c>
      <x:c r="K80" s="68" t="str">
        <x:v>火燥土成势，水弱，关键五行失润</x:v>
      </x:c>
      <x:c r="L80" s="68" t="str">
        <x:v>木枯、水涸、土燥、链路难续</x:v>
      </x:c>
      <x:c r="M80" s="82" t="str">
        <x:v>首要矛盾</x:v>
      </x:c>
      <x:c r="N80" s="68" t="str">
        <x:v>水润燥</x:v>
      </x:c>
      <x:c r="O80" s="68" t="str">
        <x:v>金生水或保护水源</x:v>
      </x:c>
      <x:c r="P80" s="82" t="str">
        <x:v>润</x:v>
      </x:c>
      <x:c r="Q80" s="68" t="str">
        <x:v>M13极燥且M12燥枯为多路径共同根因</x:v>
      </x:c>
      <x:c r="R80" s="90" t="str">
        <x:v>极寒局或润下格需防水过度</x:v>
      </x:c>
      <x:c r="S80" s="90" t="str">
        <x:v>主要病位未被修复，原有失衡继续运行</x:v>
      </x:c>
      <x:c r="T80" s="90" t="str">
        <x:v>水过量形成寒湿或破坏燥土/火格</x:v>
      </x:c>
      <x:c r="U80" s="82" t="str">
        <x:v>条件性</x:v>
      </x:c>
      <x:c r="V80" s="90" t="str">
        <x:v>是</x:v>
      </x:c>
      <x:c r="W80" s="90" t="str">
        <x:v>寒湿或格局冲突</x:v>
      </x:c>
      <x:c r="X80" s="68" t="str">
        <x:v>M08有效旺衰、M09日主旺衰、M10十神功能、M11组合、M12流通、M13调候、M15格局成败均已完成</x:v>
      </x:c>
      <x:c r="Y80" s="68" t="str">
        <x:v>病位、根因、功能障碍与药神作用路径均能够追溯</x:v>
      </x:c>
      <x:c r="Z80" s="68" t="str">
        <x:v>药神有根有源、透达，能够直接进入病位且兼顾多个主要问题</x:v>
      </x:c>
      <x:c r="AA80" s="68" t="str">
        <x:v>药神无根、受强制、被合绊、作用路径遥隔或同时被多个任务分流</x:v>
      </x:c>
      <x:c r="AB80" s="90" t="str">
        <x:v>若该失衡没有造成实际功能障碍，或特殊格局要求顺势，则不得按普通病药立论</x:v>
      </x:c>
      <x:c r="AC80" s="68" t="str">
        <x:v>特殊格局严格成立、岁运动态作用或流派争议转M18/M21及动态引擎</x:v>
      </x:c>
      <x:c r="AD80" s="84" t="str">
        <x:v>极燥病</x:v>
      </x:c>
      <x:c r="AE80" s="84" t="str">
        <x:v>根本之病在“湿度轴与水木节点”：火燥土成势，水弱，关键五行失润；表层表现为“木枯、水涸、土燥、链路难续”。主药候选为“水润燥”，药理为“润”；最终喜忌与主次仍转M17/M18裁决。</x:v>
      </x:c>
      <x:c r="AF80" s="82" t="str">
        <x:v>较高</x:v>
      </x:c>
      <x:c r="AG80" s="82" t="str">
        <x:v>病药</x:v>
      </x:c>
      <x:c r="AH8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0" s="68" t="str">
        <x:v>当“M13极燥且M12燥枯为多路径共同根因”真实成立，且药神能够直接作用病位时，可按“极燥形成燥枯和承接失败”记录。</x:v>
      </x:c>
      <x:c r="AJ80" s="90" t="str">
        <x:v>只有表面“木枯、水涸、土燥、链路难续”，但未证明根因“火燥土成势，水弱，关键五行失润”及药神作用路径时，不得套用“极燥形成燥枯和承接失败”。</x:v>
      </x:c>
      <x:c r="AK80" s="82" t="str">
        <x:v>采用</x:v>
      </x:c>
      <x:c r="AL80" s="82" t="str">
        <x:v>初审</x:v>
      </x:c>
      <x:c r="AM80" s="87" t="n">
        <x:v>46260</x:v>
      </x:c>
    </x:row>
    <x:row r="81">
      <x:c r="A81" s="72" t="str">
        <x:f>IF(OR(C81="",D81=""),"",B81&amp;"-"&amp;UPPER(C81)&amp;"-"&amp;TEXT(D81,"0000")&amp;"-"&amp;E81)</x:f>
        <x:v>M16-CLIMATE-0075-V1.0</x:v>
      </x:c>
      <x:c r="B81" s="74" t="str">
        <x:v>M16</x:v>
      </x:c>
      <x:c r="C81" s="74" t="str">
        <x:v>CLIMATE</x:v>
      </x:c>
      <x:c r="D81" s="215" t="n">
        <x:v>75</x:v>
      </x:c>
      <x:c r="E81" s="74" t="str">
        <x:v>V1.0</x:v>
      </x:c>
      <x:c r="F81" s="68" t="str">
        <x:v>调候五行存在但无效形成名义有药无药力</x:v>
      </x:c>
      <x:c r="G81" s="82" t="str">
        <x:v>综合层</x:v>
      </x:c>
      <x:c r="H81" s="82" t="str">
        <x:v>调候病</x:v>
      </x:c>
      <x:c r="I81" s="68" t="str">
        <x:v>调候药神节点</x:v>
      </x:c>
      <x:c r="J81" s="68" t="str">
        <x:v>药神失效</x:v>
      </x:c>
      <x:c r="K81" s="68" t="str">
        <x:v>所需火、水、木等虽出现，但无根无源、受克、合绊或不能触达病位</x:v>
      </x:c>
      <x:c r="L81" s="68" t="str">
        <x:v>命局看似有调候五行，实际寒热燥湿仍未改善</x:v>
      </x:c>
      <x:c r="M81" s="82" t="str">
        <x:v>明显</x:v>
      </x:c>
      <x:c r="N81" s="68" t="str">
        <x:v>恢复调候五行有效性</x:v>
      </x:c>
      <x:c r="O81" s="68" t="str">
        <x:v>保护其根源或解除制约</x:v>
      </x:c>
      <x:c r="P81" s="82" t="str">
        <x:v>生</x:v>
      </x:c>
      <x:c r="Q81" s="68" t="str">
        <x:v>M13调候五行存在性为是但有效性为受限/失效</x:v>
      </x:c>
      <x:c r="R81" s="90" t="str">
        <x:v>不得把字面出现当作调候完成</x:v>
      </x:c>
      <x:c r="S81" s="90" t="str">
        <x:v>主要病位未被修复，原有失衡继续运行</x:v>
      </x:c>
      <x:c r="T81" s="90" t="str">
        <x:v>补强过度会跨越平衡</x:v>
      </x:c>
      <x:c r="U81" s="82" t="str">
        <x:v>条件性</x:v>
      </x:c>
      <x:c r="V81" s="90" t="str">
        <x:v>条件性</x:v>
      </x:c>
      <x:c r="W81" s="90" t="str">
        <x:v>反向调候病</x:v>
      </x:c>
      <x:c r="X81" s="68" t="str">
        <x:v>M08有效旺衰、M09日主旺衰、M10十神功能、M11组合、M12流通、M13调候、M15格局成败均已完成</x:v>
      </x:c>
      <x:c r="Y81" s="68" t="str">
        <x:v>病位、根因、功能障碍与药神作用路径均能够追溯</x:v>
      </x:c>
      <x:c r="Z81" s="68" t="str">
        <x:v>药神有根有源、透达，能够直接进入病位且兼顾多个主要问题</x:v>
      </x:c>
      <x:c r="AA81" s="68" t="str">
        <x:v>药神无根、受强制、被合绊、作用路径遥隔或同时被多个任务分流</x:v>
      </x:c>
      <x:c r="AB81" s="90" t="str">
        <x:v>若该失衡没有造成实际功能障碍，或特殊格局要求顺势，则不得按普通病药立论</x:v>
      </x:c>
      <x:c r="AC81" s="68" t="str">
        <x:v>特殊格局严格成立、岁运动态作用或流派争议转M18/M21及动态引擎</x:v>
      </x:c>
      <x:c r="AD81" s="84" t="str">
        <x:v>调候有形无力</x:v>
      </x:c>
      <x:c r="AE81" s="84" t="str">
        <x:v>根本之病在“调候药神节点”：所需火、水、木等虽出现，但无根无源、受克、合绊或不能触达病位；表层表现为“命局看似有调候五行，实际寒热燥湿仍未改善”。主药候选为“恢复调候五行有效性”，药理为“生”；最终喜忌与主次仍转M17/M18裁决。</x:v>
      </x:c>
      <x:c r="AF81" s="82" t="str">
        <x:v>较高</x:v>
      </x:c>
      <x:c r="AG81" s="82" t="str">
        <x:v>病药</x:v>
      </x:c>
      <x:c r="AH8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1" s="68" t="str">
        <x:v>当“M13调候五行存在性为是但有效性为受限/失效”真实成立，且药神能够直接作用病位时，可按“调候五行存在但无效形成名义有药无药力”记录。</x:v>
      </x:c>
      <x:c r="AJ81" s="90" t="str">
        <x:v>只有表面“命局看似有调候五行，实际寒热燥湿仍未改善”，但未证明根因“所需火、水、木等虽出现，但无根无源、受克、合绊或不能触达病位”及药神作用路径时，不得套用“调候五行存在但无效形成名义有药无药力”。</x:v>
      </x:c>
      <x:c r="AK81" s="82" t="str">
        <x:v>采用</x:v>
      </x:c>
      <x:c r="AL81" s="82" t="str">
        <x:v>初审</x:v>
      </x:c>
      <x:c r="AM81" s="87" t="n">
        <x:v>46260</x:v>
      </x:c>
    </x:row>
    <x:row r="82">
      <x:c r="A82" s="72" t="str">
        <x:f>IF(OR(C82="",D82=""),"",B82&amp;"-"&amp;UPPER(C82)&amp;"-"&amp;TEXT(D82,"0000")&amp;"-"&amp;E82)</x:f>
        <x:v>M16-CLIMATE-0076-V1.0</x:v>
      </x:c>
      <x:c r="B82" s="74" t="str">
        <x:v>M16</x:v>
      </x:c>
      <x:c r="C82" s="74" t="str">
        <x:v>CLIMATE</x:v>
      </x:c>
      <x:c r="D82" s="215" t="n">
        <x:v>76</x:v>
      </x:c>
      <x:c r="E82" s="74" t="str">
        <x:v>V1.0</x:v>
      </x:c>
      <x:c r="F82" s="68" t="str">
        <x:v>寒暖燥湿平衡时不立调候病</x:v>
      </x:c>
      <x:c r="G82" s="82" t="str">
        <x:v>综合层</x:v>
      </x:c>
      <x:c r="H82" s="82" t="str">
        <x:v>调候病</x:v>
      </x:c>
      <x:c r="I82" s="68" t="str">
        <x:v>温度与湿度双轴</x:v>
      </x:c>
      <x:c r="J82" s="68" t="str">
        <x:v>无气候病</x:v>
      </x:c>
      <x:c r="K82" s="68" t="str">
        <x:v>M13双轴平衡，未发现寒凝、燥枯、湿滞或火炎功能障碍</x:v>
      </x:c>
      <x:c r="L82" s="68" t="str">
        <x:v>无明显调候问题</x:v>
      </x:c>
      <x:c r="M82" s="82" t="str">
        <x:v>轻微</x:v>
      </x:c>
      <x:c r="N82" s="68" t="str">
        <x:v>不预设</x:v>
      </x:c>
      <x:c r="O82" s="68" t="str">
        <x:v>维持平衡者</x:v>
      </x:c>
      <x:c r="P82" s="82" t="str">
        <x:v>待定</x:v>
      </x:c>
      <x:c r="Q82" s="68" t="str">
        <x:v>双轴平衡且M12无气候型卡点</x:v>
      </x:c>
      <x:c r="R82" s="90" t="str">
        <x:v>不得因月令季节性自动追加调候药</x:v>
      </x:c>
      <x:c r="S82" s="90" t="str">
        <x:v>不适用</x:v>
      </x:c>
      <x:c r="T82" s="90" t="str">
        <x:v>无必要调候会制造寒热燥湿新病</x:v>
      </x:c>
      <x:c r="U82" s="82" t="str">
        <x:v>是</x:v>
      </x:c>
      <x:c r="V82" s="90" t="str">
        <x:v>是</x:v>
      </x:c>
      <x:c r="W82" s="90" t="str">
        <x:v>人为调候失衡</x:v>
      </x:c>
      <x:c r="X82" s="68" t="str">
        <x:v>M08有效旺衰、M09日主旺衰、M10十神功能、M11组合、M12流通、M13调候、M15格局成败均已完成</x:v>
      </x:c>
      <x:c r="Y82" s="68" t="str">
        <x:v>病位、根因、功能障碍与药神作用路径均能够追溯</x:v>
      </x:c>
      <x:c r="Z82" s="68" t="str">
        <x:v>药神有根有源、透达，能够直接进入病位且兼顾多个主要问题</x:v>
      </x:c>
      <x:c r="AA82" s="68" t="str">
        <x:v>药神无根、受强制、被合绊、作用路径遥隔或同时被多个任务分流</x:v>
      </x:c>
      <x:c r="AB82" s="90" t="str">
        <x:v>若该失衡没有造成实际功能障碍，或特殊格局要求顺势，则不得按普通病药立论</x:v>
      </x:c>
      <x:c r="AC82" s="68" t="str">
        <x:v>特殊格局严格成立、岁运动态作用或流派争议转M18/M21及动态引擎</x:v>
      </x:c>
      <x:c r="AD82" s="84" t="str">
        <x:v>调候平衡无病</x:v>
      </x:c>
      <x:c r="AE82" s="84" t="str">
        <x:v>寒暖燥湿已平衡，不另立调候病；调候不应成为主用神来源。</x:v>
      </x:c>
      <x:c r="AF82" s="82" t="str">
        <x:v>较高</x:v>
      </x:c>
      <x:c r="AG82" s="82" t="str">
        <x:v>病药</x:v>
      </x:c>
      <x:c r="AH8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2" s="68" t="str">
        <x:v>当“双轴平衡且M12无气候型卡点”真实成立，且药神能够直接作用病位时，可按“寒暖燥湿平衡时不立调候病”记录。</x:v>
      </x:c>
      <x:c r="AJ82" s="90" t="str">
        <x:v>只有表面“无明显调候问题”，但未证明根因“M13双轴平衡，未发现寒凝、燥枯、湿滞或火炎功能障碍”及药神作用路径时，不得套用“寒暖燥湿平衡时不立调候病”。</x:v>
      </x:c>
      <x:c r="AK82" s="82" t="str">
        <x:v>采用</x:v>
      </x:c>
      <x:c r="AL82" s="82" t="str">
        <x:v>初审</x:v>
      </x:c>
      <x:c r="AM82" s="87" t="n">
        <x:v>46260</x:v>
      </x:c>
    </x:row>
    <x:row r="83">
      <x:c r="A83" s="72" t="str">
        <x:f>IF(OR(C83="",D83=""),"",B83&amp;"-"&amp;UPPER(C83)&amp;"-"&amp;TEXT(D83,"0000")&amp;"-"&amp;E83)</x:f>
        <x:v>M16-MED-0077-V1.0</x:v>
      </x:c>
      <x:c r="B83" s="74" t="str">
        <x:v>M16</x:v>
      </x:c>
      <x:c r="C83" s="74" t="str">
        <x:v>MED</x:v>
      </x:c>
      <x:c r="D83" s="215" t="n">
        <x:v>77</x:v>
      </x:c>
      <x:c r="E83" s="74" t="str">
        <x:v>V1.0</x:v>
      </x:c>
      <x:c r="F83" s="68" t="str">
        <x:v>主药按根本病位而非最显眼五行选择</x:v>
      </x:c>
      <x:c r="G83" s="82" t="str">
        <x:v>综合层</x:v>
      </x:c>
      <x:c r="H83" s="82" t="str">
        <x:v>复合病</x:v>
      </x:c>
      <x:c r="I83" s="68" t="str">
        <x:v>根本病位</x:v>
      </x:c>
      <x:c r="J83" s="68" t="str">
        <x:v>选药原则</x:v>
      </x:c>
      <x:c r="K83" s="68" t="str">
        <x:v>表层最旺或最弱者未必是导致全局失衡的根因</x:v>
      </x:c>
      <x:c r="L83" s="68" t="str">
        <x:v>显眼五行与根本病位不一致</x:v>
      </x:c>
      <x:c r="M83" s="82" t="str">
        <x:v>首要矛盾</x:v>
      </x:c>
      <x:c r="N83" s="68" t="str">
        <x:v>直接修复根因者</x:v>
      </x:c>
      <x:c r="O83" s="68" t="str">
        <x:v>处理表象残余者</x:v>
      </x:c>
      <x:c r="P83" s="82" t="str">
        <x:v>复合药理</x:v>
      </x:c>
      <x:c r="Q83" s="68" t="str">
        <x:v>M08—M15已经确认相应结构性失衡与实际功能障碍</x:v>
      </x:c>
      <x:c r="R83" s="90" t="str">
        <x:v>不得只凭五行数量、十神名称或单一旺衰标签直接立病用药</x:v>
      </x:c>
      <x:c r="S83" s="90" t="str">
        <x:v>主要病位未被修复，原有失衡继续运行</x:v>
      </x:c>
      <x:c r="T83" s="90" t="str">
        <x:v>药神反向过度，可能跨越平衡并形成新的结构性失衡</x:v>
      </x:c>
      <x:c r="U83" s="82" t="str">
        <x:v>条件性</x:v>
      </x:c>
      <x:c r="V83" s="90" t="str">
        <x:v>条件性</x:v>
      </x:c>
      <x:c r="W83" s="90" t="str">
        <x:v>待定</x:v>
      </x:c>
      <x:c r="X83" s="68" t="str">
        <x:v>M08有效旺衰、M09日主旺衰、M10十神功能、M11组合、M12流通、M13调候、M15格局成败均已完成</x:v>
      </x:c>
      <x:c r="Y83" s="68" t="str">
        <x:v>病位、根因、功能障碍与药神作用路径均能够追溯</x:v>
      </x:c>
      <x:c r="Z83" s="68" t="str">
        <x:v>药神有根有源、透达，能够直接进入病位且兼顾多个主要问题</x:v>
      </x:c>
      <x:c r="AA83" s="68" t="str">
        <x:v>药神无根、受强制、被合绊、作用路径遥隔或同时被多个任务分流</x:v>
      </x:c>
      <x:c r="AB83" s="90" t="str">
        <x:v>若该失衡没有造成实际功能障碍，或特殊格局要求顺势，则不得按普通病药立论</x:v>
      </x:c>
      <x:c r="AC83" s="68" t="str">
        <x:v>特殊格局严格成立、岁运动态作用或流派争议转M18/M21及动态引擎</x:v>
      </x:c>
      <x:c r="AD83" s="84" t="str">
        <x:v>根因择主药</x:v>
      </x:c>
      <x:c r="AE83" s="84" t="str">
        <x:v>根本之病在“根本病位”：表层最旺或最弱者未必是导致全局失衡的根因；表层表现为“显眼五行与根本病位不一致”。主药候选为“直接修复根因者”，药理为“复合药理”；最终喜忌与主次仍转M17/M18裁决。</x:v>
      </x:c>
      <x:c r="AF83" s="82" t="str">
        <x:v>较高</x:v>
      </x:c>
      <x:c r="AG83" s="82" t="str">
        <x:v>病药</x:v>
      </x:c>
      <x:c r="AH8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3" s="68" t="str">
        <x:v>当“M08—M15已经确认相应结构性失衡与实际功能障碍”真实成立，且药神能够直接作用病位时，可按“主药按根本病位而非最显眼五行选择”记录。</x:v>
      </x:c>
      <x:c r="AJ83" s="90" t="str">
        <x:v>只有表面“显眼五行与根本病位不一致”，但未证明根因“表层最旺或最弱者未必是导致全局失衡的根因”及药神作用路径时，不得套用“主药按根本病位而非最显眼五行选择”。</x:v>
      </x:c>
      <x:c r="AK83" s="82" t="str">
        <x:v>采用</x:v>
      </x:c>
      <x:c r="AL83" s="82" t="str">
        <x:v>初审</x:v>
      </x:c>
      <x:c r="AM83" s="87" t="n">
        <x:v>46260</x:v>
      </x:c>
    </x:row>
    <x:row r="84">
      <x:c r="A84" s="72" t="str">
        <x:f>IF(OR(C84="",D84=""),"",B84&amp;"-"&amp;UPPER(C84)&amp;"-"&amp;TEXT(D84,"0000")&amp;"-"&amp;E84)</x:f>
        <x:v>M16-MED-0078-V1.0</x:v>
      </x:c>
      <x:c r="B84" s="74" t="str">
        <x:v>M16</x:v>
      </x:c>
      <x:c r="C84" s="74" t="str">
        <x:v>MED</x:v>
      </x:c>
      <x:c r="D84" s="215" t="n">
        <x:v>78</x:v>
      </x:c>
      <x:c r="E84" s="74" t="str">
        <x:v>V1.0</x:v>
      </x:c>
      <x:c r="F84" s="68" t="str">
        <x:v>一药能够同时解决多个主问题时优先级提高</x:v>
      </x:c>
      <x:c r="G84" s="82" t="str">
        <x:v>综合层</x:v>
      </x:c>
      <x:c r="H84" s="82" t="str">
        <x:v>复合病</x:v>
      </x:c>
      <x:c r="I84" s="68" t="str">
        <x:v>多个同源病位</x:v>
      </x:c>
      <x:c r="J84" s="68" t="str">
        <x:v>一药多效</x:v>
      </x:c>
      <x:c r="K84" s="68" t="str">
        <x:v>同一五行可同时扶抑、通关、调候、护格或救应</x:v>
      </x:c>
      <x:c r="L84" s="68" t="str">
        <x:v>多个模块给出同向候选</x:v>
      </x:c>
      <x:c r="M84" s="82" t="str">
        <x:v>首要矛盾</x:v>
      </x:c>
      <x:c r="N84" s="68" t="str">
        <x:v>复合收益最高且副作用可控者</x:v>
      </x:c>
      <x:c r="O84" s="68" t="str">
        <x:v>保护主药或完成次级环节者</x:v>
      </x:c>
      <x:c r="P84" s="82" t="str">
        <x:v>复合药理</x:v>
      </x:c>
      <x:c r="Q84" s="68" t="str">
        <x:v>M09/M12/M13/M15均至少两项支持同一候选</x:v>
      </x:c>
      <x:c r="R84" s="90" t="str">
        <x:v>不得只凭五行数量、十神名称或单一旺衰标签直接立病用药</x:v>
      </x:c>
      <x:c r="S84" s="90" t="str">
        <x:v>主要病位未被修复，原有失衡继续运行</x:v>
      </x:c>
      <x:c r="T84" s="90" t="str">
        <x:v>药神反向过度，可能跨越平衡并形成新的结构性失衡</x:v>
      </x:c>
      <x:c r="U84" s="82" t="str">
        <x:v>条件性</x:v>
      </x:c>
      <x:c r="V84" s="90" t="str">
        <x:v>条件性</x:v>
      </x:c>
      <x:c r="W84" s="90" t="str">
        <x:v>待定</x:v>
      </x:c>
      <x:c r="X84" s="68" t="str">
        <x:v>M08有效旺衰、M09日主旺衰、M10十神功能、M11组合、M12流通、M13调候、M15格局成败均已完成</x:v>
      </x:c>
      <x:c r="Y84" s="68" t="str">
        <x:v>病位、根因、功能障碍与药神作用路径均能够追溯</x:v>
      </x:c>
      <x:c r="Z84" s="68" t="str">
        <x:v>药神有根有源、透达，能够直接进入病位且兼顾多个主要问题</x:v>
      </x:c>
      <x:c r="AA84" s="68" t="str">
        <x:v>药神无根、受强制、被合绊、作用路径遥隔或同时被多个任务分流</x:v>
      </x:c>
      <x:c r="AB84" s="90" t="str">
        <x:v>若该失衡没有造成实际功能障碍，或特殊格局要求顺势，则不得按普通病药立论</x:v>
      </x:c>
      <x:c r="AC84" s="68" t="str">
        <x:v>特殊格局严格成立、岁运动态作用或流派争议转M18/M21及动态引擎</x:v>
      </x:c>
      <x:c r="AD84" s="84" t="str">
        <x:v>一药多效优先</x:v>
      </x:c>
      <x:c r="AE84" s="84" t="str">
        <x:v>根本之病在“多个同源病位”：同一五行可同时扶抑、通关、调候、护格或救应；表层表现为“多个模块给出同向候选”。主药候选为“复合收益最高且副作用可控者”，药理为“复合药理”；最终喜忌与主次仍转M17/M18裁决。</x:v>
      </x:c>
      <x:c r="AF84" s="82" t="str">
        <x:v>较高</x:v>
      </x:c>
      <x:c r="AG84" s="82" t="str">
        <x:v>病药</x:v>
      </x:c>
      <x:c r="AH8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4" s="68" t="str">
        <x:v>当“M09/M12/M13/M15均至少两项支持同一候选”真实成立，且药神能够直接作用病位时，可按“一药能够同时解决多个主问题时优先级提高”记录。</x:v>
      </x:c>
      <x:c r="AJ84" s="90" t="str">
        <x:v>只有表面“多个模块给出同向候选”，但未证明根因“同一五行可同时扶抑、通关、调候、护格或救应”及药神作用路径时，不得套用“一药能够同时解决多个主问题时优先级提高”。</x:v>
      </x:c>
      <x:c r="AK84" s="82" t="str">
        <x:v>采用</x:v>
      </x:c>
      <x:c r="AL84" s="82" t="str">
        <x:v>初审</x:v>
      </x:c>
      <x:c r="AM84" s="87" t="n">
        <x:v>46260</x:v>
      </x:c>
    </x:row>
    <x:row r="85">
      <x:c r="A85" s="72" t="str">
        <x:f>IF(OR(C85="",D85=""),"",B85&amp;"-"&amp;UPPER(C85)&amp;"-"&amp;TEXT(D85,"0000")&amp;"-"&amp;E85)</x:f>
        <x:v>M16-MED-0079-V1.0</x:v>
      </x:c>
      <x:c r="B85" s="74" t="str">
        <x:v>M16</x:v>
      </x:c>
      <x:c r="C85" s="74" t="str">
        <x:v>MED</x:v>
      </x:c>
      <x:c r="D85" s="215" t="n">
        <x:v>79</x:v>
      </x:c>
      <x:c r="E85" s="74" t="str">
        <x:v>V1.0</x:v>
      </x:c>
      <x:c r="F85" s="68" t="str">
        <x:v>辅助药应保护主药或完成主药无法独立完成的环节</x:v>
      </x:c>
      <x:c r="G85" s="82" t="str">
        <x:v>综合层</x:v>
      </x:c>
      <x:c r="H85" s="82" t="str">
        <x:v>复合病</x:v>
      </x:c>
      <x:c r="I85" s="68" t="str">
        <x:v>主药相邻节点</x:v>
      </x:c>
      <x:c r="J85" s="68" t="str">
        <x:v>辅助配伍</x:v>
      </x:c>
      <x:c r="K85" s="68" t="str">
        <x:v>主药虽正确，但自身无根、受制或需要终点承载</x:v>
      </x:c>
      <x:c r="L85" s="68" t="str">
        <x:v>主药候选存在但单独使用药力不足</x:v>
      </x:c>
      <x:c r="M85" s="82" t="str">
        <x:v>明显</x:v>
      </x:c>
      <x:c r="N85" s="68" t="str">
        <x:v>直接药神</x:v>
      </x:c>
      <x:c r="O85" s="68" t="str">
        <x:v>生扶、护持、通关或承接主药者</x:v>
      </x:c>
      <x:c r="P85" s="82" t="str">
        <x:v>救应</x:v>
      </x:c>
      <x:c r="Q85" s="68" t="str">
        <x:v>M08—M15已经确认相应结构性失衡与实际功能障碍</x:v>
      </x:c>
      <x:c r="R85" s="90" t="str">
        <x:v>不得只凭五行数量、十神名称或单一旺衰标签直接立病用药</x:v>
      </x:c>
      <x:c r="S85" s="90" t="str">
        <x:v>主要病位未被修复，原有失衡继续运行</x:v>
      </x:c>
      <x:c r="T85" s="90" t="str">
        <x:v>药神反向过度，可能跨越平衡并形成新的结构性失衡</x:v>
      </x:c>
      <x:c r="U85" s="82" t="str">
        <x:v>条件性</x:v>
      </x:c>
      <x:c r="V85" s="90" t="str">
        <x:v>条件性</x:v>
      </x:c>
      <x:c r="W85" s="90" t="str">
        <x:v>待定</x:v>
      </x:c>
      <x:c r="X85" s="68" t="str">
        <x:v>M08有效旺衰、M09日主旺衰、M10十神功能、M11组合、M12流通、M13调候、M15格局成败均已完成</x:v>
      </x:c>
      <x:c r="Y85" s="68" t="str">
        <x:v>病位、根因、功能障碍与药神作用路径均能够追溯</x:v>
      </x:c>
      <x:c r="Z85" s="68" t="str">
        <x:v>药神有根有源、透达，能够直接进入病位且兼顾多个主要问题</x:v>
      </x:c>
      <x:c r="AA85" s="68" t="str">
        <x:v>药神无根、受强制、被合绊、作用路径遥隔或同时被多个任务分流</x:v>
      </x:c>
      <x:c r="AB85" s="90" t="str">
        <x:v>若该失衡没有造成实际功能障碍，或特殊格局要求顺势，则不得按普通病药立论</x:v>
      </x:c>
      <x:c r="AC85" s="68" t="str">
        <x:v>特殊格局严格成立、岁运动态作用或流派争议转M18/M21及动态引擎</x:v>
      </x:c>
      <x:c r="AD85" s="84" t="str">
        <x:v>辅助药配伍</x:v>
      </x:c>
      <x:c r="AE85" s="84" t="str">
        <x:v>根本之病在“主药相邻节点”：主药虽正确，但自身无根、受制或需要终点承载；表层表现为“主药候选存在但单独使用药力不足”。主药候选为“直接药神”，药理为“救应”；最终喜忌与主次仍转M17/M18裁决。</x:v>
      </x:c>
      <x:c r="AF85" s="82" t="str">
        <x:v>较高</x:v>
      </x:c>
      <x:c r="AG85" s="82" t="str">
        <x:v>病药</x:v>
      </x:c>
      <x:c r="AH8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5" s="68" t="str">
        <x:v>当“M08—M15已经确认相应结构性失衡与实际功能障碍”真实成立，且药神能够直接作用病位时，可按“辅助药应保护主药或完成主药无法独立完成的环节”记录。</x:v>
      </x:c>
      <x:c r="AJ85" s="90" t="str">
        <x:v>只有表面“主药候选存在但单独使用药力不足”，但未证明根因“主药虽正确，但自身无根、受制或需要终点承载”及药神作用路径时，不得套用“辅助药应保护主药或完成主药无法独立完成的环节”。</x:v>
      </x:c>
      <x:c r="AK85" s="82" t="str">
        <x:v>采用</x:v>
      </x:c>
      <x:c r="AL85" s="82" t="str">
        <x:v>初审</x:v>
      </x:c>
      <x:c r="AM85" s="87" t="n">
        <x:v>46260</x:v>
      </x:c>
    </x:row>
    <x:row r="86">
      <x:c r="A86" s="72" t="str">
        <x:f>IF(OR(C86="",D86=""),"",B86&amp;"-"&amp;UPPER(C86)&amp;"-"&amp;TEXT(D86,"0000")&amp;"-"&amp;E86)</x:f>
        <x:v>M16-MED-0080-V1.0</x:v>
      </x:c>
      <x:c r="B86" s="74" t="str">
        <x:v>M16</x:v>
      </x:c>
      <x:c r="C86" s="74" t="str">
        <x:v>MED</x:v>
      </x:c>
      <x:c r="D86" s="215" t="n">
        <x:v>80</x:v>
      </x:c>
      <x:c r="E86" s="74" t="str">
        <x:v>V1.0</x:v>
      </x:c>
      <x:c r="F86" s="68" t="str">
        <x:v>药神自身必须有根有源并能够进入病位</x:v>
      </x:c>
      <x:c r="G86" s="82" t="str">
        <x:v>综合层</x:v>
      </x:c>
      <x:c r="H86" s="82" t="str">
        <x:v>复合病</x:v>
      </x:c>
      <x:c r="I86" s="68" t="str">
        <x:v>药神作用路径</x:v>
      </x:c>
      <x:c r="J86" s="68" t="str">
        <x:v>药力有效性</x:v>
      </x:c>
      <x:c r="K86" s="68" t="str">
        <x:v>候选药神名义存在但无有效力量或路径</x:v>
      </x:c>
      <x:c r="L86" s="68" t="str">
        <x:v>有药名、无药力</x:v>
      </x:c>
      <x:c r="M86" s="82" t="str">
        <x:v>明显</x:v>
      </x:c>
      <x:c r="N86" s="68" t="str">
        <x:v>有实际作用能力的药神</x:v>
      </x:c>
      <x:c r="O86" s="68" t="str">
        <x:v>增强药神有效性者</x:v>
      </x:c>
      <x:c r="P86" s="82" t="str">
        <x:v>生</x:v>
      </x:c>
      <x:c r="Q86" s="68" t="str">
        <x:v>候选药神通过M08有效性和M12路径检验</x:v>
      </x:c>
      <x:c r="R86" s="90" t="str">
        <x:v>不得只凭五行数量、十神名称或单一旺衰标签直接立病用药</x:v>
      </x:c>
      <x:c r="S86" s="90" t="str">
        <x:v>主要病位未被修复，原有失衡继续运行</x:v>
      </x:c>
      <x:c r="T86" s="90" t="str">
        <x:v>药神反向过度，可能跨越平衡并形成新的结构性失衡</x:v>
      </x:c>
      <x:c r="U86" s="82" t="str">
        <x:v>条件性</x:v>
      </x:c>
      <x:c r="V86" s="90" t="str">
        <x:v>条件性</x:v>
      </x:c>
      <x:c r="W86" s="90" t="str">
        <x:v>待定</x:v>
      </x:c>
      <x:c r="X86" s="68" t="str">
        <x:v>M08有效旺衰、M09日主旺衰、M10十神功能、M11组合、M12流通、M13调候、M15格局成败均已完成</x:v>
      </x:c>
      <x:c r="Y86" s="68" t="str">
        <x:v>病位、根因、功能障碍与药神作用路径均能够追溯</x:v>
      </x:c>
      <x:c r="Z86" s="68" t="str">
        <x:v>药神有根有源、透达，能够直接进入病位且兼顾多个主要问题</x:v>
      </x:c>
      <x:c r="AA86" s="68" t="str">
        <x:v>药神无根、受强制、被合绊、作用路径遥隔或同时被多个任务分流</x:v>
      </x:c>
      <x:c r="AB86" s="90" t="str">
        <x:v>若该失衡没有造成实际功能障碍，或特殊格局要求顺势，则不得按普通病药立论</x:v>
      </x:c>
      <x:c r="AC86" s="68" t="str">
        <x:v>特殊格局严格成立、岁运动态作用或流派争议转M18/M21及动态引擎</x:v>
      </x:c>
      <x:c r="AD86" s="84" t="str">
        <x:v>药神有效性门槛</x:v>
      </x:c>
      <x:c r="AE86" s="84" t="str">
        <x:v>根本之病在“药神作用路径”：候选药神名义存在但无有效力量或路径；表层表现为“有药名、无药力”。主药候选为“有实际作用能力的药神”，药理为“生”；最终喜忌与主次仍转M17/M18裁决。</x:v>
      </x:c>
      <x:c r="AF86" s="82" t="str">
        <x:v>较高</x:v>
      </x:c>
      <x:c r="AG86" s="82" t="str">
        <x:v>病药</x:v>
      </x:c>
      <x:c r="AH8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6" s="68" t="str">
        <x:v>当“候选药神通过M08有效性和M12路径检验”真实成立，且药神能够直接作用病位时，可按“药神自身必须有根有源并能够进入病位”记录。</x:v>
      </x:c>
      <x:c r="AJ86" s="90" t="str">
        <x:v>只有表面“有药名、无药力”，但未证明根因“候选药神名义存在但无有效力量或路径”及药神作用路径时，不得套用“药神自身必须有根有源并能够进入病位”。</x:v>
      </x:c>
      <x:c r="AK86" s="82" t="str">
        <x:v>采用</x:v>
      </x:c>
      <x:c r="AL86" s="82" t="str">
        <x:v>初审</x:v>
      </x:c>
      <x:c r="AM86" s="87" t="n">
        <x:v>46260</x:v>
      </x:c>
    </x:row>
    <x:row r="87">
      <x:c r="A87" s="72" t="str">
        <x:f>IF(OR(C87="",D87=""),"",B87&amp;"-"&amp;UPPER(C87)&amp;"-"&amp;TEXT(D87,"0000")&amp;"-"&amp;E87)</x:f>
        <x:v>M16-MED-0081-V1.0</x:v>
      </x:c>
      <x:c r="B87" s="74" t="str">
        <x:v>M16</x:v>
      </x:c>
      <x:c r="C87" s="74" t="str">
        <x:v>MED</x:v>
      </x:c>
      <x:c r="D87" s="215" t="n">
        <x:v>81</x:v>
      </x:c>
      <x:c r="E87" s="74" t="str">
        <x:v>V1.0</x:v>
      </x:c>
      <x:c r="F87" s="68" t="str">
        <x:v>药神作用路径越直接越适合作为主药</x:v>
      </x:c>
      <x:c r="G87" s="82" t="str">
        <x:v>综合层</x:v>
      </x:c>
      <x:c r="H87" s="82" t="str">
        <x:v>复合病</x:v>
      </x:c>
      <x:c r="I87" s="68" t="str">
        <x:v>病位—药神路径</x:v>
      </x:c>
      <x:c r="J87" s="68" t="str">
        <x:v>路径直接性</x:v>
      </x:c>
      <x:c r="K87" s="68" t="str">
        <x:v>多个候选都能改善问题，但距离、桥梁和容量不同</x:v>
      </x:c>
      <x:c r="L87" s="68" t="str">
        <x:v>多个可用药神候选</x:v>
      </x:c>
      <x:c r="M87" s="82" t="str">
        <x:v>待定</x:v>
      </x:c>
      <x:c r="N87" s="68" t="str">
        <x:v>路径更短、桥梁更稳者</x:v>
      </x:c>
      <x:c r="O87" s="68" t="str">
        <x:v>次优路径候选</x:v>
      </x:c>
      <x:c r="P87" s="82" t="str">
        <x:v>复合药理</x:v>
      </x:c>
      <x:c r="Q87" s="68" t="str">
        <x:v>M08—M15已经确认相应结构性失衡与实际功能障碍</x:v>
      </x:c>
      <x:c r="R87" s="90" t="str">
        <x:v>不得只凭五行数量、十神名称或单一旺衰标签直接立病用药</x:v>
      </x:c>
      <x:c r="S87" s="90" t="str">
        <x:v>主要病位未被修复，原有失衡继续运行</x:v>
      </x:c>
      <x:c r="T87" s="90" t="str">
        <x:v>药神反向过度，可能跨越平衡并形成新的结构性失衡</x:v>
      </x:c>
      <x:c r="U87" s="82" t="str">
        <x:v>条件性</x:v>
      </x:c>
      <x:c r="V87" s="90" t="str">
        <x:v>条件性</x:v>
      </x:c>
      <x:c r="W87" s="90" t="str">
        <x:v>待定</x:v>
      </x:c>
      <x:c r="X87" s="68" t="str">
        <x:v>M08有效旺衰、M09日主旺衰、M10十神功能、M11组合、M12流通、M13调候、M15格局成败均已完成</x:v>
      </x:c>
      <x:c r="Y87" s="68" t="str">
        <x:v>病位、根因、功能障碍与药神作用路径均能够追溯</x:v>
      </x:c>
      <x:c r="Z87" s="68" t="str">
        <x:v>药神有根有源、透达，能够直接进入病位且兼顾多个主要问题</x:v>
      </x:c>
      <x:c r="AA87" s="68" t="str">
        <x:v>药神无根、受强制、被合绊、作用路径遥隔或同时被多个任务分流</x:v>
      </x:c>
      <x:c r="AB87" s="90" t="str">
        <x:v>若该失衡没有造成实际功能障碍，或特殊格局要求顺势，则不得按普通病药立论</x:v>
      </x:c>
      <x:c r="AC87" s="68" t="str">
        <x:v>特殊格局严格成立、岁运动态作用或流派争议转M18/M21及动态引擎</x:v>
      </x:c>
      <x:c r="AD87" s="84" t="str">
        <x:v>药路直接优先</x:v>
      </x:c>
      <x:c r="AE87" s="84" t="str">
        <x:v>根本之病在“病位—药神路径”：多个候选都能改善问题，但距离、桥梁和容量不同；表层表现为“多个可用药神候选”。主药候选为“路径更短、桥梁更稳者”，药理为“复合药理”；最终喜忌与主次仍转M17/M18裁决。</x:v>
      </x:c>
      <x:c r="AF87" s="82" t="str">
        <x:v>较高</x:v>
      </x:c>
      <x:c r="AG87" s="82" t="str">
        <x:v>病药</x:v>
      </x:c>
      <x:c r="AH8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7" s="68" t="str">
        <x:v>当“M08—M15已经确认相应结构性失衡与实际功能障碍”真实成立，且药神能够直接作用病位时，可按“药神作用路径越直接越适合作为主药”记录。</x:v>
      </x:c>
      <x:c r="AJ87" s="90" t="str">
        <x:v>只有表面“多个可用药神候选”，但未证明根因“多个候选都能改善问题，但距离、桥梁和容量不同”及药神作用路径时，不得套用“药神作用路径越直接越适合作为主药”。</x:v>
      </x:c>
      <x:c r="AK87" s="82" t="str">
        <x:v>采用</x:v>
      </x:c>
      <x:c r="AL87" s="82" t="str">
        <x:v>初审</x:v>
      </x:c>
      <x:c r="AM87" s="87" t="n">
        <x:v>46260</x:v>
      </x:c>
    </x:row>
    <x:row r="88">
      <x:c r="A88" s="72" t="str">
        <x:f>IF(OR(C88="",D88=""),"",B88&amp;"-"&amp;UPPER(C88)&amp;"-"&amp;TEXT(D88,"0000")&amp;"-"&amp;E88)</x:f>
        <x:v>M16-MED-0082-V1.0</x:v>
      </x:c>
      <x:c r="B88" s="74" t="str">
        <x:v>M16</x:v>
      </x:c>
      <x:c r="C88" s="74" t="str">
        <x:v>MED</x:v>
      </x:c>
      <x:c r="D88" s="215" t="n">
        <x:v>82</x:v>
      </x:c>
      <x:c r="E88" s="74" t="str">
        <x:v>V1.0</x:v>
      </x:c>
      <x:c r="F88" s="68" t="str">
        <x:v>制杀宜印还是宜食须按日主承载与格局择路</x:v>
      </x:c>
      <x:c r="G88" s="82" t="str">
        <x:v>综合层</x:v>
      </x:c>
      <x:c r="H88" s="82" t="str">
        <x:v>制化病</x:v>
      </x:c>
      <x:c r="I88" s="68" t="str">
        <x:v>七杀制化路线</x:v>
      </x:c>
      <x:c r="J88" s="68" t="str">
        <x:v>药路择一</x:v>
      </x:c>
      <x:c r="K88" s="68" t="str">
        <x:v>印化杀与食制杀均可能有效，但对日主和格局副作用不同</x:v>
      </x:c>
      <x:c r="L88" s="68" t="str">
        <x:v>七杀压力</x:v>
      </x:c>
      <x:c r="M88" s="82" t="str">
        <x:v>严重</x:v>
      </x:c>
      <x:c r="N88" s="68" t="str">
        <x:v>印星或食神择优</x:v>
      </x:c>
      <x:c r="O88" s="68" t="str">
        <x:v>保护主路线者</x:v>
      </x:c>
      <x:c r="P88" s="82" t="str">
        <x:v>复合药理</x:v>
      </x:c>
      <x:c r="Q88" s="68" t="str">
        <x:v>比较日主强弱、枭夺食、财坏印、食泄身和格局主轴</x:v>
      </x:c>
      <x:c r="R88" s="90" t="str">
        <x:v>不得默认同时加强印与食</x:v>
      </x:c>
      <x:c r="S88" s="90" t="str">
        <x:v>主要病位未被修复，原有失衡继续运行</x:v>
      </x:c>
      <x:c r="T88" s="90" t="str">
        <x:v>药神反向过度，可能跨越平衡并形成新的结构性失衡</x:v>
      </x:c>
      <x:c r="U88" s="82" t="str">
        <x:v>条件性</x:v>
      </x:c>
      <x:c r="V88" s="90" t="str">
        <x:v>条件性</x:v>
      </x:c>
      <x:c r="W88" s="90" t="str">
        <x:v>制化两立或药力分散</x:v>
      </x:c>
      <x:c r="X88" s="68" t="str">
        <x:v>M08有效旺衰、M09日主旺衰、M10十神功能、M11组合、M12流通、M13调候、M15格局成败均已完成</x:v>
      </x:c>
      <x:c r="Y88" s="68" t="str">
        <x:v>病位、根因、功能障碍与药神作用路径均能够追溯</x:v>
      </x:c>
      <x:c r="Z88" s="68" t="str">
        <x:v>药神有根有源、透达，能够直接进入病位且兼顾多个主要问题</x:v>
      </x:c>
      <x:c r="AA88" s="68" t="str">
        <x:v>药神无根、受强制、被合绊、作用路径遥隔或同时被多个任务分流</x:v>
      </x:c>
      <x:c r="AB88" s="90" t="str">
        <x:v>若该失衡没有造成实际功能障碍，或特殊格局要求顺势，则不得按普通病药立论</x:v>
      </x:c>
      <x:c r="AC88" s="68" t="str">
        <x:v>特殊格局严格成立、岁运动态作用或流派争议转M18/M21及动态引擎</x:v>
      </x:c>
      <x:c r="AD88" s="84" t="str">
        <x:v>制杀药路选择</x:v>
      </x:c>
      <x:c r="AE88" s="84" t="str">
        <x:v>根本之病在“七杀制化路线”：印化杀与食制杀均可能有效，但对日主和格局副作用不同；表层表现为“七杀压力”。主药候选为“印星或食神择优”，药理为“复合药理”；最终喜忌与主次仍转M17/M18裁决。</x:v>
      </x:c>
      <x:c r="AF88" s="82" t="str">
        <x:v>较高</x:v>
      </x:c>
      <x:c r="AG88" s="82" t="str">
        <x:v>病药</x:v>
      </x:c>
      <x:c r="AH8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8" s="68" t="str">
        <x:v>当“比较日主强弱、枭夺食、财坏印、食泄身和格局主轴”真实成立，且药神能够直接作用病位时，可按“制杀宜印还是宜食须按日主承载与格局择路”记录。</x:v>
      </x:c>
      <x:c r="AJ88" s="90" t="str">
        <x:v>只有表面“七杀压力”，但未证明根因“印化杀与食制杀均可能有效，但对日主和格局副作用不同”及药神作用路径时，不得套用“制杀宜印还是宜食须按日主承载与格局择路”。</x:v>
      </x:c>
      <x:c r="AK88" s="82" t="str">
        <x:v>采用</x:v>
      </x:c>
      <x:c r="AL88" s="82" t="str">
        <x:v>初审</x:v>
      </x:c>
      <x:c r="AM88" s="87" t="n">
        <x:v>46260</x:v>
      </x:c>
    </x:row>
    <x:row r="89">
      <x:c r="A89" s="72" t="str">
        <x:f>IF(OR(C89="",D89=""),"",B89&amp;"-"&amp;UPPER(C89)&amp;"-"&amp;TEXT(D89,"0000")&amp;"-"&amp;E89)</x:f>
        <x:v>M16-MED-0083-V1.0</x:v>
      </x:c>
      <x:c r="B89" s="74" t="str">
        <x:v>M16</x:v>
      </x:c>
      <x:c r="C89" s="74" t="str">
        <x:v>MED</x:v>
      </x:c>
      <x:c r="D89" s="215" t="n">
        <x:v>83</x:v>
      </x:c>
      <x:c r="E89" s="74" t="str">
        <x:v>V1.0</x:v>
      </x:c>
      <x:c r="F89" s="68" t="str">
        <x:v>先修复桥梁再增强终点适用于流通型病</x:v>
      </x:c>
      <x:c r="G89" s="82" t="str">
        <x:v>综合层</x:v>
      </x:c>
      <x:c r="H89" s="82" t="str">
        <x:v>流通病</x:v>
      </x:c>
      <x:c r="I89" s="68" t="str">
        <x:v>桥梁→终点</x:v>
      </x:c>
      <x:c r="J89" s="68" t="str">
        <x:v>用药顺序</x:v>
      </x:c>
      <x:c r="K89" s="68" t="str">
        <x:v>终点弱是由上游桥梁失效造成，直接补终点无法建立持续来源</x:v>
      </x:c>
      <x:c r="L89" s="68" t="str">
        <x:v>终点承载不足</x:v>
      </x:c>
      <x:c r="M89" s="82" t="str">
        <x:v>明显</x:v>
      </x:c>
      <x:c r="N89" s="68" t="str">
        <x:v>先恢复关键桥梁</x:v>
      </x:c>
      <x:c r="O89" s="68" t="str">
        <x:v>再扶终点</x:v>
      </x:c>
      <x:c r="P89" s="82" t="str">
        <x:v>通</x:v>
      </x:c>
      <x:c r="Q89" s="68" t="str">
        <x:v>M12确认桥梁为根因、终点弱为表象</x:v>
      </x:c>
      <x:c r="R89" s="90" t="str">
        <x:v>不得只凭五行数量、十神名称或单一旺衰标签直接立病用药</x:v>
      </x:c>
      <x:c r="S89" s="90" t="str">
        <x:v>主要病位未被修复，原有失衡继续运行</x:v>
      </x:c>
      <x:c r="T89" s="90" t="str">
        <x:v>药神反向过度，可能跨越平衡并形成新的结构性失衡</x:v>
      </x:c>
      <x:c r="U89" s="82" t="str">
        <x:v>条件性</x:v>
      </x:c>
      <x:c r="V89" s="90" t="str">
        <x:v>条件性</x:v>
      </x:c>
      <x:c r="W89" s="90" t="str">
        <x:v>待定</x:v>
      </x:c>
      <x:c r="X89" s="68" t="str">
        <x:v>M08有效旺衰、M09日主旺衰、M10十神功能、M11组合、M12流通、M13调候、M15格局成败均已完成</x:v>
      </x:c>
      <x:c r="Y89" s="68" t="str">
        <x:v>病位、根因、功能障碍与药神作用路径均能够追溯</x:v>
      </x:c>
      <x:c r="Z89" s="68" t="str">
        <x:v>药神有根有源、透达，能够直接进入病位且兼顾多个主要问题</x:v>
      </x:c>
      <x:c r="AA89" s="68" t="str">
        <x:v>药神无根、受强制、被合绊、作用路径遥隔或同时被多个任务分流</x:v>
      </x:c>
      <x:c r="AB89" s="90" t="str">
        <x:v>若该失衡没有造成实际功能障碍，或特殊格局要求顺势，则不得按普通病药立论</x:v>
      </x:c>
      <x:c r="AC89" s="68" t="str">
        <x:v>特殊格局严格成立、岁运动态作用或流派争议转M18/M21及动态引擎</x:v>
      </x:c>
      <x:c r="AD89" s="84" t="str">
        <x:v>先桥后终点</x:v>
      </x:c>
      <x:c r="AE89" s="84" t="str">
        <x:v>根本之病在“桥梁→终点”：终点弱是由上游桥梁失效造成，直接补终点无法建立持续来源；表层表现为“终点承载不足”。主药候选为“先恢复关键桥梁”，药理为“通”；最终喜忌与主次仍转M17/M18裁决。</x:v>
      </x:c>
      <x:c r="AF89" s="82" t="str">
        <x:v>较高</x:v>
      </x:c>
      <x:c r="AG89" s="82" t="str">
        <x:v>病药</x:v>
      </x:c>
      <x:c r="AH8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9" s="68" t="str">
        <x:v>当“M12确认桥梁为根因、终点弱为表象”真实成立，且药神能够直接作用病位时，可按“先修复桥梁再增强终点适用于流通型病”记录。</x:v>
      </x:c>
      <x:c r="AJ89" s="90" t="str">
        <x:v>只有表面“终点承载不足”，但未证明根因“终点弱是由上游桥梁失效造成，直接补终点无法建立持续来源”及药神作用路径时，不得套用“先修复桥梁再增强终点适用于流通型病”。</x:v>
      </x:c>
      <x:c r="AK89" s="82" t="str">
        <x:v>采用</x:v>
      </x:c>
      <x:c r="AL89" s="82" t="str">
        <x:v>初审</x:v>
      </x:c>
      <x:c r="AM89" s="87" t="n">
        <x:v>46260</x:v>
      </x:c>
    </x:row>
    <x:row r="90">
      <x:c r="A90" s="72" t="str">
        <x:f>IF(OR(C90="",D90=""),"",B90&amp;"-"&amp;UPPER(C90)&amp;"-"&amp;TEXT(D90,"0000")&amp;"-"&amp;E90)</x:f>
        <x:v>M16-MED-0084-V1.0</x:v>
      </x:c>
      <x:c r="B90" s="74" t="str">
        <x:v>M16</x:v>
      </x:c>
      <x:c r="C90" s="74" t="str">
        <x:v>MED</x:v>
      </x:c>
      <x:c r="D90" s="215" t="n">
        <x:v>84</x:v>
      </x:c>
      <x:c r="E90" s="74" t="str">
        <x:v>V1.0</x:v>
      </x:c>
      <x:c r="F90" s="68" t="str">
        <x:v>先保护格神再处理次级旺衰适用于格局型病</x:v>
      </x:c>
      <x:c r="G90" s="82" t="str">
        <x:v>综合层</x:v>
      </x:c>
      <x:c r="H90" s="82" t="str">
        <x:v>格局病</x:v>
      </x:c>
      <x:c r="I90" s="68" t="str">
        <x:v>格神与次级失衡</x:v>
      </x:c>
      <x:c r="J90" s="68" t="str">
        <x:v>用药顺序</x:v>
      </x:c>
      <x:c r="K90" s="68" t="str">
        <x:v>格神正在受损，而次级旺衰问题不影响核心运行</x:v>
      </x:c>
      <x:c r="L90" s="68" t="str">
        <x:v>格局破损并伴随一般旺衰偏差</x:v>
      </x:c>
      <x:c r="M90" s="82" t="str">
        <x:v>首要矛盾</x:v>
      </x:c>
      <x:c r="N90" s="68" t="str">
        <x:v>护格或救格之神</x:v>
      </x:c>
      <x:c r="O90" s="68" t="str">
        <x:v>处理次级旺衰者</x:v>
      </x:c>
      <x:c r="P90" s="82" t="str">
        <x:v>护格</x:v>
      </x:c>
      <x:c r="Q90" s="68" t="str">
        <x:v>M15格局病为首要矛盾且特殊格局硬约束未被否决</x:v>
      </x:c>
      <x:c r="R90" s="90" t="str">
        <x:v>不得只凭五行数量、十神名称或单一旺衰标签直接立病用药</x:v>
      </x:c>
      <x:c r="S90" s="90" t="str">
        <x:v>主要病位未被修复，原有失衡继续运行</x:v>
      </x:c>
      <x:c r="T90" s="90" t="str">
        <x:v>药神反向过度，可能跨越平衡并形成新的结构性失衡</x:v>
      </x:c>
      <x:c r="U90" s="82" t="str">
        <x:v>条件性</x:v>
      </x:c>
      <x:c r="V90" s="90" t="str">
        <x:v>条件性</x:v>
      </x:c>
      <x:c r="W90" s="90" t="str">
        <x:v>待定</x:v>
      </x:c>
      <x:c r="X90" s="68" t="str">
        <x:v>M08有效旺衰、M09日主旺衰、M10十神功能、M11组合、M12流通、M13调候、M15格局成败均已完成</x:v>
      </x:c>
      <x:c r="Y90" s="68" t="str">
        <x:v>病位、根因、功能障碍与药神作用路径均能够追溯</x:v>
      </x:c>
      <x:c r="Z90" s="68" t="str">
        <x:v>药神有根有源、透达，能够直接进入病位且兼顾多个主要问题</x:v>
      </x:c>
      <x:c r="AA90" s="68" t="str">
        <x:v>药神无根、受强制、被合绊、作用路径遥隔或同时被多个任务分流</x:v>
      </x:c>
      <x:c r="AB90" s="90" t="str">
        <x:v>若该失衡没有造成实际功能障碍，或特殊格局要求顺势，则不得按普通病药立论</x:v>
      </x:c>
      <x:c r="AC90" s="68" t="str">
        <x:v>特殊格局严格成立、岁运动态作用或流派争议转M18/M21及动态引擎</x:v>
      </x:c>
      <x:c r="AD90" s="84" t="str">
        <x:v>护格优先</x:v>
      </x:c>
      <x:c r="AE90" s="84" t="str">
        <x:v>根本之病在“格神与次级失衡”：格神正在受损，而次级旺衰问题不影响核心运行；表层表现为“格局破损并伴随一般旺衰偏差”。主药候选为“护格或救格之神”，药理为“护格”；最终喜忌与主次仍转M17/M18裁决。</x:v>
      </x:c>
      <x:c r="AF90" s="82" t="str">
        <x:v>较高</x:v>
      </x:c>
      <x:c r="AG90" s="82" t="str">
        <x:v>病药</x:v>
      </x:c>
      <x:c r="AH9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0" s="68" t="str">
        <x:v>当“M15格局病为首要矛盾且特殊格局硬约束未被否决”真实成立，且药神能够直接作用病位时，可按“先保护格神再处理次级旺衰适用于格局型病”记录。</x:v>
      </x:c>
      <x:c r="AJ90" s="90" t="str">
        <x:v>只有表面“格局破损并伴随一般旺衰偏差”，但未证明根因“格神正在受损，而次级旺衰问题不影响核心运行”及药神作用路径时，不得套用“先保护格神再处理次级旺衰适用于格局型病”。</x:v>
      </x:c>
      <x:c r="AK90" s="82" t="str">
        <x:v>采用</x:v>
      </x:c>
      <x:c r="AL90" s="82" t="str">
        <x:v>初审</x:v>
      </x:c>
      <x:c r="AM90" s="87" t="n">
        <x:v>46260</x:v>
      </x:c>
    </x:row>
    <x:row r="91">
      <x:c r="A91" s="72" t="str">
        <x:f>IF(OR(C91="",D91=""),"",B91&amp;"-"&amp;UPPER(C91)&amp;"-"&amp;TEXT(D91,"0000")&amp;"-"&amp;E91)</x:f>
        <x:v>M16-MED-0085-V1.0</x:v>
      </x:c>
      <x:c r="B91" s="74" t="str">
        <x:v>M16</x:v>
      </x:c>
      <x:c r="C91" s="74" t="str">
        <x:v>MED</x:v>
      </x:c>
      <x:c r="D91" s="215" t="n">
        <x:v>85</x:v>
      </x:c>
      <x:c r="E91" s="74" t="str">
        <x:v>V1.0</x:v>
      </x:c>
      <x:c r="F91" s="68" t="str">
        <x:v>调候药只有触达功能卡点才可升为主药</x:v>
      </x:c>
      <x:c r="G91" s="82" t="str">
        <x:v>综合层</x:v>
      </x:c>
      <x:c r="H91" s="82" t="str">
        <x:v>调候病</x:v>
      </x:c>
      <x:c r="I91" s="68" t="str">
        <x:v>气候根因与流通卡点</x:v>
      </x:c>
      <x:c r="J91" s="68" t="str">
        <x:v>调候药升级</x:v>
      </x:c>
      <x:c r="K91" s="68" t="str">
        <x:v>寒暖燥湿不仅偏离平衡，而且是多个功能障碍共同根因</x:v>
      </x:c>
      <x:c r="L91" s="68" t="str">
        <x:v>寒凝、燥枯、湿滞或火炎</x:v>
      </x:c>
      <x:c r="M91" s="82" t="str">
        <x:v>首要矛盾</x:v>
      </x:c>
      <x:c r="N91" s="68" t="str">
        <x:v>相应火、水、木等调候药</x:v>
      </x:c>
      <x:c r="O91" s="68" t="str">
        <x:v>保护调候药者</x:v>
      </x:c>
      <x:c r="P91" s="82" t="str">
        <x:v>暖</x:v>
      </x:c>
      <x:c r="Q91" s="68" t="str">
        <x:v>M13紧急度首要，M12多个卡点同源于气候</x:v>
      </x:c>
      <x:c r="R91" s="90" t="str">
        <x:v>仅季节偏寒偏热但功能正常时不得升为主药</x:v>
      </x:c>
      <x:c r="S91" s="90" t="str">
        <x:v>主要病位未被修复，原有失衡继续运行</x:v>
      </x:c>
      <x:c r="T91" s="90" t="str">
        <x:v>药神反向过度，可能跨越平衡并形成新的结构性失衡</x:v>
      </x:c>
      <x:c r="U91" s="82" t="str">
        <x:v>条件性</x:v>
      </x:c>
      <x:c r="V91" s="90" t="str">
        <x:v>条件性</x:v>
      </x:c>
      <x:c r="W91" s="90" t="str">
        <x:v>待定</x:v>
      </x:c>
      <x:c r="X91" s="68" t="str">
        <x:v>M08有效旺衰、M09日主旺衰、M10十神功能、M11组合、M12流通、M13调候、M15格局成败均已完成</x:v>
      </x:c>
      <x:c r="Y91" s="68" t="str">
        <x:v>病位、根因、功能障碍与药神作用路径均能够追溯</x:v>
      </x:c>
      <x:c r="Z91" s="68" t="str">
        <x:v>药神有根有源、透达，能够直接进入病位且兼顾多个主要问题</x:v>
      </x:c>
      <x:c r="AA91" s="68" t="str">
        <x:v>药神无根、受强制、被合绊、作用路径遥隔或同时被多个任务分流</x:v>
      </x:c>
      <x:c r="AB91" s="90" t="str">
        <x:v>若该失衡没有造成实际功能障碍，或特殊格局要求顺势，则不得按普通病药立论</x:v>
      </x:c>
      <x:c r="AC91" s="68" t="str">
        <x:v>特殊格局严格成立、岁运动态作用或流派争议转M18/M21及动态引擎</x:v>
      </x:c>
      <x:c r="AD91" s="84" t="str">
        <x:v>调候药主药门槛</x:v>
      </x:c>
      <x:c r="AE91" s="84" t="str">
        <x:v>根本之病在“气候根因与流通卡点”：寒暖燥湿不仅偏离平衡，而且是多个功能障碍共同根因；表层表现为“寒凝、燥枯、湿滞或火炎”。主药候选为“相应火、水、木等调候药”，药理为“暖”；最终喜忌与主次仍转M17/M18裁决。</x:v>
      </x:c>
      <x:c r="AF91" s="82" t="str">
        <x:v>较高</x:v>
      </x:c>
      <x:c r="AG91" s="82" t="str">
        <x:v>病药</x:v>
      </x:c>
      <x:c r="AH9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1" s="68" t="str">
        <x:v>当“M13紧急度首要，M12多个卡点同源于气候”真实成立，且药神能够直接作用病位时，可按“调候药只有触达功能卡点才可升为主药”记录。</x:v>
      </x:c>
      <x:c r="AJ91" s="90" t="str">
        <x:v>只有表面“寒凝、燥枯、湿滞或火炎”，但未证明根因“寒暖燥湿不仅偏离平衡，而且是多个功能障碍共同根因”及药神作用路径时，不得套用“调候药只有触达功能卡点才可升为主药”。</x:v>
      </x:c>
      <x:c r="AK91" s="82" t="str">
        <x:v>采用</x:v>
      </x:c>
      <x:c r="AL91" s="82" t="str">
        <x:v>初审</x:v>
      </x:c>
      <x:c r="AM91" s="87" t="n">
        <x:v>46260</x:v>
      </x:c>
    </x:row>
    <x:row r="92">
      <x:c r="A92" s="72" t="str">
        <x:f>IF(OR(C92="",D92=""),"",B92&amp;"-"&amp;UPPER(C92)&amp;"-"&amp;TEXT(D92,"0000")&amp;"-"&amp;E92)</x:f>
        <x:v>M16-MED-0086-V1.0</x:v>
      </x:c>
      <x:c r="B92" s="74" t="str">
        <x:v>M16</x:v>
      </x:c>
      <x:c r="C92" s="74" t="str">
        <x:v>MED</x:v>
      </x:c>
      <x:c r="D92" s="215" t="n">
        <x:v>86</x:v>
      </x:c>
      <x:c r="E92" s="74" t="str">
        <x:v>V1.0</x:v>
      </x:c>
      <x:c r="F92" s="68" t="str">
        <x:v>病药候选必须转M17矩阵而不能在M16直接定最终用神</x:v>
      </x:c>
      <x:c r="G92" s="82" t="str">
        <x:v>综合层</x:v>
      </x:c>
      <x:c r="H92" s="82" t="str">
        <x:v>复合病</x:v>
      </x:c>
      <x:c r="I92" s="68" t="str">
        <x:v>病药到用神接口</x:v>
      </x:c>
      <x:c r="J92" s="68" t="str">
        <x:v>模块边界</x:v>
      </x:c>
      <x:c r="K92" s="68" t="str">
        <x:v>药神只描述治疗某病的价值，尚未完成扶抑、格局、通关、调候与副作用综合</x:v>
      </x:c>
      <x:c r="L92" s="68" t="str">
        <x:v>存在一个或多个药神候选</x:v>
      </x:c>
      <x:c r="M92" s="82" t="str">
        <x:v>待定</x:v>
      </x:c>
      <x:c r="N92" s="68" t="str">
        <x:v>药神候选</x:v>
      </x:c>
      <x:c r="O92" s="68" t="str">
        <x:v>辅助药候选</x:v>
      </x:c>
      <x:c r="P92" s="82" t="str">
        <x:v>复合药理</x:v>
      </x:c>
      <x:c r="Q92" s="68" t="str">
        <x:v>M08—M15已经确认相应结构性失衡与实际功能障碍</x:v>
      </x:c>
      <x:c r="R92" s="90" t="str">
        <x:v>不得只凭五行数量、十神名称或单一旺衰标签直接立病用药</x:v>
      </x:c>
      <x:c r="S92" s="90" t="str">
        <x:v>主要病位未被修复，原有失衡继续运行</x:v>
      </x:c>
      <x:c r="T92" s="90" t="str">
        <x:v>药神反向过度，可能跨越平衡并形成新的结构性失衡</x:v>
      </x:c>
      <x:c r="U92" s="82" t="str">
        <x:v>待定</x:v>
      </x:c>
      <x:c r="V92" s="90" t="str">
        <x:v>待定</x:v>
      </x:c>
      <x:c r="W92" s="90" t="str">
        <x:v>待M17/M18裁决</x:v>
      </x:c>
      <x:c r="X92" s="68" t="str">
        <x:v>M08有效旺衰、M09日主旺衰、M10十神功能、M11组合、M12流通、M13调候、M15格局成败均已完成</x:v>
      </x:c>
      <x:c r="Y92" s="68" t="str">
        <x:v>病位、根因、功能障碍与药神作用路径均能够追溯</x:v>
      </x:c>
      <x:c r="Z92" s="68" t="str">
        <x:v>药神有根有源、透达，能够直接进入病位且兼顾多个主要问题</x:v>
      </x:c>
      <x:c r="AA92" s="68" t="str">
        <x:v>药神无根、受强制、被合绊、作用路径遥隔或同时被多个任务分流</x:v>
      </x:c>
      <x:c r="AB92" s="90" t="str">
        <x:v>若该失衡没有造成实际功能障碍，或特殊格局要求顺势，则不得按普通病药立论</x:v>
      </x:c>
      <x:c r="AC92" s="68" t="str">
        <x:v>特殊格局严格成立、岁运动态作用或流派争议转M18/M21及动态引擎</x:v>
      </x:c>
      <x:c r="AD92" s="84" t="str">
        <x:v>病药非最终用神</x:v>
      </x:c>
      <x:c r="AE92" s="84" t="str">
        <x:v>M16只生成主药、辅助药和风险；最终主用、喜忌与条件性定位必须进入M17/M18。</x:v>
      </x:c>
      <x:c r="AF92" s="82" t="str">
        <x:v>较高</x:v>
      </x:c>
      <x:c r="AG92" s="82" t="str">
        <x:v>病药</x:v>
      </x:c>
      <x:c r="AH9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2" s="68" t="str">
        <x:v>当“M08—M15已经确认相应结构性失衡与实际功能障碍”真实成立，且药神能够直接作用病位时，可按“病药候选必须转M17矩阵而不能在M16直接定最终用神”记录。</x:v>
      </x:c>
      <x:c r="AJ92" s="90" t="str">
        <x:v>只有表面“存在一个或多个药神候选”，但未证明根因“药神只描述治疗某病的价值，尚未完成扶抑、格局、通关、调候与副作用综合”及药神作用路径时，不得套用“病药候选必须转M17矩阵而不能在M16直接定最终用神”。</x:v>
      </x:c>
      <x:c r="AK92" s="82" t="str">
        <x:v>采用</x:v>
      </x:c>
      <x:c r="AL92" s="82" t="str">
        <x:v>初审</x:v>
      </x:c>
      <x:c r="AM92" s="87" t="n">
        <x:v>46260</x:v>
      </x:c>
    </x:row>
    <x:row r="93">
      <x:c r="A93" s="72" t="str">
        <x:f>IF(OR(C93="",D93=""),"",B93&amp;"-"&amp;UPPER(C93)&amp;"-"&amp;TEXT(D93,"0000")&amp;"-"&amp;E93)</x:f>
        <x:v>M16-DOSE-0087-V1.0</x:v>
      </x:c>
      <x:c r="B93" s="74" t="str">
        <x:v>M16</x:v>
      </x:c>
      <x:c r="C93" s="74" t="str">
        <x:v>DOSE</x:v>
      </x:c>
      <x:c r="D93" s="215" t="n">
        <x:v>87</x:v>
      </x:c>
      <x:c r="E93" s="74" t="str">
        <x:v>V1.0</x:v>
      </x:c>
      <x:c r="F93" s="68" t="str">
        <x:v>药神无根无源时只能形成名义药力</x:v>
      </x:c>
      <x:c r="G93" s="82" t="str">
        <x:v>综合层</x:v>
      </x:c>
      <x:c r="H93" s="82" t="str">
        <x:v>复合病</x:v>
      </x:c>
      <x:c r="I93" s="68" t="str">
        <x:v>药神根源</x:v>
      </x:c>
      <x:c r="J93" s="68" t="str">
        <x:v>药力不足</x:v>
      </x:c>
      <x:c r="K93" s="68" t="str">
        <x:v>药神存在但无有效根、生源或透达</x:v>
      </x:c>
      <x:c r="L93" s="68" t="str">
        <x:v>理论能治病，实际修复有限</x:v>
      </x:c>
      <x:c r="M93" s="82" t="str">
        <x:v>一般</x:v>
      </x:c>
      <x:c r="N93" s="68" t="str">
        <x:v>增强药神根源</x:v>
      </x:c>
      <x:c r="O93" s="68" t="str">
        <x:v>保护药神</x:v>
      </x:c>
      <x:c r="P93" s="82" t="str">
        <x:v>生</x:v>
      </x:c>
      <x:c r="Q93" s="68" t="str">
        <x:v>M08—M15已经确认相应结构性失衡与实际功能障碍</x:v>
      </x:c>
      <x:c r="R93" s="90" t="str">
        <x:v>不得只凭五行数量、十神名称或单一旺衰标签直接立病用药</x:v>
      </x:c>
      <x:c r="S93" s="90" t="str">
        <x:v>主病只能轻微缓解或完全未被修复</x:v>
      </x:c>
      <x:c r="T93" s="90" t="str">
        <x:v>补强过度仍需防药过成病</x:v>
      </x:c>
      <x:c r="U93" s="82" t="str">
        <x:v>条件性</x:v>
      </x:c>
      <x:c r="V93" s="90" t="str">
        <x:v>条件性</x:v>
      </x:c>
      <x:c r="W93" s="90" t="str">
        <x:v>待定</x:v>
      </x:c>
      <x:c r="X93" s="68" t="str">
        <x:v>M08有效旺衰、M09日主旺衰、M10十神功能、M11组合、M12流通、M13调候、M15格局成败均已完成</x:v>
      </x:c>
      <x:c r="Y93" s="68" t="str">
        <x:v>病位、根因、功能障碍与药神作用路径均能够追溯</x:v>
      </x:c>
      <x:c r="Z93" s="68" t="str">
        <x:v>药神有根有源、透达，能够直接进入病位且兼顾多个主要问题</x:v>
      </x:c>
      <x:c r="AA93" s="68" t="str">
        <x:v>药神无根、受强制、被合绊、作用路径遥隔或同时被多个任务分流</x:v>
      </x:c>
      <x:c r="AB93" s="90" t="str">
        <x:v>若该失衡没有造成实际功能障碍，或特殊格局要求顺势，则不得按普通病药立论</x:v>
      </x:c>
      <x:c r="AC93" s="68" t="str">
        <x:v>特殊格局严格成立、岁运动态作用或流派争议转M18/M21及动态引擎</x:v>
      </x:c>
      <x:c r="AD93" s="84" t="str">
        <x:v>药神无根药力不足</x:v>
      </x:c>
      <x:c r="AE93" s="84" t="str">
        <x:v>根本之病在“药神根源”：药神存在但无有效根、生源或透达；表层表现为“理论能治病，实际修复有限”。主药候选为“增强药神根源”，药理为“生”；最终喜忌与主次仍转M17/M18裁决。</x:v>
      </x:c>
      <x:c r="AF93" s="82" t="str">
        <x:v>较高</x:v>
      </x:c>
      <x:c r="AG93" s="82" t="str">
        <x:v>病药</x:v>
      </x:c>
      <x:c r="AH9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3" s="68" t="str">
        <x:v>当“M08—M15已经确认相应结构性失衡与实际功能障碍”真实成立，且药神能够直接作用病位时，可按“药神无根无源时只能形成名义药力”记录。</x:v>
      </x:c>
      <x:c r="AJ93" s="90" t="str">
        <x:v>只有表面“理论能治病，实际修复有限”，但未证明根因“药神存在但无有效根、生源或透达”及药神作用路径时，不得套用“药神无根无源时只能形成名义药力”。</x:v>
      </x:c>
      <x:c r="AK93" s="82" t="str">
        <x:v>采用</x:v>
      </x:c>
      <x:c r="AL93" s="82" t="str">
        <x:v>初审</x:v>
      </x:c>
      <x:c r="AM93" s="87" t="n">
        <x:v>46260</x:v>
      </x:c>
    </x:row>
    <x:row r="94">
      <x:c r="A94" s="72" t="str">
        <x:f>IF(OR(C94="",D94=""),"",B94&amp;"-"&amp;UPPER(C94)&amp;"-"&amp;TEXT(D94,"0000")&amp;"-"&amp;E94)</x:f>
        <x:v>M16-DOSE-0088-V1.0</x:v>
      </x:c>
      <x:c r="B94" s="74" t="str">
        <x:v>M16</x:v>
      </x:c>
      <x:c r="C94" s="74" t="str">
        <x:v>DOSE</x:v>
      </x:c>
      <x:c r="D94" s="215" t="n">
        <x:v>88</x:v>
      </x:c>
      <x:c r="E94" s="74" t="str">
        <x:v>V1.0</x:v>
      </x:c>
      <x:c r="F94" s="68" t="str">
        <x:v>药神被强克时药力会被截断</x:v>
      </x:c>
      <x:c r="G94" s="82" t="str">
        <x:v>综合层</x:v>
      </x:c>
      <x:c r="H94" s="82" t="str">
        <x:v>复合病</x:v>
      </x:c>
      <x:c r="I94" s="68" t="str">
        <x:v>药神受克节点</x:v>
      </x:c>
      <x:c r="J94" s="68" t="str">
        <x:v>药力受制</x:v>
      </x:c>
      <x:c r="K94" s="68" t="str">
        <x:v>克药之神有效力量高于药神</x:v>
      </x:c>
      <x:c r="L94" s="68" t="str">
        <x:v>药神进入病位前已经被制</x:v>
      </x:c>
      <x:c r="M94" s="82" t="str">
        <x:v>明显</x:v>
      </x:c>
      <x:c r="N94" s="68" t="str">
        <x:v>制去克药者或改用替代药路</x:v>
      </x:c>
      <x:c r="O94" s="68" t="str">
        <x:v>生扶药神</x:v>
      </x:c>
      <x:c r="P94" s="82" t="str">
        <x:v>制</x:v>
      </x:c>
      <x:c r="Q94" s="68" t="str">
        <x:v>M08—M15已经确认相应结构性失衡与实际功能障碍</x:v>
      </x:c>
      <x:c r="R94" s="90" t="str">
        <x:v>不得只凭五行数量、十神名称或单一旺衰标签直接立病用药</x:v>
      </x:c>
      <x:c r="S94" s="90" t="str">
        <x:v>主药不能到达病位</x:v>
      </x:c>
      <x:c r="T94" s="90" t="str">
        <x:v>制克药者过度可能伤格</x:v>
      </x:c>
      <x:c r="U94" s="82" t="str">
        <x:v>条件性</x:v>
      </x:c>
      <x:c r="V94" s="90" t="str">
        <x:v>条件性</x:v>
      </x:c>
      <x:c r="W94" s="90" t="str">
        <x:v>格局冲突</x:v>
      </x:c>
      <x:c r="X94" s="68" t="str">
        <x:v>M08有效旺衰、M09日主旺衰、M10十神功能、M11组合、M12流通、M13调候、M15格局成败均已完成</x:v>
      </x:c>
      <x:c r="Y94" s="68" t="str">
        <x:v>病位、根因、功能障碍与药神作用路径均能够追溯</x:v>
      </x:c>
      <x:c r="Z94" s="68" t="str">
        <x:v>药神有根有源、透达，能够直接进入病位且兼顾多个主要问题</x:v>
      </x:c>
      <x:c r="AA94" s="68" t="str">
        <x:v>药神无根、受强制、被合绊、作用路径遥隔或同时被多个任务分流</x:v>
      </x:c>
      <x:c r="AB94" s="90" t="str">
        <x:v>若该失衡没有造成实际功能障碍，或特殊格局要求顺势，则不得按普通病药立论</x:v>
      </x:c>
      <x:c r="AC94" s="68" t="str">
        <x:v>特殊格局严格成立、岁运动态作用或流派争议转M18/M21及动态引擎</x:v>
      </x:c>
      <x:c r="AD94" s="84" t="str">
        <x:v>药神受克</x:v>
      </x:c>
      <x:c r="AE94" s="84" t="str">
        <x:v>根本之病在“药神受克节点”：克药之神有效力量高于药神；表层表现为“药神进入病位前已经被制”。主药候选为“制去克药者或改用替代药路”，药理为“制”；最终喜忌与主次仍转M17/M18裁决。</x:v>
      </x:c>
      <x:c r="AF94" s="82" t="str">
        <x:v>较高</x:v>
      </x:c>
      <x:c r="AG94" s="82" t="str">
        <x:v>病药</x:v>
      </x:c>
      <x:c r="AH9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4" s="68" t="str">
        <x:v>当“M08—M15已经确认相应结构性失衡与实际功能障碍”真实成立，且药神能够直接作用病位时，可按“药神被强克时药力会被截断”记录。</x:v>
      </x:c>
      <x:c r="AJ94" s="90" t="str">
        <x:v>只有表面“药神进入病位前已经被制”，但未证明根因“克药之神有效力量高于药神”及药神作用路径时，不得套用“药神被强克时药力会被截断”。</x:v>
      </x:c>
      <x:c r="AK94" s="82" t="str">
        <x:v>采用</x:v>
      </x:c>
      <x:c r="AL94" s="82" t="str">
        <x:v>初审</x:v>
      </x:c>
      <x:c r="AM94" s="87" t="n">
        <x:v>46260</x:v>
      </x:c>
    </x:row>
    <x:row r="95">
      <x:c r="A95" s="72" t="str">
        <x:f>IF(OR(C95="",D95=""),"",B95&amp;"-"&amp;UPPER(C95)&amp;"-"&amp;TEXT(D95,"0000")&amp;"-"&amp;E95)</x:f>
        <x:v>M16-DOSE-0089-V1.0</x:v>
      </x:c>
      <x:c r="B95" s="74" t="str">
        <x:v>M16</x:v>
      </x:c>
      <x:c r="C95" s="74" t="str">
        <x:v>DOSE</x:v>
      </x:c>
      <x:c r="D95" s="215" t="n">
        <x:v>89</x:v>
      </x:c>
      <x:c r="E95" s="74" t="str">
        <x:v>V1.0</x:v>
      </x:c>
      <x:c r="F95" s="68" t="str">
        <x:v>药神被合绊时药力只能部分调用</x:v>
      </x:c>
      <x:c r="G95" s="82" t="str">
        <x:v>综合层</x:v>
      </x:c>
      <x:c r="H95" s="82" t="str">
        <x:v>复合病</x:v>
      </x:c>
      <x:c r="I95" s="68" t="str">
        <x:v>药神被合绊节点</x:v>
      </x:c>
      <x:c r="J95" s="68" t="str">
        <x:v>药力冻结</x:v>
      </x:c>
      <x:c r="K95" s="68" t="str">
        <x:v>药神被其他关系牵制或合住</x:v>
      </x:c>
      <x:c r="L95" s="68" t="str">
        <x:v>药神存在但作用不稳定</x:v>
      </x:c>
      <x:c r="M95" s="82" t="str">
        <x:v>一般</x:v>
      </x:c>
      <x:c r="N95" s="68" t="str">
        <x:v>解合、增强独立药源或改用替代药</x:v>
      </x:c>
      <x:c r="O95" s="68" t="str">
        <x:v>保护药神</x:v>
      </x:c>
      <x:c r="P95" s="82" t="str">
        <x:v>救应</x:v>
      </x:c>
      <x:c r="Q95" s="68" t="str">
        <x:v>M08—M15已经确认相应结构性失衡与实际功能障碍</x:v>
      </x:c>
      <x:c r="R95" s="90" t="str">
        <x:v>不得只凭五行数量、十神名称或单一旺衰标签直接立病用药</x:v>
      </x:c>
      <x:c r="S95" s="90" t="str">
        <x:v>药力只能局部发挥</x:v>
      </x:c>
      <x:c r="T95" s="90" t="str">
        <x:v>强行破合可能破坏合化或格局</x:v>
      </x:c>
      <x:c r="U95" s="82" t="str">
        <x:v>条件性</x:v>
      </x:c>
      <x:c r="V95" s="90" t="str">
        <x:v>条件性</x:v>
      </x:c>
      <x:c r="W95" s="90" t="str">
        <x:v>合局破损或格局病</x:v>
      </x:c>
      <x:c r="X95" s="68" t="str">
        <x:v>M08有效旺衰、M09日主旺衰、M10十神功能、M11组合、M12流通、M13调候、M15格局成败均已完成</x:v>
      </x:c>
      <x:c r="Y95" s="68" t="str">
        <x:v>病位、根因、功能障碍与药神作用路径均能够追溯</x:v>
      </x:c>
      <x:c r="Z95" s="68" t="str">
        <x:v>药神有根有源、透达，能够直接进入病位且兼顾多个主要问题</x:v>
      </x:c>
      <x:c r="AA95" s="68" t="str">
        <x:v>药神无根、受强制、被合绊、作用路径遥隔或同时被多个任务分流</x:v>
      </x:c>
      <x:c r="AB95" s="90" t="str">
        <x:v>若该失衡没有造成实际功能障碍，或特殊格局要求顺势，则不得按普通病药立论</x:v>
      </x:c>
      <x:c r="AC95" s="68" t="str">
        <x:v>特殊格局严格成立、岁运动态作用或流派争议转M18/M21及动态引擎</x:v>
      </x:c>
      <x:c r="AD95" s="84" t="str">
        <x:v>药神合绊</x:v>
      </x:c>
      <x:c r="AE95" s="84" t="str">
        <x:v>根本之病在“药神被合绊节点”：药神被其他关系牵制或合住；表层表现为“药神存在但作用不稳定”。主药候选为“解合、增强独立药源或改用替代药”，药理为“救应”；最终喜忌与主次仍转M17/M18裁决。</x:v>
      </x:c>
      <x:c r="AF95" s="82" t="str">
        <x:v>较高</x:v>
      </x:c>
      <x:c r="AG95" s="82" t="str">
        <x:v>病药</x:v>
      </x:c>
      <x:c r="AH9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5" s="68" t="str">
        <x:v>当“M08—M15已经确认相应结构性失衡与实际功能障碍”真实成立，且药神能够直接作用病位时，可按“药神被合绊时药力只能部分调用”记录。</x:v>
      </x:c>
      <x:c r="AJ95" s="90" t="str">
        <x:v>只有表面“药神存在但作用不稳定”，但未证明根因“药神被其他关系牵制或合住”及药神作用路径时，不得套用“药神被合绊时药力只能部分调用”。</x:v>
      </x:c>
      <x:c r="AK95" s="82" t="str">
        <x:v>采用</x:v>
      </x:c>
      <x:c r="AL95" s="82" t="str">
        <x:v>初审</x:v>
      </x:c>
      <x:c r="AM95" s="87" t="n">
        <x:v>46260</x:v>
      </x:c>
    </x:row>
    <x:row r="96">
      <x:c r="A96" s="72" t="str">
        <x:f>IF(OR(C96="",D96=""),"",B96&amp;"-"&amp;UPPER(C96)&amp;"-"&amp;TEXT(D96,"0000")&amp;"-"&amp;E96)</x:f>
        <x:v>M16-DOSE-0090-V1.0</x:v>
      </x:c>
      <x:c r="B96" s="74" t="str">
        <x:v>M16</x:v>
      </x:c>
      <x:c r="C96" s="74" t="str">
        <x:v>DOSE</x:v>
      </x:c>
      <x:c r="D96" s="215" t="n">
        <x:v>90</x:v>
      </x:c>
      <x:c r="E96" s="74" t="str">
        <x:v>V1.0</x:v>
      </x:c>
      <x:c r="F96" s="68" t="str">
        <x:v>药力不足时主病会持续并转移到下游</x:v>
      </x:c>
      <x:c r="G96" s="82" t="str">
        <x:v>综合层</x:v>
      </x:c>
      <x:c r="H96" s="82" t="str">
        <x:v>复合病</x:v>
      </x:c>
      <x:c r="I96" s="68" t="str">
        <x:v>病位及下游链</x:v>
      </x:c>
      <x:c r="J96" s="68" t="str">
        <x:v>治疗不足</x:v>
      </x:c>
      <x:c r="K96" s="68" t="str">
        <x:v>主药方向正确但力量、路径或持续性不足</x:v>
      </x:c>
      <x:c r="L96" s="68" t="str">
        <x:v>原病部分缓解，次级卡点仍然暴露</x:v>
      </x:c>
      <x:c r="M96" s="82" t="str">
        <x:v>明显</x:v>
      </x:c>
      <x:c r="N96" s="68" t="str">
        <x:v>增强主药有效性</x:v>
      </x:c>
      <x:c r="O96" s="68" t="str">
        <x:v>修复下游承载</x:v>
      </x:c>
      <x:c r="P96" s="82" t="str">
        <x:v>救应</x:v>
      </x:c>
      <x:c r="Q96" s="68" t="str">
        <x:v>M08—M15已经确认相应结构性失衡与实际功能障碍</x:v>
      </x:c>
      <x:c r="R96" s="90" t="str">
        <x:v>不得只凭五行数量、十神名称或单一旺衰标签直接立病用药</x:v>
      </x:c>
      <x:c r="S96" s="90" t="str">
        <x:v>原病持续，或力量传到下一弱节点形成次级病</x:v>
      </x:c>
      <x:c r="T96" s="90" t="str">
        <x:v>增强过度会跨越平衡</x:v>
      </x:c>
      <x:c r="U96" s="82" t="str">
        <x:v>条件性</x:v>
      </x:c>
      <x:c r="V96" s="90" t="str">
        <x:v>条件性</x:v>
      </x:c>
      <x:c r="W96" s="90" t="str">
        <x:v>待定</x:v>
      </x:c>
      <x:c r="X96" s="68" t="str">
        <x:v>M08有效旺衰、M09日主旺衰、M10十神功能、M11组合、M12流通、M13调候、M15格局成败均已完成</x:v>
      </x:c>
      <x:c r="Y96" s="68" t="str">
        <x:v>病位、根因、功能障碍与药神作用路径均能够追溯</x:v>
      </x:c>
      <x:c r="Z96" s="68" t="str">
        <x:v>药神有根有源、透达，能够直接进入病位且兼顾多个主要问题</x:v>
      </x:c>
      <x:c r="AA96" s="68" t="str">
        <x:v>药神无根、受强制、被合绊、作用路径遥隔或同时被多个任务分流</x:v>
      </x:c>
      <x:c r="AB96" s="90" t="str">
        <x:v>若该失衡没有造成实际功能障碍，或特殊格局要求顺势，则不得按普通病药立论</x:v>
      </x:c>
      <x:c r="AC96" s="68" t="str">
        <x:v>特殊格局严格成立、岁运动态作用或流派争议转M18/M21及动态引擎</x:v>
      </x:c>
      <x:c r="AD96" s="84" t="str">
        <x:v>药力不足后果</x:v>
      </x:c>
      <x:c r="AE96" s="84" t="str">
        <x:v>根本之病在“病位及下游链”：主药方向正确但力量、路径或持续性不足；表层表现为“原病部分缓解，次级卡点仍然暴露”。主药候选为“增强主药有效性”，药理为“救应”；最终喜忌与主次仍转M17/M18裁决。</x:v>
      </x:c>
      <x:c r="AF96" s="82" t="str">
        <x:v>较高</x:v>
      </x:c>
      <x:c r="AG96" s="82" t="str">
        <x:v>病药</x:v>
      </x:c>
      <x:c r="AH9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6" s="68" t="str">
        <x:v>当“M08—M15已经确认相应结构性失衡与实际功能障碍”真实成立，且药神能够直接作用病位时，可按“药力不足时主病会持续并转移到下游”记录。</x:v>
      </x:c>
      <x:c r="AJ96" s="90" t="str">
        <x:v>只有表面“原病部分缓解，次级卡点仍然暴露”，但未证明根因“主药方向正确但力量、路径或持续性不足”及药神作用路径时，不得套用“药力不足时主病会持续并转移到下游”。</x:v>
      </x:c>
      <x:c r="AK96" s="82" t="str">
        <x:v>采用</x:v>
      </x:c>
      <x:c r="AL96" s="82" t="str">
        <x:v>初审</x:v>
      </x:c>
      <x:c r="AM96" s="87" t="n">
        <x:v>46260</x:v>
      </x:c>
    </x:row>
    <x:row r="97">
      <x:c r="A97" s="72" t="str">
        <x:f>IF(OR(C97="",D97=""),"",B97&amp;"-"&amp;UPPER(C97)&amp;"-"&amp;TEXT(D97,"0000")&amp;"-"&amp;E97)</x:f>
        <x:v>M16-DOSE-0091-V1.0</x:v>
      </x:c>
      <x:c r="B97" s="74" t="str">
        <x:v>M16</x:v>
      </x:c>
      <x:c r="C97" s="74" t="str">
        <x:v>DOSE</x:v>
      </x:c>
      <x:c r="D97" s="215" t="n">
        <x:v>91</x:v>
      </x:c>
      <x:c r="E97" s="74" t="str">
        <x:v>V1.0</x:v>
      </x:c>
      <x:c r="F97" s="68" t="str">
        <x:v>药力过量会跨越平衡形成反向病</x:v>
      </x:c>
      <x:c r="G97" s="82" t="str">
        <x:v>综合层</x:v>
      </x:c>
      <x:c r="H97" s="82" t="str">
        <x:v>复合病</x:v>
      </x:c>
      <x:c r="I97" s="68" t="str">
        <x:v>被治疗的力量轴</x:v>
      </x:c>
      <x:c r="J97" s="68" t="str">
        <x:v>药过成病</x:v>
      </x:c>
      <x:c r="K97" s="68" t="str">
        <x:v>药神强度超过修复所需，使原偏差反向越界</x:v>
      </x:c>
      <x:c r="L97" s="68" t="str">
        <x:v>由寒转热、由湿转燥、由旺转弱或由弱转旺</x:v>
      </x:c>
      <x:c r="M97" s="82" t="str">
        <x:v>严重</x:v>
      </x:c>
      <x:c r="N97" s="68" t="str">
        <x:v>降低药量、恢复被过度抑制一方</x:v>
      </x:c>
      <x:c r="O97" s="68" t="str">
        <x:v>保护格神和桥梁</x:v>
      </x:c>
      <x:c r="P97" s="82" t="str">
        <x:v>救应</x:v>
      </x:c>
      <x:c r="Q97" s="68" t="str">
        <x:v>M08—M15已经确认相应结构性失衡与实际功能障碍</x:v>
      </x:c>
      <x:c r="R97" s="90" t="str">
        <x:v>不得只凭五行数量、十神名称或单一旺衰标签直接立病用药</x:v>
      </x:c>
      <x:c r="S97" s="90" t="str">
        <x:v>不适用</x:v>
      </x:c>
      <x:c r="T97" s="90" t="str">
        <x:v>形成反向旺衰、调候或制化病</x:v>
      </x:c>
      <x:c r="U97" s="82" t="str">
        <x:v>是</x:v>
      </x:c>
      <x:c r="V97" s="90" t="str">
        <x:v>是</x:v>
      </x:c>
      <x:c r="W97" s="90" t="str">
        <x:v>反向失衡</x:v>
      </x:c>
      <x:c r="X97" s="68" t="str">
        <x:v>M08有效旺衰、M09日主旺衰、M10十神功能、M11组合、M12流通、M13调候、M15格局成败均已完成</x:v>
      </x:c>
      <x:c r="Y97" s="68" t="str">
        <x:v>病位、根因、功能障碍与药神作用路径均能够追溯</x:v>
      </x:c>
      <x:c r="Z97" s="68" t="str">
        <x:v>药神有根有源、透达，能够直接进入病位且兼顾多个主要问题</x:v>
      </x:c>
      <x:c r="AA97" s="68" t="str">
        <x:v>药神无根、受强制、被合绊、作用路径遥隔或同时被多个任务分流</x:v>
      </x:c>
      <x:c r="AB97" s="90" t="str">
        <x:v>若该失衡没有造成实际功能障碍，或特殊格局要求顺势，则不得按普通病药立论</x:v>
      </x:c>
      <x:c r="AC97" s="68" t="str">
        <x:v>特殊格局严格成立、岁运动态作用或流派争议转M18/M21及动态引擎</x:v>
      </x:c>
      <x:c r="AD97" s="84" t="str">
        <x:v>药过成反病</x:v>
      </x:c>
      <x:c r="AE97" s="84" t="str">
        <x:v>根本之病在“被治疗的力量轴”：药神强度超过修复所需，使原偏差反向越界；表层表现为“由寒转热、由湿转燥、由旺转弱或由弱转旺”。主药候选为“降低药量、恢复被过度抑制一方”，药理为“救应”；最终喜忌与主次仍转M17/M18裁决。</x:v>
      </x:c>
      <x:c r="AF97" s="82" t="str">
        <x:v>较高</x:v>
      </x:c>
      <x:c r="AG97" s="82" t="str">
        <x:v>病药</x:v>
      </x:c>
      <x:c r="AH9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7" s="68" t="str">
        <x:v>当“M08—M15已经确认相应结构性失衡与实际功能障碍”真实成立，且药神能够直接作用病位时，可按“药力过量会跨越平衡形成反向病”记录。</x:v>
      </x:c>
      <x:c r="AJ97" s="90" t="str">
        <x:v>只有表面“由寒转热、由湿转燥、由旺转弱或由弱转旺”，但未证明根因“药神强度超过修复所需，使原偏差反向越界”及药神作用路径时，不得套用“药力过量会跨越平衡形成反向病”。</x:v>
      </x:c>
      <x:c r="AK97" s="82" t="str">
        <x:v>采用</x:v>
      </x:c>
      <x:c r="AL97" s="82" t="str">
        <x:v>初审</x:v>
      </x:c>
      <x:c r="AM97" s="87" t="n">
        <x:v>46260</x:v>
      </x:c>
    </x:row>
    <x:row r="98">
      <x:c r="A98" s="72" t="str">
        <x:f>IF(OR(C98="",D98=""),"",B98&amp;"-"&amp;UPPER(C98)&amp;"-"&amp;TEXT(D98,"0000")&amp;"-"&amp;E98)</x:f>
        <x:v>M16-DOSE-0092-V1.0</x:v>
      </x:c>
      <x:c r="B98" s="74" t="str">
        <x:v>M16</x:v>
      </x:c>
      <x:c r="C98" s="74" t="str">
        <x:v>DOSE</x:v>
      </x:c>
      <x:c r="D98" s="215" t="n">
        <x:v>92</x:v>
      </x:c>
      <x:c r="E98" s="74" t="str">
        <x:v>V1.0</x:v>
      </x:c>
      <x:c r="F98" s="68" t="str">
        <x:v>药神伤害核心格局时必须降级为条件性</x:v>
      </x:c>
      <x:c r="G98" s="82" t="str">
        <x:v>综合层</x:v>
      </x:c>
      <x:c r="H98" s="82" t="str">
        <x:v>格局病</x:v>
      </x:c>
      <x:c r="I98" s="68" t="str">
        <x:v>药神—格神冲突链</x:v>
      </x:c>
      <x:c r="J98" s="68" t="str">
        <x:v>药格冲突</x:v>
      </x:c>
      <x:c r="K98" s="68" t="str">
        <x:v>药神能治某一病，但会克、合、泄损核心格神或破坏特殊格局</x:v>
      </x:c>
      <x:c r="L98" s="68" t="str">
        <x:v>局部病改善、格局主轴受损</x:v>
      </x:c>
      <x:c r="M98" s="82" t="str">
        <x:v>严重</x:v>
      </x:c>
      <x:c r="N98" s="68" t="str">
        <x:v>寻找替代药路或限量使用</x:v>
      </x:c>
      <x:c r="O98" s="68" t="str">
        <x:v>护持格神</x:v>
      </x:c>
      <x:c r="P98" s="82" t="str">
        <x:v>护格</x:v>
      </x:c>
      <x:c r="Q98" s="68" t="str">
        <x:v>M15格局稳定且该药与格神存在直接冲突</x:v>
      </x:c>
      <x:c r="R98" s="90" t="str">
        <x:v>不得只凭五行数量、十神名称或单一旺衰标签直接立病用药</x:v>
      </x:c>
      <x:c r="S98" s="90" t="str">
        <x:v>主要病位未被修复，原有失衡继续运行</x:v>
      </x:c>
      <x:c r="T98" s="90" t="str">
        <x:v>药神反向过度，可能跨越平衡并形成新的结构性失衡</x:v>
      </x:c>
      <x:c r="U98" s="82" t="str">
        <x:v>是</x:v>
      </x:c>
      <x:c r="V98" s="90" t="str">
        <x:v>是</x:v>
      </x:c>
      <x:c r="W98" s="90" t="str">
        <x:v>格局病</x:v>
      </x:c>
      <x:c r="X98" s="68" t="str">
        <x:v>M08有效旺衰、M09日主旺衰、M10十神功能、M11组合、M12流通、M13调候、M15格局成败均已完成</x:v>
      </x:c>
      <x:c r="Y98" s="68" t="str">
        <x:v>病位、根因、功能障碍与药神作用路径均能够追溯</x:v>
      </x:c>
      <x:c r="Z98" s="68" t="str">
        <x:v>药神有根有源、透达，能够直接进入病位且兼顾多个主要问题</x:v>
      </x:c>
      <x:c r="AA98" s="68" t="str">
        <x:v>药神无根、受强制、被合绊、作用路径遥隔或同时被多个任务分流</x:v>
      </x:c>
      <x:c r="AB98" s="90" t="str">
        <x:v>若该失衡没有造成实际功能障碍，或特殊格局要求顺势，则不得按普通病药立论</x:v>
      </x:c>
      <x:c r="AC98" s="68" t="str">
        <x:v>特殊格局严格成立、岁运动态作用或流派争议转M18/M21及动态引擎</x:v>
      </x:c>
      <x:c r="AD98" s="84" t="str">
        <x:v>药伤格局</x:v>
      </x:c>
      <x:c r="AE98" s="84" t="str">
        <x:v>根本之病在“药神—格神冲突链”：药神能治某一病，但会克、合、泄损核心格神或破坏特殊格局；表层表现为“局部病改善、格局主轴受损”。主药候选为“寻找替代药路或限量使用”，药理为“护格”；最终喜忌与主次仍转M17/M18裁决。</x:v>
      </x:c>
      <x:c r="AF98" s="82" t="str">
        <x:v>较高</x:v>
      </x:c>
      <x:c r="AG98" s="82" t="str">
        <x:v>病药</x:v>
      </x:c>
      <x:c r="AH9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8" s="68" t="str">
        <x:v>当“M15格局稳定且该药与格神存在直接冲突”真实成立，且药神能够直接作用病位时，可按“药神伤害核心格局时必须降级为条件性”记录。</x:v>
      </x:c>
      <x:c r="AJ98" s="90" t="str">
        <x:v>只有表面“局部病改善、格局主轴受损”，但未证明根因“药神能治某一病，但会克、合、泄损核心格神或破坏特殊格局”及药神作用路径时，不得套用“药神伤害核心格局时必须降级为条件性”。</x:v>
      </x:c>
      <x:c r="AK98" s="82" t="str">
        <x:v>采用</x:v>
      </x:c>
      <x:c r="AL98" s="82" t="str">
        <x:v>初审</x:v>
      </x:c>
      <x:c r="AM98" s="87" t="n">
        <x:v>46260</x:v>
      </x:c>
    </x:row>
    <x:row r="99">
      <x:c r="A99" s="72" t="str">
        <x:f>IF(OR(C99="",D99=""),"",B99&amp;"-"&amp;UPPER(C99)&amp;"-"&amp;TEXT(D99,"0000")&amp;"-"&amp;E99)</x:f>
        <x:v>M16-DOSE-0093-V1.0</x:v>
      </x:c>
      <x:c r="B99" s="74" t="str">
        <x:v>M16</x:v>
      </x:c>
      <x:c r="C99" s="74" t="str">
        <x:v>DOSE</x:v>
      </x:c>
      <x:c r="D99" s="215" t="n">
        <x:v>93</x:v>
      </x:c>
      <x:c r="E99" s="74" t="str">
        <x:v>V1.0</x:v>
      </x:c>
      <x:c r="F99" s="68" t="str">
        <x:v>药神解决流通却恶化调候时形成新病</x:v>
      </x:c>
      <x:c r="G99" s="82" t="str">
        <x:v>综合层</x:v>
      </x:c>
      <x:c r="H99" s="82" t="str">
        <x:v>复合病</x:v>
      </x:c>
      <x:c r="I99" s="68" t="str">
        <x:v>通关—调候冲突</x:v>
      </x:c>
      <x:c r="J99" s="68" t="str">
        <x:v>一病愈一病生</x:v>
      </x:c>
      <x:c r="K99" s="68" t="str">
        <x:v>通关药能连接两端，但会把全局推向极寒湿或极热燥</x:v>
      </x:c>
      <x:c r="L99" s="68" t="str">
        <x:v>流通改善、气候恶化</x:v>
      </x:c>
      <x:c r="M99" s="82" t="str">
        <x:v>明显</x:v>
      </x:c>
      <x:c r="N99" s="68" t="str">
        <x:v>替代通关五行或条件性限量</x:v>
      </x:c>
      <x:c r="O99" s="68" t="str">
        <x:v>调候保护神</x:v>
      </x:c>
      <x:c r="P99" s="82" t="str">
        <x:v>复合药理</x:v>
      </x:c>
      <x:c r="Q99" s="68" t="str">
        <x:v>M08—M15已经确认相应结构性失衡与实际功能障碍</x:v>
      </x:c>
      <x:c r="R99" s="90" t="str">
        <x:v>不得只凭五行数量、十神名称或单一旺衰标签直接立病用药</x:v>
      </x:c>
      <x:c r="S99" s="90" t="str">
        <x:v>主要病位未被修复，原有失衡继续运行</x:v>
      </x:c>
      <x:c r="T99" s="90" t="str">
        <x:v>药神反向过度，可能跨越平衡并形成新的结构性失衡</x:v>
      </x:c>
      <x:c r="U99" s="82" t="str">
        <x:v>条件性</x:v>
      </x:c>
      <x:c r="V99" s="90" t="str">
        <x:v>是</x:v>
      </x:c>
      <x:c r="W99" s="90" t="str">
        <x:v>调候病</x:v>
      </x:c>
      <x:c r="X99" s="68" t="str">
        <x:v>M08有效旺衰、M09日主旺衰、M10十神功能、M11组合、M12流通、M13调候、M15格局成败均已完成</x:v>
      </x:c>
      <x:c r="Y99" s="68" t="str">
        <x:v>病位、根因、功能障碍与药神作用路径均能够追溯</x:v>
      </x:c>
      <x:c r="Z99" s="68" t="str">
        <x:v>药神有根有源、透达，能够直接进入病位且兼顾多个主要问题</x:v>
      </x:c>
      <x:c r="AA99" s="68" t="str">
        <x:v>药神无根、受强制、被合绊、作用路径遥隔或同时被多个任务分流</x:v>
      </x:c>
      <x:c r="AB99" s="90" t="str">
        <x:v>若该失衡没有造成实际功能障碍，或特殊格局要求顺势，则不得按普通病药立论</x:v>
      </x:c>
      <x:c r="AC99" s="68" t="str">
        <x:v>特殊格局严格成立、岁运动态作用或流派争议转M18/M21及动态引擎</x:v>
      </x:c>
      <x:c r="AD99" s="84" t="str">
        <x:v>通关药生调候新病</x:v>
      </x:c>
      <x:c r="AE99" s="84" t="str">
        <x:v>根本之病在“通关—调候冲突”：通关药能连接两端，但会把全局推向极寒湿或极热燥；表层表现为“流通改善、气候恶化”。主药候选为“替代通关五行或条件性限量”，药理为“复合药理”；最终喜忌与主次仍转M17/M18裁决。</x:v>
      </x:c>
      <x:c r="AF99" s="82" t="str">
        <x:v>较高</x:v>
      </x:c>
      <x:c r="AG99" s="82" t="str">
        <x:v>病药</x:v>
      </x:c>
      <x:c r="AH9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9" s="68" t="str">
        <x:v>当“M08—M15已经确认相应结构性失衡与实际功能障碍”真实成立，且药神能够直接作用病位时，可按“药神解决流通却恶化调候时形成新病”记录。</x:v>
      </x:c>
      <x:c r="AJ99" s="90" t="str">
        <x:v>只有表面“流通改善、气候恶化”，但未证明根因“通关药能连接两端，但会把全局推向极寒湿或极热燥”及药神作用路径时，不得套用“药神解决流通却恶化调候时形成新病”。</x:v>
      </x:c>
      <x:c r="AK99" s="82" t="str">
        <x:v>采用</x:v>
      </x:c>
      <x:c r="AL99" s="82" t="str">
        <x:v>初审</x:v>
      </x:c>
      <x:c r="AM99" s="87" t="n">
        <x:v>46260</x:v>
      </x:c>
    </x:row>
    <x:row r="100">
      <x:c r="A100" s="72" t="str">
        <x:f>IF(OR(C100="",D100=""),"",B100&amp;"-"&amp;UPPER(C100)&amp;"-"&amp;TEXT(D100,"0000")&amp;"-"&amp;E100)</x:f>
        <x:v>M16-DOSE-0094-V1.0</x:v>
      </x:c>
      <x:c r="B100" s="74" t="str">
        <x:v>M16</x:v>
      </x:c>
      <x:c r="C100" s="74" t="str">
        <x:v>DOSE</x:v>
      </x:c>
      <x:c r="D100" s="215" t="n">
        <x:v>94</x:v>
      </x:c>
      <x:c r="E100" s="74" t="str">
        <x:v>V1.0</x:v>
      </x:c>
      <x:c r="F100" s="68" t="str">
        <x:v>药神改善调候却加重日主失衡时形成新病</x:v>
      </x:c>
      <x:c r="G100" s="82" t="str">
        <x:v>综合层</x:v>
      </x:c>
      <x:c r="H100" s="82" t="str">
        <x:v>复合病</x:v>
      </x:c>
      <x:c r="I100" s="68" t="str">
        <x:v>调候—扶抑冲突</x:v>
      </x:c>
      <x:c r="J100" s="68" t="str">
        <x:v>一病愈一病生</x:v>
      </x:c>
      <x:c r="K100" s="68" t="str">
        <x:v>调候五行改善寒暖燥湿，但明显增加日主过旺或过弱</x:v>
      </x:c>
      <x:c r="L100" s="68" t="str">
        <x:v>气候改善、承载恶化</x:v>
      </x:c>
      <x:c r="M100" s="82" t="str">
        <x:v>明显</x:v>
      </x:c>
      <x:c r="N100" s="68" t="str">
        <x:v>限量调候或寻找间接调候路径</x:v>
      </x:c>
      <x:c r="O100" s="68" t="str">
        <x:v>扶抑保护神</x:v>
      </x:c>
      <x:c r="P100" s="82" t="str">
        <x:v>复合药理</x:v>
      </x:c>
      <x:c r="Q100" s="68" t="str">
        <x:v>M08—M15已经确认相应结构性失衡与实际功能障碍</x:v>
      </x:c>
      <x:c r="R100" s="90" t="str">
        <x:v>不得只凭五行数量、十神名称或单一旺衰标签直接立病用药</x:v>
      </x:c>
      <x:c r="S100" s="90" t="str">
        <x:v>主要病位未被修复，原有失衡继续运行</x:v>
      </x:c>
      <x:c r="T100" s="90" t="str">
        <x:v>药神反向过度，可能跨越平衡并形成新的结构性失衡</x:v>
      </x:c>
      <x:c r="U100" s="82" t="str">
        <x:v>条件性</x:v>
      </x:c>
      <x:c r="V100" s="90" t="str">
        <x:v>是</x:v>
      </x:c>
      <x:c r="W100" s="90" t="str">
        <x:v>旺衰病</x:v>
      </x:c>
      <x:c r="X100" s="68" t="str">
        <x:v>M08有效旺衰、M09日主旺衰、M10十神功能、M11组合、M12流通、M13调候、M15格局成败均已完成</x:v>
      </x:c>
      <x:c r="Y100" s="68" t="str">
        <x:v>病位、根因、功能障碍与药神作用路径均能够追溯</x:v>
      </x:c>
      <x:c r="Z100" s="68" t="str">
        <x:v>药神有根有源、透达，能够直接进入病位且兼顾多个主要问题</x:v>
      </x:c>
      <x:c r="AA100" s="68" t="str">
        <x:v>药神无根、受强制、被合绊、作用路径遥隔或同时被多个任务分流</x:v>
      </x:c>
      <x:c r="AB100" s="90" t="str">
        <x:v>若该失衡没有造成实际功能障碍，或特殊格局要求顺势，则不得按普通病药立论</x:v>
      </x:c>
      <x:c r="AC100" s="68" t="str">
        <x:v>特殊格局严格成立、岁运动态作用或流派争议转M18/M21及动态引擎</x:v>
      </x:c>
      <x:c r="AD100" s="84" t="str">
        <x:v>调候药生旺衰新病</x:v>
      </x:c>
      <x:c r="AE100" s="84" t="str">
        <x:v>根本之病在“调候—扶抑冲突”：调候五行改善寒暖燥湿，但明显增加日主过旺或过弱；表层表现为“气候改善、承载恶化”。主药候选为“限量调候或寻找间接调候路径”，药理为“复合药理”；最终喜忌与主次仍转M17/M18裁决。</x:v>
      </x:c>
      <x:c r="AF100" s="82" t="str">
        <x:v>较高</x:v>
      </x:c>
      <x:c r="AG100" s="82" t="str">
        <x:v>病药</x:v>
      </x:c>
      <x:c r="AH10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0" s="68" t="str">
        <x:v>当“M08—M15已经确认相应结构性失衡与实际功能障碍”真实成立，且药神能够直接作用病位时，可按“药神改善调候却加重日主失衡时形成新病”记录。</x:v>
      </x:c>
      <x:c r="AJ100" s="90" t="str">
        <x:v>只有表面“气候改善、承载恶化”，但未证明根因“调候五行改善寒暖燥湿，但明显增加日主过旺或过弱”及药神作用路径时，不得套用“药神改善调候却加重日主失衡时形成新病”。</x:v>
      </x:c>
      <x:c r="AK100" s="82" t="str">
        <x:v>采用</x:v>
      </x:c>
      <x:c r="AL100" s="82" t="str">
        <x:v>初审</x:v>
      </x:c>
      <x:c r="AM100" s="87" t="n">
        <x:v>46260</x:v>
      </x:c>
    </x:row>
    <x:row r="101">
      <x:c r="A101" s="72" t="str">
        <x:f>IF(OR(C101="",D101=""),"",B101&amp;"-"&amp;UPPER(C101)&amp;"-"&amp;TEXT(D101,"0000")&amp;"-"&amp;E101)</x:f>
        <x:v>M16-DOSE-0095-V1.0</x:v>
      </x:c>
      <x:c r="B101" s="74" t="str">
        <x:v>M16</x:v>
      </x:c>
      <x:c r="C101" s="74" t="str">
        <x:v>DOSE</x:v>
      </x:c>
      <x:c r="D101" s="215" t="n">
        <x:v>95</x:v>
      </x:c>
      <x:c r="E101" s="74" t="str">
        <x:v>V1.0</x:v>
      </x:c>
      <x:c r="F101" s="68" t="str">
        <x:v>多药同时作用同一节点会发生容量竞争</x:v>
      </x:c>
      <x:c r="G101" s="82" t="str">
        <x:v>综合层</x:v>
      </x:c>
      <x:c r="H101" s="82" t="str">
        <x:v>复合病</x:v>
      </x:c>
      <x:c r="I101" s="68" t="str">
        <x:v>共享药效节点</x:v>
      </x:c>
      <x:c r="J101" s="68" t="str">
        <x:v>药效竞争</x:v>
      </x:c>
      <x:c r="K101" s="68" t="str">
        <x:v>多个药神或药理同时争夺同一五行/十神的有限作用容量</x:v>
      </x:c>
      <x:c r="L101" s="68" t="str">
        <x:v>每个药神理论有效，合用后实际效果低于预期</x:v>
      </x:c>
      <x:c r="M101" s="82" t="str">
        <x:v>一般</x:v>
      </x:c>
      <x:c r="N101" s="68" t="str">
        <x:v>确定主药，次药降级</x:v>
      </x:c>
      <x:c r="O101" s="68" t="str">
        <x:v>仅保留协同者</x:v>
      </x:c>
      <x:c r="P101" s="82" t="str">
        <x:v>清杂</x:v>
      </x:c>
      <x:c r="Q101" s="68" t="str">
        <x:v>M08—M15已经确认相应结构性失衡与实际功能障碍</x:v>
      </x:c>
      <x:c r="R101" s="90" t="str">
        <x:v>不得只凭五行数量、十神名称或单一旺衰标签直接立病用药</x:v>
      </x:c>
      <x:c r="S101" s="90" t="str">
        <x:v>主要病位未被修复，原有失衡继续运行</x:v>
      </x:c>
      <x:c r="T101" s="90" t="str">
        <x:v>药神反向过度，可能跨越平衡并形成新的结构性失衡</x:v>
      </x:c>
      <x:c r="U101" s="82" t="str">
        <x:v>条件性</x:v>
      </x:c>
      <x:c r="V101" s="90" t="str">
        <x:v>条件性</x:v>
      </x:c>
      <x:c r="W101" s="90" t="str">
        <x:v>药力分散、制化两立</x:v>
      </x:c>
      <x:c r="X101" s="68" t="str">
        <x:v>M08有效旺衰、M09日主旺衰、M10十神功能、M11组合、M12流通、M13调候、M15格局成败均已完成</x:v>
      </x:c>
      <x:c r="Y101" s="68" t="str">
        <x:v>病位、根因、功能障碍与药神作用路径均能够追溯</x:v>
      </x:c>
      <x:c r="Z101" s="68" t="str">
        <x:v>药神有根有源、透达，能够直接进入病位且兼顾多个主要问题</x:v>
      </x:c>
      <x:c r="AA101" s="68" t="str">
        <x:v>药神无根、受强制、被合绊、作用路径遥隔或同时被多个任务分流</x:v>
      </x:c>
      <x:c r="AB101" s="90" t="str">
        <x:v>若该失衡没有造成实际功能障碍，或特殊格局要求顺势，则不得按普通病药立论</x:v>
      </x:c>
      <x:c r="AC101" s="68" t="str">
        <x:v>特殊格局严格成立、岁运动态作用或流派争议转M18/M21及动态引擎</x:v>
      </x:c>
      <x:c r="AD101" s="84" t="str">
        <x:v>多药容量竞争</x:v>
      </x:c>
      <x:c r="AE101" s="84" t="str">
        <x:v>根本之病在“共享药效节点”：多个药神或药理同时争夺同一五行/十神的有限作用容量；表层表现为“每个药神理论有效，合用后实际效果低于预期”。主药候选为“确定主药，次药降级”，药理为“清杂”；最终喜忌与主次仍转M17/M18裁决。</x:v>
      </x:c>
      <x:c r="AF101" s="82" t="str">
        <x:v>较高</x:v>
      </x:c>
      <x:c r="AG101" s="82" t="str">
        <x:v>病药</x:v>
      </x:c>
      <x:c r="AH10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1" s="68" t="str">
        <x:v>当“M08—M15已经确认相应结构性失衡与实际功能障碍”真实成立，且药神能够直接作用病位时，可按“多药同时作用同一节点会发生容量竞争”记录。</x:v>
      </x:c>
      <x:c r="AJ101" s="90" t="str">
        <x:v>只有表面“每个药神理论有效，合用后实际效果低于预期”，但未证明根因“多个药神或药理同时争夺同一五行/十神的有限作用容量”及药神作用路径时，不得套用“多药同时作用同一节点会发生容量竞争”。</x:v>
      </x:c>
      <x:c r="AK101" s="82" t="str">
        <x:v>采用</x:v>
      </x:c>
      <x:c r="AL101" s="82" t="str">
        <x:v>初审</x:v>
      </x:c>
      <x:c r="AM101" s="87" t="n">
        <x:v>46260</x:v>
      </x:c>
    </x:row>
    <x:row r="102">
      <x:c r="A102" s="72" t="str">
        <x:f>IF(OR(C102="",D102=""),"",B102&amp;"-"&amp;UPPER(C102)&amp;"-"&amp;TEXT(D102,"0000")&amp;"-"&amp;E102)</x:f>
        <x:v>M16-DOSE-0096-V1.0</x:v>
      </x:c>
      <x:c r="B102" s="74" t="str">
        <x:v>M16</x:v>
      </x:c>
      <x:c r="C102" s="74" t="str">
        <x:v>DOSE</x:v>
      </x:c>
      <x:c r="D102" s="215" t="n">
        <x:v>96</x:v>
      </x:c>
      <x:c r="E102" s="74" t="str">
        <x:v>V1.0</x:v>
      </x:c>
      <x:c r="F102" s="68" t="str">
        <x:v>药神依赖单一共享桥梁时需评估桥梁过载</x:v>
      </x:c>
      <x:c r="G102" s="82" t="str">
        <x:v>综合层</x:v>
      </x:c>
      <x:c r="H102" s="82" t="str">
        <x:v>复合病</x:v>
      </x:c>
      <x:c r="I102" s="68" t="str">
        <x:v>药神共享桥梁</x:v>
      </x:c>
      <x:c r="J102" s="68" t="str">
        <x:v>药效瓶颈</x:v>
      </x:c>
      <x:c r="K102" s="68" t="str">
        <x:v>主药与辅助药都需经过同一中等或偏弱桥梁</x:v>
      </x:c>
      <x:c r="L102" s="68" t="str">
        <x:v>药物组合完整但实际传递不足</x:v>
      </x:c>
      <x:c r="M102" s="82" t="str">
        <x:v>一般</x:v>
      </x:c>
      <x:c r="N102" s="68" t="str">
        <x:v>优先增强桥梁或简化药路</x:v>
      </x:c>
      <x:c r="O102" s="68" t="str">
        <x:v>替代桥梁</x:v>
      </x:c>
      <x:c r="P102" s="82" t="str">
        <x:v>通</x:v>
      </x:c>
      <x:c r="Q102" s="68" t="str">
        <x:v>M08—M15已经确认相应结构性失衡与实际功能障碍</x:v>
      </x:c>
      <x:c r="R102" s="90" t="str">
        <x:v>不得只凭五行数量、十神名称或单一旺衰标签直接立病用药</x:v>
      </x:c>
      <x:c r="S102" s="90" t="str">
        <x:v>主要病位未被修复，原有失衡继续运行</x:v>
      </x:c>
      <x:c r="T102" s="90" t="str">
        <x:v>药神反向过度，可能跨越平衡并形成新的结构性失衡</x:v>
      </x:c>
      <x:c r="U102" s="82" t="str">
        <x:v>条件性</x:v>
      </x:c>
      <x:c r="V102" s="90" t="str">
        <x:v>条件性</x:v>
      </x:c>
      <x:c r="W102" s="90" t="str">
        <x:v>桥梁过载或药效不足</x:v>
      </x:c>
      <x:c r="X102" s="68" t="str">
        <x:v>M08有效旺衰、M09日主旺衰、M10十神功能、M11组合、M12流通、M13调候、M15格局成败均已完成</x:v>
      </x:c>
      <x:c r="Y102" s="68" t="str">
        <x:v>病位、根因、功能障碍与药神作用路径均能够追溯</x:v>
      </x:c>
      <x:c r="Z102" s="68" t="str">
        <x:v>药神有根有源、透达，能够直接进入病位且兼顾多个主要问题</x:v>
      </x:c>
      <x:c r="AA102" s="68" t="str">
        <x:v>药神无根、受强制、被合绊、作用路径遥隔或同时被多个任务分流</x:v>
      </x:c>
      <x:c r="AB102" s="90" t="str">
        <x:v>若该失衡没有造成实际功能障碍，或特殊格局要求顺势，则不得按普通病药立论</x:v>
      </x:c>
      <x:c r="AC102" s="68" t="str">
        <x:v>特殊格局严格成立、岁运动态作用或流派争议转M18/M21及动态引擎</x:v>
      </x:c>
      <x:c r="AD102" s="84" t="str">
        <x:v>药路桥梁过载</x:v>
      </x:c>
      <x:c r="AE102" s="84" t="str">
        <x:v>根本之病在“药神共享桥梁”：主药与辅助药都需经过同一中等或偏弱桥梁；表层表现为“药物组合完整但实际传递不足”。主药候选为“优先增强桥梁或简化药路”，药理为“通”；最终喜忌与主次仍转M17/M18裁决。</x:v>
      </x:c>
      <x:c r="AF102" s="82" t="str">
        <x:v>较高</x:v>
      </x:c>
      <x:c r="AG102" s="82" t="str">
        <x:v>病药</x:v>
      </x:c>
      <x:c r="AH10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2" s="68" t="str">
        <x:v>当“M08—M15已经确认相应结构性失衡与实际功能障碍”真实成立，且药神能够直接作用病位时，可按“药神依赖单一共享桥梁时需评估桥梁过载”记录。</x:v>
      </x:c>
      <x:c r="AJ102" s="90" t="str">
        <x:v>只有表面“药物组合完整但实际传递不足”，但未证明根因“主药与辅助药都需经过同一中等或偏弱桥梁”及药神作用路径时，不得套用“药神依赖单一共享桥梁时需评估桥梁过载”。</x:v>
      </x:c>
      <x:c r="AK102" s="82" t="str">
        <x:v>采用</x:v>
      </x:c>
      <x:c r="AL102" s="82" t="str">
        <x:v>初审</x:v>
      </x:c>
      <x:c r="AM102" s="87" t="n">
        <x:v>46260</x:v>
      </x:c>
    </x:row>
    <x:row r="103">
      <x:c r="A103" s="72" t="str">
        <x:f>IF(OR(C103="",D103=""),"",B103&amp;"-"&amp;UPPER(C103)&amp;"-"&amp;TEXT(D103,"0000")&amp;"-"&amp;E103)</x:f>
        <x:v>M16-RANK-0097-V1.0</x:v>
      </x:c>
      <x:c r="B103" s="74" t="str">
        <x:v>M16</x:v>
      </x:c>
      <x:c r="C103" s="74" t="str">
        <x:v>RANK</x:v>
      </x:c>
      <x:c r="D103" s="215" t="n">
        <x:v>97</x:v>
      </x:c>
      <x:c r="E103" s="74" t="str">
        <x:v>V1.0</x:v>
      </x:c>
      <x:c r="F103" s="68" t="str">
        <x:v>共同根因能够解释多个模块问题时列根本病</x:v>
      </x:c>
      <x:c r="G103" s="82" t="str">
        <x:v>综合层</x:v>
      </x:c>
      <x:c r="H103" s="82" t="str">
        <x:v>复合病</x:v>
      </x:c>
      <x:c r="I103" s="68" t="str">
        <x:v>跨模块共同根因</x:v>
      </x:c>
      <x:c r="J103" s="68" t="str">
        <x:v>根因汇聚</x:v>
      </x:c>
      <x:c r="K103" s="68" t="str">
        <x:v>同一失衡同时导致旺衰、流通、制化、格局或调候中的多个问题</x:v>
      </x:c>
      <x:c r="L103" s="68" t="str">
        <x:v>多个表层病并存</x:v>
      </x:c>
      <x:c r="M103" s="82" t="str">
        <x:v>首要矛盾</x:v>
      </x:c>
      <x:c r="N103" s="68" t="str">
        <x:v>直接修复共同根因者</x:v>
      </x:c>
      <x:c r="O103" s="68" t="str">
        <x:v>处理剩余次级病者</x:v>
      </x:c>
      <x:c r="P103" s="82" t="str">
        <x:v>复合药理</x:v>
      </x:c>
      <x:c r="Q103" s="68" t="str">
        <x:v>M08—M15已经确认相应结构性失衡与实际功能障碍</x:v>
      </x:c>
      <x:c r="R103" s="90" t="str">
        <x:v>不得只凭五行数量、十神名称或单一旺衰标签直接立病用药</x:v>
      </x:c>
      <x:c r="S103" s="90" t="str">
        <x:v>主要病位未被修复，原有失衡继续运行</x:v>
      </x:c>
      <x:c r="T103" s="90" t="str">
        <x:v>药神反向过度，可能跨越平衡并形成新的结构性失衡</x:v>
      </x:c>
      <x:c r="U103" s="82" t="str">
        <x:v>条件性</x:v>
      </x:c>
      <x:c r="V103" s="90" t="str">
        <x:v>条件性</x:v>
      </x:c>
      <x:c r="W103" s="90" t="str">
        <x:v>待定</x:v>
      </x:c>
      <x:c r="X103" s="68" t="str">
        <x:v>M08有效旺衰、M09日主旺衰、M10十神功能、M11组合、M12流通、M13调候、M15格局成败均已完成</x:v>
      </x:c>
      <x:c r="Y103" s="68" t="str">
        <x:v>病位、根因、功能障碍与药神作用路径均能够追溯</x:v>
      </x:c>
      <x:c r="Z103" s="68" t="str">
        <x:v>药神有根有源、透达，能够直接进入病位且兼顾多个主要问题</x:v>
      </x:c>
      <x:c r="AA103" s="68" t="str">
        <x:v>药神无根、受强制、被合绊、作用路径遥隔或同时被多个任务分流</x:v>
      </x:c>
      <x:c r="AB103" s="90" t="str">
        <x:v>若该失衡没有造成实际功能障碍，或特殊格局要求顺势，则不得按普通病药立论</x:v>
      </x:c>
      <x:c r="AC103" s="68" t="str">
        <x:v>特殊格局严格成立、岁运动态作用或流派争议转M18/M21及动态引擎</x:v>
      </x:c>
      <x:c r="AD103" s="84" t="str">
        <x:v>共同根因优先</x:v>
      </x:c>
      <x:c r="AE103" s="84" t="str">
        <x:v>根本之病在“跨模块共同根因”：同一失衡同时导致旺衰、流通、制化、格局或调候中的多个问题；表层表现为“多个表层病并存”。主药候选为“直接修复共同根因者”，药理为“复合药理”；最终喜忌与主次仍转M17/M18裁决。</x:v>
      </x:c>
      <x:c r="AF103" s="82" t="str">
        <x:v>较高</x:v>
      </x:c>
      <x:c r="AG103" s="82" t="str">
        <x:v>病药</x:v>
      </x:c>
      <x:c r="AH10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3" s="68" t="str">
        <x:v>当“M08—M15已经确认相应结构性失衡与实际功能障碍”真实成立，且药神能够直接作用病位时，可按“共同根因能够解释多个模块问题时列根本病”记录。</x:v>
      </x:c>
      <x:c r="AJ103" s="90" t="str">
        <x:v>只有表面“多个表层病并存”，但未证明根因“同一失衡同时导致旺衰、流通、制化、格局或调候中的多个问题”及药神作用路径时，不得套用“共同根因能够解释多个模块问题时列根本病”。</x:v>
      </x:c>
      <x:c r="AK103" s="82" t="str">
        <x:v>采用</x:v>
      </x:c>
      <x:c r="AL103" s="82" t="str">
        <x:v>初审</x:v>
      </x:c>
      <x:c r="AM103" s="87" t="n">
        <x:v>46260</x:v>
      </x:c>
    </x:row>
    <x:row r="104">
      <x:c r="A104" s="72" t="str">
        <x:f>IF(OR(C104="",D104=""),"",B104&amp;"-"&amp;UPPER(C104)&amp;"-"&amp;TEXT(D104,"0000")&amp;"-"&amp;E104)</x:f>
        <x:v>M16-RANK-0098-V1.0</x:v>
      </x:c>
      <x:c r="B104" s="74" t="str">
        <x:v>M16</x:v>
      </x:c>
      <x:c r="C104" s="74" t="str">
        <x:v>RANK</x:v>
      </x:c>
      <x:c r="D104" s="215" t="n">
        <x:v>98</x:v>
      </x:c>
      <x:c r="E104" s="74" t="str">
        <x:v>V1.0</x:v>
      </x:c>
      <x:c r="F104" s="68" t="str">
        <x:v>严重度高且影响核心路径者优先于轻微偏差</x:v>
      </x:c>
      <x:c r="G104" s="82" t="str">
        <x:v>综合层</x:v>
      </x:c>
      <x:c r="H104" s="82" t="str">
        <x:v>复合病</x:v>
      </x:c>
      <x:c r="I104" s="68" t="str">
        <x:v>主卡点/核心格神/日主承载</x:v>
      </x:c>
      <x:c r="J104" s="68" t="str">
        <x:v>严重度排序</x:v>
      </x:c>
      <x:c r="K104" s="68" t="str">
        <x:v>多个病位严重程度不同</x:v>
      </x:c>
      <x:c r="L104" s="68" t="str">
        <x:v>轻微旺衰偏差与严重格局/流通破坏并存</x:v>
      </x:c>
      <x:c r="M104" s="82" t="str">
        <x:v>首要矛盾</x:v>
      </x:c>
      <x:c r="N104" s="68" t="str">
        <x:v>优先治疗严重核心病位</x:v>
      </x:c>
      <x:c r="O104" s="68" t="str">
        <x:v>次级病药</x:v>
      </x:c>
      <x:c r="P104" s="82" t="str">
        <x:v>复合药理</x:v>
      </x:c>
      <x:c r="Q104" s="68" t="str">
        <x:v>M08—M15已经确认相应结构性失衡与实际功能障碍</x:v>
      </x:c>
      <x:c r="R104" s="90" t="str">
        <x:v>不得只凭五行数量、十神名称或单一旺衰标签直接立病用药</x:v>
      </x:c>
      <x:c r="S104" s="90" t="str">
        <x:v>主要病位未被修复，原有失衡继续运行</x:v>
      </x:c>
      <x:c r="T104" s="90" t="str">
        <x:v>药神反向过度，可能跨越平衡并形成新的结构性失衡</x:v>
      </x:c>
      <x:c r="U104" s="82" t="str">
        <x:v>条件性</x:v>
      </x:c>
      <x:c r="V104" s="90" t="str">
        <x:v>条件性</x:v>
      </x:c>
      <x:c r="W104" s="90" t="str">
        <x:v>待定</x:v>
      </x:c>
      <x:c r="X104" s="68" t="str">
        <x:v>M08有效旺衰、M09日主旺衰、M10十神功能、M11组合、M12流通、M13调候、M15格局成败均已完成</x:v>
      </x:c>
      <x:c r="Y104" s="68" t="str">
        <x:v>病位、根因、功能障碍与药神作用路径均能够追溯</x:v>
      </x:c>
      <x:c r="Z104" s="68" t="str">
        <x:v>药神有根有源、透达，能够直接进入病位且兼顾多个主要问题</x:v>
      </x:c>
      <x:c r="AA104" s="68" t="str">
        <x:v>药神无根、受强制、被合绊、作用路径遥隔或同时被多个任务分流</x:v>
      </x:c>
      <x:c r="AB104" s="90" t="str">
        <x:v>若该失衡没有造成实际功能障碍，或特殊格局要求顺势，则不得按普通病药立论</x:v>
      </x:c>
      <x:c r="AC104" s="68" t="str">
        <x:v>特殊格局严格成立、岁运动态作用或流派争议转M18/M21及动态引擎</x:v>
      </x:c>
      <x:c r="AD104" s="84" t="str">
        <x:v>严重核心病优先</x:v>
      </x:c>
      <x:c r="AE104" s="84" t="str">
        <x:v>根本之病在“主卡点/核心格神/日主承载”：多个病位严重程度不同；表层表现为“轻微旺衰偏差与严重格局/流通破坏并存”。主药候选为“优先治疗严重核心病位”，药理为“复合药理”；最终喜忌与主次仍转M17/M18裁决。</x:v>
      </x:c>
      <x:c r="AF104" s="82" t="str">
        <x:v>较高</x:v>
      </x:c>
      <x:c r="AG104" s="82" t="str">
        <x:v>病药</x:v>
      </x:c>
      <x:c r="AH10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4" s="68" t="str">
        <x:v>当“M08—M15已经确认相应结构性失衡与实际功能障碍”真实成立，且药神能够直接作用病位时，可按“严重度高且影响核心路径者优先于轻微偏差”记录。</x:v>
      </x:c>
      <x:c r="AJ104" s="90" t="str">
        <x:v>只有表面“轻微旺衰偏差与严重格局/流通破坏并存”，但未证明根因“多个病位严重程度不同”及药神作用路径时，不得套用“严重度高且影响核心路径者优先于轻微偏差”。</x:v>
      </x:c>
      <x:c r="AK104" s="82" t="str">
        <x:v>采用</x:v>
      </x:c>
      <x:c r="AL104" s="82" t="str">
        <x:v>初审</x:v>
      </x:c>
      <x:c r="AM104" s="87" t="n">
        <x:v>46260</x:v>
      </x:c>
    </x:row>
    <x:row r="105">
      <x:c r="A105" s="72" t="str">
        <x:f>IF(OR(C105="",D105=""),"",B105&amp;"-"&amp;UPPER(C105)&amp;"-"&amp;TEXT(D105,"0000")&amp;"-"&amp;E105)</x:f>
        <x:v>M16-RANK-0099-V1.0</x:v>
      </x:c>
      <x:c r="B105" s="74" t="str">
        <x:v>M16</x:v>
      </x:c>
      <x:c r="C105" s="74" t="str">
        <x:v>RANK</x:v>
      </x:c>
      <x:c r="D105" s="215" t="n">
        <x:v>99</x:v>
      </x:c>
      <x:c r="E105" s="74" t="str">
        <x:v>V1.0</x:v>
      </x:c>
      <x:c r="F105" s="68" t="str">
        <x:v>特殊格局硬约束优先于普通扶抑病药</x:v>
      </x:c>
      <x:c r="G105" s="82" t="str">
        <x:v>综合层</x:v>
      </x:c>
      <x:c r="H105" s="82" t="str">
        <x:v>格局病</x:v>
      </x:c>
      <x:c r="I105" s="68" t="str">
        <x:v>特殊格局主势</x:v>
      </x:c>
      <x:c r="J105" s="68" t="str">
        <x:v>硬约束排序</x:v>
      </x:c>
      <x:c r="K105" s="68" t="str">
        <x:v>从格、化气、专旺严格成立时普通扶抑药可能破格</x:v>
      </x:c>
      <x:c r="L105" s="68" t="str">
        <x:v>普通旺衰与特殊格局方向冲突</x:v>
      </x:c>
      <x:c r="M105" s="82" t="str">
        <x:v>首要矛盾</x:v>
      </x:c>
      <x:c r="N105" s="68" t="str">
        <x:v>护持特殊格局者</x:v>
      </x:c>
      <x:c r="O105" s="68" t="str">
        <x:v>不破格的调候/流通药</x:v>
      </x:c>
      <x:c r="P105" s="82" t="str">
        <x:v>护格</x:v>
      </x:c>
      <x:c r="Q105" s="68" t="str">
        <x:v>M15特殊格局严格成立</x:v>
      </x:c>
      <x:c r="R105" s="90" t="str">
        <x:v>不得只凭五行数量、十神名称或单一旺衰标签直接立病用药</x:v>
      </x:c>
      <x:c r="S105" s="90" t="str">
        <x:v>主要病位未被修复，原有失衡继续运行</x:v>
      </x:c>
      <x:c r="T105" s="90" t="str">
        <x:v>药神反向过度，可能跨越平衡并形成新的结构性失衡</x:v>
      </x:c>
      <x:c r="U105" s="82" t="str">
        <x:v>条件性</x:v>
      </x:c>
      <x:c r="V105" s="90" t="str">
        <x:v>条件性</x:v>
      </x:c>
      <x:c r="W105" s="90" t="str">
        <x:v>待定</x:v>
      </x:c>
      <x:c r="X105" s="68" t="str">
        <x:v>M08有效旺衰、M09日主旺衰、M10十神功能、M11组合、M12流通、M13调候、M15格局成败均已完成</x:v>
      </x:c>
      <x:c r="Y105" s="68" t="str">
        <x:v>病位、根因、功能障碍与药神作用路径均能够追溯</x:v>
      </x:c>
      <x:c r="Z105" s="68" t="str">
        <x:v>药神有根有源、透达，能够直接进入病位且兼顾多个主要问题</x:v>
      </x:c>
      <x:c r="AA105" s="68" t="str">
        <x:v>药神无根、受强制、被合绊、作用路径遥隔或同时被多个任务分流</x:v>
      </x:c>
      <x:c r="AB105" s="90" t="str">
        <x:v>若该失衡没有造成实际功能障碍，或特殊格局要求顺势，则不得按普通病药立论</x:v>
      </x:c>
      <x:c r="AC105" s="68" t="str">
        <x:v>特殊格局严格成立、岁运动态作用或流派争议转M18/M21及动态引擎</x:v>
      </x:c>
      <x:c r="AD105" s="84" t="str">
        <x:v>特殊格局病药优先</x:v>
      </x:c>
      <x:c r="AE105" s="84" t="str">
        <x:v>根本之病在“特殊格局主势”：从格、化气、专旺严格成立时普通扶抑药可能破格；表层表现为“普通旺衰与特殊格局方向冲突”。主药候选为“护持特殊格局者”，药理为“护格”；最终喜忌与主次仍转M17/M18裁决。</x:v>
      </x:c>
      <x:c r="AF105" s="82" t="str">
        <x:v>较高</x:v>
      </x:c>
      <x:c r="AG105" s="82" t="str">
        <x:v>病药</x:v>
      </x:c>
      <x:c r="AH10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5" s="68" t="str">
        <x:v>当“M15特殊格局严格成立”真实成立，且药神能够直接作用病位时，可按“特殊格局硬约束优先于普通扶抑病药”记录。</x:v>
      </x:c>
      <x:c r="AJ105" s="90" t="str">
        <x:v>只有表面“普通旺衰与特殊格局方向冲突”，但未证明根因“从格、化气、专旺严格成立时普通扶抑药可能破格”及药神作用路径时，不得套用“特殊格局硬约束优先于普通扶抑病药”。</x:v>
      </x:c>
      <x:c r="AK105" s="82" t="str">
        <x:v>采用</x:v>
      </x:c>
      <x:c r="AL105" s="82" t="str">
        <x:v>初审</x:v>
      </x:c>
      <x:c r="AM105" s="87" t="n">
        <x:v>46260</x:v>
      </x:c>
    </x:row>
    <x:row r="106">
      <x:c r="A106" s="214" t="str">
        <x:f>IF(OR(C106="",D106=""),"",B106&amp;"-"&amp;UPPER(C106)&amp;"-"&amp;TEXT(D106,"0000")&amp;"-"&amp;E106)</x:f>
        <x:v>M16-RANK-0100-V1.0</x:v>
      </x:c>
      <x:c r="B106" s="214" t="str">
        <x:v>M16</x:v>
      </x:c>
      <x:c r="C106" s="214" t="str">
        <x:v>RANK</x:v>
      </x:c>
      <x:c r="D106" s="216" t="n">
        <x:v>100</x:v>
      </x:c>
      <x:c r="E106" s="214" t="str">
        <x:v>V1.0</x:v>
      </x:c>
      <x:c r="F106" s="214" t="str">
        <x:v>表层病若由根本病自动引发应降为次级病</x:v>
      </x:c>
      <x:c r="G106" s="214" t="str">
        <x:v>综合层</x:v>
      </x:c>
      <x:c r="H106" s="214" t="str">
        <x:v>复合病</x:v>
      </x:c>
      <x:c r="I106" s="214" t="str">
        <x:v>根因下游表象</x:v>
      </x:c>
      <x:c r="J106" s="214" t="str">
        <x:v>病位降级</x:v>
      </x:c>
      <x:c r="K106" s="214" t="str">
        <x:v>表层问题会在根因修复后自然缓解</x:v>
      </x:c>
      <x:c r="L106" s="214" t="str">
        <x:v>例如终点弱源于桥梁断、官杀压力源于印被财坏</x:v>
      </x:c>
      <x:c r="M106" s="214" t="str">
        <x:v>一般</x:v>
      </x:c>
      <x:c r="N106" s="214" t="str">
        <x:v>根本病主药</x:v>
      </x:c>
      <x:c r="O106" s="214" t="str">
        <x:v>必要时处理残余表象</x:v>
      </x:c>
      <x:c r="P106" s="214" t="str">
        <x:v>复合药理</x:v>
      </x:c>
      <x:c r="Q106" s="214" t="str">
        <x:v>M08—M15已经确认相应结构性失衡与实际功能障碍</x:v>
      </x:c>
      <x:c r="R106" s="214" t="str">
        <x:v>不得只凭五行数量、十神名称或单一旺衰标签直接立病用药</x:v>
      </x:c>
      <x:c r="S106" s="214" t="str">
        <x:v>主要病位未被修复，原有失衡继续运行</x:v>
      </x:c>
      <x:c r="T106" s="214" t="str">
        <x:v>药神反向过度，可能跨越平衡并形成新的结构性失衡</x:v>
      </x:c>
      <x:c r="U106" s="214" t="str">
        <x:v>条件性</x:v>
      </x:c>
      <x:c r="V106" s="214" t="str">
        <x:v>条件性</x:v>
      </x:c>
      <x:c r="W106" s="214" t="str">
        <x:v>待定</x:v>
      </x:c>
      <x:c r="X106" s="214" t="str">
        <x:v>M08有效旺衰、M09日主旺衰、M10十神功能、M11组合、M12流通、M13调候、M15格局成败均已完成</x:v>
      </x:c>
      <x:c r="Y106" s="214" t="str">
        <x:v>病位、根因、功能障碍与药神作用路径均能够追溯</x:v>
      </x:c>
      <x:c r="Z106" s="214" t="str">
        <x:v>药神有根有源、透达，能够直接进入病位且兼顾多个主要问题</x:v>
      </x:c>
      <x:c r="AA106" s="214" t="str">
        <x:v>药神无根、受强制、被合绊、作用路径遥隔或同时被多个任务分流</x:v>
      </x:c>
      <x:c r="AB106" s="214" t="str">
        <x:v>若该失衡没有造成实际功能障碍，或特殊格局要求顺势，则不得按普通病药立论</x:v>
      </x:c>
      <x:c r="AC106" s="214" t="str">
        <x:v>特殊格局严格成立、岁运动态作用或流派争议转M18/M21及动态引擎</x:v>
      </x:c>
      <x:c r="AD106" s="214" t="str">
        <x:v>表层病降级</x:v>
      </x:c>
      <x:c r="AE106" s="214" t="str">
        <x:v>根本之病在“根因下游表象”：表层问题会在根因修复后自然缓解；表层表现为“例如终点弱源于桥梁断、官杀压力源于印被财坏”。主药候选为“根本病主药”，药理为“复合药理”；最终喜忌与主次仍转M17/M18裁决。</x:v>
      </x:c>
      <x:c r="AF106" s="214" t="str">
        <x:v>较高</x:v>
      </x:c>
      <x:c r="AG106" s="214" t="str">
        <x:v>病药</x:v>
      </x:c>
      <x:c r="AH106"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6" s="214" t="str">
        <x:v>当“M08—M15已经确认相应结构性失衡与实际功能障碍”真实成立，且药神能够直接作用病位时，可按“表层病若由根本病自动引发应降为次级病”记录。</x:v>
      </x:c>
      <x:c r="AJ106" s="214" t="str">
        <x:v>只有表面“例如终点弱源于桥梁断、官杀压力源于印被财坏”，但未证明根因“表层问题会在根因修复后自然缓解”及药神作用路径时，不得套用“表层病若由根本病自动引发应降为次级病”。</x:v>
      </x:c>
      <x:c r="AK106" s="214" t="str">
        <x:v>采用</x:v>
      </x:c>
      <x:c r="AL106" s="214" t="str">
        <x:v>初审</x:v>
      </x:c>
      <x:c r="AM106" s="217" t="n">
        <x:v>46260</x:v>
      </x:c>
    </x:row>
    <x:row r="107">
      <x:c r="A107" s="214" t="str">
        <x:f>IF(OR(C107="",D107=""),"",B107&amp;"-"&amp;UPPER(C107)&amp;"-"&amp;TEXT(D107,"0000")&amp;"-"&amp;E107)</x:f>
        <x:v>M16-RANK-0101-V1.0</x:v>
      </x:c>
      <x:c r="B107" s="214" t="str">
        <x:v>M16</x:v>
      </x:c>
      <x:c r="C107" s="214" t="str">
        <x:v>RANK</x:v>
      </x:c>
      <x:c r="D107" s="216" t="n">
        <x:v>101</x:v>
      </x:c>
      <x:c r="E107" s="214" t="str">
        <x:v>V1.0</x:v>
      </x:c>
      <x:c r="F107" s="214" t="str">
        <x:v>同一原局原则上输出一个主病和一至三个次病</x:v>
      </x:c>
      <x:c r="G107" s="214" t="str">
        <x:v>综合层</x:v>
      </x:c>
      <x:c r="H107" s="214" t="str">
        <x:v>复合病</x:v>
      </x:c>
      <x:c r="I107" s="214" t="str">
        <x:v>综合病位列表</x:v>
      </x:c>
      <x:c r="J107" s="214" t="str">
        <x:v>输出治理</x:v>
      </x:c>
      <x:c r="K107" s="214" t="str">
        <x:v>病位过多时需要避免无主次罗列</x:v>
      </x:c>
      <x:c r="L107" s="214" t="str">
        <x:v>多个病类同时成立</x:v>
      </x:c>
      <x:c r="M107" s="214" t="str">
        <x:v>待定</x:v>
      </x:c>
      <x:c r="N107" s="214" t="str">
        <x:v>主病对应主药</x:v>
      </x:c>
      <x:c r="O107" s="214" t="str">
        <x:v>次病对应辅助药</x:v>
      </x:c>
      <x:c r="P107" s="214" t="str">
        <x:v>复合药理</x:v>
      </x:c>
      <x:c r="Q107" s="214" t="str">
        <x:v>完成全部病位比较</x:v>
      </x:c>
      <x:c r="R107" s="214" t="str">
        <x:v>不得只凭五行数量、十神名称或单一旺衰标签直接立病用药</x:v>
      </x:c>
      <x:c r="S107" s="214" t="str">
        <x:v>主要病位未被修复，原有失衡继续运行</x:v>
      </x:c>
      <x:c r="T107" s="214" t="str">
        <x:v>药神反向过度，可能跨越平衡并形成新的结构性失衡</x:v>
      </x:c>
      <x:c r="U107" s="214" t="str">
        <x:v>条件性</x:v>
      </x:c>
      <x:c r="V107" s="214" t="str">
        <x:v>条件性</x:v>
      </x:c>
      <x:c r="W107" s="214" t="str">
        <x:v>待定</x:v>
      </x:c>
      <x:c r="X107" s="214" t="str">
        <x:v>M08有效旺衰、M09日主旺衰、M10十神功能、M11组合、M12流通、M13调候、M15格局成败均已完成</x:v>
      </x:c>
      <x:c r="Y107" s="214" t="str">
        <x:v>病位、根因、功能障碍与药神作用路径均能够追溯</x:v>
      </x:c>
      <x:c r="Z107" s="214" t="str">
        <x:v>药神有根有源、透达，能够直接进入病位且兼顾多个主要问题</x:v>
      </x:c>
      <x:c r="AA107" s="214" t="str">
        <x:v>药神无根、受强制、被合绊、作用路径遥隔或同时被多个任务分流</x:v>
      </x:c>
      <x:c r="AB107" s="214" t="str">
        <x:v>若该失衡没有造成实际功能障碍，或特殊格局要求顺势，则不得按普通病药立论</x:v>
      </x:c>
      <x:c r="AC107" s="214" t="str">
        <x:v>特殊格局严格成立、岁运动态作用或流派争议转M18/M21及动态引擎</x:v>
      </x:c>
      <x:c r="AD107" s="214" t="str">
        <x:v>病位主次输出</x:v>
      </x:c>
      <x:c r="AE107" s="214" t="str">
        <x:v>M16原则上输出1个根本主病、1—3个次级病；每个病位说明与主病关系，避免把所有旺弱、刑冲和缺失都列为病。</x:v>
      </x:c>
      <x:c r="AF107" s="214" t="str">
        <x:v>较高</x:v>
      </x:c>
      <x:c r="AG107" s="214" t="str">
        <x:v>病药</x:v>
      </x:c>
      <x:c r="AH107"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7" s="214" t="str">
        <x:v>当“完成全部病位比较”真实成立，且药神能够直接作用病位时，可按“同一原局原则上输出一个主病和一至三个次病”记录。</x:v>
      </x:c>
      <x:c r="AJ107" s="214" t="str">
        <x:v>只有表面“多个病类同时成立”，但未证明根因“病位过多时需要避免无主次罗列”及药神作用路径时，不得套用“同一原局原则上输出一个主病和一至三个次病”。</x:v>
      </x:c>
      <x:c r="AK107" s="214" t="str">
        <x:v>采用</x:v>
      </x:c>
      <x:c r="AL107" s="214" t="str">
        <x:v>初审</x:v>
      </x:c>
      <x:c r="AM107" s="217" t="n">
        <x:v>46260</x:v>
      </x:c>
    </x:row>
    <x:row r="108">
      <x:c r="A108" s="214" t="str">
        <x:f>IF(OR(C108="",D108=""),"",B108&amp;"-"&amp;UPPER(C108)&amp;"-"&amp;TEXT(D108,"0000")&amp;"-"&amp;E108)</x:f>
        <x:v>M16-RANK-0102-V1.0</x:v>
      </x:c>
      <x:c r="B108" s="214" t="str">
        <x:v>M16</x:v>
      </x:c>
      <x:c r="C108" s="214" t="str">
        <x:v>RANK</x:v>
      </x:c>
      <x:c r="D108" s="216" t="n">
        <x:v>102</x:v>
      </x:c>
      <x:c r="E108" s="214" t="str">
        <x:v>V1.0</x:v>
      </x:c>
      <x:c r="F108" s="214" t="str">
        <x:v>证据冲突大时降低置信度而不强行唯一化</x:v>
      </x:c>
      <x:c r="G108" s="214" t="str">
        <x:v>综合层</x:v>
      </x:c>
      <x:c r="H108" s="214" t="str">
        <x:v>复合病</x:v>
      </x:c>
      <x:c r="I108" s="214" t="str">
        <x:v>争议病位</x:v>
      </x:c>
      <x:c r="J108" s="214" t="str">
        <x:v>不确定性治理</x:v>
      </x:c>
      <x:c r="K108" s="214" t="str">
        <x:v>两个根因解释力接近，或药神收益与副作用相当</x:v>
      </x:c>
      <x:c r="L108" s="214" t="str">
        <x:v>主病/主药候选难以唯一确定</x:v>
      </x:c>
      <x:c r="M108" s="214" t="str">
        <x:v>待定</x:v>
      </x:c>
      <x:c r="N108" s="214" t="str">
        <x:v>并列条件性候选</x:v>
      </x:c>
      <x:c r="O108" s="214" t="str">
        <x:v>待案例回归</x:v>
      </x:c>
      <x:c r="P108" s="214" t="str">
        <x:v>复合药理</x:v>
      </x:c>
      <x:c r="Q108" s="214" t="str">
        <x:v>M08—M15已经确认相应结构性失衡与实际功能障碍</x:v>
      </x:c>
      <x:c r="R108" s="214" t="str">
        <x:v>不得只凭五行数量、十神名称或单一旺衰标签直接立病用药</x:v>
      </x:c>
      <x:c r="S108" s="214" t="str">
        <x:v>主要病位未被修复，原有失衡继续运行</x:v>
      </x:c>
      <x:c r="T108" s="214" t="str">
        <x:v>药神反向过度，可能跨越平衡并形成新的结构性失衡</x:v>
      </x:c>
      <x:c r="U108" s="214" t="str">
        <x:v>条件性</x:v>
      </x:c>
      <x:c r="V108" s="214" t="str">
        <x:v>条件性</x:v>
      </x:c>
      <x:c r="W108" s="214" t="str">
        <x:v>待定</x:v>
      </x:c>
      <x:c r="X108" s="214" t="str">
        <x:v>M08有效旺衰、M09日主旺衰、M10十神功能、M11组合、M12流通、M13调候、M15格局成败均已完成</x:v>
      </x:c>
      <x:c r="Y108" s="214" t="str">
        <x:v>病位、根因、功能障碍与药神作用路径均能够追溯</x:v>
      </x:c>
      <x:c r="Z108" s="214" t="str">
        <x:v>药神有根有源、透达，能够直接进入病位且兼顾多个主要问题</x:v>
      </x:c>
      <x:c r="AA108" s="214" t="str">
        <x:v>药神无根、受强制、被合绊、作用路径遥隔或同时被多个任务分流</x:v>
      </x:c>
      <x:c r="AB108" s="214" t="str">
        <x:v>若该失衡没有造成实际功能障碍，或特殊格局要求顺势，则不得按普通病药立论</x:v>
      </x:c>
      <x:c r="AC108" s="214" t="str">
        <x:v>特殊格局严格成立、岁运动态作用或流派争议转M18/M21及动态引擎</x:v>
      </x:c>
      <x:c r="AD108" s="214" t="str">
        <x:v>病药争议降置信</x:v>
      </x:c>
      <x:c r="AE108" s="214" t="str">
        <x:v>证据接近时保留主候选与替代候选、各自成立条件和反证，不凭感觉强行唯一化。</x:v>
      </x:c>
      <x:c r="AF108" s="214" t="str">
        <x:v>中等</x:v>
      </x:c>
      <x:c r="AG108" s="214" t="str">
        <x:v>病药</x:v>
      </x:c>
      <x:c r="AH108"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8" s="214" t="str">
        <x:v>当“M08—M15已经确认相应结构性失衡与实际功能障碍”真实成立，且药神能够直接作用病位时，可按“证据冲突大时降低置信度而不强行唯一化”记录。</x:v>
      </x:c>
      <x:c r="AJ108" s="214" t="str">
        <x:v>只有表面“主病/主药候选难以唯一确定”，但未证明根因“两个根因解释力接近，或药神收益与副作用相当”及药神作用路径时，不得套用“证据冲突大时降低置信度而不强行唯一化”。</x:v>
      </x:c>
      <x:c r="AK108" s="214" t="str">
        <x:v>待验证</x:v>
      </x:c>
      <x:c r="AL108" s="214" t="str">
        <x:v>初审</x:v>
      </x:c>
      <x:c r="AM108" s="217" t="n">
        <x:v>46260</x:v>
      </x:c>
    </x:row>
    <x:row r="109">
      <x:c r="A109" s="214" t="str">
        <x:f>IF(OR(C109="",D109=""),"",B109&amp;"-"&amp;UPPER(C109)&amp;"-"&amp;TEXT(D109,"0000")&amp;"-"&amp;E109)</x:f>
        <x:v>M16-COMPOSITE-0103-V1.0</x:v>
      </x:c>
      <x:c r="B109" s="214" t="str">
        <x:v>M16</x:v>
      </x:c>
      <x:c r="C109" s="214" t="str">
        <x:v>COMPOSITE</x:v>
      </x:c>
      <x:c r="D109" s="216" t="n">
        <x:v>103</x:v>
      </x:c>
      <x:c r="E109" s="214" t="str">
        <x:v>V1.0</x:v>
      </x:c>
      <x:c r="F109" s="214" t="str">
        <x:v>旺衰病与流通病同源时以流通根因优先</x:v>
      </x:c>
      <x:c r="G109" s="214" t="str">
        <x:v>综合层</x:v>
      </x:c>
      <x:c r="H109" s="214" t="str">
        <x:v>复合病</x:v>
      </x:c>
      <x:c r="I109" s="214" t="str">
        <x:v>旺强源头—失效桥梁</x:v>
      </x:c>
      <x:c r="J109" s="214" t="str">
        <x:v>旺衰流通复合</x:v>
      </x:c>
      <x:c r="K109" s="214" t="str">
        <x:v>某五行之所以过旺，是因下游桥梁失效而无泄</x:v>
      </x:c>
      <x:c r="L109" s="214" t="str">
        <x:v>五行旺、源头壅塞、终点弱</x:v>
      </x:c>
      <x:c r="M109" s="214" t="str">
        <x:v>首要矛盾</x:v>
      </x:c>
      <x:c r="N109" s="214" t="str">
        <x:v>修复泄出桥梁</x:v>
      </x:c>
      <x:c r="O109" s="214" t="str">
        <x:v>增强终点承载</x:v>
      </x:c>
      <x:c r="P109" s="214" t="str">
        <x:v>通</x:v>
      </x:c>
      <x:c r="Q109" s="214" t="str">
        <x:v>M08旺与M12源头无泄由同一链路解释</x:v>
      </x:c>
      <x:c r="R109" s="214" t="str">
        <x:v>不得先强行压低源头而忽略流通根因</x:v>
      </x:c>
      <x:c r="S109" s="214" t="str">
        <x:v>主要病位未被修复，原有失衡继续运行</x:v>
      </x:c>
      <x:c r="T109" s="214" t="str">
        <x:v>药神反向过度，可能跨越平衡并形成新的结构性失衡</x:v>
      </x:c>
      <x:c r="U109" s="214" t="str">
        <x:v>条件性</x:v>
      </x:c>
      <x:c r="V109" s="214" t="str">
        <x:v>条件性</x:v>
      </x:c>
      <x:c r="W109" s="214" t="str">
        <x:v>待定</x:v>
      </x:c>
      <x:c r="X109" s="214" t="str">
        <x:v>M08有效旺衰、M09日主旺衰、M10十神功能、M11组合、M12流通、M13调候、M15格局成败均已完成</x:v>
      </x:c>
      <x:c r="Y109" s="214" t="str">
        <x:v>病位、根因、功能障碍与药神作用路径均能够追溯</x:v>
      </x:c>
      <x:c r="Z109" s="214" t="str">
        <x:v>药神有根有源、透达，能够直接进入病位且兼顾多个主要问题</x:v>
      </x:c>
      <x:c r="AA109" s="214" t="str">
        <x:v>药神无根、受强制、被合绊、作用路径遥隔或同时被多个任务分流</x:v>
      </x:c>
      <x:c r="AB109" s="214" t="str">
        <x:v>若该失衡没有造成实际功能障碍，或特殊格局要求顺势，则不得按普通病药立论</x:v>
      </x:c>
      <x:c r="AC109" s="214" t="str">
        <x:v>特殊格局严格成立、岁运动态作用或流派争议转M18/M21及动态引擎</x:v>
      </x:c>
      <x:c r="AD109" s="214" t="str">
        <x:v>旺衰流通复合病</x:v>
      </x:c>
      <x:c r="AE109" s="214" t="str">
        <x:v>根本之病在“旺强源头—失效桥梁”：某五行之所以过旺，是因下游桥梁失效而无泄；表层表现为“五行旺、源头壅塞、终点弱”。主药候选为“修复泄出桥梁”，药理为“通”；最终喜忌与主次仍转M17/M18裁决。</x:v>
      </x:c>
      <x:c r="AF109" s="214" t="str">
        <x:v>较高</x:v>
      </x:c>
      <x:c r="AG109" s="214" t="str">
        <x:v>病药</x:v>
      </x:c>
      <x:c r="AH109"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9" s="214" t="str">
        <x:v>当“M08旺与M12源头无泄由同一链路解释”真实成立，且药神能够直接作用病位时，可按“旺衰病与流通病同源时以流通根因优先”记录。</x:v>
      </x:c>
      <x:c r="AJ109" s="214" t="str">
        <x:v>只有表面“五行旺、源头壅塞、终点弱”，但未证明根因“某五行之所以过旺，是因下游桥梁失效而无泄”及药神作用路径时，不得套用“旺衰病与流通病同源时以流通根因优先”。</x:v>
      </x:c>
      <x:c r="AK109" s="214" t="str">
        <x:v>采用</x:v>
      </x:c>
      <x:c r="AL109" s="214" t="str">
        <x:v>初审</x:v>
      </x:c>
      <x:c r="AM109" s="217" t="n">
        <x:v>46260</x:v>
      </x:c>
    </x:row>
    <x:row r="110">
      <x:c r="A110" s="214" t="str">
        <x:f>IF(OR(C110="",D110=""),"",B110&amp;"-"&amp;UPPER(C110)&amp;"-"&amp;TEXT(D110,"0000")&amp;"-"&amp;E110)</x:f>
        <x:v>M16-COMPOSITE-0104-V1.0</x:v>
      </x:c>
      <x:c r="B110" s="214" t="str">
        <x:v>M16</x:v>
      </x:c>
      <x:c r="C110" s="214" t="str">
        <x:v>COMPOSITE</x:v>
      </x:c>
      <x:c r="D110" s="216" t="n">
        <x:v>104</x:v>
      </x:c>
      <x:c r="E110" s="214" t="str">
        <x:v>V1.0</x:v>
      </x:c>
      <x:c r="F110" s="214" t="str">
        <x:v>制化病与格局病同源时优先保护核心制化链</x:v>
      </x:c>
      <x:c r="G110" s="214" t="str">
        <x:v>综合层</x:v>
      </x:c>
      <x:c r="H110" s="214" t="str">
        <x:v>复合病</x:v>
      </x:c>
      <x:c r="I110" s="214" t="str">
        <x:v>格局核心制化节点</x:v>
      </x:c>
      <x:c r="J110" s="214" t="str">
        <x:v>制化格局复合</x:v>
      </x:c>
      <x:c r="K110" s="214" t="str">
        <x:v>格局破损源于食制、印化、配印或官印等核心链失效</x:v>
      </x:c>
      <x:c r="L110" s="214" t="str">
        <x:v>制化失衡与格局成立但有破同时出现</x:v>
      </x:c>
      <x:c r="M110" s="214" t="str">
        <x:v>首要矛盾</x:v>
      </x:c>
      <x:c r="N110" s="214" t="str">
        <x:v>恢复核心制化节点</x:v>
      </x:c>
      <x:c r="O110" s="214" t="str">
        <x:v>护持格神</x:v>
      </x:c>
      <x:c r="P110" s="214" t="str">
        <x:v>护格</x:v>
      </x:c>
      <x:c r="Q110" s="214" t="str">
        <x:v>M08—M15已经确认相应结构性失衡与实际功能障碍</x:v>
      </x:c>
      <x:c r="R110" s="214" t="str">
        <x:v>不得只凭五行数量、十神名称或单一旺衰标签直接立病用药</x:v>
      </x:c>
      <x:c r="S110" s="214" t="str">
        <x:v>主要病位未被修复，原有失衡继续运行</x:v>
      </x:c>
      <x:c r="T110" s="214" t="str">
        <x:v>药神反向过度，可能跨越平衡并形成新的结构性失衡</x:v>
      </x:c>
      <x:c r="U110" s="214" t="str">
        <x:v>条件性</x:v>
      </x:c>
      <x:c r="V110" s="214" t="str">
        <x:v>条件性</x:v>
      </x:c>
      <x:c r="W110" s="214" t="str">
        <x:v>待定</x:v>
      </x:c>
      <x:c r="X110" s="214" t="str">
        <x:v>M08有效旺衰、M09日主旺衰、M10十神功能、M11组合、M12流通、M13调候、M15格局成败均已完成</x:v>
      </x:c>
      <x:c r="Y110" s="214" t="str">
        <x:v>病位、根因、功能障碍与药神作用路径均能够追溯</x:v>
      </x:c>
      <x:c r="Z110" s="214" t="str">
        <x:v>药神有根有源、透达，能够直接进入病位且兼顾多个主要问题</x:v>
      </x:c>
      <x:c r="AA110" s="214" t="str">
        <x:v>药神无根、受强制、被合绊、作用路径遥隔或同时被多个任务分流</x:v>
      </x:c>
      <x:c r="AB110" s="214" t="str">
        <x:v>若该失衡没有造成实际功能障碍，或特殊格局要求顺势，则不得按普通病药立论</x:v>
      </x:c>
      <x:c r="AC110" s="214" t="str">
        <x:v>特殊格局严格成立、岁运动态作用或流派争议转M18/M21及动态引擎</x:v>
      </x:c>
      <x:c r="AD110" s="214" t="str">
        <x:v>制化格局复合病</x:v>
      </x:c>
      <x:c r="AE110" s="214" t="str">
        <x:v>根本之病在“格局核心制化节点”：格局破损源于食制、印化、配印或官印等核心链失效；表层表现为“制化失衡与格局成立但有破同时出现”。主药候选为“恢复核心制化节点”，药理为“护格”；最终喜忌与主次仍转M17/M18裁决。</x:v>
      </x:c>
      <x:c r="AF110" s="214" t="str">
        <x:v>较高</x:v>
      </x:c>
      <x:c r="AG110" s="214" t="str">
        <x:v>病药</x:v>
      </x:c>
      <x:c r="AH110"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0" s="214" t="str">
        <x:v>当“M08—M15已经确认相应结构性失衡与实际功能障碍”真实成立，且药神能够直接作用病位时，可按“制化病与格局病同源时优先保护核心制化链”记录。</x:v>
      </x:c>
      <x:c r="AJ110" s="214" t="str">
        <x:v>只有表面“制化失衡与格局成立但有破同时出现”，但未证明根因“格局破损源于食制、印化、配印或官印等核心链失效”及药神作用路径时，不得套用“制化病与格局病同源时优先保护核心制化链”。</x:v>
      </x:c>
      <x:c r="AK110" s="214" t="str">
        <x:v>采用</x:v>
      </x:c>
      <x:c r="AL110" s="214" t="str">
        <x:v>初审</x:v>
      </x:c>
      <x:c r="AM110" s="217" t="n">
        <x:v>46260</x:v>
      </x:c>
    </x:row>
    <x:row r="111">
      <x:c r="A111" s="214" t="str">
        <x:f>IF(OR(C111="",D111=""),"",B111&amp;"-"&amp;UPPER(C111)&amp;"-"&amp;TEXT(D111,"0000")&amp;"-"&amp;E111)</x:f>
        <x:v>M16-COMPOSITE-0105-V1.0</x:v>
      </x:c>
      <x:c r="B111" s="214" t="str">
        <x:v>M16</x:v>
      </x:c>
      <x:c r="C111" s="214" t="str">
        <x:v>COMPOSITE</x:v>
      </x:c>
      <x:c r="D111" s="216" t="n">
        <x:v>105</x:v>
      </x:c>
      <x:c r="E111" s="214" t="str">
        <x:v>V1.0</x:v>
      </x:c>
      <x:c r="F111" s="214" t="str">
        <x:v>调候病与流通病同源时调候可上升为主药</x:v>
      </x:c>
      <x:c r="G111" s="214" t="str">
        <x:v>综合层</x:v>
      </x:c>
      <x:c r="H111" s="214" t="str">
        <x:v>复合病</x:v>
      </x:c>
      <x:c r="I111" s="214" t="str">
        <x:v>气候根因—多个桥梁卡点</x:v>
      </x:c>
      <x:c r="J111" s="214" t="str">
        <x:v>调候流通复合</x:v>
      </x:c>
      <x:c r="K111" s="214" t="str">
        <x:v>寒凝、燥枯或湿滞同时导致多个流通节点失效</x:v>
      </x:c>
      <x:c r="L111" s="214" t="str">
        <x:v>M13极端气候与M12多个同源卡点</x:v>
      </x:c>
      <x:c r="M111" s="214" t="str">
        <x:v>首要矛盾</x:v>
      </x:c>
      <x:c r="N111" s="214" t="str">
        <x:v>对应调候五行</x:v>
      </x:c>
      <x:c r="O111" s="214" t="str">
        <x:v>疏通具体桥梁者</x:v>
      </x:c>
      <x:c r="P111" s="214" t="str">
        <x:v>复合药理</x:v>
      </x:c>
      <x:c r="Q111" s="214" t="str">
        <x:v>M08—M15已经确认相应结构性失衡与实际功能障碍</x:v>
      </x:c>
      <x:c r="R111" s="214" t="str">
        <x:v>不得只凭五行数量、十神名称或单一旺衰标签直接立病用药</x:v>
      </x:c>
      <x:c r="S111" s="214" t="str">
        <x:v>主要病位未被修复，原有失衡继续运行</x:v>
      </x:c>
      <x:c r="T111" s="214" t="str">
        <x:v>药神反向过度，可能跨越平衡并形成新的结构性失衡</x:v>
      </x:c>
      <x:c r="U111" s="214" t="str">
        <x:v>条件性</x:v>
      </x:c>
      <x:c r="V111" s="214" t="str">
        <x:v>条件性</x:v>
      </x:c>
      <x:c r="W111" s="214" t="str">
        <x:v>待定</x:v>
      </x:c>
      <x:c r="X111" s="214" t="str">
        <x:v>M08有效旺衰、M09日主旺衰、M10十神功能、M11组合、M12流通、M13调候、M15格局成败均已完成</x:v>
      </x:c>
      <x:c r="Y111" s="214" t="str">
        <x:v>病位、根因、功能障碍与药神作用路径均能够追溯</x:v>
      </x:c>
      <x:c r="Z111" s="214" t="str">
        <x:v>药神有根有源、透达，能够直接进入病位且兼顾多个主要问题</x:v>
      </x:c>
      <x:c r="AA111" s="214" t="str">
        <x:v>药神无根、受强制、被合绊、作用路径遥隔或同时被多个任务分流</x:v>
      </x:c>
      <x:c r="AB111" s="214" t="str">
        <x:v>若该失衡没有造成实际功能障碍，或特殊格局要求顺势，则不得按普通病药立论</x:v>
      </x:c>
      <x:c r="AC111" s="214" t="str">
        <x:v>特殊格局严格成立、岁运动态作用或流派争议转M18/M21及动态引擎</x:v>
      </x:c>
      <x:c r="AD111" s="214" t="str">
        <x:v>调候流通复合病</x:v>
      </x:c>
      <x:c r="AE111" s="214" t="str">
        <x:v>根本之病在“气候根因—多个桥梁卡点”：寒凝、燥枯或湿滞同时导致多个流通节点失效；表层表现为“M13极端气候与M12多个同源卡点”。主药候选为“对应调候五行”，药理为“复合药理”；最终喜忌与主次仍转M17/M18裁决。</x:v>
      </x:c>
      <x:c r="AF111" s="214" t="str">
        <x:v>较高</x:v>
      </x:c>
      <x:c r="AG111" s="214" t="str">
        <x:v>病药</x:v>
      </x:c>
      <x:c r="AH111"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1" s="214" t="str">
        <x:v>当“M08—M15已经确认相应结构性失衡与实际功能障碍”真实成立，且药神能够直接作用病位时，可按“调候病与流通病同源时调候可上升为主药”记录。</x:v>
      </x:c>
      <x:c r="AJ111" s="214" t="str">
        <x:v>只有表面“M13极端气候与M12多个同源卡点”，但未证明根因“寒凝、燥枯或湿滞同时导致多个流通节点失效”及药神作用路径时，不得套用“调候病与流通病同源时调候可上升为主药”。</x:v>
      </x:c>
      <x:c r="AK111" s="214" t="str">
        <x:v>采用</x:v>
      </x:c>
      <x:c r="AL111" s="214" t="str">
        <x:v>初审</x:v>
      </x:c>
      <x:c r="AM111" s="217" t="n">
        <x:v>46260</x:v>
      </x:c>
    </x:row>
    <x:row r="112">
      <x:c r="A112" s="214" t="str">
        <x:f>IF(OR(C112="",D112=""),"",B112&amp;"-"&amp;UPPER(C112)&amp;"-"&amp;TEXT(D112,"0000")&amp;"-"&amp;E112)</x:f>
        <x:v>M16-COMPOSITE-0106-V1.0</x:v>
      </x:c>
      <x:c r="B112" s="214" t="str">
        <x:v>M16</x:v>
      </x:c>
      <x:c r="C112" s="214" t="str">
        <x:v>COMPOSITE</x:v>
      </x:c>
      <x:c r="D112" s="216" t="n">
        <x:v>106</x:v>
      </x:c>
      <x:c r="E112" s="214" t="str">
        <x:v>V1.0</x:v>
      </x:c>
      <x:c r="F112" s="214" t="str">
        <x:v>多病多药冲突时必须比较净收益</x:v>
      </x:c>
      <x:c r="G112" s="214" t="str">
        <x:v>综合层</x:v>
      </x:c>
      <x:c r="H112" s="214" t="str">
        <x:v>复合病</x:v>
      </x:c>
      <x:c r="I112" s="214" t="str">
        <x:v>多病位—多药神矩阵</x:v>
      </x:c>
      <x:c r="J112" s="214" t="str">
        <x:v>药物冲突</x:v>
      </x:c>
      <x:c r="K112" s="214" t="str">
        <x:v>不同病位分别要求相反五行或相互破坏的药理</x:v>
      </x:c>
      <x:c r="L112" s="214" t="str">
        <x:v>扶抑、格局、通关、调候和病药候选冲突</x:v>
      </x:c>
      <x:c r="M112" s="214" t="str">
        <x:v>首要矛盾</x:v>
      </x:c>
      <x:c r="N112" s="214" t="str">
        <x:v>解决根本病且副作用最小者</x:v>
      </x:c>
      <x:c r="O112" s="214" t="str">
        <x:v>条件性次药</x:v>
      </x:c>
      <x:c r="P112" s="214" t="str">
        <x:v>复合药理</x:v>
      </x:c>
      <x:c r="Q112" s="214" t="str">
        <x:v>至少两个模块给出相反方向候选</x:v>
      </x:c>
      <x:c r="R112" s="214" t="str">
        <x:v>不得把相反药神同时无条件列为喜用</x:v>
      </x:c>
      <x:c r="S112" s="214" t="str">
        <x:v>主要病位未被修复，原有失衡继续运行</x:v>
      </x:c>
      <x:c r="T112" s="214" t="str">
        <x:v>药神反向过度，可能跨越平衡并形成新的结构性失衡</x:v>
      </x:c>
      <x:c r="U112" s="214" t="str">
        <x:v>条件性</x:v>
      </x:c>
      <x:c r="V112" s="214" t="str">
        <x:v>条件性</x:v>
      </x:c>
      <x:c r="W112" s="214" t="str">
        <x:v>冲突裁决不足</x:v>
      </x:c>
      <x:c r="X112" s="214" t="str">
        <x:v>M08有效旺衰、M09日主旺衰、M10十神功能、M11组合、M12流通、M13调候、M15格局成败均已完成</x:v>
      </x:c>
      <x:c r="Y112" s="214" t="str">
        <x:v>病位、根因、功能障碍与药神作用路径均能够追溯</x:v>
      </x:c>
      <x:c r="Z112" s="214" t="str">
        <x:v>药神有根有源、透达，能够直接进入病位且兼顾多个主要问题</x:v>
      </x:c>
      <x:c r="AA112" s="214" t="str">
        <x:v>药神无根、受强制、被合绊、作用路径遥隔或同时被多个任务分流</x:v>
      </x:c>
      <x:c r="AB112" s="214" t="str">
        <x:v>若该失衡没有造成实际功能障碍，或特殊格局要求顺势，则不得按普通病药立论</x:v>
      </x:c>
      <x:c r="AC112" s="214" t="str">
        <x:v>特殊格局严格成立、岁运动态作用或流派争议转M18/M21及动态引擎</x:v>
      </x:c>
      <x:c r="AD112" s="214" t="str">
        <x:v>多病药冲突</x:v>
      </x:c>
      <x:c r="AE112" s="214" t="str">
        <x:v>多病多药冲突时，M16只输出各药收益与风险；最终硬约束、主次和条件性由M18裁决。</x:v>
      </x:c>
      <x:c r="AF112" s="214" t="str">
        <x:v>较高</x:v>
      </x:c>
      <x:c r="AG112" s="214" t="str">
        <x:v>病药</x:v>
      </x:c>
      <x:c r="AH112"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2" s="214" t="str">
        <x:v>当“至少两个模块给出相反方向候选”真实成立，且药神能够直接作用病位时，可按“多病多药冲突时必须比较净收益”记录。</x:v>
      </x:c>
      <x:c r="AJ112" s="214" t="str">
        <x:v>只有表面“扶抑、格局、通关、调候和病药候选冲突”，但未证明根因“不同病位分别要求相反五行或相互破坏的药理”及药神作用路径时，不得套用“多病多药冲突时必须比较净收益”。</x:v>
      </x:c>
      <x:c r="AK112" s="214" t="str">
        <x:v>采用</x:v>
      </x:c>
      <x:c r="AL112" s="214" t="str">
        <x:v>初审</x:v>
      </x:c>
      <x:c r="AM112" s="217" t="n">
        <x:v>46260</x:v>
      </x:c>
    </x:row>
    <x:row r="113">
      <x:c r="A113" s="214" t="str">
        <x:f>IF(OR(C113="",D113=""),"",B113&amp;"-"&amp;UPPER(C113)&amp;"-"&amp;TEXT(D113,"0000")&amp;"-"&amp;E113)</x:f>
        <x:v>M16-BOUND-0107-V1.0</x:v>
      </x:c>
      <x:c r="B113" s="214" t="str">
        <x:v>M16</x:v>
      </x:c>
      <x:c r="C113" s="214" t="str">
        <x:v>BOUND</x:v>
      </x:c>
      <x:c r="D113" s="216" t="n">
        <x:v>107</x:v>
      </x:c>
      <x:c r="E113" s="214" t="str">
        <x:v>V1.0</x:v>
      </x:c>
      <x:c r="F113" s="214" t="str">
        <x:v>病药模型不能直接等同医学诊断</x:v>
      </x:c>
      <x:c r="G113" s="214" t="str">
        <x:v>综合层</x:v>
      </x:c>
      <x:c r="H113" s="214" t="str">
        <x:v>待定</x:v>
      </x:c>
      <x:c r="I113" s="214" t="str">
        <x:v>结构性病位</x:v>
      </x:c>
      <x:c r="J113" s="214" t="str">
        <x:v>命理结构边界</x:v>
      </x:c>
      <x:c r="K113" s="214" t="str">
        <x:v>病、药为命局结构比喻，不是临床疾病诊断</x:v>
      </x:c>
      <x:c r="L113" s="214" t="str">
        <x:v>寒、湿、燥、火炎、某五行受损等结构描述</x:v>
      </x:c>
      <x:c r="M113" s="214" t="str">
        <x:v>待定</x:v>
      </x:c>
      <x:c r="N113" s="214" t="str">
        <x:v>命理结构药神</x:v>
      </x:c>
      <x:c r="O113" s="214" t="str">
        <x:v>待定</x:v>
      </x:c>
      <x:c r="P113" s="214" t="str">
        <x:v>待定</x:v>
      </x:c>
      <x:c r="Q113" s="214" t="str">
        <x:v>M16完成结构性病药判断</x:v>
      </x:c>
      <x:c r="R113" s="214" t="str">
        <x:v>不得据此诊断、治疗或延误专业医疗</x:v>
      </x:c>
      <x:c r="S113" s="214" t="str">
        <x:v>不适用</x:v>
      </x:c>
      <x:c r="T113" s="214" t="str">
        <x:v>不适用</x:v>
      </x:c>
      <x:c r="U113" s="214" t="str">
        <x:v>否</x:v>
      </x:c>
      <x:c r="V113" s="214" t="str">
        <x:v>否</x:v>
      </x:c>
      <x:c r="W113" s="214" t="str">
        <x:v>不适用</x:v>
      </x:c>
      <x:c r="X113" s="214" t="str">
        <x:v>M08有效旺衰、M09日主旺衰、M10十神功能、M11组合、M12流通、M13调候、M15格局成败均已完成</x:v>
      </x:c>
      <x:c r="Y113" s="214" t="str">
        <x:v>病位、根因、功能障碍与药神作用路径均能够追溯</x:v>
      </x:c>
      <x:c r="Z113" s="214" t="str">
        <x:v>药神有根有源、透达，能够直接进入病位且兼顾多个主要问题</x:v>
      </x:c>
      <x:c r="AA113" s="214" t="str">
        <x:v>药神无根、受强制、被合绊、作用路径遥隔或同时被多个任务分流</x:v>
      </x:c>
      <x:c r="AB113" s="214" t="str">
        <x:v>若该失衡没有造成实际功能障碍，或特殊格局要求顺势，则不得按普通病药立论</x:v>
      </x:c>
      <x:c r="AC113" s="214" t="str">
        <x:v>特殊格局严格成立、岁运动态作用或流派争议转M18/M21及动态引擎</x:v>
      </x:c>
      <x:c r="AD113" s="214" t="str">
        <x:v>病药医学边界</x:v>
      </x:c>
      <x:c r="AE113" s="214" t="str">
        <x:v>M16中的“病”“药”仅指命局结构失衡与修复机制，不构成医学诊断或治疗建议。</x:v>
      </x:c>
      <x:c r="AF113" s="214" t="str">
        <x:v>较高</x:v>
      </x:c>
      <x:c r="AG113" s="214" t="str">
        <x:v>病药</x:v>
      </x:c>
      <x:c r="AH113"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3" s="214" t="str">
        <x:v>当“M16完成结构性病药判断”真实成立，且药神能够直接作用病位时，可按“病药模型不能直接等同医学诊断”记录。</x:v>
      </x:c>
      <x:c r="AJ113" s="214" t="str">
        <x:v>只有表面“寒、湿、燥、火炎、某五行受损等结构描述”，但未证明根因“病、药为命局结构比喻，不是临床疾病诊断”及药神作用路径时，不得套用“病药模型不能直接等同医学诊断”。</x:v>
      </x:c>
      <x:c r="AK113" s="214" t="str">
        <x:v>采用</x:v>
      </x:c>
      <x:c r="AL113" s="214" t="str">
        <x:v>初审</x:v>
      </x:c>
      <x:c r="AM113" s="217" t="n">
        <x:v>46260</x:v>
      </x:c>
    </x:row>
    <x:row r="114">
      <x:c r="A114" s="214" t="str">
        <x:f>IF(OR(C114="",D114=""),"",B114&amp;"-"&amp;UPPER(C114)&amp;"-"&amp;TEXT(D114,"0000")&amp;"-"&amp;E114)</x:f>
        <x:v>M16-BOUND-0108-V1.0</x:v>
      </x:c>
      <x:c r="B114" s="214" t="str">
        <x:v>M16</x:v>
      </x:c>
      <x:c r="C114" s="214" t="str">
        <x:v>BOUND</x:v>
      </x:c>
      <x:c r="D114" s="216" t="n">
        <x:v>108</x:v>
      </x:c>
      <x:c r="E114" s="214" t="str">
        <x:v>V1.0</x:v>
      </x:c>
      <x:c r="F114" s="214" t="str">
        <x:v>原局静态病药与岁运触发必须分开</x:v>
      </x:c>
      <x:c r="G114" s="214" t="str">
        <x:v>综合层</x:v>
      </x:c>
      <x:c r="H114" s="214" t="str">
        <x:v>复合病</x:v>
      </x:c>
      <x:c r="I114" s="214" t="str">
        <x:v>原局静态结构</x:v>
      </x:c>
      <x:c r="J114" s="214" t="str">
        <x:v>静动态边界</x:v>
      </x:c>
      <x:c r="K114" s="214" t="str">
        <x:v>原局已有病位与未来岁运可能补药、加病属于不同层次</x:v>
      </x:c>
      <x:c r="L114" s="214" t="str">
        <x:v>未来某运可能通关、救格或加重病位</x:v>
      </x:c>
      <x:c r="M114" s="214" t="str">
        <x:v>待定</x:v>
      </x:c>
      <x:c r="N114" s="214" t="str">
        <x:v>原局药神候选</x:v>
      </x:c>
      <x:c r="O114" s="214" t="str">
        <x:v>岁运触发另判</x:v>
      </x:c>
      <x:c r="P114" s="214" t="str">
        <x:v>待定</x:v>
      </x:c>
      <x:c r="Q114" s="214" t="str">
        <x:v>M08—M15已经确认相应结构性失衡与实际功能障碍</x:v>
      </x:c>
      <x:c r="R114" s="214" t="str">
        <x:v>不得只凭五行数量、十神名称或单一旺衰标签直接立病用药</x:v>
      </x:c>
      <x:c r="S114" s="214" t="str">
        <x:v>主要病位未被修复，原有失衡继续运行</x:v>
      </x:c>
      <x:c r="T114" s="214" t="str">
        <x:v>药神反向过度，可能跨越平衡并形成新的结构性失衡</x:v>
      </x:c>
      <x:c r="U114" s="214" t="str">
        <x:v>条件性</x:v>
      </x:c>
      <x:c r="V114" s="214" t="str">
        <x:v>条件性</x:v>
      </x:c>
      <x:c r="W114" s="214" t="str">
        <x:v>待定</x:v>
      </x:c>
      <x:c r="X114" s="214" t="str">
        <x:v>M08有效旺衰、M09日主旺衰、M10十神功能、M11组合、M12流通、M13调候、M15格局成败均已完成</x:v>
      </x:c>
      <x:c r="Y114" s="214" t="str">
        <x:v>病位、根因、功能障碍与药神作用路径均能够追溯</x:v>
      </x:c>
      <x:c r="Z114" s="214" t="str">
        <x:v>药神有根有源、透达，能够直接进入病位且兼顾多个主要问题</x:v>
      </x:c>
      <x:c r="AA114" s="214" t="str">
        <x:v>药神无根、受强制、被合绊、作用路径遥隔或同时被多个任务分流</x:v>
      </x:c>
      <x:c r="AB114" s="214" t="str">
        <x:v>若该失衡没有造成实际功能障碍，或特殊格局要求顺势，则不得按普通病药立论</x:v>
      </x:c>
      <x:c r="AC114" s="214" t="str">
        <x:v>动态作用转D0大运流年引擎</x:v>
      </x:c>
      <x:c r="AD114" s="214" t="str">
        <x:v>病药静动态边界</x:v>
      </x:c>
      <x:c r="AE114" s="214" t="str">
        <x:v>M16只判断原局已有病位和药神需求；不得用未来岁运潜在补药提前改写原局结论。</x:v>
      </x:c>
      <x:c r="AF114" s="214" t="str">
        <x:v>较高</x:v>
      </x:c>
      <x:c r="AG114" s="214" t="str">
        <x:v>病药</x:v>
      </x:c>
      <x:c r="AH114"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4" s="214" t="str">
        <x:v>当“M08—M15已经确认相应结构性失衡与实际功能障碍”真实成立，且药神能够直接作用病位时，可按“原局静态病药与岁运触发必须分开”记录。</x:v>
      </x:c>
      <x:c r="AJ114" s="214" t="str">
        <x:v>只有表面“未来某运可能通关、救格或加重病位”，但未证明根因“原局已有病位与未来岁运可能补药、加病属于不同层次”及药神作用路径时，不得套用“原局静态病药与岁运触发必须分开”。</x:v>
      </x:c>
      <x:c r="AK114" s="214" t="str">
        <x:v>采用</x:v>
      </x:c>
      <x:c r="AL114" s="214" t="str">
        <x:v>初审</x:v>
      </x:c>
      <x:c r="AM114" s="217" t="n">
        <x:v>46260</x:v>
      </x:c>
    </x:row>
    <x:row r="115">
      <x:c r="A115" s="214" t="str">
        <x:f>IF(OR(C115="",D115=""),"",B115&amp;"-"&amp;UPPER(C115)&amp;"-"&amp;TEXT(D115,"0000")&amp;"-"&amp;E115)</x:f>
        <x:v>M16-BOUND-0109-V1.0</x:v>
      </x:c>
      <x:c r="B115" s="214" t="str">
        <x:v>M16</x:v>
      </x:c>
      <x:c r="C115" s="214" t="str">
        <x:v>BOUND</x:v>
      </x:c>
      <x:c r="D115" s="216" t="n">
        <x:v>109</x:v>
      </x:c>
      <x:c r="E115" s="214" t="str">
        <x:v>V1.0</x:v>
      </x:c>
      <x:c r="F115" s="214" t="str">
        <x:v>病药不使用固定百分比或机械总分</x:v>
      </x:c>
      <x:c r="G115" s="214" t="str">
        <x:v>综合层</x:v>
      </x:c>
      <x:c r="H115" s="214" t="str">
        <x:v>复合病</x:v>
      </x:c>
      <x:c r="I115" s="214" t="str">
        <x:v>综合证据</x:v>
      </x:c>
      <x:c r="J115" s="214" t="str">
        <x:v>非机械计分</x:v>
      </x:c>
      <x:c r="K115" s="214" t="str">
        <x:v>病位严重度取决于核心节点、作用路径和净效应，不是规则数量相加</x:v>
      </x:c>
      <x:c r="L115" s="214" t="str">
        <x:v>多个证据标签并存</x:v>
      </x:c>
      <x:c r="M115" s="214" t="str">
        <x:v>待定</x:v>
      </x:c>
      <x:c r="N115" s="214" t="str">
        <x:v>按强证据和根因选择</x:v>
      </x:c>
      <x:c r="O115" s="214" t="str">
        <x:v>待定</x:v>
      </x:c>
      <x:c r="P115" s="214" t="str">
        <x:v>复合药理</x:v>
      </x:c>
      <x:c r="Q115" s="214" t="str">
        <x:v>M08—M15已经确认相应结构性失衡与实际功能障碍</x:v>
      </x:c>
      <x:c r="R115" s="214" t="str">
        <x:v>禁止把旺衰、刑冲、破格按固定百分比扣分后直接定药</x:v>
      </x:c>
      <x:c r="S115" s="214" t="str">
        <x:v>主要病位未被修复，原有失衡继续运行</x:v>
      </x:c>
      <x:c r="T115" s="214" t="str">
        <x:v>药神反向过度，可能跨越平衡并形成新的结构性失衡</x:v>
      </x:c>
      <x:c r="U115" s="214" t="str">
        <x:v>条件性</x:v>
      </x:c>
      <x:c r="V115" s="214" t="str">
        <x:v>条件性</x:v>
      </x:c>
      <x:c r="W115" s="214" t="str">
        <x:v>待定</x:v>
      </x:c>
      <x:c r="X115" s="214" t="str">
        <x:v>M08有效旺衰、M09日主旺衰、M10十神功能、M11组合、M12流通、M13调候、M15格局成败均已完成</x:v>
      </x:c>
      <x:c r="Y115" s="214" t="str">
        <x:v>病位、根因、功能障碍与药神作用路径均能够追溯</x:v>
      </x:c>
      <x:c r="Z115" s="214" t="str">
        <x:v>药神有根有源、透达，能够直接进入病位且兼顾多个主要问题</x:v>
      </x:c>
      <x:c r="AA115" s="214" t="str">
        <x:v>药神无根、受强制、被合绊、作用路径遥隔或同时被多个任务分流</x:v>
      </x:c>
      <x:c r="AB115" s="214" t="str">
        <x:v>若该失衡没有造成实际功能障碍，或特殊格局要求顺势，则不得按普通病药立论</x:v>
      </x:c>
      <x:c r="AC115" s="214" t="str">
        <x:v>特殊格局严格成立、岁运动态作用或流派争议转M18/M21及动态引擎</x:v>
      </x:c>
      <x:c r="AD115" s="214" t="str">
        <x:v>病药非机械计分</x:v>
      </x:c>
      <x:c r="AE115" s="214" t="str">
        <x:v>根本之病在“综合证据”：病位严重度取决于核心节点、作用路径和净效应，不是规则数量相加；表层表现为“多个证据标签并存”。主药候选为“按强证据和根因选择”，药理为“复合药理”；最终喜忌与主次仍转M17/M18裁决。</x:v>
      </x:c>
      <x:c r="AF115" s="214" t="str">
        <x:v>较高</x:v>
      </x:c>
      <x:c r="AG115" s="214" t="str">
        <x:v>病药</x:v>
      </x:c>
      <x:c r="AH115"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5" s="214" t="str">
        <x:v>当“M08—M15已经确认相应结构性失衡与实际功能障碍”真实成立，且药神能够直接作用病位时，可按“病药不使用固定百分比或机械总分”记录。</x:v>
      </x:c>
      <x:c r="AJ115" s="214" t="str">
        <x:v>只有表面“多个证据标签并存”，但未证明根因“病位严重度取决于核心节点、作用路径和净效应，不是规则数量相加”及药神作用路径时，不得套用“病药不使用固定百分比或机械总分”。</x:v>
      </x:c>
      <x:c r="AK115" s="214" t="str">
        <x:v>采用</x:v>
      </x:c>
      <x:c r="AL115" s="214" t="str">
        <x:v>初审</x:v>
      </x:c>
      <x:c r="AM115" s="217" t="n">
        <x:v>46260</x:v>
      </x:c>
    </x:row>
    <x:row r="116">
      <x:c r="A116" s="214" t="str">
        <x:f>IF(OR(C116="",D116=""),"",B116&amp;"-"&amp;UPPER(C116)&amp;"-"&amp;TEXT(D116,"0000")&amp;"-"&amp;E116)</x:f>
        <x:v>M16-BOUND-0110-V1.0</x:v>
      </x:c>
      <x:c r="B116" s="214" t="str">
        <x:v>M16</x:v>
      </x:c>
      <x:c r="C116" s="214" t="str">
        <x:v>BOUND</x:v>
      </x:c>
      <x:c r="D116" s="216" t="n">
        <x:v>110</x:v>
      </x:c>
      <x:c r="E116" s="214" t="str">
        <x:v>V1.0</x:v>
      </x:c>
      <x:c r="F116" s="214" t="str">
        <x:v>M16标准输出必须说明主病、次病、主药与风险</x:v>
      </x:c>
      <x:c r="G116" s="214" t="str">
        <x:v>综合层</x:v>
      </x:c>
      <x:c r="H116" s="214" t="str">
        <x:v>复合病</x:v>
      </x:c>
      <x:c r="I116" s="214" t="str">
        <x:v>综合输出</x:v>
      </x:c>
      <x:c r="J116" s="214" t="str">
        <x:v>输出规范</x:v>
      </x:c>
      <x:c r="K116" s="214" t="str">
        <x:v>完成全局病位和药神扫描</x:v>
      </x:c>
      <x:c r="L116" s="214" t="str">
        <x:v>需要可追溯的病药结论</x:v>
      </x:c>
      <x:c r="M116" s="214" t="str">
        <x:v>待定</x:v>
      </x:c>
      <x:c r="N116" s="214" t="str">
        <x:v>主药候选</x:v>
      </x:c>
      <x:c r="O116" s="214" t="str">
        <x:v>辅助药候选</x:v>
      </x:c>
      <x:c r="P116" s="214" t="str">
        <x:v>复合药理</x:v>
      </x:c>
      <x:c r="Q116" s="214" t="str">
        <x:v>M08—M15已经确认相应结构性失衡与实际功能障碍</x:v>
      </x:c>
      <x:c r="R116" s="214" t="str">
        <x:v>不得只凭五行数量、十神名称或单一旺衰标签直接立病用药</x:v>
      </x:c>
      <x:c r="S116" s="214" t="str">
        <x:v>主要病位未被修复，原有失衡继续运行</x:v>
      </x:c>
      <x:c r="T116" s="214" t="str">
        <x:v>药神反向过度，可能跨越平衡并形成新的结构性失衡</x:v>
      </x:c>
      <x:c r="U116" s="214" t="str">
        <x:v>条件性</x:v>
      </x:c>
      <x:c r="V116" s="214" t="str">
        <x:v>条件性</x:v>
      </x:c>
      <x:c r="W116" s="214" t="str">
        <x:v>待定</x:v>
      </x:c>
      <x:c r="X116" s="214" t="str">
        <x:v>M08有效旺衰、M09日主旺衰、M10十神功能、M11组合、M12流通、M13调候、M15格局成败均已完成</x:v>
      </x:c>
      <x:c r="Y116" s="214" t="str">
        <x:v>病位、根因、功能障碍与药神作用路径均能够追溯</x:v>
      </x:c>
      <x:c r="Z116" s="214" t="str">
        <x:v>药神有根有源、透达，能够直接进入病位且兼顾多个主要问题</x:v>
      </x:c>
      <x:c r="AA116" s="214" t="str">
        <x:v>药神无根、受强制、被合绊、作用路径遥隔或同时被多个任务分流</x:v>
      </x:c>
      <x:c r="AB116" s="214" t="str">
        <x:v>若该失衡没有造成实际功能障碍，或特殊格局要求顺势，则不得按普通病药立论</x:v>
      </x:c>
      <x:c r="AC116" s="214" t="str">
        <x:v>特殊格局严格成立、岁运动态作用或流派争议转M18/M21及动态引擎</x:v>
      </x:c>
      <x:c r="AD116" s="214" t="str">
        <x:v>M16标准输出</x:v>
      </x:c>
      <x:c r="AE116" s="214" t="str">
        <x:v>M16最终输出：根本主病、1—3个次病、病位、病性、根因、表层表现、严重度、主药、辅助药、药理、成立条件、禁忌、药力不足、药力过度、格局伤害、新病风险、替代药路、反向证据与置信度。</x:v>
      </x:c>
      <x:c r="AF116" s="214" t="str">
        <x:v>较高</x:v>
      </x:c>
      <x:c r="AG116" s="214" t="str">
        <x:v>病药</x:v>
      </x:c>
      <x:c r="AH116"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6" s="214" t="str">
        <x:v>当“M08—M15已经确认相应结构性失衡与实际功能障碍”真实成立，且药神能够直接作用病位时，可按“M16标准输出必须说明主病、次病、主药与风险”记录。</x:v>
      </x:c>
      <x:c r="AJ116" s="214" t="str">
        <x:v>只有表面“需要可追溯的病药结论”，但未证明根因“完成全局病位和药神扫描”及药神作用路径时，不得套用“M16标准输出必须说明主病、次病、主药与风险”。</x:v>
      </x:c>
      <x:c r="AK116" s="214" t="str">
        <x:v>采用</x:v>
      </x:c>
      <x:c r="AL116" s="214" t="str">
        <x:v>初审</x:v>
      </x:c>
      <x:c r="AM116" s="217" t="n">
        <x:v>46260</x:v>
      </x:c>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24">
    <x:dataValidation type="list" sqref="E6:E105">
      <x:formula1>'99_下拉选项'!$BG$4:$BG$12</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'99_下拉选项'!$BG$4:$BG$16</x:formula1>
    </x:dataValidation>
    <x:dataValidation type="list" sqref="G7:G116">
      <x:formula1>'99_下拉选项'!$F$4:$F$7</x:formula1>
    </x:dataValidation>
    <x:dataValidation type="list" sqref="H7:H116">
      <x:formula1>'99_下拉选项'!$AH$4:$AH$10</x:formula1>
    </x:dataValidation>
    <x:dataValidation type="list" sqref="M7:M116">
      <x:formula1>'99_下拉选项'!$AI$4:$AI$9</x:formula1>
    </x:dataValidation>
    <x:dataValidation type="list" sqref="P7:P116">
      <x:formula1>'99_下拉选项'!$AJ$4:$AJ$18</x:formula1>
    </x:dataValidation>
    <x:dataValidation type="list" sqref="U7:U116">
      <x:formula1>'99_下拉选项'!$X$4:$X$7</x:formula1>
    </x:dataValidation>
    <x:dataValidation type="list" sqref="V7:V116">
      <x:formula1>'99_下拉选项'!$X$4:$X$7</x:formula1>
    </x:dataValidation>
    <x:dataValidation type="list" sqref="AF7:AF116">
      <x:formula1>'99_下拉选项'!$Q$4:$Q$8</x:formula1>
    </x:dataValidation>
    <x:dataValidation type="list" sqref="AG7:AG116">
      <x:formula1>'99_下拉选项'!$R$4:$R$11</x:formula1>
    </x:dataValidation>
    <x:dataValidation type="list" sqref="AK7:AK116">
      <x:formula1>'99_下拉选项'!$S$4:$S$9</x:formula1>
    </x:dataValidation>
    <x:dataValidation type="list" sqref="AL7:AL116">
      <x:formula1>'99_下拉选项'!$T$4:$T$8</x:formula1>
    </x:dataValidation>
    <x:dataValidation type="list" sqref="E7:E116">
      <x:formula1>'99_下拉选项'!$BG$4:$BG$22</x:formula1>
    </x:dataValidation>
  </x:dataValidations>
  <x:pageMargins left="0.7" right="0.7" top="0.75" bottom="0.75" header="0.3" footer="0.3"/>
  <x:tableParts count="1">
    <x:tablePart xmlns:r="http://schemas.openxmlformats.org/officeDocument/2006/relationships" r:id="R73c1bc8618614e90"/>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M18-CLIMATE-0029-V1.0</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v>M17-GEN-0001-V1.0</x:v>
      </x:c>
      <x:c r="B7" s="74" t="str">
        <x:v>M17</x:v>
      </x:c>
      <x:c r="C7" s="74" t="str">
        <x:v>GEN</x:v>
      </x:c>
      <x:c r="D7" s="215" t="n">
        <x:v>1</x:v>
      </x:c>
      <x:c r="E7" s="74" t="str">
        <x:v>V1.0</x:v>
      </x:c>
      <x:c r="F7" s="68" t="str">
        <x:v>所有候选五行必须进入五维矩阵</x:v>
      </x:c>
      <x:c r="G7" s="82" t="str">
        <x:v>综合层</x:v>
      </x:c>
      <x:c r="H7" s="82"/>
      <x:c r="I7" s="82"/>
      <x:c r="J7" s="82" t="str">
        <x:v>复合来源</x:v>
      </x:c>
      <x:c r="K7" s="68" t="str">
        <x:v>读取M09扶抑需求</x:v>
      </x:c>
      <x:c r="L7" s="68" t="str">
        <x:v>读取M15格局成败与护格需求</x:v>
      </x:c>
      <x:c r="M7" s="68" t="str">
        <x:v>读取M12主路径与卡点</x:v>
      </x:c>
      <x:c r="N7" s="68" t="str">
        <x:v>读取M13双轴调候需求</x:v>
      </x:c>
      <x:c r="O7" s="68" t="str">
        <x:v>读取M16主病与药神</x:v>
      </x:c>
      <x:c r="P7" s="68" t="str">
        <x:v>避免单维度越级定用神</x:v>
      </x:c>
      <x:c r="Q7" s="90" t="str">
        <x:v>若证据不足则保持待定</x:v>
      </x:c>
      <x:c r="R7" s="68" t="str">
        <x:v>完成M09、M12、M13、M15、M16的基础结论</x:v>
      </x:c>
      <x:c r="S7" s="68" t="str">
        <x:v>任一关键前置模块尚未完成</x:v>
      </x:c>
      <x:c r="T7" s="68" t="str">
        <x:v>五维证据可能方向不一致</x:v>
      </x:c>
      <x:c r="U7" s="68" t="str">
        <x:v>M18-GEN-0001-V1.0</x:v>
      </x:c>
      <x:c r="V7" s="84" t="str">
        <x:v>待定</x:v>
      </x:c>
      <x:c r="W7" s="82" t="str">
        <x:v>待定</x:v>
      </x:c>
      <x:c r="X7" s="82" t="str">
        <x:v>待定</x:v>
      </x:c>
      <x:c r="Y7" s="68" t="str">
        <x:v>必须逐维填写收益、冲突与副作用</x:v>
      </x:c>
      <x:c r="Z7" s="84" t="str">
        <x:v>五维矩阵前置</x:v>
      </x:c>
      <x:c r="AA7" s="84" t="str">
        <x:v>该候选五行综合定位为“待定”，优先级为“待定”。主要收益：避免单维度越级定用神；主要副作用：若证据不足则保持待定；必须逐维填写收益、冲突与副作用。</x:v>
      </x:c>
      <x:c r="AB7" s="82" t="str">
        <x:v>较高</x:v>
      </x:c>
      <x:c r="AC7" s="82" t="str">
        <x:v>现代综合</x:v>
      </x:c>
      <x:c r="AD7" s="68" t="str">
        <x:v>喜忌用神必须同时读取扶抑、格局、通关、调候和病药五个维度。单一维度有利不足以自动成为主用；最终定位取决于是否解决根本问题、是否触犯格局硬约束、药力是否可达以及副作用是否可控。</x:v>
      </x:c>
      <x:c r="AE7" s="68" t="str">
        <x:v>满足“完成M09、M12、M13、M15、M16的基础结论”，且主要收益大于副作用时，可按“所有候选五行必须进入五维矩阵”定位。</x:v>
      </x:c>
      <x:c r="AF7" s="90" t="str">
        <x:v>若“任一关键前置模块尚未完成”成立，则不得按“所有候选五行必须进入五维矩阵”无条件定位。</x:v>
      </x:c>
      <x:c r="AG7" s="82" t="str">
        <x:v>采用</x:v>
      </x:c>
      <x:c r="AH7" s="82" t="str">
        <x:v>初审</x:v>
      </x:c>
      <x:c r="AI7" s="87" t="n">
        <x:v>46260</x:v>
      </x:c>
    </x:row>
    <x:row r="8">
      <x:c r="A8" s="72" t="str">
        <x:f>IF(OR(C8="",D8=""),"",B8&amp;"-"&amp;UPPER(C8)&amp;"-"&amp;TEXT(D8,"0000")&amp;"-"&amp;E8)</x:f>
        <x:v>M17-GEN-0002-V1.0</x:v>
      </x:c>
      <x:c r="B8" s="74" t="str">
        <x:v>M17</x:v>
      </x:c>
      <x:c r="C8" s="74" t="str">
        <x:v>GEN</x:v>
      </x:c>
      <x:c r="D8" s="215" t="n">
        <x:v>2</x:v>
      </x:c>
      <x:c r="E8" s="74" t="str">
        <x:v>V1.0</x:v>
      </x:c>
      <x:c r="F8" s="68" t="str">
        <x:v>单一维度有利只能生成候选</x:v>
      </x:c>
      <x:c r="G8" s="82" t="str">
        <x:v>综合层</x:v>
      </x:c>
      <x:c r="H8" s="82"/>
      <x:c r="I8" s="82"/>
      <x:c r="J8" s="82" t="str">
        <x:v>复合来源</x:v>
      </x:c>
      <x:c r="K8" s="68" t="str">
        <x:v>可能有利</x:v>
      </x:c>
      <x:c r="L8" s="68" t="str">
        <x:v>待核查</x:v>
      </x:c>
      <x:c r="M8" s="68" t="str">
        <x:v>待核查</x:v>
      </x:c>
      <x:c r="N8" s="68" t="str">
        <x:v>待核查</x:v>
      </x:c>
      <x:c r="O8" s="68" t="str">
        <x:v>待核查</x:v>
      </x:c>
      <x:c r="P8" s="68" t="str">
        <x:v>保留该维度的正向价值</x:v>
      </x:c>
      <x:c r="Q8" s="90" t="str">
        <x:v>其他维度可能否定或降级</x:v>
      </x:c>
      <x:c r="R8" s="68" t="str">
        <x:v>只有一个维度明确支持该五行</x:v>
      </x:c>
      <x:c r="S8" s="68" t="str">
        <x:v>该五行已触犯格局硬约束或制造更大根本病</x:v>
      </x:c>
      <x:c r="T8" s="68" t="str">
        <x:v>单维收益与其他维度未知</x:v>
      </x:c>
      <x:c r="U8" s="68" t="str">
        <x:v>M18-GEN-0008-V1.0</x:v>
      </x:c>
      <x:c r="V8" s="84" t="str">
        <x:v>条件性喜神</x:v>
      </x:c>
      <x:c r="W8" s="82" t="str">
        <x:v>条件顺位</x:v>
      </x:c>
      <x:c r="X8" s="82" t="str">
        <x:v>是</x:v>
      </x:c>
      <x:c r="Y8" s="68" t="str">
        <x:v>其他四维无重大反对时方可采用</x:v>
      </x:c>
      <x:c r="Z8" s="84" t="str">
        <x:v>单维有利不升主用</x:v>
      </x:c>
      <x:c r="AA8" s="84" t="str">
        <x:v>该候选五行综合定位为“条件性喜神”，优先级为“条件顺位”。主要收益：保留该维度的正向价值；主要副作用：其他维度可能否定或降级；仅在其他四维无重大反对时方可采用时成立。</x:v>
      </x:c>
      <x:c r="AB8" s="82" t="str">
        <x:v>较高</x:v>
      </x:c>
      <x:c r="AC8" s="82" t="str">
        <x:v>现代综合</x:v>
      </x:c>
      <x:c r="AD8" s="68" t="str">
        <x:v>喜忌用神必须同时读取扶抑、格局、通关、调候和病药五个维度。单一维度有利不足以自动成为主用；最终定位取决于是否解决根本问题、是否触犯格局硬约束、药力是否可达以及副作用是否可控。</x:v>
      </x:c>
      <x:c r="AE8" s="68" t="str">
        <x:v>满足“只有一个维度明确支持该五行”，且主要收益大于副作用时，可按“单一维度有利只能生成候选”定位。</x:v>
      </x:c>
      <x:c r="AF8" s="90" t="str">
        <x:v>若“该五行已触犯格局硬约束或制造更大根本病”成立，则不得按“单一维度有利只能生成候选”无条件定位。</x:v>
      </x:c>
      <x:c r="AG8" s="82" t="str">
        <x:v>采用</x:v>
      </x:c>
      <x:c r="AH8" s="82" t="str">
        <x:v>初审</x:v>
      </x:c>
      <x:c r="AI8" s="87" t="n">
        <x:v>46260</x:v>
      </x:c>
    </x:row>
    <x:row r="9">
      <x:c r="A9" s="72" t="str">
        <x:f>IF(OR(C9="",D9=""),"",B9&amp;"-"&amp;UPPER(C9)&amp;"-"&amp;TEXT(D9,"0000")&amp;"-"&amp;E9)</x:f>
        <x:v>M17-GEN-0003-V1.0</x:v>
      </x:c>
      <x:c r="B9" s="74" t="str">
        <x:v>M17</x:v>
      </x:c>
      <x:c r="C9" s="74" t="str">
        <x:v>GEN</x:v>
      </x:c>
      <x:c r="D9" s="215" t="n">
        <x:v>3</x:v>
      </x:c>
      <x:c r="E9" s="74" t="str">
        <x:v>V1.0</x:v>
      </x:c>
      <x:c r="F9" s="68" t="str">
        <x:v>两个以上关键维度同向可提高定位</x:v>
      </x:c>
      <x:c r="G9" s="82" t="str">
        <x:v>综合层</x:v>
      </x:c>
      <x:c r="H9" s="82"/>
      <x:c r="I9" s="82"/>
      <x:c r="J9" s="82" t="str">
        <x:v>复合来源</x:v>
      </x:c>
      <x:c r="K9" s="68" t="str">
        <x:v>至少一个维度正向</x:v>
      </x:c>
      <x:c r="L9" s="68" t="str">
        <x:v>至少一个维度正向</x:v>
      </x:c>
      <x:c r="M9" s="68" t="str">
        <x:v>可能正向</x:v>
      </x:c>
      <x:c r="N9" s="68" t="str">
        <x:v>可能正向</x:v>
      </x:c>
      <x:c r="O9" s="68" t="str">
        <x:v>可能正向</x:v>
      </x:c>
      <x:c r="P9" s="68" t="str">
        <x:v>一神多效，减少多药冲突</x:v>
      </x:c>
      <x:c r="Q9" s="90" t="str">
        <x:v>仍需检查是否触犯硬约束</x:v>
      </x:c>
      <x:c r="R9" s="68" t="str">
        <x:v>至少两个相互独立的关键维度明确支持同一五行</x:v>
      </x:c>
      <x:c r="S9" s="68" t="str">
        <x:v>支持证据来自同一事实重复计数</x:v>
      </x:c>
      <x:c r="T9" s="68" t="str">
        <x:v>同源证据去重</x:v>
      </x:c>
      <x:c r="U9" s="68" t="str">
        <x:v>M18-GEN-0006-V1.0</x:v>
      </x:c>
      <x:c r="V9" s="84" t="str">
        <x:v>喜神</x:v>
      </x:c>
      <x:c r="W9" s="82" t="str">
        <x:v>第三顺位</x:v>
      </x:c>
      <x:c r="X9" s="82" t="str">
        <x:v>条件性</x:v>
      </x:c>
      <x:c r="Y9" s="68" t="str">
        <x:v>独立证据成立且无严重副作用</x:v>
      </x:c>
      <x:c r="Z9" s="84" t="str">
        <x:v>多维同向升级</x:v>
      </x:c>
      <x:c r="AA9" s="84" t="str">
        <x:v>该候选五行综合定位为“喜神”，优先级为“第三顺位”。主要收益：一神多效，减少多药冲突；主要副作用：仍需检查是否触犯硬约束；仅在独立证据成立且无严重副作用时成立。</x:v>
      </x:c>
      <x:c r="AB9" s="82" t="str">
        <x:v>较高</x:v>
      </x:c>
      <x:c r="AC9" s="82" t="str">
        <x:v>现代综合</x:v>
      </x:c>
      <x:c r="AD9" s="68" t="str">
        <x:v>喜忌用神必须同时读取扶抑、格局、通关、调候和病药五个维度。单一维度有利不足以自动成为主用；最终定位取决于是否解决根本问题、是否触犯格局硬约束、药力是否可达以及副作用是否可控。</x:v>
      </x:c>
      <x:c r="AE9" s="68" t="str">
        <x:v>满足“至少两个相互独立的关键维度明确支持同一五行”，且主要收益大于副作用时，可按“两个以上关键维度同向可提高定位”定位。</x:v>
      </x:c>
      <x:c r="AF9" s="90" t="str">
        <x:v>若“支持证据来自同一事实重复计数”成立，则不得按“两个以上关键维度同向可提高定位”无条件定位。</x:v>
      </x:c>
      <x:c r="AG9" s="82" t="str">
        <x:v>采用</x:v>
      </x:c>
      <x:c r="AH9" s="82" t="str">
        <x:v>初审</x:v>
      </x:c>
      <x:c r="AI9" s="87" t="n">
        <x:v>46260</x:v>
      </x:c>
    </x:row>
    <x:row r="10">
      <x:c r="A10" s="72" t="str">
        <x:f>IF(OR(C10="",D10=""),"",B10&amp;"-"&amp;UPPER(C10)&amp;"-"&amp;TEXT(D10,"0000")&amp;"-"&amp;E10)</x:f>
        <x:v>M17-GEN-0004-V1.0</x:v>
      </x:c>
      <x:c r="B10" s="74" t="str">
        <x:v>M17</x:v>
      </x:c>
      <x:c r="C10" s="74" t="str">
        <x:v>GEN</x:v>
      </x:c>
      <x:c r="D10" s="215" t="n">
        <x:v>4</x:v>
      </x:c>
      <x:c r="E10" s="74" t="str">
        <x:v>V1.0</x:v>
      </x:c>
      <x:c r="F10" s="68" t="str">
        <x:v>根本病药与格局需求同向时可列主用候选</x:v>
      </x:c>
      <x:c r="G10" s="82" t="str">
        <x:v>综合层</x:v>
      </x:c>
      <x:c r="H10" s="82"/>
      <x:c r="I10" s="82"/>
      <x:c r="J10" s="82" t="str">
        <x:v>复合来源</x:v>
      </x:c>
      <x:c r="K10" s="68" t="str">
        <x:v>按日主状态复核</x:v>
      </x:c>
      <x:c r="L10" s="68" t="str">
        <x:v>保护或修复核心格局</x:v>
      </x:c>
      <x:c r="M10" s="68" t="str">
        <x:v>可同时改善主路径</x:v>
      </x:c>
      <x:c r="N10" s="68" t="str">
        <x:v>无重大反向</x:v>
      </x:c>
      <x:c r="O10" s="68" t="str">
        <x:v>直接治疗根本主病</x:v>
      </x:c>
      <x:c r="P10" s="68" t="str">
        <x:v>同时治根本病并维护格局</x:v>
      </x:c>
      <x:c r="Q10" s="90" t="str">
        <x:v>需控制药力过量</x:v>
      </x:c>
      <x:c r="R10" s="68" t="str">
        <x:v>M16主药与M15格局用神方向一致</x:v>
      </x:c>
      <x:c r="S10" s="68" t="str">
        <x:v>药神无效、伤害日主承载或造成严重调候问题</x:v>
      </x:c>
      <x:c r="T10" s="68" t="str">
        <x:v>病药与扶抑/调候潜在冲突</x:v>
      </x:c>
      <x:c r="U10" s="68" t="str">
        <x:v>M18-MED-0041-V1.0</x:v>
      </x:c>
      <x:c r="V10" s="84" t="str">
        <x:v>主用神</x:v>
      </x:c>
      <x:c r="W10" s="82" t="str">
        <x:v>第一顺位</x:v>
      </x:c>
      <x:c r="X10" s="82" t="str">
        <x:v>条件性</x:v>
      </x:c>
      <x:c r="Y10" s="68" t="str">
        <x:v>药力可达且其他维度无硬否决</x:v>
      </x:c>
      <x:c r="Z10" s="84" t="str">
        <x:v>病格同向主用候选</x:v>
      </x:c>
      <x:c r="AA10" s="84" t="str">
        <x:v>该候选五行综合定位为“主用神”，优先级为“第一顺位”。主要收益：同时治根本病并维护格局；主要副作用：需控制药力过量；仅在药力可达且其他维度无硬否决时成立。</x:v>
      </x:c>
      <x:c r="AB10" s="82" t="str">
        <x:v>较高</x:v>
      </x:c>
      <x:c r="AC10" s="82" t="str">
        <x:v>现代综合</x:v>
      </x:c>
      <x:c r="AD10" s="68" t="str">
        <x:v>喜忌用神必须同时读取扶抑、格局、通关、调候和病药五个维度。单一维度有利不足以自动成为主用；最终定位取决于是否解决根本问题、是否触犯格局硬约束、药力是否可达以及副作用是否可控。</x:v>
      </x:c>
      <x:c r="AE10" s="68" t="str">
        <x:v>满足“M16主药与M15格局用神方向一致”，且主要收益大于副作用时，可按“根本病药与格局需求同向时可列主用候选”定位。</x:v>
      </x:c>
      <x:c r="AF10" s="90" t="str">
        <x:v>若“药神无效、伤害日主承载或造成严重调候问题”成立，则不得按“根本病药与格局需求同向时可列主用候选”无条件定位。</x:v>
      </x:c>
      <x:c r="AG10" s="82" t="str">
        <x:v>采用</x:v>
      </x:c>
      <x:c r="AH10" s="82" t="str">
        <x:v>初审</x:v>
      </x:c>
      <x:c r="AI10" s="87" t="n">
        <x:v>46260</x:v>
      </x:c>
    </x:row>
    <x:row r="11">
      <x:c r="A11" s="72" t="str">
        <x:f>IF(OR(C11="",D11=""),"",B11&amp;"-"&amp;UPPER(C11)&amp;"-"&amp;TEXT(D11,"0000")&amp;"-"&amp;E11)</x:f>
        <x:v>M17-GEN-0005-V1.0</x:v>
      </x:c>
      <x:c r="B11" s="74" t="str">
        <x:v>M17</x:v>
      </x:c>
      <x:c r="C11" s="74" t="str">
        <x:v>GEN</x:v>
      </x:c>
      <x:c r="D11" s="215" t="n">
        <x:v>5</x:v>
      </x:c>
      <x:c r="E11" s="74" t="str">
        <x:v>V1.0</x:v>
      </x:c>
      <x:c r="F11" s="68" t="str">
        <x:v>特殊格局严格成立时维护主势属于硬约束</x:v>
      </x:c>
      <x:c r="G11" s="82" t="str">
        <x:v>综合层</x:v>
      </x:c>
      <x:c r="H11" s="82"/>
      <x:c r="I11" s="82"/>
      <x:c r="J11" s="82" t="str">
        <x:v>格局用神</x:v>
      </x:c>
      <x:c r="K11" s="68" t="str">
        <x:v>普通扶抑结论让位于顺势</x:v>
      </x:c>
      <x:c r="L11" s="68" t="str">
        <x:v>维护从格、化气或专旺</x:v>
      </x:c>
      <x:c r="M11" s="68" t="str">
        <x:v>仅采用不破主势的流通方案</x:v>
      </x:c>
      <x:c r="N11" s="68" t="str">
        <x:v>调候须条件化</x:v>
      </x:c>
      <x:c r="O11" s="68" t="str">
        <x:v>病药不得逆格</x:v>
      </x:c>
      <x:c r="P11" s="68" t="str">
        <x:v>保护特殊格局成立条件</x:v>
      </x:c>
      <x:c r="Q11" s="90" t="str">
        <x:v>可能无法完全解决普通旺衰或调候偏差</x:v>
      </x:c>
      <x:c r="R11" s="68" t="str">
        <x:v>M15判特殊格局严格成立</x:v>
      </x:c>
      <x:c r="S11" s="68" t="str">
        <x:v>特殊格局被M15否决或仅为假从、假化</x:v>
      </x:c>
      <x:c r="T11" s="68" t="str">
        <x:v>特殊格局与普通扶抑/调候冲突</x:v>
      </x:c>
      <x:c r="U11" s="68" t="str">
        <x:v>M18-SPECIAL-0009-V1.0</x:v>
      </x:c>
      <x:c r="V11" s="84" t="str">
        <x:v>主用神</x:v>
      </x:c>
      <x:c r="W11" s="82" t="str">
        <x:v>第一顺位</x:v>
      </x:c>
      <x:c r="X11" s="82" t="str">
        <x:v>否</x:v>
      </x:c>
      <x:c r="Y11" s="68" t="str">
        <x:v>仅限严格成立的特殊格局</x:v>
      </x:c>
      <x:c r="Z11" s="84" t="str">
        <x:v>特殊格局硬约束</x:v>
      </x:c>
      <x:c r="AA11" s="84" t="str">
        <x:v>该候选五行综合定位为“主用神”，优先级为“第一顺位”。主要收益：保护特殊格局成立条件；主要副作用：可能无法完全解决普通旺衰或调候偏差；仅限严格成立的特殊格局。</x:v>
      </x:c>
      <x:c r="AB11" s="82" t="str">
        <x:v>较高</x:v>
      </x:c>
      <x:c r="AC11" s="82" t="str">
        <x:v>现代综合</x:v>
      </x:c>
      <x:c r="AD11" s="68" t="str">
        <x:v>喜忌用神必须同时读取扶抑、格局、通关、调候和病药五个维度。单一维度有利不足以自动成为主用；最终定位取决于是否解决根本问题、是否触犯格局硬约束、药力是否可达以及副作用是否可控。</x:v>
      </x:c>
      <x:c r="AE11" s="68" t="str">
        <x:v>满足“M15判特殊格局严格成立”，且主要收益大于副作用时，可按“特殊格局严格成立时维护主势属于硬约束”定位。</x:v>
      </x:c>
      <x:c r="AF11" s="90" t="str">
        <x:v>若“特殊格局被M15否决或仅为假从、假化”成立，则不得按“特殊格局严格成立时维护主势属于硬约束”无条件定位。</x:v>
      </x:c>
      <x:c r="AG11" s="82" t="str">
        <x:v>采用</x:v>
      </x:c>
      <x:c r="AH11" s="82" t="str">
        <x:v>初审</x:v>
      </x:c>
      <x:c r="AI11" s="87" t="n">
        <x:v>46260</x:v>
      </x:c>
    </x:row>
    <x:row r="12">
      <x:c r="A12" s="72" t="str">
        <x:f>IF(OR(C12="",D12=""),"",B12&amp;"-"&amp;UPPER(C12)&amp;"-"&amp;TEXT(D12,"0000")&amp;"-"&amp;E12)</x:f>
        <x:v>M17-GEN-0006-V1.0</x:v>
      </x:c>
      <x:c r="B12" s="74" t="str">
        <x:v>M17</x:v>
      </x:c>
      <x:c r="C12" s="74" t="str">
        <x:v>GEN</x:v>
      </x:c>
      <x:c r="D12" s="215" t="n">
        <x:v>6</x:v>
      </x:c>
      <x:c r="E12" s="74" t="str">
        <x:v>V1.0</x:v>
      </x:c>
      <x:c r="F12" s="68" t="str">
        <x:v>有利但伤害核心格局时必须降级</x:v>
      </x:c>
      <x:c r="G12" s="82" t="str">
        <x:v>综合层</x:v>
      </x:c>
      <x:c r="H12" s="82"/>
      <x:c r="I12" s="82"/>
      <x:c r="J12" s="82" t="str">
        <x:v>复合来源</x:v>
      </x:c>
      <x:c r="K12" s="68" t="str">
        <x:v>可能正向</x:v>
      </x:c>
      <x:c r="L12" s="68" t="str">
        <x:v>直接损伤格神或破坏特殊格局</x:v>
      </x:c>
      <x:c r="M12" s="68" t="str">
        <x:v>可能正向</x:v>
      </x:c>
      <x:c r="N12" s="68" t="str">
        <x:v>可能正向</x:v>
      </x:c>
      <x:c r="O12" s="68" t="str">
        <x:v>可能治次病</x:v>
      </x:c>
      <x:c r="P12" s="68" t="str">
        <x:v>解决局部旺衰、流通或调候问题</x:v>
      </x:c>
      <x:c r="Q12" s="90" t="str">
        <x:v>制造更高优先级格局病</x:v>
      </x:c>
      <x:c r="R12" s="68" t="str">
        <x:v>该五行有局部收益但格局损伤可被严格限制</x:v>
      </x:c>
      <x:c r="S12" s="68" t="str">
        <x:v>格局损伤不可逆或属于根本破格</x:v>
      </x:c>
      <x:c r="T12" s="68" t="str">
        <x:v>局部收益与格局硬约束冲突</x:v>
      </x:c>
      <x:c r="U12" s="68" t="str">
        <x:v>M18-PATTERN-0017-V1.0</x:v>
      </x:c>
      <x:c r="V12" s="84" t="str">
        <x:v>条件性喜神</x:v>
      </x:c>
      <x:c r="W12" s="82" t="str">
        <x:v>条件顺位</x:v>
      </x:c>
      <x:c r="X12" s="82" t="str">
        <x:v>是</x:v>
      </x:c>
      <x:c r="Y12" s="68" t="str">
        <x:v>仅在不破格或存在替代保护机制时采用</x:v>
      </x:c>
      <x:c r="Z12" s="84" t="str">
        <x:v>伤格降级</x:v>
      </x:c>
      <x:c r="AA12" s="84" t="str">
        <x:v>该候选五行综合定位为“条件性喜神”，优先级为“条件顺位”。主要收益：解决局部旺衰、流通或调候问题；主要副作用：制造更高优先级格局病。仅在不破格或存在替代保护机制时采用。</x:v>
      </x:c>
      <x:c r="AB12" s="82" t="str">
        <x:v>较高</x:v>
      </x:c>
      <x:c r="AC12" s="82" t="str">
        <x:v>现代综合</x:v>
      </x:c>
      <x:c r="AD12" s="68" t="str">
        <x:v>喜忌用神必须同时读取扶抑、格局、通关、调候和病药五个维度。单一维度有利不足以自动成为主用；最终定位取决于是否解决根本问题、是否触犯格局硬约束、药力是否可达以及副作用是否可控。</x:v>
      </x:c>
      <x:c r="AE12" s="68" t="str">
        <x:v>满足“该五行有局部收益但格局损伤可被严格限制”，且主要收益大于副作用时，可按“有利但伤害核心格局时必须降级”定位。</x:v>
      </x:c>
      <x:c r="AF12" s="90" t="str">
        <x:v>若“格局损伤不可逆或属于根本破格”成立，则不得按“有利但伤害核心格局时必须降级”无条件定位。</x:v>
      </x:c>
      <x:c r="AG12" s="82" t="str">
        <x:v>采用</x:v>
      </x:c>
      <x:c r="AH12" s="82" t="str">
        <x:v>初审</x:v>
      </x:c>
      <x:c r="AI12" s="87" t="n">
        <x:v>46260</x:v>
      </x:c>
    </x:row>
    <x:row r="13">
      <x:c r="A13" s="72" t="str">
        <x:f>IF(OR(C13="",D13=""),"",B13&amp;"-"&amp;UPPER(C13)&amp;"-"&amp;TEXT(D13,"0000")&amp;"-"&amp;E13)</x:f>
        <x:v>M17-GEN-0007-V1.0</x:v>
      </x:c>
      <x:c r="B13" s="74" t="str">
        <x:v>M17</x:v>
      </x:c>
      <x:c r="C13" s="74" t="str">
        <x:v>GEN</x:v>
      </x:c>
      <x:c r="D13" s="215" t="n">
        <x:v>7</x:v>
      </x:c>
      <x:c r="E13" s="74" t="str">
        <x:v>V1.0</x:v>
      </x:c>
      <x:c r="F13" s="68" t="str">
        <x:v>能够治病但制造同级新病时保持条件性</x:v>
      </x:c>
      <x:c r="G13" s="82" t="str">
        <x:v>综合层</x:v>
      </x:c>
      <x:c r="H13" s="82"/>
      <x:c r="I13" s="82"/>
      <x:c r="J13" s="82" t="str">
        <x:v>病药用神</x:v>
      </x:c>
      <x:c r="K13" s="68" t="str">
        <x:v>待定</x:v>
      </x:c>
      <x:c r="L13" s="68" t="str">
        <x:v>待定</x:v>
      </x:c>
      <x:c r="M13" s="68" t="str">
        <x:v>待定</x:v>
      </x:c>
      <x:c r="N13" s="68" t="str">
        <x:v>待定</x:v>
      </x:c>
      <x:c r="O13" s="68" t="str">
        <x:v>治原病但产生新病</x:v>
      </x:c>
      <x:c r="P13" s="68" t="str">
        <x:v>缓解原根本病</x:v>
      </x:c>
      <x:c r="Q13" s="90" t="str">
        <x:v>生成同等严重的新旺衰、格局、流通或调候病</x:v>
      </x:c>
      <x:c r="R13" s="68" t="str">
        <x:v>新病可通过剂量、配伍或替代路径控制</x:v>
      </x:c>
      <x:c r="S13" s="68" t="str">
        <x:v>新病严重度高于原病</x:v>
      </x:c>
      <x:c r="T13" s="68" t="str">
        <x:v>病药收益与新病风险冲突</x:v>
      </x:c>
      <x:c r="U13" s="68" t="str">
        <x:v>M18-MED-0044-V1.0</x:v>
      </x:c>
      <x:c r="V13" s="84" t="str">
        <x:v>条件性喜神</x:v>
      </x:c>
      <x:c r="W13" s="82" t="str">
        <x:v>条件顺位</x:v>
      </x:c>
      <x:c r="X13" s="82" t="str">
        <x:v>是</x:v>
      </x:c>
      <x:c r="Y13" s="68" t="str">
        <x:v>净收益为正且新病风险可控</x:v>
      </x:c>
      <x:c r="Z13" s="84" t="str">
        <x:v>治病生病条件化</x:v>
      </x:c>
      <x:c r="AA13" s="84" t="str">
        <x:v>该候选五行综合定位为“条件性喜神”，优先级为“条件顺位”。主要收益：缓解原根本病；主要副作用：生成同等严重的新旺衰、格局、流通或调候病；仅在净收益为正且新病风险可控时成立。</x:v>
      </x:c>
      <x:c r="AB13" s="82" t="str">
        <x:v>较高</x:v>
      </x:c>
      <x:c r="AC13" s="82" t="str">
        <x:v>现代综合</x:v>
      </x:c>
      <x:c r="AD13" s="68" t="str">
        <x:v>喜忌用神必须同时读取扶抑、格局、通关、调候和病药五个维度。单一维度有利不足以自动成为主用；最终定位取决于是否解决根本问题、是否触犯格局硬约束、药力是否可达以及副作用是否可控。</x:v>
      </x:c>
      <x:c r="AE13" s="68" t="str">
        <x:v>满足“新病可通过剂量、配伍或替代路径控制”，且主要收益大于副作用时，可按“能够治病但制造同级新病时保持条件性”定位。</x:v>
      </x:c>
      <x:c r="AF13" s="90" t="str">
        <x:v>若“新病严重度高于原病”成立，则不得按“能够治病但制造同级新病时保持条件性”无条件定位。</x:v>
      </x:c>
      <x:c r="AG13" s="82" t="str">
        <x:v>采用</x:v>
      </x:c>
      <x:c r="AH13" s="82" t="str">
        <x:v>初审</x:v>
      </x:c>
      <x:c r="AI13" s="87" t="n">
        <x:v>46260</x:v>
      </x:c>
    </x:row>
    <x:row r="14">
      <x:c r="A14" s="72" t="str">
        <x:f>IF(OR(C14="",D14=""),"",B14&amp;"-"&amp;UPPER(C14)&amp;"-"&amp;TEXT(D14,"0000")&amp;"-"&amp;E14)</x:f>
        <x:v>M17-GEN-0008-V1.0</x:v>
      </x:c>
      <x:c r="B14" s="74" t="str">
        <x:v>M17</x:v>
      </x:c>
      <x:c r="C14" s="74" t="str">
        <x:v>GEN</x:v>
      </x:c>
      <x:c r="D14" s="215" t="n">
        <x:v>8</x:v>
      </x:c>
      <x:c r="E14" s="74" t="str">
        <x:v>V1.0</x:v>
      </x:c>
      <x:c r="F14" s="68" t="str">
        <x:v>无明显收益也无明显伤害时定位中性</x:v>
      </x:c>
      <x:c r="G14" s="82" t="str">
        <x:v>综合层</x:v>
      </x:c>
      <x:c r="H14" s="82"/>
      <x:c r="I14" s="82"/>
      <x:c r="J14" s="82" t="str">
        <x:v>复合来源</x:v>
      </x:c>
      <x:c r="K14" s="68" t="str">
        <x:v>中性</x:v>
      </x:c>
      <x:c r="L14" s="68" t="str">
        <x:v>中性</x:v>
      </x:c>
      <x:c r="M14" s="68" t="str">
        <x:v>中性</x:v>
      </x:c>
      <x:c r="N14" s="68" t="str">
        <x:v>中性</x:v>
      </x:c>
      <x:c r="O14" s="68" t="str">
        <x:v>中性</x:v>
      </x:c>
      <x:c r="P14" s="68" t="str">
        <x:v>不明显改变主要结构</x:v>
      </x:c>
      <x:c r="Q14" s="90" t="str">
        <x:v>占用判断资源但无核心价值</x:v>
      </x:c>
      <x:c r="R14" s="68" t="str">
        <x:v>五维均无明确正向或负向作用</x:v>
      </x:c>
      <x:c r="S14" s="68" t="str">
        <x:v>任一维度出现显著收益或伤害</x:v>
      </x:c>
      <x:c r="T14" s="68" t="str">
        <x:v>无重大冲突</x:v>
      </x:c>
      <x:c r="U14" s="68"/>
      <x:c r="V14" s="84" t="str">
        <x:v>中性</x:v>
      </x:c>
      <x:c r="W14" s="82" t="str">
        <x:v>不采用</x:v>
      </x:c>
      <x:c r="X14" s="82" t="str">
        <x:v>否</x:v>
      </x:c>
      <x:c r="Y14" s="68" t="str">
        <x:v>不列入主要喜忌排序</x:v>
      </x:c>
      <x:c r="Z14" s="84" t="str">
        <x:v>五维中性</x:v>
      </x:c>
      <x:c r="AA14" s="84" t="str">
        <x:v>该候选五行综合定位为“中性”，优先级为“不采用”。主要收益：不明显改变主要结构；主要副作用：占用判断资源但无核心价值；不列入主要喜忌排序。</x:v>
      </x:c>
      <x:c r="AB14" s="82" t="str">
        <x:v>较高</x:v>
      </x:c>
      <x:c r="AC14" s="82" t="str">
        <x:v>现代综合</x:v>
      </x:c>
      <x:c r="AD14" s="68" t="str">
        <x:v>喜忌用神必须同时读取扶抑、格局、通关、调候和病药五个维度。单一维度有利不足以自动成为主用；最终定位取决于是否解决根本问题、是否触犯格局硬约束、药力是否可达以及副作用是否可控。</x:v>
      </x:c>
      <x:c r="AE14" s="68" t="str">
        <x:v>满足“五维均无明确正向或负向作用”，且主要收益大于副作用时，可按“无明显收益也无明显伤害时定位中性”定位。</x:v>
      </x:c>
      <x:c r="AF14" s="90" t="str">
        <x:v>若“任一维度出现显著收益或伤害”成立，则不得按“无明显收益也无明显伤害时定位中性”无条件定位。</x:v>
      </x:c>
      <x:c r="AG14" s="82" t="str">
        <x:v>采用</x:v>
      </x:c>
      <x:c r="AH14" s="82" t="str">
        <x:v>初审</x:v>
      </x:c>
      <x:c r="AI14" s="87" t="n">
        <x:v>46260</x:v>
      </x:c>
    </x:row>
    <x:row r="15">
      <x:c r="A15" s="72" t="str">
        <x:f>IF(OR(C15="",D15=""),"",B15&amp;"-"&amp;UPPER(C15)&amp;"-"&amp;TEXT(D15,"0000")&amp;"-"&amp;E15)</x:f>
        <x:v>M17-GEN-0009-V1.0</x:v>
      </x:c>
      <x:c r="B15" s="74" t="str">
        <x:v>M17</x:v>
      </x:c>
      <x:c r="C15" s="74" t="str">
        <x:v>GEN</x:v>
      </x:c>
      <x:c r="D15" s="215" t="n">
        <x:v>9</x:v>
      </x:c>
      <x:c r="E15" s="74" t="str">
        <x:v>V1.0</x:v>
      </x:c>
      <x:c r="F15" s="68" t="str">
        <x:v>收益证据与伤害证据接近时保持待定</x:v>
      </x:c>
      <x:c r="G15" s="82" t="str">
        <x:v>综合层</x:v>
      </x:c>
      <x:c r="H15" s="82"/>
      <x:c r="I15" s="82"/>
      <x:c r="J15" s="82" t="str">
        <x:v>复合来源</x:v>
      </x:c>
      <x:c r="K15" s="68" t="str">
        <x:v>正反并存</x:v>
      </x:c>
      <x:c r="L15" s="68" t="str">
        <x:v>正反并存</x:v>
      </x:c>
      <x:c r="M15" s="68" t="str">
        <x:v>待定</x:v>
      </x:c>
      <x:c r="N15" s="68" t="str">
        <x:v>待定</x:v>
      </x:c>
      <x:c r="O15" s="68" t="str">
        <x:v>待定</x:v>
      </x:c>
      <x:c r="P15" s="68" t="str">
        <x:v>可能解决一个主要问题</x:v>
      </x:c>
      <x:c r="Q15" s="90" t="str">
        <x:v>可能造成同等严重的另一问题</x:v>
      </x:c>
      <x:c r="R15" s="68" t="str">
        <x:v>正反证据权重接近且缺少硬约束</x:v>
      </x:c>
      <x:c r="S15" s="68" t="str">
        <x:v>已有明确硬约束可裁决</x:v>
      </x:c>
      <x:c r="T15" s="68" t="str">
        <x:v>多维证据接近</x:v>
      </x:c>
      <x:c r="U15" s="68" t="str">
        <x:v>M18-GEN-0008-V1.0</x:v>
      </x:c>
      <x:c r="V15" s="84" t="str">
        <x:v>待定</x:v>
      </x:c>
      <x:c r="W15" s="82" t="str">
        <x:v>待定</x:v>
      </x:c>
      <x:c r="X15" s="82" t="str">
        <x:v>待定</x:v>
      </x:c>
      <x:c r="Y15" s="68" t="str">
        <x:v>保留替代候选与反向证据，待M18裁决</x:v>
      </x:c>
      <x:c r="Z15" s="84" t="str">
        <x:v>证据接近待定</x:v>
      </x:c>
      <x:c r="AA15" s="84" t="str">
        <x:v>该候选五行综合定位为“待定”，优先级为“待定”。主要收益：可能解决一个主要问题；主要副作用：可能造成同等严重的另一问题；保留替代候选与反向证据，待M18裁决。</x:v>
      </x:c>
      <x:c r="AB15" s="82" t="str">
        <x:v>中等</x:v>
      </x:c>
      <x:c r="AC15" s="82" t="str">
        <x:v>现代综合</x:v>
      </x:c>
      <x:c r="AD15" s="68" t="str">
        <x:v>喜忌用神必须同时读取扶抑、格局、通关、调候和病药五个维度。单一维度有利不足以自动成为主用；最终定位取决于是否解决根本问题、是否触犯格局硬约束、药力是否可达以及副作用是否可控。</x:v>
      </x:c>
      <x:c r="AE15" s="68" t="str">
        <x:v>满足“正反证据权重接近且缺少硬约束”，且主要收益大于副作用时，可按“收益证据与伤害证据接近时保持待定”定位。</x:v>
      </x:c>
      <x:c r="AF15" s="90" t="str">
        <x:v>若“已有明确硬约束可裁决”成立，则不得按“收益证据与伤害证据接近时保持待定”无条件定位。</x:v>
      </x:c>
      <x:c r="AG15" s="82" t="str">
        <x:v>待验证</x:v>
      </x:c>
      <x:c r="AH15" s="82" t="str">
        <x:v>初审</x:v>
      </x:c>
      <x:c r="AI15" s="87" t="n">
        <x:v>46260</x:v>
      </x:c>
    </x:row>
    <x:row r="16">
      <x:c r="A16" s="72" t="str">
        <x:f>IF(OR(C16="",D16=""),"",B16&amp;"-"&amp;UPPER(C16)&amp;"-"&amp;TEXT(D16,"0000")&amp;"-"&amp;E16)</x:f>
        <x:v>M17-GEN-0010-V1.0</x:v>
      </x:c>
      <x:c r="B16" s="74" t="str">
        <x:v>M17</x:v>
      </x:c>
      <x:c r="C16" s="74" t="str">
        <x:v>GEN</x:v>
      </x:c>
      <x:c r="D16" s="215" t="n">
        <x:v>10</x:v>
      </x:c>
      <x:c r="E16" s="74" t="str">
        <x:v>V1.0</x:v>
      </x:c>
      <x:c r="F16" s="68" t="str">
        <x:v>最终用神定位不得使用固定总分</x:v>
      </x:c>
      <x:c r="G16" s="82" t="str">
        <x:v>综合层</x:v>
      </x:c>
      <x:c r="H16" s="82"/>
      <x:c r="I16" s="82"/>
      <x:c r="J16" s="82" t="str">
        <x:v>复合来源</x:v>
      </x:c>
      <x:c r="K16" s="68" t="str">
        <x:v>强证据优先</x:v>
      </x:c>
      <x:c r="L16" s="68" t="str">
        <x:v>硬约束优先</x:v>
      </x:c>
      <x:c r="M16" s="68" t="str">
        <x:v>主路径优先</x:v>
      </x:c>
      <x:c r="N16" s="68" t="str">
        <x:v>根本气候病优先</x:v>
      </x:c>
      <x:c r="O16" s="68" t="str">
        <x:v>根本病优先</x:v>
      </x:c>
      <x:c r="P16" s="68" t="str">
        <x:v>避免弱证据堆叠压过决定性条件</x:v>
      </x:c>
      <x:c r="Q16" s="90" t="str">
        <x:v>需要保留判断过程</x:v>
      </x:c>
      <x:c r="R16" s="68" t="str">
        <x:v>存在多个维度证据</x:v>
      </x:c>
      <x:c r="S16" s="68" t="str">
        <x:v>无</x:v>
      </x:c>
      <x:c r="T16" s="68" t="str">
        <x:v>证据优先级而非机械分数</x:v>
      </x:c>
      <x:c r="U16" s="68" t="str">
        <x:v>M18-BOUND-0078-V1.0</x:v>
      </x:c>
      <x:c r="V16" s="84" t="str">
        <x:v>待定</x:v>
      </x:c>
      <x:c r="W16" s="82" t="str">
        <x:v>待定</x:v>
      </x:c>
      <x:c r="X16" s="82" t="str">
        <x:v>待定</x:v>
      </x:c>
      <x:c r="Y16" s="68" t="str">
        <x:v>按硬约束、根本病、主路径和副作用裁决</x:v>
      </x:c>
      <x:c r="Z16" s="84" t="str">
        <x:v>用神非机械计分</x:v>
      </x:c>
      <x:c r="AA16" s="84" t="str">
        <x:v>该候选五行综合定位为“待定”，优先级为“待定”。主要收益：避免弱证据堆叠压过决定性条件；主要副作用：需要保留判断过程；按硬约束、根本病、主路径和副作用裁决。</x:v>
      </x:c>
      <x:c r="AB16" s="82" t="str">
        <x:v>较高</x:v>
      </x:c>
      <x:c r="AC16" s="82" t="str">
        <x:v>现代综合</x:v>
      </x:c>
      <x:c r="AD16" s="68" t="str">
        <x:v>喜忌用神必须同时读取扶抑、格局、通关、调候和病药五个维度。单一维度有利不足以自动成为主用；最终定位取决于是否解决根本问题、是否触犯格局硬约束、药力是否可达以及副作用是否可控。</x:v>
      </x:c>
      <x:c r="AE16" s="68" t="str">
        <x:v>满足“存在多个维度证据”，且主要收益大于副作用时，可按“最终用神定位不得使用固定总分”定位。</x:v>
      </x:c>
      <x:c r="AF16" s="90" t="str">
        <x:v>若“无”成立，则不得按“最终用神定位不得使用固定总分”无条件定位。</x:v>
      </x:c>
      <x:c r="AG16" s="82" t="str">
        <x:v>采用</x:v>
      </x:c>
      <x:c r="AH16" s="82" t="str">
        <x:v>初审</x:v>
      </x:c>
      <x:c r="AI16" s="87" t="n">
        <x:v>46260</x:v>
      </x:c>
    </x:row>
    <x:row r="17">
      <x:c r="A17" s="72" t="str">
        <x:f>IF(OR(C17="",D17=""),"",B17&amp;"-"&amp;UPPER(C17)&amp;"-"&amp;TEXT(D17,"0000")&amp;"-"&amp;E17)</x:f>
        <x:v>M17-FUYI-0011-V1.0</x:v>
      </x:c>
      <x:c r="B17" s="74" t="str">
        <x:v>M17</x:v>
      </x:c>
      <x:c r="C17" s="74" t="str">
        <x:v>FUYI</x:v>
      </x:c>
      <x:c r="D17" s="215" t="n">
        <x:v>11</x:v>
      </x:c>
      <x:c r="E17" s="74" t="str">
        <x:v>V1.0</x:v>
      </x:c>
      <x:c r="F17" s="68" t="str">
        <x:v>身弱无依时正印可列扶身候选</x:v>
      </x:c>
      <x:c r="G17" s="82" t="str">
        <x:v>综合层</x:v>
      </x:c>
      <x:c r="H17" s="82"/>
      <x:c r="I17" s="82" t="str">
        <x:v>正印</x:v>
      </x:c>
      <x:c r="J17" s="82" t="str">
        <x:v>扶抑用神</x:v>
      </x:c>
      <x:c r="K17" s="68" t="str">
        <x:v>直接生日主并补充承载</x:v>
      </x:c>
      <x:c r="L17" s="68" t="str">
        <x:v>可支持官印相生或护身</x:v>
      </x:c>
      <x:c r="M17" s="68" t="str">
        <x:v>可承接官杀后生日主</x:v>
      </x:c>
      <x:c r="N17" s="68" t="str">
        <x:v>随印星五行另判</x:v>
      </x:c>
      <x:c r="O17" s="68" t="str">
        <x:v>治疗身弱无依或化杀不及</x:v>
      </x:c>
      <x:c r="P17" s="68" t="str">
        <x:v>补充日主根源与承载</x:v>
      </x:c>
      <x:c r="Q17" s="90" t="str">
        <x:v>印过旺可能身滞、制食伤或坏财格</x:v>
      </x:c>
      <x:c r="R17" s="68" t="str">
        <x:v>M09身弱，正印有效，且不是从格</x:v>
      </x:c>
      <x:c r="S17" s="68" t="str">
        <x:v>日主已旺、印多身滞或食伤为核心格神</x:v>
      </x:c>
      <x:c r="T17" s="68" t="str">
        <x:v>扶身与食伤/财格冲突</x:v>
      </x:c>
      <x:c r="U17" s="68" t="str">
        <x:v>M18-PATTERN-0017-V1.0</x:v>
      </x:c>
      <x:c r="V17" s="84" t="str">
        <x:v>喜神</x:v>
      </x:c>
      <x:c r="W17" s="82" t="str">
        <x:v>第二顺位</x:v>
      </x:c>
      <x:c r="X17" s="82" t="str">
        <x:v>条件性</x:v>
      </x:c>
      <x:c r="Y17" s="68" t="str">
        <x:v>印不过量且不破坏关键食伤财星</x:v>
      </x:c>
      <x:c r="Z17" s="84" t="str">
        <x:v>身弱正印候选</x:v>
      </x:c>
      <x:c r="AA17" s="84" t="str">
        <x:v>该候选五行综合定位为“喜神”，优先级为“第二顺位”。主要收益：补充日主根源与承载；主要副作用：印过旺可能身滞、制食伤或坏财格；仅在印不过量且不破坏关键食伤财星时成立。</x:v>
      </x:c>
      <x:c r="AB17" s="82" t="str">
        <x:v>较高</x:v>
      </x:c>
      <x:c r="AC17" s="82" t="str">
        <x:v>现代综合</x:v>
      </x:c>
      <x:c r="AD17" s="68" t="str">
        <x:v>喜忌用神必须同时读取扶抑、格局、通关、调候和病药五个维度。单一维度有利不足以自动成为主用；最终定位取决于是否解决根本问题、是否触犯格局硬约束、药力是否可达以及副作用是否可控。</x:v>
      </x:c>
      <x:c r="AE17" s="68" t="str">
        <x:v>满足“M09身弱，正印有效，且不是从格”，且主要收益大于副作用时，可按“身弱无依时正印可列扶身候选”定位。</x:v>
      </x:c>
      <x:c r="AF17" s="90" t="str">
        <x:v>若“日主已旺、印多身滞或食伤为核心格神”成立，则不得按“身弱无依时正印可列扶身候选”无条件定位。</x:v>
      </x:c>
      <x:c r="AG17" s="82" t="str">
        <x:v>采用</x:v>
      </x:c>
      <x:c r="AH17" s="82" t="str">
        <x:v>初审</x:v>
      </x:c>
      <x:c r="AI17" s="87" t="n">
        <x:v>46260</x:v>
      </x:c>
    </x:row>
    <x:row r="18">
      <x:c r="A18" s="72" t="str">
        <x:f>IF(OR(C18="",D18=""),"",B18&amp;"-"&amp;UPPER(C18)&amp;"-"&amp;TEXT(D18,"0000")&amp;"-"&amp;E18)</x:f>
        <x:v>M17-FUYI-0012-V1.0</x:v>
      </x:c>
      <x:c r="B18" s="74" t="str">
        <x:v>M17</x:v>
      </x:c>
      <x:c r="C18" s="74" t="str">
        <x:v>FUYI</x:v>
      </x:c>
      <x:c r="D18" s="215" t="n">
        <x:v>12</x:v>
      </x:c>
      <x:c r="E18" s="74" t="str">
        <x:v>V1.0</x:v>
      </x:c>
      <x:c r="F18" s="68" t="str">
        <x:v>身弱且杀旺时偏印可列化杀扶身候选</x:v>
      </x:c>
      <x:c r="G18" s="82" t="str">
        <x:v>综合层</x:v>
      </x:c>
      <x:c r="H18" s="82"/>
      <x:c r="I18" s="82" t="str">
        <x:v>偏印</x:v>
      </x:c>
      <x:c r="J18" s="82" t="str">
        <x:v>扶抑用神</x:v>
      </x:c>
      <x:c r="K18" s="68" t="str">
        <x:v>生日主并提高承杀能力</x:v>
      </x:c>
      <x:c r="L18" s="68" t="str">
        <x:v>支持杀印相生</x:v>
      </x:c>
      <x:c r="M18" s="68" t="str">
        <x:v>官杀→印→身通路</x:v>
      </x:c>
      <x:c r="N18" s="68" t="str">
        <x:v>随偏印五行另判</x:v>
      </x:c>
      <x:c r="O18" s="68" t="str">
        <x:v>化杀生身</x:v>
      </x:c>
      <x:c r="P18" s="68" t="str">
        <x:v>同时缓解杀压和身弱</x:v>
      </x:c>
      <x:c r="Q18" s="90" t="str">
        <x:v>可能枭夺食、压制食神制杀</x:v>
      </x:c>
      <x:c r="R18" s="68" t="str">
        <x:v>身弱杀旺，偏印有效，且杀印路线优于食制路线</x:v>
      </x:c>
      <x:c r="S18" s="68" t="str">
        <x:v>食神为核心制杀药且偏印会夺食</x:v>
      </x:c>
      <x:c r="T18" s="68" t="str">
        <x:v>印化杀与食制杀路线冲突</x:v>
      </x:c>
      <x:c r="U18" s="68" t="str">
        <x:v>M18-ROUTE-0051-V1.0</x:v>
      </x:c>
      <x:c r="V18" s="84" t="str">
        <x:v>主用神</x:v>
      </x:c>
      <x:c r="W18" s="82" t="str">
        <x:v>第一顺位</x:v>
      </x:c>
      <x:c r="X18" s="82" t="str">
        <x:v>是</x:v>
      </x:c>
      <x:c r="Y18" s="68" t="str">
        <x:v>选择印化杀主路线且偏印不夺关键食神</x:v>
      </x:c>
      <x:c r="Z18" s="84" t="str">
        <x:v>身弱偏印化杀</x:v>
      </x:c>
      <x:c r="AA18" s="84" t="str">
        <x:v>该候选五行综合定位为“主用神”，优先级为“第一顺位”。主要收益：同时缓解杀压和身弱；主要副作用：可能枭夺食、压制食神制杀；仅在选择印化杀主路线且偏印不夺关键食神时成立。</x:v>
      </x:c>
      <x:c r="AB18" s="82" t="str">
        <x:v>较高</x:v>
      </x:c>
      <x:c r="AC18" s="82" t="str">
        <x:v>现代综合</x:v>
      </x:c>
      <x:c r="AD18" s="68" t="str">
        <x:v>喜忌用神必须同时读取扶抑、格局、通关、调候和病药五个维度。单一维度有利不足以自动成为主用；最终定位取决于是否解决根本问题、是否触犯格局硬约束、药力是否可达以及副作用是否可控。</x:v>
      </x:c>
      <x:c r="AE18" s="68" t="str">
        <x:v>满足“身弱杀旺，偏印有效，且杀印路线优于食制路线”，且主要收益大于副作用时，可按“身弱且杀旺时偏印可列化杀扶身候选”定位。</x:v>
      </x:c>
      <x:c r="AF18" s="90" t="str">
        <x:v>若“食神为核心制杀药且偏印会夺食”成立，则不得按“身弱且杀旺时偏印可列化杀扶身候选”无条件定位。</x:v>
      </x:c>
      <x:c r="AG18" s="82" t="str">
        <x:v>采用</x:v>
      </x:c>
      <x:c r="AH18" s="82" t="str">
        <x:v>初审</x:v>
      </x:c>
      <x:c r="AI18" s="87" t="n">
        <x:v>46260</x:v>
      </x:c>
    </x:row>
    <x:row r="19">
      <x:c r="A19" s="72" t="str">
        <x:f>IF(OR(C19="",D19=""),"",B19&amp;"-"&amp;UPPER(C19)&amp;"-"&amp;TEXT(D19,"0000")&amp;"-"&amp;E19)</x:f>
        <x:v>M17-FUYI-0013-V1.0</x:v>
      </x:c>
      <x:c r="B19" s="74" t="str">
        <x:v>M17</x:v>
      </x:c>
      <x:c r="C19" s="74" t="str">
        <x:v>FUYI</x:v>
      </x:c>
      <x:c r="D19" s="215" t="n">
        <x:v>13</x:v>
      </x:c>
      <x:c r="E19" s="74" t="str">
        <x:v>V1.0</x:v>
      </x:c>
      <x:c r="F19" s="68" t="str">
        <x:v>身弱财旺时比肩可列承财候选</x:v>
      </x:c>
      <x:c r="G19" s="82" t="str">
        <x:v>综合层</x:v>
      </x:c>
      <x:c r="H19" s="82"/>
      <x:c r="I19" s="82" t="str">
        <x:v>比肩</x:v>
      </x:c>
      <x:c r="J19" s="82" t="str">
        <x:v>扶抑用神</x:v>
      </x:c>
      <x:c r="K19" s="68" t="str">
        <x:v>增强日主同类承载</x:v>
      </x:c>
      <x:c r="L19" s="68" t="str">
        <x:v>可帮助身财两停</x:v>
      </x:c>
      <x:c r="M19" s="68" t="str">
        <x:v>提高身→食伤→财链源头容量</x:v>
      </x:c>
      <x:c r="N19" s="68" t="str">
        <x:v>随比肩五行另判</x:v>
      </x:c>
      <x:c r="O19" s="68" t="str">
        <x:v>治疗财多身弱</x:v>
      </x:c>
      <x:c r="P19" s="68" t="str">
        <x:v>分担财耗并稳固日主</x:v>
      </x:c>
      <x:c r="Q19" s="90" t="str">
        <x:v>比肩过旺可能争财、壅塞或破财格</x:v>
      </x:c>
      <x:c r="R19" s="68" t="str">
        <x:v>日主弱、财旺、比肩有效且财格并非严格从财</x:v>
      </x:c>
      <x:c r="S19" s="68" t="str">
        <x:v>真从财格或比劫已经成势夺财</x:v>
      </x:c>
      <x:c r="T19" s="68" t="str">
        <x:v>扶身与财格清纯冲突</x:v>
      </x:c>
      <x:c r="U19" s="68" t="str">
        <x:v>M18-ROUTE-0055-V1.0</x:v>
      </x:c>
      <x:c r="V19" s="84" t="str">
        <x:v>喜神</x:v>
      </x:c>
      <x:c r="W19" s="82" t="str">
        <x:v>第二顺位</x:v>
      </x:c>
      <x:c r="X19" s="82" t="str">
        <x:v>条件性</x:v>
      </x:c>
      <x:c r="Y19" s="68" t="str">
        <x:v>扶身收益大于对财星的克制副作用</x:v>
      </x:c>
      <x:c r="Z19" s="84" t="str">
        <x:v>身弱比肩承财</x:v>
      </x:c>
      <x:c r="AA19" s="84" t="str">
        <x:v>该候选五行综合定位为“喜神”，优先级为“第二顺位”。主要收益：分担财耗并稳固日主；主要副作用：比肩过旺可能争财、壅塞或破财格；仅在扶身收益大于对财星的克制副作用时成立。</x:v>
      </x:c>
      <x:c r="AB19" s="82" t="str">
        <x:v>较高</x:v>
      </x:c>
      <x:c r="AC19" s="82" t="str">
        <x:v>现代综合</x:v>
      </x:c>
      <x:c r="AD19" s="68" t="str">
        <x:v>喜忌用神必须同时读取扶抑、格局、通关、调候和病药五个维度。单一维度有利不足以自动成为主用；最终定位取决于是否解决根本问题、是否触犯格局硬约束、药力是否可达以及副作用是否可控。</x:v>
      </x:c>
      <x:c r="AE19" s="68" t="str">
        <x:v>满足“日主弱、财旺、比肩有效且财格并非严格从财”，且主要收益大于副作用时，可按“身弱财旺时比肩可列承财候选”定位。</x:v>
      </x:c>
      <x:c r="AF19" s="90" t="str">
        <x:v>若“真从财格或比劫已经成势夺财”成立，则不得按“身弱财旺时比肩可列承财候选”无条件定位。</x:v>
      </x:c>
      <x:c r="AG19" s="82" t="str">
        <x:v>采用</x:v>
      </x:c>
      <x:c r="AH19" s="82" t="str">
        <x:v>初审</x:v>
      </x:c>
      <x:c r="AI19" s="87" t="n">
        <x:v>46260</x:v>
      </x:c>
    </x:row>
    <x:row r="20">
      <x:c r="A20" s="72" t="str">
        <x:f>IF(OR(C20="",D20=""),"",B20&amp;"-"&amp;UPPER(C20)&amp;"-"&amp;TEXT(D20,"0000")&amp;"-"&amp;E20)</x:f>
        <x:v>M17-FUYI-0014-V1.0</x:v>
      </x:c>
      <x:c r="B20" s="74" t="str">
        <x:v>M17</x:v>
      </x:c>
      <x:c r="C20" s="74" t="str">
        <x:v>FUYI</x:v>
      </x:c>
      <x:c r="D20" s="215" t="n">
        <x:v>14</x:v>
      </x:c>
      <x:c r="E20" s="74" t="str">
        <x:v>V1.0</x:v>
      </x:c>
      <x:c r="F20" s="68" t="str">
        <x:v>身弱财旺时劫财只能条件性护身</x:v>
      </x:c>
      <x:c r="G20" s="82" t="str">
        <x:v>综合层</x:v>
      </x:c>
      <x:c r="H20" s="82"/>
      <x:c r="I20" s="82" t="str">
        <x:v>劫财</x:v>
      </x:c>
      <x:c r="J20" s="82" t="str">
        <x:v>扶抑用神</x:v>
      </x:c>
      <x:c r="K20" s="68" t="str">
        <x:v>扶身并直接制财</x:v>
      </x:c>
      <x:c r="L20" s="68" t="str">
        <x:v>可能破坏财格</x:v>
      </x:c>
      <x:c r="M20" s="68" t="str">
        <x:v>可降低财星耗身但截断食伤生财终点</x:v>
      </x:c>
      <x:c r="N20" s="68" t="str">
        <x:v>随劫财五行另判</x:v>
      </x:c>
      <x:c r="O20" s="68" t="str">
        <x:v>比劫制财护身</x:v>
      </x:c>
      <x:c r="P20" s="68" t="str">
        <x:v>减轻财耗、提高日主承载</x:v>
      </x:c>
      <x:c r="Q20" s="90" t="str">
        <x:v>夺财、破财格或阻断财官链</x:v>
      </x:c>
      <x:c r="R20" s="68" t="str">
        <x:v>财多身弱且财并非核心不可损格神</x:v>
      </x:c>
      <x:c r="S20" s="68" t="str">
        <x:v>财格清纯成立、从财格严格成立</x:v>
      </x:c>
      <x:c r="T20" s="68" t="str">
        <x:v>扶抑与格局冲突</x:v>
      </x:c>
      <x:c r="U20" s="68" t="str">
        <x:v>M18-PATTERN-0017-V1.0</x:v>
      </x:c>
      <x:c r="V20" s="84" t="str">
        <x:v>条件性喜神</x:v>
      </x:c>
      <x:c r="W20" s="82" t="str">
        <x:v>条件顺位</x:v>
      </x:c>
      <x:c r="X20" s="82" t="str">
        <x:v>是</x:v>
      </x:c>
      <x:c r="Y20" s="68" t="str">
        <x:v>只在护身需求高于护财需求时采用</x:v>
      </x:c>
      <x:c r="Z20" s="84" t="str">
        <x:v>劫财护身条件化</x:v>
      </x:c>
      <x:c r="AA20" s="84" t="str">
        <x:v>该候选五行综合定位为“条件性喜神”，优先级为“条件顺位”。主要收益：减轻财耗、提高日主承载；主要副作用：夺财、破财格或阻断财官链；仅在只在护身需求高于护财需求时采用时成立。</x:v>
      </x:c>
      <x:c r="AB20" s="82" t="str">
        <x:v>较高</x:v>
      </x:c>
      <x:c r="AC20" s="82" t="str">
        <x:v>现代综合</x:v>
      </x:c>
      <x:c r="AD20" s="68" t="str">
        <x:v>喜忌用神必须同时读取扶抑、格局、通关、调候和病药五个维度。单一维度有利不足以自动成为主用；最终定位取决于是否解决根本问题、是否触犯格局硬约束、药力是否可达以及副作用是否可控。</x:v>
      </x:c>
      <x:c r="AE20" s="68" t="str">
        <x:v>满足“财多身弱且财并非核心不可损格神”，且主要收益大于副作用时，可按“身弱财旺时劫财只能条件性护身”定位。</x:v>
      </x:c>
      <x:c r="AF20" s="90" t="str">
        <x:v>若“财格清纯成立、从财格严格成立”成立，则不得按“身弱财旺时劫财只能条件性护身”无条件定位。</x:v>
      </x:c>
      <x:c r="AG20" s="82" t="str">
        <x:v>采用</x:v>
      </x:c>
      <x:c r="AH20" s="82" t="str">
        <x:v>初审</x:v>
      </x:c>
      <x:c r="AI20" s="87" t="n">
        <x:v>46260</x:v>
      </x:c>
    </x:row>
    <x:row r="21">
      <x:c r="A21" s="72" t="str">
        <x:f>IF(OR(C21="",D21=""),"",B21&amp;"-"&amp;UPPER(C21)&amp;"-"&amp;TEXT(D21,"0000")&amp;"-"&amp;E21)</x:f>
        <x:v>M17-FUYI-0015-V1.0</x:v>
      </x:c>
      <x:c r="B21" s="74" t="str">
        <x:v>M17</x:v>
      </x:c>
      <x:c r="C21" s="74" t="str">
        <x:v>FUYI</x:v>
      </x:c>
      <x:c r="D21" s="215" t="n">
        <x:v>15</x:v>
      </x:c>
      <x:c r="E21" s="74" t="str">
        <x:v>V1.0</x:v>
      </x:c>
      <x:c r="F21" s="68" t="str">
        <x:v>身旺无泄时食神可列泄秀候选</x:v>
      </x:c>
      <x:c r="G21" s="82" t="str">
        <x:v>综合层</x:v>
      </x:c>
      <x:c r="H21" s="82"/>
      <x:c r="I21" s="82" t="str">
        <x:v>食神</x:v>
      </x:c>
      <x:c r="J21" s="82" t="str">
        <x:v>扶抑用神</x:v>
      </x:c>
      <x:c r="K21" s="68" t="str">
        <x:v>稳定泄日主旺气</x:v>
      </x:c>
      <x:c r="L21" s="68" t="str">
        <x:v>可支持食神格、食神生财或制杀</x:v>
      </x:c>
      <x:c r="M21" s="68" t="str">
        <x:v>身→食神→财通路</x:v>
      </x:c>
      <x:c r="N21" s="68" t="str">
        <x:v>随食神五行另判</x:v>
      </x:c>
      <x:c r="O21" s="68" t="str">
        <x:v>治疗比劫壅塞或源头过旺无泄</x:v>
      </x:c>
      <x:c r="P21" s="68" t="str">
        <x:v>提供温和持续的输出出口</x:v>
      </x:c>
      <x:c r="Q21" s="90" t="str">
        <x:v>身弱时过泄；可能受枭夺食</x:v>
      </x:c>
      <x:c r="R21" s="68" t="str">
        <x:v>日主旺或中和偏旺，食神有效且有终点承接</x:v>
      </x:c>
      <x:c r="S21" s="68" t="str">
        <x:v>日主弱、食神被枭制或特殊从旺格忌逆势</x:v>
      </x:c>
      <x:c r="T21" s="68" t="str">
        <x:v>泄身与特殊格局/承载冲突</x:v>
      </x:c>
      <x:c r="U21" s="68" t="str">
        <x:v>M18-SPECIAL-0009-V1.0</x:v>
      </x:c>
      <x:c r="V21" s="84" t="str">
        <x:v>喜神</x:v>
      </x:c>
      <x:c r="W21" s="82" t="str">
        <x:v>第二顺位</x:v>
      </x:c>
      <x:c r="X21" s="82" t="str">
        <x:v>条件性</x:v>
      </x:c>
      <x:c r="Y21" s="68" t="str">
        <x:v>日主有足够源头且食神不破格</x:v>
      </x:c>
      <x:c r="Z21" s="84" t="str">
        <x:v>身旺食神泄秀</x:v>
      </x:c>
      <x:c r="AA21" s="84" t="str">
        <x:v>该候选五行综合定位为“喜神”，优先级为“第二顺位”。主要收益：提供温和持续的输出出口；主要副作用：身弱时过泄；可能受枭夺食；仅在日主有足够源头且食神不破格时成立。</x:v>
      </x:c>
      <x:c r="AB21" s="82" t="str">
        <x:v>较高</x:v>
      </x:c>
      <x:c r="AC21" s="82" t="str">
        <x:v>现代综合</x:v>
      </x:c>
      <x:c r="AD21" s="68" t="str">
        <x:v>喜忌用神必须同时读取扶抑、格局、通关、调候和病药五个维度。单一维度有利不足以自动成为主用；最终定位取决于是否解决根本问题、是否触犯格局硬约束、药力是否可达以及副作用是否可控。</x:v>
      </x:c>
      <x:c r="AE21" s="68" t="str">
        <x:v>满足“日主旺或中和偏旺，食神有效且有终点承接”，且主要收益大于副作用时，可按“身旺无泄时食神可列泄秀候选”定位。</x:v>
      </x:c>
      <x:c r="AF21" s="90" t="str">
        <x:v>若“日主弱、食神被枭制或特殊从旺格忌逆势”成立，则不得按“身旺无泄时食神可列泄秀候选”无条件定位。</x:v>
      </x:c>
      <x:c r="AG21" s="82" t="str">
        <x:v>采用</x:v>
      </x:c>
      <x:c r="AH21" s="82" t="str">
        <x:v>初审</x:v>
      </x:c>
      <x:c r="AI21" s="87" t="n">
        <x:v>46260</x:v>
      </x:c>
    </x:row>
    <x:row r="22">
      <x:c r="A22" s="72" t="str">
        <x:f>IF(OR(C22="",D22=""),"",B22&amp;"-"&amp;UPPER(C22)&amp;"-"&amp;TEXT(D22,"0000")&amp;"-"&amp;E22)</x:f>
        <x:v>M17-FUYI-0016-V1.0</x:v>
      </x:c>
      <x:c r="B22" s="74" t="str">
        <x:v>M17</x:v>
      </x:c>
      <x:c r="C22" s="74" t="str">
        <x:v>FUYI</x:v>
      </x:c>
      <x:c r="D22" s="215" t="n">
        <x:v>16</x:v>
      </x:c>
      <x:c r="E22" s="74" t="str">
        <x:v>V1.0</x:v>
      </x:c>
      <x:c r="F22" s="68" t="str">
        <x:v>身旺且需强力输出时伤官可列泄身候选</x:v>
      </x:c>
      <x:c r="G22" s="82" t="str">
        <x:v>综合层</x:v>
      </x:c>
      <x:c r="H22" s="82"/>
      <x:c r="I22" s="82" t="str">
        <x:v>伤官</x:v>
      </x:c>
      <x:c r="J22" s="82" t="str">
        <x:v>扶抑用神</x:v>
      </x:c>
      <x:c r="K22" s="68" t="str">
        <x:v>强力泄身</x:v>
      </x:c>
      <x:c r="L22" s="68" t="str">
        <x:v>可支持伤官生财或配印，也可能伤官见官</x:v>
      </x:c>
      <x:c r="M22" s="68" t="str">
        <x:v>身→伤官→财通路</x:v>
      </x:c>
      <x:c r="N22" s="68" t="str">
        <x:v>随伤官五行另判</x:v>
      </x:c>
      <x:c r="O22" s="68" t="str">
        <x:v>治疗身旺壅塞</x:v>
      </x:c>
      <x:c r="P22" s="68" t="str">
        <x:v>迅速释放过强身势</x:v>
      </x:c>
      <x:c r="Q22" s="90" t="str">
        <x:v>克官、过泄或破正官格</x:v>
      </x:c>
      <x:c r="R22" s="68" t="str">
        <x:v>日主旺，伤官有财或印形成合理出口</x:v>
      </x:c>
      <x:c r="S22" s="68" t="str">
        <x:v>正官为核心格神且无救应，或日主偏弱</x:v>
      </x:c>
      <x:c r="T22" s="68" t="str">
        <x:v>扶抑与正官格冲突</x:v>
      </x:c>
      <x:c r="U22" s="68" t="str">
        <x:v>M18-PATTERN-0017-V1.0</x:v>
      </x:c>
      <x:c r="V22" s="84" t="str">
        <x:v>条件性喜神</x:v>
      </x:c>
      <x:c r="W22" s="82" t="str">
        <x:v>条件顺位</x:v>
      </x:c>
      <x:c r="X22" s="82" t="str">
        <x:v>是</x:v>
      </x:c>
      <x:c r="Y22" s="68" t="str">
        <x:v>必须有生财或配印机制且不重伤官星</x:v>
      </x:c>
      <x:c r="Z22" s="84" t="str">
        <x:v>伤官泄身条件化</x:v>
      </x:c>
      <x:c r="AA22" s="84" t="str">
        <x:v>该候选五行综合定位为“条件性喜神”，优先级为“条件顺位”。主要收益：迅速释放过强身势；主要副作用：克官、过泄或破正官格；仅在必须有生财或配印机制且不重伤官星时成立。</x:v>
      </x:c>
      <x:c r="AB22" s="82" t="str">
        <x:v>较高</x:v>
      </x:c>
      <x:c r="AC22" s="82" t="str">
        <x:v>现代综合</x:v>
      </x:c>
      <x:c r="AD22" s="68" t="str">
        <x:v>喜忌用神必须同时读取扶抑、格局、通关、调候和病药五个维度。单一维度有利不足以自动成为主用；最终定位取决于是否解决根本问题、是否触犯格局硬约束、药力是否可达以及副作用是否可控。</x:v>
      </x:c>
      <x:c r="AE22" s="68" t="str">
        <x:v>满足“日主旺，伤官有财或印形成合理出口”，且主要收益大于副作用时，可按“身旺且需强力输出时伤官可列泄身候选”定位。</x:v>
      </x:c>
      <x:c r="AF22" s="90" t="str">
        <x:v>若“正官为核心格神且无救应，或日主偏弱”成立，则不得按“身旺且需强力输出时伤官可列泄身候选”无条件定位。</x:v>
      </x:c>
      <x:c r="AG22" s="82" t="str">
        <x:v>采用</x:v>
      </x:c>
      <x:c r="AH22" s="82" t="str">
        <x:v>初审</x:v>
      </x:c>
      <x:c r="AI22" s="87" t="n">
        <x:v>46260</x:v>
      </x:c>
    </x:row>
    <x:row r="23">
      <x:c r="A23" s="72" t="str">
        <x:f>IF(OR(C23="",D23=""),"",B23&amp;"-"&amp;UPPER(C23)&amp;"-"&amp;TEXT(D23,"0000")&amp;"-"&amp;E23)</x:f>
        <x:v>M17-FUYI-0017-V1.0</x:v>
      </x:c>
      <x:c r="B23" s="74" t="str">
        <x:v>M17</x:v>
      </x:c>
      <x:c r="C23" s="74" t="str">
        <x:v>FUYI</x:v>
      </x:c>
      <x:c r="D23" s="215" t="n">
        <x:v>17</x:v>
      </x:c>
      <x:c r="E23" s="74" t="str">
        <x:v>V1.0</x:v>
      </x:c>
      <x:c r="F23" s="68" t="str">
        <x:v>身旺能任财时正财可列耗身候选</x:v>
      </x:c>
      <x:c r="G23" s="82" t="str">
        <x:v>综合层</x:v>
      </x:c>
      <x:c r="H23" s="82"/>
      <x:c r="I23" s="82" t="str">
        <x:v>正财</x:v>
      </x:c>
      <x:c r="J23" s="82" t="str">
        <x:v>扶抑用神</x:v>
      </x:c>
      <x:c r="K23" s="68" t="str">
        <x:v>耗泄旺身的可用力量</x:v>
      </x:c>
      <x:c r="L23" s="68" t="str">
        <x:v>可支持正财格或财官相生</x:v>
      </x:c>
      <x:c r="M23" s="68" t="str">
        <x:v>承接食伤输出</x:v>
      </x:c>
      <x:c r="N23" s="68" t="str">
        <x:v>随财星五行另判</x:v>
      </x:c>
      <x:c r="O23" s="68" t="str">
        <x:v>治疗身旺无耗或印多身滞</x:v>
      </x:c>
      <x:c r="P23" s="68" t="str">
        <x:v>为强身提供稳定耗用终点</x:v>
      </x:c>
      <x:c r="Q23" s="90" t="str">
        <x:v>财过旺会坏印、加重身弱或生官杀</x:v>
      </x:c>
      <x:c r="R23" s="68" t="str">
        <x:v>日主旺且能任财，财星有承接能力</x:v>
      </x:c>
      <x:c r="S23" s="68" t="str">
        <x:v>日主弱、印为关键化杀药或财已过旺</x:v>
      </x:c>
      <x:c r="T23" s="68" t="str">
        <x:v>耗身与护印/承载冲突</x:v>
      </x:c>
      <x:c r="U23" s="68" t="str">
        <x:v>M18-PATTERN-0022-V1.0</x:v>
      </x:c>
      <x:c r="V23" s="84" t="str">
        <x:v>喜神</x:v>
      </x:c>
      <x:c r="W23" s="82" t="str">
        <x:v>第三顺位</x:v>
      </x:c>
      <x:c r="X23" s="82" t="str">
        <x:v>条件性</x:v>
      </x:c>
      <x:c r="Y23" s="68" t="str">
        <x:v>日主能任且财不过度破印</x:v>
      </x:c>
      <x:c r="Z23" s="84" t="str">
        <x:v>身旺正财耗身</x:v>
      </x:c>
      <x:c r="AA23" s="84" t="str">
        <x:v>该候选五行综合定位为“喜神”，优先级为“第三顺位”。主要收益：为强身提供稳定耗用终点；主要副作用：财过旺会坏印、加重身弱或生官杀；仅在日主能任且财不过度破印时成立。</x:v>
      </x:c>
      <x:c r="AB23" s="82" t="str">
        <x:v>较高</x:v>
      </x:c>
      <x:c r="AC23" s="82" t="str">
        <x:v>现代综合</x:v>
      </x:c>
      <x:c r="AD23" s="68" t="str">
        <x:v>喜忌用神必须同时读取扶抑、格局、通关、调候和病药五个维度。单一维度有利不足以自动成为主用；最终定位取决于是否解决根本问题、是否触犯格局硬约束、药力是否可达以及副作用是否可控。</x:v>
      </x:c>
      <x:c r="AE23" s="68" t="str">
        <x:v>满足“日主旺且能任财，财星有承接能力”，且主要收益大于副作用时，可按“身旺能任财时正财可列耗身候选”定位。</x:v>
      </x:c>
      <x:c r="AF23" s="90" t="str">
        <x:v>若“日主弱、印为关键化杀药或财已过旺”成立，则不得按“身旺能任财时正财可列耗身候选”无条件定位。</x:v>
      </x:c>
      <x:c r="AG23" s="82" t="str">
        <x:v>采用</x:v>
      </x:c>
      <x:c r="AH23" s="82" t="str">
        <x:v>初审</x:v>
      </x:c>
      <x:c r="AI23" s="87" t="n">
        <x:v>46260</x:v>
      </x:c>
    </x:row>
    <x:row r="24">
      <x:c r="A24" s="72" t="str">
        <x:f>IF(OR(C24="",D24=""),"",B24&amp;"-"&amp;UPPER(C24)&amp;"-"&amp;TEXT(D24,"0000")&amp;"-"&amp;E24)</x:f>
        <x:v>M17-FUYI-0018-V1.0</x:v>
      </x:c>
      <x:c r="B24" s="74" t="str">
        <x:v>M17</x:v>
      </x:c>
      <x:c r="C24" s="74" t="str">
        <x:v>FUYI</x:v>
      </x:c>
      <x:c r="D24" s="215" t="n">
        <x:v>18</x:v>
      </x:c>
      <x:c r="E24" s="74" t="str">
        <x:v>V1.0</x:v>
      </x:c>
      <x:c r="F24" s="68" t="str">
        <x:v>身旺时偏财可列条件性耗身候选</x:v>
      </x:c>
      <x:c r="G24" s="82" t="str">
        <x:v>综合层</x:v>
      </x:c>
      <x:c r="H24" s="82"/>
      <x:c r="I24" s="82" t="str">
        <x:v>偏财</x:v>
      </x:c>
      <x:c r="J24" s="82" t="str">
        <x:v>扶抑用神</x:v>
      </x:c>
      <x:c r="K24" s="68" t="str">
        <x:v>耗身并制印</x:v>
      </x:c>
      <x:c r="L24" s="68" t="str">
        <x:v>可支持偏财格或财生官杀</x:v>
      </x:c>
      <x:c r="M24" s="68" t="str">
        <x:v>食伤→偏财→官杀通路</x:v>
      </x:c>
      <x:c r="N24" s="68" t="str">
        <x:v>随偏财五行另判</x:v>
      </x:c>
      <x:c r="O24" s="68" t="str">
        <x:v>可治疗印多身滞</x:v>
      </x:c>
      <x:c r="P24" s="68" t="str">
        <x:v>降低印比过旺、建立财官出口</x:v>
      </x:c>
      <x:c r="Q24" s="90" t="str">
        <x:v>可能财坏印、财滋杀或耗身过度</x:v>
      </x:c>
      <x:c r="R24" s="68" t="str">
        <x:v>身旺印旺，偏财可控且印非唯一关键药神</x:v>
      </x:c>
      <x:c r="S24" s="68" t="str">
        <x:v>身弱、杀旺无制或印为核心格神</x:v>
      </x:c>
      <x:c r="T24" s="68" t="str">
        <x:v>扶抑收益与财坏印/生杀冲突</x:v>
      </x:c>
      <x:c r="U24" s="68" t="str">
        <x:v>M18-MED-0044-V1.0</x:v>
      </x:c>
      <x:c r="V24" s="84" t="str">
        <x:v>条件性喜神</x:v>
      </x:c>
      <x:c r="W24" s="82" t="str">
        <x:v>条件顺位</x:v>
      </x:c>
      <x:c r="X24" s="82" t="str">
        <x:v>是</x:v>
      </x:c>
      <x:c r="Y24" s="68" t="str">
        <x:v>财的净耗用收益大于坏印生杀副作用</x:v>
      </x:c>
      <x:c r="Z24" s="84" t="str">
        <x:v>偏财耗身条件化</x:v>
      </x:c>
      <x:c r="AA24" s="84" t="str">
        <x:v>该候选五行综合定位为“条件性喜神”，优先级为“条件顺位”。主要收益：降低印比过旺、建立财官出口；主要副作用：可能财坏印、财滋杀或耗身过度；仅在财的净耗用收益大于坏印生杀副作用时成立。</x:v>
      </x:c>
      <x:c r="AB24" s="82" t="str">
        <x:v>较高</x:v>
      </x:c>
      <x:c r="AC24" s="82" t="str">
        <x:v>现代综合</x:v>
      </x:c>
      <x:c r="AD24" s="68" t="str">
        <x:v>喜忌用神必须同时读取扶抑、格局、通关、调候和病药五个维度。单一维度有利不足以自动成为主用；最终定位取决于是否解决根本问题、是否触犯格局硬约束、药力是否可达以及副作用是否可控。</x:v>
      </x:c>
      <x:c r="AE24" s="68" t="str">
        <x:v>满足“身旺印旺，偏财可控且印非唯一关键药神”，且主要收益大于副作用时，可按“身旺时偏财可列条件性耗身候选”定位。</x:v>
      </x:c>
      <x:c r="AF24" s="90" t="str">
        <x:v>若“身弱、杀旺无制或印为核心格神”成立，则不得按“身旺时偏财可列条件性耗身候选”无条件定位。</x:v>
      </x:c>
      <x:c r="AG24" s="82" t="str">
        <x:v>采用</x:v>
      </x:c>
      <x:c r="AH24" s="82" t="str">
        <x:v>初审</x:v>
      </x:c>
      <x:c r="AI24" s="87" t="n">
        <x:v>46260</x:v>
      </x:c>
    </x:row>
    <x:row r="25">
      <x:c r="A25" s="72" t="str">
        <x:f>IF(OR(C25="",D25=""),"",B25&amp;"-"&amp;UPPER(C25)&amp;"-"&amp;TEXT(D25,"0000")&amp;"-"&amp;E25)</x:f>
        <x:v>M17-FUYI-0019-V1.0</x:v>
      </x:c>
      <x:c r="B25" s="74" t="str">
        <x:v>M17</x:v>
      </x:c>
      <x:c r="C25" s="74" t="str">
        <x:v>FUYI</x:v>
      </x:c>
      <x:c r="D25" s="215" t="n">
        <x:v>19</x:v>
      </x:c>
      <x:c r="E25" s="74" t="str">
        <x:v>V1.0</x:v>
      </x:c>
      <x:c r="F25" s="68" t="str">
        <x:v>身旺有承载时正官可列制衡候选</x:v>
      </x:c>
      <x:c r="G25" s="82" t="str">
        <x:v>综合层</x:v>
      </x:c>
      <x:c r="H25" s="82"/>
      <x:c r="I25" s="82" t="str">
        <x:v>正官</x:v>
      </x:c>
      <x:c r="J25" s="82" t="str">
        <x:v>扶抑用神</x:v>
      </x:c>
      <x:c r="K25" s="68" t="str">
        <x:v>有序制约旺身</x:v>
      </x:c>
      <x:c r="L25" s="68" t="str">
        <x:v>支持正官格、官印相生</x:v>
      </x:c>
      <x:c r="M25" s="68" t="str">
        <x:v>可生印形成官→印→身链</x:v>
      </x:c>
      <x:c r="N25" s="68" t="str">
        <x:v>随正官五行另判</x:v>
      </x:c>
      <x:c r="O25" s="68" t="str">
        <x:v>治疗比劫旺无制</x:v>
      </x:c>
      <x:c r="P25" s="68" t="str">
        <x:v>约束旺身与比劫集团</x:v>
      </x:c>
      <x:c r="Q25" s="90" t="str">
        <x:v>官过旺会压身；伤官见官会冲突</x:v>
      </x:c>
      <x:c r="R25" s="68" t="str">
        <x:v>日主旺，正官有根有力且不过度</x:v>
      </x:c>
      <x:c r="S25" s="68" t="str">
        <x:v>日主弱、正官受伤官强制或从旺/专旺严格成立</x:v>
      </x:c>
      <x:c r="T25" s="68" t="str">
        <x:v>制身与特殊格局/伤官结构冲突</x:v>
      </x:c>
      <x:c r="U25" s="68" t="str">
        <x:v>M18-SPECIAL-0009-V1.0</x:v>
      </x:c>
      <x:c r="V25" s="84" t="str">
        <x:v>喜神</x:v>
      </x:c>
      <x:c r="W25" s="82" t="str">
        <x:v>第二顺位</x:v>
      </x:c>
      <x:c r="X25" s="82" t="str">
        <x:v>条件性</x:v>
      </x:c>
      <x:c r="Y25" s="68" t="str">
        <x:v>制身适中且官星不被重伤</x:v>
      </x:c>
      <x:c r="Z25" s="84" t="str">
        <x:v>身旺正官制衡</x:v>
      </x:c>
      <x:c r="AA25" s="84" t="str">
        <x:v>该候选五行综合定位为“喜神”，优先级为“第二顺位”。主要收益：约束旺身与比劫集团；主要副作用：官过旺会压身；伤官见官会冲突；仅在制身适中且官星不被重伤时成立。</x:v>
      </x:c>
      <x:c r="AB25" s="82" t="str">
        <x:v>较高</x:v>
      </x:c>
      <x:c r="AC25" s="82" t="str">
        <x:v>现代综合</x:v>
      </x:c>
      <x:c r="AD25" s="68" t="str">
        <x:v>喜忌用神必须同时读取扶抑、格局、通关、调候和病药五个维度。单一维度有利不足以自动成为主用；最终定位取决于是否解决根本问题、是否触犯格局硬约束、药力是否可达以及副作用是否可控。</x:v>
      </x:c>
      <x:c r="AE25" s="68" t="str">
        <x:v>满足“日主旺，正官有根有力且不过度”，且主要收益大于副作用时，可按“身旺有承载时正官可列制衡候选”定位。</x:v>
      </x:c>
      <x:c r="AF25" s="90" t="str">
        <x:v>若“日主弱、正官受伤官强制或从旺/专旺严格成立”成立，则不得按“身旺有承载时正官可列制衡候选”无条件定位。</x:v>
      </x:c>
      <x:c r="AG25" s="82" t="str">
        <x:v>采用</x:v>
      </x:c>
      <x:c r="AH25" s="82" t="str">
        <x:v>初审</x:v>
      </x:c>
      <x:c r="AI25" s="87" t="n">
        <x:v>46260</x:v>
      </x:c>
    </x:row>
    <x:row r="26">
      <x:c r="A26" s="72" t="str">
        <x:f>IF(OR(C26="",D26=""),"",B26&amp;"-"&amp;UPPER(C26)&amp;"-"&amp;TEXT(D26,"0000")&amp;"-"&amp;E26)</x:f>
        <x:v>M17-FUYI-0020-V1.0</x:v>
      </x:c>
      <x:c r="B26" s="74" t="str">
        <x:v>M17</x:v>
      </x:c>
      <x:c r="C26" s="74" t="str">
        <x:v>FUYI</x:v>
      </x:c>
      <x:c r="D26" s="215" t="n">
        <x:v>20</x:v>
      </x:c>
      <x:c r="E26" s="74" t="str">
        <x:v>V1.0</x:v>
      </x:c>
      <x:c r="F26" s="68" t="str">
        <x:v>身旺刃强时七杀可列制衡候选</x:v>
      </x:c>
      <x:c r="G26" s="82" t="str">
        <x:v>综合层</x:v>
      </x:c>
      <x:c r="H26" s="82"/>
      <x:c r="I26" s="82" t="str">
        <x:v>七杀</x:v>
      </x:c>
      <x:c r="J26" s="82" t="str">
        <x:v>扶抑用神</x:v>
      </x:c>
      <x:c r="K26" s="68" t="str">
        <x:v>强力制身或制刃</x:v>
      </x:c>
      <x:c r="L26" s="68" t="str">
        <x:v>支持七杀格、羊刃驾杀</x:v>
      </x:c>
      <x:c r="M26" s="68" t="str">
        <x:v>可经印星转化</x:v>
      </x:c>
      <x:c r="N26" s="68" t="str">
        <x:v>随七杀五行另判</x:v>
      </x:c>
      <x:c r="O26" s="68" t="str">
        <x:v>治疗羊刃无制或比劫极旺</x:v>
      </x:c>
      <x:c r="P26" s="68" t="str">
        <x:v>提供强制衡力量</x:v>
      </x:c>
      <x:c r="Q26" s="90" t="str">
        <x:v>杀过旺会攻身，需制化承载</x:v>
      </x:c>
      <x:c r="R26" s="68" t="str">
        <x:v>日主或羊刃强，七杀有权且比例适中</x:v>
      </x:c>
      <x:c r="S26" s="68" t="str">
        <x:v>日主弱、杀旺无制或特殊从旺格忌杀</x:v>
      </x:c>
      <x:c r="T26" s="68" t="str">
        <x:v>制衡收益与杀压风险</x:v>
      </x:c>
      <x:c r="U26" s="68" t="str">
        <x:v>M18-DOSE-0061-V1.0</x:v>
      </x:c>
      <x:c r="V26" s="84" t="str">
        <x:v>条件性喜神</x:v>
      </x:c>
      <x:c r="W26" s="82" t="str">
        <x:v>条件顺位</x:v>
      </x:c>
      <x:c r="X26" s="82" t="str">
        <x:v>是</x:v>
      </x:c>
      <x:c r="Y26" s="68" t="str">
        <x:v>身杀匹配或有印食制化</x:v>
      </x:c>
      <x:c r="Z26" s="84" t="str">
        <x:v>七杀制旺条件化</x:v>
      </x:c>
      <x:c r="AA26" s="84" t="str">
        <x:v>该候选五行综合定位为“条件性喜神”，优先级为“条件顺位”。主要收益：提供强制衡力量；主要副作用：杀过旺会攻身，需制化承载；仅在身杀匹配或有印食制化时成立。</x:v>
      </x:c>
      <x:c r="AB26" s="82" t="str">
        <x:v>较高</x:v>
      </x:c>
      <x:c r="AC26" s="82" t="str">
        <x:v>现代综合</x:v>
      </x:c>
      <x:c r="AD26" s="68" t="str">
        <x:v>喜忌用神必须同时读取扶抑、格局、通关、调候和病药五个维度。单一维度有利不足以自动成为主用；最终定位取决于是否解决根本问题、是否触犯格局硬约束、药力是否可达以及副作用是否可控。</x:v>
      </x:c>
      <x:c r="AE26" s="68" t="str">
        <x:v>满足“日主或羊刃强，七杀有权且比例适中”，且主要收益大于副作用时，可按“身旺刃强时七杀可列制衡候选”定位。</x:v>
      </x:c>
      <x:c r="AF26" s="90" t="str">
        <x:v>若“日主弱、杀旺无制或特殊从旺格忌杀”成立，则不得按“身旺刃强时七杀可列制衡候选”无条件定位。</x:v>
      </x:c>
      <x:c r="AG26" s="82" t="str">
        <x:v>采用</x:v>
      </x:c>
      <x:c r="AH26" s="82" t="str">
        <x:v>初审</x:v>
      </x:c>
      <x:c r="AI26" s="87" t="n">
        <x:v>46260</x:v>
      </x:c>
    </x:row>
    <x:row r="27">
      <x:c r="A27" s="72" t="str">
        <x:f>IF(OR(C27="",D27=""),"",B27&amp;"-"&amp;UPPER(C27)&amp;"-"&amp;TEXT(D27,"0000")&amp;"-"&amp;E27)</x:f>
        <x:v>M17-FUYI-0021-V1.0</x:v>
      </x:c>
      <x:c r="B27" s="74" t="str">
        <x:v>M17</x:v>
      </x:c>
      <x:c r="C27" s="74" t="str">
        <x:v>FUYI</x:v>
      </x:c>
      <x:c r="D27" s="215" t="n">
        <x:v>21</x:v>
      </x:c>
      <x:c r="E27" s="74" t="str">
        <x:v>V1.0</x:v>
      </x:c>
      <x:c r="F27" s="68" t="str">
        <x:v>身弱时财官食伤通常降为负荷候选</x:v>
      </x:c>
      <x:c r="G27" s="82" t="str">
        <x:v>综合层</x:v>
      </x:c>
      <x:c r="H27" s="82"/>
      <x:c r="I27" s="82"/>
      <x:c r="J27" s="82" t="str">
        <x:v>扶抑用神</x:v>
      </x:c>
      <x:c r="K27" s="68" t="str">
        <x:v>进一步泄耗或制身</x:v>
      </x:c>
      <x:c r="L27" s="68" t="str">
        <x:v>可能仍为格神</x:v>
      </x:c>
      <x:c r="M27" s="68" t="str">
        <x:v>可能形成有效路径但增加日主成本</x:v>
      </x:c>
      <x:c r="N27" s="68" t="str">
        <x:v>随五行另判</x:v>
      </x:c>
      <x:c r="O27" s="68" t="str">
        <x:v>可能加重根本承载病</x:v>
      </x:c>
      <x:c r="P27" s="68" t="str">
        <x:v>若格局严格需要可保留局部功能</x:v>
      </x:c>
      <x:c r="Q27" s="90" t="str">
        <x:v>加重身弱与承载不足</x:v>
      </x:c>
      <x:c r="R27" s="68" t="str">
        <x:v>日主弱且对应十神有效作用于日主</x:v>
      </x:c>
      <x:c r="S27" s="68" t="str">
        <x:v>特殊从格严格成立或有强印比承载</x:v>
      </x:c>
      <x:c r="T27" s="68" t="str">
        <x:v>扶抑与格局需求冲突</x:v>
      </x:c>
      <x:c r="U27" s="68" t="str">
        <x:v>M18-PATTERN-0017-V1.0</x:v>
      </x:c>
      <x:c r="V27" s="84" t="str">
        <x:v>条件性忌神</x:v>
      </x:c>
      <x:c r="W27" s="82" t="str">
        <x:v>条件顺位</x:v>
      </x:c>
      <x:c r="X27" s="82" t="str">
        <x:v>是</x:v>
      </x:c>
      <x:c r="Y27" s="68" t="str">
        <x:v>除非格局/病药有更高优先级需求</x:v>
      </x:c>
      <x:c r="Z27" s="84" t="str">
        <x:v>身弱负荷端降级</x:v>
      </x:c>
      <x:c r="AA27" s="84" t="str">
        <x:v>该候选五行综合定位为“条件性忌神”，优先级为“条件顺位”。主要收益：若格局严格需要可保留局部功能；主要副作用：加重身弱与承载不足；仅在除非格局/病药有更高优先级需求时成立。</x:v>
      </x:c>
      <x:c r="AB27" s="82" t="str">
        <x:v>较高</x:v>
      </x:c>
      <x:c r="AC27" s="82" t="str">
        <x:v>现代综合</x:v>
      </x:c>
      <x:c r="AD27" s="68" t="str">
        <x:v>喜忌用神必须同时读取扶抑、格局、通关、调候和病药五个维度。单一维度有利不足以自动成为主用；最终定位取决于是否解决根本问题、是否触犯格局硬约束、药力是否可达以及副作用是否可控。</x:v>
      </x:c>
      <x:c r="AE27" s="68" t="str">
        <x:v>满足“日主弱且对应十神有效作用于日主”，且主要收益大于副作用时，可按“身弱时财官食伤通常降为负荷候选”定位。</x:v>
      </x:c>
      <x:c r="AF27" s="90" t="str">
        <x:v>若“特殊从格严格成立或有强印比承载”成立，则不得按“身弱时财官食伤通常降为负荷候选”无条件定位。</x:v>
      </x:c>
      <x:c r="AG27" s="82" t="str">
        <x:v>采用</x:v>
      </x:c>
      <x:c r="AH27" s="82" t="str">
        <x:v>初审</x:v>
      </x:c>
      <x:c r="AI27" s="87" t="n">
        <x:v>46260</x:v>
      </x:c>
    </x:row>
    <x:row r="28">
      <x:c r="A28" s="72" t="str">
        <x:f>IF(OR(C28="",D28=""),"",B28&amp;"-"&amp;UPPER(C28)&amp;"-"&amp;TEXT(D28,"0000")&amp;"-"&amp;E28)</x:f>
        <x:v>M17-FUYI-0022-V1.0</x:v>
      </x:c>
      <x:c r="B28" s="74" t="str">
        <x:v>M17</x:v>
      </x:c>
      <x:c r="C28" s="74" t="str">
        <x:v>FUYI</x:v>
      </x:c>
      <x:c r="D28" s="215" t="n">
        <x:v>22</x:v>
      </x:c>
      <x:c r="E28" s="74" t="str">
        <x:v>V1.0</x:v>
      </x:c>
      <x:c r="F28" s="68" t="str">
        <x:v>日主中和时扶抑维度不应独占用神判断</x:v>
      </x:c>
      <x:c r="G28" s="82" t="str">
        <x:v>综合层</x:v>
      </x:c>
      <x:c r="H28" s="82"/>
      <x:c r="I28" s="82"/>
      <x:c r="J28" s="82" t="str">
        <x:v>扶抑用神</x:v>
      </x:c>
      <x:c r="K28" s="68" t="str">
        <x:v>无明显扶抑缺口</x:v>
      </x:c>
      <x:c r="L28" s="68" t="str">
        <x:v>转格局维度</x:v>
      </x:c>
      <x:c r="M28" s="68" t="str">
        <x:v>转通关维度</x:v>
      </x:c>
      <x:c r="N28" s="68" t="str">
        <x:v>转调候维度</x:v>
      </x:c>
      <x:c r="O28" s="68" t="str">
        <x:v>转病药维度</x:v>
      </x:c>
      <x:c r="P28" s="68" t="str">
        <x:v>避免为了扶抑而人为打破中和</x:v>
      </x:c>
      <x:c r="Q28" s="90" t="str">
        <x:v>单纯扶或抑都可能制造偏差</x:v>
      </x:c>
      <x:c r="R28" s="68" t="str">
        <x:v>M09判中和且正反证据均衡</x:v>
      </x:c>
      <x:c r="S28" s="68" t="str">
        <x:v>其他维度存在明确根本病或硬约束</x:v>
      </x:c>
      <x:c r="T28" s="68" t="str">
        <x:v>扶抑低优先级</x:v>
      </x:c>
      <x:c r="U28" s="68" t="str">
        <x:v>M18-GEN-0003-V1.0</x:v>
      </x:c>
      <x:c r="V28" s="84" t="str">
        <x:v>中性</x:v>
      </x:c>
      <x:c r="W28" s="82" t="str">
        <x:v>不采用</x:v>
      </x:c>
      <x:c r="X28" s="82" t="str">
        <x:v>否</x:v>
      </x:c>
      <x:c r="Y28" s="68" t="str">
        <x:v>以格局、流通、调候和病药为主要依据</x:v>
      </x:c>
      <x:c r="Z28" s="84" t="str">
        <x:v>中和扶抑降权</x:v>
      </x:c>
      <x:c r="AA28" s="84" t="str">
        <x:v>该候选五行综合定位为“中性”，优先级为“不采用”。主要收益：避免为了扶抑而人为打破中和；主要副作用：单纯扶或抑都可能制造偏差；以格局、流通、调候和病药为主要依据。</x:v>
      </x:c>
      <x:c r="AB28" s="82" t="str">
        <x:v>较高</x:v>
      </x:c>
      <x:c r="AC28" s="82" t="str">
        <x:v>现代综合</x:v>
      </x:c>
      <x:c r="AD28" s="68" t="str">
        <x:v>喜忌用神必须同时读取扶抑、格局、通关、调候和病药五个维度。单一维度有利不足以自动成为主用；最终定位取决于是否解决根本问题、是否触犯格局硬约束、药力是否可达以及副作用是否可控。</x:v>
      </x:c>
      <x:c r="AE28" s="68" t="str">
        <x:v>满足“M09判中和且正反证据均衡”，且主要收益大于副作用时，可按“日主中和时扶抑维度不应独占用神判断”定位。</x:v>
      </x:c>
      <x:c r="AF28" s="90" t="str">
        <x:v>若“其他维度存在明确根本病或硬约束”成立，则不得按“日主中和时扶抑维度不应独占用神判断”无条件定位。</x:v>
      </x:c>
      <x:c r="AG28" s="82" t="str">
        <x:v>采用</x:v>
      </x:c>
      <x:c r="AH28" s="82" t="str">
        <x:v>初审</x:v>
      </x:c>
      <x:c r="AI28" s="87" t="n">
        <x:v>46260</x:v>
      </x:c>
    </x:row>
    <x:row r="29">
      <x:c r="A29" s="72" t="str">
        <x:f>IF(OR(C29="",D29=""),"",B29&amp;"-"&amp;UPPER(C29)&amp;"-"&amp;TEXT(D29,"0000")&amp;"-"&amp;E29)</x:f>
        <x:v>M17-GEJU-0023-V1.0</x:v>
      </x:c>
      <x:c r="B29" s="74" t="str">
        <x:v>M17</x:v>
      </x:c>
      <x:c r="C29" s="74" t="str">
        <x:v>GEJU</x:v>
      </x:c>
      <x:c r="D29" s="215" t="n">
        <x:v>23</x:v>
      </x:c>
      <x:c r="E29" s="74" t="str">
        <x:v>V1.0</x:v>
      </x:c>
      <x:c r="F29" s="68" t="str">
        <x:v>正官格以护官和维持官印/财官链为格局用神方向</x:v>
      </x:c>
      <x:c r="G29" s="82" t="str">
        <x:v>综合层</x:v>
      </x:c>
      <x:c r="H29" s="82"/>
      <x:c r="I29" s="82" t="str">
        <x:v>正官</x:v>
      </x:c>
      <x:c r="J29" s="82" t="str">
        <x:v>格局用神</x:v>
      </x:c>
      <x:c r="K29" s="68" t="str">
        <x:v>视日主承官能力而定</x:v>
      </x:c>
      <x:c r="L29" s="68" t="str">
        <x:v>保护正官格神与清纯度</x:v>
      </x:c>
      <x:c r="M29" s="68" t="str">
        <x:v>官→印→身或财→官链</x:v>
      </x:c>
      <x:c r="N29" s="68" t="str">
        <x:v>随官星五行另判</x:v>
      </x:c>
      <x:c r="O29" s="68" t="str">
        <x:v>治疗伤官破官或官星受损</x:v>
      </x:c>
      <x:c r="P29" s="68" t="str">
        <x:v>维护正官格主轴</x:v>
      </x:c>
      <x:c r="Q29" s="90" t="str">
        <x:v>官过旺会压身，护官药可能伤伤官格</x:v>
      </x:c>
      <x:c r="R29" s="68" t="str">
        <x:v>M15正官格基本成立以上且官星为核心格神</x:v>
      </x:c>
      <x:c r="S29" s="68" t="str">
        <x:v>正官格不成立、官星失效或伤官格更为主导</x:v>
      </x:c>
      <x:c r="T29" s="68" t="str">
        <x:v>护官与扶抑/伤官结构冲突</x:v>
      </x:c>
      <x:c r="U29" s="68" t="str">
        <x:v>M18-PATTERN-0017-V1.0</x:v>
      </x:c>
      <x:c r="V29" s="84" t="str">
        <x:v>主用神</x:v>
      </x:c>
      <x:c r="W29" s="82" t="str">
        <x:v>第一顺位</x:v>
      </x:c>
      <x:c r="X29" s="82" t="str">
        <x:v>条件性</x:v>
      </x:c>
      <x:c r="Y29" s="68" t="str">
        <x:v>日主能承官且护官不造成官杀过重</x:v>
      </x:c>
      <x:c r="Z29" s="84" t="str">
        <x:v>正官格护格用神</x:v>
      </x:c>
      <x:c r="AA29" s="84" t="str">
        <x:v>该候选五行综合定位为“主用神”，优先级为“第一顺位”。主要收益：维护正官格主轴；主要副作用：官过旺会压身，护官药可能伤伤官格；仅在日主能承官且护官不造成官杀过重时成立。</x:v>
      </x:c>
      <x:c r="AB29" s="82" t="str">
        <x:v>较高</x:v>
      </x:c>
      <x:c r="AC29" s="82" t="str">
        <x:v>现代综合</x:v>
      </x:c>
      <x:c r="AD29" s="68" t="str">
        <x:v>喜忌用神必须同时读取扶抑、格局、通关、调候和病药五个维度。单一维度有利不足以自动成为主用；最终定位取决于是否解决根本问题、是否触犯格局硬约束、药力是否可达以及副作用是否可控。</x:v>
      </x:c>
      <x:c r="AE29" s="68" t="str">
        <x:v>满足“M15正官格基本成立以上且官星为核心格神”，且主要收益大于副作用时，可按“正官格以护官和维持官印/财官链为格局用神方向”定位。</x:v>
      </x:c>
      <x:c r="AF29" s="90" t="str">
        <x:v>若“正官格不成立、官星失效或伤官格更为主导”成立，则不得按“正官格以护官和维持官印/财官链为格局用神方向”无条件定位。</x:v>
      </x:c>
      <x:c r="AG29" s="82" t="str">
        <x:v>采用</x:v>
      </x:c>
      <x:c r="AH29" s="82" t="str">
        <x:v>初审</x:v>
      </x:c>
      <x:c r="AI29" s="87" t="n">
        <x:v>46260</x:v>
      </x:c>
    </x:row>
    <x:row r="30">
      <x:c r="A30" s="72" t="str">
        <x:f>IF(OR(C30="",D30=""),"",B30&amp;"-"&amp;UPPER(C30)&amp;"-"&amp;TEXT(D30,"0000")&amp;"-"&amp;E30)</x:f>
        <x:v>M17-GEJU-0024-V1.0</x:v>
      </x:c>
      <x:c r="B30" s="74" t="str">
        <x:v>M17</x:v>
      </x:c>
      <x:c r="C30" s="74" t="str">
        <x:v>GEJU</x:v>
      </x:c>
      <x:c r="D30" s="215" t="n">
        <x:v>24</x:v>
      </x:c>
      <x:c r="E30" s="74" t="str">
        <x:v>V1.0</x:v>
      </x:c>
      <x:c r="F30" s="68" t="str">
        <x:v>七杀格以制杀或化杀的主路线为格局用神</x:v>
      </x:c>
      <x:c r="G30" s="82" t="str">
        <x:v>综合层</x:v>
      </x:c>
      <x:c r="H30" s="82"/>
      <x:c r="I30" s="82" t="str">
        <x:v>七杀</x:v>
      </x:c>
      <x:c r="J30" s="82" t="str">
        <x:v>格局用神</x:v>
      </x:c>
      <x:c r="K30" s="68" t="str">
        <x:v>取决于食制或印化路线</x:v>
      </x:c>
      <x:c r="L30" s="68" t="str">
        <x:v>维持七杀有权而不过度攻身</x:v>
      </x:c>
      <x:c r="M30" s="68" t="str">
        <x:v>食神→杀或杀→印→身</x:v>
      </x:c>
      <x:c r="N30" s="68" t="str">
        <x:v>随相关五行另判</x:v>
      </x:c>
      <x:c r="O30" s="68" t="str">
        <x:v>治疗杀无制化、制杀不及或化杀不及</x:v>
      </x:c>
      <x:c r="P30" s="68" t="str">
        <x:v>建立稳定七杀制化结构</x:v>
      </x:c>
      <x:c r="Q30" s="90" t="str">
        <x:v>路线选择错误会泄身、夺食或印多</x:v>
      </x:c>
      <x:c r="R30" s="68" t="str">
        <x:v>M15七杀格成立且制化路线明确</x:v>
      </x:c>
      <x:c r="S30" s="68" t="str">
        <x:v>七杀格不成立或真从官杀严格成立</x:v>
      </x:c>
      <x:c r="T30" s="68" t="str">
        <x:v>食制与印化路线竞争</x:v>
      </x:c>
      <x:c r="U30" s="68" t="str">
        <x:v>M18-ROUTE-0051-V1.0</x:v>
      </x:c>
      <x:c r="V30" s="84" t="str">
        <x:v>主用神</x:v>
      </x:c>
      <x:c r="W30" s="82" t="str">
        <x:v>第一顺位</x:v>
      </x:c>
      <x:c r="X30" s="82" t="str">
        <x:v>是</x:v>
      </x:c>
      <x:c r="Y30" s="68" t="str">
        <x:v>只选净收益更高的一条主制化路线</x:v>
      </x:c>
      <x:c r="Z30" s="84" t="str">
        <x:v>七杀格制化用神</x:v>
      </x:c>
      <x:c r="AA30" s="84" t="str">
        <x:v>该候选五行综合定位为“主用神”，优先级为“第一顺位”。主要收益：建立稳定七杀制化结构；主要副作用：路线选择错误会泄身、夺食或印多；仅在只选净收益更高的一条主制化路线时成立。</x:v>
      </x:c>
      <x:c r="AB30" s="82" t="str">
        <x:v>较高</x:v>
      </x:c>
      <x:c r="AC30" s="82" t="str">
        <x:v>现代综合</x:v>
      </x:c>
      <x:c r="AD30" s="68" t="str">
        <x:v>喜忌用神必须同时读取扶抑、格局、通关、调候和病药五个维度。单一维度有利不足以自动成为主用；最终定位取决于是否解决根本问题、是否触犯格局硬约束、药力是否可达以及副作用是否可控。</x:v>
      </x:c>
      <x:c r="AE30" s="68" t="str">
        <x:v>满足“M15七杀格成立且制化路线明确”，且主要收益大于副作用时，可按“七杀格以制杀或化杀的主路线为格局用神”定位。</x:v>
      </x:c>
      <x:c r="AF30" s="90" t="str">
        <x:v>若“七杀格不成立或真从官杀严格成立”成立，则不得按“七杀格以制杀或化杀的主路线为格局用神”无条件定位。</x:v>
      </x:c>
      <x:c r="AG30" s="82" t="str">
        <x:v>采用</x:v>
      </x:c>
      <x:c r="AH30" s="82" t="str">
        <x:v>初审</x:v>
      </x:c>
      <x:c r="AI30" s="87" t="n">
        <x:v>46260</x:v>
      </x:c>
    </x:row>
    <x:row r="31">
      <x:c r="A31" s="72" t="str">
        <x:f>IF(OR(C31="",D31=""),"",B31&amp;"-"&amp;UPPER(C31)&amp;"-"&amp;TEXT(D31,"0000")&amp;"-"&amp;E31)</x:f>
        <x:v>M17-GEJU-0025-V1.0</x:v>
      </x:c>
      <x:c r="B31" s="74" t="str">
        <x:v>M17</x:v>
      </x:c>
      <x:c r="C31" s="74" t="str">
        <x:v>GEJU</x:v>
      </x:c>
      <x:c r="D31" s="215" t="n">
        <x:v>25</x:v>
      </x:c>
      <x:c r="E31" s="74" t="str">
        <x:v>V1.0</x:v>
      </x:c>
      <x:c r="F31" s="68" t="str">
        <x:v>印格以保护印星功能并防生身过度为用神方向</x:v>
      </x:c>
      <x:c r="G31" s="82" t="str">
        <x:v>综合层</x:v>
      </x:c>
      <x:c r="H31" s="82"/>
      <x:c r="I31" s="82" t="str">
        <x:v>正印</x:v>
      </x:c>
      <x:c r="J31" s="82" t="str">
        <x:v>格局用神</x:v>
      </x:c>
      <x:c r="K31" s="68" t="str">
        <x:v>印生身，需防身旺过度</x:v>
      </x:c>
      <x:c r="L31" s="68" t="str">
        <x:v>保护正偏印格、官印或杀印链</x:v>
      </x:c>
      <x:c r="M31" s="68" t="str">
        <x:v>官杀→印→身</x:v>
      </x:c>
      <x:c r="N31" s="68" t="str">
        <x:v>随印星五行另判</x:v>
      </x:c>
      <x:c r="O31" s="68" t="str">
        <x:v>治疗财坏印或印格配合神无力</x:v>
      </x:c>
      <x:c r="P31" s="68" t="str">
        <x:v>维持生身、化杀和配印功能</x:v>
      </x:c>
      <x:c r="Q31" s="90" t="str">
        <x:v>护印过度会印多身滞、枭夺食</x:v>
      </x:c>
      <x:c r="R31" s="68" t="str">
        <x:v>M15印格成立且印为关键格神</x:v>
      </x:c>
      <x:c r="S31" s="68" t="str">
        <x:v>印已过旺为根本病，或财格主导且印非关键</x:v>
      </x:c>
      <x:c r="T31" s="68" t="str">
        <x:v>护印与泄秀/财格需求冲突</x:v>
      </x:c>
      <x:c r="U31" s="68" t="str">
        <x:v>M18-PATTERN-0022-V1.0</x:v>
      </x:c>
      <x:c r="V31" s="84" t="str">
        <x:v>主用神</x:v>
      </x:c>
      <x:c r="W31" s="82" t="str">
        <x:v>第一顺位</x:v>
      </x:c>
      <x:c r="X31" s="82" t="str">
        <x:v>条件性</x:v>
      </x:c>
      <x:c r="Y31" s="68" t="str">
        <x:v>只护持印的必要功能，不使印生过度</x:v>
      </x:c>
      <x:c r="Z31" s="84" t="str">
        <x:v>印格护印用神</x:v>
      </x:c>
      <x:c r="AA31" s="84" t="str">
        <x:v>该候选五行综合定位为“主用神”，优先级为“第一顺位”。主要收益：维持生身、化杀和配印功能；主要副作用：护印过度会印多身滞、枭夺食；仅在只护持印的必要功能，不使印生过度时成立。</x:v>
      </x:c>
      <x:c r="AB31" s="82" t="str">
        <x:v>较高</x:v>
      </x:c>
      <x:c r="AC31" s="82" t="str">
        <x:v>现代综合</x:v>
      </x:c>
      <x:c r="AD31" s="68" t="str">
        <x:v>喜忌用神必须同时读取扶抑、格局、通关、调候和病药五个维度。单一维度有利不足以自动成为主用；最终定位取决于是否解决根本问题、是否触犯格局硬约束、药力是否可达以及副作用是否可控。</x:v>
      </x:c>
      <x:c r="AE31" s="68" t="str">
        <x:v>满足“M15印格成立且印为关键格神”，且主要收益大于副作用时，可按“印格以保护印星功能并防生身过度为用神方向”定位。</x:v>
      </x:c>
      <x:c r="AF31" s="90" t="str">
        <x:v>若“印已过旺为根本病，或财格主导且印非关键”成立，则不得按“印格以保护印星功能并防生身过度为用神方向”无条件定位。</x:v>
      </x:c>
      <x:c r="AG31" s="82" t="str">
        <x:v>采用</x:v>
      </x:c>
      <x:c r="AH31" s="82" t="str">
        <x:v>初审</x:v>
      </x:c>
      <x:c r="AI31" s="87" t="n">
        <x:v>46260</x:v>
      </x:c>
    </x:row>
    <x:row r="32">
      <x:c r="A32" s="72" t="str">
        <x:f>IF(OR(C32="",D32=""),"",B32&amp;"-"&amp;UPPER(C32)&amp;"-"&amp;TEXT(D32,"0000")&amp;"-"&amp;E32)</x:f>
        <x:v>M17-GEJU-0026-V1.0</x:v>
      </x:c>
      <x:c r="B32" s="74" t="str">
        <x:v>M17</x:v>
      </x:c>
      <x:c r="C32" s="74" t="str">
        <x:v>GEJU</x:v>
      </x:c>
      <x:c r="D32" s="215" t="n">
        <x:v>26</x:v>
      </x:c>
      <x:c r="E32" s="74" t="str">
        <x:v>V1.0</x:v>
      </x:c>
      <x:c r="F32" s="68" t="str">
        <x:v>财格以保护财星与日主任财能力为用神方向</x:v>
      </x:c>
      <x:c r="G32" s="82" t="str">
        <x:v>综合层</x:v>
      </x:c>
      <x:c r="H32" s="82"/>
      <x:c r="I32" s="82" t="str">
        <x:v>正财</x:v>
      </x:c>
      <x:c r="J32" s="82" t="str">
        <x:v>格局用神</x:v>
      </x:c>
      <x:c r="K32" s="68" t="str">
        <x:v>日主必须具备任财承载</x:v>
      </x:c>
      <x:c r="L32" s="68" t="str">
        <x:v>保护财格、食伤生财或财官链</x:v>
      </x:c>
      <x:c r="M32" s="68" t="str">
        <x:v>食伤→财→官</x:v>
      </x:c>
      <x:c r="N32" s="68" t="str">
        <x:v>随财星五行另判</x:v>
      </x:c>
      <x:c r="O32" s="68" t="str">
        <x:v>治疗比劫夺财、财格配合神无力</x:v>
      </x:c>
      <x:c r="P32" s="68" t="str">
        <x:v>保持财星终点与资源链</x:v>
      </x:c>
      <x:c r="Q32" s="90" t="str">
        <x:v>护财过度会财多身弱、财坏印或财滋杀</x:v>
      </x:c>
      <x:c r="R32" s="68" t="str">
        <x:v>M15财格成立且日主能任财</x:v>
      </x:c>
      <x:c r="S32" s="68" t="str">
        <x:v>财多身弱、从财格严格成立时应顺势另判，或财为主要病因</x:v>
      </x:c>
      <x:c r="T32" s="68" t="str">
        <x:v>护财与扶身/护印冲突</x:v>
      </x:c>
      <x:c r="U32" s="68" t="str">
        <x:v>M18-ROUTE-0055-V1.0</x:v>
      </x:c>
      <x:c r="V32" s="84" t="str">
        <x:v>主用神</x:v>
      </x:c>
      <x:c r="W32" s="82" t="str">
        <x:v>第一顺位</x:v>
      </x:c>
      <x:c r="X32" s="82" t="str">
        <x:v>条件性</x:v>
      </x:c>
      <x:c r="Y32" s="68" t="str">
        <x:v>财星不过度耗身、坏印或生杀</x:v>
      </x:c>
      <x:c r="Z32" s="84" t="str">
        <x:v>财格护财用神</x:v>
      </x:c>
      <x:c r="AA32" s="84" t="str">
        <x:v>该候选五行综合定位为“主用神”，优先级为“第一顺位”。主要收益：保持财星终点与资源链；主要副作用：护财过度会财多身弱、财坏印或财滋杀；仅在财星不过度耗身、坏印或生杀时成立。</x:v>
      </x:c>
      <x:c r="AB32" s="82" t="str">
        <x:v>较高</x:v>
      </x:c>
      <x:c r="AC32" s="82" t="str">
        <x:v>现代综合</x:v>
      </x:c>
      <x:c r="AD32" s="68" t="str">
        <x:v>喜忌用神必须同时读取扶抑、格局、通关、调候和病药五个维度。单一维度有利不足以自动成为主用；最终定位取决于是否解决根本问题、是否触犯格局硬约束、药力是否可达以及副作用是否可控。</x:v>
      </x:c>
      <x:c r="AE32" s="68" t="str">
        <x:v>满足“M15财格成立且日主能任财”，且主要收益大于副作用时，可按“财格以保护财星与日主任财能力为用神方向”定位。</x:v>
      </x:c>
      <x:c r="AF32" s="90" t="str">
        <x:v>若“财多身弱、从财格严格成立时应顺势另判，或财为主要病因”成立，则不得按“财格以保护财星与日主任财能力为用神方向”无条件定位。</x:v>
      </x:c>
      <x:c r="AG32" s="82" t="str">
        <x:v>采用</x:v>
      </x:c>
      <x:c r="AH32" s="82" t="str">
        <x:v>初审</x:v>
      </x:c>
      <x:c r="AI32" s="87" t="n">
        <x:v>46260</x:v>
      </x:c>
    </x:row>
    <x:row r="33">
      <x:c r="A33" s="72" t="str">
        <x:f>IF(OR(C33="",D33=""),"",B33&amp;"-"&amp;UPPER(C33)&amp;"-"&amp;TEXT(D33,"0000")&amp;"-"&amp;E33)</x:f>
        <x:v>M17-GEJU-0027-V1.0</x:v>
      </x:c>
      <x:c r="B33" s="74" t="str">
        <x:v>M17</x:v>
      </x:c>
      <x:c r="C33" s="74" t="str">
        <x:v>GEJU</x:v>
      </x:c>
      <x:c r="D33" s="215" t="n">
        <x:v>27</x:v>
      </x:c>
      <x:c r="E33" s="74" t="str">
        <x:v>V1.0</x:v>
      </x:c>
      <x:c r="F33" s="68" t="str">
        <x:v>食神格以保护食神并维持生财或制杀功能为用神方向</x:v>
      </x:c>
      <x:c r="G33" s="82" t="str">
        <x:v>综合层</x:v>
      </x:c>
      <x:c r="H33" s="82"/>
      <x:c r="I33" s="82" t="str">
        <x:v>食神</x:v>
      </x:c>
      <x:c r="J33" s="82" t="str">
        <x:v>格局用神</x:v>
      </x:c>
      <x:c r="K33" s="68" t="str">
        <x:v>泄身，须日主有源</x:v>
      </x:c>
      <x:c r="L33" s="68" t="str">
        <x:v>保护食神格、食神生财或食神制杀</x:v>
      </x:c>
      <x:c r="M33" s="68" t="str">
        <x:v>身→食神→财或食神→杀</x:v>
      </x:c>
      <x:c r="N33" s="68" t="str">
        <x:v>随食神五行另判</x:v>
      </x:c>
      <x:c r="O33" s="68" t="str">
        <x:v>治疗枭夺食和食神无力</x:v>
      </x:c>
      <x:c r="P33" s="68" t="str">
        <x:v>维持温和输出与关键制化</x:v>
      </x:c>
      <x:c r="Q33" s="90" t="str">
        <x:v>日主弱时过泄，护食可能与印格冲突</x:v>
      </x:c>
      <x:c r="R33" s="68" t="str">
        <x:v>M15食神格成立且食神承担核心功能</x:v>
      </x:c>
      <x:c r="S33" s="68" t="str">
        <x:v>食神格不成立、日主极弱或从儿格另按顺势</x:v>
      </x:c>
      <x:c r="T33" s="68" t="str">
        <x:v>护食与印扶身/印化杀冲突</x:v>
      </x:c>
      <x:c r="U33" s="68" t="str">
        <x:v>M18-ROUTE-0051-V1.0</x:v>
      </x:c>
      <x:c r="V33" s="84" t="str">
        <x:v>主用神</x:v>
      </x:c>
      <x:c r="W33" s="82" t="str">
        <x:v>第一顺位</x:v>
      </x:c>
      <x:c r="X33" s="82" t="str">
        <x:v>条件性</x:v>
      </x:c>
      <x:c r="Y33" s="68" t="str">
        <x:v>食神有源且不因护食而失去必要印星</x:v>
      </x:c>
      <x:c r="Z33" s="84" t="str">
        <x:v>食神格护食用神</x:v>
      </x:c>
      <x:c r="AA33" s="84" t="str">
        <x:v>该候选五行综合定位为“主用神”，优先级为“第一顺位”。主要收益：维持温和输出与关键制化；主要副作用：日主弱时过泄，护食可能与印格冲突；仅在食神有源且不因护食而失去必要印星时成立。</x:v>
      </x:c>
      <x:c r="AB33" s="82" t="str">
        <x:v>较高</x:v>
      </x:c>
      <x:c r="AC33" s="82" t="str">
        <x:v>现代综合</x:v>
      </x:c>
      <x:c r="AD33" s="68" t="str">
        <x:v>喜忌用神必须同时读取扶抑、格局、通关、调候和病药五个维度。单一维度有利不足以自动成为主用；最终定位取决于是否解决根本问题、是否触犯格局硬约束、药力是否可达以及副作用是否可控。</x:v>
      </x:c>
      <x:c r="AE33" s="68" t="str">
        <x:v>满足“M15食神格成立且食神承担核心功能”，且主要收益大于副作用时，可按“食神格以保护食神并维持生财或制杀功能为用神方向”定位。</x:v>
      </x:c>
      <x:c r="AF33" s="90" t="str">
        <x:v>若“食神格不成立、日主极弱或从儿格另按顺势”成立，则不得按“食神格以保护食神并维持生财或制杀功能为用神方向”无条件定位。</x:v>
      </x:c>
      <x:c r="AG33" s="82" t="str">
        <x:v>采用</x:v>
      </x:c>
      <x:c r="AH33" s="82" t="str">
        <x:v>初审</x:v>
      </x:c>
      <x:c r="AI33" s="87" t="n">
        <x:v>46260</x:v>
      </x:c>
    </x:row>
    <x:row r="34">
      <x:c r="A34" s="72" t="str">
        <x:f>IF(OR(C34="",D34=""),"",B34&amp;"-"&amp;UPPER(C34)&amp;"-"&amp;TEXT(D34,"0000")&amp;"-"&amp;E34)</x:f>
        <x:v>M17-GEJU-0028-V1.0</x:v>
      </x:c>
      <x:c r="B34" s="74" t="str">
        <x:v>M17</x:v>
      </x:c>
      <x:c r="C34" s="74" t="str">
        <x:v>GEJU</x:v>
      </x:c>
      <x:c r="D34" s="215" t="n">
        <x:v>28</x:v>
      </x:c>
      <x:c r="E34" s="74" t="str">
        <x:v>V1.0</x:v>
      </x:c>
      <x:c r="F34" s="68" t="str">
        <x:v>伤官格以生财或配印的稳定路线为格局用神</x:v>
      </x:c>
      <x:c r="G34" s="82" t="str">
        <x:v>综合层</x:v>
      </x:c>
      <x:c r="H34" s="82"/>
      <x:c r="I34" s="82" t="str">
        <x:v>伤官</x:v>
      </x:c>
      <x:c r="J34" s="82" t="str">
        <x:v>格局用神</x:v>
      </x:c>
      <x:c r="K34" s="68" t="str">
        <x:v>泄身，需控制强度</x:v>
      </x:c>
      <x:c r="L34" s="68" t="str">
        <x:v>支持伤官生财或伤官配印</x:v>
      </x:c>
      <x:c r="M34" s="68" t="str">
        <x:v>身→伤官→财，或印→伤官制约</x:v>
      </x:c>
      <x:c r="N34" s="68" t="str">
        <x:v>随相关五行另判</x:v>
      </x:c>
      <x:c r="O34" s="68" t="str">
        <x:v>治疗伤官见官、配印不足或输出无承接</x:v>
      </x:c>
      <x:c r="P34" s="68" t="str">
        <x:v>为伤官提供出口或约束</x:v>
      </x:c>
      <x:c r="Q34" s="90" t="str">
        <x:v>生财会耗身，配印会增身并可能制伤过度</x:v>
      </x:c>
      <x:c r="R34" s="68" t="str">
        <x:v>M15伤官格成立且主路线明确</x:v>
      </x:c>
      <x:c r="S34" s="68" t="str">
        <x:v>伤官格不成立或正官格为更高优先主格</x:v>
      </x:c>
      <x:c r="T34" s="68" t="str">
        <x:v>生财路线与配印路线、副作用竞争</x:v>
      </x:c>
      <x:c r="U34" s="68" t="str">
        <x:v>M18-ROUTE-0052-V1.0</x:v>
      </x:c>
      <x:c r="V34" s="84" t="str">
        <x:v>主用神</x:v>
      </x:c>
      <x:c r="W34" s="82" t="str">
        <x:v>第一顺位</x:v>
      </x:c>
      <x:c r="X34" s="82" t="str">
        <x:v>是</x:v>
      </x:c>
      <x:c r="Y34" s="68" t="str">
        <x:v>选择生财或配印中更符合日主承载的一条路线</x:v>
      </x:c>
      <x:c r="Z34" s="84" t="str">
        <x:v>伤官格路线用神</x:v>
      </x:c>
      <x:c r="AA34" s="84" t="str">
        <x:v>该候选五行综合定位为“主用神”，优先级为“第一顺位”。主要收益：为伤官提供出口或约束；主要副作用：生财会耗身，配印会增身并可能制伤过度；仅在选择生财或配印中更符合日主承载的一条路线时成立。</x:v>
      </x:c>
      <x:c r="AB34" s="82" t="str">
        <x:v>较高</x:v>
      </x:c>
      <x:c r="AC34" s="82" t="str">
        <x:v>现代综合</x:v>
      </x:c>
      <x:c r="AD34" s="68" t="str">
        <x:v>喜忌用神必须同时读取扶抑、格局、通关、调候和病药五个维度。单一维度有利不足以自动成为主用；最终定位取决于是否解决根本问题、是否触犯格局硬约束、药力是否可达以及副作用是否可控。</x:v>
      </x:c>
      <x:c r="AE34" s="68" t="str">
        <x:v>满足“M15伤官格成立且主路线明确”，且主要收益大于副作用时，可按“伤官格以生财或配印的稳定路线为格局用神”定位。</x:v>
      </x:c>
      <x:c r="AF34" s="90" t="str">
        <x:v>若“伤官格不成立或正官格为更高优先主格”成立，则不得按“伤官格以生财或配印的稳定路线为格局用神”无条件定位。</x:v>
      </x:c>
      <x:c r="AG34" s="82" t="str">
        <x:v>采用</x:v>
      </x:c>
      <x:c r="AH34" s="82" t="str">
        <x:v>初审</x:v>
      </x:c>
      <x:c r="AI34" s="87" t="n">
        <x:v>46260</x:v>
      </x:c>
    </x:row>
    <x:row r="35">
      <x:c r="A35" s="72" t="str">
        <x:f>IF(OR(C35="",D35=""),"",B35&amp;"-"&amp;UPPER(C35)&amp;"-"&amp;TEXT(D35,"0000")&amp;"-"&amp;E35)</x:f>
        <x:v>M17-GEJU-0029-V1.0</x:v>
      </x:c>
      <x:c r="B35" s="74" t="str">
        <x:v>M17</x:v>
      </x:c>
      <x:c r="C35" s="74" t="str">
        <x:v>GEJU</x:v>
      </x:c>
      <x:c r="D35" s="215" t="n">
        <x:v>29</x:v>
      </x:c>
      <x:c r="E35" s="74" t="str">
        <x:v>V1.0</x:v>
      </x:c>
      <x:c r="F35" s="68" t="str">
        <x:v>建禄格以建立制泄耗出口为格局用神方向</x:v>
      </x:c>
      <x:c r="G35" s="82" t="str">
        <x:v>综合层</x:v>
      </x:c>
      <x:c r="H35" s="82"/>
      <x:c r="I35" s="82"/>
      <x:c r="J35" s="82" t="str">
        <x:v>格局用神</x:v>
      </x:c>
      <x:c r="K35" s="68" t="str">
        <x:v>通常不再增加印比</x:v>
      </x:c>
      <x:c r="L35" s="68" t="str">
        <x:v>以财官食伤疏导建禄强身</x:v>
      </x:c>
      <x:c r="M35" s="68" t="str">
        <x:v>身→食伤→财或官杀制比</x:v>
      </x:c>
      <x:c r="N35" s="68" t="str">
        <x:v>随候选五行另判</x:v>
      </x:c>
      <x:c r="O35" s="68" t="str">
        <x:v>治疗比劫壅塞、源头过旺无泄</x:v>
      </x:c>
      <x:c r="P35" s="68" t="str">
        <x:v>让强身有出口或制衡</x:v>
      </x:c>
      <x:c r="Q35" s="90" t="str">
        <x:v>制泄过度会由旺转弱，财官食伤各有格局风险</x:v>
      </x:c>
      <x:c r="R35" s="68" t="str">
        <x:v>M15建禄格成立且非从旺/专旺</x:v>
      </x:c>
      <x:c r="S35" s="68" t="str">
        <x:v>日主并不旺或特殊格局严格成立</x:v>
      </x:c>
      <x:c r="T35" s="68" t="str">
        <x:v>泄、制、耗三路线选择</x:v>
      </x:c>
      <x:c r="U35" s="68" t="str">
        <x:v>M18-ROUTE-0053-V1.0</x:v>
      </x:c>
      <x:c r="V35" s="84" t="str">
        <x:v>主用神</x:v>
      </x:c>
      <x:c r="W35" s="82" t="str">
        <x:v>第一顺位</x:v>
      </x:c>
      <x:c r="X35" s="82" t="str">
        <x:v>是</x:v>
      </x:c>
      <x:c r="Y35" s="68" t="str">
        <x:v>按主路径选择食伤、官杀或财星之一为主</x:v>
      </x:c>
      <x:c r="Z35" s="84" t="str">
        <x:v>建禄格出口用神</x:v>
      </x:c>
      <x:c r="AA35" s="84" t="str">
        <x:v>该候选五行综合定位为“主用神”，优先级为“第一顺位”。主要收益：让强身有出口或制衡；主要副作用：制泄过度会由旺转弱，财官食伤各有格局风险；仅在按主路径选择食伤、官杀或财星之一为主时成立。</x:v>
      </x:c>
      <x:c r="AB35" s="82" t="str">
        <x:v>较高</x:v>
      </x:c>
      <x:c r="AC35" s="82" t="str">
        <x:v>现代综合</x:v>
      </x:c>
      <x:c r="AD35" s="68" t="str">
        <x:v>喜忌用神必须同时读取扶抑、格局、通关、调候和病药五个维度。单一维度有利不足以自动成为主用；最终定位取决于是否解决根本问题、是否触犯格局硬约束、药力是否可达以及副作用是否可控。</x:v>
      </x:c>
      <x:c r="AE35" s="68" t="str">
        <x:v>满足“M15建禄格成立且非从旺/专旺”，且主要收益大于副作用时，可按“建禄格以建立制泄耗出口为格局用神方向”定位。</x:v>
      </x:c>
      <x:c r="AF35" s="90" t="str">
        <x:v>若“日主并不旺或特殊格局严格成立”成立，则不得按“建禄格以建立制泄耗出口为格局用神方向”无条件定位。</x:v>
      </x:c>
      <x:c r="AG35" s="82" t="str">
        <x:v>采用</x:v>
      </x:c>
      <x:c r="AH35" s="82" t="str">
        <x:v>初审</x:v>
      </x:c>
      <x:c r="AI35" s="87" t="n">
        <x:v>46260</x:v>
      </x:c>
    </x:row>
    <x:row r="36">
      <x:c r="A36" s="72" t="str">
        <x:f>IF(OR(C36="",D36=""),"",B36&amp;"-"&amp;UPPER(C36)&amp;"-"&amp;TEXT(D36,"0000")&amp;"-"&amp;E36)</x:f>
        <x:v>M17-GEJU-0030-V1.0</x:v>
      </x:c>
      <x:c r="B36" s="74" t="str">
        <x:v>M17</x:v>
      </x:c>
      <x:c r="C36" s="74" t="str">
        <x:v>GEJU</x:v>
      </x:c>
      <x:c r="D36" s="215" t="n">
        <x:v>30</x:v>
      </x:c>
      <x:c r="E36" s="74" t="str">
        <x:v>V1.0</x:v>
      </x:c>
      <x:c r="F36" s="68" t="str">
        <x:v>羊刃格以有效制刃或泄刃为格局用神方向</x:v>
      </x:c>
      <x:c r="G36" s="82" t="str">
        <x:v>综合层</x:v>
      </x:c>
      <x:c r="H36" s="82"/>
      <x:c r="I36" s="82" t="str">
        <x:v>七杀</x:v>
      </x:c>
      <x:c r="J36" s="82" t="str">
        <x:v>格局用神</x:v>
      </x:c>
      <x:c r="K36" s="68" t="str">
        <x:v>官杀制刃或食伤泄刃</x:v>
      </x:c>
      <x:c r="L36" s="68" t="str">
        <x:v>维护羊刃驾杀或强身制衡</x:v>
      </x:c>
      <x:c r="M36" s="68" t="str">
        <x:v>官杀→刃制约或身→食伤泄出</x:v>
      </x:c>
      <x:c r="N36" s="68" t="str">
        <x:v>随候选五行另判</x:v>
      </x:c>
      <x:c r="O36" s="68" t="str">
        <x:v>治疗羊刃无制或比劫极旺</x:v>
      </x:c>
      <x:c r="P36" s="68" t="str">
        <x:v>约束强刃并保持格局运行</x:v>
      </x:c>
      <x:c r="Q36" s="90" t="str">
        <x:v>制刃太过会压身，泄刃太过会伤承载</x:v>
      </x:c>
      <x:c r="R36" s="68" t="str">
        <x:v>M15羊刃格成立且非从旺</x:v>
      </x:c>
      <x:c r="S36" s="68" t="str">
        <x:v>杀弱无根、日主承载不足或从旺/专旺严格成立</x:v>
      </x:c>
      <x:c r="T36" s="68" t="str">
        <x:v>驾杀与泄刃路线冲突</x:v>
      </x:c>
      <x:c r="U36" s="68" t="str">
        <x:v>M18-ROUTE-0054-V1.0</x:v>
      </x:c>
      <x:c r="V36" s="84" t="str">
        <x:v>主用神</x:v>
      </x:c>
      <x:c r="W36" s="82" t="str">
        <x:v>第一顺位</x:v>
      </x:c>
      <x:c r="X36" s="82" t="str">
        <x:v>是</x:v>
      </x:c>
      <x:c r="Y36" s="68" t="str">
        <x:v>制刃或泄刃比例适中</x:v>
      </x:c>
      <x:c r="Z36" s="84" t="str">
        <x:v>羊刃格制泄用神</x:v>
      </x:c>
      <x:c r="AA36" s="84" t="str">
        <x:v>该候选五行综合定位为“主用神”，优先级为“第一顺位”。主要收益：约束强刃并保持格局运行；主要副作用：制刃太过会压身，泄刃太过会伤承载；仅在制刃或泄刃比例适中时成立。</x:v>
      </x:c>
      <x:c r="AB36" s="82" t="str">
        <x:v>较高</x:v>
      </x:c>
      <x:c r="AC36" s="82" t="str">
        <x:v>现代综合</x:v>
      </x:c>
      <x:c r="AD36" s="68" t="str">
        <x:v>喜忌用神必须同时读取扶抑、格局、通关、调候和病药五个维度。单一维度有利不足以自动成为主用；最终定位取决于是否解决根本问题、是否触犯格局硬约束、药力是否可达以及副作用是否可控。</x:v>
      </x:c>
      <x:c r="AE36" s="68" t="str">
        <x:v>满足“M15羊刃格成立且非从旺”，且主要收益大于副作用时，可按“羊刃格以有效制刃或泄刃为格局用神方向”定位。</x:v>
      </x:c>
      <x:c r="AF36" s="90" t="str">
        <x:v>若“杀弱无根、日主承载不足或从旺/专旺严格成立”成立，则不得按“羊刃格以有效制刃或泄刃为格局用神方向”无条件定位。</x:v>
      </x:c>
      <x:c r="AG36" s="82" t="str">
        <x:v>采用</x:v>
      </x:c>
      <x:c r="AH36" s="82" t="str">
        <x:v>初审</x:v>
      </x:c>
      <x:c r="AI36" s="87" t="n">
        <x:v>46260</x:v>
      </x:c>
    </x:row>
    <x:row r="37">
      <x:c r="A37" s="72" t="str">
        <x:f>IF(OR(C37="",D37=""),"",B37&amp;"-"&amp;UPPER(C37)&amp;"-"&amp;TEXT(D37,"0000")&amp;"-"&amp;E37)</x:f>
        <x:v>M17-GEJU-0031-V1.0</x:v>
      </x:c>
      <x:c r="B37" s="74" t="str">
        <x:v>M17</x:v>
      </x:c>
      <x:c r="C37" s="74" t="str">
        <x:v>GEJU</x:v>
      </x:c>
      <x:c r="D37" s="215" t="n">
        <x:v>31</x:v>
      </x:c>
      <x:c r="E37" s="74" t="str">
        <x:v>V1.0</x:v>
      </x:c>
      <x:c r="F37" s="68" t="str">
        <x:v>真从格以顺从主势者为格局用神</x:v>
      </x:c>
      <x:c r="G37" s="82" t="str">
        <x:v>综合层</x:v>
      </x:c>
      <x:c r="H37" s="82"/>
      <x:c r="I37" s="82"/>
      <x:c r="J37" s="82" t="str">
        <x:v>格局用神</x:v>
      </x:c>
      <x:c r="K37" s="68" t="str">
        <x:v>不采用普通扶身逆势</x:v>
      </x:c>
      <x:c r="L37" s="68" t="str">
        <x:v>维护从财、从官杀、从儿、从旺、从强或从势</x:v>
      </x:c>
      <x:c r="M37" s="68" t="str">
        <x:v>顺主势建立连续流通</x:v>
      </x:c>
      <x:c r="N37" s="68" t="str">
        <x:v>只采用不破从的调候方案</x:v>
      </x:c>
      <x:c r="O37" s="68" t="str">
        <x:v>护格而非逆格治普通旺衰</x:v>
      </x:c>
      <x:c r="P37" s="68" t="str">
        <x:v>保持特殊格局严格成立</x:v>
      </x:c>
      <x:c r="Q37" s="90" t="str">
        <x:v>可能保留一般调候或局部流通偏差</x:v>
      </x:c>
      <x:c r="R37" s="68" t="str">
        <x:v>M15真从格严格成立</x:v>
      </x:c>
      <x:c r="S37" s="68" t="str">
        <x:v>假从、强根反从或普通身弱</x:v>
      </x:c>
      <x:c r="T37" s="68" t="str">
        <x:v>从格与普通扶抑冲突</x:v>
      </x:c>
      <x:c r="U37" s="68" t="str">
        <x:v>M18-SPECIAL-0014-V1.0</x:v>
      </x:c>
      <x:c r="V37" s="84" t="str">
        <x:v>主用神</x:v>
      </x:c>
      <x:c r="W37" s="82" t="str">
        <x:v>第一顺位</x:v>
      </x:c>
      <x:c r="X37" s="82" t="str">
        <x:v>否</x:v>
      </x:c>
      <x:c r="Y37" s="68" t="str">
        <x:v>严格顺从已确认主势</x:v>
      </x:c>
      <x:c r="Z37" s="84" t="str">
        <x:v>真从顺势用神</x:v>
      </x:c>
      <x:c r="AA37" s="84" t="str">
        <x:v>该候选五行综合定位为“主用神”，优先级为“第一顺位”。主要收益：保持特殊格局严格成立；主要副作用：可能保留一般调候或局部流通偏差；严格顺从已确认主势。</x:v>
      </x:c>
      <x:c r="AB37" s="82" t="str">
        <x:v>较高</x:v>
      </x:c>
      <x:c r="AC37" s="82" t="str">
        <x:v>现代综合</x:v>
      </x:c>
      <x:c r="AD37" s="68" t="str">
        <x:v>喜忌用神必须同时读取扶抑、格局、通关、调候和病药五个维度。单一维度有利不足以自动成为主用；最终定位取决于是否解决根本问题、是否触犯格局硬约束、药力是否可达以及副作用是否可控。</x:v>
      </x:c>
      <x:c r="AE37" s="68" t="str">
        <x:v>满足“M15真从格严格成立”，且主要收益大于副作用时，可按“真从格以顺从主势者为格局用神”定位。</x:v>
      </x:c>
      <x:c r="AF37" s="90" t="str">
        <x:v>若“假从、强根反从或普通身弱”成立，则不得按“真从格以顺从主势者为格局用神”无条件定位。</x:v>
      </x:c>
      <x:c r="AG37" s="82" t="str">
        <x:v>采用</x:v>
      </x:c>
      <x:c r="AH37" s="82" t="str">
        <x:v>初审</x:v>
      </x:c>
      <x:c r="AI37" s="87" t="n">
        <x:v>46260</x:v>
      </x:c>
    </x:row>
    <x:row r="38">
      <x:c r="A38" s="72" t="str">
        <x:f>IF(OR(C38="",D38=""),"",B38&amp;"-"&amp;UPPER(C38)&amp;"-"&amp;TEXT(D38,"0000")&amp;"-"&amp;E38)</x:f>
        <x:v>M17-GEJU-0032-V1.0</x:v>
      </x:c>
      <x:c r="B38" s="74" t="str">
        <x:v>M17</x:v>
      </x:c>
      <x:c r="C38" s="74" t="str">
        <x:v>GEJU</x:v>
      </x:c>
      <x:c r="D38" s="215" t="n">
        <x:v>32</x:v>
      </x:c>
      <x:c r="E38" s="74" t="str">
        <x:v>V1.0</x:v>
      </x:c>
      <x:c r="F38" s="68" t="str">
        <x:v>真化格以生扶化神和清除破化因素为用神方向</x:v>
      </x:c>
      <x:c r="G38" s="82" t="str">
        <x:v>综合层</x:v>
      </x:c>
      <x:c r="H38" s="82"/>
      <x:c r="I38" s="82"/>
      <x:c r="J38" s="82" t="str">
        <x:v>格局用神</x:v>
      </x:c>
      <x:c r="K38" s="68" t="str">
        <x:v>按化神重映射日主与十神</x:v>
      </x:c>
      <x:c r="L38" s="68" t="str">
        <x:v>维护化神主导与全局顺化</x:v>
      </x:c>
      <x:c r="M38" s="68" t="str">
        <x:v>所有主路径围绕化神重建</x:v>
      </x:c>
      <x:c r="N38" s="68" t="str">
        <x:v>调候不得重伤化神</x:v>
      </x:c>
      <x:c r="O38" s="68" t="str">
        <x:v>治疗化神受损、争合或逆神破化</x:v>
      </x:c>
      <x:c r="P38" s="68" t="str">
        <x:v>保护真化成立</x:v>
      </x:c>
      <x:c r="Q38" s="90" t="str">
        <x:v>若原气仍自立，强扶化神会加剧双重结构冲突</x:v>
      </x:c>
      <x:c r="R38" s="68" t="str">
        <x:v>M15化气格严格成立</x:v>
      </x:c>
      <x:c r="S38" s="68" t="str">
        <x:v>假化、合而不化或原气强根存在</x:v>
      </x:c>
      <x:c r="T38" s="68" t="str">
        <x:v>化格与原气/调候冲突</x:v>
      </x:c>
      <x:c r="U38" s="68" t="str">
        <x:v>M18-SPECIAL-0015-V1.0</x:v>
      </x:c>
      <x:c r="V38" s="84" t="str">
        <x:v>主用神</x:v>
      </x:c>
      <x:c r="W38" s="82" t="str">
        <x:v>第一顺位</x:v>
      </x:c>
      <x:c r="X38" s="82" t="str">
        <x:v>否</x:v>
      </x:c>
      <x:c r="Y38" s="68" t="str">
        <x:v>仅限真化严格成立</x:v>
      </x:c>
      <x:c r="Z38" s="84" t="str">
        <x:v>真化护化神用神</x:v>
      </x:c>
      <x:c r="AA38" s="84" t="str">
        <x:v>该候选五行综合定位为“主用神”，优先级为“第一顺位”。主要收益：保护真化成立；主要副作用：若原气仍自立，强扶化神会加剧双重结构冲突；仅限真化严格成立。</x:v>
      </x:c>
      <x:c r="AB38" s="82" t="str">
        <x:v>较高</x:v>
      </x:c>
      <x:c r="AC38" s="82" t="str">
        <x:v>现代综合</x:v>
      </x:c>
      <x:c r="AD38" s="68" t="str">
        <x:v>喜忌用神必须同时读取扶抑、格局、通关、调候和病药五个维度。单一维度有利不足以自动成为主用；最终定位取决于是否解决根本问题、是否触犯格局硬约束、药力是否可达以及副作用是否可控。</x:v>
      </x:c>
      <x:c r="AE38" s="68" t="str">
        <x:v>满足“M15化气格严格成立”，且主要收益大于副作用时，可按“真化格以生扶化神和清除破化因素为用神方向”定位。</x:v>
      </x:c>
      <x:c r="AF38" s="90" t="str">
        <x:v>若“假化、合而不化或原气强根存在”成立，则不得按“真化格以生扶化神和清除破化因素为用神方向”无条件定位。</x:v>
      </x:c>
      <x:c r="AG38" s="82" t="str">
        <x:v>采用</x:v>
      </x:c>
      <x:c r="AH38" s="82" t="str">
        <x:v>初审</x:v>
      </x:c>
      <x:c r="AI38" s="87" t="n">
        <x:v>46260</x:v>
      </x:c>
    </x:row>
    <x:row r="39">
      <x:c r="A39" s="72" t="str">
        <x:f>IF(OR(C39="",D39=""),"",B39&amp;"-"&amp;UPPER(C39)&amp;"-"&amp;TEXT(D39,"0000")&amp;"-"&amp;E39)</x:f>
        <x:v>M17-GEJU-0033-V1.0</x:v>
      </x:c>
      <x:c r="B39" s="74" t="str">
        <x:v>M17</x:v>
      </x:c>
      <x:c r="C39" s="74" t="str">
        <x:v>GEJU</x:v>
      </x:c>
      <x:c r="D39" s="215" t="n">
        <x:v>33</x:v>
      </x:c>
      <x:c r="E39" s="74" t="str">
        <x:v>V1.0</x:v>
      </x:c>
      <x:c r="F39" s="68" t="str">
        <x:v>专旺格以顺一气并防有效逆神为用神方向</x:v>
      </x:c>
      <x:c r="G39" s="82" t="str">
        <x:v>综合层</x:v>
      </x:c>
      <x:c r="H39" s="82"/>
      <x:c r="I39" s="82"/>
      <x:c r="J39" s="82" t="str">
        <x:v>格局用神</x:v>
      </x:c>
      <x:c r="K39" s="68" t="str">
        <x:v>不按普通平衡强克主气</x:v>
      </x:c>
      <x:c r="L39" s="68" t="str">
        <x:v>维护曲直、炎上、稼穑、从革或润下</x:v>
      </x:c>
      <x:c r="M39" s="68" t="str">
        <x:v>顺主气生化或合理泄秀</x:v>
      </x:c>
      <x:c r="N39" s="68" t="str">
        <x:v>调候须避免根本破专</x:v>
      </x:c>
      <x:c r="O39" s="68" t="str">
        <x:v>治疗逆神破专或关键杂气</x:v>
      </x:c>
      <x:c r="P39" s="68" t="str">
        <x:v>维持一气成象</x:v>
      </x:c>
      <x:c r="Q39" s="90" t="str">
        <x:v>顺势过度可能加剧极端调候或终点壅塞</x:v>
      </x:c>
      <x:c r="R39" s="68" t="str">
        <x:v>M15专旺格严格成立</x:v>
      </x:c>
      <x:c r="S39" s="68" t="str">
        <x:v>专旺仅候选、逆神有效成势或普通身旺</x:v>
      </x:c>
      <x:c r="T39" s="68" t="str">
        <x:v>专旺与普通扶抑/调候冲突</x:v>
      </x:c>
      <x:c r="U39" s="68" t="str">
        <x:v>M18-SPECIAL-0016-V1.0</x:v>
      </x:c>
      <x:c r="V39" s="84" t="str">
        <x:v>主用神</x:v>
      </x:c>
      <x:c r="W39" s="82" t="str">
        <x:v>第一顺位</x:v>
      </x:c>
      <x:c r="X39" s="82" t="str">
        <x:v>否</x:v>
      </x:c>
      <x:c r="Y39" s="68" t="str">
        <x:v>以不破一气主势为硬条件</x:v>
      </x:c>
      <x:c r="Z39" s="84" t="str">
        <x:v>专旺顺势用神</x:v>
      </x:c>
      <x:c r="AA39" s="84" t="str">
        <x:v>该候选五行综合定位为“主用神”，优先级为“第一顺位”。主要收益：维持一气成象；主要副作用：顺势过度可能加剧极端调候或终点壅塞；以不破一气主势为硬条件。</x:v>
      </x:c>
      <x:c r="AB39" s="82" t="str">
        <x:v>较高</x:v>
      </x:c>
      <x:c r="AC39" s="82" t="str">
        <x:v>现代综合</x:v>
      </x:c>
      <x:c r="AD39" s="68" t="str">
        <x:v>喜忌用神必须同时读取扶抑、格局、通关、调候和病药五个维度。单一维度有利不足以自动成为主用；最终定位取决于是否解决根本问题、是否触犯格局硬约束、药力是否可达以及副作用是否可控。</x:v>
      </x:c>
      <x:c r="AE39" s="68" t="str">
        <x:v>满足“M15专旺格严格成立”，且主要收益大于副作用时，可按“专旺格以顺一气并防有效逆神为用神方向”定位。</x:v>
      </x:c>
      <x:c r="AF39" s="90" t="str">
        <x:v>若“专旺仅候选、逆神有效成势或普通身旺”成立，则不得按“专旺格以顺一气并防有效逆神为用神方向”无条件定位。</x:v>
      </x:c>
      <x:c r="AG39" s="82" t="str">
        <x:v>采用</x:v>
      </x:c>
      <x:c r="AH39" s="82" t="str">
        <x:v>初审</x:v>
      </x:c>
      <x:c r="AI39" s="87" t="n">
        <x:v>46260</x:v>
      </x:c>
    </x:row>
    <x:row r="40">
      <x:c r="A40" s="72" t="str">
        <x:f>IF(OR(C40="",D40=""),"",B40&amp;"-"&amp;UPPER(C40)&amp;"-"&amp;TEXT(D40,"0000")&amp;"-"&amp;E40)</x:f>
        <x:v>M17-GEJU-0034-V1.0</x:v>
      </x:c>
      <x:c r="B40" s="74" t="str">
        <x:v>M17</x:v>
      </x:c>
      <x:c r="C40" s="74" t="str">
        <x:v>GEJU</x:v>
      </x:c>
      <x:c r="D40" s="215" t="n">
        <x:v>34</x:v>
      </x:c>
      <x:c r="E40" s="74" t="str">
        <x:v>V1.0</x:v>
      </x:c>
      <x:c r="F40" s="68" t="str">
        <x:v>有破有救格局中的救应五行通常列辅助用神</x:v>
      </x:c>
      <x:c r="G40" s="82" t="str">
        <x:v>综合层</x:v>
      </x:c>
      <x:c r="H40" s="82"/>
      <x:c r="I40" s="82"/>
      <x:c r="J40" s="82" t="str">
        <x:v>格局用神</x:v>
      </x:c>
      <x:c r="K40" s="68" t="str">
        <x:v>视救应五行对日主作用而定</x:v>
      </x:c>
      <x:c r="L40" s="68" t="str">
        <x:v>直接修复M15破格因素</x:v>
      </x:c>
      <x:c r="M40" s="68" t="str">
        <x:v>恢复格神或关键组合路径</x:v>
      </x:c>
      <x:c r="N40" s="68" t="str">
        <x:v>另审调候副作用</x:v>
      </x:c>
      <x:c r="O40" s="68" t="str">
        <x:v>对应M16格局病主药或辅助药</x:v>
      </x:c>
      <x:c r="P40" s="68" t="str">
        <x:v>恢复格局主要功能</x:v>
      </x:c>
      <x:c r="Q40" s="90" t="str">
        <x:v>救应可能过度、伤害另一维度或只局部有效</x:v>
      </x:c>
      <x:c r="R40" s="68" t="str">
        <x:v>M15格局有破有救，救应至少部分有效</x:v>
      </x:c>
      <x:c r="S40" s="68" t="str">
        <x:v>救应无实际路径、药力不足或副作用大于修复收益</x:v>
      </x:c>
      <x:c r="T40" s="68" t="str">
        <x:v>救格收益与药过/其他维度冲突</x:v>
      </x:c>
      <x:c r="U40" s="68" t="str">
        <x:v>M18-PATTERN-0019-V1.0</x:v>
      </x:c>
      <x:c r="V40" s="84" t="str">
        <x:v>辅助用神</x:v>
      </x:c>
      <x:c r="W40" s="82" t="str">
        <x:v>第二顺位</x:v>
      </x:c>
      <x:c r="X40" s="82" t="str">
        <x:v>条件性</x:v>
      </x:c>
      <x:c r="Y40" s="68" t="str">
        <x:v>救应直接、有效且不过量</x:v>
      </x:c>
      <x:c r="Z40" s="84" t="str">
        <x:v>救格辅助用神</x:v>
      </x:c>
      <x:c r="AA40" s="84" t="str">
        <x:v>该候选五行综合定位为“辅助用神”，优先级为“第二顺位”。主要收益：恢复格局主要功能；主要副作用：救应可能过度、伤害另一维度或只局部有效；仅在救应直接、有效且不过量时成立。</x:v>
      </x:c>
      <x:c r="AB40" s="82" t="str">
        <x:v>较高</x:v>
      </x:c>
      <x:c r="AC40" s="82" t="str">
        <x:v>现代综合</x:v>
      </x:c>
      <x:c r="AD40" s="68" t="str">
        <x:v>喜忌用神必须同时读取扶抑、格局、通关、调候和病药五个维度。单一维度有利不足以自动成为主用；最终定位取决于是否解决根本问题、是否触犯格局硬约束、药力是否可达以及副作用是否可控。</x:v>
      </x:c>
      <x:c r="AE40" s="68" t="str">
        <x:v>满足“M15格局有破有救，救应至少部分有效”，且主要收益大于副作用时，可按“有破有救格局中的救应五行通常列辅助用神”定位。</x:v>
      </x:c>
      <x:c r="AF40" s="90" t="str">
        <x:v>若“救应无实际路径、药力不足或副作用大于修复收益”成立，则不得按“有破有救格局中的救应五行通常列辅助用神”无条件定位。</x:v>
      </x:c>
      <x:c r="AG40" s="82" t="str">
        <x:v>采用</x:v>
      </x:c>
      <x:c r="AH40" s="82" t="str">
        <x:v>初审</x:v>
      </x:c>
      <x:c r="AI40" s="87" t="n">
        <x:v>46260</x:v>
      </x:c>
    </x:row>
    <x:row r="41">
      <x:c r="A41" s="72" t="str">
        <x:f>IF(OR(C41="",D41=""),"",B41&amp;"-"&amp;UPPER(C41)&amp;"-"&amp;TEXT(D41,"0000")&amp;"-"&amp;E41)</x:f>
        <x:v>M17-TONGGUAN-0035-V1.0</x:v>
      </x:c>
      <x:c r="B41" s="74" t="str">
        <x:v>M17</x:v>
      </x:c>
      <x:c r="C41" s="74" t="str">
        <x:v>TONGGUAN</x:v>
      </x:c>
      <x:c r="D41" s="215" t="n">
        <x:v>35</x:v>
      </x:c>
      <x:c r="E41" s="74" t="str">
        <x:v>V1.0</x:v>
      </x:c>
      <x:c r="F41" s="68" t="str">
        <x:v>金木相战以水通关</x:v>
      </x:c>
      <x:c r="G41" s="82" t="str">
        <x:v>综合层</x:v>
      </x:c>
      <x:c r="H41" s="82" t="str">
        <x:v>水</x:v>
      </x:c>
      <x:c r="I41" s="82"/>
      <x:c r="J41" s="82" t="str">
        <x:v>通关用神</x:v>
      </x:c>
      <x:c r="K41" s="68" t="str">
        <x:v>视该五行与日主十神关系另判</x:v>
      </x:c>
      <x:c r="L41" s="68" t="str">
        <x:v>不得破坏核心格神</x:v>
      </x:c>
      <x:c r="M41" s="68" t="str">
        <x:v>同时泄金、生木</x:v>
      </x:c>
      <x:c r="N41" s="68" t="str">
        <x:v>需检查水对寒暖燥湿的修正</x:v>
      </x:c>
      <x:c r="O41" s="68" t="str">
        <x:v>治疗两强相战流通病</x:v>
      </x:c>
      <x:c r="P41" s="68" t="str">
        <x:v>泄金并生木，缓解金木两强相战</x:v>
      </x:c>
      <x:c r="Q41" s="90" t="str">
        <x:v>水过强可能寒湿、灭火或使土水冲突加重</x:v>
      </x:c>
      <x:c r="R41" s="68" t="str">
        <x:v>M12确认金与木均有力且无有效桥梁</x:v>
      </x:c>
      <x:c r="S41" s="68" t="str">
        <x:v>金木并未形成主矛盾，或水无根无源、受强制</x:v>
      </x:c>
      <x:c r="T41" s="68" t="str">
        <x:v>通关与扶抑/格局/调候冲突</x:v>
      </x:c>
      <x:c r="U41" s="68" t="str">
        <x:v>M18-FLOW-0035-V1.0</x:v>
      </x:c>
      <x:c r="V41" s="84" t="str">
        <x:v>条件性喜神</x:v>
      </x:c>
      <x:c r="W41" s="82" t="str">
        <x:v>条件顺位</x:v>
      </x:c>
      <x:c r="X41" s="82" t="str">
        <x:v>是</x:v>
      </x:c>
      <x:c r="Y41" s="68" t="str">
        <x:v>水有根有源、能同时完成双向通关且副作用可控</x:v>
      </x:c>
      <x:c r="Z41" s="84" t="str">
        <x:v>金木_水通关</x:v>
      </x:c>
      <x:c r="AA41" s="84" t="str">
        <x:v>水综合定位为“条件性喜神”，优先级为“条件顺位”。主要收益：泄金并生木，缓解金木两强相战；主要副作用：水过强可能寒湿、灭火或使土水冲突加重；仅在水有根有源、能同时完成双向通关且副作用可控时成立。</x:v>
      </x:c>
      <x:c r="AB41" s="82" t="str">
        <x:v>较高</x:v>
      </x:c>
      <x:c r="AC41" s="82" t="str">
        <x:v>现代综合</x:v>
      </x:c>
      <x:c r="AD41" s="68" t="str">
        <x:v>喜忌用神必须同时读取扶抑、格局、通关、调候和病药五个维度。单一维度有利不足以自动成为主用；最终定位取决于是否解决根本问题、是否触犯格局硬约束、药力是否可达以及副作用是否可控。</x:v>
      </x:c>
      <x:c r="AE41" s="68" t="str">
        <x:v>满足“M12确认金与木均有力且无有效桥梁”，且主要收益大于副作用时，可按“金木相战以水通关”定位。</x:v>
      </x:c>
      <x:c r="AF41" s="90" t="str">
        <x:v>若“金木并未形成主矛盾，或水无根无源、受强制”成立，则不得按“金木相战以水通关”无条件定位。</x:v>
      </x:c>
      <x:c r="AG41" s="82" t="str">
        <x:v>采用</x:v>
      </x:c>
      <x:c r="AH41" s="82" t="str">
        <x:v>初审</x:v>
      </x:c>
      <x:c r="AI41" s="87" t="n">
        <x:v>46260</x:v>
      </x:c>
    </x:row>
    <x:row r="42">
      <x:c r="A42" s="72" t="str">
        <x:f>IF(OR(C42="",D42=""),"",B42&amp;"-"&amp;UPPER(C42)&amp;"-"&amp;TEXT(D42,"0000")&amp;"-"&amp;E42)</x:f>
        <x:v>M17-TONGGUAN-0036-V1.0</x:v>
      </x:c>
      <x:c r="B42" s="74" t="str">
        <x:v>M17</x:v>
      </x:c>
      <x:c r="C42" s="74" t="str">
        <x:v>TONGGUAN</x:v>
      </x:c>
      <x:c r="D42" s="215" t="n">
        <x:v>36</x:v>
      </x:c>
      <x:c r="E42" s="74" t="str">
        <x:v>V1.0</x:v>
      </x:c>
      <x:c r="F42" s="68" t="str">
        <x:v>木土相战以火通关</x:v>
      </x:c>
      <x:c r="G42" s="82" t="str">
        <x:v>综合层</x:v>
      </x:c>
      <x:c r="H42" s="82" t="str">
        <x:v>火</x:v>
      </x:c>
      <x:c r="I42" s="82"/>
      <x:c r="J42" s="82" t="str">
        <x:v>通关用神</x:v>
      </x:c>
      <x:c r="K42" s="68" t="str">
        <x:v>视该五行与日主十神关系另判</x:v>
      </x:c>
      <x:c r="L42" s="68" t="str">
        <x:v>不得破坏核心格神</x:v>
      </x:c>
      <x:c r="M42" s="68" t="str">
        <x:v>同时泄木、生土</x:v>
      </x:c>
      <x:c r="N42" s="68" t="str">
        <x:v>需检查火对寒暖燥湿的修正</x:v>
      </x:c>
      <x:c r="O42" s="68" t="str">
        <x:v>治疗两强相战流通病</x:v>
      </x:c>
      <x:c r="P42" s="68" t="str">
        <x:v>泄木并生土，缓解木土两强相战</x:v>
      </x:c>
      <x:c r="Q42" s="90" t="str">
        <x:v>火过强可能热燥、耗水或破坏金格</x:v>
      </x:c>
      <x:c r="R42" s="68" t="str">
        <x:v>M12确认木与土均有力且无有效桥梁</x:v>
      </x:c>
      <x:c r="S42" s="68" t="str">
        <x:v>木土并未形成主矛盾，或火无根无源、受强制</x:v>
      </x:c>
      <x:c r="T42" s="68" t="str">
        <x:v>通关与扶抑/格局/调候冲突</x:v>
      </x:c>
      <x:c r="U42" s="68" t="str">
        <x:v>M18-FLOW-0035-V1.0</x:v>
      </x:c>
      <x:c r="V42" s="84" t="str">
        <x:v>条件性喜神</x:v>
      </x:c>
      <x:c r="W42" s="82" t="str">
        <x:v>条件顺位</x:v>
      </x:c>
      <x:c r="X42" s="82" t="str">
        <x:v>是</x:v>
      </x:c>
      <x:c r="Y42" s="68" t="str">
        <x:v>火有根有源、能同时完成双向通关且副作用可控</x:v>
      </x:c>
      <x:c r="Z42" s="84" t="str">
        <x:v>木土_火通关</x:v>
      </x:c>
      <x:c r="AA42" s="84" t="str">
        <x:v>火综合定位为“条件性喜神”，优先级为“条件顺位”。主要收益：泄木并生土，缓解木土两强相战；主要副作用：火过强可能热燥、耗水或破坏金格；仅在火有根有源、能同时完成双向通关且副作用可控时成立。</x:v>
      </x:c>
      <x:c r="AB42" s="82" t="str">
        <x:v>较高</x:v>
      </x:c>
      <x:c r="AC42" s="82" t="str">
        <x:v>现代综合</x:v>
      </x:c>
      <x:c r="AD42" s="68" t="str">
        <x:v>喜忌用神必须同时读取扶抑、格局、通关、调候和病药五个维度。单一维度有利不足以自动成为主用；最终定位取决于是否解决根本问题、是否触犯格局硬约束、药力是否可达以及副作用是否可控。</x:v>
      </x:c>
      <x:c r="AE42" s="68" t="str">
        <x:v>满足“M12确认木与土均有力且无有效桥梁”，且主要收益大于副作用时，可按“木土相战以火通关”定位。</x:v>
      </x:c>
      <x:c r="AF42" s="90" t="str">
        <x:v>若“木土并未形成主矛盾，或火无根无源、受强制”成立，则不得按“木土相战以火通关”无条件定位。</x:v>
      </x:c>
      <x:c r="AG42" s="82" t="str">
        <x:v>采用</x:v>
      </x:c>
      <x:c r="AH42" s="82" t="str">
        <x:v>初审</x:v>
      </x:c>
      <x:c r="AI42" s="87" t="n">
        <x:v>46260</x:v>
      </x:c>
    </x:row>
    <x:row r="43">
      <x:c r="A43" s="72" t="str">
        <x:f>IF(OR(C43="",D43=""),"",B43&amp;"-"&amp;UPPER(C43)&amp;"-"&amp;TEXT(D43,"0000")&amp;"-"&amp;E43)</x:f>
        <x:v>M17-TONGGUAN-0037-V1.0</x:v>
      </x:c>
      <x:c r="B43" s="74" t="str">
        <x:v>M17</x:v>
      </x:c>
      <x:c r="C43" s="74" t="str">
        <x:v>TONGGUAN</x:v>
      </x:c>
      <x:c r="D43" s="215" t="n">
        <x:v>37</x:v>
      </x:c>
      <x:c r="E43" s="74" t="str">
        <x:v>V1.0</x:v>
      </x:c>
      <x:c r="F43" s="68" t="str">
        <x:v>土水相战以金通关</x:v>
      </x:c>
      <x:c r="G43" s="82" t="str">
        <x:v>综合层</x:v>
      </x:c>
      <x:c r="H43" s="82" t="str">
        <x:v>金</x:v>
      </x:c>
      <x:c r="I43" s="82"/>
      <x:c r="J43" s="82" t="str">
        <x:v>通关用神</x:v>
      </x:c>
      <x:c r="K43" s="68" t="str">
        <x:v>视该五行与日主十神关系另判</x:v>
      </x:c>
      <x:c r="L43" s="68" t="str">
        <x:v>不得破坏核心格神</x:v>
      </x:c>
      <x:c r="M43" s="68" t="str">
        <x:v>同时泄土、生水</x:v>
      </x:c>
      <x:c r="N43" s="68" t="str">
        <x:v>需检查金对寒暖燥湿的修正</x:v>
      </x:c>
      <x:c r="O43" s="68" t="str">
        <x:v>治疗两强相战流通病</x:v>
      </x:c>
      <x:c r="P43" s="68" t="str">
        <x:v>泄土并生水，缓解土水两强相战</x:v>
      </x:c>
      <x:c r="Q43" s="90" t="str">
        <x:v>金过强可能克木、助水寒或破坏木格</x:v>
      </x:c>
      <x:c r="R43" s="68" t="str">
        <x:v>M12确认土与水均有力且无有效桥梁</x:v>
      </x:c>
      <x:c r="S43" s="68" t="str">
        <x:v>土水并未形成主矛盾，或金无根无源、受强制</x:v>
      </x:c>
      <x:c r="T43" s="68" t="str">
        <x:v>通关与扶抑/格局/调候冲突</x:v>
      </x:c>
      <x:c r="U43" s="68" t="str">
        <x:v>M18-FLOW-0035-V1.0</x:v>
      </x:c>
      <x:c r="V43" s="84" t="str">
        <x:v>条件性喜神</x:v>
      </x:c>
      <x:c r="W43" s="82" t="str">
        <x:v>条件顺位</x:v>
      </x:c>
      <x:c r="X43" s="82" t="str">
        <x:v>是</x:v>
      </x:c>
      <x:c r="Y43" s="68" t="str">
        <x:v>金有根有源、能同时完成双向通关且副作用可控</x:v>
      </x:c>
      <x:c r="Z43" s="84" t="str">
        <x:v>土水_金通关</x:v>
      </x:c>
      <x:c r="AA43" s="84" t="str">
        <x:v>金综合定位为“条件性喜神”，优先级为“条件顺位”。主要收益：泄土并生水，缓解土水两强相战；主要副作用：金过强可能克木、助水寒或破坏木格；仅在金有根有源、能同时完成双向通关且副作用可控时成立。</x:v>
      </x:c>
      <x:c r="AB43" s="82" t="str">
        <x:v>较高</x:v>
      </x:c>
      <x:c r="AC43" s="82" t="str">
        <x:v>现代综合</x:v>
      </x:c>
      <x:c r="AD43" s="68" t="str">
        <x:v>喜忌用神必须同时读取扶抑、格局、通关、调候和病药五个维度。单一维度有利不足以自动成为主用；最终定位取决于是否解决根本问题、是否触犯格局硬约束、药力是否可达以及副作用是否可控。</x:v>
      </x:c>
      <x:c r="AE43" s="68" t="str">
        <x:v>满足“M12确认土与水均有力且无有效桥梁”，且主要收益大于副作用时，可按“土水相战以金通关”定位。</x:v>
      </x:c>
      <x:c r="AF43" s="90" t="str">
        <x:v>若“土水并未形成主矛盾，或金无根无源、受强制”成立，则不得按“土水相战以金通关”无条件定位。</x:v>
      </x:c>
      <x:c r="AG43" s="82" t="str">
        <x:v>采用</x:v>
      </x:c>
      <x:c r="AH43" s="82" t="str">
        <x:v>初审</x:v>
      </x:c>
      <x:c r="AI43" s="87" t="n">
        <x:v>46260</x:v>
      </x:c>
    </x:row>
    <x:row r="44">
      <x:c r="A44" s="72" t="str">
        <x:f>IF(OR(C44="",D44=""),"",B44&amp;"-"&amp;UPPER(C44)&amp;"-"&amp;TEXT(D44,"0000")&amp;"-"&amp;E44)</x:f>
        <x:v>M17-TONGGUAN-0038-V1.0</x:v>
      </x:c>
      <x:c r="B44" s="74" t="str">
        <x:v>M17</x:v>
      </x:c>
      <x:c r="C44" s="74" t="str">
        <x:v>TONGGUAN</x:v>
      </x:c>
      <x:c r="D44" s="215" t="n">
        <x:v>38</x:v>
      </x:c>
      <x:c r="E44" s="74" t="str">
        <x:v>V1.0</x:v>
      </x:c>
      <x:c r="F44" s="68" t="str">
        <x:v>水火相战以木通关</x:v>
      </x:c>
      <x:c r="G44" s="82" t="str">
        <x:v>综合层</x:v>
      </x:c>
      <x:c r="H44" s="82" t="str">
        <x:v>木</x:v>
      </x:c>
      <x:c r="I44" s="82"/>
      <x:c r="J44" s="82" t="str">
        <x:v>通关用神</x:v>
      </x:c>
      <x:c r="K44" s="68" t="str">
        <x:v>视该五行与日主十神关系另判</x:v>
      </x:c>
      <x:c r="L44" s="68" t="str">
        <x:v>不得破坏核心格神</x:v>
      </x:c>
      <x:c r="M44" s="68" t="str">
        <x:v>同时泄水、生火</x:v>
      </x:c>
      <x:c r="N44" s="68" t="str">
        <x:v>需检查木对寒暖燥湿的修正</x:v>
      </x:c>
      <x:c r="O44" s="68" t="str">
        <x:v>治疗两强相战流通病</x:v>
      </x:c>
      <x:c r="P44" s="68" t="str">
        <x:v>泄水并生火，缓解水火两强相战</x:v>
      </x:c>
      <x:c r="Q44" s="90" t="str">
        <x:v>木过强可能生火过度、克土或加重木旺</x:v>
      </x:c>
      <x:c r="R44" s="68" t="str">
        <x:v>M12确认水与火均有力且无有效桥梁</x:v>
      </x:c>
      <x:c r="S44" s="68" t="str">
        <x:v>水火并未形成主矛盾，或木无根无源、受强制</x:v>
      </x:c>
      <x:c r="T44" s="68" t="str">
        <x:v>通关与扶抑/格局/调候冲突</x:v>
      </x:c>
      <x:c r="U44" s="68" t="str">
        <x:v>M18-FLOW-0035-V1.0</x:v>
      </x:c>
      <x:c r="V44" s="84" t="str">
        <x:v>条件性喜神</x:v>
      </x:c>
      <x:c r="W44" s="82" t="str">
        <x:v>条件顺位</x:v>
      </x:c>
      <x:c r="X44" s="82" t="str">
        <x:v>是</x:v>
      </x:c>
      <x:c r="Y44" s="68" t="str">
        <x:v>木有根有源、能同时完成双向通关且副作用可控</x:v>
      </x:c>
      <x:c r="Z44" s="84" t="str">
        <x:v>水火_木通关</x:v>
      </x:c>
      <x:c r="AA44" s="84" t="str">
        <x:v>木综合定位为“条件性喜神”，优先级为“条件顺位”。主要收益：泄水并生火，缓解水火两强相战；主要副作用：木过强可能生火过度、克土或加重木旺；仅在木有根有源、能同时完成双向通关且副作用可控时成立。</x:v>
      </x:c>
      <x:c r="AB44" s="82" t="str">
        <x:v>较高</x:v>
      </x:c>
      <x:c r="AC44" s="82" t="str">
        <x:v>现代综合</x:v>
      </x:c>
      <x:c r="AD44" s="68" t="str">
        <x:v>喜忌用神必须同时读取扶抑、格局、通关、调候和病药五个维度。单一维度有利不足以自动成为主用；最终定位取决于是否解决根本问题、是否触犯格局硬约束、药力是否可达以及副作用是否可控。</x:v>
      </x:c>
      <x:c r="AE44" s="68" t="str">
        <x:v>满足“M12确认水与火均有力且无有效桥梁”，且主要收益大于副作用时，可按“水火相战以木通关”定位。</x:v>
      </x:c>
      <x:c r="AF44" s="90" t="str">
        <x:v>若“水火并未形成主矛盾，或木无根无源、受强制”成立，则不得按“水火相战以木通关”无条件定位。</x:v>
      </x:c>
      <x:c r="AG44" s="82" t="str">
        <x:v>采用</x:v>
      </x:c>
      <x:c r="AH44" s="82" t="str">
        <x:v>初审</x:v>
      </x:c>
      <x:c r="AI44" s="87" t="n">
        <x:v>46260</x:v>
      </x:c>
    </x:row>
    <x:row r="45">
      <x:c r="A45" s="72" t="str">
        <x:f>IF(OR(C45="",D45=""),"",B45&amp;"-"&amp;UPPER(C45)&amp;"-"&amp;TEXT(D45,"0000")&amp;"-"&amp;E45)</x:f>
        <x:v>M17-TONGGUAN-0039-V1.0</x:v>
      </x:c>
      <x:c r="B45" s="74" t="str">
        <x:v>M17</x:v>
      </x:c>
      <x:c r="C45" s="74" t="str">
        <x:v>TONGGUAN</x:v>
      </x:c>
      <x:c r="D45" s="215" t="n">
        <x:v>39</x:v>
      </x:c>
      <x:c r="E45" s="74" t="str">
        <x:v>V1.0</x:v>
      </x:c>
      <x:c r="F45" s="68" t="str">
        <x:v>火金相战以土通关</x:v>
      </x:c>
      <x:c r="G45" s="82" t="str">
        <x:v>综合层</x:v>
      </x:c>
      <x:c r="H45" s="82" t="str">
        <x:v>土</x:v>
      </x:c>
      <x:c r="I45" s="82"/>
      <x:c r="J45" s="82" t="str">
        <x:v>通关用神</x:v>
      </x:c>
      <x:c r="K45" s="68" t="str">
        <x:v>视该五行与日主十神关系另判</x:v>
      </x:c>
      <x:c r="L45" s="68" t="str">
        <x:v>不得破坏核心格神</x:v>
      </x:c>
      <x:c r="M45" s="68" t="str">
        <x:v>同时泄火、生金</x:v>
      </x:c>
      <x:c r="N45" s="68" t="str">
        <x:v>需检查土对寒暖燥湿的修正</x:v>
      </x:c>
      <x:c r="O45" s="68" t="str">
        <x:v>治疗两强相战流通病</x:v>
      </x:c>
      <x:c r="P45" s="68" t="str">
        <x:v>泄火并生金，缓解火金两强相战</x:v>
      </x:c>
      <x:c r="Q45" s="90" t="str">
        <x:v>土过强可能晦火、克水或形成湿燥土壅塞</x:v>
      </x:c>
      <x:c r="R45" s="68" t="str">
        <x:v>M12确认火与金均有力且无有效桥梁</x:v>
      </x:c>
      <x:c r="S45" s="68" t="str">
        <x:v>火金并未形成主矛盾，或土无根无源、受强制</x:v>
      </x:c>
      <x:c r="T45" s="68" t="str">
        <x:v>通关与扶抑/格局/调候冲突</x:v>
      </x:c>
      <x:c r="U45" s="68" t="str">
        <x:v>M18-FLOW-0035-V1.0</x:v>
      </x:c>
      <x:c r="V45" s="84" t="str">
        <x:v>条件性喜神</x:v>
      </x:c>
      <x:c r="W45" s="82" t="str">
        <x:v>条件顺位</x:v>
      </x:c>
      <x:c r="X45" s="82" t="str">
        <x:v>是</x:v>
      </x:c>
      <x:c r="Y45" s="68" t="str">
        <x:v>土有根有源、能同时完成双向通关且副作用可控</x:v>
      </x:c>
      <x:c r="Z45" s="84" t="str">
        <x:v>火金_土通关</x:v>
      </x:c>
      <x:c r="AA45" s="84" t="str">
        <x:v>土综合定位为“条件性喜神”，优先级为“条件顺位”。主要收益：泄火并生金，缓解火金两强相战；主要副作用：土过强可能晦火、克水或形成湿燥土壅塞；仅在土有根有源、能同时完成双向通关且副作用可控时成立。</x:v>
      </x:c>
      <x:c r="AB45" s="82" t="str">
        <x:v>较高</x:v>
      </x:c>
      <x:c r="AC45" s="82" t="str">
        <x:v>现代综合</x:v>
      </x:c>
      <x:c r="AD45" s="68" t="str">
        <x:v>喜忌用神必须同时读取扶抑、格局、通关、调候和病药五个维度。单一维度有利不足以自动成为主用；最终定位取决于是否解决根本问题、是否触犯格局硬约束、药力是否可达以及副作用是否可控。</x:v>
      </x:c>
      <x:c r="AE45" s="68" t="str">
        <x:v>满足“M12确认火与金均有力且无有效桥梁”，且主要收益大于副作用时，可按“火金相战以土通关”定位。</x:v>
      </x:c>
      <x:c r="AF45" s="90" t="str">
        <x:v>若“火金并未形成主矛盾，或土无根无源、受强制”成立，则不得按“火金相战以土通关”无条件定位。</x:v>
      </x:c>
      <x:c r="AG45" s="82" t="str">
        <x:v>采用</x:v>
      </x:c>
      <x:c r="AH45" s="82" t="str">
        <x:v>初审</x:v>
      </x:c>
      <x:c r="AI45" s="87" t="n">
        <x:v>46260</x:v>
      </x:c>
    </x:row>
    <x:row r="46">
      <x:c r="A46" s="72" t="str">
        <x:f>IF(OR(C46="",D46=""),"",B46&amp;"-"&amp;UPPER(C46)&amp;"-"&amp;TEXT(D46,"0000")&amp;"-"&amp;E46)</x:f>
        <x:v>M17-TONGGUAN-0040-V1.0</x:v>
      </x:c>
      <x:c r="B46" s="74" t="str">
        <x:v>M17</x:v>
      </x:c>
      <x:c r="C46" s="74" t="str">
        <x:v>TONGGUAN</x:v>
      </x:c>
      <x:c r="D46" s="215" t="n">
        <x:v>40</x:v>
      </x:c>
      <x:c r="E46" s="74" t="str">
        <x:v>V1.0</x:v>
      </x:c>
      <x:c r="F46" s="68" t="str">
        <x:v>通关五行有根有源且兼治主病时可升级</x:v>
      </x:c>
      <x:c r="G46" s="82" t="str">
        <x:v>综合层</x:v>
      </x:c>
      <x:c r="H46" s="82"/>
      <x:c r="I46" s="82"/>
      <x:c r="J46" s="82" t="str">
        <x:v>复合来源</x:v>
      </x:c>
      <x:c r="K46" s="68" t="str">
        <x:v>不明显伤害日主承载</x:v>
      </x:c>
      <x:c r="L46" s="68" t="str">
        <x:v>不破核心格局</x:v>
      </x:c>
      <x:c r="M46" s="68" t="str">
        <x:v>直接修复主卡点</x:v>
      </x:c>
      <x:c r="N46" s="68" t="str">
        <x:v>同时改善或不恶化调候</x:v>
      </x:c>
      <x:c r="O46" s="68" t="str">
        <x:v>与M16主药同向</x:v>
      </x:c>
      <x:c r="P46" s="68" t="str">
        <x:v>通关与病药一神多效</x:v>
      </x:c>
      <x:c r="Q46" s="90" t="str">
        <x:v>仍需防药力过量</x:v>
      </x:c>
      <x:c r="R46" s="68" t="str">
        <x:v>M12通关候选与M16主药一致，且药神有效</x:v>
      </x:c>
      <x:c r="S46" s="68" t="str">
        <x:v>只理论通关而无实际药力</x:v>
      </x:c>
      <x:c r="T46" s="68" t="str">
        <x:v>多维同向但需剂量控制</x:v>
      </x:c>
      <x:c r="U46" s="68" t="str">
        <x:v>M18-DOSE-0066-V1.0</x:v>
      </x:c>
      <x:c r="V46" s="84" t="str">
        <x:v>主用神</x:v>
      </x:c>
      <x:c r="W46" s="82" t="str">
        <x:v>第一顺位</x:v>
      </x:c>
      <x:c r="X46" s="82" t="str">
        <x:v>条件性</x:v>
      </x:c>
      <x:c r="Y46" s="68" t="str">
        <x:v>通关解决根本主病且无硬冲突</x:v>
      </x:c>
      <x:c r="Z46" s="84" t="str">
        <x:v>通关病药同向升级</x:v>
      </x:c>
      <x:c r="AA46" s="84" t="str">
        <x:v>该候选五行综合定位为“主用神”，优先级为“第一顺位”。主要收益：通关与病药一神多效；主要副作用：仍需防药力过量；仅在通关解决根本主病且无硬冲突时成立。</x:v>
      </x:c>
      <x:c r="AB46" s="82" t="str">
        <x:v>较高</x:v>
      </x:c>
      <x:c r="AC46" s="82" t="str">
        <x:v>现代综合</x:v>
      </x:c>
      <x:c r="AD46" s="68" t="str">
        <x:v>喜忌用神必须同时读取扶抑、格局、通关、调候和病药五个维度。单一维度有利不足以自动成为主用；最终定位取决于是否解决根本问题、是否触犯格局硬约束、药力是否可达以及副作用是否可控。</x:v>
      </x:c>
      <x:c r="AE46" s="68" t="str">
        <x:v>满足“M12通关候选与M16主药一致，且药神有效”，且主要收益大于副作用时，可按“通关五行有根有源且兼治主病时可升级”定位。</x:v>
      </x:c>
      <x:c r="AF46" s="90" t="str">
        <x:v>若“只理论通关而无实际药力”成立，则不得按“通关五行有根有源且兼治主病时可升级”无条件定位。</x:v>
      </x:c>
      <x:c r="AG46" s="82" t="str">
        <x:v>采用</x:v>
      </x:c>
      <x:c r="AH46" s="82" t="str">
        <x:v>初审</x:v>
      </x:c>
      <x:c r="AI46" s="87" t="n">
        <x:v>46260</x:v>
      </x:c>
    </x:row>
    <x:row r="47">
      <x:c r="A47" s="72" t="str">
        <x:f>IF(OR(C47="",D47=""),"",B47&amp;"-"&amp;UPPER(C47)&amp;"-"&amp;TEXT(D47,"0000")&amp;"-"&amp;E47)</x:f>
        <x:v>M17-TONGGUAN-0041-V1.0</x:v>
      </x:c>
      <x:c r="B47" s="74" t="str">
        <x:v>M17</x:v>
      </x:c>
      <x:c r="C47" s="74" t="str">
        <x:v>TONGGUAN</x:v>
      </x:c>
      <x:c r="D47" s="215" t="n">
        <x:v>41</x:v>
      </x:c>
      <x:c r="E47" s="74" t="str">
        <x:v>V1.0</x:v>
      </x:c>
      <x:c r="F47" s="68" t="str">
        <x:v>通关五行无根无源时只列弱候选</x:v>
      </x:c>
      <x:c r="G47" s="82" t="str">
        <x:v>综合层</x:v>
      </x:c>
      <x:c r="H47" s="82"/>
      <x:c r="I47" s="82"/>
      <x:c r="J47" s="82" t="str">
        <x:v>通关用神</x:v>
      </x:c>
      <x:c r="K47" s="68" t="str">
        <x:v>作用有限</x:v>
      </x:c>
      <x:c r="L47" s="68" t="str">
        <x:v>待定</x:v>
      </x:c>
      <x:c r="M47" s="68" t="str">
        <x:v>理论可通但药力不足</x:v>
      </x:c>
      <x:c r="N47" s="68" t="str">
        <x:v>待定</x:v>
      </x:c>
      <x:c r="O47" s="68" t="str">
        <x:v>不能稳定修复卡点</x:v>
      </x:c>
      <x:c r="P47" s="68" t="str">
        <x:v>提供潜在路径方向</x:v>
      </x:c>
      <x:c r="Q47" s="90" t="str">
        <x:v>无力时不能承担主用，增强后又可能制造副作用</x:v>
      </x:c>
      <x:c r="R47" s="68" t="str">
        <x:v>理论通关关系成立但M08判该五行弱或极弱</x:v>
      </x:c>
      <x:c r="S47" s="68" t="str">
        <x:v>存在更强替代桥梁</x:v>
      </x:c>
      <x:c r="T47" s="68" t="str">
        <x:v>药力不足</x:v>
      </x:c>
      <x:c r="U47" s="68" t="str">
        <x:v>M18-MED-0046-V1.0</x:v>
      </x:c>
      <x:c r="V47" s="84" t="str">
        <x:v>条件性喜神</x:v>
      </x:c>
      <x:c r="W47" s="82" t="str">
        <x:v>条件顺位</x:v>
      </x:c>
      <x:c r="X47" s="82" t="str">
        <x:v>是</x:v>
      </x:c>
      <x:c r="Y47" s="68" t="str">
        <x:v>先满足有根有源和可达病位的条件</x:v>
      </x:c>
      <x:c r="Z47" s="84" t="str">
        <x:v>弱通关候选</x:v>
      </x:c>
      <x:c r="AA47" s="84" t="str">
        <x:v>该候选五行综合定位为“条件性喜神”，优先级为“条件顺位”。主要收益：提供潜在路径方向；主要副作用：无力时不能承担主用，增强后又可能制造副作用；仅在先满足有根有源和可达病位的条件时成立。</x:v>
      </x:c>
      <x:c r="AB47" s="82" t="str">
        <x:v>较高</x:v>
      </x:c>
      <x:c r="AC47" s="82" t="str">
        <x:v>现代综合</x:v>
      </x:c>
      <x:c r="AD47" s="68" t="str">
        <x:v>喜忌用神必须同时读取扶抑、格局、通关、调候和病药五个维度。单一维度有利不足以自动成为主用；最终定位取决于是否解决根本问题、是否触犯格局硬约束、药力是否可达以及副作用是否可控。</x:v>
      </x:c>
      <x:c r="AE47" s="68" t="str">
        <x:v>满足“理论通关关系成立但M08判该五行弱或极弱”，且主要收益大于副作用时，可按“通关五行无根无源时只列弱候选”定位。</x:v>
      </x:c>
      <x:c r="AF47" s="90" t="str">
        <x:v>若“存在更强替代桥梁”成立，则不得按“通关五行无根无源时只列弱候选”无条件定位。</x:v>
      </x:c>
      <x:c r="AG47" s="82" t="str">
        <x:v>采用</x:v>
      </x:c>
      <x:c r="AH47" s="82" t="str">
        <x:v>初审</x:v>
      </x:c>
      <x:c r="AI47" s="87" t="n">
        <x:v>46260</x:v>
      </x:c>
    </x:row>
    <x:row r="48">
      <x:c r="A48" s="72" t="str">
        <x:f>IF(OR(C48="",D48=""),"",B48&amp;"-"&amp;UPPER(C48)&amp;"-"&amp;TEXT(D48,"0000")&amp;"-"&amp;E48)</x:f>
        <x:v>M17-TONGGUAN-0042-V1.0</x:v>
      </x:c>
      <x:c r="B48" s="74" t="str">
        <x:v>M17</x:v>
      </x:c>
      <x:c r="C48" s="74" t="str">
        <x:v>TONGGUAN</x:v>
      </x:c>
      <x:c r="D48" s="215" t="n">
        <x:v>42</x:v>
      </x:c>
      <x:c r="E48" s="74" t="str">
        <x:v>V1.0</x:v>
      </x:c>
      <x:c r="F48" s="68" t="str">
        <x:v>通关五行破坏核心格局时降为条件性或不采用</x:v>
      </x:c>
      <x:c r="G48" s="82" t="str">
        <x:v>综合层</x:v>
      </x:c>
      <x:c r="H48" s="82"/>
      <x:c r="I48" s="82"/>
      <x:c r="J48" s="82" t="str">
        <x:v>通关用神</x:v>
      </x:c>
      <x:c r="K48" s="68" t="str">
        <x:v>可能有利</x:v>
      </x:c>
      <x:c r="L48" s="68" t="str">
        <x:v>直接克合泄损格神</x:v>
      </x:c>
      <x:c r="M48" s="68" t="str">
        <x:v>能修复流通</x:v>
      </x:c>
      <x:c r="N48" s="68" t="str">
        <x:v>待定</x:v>
      </x:c>
      <x:c r="O48" s="68" t="str">
        <x:v>治流通次病</x:v>
      </x:c>
      <x:c r="P48" s="68" t="str">
        <x:v>缓解两强相战或缺桥</x:v>
      </x:c>
      <x:c r="Q48" s="90" t="str">
        <x:v>制造更高优先级格局病</x:v>
      </x:c>
      <x:c r="R48" s="68" t="str">
        <x:v>存在替代保护机制或通关仅需有限强度</x:v>
      </x:c>
      <x:c r="S48" s="68" t="str">
        <x:v>通关会导致根本破格或特殊格局失效</x:v>
      </x:c>
      <x:c r="T48" s="68" t="str">
        <x:v>通关与格局硬约束</x:v>
      </x:c>
      <x:c r="U48" s="68" t="str">
        <x:v>M18-FLOW-0035-V1.0</x:v>
      </x:c>
      <x:c r="V48" s="84" t="str">
        <x:v>条件性喜神</x:v>
      </x:c>
      <x:c r="W48" s="82" t="str">
        <x:v>条件顺位</x:v>
      </x:c>
      <x:c r="X48" s="82" t="str">
        <x:v>是</x:v>
      </x:c>
      <x:c r="Y48" s="68" t="str">
        <x:v>不破格或净收益经M18确认</x:v>
      </x:c>
      <x:c r="Z48" s="84" t="str">
        <x:v>通关伤格降级</x:v>
      </x:c>
      <x:c r="AA48" s="84" t="str">
        <x:v>该候选五行综合定位为“条件性喜神”，优先级为“条件顺位”。主要收益：缓解两强相战或缺桥；主要副作用：制造更高优先级格局病；仅在不破格或净收益经M18确认时成立。</x:v>
      </x:c>
      <x:c r="AB48" s="82" t="str">
        <x:v>较高</x:v>
      </x:c>
      <x:c r="AC48" s="82" t="str">
        <x:v>现代综合</x:v>
      </x:c>
      <x:c r="AD48" s="68" t="str">
        <x:v>喜忌用神必须同时读取扶抑、格局、通关、调候和病药五个维度。单一维度有利不足以自动成为主用；最终定位取决于是否解决根本问题、是否触犯格局硬约束、药力是否可达以及副作用是否可控。</x:v>
      </x:c>
      <x:c r="AE48" s="68" t="str">
        <x:v>满足“存在替代保护机制或通关仅需有限强度”，且主要收益大于副作用时，可按“通关五行破坏核心格局时降为条件性或不采用”定位。</x:v>
      </x:c>
      <x:c r="AF48" s="90" t="str">
        <x:v>若“通关会导致根本破格或特殊格局失效”成立，则不得按“通关五行破坏核心格局时降为条件性或不采用”无条件定位。</x:v>
      </x:c>
      <x:c r="AG48" s="82" t="str">
        <x:v>采用</x:v>
      </x:c>
      <x:c r="AH48" s="82" t="str">
        <x:v>初审</x:v>
      </x:c>
      <x:c r="AI48" s="87" t="n">
        <x:v>46260</x:v>
      </x:c>
    </x:row>
    <x:row r="49">
      <x:c r="A49" s="72" t="str">
        <x:f>IF(OR(C49="",D49=""),"",B49&amp;"-"&amp;UPPER(C49)&amp;"-"&amp;TEXT(D49,"0000")&amp;"-"&amp;E49)</x:f>
        <x:v>M17-TONGGUAN-0043-V1.0</x:v>
      </x:c>
      <x:c r="B49" s="74" t="str">
        <x:v>M17</x:v>
      </x:c>
      <x:c r="C49" s="74" t="str">
        <x:v>TONGGUAN</x:v>
      </x:c>
      <x:c r="D49" s="215" t="n">
        <x:v>43</x:v>
      </x:c>
      <x:c r="E49" s="74" t="str">
        <x:v>V1.0</x:v>
      </x:c>
      <x:c r="F49" s="68" t="str">
        <x:v>通关五行恶化极端气候时不得列无条件喜用</x:v>
      </x:c>
      <x:c r="G49" s="82" t="str">
        <x:v>综合层</x:v>
      </x:c>
      <x:c r="H49" s="82"/>
      <x:c r="I49" s="82"/>
      <x:c r="J49" s="82" t="str">
        <x:v>通关用神</x:v>
      </x:c>
      <x:c r="K49" s="68" t="str">
        <x:v>待定</x:v>
      </x:c>
      <x:c r="L49" s="68" t="str">
        <x:v>待定</x:v>
      </x:c>
      <x:c r="M49" s="68" t="str">
        <x:v>正向</x:v>
      </x:c>
      <x:c r="N49" s="68" t="str">
        <x:v>把命局推向极寒湿或极热燥</x:v>
      </x:c>
      <x:c r="O49" s="68" t="str">
        <x:v>治一病生一病</x:v>
      </x:c>
      <x:c r="P49" s="68" t="str">
        <x:v>修复流通卡点</x:v>
      </x:c>
      <x:c r="Q49" s="90" t="str">
        <x:v>形成首要调候病</x:v>
      </x:c>
      <x:c r="R49" s="68" t="str">
        <x:v>气候副作用可通过配伍和剂量控制</x:v>
      </x:c>
      <x:c r="S49" s="68" t="str">
        <x:v>新调候病严重度高于原流通病</x:v>
      </x:c>
      <x:c r="T49" s="68" t="str">
        <x:v>通关与调候冲突</x:v>
      </x:c>
      <x:c r="U49" s="68" t="str">
        <x:v>M18-FLOW-0036-V1.0</x:v>
      </x:c>
      <x:c r="V49" s="84" t="str">
        <x:v>条件性喜神</x:v>
      </x:c>
      <x:c r="W49" s="82" t="str">
        <x:v>条件顺位</x:v>
      </x:c>
      <x:c r="X49" s="82" t="str">
        <x:v>是</x:v>
      </x:c>
      <x:c r="Y49" s="68" t="str">
        <x:v>通关净收益高于调候损害</x:v>
      </x:c>
      <x:c r="Z49" s="84" t="str">
        <x:v>通关调候冲突</x:v>
      </x:c>
      <x:c r="AA49" s="84" t="str">
        <x:v>该候选五行综合定位为“条件性喜神”，优先级为“条件顺位”。主要收益：修复流通卡点；主要副作用：形成首要调候病；仅在通关净收益高于调候损害时成立。</x:v>
      </x:c>
      <x:c r="AB49" s="82" t="str">
        <x:v>较高</x:v>
      </x:c>
      <x:c r="AC49" s="82" t="str">
        <x:v>现代综合</x:v>
      </x:c>
      <x:c r="AD49" s="68" t="str">
        <x:v>喜忌用神必须同时读取扶抑、格局、通关、调候和病药五个维度。单一维度有利不足以自动成为主用；最终定位取决于是否解决根本问题、是否触犯格局硬约束、药力是否可达以及副作用是否可控。</x:v>
      </x:c>
      <x:c r="AE49" s="68" t="str">
        <x:v>满足“气候副作用可通过配伍和剂量控制”，且主要收益大于副作用时，可按“通关五行恶化极端气候时不得列无条件喜用”定位。</x:v>
      </x:c>
      <x:c r="AF49" s="90" t="str">
        <x:v>若“新调候病严重度高于原流通病”成立，则不得按“通关五行恶化极端气候时不得列无条件喜用”无条件定位。</x:v>
      </x:c>
      <x:c r="AG49" s="82" t="str">
        <x:v>采用</x:v>
      </x:c>
      <x:c r="AH49" s="82" t="str">
        <x:v>初审</x:v>
      </x:c>
      <x:c r="AI49" s="87" t="n">
        <x:v>46260</x:v>
      </x:c>
    </x:row>
    <x:row r="50">
      <x:c r="A50" s="72" t="str">
        <x:f>IF(OR(C50="",D50=""),"",B50&amp;"-"&amp;UPPER(C50)&amp;"-"&amp;TEXT(D50,"0000")&amp;"-"&amp;E50)</x:f>
        <x:v>M17-TONGGUAN-0044-V1.0</x:v>
      </x:c>
      <x:c r="B50" s="74" t="str">
        <x:v>M17</x:v>
      </x:c>
      <x:c r="C50" s="74" t="str">
        <x:v>TONGGUAN</x:v>
      </x:c>
      <x:c r="D50" s="215" t="n">
        <x:v>44</x:v>
      </x:c>
      <x:c r="E50" s="74" t="str">
        <x:v>V1.0</x:v>
      </x:c>
      <x:c r="F50" s="68" t="str">
        <x:v>两端并非都强时不立两强通关用神</x:v>
      </x:c>
      <x:c r="G50" s="82" t="str">
        <x:v>综合层</x:v>
      </x:c>
      <x:c r="H50" s="82"/>
      <x:c r="I50" s="82"/>
      <x:c r="J50" s="82" t="str">
        <x:v>通关用神</x:v>
      </x:c>
      <x:c r="K50" s="68" t="str">
        <x:v>不适用</x:v>
      </x:c>
      <x:c r="L50" s="68" t="str">
        <x:v>不适用</x:v>
      </x:c>
      <x:c r="M50" s="68" t="str">
        <x:v>不存在真实两强相战</x:v>
      </x:c>
      <x:c r="N50" s="68" t="str">
        <x:v>不适用</x:v>
      </x:c>
      <x:c r="O50" s="68" t="str">
        <x:v>无对应流通病</x:v>
      </x:c>
      <x:c r="P50" s="68" t="str">
        <x:v>避免错误补桥</x:v>
      </x:c>
      <x:c r="Q50" s="90" t="str">
        <x:v>错误通关会扶起弱端或损伤强端</x:v>
      </x:c>
      <x:c r="R50" s="68" t="str">
        <x:v>仅用于否决错误通关候选</x:v>
      </x:c>
      <x:c r="S50" s="68" t="str">
        <x:v>M12已证明两端真实强且相战</x:v>
      </x:c>
      <x:c r="T50" s="68" t="str">
        <x:v>无</x:v>
      </x:c>
      <x:c r="U50" s="68"/>
      <x:c r="V50" s="84" t="str">
        <x:v>中性</x:v>
      </x:c>
      <x:c r="W50" s="82" t="str">
        <x:v>不采用</x:v>
      </x:c>
      <x:c r="X50" s="82" t="str">
        <x:v>否</x:v>
      </x:c>
      <x:c r="Y50" s="68" t="str">
        <x:v>没有真实克战就不设通关用神</x:v>
      </x:c>
      <x:c r="Z50" s="84" t="str">
        <x:v>非两强不通关</x:v>
      </x:c>
      <x:c r="AA50" s="84" t="str">
        <x:v>两端未形成真实两强相战，不生成专门通关用神；候选五行按其他维度另评。</x:v>
      </x:c>
      <x:c r="AB50" s="82" t="str">
        <x:v>较高</x:v>
      </x:c>
      <x:c r="AC50" s="82" t="str">
        <x:v>现代综合</x:v>
      </x:c>
      <x:c r="AD50" s="68" t="str">
        <x:v>喜忌用神必须同时读取扶抑、格局、通关、调候和病药五个维度。单一维度有利不足以自动成为主用；最终定位取决于是否解决根本问题、是否触犯格局硬约束、药力是否可达以及副作用是否可控。</x:v>
      </x:c>
      <x:c r="AE50" s="68" t="str">
        <x:v>满足“仅用于否决错误通关候选”，且主要收益大于副作用时，可按“两端并非都强时不立两强通关用神”定位。</x:v>
      </x:c>
      <x:c r="AF50" s="90" t="str">
        <x:v>若“M12已证明两端真实强且相战”成立，则不得按“两端并非都强时不立两强通关用神”无条件定位。</x:v>
      </x:c>
      <x:c r="AG50" s="82" t="str">
        <x:v>采用</x:v>
      </x:c>
      <x:c r="AH50" s="82" t="str">
        <x:v>初审</x:v>
      </x:c>
      <x:c r="AI50" s="87" t="n">
        <x:v>46260</x:v>
      </x:c>
    </x:row>
    <x:row r="51">
      <x:c r="A51" s="72" t="str">
        <x:f>IF(OR(C51="",D51=""),"",B51&amp;"-"&amp;UPPER(C51)&amp;"-"&amp;TEXT(D51,"0000")&amp;"-"&amp;E51)</x:f>
        <x:v>M17-TIAOHOU-0045-V1.0</x:v>
      </x:c>
      <x:c r="B51" s="74" t="str">
        <x:v>M17</x:v>
      </x:c>
      <x:c r="C51" s="74" t="str">
        <x:v>TIAOHOU</x:v>
      </x:c>
      <x:c r="D51" s="215" t="n">
        <x:v>45</x:v>
      </x:c>
      <x:c r="E51" s="74" t="str">
        <x:v>V1.0</x:v>
      </x:c>
      <x:c r="F51" s="68" t="str">
        <x:v>偏寒或极寒时火可列暖局候选</x:v>
      </x:c>
      <x:c r="G51" s="82" t="str">
        <x:v>综合层</x:v>
      </x:c>
      <x:c r="H51" s="82" t="str">
        <x:v>火</x:v>
      </x:c>
      <x:c r="I51" s="82"/>
      <x:c r="J51" s="82" t="str">
        <x:v>调候用神</x:v>
      </x:c>
      <x:c r="K51" s="68" t="str">
        <x:v>火对日主可能生、扶、泄、耗或制，需另映射</x:v>
      </x:c>
      <x:c r="L51" s="68" t="str">
        <x:v>须检查是否伤害从水、润下、金水或其他核心格局</x:v>
      </x:c>
      <x:c r="M51" s="68" t="str">
        <x:v>可解除寒凝并恢复木火、湿土生化</x:v>
      </x:c>
      <x:c r="N51" s="68" t="str">
        <x:v>直接升温，改善偏寒/极寒</x:v>
      </x:c>
      <x:c r="O51" s="68" t="str">
        <x:v>治疗寒凝或寒湿主病</x:v>
      </x:c>
      <x:c r="P51" s="68" t="str">
        <x:v>恢复基础温度与生化活性</x:v>
      </x:c>
      <x:c r="Q51" s="90" t="str">
        <x:v>火过量会热燥、耗水、伤金或破特殊格局</x:v>
      </x:c>
      <x:c r="R51" s="68" t="str">
        <x:v>M13偏寒/极寒且寒已影响M12主路径或M16根本病</x:v>
      </x:c>
      <x:c r="S51" s="68" t="str">
        <x:v>温度已平衡/偏暖，或从水、润下等格局严格忌火</x:v>
      </x:c>
      <x:c r="T51" s="68" t="str">
        <x:v>调候与扶抑/格局冲突</x:v>
      </x:c>
      <x:c r="U51" s="68" t="str">
        <x:v>M18-CLIMATE-0029-V1.0</x:v>
      </x:c>
      <x:c r="V51" s="84" t="str">
        <x:v>条件性喜神</x:v>
      </x:c>
      <x:c r="W51" s="82" t="str">
        <x:v>条件顺位</x:v>
      </x:c>
      <x:c r="X51" s="82" t="str">
        <x:v>是</x:v>
      </x:c>
      <x:c r="Y51" s="68" t="str">
        <x:v>火有根有源、不过量且不破格</x:v>
      </x:c>
      <x:c r="Z51" s="84" t="str">
        <x:v>火暖寒局</x:v>
      </x:c>
      <x:c r="AA51" s="84" t="str">
        <x:v>火综合定位为“条件性喜神”，优先级为“条件顺位”。主要收益：恢复基础温度与生化活性；主要副作用：火过量会热燥、耗水、伤金或破特殊格局；仅在火有根有源、不过量且不破格时成立。</x:v>
      </x:c>
      <x:c r="AB51" s="82" t="str">
        <x:v>较高</x:v>
      </x:c>
      <x:c r="AC51" s="82" t="str">
        <x:v>现代综合</x:v>
      </x:c>
      <x:c r="AD51" s="68" t="str">
        <x:v>喜忌用神必须同时读取扶抑、格局、通关、调候和病药五个维度。单一维度有利不足以自动成为主用；最终定位取决于是否解决根本问题、是否触犯格局硬约束、药力是否可达以及副作用是否可控。</x:v>
      </x:c>
      <x:c r="AE51" s="68" t="str">
        <x:v>满足“M13偏寒/极寒且寒已影响M12主路径或M16根本病”，且主要收益大于副作用时，可按“偏寒或极寒时火可列暖局候选”定位。</x:v>
      </x:c>
      <x:c r="AF51" s="90" t="str">
        <x:v>若“温度已平衡/偏暖，或从水、润下等格局严格忌火”成立，则不得按“偏寒或极寒时火可列暖局候选”无条件定位。</x:v>
      </x:c>
      <x:c r="AG51" s="82" t="str">
        <x:v>采用</x:v>
      </x:c>
      <x:c r="AH51" s="82" t="str">
        <x:v>初审</x:v>
      </x:c>
      <x:c r="AI51" s="87" t="n">
        <x:v>46260</x:v>
      </x:c>
    </x:row>
    <x:row r="52">
      <x:c r="A52" s="72" t="str">
        <x:f>IF(OR(C52="",D52=""),"",B52&amp;"-"&amp;UPPER(C52)&amp;"-"&amp;TEXT(D52,"0000")&amp;"-"&amp;E52)</x:f>
        <x:v>M17-TIAOHOU-0046-V1.0</x:v>
      </x:c>
      <x:c r="B52" s="74" t="str">
        <x:v>M17</x:v>
      </x:c>
      <x:c r="C52" s="74" t="str">
        <x:v>TIAOHOU</x:v>
      </x:c>
      <x:c r="D52" s="215" t="n">
        <x:v>46</x:v>
      </x:c>
      <x:c r="E52" s="74" t="str">
        <x:v>V1.0</x:v>
      </x:c>
      <x:c r="F52" s="68" t="str">
        <x:v>寒湿并重时火可由调候候选升级为主药候选</x:v>
      </x:c>
      <x:c r="G52" s="82" t="str">
        <x:v>综合层</x:v>
      </x:c>
      <x:c r="H52" s="82" t="str">
        <x:v>火</x:v>
      </x:c>
      <x:c r="I52" s="82"/>
      <x:c r="J52" s="82" t="str">
        <x:v>复合来源</x:v>
      </x:c>
      <x:c r="K52" s="68" t="str">
        <x:v>视日主承载而定</x:v>
      </x:c>
      <x:c r="L52" s="68" t="str">
        <x:v>不得根本破格</x:v>
      </x:c>
      <x:c r="M52" s="68" t="str">
        <x:v>解除寒凝并推动湿土流动</x:v>
      </x:c>
      <x:c r="N52" s="68" t="str">
        <x:v>暖局兼化湿</x:v>
      </x:c>
      <x:c r="O52" s="68" t="str">
        <x:v>治疗寒湿—流通复合病</x:v>
      </x:c>
      <x:c r="P52" s="68" t="str">
        <x:v>同时改善温度、湿度和多个流通卡点</x:v>
      </x:c>
      <x:c r="Q52" s="90" t="str">
        <x:v>火太强转暖燥，可能耗水或伤金格</x:v>
      </x:c>
      <x:c r="R52" s="68" t="str">
        <x:v>M13寒湿严重，M16判调候流通同源主病</x:v>
      </x:c>
      <x:c r="S52" s="68" t="str">
        <x:v>火无根受制，或火会破坏严格特殊格局</x:v>
      </x:c>
      <x:c r="T52" s="68" t="str">
        <x:v>调候、病药与格局冲突</x:v>
      </x:c>
      <x:c r="U52" s="68" t="str">
        <x:v>M18-PATTERN-0020-V1.0</x:v>
      </x:c>
      <x:c r="V52" s="84" t="str">
        <x:v>主用神</x:v>
      </x:c>
      <x:c r="W52" s="82" t="str">
        <x:v>第一顺位</x:v>
      </x:c>
      <x:c r="X52" s="82" t="str">
        <x:v>条件性</x:v>
      </x:c>
      <x:c r="Y52" s="68" t="str">
        <x:v>寒湿为根本主病且火的格局副作用可控</x:v>
      </x:c>
      <x:c r="Z52" s="84" t="str">
        <x:v>火治寒湿主药</x:v>
      </x:c>
      <x:c r="AA52" s="84" t="str">
        <x:v>火综合定位为“主用神”，优先级为“第一顺位”。主要收益：同时改善温度、湿度和多个流通卡点；主要副作用：火太强转暖燥，可能耗水或伤金格；仅在寒湿为根本主病且火的格局副作用可控时成立。</x:v>
      </x:c>
      <x:c r="AB52" s="82" t="str">
        <x:v>较高</x:v>
      </x:c>
      <x:c r="AC52" s="82" t="str">
        <x:v>现代综合</x:v>
      </x:c>
      <x:c r="AD52" s="68" t="str">
        <x:v>喜忌用神必须同时读取扶抑、格局、通关、调候和病药五个维度。单一维度有利不足以自动成为主用；最终定位取决于是否解决根本问题、是否触犯格局硬约束、药力是否可达以及副作用是否可控。</x:v>
      </x:c>
      <x:c r="AE52" s="68" t="str">
        <x:v>满足“M13寒湿严重，M16判调候流通同源主病”，且主要收益大于副作用时，可按“寒湿并重时火可由调候候选升级为主药候选”定位。</x:v>
      </x:c>
      <x:c r="AF52" s="90" t="str">
        <x:v>若“火无根受制，或火会破坏严格特殊格局”成立，则不得按“寒湿并重时火可由调候候选升级为主药候选”无条件定位。</x:v>
      </x:c>
      <x:c r="AG52" s="82" t="str">
        <x:v>采用</x:v>
      </x:c>
      <x:c r="AH52" s="82" t="str">
        <x:v>初审</x:v>
      </x:c>
      <x:c r="AI52" s="87" t="n">
        <x:v>46260</x:v>
      </x:c>
    </x:row>
    <x:row r="53">
      <x:c r="A53" s="72" t="str">
        <x:f>IF(OR(C53="",D53=""),"",B53&amp;"-"&amp;UPPER(C53)&amp;"-"&amp;TEXT(D53,"0000")&amp;"-"&amp;E53)</x:f>
        <x:v>M17-TIAOHOU-0047-V1.0</x:v>
      </x:c>
      <x:c r="B53" s="74" t="str">
        <x:v>M17</x:v>
      </x:c>
      <x:c r="C53" s="74" t="str">
        <x:v>TIAOHOU</x:v>
      </x:c>
      <x:c r="D53" s="215" t="n">
        <x:v>47</x:v>
      </x:c>
      <x:c r="E53" s="74" t="str">
        <x:v>V1.0</x:v>
      </x:c>
      <x:c r="F53" s="68" t="str">
        <x:v>偏热或极热时水可列降温候选</x:v>
      </x:c>
      <x:c r="G53" s="82" t="str">
        <x:v>综合层</x:v>
      </x:c>
      <x:c r="H53" s="82" t="str">
        <x:v>水</x:v>
      </x:c>
      <x:c r="I53" s="82"/>
      <x:c r="J53" s="82" t="str">
        <x:v>调候用神</x:v>
      </x:c>
      <x:c r="K53" s="68" t="str">
        <x:v>水对日主作用另按十神映射</x:v>
      </x:c>
      <x:c r="L53" s="68" t="str">
        <x:v>须防冲熄核心火格或破炎上</x:v>
      </x:c>
      <x:c r="M53" s="68" t="str">
        <x:v>可恢复水木链并缓解火炎</x:v>
      </x:c>
      <x:c r="N53" s="68" t="str">
        <x:v>直接降温</x:v>
      </x:c>
      <x:c r="O53" s="68" t="str">
        <x:v>治疗极热或火炎主病</x:v>
      </x:c>
      <x:c r="P53" s="68" t="str">
        <x:v>降低过热、保护水木与金</x:v>
      </x:c>
      <x:c r="Q53" s="90" t="str">
        <x:v>水过量会寒湿、克火、冲坏火格或令土水相战</x:v>
      </x:c>
      <x:c r="R53" s="68" t="str">
        <x:v>M13偏暖/极热且热已造成M12/M16功能障碍</x:v>
      </x:c>
      <x:c r="S53" s="68" t="str">
        <x:v>温度平衡/偏寒，或炎上、从火格严格成立</x:v>
      </x:c>
      <x:c r="T53" s="68" t="str">
        <x:v>调候与格局/扶抑冲突</x:v>
      </x:c>
      <x:c r="U53" s="68" t="str">
        <x:v>M18-CLIMATE-0029-V1.0</x:v>
      </x:c>
      <x:c r="V53" s="84" t="str">
        <x:v>条件性喜神</x:v>
      </x:c>
      <x:c r="W53" s="82" t="str">
        <x:v>条件顺位</x:v>
      </x:c>
      <x:c r="X53" s="82" t="str">
        <x:v>是</x:v>
      </x:c>
      <x:c r="Y53" s="68" t="str">
        <x:v>水有效可达且不根本破坏火势格局</x:v>
      </x:c>
      <x:c r="Z53" s="84" t="str">
        <x:v>水降热局</x:v>
      </x:c>
      <x:c r="AA53" s="84" t="str">
        <x:v>水综合定位为“条件性喜神”，优先级为“条件顺位”。主要收益：降低过热、保护水木与金；主要副作用：水过量会寒湿、克火、冲坏火格或令土水相战；仅在水有效可达且不根本破坏火势格局时成立。</x:v>
      </x:c>
      <x:c r="AB53" s="82" t="str">
        <x:v>较高</x:v>
      </x:c>
      <x:c r="AC53" s="82" t="str">
        <x:v>现代综合</x:v>
      </x:c>
      <x:c r="AD53" s="68" t="str">
        <x:v>喜忌用神必须同时读取扶抑、格局、通关、调候和病药五个维度。单一维度有利不足以自动成为主用；最终定位取决于是否解决根本问题、是否触犯格局硬约束、药力是否可达以及副作用是否可控。</x:v>
      </x:c>
      <x:c r="AE53" s="68" t="str">
        <x:v>满足“M13偏暖/极热且热已造成M12/M16功能障碍”，且主要收益大于副作用时，可按“偏热或极热时水可列降温候选”定位。</x:v>
      </x:c>
      <x:c r="AF53" s="90" t="str">
        <x:v>若“温度平衡/偏寒，或炎上、从火格严格成立”成立，则不得按“偏热或极热时水可列降温候选”无条件定位。</x:v>
      </x:c>
      <x:c r="AG53" s="82" t="str">
        <x:v>采用</x:v>
      </x:c>
      <x:c r="AH53" s="82" t="str">
        <x:v>初审</x:v>
      </x:c>
      <x:c r="AI53" s="87" t="n">
        <x:v>46260</x:v>
      </x:c>
    </x:row>
    <x:row r="54">
      <x:c r="A54" s="72" t="str">
        <x:f>IF(OR(C54="",D54=""),"",B54&amp;"-"&amp;UPPER(C54)&amp;"-"&amp;TEXT(D54,"0000")&amp;"-"&amp;E54)</x:f>
        <x:v>M17-TIAOHOU-0048-V1.0</x:v>
      </x:c>
      <x:c r="B54" s="74" t="str">
        <x:v>M17</x:v>
      </x:c>
      <x:c r="C54" s="74" t="str">
        <x:v>TIAOHOU</x:v>
      </x:c>
      <x:c r="D54" s="215" t="n">
        <x:v>48</x:v>
      </x:c>
      <x:c r="E54" s="74" t="str">
        <x:v>V1.0</x:v>
      </x:c>
      <x:c r="F54" s="68" t="str">
        <x:v>偏燥或极燥时水可列润燥候选</x:v>
      </x:c>
      <x:c r="G54" s="82" t="str">
        <x:v>综合层</x:v>
      </x:c>
      <x:c r="H54" s="82" t="str">
        <x:v>水</x:v>
      </x:c>
      <x:c r="I54" s="82"/>
      <x:c r="J54" s="82" t="str">
        <x:v>调候用神</x:v>
      </x:c>
      <x:c r="K54" s="68" t="str">
        <x:v>视日主关系而定</x:v>
      </x:c>
      <x:c r="L54" s="68" t="str">
        <x:v>须检查是否伤火格或加重水势</x:v>
      </x:c>
      <x:c r="M54" s="68" t="str">
        <x:v>恢复燥枯桥梁和终点承载</x:v>
      </x:c>
      <x:c r="N54" s="68" t="str">
        <x:v>润燥增湿</x:v>
      </x:c>
      <x:c r="O54" s="68" t="str">
        <x:v>治疗燥枯、暖燥或极燥病</x:v>
      </x:c>
      <x:c r="P54" s="68" t="str">
        <x:v>恢复木、水、土的润泽与连续生化</x:v>
      </x:c>
      <x:c r="Q54" s="90" t="str">
        <x:v>水过量会转寒湿或终点过旺</x:v>
      </x:c>
      <x:c r="R54" s="68" t="str">
        <x:v>M13偏燥/极燥且M12燥枯成立</x:v>
      </x:c>
      <x:c r="S54" s="68" t="str">
        <x:v>原局极寒湿、水已过旺或水会根本破格</x:v>
      </x:c>
      <x:c r="T54" s="68" t="str">
        <x:v>润燥与寒湿/格局冲突</x:v>
      </x:c>
      <x:c r="U54" s="68" t="str">
        <x:v>M18-CLIMATE-0028-V1.0</x:v>
      </x:c>
      <x:c r="V54" s="84" t="str">
        <x:v>喜神</x:v>
      </x:c>
      <x:c r="W54" s="82" t="str">
        <x:v>第二顺位</x:v>
      </x:c>
      <x:c r="X54" s="82" t="str">
        <x:v>条件性</x:v>
      </x:c>
      <x:c r="Y54" s="68" t="str">
        <x:v>水量适度、能触达燥枯病位且不转寒湿</x:v>
      </x:c>
      <x:c r="Z54" s="84" t="str">
        <x:v>水润燥</x:v>
      </x:c>
      <x:c r="AA54" s="84" t="str">
        <x:v>水综合定位为“喜神”，优先级为“第二顺位”。主要收益：恢复木、水、土的润泽与连续生化；主要副作用：水过量会转寒湿或终点过旺；仅在水量适度、能触达燥枯病位且不转寒湿时成立。</x:v>
      </x:c>
      <x:c r="AB54" s="82" t="str">
        <x:v>较高</x:v>
      </x:c>
      <x:c r="AC54" s="82" t="str">
        <x:v>现代综合</x:v>
      </x:c>
      <x:c r="AD54" s="68" t="str">
        <x:v>喜忌用神必须同时读取扶抑、格局、通关、调候和病药五个维度。单一维度有利不足以自动成为主用；最终定位取决于是否解决根本问题、是否触犯格局硬约束、药力是否可达以及副作用是否可控。</x:v>
      </x:c>
      <x:c r="AE54" s="68" t="str">
        <x:v>满足“M13偏燥/极燥且M12燥枯成立”，且主要收益大于副作用时，可按“偏燥或极燥时水可列润燥候选”定位。</x:v>
      </x:c>
      <x:c r="AF54" s="90" t="str">
        <x:v>若“原局极寒湿、水已过旺或水会根本破格”成立，则不得按“偏燥或极燥时水可列润燥候选”无条件定位。</x:v>
      </x:c>
      <x:c r="AG54" s="82" t="str">
        <x:v>采用</x:v>
      </x:c>
      <x:c r="AH54" s="82" t="str">
        <x:v>初审</x:v>
      </x:c>
      <x:c r="AI54" s="87" t="n">
        <x:v>46260</x:v>
      </x:c>
    </x:row>
    <x:row r="55">
      <x:c r="A55" s="72" t="str">
        <x:f>IF(OR(C55="",D55=""),"",B55&amp;"-"&amp;UPPER(C55)&amp;"-"&amp;TEXT(D55,"0000")&amp;"-"&amp;E55)</x:f>
        <x:v>M17-TIAOHOU-0049-V1.0</x:v>
      </x:c>
      <x:c r="B55" s="74" t="str">
        <x:v>M17</x:v>
      </x:c>
      <x:c r="C55" s="74" t="str">
        <x:v>TIAOHOU</x:v>
      </x:c>
      <x:c r="D55" s="215" t="n">
        <x:v>49</x:v>
      </x:c>
      <x:c r="E55" s="74" t="str">
        <x:v>V1.0</x:v>
      </x:c>
      <x:c r="F55" s="68" t="str">
        <x:v>寒燥并见时火水必须分主辅而非同时无条件增强</x:v>
      </x:c>
      <x:c r="G55" s="82" t="str">
        <x:v>综合层</x:v>
      </x:c>
      <x:c r="H55" s="82"/>
      <x:c r="I55" s="82"/>
      <x:c r="J55" s="82" t="str">
        <x:v>调候用神</x:v>
      </x:c>
      <x:c r="K55" s="68" t="str">
        <x:v>火水对日主作用可能相反</x:v>
      </x:c>
      <x:c r="L55" s="68" t="str">
        <x:v>分别检查火水对格局的影响</x:v>
      </x:c>
      <x:c r="M55" s="68" t="str">
        <x:v>木可作为协调桥梁</x:v>
      </x:c>
      <x:c r="N55" s="68" t="str">
        <x:v>火暖、水润，需控制比例</x:v>
      </x:c>
      <x:c r="O55" s="68" t="str">
        <x:v>治疗寒燥复合病</x:v>
      </x:c>
      <x:c r="P55" s="68" t="str">
        <x:v>同时处理温度低与湿度不足</x:v>
      </x:c>
      <x:c r="Q55" s="90" t="str">
        <x:v>火过燥、水过寒，二者无序并用会形成相战</x:v>
      </x:c>
      <x:c r="R55" s="68" t="str">
        <x:v>M13明确寒燥且两轴均已造成障碍</x:v>
      </x:c>
      <x:c r="S55" s="68" t="str">
        <x:v>仅偏寒或仅偏燥，不需要双药</x:v>
      </x:c>
      <x:c r="T55" s="68" t="str">
        <x:v>火水主辅与两强相战</x:v>
      </x:c>
      <x:c r="U55" s="68" t="str">
        <x:v>M18-ROUTE-0060-V1.0</x:v>
      </x:c>
      <x:c r="V55" s="84" t="str">
        <x:v>辅助用神</x:v>
      </x:c>
      <x:c r="W55" s="82" t="str">
        <x:v>第二顺位</x:v>
      </x:c>
      <x:c r="X55" s="82" t="str">
        <x:v>是</x:v>
      </x:c>
      <x:c r="Y55" s="68" t="str">
        <x:v>根据根本病确定火或水为主，另一方仅作辅助</x:v>
      </x:c>
      <x:c r="Z55" s="84" t="str">
        <x:v>寒燥火水主辅</x:v>
      </x:c>
      <x:c r="AA55" s="84" t="str">
        <x:v>该候选五行综合定位为“辅助用神”，优先级为“第二顺位”。主要收益：同时处理温度低与湿度不足；主要副作用：火过燥、水过寒，二者无序并用会形成相战；仅在根据根本病确定火或水为主，另一方仅作辅助时成立。</x:v>
      </x:c>
      <x:c r="AB55" s="82" t="str">
        <x:v>较高</x:v>
      </x:c>
      <x:c r="AC55" s="82" t="str">
        <x:v>现代综合</x:v>
      </x:c>
      <x:c r="AD55" s="68" t="str">
        <x:v>喜忌用神必须同时读取扶抑、格局、通关、调候和病药五个维度。单一维度有利不足以自动成为主用；最终定位取决于是否解决根本问题、是否触犯格局硬约束、药力是否可达以及副作用是否可控。</x:v>
      </x:c>
      <x:c r="AE55" s="68" t="str">
        <x:v>满足“M13明确寒燥且两轴均已造成障碍”，且主要收益大于副作用时，可按“寒燥并见时火水必须分主辅而非同时无条件增强”定位。</x:v>
      </x:c>
      <x:c r="AF55" s="90" t="str">
        <x:v>若“仅偏寒或仅偏燥，不需要双药”成立，则不得按“寒燥并见时火水必须分主辅而非同时无条件增强”无条件定位。</x:v>
      </x:c>
      <x:c r="AG55" s="82" t="str">
        <x:v>采用</x:v>
      </x:c>
      <x:c r="AH55" s="82" t="str">
        <x:v>初审</x:v>
      </x:c>
      <x:c r="AI55" s="87" t="n">
        <x:v>46260</x:v>
      </x:c>
    </x:row>
    <x:row r="56">
      <x:c r="A56" s="72" t="str">
        <x:f>IF(OR(C56="",D56=""),"",B56&amp;"-"&amp;UPPER(C56)&amp;"-"&amp;TEXT(D56,"0000")&amp;"-"&amp;E56)</x:f>
        <x:v>M17-TIAOHOU-0050-V1.0</x:v>
      </x:c>
      <x:c r="B56" s="74" t="str">
        <x:v>M17</x:v>
      </x:c>
      <x:c r="C56" s="74" t="str">
        <x:v>TIAOHOU</x:v>
      </x:c>
      <x:c r="D56" s="215" t="n">
        <x:v>50</x:v>
      </x:c>
      <x:c r="E56" s="74" t="str">
        <x:v>V1.0</x:v>
      </x:c>
      <x:c r="F56" s="68" t="str">
        <x:v>暖湿时木可列疏湿而不过度升温的候选</x:v>
      </x:c>
      <x:c r="G56" s="82" t="str">
        <x:v>综合层</x:v>
      </x:c>
      <x:c r="H56" s="82" t="str">
        <x:v>木</x:v>
      </x:c>
      <x:c r="I56" s="82"/>
      <x:c r="J56" s="82" t="str">
        <x:v>调候用神</x:v>
      </x:c>
      <x:c r="K56" s="68" t="str">
        <x:v>木对日主作用另判</x:v>
      </x:c>
      <x:c r="L56" s="68" t="str">
        <x:v>须防木克土或生火过度</x:v>
      </x:c>
      <x:c r="M56" s="68" t="str">
        <x:v>疏土、导湿并可连接水火</x:v>
      </x:c>
      <x:c r="N56" s="68" t="str">
        <x:v>降低湿滞但可能间接升温</x:v>
      </x:c>
      <x:c r="O56" s="68" t="str">
        <x:v>治疗暖湿、湿土壅滞</x:v>
      </x:c>
      <x:c r="P56" s="68" t="str">
        <x:v>在不明显加热的情况下疏湿</x:v>
      </x:c>
      <x:c r="Q56" s="90" t="str">
        <x:v>木过旺会克土、生火或加重木势</x:v>
      </x:c>
      <x:c r="R56" s="68" t="str">
        <x:v>M13暖湿，温度无需显著上调，湿土为主要病位</x:v>
      </x:c>
      <x:c r="S56" s="68" t="str">
        <x:v>木受金重制、寒凝无生发条件或土格核心不可克</x:v>
      </x:c>
      <x:c r="T56" s="68" t="str">
        <x:v>疏湿与格局/土承载冲突</x:v>
      </x:c>
      <x:c r="U56" s="68" t="str">
        <x:v>M18-PATTERN-0020-V1.0</x:v>
      </x:c>
      <x:c r="V56" s="84" t="str">
        <x:v>条件性喜神</x:v>
      </x:c>
      <x:c r="W56" s="82" t="str">
        <x:v>条件顺位</x:v>
      </x:c>
      <x:c r="X56" s="82" t="str">
        <x:v>是</x:v>
      </x:c>
      <x:c r="Y56" s="68" t="str">
        <x:v>木有效且疏湿收益大于克土生火副作用</x:v>
      </x:c>
      <x:c r="Z56" s="84" t="str">
        <x:v>木疏暖湿</x:v>
      </x:c>
      <x:c r="AA56" s="84" t="str">
        <x:v>木综合定位为“条件性喜神”，优先级为“条件顺位”。主要收益：在不明显加热的情况下疏湿；主要副作用：木过旺会克土、生火或加重木势；仅在木有效且疏湿收益大于克土生火副作用时成立。</x:v>
      </x:c>
      <x:c r="AB56" s="82" t="str">
        <x:v>较高</x:v>
      </x:c>
      <x:c r="AC56" s="82" t="str">
        <x:v>现代综合</x:v>
      </x:c>
      <x:c r="AD56" s="68" t="str">
        <x:v>喜忌用神必须同时读取扶抑、格局、通关、调候和病药五个维度。单一维度有利不足以自动成为主用；最终定位取决于是否解决根本问题、是否触犯格局硬约束、药力是否可达以及副作用是否可控。</x:v>
      </x:c>
      <x:c r="AE56" s="68" t="str">
        <x:v>满足“M13暖湿，温度无需显著上调，湿土为主要病位”，且主要收益大于副作用时，可按“暖湿时木可列疏湿而不过度升温的候选”定位。</x:v>
      </x:c>
      <x:c r="AF56" s="90" t="str">
        <x:v>若“木受金重制、寒凝无生发条件或土格核心不可克”成立，则不得按“暖湿时木可列疏湿而不过度升温的候选”无条件定位。</x:v>
      </x:c>
      <x:c r="AG56" s="82" t="str">
        <x:v>采用</x:v>
      </x:c>
      <x:c r="AH56" s="82" t="str">
        <x:v>初审</x:v>
      </x:c>
      <x:c r="AI56" s="87" t="n">
        <x:v>46260</x:v>
      </x:c>
    </x:row>
    <x:row r="57">
      <x:c r="A57" s="72" t="str">
        <x:f>IF(OR(C57="",D57=""),"",B57&amp;"-"&amp;UPPER(C57)&amp;"-"&amp;TEXT(D57,"0000")&amp;"-"&amp;E57)</x:f>
        <x:v>M17-TIAOHOU-0051-V1.0</x:v>
      </x:c>
      <x:c r="B57" s="74" t="str">
        <x:v>M17</x:v>
      </x:c>
      <x:c r="C57" s="74" t="str">
        <x:v>TIAOHOU</x:v>
      </x:c>
      <x:c r="D57" s="215" t="n">
        <x:v>51</x:v>
      </x:c>
      <x:c r="E57" s="74" t="str">
        <x:v>V1.0</x:v>
      </x:c>
      <x:c r="F57" s="68" t="str">
        <x:v>寒湿时木可作为引火疏湿的辅助用神</x:v>
      </x:c>
      <x:c r="G57" s="82" t="str">
        <x:v>综合层</x:v>
      </x:c>
      <x:c r="H57" s="82" t="str">
        <x:v>木</x:v>
      </x:c>
      <x:c r="I57" s="82"/>
      <x:c r="J57" s="82" t="str">
        <x:v>调候用神</x:v>
      </x:c>
      <x:c r="K57" s="68" t="str">
        <x:v>可能生火或扶木日主</x:v>
      </x:c>
      <x:c r="L57" s="68" t="str">
        <x:v>须防木为忌或克土格神</x:v>
      </x:c>
      <x:c r="M57" s="68" t="str">
        <x:v>水→木→火，帮助火源持续</x:v>
      </x:c>
      <x:c r="N57" s="68" t="str">
        <x:v>辅助暖湿而非直接主暖</x:v>
      </x:c>
      <x:c r="O57" s="68" t="str">
        <x:v>保护火药、疏湿土</x:v>
      </x:c>
      <x:c r="P57" s="68" t="str">
        <x:v>为火提供生源并疏导湿土</x:v>
      </x:c>
      <x:c r="Q57" s="90" t="str">
        <x:v>木太旺会耗水、生火过度或克土</x:v>
      </x:c>
      <x:c r="R57" s="68" t="str">
        <x:v>寒湿主药为火，但火弱无源且木可生火</x:v>
      </x:c>
      <x:c r="S57" s="68" t="str">
        <x:v>木无根受金制，或木会根本破坏土格</x:v>
      </x:c>
      <x:c r="T57" s="68" t="str">
        <x:v>辅助火与土格/木旺冲突</x:v>
      </x:c>
      <x:c r="U57" s="68" t="str">
        <x:v>M18-CLIMATE-0028-V1.0</x:v>
      </x:c>
      <x:c r="V57" s="84" t="str">
        <x:v>辅助用神</x:v>
      </x:c>
      <x:c r="W57" s="82" t="str">
        <x:v>第二顺位</x:v>
      </x:c>
      <x:c r="X57" s="82" t="str">
        <x:v>是</x:v>
      </x:c>
      <x:c r="Y57" s="68" t="str">
        <x:v>木只作为火的生源和疏湿辅助</x:v>
      </x:c>
      <x:c r="Z57" s="84" t="str">
        <x:v>木助火化寒湿</x:v>
      </x:c>
      <x:c r="AA57" s="84" t="str">
        <x:v>木综合定位为“辅助用神”，优先级为“第二顺位”。主要收益：为火提供生源并疏导湿土；主要副作用：木太旺会耗水、生火过度或克土；仅在木只作为火的生源和疏湿辅助时成立。</x:v>
      </x:c>
      <x:c r="AB57" s="82" t="str">
        <x:v>较高</x:v>
      </x:c>
      <x:c r="AC57" s="82" t="str">
        <x:v>现代综合</x:v>
      </x:c>
      <x:c r="AD57" s="68" t="str">
        <x:v>喜忌用神必须同时读取扶抑、格局、通关、调候和病药五个维度。单一维度有利不足以自动成为主用；最终定位取决于是否解决根本问题、是否触犯格局硬约束、药力是否可达以及副作用是否可控。</x:v>
      </x:c>
      <x:c r="AE57" s="68" t="str">
        <x:v>满足“寒湿主药为火，但火弱无源且木可生火”，且主要收益大于副作用时，可按“寒湿时木可作为引火疏湿的辅助用神”定位。</x:v>
      </x:c>
      <x:c r="AF57" s="90" t="str">
        <x:v>若“木无根受金制，或木会根本破坏土格”成立，则不得按“寒湿时木可作为引火疏湿的辅助用神”无条件定位。</x:v>
      </x:c>
      <x:c r="AG57" s="82" t="str">
        <x:v>采用</x:v>
      </x:c>
      <x:c r="AH57" s="82" t="str">
        <x:v>初审</x:v>
      </x:c>
      <x:c r="AI57" s="87" t="n">
        <x:v>46260</x:v>
      </x:c>
    </x:row>
    <x:row r="58">
      <x:c r="A58" s="72" t="str">
        <x:f>IF(OR(C58="",D58=""),"",B58&amp;"-"&amp;UPPER(C58)&amp;"-"&amp;TEXT(D58,"0000")&amp;"-"&amp;E58)</x:f>
        <x:v>M17-TIAOHOU-0052-V1.0</x:v>
      </x:c>
      <x:c r="B58" s="74" t="str">
        <x:v>M17</x:v>
      </x:c>
      <x:c r="C58" s="74" t="str">
        <x:v>TIAOHOU</x:v>
      </x:c>
      <x:c r="D58" s="215" t="n">
        <x:v>52</x:v>
      </x:c>
      <x:c r="E58" s="74" t="str">
        <x:v>V1.0</x:v>
      </x:c>
      <x:c r="F58" s="68" t="str">
        <x:v>极热燥且水源不足时金可列生水辅助候选</x:v>
      </x:c>
      <x:c r="G58" s="82" t="str">
        <x:v>综合层</x:v>
      </x:c>
      <x:c r="H58" s="82" t="str">
        <x:v>金</x:v>
      </x:c>
      <x:c r="I58" s="82"/>
      <x:c r="J58" s="82" t="str">
        <x:v>调候用神</x:v>
      </x:c>
      <x:c r="K58" s="68" t="str">
        <x:v>金对日主作用另判</x:v>
      </x:c>
      <x:c r="L58" s="68" t="str">
        <x:v>须防金克木或破木格</x:v>
      </x:c>
      <x:c r="M58" s="68" t="str">
        <x:v>金→水，增强润燥降温药源</x:v>
      </x:c>
      <x:c r="N58" s="68" t="str">
        <x:v>间接增水，不直接替代水</x:v>
      </x:c>
      <x:c r="O58" s="68" t="str">
        <x:v>保护水药、治疗调候有形无力</x:v>
      </x:c>
      <x:c r="P58" s="68" t="str">
        <x:v>为弱水提供持续生源</x:v>
      </x:c>
      <x:c r="Q58" s="90" t="str">
        <x:v>金过旺克木、助寒或改变金格结构</x:v>
      </x:c>
      <x:c r="R58" s="68" t="str">
        <x:v>水为主调候药但无根无源，金能有效生水</x:v>
      </x:c>
      <x:c r="S58" s="68" t="str">
        <x:v>金受火重制、木为核心格神或金会加重寒凉</x:v>
      </x:c>
      <x:c r="T58" s="68" t="str">
        <x:v>生水辅助与木格/扶抑冲突</x:v>
      </x:c>
      <x:c r="U58" s="68" t="str">
        <x:v>M18-PATTERN-0020-V1.0</x:v>
      </x:c>
      <x:c r="V58" s="84" t="str">
        <x:v>辅助用神</x:v>
      </x:c>
      <x:c r="W58" s="82" t="str">
        <x:v>第二顺位</x:v>
      </x:c>
      <x:c r="X58" s="82" t="str">
        <x:v>是</x:v>
      </x:c>
      <x:c r="Y58" s="68" t="str">
        <x:v>金能真实生水且不造成更大克木问题</x:v>
      </x:c>
      <x:c r="Z58" s="84" t="str">
        <x:v>金生水辅助调候</x:v>
      </x:c>
      <x:c r="AA58" s="84" t="str">
        <x:v>金综合定位为“辅助用神”，优先级为“第二顺位”。主要收益：为弱水提供持续生源；主要副作用：金过旺克木、助寒或改变金格结构；仅在金能真实生水且不造成更大克木问题时成立。</x:v>
      </x:c>
      <x:c r="AB58" s="82" t="str">
        <x:v>较高</x:v>
      </x:c>
      <x:c r="AC58" s="82" t="str">
        <x:v>现代综合</x:v>
      </x:c>
      <x:c r="AD58" s="68" t="str">
        <x:v>喜忌用神必须同时读取扶抑、格局、通关、调候和病药五个维度。单一维度有利不足以自动成为主用；最终定位取决于是否解决根本问题、是否触犯格局硬约束、药力是否可达以及副作用是否可控。</x:v>
      </x:c>
      <x:c r="AE58" s="68" t="str">
        <x:v>满足“水为主调候药但无根无源，金能有效生水”，且主要收益大于副作用时，可按“极热燥且水源不足时金可列生水辅助候选”定位。</x:v>
      </x:c>
      <x:c r="AF58" s="90" t="str">
        <x:v>若“金受火重制、木为核心格神或金会加重寒凉”成立，则不得按“极热燥且水源不足时金可列生水辅助候选”无条件定位。</x:v>
      </x:c>
      <x:c r="AG58" s="82" t="str">
        <x:v>采用</x:v>
      </x:c>
      <x:c r="AH58" s="82" t="str">
        <x:v>初审</x:v>
      </x:c>
      <x:c r="AI58" s="87" t="n">
        <x:v>46260</x:v>
      </x:c>
    </x:row>
    <x:row r="59">
      <x:c r="A59" s="72" t="str">
        <x:f>IF(OR(C59="",D59=""),"",B59&amp;"-"&amp;UPPER(C59)&amp;"-"&amp;TEXT(D59,"0000")&amp;"-"&amp;E59)</x:f>
        <x:v>M17-TIAOHOU-0053-V1.0</x:v>
      </x:c>
      <x:c r="B59" s="74" t="str">
        <x:v>M17</x:v>
      </x:c>
      <x:c r="C59" s="74" t="str">
        <x:v>TIAOHOU</x:v>
      </x:c>
      <x:c r="D59" s="215" t="n">
        <x:v>53</x:v>
      </x:c>
      <x:c r="E59" s="74" t="str">
        <x:v>V1.0</x:v>
      </x:c>
      <x:c r="F59" s="68" t="str">
        <x:v>湿气过重时燥土只能作为条件性吸纳与承载候选</x:v>
      </x:c>
      <x:c r="G59" s="82" t="str">
        <x:v>综合层</x:v>
      </x:c>
      <x:c r="H59" s="82" t="str">
        <x:v>土</x:v>
      </x:c>
      <x:c r="I59" s="82"/>
      <x:c r="J59" s="82" t="str">
        <x:v>调候用神</x:v>
      </x:c>
      <x:c r="K59" s="68" t="str">
        <x:v>土对日主作用另判</x:v>
      </x:c>
      <x:c r="L59" s="68" t="str">
        <x:v>须区分湿土、燥土及土格</x:v>
      </x:c>
      <x:c r="M59" s="68" t="str">
        <x:v>可承水、制水，但可能堵塞水路</x:v>
      </x:c>
      <x:c r="N59" s="68" t="str">
        <x:v>适度降低湿度</x:v>
      </x:c>
      <x:c r="O59" s="68" t="str">
        <x:v>治疗局部水湿过量或终点无承载</x:v>
      </x:c>
      <x:c r="P59" s="68" t="str">
        <x:v>提供承载并节制过量水湿</x:v>
      </x:c>
      <x:c r="Q59" s="90" t="str">
        <x:v>土过旺会克水、埋金、湿滞或燥烈</x:v>
      </x:c>
      <x:c r="R59" s="68" t="str">
        <x:v>湿气过重且土能形成适度承载，不是湿土再增</x:v>
      </x:c>
      <x:c r="S59" s="68" t="str">
        <x:v>土已旺、湿土成势或水为关键格神/调候主药</x:v>
      </x:c>
      <x:c r="T59" s="68" t="str">
        <x:v>化湿与水路/格局冲突</x:v>
      </x:c>
      <x:c r="U59" s="68" t="str">
        <x:v>M18-CLIMATE-0028-V1.0</x:v>
      </x:c>
      <x:c r="V59" s="84" t="str">
        <x:v>条件性喜神</x:v>
      </x:c>
      <x:c r="W59" s="82" t="str">
        <x:v>条件顺位</x:v>
      </x:c>
      <x:c r="X59" s="82" t="str">
        <x:v>是</x:v>
      </x:c>
      <x:c r="Y59" s="68" t="str">
        <x:v>使用的是适度有效土，不得把湿土继续叠加</x:v>
      </x:c>
      <x:c r="Z59" s="84" t="str">
        <x:v>土承湿条件化</x:v>
      </x:c>
      <x:c r="AA59" s="84" t="str">
        <x:v>土综合定位为“条件性喜神”，优先级为“条件顺位”。主要收益：提供承载并节制过量水湿；主要副作用：土过旺会克水、埋金、湿滞或燥烈；仅在使用的是适度有效土，不得把湿土继续叠加时成立。</x:v>
      </x:c>
      <x:c r="AB59" s="82" t="str">
        <x:v>较高</x:v>
      </x:c>
      <x:c r="AC59" s="82" t="str">
        <x:v>现代综合</x:v>
      </x:c>
      <x:c r="AD59" s="68" t="str">
        <x:v>喜忌用神必须同时读取扶抑、格局、通关、调候和病药五个维度。单一维度有利不足以自动成为主用；最终定位取决于是否解决根本问题、是否触犯格局硬约束、药力是否可达以及副作用是否可控。</x:v>
      </x:c>
      <x:c r="AE59" s="68" t="str">
        <x:v>满足“湿气过重且土能形成适度承载，不是湿土再增”，且主要收益大于副作用时，可按“湿气过重时燥土只能作为条件性吸纳与承载候选”定位。</x:v>
      </x:c>
      <x:c r="AF59" s="90" t="str">
        <x:v>若“土已旺、湿土成势或水为关键格神/调候主药”成立，则不得按“湿气过重时燥土只能作为条件性吸纳与承载候选”无条件定位。</x:v>
      </x:c>
      <x:c r="AG59" s="82" t="str">
        <x:v>采用</x:v>
      </x:c>
      <x:c r="AH59" s="82" t="str">
        <x:v>初审</x:v>
      </x:c>
      <x:c r="AI59" s="87" t="n">
        <x:v>46260</x:v>
      </x:c>
    </x:row>
    <x:row r="60">
      <x:c r="A60" s="72" t="str">
        <x:f>IF(OR(C60="",D60=""),"",B60&amp;"-"&amp;UPPER(C60)&amp;"-"&amp;TEXT(D60,"0000")&amp;"-"&amp;E60)</x:f>
        <x:v>M17-TIAOHOU-0054-V1.0</x:v>
      </x:c>
      <x:c r="B60" s="74" t="str">
        <x:v>M17</x:v>
      </x:c>
      <x:c r="C60" s="74" t="str">
        <x:v>TIAOHOU</x:v>
      </x:c>
      <x:c r="D60" s="215" t="n">
        <x:v>54</x:v>
      </x:c>
      <x:c r="E60" s="74" t="str">
        <x:v>V1.0</x:v>
      </x:c>
      <x:c r="F60" s="68" t="str">
        <x:v>双轴平衡时调候维度应退出主用排序</x:v>
      </x:c>
      <x:c r="G60" s="82" t="str">
        <x:v>综合层</x:v>
      </x:c>
      <x:c r="H60" s="82"/>
      <x:c r="I60" s="82"/>
      <x:c r="J60" s="82" t="str">
        <x:v>调候用神</x:v>
      </x:c>
      <x:c r="K60" s="68" t="str">
        <x:v>不适用</x:v>
      </x:c>
      <x:c r="L60" s="68" t="str">
        <x:v>不适用</x:v>
      </x:c>
      <x:c r="M60" s="68" t="str">
        <x:v>不适用</x:v>
      </x:c>
      <x:c r="N60" s="68" t="str">
        <x:v>寒暖燥湿已平衡</x:v>
      </x:c>
      <x:c r="O60" s="68" t="str">
        <x:v>无调候病</x:v>
      </x:c>
      <x:c r="P60" s="68" t="str">
        <x:v>避免无必要改变气候平衡</x:v>
      </x:c>
      <x:c r="Q60" s="90" t="str">
        <x:v>错误调候会制造寒热燥湿新病</x:v>
      </x:c>
      <x:c r="R60" s="68" t="str">
        <x:v>M13双轴平衡且M16不立调候病</x:v>
      </x:c>
      <x:c r="S60" s="68" t="str">
        <x:v>其他模块需要同一五行，但其来源不再是调候</x:v>
      </x:c>
      <x:c r="T60" s="68" t="str">
        <x:v>无</x:v>
      </x:c>
      <x:c r="U60" s="68"/>
      <x:c r="V60" s="84" t="str">
        <x:v>中性</x:v>
      </x:c>
      <x:c r="W60" s="82" t="str">
        <x:v>不采用</x:v>
      </x:c>
      <x:c r="X60" s="82" t="str">
        <x:v>否</x:v>
      </x:c>
      <x:c r="Y60" s="68" t="str">
        <x:v>调候不作为该命局主用来源</x:v>
      </x:c>
      <x:c r="Z60" s="84" t="str">
        <x:v>调候平衡退出</x:v>
      </x:c>
      <x:c r="AA60" s="84" t="str">
        <x:v>该候选五行综合定位为“中性”，优先级为“不采用”。主要收益：避免无必要改变气候平衡；主要副作用：错误调候会制造寒热燥湿新病；调候不作为该命局主用来源。</x:v>
      </x:c>
      <x:c r="AB60" s="82" t="str">
        <x:v>较高</x:v>
      </x:c>
      <x:c r="AC60" s="82" t="str">
        <x:v>现代综合</x:v>
      </x:c>
      <x:c r="AD60" s="68" t="str">
        <x:v>喜忌用神必须同时读取扶抑、格局、通关、调候和病药五个维度。单一维度有利不足以自动成为主用；最终定位取决于是否解决根本问题、是否触犯格局硬约束、药力是否可达以及副作用是否可控。</x:v>
      </x:c>
      <x:c r="AE60" s="68" t="str">
        <x:v>满足“M13双轴平衡且M16不立调候病”，且主要收益大于副作用时，可按“双轴平衡时调候维度应退出主用排序”定位。</x:v>
      </x:c>
      <x:c r="AF60" s="90" t="str">
        <x:v>若“其他模块需要同一五行，但其来源不再是调候”成立，则不得按“双轴平衡时调候维度应退出主用排序”无条件定位。</x:v>
      </x:c>
      <x:c r="AG60" s="82" t="str">
        <x:v>采用</x:v>
      </x:c>
      <x:c r="AH60" s="82" t="str">
        <x:v>初审</x:v>
      </x:c>
      <x:c r="AI60" s="87" t="n">
        <x:v>46260</x:v>
      </x:c>
    </x:row>
    <x:row r="61">
      <x:c r="A61" s="72" t="str">
        <x:f>IF(OR(C61="",D61=""),"",B61&amp;"-"&amp;UPPER(C61)&amp;"-"&amp;TEXT(D61,"0000")&amp;"-"&amp;E61)</x:f>
        <x:v>M17-BINGYAO-0055-V1.0</x:v>
      </x:c>
      <x:c r="B61" s="74" t="str">
        <x:v>M17</x:v>
      </x:c>
      <x:c r="C61" s="74" t="str">
        <x:v>BINGYAO</x:v>
      </x:c>
      <x:c r="D61" s="215" t="n">
        <x:v>55</x:v>
      </x:c>
      <x:c r="E61" s="74" t="str">
        <x:v>V1.0</x:v>
      </x:c>
      <x:c r="F61" s="68" t="str">
        <x:v>M16根本主病对应的直接主药优先进入主用候选</x:v>
      </x:c>
      <x:c r="G61" s="82" t="str">
        <x:v>综合层</x:v>
      </x:c>
      <x:c r="H61" s="82"/>
      <x:c r="I61" s="82"/>
      <x:c r="J61" s="82" t="str">
        <x:v>病药用神</x:v>
      </x:c>
      <x:c r="K61" s="68" t="str">
        <x:v>按主药与日主关系复核</x:v>
      </x:c>
      <x:c r="L61" s="68" t="str">
        <x:v>检查是否护格或伤格</x:v>
      </x:c>
      <x:c r="M61" s="68" t="str">
        <x:v>检查能否触达主病位</x:v>
      </x:c>
      <x:c r="N61" s="68" t="str">
        <x:v>检查是否制造反向调候病</x:v>
      </x:c>
      <x:c r="O61" s="68" t="str">
        <x:v>直接治疗根本主病</x:v>
      </x:c>
      <x:c r="P61" s="68" t="str">
        <x:v>优先解决解释力最强的共同根因</x:v>
      </x:c>
      <x:c r="Q61" s="90" t="str">
        <x:v>药过、药伤格或新病风险</x:v>
      </x:c>
      <x:c r="R61" s="68" t="str">
        <x:v>M16已确定一个根本主病和直接主药</x:v>
      </x:c>
      <x:c r="S61" s="68" t="str">
        <x:v>主药无根无源、无法进入病位或触犯硬约束</x:v>
      </x:c>
      <x:c r="T61" s="68" t="str">
        <x:v>病药与其他四维冲突</x:v>
      </x:c>
      <x:c r="U61" s="68" t="str">
        <x:v>M18-GEN-0001-V1.0</x:v>
      </x:c>
      <x:c r="V61" s="84" t="str">
        <x:v>主用神</x:v>
      </x:c>
      <x:c r="W61" s="82" t="str">
        <x:v>第一顺位</x:v>
      </x:c>
      <x:c r="X61" s="82" t="str">
        <x:v>条件性</x:v>
      </x:c>
      <x:c r="Y61" s="68" t="str">
        <x:v>主药有效且净收益最高</x:v>
      </x:c>
      <x:c r="Z61" s="84" t="str">
        <x:v>根本病主药入主用</x:v>
      </x:c>
      <x:c r="AA61" s="84" t="str">
        <x:v>该候选五行综合定位为“主用神”，优先级为“第一顺位”。主要收益：优先解决解释力最强的共同根因；主要副作用：药过、药伤格或新病风险；仅在主药有效且净收益最高时成立。</x:v>
      </x:c>
      <x:c r="AB61" s="82" t="str">
        <x:v>较高</x:v>
      </x:c>
      <x:c r="AC61" s="82" t="str">
        <x:v>现代综合</x:v>
      </x:c>
      <x:c r="AD61" s="68" t="str">
        <x:v>喜忌用神必须同时读取扶抑、格局、通关、调候和病药五个维度。单一维度有利不足以自动成为主用；最终定位取决于是否解决根本问题、是否触犯格局硬约束、药力是否可达以及副作用是否可控。</x:v>
      </x:c>
      <x:c r="AE61" s="68" t="str">
        <x:v>满足“M16已确定一个根本主病和直接主药”，且主要收益大于副作用时，可按“M16根本主病对应的直接主药优先进入主用候选”定位。</x:v>
      </x:c>
      <x:c r="AF61" s="90" t="str">
        <x:v>若“主药无根无源、无法进入病位或触犯硬约束”成立，则不得按“M16根本主病对应的直接主药优先进入主用候选”无条件定位。</x:v>
      </x:c>
      <x:c r="AG61" s="82" t="str">
        <x:v>采用</x:v>
      </x:c>
      <x:c r="AH61" s="82" t="str">
        <x:v>初审</x:v>
      </x:c>
      <x:c r="AI61" s="87" t="n">
        <x:v>46260</x:v>
      </x:c>
    </x:row>
    <x:row r="62">
      <x:c r="A62" s="72" t="str">
        <x:f>IF(OR(C62="",D62=""),"",B62&amp;"-"&amp;UPPER(C62)&amp;"-"&amp;TEXT(D62,"0000")&amp;"-"&amp;E62)</x:f>
        <x:v>M17-BINGYAO-0056-V1.0</x:v>
      </x:c>
      <x:c r="B62" s="74" t="str">
        <x:v>M17</x:v>
      </x:c>
      <x:c r="C62" s="74" t="str">
        <x:v>BINGYAO</x:v>
      </x:c>
      <x:c r="D62" s="215" t="n">
        <x:v>56</x:v>
      </x:c>
      <x:c r="E62" s="74" t="str">
        <x:v>V1.0</x:v>
      </x:c>
      <x:c r="F62" s="68" t="str">
        <x:v>辅助药只解决主药药力或配伍问题时列辅助用神</x:v>
      </x:c>
      <x:c r="G62" s="82" t="str">
        <x:v>综合层</x:v>
      </x:c>
      <x:c r="H62" s="82"/>
      <x:c r="I62" s="82"/>
      <x:c r="J62" s="82" t="str">
        <x:v>病药用神</x:v>
      </x:c>
      <x:c r="K62" s="68" t="str">
        <x:v>视辅助药关系而定</x:v>
      </x:c>
      <x:c r="L62" s="68" t="str">
        <x:v>可保护主药或格神</x:v>
      </x:c>
      <x:c r="M62" s="68" t="str">
        <x:v>补桥、护根或建立终点承载</x:v>
      </x:c>
      <x:c r="N62" s="68" t="str">
        <x:v>可控制主药调候副作用</x:v>
      </x:c>
      <x:c r="O62" s="68" t="str">
        <x:v>增强主药、保护主药或处理次病</x:v>
      </x:c>
      <x:c r="P62" s="68" t="str">
        <x:v>使主药能够稳定到达病位</x:v>
      </x:c>
      <x:c r="Q62" s="90" t="str">
        <x:v>辅助药过强可能反客为主</x:v>
      </x:c>
      <x:c r="R62" s="68" t="str">
        <x:v>M16明确辅助药和主药之间的配伍路径</x:v>
      </x:c>
      <x:c r="S62" s="68" t="str">
        <x:v>辅助药无实际作用路径或副作用超过主药收益</x:v>
      </x:c>
      <x:c r="T62" s="68" t="str">
        <x:v>辅助药容量与副作用</x:v>
      </x:c>
      <x:c r="U62" s="68" t="str">
        <x:v>M18-DOSE-0064-V1.0</x:v>
      </x:c>
      <x:c r="V62" s="84" t="str">
        <x:v>辅助用神</x:v>
      </x:c>
      <x:c r="W62" s="82" t="str">
        <x:v>第二顺位</x:v>
      </x:c>
      <x:c r="X62" s="82" t="str">
        <x:v>条件性</x:v>
      </x:c>
      <x:c r="Y62" s="68" t="str">
        <x:v>仅服务主药或次病，不替代根本主药</x:v>
      </x:c>
      <x:c r="Z62" s="84" t="str">
        <x:v>病药辅助用神</x:v>
      </x:c>
      <x:c r="AA62" s="84" t="str">
        <x:v>该候选五行综合定位为“辅助用神”，优先级为“第二顺位”。主要收益：使主药能够稳定到达病位；主要副作用：辅助药过强可能反客为主；仅在仅服务主药或次病，不替代根本主药时成立。</x:v>
      </x:c>
      <x:c r="AB62" s="82" t="str">
        <x:v>较高</x:v>
      </x:c>
      <x:c r="AC62" s="82" t="str">
        <x:v>现代综合</x:v>
      </x:c>
      <x:c r="AD62" s="68" t="str">
        <x:v>喜忌用神必须同时读取扶抑、格局、通关、调候和病药五个维度。单一维度有利不足以自动成为主用；最终定位取决于是否解决根本问题、是否触犯格局硬约束、药力是否可达以及副作用是否可控。</x:v>
      </x:c>
      <x:c r="AE62" s="68" t="str">
        <x:v>满足“M16明确辅助药和主药之间的配伍路径”，且主要收益大于副作用时，可按“辅助药只解决主药药力或配伍问题时列辅助用神”定位。</x:v>
      </x:c>
      <x:c r="AF62" s="90" t="str">
        <x:v>若“辅助药无实际作用路径或副作用超过主药收益”成立，则不得按“辅助药只解决主药药力或配伍问题时列辅助用神”无条件定位。</x:v>
      </x:c>
      <x:c r="AG62" s="82" t="str">
        <x:v>采用</x:v>
      </x:c>
      <x:c r="AH62" s="82" t="str">
        <x:v>初审</x:v>
      </x:c>
      <x:c r="AI62" s="87" t="n">
        <x:v>46260</x:v>
      </x:c>
    </x:row>
    <x:row r="63">
      <x:c r="A63" s="72" t="str">
        <x:f>IF(OR(C63="",D63=""),"",B63&amp;"-"&amp;UPPER(C63)&amp;"-"&amp;TEXT(D63,"0000")&amp;"-"&amp;E63)</x:f>
        <x:v>M17-BINGYAO-0057-V1.0</x:v>
      </x:c>
      <x:c r="B63" s="74" t="str">
        <x:v>M17</x:v>
      </x:c>
      <x:c r="C63" s="74" t="str">
        <x:v>BINGYAO</x:v>
      </x:c>
      <x:c r="D63" s="215" t="n">
        <x:v>57</x:v>
      </x:c>
      <x:c r="E63" s="74" t="str">
        <x:v>V1.0</x:v>
      </x:c>
      <x:c r="F63" s="68" t="str">
        <x:v>药神无根无源时不得列无条件主用</x:v>
      </x:c>
      <x:c r="G63" s="82" t="str">
        <x:v>综合层</x:v>
      </x:c>
      <x:c r="H63" s="82"/>
      <x:c r="I63" s="82"/>
      <x:c r="J63" s="82" t="str">
        <x:v>病药用神</x:v>
      </x:c>
      <x:c r="K63" s="68" t="str">
        <x:v>理论有利</x:v>
      </x:c>
      <x:c r="L63" s="68" t="str">
        <x:v>待定</x:v>
      </x:c>
      <x:c r="M63" s="68" t="str">
        <x:v>无法稳定到达病位</x:v>
      </x:c>
      <x:c r="N63" s="68" t="str">
        <x:v>待定</x:v>
      </x:c>
      <x:c r="O63" s="68" t="str">
        <x:v>药力不足</x:v>
      </x:c>
      <x:c r="P63" s="68" t="str">
        <x:v>提供治疗方向</x:v>
      </x:c>
      <x:c r="Q63" s="90" t="str">
        <x:v>名义有药而实际无药力</x:v>
      </x:c>
      <x:c r="R63" s="68" t="str">
        <x:v>可通过有效生源、根气或替代路径增强</x:v>
      </x:c>
      <x:c r="S63" s="68" t="str">
        <x:v>完全没有补强条件或存在更有效替代药</x:v>
      </x:c>
      <x:c r="T63" s="68" t="str">
        <x:v>药力有效性不足</x:v>
      </x:c>
      <x:c r="U63" s="68" t="str">
        <x:v>M18-MED-0046-V1.0</x:v>
      </x:c>
      <x:c r="V63" s="84" t="str">
        <x:v>条件性喜神</x:v>
      </x:c>
      <x:c r="W63" s="82" t="str">
        <x:v>条件顺位</x:v>
      </x:c>
      <x:c r="X63" s="82" t="str">
        <x:v>是</x:v>
      </x:c>
      <x:c r="Y63" s="68" t="str">
        <x:v>必须先具备有效根源和作用路径</x:v>
      </x:c>
      <x:c r="Z63" s="84" t="str">
        <x:v>无根药神降级</x:v>
      </x:c>
      <x:c r="AA63" s="84" t="str">
        <x:v>该候选五行综合定位为“条件性喜神”，优先级为“条件顺位”。主要收益：提供治疗方向；主要副作用：名义有药而实际无药力；仅在必须先具备有效根源和作用路径时成立。</x:v>
      </x:c>
      <x:c r="AB63" s="82" t="str">
        <x:v>较高</x:v>
      </x:c>
      <x:c r="AC63" s="82" t="str">
        <x:v>现代综合</x:v>
      </x:c>
      <x:c r="AD63" s="68" t="str">
        <x:v>喜忌用神必须同时读取扶抑、格局、通关、调候和病药五个维度。单一维度有利不足以自动成为主用；最终定位取决于是否解决根本问题、是否触犯格局硬约束、药力是否可达以及副作用是否可控。</x:v>
      </x:c>
      <x:c r="AE63" s="68" t="str">
        <x:v>满足“可通过有效生源、根气或替代路径增强”，且主要收益大于副作用时，可按“药神无根无源时不得列无条件主用”定位。</x:v>
      </x:c>
      <x:c r="AF63" s="90" t="str">
        <x:v>若“完全没有补强条件或存在更有效替代药”成立，则不得按“药神无根无源时不得列无条件主用”无条件定位。</x:v>
      </x:c>
      <x:c r="AG63" s="82" t="str">
        <x:v>采用</x:v>
      </x:c>
      <x:c r="AH63" s="82" t="str">
        <x:v>初审</x:v>
      </x:c>
      <x:c r="AI63" s="87" t="n">
        <x:v>46260</x:v>
      </x:c>
    </x:row>
    <x:row r="64">
      <x:c r="A64" s="72" t="str">
        <x:f>IF(OR(C64="",D64=""),"",B64&amp;"-"&amp;UPPER(C64)&amp;"-"&amp;TEXT(D64,"0000")&amp;"-"&amp;E64)</x:f>
        <x:v>M17-BINGYAO-0058-V1.0</x:v>
      </x:c>
      <x:c r="B64" s="74" t="str">
        <x:v>M17</x:v>
      </x:c>
      <x:c r="C64" s="74" t="str">
        <x:v>BINGYAO</x:v>
      </x:c>
      <x:c r="D64" s="215" t="n">
        <x:v>58</x:v>
      </x:c>
      <x:c r="E64" s="74" t="str">
        <x:v>V1.0</x:v>
      </x:c>
      <x:c r="F64" s="68" t="str">
        <x:v>药神被强克或合绊时应下调定位</x:v>
      </x:c>
      <x:c r="G64" s="82" t="str">
        <x:v>综合层</x:v>
      </x:c>
      <x:c r="H64" s="82"/>
      <x:c r="I64" s="82"/>
      <x:c r="J64" s="82" t="str">
        <x:v>病药用神</x:v>
      </x:c>
      <x:c r="K64" s="68" t="str">
        <x:v>理论正向</x:v>
      </x:c>
      <x:c r="L64" s="68" t="str">
        <x:v>待定</x:v>
      </x:c>
      <x:c r="M64" s="68" t="str">
        <x:v>药路被截断或占用</x:v>
      </x:c>
      <x:c r="N64" s="68" t="str">
        <x:v>待定</x:v>
      </x:c>
      <x:c r="O64" s="68" t="str">
        <x:v>只能部分治疗病位</x:v>
      </x:c>
      <x:c r="P64" s="68" t="str">
        <x:v>仍可能提供局部修复</x:v>
      </x:c>
      <x:c r="Q64" s="90" t="str">
        <x:v>药力不稳定，强行解克解合可能破格</x:v>
      </x:c>
      <x:c r="R64" s="68" t="str">
        <x:v>制约可被解除或存在独立药源</x:v>
      </x:c>
      <x:c r="S64" s="68" t="str">
        <x:v>药神已失效且无替代路径</x:v>
      </x:c>
      <x:c r="T64" s="68" t="str">
        <x:v>药效与解制副作用</x:v>
      </x:c>
      <x:c r="U64" s="68" t="str">
        <x:v>M18-DOSE-0067-V1.0</x:v>
      </x:c>
      <x:c r="V64" s="84" t="str">
        <x:v>条件性喜神</x:v>
      </x:c>
      <x:c r="W64" s="82" t="str">
        <x:v>条件顺位</x:v>
      </x:c>
      <x:c r="X64" s="82" t="str">
        <x:v>是</x:v>
      </x:c>
      <x:c r="Y64" s="68" t="str">
        <x:v>药神功能恢复后方可提高定位</x:v>
      </x:c>
      <x:c r="Z64" s="84" t="str">
        <x:v>受制药神降级</x:v>
      </x:c>
      <x:c r="AA64" s="84" t="str">
        <x:v>该候选五行综合定位为“条件性喜神”，优先级为“条件顺位”。主要收益：仍可能提供局部修复；主要副作用：药力不稳定，强行解克解合可能破格；仅在药神功能恢复后方可提高定位时成立。</x:v>
      </x:c>
      <x:c r="AB64" s="82" t="str">
        <x:v>较高</x:v>
      </x:c>
      <x:c r="AC64" s="82" t="str">
        <x:v>现代综合</x:v>
      </x:c>
      <x:c r="AD64" s="68" t="str">
        <x:v>喜忌用神必须同时读取扶抑、格局、通关、调候和病药五个维度。单一维度有利不足以自动成为主用；最终定位取决于是否解决根本问题、是否触犯格局硬约束、药力是否可达以及副作用是否可控。</x:v>
      </x:c>
      <x:c r="AE64" s="68" t="str">
        <x:v>满足“制约可被解除或存在独立药源”，且主要收益大于副作用时，可按“药神被强克或合绊时应下调定位”定位。</x:v>
      </x:c>
      <x:c r="AF64" s="90" t="str">
        <x:v>若“药神已失效且无替代路径”成立，则不得按“药神被强克或合绊时应下调定位”无条件定位。</x:v>
      </x:c>
      <x:c r="AG64" s="82" t="str">
        <x:v>采用</x:v>
      </x:c>
      <x:c r="AH64" s="82" t="str">
        <x:v>初审</x:v>
      </x:c>
      <x:c r="AI64" s="87" t="n">
        <x:v>46260</x:v>
      </x:c>
    </x:row>
    <x:row r="65">
      <x:c r="A65" s="72" t="str">
        <x:f>IF(OR(C65="",D65=""),"",B65&amp;"-"&amp;UPPER(C65)&amp;"-"&amp;TEXT(D65,"0000")&amp;"-"&amp;E65)</x:f>
        <x:v>M17-BINGYAO-0059-V1.0</x:v>
      </x:c>
      <x:c r="B65" s="74" t="str">
        <x:v>M17</x:v>
      </x:c>
      <x:c r="C65" s="74" t="str">
        <x:v>BINGYAO</x:v>
      </x:c>
      <x:c r="D65" s="215" t="n">
        <x:v>59</x:v>
      </x:c>
      <x:c r="E65" s="74" t="str">
        <x:v>V1.0</x:v>
      </x:c>
      <x:c r="F65" s="68" t="str">
        <x:v>一药多效且无硬冲突时可由喜神升级为主用</x:v>
      </x:c>
      <x:c r="G65" s="82" t="str">
        <x:v>综合层</x:v>
      </x:c>
      <x:c r="H65" s="82"/>
      <x:c r="I65" s="82"/>
      <x:c r="J65" s="82" t="str">
        <x:v>复合来源</x:v>
      </x:c>
      <x:c r="K65" s="68" t="str">
        <x:v>正向或中性</x:v>
      </x:c>
      <x:c r="L65" s="68" t="str">
        <x:v>护格或不伤格</x:v>
      </x:c>
      <x:c r="M65" s="68" t="str">
        <x:v>修复主卡点</x:v>
      </x:c>
      <x:c r="N65" s="68" t="str">
        <x:v>改善或不恶化调候</x:v>
      </x:c>
      <x:c r="O65" s="68" t="str">
        <x:v>治疗根本病</x:v>
      </x:c>
      <x:c r="P65" s="68" t="str">
        <x:v>同时覆盖多个主要问题，减少药神数量与冲突</x:v>
      </x:c>
      <x:c r="Q65" s="90" t="str">
        <x:v>需防药力集中后过量</x:v>
      </x:c>
      <x:c r="R65" s="68" t="str">
        <x:v>至少三个独立维度同向，且包括病药或格局关键维度</x:v>
      </x:c>
      <x:c r="S65" s="68" t="str">
        <x:v>证据同源重复或存在一个硬否决</x:v>
      </x:c>
      <x:c r="T65" s="68" t="str">
        <x:v>多维一致但需剂量控制</x:v>
      </x:c>
      <x:c r="U65" s="68" t="str">
        <x:v>M18-DOSE-0066-V1.0</x:v>
      </x:c>
      <x:c r="V65" s="84" t="str">
        <x:v>主用神</x:v>
      </x:c>
      <x:c r="W65" s="82" t="str">
        <x:v>第一顺位</x:v>
      </x:c>
      <x:c r="X65" s="82" t="str">
        <x:v>条件性</x:v>
      </x:c>
      <x:c r="Y65" s="68" t="str">
        <x:v>多个独立维度真实同向且药量可控</x:v>
      </x:c>
      <x:c r="Z65" s="84" t="str">
        <x:v>一药多效升级主用</x:v>
      </x:c>
      <x:c r="AA65" s="84" t="str">
        <x:v>该候选五行综合定位为“主用神”，优先级为“第一顺位”。主要收益：同时覆盖多个主要问题，减少药神数量与冲突；主要副作用：需防药力集中后过量；仅在多个独立维度真实同向且药量可控时成立。</x:v>
      </x:c>
      <x:c r="AB65" s="82" t="str">
        <x:v>较高</x:v>
      </x:c>
      <x:c r="AC65" s="82" t="str">
        <x:v>现代综合</x:v>
      </x:c>
      <x:c r="AD65" s="68" t="str">
        <x:v>喜忌用神必须同时读取扶抑、格局、通关、调候和病药五个维度。单一维度有利不足以自动成为主用；最终定位取决于是否解决根本问题、是否触犯格局硬约束、药力是否可达以及副作用是否可控。</x:v>
      </x:c>
      <x:c r="AE65" s="68" t="str">
        <x:v>满足“至少三个独立维度同向，且包括病药或格局关键维度”，且主要收益大于副作用时，可按“一药多效且无硬冲突时可由喜神升级为主用”定位。</x:v>
      </x:c>
      <x:c r="AF65" s="90" t="str">
        <x:v>若“证据同源重复或存在一个硬否决”成立，则不得按“一药多效且无硬冲突时可由喜神升级为主用”无条件定位。</x:v>
      </x:c>
      <x:c r="AG65" s="82" t="str">
        <x:v>采用</x:v>
      </x:c>
      <x:c r="AH65" s="82" t="str">
        <x:v>初审</x:v>
      </x:c>
      <x:c r="AI65" s="87" t="n">
        <x:v>46260</x:v>
      </x:c>
    </x:row>
    <x:row r="66">
      <x:c r="A66" s="72" t="str">
        <x:f>IF(OR(C66="",D66=""),"",B66&amp;"-"&amp;UPPER(C66)&amp;"-"&amp;TEXT(D66,"0000")&amp;"-"&amp;E66)</x:f>
        <x:v>M17-BINGYAO-0060-V1.0</x:v>
      </x:c>
      <x:c r="B66" s="74" t="str">
        <x:v>M17</x:v>
      </x:c>
      <x:c r="C66" s="74" t="str">
        <x:v>BINGYAO</x:v>
      </x:c>
      <x:c r="D66" s="215" t="n">
        <x:v>60</x:v>
      </x:c>
      <x:c r="E66" s="74" t="str">
        <x:v>V1.0</x:v>
      </x:c>
      <x:c r="F66" s="68" t="str">
        <x:v>药神能治次病但不能触达主病时仅列喜神或辅助</x:v>
      </x:c>
      <x:c r="G66" s="82" t="str">
        <x:v>综合层</x:v>
      </x:c>
      <x:c r="H66" s="82"/>
      <x:c r="I66" s="82"/>
      <x:c r="J66" s="82" t="str">
        <x:v>病药用神</x:v>
      </x:c>
      <x:c r="K66" s="68" t="str">
        <x:v>待定</x:v>
      </x:c>
      <x:c r="L66" s="68" t="str">
        <x:v>待定</x:v>
      </x:c>
      <x:c r="M66" s="68" t="str">
        <x:v>只修复次级路径</x:v>
      </x:c>
      <x:c r="N66" s="68" t="str">
        <x:v>可能正向</x:v>
      </x:c>
      <x:c r="O66" s="68" t="str">
        <x:v>治疗次病，不治疗根本病</x:v>
      </x:c>
      <x:c r="P66" s="68" t="str">
        <x:v>改善局部功能</x:v>
      </x:c>
      <x:c r="Q66" s="90" t="str">
        <x:v>不能替代根本主药，可能分散药力</x:v>
      </x:c>
      <x:c r="R66" s="68" t="str">
        <x:v>根本主病已有更直接主药</x:v>
      </x:c>
      <x:c r="S66" s="68" t="str">
        <x:v>该药会干扰根本主药或制造新病</x:v>
      </x:c>
      <x:c r="T66" s="68" t="str">
        <x:v>主病与次病优先级</x:v>
      </x:c>
      <x:c r="U66" s="68" t="str">
        <x:v>M18-MED-0047-V1.0</x:v>
      </x:c>
      <x:c r="V66" s="84" t="str">
        <x:v>喜神</x:v>
      </x:c>
      <x:c r="W66" s="82" t="str">
        <x:v>第三顺位</x:v>
      </x:c>
      <x:c r="X66" s="82" t="str">
        <x:v>条件性</x:v>
      </x:c>
      <x:c r="Y66" s="68" t="str">
        <x:v>只在主病已得到控制后作为次级改善</x:v>
      </x:c>
      <x:c r="Z66" s="84" t="str">
        <x:v>次病药降级</x:v>
      </x:c>
      <x:c r="AA66" s="84" t="str">
        <x:v>该候选五行综合定位为“喜神”，优先级为“第三顺位”。主要收益：改善局部功能；主要副作用：不能替代根本主药，可能分散药力；仅在只在主病已得到控制后作为次级改善时成立。</x:v>
      </x:c>
      <x:c r="AB66" s="82" t="str">
        <x:v>较高</x:v>
      </x:c>
      <x:c r="AC66" s="82" t="str">
        <x:v>现代综合</x:v>
      </x:c>
      <x:c r="AD66" s="68" t="str">
        <x:v>喜忌用神必须同时读取扶抑、格局、通关、调候和病药五个维度。单一维度有利不足以自动成为主用；最终定位取决于是否解决根本问题、是否触犯格局硬约束、药力是否可达以及副作用是否可控。</x:v>
      </x:c>
      <x:c r="AE66" s="68" t="str">
        <x:v>满足“根本主病已有更直接主药”，且主要收益大于副作用时，可按“药神能治次病但不能触达主病时仅列喜神或辅助”定位。</x:v>
      </x:c>
      <x:c r="AF66" s="90" t="str">
        <x:v>若“该药会干扰根本主药或制造新病”成立，则不得按“药神能治次病但不能触达主病时仅列喜神或辅助”无条件定位。</x:v>
      </x:c>
      <x:c r="AG66" s="82" t="str">
        <x:v>采用</x:v>
      </x:c>
      <x:c r="AH66" s="82" t="str">
        <x:v>初审</x:v>
      </x:c>
      <x:c r="AI66" s="87" t="n">
        <x:v>46260</x:v>
      </x:c>
    </x:row>
    <x:row r="67">
      <x:c r="A67" s="72" t="str">
        <x:f>IF(OR(C67="",D67=""),"",B67&amp;"-"&amp;UPPER(C67)&amp;"-"&amp;TEXT(D67,"0000")&amp;"-"&amp;E67)</x:f>
        <x:v>M17-BINGYAO-0061-V1.0</x:v>
      </x:c>
      <x:c r="B67" s="74" t="str">
        <x:v>M17</x:v>
      </x:c>
      <x:c r="C67" s="74" t="str">
        <x:v>BINGYAO</x:v>
      </x:c>
      <x:c r="D67" s="215" t="n">
        <x:v>61</x:v>
      </x:c>
      <x:c r="E67" s="74" t="str">
        <x:v>V1.0</x:v>
      </x:c>
      <x:c r="F67" s="68" t="str">
        <x:v>药过会形成反向病时应标记条件性而非无条件喜</x:v>
      </x:c>
      <x:c r="G67" s="82" t="str">
        <x:v>综合层</x:v>
      </x:c>
      <x:c r="H67" s="82"/>
      <x:c r="I67" s="82"/>
      <x:c r="J67" s="82" t="str">
        <x:v>病药用神</x:v>
      </x:c>
      <x:c r="K67" s="68" t="str">
        <x:v>适量正向、过量反向</x:v>
      </x:c>
      <x:c r="L67" s="68" t="str">
        <x:v>过量可能破格</x:v>
      </x:c>
      <x:c r="M67" s="68" t="str">
        <x:v>过量可能截流或终点过旺</x:v>
      </x:c>
      <x:c r="N67" s="68" t="str">
        <x:v>过量可能反向寒热燥湿</x:v>
      </x:c>
      <x:c r="O67" s="68" t="str">
        <x:v>适量治病、过量成病</x:v>
      </x:c>
      <x:c r="P67" s="68" t="str">
        <x:v>在合适强度下修复主病</x:v>
      </x:c>
      <x:c r="Q67" s="90" t="str">
        <x:v>跨越平衡形成新病</x:v>
      </x:c>
      <x:c r="R67" s="68" t="str">
        <x:v>可明确控制作用条件和强度</x:v>
      </x:c>
      <x:c r="S67" s="68" t="str">
        <x:v>原局该药已经过旺或新病不可控</x:v>
      </x:c>
      <x:c r="T67" s="68" t="str">
        <x:v>药量与反向病</x:v>
      </x:c>
      <x:c r="U67" s="68" t="str">
        <x:v>M18-DOSE-0062-V1.0</x:v>
      </x:c>
      <x:c r="V67" s="84" t="str">
        <x:v>条件性喜神</x:v>
      </x:c>
      <x:c r="W67" s="82" t="str">
        <x:v>条件顺位</x:v>
      </x:c>
      <x:c r="X67" s="82" t="str">
        <x:v>是</x:v>
      </x:c>
      <x:c r="Y67" s="68" t="str">
        <x:v>只取适量，不宜继续增强</x:v>
      </x:c>
      <x:c r="Z67" s="84" t="str">
        <x:v>药量边界条件化</x:v>
      </x:c>
      <x:c r="AA67" s="84" t="str">
        <x:v>该候选五行综合定位为“条件性喜神”，优先级为“条件顺位”。主要收益：在合适强度下修复主病；主要副作用：跨越平衡形成新病；仅在只取适量，不宜继续增强时成立。</x:v>
      </x:c>
      <x:c r="AB67" s="82" t="str">
        <x:v>较高</x:v>
      </x:c>
      <x:c r="AC67" s="82" t="str">
        <x:v>现代综合</x:v>
      </x:c>
      <x:c r="AD67" s="68" t="str">
        <x:v>喜忌用神必须同时读取扶抑、格局、通关、调候和病药五个维度。单一维度有利不足以自动成为主用；最终定位取决于是否解决根本问题、是否触犯格局硬约束、药力是否可达以及副作用是否可控。</x:v>
      </x:c>
      <x:c r="AE67" s="68" t="str">
        <x:v>满足“可明确控制作用条件和强度”，且主要收益大于副作用时，可按“药过会形成反向病时应标记条件性而非无条件喜”定位。</x:v>
      </x:c>
      <x:c r="AF67" s="90" t="str">
        <x:v>若“原局该药已经过旺或新病不可控”成立，则不得按“药过会形成反向病时应标记条件性而非无条件喜”无条件定位。</x:v>
      </x:c>
      <x:c r="AG67" s="82" t="str">
        <x:v>采用</x:v>
      </x:c>
      <x:c r="AH67" s="82" t="str">
        <x:v>初审</x:v>
      </x:c>
      <x:c r="AI67" s="87" t="n">
        <x:v>46260</x:v>
      </x:c>
    </x:row>
    <x:row r="68">
      <x:c r="A68" s="72" t="str">
        <x:f>IF(OR(C68="",D68=""),"",B68&amp;"-"&amp;UPPER(C68)&amp;"-"&amp;TEXT(D68,"0000")&amp;"-"&amp;E68)</x:f>
        <x:v>M17-BINGYAO-0062-V1.0</x:v>
      </x:c>
      <x:c r="B68" s="74" t="str">
        <x:v>M17</x:v>
      </x:c>
      <x:c r="C68" s="74" t="str">
        <x:v>BINGYAO</x:v>
      </x:c>
      <x:c r="D68" s="215" t="n">
        <x:v>62</x:v>
      </x:c>
      <x:c r="E68" s="74" t="str">
        <x:v>V1.0</x:v>
      </x:c>
      <x:c r="F68" s="68" t="str">
        <x:v>主药伤格且无替代保护时可转为条件性忌神</x:v>
      </x:c>
      <x:c r="G68" s="82" t="str">
        <x:v>综合层</x:v>
      </x:c>
      <x:c r="H68" s="82"/>
      <x:c r="I68" s="82"/>
      <x:c r="J68" s="82" t="str">
        <x:v>病药用神</x:v>
      </x:c>
      <x:c r="K68" s="68" t="str">
        <x:v>可能治旺衰病</x:v>
      </x:c>
      <x:c r="L68" s="68" t="str">
        <x:v>根本破坏核心格神或特殊格局</x:v>
      </x:c>
      <x:c r="M68" s="68" t="str">
        <x:v>可能正向</x:v>
      </x:c>
      <x:c r="N68" s="68" t="str">
        <x:v>可能正向</x:v>
      </x:c>
      <x:c r="O68" s="68" t="str">
        <x:v>治疗一个病位</x:v>
      </x:c>
      <x:c r="P68" s="68" t="str">
        <x:v>局部治病</x:v>
      </x:c>
      <x:c r="Q68" s="90" t="str">
        <x:v>制造更高优先级根本格局病</x:v>
      </x:c>
      <x:c r="R68" s="68" t="str">
        <x:v>只作为警示与M18冲突裁决输入</x:v>
      </x:c>
      <x:c r="S68" s="68" t="str">
        <x:v>存在不伤格的替代药路</x:v>
      </x:c>
      <x:c r="T68" s="68" t="str">
        <x:v>病药与格局硬冲突</x:v>
      </x:c>
      <x:c r="U68" s="68" t="str">
        <x:v>M18-MED-0043-V1.0</x:v>
      </x:c>
      <x:c r="V68" s="84" t="str">
        <x:v>条件性忌神</x:v>
      </x:c>
      <x:c r="W68" s="82" t="str">
        <x:v>不采用</x:v>
      </x:c>
      <x:c r="X68" s="82" t="str">
        <x:v>是</x:v>
      </x:c>
      <x:c r="Y68" s="68" t="str">
        <x:v>原则上不采用，除非格局本身已经失效并重定</x:v>
      </x:c>
      <x:c r="Z68" s="84" t="str">
        <x:v>药伤格转忌</x:v>
      </x:c>
      <x:c r="AA68" s="84" t="str">
        <x:v>该候选五行综合定位为“条件性忌神”，优先级为“不采用”。主要收益：局部治病；主要副作用：制造更高优先级根本格局病；仅在原则上不采用，除非格局本身已经失效并重定时成立。</x:v>
      </x:c>
      <x:c r="AB68" s="82" t="str">
        <x:v>较高</x:v>
      </x:c>
      <x:c r="AC68" s="82" t="str">
        <x:v>现代综合</x:v>
      </x:c>
      <x:c r="AD68" s="68" t="str">
        <x:v>喜忌用神必须同时读取扶抑、格局、通关、调候和病药五个维度。单一维度有利不足以自动成为主用；最终定位取决于是否解决根本问题、是否触犯格局硬约束、药力是否可达以及副作用是否可控。</x:v>
      </x:c>
      <x:c r="AE68" s="68" t="str">
        <x:v>满足“只作为警示与M18冲突裁决输入”，且主要收益大于副作用时，可按“主药伤格且无替代保护时可转为条件性忌神”定位。</x:v>
      </x:c>
      <x:c r="AF68" s="90" t="str">
        <x:v>若“存在不伤格的替代药路”成立，则不得按“主药伤格且无替代保护时可转为条件性忌神”无条件定位。</x:v>
      </x:c>
      <x:c r="AG68" s="82" t="str">
        <x:v>采用</x:v>
      </x:c>
      <x:c r="AH68" s="82" t="str">
        <x:v>初审</x:v>
      </x:c>
      <x:c r="AI68" s="87" t="n">
        <x:v>46260</x:v>
      </x:c>
    </x:row>
    <x:row r="69">
      <x:c r="A69" s="72" t="str">
        <x:f>IF(OR(C69="",D69=""),"",B69&amp;"-"&amp;UPPER(C69)&amp;"-"&amp;TEXT(D69,"0000")&amp;"-"&amp;E69)</x:f>
        <x:v>M17-BINGYAO-0063-V1.0</x:v>
      </x:c>
      <x:c r="B69" s="74" t="str">
        <x:v>M17</x:v>
      </x:c>
      <x:c r="C69" s="74" t="str">
        <x:v>BINGYAO</x:v>
      </x:c>
      <x:c r="D69" s="215" t="n">
        <x:v>63</x:v>
      </x:c>
      <x:c r="E69" s="74" t="str">
        <x:v>V1.0</x:v>
      </x:c>
      <x:c r="F69" s="68" t="str">
        <x:v>无病位时不应为了完整矩阵强行指定病药用神</x:v>
      </x:c>
      <x:c r="G69" s="82" t="str">
        <x:v>综合层</x:v>
      </x:c>
      <x:c r="H69" s="82"/>
      <x:c r="I69" s="82"/>
      <x:c r="J69" s="82" t="str">
        <x:v>病药用神</x:v>
      </x:c>
      <x:c r="K69" s="68" t="str">
        <x:v>不适用</x:v>
      </x:c>
      <x:c r="L69" s="68" t="str">
        <x:v>结构正常</x:v>
      </x:c>
      <x:c r="M69" s="68" t="str">
        <x:v>结构正常</x:v>
      </x:c>
      <x:c r="N69" s="68" t="str">
        <x:v>结构正常</x:v>
      </x:c>
      <x:c r="O69" s="68" t="str">
        <x:v>无根本病可治</x:v>
      </x:c>
      <x:c r="P69" s="68" t="str">
        <x:v>避免人为制造用神</x:v>
      </x:c>
      <x:c r="Q69" s="90" t="str">
        <x:v>无必要用药会打破原局平衡</x:v>
      </x:c>
      <x:c r="R69" s="68" t="str">
        <x:v>M16未立根本病或仅有轻微无功能障碍偏差</x:v>
      </x:c>
      <x:c r="S69" s="68" t="str">
        <x:v>其他来源仍可产生格局、通关或调候用神</x:v>
      </x:c>
      <x:c r="T69" s="68" t="str">
        <x:v>无</x:v>
      </x:c>
      <x:c r="U69" s="68"/>
      <x:c r="V69" s="84" t="str">
        <x:v>中性</x:v>
      </x:c>
      <x:c r="W69" s="82" t="str">
        <x:v>不采用</x:v>
      </x:c>
      <x:c r="X69" s="82" t="str">
        <x:v>否</x:v>
      </x:c>
      <x:c r="Y69" s="68" t="str">
        <x:v>病药维度退出，但其他维度继续评估</x:v>
      </x:c>
      <x:c r="Z69" s="84" t="str">
        <x:v>无病不设药</x:v>
      </x:c>
      <x:c r="AA69" s="84" t="str">
        <x:v>该候选五行综合定位为“中性”，优先级为“不采用”。主要收益：避免人为制造用神；主要副作用：无必要用药会打破原局平衡；病药维度退出，但其他维度继续评估。</x:v>
      </x:c>
      <x:c r="AB69" s="82" t="str">
        <x:v>较高</x:v>
      </x:c>
      <x:c r="AC69" s="82" t="str">
        <x:v>现代综合</x:v>
      </x:c>
      <x:c r="AD69" s="68" t="str">
        <x:v>喜忌用神必须同时读取扶抑、格局、通关、调候和病药五个维度。单一维度有利不足以自动成为主用；最终定位取决于是否解决根本问题、是否触犯格局硬约束、药力是否可达以及副作用是否可控。</x:v>
      </x:c>
      <x:c r="AE69" s="68" t="str">
        <x:v>满足“M16未立根本病或仅有轻微无功能障碍偏差”，且主要收益大于副作用时，可按“无病位时不应为了完整矩阵强行指定病药用神”定位。</x:v>
      </x:c>
      <x:c r="AF69" s="90" t="str">
        <x:v>若“其他来源仍可产生格局、通关或调候用神”成立，则不得按“无病位时不应为了完整矩阵强行指定病药用神”无条件定位。</x:v>
      </x:c>
      <x:c r="AG69" s="82" t="str">
        <x:v>采用</x:v>
      </x:c>
      <x:c r="AH69" s="82" t="str">
        <x:v>初审</x:v>
      </x:c>
      <x:c r="AI69" s="87" t="n">
        <x:v>46260</x:v>
      </x:c>
    </x:row>
    <x:row r="70">
      <x:c r="A70" s="72" t="str">
        <x:f>IF(OR(C70="",D70=""),"",B70&amp;"-"&amp;UPPER(C70)&amp;"-"&amp;TEXT(D70,"0000")&amp;"-"&amp;E70)</x:f>
        <x:v>M17-BINGYAO-0064-V1.0</x:v>
      </x:c>
      <x:c r="B70" s="74" t="str">
        <x:v>M17</x:v>
      </x:c>
      <x:c r="C70" s="74" t="str">
        <x:v>BINGYAO</x:v>
      </x:c>
      <x:c r="D70" s="215" t="n">
        <x:v>64</x:v>
      </x:c>
      <x:c r="E70" s="74" t="str">
        <x:v>V1.0</x:v>
      </x:c>
      <x:c r="F70" s="68" t="str">
        <x:v>多个主药候选相反时保持并列并转M18</x:v>
      </x:c>
      <x:c r="G70" s="82" t="str">
        <x:v>综合层</x:v>
      </x:c>
      <x:c r="H70" s="82"/>
      <x:c r="I70" s="82"/>
      <x:c r="J70" s="82" t="str">
        <x:v>病药用神</x:v>
      </x:c>
      <x:c r="K70" s="68" t="str">
        <x:v>候选方向相反</x:v>
      </x:c>
      <x:c r="L70" s="68" t="str">
        <x:v>可能分别护不同结构</x:v>
      </x:c>
      <x:c r="M70" s="68" t="str">
        <x:v>可能处理不同卡点</x:v>
      </x:c>
      <x:c r="N70" s="68" t="str">
        <x:v>可能冷热相反</x:v>
      </x:c>
      <x:c r="O70" s="68" t="str">
        <x:v>分别治疗不同病位</x:v>
      </x:c>
      <x:c r="P70" s="68" t="str">
        <x:v>完整保留不同诊断路径</x:v>
      </x:c>
      <x:c r="Q70" s="90" t="str">
        <x:v>同时采用会冲突或相战</x:v>
      </x:c>
      <x:c r="R70" s="68" t="str">
        <x:v>M16主病解释接近，主药候选相反且无硬约束</x:v>
      </x:c>
      <x:c r="S70" s="68" t="str">
        <x:v>已有共同根因或更高优先级可唯一化</x:v>
      </x:c>
      <x:c r="T70" s="68" t="str">
        <x:v>多病多药方向冲突</x:v>
      </x:c>
      <x:c r="U70" s="68" t="str">
        <x:v>M18-MED-0048-V1.0</x:v>
      </x:c>
      <x:c r="V70" s="84" t="str">
        <x:v>待定</x:v>
      </x:c>
      <x:c r="W70" s="82" t="str">
        <x:v>待定</x:v>
      </x:c>
      <x:c r="X70" s="82" t="str">
        <x:v>待定</x:v>
      </x:c>
      <x:c r="Y70" s="68" t="str">
        <x:v>保留主候选、替代候选及各自成立条件</x:v>
      </x:c>
      <x:c r="Z70" s="84" t="str">
        <x:v>相反主药并列待裁决</x:v>
      </x:c>
      <x:c r="AA70" s="84" t="str">
        <x:v>该候选五行综合定位为“待定”，优先级为“待定”。主要收益：完整保留不同诊断路径；主要副作用：同时采用会冲突或相战；保留主候选、替代候选及各自成立条件。</x:v>
      </x:c>
      <x:c r="AB70" s="82" t="str">
        <x:v>中等</x:v>
      </x:c>
      <x:c r="AC70" s="82" t="str">
        <x:v>现代综合</x:v>
      </x:c>
      <x:c r="AD70" s="68" t="str">
        <x:v>喜忌用神必须同时读取扶抑、格局、通关、调候和病药五个维度。单一维度有利不足以自动成为主用；最终定位取决于是否解决根本问题、是否触犯格局硬约束、药力是否可达以及副作用是否可控。</x:v>
      </x:c>
      <x:c r="AE70" s="68" t="str">
        <x:v>满足“M16主病解释接近，主药候选相反且无硬约束”，且主要收益大于副作用时，可按“多个主药候选相反时保持并列并转M18”定位。</x:v>
      </x:c>
      <x:c r="AF70" s="90" t="str">
        <x:v>若“已有共同根因或更高优先级可唯一化”成立，则不得按“多个主药候选相反时保持并列并转M18”无条件定位。</x:v>
      </x:c>
      <x:c r="AG70" s="82" t="str">
        <x:v>待验证</x:v>
      </x:c>
      <x:c r="AH70" s="82" t="str">
        <x:v>初审</x:v>
      </x:c>
      <x:c r="AI70" s="87" t="n">
        <x:v>46260</x:v>
      </x:c>
    </x:row>
    <x:row r="71">
      <x:c r="A71" s="72" t="str">
        <x:f>IF(OR(C71="",D71=""),"",B71&amp;"-"&amp;UPPER(C71)&amp;"-"&amp;TEXT(D71,"0000")&amp;"-"&amp;E71)</x:f>
        <x:v>M17-WUXING-0065-V1.0</x:v>
      </x:c>
      <x:c r="B71" s="74" t="str">
        <x:v>M17</x:v>
      </x:c>
      <x:c r="C71" s="74" t="str">
        <x:v>WUXING</x:v>
      </x:c>
      <x:c r="D71" s="215" t="n">
        <x:v>65</x:v>
      </x:c>
      <x:c r="E71" s="74" t="str">
        <x:v>V1.0</x:v>
      </x:c>
      <x:c r="F71" s="68" t="str">
        <x:v>木作为生火与疏土之神的正向候选</x:v>
      </x:c>
      <x:c r="G71" s="82" t="str">
        <x:v>综合层</x:v>
      </x:c>
      <x:c r="H71" s="82" t="str">
        <x:v>木</x:v>
      </x:c>
      <x:c r="I71" s="82"/>
      <x:c r="J71" s="82" t="str">
        <x:v>复合来源</x:v>
      </x:c>
      <x:c r="K71" s="68" t="str">
        <x:v>按日主映射，可能为印比食财官之一</x:v>
      </x:c>
      <x:c r="L71" s="68" t="str">
        <x:v>可生火、疏土或保护木类格神</x:v>
      </x:c>
      <x:c r="M71" s="68" t="str">
        <x:v>连接水→木→火，或缓解木土关系</x:v>
      </x:c>
      <x:c r="N71" s="68" t="str">
        <x:v>可引火暖局、疏湿土</x:v>
      </x:c>
      <x:c r="O71" s="68" t="str">
        <x:v>可治疗火无源、湿土壅滞或木桥梁弱</x:v>
      </x:c>
      <x:c r="P71" s="68" t="str">
        <x:v>提供生发、桥梁和疏导功能</x:v>
      </x:c>
      <x:c r="Q71" s="90" t="str">
        <x:v>木过旺会克土、耗水、生火过度</x:v>
      </x:c>
      <x:c r="R71" s="68" t="str">
        <x:v>火需生源、湿土需疏、或水火之间缺木桥梁</x:v>
      </x:c>
      <x:c r="S71" s="68" t="str">
        <x:v>木已旺极、土为核心格神不可克、或金重制木无药力</x:v>
      </x:c>
      <x:c r="T71" s="68" t="str">
        <x:v>木的生火疏土收益与克土耗水副作用</x:v>
      </x:c>
      <x:c r="U71" s="68" t="str">
        <x:v>M18-DOSE-0067-V1.0</x:v>
      </x:c>
      <x:c r="V71" s="84" t="str">
        <x:v>条件性喜神</x:v>
      </x:c>
      <x:c r="W71" s="82" t="str">
        <x:v>条件顺位</x:v>
      </x:c>
      <x:c r="X71" s="82" t="str">
        <x:v>是</x:v>
      </x:c>
      <x:c r="Y71" s="68" t="str">
        <x:v>木有根有源且不造成克土、生火过度</x:v>
      </x:c>
      <x:c r="Z71" s="84" t="str">
        <x:v>木生火疏土候选</x:v>
      </x:c>
      <x:c r="AA71" s="84" t="str">
        <x:v>木综合定位为“条件性喜神”，优先级为“条件顺位”。主要收益：提供生发、桥梁和疏导功能；主要副作用：木过旺会克土、耗水、生火过度；仅在木有根有源且不造成克土、生火过度时成立。</x:v>
      </x:c>
      <x:c r="AB71" s="82" t="str">
        <x:v>较高</x:v>
      </x:c>
      <x:c r="AC71" s="82" t="str">
        <x:v>现代综合</x:v>
      </x:c>
      <x:c r="AD71" s="68" t="str">
        <x:v>喜忌用神必须同时读取扶抑、格局、通关、调候和病药五个维度。单一维度有利不足以自动成为主用；最终定位取决于是否解决根本问题、是否触犯格局硬约束、药力是否可达以及副作用是否可控。</x:v>
      </x:c>
      <x:c r="AE71" s="68" t="str">
        <x:v>满足“火需生源、湿土需疏、或水火之间缺木桥梁”，且主要收益大于副作用时，可按“木作为生火与疏土之神的正向候选”定位。</x:v>
      </x:c>
      <x:c r="AF71" s="90" t="str">
        <x:v>若“木已旺极、土为核心格神不可克、或金重制木无药力”成立，则不得按“木作为生火与疏土之神的正向候选”无条件定位。</x:v>
      </x:c>
      <x:c r="AG71" s="82" t="str">
        <x:v>采用</x:v>
      </x:c>
      <x:c r="AH71" s="82" t="str">
        <x:v>初审</x:v>
      </x:c>
      <x:c r="AI71" s="87" t="n">
        <x:v>46260</x:v>
      </x:c>
    </x:row>
    <x:row r="72">
      <x:c r="A72" s="72" t="str">
        <x:f>IF(OR(C72="",D72=""),"",B72&amp;"-"&amp;UPPER(C72)&amp;"-"&amp;TEXT(D72,"0000")&amp;"-"&amp;E72)</x:f>
        <x:v>M17-WUXING-0066-V1.0</x:v>
      </x:c>
      <x:c r="B72" s="74" t="str">
        <x:v>M17</x:v>
      </x:c>
      <x:c r="C72" s="74" t="str">
        <x:v>WUXING</x:v>
      </x:c>
      <x:c r="D72" s="215" t="n">
        <x:v>66</x:v>
      </x:c>
      <x:c r="E72" s="74" t="str">
        <x:v>V1.0</x:v>
      </x:c>
      <x:c r="F72" s="68" t="str">
        <x:v>木在水火相战中可承担通关桥梁</x:v>
      </x:c>
      <x:c r="G72" s="82" t="str">
        <x:v>综合层</x:v>
      </x:c>
      <x:c r="H72" s="82" t="str">
        <x:v>木</x:v>
      </x:c>
      <x:c r="I72" s="82"/>
      <x:c r="J72" s="82" t="str">
        <x:v>通关用神</x:v>
      </x:c>
      <x:c r="K72" s="68" t="str">
        <x:v>视日主而定</x:v>
      </x:c>
      <x:c r="L72" s="68" t="str">
        <x:v>不得破坏土格或木格外的核心结构</x:v>
      </x:c>
      <x:c r="M72" s="68" t="str">
        <x:v>泄水并生火</x:v>
      </x:c>
      <x:c r="N72" s="68" t="str">
        <x:v>可改善寒局但可能升温</x:v>
      </x:c>
      <x:c r="O72" s="68" t="str">
        <x:v>治疗水火两强相战或火无源</x:v>
      </x:c>
      <x:c r="P72" s="68" t="str">
        <x:v>把水势导向火，缓解直接相克</x:v>
      </x:c>
      <x:c r="Q72" s="90" t="str">
        <x:v>木无根则通关不足，木过旺则生火太过或克土</x:v>
      </x:c>
      <x:c r="R72" s="68" t="str">
        <x:v>M12确认水火两强相战且木具有效力量</x:v>
      </x:c>
      <x:c r="S72" s="68" t="str">
        <x:v>水火并非双强、木受金重制或木会根本破格</x:v>
      </x:c>
      <x:c r="T72" s="68" t="str">
        <x:v>通关与调候/土格冲突</x:v>
      </x:c>
      <x:c r="U72" s="68" t="str">
        <x:v>M18-FLOW-0035-V1.0</x:v>
      </x:c>
      <x:c r="V72" s="84" t="str">
        <x:v>条件性喜神</x:v>
      </x:c>
      <x:c r="W72" s="82" t="str">
        <x:v>条件顺位</x:v>
      </x:c>
      <x:c r="X72" s="82" t="str">
        <x:v>是</x:v>
      </x:c>
      <x:c r="Y72" s="68" t="str">
        <x:v>木能同时泄水生火且药力适中</x:v>
      </x:c>
      <x:c r="Z72" s="84" t="str">
        <x:v>木通水火</x:v>
      </x:c>
      <x:c r="AA72" s="84" t="str">
        <x:v>木综合定位为“条件性喜神”，优先级为“条件顺位”。主要收益：把水势导向火，缓解直接相克；主要副作用：木无根则通关不足，木过旺则生火太过或克土；仅在木能同时泄水生火且药力适中时成立。</x:v>
      </x:c>
      <x:c r="AB72" s="82" t="str">
        <x:v>较高</x:v>
      </x:c>
      <x:c r="AC72" s="82" t="str">
        <x:v>现代综合</x:v>
      </x:c>
      <x:c r="AD72" s="68" t="str">
        <x:v>喜忌用神必须同时读取扶抑、格局、通关、调候和病药五个维度。单一维度有利不足以自动成为主用；最终定位取决于是否解决根本问题、是否触犯格局硬约束、药力是否可达以及副作用是否可控。</x:v>
      </x:c>
      <x:c r="AE72" s="68" t="str">
        <x:v>满足“M12确认水火两强相战且木具有效力量”，且主要收益大于副作用时，可按“木在水火相战中可承担通关桥梁”定位。</x:v>
      </x:c>
      <x:c r="AF72" s="90" t="str">
        <x:v>若“水火并非双强、木受金重制或木会根本破格”成立，则不得按“木在水火相战中可承担通关桥梁”无条件定位。</x:v>
      </x:c>
      <x:c r="AG72" s="82" t="str">
        <x:v>采用</x:v>
      </x:c>
      <x:c r="AH72" s="82" t="str">
        <x:v>初审</x:v>
      </x:c>
      <x:c r="AI72" s="87" t="n">
        <x:v>46260</x:v>
      </x:c>
    </x:row>
    <x:row r="73">
      <x:c r="A73" s="72" t="str">
        <x:f>IF(OR(C73="",D73=""),"",B73&amp;"-"&amp;UPPER(C73)&amp;"-"&amp;TEXT(D73,"0000")&amp;"-"&amp;E73)</x:f>
        <x:v>M17-WUXING-0067-V1.0</x:v>
      </x:c>
      <x:c r="B73" s="74" t="str">
        <x:v>M17</x:v>
      </x:c>
      <x:c r="C73" s="74" t="str">
        <x:v>WUXING</x:v>
      </x:c>
      <x:c r="D73" s="215" t="n">
        <x:v>67</x:v>
      </x:c>
      <x:c r="E73" s="74" t="str">
        <x:v>V1.0</x:v>
      </x:c>
      <x:c r="F73" s="68" t="str">
        <x:v>木过旺时可能转为条件性忌神</x:v>
      </x:c>
      <x:c r="G73" s="82" t="str">
        <x:v>综合层</x:v>
      </x:c>
      <x:c r="H73" s="82" t="str">
        <x:v>木</x:v>
      </x:c>
      <x:c r="I73" s="82"/>
      <x:c r="J73" s="82" t="str">
        <x:v>复合来源</x:v>
      </x:c>
      <x:c r="K73" s="68" t="str">
        <x:v>可能加重木日主或木类印比食财官一方</x:v>
      </x:c>
      <x:c r="L73" s="68" t="str">
        <x:v>可能破土格、财格或使火势过强</x:v>
      </x:c>
      <x:c r="M73" s="68" t="str">
        <x:v>桥梁过旺会截留水并集中生火</x:v>
      </x:c>
      <x:c r="N73" s="68" t="str">
        <x:v>可能加剧暖燥</x:v>
      </x:c>
      <x:c r="O73" s="68" t="str">
        <x:v>由药转病，形成木旺克土或生火过度</x:v>
      </x:c>
      <x:c r="P73" s="68" t="str">
        <x:v>仍可能维持必要生发</x:v>
      </x:c>
      <x:c r="Q73" s="90" t="str">
        <x:v>克土、耗水、火炎、木势壅塞</x:v>
      </x:c>
      <x:c r="R73" s="68" t="str">
        <x:v>木已旺或极旺且其新增作用制造主病</x:v>
      </x:c>
      <x:c r="S73" s="68" t="str">
        <x:v>木虽旺但流通良好且为特殊专旺主势</x:v>
      </x:c>
      <x:c r="T73" s="68" t="str">
        <x:v>木的格局功能与过旺副作用</x:v>
      </x:c>
      <x:c r="U73" s="68" t="str">
        <x:v>M18-DOSE-0062-V1.0</x:v>
      </x:c>
      <x:c r="V73" s="84" t="str">
        <x:v>条件性忌神</x:v>
      </x:c>
      <x:c r="W73" s="82" t="str">
        <x:v>不采用</x:v>
      </x:c>
      <x:c r="X73" s="82" t="str">
        <x:v>是</x:v>
      </x:c>
      <x:c r="Y73" s="68" t="str">
        <x:v>仅在继续增木会加重根本病时定忌</x:v>
      </x:c>
      <x:c r="Z73" s="84" t="str">
        <x:v>木过旺转忌</x:v>
      </x:c>
      <x:c r="AA73" s="84" t="str">
        <x:v>木综合定位为“条件性忌神”，优先级为“不采用”。主要收益：仍可能维持必要生发；主要副作用：克土、耗水、火炎、木势壅塞。仅在继续增木会加重根本病时定忌。</x:v>
      </x:c>
      <x:c r="AB73" s="82" t="str">
        <x:v>较高</x:v>
      </x:c>
      <x:c r="AC73" s="82" t="str">
        <x:v>现代综合</x:v>
      </x:c>
      <x:c r="AD73" s="68" t="str">
        <x:v>喜忌用神必须同时读取扶抑、格局、通关、调候和病药五个维度。单一维度有利不足以自动成为主用；最终定位取决于是否解决根本问题、是否触犯格局硬约束、药力是否可达以及副作用是否可控。</x:v>
      </x:c>
      <x:c r="AE73" s="68" t="str">
        <x:v>满足“木已旺或极旺且其新增作用制造主病”，且主要收益大于副作用时，可按“木过旺时可能转为条件性忌神”定位。</x:v>
      </x:c>
      <x:c r="AF73" s="90" t="str">
        <x:v>若“木虽旺但流通良好且为特殊专旺主势”成立，则不得按“木过旺时可能转为条件性忌神”无条件定位。</x:v>
      </x:c>
      <x:c r="AG73" s="82" t="str">
        <x:v>采用</x:v>
      </x:c>
      <x:c r="AH73" s="82" t="str">
        <x:v>初审</x:v>
      </x:c>
      <x:c r="AI73" s="87" t="n">
        <x:v>46260</x:v>
      </x:c>
    </x:row>
    <x:row r="74">
      <x:c r="A74" s="72" t="str">
        <x:f>IF(OR(C74="",D74=""),"",B74&amp;"-"&amp;UPPER(C74)&amp;"-"&amp;TEXT(D74,"0000")&amp;"-"&amp;E74)</x:f>
        <x:v>M17-WUXING-0068-V1.0</x:v>
      </x:c>
      <x:c r="B74" s="74" t="str">
        <x:v>M17</x:v>
      </x:c>
      <x:c r="C74" s="74" t="str">
        <x:v>WUXING</x:v>
      </x:c>
      <x:c r="D74" s="215" t="n">
        <x:v>68</x:v>
      </x:c>
      <x:c r="E74" s="74" t="str">
        <x:v>V1.0</x:v>
      </x:c>
      <x:c r="F74" s="68" t="str">
        <x:v>木弱但非关键桥梁时不因弱自动列喜</x:v>
      </x:c>
      <x:c r="G74" s="82" t="str">
        <x:v>综合层</x:v>
      </x:c>
      <x:c r="H74" s="82" t="str">
        <x:v>木</x:v>
      </x:c>
      <x:c r="I74" s="82"/>
      <x:c r="J74" s="82" t="str">
        <x:v>复合来源</x:v>
      </x:c>
      <x:c r="K74" s="68" t="str">
        <x:v>木弱事实</x:v>
      </x:c>
      <x:c r="L74" s="68" t="str">
        <x:v>无关键格局职责</x:v>
      </x:c>
      <x:c r="M74" s="68" t="str">
        <x:v>非主路径必要桥梁</x:v>
      </x:c>
      <x:c r="N74" s="68" t="str">
        <x:v>非主要调候药</x:v>
      </x:c>
      <x:c r="O74" s="68" t="str">
        <x:v>M16未立木弱病</x:v>
      </x:c>
      <x:c r="P74" s="68" t="str">
        <x:v>无明确核心收益</x:v>
      </x:c>
      <x:c r="Q74" s="90" t="str">
        <x:v>补木可能克土、生火或耗水</x:v>
      </x:c>
      <x:c r="R74" s="68" t="str">
        <x:v>木弱但未造成格局、流通、调候或病药功能障碍</x:v>
      </x:c>
      <x:c r="S74" s="68" t="str">
        <x:v>木是不可替代桥梁或核心药神</x:v>
      </x:c>
      <x:c r="T74" s="68" t="str">
        <x:v>无</x:v>
      </x:c>
      <x:c r="U74" s="68"/>
      <x:c r="V74" s="84" t="str">
        <x:v>中性</x:v>
      </x:c>
      <x:c r="W74" s="82" t="str">
        <x:v>不采用</x:v>
      </x:c>
      <x:c r="X74" s="82" t="str">
        <x:v>否</x:v>
      </x:c>
      <x:c r="Y74" s="68" t="str">
        <x:v>弱不等于喜，保持中性</x:v>
      </x:c>
      <x:c r="Z74" s="84" t="str">
        <x:v>木弱非自动喜</x:v>
      </x:c>
      <x:c r="AA74" s="84" t="str">
        <x:v>木综合定位为“中性”，优先级为“不采用”。主要收益：无明确核心收益；主要副作用：补木可能克土、生火或耗水；弱不等于喜，保持中性。</x:v>
      </x:c>
      <x:c r="AB74" s="82" t="str">
        <x:v>较高</x:v>
      </x:c>
      <x:c r="AC74" s="82" t="str">
        <x:v>现代综合</x:v>
      </x:c>
      <x:c r="AD74" s="68" t="str">
        <x:v>喜忌用神必须同时读取扶抑、格局、通关、调候和病药五个维度。单一维度有利不足以自动成为主用；最终定位取决于是否解决根本问题、是否触犯格局硬约束、药力是否可达以及副作用是否可控。</x:v>
      </x:c>
      <x:c r="AE74" s="68" t="str">
        <x:v>满足“木弱但未造成格局、流通、调候或病药功能障碍”，且主要收益大于副作用时，可按“木弱但非关键桥梁时不因弱自动列喜”定位。</x:v>
      </x:c>
      <x:c r="AF74" s="90" t="str">
        <x:v>若“木是不可替代桥梁或核心药神”成立，则不得按“木弱但非关键桥梁时不因弱自动列喜”无条件定位。</x:v>
      </x:c>
      <x:c r="AG74" s="82" t="str">
        <x:v>采用</x:v>
      </x:c>
      <x:c r="AH74" s="82" t="str">
        <x:v>初审</x:v>
      </x:c>
      <x:c r="AI74" s="87" t="n">
        <x:v>46260</x:v>
      </x:c>
    </x:row>
    <x:row r="75">
      <x:c r="A75" s="72" t="str">
        <x:f>IF(OR(C75="",D75=""),"",B75&amp;"-"&amp;UPPER(C75)&amp;"-"&amp;TEXT(D75,"0000")&amp;"-"&amp;E75)</x:f>
        <x:v>M17-WUXING-0069-V1.0</x:v>
      </x:c>
      <x:c r="B75" s="74" t="str">
        <x:v>M17</x:v>
      </x:c>
      <x:c r="C75" s="74" t="str">
        <x:v>WUXING</x:v>
      </x:c>
      <x:c r="D75" s="215" t="n">
        <x:v>69</x:v>
      </x:c>
      <x:c r="E75" s="74" t="str">
        <x:v>V1.0</x:v>
      </x:c>
      <x:c r="F75" s="68" t="str">
        <x:v>火作为暖局、化湿和泄木之神的正向候选</x:v>
      </x:c>
      <x:c r="G75" s="82" t="str">
        <x:v>综合层</x:v>
      </x:c>
      <x:c r="H75" s="82" t="str">
        <x:v>火</x:v>
      </x:c>
      <x:c r="I75" s="82"/>
      <x:c r="J75" s="82" t="str">
        <x:v>复合来源</x:v>
      </x:c>
      <x:c r="K75" s="68" t="str">
        <x:v>按日主映射另判</x:v>
      </x:c>
      <x:c r="L75" s="68" t="str">
        <x:v>可支持火类格神或为木势提供出口</x:v>
      </x:c>
      <x:c r="M75" s="68" t="str">
        <x:v>连接木→火→土</x:v>
      </x:c>
      <x:c r="N75" s="68" t="str">
        <x:v>升温、化寒湿</x:v>
      </x:c>
      <x:c r="O75" s="68" t="str">
        <x:v>治疗寒凝、寒湿、木旺无泄</x:v>
      </x:c>
      <x:c r="P75" s="68" t="str">
        <x:v>暖局、推动生化、化湿并泄木</x:v>
      </x:c>
      <x:c r="Q75" s="90" t="str">
        <x:v>火过旺会热燥、耗水、克金、焦土</x:v>
      </x:c>
      <x:c r="R75" s="68" t="str">
        <x:v>偏寒/寒湿、木旺需泄或火为关键格神</x:v>
      </x:c>
      <x:c r="S75" s="68" t="str">
        <x:v>极热燥、炎上/从火外存在火过旺病，或水为关键药神</x:v>
      </x:c>
      <x:c r="T75" s="68" t="str">
        <x:v>暖局收益与热燥、耗水、克金副作用</x:v>
      </x:c>
      <x:c r="U75" s="68" t="str">
        <x:v>M18-DOSE-0067-V1.0</x:v>
      </x:c>
      <x:c r="V75" s="84" t="str">
        <x:v>条件性喜神</x:v>
      </x:c>
      <x:c r="W75" s="82" t="str">
        <x:v>条件顺位</x:v>
      </x:c>
      <x:c r="X75" s="82" t="str">
        <x:v>是</x:v>
      </x:c>
      <x:c r="Y75" s="68" t="str">
        <x:v>火量适中且不破格、不耗尽水源</x:v>
      </x:c>
      <x:c r="Z75" s="84" t="str">
        <x:v>火暖局化湿候选</x:v>
      </x:c>
      <x:c r="AA75" s="84" t="str">
        <x:v>火综合定位为“条件性喜神”，优先级为“条件顺位”。主要收益：暖局、推动生化、化湿并泄木；主要副作用：火过旺会热燥、耗水、克金、焦土；仅在火量适中且不破格、不耗尽水源时成立。</x:v>
      </x:c>
      <x:c r="AB75" s="82" t="str">
        <x:v>较高</x:v>
      </x:c>
      <x:c r="AC75" s="82" t="str">
        <x:v>现代综合</x:v>
      </x:c>
      <x:c r="AD75" s="68" t="str">
        <x:v>喜忌用神必须同时读取扶抑、格局、通关、调候和病药五个维度。单一维度有利不足以自动成为主用；最终定位取决于是否解决根本问题、是否触犯格局硬约束、药力是否可达以及副作用是否可控。</x:v>
      </x:c>
      <x:c r="AE75" s="68" t="str">
        <x:v>满足“偏寒/寒湿、木旺需泄或火为关键格神”，且主要收益大于副作用时，可按“火作为暖局、化湿和泄木之神的正向候选”定位。</x:v>
      </x:c>
      <x:c r="AF75" s="90" t="str">
        <x:v>若“极热燥、炎上/从火外存在火过旺病，或水为关键药神”成立，则不得按“火作为暖局、化湿和泄木之神的正向候选”无条件定位。</x:v>
      </x:c>
      <x:c r="AG75" s="82" t="str">
        <x:v>采用</x:v>
      </x:c>
      <x:c r="AH75" s="82" t="str">
        <x:v>初审</x:v>
      </x:c>
      <x:c r="AI75" s="87" t="n">
        <x:v>46260</x:v>
      </x:c>
    </x:row>
    <x:row r="76">
      <x:c r="A76" s="72" t="str">
        <x:f>IF(OR(C76="",D76=""),"",B76&amp;"-"&amp;UPPER(C76)&amp;"-"&amp;TEXT(D76,"0000")&amp;"-"&amp;E76)</x:f>
        <x:v>M17-WUXING-0070-V1.0</x:v>
      </x:c>
      <x:c r="B76" s="74" t="str">
        <x:v>M17</x:v>
      </x:c>
      <x:c r="C76" s="74" t="str">
        <x:v>WUXING</x:v>
      </x:c>
      <x:c r="D76" s="215" t="n">
        <x:v>70</x:v>
      </x:c>
      <x:c r="E76" s="74" t="str">
        <x:v>V1.0</x:v>
      </x:c>
      <x:c r="F76" s="68" t="str">
        <x:v>火在木土相战中可承担通关桥梁</x:v>
      </x:c>
      <x:c r="G76" s="82" t="str">
        <x:v>综合层</x:v>
      </x:c>
      <x:c r="H76" s="82" t="str">
        <x:v>火</x:v>
      </x:c>
      <x:c r="I76" s="82"/>
      <x:c r="J76" s="82" t="str">
        <x:v>通关用神</x:v>
      </x:c>
      <x:c r="K76" s="68" t="str">
        <x:v>视日主而定</x:v>
      </x:c>
      <x:c r="L76" s="68" t="str">
        <x:v>不得破坏水格或金格</x:v>
      </x:c>
      <x:c r="M76" s="68" t="str">
        <x:v>泄木并生土</x:v>
      </x:c>
      <x:c r="N76" s="68" t="str">
        <x:v>升温并可能增燥</x:v>
      </x:c>
      <x:c r="O76" s="68" t="str">
        <x:v>治疗木土两强相战</x:v>
      </x:c>
      <x:c r="P76" s="68" t="str">
        <x:v>缓解木克土并使木气有出口</x:v>
      </x:c>
      <x:c r="Q76" s="90" t="str">
        <x:v>火过旺会使土燥、耗水或形成热病</x:v>
      </x:c>
      <x:c r="R76" s="68" t="str">
        <x:v>M12确认木土双强相战且火有效</x:v>
      </x:c>
      <x:c r="S76" s="68" t="str">
        <x:v>原局已极热燥、火无根或火会根本破格</x:v>
      </x:c>
      <x:c r="T76" s="68" t="str">
        <x:v>通关与调候冲突</x:v>
      </x:c>
      <x:c r="U76" s="68" t="str">
        <x:v>M18-FLOW-0036-V1.0</x:v>
      </x:c>
      <x:c r="V76" s="84" t="str">
        <x:v>条件性喜神</x:v>
      </x:c>
      <x:c r="W76" s="82" t="str">
        <x:v>条件顺位</x:v>
      </x:c>
      <x:c r="X76" s="82" t="str">
        <x:v>是</x:v>
      </x:c>
      <x:c r="Y76" s="68" t="str">
        <x:v>火能泄木生土且不使土燥火炎</x:v>
      </x:c>
      <x:c r="Z76" s="84" t="str">
        <x:v>火通木土</x:v>
      </x:c>
      <x:c r="AA76" s="84" t="str">
        <x:v>火综合定位为“条件性喜神”，优先级为“条件顺位”。主要收益：缓解木克土并使木气有出口；主要副作用：火过旺会使土燥、耗水或形成热病；仅在火能泄木生土且不使土燥火炎时成立。</x:v>
      </x:c>
      <x:c r="AB76" s="82" t="str">
        <x:v>较高</x:v>
      </x:c>
      <x:c r="AC76" s="82" t="str">
        <x:v>现代综合</x:v>
      </x:c>
      <x:c r="AD76" s="68" t="str">
        <x:v>喜忌用神必须同时读取扶抑、格局、通关、调候和病药五个维度。单一维度有利不足以自动成为主用；最终定位取决于是否解决根本问题、是否触犯格局硬约束、药力是否可达以及副作用是否可控。</x:v>
      </x:c>
      <x:c r="AE76" s="68" t="str">
        <x:v>满足“M12确认木土双强相战且火有效”，且主要收益大于副作用时，可按“火在木土相战中可承担通关桥梁”定位。</x:v>
      </x:c>
      <x:c r="AF76" s="90" t="str">
        <x:v>若“原局已极热燥、火无根或火会根本破格”成立，则不得按“火在木土相战中可承担通关桥梁”无条件定位。</x:v>
      </x:c>
      <x:c r="AG76" s="82" t="str">
        <x:v>采用</x:v>
      </x:c>
      <x:c r="AH76" s="82" t="str">
        <x:v>初审</x:v>
      </x:c>
      <x:c r="AI76" s="87" t="n">
        <x:v>46260</x:v>
      </x:c>
    </x:row>
    <x:row r="77">
      <x:c r="A77" s="72" t="str">
        <x:f>IF(OR(C77="",D77=""),"",B77&amp;"-"&amp;UPPER(C77)&amp;"-"&amp;TEXT(D77,"0000")&amp;"-"&amp;E77)</x:f>
        <x:v>M17-WUXING-0071-V1.0</x:v>
      </x:c>
      <x:c r="B77" s="74" t="str">
        <x:v>M17</x:v>
      </x:c>
      <x:c r="C77" s="74" t="str">
        <x:v>WUXING</x:v>
      </x:c>
      <x:c r="D77" s="215" t="n">
        <x:v>71</x:v>
      </x:c>
      <x:c r="E77" s="74" t="str">
        <x:v>V1.0</x:v>
      </x:c>
      <x:c r="F77" s="68" t="str">
        <x:v>火过旺时可能成为忌神或仇神</x:v>
      </x:c>
      <x:c r="G77" s="82" t="str">
        <x:v>综合层</x:v>
      </x:c>
      <x:c r="H77" s="82" t="str">
        <x:v>火</x:v>
      </x:c>
      <x:c r="I77" s="82"/>
      <x:c r="J77" s="82" t="str">
        <x:v>复合来源</x:v>
      </x:c>
      <x:c r="K77" s="68" t="str">
        <x:v>可能加重日主或泄损木、克金</x:v>
      </x:c>
      <x:c r="L77" s="68" t="str">
        <x:v>可能破金格、水格或财官印食结构</x:v>
      </x:c>
      <x:c r="M77" s="68" t="str">
        <x:v>使桥梁、终点过热过燥</x:v>
      </x:c>
      <x:c r="N77" s="68" t="str">
        <x:v>推向极热极燥</x:v>
      </x:c>
      <x:c r="O77" s="68" t="str">
        <x:v>形成火炎、暖燥或药过成病</x:v>
      </x:c>
      <x:c r="P77" s="68" t="str">
        <x:v>仅保留必要暖局/格局功能</x:v>
      </x:c>
      <x:c r="Q77" s="90" t="str">
        <x:v>耗水、克金、土焦、木燥、格局受损</x:v>
      </x:c>
      <x:c r="R77" s="68" t="str">
        <x:v>火已旺极且新增火直接加重根本病</x:v>
      </x:c>
      <x:c r="S77" s="68" t="str">
        <x:v>炎上、从火严格成立且火为主势</x:v>
      </x:c>
      <x:c r="T77" s="68" t="str">
        <x:v>特殊格局与普通调候/旺衰冲突</x:v>
      </x:c>
      <x:c r="U77" s="68" t="str">
        <x:v>M18-SPECIAL-0011-V1.0</x:v>
      </x:c>
      <x:c r="V77" s="84" t="str">
        <x:v>忌神</x:v>
      </x:c>
      <x:c r="W77" s="82" t="str">
        <x:v>不采用</x:v>
      </x:c>
      <x:c r="X77" s="82" t="str">
        <x:v>条件性</x:v>
      </x:c>
      <x:c r="Y77" s="68" t="str">
        <x:v>若火继续生助忌神或破坏主用，则可升级为仇神</x:v>
      </x:c>
      <x:c r="Z77" s="84" t="str">
        <x:v>火旺转忌</x:v>
      </x:c>
      <x:c r="AA77" s="84" t="str">
        <x:v>火综合定位为“忌神”，优先级为“不采用”。主要收益：仅保留必要暖局/格局功能；主要副作用：耗水、克金、土焦、木燥、格局受损；仅在若火继续生助忌神或破坏主用，则可升级为仇神时成立。</x:v>
      </x:c>
      <x:c r="AB77" s="82" t="str">
        <x:v>较高</x:v>
      </x:c>
      <x:c r="AC77" s="82" t="str">
        <x:v>现代综合</x:v>
      </x:c>
      <x:c r="AD77" s="68" t="str">
        <x:v>喜忌用神必须同时读取扶抑、格局、通关、调候和病药五个维度。单一维度有利不足以自动成为主用；最终定位取决于是否解决根本问题、是否触犯格局硬约束、药力是否可达以及副作用是否可控。</x:v>
      </x:c>
      <x:c r="AE77" s="68" t="str">
        <x:v>满足“火已旺极且新增火直接加重根本病”，且主要收益大于副作用时，可按“火过旺时可能成为忌神或仇神”定位。</x:v>
      </x:c>
      <x:c r="AF77" s="90" t="str">
        <x:v>若“炎上、从火严格成立且火为主势”成立，则不得按“火过旺时可能成为忌神或仇神”无条件定位。</x:v>
      </x:c>
      <x:c r="AG77" s="82" t="str">
        <x:v>采用</x:v>
      </x:c>
      <x:c r="AH77" s="82" t="str">
        <x:v>初审</x:v>
      </x:c>
      <x:c r="AI77" s="87" t="n">
        <x:v>46260</x:v>
      </x:c>
    </x:row>
    <x:row r="78">
      <x:c r="A78" s="72" t="str">
        <x:f>IF(OR(C78="",D78=""),"",B78&amp;"-"&amp;UPPER(C78)&amp;"-"&amp;TEXT(D78,"0000")&amp;"-"&amp;E78)</x:f>
        <x:v>M17-WUXING-0072-V1.0</x:v>
      </x:c>
      <x:c r="B78" s="74" t="str">
        <x:v>M17</x:v>
      </x:c>
      <x:c r="C78" s="74" t="str">
        <x:v>WUXING</x:v>
      </x:c>
      <x:c r="D78" s="215" t="n">
        <x:v>72</x:v>
      </x:c>
      <x:c r="E78" s="74" t="str">
        <x:v>V1.0</x:v>
      </x:c>
      <x:c r="F78" s="68" t="str">
        <x:v>火弱但寒暖平衡时不因弱自动列喜</x:v>
      </x:c>
      <x:c r="G78" s="82" t="str">
        <x:v>综合层</x:v>
      </x:c>
      <x:c r="H78" s="82" t="str">
        <x:v>火</x:v>
      </x:c>
      <x:c r="I78" s="82"/>
      <x:c r="J78" s="82" t="str">
        <x:v>复合来源</x:v>
      </x:c>
      <x:c r="K78" s="68" t="str">
        <x:v>火弱事实</x:v>
      </x:c>
      <x:c r="L78" s="68" t="str">
        <x:v>非核心格神</x:v>
      </x:c>
      <x:c r="M78" s="68" t="str">
        <x:v>非主路径关键桥梁</x:v>
      </x:c>
      <x:c r="N78" s="68" t="str">
        <x:v>温度已平衡</x:v>
      </x:c>
      <x:c r="O78" s="68" t="str">
        <x:v>M16未立火弱或寒凝病</x:v>
      </x:c>
      <x:c r="P78" s="68" t="str">
        <x:v>无明确主问题可治</x:v>
      </x:c>
      <x:c r="Q78" s="90" t="str">
        <x:v>补火可能制造热燥、耗水或克金</x:v>
      </x:c>
      <x:c r="R78" s="68" t="str">
        <x:v>火弱但双轴平衡、流通格局正常</x:v>
      </x:c>
      <x:c r="S78" s="68" t="str">
        <x:v>火为核心药神、格神或不可替代桥梁</x:v>
      </x:c>
      <x:c r="T78" s="68" t="str">
        <x:v>无</x:v>
      </x:c>
      <x:c r="U78" s="68"/>
      <x:c r="V78" s="84" t="str">
        <x:v>中性</x:v>
      </x:c>
      <x:c r="W78" s="82" t="str">
        <x:v>不采用</x:v>
      </x:c>
      <x:c r="X78" s="82" t="str">
        <x:v>否</x:v>
      </x:c>
      <x:c r="Y78" s="68" t="str">
        <x:v>火弱不等于需要火</x:v>
      </x:c>
      <x:c r="Z78" s="84" t="str">
        <x:v>火弱非自动喜</x:v>
      </x:c>
      <x:c r="AA78" s="84" t="str">
        <x:v>火综合定位为“中性”，优先级为“不采用”。主要收益：无明确主问题可治；主要副作用：补火可能制造热燥、耗水或克金；火弱不等于需要火。</x:v>
      </x:c>
      <x:c r="AB78" s="82" t="str">
        <x:v>较高</x:v>
      </x:c>
      <x:c r="AC78" s="82" t="str">
        <x:v>现代综合</x:v>
      </x:c>
      <x:c r="AD78" s="68" t="str">
        <x:v>喜忌用神必须同时读取扶抑、格局、通关、调候和病药五个维度。单一维度有利不足以自动成为主用；最终定位取决于是否解决根本问题、是否触犯格局硬约束、药力是否可达以及副作用是否可控。</x:v>
      </x:c>
      <x:c r="AE78" s="68" t="str">
        <x:v>满足“火弱但双轴平衡、流通格局正常”，且主要收益大于副作用时，可按“火弱但寒暖平衡时不因弱自动列喜”定位。</x:v>
      </x:c>
      <x:c r="AF78" s="90" t="str">
        <x:v>若“火为核心药神、格神或不可替代桥梁”成立，则不得按“火弱但寒暖平衡时不因弱自动列喜”无条件定位。</x:v>
      </x:c>
      <x:c r="AG78" s="82" t="str">
        <x:v>采用</x:v>
      </x:c>
      <x:c r="AH78" s="82" t="str">
        <x:v>初审</x:v>
      </x:c>
      <x:c r="AI78" s="87" t="n">
        <x:v>46260</x:v>
      </x:c>
    </x:row>
    <x:row r="79">
      <x:c r="A79" s="72" t="str">
        <x:f>IF(OR(C79="",D79=""),"",B79&amp;"-"&amp;UPPER(C79)&amp;"-"&amp;TEXT(D79,"0000")&amp;"-"&amp;E79)</x:f>
        <x:v>M17-WUXING-0073-V1.0</x:v>
      </x:c>
      <x:c r="B79" s="74" t="str">
        <x:v>M17</x:v>
      </x:c>
      <x:c r="C79" s="74" t="str">
        <x:v>WUXING</x:v>
      </x:c>
      <x:c r="D79" s="215" t="n">
        <x:v>73</x:v>
      </x:c>
      <x:c r="E79" s="74" t="str">
        <x:v>V1.0</x:v>
      </x:c>
      <x:c r="F79" s="68" t="str">
        <x:v>土作为承载、制水和生金之神的正向候选</x:v>
      </x:c>
      <x:c r="G79" s="82" t="str">
        <x:v>综合层</x:v>
      </x:c>
      <x:c r="H79" s="82" t="str">
        <x:v>土</x:v>
      </x:c>
      <x:c r="I79" s="82"/>
      <x:c r="J79" s="82" t="str">
        <x:v>复合来源</x:v>
      </x:c>
      <x:c r="K79" s="68" t="str">
        <x:v>按日主映射另判</x:v>
      </x:c>
      <x:c r="L79" s="68" t="str">
        <x:v>可保护土类格神或承接火势</x:v>
      </x:c>
      <x:c r="M79" s="68" t="str">
        <x:v>连接火→土→金，提供终点承载</x:v>
      </x:c>
      <x:c r="N79" s="68" t="str">
        <x:v>适度土可调湿，但湿燥属性须分辨</x:v>
      </x:c>
      <x:c r="O79" s="68" t="str">
        <x:v>治疗终点无承载、火金相战或水湿过量</x:v>
      </x:c>
      <x:c r="P79" s="68" t="str">
        <x:v>承载、稳定、制水并生金</x:v>
      </x:c>
      <x:c r="Q79" s="90" t="str">
        <x:v>土过旺会克水、埋金、晦火、湿滞或燥烈</x:v>
      </x:c>
      <x:c r="R79" s="68" t="str">
        <x:v>需要承载水火、通火金或适度节水</x:v>
      </x:c>
      <x:c r="S79" s="68" t="str">
        <x:v>土已旺、湿土壅塞、燥土成病或水为核心药神</x:v>
      </x:c>
      <x:c r="T79" s="68" t="str">
        <x:v>承载收益与克水埋金副作用</x:v>
      </x:c>
      <x:c r="U79" s="68" t="str">
        <x:v>M18-DOSE-0067-V1.0</x:v>
      </x:c>
      <x:c r="V79" s="84" t="str">
        <x:v>条件性喜神</x:v>
      </x:c>
      <x:c r="W79" s="82" t="str">
        <x:v>条件顺位</x:v>
      </x:c>
      <x:c r="X79" s="82" t="str">
        <x:v>是</x:v>
      </x:c>
      <x:c r="Y79" s="68" t="str">
        <x:v>必须区分湿土/燥土并控制土量</x:v>
      </x:c>
      <x:c r="Z79" s="84" t="str">
        <x:v>土承载候选</x:v>
      </x:c>
      <x:c r="AA79" s="84" t="str">
        <x:v>土综合定位为“条件性喜神”，优先级为“条件顺位”。主要收益：承载、稳定、制水并生金；主要副作用：土过旺会克水、埋金、晦火、湿滞或燥烈；仅在必须区分湿土/燥土并控制土量时成立。</x:v>
      </x:c>
      <x:c r="AB79" s="82" t="str">
        <x:v>较高</x:v>
      </x:c>
      <x:c r="AC79" s="82" t="str">
        <x:v>现代综合</x:v>
      </x:c>
      <x:c r="AD79" s="68" t="str">
        <x:v>喜忌用神必须同时读取扶抑、格局、通关、调候和病药五个维度。单一维度有利不足以自动成为主用；最终定位取决于是否解决根本问题、是否触犯格局硬约束、药力是否可达以及副作用是否可控。</x:v>
      </x:c>
      <x:c r="AE79" s="68" t="str">
        <x:v>满足“需要承载水火、通火金或适度节水”，且主要收益大于副作用时，可按“土作为承载、制水和生金之神的正向候选”定位。</x:v>
      </x:c>
      <x:c r="AF79" s="90" t="str">
        <x:v>若“土已旺、湿土壅塞、燥土成病或水为核心药神”成立，则不得按“土作为承载、制水和生金之神的正向候选”无条件定位。</x:v>
      </x:c>
      <x:c r="AG79" s="82" t="str">
        <x:v>采用</x:v>
      </x:c>
      <x:c r="AH79" s="82" t="str">
        <x:v>初审</x:v>
      </x:c>
      <x:c r="AI79" s="87" t="n">
        <x:v>46260</x:v>
      </x:c>
    </x:row>
    <x:row r="80">
      <x:c r="A80" s="72" t="str">
        <x:f>IF(OR(C80="",D80=""),"",B80&amp;"-"&amp;UPPER(C80)&amp;"-"&amp;TEXT(D80,"0000")&amp;"-"&amp;E80)</x:f>
        <x:v>M17-WUXING-0074-V1.0</x:v>
      </x:c>
      <x:c r="B80" s="74" t="str">
        <x:v>M17</x:v>
      </x:c>
      <x:c r="C80" s="74" t="str">
        <x:v>WUXING</x:v>
      </x:c>
      <x:c r="D80" s="215" t="n">
        <x:v>74</x:v>
      </x:c>
      <x:c r="E80" s="74" t="str">
        <x:v>V1.0</x:v>
      </x:c>
      <x:c r="F80" s="68" t="str">
        <x:v>土在火金相战中可承担通关桥梁</x:v>
      </x:c>
      <x:c r="G80" s="82" t="str">
        <x:v>综合层</x:v>
      </x:c>
      <x:c r="H80" s="82" t="str">
        <x:v>土</x:v>
      </x:c>
      <x:c r="I80" s="82"/>
      <x:c r="J80" s="82" t="str">
        <x:v>通关用神</x:v>
      </x:c>
      <x:c r="K80" s="68" t="str">
        <x:v>视日主而定</x:v>
      </x:c>
      <x:c r="L80" s="68" t="str">
        <x:v>不得破坏水格或木格</x:v>
      </x:c>
      <x:c r="M80" s="68" t="str">
        <x:v>泄火并生金</x:v>
      </x:c>
      <x:c r="N80" s="68" t="str">
        <x:v>可能增湿或增燥，取决于土性</x:v>
      </x:c>
      <x:c r="O80" s="68" t="str">
        <x:v>治疗火金两强相战</x:v>
      </x:c>
      <x:c r="P80" s="68" t="str">
        <x:v>缓解火克金并提供中介承载</x:v>
      </x:c>
      <x:c r="Q80" s="90" t="str">
        <x:v>土过旺会埋金、克水或形成土壅</x:v>
      </x:c>
      <x:c r="R80" s="68" t="str">
        <x:v>M12确认火金双强相战且土有效</x:v>
      </x:c>
      <x:c r="S80" s="68" t="str">
        <x:v>土无根、土已过旺或土会根本破坏水木格局</x:v>
      </x:c>
      <x:c r="T80" s="68" t="str">
        <x:v>通关与水路/调候冲突</x:v>
      </x:c>
      <x:c r="U80" s="68" t="str">
        <x:v>M18-FLOW-0036-V1.0</x:v>
      </x:c>
      <x:c r="V80" s="84" t="str">
        <x:v>条件性喜神</x:v>
      </x:c>
      <x:c r="W80" s="82" t="str">
        <x:v>条件顺位</x:v>
      </x:c>
      <x:c r="X80" s="82" t="str">
        <x:v>是</x:v>
      </x:c>
      <x:c r="Y80" s="68" t="str">
        <x:v>土能泄火生金且不埋金克水过度</x:v>
      </x:c>
      <x:c r="Z80" s="84" t="str">
        <x:v>土通火金</x:v>
      </x:c>
      <x:c r="AA80" s="84" t="str">
        <x:v>土综合定位为“条件性喜神”，优先级为“条件顺位”。主要收益：缓解火克金并提供中介承载；主要副作用：土过旺会埋金、克水或形成土壅；仅在土能泄火生金且不埋金克水过度时成立。</x:v>
      </x:c>
      <x:c r="AB80" s="82" t="str">
        <x:v>较高</x:v>
      </x:c>
      <x:c r="AC80" s="82" t="str">
        <x:v>现代综合</x:v>
      </x:c>
      <x:c r="AD80" s="68" t="str">
        <x:v>喜忌用神必须同时读取扶抑、格局、通关、调候和病药五个维度。单一维度有利不足以自动成为主用；最终定位取决于是否解决根本问题、是否触犯格局硬约束、药力是否可达以及副作用是否可控。</x:v>
      </x:c>
      <x:c r="AE80" s="68" t="str">
        <x:v>满足“M12确认火金双强相战且土有效”，且主要收益大于副作用时，可按“土在火金相战中可承担通关桥梁”定位。</x:v>
      </x:c>
      <x:c r="AF80" s="90" t="str">
        <x:v>若“土无根、土已过旺或土会根本破坏水木格局”成立，则不得按“土在火金相战中可承担通关桥梁”无条件定位。</x:v>
      </x:c>
      <x:c r="AG80" s="82" t="str">
        <x:v>采用</x:v>
      </x:c>
      <x:c r="AH80" s="82" t="str">
        <x:v>初审</x:v>
      </x:c>
      <x:c r="AI80" s="87" t="n">
        <x:v>46260</x:v>
      </x:c>
    </x:row>
    <x:row r="81">
      <x:c r="A81" s="72" t="str">
        <x:f>IF(OR(C81="",D81=""),"",B81&amp;"-"&amp;UPPER(C81)&amp;"-"&amp;TEXT(D81,"0000")&amp;"-"&amp;E81)</x:f>
        <x:v>M17-WUXING-0075-V1.0</x:v>
      </x:c>
      <x:c r="B81" s="74" t="str">
        <x:v>M17</x:v>
      </x:c>
      <x:c r="C81" s="74" t="str">
        <x:v>WUXING</x:v>
      </x:c>
      <x:c r="D81" s="215" t="n">
        <x:v>75</x:v>
      </x:c>
      <x:c r="E81" s="74" t="str">
        <x:v>V1.0</x:v>
      </x:c>
      <x:c r="F81" s="68" t="str">
        <x:v>土过旺时可能转为忌神</x:v>
      </x:c>
      <x:c r="G81" s="82" t="str">
        <x:v>综合层</x:v>
      </x:c>
      <x:c r="H81" s="82" t="str">
        <x:v>土</x:v>
      </x:c>
      <x:c r="I81" s="82"/>
      <x:c r="J81" s="82" t="str">
        <x:v>复合来源</x:v>
      </x:c>
      <x:c r="K81" s="68" t="str">
        <x:v>可能加重土日主或耗泄火、制水</x:v>
      </x:c>
      <x:c r="L81" s="68" t="str">
        <x:v>可能破水格、木格、埋金或晦火</x:v>
      </x:c>
      <x:c r="M81" s="68" t="str">
        <x:v>阻断水路、造成桥梁或终点壅塞</x:v>
      </x:c>
      <x:c r="N81" s="68" t="str">
        <x:v>湿土增湿、燥土增燥</x:v>
      </x:c>
      <x:c r="O81" s="68" t="str">
        <x:v>形成土重壅塞、克水、埋金或调候病</x:v>
      </x:c>
      <x:c r="P81" s="68" t="str">
        <x:v>仅保留必要承载功能</x:v>
      </x:c>
      <x:c r="Q81" s="90" t="str">
        <x:v>水路受阻、金被埋、木受克、火被晦</x:v>
      </x:c>
      <x:c r="R81" s="68" t="str">
        <x:v>土旺极且新增土加重根本病</x:v>
      </x:c>
      <x:c r="S81" s="68" t="str">
        <x:v>稼穑、从土或专旺严格成立</x:v>
      </x:c>
      <x:c r="T81" s="68" t="str">
        <x:v>特殊格局与普通流通/调候冲突</x:v>
      </x:c>
      <x:c r="U81" s="68" t="str">
        <x:v>M18-SPECIAL-0012-V1.0</x:v>
      </x:c>
      <x:c r="V81" s="84" t="str">
        <x:v>忌神</x:v>
      </x:c>
      <x:c r="W81" s="82" t="str">
        <x:v>不采用</x:v>
      </x:c>
      <x:c r="X81" s="82" t="str">
        <x:v>条件性</x:v>
      </x:c>
      <x:c r="Y81" s="68" t="str">
        <x:v>继续增土会直接加重主病或破主用</x:v>
      </x:c>
      <x:c r="Z81" s="84" t="str">
        <x:v>土旺转忌</x:v>
      </x:c>
      <x:c r="AA81" s="84" t="str">
        <x:v>土综合定位为“忌神”，优先级为“不采用”。主要收益：仅保留必要承载功能；主要副作用：水路受阻、金被埋、木受克、火被晦；仅在继续增土会直接加重主病或破主用时成立。</x:v>
      </x:c>
      <x:c r="AB81" s="82" t="str">
        <x:v>较高</x:v>
      </x:c>
      <x:c r="AC81" s="82" t="str">
        <x:v>现代综合</x:v>
      </x:c>
      <x:c r="AD81" s="68" t="str">
        <x:v>喜忌用神必须同时读取扶抑、格局、通关、调候和病药五个维度。单一维度有利不足以自动成为主用；最终定位取决于是否解决根本问题、是否触犯格局硬约束、药力是否可达以及副作用是否可控。</x:v>
      </x:c>
      <x:c r="AE81" s="68" t="str">
        <x:v>满足“土旺极且新增土加重根本病”，且主要收益大于副作用时，可按“土过旺时可能转为忌神”定位。</x:v>
      </x:c>
      <x:c r="AF81" s="90" t="str">
        <x:v>若“稼穑、从土或专旺严格成立”成立，则不得按“土过旺时可能转为忌神”无条件定位。</x:v>
      </x:c>
      <x:c r="AG81" s="82" t="str">
        <x:v>采用</x:v>
      </x:c>
      <x:c r="AH81" s="82" t="str">
        <x:v>初审</x:v>
      </x:c>
      <x:c r="AI81" s="87" t="n">
        <x:v>46260</x:v>
      </x:c>
    </x:row>
    <x:row r="82">
      <x:c r="A82" s="72" t="str">
        <x:f>IF(OR(C82="",D82=""),"",B82&amp;"-"&amp;UPPER(C82)&amp;"-"&amp;TEXT(D82,"0000")&amp;"-"&amp;E82)</x:f>
        <x:v>M17-WUXING-0076-V1.0</x:v>
      </x:c>
      <x:c r="B82" s="74" t="str">
        <x:v>M17</x:v>
      </x:c>
      <x:c r="C82" s="74" t="str">
        <x:v>WUXING</x:v>
      </x:c>
      <x:c r="D82" s="215" t="n">
        <x:v>76</x:v>
      </x:c>
      <x:c r="E82" s="74" t="str">
        <x:v>V1.0</x:v>
      </x:c>
      <x:c r="F82" s="68" t="str">
        <x:v>土的喜忌必须区分湿土与燥土功能</x:v>
      </x:c>
      <x:c r="G82" s="82" t="str">
        <x:v>综合层</x:v>
      </x:c>
      <x:c r="H82" s="82" t="str">
        <x:v>土</x:v>
      </x:c>
      <x:c r="I82" s="82"/>
      <x:c r="J82" s="82" t="str">
        <x:v>复合来源</x:v>
      </x:c>
      <x:c r="K82" s="68" t="str">
        <x:v>同为土但有效状态不同</x:v>
      </x:c>
      <x:c r="L82" s="68" t="str">
        <x:v>格神土性需结合月令和全局</x:v>
      </x:c>
      <x:c r="M82" s="68" t="str">
        <x:v>湿土可滞水晦火，燥土可吸湿但加燥</x:v>
      </x:c>
      <x:c r="N82" s="68" t="str">
        <x:v>湿土增湿、燥土增燥</x:v>
      </x:c>
      <x:c r="O82" s="68" t="str">
        <x:v>同一土不能统一作为燥湿药</x:v>
      </x:c>
      <x:c r="P82" s="68" t="str">
        <x:v>精确选择承载、化湿或润燥方向</x:v>
      </x:c>
      <x:c r="Q82" s="90" t="str">
        <x:v>忽略土性会用药相反</x:v>
      </x:c>
      <x:c r="R82" s="68" t="str">
        <x:v>候选土涉及调候或流通功能</x:v>
      </x:c>
      <x:c r="S82" s="68" t="str">
        <x:v>只凭辰丑未戌标签，不审全局有效状态</x:v>
      </x:c>
      <x:c r="T82" s="68" t="str">
        <x:v>土性与调候方向</x:v>
      </x:c>
      <x:c r="U82" s="68" t="str">
        <x:v>M18-CLIMATE-0028-V1.0</x:v>
      </x:c>
      <x:c r="V82" s="84" t="str">
        <x:v>待定</x:v>
      </x:c>
      <x:c r="W82" s="82" t="str">
        <x:v>待定</x:v>
      </x:c>
      <x:c r="X82" s="82" t="str">
        <x:v>待定</x:v>
      </x:c>
      <x:c r="Y82" s="68" t="str">
        <x:v>先由M13确认实际湿燥属性再定位</x:v>
      </x:c>
      <x:c r="Z82" s="84" t="str">
        <x:v>土性分型定位</x:v>
      </x:c>
      <x:c r="AA82" s="84" t="str">
        <x:v>土综合定位为“待定”，优先级为“待定”。主要收益：精确选择承载、化湿或润燥方向；主要副作用：忽略土性会用药相反；先由M13确认实际湿燥属性再定位。</x:v>
      </x:c>
      <x:c r="AB82" s="82" t="str">
        <x:v>中等</x:v>
      </x:c>
      <x:c r="AC82" s="82" t="str">
        <x:v>现代综合</x:v>
      </x:c>
      <x:c r="AD82" s="68" t="str">
        <x:v>喜忌用神必须同时读取扶抑、格局、通关、调候和病药五个维度。单一维度有利不足以自动成为主用；最终定位取决于是否解决根本问题、是否触犯格局硬约束、药力是否可达以及副作用是否可控。</x:v>
      </x:c>
      <x:c r="AE82" s="68" t="str">
        <x:v>满足“候选土涉及调候或流通功能”，且主要收益大于副作用时，可按“土的喜忌必须区分湿土与燥土功能”定位。</x:v>
      </x:c>
      <x:c r="AF82" s="90" t="str">
        <x:v>若“只凭辰丑未戌标签，不审全局有效状态”成立，则不得按“土的喜忌必须区分湿土与燥土功能”无条件定位。</x:v>
      </x:c>
      <x:c r="AG82" s="82" t="str">
        <x:v>待验证</x:v>
      </x:c>
      <x:c r="AH82" s="82" t="str">
        <x:v>初审</x:v>
      </x:c>
      <x:c r="AI82" s="87" t="n">
        <x:v>46260</x:v>
      </x:c>
    </x:row>
    <x:row r="83">
      <x:c r="A83" s="72" t="str">
        <x:f>IF(OR(C83="",D83=""),"",B83&amp;"-"&amp;UPPER(C83)&amp;"-"&amp;TEXT(D83,"0000")&amp;"-"&amp;E83)</x:f>
        <x:v>M17-WUXING-0077-V1.0</x:v>
      </x:c>
      <x:c r="B83" s="74" t="str">
        <x:v>M17</x:v>
      </x:c>
      <x:c r="C83" s="74" t="str">
        <x:v>WUXING</x:v>
      </x:c>
      <x:c r="D83" s="215" t="n">
        <x:v>77</x:v>
      </x:c>
      <x:c r="E83" s="74" t="str">
        <x:v>V1.0</x:v>
      </x:c>
      <x:c r="F83" s="68" t="str">
        <x:v>金作为生水、制木与泄土之神的正向候选</x:v>
      </x:c>
      <x:c r="G83" s="82" t="str">
        <x:v>综合层</x:v>
      </x:c>
      <x:c r="H83" s="82" t="str">
        <x:v>金</x:v>
      </x:c>
      <x:c r="I83" s="82"/>
      <x:c r="J83" s="82" t="str">
        <x:v>复合来源</x:v>
      </x:c>
      <x:c r="K83" s="68" t="str">
        <x:v>按日主映射另判</x:v>
      </x:c>
      <x:c r="L83" s="68" t="str">
        <x:v>可保护金类格神或为土势提供出口</x:v>
      </x:c>
      <x:c r="M83" s="68" t="str">
        <x:v>连接土→金→水，或制约过旺木势</x:v>
      </x:c>
      <x:c r="N83" s="68" t="str">
        <x:v>可生水润燥但也可能增凉</x:v>
      </x:c>
      <x:c r="O83" s="68" t="str">
        <x:v>治疗水无源、土旺无泄或木旺克土</x:v>
      </x:c>
      <x:c r="P83" s="68" t="str">
        <x:v>生水、泄土、制木并建立土水桥梁</x:v>
      </x:c>
      <x:c r="Q83" s="90" t="str">
        <x:v>金过旺克木、助水寒、伤火或形成金木相战</x:v>
      </x:c>
      <x:c r="R83" s="68" t="str">
        <x:v>水需生源、土旺需泄或木旺需适度制约</x:v>
      </x:c>
      <x:c r="S83" s="68" t="str">
        <x:v>木为核心格神不可伤、原局极寒或金已旺</x:v>
      </x:c>
      <x:c r="T83" s="68" t="str">
        <x:v>生水泄土收益与克木增寒副作用</x:v>
      </x:c>
      <x:c r="U83" s="68" t="str">
        <x:v>M18-DOSE-0067-V1.0</x:v>
      </x:c>
      <x:c r="V83" s="84" t="str">
        <x:v>条件性喜神</x:v>
      </x:c>
      <x:c r="W83" s="82" t="str">
        <x:v>条件顺位</x:v>
      </x:c>
      <x:c r="X83" s="82" t="str">
        <x:v>是</x:v>
      </x:c>
      <x:c r="Y83" s="68" t="str">
        <x:v>金有根有源且不重克木、不加重寒局</x:v>
      </x:c>
      <x:c r="Z83" s="84" t="str">
        <x:v>金生水泄土候选</x:v>
      </x:c>
      <x:c r="AA83" s="84" t="str">
        <x:v>金综合定位为“条件性喜神”，优先级为“条件顺位”。主要收益：生水、泄土、制木并建立土水桥梁；主要副作用：金过旺克木、助水寒、伤火或形成金木相战；仅在金有根有源且不重克木、不加重寒局时成立。</x:v>
      </x:c>
      <x:c r="AB83" s="82" t="str">
        <x:v>较高</x:v>
      </x:c>
      <x:c r="AC83" s="82" t="str">
        <x:v>现代综合</x:v>
      </x:c>
      <x:c r="AD83" s="68" t="str">
        <x:v>喜忌用神必须同时读取扶抑、格局、通关、调候和病药五个维度。单一维度有利不足以自动成为主用；最终定位取决于是否解决根本问题、是否触犯格局硬约束、药力是否可达以及副作用是否可控。</x:v>
      </x:c>
      <x:c r="AE83" s="68" t="str">
        <x:v>满足“水需生源、土旺需泄或木旺需适度制约”，且主要收益大于副作用时，可按“金作为生水、制木与泄土之神的正向候选”定位。</x:v>
      </x:c>
      <x:c r="AF83" s="90" t="str">
        <x:v>若“木为核心格神不可伤、原局极寒或金已旺”成立，则不得按“金作为生水、制木与泄土之神的正向候选”无条件定位。</x:v>
      </x:c>
      <x:c r="AG83" s="82" t="str">
        <x:v>采用</x:v>
      </x:c>
      <x:c r="AH83" s="82" t="str">
        <x:v>初审</x:v>
      </x:c>
      <x:c r="AI83" s="87" t="n">
        <x:v>46260</x:v>
      </x:c>
    </x:row>
    <x:row r="84">
      <x:c r="A84" s="72" t="str">
        <x:f>IF(OR(C84="",D84=""),"",B84&amp;"-"&amp;UPPER(C84)&amp;"-"&amp;TEXT(D84,"0000")&amp;"-"&amp;E84)</x:f>
        <x:v>M17-WUXING-0078-V1.0</x:v>
      </x:c>
      <x:c r="B84" s="74" t="str">
        <x:v>M17</x:v>
      </x:c>
      <x:c r="C84" s="74" t="str">
        <x:v>WUXING</x:v>
      </x:c>
      <x:c r="D84" s="215" t="n">
        <x:v>78</x:v>
      </x:c>
      <x:c r="E84" s="74" t="str">
        <x:v>V1.0</x:v>
      </x:c>
      <x:c r="F84" s="68" t="str">
        <x:v>金在土水相战中可承担通关桥梁</x:v>
      </x:c>
      <x:c r="G84" s="82" t="str">
        <x:v>综合层</x:v>
      </x:c>
      <x:c r="H84" s="82" t="str">
        <x:v>金</x:v>
      </x:c>
      <x:c r="I84" s="82"/>
      <x:c r="J84" s="82" t="str">
        <x:v>通关用神</x:v>
      </x:c>
      <x:c r="K84" s="68" t="str">
        <x:v>视日主而定</x:v>
      </x:c>
      <x:c r="L84" s="68" t="str">
        <x:v>不得破坏木格或火格</x:v>
      </x:c>
      <x:c r="M84" s="68" t="str">
        <x:v>泄土并生水</x:v>
      </x:c>
      <x:c r="N84" s="68" t="str">
        <x:v>可能增寒、增水湿</x:v>
      </x:c>
      <x:c r="O84" s="68" t="str">
        <x:v>治疗土水两强相战</x:v>
      </x:c>
      <x:c r="P84" s="68" t="str">
        <x:v>缓解土克水并使土气有出口</x:v>
      </x:c>
      <x:c r="Q84" s="90" t="str">
        <x:v>金过旺克木、助水过度或受火重制</x:v>
      </x:c>
      <x:c r="R84" s="68" t="str">
        <x:v>M12确认土水双强相战且金有效</x:v>
      </x:c>
      <x:c r="S84" s="68" t="str">
        <x:v>原局极寒湿、金无根或金会根本破格</x:v>
      </x:c>
      <x:c r="T84" s="68" t="str">
        <x:v>通关与调候/木格冲突</x:v>
      </x:c>
      <x:c r="U84" s="68" t="str">
        <x:v>M18-FLOW-0035-V1.0</x:v>
      </x:c>
      <x:c r="V84" s="84" t="str">
        <x:v>条件性喜神</x:v>
      </x:c>
      <x:c r="W84" s="82" t="str">
        <x:v>条件顺位</x:v>
      </x:c>
      <x:c r="X84" s="82" t="str">
        <x:v>是</x:v>
      </x:c>
      <x:c r="Y84" s="68" t="str">
        <x:v>金能泄土生水且不使水寒湿过度</x:v>
      </x:c>
      <x:c r="Z84" s="84" t="str">
        <x:v>金通土水</x:v>
      </x:c>
      <x:c r="AA84" s="84" t="str">
        <x:v>金综合定位为“条件性喜神”，优先级为“条件顺位”。主要收益：缓解土克水并使土气有出口；主要副作用：金过旺克木、助水过度或受火重制；仅在金能泄土生水且不使水寒湿过度时成立。</x:v>
      </x:c>
      <x:c r="AB84" s="82" t="str">
        <x:v>较高</x:v>
      </x:c>
      <x:c r="AC84" s="82" t="str">
        <x:v>现代综合</x:v>
      </x:c>
      <x:c r="AD84" s="68" t="str">
        <x:v>喜忌用神必须同时读取扶抑、格局、通关、调候和病药五个维度。单一维度有利不足以自动成为主用；最终定位取决于是否解决根本问题、是否触犯格局硬约束、药力是否可达以及副作用是否可控。</x:v>
      </x:c>
      <x:c r="AE84" s="68" t="str">
        <x:v>满足“M12确认土水双强相战且金有效”，且主要收益大于副作用时，可按“金在土水相战中可承担通关桥梁”定位。</x:v>
      </x:c>
      <x:c r="AF84" s="90" t="str">
        <x:v>若“原局极寒湿、金无根或金会根本破格”成立，则不得按“金在土水相战中可承担通关桥梁”无条件定位。</x:v>
      </x:c>
      <x:c r="AG84" s="82" t="str">
        <x:v>采用</x:v>
      </x:c>
      <x:c r="AH84" s="82" t="str">
        <x:v>初审</x:v>
      </x:c>
      <x:c r="AI84" s="87" t="n">
        <x:v>46260</x:v>
      </x:c>
    </x:row>
    <x:row r="85">
      <x:c r="A85" s="72" t="str">
        <x:f>IF(OR(C85="",D85=""),"",B85&amp;"-"&amp;UPPER(C85)&amp;"-"&amp;TEXT(D85,"0000")&amp;"-"&amp;E85)</x:f>
        <x:v>M17-WUXING-0079-V1.0</x:v>
      </x:c>
      <x:c r="B85" s="74" t="str">
        <x:v>M17</x:v>
      </x:c>
      <x:c r="C85" s="74" t="str">
        <x:v>WUXING</x:v>
      </x:c>
      <x:c r="D85" s="215" t="n">
        <x:v>79</x:v>
      </x:c>
      <x:c r="E85" s="74" t="str">
        <x:v>V1.0</x:v>
      </x:c>
      <x:c r="F85" s="68" t="str">
        <x:v>金过旺时可能转为忌神</x:v>
      </x:c>
      <x:c r="G85" s="82" t="str">
        <x:v>综合层</x:v>
      </x:c>
      <x:c r="H85" s="82" t="str">
        <x:v>金</x:v>
      </x:c>
      <x:c r="I85" s="82"/>
      <x:c r="J85" s="82" t="str">
        <x:v>复合来源</x:v>
      </x:c>
      <x:c r="K85" s="68" t="str">
        <x:v>可能加重金日主或克木</x:v>
      </x:c>
      <x:c r="L85" s="68" t="str">
        <x:v>可能破木格、食伤财官链或伤火</x:v>
      </x:c>
      <x:c r="M85" s="68" t="str">
        <x:v>使水端过旺或形成金木持续对战</x:v>
      </x:c>
      <x:c r="N85" s="68" t="str">
        <x:v>可能加重秋凉寒燥</x:v>
      </x:c>
      <x:c r="O85" s="68" t="str">
        <x:v>形成金旺克木、助水寒或格局病</x:v>
      </x:c>
      <x:c r="P85" s="68" t="str">
        <x:v>仅保留必要制木、生水功能</x:v>
      </x:c>
      <x:c r="Q85" s="90" t="str">
        <x:v>木受损、火受耗、水过旺、金木相战</x:v>
      </x:c>
      <x:c r="R85" s="68" t="str">
        <x:v>金已旺极且新增金加重根本病</x:v>
      </x:c>
      <x:c r="S85" s="68" t="str">
        <x:v>从革、从金或专旺严格成立</x:v>
      </x:c>
      <x:c r="T85" s="68" t="str">
        <x:v>特殊格局与普通调候/流通冲突</x:v>
      </x:c>
      <x:c r="U85" s="68" t="str">
        <x:v>M18-SPECIAL-0011-V1.0</x:v>
      </x:c>
      <x:c r="V85" s="84" t="str">
        <x:v>忌神</x:v>
      </x:c>
      <x:c r="W85" s="82" t="str">
        <x:v>不采用</x:v>
      </x:c>
      <x:c r="X85" s="82" t="str">
        <x:v>条件性</x:v>
      </x:c>
      <x:c r="Y85" s="68" t="str">
        <x:v>继续增金会克关键木、助忌水或破格</x:v>
      </x:c>
      <x:c r="Z85" s="84" t="str">
        <x:v>金旺转忌</x:v>
      </x:c>
      <x:c r="AA85" s="84" t="str">
        <x:v>金综合定位为“忌神”，优先级为“不采用”。主要收益：仅保留必要制木、生水功能；主要副作用：木受损、火受耗、水过旺、金木相战；仅在继续增金会克关键木、助忌水或破格时成立。</x:v>
      </x:c>
      <x:c r="AB85" s="82" t="str">
        <x:v>较高</x:v>
      </x:c>
      <x:c r="AC85" s="82" t="str">
        <x:v>现代综合</x:v>
      </x:c>
      <x:c r="AD85" s="68" t="str">
        <x:v>喜忌用神必须同时读取扶抑、格局、通关、调候和病药五个维度。单一维度有利不足以自动成为主用；最终定位取决于是否解决根本问题、是否触犯格局硬约束、药力是否可达以及副作用是否可控。</x:v>
      </x:c>
      <x:c r="AE85" s="68" t="str">
        <x:v>满足“金已旺极且新增金加重根本病”，且主要收益大于副作用时，可按“金过旺时可能转为忌神”定位。</x:v>
      </x:c>
      <x:c r="AF85" s="90" t="str">
        <x:v>若“从革、从金或专旺严格成立”成立，则不得按“金过旺时可能转为忌神”无条件定位。</x:v>
      </x:c>
      <x:c r="AG85" s="82" t="str">
        <x:v>采用</x:v>
      </x:c>
      <x:c r="AH85" s="82" t="str">
        <x:v>初审</x:v>
      </x:c>
      <x:c r="AI85" s="87" t="n">
        <x:v>46260</x:v>
      </x:c>
    </x:row>
    <x:row r="86">
      <x:c r="A86" s="72" t="str">
        <x:f>IF(OR(C86="",D86=""),"",B86&amp;"-"&amp;UPPER(C86)&amp;"-"&amp;TEXT(D86,"0000")&amp;"-"&amp;E86)</x:f>
        <x:v>M17-WUXING-0080-V1.0</x:v>
      </x:c>
      <x:c r="B86" s="74" t="str">
        <x:v>M17</x:v>
      </x:c>
      <x:c r="C86" s="74" t="str">
        <x:v>WUXING</x:v>
      </x:c>
      <x:c r="D86" s="215" t="n">
        <x:v>80</x:v>
      </x:c>
      <x:c r="E86" s="74" t="str">
        <x:v>V1.0</x:v>
      </x:c>
      <x:c r="F86" s="68" t="str">
        <x:v>金弱但不承担生水通关或格神功能时不自动列喜</x:v>
      </x:c>
      <x:c r="G86" s="82" t="str">
        <x:v>综合层</x:v>
      </x:c>
      <x:c r="H86" s="82" t="str">
        <x:v>金</x:v>
      </x:c>
      <x:c r="I86" s="82"/>
      <x:c r="J86" s="82" t="str">
        <x:v>复合来源</x:v>
      </x:c>
      <x:c r="K86" s="68" t="str">
        <x:v>金弱事实</x:v>
      </x:c>
      <x:c r="L86" s="68" t="str">
        <x:v>非核心格神</x:v>
      </x:c>
      <x:c r="M86" s="68" t="str">
        <x:v>非土水主桥梁</x:v>
      </x:c>
      <x:c r="N86" s="68" t="str">
        <x:v>非润燥水源</x:v>
      </x:c>
      <x:c r="O86" s="68" t="str">
        <x:v>M16未立金弱病</x:v>
      </x:c>
      <x:c r="P86" s="68" t="str">
        <x:v>无明确主问题可治</x:v>
      </x:c>
      <x:c r="Q86" s="90" t="str">
        <x:v>补金可能克木、助水寒或伤火</x:v>
      </x:c>
      <x:c r="R86" s="68" t="str">
        <x:v>金弱但流通、格局、调候正常</x:v>
      </x:c>
      <x:c r="S86" s="68" t="str">
        <x:v>金为关键桥梁、格神或水药生源</x:v>
      </x:c>
      <x:c r="T86" s="68" t="str">
        <x:v>无</x:v>
      </x:c>
      <x:c r="U86" s="68"/>
      <x:c r="V86" s="84" t="str">
        <x:v>中性</x:v>
      </x:c>
      <x:c r="W86" s="82" t="str">
        <x:v>不采用</x:v>
      </x:c>
      <x:c r="X86" s="82" t="str">
        <x:v>否</x:v>
      </x:c>
      <x:c r="Y86" s="68" t="str">
        <x:v>金弱不等于喜金</x:v>
      </x:c>
      <x:c r="Z86" s="84" t="str">
        <x:v>金弱非自动喜</x:v>
      </x:c>
      <x:c r="AA86" s="84" t="str">
        <x:v>金综合定位为“中性”，优先级为“不采用”。主要收益：无明确主问题可治；主要副作用：补金可能克木、助水寒或伤火；金弱不等于喜金。</x:v>
      </x:c>
      <x:c r="AB86" s="82" t="str">
        <x:v>较高</x:v>
      </x:c>
      <x:c r="AC86" s="82" t="str">
        <x:v>现代综合</x:v>
      </x:c>
      <x:c r="AD86" s="68" t="str">
        <x:v>喜忌用神必须同时读取扶抑、格局、通关、调候和病药五个维度。单一维度有利不足以自动成为主用；最终定位取决于是否解决根本问题、是否触犯格局硬约束、药力是否可达以及副作用是否可控。</x:v>
      </x:c>
      <x:c r="AE86" s="68" t="str">
        <x:v>满足“金弱但流通、格局、调候正常”，且主要收益大于副作用时，可按“金弱但不承担生水通关或格神功能时不自动列喜”定位。</x:v>
      </x:c>
      <x:c r="AF86" s="90" t="str">
        <x:v>若“金为关键桥梁、格神或水药生源”成立，则不得按“金弱但不承担生水通关或格神功能时不自动列喜”无条件定位。</x:v>
      </x:c>
      <x:c r="AG86" s="82" t="str">
        <x:v>采用</x:v>
      </x:c>
      <x:c r="AH86" s="82" t="str">
        <x:v>初审</x:v>
      </x:c>
      <x:c r="AI86" s="87" t="n">
        <x:v>46260</x:v>
      </x:c>
    </x:row>
    <x:row r="87">
      <x:c r="A87" s="72" t="str">
        <x:f>IF(OR(C87="",D87=""),"",B87&amp;"-"&amp;UPPER(C87)&amp;"-"&amp;TEXT(D87,"0000")&amp;"-"&amp;E87)</x:f>
        <x:v>M17-WUXING-0081-V1.0</x:v>
      </x:c>
      <x:c r="B87" s="74" t="str">
        <x:v>M17</x:v>
      </x:c>
      <x:c r="C87" s="74" t="str">
        <x:v>WUXING</x:v>
      </x:c>
      <x:c r="D87" s="215" t="n">
        <x:v>81</x:v>
      </x:c>
      <x:c r="E87" s="74" t="str">
        <x:v>V1.0</x:v>
      </x:c>
      <x:c r="F87" s="68" t="str">
        <x:v>水作为润燥、降温、生木与泄金之神的正向候选</x:v>
      </x:c>
      <x:c r="G87" s="82" t="str">
        <x:v>综合层</x:v>
      </x:c>
      <x:c r="H87" s="82" t="str">
        <x:v>水</x:v>
      </x:c>
      <x:c r="I87" s="82"/>
      <x:c r="J87" s="82" t="str">
        <x:v>复合来源</x:v>
      </x:c>
      <x:c r="K87" s="68" t="str">
        <x:v>按日主映射另判</x:v>
      </x:c>
      <x:c r="L87" s="68" t="str">
        <x:v>可保护水类格神或为金势提供出口</x:v>
      </x:c>
      <x:c r="M87" s="68" t="str">
        <x:v>连接金→水→木</x:v>
      </x:c>
      <x:c r="N87" s="68" t="str">
        <x:v>降温、润燥、增湿</x:v>
      </x:c>
      <x:c r="O87" s="68" t="str">
        <x:v>治疗热燥、金木相战或木无源</x:v>
      </x:c>
      <x:c r="P87" s="68" t="str">
        <x:v>润燥、降热、生木并泄金</x:v>
      </x:c>
      <x:c r="Q87" s="90" t="str">
        <x:v>水过旺会寒湿、灭火、冲土或形成水火相战</x:v>
      </x:c>
      <x:c r="R87" s="68" t="str">
        <x:v>偏热燥、木需生源、金旺需泄或金木需通关</x:v>
      </x:c>
      <x:c r="S87" s="68" t="str">
        <x:v>极寒湿、水已旺、火为核心格神或土水冲突加剧</x:v>
      </x:c>
      <x:c r="T87" s="68" t="str">
        <x:v>润燥生木收益与寒湿灭火副作用</x:v>
      </x:c>
      <x:c r="U87" s="68" t="str">
        <x:v>M18-DOSE-0067-V1.0</x:v>
      </x:c>
      <x:c r="V87" s="84" t="str">
        <x:v>条件性喜神</x:v>
      </x:c>
      <x:c r="W87" s="82" t="str">
        <x:v>条件顺位</x:v>
      </x:c>
      <x:c r="X87" s="82" t="str">
        <x:v>是</x:v>
      </x:c>
      <x:c r="Y87" s="68" t="str">
        <x:v>水有根有源、适量且不破火土格局</x:v>
      </x:c>
      <x:c r="Z87" s="84" t="str">
        <x:v>水润燥生木候选</x:v>
      </x:c>
      <x:c r="AA87" s="84" t="str">
        <x:v>水综合定位为“条件性喜神”，优先级为“条件顺位”。主要收益：润燥、降热、生木并泄金；主要副作用：水过旺会寒湿、灭火、冲土或形成水火相战；仅在水有根有源、适量且不破火土格局时成立。</x:v>
      </x:c>
      <x:c r="AB87" s="82" t="str">
        <x:v>较高</x:v>
      </x:c>
      <x:c r="AC87" s="82" t="str">
        <x:v>现代综合</x:v>
      </x:c>
      <x:c r="AD87" s="68" t="str">
        <x:v>喜忌用神必须同时读取扶抑、格局、通关、调候和病药五个维度。单一维度有利不足以自动成为主用；最终定位取决于是否解决根本问题、是否触犯格局硬约束、药力是否可达以及副作用是否可控。</x:v>
      </x:c>
      <x:c r="AE87" s="68" t="str">
        <x:v>满足“偏热燥、木需生源、金旺需泄或金木需通关”，且主要收益大于副作用时，可按“水作为润燥、降温、生木与泄金之神的正向候选”定位。</x:v>
      </x:c>
      <x:c r="AF87" s="90" t="str">
        <x:v>若“极寒湿、水已旺、火为核心格神或土水冲突加剧”成立，则不得按“水作为润燥、降温、生木与泄金之神的正向候选”无条件定位。</x:v>
      </x:c>
      <x:c r="AG87" s="82" t="str">
        <x:v>采用</x:v>
      </x:c>
      <x:c r="AH87" s="82" t="str">
        <x:v>初审</x:v>
      </x:c>
      <x:c r="AI87" s="87" t="n">
        <x:v>46260</x:v>
      </x:c>
    </x:row>
    <x:row r="88">
      <x:c r="A88" s="72" t="str">
        <x:f>IF(OR(C88="",D88=""),"",B88&amp;"-"&amp;UPPER(C88)&amp;"-"&amp;TEXT(D88,"0000")&amp;"-"&amp;E88)</x:f>
        <x:v>M17-WUXING-0082-V1.0</x:v>
      </x:c>
      <x:c r="B88" s="74" t="str">
        <x:v>M17</x:v>
      </x:c>
      <x:c r="C88" s="74" t="str">
        <x:v>WUXING</x:v>
      </x:c>
      <x:c r="D88" s="215" t="n">
        <x:v>82</x:v>
      </x:c>
      <x:c r="E88" s="74" t="str">
        <x:v>V1.0</x:v>
      </x:c>
      <x:c r="F88" s="68" t="str">
        <x:v>水在金木相战中可承担通关桥梁</x:v>
      </x:c>
      <x:c r="G88" s="82" t="str">
        <x:v>综合层</x:v>
      </x:c>
      <x:c r="H88" s="82" t="str">
        <x:v>水</x:v>
      </x:c>
      <x:c r="I88" s="82"/>
      <x:c r="J88" s="82" t="str">
        <x:v>通关用神</x:v>
      </x:c>
      <x:c r="K88" s="68" t="str">
        <x:v>视日主而定</x:v>
      </x:c>
      <x:c r="L88" s="68" t="str">
        <x:v>不得破坏火格或土格</x:v>
      </x:c>
      <x:c r="M88" s="68" t="str">
        <x:v>泄金并生木</x:v>
      </x:c>
      <x:c r="N88" s="68" t="str">
        <x:v>可能降温增湿</x:v>
      </x:c>
      <x:c r="O88" s="68" t="str">
        <x:v>治疗金木两强相战</x:v>
      </x:c>
      <x:c r="P88" s="68" t="str">
        <x:v>缓解金克木并为木提供生源</x:v>
      </x:c>
      <x:c r="Q88" s="90" t="str">
        <x:v>水过旺寒湿、灭火或克土</x:v>
      </x:c>
      <x:c r="R88" s="68" t="str">
        <x:v>M12确认金木双强相战且水有效</x:v>
      </x:c>
      <x:c r="S88" s="68" t="str">
        <x:v>原局极寒湿、水无根或水会根本破格</x:v>
      </x:c>
      <x:c r="T88" s="68" t="str">
        <x:v>通关与调候/火土格冲突</x:v>
      </x:c>
      <x:c r="U88" s="68" t="str">
        <x:v>M18-FLOW-0035-V1.0</x:v>
      </x:c>
      <x:c r="V88" s="84" t="str">
        <x:v>条件性喜神</x:v>
      </x:c>
      <x:c r="W88" s="82" t="str">
        <x:v>条件顺位</x:v>
      </x:c>
      <x:c r="X88" s="82" t="str">
        <x:v>是</x:v>
      </x:c>
      <x:c r="Y88" s="68" t="str">
        <x:v>水能泄金生木且不使全局寒湿</x:v>
      </x:c>
      <x:c r="Z88" s="84" t="str">
        <x:v>水通金木</x:v>
      </x:c>
      <x:c r="AA88" s="84" t="str">
        <x:v>水综合定位为“条件性喜神”，优先级为“条件顺位”。主要收益：缓解金克木并为木提供生源；主要副作用：水过旺寒湿、灭火或克土；仅在水能泄金生木且不使全局寒湿时成立。</x:v>
      </x:c>
      <x:c r="AB88" s="82" t="str">
        <x:v>较高</x:v>
      </x:c>
      <x:c r="AC88" s="82" t="str">
        <x:v>现代综合</x:v>
      </x:c>
      <x:c r="AD88" s="68" t="str">
        <x:v>喜忌用神必须同时读取扶抑、格局、通关、调候和病药五个维度。单一维度有利不足以自动成为主用；最终定位取决于是否解决根本问题、是否触犯格局硬约束、药力是否可达以及副作用是否可控。</x:v>
      </x:c>
      <x:c r="AE88" s="68" t="str">
        <x:v>满足“M12确认金木双强相战且水有效”，且主要收益大于副作用时，可按“水在金木相战中可承担通关桥梁”定位。</x:v>
      </x:c>
      <x:c r="AF88" s="90" t="str">
        <x:v>若“原局极寒湿、水无根或水会根本破格”成立，则不得按“水在金木相战中可承担通关桥梁”无条件定位。</x:v>
      </x:c>
      <x:c r="AG88" s="82" t="str">
        <x:v>采用</x:v>
      </x:c>
      <x:c r="AH88" s="82" t="str">
        <x:v>初审</x:v>
      </x:c>
      <x:c r="AI88" s="87" t="n">
        <x:v>46260</x:v>
      </x:c>
    </x:row>
    <x:row r="89">
      <x:c r="A89" s="72" t="str">
        <x:f>IF(OR(C89="",D89=""),"",B89&amp;"-"&amp;UPPER(C89)&amp;"-"&amp;TEXT(D89,"0000")&amp;"-"&amp;E89)</x:f>
        <x:v>M17-WUXING-0083-V1.0</x:v>
      </x:c>
      <x:c r="B89" s="74" t="str">
        <x:v>M17</x:v>
      </x:c>
      <x:c r="C89" s="74" t="str">
        <x:v>WUXING</x:v>
      </x:c>
      <x:c r="D89" s="215" t="n">
        <x:v>83</x:v>
      </x:c>
      <x:c r="E89" s="74" t="str">
        <x:v>V1.0</x:v>
      </x:c>
      <x:c r="F89" s="68" t="str">
        <x:v>水过旺时可能转为忌神</x:v>
      </x:c>
      <x:c r="G89" s="82" t="str">
        <x:v>综合层</x:v>
      </x:c>
      <x:c r="H89" s="82" t="str">
        <x:v>水</x:v>
      </x:c>
      <x:c r="I89" s="82"/>
      <x:c r="J89" s="82" t="str">
        <x:v>复合来源</x:v>
      </x:c>
      <x:c r="K89" s="68" t="str">
        <x:v>可能加重水日主或印比食财官一方</x:v>
      </x:c>
      <x:c r="L89" s="68" t="str">
        <x:v>可能破火格、土格或使木势过旺</x:v>
      </x:c>
      <x:c r="M89" s="68" t="str">
        <x:v>形成源头过旺、终点湿滞或水火相战</x:v>
      </x:c>
      <x:c r="N89" s="68" t="str">
        <x:v>推向极寒极湿</x:v>
      </x:c>
      <x:c r="O89" s="68" t="str">
        <x:v>形成寒湿、水旺无泄、灭火或克土病</x:v>
      </x:c>
      <x:c r="P89" s="68" t="str">
        <x:v>仅保留必要润燥、生木、通关功能</x:v>
      </x:c>
      <x:c r="Q89" s="90" t="str">
        <x:v>寒凝、湿滞、火熄、土受克、木漂</x:v>
      </x:c>
      <x:c r="R89" s="68" t="str">
        <x:v>水已旺极且新增水加重根本病</x:v>
      </x:c>
      <x:c r="S89" s="68" t="str">
        <x:v>润下、从水或专旺严格成立</x:v>
      </x:c>
      <x:c r="T89" s="68" t="str">
        <x:v>特殊格局与普通调候/流通冲突</x:v>
      </x:c>
      <x:c r="U89" s="68" t="str">
        <x:v>M18-SPECIAL-0011-V1.0</x:v>
      </x:c>
      <x:c r="V89" s="84" t="str">
        <x:v>忌神</x:v>
      </x:c>
      <x:c r="W89" s="82" t="str">
        <x:v>不采用</x:v>
      </x:c>
      <x:c r="X89" s="82" t="str">
        <x:v>条件性</x:v>
      </x:c>
      <x:c r="Y89" s="68" t="str">
        <x:v>继续增水会加重寒湿或破火土主轴</x:v>
      </x:c>
      <x:c r="Z89" s="84" t="str">
        <x:v>水旺转忌</x:v>
      </x:c>
      <x:c r="AA89" s="84" t="str">
        <x:v>水综合定位为“忌神”，优先级为“不采用”。主要收益：仅保留必要润燥、生木、通关功能；主要副作用：寒凝、湿滞、火熄、土受克、木漂；仅在继续增水会加重寒湿或破火土主轴时成立。</x:v>
      </x:c>
      <x:c r="AB89" s="82" t="str">
        <x:v>较高</x:v>
      </x:c>
      <x:c r="AC89" s="82" t="str">
        <x:v>现代综合</x:v>
      </x:c>
      <x:c r="AD89" s="68" t="str">
        <x:v>喜忌用神必须同时读取扶抑、格局、通关、调候和病药五个维度。单一维度有利不足以自动成为主用；最终定位取决于是否解决根本问题、是否触犯格局硬约束、药力是否可达以及副作用是否可控。</x:v>
      </x:c>
      <x:c r="AE89" s="68" t="str">
        <x:v>满足“水已旺极且新增水加重根本病”，且主要收益大于副作用时，可按“水过旺时可能转为忌神”定位。</x:v>
      </x:c>
      <x:c r="AF89" s="90" t="str">
        <x:v>若“润下、从水或专旺严格成立”成立，则不得按“水过旺时可能转为忌神”无条件定位。</x:v>
      </x:c>
      <x:c r="AG89" s="82" t="str">
        <x:v>采用</x:v>
      </x:c>
      <x:c r="AH89" s="82" t="str">
        <x:v>初审</x:v>
      </x:c>
      <x:c r="AI89" s="87" t="n">
        <x:v>46260</x:v>
      </x:c>
    </x:row>
    <x:row r="90">
      <x:c r="A90" s="72" t="str">
        <x:f>IF(OR(C90="",D90=""),"",B90&amp;"-"&amp;UPPER(C90)&amp;"-"&amp;TEXT(D90,"0000")&amp;"-"&amp;E90)</x:f>
        <x:v>M17-WUXING-0084-V1.0</x:v>
      </x:c>
      <x:c r="B90" s="74" t="str">
        <x:v>M17</x:v>
      </x:c>
      <x:c r="C90" s="74" t="str">
        <x:v>WUXING</x:v>
      </x:c>
      <x:c r="D90" s="215" t="n">
        <x:v>84</x:v>
      </x:c>
      <x:c r="E90" s="74" t="str">
        <x:v>V1.0</x:v>
      </x:c>
      <x:c r="F90" s="68" t="str">
        <x:v>水弱但双轴不燥且非关键生源时不自动列喜</x:v>
      </x:c>
      <x:c r="G90" s="82" t="str">
        <x:v>综合层</x:v>
      </x:c>
      <x:c r="H90" s="82" t="str">
        <x:v>水</x:v>
      </x:c>
      <x:c r="I90" s="82"/>
      <x:c r="J90" s="82" t="str">
        <x:v>复合来源</x:v>
      </x:c>
      <x:c r="K90" s="68" t="str">
        <x:v>水弱事实</x:v>
      </x:c>
      <x:c r="L90" s="68" t="str">
        <x:v>非核心格神</x:v>
      </x:c>
      <x:c r="M90" s="68" t="str">
        <x:v>非金木桥梁或木的必要生源</x:v>
      </x:c>
      <x:c r="N90" s="68" t="str">
        <x:v>湿度与温度已平衡</x:v>
      </x:c>
      <x:c r="O90" s="68" t="str">
        <x:v>M16未立水弱、燥枯或热病</x:v>
      </x:c>
      <x:c r="P90" s="68" t="str">
        <x:v>无明确主问题可治</x:v>
      </x:c>
      <x:c r="Q90" s="90" t="str">
        <x:v>补水可能寒湿、灭火、克土</x:v>
      </x:c>
      <x:c r="R90" s="68" t="str">
        <x:v>水弱但无燥热、流通与格局功能缺口</x:v>
      </x:c>
      <x:c r="S90" s="68" t="str">
        <x:v>水为核心调候药、通关桥梁或格神</x:v>
      </x:c>
      <x:c r="T90" s="68" t="str">
        <x:v>无</x:v>
      </x:c>
      <x:c r="U90" s="68"/>
      <x:c r="V90" s="84" t="str">
        <x:v>中性</x:v>
      </x:c>
      <x:c r="W90" s="82" t="str">
        <x:v>不采用</x:v>
      </x:c>
      <x:c r="X90" s="82" t="str">
        <x:v>否</x:v>
      </x:c>
      <x:c r="Y90" s="68" t="str">
        <x:v>水弱不等于喜水</x:v>
      </x:c>
      <x:c r="Z90" s="84" t="str">
        <x:v>水弱非自动喜</x:v>
      </x:c>
      <x:c r="AA90" s="84" t="str">
        <x:v>水综合定位为“中性”，优先级为“不采用”。主要收益：无明确主问题可治；主要副作用：补水可能寒湿、灭火、克土；水弱不等于喜水。</x:v>
      </x:c>
      <x:c r="AB90" s="82" t="str">
        <x:v>较高</x:v>
      </x:c>
      <x:c r="AC90" s="82" t="str">
        <x:v>现代综合</x:v>
      </x:c>
      <x:c r="AD90" s="68" t="str">
        <x:v>喜忌用神必须同时读取扶抑、格局、通关、调候和病药五个维度。单一维度有利不足以自动成为主用；最终定位取决于是否解决根本问题、是否触犯格局硬约束、药力是否可达以及副作用是否可控。</x:v>
      </x:c>
      <x:c r="AE90" s="68" t="str">
        <x:v>满足“水弱但无燥热、流通与格局功能缺口”，且主要收益大于副作用时，可按“水弱但双轴不燥且非关键生源时不自动列喜”定位。</x:v>
      </x:c>
      <x:c r="AF90" s="90" t="str">
        <x:v>若“水为核心调候药、通关桥梁或格神”成立，则不得按“水弱但双轴不燥且非关键生源时不自动列喜”无条件定位。</x:v>
      </x:c>
      <x:c r="AG90" s="82" t="str">
        <x:v>采用</x:v>
      </x:c>
      <x:c r="AH90" s="82" t="str">
        <x:v>初审</x:v>
      </x:c>
      <x:c r="AI90" s="87" t="n">
        <x:v>46260</x:v>
      </x:c>
    </x:row>
    <x:row r="91">
      <x:c r="A91" s="72" t="str">
        <x:f>IF(OR(C91="",D91=""),"",B91&amp;"-"&amp;UPPER(C91)&amp;"-"&amp;TEXT(D91,"0000")&amp;"-"&amp;E91)</x:f>
        <x:v>M17-RANK-0085-V1.0</x:v>
      </x:c>
      <x:c r="B91" s="74" t="str">
        <x:v>M17</x:v>
      </x:c>
      <x:c r="C91" s="74" t="str">
        <x:v>RANK</x:v>
      </x:c>
      <x:c r="D91" s="215" t="n">
        <x:v>85</x:v>
      </x:c>
      <x:c r="E91" s="74" t="str">
        <x:v>V1.0</x:v>
      </x:c>
      <x:c r="F91" s="68" t="str">
        <x:v>主用神必须解决根本主病或维护最高优先级硬约束</x:v>
      </x:c>
      <x:c r="G91" s="82" t="str">
        <x:v>综合层</x:v>
      </x:c>
      <x:c r="H91" s="82"/>
      <x:c r="I91" s="82"/>
      <x:c r="J91" s="82" t="str">
        <x:v>复合来源</x:v>
      </x:c>
      <x:c r="K91" s="68" t="str">
        <x:v>至少不产生决定性承载损害</x:v>
      </x:c>
      <x:c r="L91" s="68" t="str">
        <x:v>维护核心格局或不触犯格局硬约束</x:v>
      </x:c>
      <x:c r="M91" s="68" t="str">
        <x:v>能够直接修复主路径或不妨碍主路径</x:v>
      </x:c>
      <x:c r="N91" s="68" t="str">
        <x:v>不制造更严重调候病</x:v>
      </x:c>
      <x:c r="O91" s="68" t="str">
        <x:v>直接治疗根本主病或承担不可替代主药</x:v>
      </x:c>
      <x:c r="P91" s="68" t="str">
        <x:v>决定全局主要矛盾能否被修复</x:v>
      </x:c>
      <x:c r="Q91" s="90" t="str">
        <x:v>允许有可控次级副作用，但不得有硬否决</x:v>
      </x:c>
      <x:c r="R91" s="68" t="str">
        <x:v>解决根本主病、核心格局或特殊格局硬约束，且药力有效</x:v>
      </x:c>
      <x:c r="S91" s="68" t="str">
        <x:v>只解决次病、单一维度有利或存在更高优先级硬冲突</x:v>
      </x:c>
      <x:c r="T91" s="68" t="str">
        <x:v>最终主用需M18确认无硬否决</x:v>
      </x:c>
      <x:c r="U91" s="68" t="str">
        <x:v>M18-RANK-0069-V1.0</x:v>
      </x:c>
      <x:c r="V91" s="84" t="str">
        <x:v>主用神</x:v>
      </x:c>
      <x:c r="W91" s="82" t="str">
        <x:v>第一顺位</x:v>
      </x:c>
      <x:c r="X91" s="82" t="str">
        <x:v>条件性</x:v>
      </x:c>
      <x:c r="Y91" s="68" t="str">
        <x:v>必须说明主用解决的根本问题、作用路径与副作用控制</x:v>
      </x:c>
      <x:c r="Z91" s="84" t="str">
        <x:v>主用神定义</x:v>
      </x:c>
      <x:c r="AA91" s="84" t="str">
        <x:v>该候选五行综合定位为“主用神”，优先级为“第一顺位”。主要收益：决定全局主要矛盾能否被修复；主要副作用：允许有可控次级副作用，但不得有硬否决；仅在必须说明主用解决的根本问题、作用路径与副作用控制时成立。</x:v>
      </x:c>
      <x:c r="AB91" s="82" t="str">
        <x:v>较高</x:v>
      </x:c>
      <x:c r="AC91" s="82" t="str">
        <x:v>现代综合</x:v>
      </x:c>
      <x:c r="AD91" s="68" t="str">
        <x:v>喜忌用神必须同时读取扶抑、格局、通关、调候和病药五个维度。单一维度有利不足以自动成为主用；最终定位取决于是否解决根本问题、是否触犯格局硬约束、药力是否可达以及副作用是否可控。</x:v>
      </x:c>
      <x:c r="AE91" s="68" t="str">
        <x:v>满足“解决根本主病、核心格局或特殊格局硬约束，且药力有效”，且主要收益大于副作用时，可按“主用神必须解决根本主病或维护最高优先级硬约束”定位。</x:v>
      </x:c>
      <x:c r="AF91" s="90" t="str">
        <x:v>若“只解决次病、单一维度有利或存在更高优先级硬冲突”成立，则不得按“主用神必须解决根本主病或维护最高优先级硬约束”无条件定位。</x:v>
      </x:c>
      <x:c r="AG91" s="82" t="str">
        <x:v>采用</x:v>
      </x:c>
      <x:c r="AH91" s="82" t="str">
        <x:v>初审</x:v>
      </x:c>
      <x:c r="AI91" s="87" t="n">
        <x:v>46260</x:v>
      </x:c>
    </x:row>
    <x:row r="92">
      <x:c r="A92" s="72" t="str">
        <x:f>IF(OR(C92="",D92=""),"",B92&amp;"-"&amp;UPPER(C92)&amp;"-"&amp;TEXT(D92,"0000")&amp;"-"&amp;E92)</x:f>
        <x:v>M17-RANK-0086-V1.0</x:v>
      </x:c>
      <x:c r="B92" s="74" t="str">
        <x:v>M17</x:v>
      </x:c>
      <x:c r="C92" s="74" t="str">
        <x:v>RANK</x:v>
      </x:c>
      <x:c r="D92" s="215" t="n">
        <x:v>86</x:v>
      </x:c>
      <x:c r="E92" s="74" t="str">
        <x:v>V1.0</x:v>
      </x:c>
      <x:c r="F92" s="68" t="str">
        <x:v>辅助用神必须服务主用或修复次级关键环节</x:v>
      </x:c>
      <x:c r="G92" s="82" t="str">
        <x:v>综合层</x:v>
      </x:c>
      <x:c r="H92" s="82"/>
      <x:c r="I92" s="82"/>
      <x:c r="J92" s="82" t="str">
        <x:v>复合来源</x:v>
      </x:c>
      <x:c r="K92" s="68" t="str">
        <x:v>可补充主用承载</x:v>
      </x:c>
      <x:c r="L92" s="68" t="str">
        <x:v>可护格或保护主用</x:v>
      </x:c>
      <x:c r="M92" s="68" t="str">
        <x:v>补桥、护根或建立终点承载</x:v>
      </x:c>
      <x:c r="N92" s="68" t="str">
        <x:v>控制主用的寒热燥湿副作用</x:v>
      </x:c>
      <x:c r="O92" s="68" t="str">
        <x:v>增强主药、保护主药或治疗次病</x:v>
      </x:c>
      <x:c r="P92" s="68" t="str">
        <x:v>使主用能够稳定发挥</x:v>
      </x:c>
      <x:c r="Q92" s="90" t="str">
        <x:v>辅助过强可能反客为主或制造新病</x:v>
      </x:c>
      <x:c r="R92" s="68" t="str">
        <x:v>主用已明确，辅助神与主用存在直接协同路径</x:v>
      </x:c>
      <x:c r="S92" s="68" t="str">
        <x:v>与主用无关、争夺同一节点或副作用大于协同收益</x:v>
      </x:c>
      <x:c r="T92" s="68" t="str">
        <x:v>主辅容量和路线协同</x:v>
      </x:c>
      <x:c r="U92" s="68" t="str">
        <x:v>M18-RANK-0070-V1.0</x:v>
      </x:c>
      <x:c r="V92" s="84" t="str">
        <x:v>辅助用神</x:v>
      </x:c>
      <x:c r="W92" s="82" t="str">
        <x:v>第二顺位</x:v>
      </x:c>
      <x:c r="X92" s="82" t="str">
        <x:v>条件性</x:v>
      </x:c>
      <x:c r="Y92" s="68" t="str">
        <x:v>辅助神不得替代主用，也不得破坏主用主轴</x:v>
      </x:c>
      <x:c r="Z92" s="84" t="str">
        <x:v>辅助用神定义</x:v>
      </x:c>
      <x:c r="AA92" s="84" t="str">
        <x:v>该候选五行综合定位为“辅助用神”，优先级为“第二顺位”。主要收益：使主用能够稳定发挥；主要副作用：辅助过强可能反客为主或制造新病；仅在辅助神不得替代主用，也不得破坏主用主轴时成立。</x:v>
      </x:c>
      <x:c r="AB92" s="82" t="str">
        <x:v>较高</x:v>
      </x:c>
      <x:c r="AC92" s="82" t="str">
        <x:v>现代综合</x:v>
      </x:c>
      <x:c r="AD92" s="68" t="str">
        <x:v>喜忌用神必须同时读取扶抑、格局、通关、调候和病药五个维度。单一维度有利不足以自动成为主用；最终定位取决于是否解决根本问题、是否触犯格局硬约束、药力是否可达以及副作用是否可控。</x:v>
      </x:c>
      <x:c r="AE92" s="68" t="str">
        <x:v>满足“主用已明确，辅助神与主用存在直接协同路径”，且主要收益大于副作用时，可按“辅助用神必须服务主用或修复次级关键环节”定位。</x:v>
      </x:c>
      <x:c r="AF92" s="90" t="str">
        <x:v>若“与主用无关、争夺同一节点或副作用大于协同收益”成立，则不得按“辅助用神必须服务主用或修复次级关键环节”无条件定位。</x:v>
      </x:c>
      <x:c r="AG92" s="82" t="str">
        <x:v>采用</x:v>
      </x:c>
      <x:c r="AH92" s="82" t="str">
        <x:v>初审</x:v>
      </x:c>
      <x:c r="AI92" s="87" t="n">
        <x:v>46260</x:v>
      </x:c>
    </x:row>
    <x:row r="93">
      <x:c r="A93" s="72" t="str">
        <x:f>IF(OR(C93="",D93=""),"",B93&amp;"-"&amp;UPPER(C93)&amp;"-"&amp;TEXT(D93,"0000")&amp;"-"&amp;E93)</x:f>
        <x:v>M17-RANK-0087-V1.0</x:v>
      </x:c>
      <x:c r="B93" s="74" t="str">
        <x:v>M17</x:v>
      </x:c>
      <x:c r="C93" s="74" t="str">
        <x:v>RANK</x:v>
      </x:c>
      <x:c r="D93" s="215" t="n">
        <x:v>87</x:v>
      </x:c>
      <x:c r="E93" s="74" t="str">
        <x:v>V1.0</x:v>
      </x:c>
      <x:c r="F93" s="68" t="str">
        <x:v>喜神是净收益明确但不承担根本主药职责的五行</x:v>
      </x:c>
      <x:c r="G93" s="82" t="str">
        <x:v>综合层</x:v>
      </x:c>
      <x:c r="H93" s="82"/>
      <x:c r="I93" s="82"/>
      <x:c r="J93" s="82" t="str">
        <x:v>复合来源</x:v>
      </x:c>
      <x:c r="K93" s="68" t="str">
        <x:v>总体正向</x:v>
      </x:c>
      <x:c r="L93" s="68" t="str">
        <x:v>不伤格或有一般护格收益</x:v>
      </x:c>
      <x:c r="M93" s="68" t="str">
        <x:v>改善次级路径</x:v>
      </x:c>
      <x:c r="N93" s="68" t="str">
        <x:v>改善或不恶化调候</x:v>
      </x:c>
      <x:c r="O93" s="68" t="str">
        <x:v>治疗次病或增强整体稳定性</x:v>
      </x:c>
      <x:c r="P93" s="68" t="str">
        <x:v>提高结构运行质量</x:v>
      </x:c>
      <x:c r="Q93" s="90" t="str">
        <x:v>存在但较小或可控</x:v>
      </x:c>
      <x:c r="R93" s="68" t="str">
        <x:v>至少一个重要维度正向，其他维度无严重反对</x:v>
      </x:c>
      <x:c r="S93" s="68" t="str">
        <x:v>承担根本主病主药或只在严格条件下有利</x:v>
      </x:c>
      <x:c r="T93" s="68" t="str">
        <x:v>一般净收益判断</x:v>
      </x:c>
      <x:c r="U93" s="68" t="str">
        <x:v>M18-RANK-0071-V1.0</x:v>
      </x:c>
      <x:c r="V93" s="84" t="str">
        <x:v>喜神</x:v>
      </x:c>
      <x:c r="W93" s="82" t="str">
        <x:v>第三顺位</x:v>
      </x:c>
      <x:c r="X93" s="82" t="str">
        <x:v>条件性</x:v>
      </x:c>
      <x:c r="Y93" s="68" t="str">
        <x:v>对全局有稳定正收益但不是不可替代核心</x:v>
      </x:c>
      <x:c r="Z93" s="84" t="str">
        <x:v>喜神定义</x:v>
      </x:c>
      <x:c r="AA93" s="84" t="str">
        <x:v>该候选五行综合定位为“喜神”，优先级为“第三顺位”。主要收益：提高结构运行质量；主要副作用：存在但较小或可控；仅在对全局有稳定正收益但不是不可替代核心时成立。</x:v>
      </x:c>
      <x:c r="AB93" s="82" t="str">
        <x:v>较高</x:v>
      </x:c>
      <x:c r="AC93" s="82" t="str">
        <x:v>现代综合</x:v>
      </x:c>
      <x:c r="AD93" s="68" t="str">
        <x:v>喜忌用神必须同时读取扶抑、格局、通关、调候和病药五个维度。单一维度有利不足以自动成为主用；最终定位取决于是否解决根本问题、是否触犯格局硬约束、药力是否可达以及副作用是否可控。</x:v>
      </x:c>
      <x:c r="AE93" s="68" t="str">
        <x:v>满足“至少一个重要维度正向，其他维度无严重反对”，且主要收益大于副作用时，可按“喜神是净收益明确但不承担根本主药职责的五行”定位。</x:v>
      </x:c>
      <x:c r="AF93" s="90" t="str">
        <x:v>若“承担根本主病主药或只在严格条件下有利”成立，则不得按“喜神是净收益明确但不承担根本主药职责的五行”无条件定位。</x:v>
      </x:c>
      <x:c r="AG93" s="82" t="str">
        <x:v>采用</x:v>
      </x:c>
      <x:c r="AH93" s="82" t="str">
        <x:v>初审</x:v>
      </x:c>
      <x:c r="AI93" s="87" t="n">
        <x:v>46260</x:v>
      </x:c>
    </x:row>
    <x:row r="94">
      <x:c r="A94" s="72" t="str">
        <x:f>IF(OR(C94="",D94=""),"",B94&amp;"-"&amp;UPPER(C94)&amp;"-"&amp;TEXT(D94,"0000")&amp;"-"&amp;E94)</x:f>
        <x:v>M17-RANK-0088-V1.0</x:v>
      </x:c>
      <x:c r="B94" s="74" t="str">
        <x:v>M17</x:v>
      </x:c>
      <x:c r="C94" s="74" t="str">
        <x:v>RANK</x:v>
      </x:c>
      <x:c r="D94" s="215" t="n">
        <x:v>88</x:v>
      </x:c>
      <x:c r="E94" s="74" t="str">
        <x:v>V1.0</x:v>
      </x:c>
      <x:c r="F94" s="68" t="str">
        <x:v>条件性喜神只有在限定结构和剂量下才有利</x:v>
      </x:c>
      <x:c r="G94" s="82" t="str">
        <x:v>综合层</x:v>
      </x:c>
      <x:c r="H94" s="82"/>
      <x:c r="I94" s="82"/>
      <x:c r="J94" s="82" t="str">
        <x:v>复合来源</x:v>
      </x:c>
      <x:c r="K94" s="68" t="str">
        <x:v>有利与不利并存</x:v>
      </x:c>
      <x:c r="L94" s="68" t="str">
        <x:v>可能护格也可能破格</x:v>
      </x:c>
      <x:c r="M94" s="68" t="str">
        <x:v>可能通关但需药力条件</x:v>
      </x:c>
      <x:c r="N94" s="68" t="str">
        <x:v>可能调候但需防反向病</x:v>
      </x:c>
      <x:c r="O94" s="68" t="str">
        <x:v>适量治病、过量成病</x:v>
      </x:c>
      <x:c r="P94" s="68" t="str">
        <x:v>在限定条件下解决重要问题</x:v>
      </x:c>
      <x:c r="Q94" s="90" t="str">
        <x:v>条件不满足即无效或转害</x:v>
      </x:c>
      <x:c r="R94" s="68" t="str">
        <x:v>可清楚写出成立条件、剂量边界和不适用条件</x:v>
      </x:c>
      <x:c r="S94" s="68" t="str">
        <x:v>无法控制副作用或存在硬否决</x:v>
      </x:c>
      <x:c r="T94" s="68" t="str">
        <x:v>多维条件化</x:v>
      </x:c>
      <x:c r="U94" s="68" t="str">
        <x:v>M18-RANK-0072-V1.0</x:v>
      </x:c>
      <x:c r="V94" s="84" t="str">
        <x:v>条件性喜神</x:v>
      </x:c>
      <x:c r="W94" s="82" t="str">
        <x:v>条件顺位</x:v>
      </x:c>
      <x:c r="X94" s="82" t="str">
        <x:v>是</x:v>
      </x:c>
      <x:c r="Y94" s="68" t="str">
        <x:v>必须同步输出“何时有利、何时转忌”</x:v>
      </x:c>
      <x:c r="Z94" s="84" t="str">
        <x:v>条件性喜神定义</x:v>
      </x:c>
      <x:c r="AA94" s="84" t="str">
        <x:v>该候选五行综合定位为“条件性喜神”，优先级为“条件顺位”。主要收益：在限定条件下解决重要问题；主要副作用：条件不满足即无效或转害；仅在必须同步输出“何时有利、何时转忌”时成立。</x:v>
      </x:c>
      <x:c r="AB94" s="82" t="str">
        <x:v>较高</x:v>
      </x:c>
      <x:c r="AC94" s="82" t="str">
        <x:v>现代综合</x:v>
      </x:c>
      <x:c r="AD94" s="68" t="str">
        <x:v>喜忌用神必须同时读取扶抑、格局、通关、调候和病药五个维度。单一维度有利不足以自动成为主用；最终定位取决于是否解决根本问题、是否触犯格局硬约束、药力是否可达以及副作用是否可控。</x:v>
      </x:c>
      <x:c r="AE94" s="68" t="str">
        <x:v>满足“可清楚写出成立条件、剂量边界和不适用条件”，且主要收益大于副作用时，可按“条件性喜神只有在限定结构和剂量下才有利”定位。</x:v>
      </x:c>
      <x:c r="AF94" s="90" t="str">
        <x:v>若“无法控制副作用或存在硬否决”成立，则不得按“条件性喜神只有在限定结构和剂量下才有利”无条件定位。</x:v>
      </x:c>
      <x:c r="AG94" s="82" t="str">
        <x:v>采用</x:v>
      </x:c>
      <x:c r="AH94" s="82" t="str">
        <x:v>初审</x:v>
      </x:c>
      <x:c r="AI94" s="87" t="n">
        <x:v>46260</x:v>
      </x:c>
    </x:row>
    <x:row r="95">
      <x:c r="A95" s="72" t="str">
        <x:f>IF(OR(C95="",D95=""),"",B95&amp;"-"&amp;UPPER(C95)&amp;"-"&amp;TEXT(D95,"0000")&amp;"-"&amp;E95)</x:f>
        <x:v>M17-RANK-0089-V1.0</x:v>
      </x:c>
      <x:c r="B95" s="74" t="str">
        <x:v>M17</x:v>
      </x:c>
      <x:c r="C95" s="74" t="str">
        <x:v>RANK</x:v>
      </x:c>
      <x:c r="D95" s="215" t="n">
        <x:v>89</x:v>
      </x:c>
      <x:c r="E95" s="74" t="str">
        <x:v>V1.0</x:v>
      </x:c>
      <x:c r="F95" s="68" t="str">
        <x:v>中性五行不进入主要喜忌与用神排序</x:v>
      </x:c>
      <x:c r="G95" s="82" t="str">
        <x:v>综合层</x:v>
      </x:c>
      <x:c r="H95" s="82"/>
      <x:c r="I95" s="82"/>
      <x:c r="J95" s="82" t="str">
        <x:v>复合来源</x:v>
      </x:c>
      <x:c r="K95" s="68" t="str">
        <x:v>无明显净作用</x:v>
      </x:c>
      <x:c r="L95" s="68" t="str">
        <x:v>不护格也不破格</x:v>
      </x:c>
      <x:c r="M95" s="68" t="str">
        <x:v>非关键节点</x:v>
      </x:c>
      <x:c r="N95" s="68" t="str">
        <x:v>不显著改变双轴</x:v>
      </x:c>
      <x:c r="O95" s="68" t="str">
        <x:v>不对应主病或次病</x:v>
      </x:c>
      <x:c r="P95" s="68" t="str">
        <x:v>维持现状</x:v>
      </x:c>
      <x:c r="Q95" s="90" t="str">
        <x:v>无明显结构价值</x:v>
      </x:c>
      <x:c r="R95" s="68" t="str">
        <x:v>五维净作用接近零</x:v>
      </x:c>
      <x:c r="S95" s="68" t="str">
        <x:v>任一重要维度出现明确正负作用</x:v>
      </x:c>
      <x:c r="T95" s="68" t="str">
        <x:v>无</x:v>
      </x:c>
      <x:c r="U95" s="68"/>
      <x:c r="V95" s="84" t="str">
        <x:v>中性</x:v>
      </x:c>
      <x:c r="W95" s="82" t="str">
        <x:v>不采用</x:v>
      </x:c>
      <x:c r="X95" s="82" t="str">
        <x:v>否</x:v>
      </x:c>
      <x:c r="Y95" s="68" t="str">
        <x:v>只记录存在，不纳入主要用神喜忌</x:v>
      </x:c>
      <x:c r="Z95" s="84" t="str">
        <x:v>中性定义</x:v>
      </x:c>
      <x:c r="AA95" s="84" t="str">
        <x:v>该候选五行综合定位为“中性”，优先级为“不采用”。主要收益：维持现状；主要副作用：无明显结构价值；只记录存在，不纳入主要用神喜忌。</x:v>
      </x:c>
      <x:c r="AB95" s="82" t="str">
        <x:v>较高</x:v>
      </x:c>
      <x:c r="AC95" s="82" t="str">
        <x:v>现代综合</x:v>
      </x:c>
      <x:c r="AD95" s="68" t="str">
        <x:v>喜忌用神必须同时读取扶抑、格局、通关、调候和病药五个维度。单一维度有利不足以自动成为主用；最终定位取决于是否解决根本问题、是否触犯格局硬约束、药力是否可达以及副作用是否可控。</x:v>
      </x:c>
      <x:c r="AE95" s="68" t="str">
        <x:v>满足“五维净作用接近零”，且主要收益大于副作用时，可按“中性五行不进入主要喜忌与用神排序”定位。</x:v>
      </x:c>
      <x:c r="AF95" s="90" t="str">
        <x:v>若“任一重要维度出现明确正负作用”成立，则不得按“中性五行不进入主要喜忌与用神排序”无条件定位。</x:v>
      </x:c>
      <x:c r="AG95" s="82" t="str">
        <x:v>采用</x:v>
      </x:c>
      <x:c r="AH95" s="82" t="str">
        <x:v>初审</x:v>
      </x:c>
      <x:c r="AI95" s="87" t="n">
        <x:v>46260</x:v>
      </x:c>
    </x:row>
    <x:row r="96">
      <x:c r="A96" s="72" t="str">
        <x:f>IF(OR(C96="",D96=""),"",B96&amp;"-"&amp;UPPER(C96)&amp;"-"&amp;TEXT(D96,"0000")&amp;"-"&amp;E96)</x:f>
        <x:v>M17-RANK-0090-V1.0</x:v>
      </x:c>
      <x:c r="B96" s="74" t="str">
        <x:v>M17</x:v>
      </x:c>
      <x:c r="C96" s="74" t="str">
        <x:v>RANK</x:v>
      </x:c>
      <x:c r="D96" s="215" t="n">
        <x:v>90</x:v>
      </x:c>
      <x:c r="E96" s="74" t="str">
        <x:v>V1.0</x:v>
      </x:c>
      <x:c r="F96" s="68" t="str">
        <x:v>条件性忌神在特定情况下会加重主要矛盾</x:v>
      </x:c>
      <x:c r="G96" s="82" t="str">
        <x:v>综合层</x:v>
      </x:c>
      <x:c r="H96" s="82"/>
      <x:c r="I96" s="82"/>
      <x:c r="J96" s="82" t="str">
        <x:v>复合来源</x:v>
      </x:c>
      <x:c r="K96" s="68" t="str">
        <x:v>可能正向也可能负向</x:v>
      </x:c>
      <x:c r="L96" s="68" t="str">
        <x:v>可能在特定条件下破格</x:v>
      </x:c>
      <x:c r="M96" s="68" t="str">
        <x:v>可能截流或加剧对战</x:v>
      </x:c>
      <x:c r="N96" s="68" t="str">
        <x:v>可能推向极端</x:v>
      </x:c>
      <x:c r="O96" s="68" t="str">
        <x:v>可能由药转病</x:v>
      </x:c>
      <x:c r="P96" s="68" t="str">
        <x:v>在少数结构中仍可能有局部用途</x:v>
      </x:c>
      <x:c r="Q96" s="90" t="str">
        <x:v>条件触发时加重根本病或伤主用</x:v>
      </x:c>
      <x:c r="R96" s="68" t="str">
        <x:v>负面作用依赖特定强度、位置、格局或组合条件</x:v>
      </x:c>
      <x:c r="S96" s="68" t="str">
        <x:v>该五行始终稳定为害，应直接定忌</x:v>
      </x:c>
      <x:c r="T96" s="68" t="str">
        <x:v>正负条件切换</x:v>
      </x:c>
      <x:c r="U96" s="68" t="str">
        <x:v>M18-RANK-0074-V1.0</x:v>
      </x:c>
      <x:c r="V96" s="84" t="str">
        <x:v>条件性忌神</x:v>
      </x:c>
      <x:c r="W96" s="82" t="str">
        <x:v>不采用</x:v>
      </x:c>
      <x:c r="X96" s="82" t="str">
        <x:v>是</x:v>
      </x:c>
      <x:c r="Y96" s="68" t="str">
        <x:v>必须说明触发忌性的条件以及例外用途</x:v>
      </x:c>
      <x:c r="Z96" s="84" t="str">
        <x:v>条件性忌神定义</x:v>
      </x:c>
      <x:c r="AA96" s="84" t="str">
        <x:v>该候选五行综合定位为“条件性忌神”，优先级为“不采用”。主要收益：在少数结构中仍可能有局部用途；主要副作用：条件触发时加重根本病或伤主用；仅在必须说明触发忌性的条件以及例外用途时成立。</x:v>
      </x:c>
      <x:c r="AB96" s="82" t="str">
        <x:v>较高</x:v>
      </x:c>
      <x:c r="AC96" s="82" t="str">
        <x:v>现代综合</x:v>
      </x:c>
      <x:c r="AD96" s="68" t="str">
        <x:v>喜忌用神必须同时读取扶抑、格局、通关、调候和病药五个维度。单一维度有利不足以自动成为主用；最终定位取决于是否解决根本问题、是否触犯格局硬约束、药力是否可达以及副作用是否可控。</x:v>
      </x:c>
      <x:c r="AE96" s="68" t="str">
        <x:v>满足“负面作用依赖特定强度、位置、格局或组合条件”，且主要收益大于副作用时，可按“条件性忌神在特定情况下会加重主要矛盾”定位。</x:v>
      </x:c>
      <x:c r="AF96" s="90" t="str">
        <x:v>若“该五行始终稳定为害，应直接定忌”成立，则不得按“条件性忌神在特定情况下会加重主要矛盾”无条件定位。</x:v>
      </x:c>
      <x:c r="AG96" s="82" t="str">
        <x:v>采用</x:v>
      </x:c>
      <x:c r="AH96" s="82" t="str">
        <x:v>初审</x:v>
      </x:c>
      <x:c r="AI96" s="87" t="n">
        <x:v>46260</x:v>
      </x:c>
    </x:row>
    <x:row r="97">
      <x:c r="A97" s="72" t="str">
        <x:f>IF(OR(C97="",D97=""),"",B97&amp;"-"&amp;UPPER(C97)&amp;"-"&amp;TEXT(D97,"0000")&amp;"-"&amp;E97)</x:f>
        <x:v>M17-RANK-0091-V1.0</x:v>
      </x:c>
      <x:c r="B97" s="74" t="str">
        <x:v>M17</x:v>
      </x:c>
      <x:c r="C97" s="74" t="str">
        <x:v>RANK</x:v>
      </x:c>
      <x:c r="D97" s="215" t="n">
        <x:v>91</x:v>
      </x:c>
      <x:c r="E97" s="74" t="str">
        <x:v>V1.0</x:v>
      </x:c>
      <x:c r="F97" s="68" t="str">
        <x:v>忌神是稳定加重根本病或直接破坏核心结构的五行</x:v>
      </x:c>
      <x:c r="G97" s="82" t="str">
        <x:v>综合层</x:v>
      </x:c>
      <x:c r="H97" s="82"/>
      <x:c r="I97" s="82"/>
      <x:c r="J97" s="82" t="str">
        <x:v>复合来源</x:v>
      </x:c>
      <x:c r="K97" s="68" t="str">
        <x:v>明显负向或造成承载失衡</x:v>
      </x:c>
      <x:c r="L97" s="68" t="str">
        <x:v>破格、伤格或破坏特殊主势</x:v>
      </x:c>
      <x:c r="M97" s="68" t="str">
        <x:v>阻断主路径或加剧两强相战</x:v>
      </x:c>
      <x:c r="N97" s="68" t="str">
        <x:v>加重首要调候病</x:v>
      </x:c>
      <x:c r="O97" s="68" t="str">
        <x:v>加重根本病并削弱主药</x:v>
      </x:c>
      <x:c r="P97" s="68" t="str">
        <x:v>局部收益不足以抵消主要伤害</x:v>
      </x:c>
      <x:c r="Q97" s="90" t="str">
        <x:v>稳定扩大主要矛盾</x:v>
      </x:c>
      <x:c r="R97" s="68" t="str">
        <x:v>至少一个核心维度严重负向，且无更高价值正向功能</x:v>
      </x:c>
      <x:c r="S97" s="68" t="str">
        <x:v>只在特定条件下有害或仍承担不可替代格局功能</x:v>
      </x:c>
      <x:c r="T97" s="68" t="str">
        <x:v>负向主导</x:v>
      </x:c>
      <x:c r="U97" s="68" t="str">
        <x:v>M18-RANK-0075-V1.0</x:v>
      </x:c>
      <x:c r="V97" s="84" t="str">
        <x:v>忌神</x:v>
      </x:c>
      <x:c r="W97" s="82" t="str">
        <x:v>不采用</x:v>
      </x:c>
      <x:c r="X97" s="82" t="str">
        <x:v>否</x:v>
      </x:c>
      <x:c r="Y97" s="68" t="str">
        <x:v>明确其伤害对象、作用路径和严重度</x:v>
      </x:c>
      <x:c r="Z97" s="84" t="str">
        <x:v>忌神定义</x:v>
      </x:c>
      <x:c r="AA97" s="84" t="str">
        <x:v>该候选五行综合定位为“忌神”，优先级为“不采用”。主要收益：局部收益不足以抵消主要伤害；主要副作用：稳定扩大主要矛盾；明确其伤害对象、作用路径和严重度。</x:v>
      </x:c>
      <x:c r="AB97" s="82" t="str">
        <x:v>较高</x:v>
      </x:c>
      <x:c r="AC97" s="82" t="str">
        <x:v>现代综合</x:v>
      </x:c>
      <x:c r="AD97" s="68" t="str">
        <x:v>喜忌用神必须同时读取扶抑、格局、通关、调候和病药五个维度。单一维度有利不足以自动成为主用；最终定位取决于是否解决根本问题、是否触犯格局硬约束、药力是否可达以及副作用是否可控。</x:v>
      </x:c>
      <x:c r="AE97" s="68" t="str">
        <x:v>满足“至少一个核心维度严重负向，且无更高价值正向功能”，且主要收益大于副作用时，可按“忌神是稳定加重根本病或直接破坏核心结构的五行”定位。</x:v>
      </x:c>
      <x:c r="AF97" s="90" t="str">
        <x:v>若“只在特定条件下有害或仍承担不可替代格局功能”成立，则不得按“忌神是稳定加重根本病或直接破坏核心结构的五行”无条件定位。</x:v>
      </x:c>
      <x:c r="AG97" s="82" t="str">
        <x:v>采用</x:v>
      </x:c>
      <x:c r="AH97" s="82" t="str">
        <x:v>初审</x:v>
      </x:c>
      <x:c r="AI97" s="87" t="n">
        <x:v>46260</x:v>
      </x:c>
    </x:row>
    <x:row r="98">
      <x:c r="A98" s="72" t="str">
        <x:f>IF(OR(C98="",D98=""),"",B98&amp;"-"&amp;UPPER(C98)&amp;"-"&amp;TEXT(D98,"0000")&amp;"-"&amp;E98)</x:f>
        <x:v>M17-RANK-0092-V1.0</x:v>
      </x:c>
      <x:c r="B98" s="74" t="str">
        <x:v>M17</x:v>
      </x:c>
      <x:c r="C98" s="74" t="str">
        <x:v>RANK</x:v>
      </x:c>
      <x:c r="D98" s="215" t="n">
        <x:v>92</x:v>
      </x:c>
      <x:c r="E98" s="74" t="str">
        <x:v>V1.0</x:v>
      </x:c>
      <x:c r="F98" s="68" t="str">
        <x:v>仇神是生助忌神、克制主用或破坏救应的次级有害五行</x:v>
      </x:c>
      <x:c r="G98" s="82" t="str">
        <x:v>综合层</x:v>
      </x:c>
      <x:c r="H98" s="82"/>
      <x:c r="I98" s="82"/>
      <x:c r="J98" s="82" t="str">
        <x:v>复合来源</x:v>
      </x:c>
      <x:c r="K98" s="68" t="str">
        <x:v>间接加重负荷</x:v>
      </x:c>
      <x:c r="L98" s="68" t="str">
        <x:v>帮助破格神或克制护格神</x:v>
      </x:c>
      <x:c r="M98" s="68" t="str">
        <x:v>切断主用药路或生助卡点源头</x:v>
      </x:c>
      <x:c r="N98" s="68" t="str">
        <x:v>间接加重调候病</x:v>
      </x:c>
      <x:c r="O98" s="68" t="str">
        <x:v>制主药、坏辅助药或生助根本病</x:v>
      </x:c>
      <x:c r="P98" s="68" t="str">
        <x:v>通常没有独立重要正向价值</x:v>
      </x:c>
      <x:c r="Q98" s="90" t="str">
        <x:v>强化忌神并削弱用神</x:v>
      </x:c>
      <x:c r="R98" s="68" t="str">
        <x:v>其主要净作用是生忌、克用、坏药或阻救</x:v>
      </x:c>
      <x:c r="S98" s="68" t="str">
        <x:v>自身已经是直接根本病，应定忌而非仇</x:v>
      </x:c>
      <x:c r="T98" s="68" t="str">
        <x:v>间接有害链</x:v>
      </x:c>
      <x:c r="U98" s="68" t="str">
        <x:v>M18-RANK-0076-V1.0</x:v>
      </x:c>
      <x:c r="V98" s="84" t="str">
        <x:v>仇神</x:v>
      </x:c>
      <x:c r="W98" s="82" t="str">
        <x:v>不采用</x:v>
      </x:c>
      <x:c r="X98" s="82" t="str">
        <x:v>条件性</x:v>
      </x:c>
      <x:c r="Y98" s="68" t="str">
        <x:v>必须明确其通过哪条生克链助忌伤用</x:v>
      </x:c>
      <x:c r="Z98" s="84" t="str">
        <x:v>仇神定义</x:v>
      </x:c>
      <x:c r="AA98" s="84" t="str">
        <x:v>该候选五行综合定位为“仇神”，优先级为“不采用”。主要收益：通常没有独立重要正向价值；主要副作用：强化忌神并削弱用神；仅在必须明确其通过哪条生克链助忌伤用时成立。</x:v>
      </x:c>
      <x:c r="AB98" s="82" t="str">
        <x:v>较高</x:v>
      </x:c>
      <x:c r="AC98" s="82" t="str">
        <x:v>现代综合</x:v>
      </x:c>
      <x:c r="AD98" s="68" t="str">
        <x:v>喜忌用神必须同时读取扶抑、格局、通关、调候和病药五个维度。单一维度有利不足以自动成为主用；最终定位取决于是否解决根本问题、是否触犯格局硬约束、药力是否可达以及副作用是否可控。</x:v>
      </x:c>
      <x:c r="AE98" s="68" t="str">
        <x:v>满足“其主要净作用是生忌、克用、坏药或阻救”，且主要收益大于副作用时，可按“仇神是生助忌神、克制主用或破坏救应的次级有害五行”定位。</x:v>
      </x:c>
      <x:c r="AF98" s="90" t="str">
        <x:v>若“自身已经是直接根本病，应定忌而非仇”成立，则不得按“仇神是生助忌神、克制主用或破坏救应的次级有害五行”无条件定位。</x:v>
      </x:c>
      <x:c r="AG98" s="82" t="str">
        <x:v>采用</x:v>
      </x:c>
      <x:c r="AH98" s="82" t="str">
        <x:v>初审</x:v>
      </x:c>
      <x:c r="AI98" s="87" t="n">
        <x:v>46260</x:v>
      </x:c>
    </x:row>
    <x:row r="99">
      <x:c r="A99" s="72" t="str">
        <x:f>IF(OR(C99="",D99=""),"",B99&amp;"-"&amp;UPPER(C99)&amp;"-"&amp;TEXT(D99,"0000")&amp;"-"&amp;E99)</x:f>
        <x:v>M17-BOUND-0093-V1.0</x:v>
      </x:c>
      <x:c r="B99" s="74" t="str">
        <x:v>M17</x:v>
      </x:c>
      <x:c r="C99" s="74" t="str">
        <x:v>BOUND</x:v>
      </x:c>
      <x:c r="D99" s="215" t="n">
        <x:v>93</x:v>
      </x:c>
      <x:c r="E99" s="74" t="str">
        <x:v>V1.0</x:v>
      </x:c>
      <x:c r="F99" s="68" t="str">
        <x:v>五行旺衰与喜忌定位必须分离</x:v>
      </x:c>
      <x:c r="G99" s="82" t="str">
        <x:v>综合层</x:v>
      </x:c>
      <x:c r="H99" s="82"/>
      <x:c r="I99" s="82"/>
      <x:c r="J99" s="82" t="str">
        <x:v>复合来源</x:v>
      </x:c>
      <x:c r="K99" s="68" t="str">
        <x:v>旺弱只是力量事实</x:v>
      </x:c>
      <x:c r="L99" s="68" t="str">
        <x:v>喜忌取决于格局功能</x:v>
      </x:c>
      <x:c r="M99" s="68" t="str">
        <x:v>取决于路径角色</x:v>
      </x:c>
      <x:c r="N99" s="68" t="str">
        <x:v>取决于双轴影响</x:v>
      </x:c>
      <x:c r="O99" s="68" t="str">
        <x:v>取决于是否治病或成病</x:v>
      </x:c>
      <x:c r="P99" s="68" t="str">
        <x:v>防止见旺即忌、见弱即喜</x:v>
      </x:c>
      <x:c r="Q99" s="90" t="str">
        <x:v>无</x:v>
      </x:c>
      <x:c r="R99" s="68" t="str">
        <x:v>任何五行进入M17评估</x:v>
      </x:c>
      <x:c r="S99" s="68" t="str">
        <x:v>无</x:v>
      </x:c>
      <x:c r="T99" s="68" t="str">
        <x:v>无</x:v>
      </x:c>
      <x:c r="U99" s="68"/>
      <x:c r="V99" s="84" t="str">
        <x:v>待定</x:v>
      </x:c>
      <x:c r="W99" s="82" t="str">
        <x:v>待定</x:v>
      </x:c>
      <x:c r="X99" s="82" t="str">
        <x:v>待定</x:v>
      </x:c>
      <x:c r="Y99" s="68" t="str">
        <x:v>先判力量和功能，再判价值</x:v>
      </x:c>
      <x:c r="Z99" s="84" t="str">
        <x:v>旺衰喜忌分离</x:v>
      </x:c>
      <x:c r="AA99" s="84" t="str">
        <x:v>五行旺弱不直接决定喜忌；必须通过五维矩阵判断其净作用。</x:v>
      </x:c>
      <x:c r="AB99" s="82" t="str">
        <x:v>较高</x:v>
      </x:c>
      <x:c r="AC99" s="82" t="str">
        <x:v>现代综合</x:v>
      </x:c>
      <x:c r="AD99" s="68" t="str">
        <x:v>喜忌用神必须同时读取扶抑、格局、通关、调候和病药五个维度。单一维度有利不足以自动成为主用；最终定位取决于是否解决根本问题、是否触犯格局硬约束、药力是否可达以及副作用是否可控。</x:v>
      </x:c>
      <x:c r="AE99" s="68" t="str">
        <x:v>满足“任何五行进入M17评估”，且主要收益大于副作用时，可按“五行旺衰与喜忌定位必须分离”定位。</x:v>
      </x:c>
      <x:c r="AF99" s="90" t="str">
        <x:v>若“无”成立，则不得按“五行旺衰与喜忌定位必须分离”无条件定位。</x:v>
      </x:c>
      <x:c r="AG99" s="82" t="str">
        <x:v>采用</x:v>
      </x:c>
      <x:c r="AH99" s="82" t="str">
        <x:v>初审</x:v>
      </x:c>
      <x:c r="AI99" s="87" t="n">
        <x:v>46260</x:v>
      </x:c>
    </x:row>
    <x:row r="100">
      <x:c r="A100" s="72" t="str">
        <x:f>IF(OR(C100="",D100=""),"",B100&amp;"-"&amp;UPPER(C100)&amp;"-"&amp;TEXT(D100,"0000")&amp;"-"&amp;E100)</x:f>
        <x:v>M17-BOUND-0094-V1.0</x:v>
      </x:c>
      <x:c r="B100" s="74" t="str">
        <x:v>M17</x:v>
      </x:c>
      <x:c r="C100" s="74" t="str">
        <x:v>BOUND</x:v>
      </x:c>
      <x:c r="D100" s="215" t="n">
        <x:v>94</x:v>
      </x:c>
      <x:c r="E100" s="74" t="str">
        <x:v>V1.0</x:v>
      </x:c>
      <x:c r="F100" s="68" t="str">
        <x:v>五行缺失与用神需求必须分离</x:v>
      </x:c>
      <x:c r="G100" s="82" t="str">
        <x:v>综合层</x:v>
      </x:c>
      <x:c r="H100" s="82"/>
      <x:c r="I100" s="82"/>
      <x:c r="J100" s="82" t="str">
        <x:v>复合来源</x:v>
      </x:c>
      <x:c r="K100" s="68" t="str">
        <x:v>缺失不代表需要扶</x:v>
      </x:c>
      <x:c r="L100" s="68" t="str">
        <x:v>缺失不代表格局缺神</x:v>
      </x:c>
      <x:c r="M100" s="68" t="str">
        <x:v>只有关键缺桥才有通关需求</x:v>
      </x:c>
      <x:c r="N100" s="68" t="str">
        <x:v>只有气候病才有调候需求</x:v>
      </x:c>
      <x:c r="O100" s="68" t="str">
        <x:v>只有实际病位才有药神需求</x:v>
      </x:c>
      <x:c r="P100" s="68" t="str">
        <x:v>防止缺什么补什么</x:v>
      </x:c>
      <x:c r="Q100" s="90" t="str">
        <x:v>补入无关五行可能破格成病</x:v>
      </x:c>
      <x:c r="R100" s="68" t="str">
        <x:v>发现某五行完全不现</x:v>
      </x:c>
      <x:c r="S100" s="68" t="str">
        <x:v>M12/M13/M16已证明该五行确为不可替代药神</x:v>
      </x:c>
      <x:c r="T100" s="68" t="str">
        <x:v>无</x:v>
      </x:c>
      <x:c r="U100" s="68"/>
      <x:c r="V100" s="84" t="str">
        <x:v>中性</x:v>
      </x:c>
      <x:c r="W100" s="82" t="str">
        <x:v>不采用</x:v>
      </x:c>
      <x:c r="X100" s="82" t="str">
        <x:v>否</x:v>
      </x:c>
      <x:c r="Y100" s="68" t="str">
        <x:v>缺失只记录事实，不自动进入喜用排序</x:v>
      </x:c>
      <x:c r="Z100" s="84" t="str">
        <x:v>缺失用神分离</x:v>
      </x:c>
      <x:c r="AA100" s="84" t="str">
        <x:v>该候选五行综合定位为“中性”，优先级为“不采用”。主要收益：防止缺什么补什么；主要副作用：补入无关五行可能破格成病；缺失只记录事实，不自动进入喜用排序。</x:v>
      </x:c>
      <x:c r="AB100" s="82" t="str">
        <x:v>较高</x:v>
      </x:c>
      <x:c r="AC100" s="82" t="str">
        <x:v>现代综合</x:v>
      </x:c>
      <x:c r="AD100" s="68" t="str">
        <x:v>喜忌用神必须同时读取扶抑、格局、通关、调候和病药五个维度。单一维度有利不足以自动成为主用；最终定位取决于是否解决根本问题、是否触犯格局硬约束、药力是否可达以及副作用是否可控。</x:v>
      </x:c>
      <x:c r="AE100" s="68" t="str">
        <x:v>满足“发现某五行完全不现”，且主要收益大于副作用时，可按“五行缺失与用神需求必须分离”定位。</x:v>
      </x:c>
      <x:c r="AF100" s="90" t="str">
        <x:v>若“M12/M13/M16已证明该五行确为不可替代药神”成立，则不得按“五行缺失与用神需求必须分离”无条件定位。</x:v>
      </x:c>
      <x:c r="AG100" s="82" t="str">
        <x:v>采用</x:v>
      </x:c>
      <x:c r="AH100" s="82" t="str">
        <x:v>初审</x:v>
      </x:c>
      <x:c r="AI100" s="87" t="n">
        <x:v>46260</x:v>
      </x:c>
    </x:row>
    <x:row r="101">
      <x:c r="A101" s="72" t="str">
        <x:f>IF(OR(C101="",D101=""),"",B101&amp;"-"&amp;UPPER(C101)&amp;"-"&amp;TEXT(D101,"0000")&amp;"-"&amp;E101)</x:f>
        <x:v>M17-BOUND-0095-V1.0</x:v>
      </x:c>
      <x:c r="B101" s="74" t="str">
        <x:v>M17</x:v>
      </x:c>
      <x:c r="C101" s="74" t="str">
        <x:v>BOUND</x:v>
      </x:c>
      <x:c r="D101" s="215" t="n">
        <x:v>95</x:v>
      </x:c>
      <x:c r="E101" s="74" t="str">
        <x:v>V1.0</x:v>
      </x:c>
      <x:c r="F101" s="68" t="str">
        <x:v>候选五行对应十神必须随日主重新映射</x:v>
      </x:c>
      <x:c r="G101" s="82" t="str">
        <x:v>综合层</x:v>
      </x:c>
      <x:c r="H101" s="82"/>
      <x:c r="I101" s="82"/>
      <x:c r="J101" s="82" t="str">
        <x:v>复合来源</x:v>
      </x:c>
      <x:c r="K101" s="68" t="str">
        <x:v>同一五行对不同日主可为不同十神</x:v>
      </x:c>
      <x:c r="L101" s="68" t="str">
        <x:v>格局角色随日主改变</x:v>
      </x:c>
      <x:c r="M101" s="68" t="str">
        <x:v>五行路径稳定但十神含义改变</x:v>
      </x:c>
      <x:c r="N101" s="68" t="str">
        <x:v>五行调候属性相对稳定</x:v>
      </x:c>
      <x:c r="O101" s="68" t="str">
        <x:v>药神的十神副作用随日主改变</x:v>
      </x:c>
      <x:c r="P101" s="68" t="str">
        <x:v>防止给五行贴固定十神标签</x:v>
      </x:c>
      <x:c r="Q101" s="90" t="str">
        <x:v>误映射会导致扶抑和格局结论相反</x:v>
      </x:c>
      <x:c r="R101" s="68" t="str">
        <x:v>把木火土金水转换为十神评价时</x:v>
      </x:c>
      <x:c r="S101" s="68" t="str">
        <x:v>无</x:v>
      </x:c>
      <x:c r="T101" s="68" t="str">
        <x:v>五行功能与十神功能双层映射</x:v>
      </x:c>
      <x:c r="U101" s="68"/>
      <x:c r="V101" s="84" t="str">
        <x:v>待定</x:v>
      </x:c>
      <x:c r="W101" s="82" t="str">
        <x:v>待定</x:v>
      </x:c>
      <x:c r="X101" s="82" t="str">
        <x:v>待定</x:v>
      </x:c>
      <x:c r="Y101" s="68" t="str">
        <x:v>必须先确定日主阴阳与生克关系</x:v>
      </x:c>
      <x:c r="Z101" s="84" t="str">
        <x:v>五行十神相对映射</x:v>
      </x:c>
      <x:c r="AA101" s="84" t="str">
        <x:v>M17的“候选五行”与“对应十神”必须按具体日主映射，不能固定绑定。</x:v>
      </x:c>
      <x:c r="AB101" s="82" t="str">
        <x:v>较高</x:v>
      </x:c>
      <x:c r="AC101" s="82" t="str">
        <x:v>现代综合</x:v>
      </x:c>
      <x:c r="AD101" s="68" t="str">
        <x:v>喜忌用神必须同时读取扶抑、格局、通关、调候和病药五个维度。单一维度有利不足以自动成为主用；最终定位取决于是否解决根本问题、是否触犯格局硬约束、药力是否可达以及副作用是否可控。</x:v>
      </x:c>
      <x:c r="AE101" s="68" t="str">
        <x:v>满足“把木火土金水转换为十神评价时”，且主要收益大于副作用时，可按“候选五行对应十神必须随日主重新映射”定位。</x:v>
      </x:c>
      <x:c r="AF101" s="90" t="str">
        <x:v>若“无”成立，则不得按“候选五行对应十神必须随日主重新映射”无条件定位。</x:v>
      </x:c>
      <x:c r="AG101" s="82" t="str">
        <x:v>采用</x:v>
      </x:c>
      <x:c r="AH101" s="82" t="str">
        <x:v>初审</x:v>
      </x:c>
      <x:c r="AI101" s="87" t="n">
        <x:v>46260</x:v>
      </x:c>
    </x:row>
    <x:row r="102">
      <x:c r="A102" s="72" t="str">
        <x:f>IF(OR(C102="",D102=""),"",B102&amp;"-"&amp;UPPER(C102)&amp;"-"&amp;TEXT(D102,"0000")&amp;"-"&amp;E102)</x:f>
        <x:v>M17-BOUND-0096-V1.0</x:v>
      </x:c>
      <x:c r="B102" s="74" t="str">
        <x:v>M17</x:v>
      </x:c>
      <x:c r="C102" s="74" t="str">
        <x:v>BOUND</x:v>
      </x:c>
      <x:c r="D102" s="215" t="n">
        <x:v>96</x:v>
      </x:c>
      <x:c r="E102" s="74" t="str">
        <x:v>V1.0</x:v>
      </x:c>
      <x:c r="F102" s="68" t="str">
        <x:v>同一五行可以同时有收益与副作用，最终取净定位</x:v>
      </x:c>
      <x:c r="G102" s="82" t="str">
        <x:v>综合层</x:v>
      </x:c>
      <x:c r="H102" s="82"/>
      <x:c r="I102" s="82"/>
      <x:c r="J102" s="82" t="str">
        <x:v>复合来源</x:v>
      </x:c>
      <x:c r="K102" s="68" t="str">
        <x:v>可能正负并存</x:v>
      </x:c>
      <x:c r="L102" s="68" t="str">
        <x:v>可能护一格而伤另一结构</x:v>
      </x:c>
      <x:c r="M102" s="68" t="str">
        <x:v>可能通一处而堵另一处</x:v>
      </x:c>
      <x:c r="N102" s="68" t="str">
        <x:v>可能改善一轴而恶化另一轴</x:v>
      </x:c>
      <x:c r="O102" s="68" t="str">
        <x:v>可能治一病而生一病</x:v>
      </x:c>
      <x:c r="P102" s="68" t="str">
        <x:v>完整保留多重功能</x:v>
      </x:c>
      <x:c r="Q102" s="90" t="str">
        <x:v>不能因一个正向标签忽略其他伤害</x:v>
      </x:c>
      <x:c r="R102" s="68" t="str">
        <x:v>同一五行参与多个路径或模块</x:v>
      </x:c>
      <x:c r="S102" s="68" t="str">
        <x:v>作用单一且无冲突</x:v>
      </x:c>
      <x:c r="T102" s="68" t="str">
        <x:v>多维净收益</x:v>
      </x:c>
      <x:c r="U102" s="68" t="str">
        <x:v>M18-GEN-0005-V1.0</x:v>
      </x:c>
      <x:c r="V102" s="84" t="str">
        <x:v>待定</x:v>
      </x:c>
      <x:c r="W102" s="82" t="str">
        <x:v>待定</x:v>
      </x:c>
      <x:c r="X102" s="82" t="str">
        <x:v>待定</x:v>
      </x:c>
      <x:c r="Y102" s="68" t="str">
        <x:v>最终按根本病、硬约束和副作用确定净定位</x:v>
      </x:c>
      <x:c r="Z102" s="84" t="str">
        <x:v>一行多效净定位</x:v>
      </x:c>
      <x:c r="AA102" s="84" t="str">
        <x:v>该候选五行综合定位为“待定”，优先级为“待定”。主要收益：完整保留多重功能；主要副作用：不能因一个正向标签忽略其他伤害；最终按根本病、硬约束和副作用确定净定位。</x:v>
      </x:c>
      <x:c r="AB102" s="82" t="str">
        <x:v>较高</x:v>
      </x:c>
      <x:c r="AC102" s="82" t="str">
        <x:v>现代综合</x:v>
      </x:c>
      <x:c r="AD102" s="68" t="str">
        <x:v>喜忌用神必须同时读取扶抑、格局、通关、调候和病药五个维度。单一维度有利不足以自动成为主用；最终定位取决于是否解决根本问题、是否触犯格局硬约束、药力是否可达以及副作用是否可控。</x:v>
      </x:c>
      <x:c r="AE102" s="68" t="str">
        <x:v>满足“同一五行参与多个路径或模块”，且主要收益大于副作用时，可按“同一五行可以同时有收益与副作用，最终取净定位”定位。</x:v>
      </x:c>
      <x:c r="AF102" s="90" t="str">
        <x:v>若“作用单一且无冲突”成立，则不得按“同一五行可以同时有收益与副作用，最终取净定位”无条件定位。</x:v>
      </x:c>
      <x:c r="AG102" s="82" t="str">
        <x:v>采用</x:v>
      </x:c>
      <x:c r="AH102" s="82" t="str">
        <x:v>初审</x:v>
      </x:c>
      <x:c r="AI102" s="87" t="n">
        <x:v>46260</x:v>
      </x:c>
    </x:row>
    <x:row r="103">
      <x:c r="A103" s="72" t="str">
        <x:f>IF(OR(C103="",D103=""),"",B103&amp;"-"&amp;UPPER(C103)&amp;"-"&amp;TEXT(D103,"0000")&amp;"-"&amp;E103)</x:f>
        <x:v>M17-BOUND-0097-V1.0</x:v>
      </x:c>
      <x:c r="B103" s="74" t="str">
        <x:v>M17</x:v>
      </x:c>
      <x:c r="C103" s="74" t="str">
        <x:v>BOUND</x:v>
      </x:c>
      <x:c r="D103" s="215" t="n">
        <x:v>97</x:v>
      </x:c>
      <x:c r="E103" s="74" t="str">
        <x:v>V1.0</x:v>
      </x:c>
      <x:c r="F103" s="68" t="str">
        <x:v>喜用神结论不直接等同现实中的物质补充建议</x:v>
      </x:c>
      <x:c r="G103" s="82" t="str">
        <x:v>综合层</x:v>
      </x:c>
      <x:c r="H103" s="82"/>
      <x:c r="I103" s="82"/>
      <x:c r="J103" s="82" t="str">
        <x:v>复合来源</x:v>
      </x:c>
      <x:c r="K103" s="68" t="str">
        <x:v>结构层用神</x:v>
      </x:c>
      <x:c r="L103" s="68" t="str">
        <x:v>结构层用神</x:v>
      </x:c>
      <x:c r="M103" s="68" t="str">
        <x:v>结构层通关</x:v>
      </x:c>
      <x:c r="N103" s="68" t="str">
        <x:v>结构层调候</x:v>
      </x:c>
      <x:c r="O103" s="68" t="str">
        <x:v>结构层病药</x:v>
      </x:c>
      <x:c r="P103" s="68" t="str">
        <x:v>明确知识库结论边界</x:v>
      </x:c>
      <x:c r="Q103" s="90" t="str">
        <x:v>机械对应颜色、方位、行业或物品可能脱离结构条件</x:v>
      </x:c>
      <x:c r="R103" s="68" t="str">
        <x:v>M17完成喜忌用神定位</x:v>
      </x:c>
      <x:c r="S103" s="68" t="str">
        <x:v>上层应用另有经过验证的转化规则</x:v>
      </x:c>
      <x:c r="T103" s="68" t="str">
        <x:v>应用层边界</x:v>
      </x:c>
      <x:c r="U103" s="68"/>
      <x:c r="V103" s="84" t="str">
        <x:v>待定</x:v>
      </x:c>
      <x:c r="W103" s="82" t="str">
        <x:v>待定</x:v>
      </x:c>
      <x:c r="X103" s="82" t="str">
        <x:v>待定</x:v>
      </x:c>
      <x:c r="Y103" s="68" t="str">
        <x:v>M17只给结构性五行价值，不自动生成生活化补救方案</x:v>
      </x:c>
      <x:c r="Z103" s="84" t="str">
        <x:v>用神应用边界</x:v>
      </x:c>
      <x:c r="AA103" s="84" t="str">
        <x:v>喜用神是命局结构中的作用方向，不自动等同于佩戴、颜色、方位、行业或物质补充建议。</x:v>
      </x:c>
      <x:c r="AB103" s="82" t="str">
        <x:v>较高</x:v>
      </x:c>
      <x:c r="AC103" s="82" t="str">
        <x:v>现代综合</x:v>
      </x:c>
      <x:c r="AD103" s="68" t="str">
        <x:v>喜忌用神必须同时读取扶抑、格局、通关、调候和病药五个维度。单一维度有利不足以自动成为主用；最终定位取决于是否解决根本问题、是否触犯格局硬约束、药力是否可达以及副作用是否可控。</x:v>
      </x:c>
      <x:c r="AE103" s="68" t="str">
        <x:v>满足“M17完成喜忌用神定位”，且主要收益大于副作用时，可按“喜用神结论不直接等同现实中的物质补充建议”定位。</x:v>
      </x:c>
      <x:c r="AF103" s="90" t="str">
        <x:v>若“上层应用另有经过验证的转化规则”成立，则不得按“喜用神结论不直接等同现实中的物质补充建议”无条件定位。</x:v>
      </x:c>
      <x:c r="AG103" s="82" t="str">
        <x:v>采用</x:v>
      </x:c>
      <x:c r="AH103" s="82" t="str">
        <x:v>初审</x:v>
      </x:c>
      <x:c r="AI103" s="87" t="n">
        <x:v>46260</x:v>
      </x:c>
    </x:row>
    <x:row r="104">
      <x:c r="A104" s="72" t="str">
        <x:f>IF(OR(C104="",D104=""),"",B104&amp;"-"&amp;UPPER(C104)&amp;"-"&amp;TEXT(D104,"0000")&amp;"-"&amp;E104)</x:f>
        <x:v>M17-BOUND-0098-V1.0</x:v>
      </x:c>
      <x:c r="B104" s="74" t="str">
        <x:v>M17</x:v>
      </x:c>
      <x:c r="C104" s="74" t="str">
        <x:v>BOUND</x:v>
      </x:c>
      <x:c r="D104" s="215" t="n">
        <x:v>98</x:v>
      </x:c>
      <x:c r="E104" s="74" t="str">
        <x:v>V1.0</x:v>
      </x:c>
      <x:c r="F104" s="68" t="str">
        <x:v>原局喜忌与岁运中的实际吉凶必须分开</x:v>
      </x:c>
      <x:c r="G104" s="82" t="str">
        <x:v>综合层</x:v>
      </x:c>
      <x:c r="H104" s="82"/>
      <x:c r="I104" s="82"/>
      <x:c r="J104" s="82" t="str">
        <x:v>复合来源</x:v>
      </x:c>
      <x:c r="K104" s="68" t="str">
        <x:v>原局静态价值</x:v>
      </x:c>
      <x:c r="L104" s="68" t="str">
        <x:v>原局格局需求</x:v>
      </x:c>
      <x:c r="M104" s="68" t="str">
        <x:v>原局路径需求</x:v>
      </x:c>
      <x:c r="N104" s="68" t="str">
        <x:v>原局调候需求</x:v>
      </x:c>
      <x:c r="O104" s="68" t="str">
        <x:v>原局病药需求</x:v>
      </x:c>
      <x:c r="P104" s="68" t="str">
        <x:v>建立动态模型的稳定基准</x:v>
      </x:c>
      <x:c r="Q104" s="90" t="str">
        <x:v>岁运引动后作用强度和条件会变化</x:v>
      </x:c>
      <x:c r="R104" s="68" t="str">
        <x:v>M17判断原局木火土金水喜忌</x:v>
      </x:c>
      <x:c r="S104" s="68" t="str">
        <x:v>具体大运流年吉凶和事件判断</x:v>
      </x:c>
      <x:c r="T104" s="68" t="str">
        <x:v>静态与动态边界</x:v>
      </x:c>
      <x:c r="U104" s="68" t="str">
        <x:v>M18-BOUND-0079-V1.0</x:v>
      </x:c>
      <x:c r="V104" s="84" t="str">
        <x:v>待定</x:v>
      </x:c>
      <x:c r="W104" s="82" t="str">
        <x:v>待定</x:v>
      </x:c>
      <x:c r="X104" s="82" t="str">
        <x:v>待定</x:v>
      </x:c>
      <x:c r="Y104" s="68" t="str">
        <x:v>岁运作用由D0动态引擎重新计算</x:v>
      </x:c>
      <x:c r="Z104" s="84" t="str">
        <x:v>喜忌静动态边界</x:v>
      </x:c>
      <x:c r="AA104" s="84" t="str">
        <x:v>M17只判断原局静态喜忌；某五行在具体岁运中是否吉利，需结合引动方式、强度和原局承载重新判断。</x:v>
      </x:c>
      <x:c r="AB104" s="82" t="str">
        <x:v>较高</x:v>
      </x:c>
      <x:c r="AC104" s="82" t="str">
        <x:v>现代综合</x:v>
      </x:c>
      <x:c r="AD104" s="68" t="str">
        <x:v>喜忌用神必须同时读取扶抑、格局、通关、调候和病药五个维度。单一维度有利不足以自动成为主用；最终定位取决于是否解决根本问题、是否触犯格局硬约束、药力是否可达以及副作用是否可控。</x:v>
      </x:c>
      <x:c r="AE104" s="68" t="str">
        <x:v>满足“M17判断原局木火土金水喜忌”，且主要收益大于副作用时，可按“原局喜忌与岁运中的实际吉凶必须分开”定位。</x:v>
      </x:c>
      <x:c r="AF104" s="90" t="str">
        <x:v>若“具体大运流年吉凶和事件判断”成立，则不得按“原局喜忌与岁运中的实际吉凶必须分开”无条件定位。</x:v>
      </x:c>
      <x:c r="AG104" s="82" t="str">
        <x:v>采用</x:v>
      </x:c>
      <x:c r="AH104" s="82" t="str">
        <x:v>初审</x:v>
      </x:c>
      <x:c r="AI104" s="87" t="n">
        <x:v>46260</x:v>
      </x:c>
    </x:row>
    <x:row r="105">
      <x:c r="A105" s="72" t="str">
        <x:f>IF(OR(C105="",D105=""),"",B105&amp;"-"&amp;UPPER(C105)&amp;"-"&amp;TEXT(D105,"0000")&amp;"-"&amp;E105)</x:f>
        <x:v>M17-BOUND-0099-V1.0</x:v>
      </x:c>
      <x:c r="B105" s="74" t="str">
        <x:v>M17</x:v>
      </x:c>
      <x:c r="C105" s="74" t="str">
        <x:v>BOUND</x:v>
      </x:c>
      <x:c r="D105" s="215" t="n">
        <x:v>99</x:v>
      </x:c>
      <x:c r="E105" s="74" t="str">
        <x:v>V1.0</x:v>
      </x:c>
      <x:c r="F105" s="68" t="str">
        <x:v>用神喜忌不能直接推出财富婚姻职业健康事件</x:v>
      </x:c>
      <x:c r="G105" s="82" t="str">
        <x:v>综合层</x:v>
      </x:c>
      <x:c r="H105" s="82"/>
      <x:c r="I105" s="82"/>
      <x:c r="J105" s="82" t="str">
        <x:v>复合来源</x:v>
      </x:c>
      <x:c r="K105" s="68" t="str">
        <x:v>结构结论</x:v>
      </x:c>
      <x:c r="L105" s="68" t="str">
        <x:v>结构结论</x:v>
      </x:c>
      <x:c r="M105" s="68" t="str">
        <x:v>结构结论</x:v>
      </x:c>
      <x:c r="N105" s="68" t="str">
        <x:v>结构结论</x:v>
      </x:c>
      <x:c r="O105" s="68" t="str">
        <x:v>结构结论</x:v>
      </x:c>
      <x:c r="P105" s="68" t="str">
        <x:v>保持底层模型与上层主题模型分离</x:v>
      </x:c>
      <x:c r="Q105" s="90" t="str">
        <x:v>越级断事会忽略宫位、岁运和主题规则</x:v>
      </x:c>
      <x:c r="R105" s="68" t="str">
        <x:v>M17完成最终用神排序</x:v>
      </x:c>
      <x:c r="S105" s="68" t="str">
        <x:v>上层模型读取M17后进行主题化分析</x:v>
      </x:c>
      <x:c r="T105" s="68" t="str">
        <x:v>输出层级边界</x:v>
      </x:c>
      <x:c r="U105" s="68"/>
      <x:c r="V105" s="84" t="str">
        <x:v>待定</x:v>
      </x:c>
      <x:c r="W105" s="82" t="str">
        <x:v>待定</x:v>
      </x:c>
      <x:c r="X105" s="82" t="str">
        <x:v>待定</x:v>
      </x:c>
      <x:c r="Y105" s="68" t="str">
        <x:v>只输出结构价值和成立条件</x:v>
      </x:c>
      <x:c r="Z105" s="84" t="str">
        <x:v>用神事件边界</x:v>
      </x:c>
      <x:c r="AA105" s="84" t="str">
        <x:v>M17不得直接由喜木、忌火等结论推出财富、婚恋、职业、疾病或具体人生事件。</x:v>
      </x:c>
      <x:c r="AB105" s="82" t="str">
        <x:v>较高</x:v>
      </x:c>
      <x:c r="AC105" s="82" t="str">
        <x:v>现代综合</x:v>
      </x:c>
      <x:c r="AD105" s="68" t="str">
        <x:v>喜忌用神必须同时读取扶抑、格局、通关、调候和病药五个维度。单一维度有利不足以自动成为主用；最终定位取决于是否解决根本问题、是否触犯格局硬约束、药力是否可达以及副作用是否可控。</x:v>
      </x:c>
      <x:c r="AE105" s="68" t="str">
        <x:v>满足“M17完成最终用神排序”，且主要收益大于副作用时，可按“用神喜忌不能直接推出财富婚姻职业健康事件”定位。</x:v>
      </x:c>
      <x:c r="AF105" s="90" t="str">
        <x:v>若“上层模型读取M17后进行主题化分析”成立，则不得按“用神喜忌不能直接推出财富婚姻职业健康事件”无条件定位。</x:v>
      </x:c>
      <x:c r="AG105" s="82" t="str">
        <x:v>采用</x:v>
      </x:c>
      <x:c r="AH105" s="82" t="str">
        <x:v>初审</x:v>
      </x:c>
      <x:c r="AI105" s="87" t="n">
        <x:v>46260</x:v>
      </x:c>
    </x:row>
    <x:row r="106">
      <x:c r="A106" s="214" t="str">
        <x:f>IF(OR(C106="",D106=""),"",B106&amp;"-"&amp;UPPER(C106)&amp;"-"&amp;TEXT(D106,"0000")&amp;"-"&amp;E106)</x:f>
        <x:v>M17-BOUND-0100-V1.0</x:v>
      </x:c>
      <x:c r="B106" s="214" t="str">
        <x:v>M17</x:v>
      </x:c>
      <x:c r="C106" s="214" t="str">
        <x:v>BOUND</x:v>
      </x:c>
      <x:c r="D106" s="216" t="n">
        <x:v>100</x:v>
      </x:c>
      <x:c r="E106" s="214" t="str">
        <x:v>V1.0</x:v>
      </x:c>
      <x:c r="F106" s="214" t="str">
        <x:v>M17标准输出必须给出五行全表和主次依据</x:v>
      </x:c>
      <x:c r="G106" s="214" t="str">
        <x:v>综合层</x:v>
      </x:c>
      <x:c r="H106" s="214"/>
      <x:c r="I106" s="214"/>
      <x:c r="J106" s="214" t="str">
        <x:v>复合来源</x:v>
      </x:c>
      <x:c r="K106" s="214" t="str">
        <x:v>逐五行记录</x:v>
      </x:c>
      <x:c r="L106" s="214" t="str">
        <x:v>逐五行记录</x:v>
      </x:c>
      <x:c r="M106" s="214" t="str">
        <x:v>逐五行记录</x:v>
      </x:c>
      <x:c r="N106" s="214" t="str">
        <x:v>逐五行记录</x:v>
      </x:c>
      <x:c r="O106" s="214" t="str">
        <x:v>逐五行记录</x:v>
      </x:c>
      <x:c r="P106" s="214" t="str">
        <x:v>形成可审计的最终用神矩阵</x:v>
      </x:c>
      <x:c r="Q106" s="214" t="str">
        <x:v>若只输出一两个五行会丢失反证和条件</x:v>
      </x:c>
      <x:c r="R106" s="214" t="str">
        <x:v>完成木火土金水五维评估</x:v>
      </x:c>
      <x:c r="S106" s="214" t="str">
        <x:v>无</x:v>
      </x:c>
      <x:c r="T106" s="214" t="str">
        <x:v>最终冲突转M18</x:v>
      </x:c>
      <x:c r="U106" s="214" t="str">
        <x:v>M18-BOUND-0077-V1.0</x:v>
      </x:c>
      <x:c r="V106" s="214" t="str">
        <x:v>待定</x:v>
      </x:c>
      <x:c r="W106" s="214" t="str">
        <x:v>待定</x:v>
      </x:c>
      <x:c r="X106" s="214" t="str">
        <x:v>待定</x:v>
      </x:c>
      <x:c r="Y106" s="214" t="str">
        <x:v>输出主用、辅助、喜、条件性喜、中性、条件性忌、忌、仇及待定项</x:v>
      </x:c>
      <x:c r="Z106" s="214" t="str">
        <x:v>M17标准输出</x:v>
      </x:c>
      <x:c r="AA106" s="214" t="str">
        <x:v>M17最终必须输出木、火、土、金、水五行矩阵：五维作用、主要收益、副作用、适用/不适用条件、冲突、综合定位、主次优先级、条件性说明、反向证据与置信度。</x:v>
      </x:c>
      <x:c r="AB106" s="214" t="str">
        <x:v>较高</x:v>
      </x:c>
      <x:c r="AC106" s="214" t="str">
        <x:v>现代综合</x:v>
      </x:c>
      <x:c r="AD106" s="214" t="str">
        <x:v>喜忌用神必须同时读取扶抑、格局、通关、调候和病药五个维度。单一维度有利不足以自动成为主用；最终定位取决于是否解决根本问题、是否触犯格局硬约束、药力是否可达以及副作用是否可控。</x:v>
      </x:c>
      <x:c r="AE106" s="214" t="str">
        <x:v>满足“完成木火土金水五维评估”，且主要收益大于副作用时，可按“M17标准输出必须给出五行全表和主次依据”定位。</x:v>
      </x:c>
      <x:c r="AF106" s="214" t="str">
        <x:v>若“无”成立，则不得按“M17标准输出必须给出五行全表和主次依据”无条件定位。</x:v>
      </x:c>
      <x:c r="AG106" s="214" t="str">
        <x:v>采用</x:v>
      </x:c>
      <x:c r="AH106" s="214" t="str">
        <x:v>初审</x:v>
      </x:c>
      <x:c r="AI106" s="217" t="n">
        <x:v>46260</x:v>
      </x:c>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26">
    <x:dataValidation type="list" sqref="E6:E105">
      <x:formula1>'99_下拉选项'!$BG$4:$BG$12</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'99_下拉选项'!$BG$4:$BG$17</x:formula1>
    </x:dataValidation>
    <x:dataValidation type="list" sqref="G7:G106">
      <x:formula1>'99_下拉选项'!$F$4:$F$7</x:formula1>
    </x:dataValidation>
    <x:dataValidation type="list" sqref="H7:H106">
      <x:formula1>'99_下拉选项'!$D$4:$D$8</x:formula1>
    </x:dataValidation>
    <x:dataValidation type="list" sqref="I7:I106">
      <x:formula1>'99_下拉选项'!$Y$4:$Y$13</x:formula1>
    </x:dataValidation>
    <x:dataValidation type="list" sqref="J7:J106">
      <x:formula1>'99_下拉选项'!$AR$4:$AR$9</x:formula1>
    </x:dataValidation>
    <x:dataValidation type="list" sqref="V7:V106">
      <x:formula1>'99_下拉选项'!$AB$4:$AB$12</x:formula1>
    </x:dataValidation>
    <x:dataValidation type="list" sqref="W7:W106">
      <x:formula1>'99_下拉选项'!$AS$4:$AS$9</x:formula1>
    </x:dataValidation>
    <x:dataValidation type="list" sqref="X7:X106">
      <x:formula1>'99_下拉选项'!$X$4:$X$7</x:formula1>
    </x:dataValidation>
    <x:dataValidation type="list" sqref="AB7:AB106">
      <x:formula1>'99_下拉选项'!$Q$4:$Q$8</x:formula1>
    </x:dataValidation>
    <x:dataValidation type="list" sqref="AC7:AC106">
      <x:formula1>'99_下拉选项'!$R$4:$R$11</x:formula1>
    </x:dataValidation>
    <x:dataValidation type="list" sqref="AG7:AG106">
      <x:formula1>'99_下拉选项'!$S$4:$S$9</x:formula1>
    </x:dataValidation>
    <x:dataValidation type="list" sqref="AH7:AH106">
      <x:formula1>'99_下拉选项'!$T$4:$T$8</x:formula1>
    </x:dataValidation>
    <x:dataValidation type="list" sqref="E7:E106">
      <x:formula1>'99_下拉选项'!$BG$4:$BG$22</x:formula1>
    </x:dataValidation>
  </x:dataValidations>
  <x:pageMargins left="0.7" right="0.7" top="0.75" bottom="0.75" header="0.3" footer="0.3"/>
  <x:tableParts count="1">
    <x:tablePart xmlns:r="http://schemas.openxmlformats.org/officeDocument/2006/relationships" r:id="R77e991d9275543bf"/>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v>M18-GEN-0001-V1.0</x:v>
      </x:c>
      <x:c r="B7" s="74" t="str">
        <x:v>M18</x:v>
      </x:c>
      <x:c r="C7" s="74" t="str">
        <x:v>GEN</x:v>
      </x:c>
      <x:c r="D7" s="215" t="n">
        <x:v>1</x:v>
      </x:c>
      <x:c r="E7" s="74" t="str">
        <x:v>V1.0</x:v>
      </x:c>
      <x:c r="F7" s="68" t="str">
        <x:v>硬约束优先于一般收益</x:v>
      </x:c>
      <x:c r="G7" s="82" t="str">
        <x:v>综合层</x:v>
      </x:c>
      <x:c r="H7" s="68" t="str">
        <x:v>硬约束与软收益冲突</x:v>
      </x:c>
      <x:c r="I7" s="68" t="str">
        <x:v>M15-GEN-0006-V1.0</x:v>
      </x:c>
      <x:c r="J7" s="68" t="str">
        <x:v>格神失效或特殊格局硬门槛失败可构成根本破格</x:v>
      </x:c>
      <x:c r="K7" s="68" t="str">
        <x:v>M17-GEN-0003-V1.0</x:v>
      </x:c>
      <x:c r="L7" s="68" t="str">
        <x:v>多个维度同向可提高某五行的喜用定位</x:v>
      </x:c>
      <x:c r="M7" s="68" t="str">
        <x:v>某五行在多个一般维度有利，但会触发根本破格或破坏严格特殊格局</x:v>
      </x:c>
      <x:c r="N7" s="68" t="str">
        <x:v>根本破格、特殊格局严格成立条件和不可替代格神属于硬约束</x:v>
      </x:c>
      <x:c r="O7" s="68" t="str">
        <x:v>硬约束不能被多个弱正向证据叠加覆盖</x:v>
      </x:c>
      <x:c r="P7" s="68" t="str">
        <x:v>先保留不触发根本破格的方案</x:v>
      </x:c>
      <x:c r="Q7" s="68" t="str">
        <x:v>有一般收益但触犯硬约束者降为条件性忌神或不采用</x:v>
      </x:c>
      <x:c r="R7" s="84" t="str">
        <x:v>硬约束优先</x:v>
      </x:c>
      <x:c r="S7" s="68" t="str">
        <x:v>冲突双方均有有效证据且作用于同一原局</x:v>
      </x:c>
      <x:c r="T7" s="68" t="str">
        <x:v>其中一方只是名义候选、已经失效或不作用于主要矛盾</x:v>
      </x:c>
      <x:c r="U7" s="68" t="str">
        <x:v>若被降级一方实际承担不可替代功能，应重新进入本规则复审</x:v>
      </x:c>
      <x:c r="V7" s="68" t="str">
        <x:v>证据接近或存在流派争议时保留并列候选并降低置信度</x:v>
      </x:c>
      <x:c r="W7" s="90" t="str">
        <x:v>寻找能够解决同一问题而不触犯硬约束的替代路径</x:v>
      </x:c>
      <x:c r="X7" s="84" t="str">
        <x:v>硬约束优先</x:v>
      </x:c>
      <x:c r="Y7" s="84" t="str">
        <x:v>冲突主题：硬约束与软收益冲突。裁决结果为“硬约束优先”；优先采用：先保留不触发根本破格的方案；降级处理：有一般收益但触犯硬约束者降为条件性忌神或不采用。同时控制副作用：寻找能够解决同一问题而不触犯硬约束的替代路径。</x:v>
      </x:c>
      <x:c r="Z7" s="82" t="str">
        <x:v>较高</x:v>
      </x:c>
      <x:c r="AA7" s="82" t="str">
        <x:v>现代综合</x:v>
      </x:c>
      <x:c r="AB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 s="68" t="str">
        <x:v>当“某五行在多个一般维度有利，但会触发根本破格或破坏严格特殊格局”成立，且硬约束与主次证据清晰时，可按本规则裁决。</x:v>
      </x:c>
      <x:c r="AD7" s="90" t="str">
        <x:v>若冲突双方并未同时有效，或“其中一方只是名义候选、已经失效或不作用于主要矛盾”成立，不得套用本规则制造假冲突。</x:v>
      </x:c>
      <x:c r="AE7" s="82" t="str">
        <x:v>采用</x:v>
      </x:c>
      <x:c r="AF7" s="82" t="str">
        <x:v>初审</x:v>
      </x:c>
      <x:c r="AG7" s="87" t="n">
        <x:v>46260</x:v>
      </x:c>
    </x:row>
    <x:row r="8">
      <x:c r="A8" s="72" t="str">
        <x:f>IF(OR(C8="",D8=""),"",B8&amp;"-"&amp;UPPER(C8)&amp;"-"&amp;TEXT(D8,"0000")&amp;"-"&amp;E8)</x:f>
        <x:v>M18-GEN-0002-V1.0</x:v>
      </x:c>
      <x:c r="B8" s="74" t="str">
        <x:v>M18</x:v>
      </x:c>
      <x:c r="C8" s="74" t="str">
        <x:v>GEN</x:v>
      </x:c>
      <x:c r="D8" s="215" t="n">
        <x:v>2</x:v>
      </x:c>
      <x:c r="E8" s="74" t="str">
        <x:v>V1.0</x:v>
      </x:c>
      <x:c r="F8" s="68" t="str">
        <x:v>只有严格成立的条件才能成为硬约束</x:v>
      </x:c>
      <x:c r="G8" s="82" t="str">
        <x:v>综合层</x:v>
      </x:c>
      <x:c r="H8" s="68" t="str">
        <x:v>候选结论与硬约束资格冲突</x:v>
      </x:c>
      <x:c r="I8" s="68" t="str">
        <x:v>M14-BOUND-0077-V1.0</x:v>
      </x:c>
      <x:c r="J8" s="68" t="str">
        <x:v>M14候选状态不等于最终成格</x:v>
      </x:c>
      <x:c r="K8" s="68" t="str">
        <x:v>M17-GEN-0005-V1.0</x:v>
      </x:c>
      <x:c r="L8" s="68" t="str">
        <x:v>严格特殊格局成立时维护主势属于硬约束</x:v>
      </x:c>
      <x:c r="M8" s="68" t="str">
        <x:v>某候选特殊格局尚未通过M15严格审查，却被提前用于否决普通扶抑或调候</x:v>
      </x:c>
      <x:c r="N8" s="68" t="str">
        <x:v>只有M15判清纯成立、特殊格局严格成立或确认不可替代核心结构后，才可作为硬约束</x:v>
      </x:c>
      <x:c r="O8" s="68" t="str">
        <x:v>先验证硬约束资格，再讨论优先级</x:v>
      </x:c>
      <x:c r="P8" s="68" t="str">
        <x:v>未严格成立时退回普通格局、旺衰、流通和病药综合</x:v>
      </x:c>
      <x:c r="Q8" s="68" t="str">
        <x:v>仅为候选、假从、假化或证据不足者不得享有硬约束优先级</x:v>
      </x:c>
      <x:c r="R8" s="84" t="str">
        <x:v>先验资格审查</x:v>
      </x:c>
      <x:c r="S8" s="68" t="str">
        <x:v>冲突双方均有有效证据且作用于同一原局</x:v>
      </x:c>
      <x:c r="T8" s="68" t="str">
        <x:v>其中一方只是名义候选、已经失效或不作用于主要矛盾</x:v>
      </x:c>
      <x:c r="U8" s="68" t="str">
        <x:v>若被降级一方实际承担不可替代功能，应重新进入本规则复审</x:v>
      </x:c>
      <x:c r="V8" s="68" t="str">
        <x:v>证据接近或存在流派争议时保留并列候选并降低置信度</x:v>
      </x:c>
      <x:c r="W8" s="90" t="str">
        <x:v>保留特殊格局候选的反向证据，避免一刀切否决普通用神</x:v>
      </x:c>
      <x:c r="X8" s="84" t="str">
        <x:v>硬约束资格</x:v>
      </x:c>
      <x:c r="Y8" s="84" t="str">
        <x:v>冲突主题：候选结论与硬约束资格冲突。裁决结果为“先验资格审查”；优先采用：未严格成立时退回普通格局、旺衰、流通和病药综合；降级处理：仅为候选、假从、假化或证据不足者不得享有硬约束优先级。同时控制副作用：保留特殊格局候选的反向证据，避免一刀切否决普通用神。</x:v>
      </x:c>
      <x:c r="Z8" s="82" t="str">
        <x:v>较高</x:v>
      </x:c>
      <x:c r="AA8" s="82" t="str">
        <x:v>现代综合</x:v>
      </x:c>
      <x:c r="AB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 s="68" t="str">
        <x:v>当“某候选特殊格局尚未通过M15严格审查，却被提前用于否决普通扶抑或调候”成立，且硬约束与主次证据清晰时，可按本规则裁决。</x:v>
      </x:c>
      <x:c r="AD8" s="90" t="str">
        <x:v>若冲突双方并未同时有效，或“其中一方只是名义候选、已经失效或不作用于主要矛盾”成立，不得套用本规则制造假冲突。</x:v>
      </x:c>
      <x:c r="AE8" s="82" t="str">
        <x:v>采用</x:v>
      </x:c>
      <x:c r="AF8" s="82" t="str">
        <x:v>初审</x:v>
      </x:c>
      <x:c r="AG8" s="87" t="n">
        <x:v>46260</x:v>
      </x:c>
    </x:row>
    <x:row r="9">
      <x:c r="A9" s="72" t="str">
        <x:f>IF(OR(C9="",D9=""),"",B9&amp;"-"&amp;UPPER(C9)&amp;"-"&amp;TEXT(D9,"0000")&amp;"-"&amp;E9)</x:f>
        <x:v>M18-GEN-0003-V1.0</x:v>
      </x:c>
      <x:c r="B9" s="74" t="str">
        <x:v>M18</x:v>
      </x:c>
      <x:c r="C9" s="74" t="str">
        <x:v>GEN</x:v>
      </x:c>
      <x:c r="D9" s="215" t="n">
        <x:v>3</x:v>
      </x:c>
      <x:c r="E9" s="74" t="str">
        <x:v>V1.0</x:v>
      </x:c>
      <x:c r="F9" s="68" t="str">
        <x:v>根本主病优先于表层旺弱收益</x:v>
      </x:c>
      <x:c r="G9" s="82" t="str">
        <x:v>综合层</x:v>
      </x:c>
      <x:c r="H9" s="68" t="str">
        <x:v>根本病与表层扶抑冲突</x:v>
      </x:c>
      <x:c r="I9" s="68" t="str">
        <x:v>M16-RANK-0097-V1.0</x:v>
      </x:c>
      <x:c r="J9" s="68" t="str">
        <x:v>能够解释多个模块问题的共同根因应列根本病</x:v>
      </x:c>
      <x:c r="K9" s="68" t="str">
        <x:v>M17-FUYI-0011-V1.0</x:v>
      </x:c>
      <x:c r="L9" s="68" t="str">
        <x:v>身弱时正印可列扶身候选</x:v>
      </x:c>
      <x:c r="M9" s="68" t="str">
        <x:v>某五行能改善表层身弱，但不能修复导致身弱的桥梁、制化或格局根因</x:v>
      </x:c>
      <x:c r="N9" s="68" t="str">
        <x:v>根本病位必须已由M16确认并具有跨模块解释力</x:v>
      </x:c>
      <x:c r="O9" s="68" t="str">
        <x:v>优先治疗根因，表层扶抑仅在根因修复后仍有必要时保留</x:v>
      </x:c>
      <x:c r="P9" s="68" t="str">
        <x:v>直接作用根本病位的药神优先</x:v>
      </x:c>
      <x:c r="Q9" s="68" t="str">
        <x:v>只缓解表象者降为辅助用神、喜神或不采用</x:v>
      </x:c>
      <x:c r="R9" s="84" t="str">
        <x:v>根因优先</x:v>
      </x:c>
      <x:c r="S9" s="68" t="str">
        <x:v>冲突双方均有有效证据且作用于同一原局</x:v>
      </x:c>
      <x:c r="T9" s="68" t="str">
        <x:v>其中一方只是名义候选、已经失效或不作用于主要矛盾</x:v>
      </x:c>
      <x:c r="U9" s="68" t="str">
        <x:v>若被降级一方实际承担不可替代功能，应重新进入本规则复审</x:v>
      </x:c>
      <x:c r="V9" s="68" t="str">
        <x:v>证据接近或存在流派争议时保留并列候选并降低置信度</x:v>
      </x:c>
      <x:c r="W9" s="90" t="str">
        <x:v>防止表层扶抑掩盖桥梁失效、财坏印或制化中断</x:v>
      </x:c>
      <x:c r="X9" s="84" t="str">
        <x:v>根本病优先</x:v>
      </x:c>
      <x:c r="Y9" s="84" t="str">
        <x:v>冲突主题：根本病与表层扶抑冲突。裁决结果为“根因优先”；优先采用：直接作用根本病位的药神优先；降级处理：只缓解表象者降为辅助用神、喜神或不采用。同时控制副作用：防止表层扶抑掩盖桥梁失效、财坏印或制化中断。</x:v>
      </x:c>
      <x:c r="Z9" s="82" t="str">
        <x:v>较高</x:v>
      </x:c>
      <x:c r="AA9" s="82" t="str">
        <x:v>现代综合</x:v>
      </x:c>
      <x:c r="AB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9" s="68" t="str">
        <x:v>当“某五行能改善表层身弱，但不能修复导致身弱的桥梁、制化或格局根因”成立，且硬约束与主次证据清晰时，可按本规则裁决。</x:v>
      </x:c>
      <x:c r="AD9" s="90" t="str">
        <x:v>若冲突双方并未同时有效，或“其中一方只是名义候选、已经失效或不作用于主要矛盾”成立，不得套用本规则制造假冲突。</x:v>
      </x:c>
      <x:c r="AE9" s="82" t="str">
        <x:v>采用</x:v>
      </x:c>
      <x:c r="AF9" s="82" t="str">
        <x:v>初审</x:v>
      </x:c>
      <x:c r="AG9" s="87" t="n">
        <x:v>46260</x:v>
      </x:c>
    </x:row>
    <x:row r="10">
      <x:c r="A10" s="72" t="str">
        <x:f>IF(OR(C10="",D10=""),"",B10&amp;"-"&amp;UPPER(C10)&amp;"-"&amp;TEXT(D10,"0000")&amp;"-"&amp;E10)</x:f>
        <x:v>M18-GEN-0004-V1.0</x:v>
      </x:c>
      <x:c r="B10" s="74" t="str">
        <x:v>M18</x:v>
      </x:c>
      <x:c r="C10" s="74" t="str">
        <x:v>GEN</x:v>
      </x:c>
      <x:c r="D10" s="215" t="n">
        <x:v>4</x:v>
      </x:c>
      <x:c r="E10" s="74" t="str">
        <x:v>V1.0</x:v>
      </x:c>
      <x:c r="F10" s="68" t="str">
        <x:v>主路径优先于次级路径</x:v>
      </x:c>
      <x:c r="G10" s="82" t="str">
        <x:v>综合层</x:v>
      </x:c>
      <x:c r="H10" s="68" t="str">
        <x:v>主流通路径与次级改善冲突</x:v>
      </x:c>
      <x:c r="I10" s="68" t="str">
        <x:v>M16-FLOW-0038-V1.0</x:v>
      </x:c>
      <x:c r="J10" s="68" t="str">
        <x:v>多个通路并存时应优先修复主路径卡点</x:v>
      </x:c>
      <x:c r="K10" s="68" t="str">
        <x:v>M17-BINGYAO-0060-V1.0</x:v>
      </x:c>
      <x:c r="L10" s="68" t="str">
        <x:v>能治次病但不能触达主病者仅列喜神或辅助</x:v>
      </x:c>
      <x:c r="M10" s="68" t="str">
        <x:v>多个五行分别改善不同路径，但只有一条路径覆盖核心格局、日主承载或根本病</x:v>
      </x:c>
      <x:c r="N10" s="68" t="str">
        <x:v>主路径需由M12/M16按覆盖范围、不可替代性和严重度排序</x:v>
      </x:c>
      <x:c r="O10" s="68" t="str">
        <x:v>先恢复主路径，次级路径在主病受控后再处理</x:v>
      </x:c>
      <x:c r="P10" s="68" t="str">
        <x:v>覆盖核心节点最多且直接修复主卡点者优先</x:v>
      </x:c>
      <x:c r="Q10" s="68" t="str">
        <x:v>只改善次级路径者降为第三顺位喜神或条件性辅助</x:v>
      </x:c>
      <x:c r="R10" s="84" t="str">
        <x:v>主路径优先</x:v>
      </x:c>
      <x:c r="S10" s="68" t="str">
        <x:v>冲突双方均有有效证据且作用于同一原局</x:v>
      </x:c>
      <x:c r="T10" s="68" t="str">
        <x:v>其中一方只是名义候选、已经失效或不作用于主要矛盾</x:v>
      </x:c>
      <x:c r="U10" s="68" t="str">
        <x:v>若被降级一方实际承担不可替代功能，应重新进入本规则复审</x:v>
      </x:c>
      <x:c r="V10" s="68" t="str">
        <x:v>证据接近或存在流派争议时保留并列候选并降低置信度</x:v>
      </x:c>
      <x:c r="W10" s="90" t="str">
        <x:v>避免多药分散导致主卡点仍未修复</x:v>
      </x:c>
      <x:c r="X10" s="84" t="str">
        <x:v>主路径优先</x:v>
      </x:c>
      <x:c r="Y10" s="84" t="str">
        <x:v>冲突主题：主流通路径与次级改善冲突。裁决结果为“主路径优先”；优先采用：覆盖核心节点最多且直接修复主卡点者优先；降级处理：只改善次级路径者降为第三顺位喜神或条件性辅助。同时控制副作用：避免多药分散导致主卡点仍未修复。</x:v>
      </x:c>
      <x:c r="Z10" s="82" t="str">
        <x:v>较高</x:v>
      </x:c>
      <x:c r="AA10" s="82" t="str">
        <x:v>现代综合</x:v>
      </x:c>
      <x:c r="AB1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0" s="68" t="str">
        <x:v>当“多个五行分别改善不同路径，但只有一条路径覆盖核心格局、日主承载或根本病”成立，且硬约束与主次证据清晰时，可按本规则裁决。</x:v>
      </x:c>
      <x:c r="AD10" s="90" t="str">
        <x:v>若冲突双方并未同时有效，或“其中一方只是名义候选、已经失效或不作用于主要矛盾”成立，不得套用本规则制造假冲突。</x:v>
      </x:c>
      <x:c r="AE10" s="82" t="str">
        <x:v>采用</x:v>
      </x:c>
      <x:c r="AF10" s="82" t="str">
        <x:v>初审</x:v>
      </x:c>
      <x:c r="AG10" s="87" t="n">
        <x:v>46260</x:v>
      </x:c>
    </x:row>
    <x:row r="11">
      <x:c r="A11" s="72" t="str">
        <x:f>IF(OR(C11="",D11=""),"",B11&amp;"-"&amp;UPPER(C11)&amp;"-"&amp;TEXT(D11,"0000")&amp;"-"&amp;E11)</x:f>
        <x:v>M18-GEN-0005-V1.0</x:v>
      </x:c>
      <x:c r="B11" s="74" t="str">
        <x:v>M18</x:v>
      </x:c>
      <x:c r="C11" s="74" t="str">
        <x:v>GEN</x:v>
      </x:c>
      <x:c r="D11" s="215" t="n">
        <x:v>5</x:v>
      </x:c>
      <x:c r="E11" s="74" t="str">
        <x:v>V1.0</x:v>
      </x:c>
      <x:c r="F11" s="68" t="str">
        <x:v>局部收益不能抵消更严重的新病</x:v>
      </x:c>
      <x:c r="G11" s="82" t="str">
        <x:v>综合层</x:v>
      </x:c>
      <x:c r="H11" s="68" t="str">
        <x:v>局部收益与更高严重度伤害冲突</x:v>
      </x:c>
      <x:c r="I11" s="68" t="str">
        <x:v>M17-GEN-0006-V1.0</x:v>
      </x:c>
      <x:c r="J11" s="68" t="str">
        <x:v>有利但伤害核心格局时必须降级</x:v>
      </x:c>
      <x:c r="K11" s="68" t="str">
        <x:v>M16-DOSE-0091-V1.0</x:v>
      </x:c>
      <x:c r="L11" s="68" t="str">
        <x:v>药力过量或药神冲突可形成反向新病</x:v>
      </x:c>
      <x:c r="M11" s="68" t="str">
        <x:v>某五行能解决一个局部问题，却制造严重度更高的格局、调候、承载或流通病</x:v>
      </x:c>
      <x:c r="N11" s="68" t="str">
        <x:v>新病严重度高于原问题时构成否决</x:v>
      </x:c>
      <x:c r="O11" s="68" t="str">
        <x:v>按净收益和严重度比较，而非只看是否有一项正向作用</x:v>
      </x:c>
      <x:c r="P11" s="68" t="str">
        <x:v>不产生更严重新病的替代方案优先</x:v>
      </x:c>
      <x:c r="Q11" s="68" t="str">
        <x:v>治一病而生更重病者定为不采用、忌神或条件性忌神</x:v>
      </x:c>
      <x:c r="R11" s="84" t="str">
        <x:v>净伤害否决</x:v>
      </x:c>
      <x:c r="S11" s="68" t="str">
        <x:v>冲突双方均有有效证据且作用于同一原局</x:v>
      </x:c>
      <x:c r="T11" s="68" t="str">
        <x:v>其中一方只是名义候选、已经失效或不作用于主要矛盾</x:v>
      </x:c>
      <x:c r="U11" s="68" t="str">
        <x:v>若被降级一方实际承担不可替代功能，应重新进入本规则复审</x:v>
      </x:c>
      <x:c r="V11" s="68" t="str">
        <x:v>证据接近或存在流派争议时保留并列候选并降低置信度</x:v>
      </x:c>
      <x:c r="W11" s="90" t="str">
        <x:v>明确记录原收益与新病路径，防止将其误写为无条件喜神</x:v>
      </x:c>
      <x:c r="X11" s="84" t="str">
        <x:v>更重新病否决</x:v>
      </x:c>
      <x:c r="Y11" s="84" t="str">
        <x:v>冲突主题：局部收益与更高严重度伤害冲突。裁决结果为“净伤害否决”；优先采用：不产生更严重新病的替代方案优先；降级处理：治一病而生更重病者定为不采用、忌神或条件性忌神。同时控制副作用：明确记录原收益与新病路径，防止将其误写为无条件喜神。</x:v>
      </x:c>
      <x:c r="Z11" s="82" t="str">
        <x:v>较高</x:v>
      </x:c>
      <x:c r="AA11" s="82" t="str">
        <x:v>现代综合</x:v>
      </x:c>
      <x:c r="AB1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1" s="68" t="str">
        <x:v>当“某五行能解决一个局部问题，却制造严重度更高的格局、调候、承载或流通病”成立，且硬约束与主次证据清晰时，可按本规则裁决。</x:v>
      </x:c>
      <x:c r="AD11" s="90" t="str">
        <x:v>若冲突双方并未同时有效，或“其中一方只是名义候选、已经失效或不作用于主要矛盾”成立，不得套用本规则制造假冲突。</x:v>
      </x:c>
      <x:c r="AE11" s="82" t="str">
        <x:v>采用</x:v>
      </x:c>
      <x:c r="AF11" s="82" t="str">
        <x:v>初审</x:v>
      </x:c>
      <x:c r="AG11" s="87" t="n">
        <x:v>46260</x:v>
      </x:c>
    </x:row>
    <x:row r="12">
      <x:c r="A12" s="72" t="str">
        <x:f>IF(OR(C12="",D12=""),"",B12&amp;"-"&amp;UPPER(C12)&amp;"-"&amp;TEXT(D12,"0000")&amp;"-"&amp;E12)</x:f>
        <x:v>M18-GEN-0006-V1.0</x:v>
      </x:c>
      <x:c r="B12" s="74" t="str">
        <x:v>M18</x:v>
      </x:c>
      <x:c r="C12" s="74" t="str">
        <x:v>GEN</x:v>
      </x:c>
      <x:c r="D12" s="215" t="n">
        <x:v>6</x:v>
      </x:c>
      <x:c r="E12" s="74" t="str">
        <x:v>V1.0</x:v>
      </x:c>
      <x:c r="F12" s="68" t="str">
        <x:v>同源证据不得重复叠加提高优先级</x:v>
      </x:c>
      <x:c r="G12" s="82" t="str">
        <x:v>综合层</x:v>
      </x:c>
      <x:c r="H12" s="68" t="str">
        <x:v>证据去重与多维同向冲突</x:v>
      </x:c>
      <x:c r="I12" s="68" t="str">
        <x:v>M17-GEN-0003-V1.0</x:v>
      </x:c>
      <x:c r="J12" s="68" t="str">
        <x:v>两个以上独立关键维度同向可提高定位</x:v>
      </x:c>
      <x:c r="K12" s="68" t="str">
        <x:v>M17-GEN-0010-V1.0</x:v>
      </x:c>
      <x:c r="L12" s="68" t="str">
        <x:v>最终用神不采用固定总分</x:v>
      </x:c>
      <x:c r="M12" s="68" t="str">
        <x:v>同一事实同时被表述为得令、有根、格局需要、病药需要，实际并非独立证据</x:v>
      </x:c>
      <x:c r="N12" s="68" t="str">
        <x:v>只有来源、作用对象或功能路径相互独立的证据才可视为多维同向</x:v>
      </x:c>
      <x:c r="O12" s="68" t="str">
        <x:v>同一节点、同一病因、同一作用链只计一个主权重</x:v>
      </x:c>
      <x:c r="P12" s="68" t="str">
        <x:v>独立强证据优先于重复标签数量</x:v>
      </x:c>
      <x:c r="Q12" s="68" t="str">
        <x:v>重复计数所得的主用或喜神结论降回原始单维等级</x:v>
      </x:c>
      <x:c r="R12" s="84" t="str">
        <x:v>证据去重</x:v>
      </x:c>
      <x:c r="S12" s="68" t="str">
        <x:v>冲突双方均有有效证据且作用于同一原局</x:v>
      </x:c>
      <x:c r="T12" s="68" t="str">
        <x:v>其中一方只是名义候选、已经失效或不作用于主要矛盾</x:v>
      </x:c>
      <x:c r="U12" s="68" t="str">
        <x:v>若被降级一方实际承担不可替代功能，应重新进入本规则复审</x:v>
      </x:c>
      <x:c r="V12" s="68" t="str">
        <x:v>证据接近或存在流派争议时保留并列候选并降低置信度</x:v>
      </x:c>
      <x:c r="W12" s="90" t="str">
        <x:v>在标准输出中注明哪些证据同源、哪些真正独立</x:v>
      </x:c>
      <x:c r="X12" s="84" t="str">
        <x:v>同源证据去重</x:v>
      </x:c>
      <x:c r="Y12" s="84" t="str">
        <x:v>冲突主题：证据去重与多维同向冲突。裁决结果为“证据去重”；优先采用：独立强证据优先于重复标签数量；降级处理：重复计数所得的主用或喜神结论降回原始单维等级。同时控制副作用：在标准输出中注明哪些证据同源、哪些真正独立。</x:v>
      </x:c>
      <x:c r="Z12" s="82" t="str">
        <x:v>较高</x:v>
      </x:c>
      <x:c r="AA12" s="82" t="str">
        <x:v>现代综合</x:v>
      </x:c>
      <x:c r="AB1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2" s="68" t="str">
        <x:v>当“同一事实同时被表述为得令、有根、格局需要、病药需要，实际并非独立证据”成立，且硬约束与主次证据清晰时，可按本规则裁决。</x:v>
      </x:c>
      <x:c r="AD12" s="90" t="str">
        <x:v>若冲突双方并未同时有效，或“其中一方只是名义候选、已经失效或不作用于主要矛盾”成立，不得套用本规则制造假冲突。</x:v>
      </x:c>
      <x:c r="AE12" s="82" t="str">
        <x:v>采用</x:v>
      </x:c>
      <x:c r="AF12" s="82" t="str">
        <x:v>初审</x:v>
      </x:c>
      <x:c r="AG12" s="87" t="n">
        <x:v>46260</x:v>
      </x:c>
    </x:row>
    <x:row r="13">
      <x:c r="A13" s="72" t="str">
        <x:f>IF(OR(C13="",D13=""),"",B13&amp;"-"&amp;UPPER(C13)&amp;"-"&amp;TEXT(D13,"0000")&amp;"-"&amp;E13)</x:f>
        <x:v>M18-GEN-0007-V1.0</x:v>
      </x:c>
      <x:c r="B13" s="74" t="str">
        <x:v>M18</x:v>
      </x:c>
      <x:c r="C13" s="74" t="str">
        <x:v>GEN</x:v>
      </x:c>
      <x:c r="D13" s="215" t="n">
        <x:v>7</x:v>
      </x:c>
      <x:c r="E13" s="74" t="str">
        <x:v>V1.0</x:v>
      </x:c>
      <x:c r="F13" s="68" t="str">
        <x:v>直接作用路径优先于间接长链路径</x:v>
      </x:c>
      <x:c r="G13" s="82" t="str">
        <x:v>综合层</x:v>
      </x:c>
      <x:c r="H13" s="68" t="str">
        <x:v>直接药路与间接药路冲突</x:v>
      </x:c>
      <x:c r="I13" s="68" t="str">
        <x:v>M16-MED-0081-V1.0</x:v>
      </x:c>
      <x:c r="J13" s="68" t="str">
        <x:v>药神作用路径越直接越适合作为主药</x:v>
      </x:c>
      <x:c r="K13" s="68" t="str">
        <x:v>M16-FLOW-0033-V1.0</x:v>
      </x:c>
      <x:c r="L13" s="68" t="str">
        <x:v>长链存在传递耗散与容量限制</x:v>
      </x:c>
      <x:c r="M13" s="68" t="str">
        <x:v>两个候选都能理论解决同一病位，但一个路径短且稳定，另一个依赖多层弱桥梁</x:v>
      </x:c>
      <x:c r="N13" s="68" t="str">
        <x:v>直接路径必须不触犯格局硬约束且药神自身有效</x:v>
      </x:c>
      <x:c r="O13" s="68" t="str">
        <x:v>在净副作用相近时，短、稳、直接的作用路径优先</x:v>
      </x:c>
      <x:c r="P13" s="68" t="str">
        <x:v>直接进入病位且桥梁最少者优先</x:v>
      </x:c>
      <x:c r="Q13" s="68" t="str">
        <x:v>长链候选降为辅助、替代方案或条件性喜神</x:v>
      </x:c>
      <x:c r="R13" s="84" t="str">
        <x:v>直接路径优先</x:v>
      </x:c>
      <x:c r="S13" s="68" t="str">
        <x:v>冲突双方均有有效证据且作用于同一原局</x:v>
      </x:c>
      <x:c r="T13" s="68" t="str">
        <x:v>其中一方只是名义候选、已经失效或不作用于主要矛盾</x:v>
      </x:c>
      <x:c r="U13" s="68" t="str">
        <x:v>若被降级一方实际承担不可替代功能，应重新进入本规则复审</x:v>
      </x:c>
      <x:c r="V13" s="68" t="str">
        <x:v>证据接近或存在流派争议时保留并列候选并降低置信度</x:v>
      </x:c>
      <x:c r="W13" s="90" t="str">
        <x:v>直接药路若副作用更大，仍需转净收益裁决而非机械优先</x:v>
      </x:c>
      <x:c r="X13" s="84" t="str">
        <x:v>直接路径优先</x:v>
      </x:c>
      <x:c r="Y13" s="84" t="str">
        <x:v>冲突主题：直接药路与间接药路冲突。裁决结果为“直接路径优先”；优先采用：直接进入病位且桥梁最少者优先；降级处理：长链候选降为辅助、替代方案或条件性喜神。同时控制副作用：直接药路若副作用更大，仍需转净收益裁决而非机械优先。</x:v>
      </x:c>
      <x:c r="Z13" s="82" t="str">
        <x:v>较高</x:v>
      </x:c>
      <x:c r="AA13" s="82" t="str">
        <x:v>现代综合</x:v>
      </x:c>
      <x:c r="AB1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3" s="68" t="str">
        <x:v>当“两个候选都能理论解决同一病位，但一个路径短且稳定，另一个依赖多层弱桥梁”成立，且硬约束与主次证据清晰时，可按本规则裁决。</x:v>
      </x:c>
      <x:c r="AD13" s="90" t="str">
        <x:v>若冲突双方并未同时有效，或“其中一方只是名义候选、已经失效或不作用于主要矛盾”成立，不得套用本规则制造假冲突。</x:v>
      </x:c>
      <x:c r="AE13" s="82" t="str">
        <x:v>采用</x:v>
      </x:c>
      <x:c r="AF13" s="82" t="str">
        <x:v>初审</x:v>
      </x:c>
      <x:c r="AG13" s="87" t="n">
        <x:v>46260</x:v>
      </x:c>
    </x:row>
    <x:row r="14">
      <x:c r="A14" s="72" t="str">
        <x:f>IF(OR(C14="",D14=""),"",B14&amp;"-"&amp;UPPER(C14)&amp;"-"&amp;TEXT(D14,"0000")&amp;"-"&amp;E14)</x:f>
        <x:v>M18-GEN-0008-V1.0</x:v>
      </x:c>
      <x:c r="B14" s="74" t="str">
        <x:v>M18</x:v>
      </x:c>
      <x:c r="C14" s="74" t="str">
        <x:v>GEN</x:v>
      </x:c>
      <x:c r="D14" s="215" t="n">
        <x:v>8</x:v>
      </x:c>
      <x:c r="E14" s="74" t="str">
        <x:v>V1.0</x:v>
      </x:c>
      <x:c r="F14" s="68" t="str">
        <x:v>证据接近时保持条件性或待定</x:v>
      </x:c>
      <x:c r="G14" s="82" t="str">
        <x:v>综合层</x:v>
      </x:c>
      <x:c r="H14" s="68" t="str">
        <x:v>多维证据接近与强行唯一化冲突</x:v>
      </x:c>
      <x:c r="I14" s="68" t="str">
        <x:v>M17-GEN-0009-V1.0</x:v>
      </x:c>
      <x:c r="J14" s="68" t="str">
        <x:v>收益与伤害接近时保持待定</x:v>
      </x:c>
      <x:c r="K14" s="68" t="str">
        <x:v>M16-RANK-0102-V1.0</x:v>
      </x:c>
      <x:c r="L14" s="68" t="str">
        <x:v>病药证据冲突大时降低置信度</x:v>
      </x:c>
      <x:c r="M14" s="68" t="str">
        <x:v>两种用神路线均有实质证据，且无硬约束足以排除任一方</x:v>
      </x:c>
      <x:c r="N14" s="68" t="str">
        <x:v>不得用主观偏好或单一流派术语强行唯一化</x:v>
      </x:c>
      <x:c r="O14" s="68" t="str">
        <x:v>并列保留候选、成立条件、反向证据和触发边界</x:v>
      </x:c>
      <x:c r="P14" s="68" t="str">
        <x:v>无固定优先，等待案例回归或更强证据</x:v>
      </x:c>
      <x:c r="Q14" s="68" t="str">
        <x:v>双方均标记条件性或待定，不列无条件主用</x:v>
      </x:c>
      <x:c r="R14" s="84" t="str">
        <x:v>并列待定</x:v>
      </x:c>
      <x:c r="S14" s="68" t="str">
        <x:v>冲突双方均有有效证据且作用于同一原局</x:v>
      </x:c>
      <x:c r="T14" s="68" t="str">
        <x:v>其中一方只是名义候选、已经失效或不作用于主要矛盾</x:v>
      </x:c>
      <x:c r="U14" s="68" t="str">
        <x:v>若被降级一方实际承担不可替代功能，应重新进入本规则复审</x:v>
      </x:c>
      <x:c r="V14" s="68" t="str">
        <x:v>证据接近或存在流派争议时保留并列候选并降低置信度</x:v>
      </x:c>
      <x:c r="W14" s="90" t="str">
        <x:v>降低置信度并转M20边界案例测试、M21争议治理</x:v>
      </x:c>
      <x:c r="X14" s="84" t="str">
        <x:v>证据接近待定</x:v>
      </x:c>
      <x:c r="Y14" s="84" t="str">
        <x:v>冲突主题：多维证据接近与强行唯一化冲突。裁决结果为“并列待定”；优先采用：无固定优先，等待案例回归或更强证据；降级处理：双方均标记条件性或待定，不列无条件主用。同时控制副作用：降低置信度并转M20边界案例测试、M21争议治理。</x:v>
      </x:c>
      <x:c r="Z14" s="82" t="str">
        <x:v>中等</x:v>
      </x:c>
      <x:c r="AA14" s="82" t="str">
        <x:v>现代综合</x:v>
      </x:c>
      <x:c r="AB1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4" s="68" t="str">
        <x:v>当“两种用神路线均有实质证据，且无硬约束足以排除任一方”成立，且硬约束与主次证据清晰时，可按本规则裁决。</x:v>
      </x:c>
      <x:c r="AD14" s="90" t="str">
        <x:v>若冲突双方并未同时有效，或“其中一方只是名义候选、已经失效或不作用于主要矛盾”成立，不得套用本规则制造假冲突。</x:v>
      </x:c>
      <x:c r="AE14" s="82" t="str">
        <x:v>待验证</x:v>
      </x:c>
      <x:c r="AF14" s="82" t="str">
        <x:v>初审</x:v>
      </x:c>
      <x:c r="AG14" s="87" t="n">
        <x:v>46260</x:v>
      </x:c>
    </x:row>
    <x:row r="15">
      <x:c r="A15" s="72" t="str">
        <x:f>IF(OR(C15="",D15=""),"",B15&amp;"-"&amp;UPPER(C15)&amp;"-"&amp;TEXT(D15,"0000")&amp;"-"&amp;E15)</x:f>
        <x:v>M18-SPECIAL-0009-V1.0</x:v>
      </x:c>
      <x:c r="B15" s="74" t="str">
        <x:v>M18</x:v>
      </x:c>
      <x:c r="C15" s="74" t="str">
        <x:v>SPECIAL</x:v>
      </x:c>
      <x:c r="D15" s="215" t="n">
        <x:v>9</x:v>
      </x:c>
      <x:c r="E15" s="74" t="str">
        <x:v>V1.0</x:v>
      </x:c>
      <x:c r="F15" s="68" t="str">
        <x:v>严格特殊格局优先于普通扶抑</x:v>
      </x:c>
      <x:c r="G15" s="82" t="str">
        <x:v>综合层</x:v>
      </x:c>
      <x:c r="H15" s="68" t="str">
        <x:v>特殊格局与普通扶抑冲突</x:v>
      </x:c>
      <x:c r="I15" s="68" t="str">
        <x:v>M17-GEJU-0031-V1.0</x:v>
      </x:c>
      <x:c r="J15" s="68" t="str">
        <x:v>真从格以顺从主势者为格局用神</x:v>
      </x:c>
      <x:c r="K15" s="68" t="str">
        <x:v>M17-FUYI-0011-V1.0</x:v>
      </x:c>
      <x:c r="L15" s="68" t="str">
        <x:v>普通身弱可用印星扶身</x:v>
      </x:c>
      <x:c r="M15" s="68" t="str">
        <x:v>真从、真化或专旺严格成立，但普通旺衰逻辑提出逆势扶抑</x:v>
      </x:c>
      <x:c r="N15" s="68" t="str">
        <x:v>M15必须判特殊格局严格成立，且无有效强根、逆神或破格证据</x:v>
      </x:c>
      <x:c r="O15" s="68" t="str">
        <x:v>严格特殊格局成立条件属于优先硬约束</x:v>
      </x:c>
      <x:c r="P15" s="68" t="str">
        <x:v>顺势护格方案优先</x:v>
      </x:c>
      <x:c r="Q15" s="68" t="str">
        <x:v>普通扶抑结论降为不采用或条件性忌神</x:v>
      </x:c>
      <x:c r="R15" s="84" t="str">
        <x:v>特殊格局优先</x:v>
      </x:c>
      <x:c r="S15" s="68" t="str">
        <x:v>冲突双方均有有效证据且作用于同一原局</x:v>
      </x:c>
      <x:c r="T15" s="68" t="str">
        <x:v>其中一方只是名义候选、已经失效或不作用于主要矛盾</x:v>
      </x:c>
      <x:c r="U15" s="68" t="str">
        <x:v>若被降级一方实际承担不可替代功能，应重新进入本规则复审</x:v>
      </x:c>
      <x:c r="V15" s="68" t="str">
        <x:v>证据接近或存在流派争议时保留并列候选并降低置信度</x:v>
      </x:c>
      <x:c r="W15" s="90" t="str">
        <x:v>仍保留不破格的最低限度调候和流通需求</x:v>
      </x:c>
      <x:c r="X15" s="84" t="str">
        <x:v>特殊格局优先</x:v>
      </x:c>
      <x:c r="Y15" s="84" t="str">
        <x:v>冲突主题：特殊格局与普通扶抑冲突。裁决结果为“特殊格局优先”；优先采用：顺势护格方案优先；降级处理：普通扶抑结论降为不采用或条件性忌神。同时控制副作用：仍保留不破格的最低限度调候和流通需求。</x:v>
      </x:c>
      <x:c r="Z15" s="82" t="str">
        <x:v>较高</x:v>
      </x:c>
      <x:c r="AA15" s="82" t="str">
        <x:v>现代综合</x:v>
      </x:c>
      <x:c r="AB1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5" s="68" t="str">
        <x:v>当“真从、真化或专旺严格成立，但普通旺衰逻辑提出逆势扶抑”成立，且硬约束与主次证据清晰时，可按本规则裁决。</x:v>
      </x:c>
      <x:c r="AD15" s="90" t="str">
        <x:v>若冲突双方并未同时有效，或“其中一方只是名义候选、已经失效或不作用于主要矛盾”成立，不得套用本规则制造假冲突。</x:v>
      </x:c>
      <x:c r="AE15" s="82" t="str">
        <x:v>采用</x:v>
      </x:c>
      <x:c r="AF15" s="82" t="str">
        <x:v>初审</x:v>
      </x:c>
      <x:c r="AG15" s="87" t="n">
        <x:v>46260</x:v>
      </x:c>
    </x:row>
    <x:row r="16">
      <x:c r="A16" s="72" t="str">
        <x:f>IF(OR(C16="",D16=""),"",B16&amp;"-"&amp;UPPER(C16)&amp;"-"&amp;TEXT(D16,"0000")&amp;"-"&amp;E16)</x:f>
        <x:v>M18-SPECIAL-0010-V1.0</x:v>
      </x:c>
      <x:c r="B16" s="74" t="str">
        <x:v>M18</x:v>
      </x:c>
      <x:c r="C16" s="74" t="str">
        <x:v>SPECIAL</x:v>
      </x:c>
      <x:c r="D16" s="215" t="n">
        <x:v>10</x:v>
      </x:c>
      <x:c r="E16" s="74" t="str">
        <x:v>V1.0</x:v>
      </x:c>
      <x:c r="F16" s="68" t="str">
        <x:v>假从假化或特殊格局候选不得压过普通逻辑</x:v>
      </x:c>
      <x:c r="G16" s="82" t="str">
        <x:v>综合层</x:v>
      </x:c>
      <x:c r="H16" s="68" t="str">
        <x:v>非严格特殊格局与普通旺衰冲突</x:v>
      </x:c>
      <x:c r="I16" s="68" t="str">
        <x:v>M15-CONG-0069-V1.0</x:v>
      </x:c>
      <x:c r="J16" s="68" t="str">
        <x:v>假从只能判成立但有破或待定</x:v>
      </x:c>
      <x:c r="K16" s="68" t="str">
        <x:v>M17-FUYI-0011-V1.0</x:v>
      </x:c>
      <x:c r="L16" s="68" t="str">
        <x:v>普通身弱存在扶身需求</x:v>
      </x:c>
      <x:c r="M16" s="68" t="str">
        <x:v>假从、假化或专旺候选仍有有效反向力量，却试图按真格完全排斥普通扶抑</x:v>
      </x:c>
      <x:c r="N16" s="68" t="str">
        <x:v>假从、假化及仅候选状态不构成完全顺势硬约束</x:v>
      </x:c>
      <x:c r="O16" s="68" t="str">
        <x:v>保留原气、根气和普通承载需求，按双重结构综合</x:v>
      </x:c>
      <x:c r="P16" s="68" t="str">
        <x:v>能解释有效反向证据和实际承载的一方优先</x:v>
      </x:c>
      <x:c r="Q16" s="68" t="str">
        <x:v>特殊格局仅保留条件性候选，不得无条件定顺势用神</x:v>
      </x:c>
      <x:c r="R16" s="84" t="str">
        <x:v>退回普通综合</x:v>
      </x:c>
      <x:c r="S16" s="68" t="str">
        <x:v>冲突双方均有有效证据且作用于同一原局</x:v>
      </x:c>
      <x:c r="T16" s="68" t="str">
        <x:v>其中一方只是名义候选、已经失效或不作用于主要矛盾</x:v>
      </x:c>
      <x:c r="U16" s="68" t="str">
        <x:v>若被降级一方实际承担不可替代功能，应重新进入本规则复审</x:v>
      </x:c>
      <x:c r="V16" s="68" t="str">
        <x:v>证据接近或存在流派争议时保留并列候选并降低置信度</x:v>
      </x:c>
      <x:c r="W16" s="90" t="str">
        <x:v>标明何种条件下可能趋近真从/真化，避免混用</x:v>
      </x:c>
      <x:c r="X16" s="84" t="str">
        <x:v>假格不压普通逻辑</x:v>
      </x:c>
      <x:c r="Y16" s="84" t="str">
        <x:v>冲突主题：非严格特殊格局与普通旺衰冲突。裁决结果为“退回普通综合”；优先采用：能解释有效反向证据和实际承载的一方优先；降级处理：特殊格局仅保留条件性候选，不得无条件定顺势用神。同时控制副作用：标明何种条件下可能趋近真从/真化，避免混用。</x:v>
      </x:c>
      <x:c r="Z16" s="82" t="str">
        <x:v>较高</x:v>
      </x:c>
      <x:c r="AA16" s="82" t="str">
        <x:v>现代综合</x:v>
      </x:c>
      <x:c r="AB1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6" s="68" t="str">
        <x:v>当“假从、假化或专旺候选仍有有效反向力量，却试图按真格完全排斥普通扶抑”成立，且硬约束与主次证据清晰时，可按本规则裁决。</x:v>
      </x:c>
      <x:c r="AD16" s="90" t="str">
        <x:v>若冲突双方并未同时有效，或“其中一方只是名义候选、已经失效或不作用于主要矛盾”成立，不得套用本规则制造假冲突。</x:v>
      </x:c>
      <x:c r="AE16" s="82" t="str">
        <x:v>采用</x:v>
      </x:c>
      <x:c r="AF16" s="82" t="str">
        <x:v>初审</x:v>
      </x:c>
      <x:c r="AG16" s="87" t="n">
        <x:v>46260</x:v>
      </x:c>
    </x:row>
    <x:row r="17">
      <x:c r="A17" s="72" t="str">
        <x:f>IF(OR(C17="",D17=""),"",B17&amp;"-"&amp;UPPER(C17)&amp;"-"&amp;TEXT(D17,"0000")&amp;"-"&amp;E17)</x:f>
        <x:v>M18-SPECIAL-0011-V1.0</x:v>
      </x:c>
      <x:c r="B17" s="74" t="str">
        <x:v>M18</x:v>
      </x:c>
      <x:c r="C17" s="74" t="str">
        <x:v>SPECIAL</x:v>
      </x:c>
      <x:c r="D17" s="215" t="n">
        <x:v>11</x:v>
      </x:c>
      <x:c r="E17" s="74" t="str">
        <x:v>V1.0</x:v>
      </x:c>
      <x:c r="F17" s="68" t="str">
        <x:v>严格特殊格局与极端调候冲突时采用不破格的最低干预</x:v>
      </x:c>
      <x:c r="G17" s="82" t="str">
        <x:v>综合层</x:v>
      </x:c>
      <x:c r="H17" s="68" t="str">
        <x:v>特殊格局与首要调候冲突</x:v>
      </x:c>
      <x:c r="I17" s="68" t="str">
        <x:v>M17-GEJU-0031-V1.0</x:v>
      </x:c>
      <x:c r="J17" s="68" t="str">
        <x:v>真从格维护主势属于格局硬约束</x:v>
      </x:c>
      <x:c r="K17" s="68" t="str">
        <x:v>M17-TIAOHOU-0046-V1.0</x:v>
      </x:c>
      <x:c r="L17" s="68" t="str">
        <x:v>寒湿根本病时火可升为主药候选</x:v>
      </x:c>
      <x:c r="M17" s="68" t="str">
        <x:v>特殊格局严格成立，但寒凝、极热、极湿或极燥已造成基础生化停顿</x:v>
      </x:c>
      <x:c r="N17" s="68" t="str">
        <x:v>不得用足以根本破格的调候强度；同时不得忽略已达首要矛盾的生化停顿</x:v>
      </x:c>
      <x:c r="O17" s="68" t="str">
        <x:v>先寻找顺势兼容的调候路径；无兼容方案时只采用最低必要干预</x:v>
      </x:c>
      <x:c r="P17" s="68" t="str">
        <x:v>不破特殊格局且能恢复最低生化条件的方案优先</x:v>
      </x:c>
      <x:c r="Q17" s="68" t="str">
        <x:v>与格局正面冲突的调候五行降为条件性辅助或不采用</x:v>
      </x:c>
      <x:c r="R17" s="84" t="str">
        <x:v>格局约束下调候</x:v>
      </x:c>
      <x:c r="S17" s="68" t="str">
        <x:v>冲突双方均有有效证据且作用于同一原局</x:v>
      </x:c>
      <x:c r="T17" s="68" t="str">
        <x:v>其中一方只是名义候选、已经失效或不作用于主要矛盾</x:v>
      </x:c>
      <x:c r="U17" s="68" t="str">
        <x:v>若被降级一方实际承担不可替代功能，应重新进入本规则复审</x:v>
      </x:c>
      <x:c r="V17" s="68" t="str">
        <x:v>证据接近或存在流派争议时保留并列候选并降低置信度</x:v>
      </x:c>
      <x:c r="W17" s="90" t="str">
        <x:v>严格限定强度，并记录调候不足与破格风险两端边界</x:v>
      </x:c>
      <x:c r="X17" s="84" t="str">
        <x:v>特殊格局调候最低干预</x:v>
      </x:c>
      <x:c r="Y17" s="84" t="str">
        <x:v>冲突主题：特殊格局与首要调候冲突。裁决结果为“格局约束下调候”；优先采用：不破特殊格局且能恢复最低生化条件的方案优先；降级处理：与格局正面冲突的调候五行降为条件性辅助或不采用。同时控制副作用：严格限定强度，并记录调候不足与破格风险两端边界。</x:v>
      </x:c>
      <x:c r="Z17" s="82" t="str">
        <x:v>较高</x:v>
      </x:c>
      <x:c r="AA17" s="82" t="str">
        <x:v>现代综合</x:v>
      </x:c>
      <x:c r="AB1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7" s="68" t="str">
        <x:v>当“特殊格局严格成立，但寒凝、极热、极湿或极燥已造成基础生化停顿”成立，且硬约束与主次证据清晰时，可按本规则裁决。</x:v>
      </x:c>
      <x:c r="AD17" s="90" t="str">
        <x:v>若冲突双方并未同时有效，或“其中一方只是名义候选、已经失效或不作用于主要矛盾”成立，不得套用本规则制造假冲突。</x:v>
      </x:c>
      <x:c r="AE17" s="82" t="str">
        <x:v>采用</x:v>
      </x:c>
      <x:c r="AF17" s="82" t="str">
        <x:v>初审</x:v>
      </x:c>
      <x:c r="AG17" s="87" t="n">
        <x:v>46260</x:v>
      </x:c>
    </x:row>
    <x:row r="18">
      <x:c r="A18" s="72" t="str">
        <x:f>IF(OR(C18="",D18=""),"",B18&amp;"-"&amp;UPPER(C18)&amp;"-"&amp;TEXT(D18,"0000")&amp;"-"&amp;E18)</x:f>
        <x:v>M18-SPECIAL-0012-V1.0</x:v>
      </x:c>
      <x:c r="B18" s="74" t="str">
        <x:v>M18</x:v>
      </x:c>
      <x:c r="C18" s="74" t="str">
        <x:v>SPECIAL</x:v>
      </x:c>
      <x:c r="D18" s="215" t="n">
        <x:v>12</x:v>
      </x:c>
      <x:c r="E18" s="74" t="str">
        <x:v>V1.0</x:v>
      </x:c>
      <x:c r="F18" s="68" t="str">
        <x:v>严格特殊格局与通关冲突时优先选择顺势桥梁</x:v>
      </x:c>
      <x:c r="G18" s="82" t="str">
        <x:v>综合层</x:v>
      </x:c>
      <x:c r="H18" s="68" t="str">
        <x:v>特殊格局与通关用神冲突</x:v>
      </x:c>
      <x:c r="I18" s="68" t="str">
        <x:v>M17-GEJU-0033-V1.0</x:v>
      </x:c>
      <x:c r="J18" s="68" t="str">
        <x:v>专旺格以顺一气并防逆神为用神方向</x:v>
      </x:c>
      <x:c r="K18" s="68" t="str">
        <x:v>M17-TONGGUAN-0035-V1.0</x:v>
      </x:c>
      <x:c r="L18" s="68" t="str">
        <x:v>克战可用桥梁五行通关</x:v>
      </x:c>
      <x:c r="M18" s="68" t="str">
        <x:v>通关候选能缓解局部相战，但会引入有效逆神并破坏特殊主势</x:v>
      </x:c>
      <x:c r="N18" s="68" t="str">
        <x:v>特殊格局严格成立时，桥梁不得成为根本逆势集团</x:v>
      </x:c>
      <x:c r="O18" s="68" t="str">
        <x:v>优先采用顺主势、可兼作桥梁的五行；无兼容桥梁则保留局部不通而不破格</x:v>
      </x:c>
      <x:c r="P18" s="68" t="str">
        <x:v>顺势通关或不破格替代路径优先</x:v>
      </x:c>
      <x:c r="Q18" s="68" t="str">
        <x:v>逆势通关五行降为条件性忌神或不采用</x:v>
      </x:c>
      <x:c r="R18" s="84" t="str">
        <x:v>顺势通关</x:v>
      </x:c>
      <x:c r="S18" s="68" t="str">
        <x:v>冲突双方均有有效证据且作用于同一原局</x:v>
      </x:c>
      <x:c r="T18" s="68" t="str">
        <x:v>其中一方只是名义候选、已经失效或不作用于主要矛盾</x:v>
      </x:c>
      <x:c r="U18" s="68" t="str">
        <x:v>若被降级一方实际承担不可替代功能，应重新进入本规则复审</x:v>
      </x:c>
      <x:c r="V18" s="68" t="str">
        <x:v>证据接近或存在流派争议时保留并列候选并降低置信度</x:v>
      </x:c>
      <x:c r="W18" s="90" t="str">
        <x:v>记录未完全解决的局部卡点，不伪装成全局通畅</x:v>
      </x:c>
      <x:c r="X18" s="84" t="str">
        <x:v>特殊格局顺势通关</x:v>
      </x:c>
      <x:c r="Y18" s="84" t="str">
        <x:v>冲突主题：特殊格局与通关用神冲突。裁决结果为“顺势通关”；优先采用：顺势通关或不破格替代路径优先；降级处理：逆势通关五行降为条件性忌神或不采用。同时控制副作用：记录未完全解决的局部卡点，不伪装成全局通畅。</x:v>
      </x:c>
      <x:c r="Z18" s="82" t="str">
        <x:v>较高</x:v>
      </x:c>
      <x:c r="AA18" s="82" t="str">
        <x:v>现代综合</x:v>
      </x:c>
      <x:c r="AB1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8" s="68" t="str">
        <x:v>当“通关候选能缓解局部相战，但会引入有效逆神并破坏特殊主势”成立，且硬约束与主次证据清晰时，可按本规则裁决。</x:v>
      </x:c>
      <x:c r="AD18" s="90" t="str">
        <x:v>若冲突双方并未同时有效，或“其中一方只是名义候选、已经失效或不作用于主要矛盾”成立，不得套用本规则制造假冲突。</x:v>
      </x:c>
      <x:c r="AE18" s="82" t="str">
        <x:v>采用</x:v>
      </x:c>
      <x:c r="AF18" s="82" t="str">
        <x:v>初审</x:v>
      </x:c>
      <x:c r="AG18" s="87" t="n">
        <x:v>46260</x:v>
      </x:c>
    </x:row>
    <x:row r="19">
      <x:c r="A19" s="72" t="str">
        <x:f>IF(OR(C19="",D19=""),"",B19&amp;"-"&amp;UPPER(C19)&amp;"-"&amp;TEXT(D19,"0000")&amp;"-"&amp;E19)</x:f>
        <x:v>M18-SPECIAL-0013-V1.0</x:v>
      </x:c>
      <x:c r="B19" s="74" t="str">
        <x:v>M18</x:v>
      </x:c>
      <x:c r="C19" s="74" t="str">
        <x:v>SPECIAL</x:v>
      </x:c>
      <x:c r="D19" s="215" t="n">
        <x:v>13</x:v>
      </x:c>
      <x:c r="E19" s="74" t="str">
        <x:v>V1.0</x:v>
      </x:c>
      <x:c r="F19" s="68" t="str">
        <x:v>严格特殊格局与普通病药冲突时先重审病的定义</x:v>
      </x:c>
      <x:c r="G19" s="82" t="str">
        <x:v>综合层</x:v>
      </x:c>
      <x:c r="H19" s="68" t="str">
        <x:v>特殊格局与普通病药冲突</x:v>
      </x:c>
      <x:c r="I19" s="68" t="str">
        <x:v>M17-GEJU-0031-V1.0</x:v>
      </x:c>
      <x:c r="J19" s="68" t="str">
        <x:v>真从格不按普通身弱扶抑</x:v>
      </x:c>
      <x:c r="K19" s="68" t="str">
        <x:v>M17-BINGYAO-0055-V1.0</x:v>
      </x:c>
      <x:c r="L19" s="68" t="str">
        <x:v>M16根本主病直接主药优先进入主用候选</x:v>
      </x:c>
      <x:c r="M19" s="68" t="str">
        <x:v>M16按普通旺衰立病，而M15已确认该旺弱正是特殊格局成立条件</x:v>
      </x:c>
      <x:c r="N19" s="68" t="str">
        <x:v>顺势成格条件不能被误判为普通病位</x:v>
      </x:c>
      <x:c r="O19" s="68" t="str">
        <x:v>先重审M16病位是否在特殊格局语境下仍为功能障碍</x:v>
      </x:c>
      <x:c r="P19" s="68" t="str">
        <x:v>特殊格局内部真正的破格、流通或调候病优先</x:v>
      </x:c>
      <x:c r="Q19" s="68" t="str">
        <x:v>普通身弱、身旺病药若与成格条件同义则取消或降为中性</x:v>
      </x:c>
      <x:c r="R19" s="84" t="str">
        <x:v>重定病位</x:v>
      </x:c>
      <x:c r="S19" s="68" t="str">
        <x:v>冲突双方均有有效证据且作用于同一原局</x:v>
      </x:c>
      <x:c r="T19" s="68" t="str">
        <x:v>其中一方只是名义候选、已经失效或不作用于主要矛盾</x:v>
      </x:c>
      <x:c r="U19" s="68" t="str">
        <x:v>若被降级一方实际承担不可替代功能，应重新进入本规则复审</x:v>
      </x:c>
      <x:c r="V19" s="68" t="str">
        <x:v>证据接近或存在流派争议时保留并列候选并降低置信度</x:v>
      </x:c>
      <x:c r="W19" s="90" t="str">
        <x:v>只保留特殊格局内部的真实逆神、破格和生化停顿问题</x:v>
      </x:c>
      <x:c r="X19" s="84" t="str">
        <x:v>特殊格局重审病位</x:v>
      </x:c>
      <x:c r="Y19" s="84" t="str">
        <x:v>冲突主题：特殊格局与普通病药冲突。裁决结果为“重定病位”；优先采用：特殊格局内部真正的破格、流通或调候病优先；降级处理：普通身弱、身旺病药若与成格条件同义则取消或降为中性。同时控制副作用：只保留特殊格局内部的真实逆神、破格和生化停顿问题。</x:v>
      </x:c>
      <x:c r="Z19" s="82" t="str">
        <x:v>较高</x:v>
      </x:c>
      <x:c r="AA19" s="82" t="str">
        <x:v>现代综合</x:v>
      </x:c>
      <x:c r="AB1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9" s="68" t="str">
        <x:v>当“M16按普通旺衰立病，而M15已确认该旺弱正是特殊格局成立条件”成立，且硬约束与主次证据清晰时，可按本规则裁决。</x:v>
      </x:c>
      <x:c r="AD19" s="90" t="str">
        <x:v>若冲突双方并未同时有效，或“其中一方只是名义候选、已经失效或不作用于主要矛盾”成立，不得套用本规则制造假冲突。</x:v>
      </x:c>
      <x:c r="AE19" s="82" t="str">
        <x:v>采用</x:v>
      </x:c>
      <x:c r="AF19" s="82" t="str">
        <x:v>初审</x:v>
      </x:c>
      <x:c r="AG19" s="87" t="n">
        <x:v>46260</x:v>
      </x:c>
    </x:row>
    <x:row r="20">
      <x:c r="A20" s="72" t="str">
        <x:f>IF(OR(C20="",D20=""),"",B20&amp;"-"&amp;UPPER(C20)&amp;"-"&amp;TEXT(D20,"0000")&amp;"-"&amp;E20)</x:f>
        <x:v>M18-SPECIAL-0014-V1.0</x:v>
      </x:c>
      <x:c r="B20" s="74" t="str">
        <x:v>M18</x:v>
      </x:c>
      <x:c r="C20" s="74" t="str">
        <x:v>SPECIAL</x:v>
      </x:c>
      <x:c r="D20" s="215" t="n">
        <x:v>14</x:v>
      </x:c>
      <x:c r="E20" s="74" t="str">
        <x:v>V1.0</x:v>
      </x:c>
      <x:c r="F20" s="68" t="str">
        <x:v>真从格与扶身冲突时顺势为硬约束</x:v>
      </x:c>
      <x:c r="G20" s="82" t="str">
        <x:v>综合层</x:v>
      </x:c>
      <x:c r="H20" s="68" t="str">
        <x:v>从格与普通扶抑冲突</x:v>
      </x:c>
      <x:c r="I20" s="68" t="str">
        <x:v>M15-CONG-0061-V1.0</x:v>
      </x:c>
      <x:c r="J20" s="68" t="str">
        <x:v>真从严格成立要求日主极弱无依且主势绝对集中</x:v>
      </x:c>
      <x:c r="K20" s="68" t="str">
        <x:v>M17-FUYI-0013-V1.0</x:v>
      </x:c>
      <x:c r="L20" s="68" t="str">
        <x:v>身弱财旺时比肩可扶身承财</x:v>
      </x:c>
      <x:c r="M20" s="68" t="str">
        <x:v>真从财、从官杀或从势成立，但印比扶身候选会使日主自立</x:v>
      </x:c>
      <x:c r="N20" s="68" t="str">
        <x:v>无根无印比与主势绝对集中是从格硬条件</x:v>
      </x:c>
      <x:c r="O20" s="68" t="str">
        <x:v>扶身会直接破从时不得采用</x:v>
      </x:c>
      <x:c r="P20" s="68" t="str">
        <x:v>顺从主势的格局用神优先</x:v>
      </x:c>
      <x:c r="Q20" s="68" t="str">
        <x:v>印比扶身定为忌神；生助印比者可定仇神</x:v>
      </x:c>
      <x:c r="R20" s="84" t="str">
        <x:v>从格顺势</x:v>
      </x:c>
      <x:c r="S20" s="68" t="str">
        <x:v>冲突双方均有有效证据且作用于同一原局</x:v>
      </x:c>
      <x:c r="T20" s="68" t="str">
        <x:v>其中一方只是名义候选、已经失效或不作用于主要矛盾</x:v>
      </x:c>
      <x:c r="U20" s="68" t="str">
        <x:v>若被降级一方实际承担不可替代功能，应重新进入本规则复审</x:v>
      </x:c>
      <x:c r="V20" s="68" t="str">
        <x:v>证据接近或存在流派争议时保留并列候选并降低置信度</x:v>
      </x:c>
      <x:c r="W20" s="90" t="str">
        <x:v>如发现真实强根或印比，则先否决真从再重做普通扶抑</x:v>
      </x:c>
      <x:c r="X20" s="84" t="str">
        <x:v>从格顺势硬约束</x:v>
      </x:c>
      <x:c r="Y20" s="84" t="str">
        <x:v>冲突主题：从格与普通扶抑冲突。裁决结果为“从格顺势”；优先采用：顺从主势的格局用神优先；降级处理：印比扶身定为忌神；生助印比者可定仇神。同时控制副作用：如发现真实强根或印比，则先否决真从再重做普通扶抑。</x:v>
      </x:c>
      <x:c r="Z20" s="82" t="str">
        <x:v>较高</x:v>
      </x:c>
      <x:c r="AA20" s="82" t="str">
        <x:v>现代综合</x:v>
      </x:c>
      <x:c r="AB2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0" s="68" t="str">
        <x:v>当“真从财、从官杀或从势成立，但印比扶身候选会使日主自立”成立，且硬约束与主次证据清晰时，可按本规则裁决。</x:v>
      </x:c>
      <x:c r="AD20" s="90" t="str">
        <x:v>若冲突双方并未同时有效，或“其中一方只是名义候选、已经失效或不作用于主要矛盾”成立，不得套用本规则制造假冲突。</x:v>
      </x:c>
      <x:c r="AE20" s="82" t="str">
        <x:v>采用</x:v>
      </x:c>
      <x:c r="AF20" s="82" t="str">
        <x:v>初审</x:v>
      </x:c>
      <x:c r="AG20" s="87" t="n">
        <x:v>46260</x:v>
      </x:c>
    </x:row>
    <x:row r="21">
      <x:c r="A21" s="72" t="str">
        <x:f>IF(OR(C21="",D21=""),"",B21&amp;"-"&amp;UPPER(C21)&amp;"-"&amp;TEXT(D21,"0000")&amp;"-"&amp;E21)</x:f>
        <x:v>M18-SPECIAL-0015-V1.0</x:v>
      </x:c>
      <x:c r="B21" s="74" t="str">
        <x:v>M18</x:v>
      </x:c>
      <x:c r="C21" s="74" t="str">
        <x:v>SPECIAL</x:v>
      </x:c>
      <x:c r="D21" s="215" t="n">
        <x:v>15</x:v>
      </x:c>
      <x:c r="E21" s="74" t="str">
        <x:v>V1.0</x:v>
      </x:c>
      <x:c r="F21" s="68" t="str">
        <x:v>真化格与原气扶助冲突时护化神优先</x:v>
      </x:c>
      <x:c r="G21" s="82" t="str">
        <x:v>综合层</x:v>
      </x:c>
      <x:c r="H21" s="68" t="str">
        <x:v>化格与原气扶助冲突</x:v>
      </x:c>
      <x:c r="I21" s="68" t="str">
        <x:v>M15-HUAQI-0071-V1.0</x:v>
      </x:c>
      <x:c r="J21" s="68" t="str">
        <x:v>真化要求化神得势且原气不能自立</x:v>
      </x:c>
      <x:c r="K21" s="68" t="str">
        <x:v>M17-FUYI-0011-V1.0</x:v>
      </x:c>
      <x:c r="L21" s="68" t="str">
        <x:v>普通身弱可用印星扶助原日主</x:v>
      </x:c>
      <x:c r="M21" s="68" t="str">
        <x:v>真化成立后，普通扶助原五行会恢复原气并破坏化神主导</x:v>
      </x:c>
      <x:c r="N21" s="68" t="str">
        <x:v>M15真化严格成立且M08力量已向化神重分配</x:v>
      </x:c>
      <x:c r="O21" s="68" t="str">
        <x:v>按化神重映射结构，不再沿用原日主普通扶抑</x:v>
      </x:c>
      <x:c r="P21" s="68" t="str">
        <x:v>生扶化神、清除破化因素者优先</x:v>
      </x:c>
      <x:c r="Q21" s="68" t="str">
        <x:v>恢复原气强根的五行定为忌神或仇神</x:v>
      </x:c>
      <x:c r="R21" s="84" t="str">
        <x:v>护化神优先</x:v>
      </x:c>
      <x:c r="S21" s="68" t="str">
        <x:v>冲突双方均有有效证据且作用于同一原局</x:v>
      </x:c>
      <x:c r="T21" s="68" t="str">
        <x:v>其中一方只是名义候选、已经失效或不作用于主要矛盾</x:v>
      </x:c>
      <x:c r="U21" s="68" t="str">
        <x:v>若被降级一方实际承担不可替代功能，应重新进入本规则复审</x:v>
      </x:c>
      <x:c r="V21" s="68" t="str">
        <x:v>证据接近或存在流派争议时保留并列候选并降低置信度</x:v>
      </x:c>
      <x:c r="W21" s="90" t="str">
        <x:v>假化或原气仍有强根时不适用，应重回双重结构</x:v>
      </x:c>
      <x:c r="X21" s="84" t="str">
        <x:v>真化护化神</x:v>
      </x:c>
      <x:c r="Y21" s="84" t="str">
        <x:v>冲突主题：化格与原气扶助冲突。裁决结果为“护化神优先”；优先采用：生扶化神、清除破化因素者优先；降级处理：恢复原气强根的五行定为忌神或仇神。同时控制副作用：假化或原气仍有强根时不适用，应重回双重结构。</x:v>
      </x:c>
      <x:c r="Z21" s="82" t="str">
        <x:v>较高</x:v>
      </x:c>
      <x:c r="AA21" s="82" t="str">
        <x:v>现代综合</x:v>
      </x:c>
      <x:c r="AB2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1" s="68" t="str">
        <x:v>当“真化成立后，普通扶助原五行会恢复原气并破坏化神主导”成立，且硬约束与主次证据清晰时，可按本规则裁决。</x:v>
      </x:c>
      <x:c r="AD21" s="90" t="str">
        <x:v>若冲突双方并未同时有效，或“其中一方只是名义候选、已经失效或不作用于主要矛盾”成立，不得套用本规则制造假冲突。</x:v>
      </x:c>
      <x:c r="AE21" s="82" t="str">
        <x:v>采用</x:v>
      </x:c>
      <x:c r="AF21" s="82" t="str">
        <x:v>初审</x:v>
      </x:c>
      <x:c r="AG21" s="87" t="n">
        <x:v>46260</x:v>
      </x:c>
    </x:row>
    <x:row r="22">
      <x:c r="A22" s="72" t="str">
        <x:f>IF(OR(C22="",D22=""),"",B22&amp;"-"&amp;UPPER(C22)&amp;"-"&amp;TEXT(D22,"0000")&amp;"-"&amp;E22)</x:f>
        <x:v>M18-SPECIAL-0016-V1.0</x:v>
      </x:c>
      <x:c r="B22" s="74" t="str">
        <x:v>M18</x:v>
      </x:c>
      <x:c r="C22" s="74" t="str">
        <x:v>SPECIAL</x:v>
      </x:c>
      <x:c r="D22" s="215" t="n">
        <x:v>16</x:v>
      </x:c>
      <x:c r="E22" s="74" t="str">
        <x:v>V1.0</x:v>
      </x:c>
      <x:c r="F22" s="68" t="str">
        <x:v>专旺格与普通制泄冲突时顺一气优先</x:v>
      </x:c>
      <x:c r="G22" s="82" t="str">
        <x:v>综合层</x:v>
      </x:c>
      <x:c r="H22" s="68" t="str">
        <x:v>专旺与普通制泄冲突</x:v>
      </x:c>
      <x:c r="I22" s="68" t="str">
        <x:v>M15-ZHUAN-0079-V1.0</x:v>
      </x:c>
      <x:c r="J22" s="68" t="str">
        <x:v>专旺严格成立要求一气独旺且逆神无效</x:v>
      </x:c>
      <x:c r="K22" s="68" t="str">
        <x:v>M17-FUYI-0019-V1.0</x:v>
      </x:c>
      <x:c r="L22" s="68" t="str">
        <x:v>身旺可用正官制衡</x:v>
      </x:c>
      <x:c r="M22" s="68" t="str">
        <x:v>专旺、曲直、炎上、稼穑、从革或润下严格成立，而普通逻辑提出强克主气</x:v>
      </x:c>
      <x:c r="N22" s="68" t="str">
        <x:v>一气主导与逆神无效是专旺硬条件</x:v>
      </x:c>
      <x:c r="O22" s="68" t="str">
        <x:v>顺主气生化或合理泄秀优先于直接逆克</x:v>
      </x:c>
      <x:c r="P22" s="68" t="str">
        <x:v>维护一气主势的格局用神优先</x:v>
      </x:c>
      <x:c r="Q22" s="68" t="str">
        <x:v>直接形成有效逆克者定为忌神；生逆神者可定仇神</x:v>
      </x:c>
      <x:c r="R22" s="84" t="str">
        <x:v>专旺顺势</x:v>
      </x:c>
      <x:c r="S22" s="68" t="str">
        <x:v>冲突双方均有有效证据且作用于同一原局</x:v>
      </x:c>
      <x:c r="T22" s="68" t="str">
        <x:v>其中一方只是名义候选、已经失效或不作用于主要矛盾</x:v>
      </x:c>
      <x:c r="U22" s="68" t="str">
        <x:v>若被降级一方实际承担不可替代功能，应重新进入本规则复审</x:v>
      </x:c>
      <x:c r="V22" s="68" t="str">
        <x:v>证据接近或存在流派争议时保留并列候选并降低置信度</x:v>
      </x:c>
      <x:c r="W22" s="90" t="str">
        <x:v>若逆神已真实成势，应先否决专旺而非强行护格</x:v>
      </x:c>
      <x:c r="X22" s="84" t="str">
        <x:v>专旺顺势硬约束</x:v>
      </x:c>
      <x:c r="Y22" s="84" t="str">
        <x:v>冲突主题：专旺与普通制泄冲突。裁决结果为“专旺顺势”；优先采用：维护一气主势的格局用神优先；降级处理：直接形成有效逆克者定为忌神；生逆神者可定仇神。同时控制副作用：若逆神已真实成势，应先否决专旺而非强行护格。</x:v>
      </x:c>
      <x:c r="Z22" s="82" t="str">
        <x:v>较高</x:v>
      </x:c>
      <x:c r="AA22" s="82" t="str">
        <x:v>现代综合</x:v>
      </x:c>
      <x:c r="AB2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2" s="68" t="str">
        <x:v>当“专旺、曲直、炎上、稼穑、从革或润下严格成立，而普通逻辑提出强克主气”成立，且硬约束与主次证据清晰时，可按本规则裁决。</x:v>
      </x:c>
      <x:c r="AD22" s="90" t="str">
        <x:v>若冲突双方并未同时有效，或“其中一方只是名义候选、已经失效或不作用于主要矛盾”成立，不得套用本规则制造假冲突。</x:v>
      </x:c>
      <x:c r="AE22" s="82" t="str">
        <x:v>采用</x:v>
      </x:c>
      <x:c r="AF22" s="82" t="str">
        <x:v>初审</x:v>
      </x:c>
      <x:c r="AG22" s="87" t="n">
        <x:v>46260</x:v>
      </x:c>
    </x:row>
    <x:row r="23">
      <x:c r="A23" s="72" t="str">
        <x:f>IF(OR(C23="",D23=""),"",B23&amp;"-"&amp;UPPER(C23)&amp;"-"&amp;TEXT(D23,"0000")&amp;"-"&amp;E23)</x:f>
        <x:v>M18-PATTERN-0017-V1.0</x:v>
      </x:c>
      <x:c r="B23" s="74" t="str">
        <x:v>M18</x:v>
      </x:c>
      <x:c r="C23" s="74" t="str">
        <x:v>PATTERN</x:v>
      </x:c>
      <x:c r="D23" s="215" t="n">
        <x:v>17</x:v>
      </x:c>
      <x:c r="E23" s="74" t="str">
        <x:v>V1.0</x:v>
      </x:c>
      <x:c r="F23" s="68" t="str">
        <x:v>核心格神保护优先于一般扶抑收益</x:v>
      </x:c>
      <x:c r="G23" s="82" t="str">
        <x:v>综合层</x:v>
      </x:c>
      <x:c r="H23" s="68" t="str">
        <x:v>格局用神与普通扶抑冲突</x:v>
      </x:c>
      <x:c r="I23" s="68" t="str">
        <x:v>M17-GEJU-0023-V1.0</x:v>
      </x:c>
      <x:c r="J23" s="68" t="str">
        <x:v>正官格需保护官星与官印/财官主轴</x:v>
      </x:c>
      <x:c r="K23" s="68" t="str">
        <x:v>M17-FUYI-0016-V1.0</x:v>
      </x:c>
      <x:c r="L23" s="68" t="str">
        <x:v>身旺时伤官可泄身</x:v>
      </x:c>
      <x:c r="M23" s="68" t="str">
        <x:v>某五行能改善普通旺衰，却会直接克制、合去或泄损仍有效的核心格神</x:v>
      </x:c>
      <x:c r="N23" s="68" t="str">
        <x:v>核心格局必须已由M15判基本成立以上，格神仍具不可替代主导功能</x:v>
      </x:c>
      <x:c r="O23" s="68" t="str">
        <x:v>保护仍能运行的核心格局优先于一般扶抑优化</x:v>
      </x:c>
      <x:c r="P23" s="68" t="str">
        <x:v>不伤格的替代扶抑方案优先</x:v>
      </x:c>
      <x:c r="Q23" s="68" t="str">
        <x:v>直接伤格的扶抑候选降为条件性忌神或不采用</x:v>
      </x:c>
      <x:c r="R23" s="84" t="str">
        <x:v>护格优先</x:v>
      </x:c>
      <x:c r="S23" s="68" t="str">
        <x:v>冲突双方均有有效证据且作用于同一原局</x:v>
      </x:c>
      <x:c r="T23" s="68" t="str">
        <x:v>其中一方只是名义候选、已经失效或不作用于主要矛盾</x:v>
      </x:c>
      <x:c r="U23" s="68" t="str">
        <x:v>若被降级一方实际承担不可替代功能，应重新进入本规则复审</x:v>
      </x:c>
      <x:c r="V23" s="68" t="str">
        <x:v>证据接近或存在流派争议时保留并列候选并降低置信度</x:v>
      </x:c>
      <x:c r="W23" s="90" t="str">
        <x:v>同时评估护格是否造成日主承载过度，必要时采用辅助平衡而非伤格</x:v>
      </x:c>
      <x:c r="X23" s="84" t="str">
        <x:v>核心格神优先</x:v>
      </x:c>
      <x:c r="Y23" s="84" t="str">
        <x:v>冲突主题：格局用神与普通扶抑冲突。裁决结果为“护格优先”；优先采用：不伤格的替代扶抑方案优先；降级处理：直接伤格的扶抑候选降为条件性忌神或不采用。同时控制副作用：同时评估护格是否造成日主承载过度，必要时采用辅助平衡而非伤格。</x:v>
      </x:c>
      <x:c r="Z23" s="82" t="str">
        <x:v>较高</x:v>
      </x:c>
      <x:c r="AA23" s="82" t="str">
        <x:v>现代综合</x:v>
      </x:c>
      <x:c r="AB2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3" s="68" t="str">
        <x:v>当“某五行能改善普通旺衰，却会直接克制、合去或泄损仍有效的核心格神”成立，且硬约束与主次证据清晰时，可按本规则裁决。</x:v>
      </x:c>
      <x:c r="AD23" s="90" t="str">
        <x:v>若冲突双方并未同时有效，或“其中一方只是名义候选、已经失效或不作用于主要矛盾”成立，不得套用本规则制造假冲突。</x:v>
      </x:c>
      <x:c r="AE23" s="82" t="str">
        <x:v>采用</x:v>
      </x:c>
      <x:c r="AF23" s="82" t="str">
        <x:v>初审</x:v>
      </x:c>
      <x:c r="AG23" s="87" t="n">
        <x:v>46260</x:v>
      </x:c>
    </x:row>
    <x:row r="24">
      <x:c r="A24" s="72" t="str">
        <x:f>IF(OR(C24="",D24=""),"",B24&amp;"-"&amp;UPPER(C24)&amp;"-"&amp;TEXT(D24,"0000")&amp;"-"&amp;E24)</x:f>
        <x:v>M18-PATTERN-0018-V1.0</x:v>
      </x:c>
      <x:c r="B24" s="74" t="str">
        <x:v>M18</x:v>
      </x:c>
      <x:c r="C24" s="74" t="str">
        <x:v>PATTERN</x:v>
      </x:c>
      <x:c r="D24" s="215" t="n">
        <x:v>18</x:v>
      </x:c>
      <x:c r="E24" s="74" t="str">
        <x:v>V1.0</x:v>
      </x:c>
      <x:c r="F24" s="68" t="str">
        <x:v>格局已经根本破格时不再机械护持失效格神</x:v>
      </x:c>
      <x:c r="G24" s="82" t="str">
        <x:v>综合层</x:v>
      </x:c>
      <x:c r="H24" s="68" t="str">
        <x:v>失效格局与护格用神冲突</x:v>
      </x:c>
      <x:c r="I24" s="68" t="str">
        <x:v>M15-GEN-0006-V1.0</x:v>
      </x:c>
      <x:c r="J24" s="68" t="str">
        <x:v>根本破格应判格局不成立</x:v>
      </x:c>
      <x:c r="K24" s="68" t="str">
        <x:v>M17-GEJU-0023-V1.0</x:v>
      </x:c>
      <x:c r="L24" s="68" t="str">
        <x:v>正官格以护官为格局用神方向</x:v>
      </x:c>
      <x:c r="M24" s="68" t="str">
        <x:v>某格局已经因格神失效或核心路径完全中断而不成立，却仍按原格局指定护格用神</x:v>
      </x:c>
      <x:c r="N24" s="68" t="str">
        <x:v>M15根本破格或候选不成立时，原格局不再享有硬约束资格</x:v>
      </x:c>
      <x:c r="O24" s="68" t="str">
        <x:v>转向可运行的替代格局、根本病或主路径重新取用</x:v>
      </x:c>
      <x:c r="P24" s="68" t="str">
        <x:v>能够支持当前真实主结构的方案优先</x:v>
      </x:c>
      <x:c r="Q24" s="68" t="str">
        <x:v>原护格用神降为待定、中性或按其他维度重评</x:v>
      </x:c>
      <x:c r="R24" s="84" t="str">
        <x:v>重定格局</x:v>
      </x:c>
      <x:c r="S24" s="68" t="str">
        <x:v>冲突双方均有有效证据且作用于同一原局</x:v>
      </x:c>
      <x:c r="T24" s="68" t="str">
        <x:v>其中一方只是名义候选、已经失效或不作用于主要矛盾</x:v>
      </x:c>
      <x:c r="U24" s="68" t="str">
        <x:v>若被降级一方实际承担不可替代功能，应重新进入本规则复审</x:v>
      </x:c>
      <x:c r="V24" s="68" t="str">
        <x:v>证据接近或存在流派争议时保留并列候选并降低置信度</x:v>
      </x:c>
      <x:c r="W24" s="90" t="str">
        <x:v>保留原破格事实，但不得为了维持格名牺牲更稳定的替代结构</x:v>
      </x:c>
      <x:c r="X24" s="84" t="str">
        <x:v>失效格局不护</x:v>
      </x:c>
      <x:c r="Y24" s="84" t="str">
        <x:v>冲突主题：失效格局与护格用神冲突。裁决结果为“重定格局”；优先采用：能够支持当前真实主结构的方案优先；降级处理：原护格用神降为待定、中性或按其他维度重评。同时控制副作用：保留原破格事实，但不得为了维持格名牺牲更稳定的替代结构。</x:v>
      </x:c>
      <x:c r="Z24" s="82" t="str">
        <x:v>较高</x:v>
      </x:c>
      <x:c r="AA24" s="82" t="str">
        <x:v>现代综合</x:v>
      </x:c>
      <x:c r="AB2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4" s="68" t="str">
        <x:v>当“某格局已经因格神失效或核心路径完全中断而不成立，却仍按原格局指定护格用神”成立，且硬约束与主次证据清晰时，可按本规则裁决。</x:v>
      </x:c>
      <x:c r="AD24" s="90" t="str">
        <x:v>若冲突双方并未同时有效，或“其中一方只是名义候选、已经失效或不作用于主要矛盾”成立，不得套用本规则制造假冲突。</x:v>
      </x:c>
      <x:c r="AE24" s="82" t="str">
        <x:v>采用</x:v>
      </x:c>
      <x:c r="AF24" s="82" t="str">
        <x:v>初审</x:v>
      </x:c>
      <x:c r="AG24" s="87" t="n">
        <x:v>46260</x:v>
      </x:c>
    </x:row>
    <x:row r="25">
      <x:c r="A25" s="72" t="str">
        <x:f>IF(OR(C25="",D25=""),"",B25&amp;"-"&amp;UPPER(C25)&amp;"-"&amp;TEXT(D25,"0000")&amp;"-"&amp;E25)</x:f>
        <x:v>M18-PATTERN-0019-V1.0</x:v>
      </x:c>
      <x:c r="B25" s="74" t="str">
        <x:v>M18</x:v>
      </x:c>
      <x:c r="C25" s="74" t="str">
        <x:v>PATTERN</x:v>
      </x:c>
      <x:c r="D25" s="215" t="n">
        <x:v>19</x:v>
      </x:c>
      <x:c r="E25" s="74" t="str">
        <x:v>V1.0</x:v>
      </x:c>
      <x:c r="F25" s="68" t="str">
        <x:v>救格与普通扶抑冲突时按救应直接性和格局必要性裁决</x:v>
      </x:c>
      <x:c r="G25" s="82" t="str">
        <x:v>综合层</x:v>
      </x:c>
      <x:c r="H25" s="68" t="str">
        <x:v>救格用神与普通旺衰冲突</x:v>
      </x:c>
      <x:c r="I25" s="68" t="str">
        <x:v>M17-GEJU-0034-V1.0</x:v>
      </x:c>
      <x:c r="J25" s="68" t="str">
        <x:v>有破有救格局中的救应五行通常列辅助用神</x:v>
      </x:c>
      <x:c r="K25" s="68" t="str">
        <x:v>M17-FUYI-0012-V1.0</x:v>
      </x:c>
      <x:c r="L25" s="68" t="str">
        <x:v>身弱杀旺时偏印可化杀扶身</x:v>
      </x:c>
      <x:c r="M25" s="68" t="str">
        <x:v>同一救应五行能修复格局，但会加重普通旺衰；或扶抑五行能改善身势却破坏救格机制</x:v>
      </x:c>
      <x:c r="N25" s="68" t="str">
        <x:v>救应必须直接修复M15确认的破格因素，且格局仍具主导性</x:v>
      </x:c>
      <x:c r="O25" s="68" t="str">
        <x:v>比较格局恢复收益与旺衰副作用，优先不可替代且净收益更高者</x:v>
      </x:c>
      <x:c r="P25" s="68" t="str">
        <x:v>直接救格且副作用可通过辅助控制者优先</x:v>
      </x:c>
      <x:c r="Q25" s="68" t="str">
        <x:v>副作用过大或仅弱救应者降为条件性辅助用神</x:v>
      </x:c>
      <x:c r="R25" s="84" t="str">
        <x:v>救格条件优先</x:v>
      </x:c>
      <x:c r="S25" s="68" t="str">
        <x:v>冲突双方均有有效证据且作用于同一原局</x:v>
      </x:c>
      <x:c r="T25" s="68" t="str">
        <x:v>其中一方只是名义候选、已经失效或不作用于主要矛盾</x:v>
      </x:c>
      <x:c r="U25" s="68" t="str">
        <x:v>若被降级一方实际承担不可替代功能，应重新进入本规则复审</x:v>
      </x:c>
      <x:c r="V25" s="68" t="str">
        <x:v>证据接近或存在流派争议时保留并列候选并降低置信度</x:v>
      </x:c>
      <x:c r="W25" s="90" t="str">
        <x:v>限定救应强度，防止救应过度反客为主</x:v>
      </x:c>
      <x:c r="X25" s="84" t="str">
        <x:v>救格与扶抑裁决</x:v>
      </x:c>
      <x:c r="Y25" s="84" t="str">
        <x:v>冲突主题：救格用神与普通旺衰冲突。裁决结果为“救格条件优先”；优先采用：直接救格且副作用可通过辅助控制者优先；降级处理：副作用过大或仅弱救应者降为条件性辅助用神。同时控制副作用：限定救应强度，防止救应过度反客为主。</x:v>
      </x:c>
      <x:c r="Z25" s="82" t="str">
        <x:v>较高</x:v>
      </x:c>
      <x:c r="AA25" s="82" t="str">
        <x:v>现代综合</x:v>
      </x:c>
      <x:c r="AB2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5" s="68" t="str">
        <x:v>当“同一救应五行能修复格局，但会加重普通旺衰；或扶抑五行能改善身势却破坏救格机制”成立，且硬约束与主次证据清晰时，可按本规则裁决。</x:v>
      </x:c>
      <x:c r="AD25" s="90" t="str">
        <x:v>若冲突双方并未同时有效，或“其中一方只是名义候选、已经失效或不作用于主要矛盾”成立，不得套用本规则制造假冲突。</x:v>
      </x:c>
      <x:c r="AE25" s="82" t="str">
        <x:v>采用</x:v>
      </x:c>
      <x:c r="AF25" s="82" t="str">
        <x:v>初审</x:v>
      </x:c>
      <x:c r="AG25" s="87" t="n">
        <x:v>46260</x:v>
      </x:c>
    </x:row>
    <x:row r="26">
      <x:c r="A26" s="72" t="str">
        <x:f>IF(OR(C26="",D26=""),"",B26&amp;"-"&amp;UPPER(C26)&amp;"-"&amp;TEXT(D26,"0000")&amp;"-"&amp;E26)</x:f>
        <x:v>M18-PATTERN-0020-V1.0</x:v>
      </x:c>
      <x:c r="B26" s="74" t="str">
        <x:v>M18</x:v>
      </x:c>
      <x:c r="C26" s="74" t="str">
        <x:v>PATTERN</x:v>
      </x:c>
      <x:c r="D26" s="215" t="n">
        <x:v>20</x:v>
      </x:c>
      <x:c r="E26" s="74" t="str">
        <x:v>V1.0</x:v>
      </x:c>
      <x:c r="F26" s="68" t="str">
        <x:v>格局与极端调候冲突时先判断气候是否已成根本病</x:v>
      </x:c>
      <x:c r="G26" s="82" t="str">
        <x:v>综合层</x:v>
      </x:c>
      <x:c r="H26" s="68" t="str">
        <x:v>格局用神与调候用神冲突</x:v>
      </x:c>
      <x:c r="I26" s="68" t="str">
        <x:v>M17-GEJU-0025-V1.0</x:v>
      </x:c>
      <x:c r="J26" s="68" t="str">
        <x:v>印格需保护印星功能</x:v>
      </x:c>
      <x:c r="K26" s="68" t="str">
        <x:v>M17-TIAOHOU-0045-V1.0</x:v>
      </x:c>
      <x:c r="L26" s="68" t="str">
        <x:v>偏寒或极寒时火可暖局</x:v>
      </x:c>
      <x:c r="M26" s="68" t="str">
        <x:v>调候五行会损伤格神，但寒凝、燥枯或火炎可能已阻断格局本身运行</x:v>
      </x:c>
      <x:c r="N26" s="68" t="str">
        <x:v>只有M13/M16确认气候为首要根本病时，调候才有资格挑战一般护格优先</x:v>
      </x:c>
      <x:c r="O26" s="68" t="str">
        <x:v>若气候不修复则格局也无法运行，采用最小伤格的调候方案；否则护格优先</x:v>
      </x:c>
      <x:c r="P26" s="68" t="str">
        <x:v>能同时恢复基础生化并保留格神的兼容方案优先</x:v>
      </x:c>
      <x:c r="Q26" s="68" t="str">
        <x:v>轻微季节偏差的调候候选降为条件性喜神或不采用</x:v>
      </x:c>
      <x:c r="R26" s="84" t="str">
        <x:v>根本气候条件裁决</x:v>
      </x:c>
      <x:c r="S26" s="68" t="str">
        <x:v>冲突双方均有有效证据且作用于同一原局</x:v>
      </x:c>
      <x:c r="T26" s="68" t="str">
        <x:v>其中一方只是名义候选、已经失效或不作用于主要矛盾</x:v>
      </x:c>
      <x:c r="U26" s="68" t="str">
        <x:v>若被降级一方实际承担不可替代功能，应重新进入本规则复审</x:v>
      </x:c>
      <x:c r="V26" s="68" t="str">
        <x:v>证据接近或存在流派争议时保留并列候选并降低置信度</x:v>
      </x:c>
      <x:c r="W26" s="90" t="str">
        <x:v>控制调候强度并设置格神保护辅助用神</x:v>
      </x:c>
      <x:c r="X26" s="84" t="str">
        <x:v>格局调候根因裁决</x:v>
      </x:c>
      <x:c r="Y26" s="84" t="str">
        <x:v>冲突主题：格局用神与调候用神冲突。裁决结果为“根本气候条件裁决”；优先采用：能同时恢复基础生化并保留格神的兼容方案优先；降级处理：轻微季节偏差的调候候选降为条件性喜神或不采用。同时控制副作用：控制调候强度并设置格神保护辅助用神。</x:v>
      </x:c>
      <x:c r="Z26" s="82" t="str">
        <x:v>较高</x:v>
      </x:c>
      <x:c r="AA26" s="82" t="str">
        <x:v>现代综合</x:v>
      </x:c>
      <x:c r="AB2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6" s="68" t="str">
        <x:v>当“调候五行会损伤格神，但寒凝、燥枯或火炎可能已阻断格局本身运行”成立，且硬约束与主次证据清晰时，可按本规则裁决。</x:v>
      </x:c>
      <x:c r="AD26" s="90" t="str">
        <x:v>若冲突双方并未同时有效，或“其中一方只是名义候选、已经失效或不作用于主要矛盾”成立，不得套用本规则制造假冲突。</x:v>
      </x:c>
      <x:c r="AE26" s="82" t="str">
        <x:v>采用</x:v>
      </x:c>
      <x:c r="AF26" s="82" t="str">
        <x:v>初审</x:v>
      </x:c>
      <x:c r="AG26" s="87" t="n">
        <x:v>46260</x:v>
      </x:c>
    </x:row>
    <x:row r="27">
      <x:c r="A27" s="72" t="str">
        <x:f>IF(OR(C27="",D27=""),"",B27&amp;"-"&amp;UPPER(C27)&amp;"-"&amp;TEXT(D27,"0000")&amp;"-"&amp;E27)</x:f>
        <x:v>M18-PATTERN-0021-V1.0</x:v>
      </x:c>
      <x:c r="B27" s="74" t="str">
        <x:v>M18</x:v>
      </x:c>
      <x:c r="C27" s="74" t="str">
        <x:v>PATTERN</x:v>
      </x:c>
      <x:c r="D27" s="215" t="n">
        <x:v>21</x:v>
      </x:c>
      <x:c r="E27" s="74" t="str">
        <x:v>V1.0</x:v>
      </x:c>
      <x:c r="F27" s="68" t="str">
        <x:v>格局与流通冲突时优先维持格局核心运行链</x:v>
      </x:c>
      <x:c r="G27" s="82" t="str">
        <x:v>综合层</x:v>
      </x:c>
      <x:c r="H27" s="68" t="str">
        <x:v>格局用神与通关用神冲突</x:v>
      </x:c>
      <x:c r="I27" s="68" t="str">
        <x:v>M17-GEJU-0027-V1.0</x:v>
      </x:c>
      <x:c r="J27" s="68" t="str">
        <x:v>食神格需保护食神及生财/制杀主链</x:v>
      </x:c>
      <x:c r="K27" s="68" t="str">
        <x:v>M17-TONGGUAN-0043-V1.0</x:v>
      </x:c>
      <x:c r="L27" s="68" t="str">
        <x:v>通关五行可能修复局部克战</x:v>
      </x:c>
      <x:c r="M27" s="68" t="str">
        <x:v>某通关五行能缓解局部相战，却会切断格局核心生化或制化链</x:v>
      </x:c>
      <x:c r="N27" s="68" t="str">
        <x:v>格局核心链必须已由M15确认有效且覆盖主要功能</x:v>
      </x:c>
      <x:c r="O27" s="68" t="str">
        <x:v>主格运行链优先于次级局部通关；若卡点正位于格局核心链，则通关可升级</x:v>
      </x:c>
      <x:c r="P27" s="68" t="str">
        <x:v>不破主格且能修复核心卡点的方案优先</x:v>
      </x:c>
      <x:c r="Q27" s="68" t="str">
        <x:v>只修复次级局部冲突但伤格者降为不采用</x:v>
      </x:c>
      <x:c r="R27" s="84" t="str">
        <x:v>核心格局链优先</x:v>
      </x:c>
      <x:c r="S27" s="68" t="str">
        <x:v>冲突双方均有有效证据且作用于同一原局</x:v>
      </x:c>
      <x:c r="T27" s="68" t="str">
        <x:v>其中一方只是名义候选、已经失效或不作用于主要矛盾</x:v>
      </x:c>
      <x:c r="U27" s="68" t="str">
        <x:v>若被降级一方实际承担不可替代功能，应重新进入本规则复审</x:v>
      </x:c>
      <x:c r="V27" s="68" t="str">
        <x:v>证据接近或存在流派争议时保留并列候选并降低置信度</x:v>
      </x:c>
      <x:c r="W27" s="90" t="str">
        <x:v>记录未解决的次级相战，并避免把局部通畅误写为全局最优</x:v>
      </x:c>
      <x:c r="X27" s="84" t="str">
        <x:v>格局主链优先</x:v>
      </x:c>
      <x:c r="Y27" s="84" t="str">
        <x:v>冲突主题：格局用神与通关用神冲突。裁决结果为“核心格局链优先”；优先采用：不破主格且能修复核心卡点的方案优先；降级处理：只修复次级局部冲突但伤格者降为不采用。同时控制副作用：记录未解决的次级相战，并避免把局部通畅误写为全局最优。</x:v>
      </x:c>
      <x:c r="Z27" s="82" t="str">
        <x:v>较高</x:v>
      </x:c>
      <x:c r="AA27" s="82" t="str">
        <x:v>现代综合</x:v>
      </x:c>
      <x:c r="AB2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7" s="68" t="str">
        <x:v>当“某通关五行能缓解局部相战，却会切断格局核心生化或制化链”成立，且硬约束与主次证据清晰时，可按本规则裁决。</x:v>
      </x:c>
      <x:c r="AD27" s="90" t="str">
        <x:v>若冲突双方并未同时有效，或“其中一方只是名义候选、已经失效或不作用于主要矛盾”成立，不得套用本规则制造假冲突。</x:v>
      </x:c>
      <x:c r="AE27" s="82" t="str">
        <x:v>采用</x:v>
      </x:c>
      <x:c r="AF27" s="82" t="str">
        <x:v>初审</x:v>
      </x:c>
      <x:c r="AG27" s="87" t="n">
        <x:v>46260</x:v>
      </x:c>
    </x:row>
    <x:row r="28">
      <x:c r="A28" s="72" t="str">
        <x:f>IF(OR(C28="",D28=""),"",B28&amp;"-"&amp;UPPER(C28)&amp;"-"&amp;TEXT(D28,"0000")&amp;"-"&amp;E28)</x:f>
        <x:v>M18-PATTERN-0022-V1.0</x:v>
      </x:c>
      <x:c r="B28" s="74" t="str">
        <x:v>M18</x:v>
      </x:c>
      <x:c r="C28" s="74" t="str">
        <x:v>PATTERN</x:v>
      </x:c>
      <x:c r="D28" s="215" t="n">
        <x:v>22</x:v>
      </x:c>
      <x:c r="E28" s="74" t="str">
        <x:v>V1.0</x:v>
      </x:c>
      <x:c r="F28" s="68" t="str">
        <x:v>病药主药伤格时先判断格局病是否就是根本病</x:v>
      </x:c>
      <x:c r="G28" s="82" t="str">
        <x:v>综合层</x:v>
      </x:c>
      <x:c r="H28" s="68" t="str">
        <x:v>病药用神与格局硬约束冲突</x:v>
      </x:c>
      <x:c r="I28" s="68" t="str">
        <x:v>M17-BINGYAO-0062-V1.0</x:v>
      </x:c>
      <x:c r="J28" s="68" t="str">
        <x:v>主药伤格且无替代保护时可转条件性忌神</x:v>
      </x:c>
      <x:c r="K28" s="68" t="str">
        <x:v>M17-GEJU-0026-V1.0</x:v>
      </x:c>
      <x:c r="L28" s="68" t="str">
        <x:v>财格以保护财星与任财能力为用神方向</x:v>
      </x:c>
      <x:c r="M28" s="68" t="str">
        <x:v>M16主药能治旺衰或流通病，却直接破坏核心格局</x:v>
      </x:c>
      <x:c r="N28" s="68" t="str">
        <x:v>若格局仍有效且不是根本病，伤格属于高等级副作用；若格局自身已根本破格，则应重定</x:v>
      </x:c>
      <x:c r="O28" s="68" t="str">
        <x:v>先判断格局是否仍值得保护，再比较主病严重度与替代药路</x:v>
      </x:c>
      <x:c r="P28" s="68" t="str">
        <x:v>不伤有效格局的替代主药优先</x:v>
      </x:c>
      <x:c r="Q28" s="68" t="str">
        <x:v>无替代且必须用药时仅作条件性，严格限定强度并配置护格辅助</x:v>
      </x:c>
      <x:c r="R28" s="84" t="str">
        <x:v>药格净收益裁决</x:v>
      </x:c>
      <x:c r="S28" s="68" t="str">
        <x:v>冲突双方均有有效证据且作用于同一原局</x:v>
      </x:c>
      <x:c r="T28" s="68" t="str">
        <x:v>其中一方只是名义候选、已经失效或不作用于主要矛盾</x:v>
      </x:c>
      <x:c r="U28" s="68" t="str">
        <x:v>若被降级一方实际承担不可替代功能，应重新进入本规则复审</x:v>
      </x:c>
      <x:c r="V28" s="68" t="str">
        <x:v>证据接近或存在流派争议时保留并列候选并降低置信度</x:v>
      </x:c>
      <x:c r="W28" s="90" t="str">
        <x:v>防止用药把一般病治成根本破格</x:v>
      </x:c>
      <x:c r="X28" s="84" t="str">
        <x:v>病药伤格裁决</x:v>
      </x:c>
      <x:c r="Y28" s="84" t="str">
        <x:v>冲突主题：病药用神与格局硬约束冲突。裁决结果为“药格净收益裁决”；优先采用：不伤有效格局的替代主药优先；降级处理：无替代且必须用药时仅作条件性，严格限定强度并配置护格辅助。同时控制副作用：防止用药把一般病治成根本破格。</x:v>
      </x:c>
      <x:c r="Z28" s="82" t="str">
        <x:v>较高</x:v>
      </x:c>
      <x:c r="AA28" s="82" t="str">
        <x:v>现代综合</x:v>
      </x:c>
      <x:c r="AB2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8" s="68" t="str">
        <x:v>当“M16主药能治旺衰或流通病，却直接破坏核心格局”成立，且硬约束与主次证据清晰时，可按本规则裁决。</x:v>
      </x:c>
      <x:c r="AD28" s="90" t="str">
        <x:v>若冲突双方并未同时有效，或“其中一方只是名义候选、已经失效或不作用于主要矛盾”成立，不得套用本规则制造假冲突。</x:v>
      </x:c>
      <x:c r="AE28" s="82" t="str">
        <x:v>采用</x:v>
      </x:c>
      <x:c r="AF28" s="82" t="str">
        <x:v>初审</x:v>
      </x:c>
      <x:c r="AG28" s="87" t="n">
        <x:v>46260</x:v>
      </x:c>
    </x:row>
    <x:row r="29">
      <x:c r="A29" s="72" t="str">
        <x:f>IF(OR(C29="",D29=""),"",B29&amp;"-"&amp;UPPER(C29)&amp;"-"&amp;TEXT(D29,"0000")&amp;"-"&amp;E29)</x:f>
        <x:v>M18-PATTERN-0023-V1.0</x:v>
      </x:c>
      <x:c r="B29" s="74" t="str">
        <x:v>M18</x:v>
      </x:c>
      <x:c r="C29" s="74" t="str">
        <x:v>PATTERN</x:v>
      </x:c>
      <x:c r="D29" s="215" t="n">
        <x:v>23</x:v>
      </x:c>
      <x:c r="E29" s="74" t="str">
        <x:v>V1.0</x:v>
      </x:c>
      <x:c r="F29" s="68" t="str">
        <x:v>格局关键配合神无力时优先补其功能而非追逐次级收益</x:v>
      </x:c>
      <x:c r="G29" s="82" t="str">
        <x:v>综合层</x:v>
      </x:c>
      <x:c r="H29" s="68" t="str">
        <x:v>格局配合神与次级喜神冲突</x:v>
      </x:c>
      <x:c r="I29" s="68" t="str">
        <x:v>M16-PATTERN-0058-V1.0</x:v>
      </x:c>
      <x:c r="J29" s="68" t="str">
        <x:v>格局关键配合神无力会导致运行不足</x:v>
      </x:c>
      <x:c r="K29" s="68" t="str">
        <x:v>M17-RANK-0087-V1.0</x:v>
      </x:c>
      <x:c r="L29" s="68" t="str">
        <x:v>喜神只提供稳定净收益但不承担根本职责</x:v>
      </x:c>
      <x:c r="M29" s="68" t="str">
        <x:v>一个五行能补足格局不可替代配合神，另一个只改善一般旺衰或次级流通</x:v>
      </x:c>
      <x:c r="N29" s="68" t="str">
        <x:v>配合神必须被M15/M16确认为格局运行的关键瓶颈</x:v>
      </x:c>
      <x:c r="O29" s="68" t="str">
        <x:v>不可替代格局功能优先于一般改善</x:v>
      </x:c>
      <x:c r="P29" s="68" t="str">
        <x:v>直接补足关键配合神者列主用或辅助用神</x:v>
      </x:c>
      <x:c r="Q29" s="68" t="str">
        <x:v>只改善次级问题者降为喜神或第三顺位</x:v>
      </x:c>
      <x:c r="R29" s="84" t="str">
        <x:v>关键配合神优先</x:v>
      </x:c>
      <x:c r="S29" s="68" t="str">
        <x:v>冲突双方均有有效证据且作用于同一原局</x:v>
      </x:c>
      <x:c r="T29" s="68" t="str">
        <x:v>其中一方只是名义候选、已经失效或不作用于主要矛盾</x:v>
      </x:c>
      <x:c r="U29" s="68" t="str">
        <x:v>若被降级一方实际承担不可替代功能，应重新进入本规则复审</x:v>
      </x:c>
      <x:c r="V29" s="68" t="str">
        <x:v>证据接近或存在流派争议时保留并列候选并降低置信度</x:v>
      </x:c>
      <x:c r="W29" s="90" t="str">
        <x:v>补强配合神须防比例过度和格局改写</x:v>
      </x:c>
      <x:c r="X29" s="84" t="str">
        <x:v>关键配合神优先</x:v>
      </x:c>
      <x:c r="Y29" s="84" t="str">
        <x:v>冲突主题：格局配合神与次级喜神冲突。裁决结果为“关键配合神优先”；优先采用：直接补足关键配合神者列主用或辅助用神；降级处理：只改善次级问题者降为喜神或第三顺位。同时控制副作用：补强配合神须防比例过度和格局改写。</x:v>
      </x:c>
      <x:c r="Z29" s="82" t="str">
        <x:v>较高</x:v>
      </x:c>
      <x:c r="AA29" s="82" t="str">
        <x:v>现代综合</x:v>
      </x:c>
      <x:c r="AB2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9" s="68" t="str">
        <x:v>当“一个五行能补足格局不可替代配合神，另一个只改善一般旺衰或次级流通”成立，且硬约束与主次证据清晰时，可按本规则裁决。</x:v>
      </x:c>
      <x:c r="AD29" s="90" t="str">
        <x:v>若冲突双方并未同时有效，或“其中一方只是名义候选、已经失效或不作用于主要矛盾”成立，不得套用本规则制造假冲突。</x:v>
      </x:c>
      <x:c r="AE29" s="82" t="str">
        <x:v>采用</x:v>
      </x:c>
      <x:c r="AF29" s="82" t="str">
        <x:v>初审</x:v>
      </x:c>
      <x:c r="AG29" s="87" t="n">
        <x:v>46260</x:v>
      </x:c>
    </x:row>
    <x:row r="30">
      <x:c r="A30" s="72" t="str">
        <x:f>IF(OR(C30="",D30=""),"",B30&amp;"-"&amp;UPPER(C30)&amp;"-"&amp;TEXT(D30,"0000")&amp;"-"&amp;E30)</x:f>
        <x:v>M18-PATTERN-0024-V1.0</x:v>
      </x:c>
      <x:c r="B30" s="74" t="str">
        <x:v>M18</x:v>
      </x:c>
      <x:c r="C30" s="74" t="str">
        <x:v>PATTERN</x:v>
      </x:c>
      <x:c r="D30" s="215" t="n">
        <x:v>24</x:v>
      </x:c>
      <x:c r="E30" s="74" t="str">
        <x:v>V1.0</x:v>
      </x:c>
      <x:c r="F30" s="68" t="str">
        <x:v>多个格局候选冲突时以最终成格状态和全局主导性裁决</x:v>
      </x:c>
      <x:c r="G30" s="82" t="str">
        <x:v>综合层</x:v>
      </x:c>
      <x:c r="H30" s="68" t="str">
        <x:v>多格局候选冲突</x:v>
      </x:c>
      <x:c r="I30" s="68" t="str">
        <x:v>M14-RANK-0074-V1.0</x:v>
      </x:c>
      <x:c r="J30" s="68" t="str">
        <x:v>全局主导性用于区分第一候选和备选</x:v>
      </x:c>
      <x:c r="K30" s="68" t="str">
        <x:v>M15-GEN-0009-V1.0</x:v>
      </x:c>
      <x:c r="L30" s="68" t="str">
        <x:v>格局成立与层次必须分开</x:v>
      </x:c>
      <x:c r="M30" s="68" t="str">
        <x:v>两个以上格局候选均有证据，但只有一个覆盖月令、主路径、格神和日主配合</x:v>
      </x:c>
      <x:c r="N30" s="68" t="str">
        <x:v>M15最终状态高于M14候选状态；根本破格者退出主格竞争</x:v>
      </x:c>
      <x:c r="O30" s="68" t="str">
        <x:v>按成格状态、主导性、不可替代性、清纯度和副作用排序</x:v>
      </x:c>
      <x:c r="P30" s="68" t="str">
        <x:v>清纯成立或基本成立且覆盖全局主轴者优先</x:v>
      </x:c>
      <x:c r="Q30" s="68" t="str">
        <x:v>次格保留为局部组合或辅助结构，不分享同等用神优先级</x:v>
      </x:c>
      <x:c r="R30" s="84" t="str">
        <x:v>主格唯一化或有序并列</x:v>
      </x:c>
      <x:c r="S30" s="68" t="str">
        <x:v>冲突双方均有有效证据且作用于同一原局</x:v>
      </x:c>
      <x:c r="T30" s="68" t="str">
        <x:v>其中一方只是名义候选、已经失效或不作用于主要矛盾</x:v>
      </x:c>
      <x:c r="U30" s="68" t="str">
        <x:v>若被降级一方实际承担不可替代功能，应重新进入本规则复审</x:v>
      </x:c>
      <x:c r="V30" s="68" t="str">
        <x:v>证据接近或存在流派争议时保留并列候选并降低置信度</x:v>
      </x:c>
      <x:c r="W30" s="90" t="str">
        <x:v>证据接近时保留第一、第二候选并降低置信度</x:v>
      </x:c>
      <x:c r="X30" s="84" t="str">
        <x:v>多格局排序</x:v>
      </x:c>
      <x:c r="Y30" s="84" t="str">
        <x:v>冲突主题：多格局候选冲突。裁决结果为“主格唯一化或有序并列”；优先采用：清纯成立或基本成立且覆盖全局主轴者优先；降级处理：次格保留为局部组合或辅助结构，不分享同等用神优先级。同时控制副作用：证据接近时保留第一、第二候选并降低置信度。</x:v>
      </x:c>
      <x:c r="Z30" s="82" t="str">
        <x:v>较高</x:v>
      </x:c>
      <x:c r="AA30" s="82" t="str">
        <x:v>现代综合</x:v>
      </x:c>
      <x:c r="AB3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0" s="68" t="str">
        <x:v>当“两个以上格局候选均有证据，但只有一个覆盖月令、主路径、格神和日主配合”成立，且硬约束与主次证据清晰时，可按本规则裁决。</x:v>
      </x:c>
      <x:c r="AD30" s="90" t="str">
        <x:v>若冲突双方并未同时有效，或“其中一方只是名义候选、已经失效或不作用于主要矛盾”成立，不得套用本规则制造假冲突。</x:v>
      </x:c>
      <x:c r="AE30" s="82" t="str">
        <x:v>采用</x:v>
      </x:c>
      <x:c r="AF30" s="82" t="str">
        <x:v>初审</x:v>
      </x:c>
      <x:c r="AG30" s="87" t="n">
        <x:v>46260</x:v>
      </x:c>
    </x:row>
    <x:row r="31">
      <x:c r="A31" s="72" t="str">
        <x:f>IF(OR(C31="",D31=""),"",B31&amp;"-"&amp;UPPER(C31)&amp;"-"&amp;TEXT(D31,"0000")&amp;"-"&amp;E31)</x:f>
        <x:v>M18-CLIMATE-0025-V1.0</x:v>
      </x:c>
      <x:c r="B31" s="74" t="str">
        <x:v>M18</x:v>
      </x:c>
      <x:c r="C31" s="74" t="str">
        <x:v>CLIMATE</x:v>
      </x:c>
      <x:c r="D31" s="215" t="n">
        <x:v>25</x:v>
      </x:c>
      <x:c r="E31" s="74" t="str">
        <x:v>V1.0</x:v>
      </x:c>
      <x:c r="F31" s="68" t="str">
        <x:v>极端气候造成生化停顿时优先于普通扶抑</x:v>
      </x:c>
      <x:c r="G31" s="82" t="str">
        <x:v>综合层</x:v>
      </x:c>
      <x:c r="H31" s="68" t="str">
        <x:v>首要调候与普通扶抑冲突</x:v>
      </x:c>
      <x:c r="I31" s="68" t="str">
        <x:v>M16-CLIMATE-0067-V1.0</x:v>
      </x:c>
      <x:c r="J31" s="68" t="str">
        <x:v>极寒造成全局生化停顿可列首要矛盾</x:v>
      </x:c>
      <x:c r="K31" s="68" t="str">
        <x:v>M17-FUYI-0011-V1.0</x:v>
      </x:c>
      <x:c r="L31" s="68" t="str">
        <x:v>身弱可用印星扶身</x:v>
      </x:c>
      <x:c r="M31" s="68" t="str">
        <x:v>普通扶抑方向与恢复基础温度、湿度的调候方向相反</x:v>
      </x:c>
      <x:c r="N31" s="68" t="str">
        <x:v>气候必须已造成多个M12卡点或格局功能失效，而非仅季节偏性</x:v>
      </x:c>
      <x:c r="O31" s="68" t="str">
        <x:v>先恢复基本生化环境，再处理普通旺衰细调</x:v>
      </x:c>
      <x:c r="P31" s="68" t="str">
        <x:v>能解除极端气候且不根本破格者优先</x:v>
      </x:c>
      <x:c r="Q31" s="68" t="str">
        <x:v>普通扶抑候选暂降为辅助、条件性或延后处理</x:v>
      </x:c>
      <x:c r="R31" s="84" t="str">
        <x:v>首要调候优先</x:v>
      </x:c>
      <x:c r="S31" s="68" t="str">
        <x:v>冲突双方均有有效证据且作用于同一原局</x:v>
      </x:c>
      <x:c r="T31" s="68" t="str">
        <x:v>其中一方只是名义候选、已经失效或不作用于主要矛盾</x:v>
      </x:c>
      <x:c r="U31" s="68" t="str">
        <x:v>若被降级一方实际承担不可替代功能，应重新进入本规则复审</x:v>
      </x:c>
      <x:c r="V31" s="68" t="str">
        <x:v>证据接近或存在流派争议时保留并列候选并降低置信度</x:v>
      </x:c>
      <x:c r="W31" s="90" t="str">
        <x:v>调候达到可运行阈值后停止继续增强，防止反向气候病</x:v>
      </x:c>
      <x:c r="X31" s="84" t="str">
        <x:v>极端调候优先</x:v>
      </x:c>
      <x:c r="Y31" s="84" t="str">
        <x:v>冲突主题：首要调候与普通扶抑冲突。裁决结果为“首要调候优先”；优先采用：能解除极端气候且不根本破格者优先；降级处理：普通扶抑候选暂降为辅助、条件性或延后处理。同时控制副作用：调候达到可运行阈值后停止继续增强，防止反向气候病。</x:v>
      </x:c>
      <x:c r="Z31" s="82" t="str">
        <x:v>较高</x:v>
      </x:c>
      <x:c r="AA31" s="82" t="str">
        <x:v>现代综合</x:v>
      </x:c>
      <x:c r="AB3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1" s="68" t="str">
        <x:v>当“普通扶抑方向与恢复基础温度、湿度的调候方向相反”成立，且硬约束与主次证据清晰时，可按本规则裁决。</x:v>
      </x:c>
      <x:c r="AD31" s="90" t="str">
        <x:v>若冲突双方并未同时有效，或“其中一方只是名义候选、已经失效或不作用于主要矛盾”成立，不得套用本规则制造假冲突。</x:v>
      </x:c>
      <x:c r="AE31" s="82" t="str">
        <x:v>采用</x:v>
      </x:c>
      <x:c r="AF31" s="82" t="str">
        <x:v>初审</x:v>
      </x:c>
      <x:c r="AG31" s="87" t="n">
        <x:v>46260</x:v>
      </x:c>
    </x:row>
    <x:row r="32">
      <x:c r="A32" s="72" t="str">
        <x:f>IF(OR(C32="",D32=""),"",B32&amp;"-"&amp;UPPER(C32)&amp;"-"&amp;TEXT(D32,"0000")&amp;"-"&amp;E32)</x:f>
        <x:v>M18-CLIMATE-0026-V1.0</x:v>
      </x:c>
      <x:c r="B32" s="74" t="str">
        <x:v>M18</x:v>
      </x:c>
      <x:c r="C32" s="74" t="str">
        <x:v>CLIMATE</x:v>
      </x:c>
      <x:c r="D32" s="215" t="n">
        <x:v>26</x:v>
      </x:c>
      <x:c r="E32" s="74" t="str">
        <x:v>V1.0</x:v>
      </x:c>
      <x:c r="F32" s="68" t="str">
        <x:v>轻度调候偏差不能压过清晰格局和根本病</x:v>
      </x:c>
      <x:c r="G32" s="82" t="str">
        <x:v>综合层</x:v>
      </x:c>
      <x:c r="H32" s="68" t="str">
        <x:v>一般调候与格局/病药冲突</x:v>
      </x:c>
      <x:c r="I32" s="68" t="str">
        <x:v>M13-GEN-0002-V1.0</x:v>
      </x:c>
      <x:c r="J32" s="68" t="str">
        <x:v>月令只提供气候基准而非最终结论</x:v>
      </x:c>
      <x:c r="K32" s="68" t="str">
        <x:v>M17-GEJU-0023-V1.0</x:v>
      </x:c>
      <x:c r="L32" s="68" t="str">
        <x:v>有效正官格需护持核心格神</x:v>
      </x:c>
      <x:c r="M32" s="68" t="str">
        <x:v>命局仅偏寒、偏暖、偏湿或偏燥，但没有造成实际功能障碍，却试图以调候否决格局主轴</x:v>
      </x:c>
      <x:c r="N32" s="68" t="str">
        <x:v>调候紧急度低或中、M16未立调候主病时不具备硬约束资格</x:v>
      </x:c>
      <x:c r="O32" s="68" t="str">
        <x:v>清晰格局、根本病和主路径优先于轻微气候优化</x:v>
      </x:c>
      <x:c r="P32" s="68" t="str">
        <x:v>格局用神或根本病主药优先</x:v>
      </x:c>
      <x:c r="Q32" s="68" t="str">
        <x:v>一般调候五行降为第三顺位喜神、条件性喜神或中性</x:v>
      </x:c>
      <x:c r="R32" s="84" t="str">
        <x:v>调候降权</x:v>
      </x:c>
      <x:c r="S32" s="68" t="str">
        <x:v>冲突双方均有有效证据且作用于同一原局</x:v>
      </x:c>
      <x:c r="T32" s="68" t="str">
        <x:v>其中一方只是名义候选、已经失效或不作用于主要矛盾</x:v>
      </x:c>
      <x:c r="U32" s="68" t="str">
        <x:v>若被降级一方实际承担不可替代功能，应重新进入本规则复审</x:v>
      </x:c>
      <x:c r="V32" s="68" t="str">
        <x:v>证据接近或存在流派争议时保留并列候选并降低置信度</x:v>
      </x:c>
      <x:c r="W32" s="90" t="str">
        <x:v>只保留不伤格的小幅调候收益</x:v>
      </x:c>
      <x:c r="X32" s="84" t="str">
        <x:v>轻调候不压主轴</x:v>
      </x:c>
      <x:c r="Y32" s="84" t="str">
        <x:v>冲突主题：一般调候与格局/病药冲突。裁决结果为“调候降权”；优先采用：格局用神或根本病主药优先；降级处理：一般调候五行降为第三顺位喜神、条件性喜神或中性。同时控制副作用：只保留不伤格的小幅调候收益。</x:v>
      </x:c>
      <x:c r="Z32" s="82" t="str">
        <x:v>较高</x:v>
      </x:c>
      <x:c r="AA32" s="82" t="str">
        <x:v>现代综合</x:v>
      </x:c>
      <x:c r="AB3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2" s="68" t="str">
        <x:v>当“命局仅偏寒、偏暖、偏湿或偏燥，但没有造成实际功能障碍，却试图以调候否决格局主轴”成立，且硬约束与主次证据清晰时，可按本规则裁决。</x:v>
      </x:c>
      <x:c r="AD32" s="90" t="str">
        <x:v>若冲突双方并未同时有效，或“其中一方只是名义候选、已经失效或不作用于主要矛盾”成立，不得套用本规则制造假冲突。</x:v>
      </x:c>
      <x:c r="AE32" s="82" t="str">
        <x:v>采用</x:v>
      </x:c>
      <x:c r="AF32" s="82" t="str">
        <x:v>初审</x:v>
      </x:c>
      <x:c r="AG32" s="87" t="n">
        <x:v>46260</x:v>
      </x:c>
    </x:row>
    <x:row r="33">
      <x:c r="A33" s="72" t="str">
        <x:f>IF(OR(C33="",D33=""),"",B33&amp;"-"&amp;UPPER(C33)&amp;"-"&amp;TEXT(D33,"0000")&amp;"-"&amp;E33)</x:f>
        <x:v>M18-CLIMATE-0027-V1.0</x:v>
      </x:c>
      <x:c r="B33" s="74" t="str">
        <x:v>M18</x:v>
      </x:c>
      <x:c r="C33" s="74" t="str">
        <x:v>CLIMATE</x:v>
      </x:c>
      <x:c r="D33" s="215" t="n">
        <x:v>27</x:v>
      </x:c>
      <x:c r="E33" s="74" t="str">
        <x:v>V1.0</x:v>
      </x:c>
      <x:c r="F33" s="68" t="str">
        <x:v>调候与流通同源时可合并为一个主问题</x:v>
      </x:c>
      <x:c r="G33" s="82" t="str">
        <x:v>综合层</x:v>
      </x:c>
      <x:c r="H33" s="68" t="str">
        <x:v>调候与流通同向</x:v>
      </x:c>
      <x:c r="I33" s="68" t="str">
        <x:v>M16-COMPOSITE-0105-V1.0</x:v>
      </x:c>
      <x:c r="J33" s="68" t="str">
        <x:v>调候病与流通病同源时调候可上升为主药</x:v>
      </x:c>
      <x:c r="K33" s="68" t="str">
        <x:v>M17-TONGGUAN-0040-V1.0</x:v>
      </x:c>
      <x:c r="L33" s="68" t="str">
        <x:v>通关五行兼治主病时可升级</x:v>
      </x:c>
      <x:c r="M33" s="68" t="str">
        <x:v>寒凝、燥枯或湿滞既是气候问题，也是多个桥梁失效的共同根因</x:v>
      </x:c>
      <x:c r="N33" s="68" t="str">
        <x:v>M13与M12必须指向同一病位和同一作用链</x:v>
      </x:c>
      <x:c r="O33" s="68" t="str">
        <x:v>合并同源问题，避免把调候和通关作为两个独立权重重复计数</x:v>
      </x:c>
      <x:c r="P33" s="68" t="str">
        <x:v>同时恢复气候与主路径的同一五行优先</x:v>
      </x:c>
      <x:c r="Q33" s="68" t="str">
        <x:v>重复来源只计一个主权重，辅助候选按实际配伍定位</x:v>
      </x:c>
      <x:c r="R33" s="84" t="str">
        <x:v>同源合并升级</x:v>
      </x:c>
      <x:c r="S33" s="68" t="str">
        <x:v>冲突双方均有有效证据且作用于同一原局</x:v>
      </x:c>
      <x:c r="T33" s="68" t="str">
        <x:v>其中一方只是名义候选、已经失效或不作用于主要矛盾</x:v>
      </x:c>
      <x:c r="U33" s="68" t="str">
        <x:v>若被降级一方实际承担不可替代功能，应重新进入本规则复审</x:v>
      </x:c>
      <x:c r="V33" s="68" t="str">
        <x:v>证据接近或存在流派争议时保留并列候选并降低置信度</x:v>
      </x:c>
      <x:c r="W33" s="90" t="str">
        <x:v>仍需控制药量，防止通关完成后调候继续过量</x:v>
      </x:c>
      <x:c r="X33" s="84" t="str">
        <x:v>调候流通同源</x:v>
      </x:c>
      <x:c r="Y33" s="84" t="str">
        <x:v>冲突主题：调候与流通同向。裁决结果为“同源合并升级”；优先采用：同时恢复气候与主路径的同一五行优先；降级处理：重复来源只计一个主权重，辅助候选按实际配伍定位。同时控制副作用：仍需控制药量，防止通关完成后调候继续过量。</x:v>
      </x:c>
      <x:c r="Z33" s="82" t="str">
        <x:v>较高</x:v>
      </x:c>
      <x:c r="AA33" s="82" t="str">
        <x:v>现代综合</x:v>
      </x:c>
      <x:c r="AB3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3" s="68" t="str">
        <x:v>当“寒凝、燥枯或湿滞既是气候问题，也是多个桥梁失效的共同根因”成立，且硬约束与主次证据清晰时，可按本规则裁决。</x:v>
      </x:c>
      <x:c r="AD33" s="90" t="str">
        <x:v>若冲突双方并未同时有效，或“其中一方只是名义候选、已经失效或不作用于主要矛盾”成立，不得套用本规则制造假冲突。</x:v>
      </x:c>
      <x:c r="AE33" s="82" t="str">
        <x:v>采用</x:v>
      </x:c>
      <x:c r="AF33" s="82" t="str">
        <x:v>初审</x:v>
      </x:c>
      <x:c r="AG33" s="87" t="n">
        <x:v>46260</x:v>
      </x:c>
    </x:row>
    <x:row r="34">
      <x:c r="A34" s="72" t="str">
        <x:f>IF(OR(C34="",D34=""),"",B34&amp;"-"&amp;UPPER(C34)&amp;"-"&amp;TEXT(D34,"0000")&amp;"-"&amp;E34)</x:f>
        <x:v>M18-CLIMATE-0028-V1.0</x:v>
      </x:c>
      <x:c r="B34" s="74" t="str">
        <x:v>M18</x:v>
      </x:c>
      <x:c r="C34" s="74" t="str">
        <x:v>CLIMATE</x:v>
      </x:c>
      <x:c r="D34" s="215" t="n">
        <x:v>28</x:v>
      </x:c>
      <x:c r="E34" s="74" t="str">
        <x:v>V1.0</x:v>
      </x:c>
      <x:c r="F34" s="68" t="str">
        <x:v>调候改善一轴却恶化另一轴时按双轴净效应裁决</x:v>
      </x:c>
      <x:c r="G34" s="82" t="str">
        <x:v>综合层</x:v>
      </x:c>
      <x:c r="H34" s="68" t="str">
        <x:v>寒暖轴与燥湿轴冲突</x:v>
      </x:c>
      <x:c r="I34" s="68" t="str">
        <x:v>M17-TIAOHOU-0045-V1.0</x:v>
      </x:c>
      <x:c r="J34" s="68" t="str">
        <x:v>火可暖寒局</x:v>
      </x:c>
      <x:c r="K34" s="68" t="str">
        <x:v>M17-TIAOHOU-0048-V1.0</x:v>
      </x:c>
      <x:c r="L34" s="68" t="str">
        <x:v>水可润燥</x:v>
      </x:c>
      <x:c r="M34" s="68" t="str">
        <x:v>寒燥、暖湿等复合状态中，单一调候五行改善温度却恶化湿度，或反之</x:v>
      </x:c>
      <x:c r="N34" s="68" t="str">
        <x:v>温度轴与湿度轴必须分别判级，不能以一轴改善替代另一轴恶化</x:v>
      </x:c>
      <x:c r="O34" s="68" t="str">
        <x:v>优先处理严重度更高、影响功能更广的一轴，并以另一五行作受控辅助</x:v>
      </x:c>
      <x:c r="P34" s="68" t="str">
        <x:v>根本轴主药优先，次轴药神列辅助</x:v>
      </x:c>
      <x:c r="Q34" s="68" t="str">
        <x:v>无法兼顾两轴的单药降为条件性，不得无条件增强</x:v>
      </x:c>
      <x:c r="R34" s="84" t="str">
        <x:v>双轴主辅裁决</x:v>
      </x:c>
      <x:c r="S34" s="68" t="str">
        <x:v>冲突双方均有有效证据且作用于同一原局</x:v>
      </x:c>
      <x:c r="T34" s="68" t="str">
        <x:v>其中一方只是名义候选、已经失效或不作用于主要矛盾</x:v>
      </x:c>
      <x:c r="U34" s="68" t="str">
        <x:v>若被降级一方实际承担不可替代功能，应重新进入本规则复审</x:v>
      </x:c>
      <x:c r="V34" s="68" t="str">
        <x:v>证据接近或存在流派争议时保留并列候选并降低置信度</x:v>
      </x:c>
      <x:c r="W34" s="90" t="str">
        <x:v>明确火水或木火的主辅比例和转病阈值</x:v>
      </x:c>
      <x:c r="X34" s="84" t="str">
        <x:v>双轴净效应</x:v>
      </x:c>
      <x:c r="Y34" s="84" t="str">
        <x:v>冲突主题：寒暖轴与燥湿轴冲突。裁决结果为“双轴主辅裁决”；优先采用：根本轴主药优先，次轴药神列辅助；降级处理：无法兼顾两轴的单药降为条件性，不得无条件增强。同时控制副作用：明确火水或木火的主辅比例和转病阈值。</x:v>
      </x:c>
      <x:c r="Z34" s="82" t="str">
        <x:v>较高</x:v>
      </x:c>
      <x:c r="AA34" s="82" t="str">
        <x:v>现代综合</x:v>
      </x:c>
      <x:c r="AB3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4" s="68" t="str">
        <x:v>当“寒燥、暖湿等复合状态中，单一调候五行改善温度却恶化湿度，或反之”成立，且硬约束与主次证据清晰时，可按本规则裁决。</x:v>
      </x:c>
      <x:c r="AD34" s="90" t="str">
        <x:v>若冲突双方并未同时有效，或“其中一方只是名义候选、已经失效或不作用于主要矛盾”成立，不得套用本规则制造假冲突。</x:v>
      </x:c>
      <x:c r="AE34" s="82" t="str">
        <x:v>采用</x:v>
      </x:c>
      <x:c r="AF34" s="82" t="str">
        <x:v>初审</x:v>
      </x:c>
      <x:c r="AG34" s="87" t="n">
        <x:v>46260</x:v>
      </x:c>
    </x:row>
    <x:row r="35">
      <x:c r="A35" s="72" t="str">
        <x:f>IF(OR(C35="",D35=""),"",B35&amp;"-"&amp;UPPER(C35)&amp;"-"&amp;TEXT(D35,"0000")&amp;"-"&amp;E35)</x:f>
        <x:v>M18-CLIMATE-0029-V1.0</x:v>
      </x:c>
      <x:c r="B35" s="74" t="str">
        <x:v>M18</x:v>
      </x:c>
      <x:c r="C35" s="74" t="str">
        <x:v>CLIMATE</x:v>
      </x:c>
      <x:c r="D35" s="215" t="n">
        <x:v>29</x:v>
      </x:c>
      <x:c r="E35" s="74" t="str">
        <x:v>V1.0</x:v>
      </x:c>
      <x:c r="F35" s="68" t="str">
        <x:v>调候与扶抑冲突时以基本生化阈值和日主承载共同裁决</x:v>
      </x:c>
      <x:c r="G35" s="82" t="str">
        <x:v>综合层</x:v>
      </x:c>
      <x:c r="H35" s="68" t="str">
        <x:v>调候用神与扶抑用神冲突</x:v>
      </x:c>
      <x:c r="I35" s="68" t="str">
        <x:v>M17-TIAOHOU-0046-V1.0</x:v>
      </x:c>
      <x:c r="J35" s="68" t="str">
        <x:v>寒湿根本病时火可升主药</x:v>
      </x:c>
      <x:c r="K35" s="68" t="str">
        <x:v>M17-FUYI-0021-V1.0</x:v>
      </x:c>
      <x:c r="L35" s="68" t="str">
        <x:v>身弱时财官食伤通常增加负荷</x:v>
      </x:c>
      <x:c r="M35" s="68" t="str">
        <x:v>调候所需五行在十神层面会进一步泄耗或制约偏弱日主</x:v>
      </x:c>
      <x:c r="N35" s="68" t="str">
        <x:v>调候若未达首要矛盾，不能牺牲日主基本承载；若已生化停顿，则需要最低必要调候</x:v>
      </x:c>
      <x:c r="O35" s="68" t="str">
        <x:v>采用能恢复生化但不突破日主承载底线的最小有效强度</x:v>
      </x:c>
      <x:c r="P35" s="68" t="str">
        <x:v>兼顾调候与承载的间接路径或辅助配伍优先</x:v>
      </x:c>
      <x:c r="Q35" s="68" t="str">
        <x:v>直接强调候五行降为条件性喜神，并配置扶身保护</x:v>
      </x:c>
      <x:c r="R35" s="84" t="str">
        <x:v>阈值型条件裁决</x:v>
      </x:c>
      <x:c r="S35" s="68" t="str">
        <x:v>冲突双方均有有效证据且作用于同一原局</x:v>
      </x:c>
      <x:c r="T35" s="68" t="str">
        <x:v>其中一方只是名义候选、已经失效或不作用于主要矛盾</x:v>
      </x:c>
      <x:c r="U35" s="68" t="str">
        <x:v>若被降级一方实际承担不可替代功能，应重新进入本规则复审</x:v>
      </x:c>
      <x:c r="V35" s="68" t="str">
        <x:v>证据接近或存在流派争议时保留并列候选并降低置信度</x:v>
      </x:c>
      <x:c r="W35" s="90" t="str">
        <x:v>达到温度/湿度平衡阈值后停止加药，防止身弱进一步恶化</x:v>
      </x:c>
      <x:c r="X35" s="84" t="str">
        <x:v>调候扶抑阈值裁决</x:v>
      </x:c>
      <x:c r="Y35" s="84" t="str">
        <x:v>冲突主题：调候用神与扶抑用神冲突。裁决结果为“阈值型条件裁决”；优先采用：兼顾调候与承载的间接路径或辅助配伍优先；降级处理：直接强调候五行降为条件性喜神，并配置扶身保护。同时控制副作用：达到温度/湿度平衡阈值后停止加药，防止身弱进一步恶化。</x:v>
      </x:c>
      <x:c r="Z35" s="82" t="str">
        <x:v>较高</x:v>
      </x:c>
      <x:c r="AA35" s="82" t="str">
        <x:v>现代综合</x:v>
      </x:c>
      <x:c r="AB3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5" s="68" t="str">
        <x:v>当“调候所需五行在十神层面会进一步泄耗或制约偏弱日主”成立，且硬约束与主次证据清晰时，可按本规则裁决。</x:v>
      </x:c>
      <x:c r="AD35" s="90" t="str">
        <x:v>若冲突双方并未同时有效，或“其中一方只是名义候选、已经失效或不作用于主要矛盾”成立，不得套用本规则制造假冲突。</x:v>
      </x:c>
      <x:c r="AE35" s="82" t="str">
        <x:v>采用</x:v>
      </x:c>
      <x:c r="AF35" s="82" t="str">
        <x:v>初审</x:v>
      </x:c>
      <x:c r="AG35" s="87" t="n">
        <x:v>46260</x:v>
      </x:c>
    </x:row>
    <x:row r="36">
      <x:c r="A36" s="72" t="str">
        <x:f>IF(OR(C36="",D36=""),"",B36&amp;"-"&amp;UPPER(C36)&amp;"-"&amp;TEXT(D36,"0000")&amp;"-"&amp;E36)</x:f>
        <x:v>M18-CLIMATE-0030-V1.0</x:v>
      </x:c>
      <x:c r="B36" s="74" t="str">
        <x:v>M18</x:v>
      </x:c>
      <x:c r="C36" s="74" t="str">
        <x:v>CLIMATE</x:v>
      </x:c>
      <x:c r="D36" s="215" t="n">
        <x:v>30</x:v>
      </x:c>
      <x:c r="E36" s="74" t="str">
        <x:v>V1.0</x:v>
      </x:c>
      <x:c r="F36" s="68" t="str">
        <x:v>调候与特殊格局冲突时不得以一般季节偏性破格</x:v>
      </x:c>
      <x:c r="G36" s="82" t="str">
        <x:v>综合层</x:v>
      </x:c>
      <x:c r="H36" s="68" t="str">
        <x:v>调候与特殊格局冲突</x:v>
      </x:c>
      <x:c r="I36" s="68" t="str">
        <x:v>M17-TIAOHOU-0047-V1.0</x:v>
      </x:c>
      <x:c r="J36" s="68" t="str">
        <x:v>偏热或极热时水可降温</x:v>
      </x:c>
      <x:c r="K36" s="68" t="str">
        <x:v>M17-GEJU-0033-V1.0</x:v>
      </x:c>
      <x:c r="L36" s="68" t="str">
        <x:v>专旺格需维护一气主势</x:v>
      </x:c>
      <x:c r="M36" s="68" t="str">
        <x:v>调候候选会形成专旺、从格或化气格的有效逆神</x:v>
      </x:c>
      <x:c r="N36" s="68" t="str">
        <x:v>特殊格局严格成立时，一般偏热偏寒不构成破格理由</x:v>
      </x:c>
      <x:c r="O36" s="68" t="str">
        <x:v>只有极端气候已使特殊格局自身无法运行时，才采用不破格的最低调候</x:v>
      </x:c>
      <x:c r="P36" s="68" t="str">
        <x:v>格局兼容调候方案优先</x:v>
      </x:c>
      <x:c r="Q36" s="68" t="str">
        <x:v>直接逆格的调候五行降为条件性或不采用</x:v>
      </x:c>
      <x:c r="R36" s="84" t="str">
        <x:v>格局约束调候</x:v>
      </x:c>
      <x:c r="S36" s="68" t="str">
        <x:v>冲突双方均有有效证据且作用于同一原局</x:v>
      </x:c>
      <x:c r="T36" s="68" t="str">
        <x:v>其中一方只是名义候选、已经失效或不作用于主要矛盾</x:v>
      </x:c>
      <x:c r="U36" s="68" t="str">
        <x:v>若被降级一方实际承担不可替代功能，应重新进入本规则复审</x:v>
      </x:c>
      <x:c r="V36" s="68" t="str">
        <x:v>证据接近或存在流派争议时保留并列候选并降低置信度</x:v>
      </x:c>
      <x:c r="W36" s="90" t="str">
        <x:v>记录未完全纠正的气候偏差，避免为了追求双轴绝对平衡破格</x:v>
      </x:c>
      <x:c r="X36" s="84" t="str">
        <x:v>特殊格局调候约束</x:v>
      </x:c>
      <x:c r="Y36" s="84" t="str">
        <x:v>冲突主题：调候与特殊格局冲突。裁决结果为“格局约束调候”；优先采用：格局兼容调候方案优先；降级处理：直接逆格的调候五行降为条件性或不采用。同时控制副作用：记录未完全纠正的气候偏差，避免为了追求双轴绝对平衡破格。</x:v>
      </x:c>
      <x:c r="Z36" s="82" t="str">
        <x:v>较高</x:v>
      </x:c>
      <x:c r="AA36" s="82" t="str">
        <x:v>现代综合</x:v>
      </x:c>
      <x:c r="AB3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6" s="68" t="str">
        <x:v>当“调候候选会形成专旺、从格或化气格的有效逆神”成立，且硬约束与主次证据清晰时，可按本规则裁决。</x:v>
      </x:c>
      <x:c r="AD36" s="90" t="str">
        <x:v>若冲突双方并未同时有效，或“其中一方只是名义候选、已经失效或不作用于主要矛盾”成立，不得套用本规则制造假冲突。</x:v>
      </x:c>
      <x:c r="AE36" s="82" t="str">
        <x:v>采用</x:v>
      </x:c>
      <x:c r="AF36" s="82" t="str">
        <x:v>初审</x:v>
      </x:c>
      <x:c r="AG36" s="87" t="n">
        <x:v>46260</x:v>
      </x:c>
    </x:row>
    <x:row r="37">
      <x:c r="A37" s="72" t="str">
        <x:f>IF(OR(C37="",D37=""),"",B37&amp;"-"&amp;UPPER(C37)&amp;"-"&amp;TEXT(D37,"0000")&amp;"-"&amp;E37)</x:f>
        <x:v>M18-CLIMATE-0031-V1.0</x:v>
      </x:c>
      <x:c r="B37" s="74" t="str">
        <x:v>M18</x:v>
      </x:c>
      <x:c r="C37" s="74" t="str">
        <x:v>CLIMATE</x:v>
      </x:c>
      <x:c r="D37" s="215" t="n">
        <x:v>31</x:v>
      </x:c>
      <x:c r="E37" s="74" t="str">
        <x:v>V1.0</x:v>
      </x:c>
      <x:c r="F37" s="68" t="str">
        <x:v>寒燥火水并用必须明确主药和辅助药</x:v>
      </x:c>
      <x:c r="G37" s="82" t="str">
        <x:v>综合层</x:v>
      </x:c>
      <x:c r="H37" s="68" t="str">
        <x:v>寒燥中的火水路线冲突</x:v>
      </x:c>
      <x:c r="I37" s="68" t="str">
        <x:v>M17-TIAOHOU-0049-V1.0</x:v>
      </x:c>
      <x:c r="J37" s="68" t="str">
        <x:v>寒燥需火水分主辅而非无条件同时增强</x:v>
      </x:c>
      <x:c r="K37" s="68" t="str">
        <x:v>M16-CLIMATE-0069-V1.0</x:v>
      </x:c>
      <x:c r="L37" s="68" t="str">
        <x:v>寒燥病既需暖又需润</x:v>
      </x:c>
      <x:c r="M37" s="68" t="str">
        <x:v>火可暖但加燥，水可润但加寒，二者同时无序使用会形成水火相战</x:v>
      </x:c>
      <x:c r="N37" s="68" t="str">
        <x:v>先判断寒与燥哪一轴是根本病、哪一轴是次病</x:v>
      </x:c>
      <x:c r="O37" s="68" t="str">
        <x:v>根本轴对应五行为主药，另一五行仅作辅助并通过木等桥梁协调</x:v>
      </x:c>
      <x:c r="P37" s="68" t="str">
        <x:v>能解释更多功能障碍的一轴优先</x:v>
      </x:c>
      <x:c r="Q37" s="68" t="str">
        <x:v>次轴药神列辅助用神或条件性喜神</x:v>
      </x:c>
      <x:c r="R37" s="84" t="str">
        <x:v>火水主辅裁决</x:v>
      </x:c>
      <x:c r="S37" s="68" t="str">
        <x:v>冲突双方均有有效证据且作用于同一原局</x:v>
      </x:c>
      <x:c r="T37" s="68" t="str">
        <x:v>其中一方只是名义候选、已经失效或不作用于主要矛盾</x:v>
      </x:c>
      <x:c r="U37" s="68" t="str">
        <x:v>若被降级一方实际承担不可替代功能，应重新进入本规则复审</x:v>
      </x:c>
      <x:c r="V37" s="68" t="str">
        <x:v>证据接近或存在流派争议时保留并列候选并降低置信度</x:v>
      </x:c>
      <x:c r="W37" s="90" t="str">
        <x:v>限制两药强度，防止直接水火对战和双向药过</x:v>
      </x:c>
      <x:c r="X37" s="84" t="str">
        <x:v>寒燥火水主辅</x:v>
      </x:c>
      <x:c r="Y37" s="84" t="str">
        <x:v>冲突主题：寒燥中的火水路线冲突。裁决结果为“火水主辅裁决”；优先采用：能解释更多功能障碍的一轴优先；降级处理：次轴药神列辅助用神或条件性喜神。同时控制副作用：限制两药强度，防止直接水火对战和双向药过。</x:v>
      </x:c>
      <x:c r="Z37" s="82" t="str">
        <x:v>较高</x:v>
      </x:c>
      <x:c r="AA37" s="82" t="str">
        <x:v>现代综合</x:v>
      </x:c>
      <x:c r="AB3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7" s="68" t="str">
        <x:v>当“火可暖但加燥，水可润但加寒，二者同时无序使用会形成水火相战”成立，且硬约束与主次证据清晰时，可按本规则裁决。</x:v>
      </x:c>
      <x:c r="AD37" s="90" t="str">
        <x:v>若冲突双方并未同时有效，或“其中一方只是名义候选、已经失效或不作用于主要矛盾”成立，不得套用本规则制造假冲突。</x:v>
      </x:c>
      <x:c r="AE37" s="82" t="str">
        <x:v>采用</x:v>
      </x:c>
      <x:c r="AF37" s="82" t="str">
        <x:v>初审</x:v>
      </x:c>
      <x:c r="AG37" s="87" t="n">
        <x:v>46260</x:v>
      </x:c>
    </x:row>
    <x:row r="38">
      <x:c r="A38" s="72" t="str">
        <x:f>IF(OR(C38="",D38=""),"",B38&amp;"-"&amp;UPPER(C38)&amp;"-"&amp;TEXT(D38,"0000")&amp;"-"&amp;E38)</x:f>
        <x:v>M18-CLIMATE-0032-V1.0</x:v>
      </x:c>
      <x:c r="B38" s="74" t="str">
        <x:v>M18</x:v>
      </x:c>
      <x:c r="C38" s="74" t="str">
        <x:v>CLIMATE</x:v>
      </x:c>
      <x:c r="D38" s="215" t="n">
        <x:v>32</x:v>
      </x:c>
      <x:c r="E38" s="74" t="str">
        <x:v>V1.0</x:v>
      </x:c>
      <x:c r="F38" s="68" t="str">
        <x:v>调候药超过平衡点时由喜转忌</x:v>
      </x:c>
      <x:c r="G38" s="82" t="str">
        <x:v>综合层</x:v>
      </x:c>
      <x:c r="H38" s="68" t="str">
        <x:v>调候收益与药量过度冲突</x:v>
      </x:c>
      <x:c r="I38" s="68" t="str">
        <x:v>M17-BINGYAO-0061-V1.0</x:v>
      </x:c>
      <x:c r="J38" s="68" t="str">
        <x:v>适量治病、过量成病的药神应条件化</x:v>
      </x:c>
      <x:c r="K38" s="68" t="str">
        <x:v>M16-DOSE-0091-V1.0</x:v>
      </x:c>
      <x:c r="L38" s="68" t="str">
        <x:v>药力过量会跨越平衡形成反向病</x:v>
      </x:c>
      <x:c r="M38" s="68" t="str">
        <x:v>火、水、木、土或金已经完成调候，继续增强会由寒转热、湿转燥或反向</x:v>
      </x:c>
      <x:c r="N38" s="68" t="str">
        <x:v>双轴已达到平衡或原调候病不再构成功能障碍</x:v>
      </x:c>
      <x:c r="O38" s="68" t="str">
        <x:v>调候用神只在病位存在和剂量未越界时为喜</x:v>
      </x:c>
      <x:c r="P38" s="68" t="str">
        <x:v>维持平衡而非继续强化原药</x:v>
      </x:c>
      <x:c r="Q38" s="68" t="str">
        <x:v>越过阈值后由喜神降为中性、条件性忌神或忌神</x:v>
      </x:c>
      <x:c r="R38" s="84" t="str">
        <x:v>调候剂量转化</x:v>
      </x:c>
      <x:c r="S38" s="68" t="str">
        <x:v>冲突双方均有有效证据且作用于同一原局</x:v>
      </x:c>
      <x:c r="T38" s="68" t="str">
        <x:v>其中一方只是名义候选、已经失效或不作用于主要矛盾</x:v>
      </x:c>
      <x:c r="U38" s="68" t="str">
        <x:v>若被降级一方实际承担不可替代功能，应重新进入本规则复审</x:v>
      </x:c>
      <x:c r="V38" s="68" t="str">
        <x:v>证据接近或存在流派争议时保留并列候选并降低置信度</x:v>
      </x:c>
      <x:c r="W38" s="90" t="str">
        <x:v>标准输出明确有利区间和转忌条件</x:v>
      </x:c>
      <x:c r="X38" s="84" t="str">
        <x:v>调候药量边界</x:v>
      </x:c>
      <x:c r="Y38" s="84" t="str">
        <x:v>冲突主题：调候收益与药量过度冲突。裁决结果为“调候剂量转化”；优先采用：维持平衡而非继续强化原药；降级处理：越过阈值后由喜神降为中性、条件性忌神或忌神。同时控制副作用：标准输出明确有利区间和转忌条件。</x:v>
      </x:c>
      <x:c r="Z38" s="82" t="str">
        <x:v>较高</x:v>
      </x:c>
      <x:c r="AA38" s="82" t="str">
        <x:v>现代综合</x:v>
      </x:c>
      <x:c r="AB3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8" s="68" t="str">
        <x:v>当“火、水、木、土或金已经完成调候，继续增强会由寒转热、湿转燥或反向”成立，且硬约束与主次证据清晰时，可按本规则裁决。</x:v>
      </x:c>
      <x:c r="AD38" s="90" t="str">
        <x:v>若冲突双方并未同时有效，或“其中一方只是名义候选、已经失效或不作用于主要矛盾”成立，不得套用本规则制造假冲突。</x:v>
      </x:c>
      <x:c r="AE38" s="82" t="str">
        <x:v>采用</x:v>
      </x:c>
      <x:c r="AF38" s="82" t="str">
        <x:v>初审</x:v>
      </x:c>
      <x:c r="AG38" s="87" t="n">
        <x:v>46260</x:v>
      </x:c>
    </x:row>
    <x:row r="39">
      <x:c r="A39" s="72" t="str">
        <x:f>IF(OR(C39="",D39=""),"",B39&amp;"-"&amp;UPPER(C39)&amp;"-"&amp;TEXT(D39,"0000")&amp;"-"&amp;E39)</x:f>
        <x:v>M18-FLOW-0033-V1.0</x:v>
      </x:c>
      <x:c r="B39" s="74" t="str">
        <x:v>M18</x:v>
      </x:c>
      <x:c r="C39" s="74" t="str">
        <x:v>FLOW</x:v>
      </x:c>
      <x:c r="D39" s="215" t="n">
        <x:v>33</x:v>
      </x:c>
      <x:c r="E39" s="74" t="str">
        <x:v>V1.0</x:v>
      </x:c>
      <x:c r="F39" s="68" t="str">
        <x:v>主流通卡点优先于一般扶抑微调</x:v>
      </x:c>
      <x:c r="G39" s="82" t="str">
        <x:v>综合层</x:v>
      </x:c>
      <x:c r="H39" s="68" t="str">
        <x:v>主卡点与普通扶抑冲突</x:v>
      </x:c>
      <x:c r="I39" s="68" t="str">
        <x:v>M16-FLOW-0038-V1.0</x:v>
      </x:c>
      <x:c r="J39" s="68" t="str">
        <x:v>主路径首要卡点应优先修复</x:v>
      </x:c>
      <x:c r="K39" s="68" t="str">
        <x:v>M17-FUYI-0022-V1.0</x:v>
      </x:c>
      <x:c r="L39" s="68" t="str">
        <x:v>日主中和时扶抑维度应降权</x:v>
      </x:c>
      <x:c r="M39" s="68" t="str">
        <x:v>日主仅轻度偏旺偏弱，但关键桥梁断裂、两强相战或终点失效影响全局</x:v>
      </x:c>
      <x:c r="N39" s="68" t="str">
        <x:v>M12/M16必须确认该卡点覆盖核心格局、日主承载或多个组合</x:v>
      </x:c>
      <x:c r="O39" s="68" t="str">
        <x:v>修复主路径比微调普通旺衰更具全局收益</x:v>
      </x:c>
      <x:c r="P39" s="68" t="str">
        <x:v>直接修复主卡点的通关/桥梁五行优先</x:v>
      </x:c>
      <x:c r="Q39" s="68" t="str">
        <x:v>一般扶抑候选降为辅助、第三顺位或中性</x:v>
      </x:c>
      <x:c r="R39" s="84" t="str">
        <x:v>主卡点优先</x:v>
      </x:c>
      <x:c r="S39" s="68" t="str">
        <x:v>冲突双方均有有效证据且作用于同一原局</x:v>
      </x:c>
      <x:c r="T39" s="68" t="str">
        <x:v>其中一方只是名义候选、已经失效或不作用于主要矛盾</x:v>
      </x:c>
      <x:c r="U39" s="68" t="str">
        <x:v>若被降级一方实际承担不可替代功能，应重新进入本规则复审</x:v>
      </x:c>
      <x:c r="V39" s="68" t="str">
        <x:v>证据接近或存在流派争议时保留并列候选并降低置信度</x:v>
      </x:c>
      <x:c r="W39" s="90" t="str">
        <x:v>通关完成后重新评估日主净旺衰，防止修复路径后扶抑方向变化</x:v>
      </x:c>
      <x:c r="X39" s="84" t="str">
        <x:v>主卡点压过微扶抑</x:v>
      </x:c>
      <x:c r="Y39" s="84" t="str">
        <x:v>冲突主题：主卡点与普通扶抑冲突。裁决结果为“主卡点优先”；优先采用：直接修复主卡点的通关/桥梁五行优先；降级处理：一般扶抑候选降为辅助、第三顺位或中性。同时控制副作用：通关完成后重新评估日主净旺衰，防止修复路径后扶抑方向变化。</x:v>
      </x:c>
      <x:c r="Z39" s="82" t="str">
        <x:v>较高</x:v>
      </x:c>
      <x:c r="AA39" s="82" t="str">
        <x:v>现代综合</x:v>
      </x:c>
      <x:c r="AB3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9" s="68" t="str">
        <x:v>当“日主仅轻度偏旺偏弱，但关键桥梁断裂、两强相战或终点失效影响全局”成立，且硬约束与主次证据清晰时，可按本规则裁决。</x:v>
      </x:c>
      <x:c r="AD39" s="90" t="str">
        <x:v>若冲突双方并未同时有效，或“其中一方只是名义候选、已经失效或不作用于主要矛盾”成立，不得套用本规则制造假冲突。</x:v>
      </x:c>
      <x:c r="AE39" s="82" t="str">
        <x:v>采用</x:v>
      </x:c>
      <x:c r="AF39" s="82" t="str">
        <x:v>初审</x:v>
      </x:c>
      <x:c r="AG39" s="87" t="n">
        <x:v>46260</x:v>
      </x:c>
    </x:row>
    <x:row r="40">
      <x:c r="A40" s="72" t="str">
        <x:f>IF(OR(C40="",D40=""),"",B40&amp;"-"&amp;UPPER(C40)&amp;"-"&amp;TEXT(D40,"0000")&amp;"-"&amp;E40)</x:f>
        <x:v>M18-FLOW-0034-V1.0</x:v>
      </x:c>
      <x:c r="B40" s="74" t="str">
        <x:v>M18</x:v>
      </x:c>
      <x:c r="C40" s="74" t="str">
        <x:v>FLOW</x:v>
      </x:c>
      <x:c r="D40" s="215" t="n">
        <x:v>34</x:v>
      </x:c>
      <x:c r="E40" s="74" t="str">
        <x:v>V1.0</x:v>
      </x:c>
      <x:c r="F40" s="68" t="str">
        <x:v>理论通关但药力不足时不得列主用</x:v>
      </x:c>
      <x:c r="G40" s="82" t="str">
        <x:v>综合层</x:v>
      </x:c>
      <x:c r="H40" s="68" t="str">
        <x:v>通关功能与药力有效性冲突</x:v>
      </x:c>
      <x:c r="I40" s="68" t="str">
        <x:v>M17-TONGGUAN-0041-V1.0</x:v>
      </x:c>
      <x:c r="J40" s="68" t="str">
        <x:v>通关五行无根无源时只列弱候选</x:v>
      </x:c>
      <x:c r="K40" s="68" t="str">
        <x:v>M16-MED-0080-V1.0</x:v>
      </x:c>
      <x:c r="L40" s="68" t="str">
        <x:v>药神必须有根有源并能进入病位</x:v>
      </x:c>
      <x:c r="M40" s="68" t="str">
        <x:v>五行生克关系上可以通关，但该五行无根、受克、合绊或不在有效路径</x:v>
      </x:c>
      <x:c r="N40" s="68" t="str">
        <x:v>理论生克关系不能替代实际药力</x:v>
      </x:c>
      <x:c r="O40" s="68" t="str">
        <x:v>先检验有效性，再确定通关定位</x:v>
      </x:c>
      <x:c r="P40" s="68" t="str">
        <x:v>有根有源、路径直接的替代桥梁优先</x:v>
      </x:c>
      <x:c r="Q40" s="68" t="str">
        <x:v>理论通关者降为条件性喜神、待定或不采用</x:v>
      </x:c>
      <x:c r="R40" s="84" t="str">
        <x:v>药力门槛裁决</x:v>
      </x:c>
      <x:c r="S40" s="68" t="str">
        <x:v>冲突双方均有有效证据且作用于同一原局</x:v>
      </x:c>
      <x:c r="T40" s="68" t="str">
        <x:v>其中一方只是名义候选、已经失效或不作用于主要矛盾</x:v>
      </x:c>
      <x:c r="U40" s="68" t="str">
        <x:v>若被降级一方实际承担不可替代功能，应重新进入本规则复审</x:v>
      </x:c>
      <x:c r="V40" s="68" t="str">
        <x:v>证据接近或存在流派争议时保留并列候选并降低置信度</x:v>
      </x:c>
      <x:c r="W40" s="90" t="str">
        <x:v>若需先增强桥梁，应把增强桥梁者列辅助用神而非虚设主用</x:v>
      </x:c>
      <x:c r="X40" s="84" t="str">
        <x:v>弱通关降级</x:v>
      </x:c>
      <x:c r="Y40" s="84" t="str">
        <x:v>冲突主题：通关功能与药力有效性冲突。裁决结果为“药力门槛裁决”；优先采用：有根有源、路径直接的替代桥梁优先；降级处理：理论通关者降为条件性喜神、待定或不采用。同时控制副作用：若需先增强桥梁，应把增强桥梁者列辅助用神而非虚设主用。</x:v>
      </x:c>
      <x:c r="Z40" s="82" t="str">
        <x:v>较高</x:v>
      </x:c>
      <x:c r="AA40" s="82" t="str">
        <x:v>现代综合</x:v>
      </x:c>
      <x:c r="AB4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0" s="68" t="str">
        <x:v>当“五行生克关系上可以通关，但该五行无根、受克、合绊或不在有效路径”成立，且硬约束与主次证据清晰时，可按本规则裁决。</x:v>
      </x:c>
      <x:c r="AD40" s="90" t="str">
        <x:v>若冲突双方并未同时有效，或“其中一方只是名义候选、已经失效或不作用于主要矛盾”成立，不得套用本规则制造假冲突。</x:v>
      </x:c>
      <x:c r="AE40" s="82" t="str">
        <x:v>采用</x:v>
      </x:c>
      <x:c r="AF40" s="82" t="str">
        <x:v>初审</x:v>
      </x:c>
      <x:c r="AG40" s="87" t="n">
        <x:v>46260</x:v>
      </x:c>
    </x:row>
    <x:row r="41">
      <x:c r="A41" s="72" t="str">
        <x:f>IF(OR(C41="",D41=""),"",B41&amp;"-"&amp;UPPER(C41)&amp;"-"&amp;TEXT(D41,"0000")&amp;"-"&amp;E41)</x:f>
        <x:v>M18-FLOW-0035-V1.0</x:v>
      </x:c>
      <x:c r="B41" s="74" t="str">
        <x:v>M18</x:v>
      </x:c>
      <x:c r="C41" s="74" t="str">
        <x:v>FLOW</x:v>
      </x:c>
      <x:c r="D41" s="215" t="n">
        <x:v>35</x:v>
      </x:c>
      <x:c r="E41" s="74" t="str">
        <x:v>V1.0</x:v>
      </x:c>
      <x:c r="F41" s="68" t="str">
        <x:v>通关与核心格局冲突时格局主轴优先</x:v>
      </x:c>
      <x:c r="G41" s="82" t="str">
        <x:v>综合层</x:v>
      </x:c>
      <x:c r="H41" s="68" t="str">
        <x:v>通关用神与格局硬约束冲突</x:v>
      </x:c>
      <x:c r="I41" s="68" t="str">
        <x:v>M17-TONGGUAN-0042-V1.0</x:v>
      </x:c>
      <x:c r="J41" s="68" t="str">
        <x:v>通关五行破坏核心格局时应降级</x:v>
      </x:c>
      <x:c r="K41" s="68" t="str">
        <x:v>M17-GEJU-0023-V1.0</x:v>
      </x:c>
      <x:c r="L41" s="68" t="str">
        <x:v>有效主格需保护核心格神</x:v>
      </x:c>
      <x:c r="M41" s="68" t="str">
        <x:v>通关候选能解决局部克战，但会使格神失效或特殊格局破格</x:v>
      </x:c>
      <x:c r="N41" s="68" t="str">
        <x:v>主格必须仍有效且局部克战不是更高严重度根本病</x:v>
      </x:c>
      <x:c r="O41" s="68" t="str">
        <x:v>不以局部通畅换取根本破格</x:v>
      </x:c>
      <x:c r="P41" s="68" t="str">
        <x:v>兼容格局的替代通关方案优先</x:v>
      </x:c>
      <x:c r="Q41" s="68" t="str">
        <x:v>伤格通关五行降为条件性忌神或不采用</x:v>
      </x:c>
      <x:c r="R41" s="84" t="str">
        <x:v>护格优先</x:v>
      </x:c>
      <x:c r="S41" s="68" t="str">
        <x:v>冲突双方均有有效证据且作用于同一原局</x:v>
      </x:c>
      <x:c r="T41" s="68" t="str">
        <x:v>其中一方只是名义候选、已经失效或不作用于主要矛盾</x:v>
      </x:c>
      <x:c r="U41" s="68" t="str">
        <x:v>若被降级一方实际承担不可替代功能，应重新进入本规则复审</x:v>
      </x:c>
      <x:c r="V41" s="68" t="str">
        <x:v>证据接近或存在流派争议时保留并列候选并降低置信度</x:v>
      </x:c>
      <x:c r="W41" s="90" t="str">
        <x:v>局部卡点保留为次病，并说明未完全通关的代价</x:v>
      </x:c>
      <x:c r="X41" s="84" t="str">
        <x:v>通关伤格否决</x:v>
      </x:c>
      <x:c r="Y41" s="84" t="str">
        <x:v>冲突主题：通关用神与格局硬约束冲突。裁决结果为“护格优先”；优先采用：兼容格局的替代通关方案优先；降级处理：伤格通关五行降为条件性忌神或不采用。同时控制副作用：局部卡点保留为次病，并说明未完全通关的代价。</x:v>
      </x:c>
      <x:c r="Z41" s="82" t="str">
        <x:v>较高</x:v>
      </x:c>
      <x:c r="AA41" s="82" t="str">
        <x:v>现代综合</x:v>
      </x:c>
      <x:c r="AB4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1" s="68" t="str">
        <x:v>当“通关候选能解决局部克战，但会使格神失效或特殊格局破格”成立，且硬约束与主次证据清晰时，可按本规则裁决。</x:v>
      </x:c>
      <x:c r="AD41" s="90" t="str">
        <x:v>若冲突双方并未同时有效，或“其中一方只是名义候选、已经失效或不作用于主要矛盾”成立，不得套用本规则制造假冲突。</x:v>
      </x:c>
      <x:c r="AE41" s="82" t="str">
        <x:v>采用</x:v>
      </x:c>
      <x:c r="AF41" s="82" t="str">
        <x:v>初审</x:v>
      </x:c>
      <x:c r="AG41" s="87" t="n">
        <x:v>46260</x:v>
      </x:c>
    </x:row>
    <x:row r="42">
      <x:c r="A42" s="72" t="str">
        <x:f>IF(OR(C42="",D42=""),"",B42&amp;"-"&amp;UPPER(C42)&amp;"-"&amp;TEXT(D42,"0000")&amp;"-"&amp;E42)</x:f>
        <x:v>M18-FLOW-0036-V1.0</x:v>
      </x:c>
      <x:c r="B42" s="74" t="str">
        <x:v>M18</x:v>
      </x:c>
      <x:c r="C42" s="74" t="str">
        <x:v>FLOW</x:v>
      </x:c>
      <x:c r="D42" s="215" t="n">
        <x:v>36</x:v>
      </x:c>
      <x:c r="E42" s="74" t="str">
        <x:v>V1.0</x:v>
      </x:c>
      <x:c r="F42" s="68" t="str">
        <x:v>通关与首要调候冲突时比较新病严重度</x:v>
      </x:c>
      <x:c r="G42" s="82" t="str">
        <x:v>综合层</x:v>
      </x:c>
      <x:c r="H42" s="68" t="str">
        <x:v>通关用神与调候用神冲突</x:v>
      </x:c>
      <x:c r="I42" s="68" t="str">
        <x:v>M17-TONGGUAN-0043-V1.0</x:v>
      </x:c>
      <x:c r="J42" s="68" t="str">
        <x:v>通关五行恶化极端气候时不得列无条件喜用</x:v>
      </x:c>
      <x:c r="K42" s="68" t="str">
        <x:v>M16-CLIMATE-0067-V1.0</x:v>
      </x:c>
      <x:c r="L42" s="68" t="str">
        <x:v>极端气候可构成首要根本病</x:v>
      </x:c>
      <x:c r="M42" s="68" t="str">
        <x:v>桥梁五行能通关，但会把命局推向极寒湿、极热燥或使气候主病加重</x:v>
      </x:c>
      <x:c r="N42" s="68" t="str">
        <x:v>新调候病严重度不得高于原流通病</x:v>
      </x:c>
      <x:c r="O42" s="68" t="str">
        <x:v>按通关收益与气候损害的净严重度裁决</x:v>
      </x:c>
      <x:c r="P42" s="68" t="str">
        <x:v>不恶化气候的替代桥梁或间接通关优先</x:v>
      </x:c>
      <x:c r="Q42" s="68" t="str">
        <x:v>会制造更严重调候病者降为不采用或条件性忌神</x:v>
      </x:c>
      <x:c r="R42" s="84" t="str">
        <x:v>通关调候净收益</x:v>
      </x:c>
      <x:c r="S42" s="68" t="str">
        <x:v>冲突双方均有有效证据且作用于同一原局</x:v>
      </x:c>
      <x:c r="T42" s="68" t="str">
        <x:v>其中一方只是名义候选、已经失效或不作用于主要矛盾</x:v>
      </x:c>
      <x:c r="U42" s="68" t="str">
        <x:v>若被降级一方实际承担不可替代功能，应重新进入本规则复审</x:v>
      </x:c>
      <x:c r="V42" s="68" t="str">
        <x:v>证据接近或存在流派争议时保留并列候选并降低置信度</x:v>
      </x:c>
      <x:c r="W42" s="90" t="str">
        <x:v>若有限强度可通关且不越气候阈值，则标条件性喜神</x:v>
      </x:c>
      <x:c r="X42" s="84" t="str">
        <x:v>通关调候裁决</x:v>
      </x:c>
      <x:c r="Y42" s="84" t="str">
        <x:v>冲突主题：通关用神与调候用神冲突。裁决结果为“通关调候净收益”；优先采用：不恶化气候的替代桥梁或间接通关优先；降级处理：会制造更严重调候病者降为不采用或条件性忌神。同时控制副作用：若有限强度可通关且不越气候阈值，则标条件性喜神。</x:v>
      </x:c>
      <x:c r="Z42" s="82" t="str">
        <x:v>较高</x:v>
      </x:c>
      <x:c r="AA42" s="82" t="str">
        <x:v>现代综合</x:v>
      </x:c>
      <x:c r="AB4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2" s="68" t="str">
        <x:v>当“桥梁五行能通关，但会把命局推向极寒湿、极热燥或使气候主病加重”成立，且硬约束与主次证据清晰时，可按本规则裁决。</x:v>
      </x:c>
      <x:c r="AD42" s="90" t="str">
        <x:v>若冲突双方并未同时有效，或“其中一方只是名义候选、已经失效或不作用于主要矛盾”成立，不得套用本规则制造假冲突。</x:v>
      </x:c>
      <x:c r="AE42" s="82" t="str">
        <x:v>采用</x:v>
      </x:c>
      <x:c r="AF42" s="82" t="str">
        <x:v>初审</x:v>
      </x:c>
      <x:c r="AG42" s="87" t="n">
        <x:v>46260</x:v>
      </x:c>
    </x:row>
    <x:row r="43">
      <x:c r="A43" s="72" t="str">
        <x:f>IF(OR(C43="",D43=""),"",B43&amp;"-"&amp;UPPER(C43)&amp;"-"&amp;TEXT(D43,"0000")&amp;"-"&amp;E43)</x:f>
        <x:v>M18-FLOW-0037-V1.0</x:v>
      </x:c>
      <x:c r="B43" s="74" t="str">
        <x:v>M18</x:v>
      </x:c>
      <x:c r="C43" s="74" t="str">
        <x:v>FLOW</x:v>
      </x:c>
      <x:c r="D43" s="215" t="n">
        <x:v>37</x:v>
      </x:c>
      <x:c r="E43" s="74" t="str">
        <x:v>V1.0</x:v>
      </x:c>
      <x:c r="F43" s="68" t="str">
        <x:v>主路径优先于次级流通路径</x:v>
      </x:c>
      <x:c r="G43" s="82" t="str">
        <x:v>综合层</x:v>
      </x:c>
      <x:c r="H43" s="68" t="str">
        <x:v>多流通路径优先级冲突</x:v>
      </x:c>
      <x:c r="I43" s="68" t="str">
        <x:v>M16-FLOW-0038-V1.0</x:v>
      </x:c>
      <x:c r="J43" s="68" t="str">
        <x:v>多个通路并存时主药优先修复主路径</x:v>
      </x:c>
      <x:c r="K43" s="68" t="str">
        <x:v>M17-BINGYAO-0060-V1.0</x:v>
      </x:c>
      <x:c r="L43" s="68" t="str">
        <x:v>只治疗次病者降为喜神或辅助</x:v>
      </x:c>
      <x:c r="M43" s="68" t="str">
        <x:v>多个桥梁或通关五行分别改善不同路径，且资源容量有限</x:v>
      </x:c>
      <x:c r="N43" s="68" t="str">
        <x:v>主路径由覆盖范围、核心格局、根本病和不可替代性共同确定</x:v>
      </x:c>
      <x:c r="O43" s="68" t="str">
        <x:v>先修复主路径，再处理次级路径</x:v>
      </x:c>
      <x:c r="P43" s="68" t="str">
        <x:v>覆盖核心节点最多者列主用</x:v>
      </x:c>
      <x:c r="Q43" s="68" t="str">
        <x:v>次级路径药神列辅助或第三顺位喜神</x:v>
      </x:c>
      <x:c r="R43" s="84" t="str">
        <x:v>路径分层</x:v>
      </x:c>
      <x:c r="S43" s="68" t="str">
        <x:v>冲突双方均有有效证据且作用于同一原局</x:v>
      </x:c>
      <x:c r="T43" s="68" t="str">
        <x:v>其中一方只是名义候选、已经失效或不作用于主要矛盾</x:v>
      </x:c>
      <x:c r="U43" s="68" t="str">
        <x:v>若被降级一方实际承担不可替代功能，应重新进入本规则复审</x:v>
      </x:c>
      <x:c r="V43" s="68" t="str">
        <x:v>证据接近或存在流派争议时保留并列候选并降低置信度</x:v>
      </x:c>
      <x:c r="W43" s="90" t="str">
        <x:v>防止多个路径同时争夺同一桥梁造成容量过载</x:v>
      </x:c>
      <x:c r="X43" s="84" t="str">
        <x:v>主次流通分层</x:v>
      </x:c>
      <x:c r="Y43" s="84" t="str">
        <x:v>冲突主题：多流通路径优先级冲突。裁决结果为“路径分层”；优先采用：覆盖核心节点最多者列主用；降级处理：次级路径药神列辅助或第三顺位喜神。同时控制副作用：防止多个路径同时争夺同一桥梁造成容量过载。</x:v>
      </x:c>
      <x:c r="Z43" s="82" t="str">
        <x:v>较高</x:v>
      </x:c>
      <x:c r="AA43" s="82" t="str">
        <x:v>现代综合</x:v>
      </x:c>
      <x:c r="AB4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3" s="68" t="str">
        <x:v>当“多个桥梁或通关五行分别改善不同路径，且资源容量有限”成立，且硬约束与主次证据清晰时，可按本规则裁决。</x:v>
      </x:c>
      <x:c r="AD43" s="90" t="str">
        <x:v>若冲突双方并未同时有效，或“其中一方只是名义候选、已经失效或不作用于主要矛盾”成立，不得套用本规则制造假冲突。</x:v>
      </x:c>
      <x:c r="AE43" s="82" t="str">
        <x:v>采用</x:v>
      </x:c>
      <x:c r="AF43" s="82" t="str">
        <x:v>初审</x:v>
      </x:c>
      <x:c r="AG43" s="87" t="n">
        <x:v>46260</x:v>
      </x:c>
    </x:row>
    <x:row r="44">
      <x:c r="A44" s="72" t="str">
        <x:f>IF(OR(C44="",D44=""),"",B44&amp;"-"&amp;UPPER(C44)&amp;"-"&amp;TEXT(D44,"0000")&amp;"-"&amp;E44)</x:f>
        <x:v>M18-FLOW-0038-V1.0</x:v>
      </x:c>
      <x:c r="B44" s="74" t="str">
        <x:v>M18</x:v>
      </x:c>
      <x:c r="C44" s="74" t="str">
        <x:v>FLOW</x:v>
      </x:c>
      <x:c r="D44" s="215" t="n">
        <x:v>38</x:v>
      </x:c>
      <x:c r="E44" s="74" t="str">
        <x:v>V1.0</x:v>
      </x:c>
      <x:c r="F44" s="68" t="str">
        <x:v>桥梁失效导致终点弱时先修桥后扶终点</x:v>
      </x:c>
      <x:c r="G44" s="82" t="str">
        <x:v>综合层</x:v>
      </x:c>
      <x:c r="H44" s="68" t="str">
        <x:v>桥梁修复与终点补强冲突</x:v>
      </x:c>
      <x:c r="I44" s="68" t="str">
        <x:v>M16-MED-0083-V1.0</x:v>
      </x:c>
      <x:c r="J44" s="68" t="str">
        <x:v>流通型病应先修复桥梁再增强终点</x:v>
      </x:c>
      <x:c r="K44" s="68" t="str">
        <x:v>M16-FLOW-0030-V1.0</x:v>
      </x:c>
      <x:c r="L44" s="68" t="str">
        <x:v>终点过弱不能承载可用生扶终点之药</x:v>
      </x:c>
      <x:c r="M44" s="68" t="str">
        <x:v>终点偏弱既可直接补强，也可能只是上游桥梁失效的表象</x:v>
      </x:c>
      <x:c r="N44" s="68" t="str">
        <x:v>若终点弱由桥梁断裂直接导致，桥梁属于根因</x:v>
      </x:c>
      <x:c r="O44" s="68" t="str">
        <x:v>先修复持续来源，再决定是否仍需补终点</x:v>
      </x:c>
      <x:c r="P44" s="68" t="str">
        <x:v>桥梁药神列主用，终点补强列辅助</x:v>
      </x:c>
      <x:c r="Q44" s="68" t="str">
        <x:v>直接补终点方案降为辅助或暂缓</x:v>
      </x:c>
      <x:c r="R44" s="84" t="str">
        <x:v>先桥后终点</x:v>
      </x:c>
      <x:c r="S44" s="68" t="str">
        <x:v>冲突双方均有有效证据且作用于同一原局</x:v>
      </x:c>
      <x:c r="T44" s="68" t="str">
        <x:v>其中一方只是名义候选、已经失效或不作用于主要矛盾</x:v>
      </x:c>
      <x:c r="U44" s="68" t="str">
        <x:v>若被降级一方实际承担不可替代功能，应重新进入本规则复审</x:v>
      </x:c>
      <x:c r="V44" s="68" t="str">
        <x:v>证据接近或存在流派争议时保留并列候选并降低置信度</x:v>
      </x:c>
      <x:c r="W44" s="90" t="str">
        <x:v>桥梁恢复后重新评估终点，避免双重补强导致终点过旺</x:v>
      </x:c>
      <x:c r="X44" s="84" t="str">
        <x:v>桥梁根因优先</x:v>
      </x:c>
      <x:c r="Y44" s="84" t="str">
        <x:v>冲突主题：桥梁修复与终点补强冲突。裁决结果为“先桥后终点”；优先采用：桥梁药神列主用，终点补强列辅助；降级处理：直接补终点方案降为辅助或暂缓。同时控制副作用：桥梁恢复后重新评估终点，避免双重补强导致终点过旺。</x:v>
      </x:c>
      <x:c r="Z44" s="82" t="str">
        <x:v>较高</x:v>
      </x:c>
      <x:c r="AA44" s="82" t="str">
        <x:v>现代综合</x:v>
      </x:c>
      <x:c r="AB4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4" s="68" t="str">
        <x:v>当“终点偏弱既可直接补强，也可能只是上游桥梁失效的表象”成立，且硬约束与主次证据清晰时，可按本规则裁决。</x:v>
      </x:c>
      <x:c r="AD44" s="90" t="str">
        <x:v>若冲突双方并未同时有效，或“其中一方只是名义候选、已经失效或不作用于主要矛盾”成立，不得套用本规则制造假冲突。</x:v>
      </x:c>
      <x:c r="AE44" s="82" t="str">
        <x:v>采用</x:v>
      </x:c>
      <x:c r="AF44" s="82" t="str">
        <x:v>初审</x:v>
      </x:c>
      <x:c r="AG44" s="87" t="n">
        <x:v>46260</x:v>
      </x:c>
    </x:row>
    <x:row r="45">
      <x:c r="A45" s="72" t="str">
        <x:f>IF(OR(C45="",D45=""),"",B45&amp;"-"&amp;UPPER(C45)&amp;"-"&amp;TEXT(D45,"0000")&amp;"-"&amp;E45)</x:f>
        <x:v>M18-FLOW-0039-V1.0</x:v>
      </x:c>
      <x:c r="B45" s="74" t="str">
        <x:v>M18</x:v>
      </x:c>
      <x:c r="C45" s="74" t="str">
        <x:v>FLOW</x:v>
      </x:c>
      <x:c r="D45" s="215" t="n">
        <x:v>39</x:v>
      </x:c>
      <x:c r="E45" s="74" t="str">
        <x:v>V1.0</x:v>
      </x:c>
      <x:c r="F45" s="68" t="str">
        <x:v>多个通关候选并存时优先最短、最稳、最少副作用者</x:v>
      </x:c>
      <x:c r="G45" s="82" t="str">
        <x:v>综合层</x:v>
      </x:c>
      <x:c r="H45" s="68" t="str">
        <x:v>多通关候选冲突</x:v>
      </x:c>
      <x:c r="I45" s="68" t="str">
        <x:v>M16-MED-0081-V1.0</x:v>
      </x:c>
      <x:c r="J45" s="68" t="str">
        <x:v>药神作用路径越直接越适合作为主药</x:v>
      </x:c>
      <x:c r="K45" s="68" t="str">
        <x:v>M17-TONGGUAN-0040-V1.0</x:v>
      </x:c>
      <x:c r="L45" s="68" t="str">
        <x:v>通关兼治主病时可升级</x:v>
      </x:c>
      <x:c r="M45" s="68" t="str">
        <x:v>两个以上五行都能理论连接同一对战或缺桥结构</x:v>
      </x:c>
      <x:c r="N45" s="68" t="str">
        <x:v>候选都必须有实际药力并能完成双向通关</x:v>
      </x:c>
      <x:c r="O45" s="68" t="str">
        <x:v>比较路径长度、桥梁稳定性、覆盖范围、调候和格局副作用</x:v>
      </x:c>
      <x:c r="P45" s="68" t="str">
        <x:v>最短、最稳、兼治根本病且副作用最小者优先</x:v>
      </x:c>
      <x:c r="Q45" s="68" t="str">
        <x:v>其余候选列替代方案、辅助用神或条件性喜神</x:v>
      </x:c>
      <x:c r="R45" s="84" t="str">
        <x:v>通关候选排序</x:v>
      </x:c>
      <x:c r="S45" s="68" t="str">
        <x:v>冲突双方均有有效证据且作用于同一原局</x:v>
      </x:c>
      <x:c r="T45" s="68" t="str">
        <x:v>其中一方只是名义候选、已经失效或不作用于主要矛盾</x:v>
      </x:c>
      <x:c r="U45" s="68" t="str">
        <x:v>若被降级一方实际承担不可替代功能，应重新进入本规则复审</x:v>
      </x:c>
      <x:c r="V45" s="68" t="str">
        <x:v>证据接近或存在流派争议时保留并列候选并降低置信度</x:v>
      </x:c>
      <x:c r="W45" s="90" t="str">
        <x:v>避免同一时间无序并用多个桥梁造成路径竞争</x:v>
      </x:c>
      <x:c r="X45" s="84" t="str">
        <x:v>通关最优路径</x:v>
      </x:c>
      <x:c r="Y45" s="84" t="str">
        <x:v>冲突主题：多通关候选冲突。裁决结果为“通关候选排序”；优先采用：最短、最稳、兼治根本病且副作用最小者优先；降级处理：其余候选列替代方案、辅助用神或条件性喜神。同时控制副作用：避免同一时间无序并用多个桥梁造成路径竞争。</x:v>
      </x:c>
      <x:c r="Z45" s="82" t="str">
        <x:v>较高</x:v>
      </x:c>
      <x:c r="AA45" s="82" t="str">
        <x:v>现代综合</x:v>
      </x:c>
      <x:c r="AB4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5" s="68" t="str">
        <x:v>当“两个以上五行都能理论连接同一对战或缺桥结构”成立，且硬约束与主次证据清晰时，可按本规则裁决。</x:v>
      </x:c>
      <x:c r="AD45" s="90" t="str">
        <x:v>若冲突双方并未同时有效，或“其中一方只是名义候选、已经失效或不作用于主要矛盾”成立，不得套用本规则制造假冲突。</x:v>
      </x:c>
      <x:c r="AE45" s="82" t="str">
        <x:v>采用</x:v>
      </x:c>
      <x:c r="AF45" s="82" t="str">
        <x:v>初审</x:v>
      </x:c>
      <x:c r="AG45" s="87" t="n">
        <x:v>46260</x:v>
      </x:c>
    </x:row>
    <x:row r="46">
      <x:c r="A46" s="72" t="str">
        <x:f>IF(OR(C46="",D46=""),"",B46&amp;"-"&amp;UPPER(C46)&amp;"-"&amp;TEXT(D46,"0000")&amp;"-"&amp;E46)</x:f>
        <x:v>M18-FLOW-0040-V1.0</x:v>
      </x:c>
      <x:c r="B46" s="74" t="str">
        <x:v>M18</x:v>
      </x:c>
      <x:c r="C46" s="74" t="str">
        <x:v>FLOW</x:v>
      </x:c>
      <x:c r="D46" s="215" t="n">
        <x:v>40</x:v>
      </x:c>
      <x:c r="E46" s="74" t="str">
        <x:v>V1.0</x:v>
      </x:c>
      <x:c r="F46" s="68" t="str">
        <x:v>修复一个卡点却制造更严重下游阻塞时不得升为主用</x:v>
      </x:c>
      <x:c r="G46" s="82" t="str">
        <x:v>综合层</x:v>
      </x:c>
      <x:c r="H46" s="68" t="str">
        <x:v>流通修复与次生卡点冲突</x:v>
      </x:c>
      <x:c r="I46" s="68" t="str">
        <x:v>M16-DOSE-0094-V1.0</x:v>
      </x:c>
      <x:c r="J46" s="68" t="str">
        <x:v>药神解决流通却恶化调候可形成新病</x:v>
      </x:c>
      <x:c r="K46" s="68" t="str">
        <x:v>M12-BLOCK-0053-V1.0</x:v>
      </x:c>
      <x:c r="L46" s="68" t="str">
        <x:v>一处卡点修复后可能暴露下一处次级卡点</x:v>
      </x:c>
      <x:c r="M46" s="68" t="str">
        <x:v>候选桥梁恢复上游流通，但使终点过载、下游相战或形成回流壅塞</x:v>
      </x:c>
      <x:c r="N46" s="68" t="str">
        <x:v>次生卡点严重度和覆盖范围不得高于原卡点</x:v>
      </x:c>
      <x:c r="O46" s="68" t="str">
        <x:v>评估完整路径而非只看第一处卡点是否打开</x:v>
      </x:c>
      <x:c r="P46" s="68" t="str">
        <x:v>能完成源头—桥梁—终点全链修复者优先</x:v>
      </x:c>
      <x:c r="Q46" s="68" t="str">
        <x:v>只把问题向下游转移者降为条件性或不采用</x:v>
      </x:c>
      <x:c r="R46" s="84" t="str">
        <x:v>全链净流通裁决</x:v>
      </x:c>
      <x:c r="S46" s="68" t="str">
        <x:v>冲突双方均有有效证据且作用于同一原局</x:v>
      </x:c>
      <x:c r="T46" s="68" t="str">
        <x:v>其中一方只是名义候选、已经失效或不作用于主要矛盾</x:v>
      </x:c>
      <x:c r="U46" s="68" t="str">
        <x:v>若被降级一方实际承担不可替代功能，应重新进入本规则复审</x:v>
      </x:c>
      <x:c r="V46" s="68" t="str">
        <x:v>证据接近或存在流派争议时保留并列候选并降低置信度</x:v>
      </x:c>
      <x:c r="W46" s="90" t="str">
        <x:v>同时配置终点承载或限制桥梁药力</x:v>
      </x:c>
      <x:c r="X46" s="84" t="str">
        <x:v>流通次生卡点控制</x:v>
      </x:c>
      <x:c r="Y46" s="84" t="str">
        <x:v>冲突主题：流通修复与次生卡点冲突。裁决结果为“全链净流通裁决”；优先采用：能完成源头—桥梁—终点全链修复者优先；降级处理：只把问题向下游转移者降为条件性或不采用。同时控制副作用：同时配置终点承载或限制桥梁药力。</x:v>
      </x:c>
      <x:c r="Z46" s="82" t="str">
        <x:v>较高</x:v>
      </x:c>
      <x:c r="AA46" s="82" t="str">
        <x:v>现代综合</x:v>
      </x:c>
      <x:c r="AB4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6" s="68" t="str">
        <x:v>当“候选桥梁恢复上游流通，但使终点过载、下游相战或形成回流壅塞”成立，且硬约束与主次证据清晰时，可按本规则裁决。</x:v>
      </x:c>
      <x:c r="AD46" s="90" t="str">
        <x:v>若冲突双方并未同时有效，或“其中一方只是名义候选、已经失效或不作用于主要矛盾”成立，不得套用本规则制造假冲突。</x:v>
      </x:c>
      <x:c r="AE46" s="82" t="str">
        <x:v>采用</x:v>
      </x:c>
      <x:c r="AF46" s="82" t="str">
        <x:v>初审</x:v>
      </x:c>
      <x:c r="AG46" s="87" t="n">
        <x:v>46260</x:v>
      </x:c>
    </x:row>
    <x:row r="47">
      <x:c r="A47" s="72" t="str">
        <x:f>IF(OR(C47="",D47=""),"",B47&amp;"-"&amp;UPPER(C47)&amp;"-"&amp;TEXT(D47,"0000")&amp;"-"&amp;E47)</x:f>
        <x:v>M18-MED-0041-V1.0</x:v>
      </x:c>
      <x:c r="B47" s="74" t="str">
        <x:v>M18</x:v>
      </x:c>
      <x:c r="C47" s="74" t="str">
        <x:v>MED</x:v>
      </x:c>
      <x:c r="D47" s="215" t="n">
        <x:v>41</x:v>
      </x:c>
      <x:c r="E47" s="74" t="str">
        <x:v>V1.0</x:v>
      </x:c>
      <x:c r="F47" s="68" t="str">
        <x:v>根本病主药优先于表层扶抑药</x:v>
      </x:c>
      <x:c r="G47" s="82" t="str">
        <x:v>综合层</x:v>
      </x:c>
      <x:c r="H47" s="68" t="str">
        <x:v>病药主药与表层扶抑冲突</x:v>
      </x:c>
      <x:c r="I47" s="68" t="str">
        <x:v>M17-BINGYAO-0055-V1.0</x:v>
      </x:c>
      <x:c r="J47" s="68" t="str">
        <x:v>M16根本主病的直接主药优先进入主用候选</x:v>
      </x:c>
      <x:c r="K47" s="68" t="str">
        <x:v>M17-FUYI-0011-V1.0</x:v>
      </x:c>
      <x:c r="L47" s="68" t="str">
        <x:v>身弱时印星可扶身</x:v>
      </x:c>
      <x:c r="M47" s="68" t="str">
        <x:v>一个候选直接修复根本病，另一个只改善由根本病引发的表层旺衰</x:v>
      </x:c>
      <x:c r="N47" s="68" t="str">
        <x:v>根本病必须已由M16确认具有跨模块解释力</x:v>
      </x:c>
      <x:c r="O47" s="68" t="str">
        <x:v>治根因优先，表层药仅在主病修复后仍有必要时保留</x:v>
      </x:c>
      <x:c r="P47" s="68" t="str">
        <x:v>直接进入根本病位者列主用</x:v>
      </x:c>
      <x:c r="Q47" s="68" t="str">
        <x:v>表层扶抑药降为辅助、喜神或暂缓</x:v>
      </x:c>
      <x:c r="R47" s="84" t="str">
        <x:v>根本主药优先</x:v>
      </x:c>
      <x:c r="S47" s="68" t="str">
        <x:v>冲突双方均有有效证据且作用于同一原局</x:v>
      </x:c>
      <x:c r="T47" s="68" t="str">
        <x:v>其中一方只是名义候选、已经失效或不作用于主要矛盾</x:v>
      </x:c>
      <x:c r="U47" s="68" t="str">
        <x:v>若被降级一方实际承担不可替代功能，应重新进入本规则复审</x:v>
      </x:c>
      <x:c r="V47" s="68" t="str">
        <x:v>证据接近或存在流派争议时保留并列候选并降低置信度</x:v>
      </x:c>
      <x:c r="W47" s="90" t="str">
        <x:v>主药若伤格或产生更严重副作用，转药格净收益裁决</x:v>
      </x:c>
      <x:c r="X47" s="84" t="str">
        <x:v>根本主药优先</x:v>
      </x:c>
      <x:c r="Y47" s="84" t="str">
        <x:v>冲突主题：病药主药与表层扶抑冲突。裁决结果为“根本主药优先”；优先采用：直接进入根本病位者列主用；降级处理：表层扶抑药降为辅助、喜神或暂缓。同时控制副作用：主药若伤格或产生更严重副作用，转药格净收益裁决。</x:v>
      </x:c>
      <x:c r="Z47" s="82" t="str">
        <x:v>较高</x:v>
      </x:c>
      <x:c r="AA47" s="82" t="str">
        <x:v>现代综合</x:v>
      </x:c>
      <x:c r="AB4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7" s="68" t="str">
        <x:v>当“一个候选直接修复根本病，另一个只改善由根本病引发的表层旺衰”成立，且硬约束与主次证据清晰时，可按本规则裁决。</x:v>
      </x:c>
      <x:c r="AD47" s="90" t="str">
        <x:v>若冲突双方并未同时有效，或“其中一方只是名义候选、已经失效或不作用于主要矛盾”成立，不得套用本规则制造假冲突。</x:v>
      </x:c>
      <x:c r="AE47" s="82" t="str">
        <x:v>采用</x:v>
      </x:c>
      <x:c r="AF47" s="82" t="str">
        <x:v>初审</x:v>
      </x:c>
      <x:c r="AG47" s="87" t="n">
        <x:v>46260</x:v>
      </x:c>
    </x:row>
    <x:row r="48">
      <x:c r="A48" s="72" t="str">
        <x:f>IF(OR(C48="",D48=""),"",B48&amp;"-"&amp;UPPER(C48)&amp;"-"&amp;TEXT(D48,"0000")&amp;"-"&amp;E48)</x:f>
        <x:v>M18-MED-0042-V1.0</x:v>
      </x:c>
      <x:c r="B48" s="74" t="str">
        <x:v>M18</x:v>
      </x:c>
      <x:c r="C48" s="74" t="str">
        <x:v>MED</x:v>
      </x:c>
      <x:c r="D48" s="215" t="n">
        <x:v>42</x:v>
      </x:c>
      <x:c r="E48" s="74" t="str">
        <x:v>V1.0</x:v>
      </x:c>
      <x:c r="F48" s="68" t="str">
        <x:v>格局病本身是根本病时救格药可压过一般扶抑</x:v>
      </x:c>
      <x:c r="G48" s="82" t="str">
        <x:v>综合层</x:v>
      </x:c>
      <x:c r="H48" s="68" t="str">
        <x:v>格局病主药与普通扶抑冲突</x:v>
      </x:c>
      <x:c r="I48" s="68" t="str">
        <x:v>M16-COMPOSITE-0104-V1.0</x:v>
      </x:c>
      <x:c r="J48" s="68" t="str">
        <x:v>制化病与格局病同源时优先保护核心制化链</x:v>
      </x:c>
      <x:c r="K48" s="68" t="str">
        <x:v>M17-FUYI-0015-V1.0</x:v>
      </x:c>
      <x:c r="L48" s="68" t="str">
        <x:v>身旺可用食神泄秀</x:v>
      </x:c>
      <x:c r="M48" s="68" t="str">
        <x:v>格局破损由关键制化链失效造成，而普通泄身或扶身并不能恢复该链</x:v>
      </x:c>
      <x:c r="N48" s="68" t="str">
        <x:v>M15格局仍有效且该制化链是不可替代核心</x:v>
      </x:c>
      <x:c r="O48" s="68" t="str">
        <x:v>直接恢复格局核心链优先于一般旺衰优化</x:v>
      </x:c>
      <x:c r="P48" s="68" t="str">
        <x:v>救格主药列第一顺位</x:v>
      </x:c>
      <x:c r="Q48" s="68" t="str">
        <x:v>普通扶抑药降为辅助或第三顺位</x:v>
      </x:c>
      <x:c r="R48" s="84" t="str">
        <x:v>格局病主药优先</x:v>
      </x:c>
      <x:c r="S48" s="68" t="str">
        <x:v>冲突双方均有有效证据且作用于同一原局</x:v>
      </x:c>
      <x:c r="T48" s="68" t="str">
        <x:v>其中一方只是名义候选、已经失效或不作用于主要矛盾</x:v>
      </x:c>
      <x:c r="U48" s="68" t="str">
        <x:v>若被降级一方实际承担不可替代功能，应重新进入本规则复审</x:v>
      </x:c>
      <x:c r="V48" s="68" t="str">
        <x:v>证据接近或存在流派争议时保留并列候选并降低置信度</x:v>
      </x:c>
      <x:c r="W48" s="90" t="str">
        <x:v>救格药必须控制药量，防止修复过度造成新的制化失衡</x:v>
      </x:c>
      <x:c r="X48" s="84" t="str">
        <x:v>格局病救药优先</x:v>
      </x:c>
      <x:c r="Y48" s="84" t="str">
        <x:v>冲突主题：格局病主药与普通扶抑冲突。裁决结果为“格局病主药优先”；优先采用：救格主药列第一顺位；降级处理：普通扶抑药降为辅助或第三顺位。同时控制副作用：救格药必须控制药量，防止修复过度造成新的制化失衡。</x:v>
      </x:c>
      <x:c r="Z48" s="82" t="str">
        <x:v>较高</x:v>
      </x:c>
      <x:c r="AA48" s="82" t="str">
        <x:v>现代综合</x:v>
      </x:c>
      <x:c r="AB4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8" s="68" t="str">
        <x:v>当“格局破损由关键制化链失效造成，而普通泄身或扶身并不能恢复该链”成立，且硬约束与主次证据清晰时，可按本规则裁决。</x:v>
      </x:c>
      <x:c r="AD48" s="90" t="str">
        <x:v>若冲突双方并未同时有效，或“其中一方只是名义候选、已经失效或不作用于主要矛盾”成立，不得套用本规则制造假冲突。</x:v>
      </x:c>
      <x:c r="AE48" s="82" t="str">
        <x:v>采用</x:v>
      </x:c>
      <x:c r="AF48" s="82" t="str">
        <x:v>初审</x:v>
      </x:c>
      <x:c r="AG48" s="87" t="n">
        <x:v>46260</x:v>
      </x:c>
    </x:row>
    <x:row r="49">
      <x:c r="A49" s="72" t="str">
        <x:f>IF(OR(C49="",D49=""),"",B49&amp;"-"&amp;UPPER(C49)&amp;"-"&amp;TEXT(D49,"0000")&amp;"-"&amp;E49)</x:f>
        <x:v>M18-MED-0043-V1.0</x:v>
      </x:c>
      <x:c r="B49" s="74" t="str">
        <x:v>M18</x:v>
      </x:c>
      <x:c r="C49" s="74" t="str">
        <x:v>MED</x:v>
      </x:c>
      <x:c r="D49" s="215" t="n">
        <x:v>43</x:v>
      </x:c>
      <x:c r="E49" s="74" t="str">
        <x:v>V1.0</x:v>
      </x:c>
      <x:c r="F49" s="68" t="str">
        <x:v>主药伤害有效核心格局时优先寻找替代药路</x:v>
      </x:c>
      <x:c r="G49" s="82" t="str">
        <x:v>综合层</x:v>
      </x:c>
      <x:c r="H49" s="68" t="str">
        <x:v>病药主药与格局硬冲突</x:v>
      </x:c>
      <x:c r="I49" s="68" t="str">
        <x:v>M17-BINGYAO-0062-V1.0</x:v>
      </x:c>
      <x:c r="J49" s="68" t="str">
        <x:v>主药伤格且无替代保护时可转条件性忌神</x:v>
      </x:c>
      <x:c r="K49" s="68" t="str">
        <x:v>M17-GEJU-0024-V1.0</x:v>
      </x:c>
      <x:c r="L49" s="68" t="str">
        <x:v>七杀格需维持适当制化而非简单消杀</x:v>
      </x:c>
      <x:c r="M49" s="68" t="str">
        <x:v>某主药可治旺衰或调候病，却会使格神失效、制化链断裂或特殊格局破格</x:v>
      </x:c>
      <x:c r="N49" s="68" t="str">
        <x:v>格局仍有效且格局病严重度不低于所治之病</x:v>
      </x:c>
      <x:c r="O49" s="68" t="str">
        <x:v>先寻找不伤格的等效药路；没有替代时才讨论限量条件性使用</x:v>
      </x:c>
      <x:c r="P49" s="68" t="str">
        <x:v>替代药路优先</x:v>
      </x:c>
      <x:c r="Q49" s="68" t="str">
        <x:v>伤格主药降为条件性喜神、条件性忌神或不采用</x:v>
      </x:c>
      <x:c r="R49" s="84" t="str">
        <x:v>替代药路优先</x:v>
      </x:c>
      <x:c r="S49" s="68" t="str">
        <x:v>冲突双方均有有效证据且作用于同一原局</x:v>
      </x:c>
      <x:c r="T49" s="68" t="str">
        <x:v>其中一方只是名义候选、已经失效或不作用于主要矛盾</x:v>
      </x:c>
      <x:c r="U49" s="68" t="str">
        <x:v>若被降级一方实际承担不可替代功能，应重新进入本规则复审</x:v>
      </x:c>
      <x:c r="V49" s="68" t="str">
        <x:v>证据接近或存在流派争议时保留并列候选并降低置信度</x:v>
      </x:c>
      <x:c r="W49" s="90" t="str">
        <x:v>若必须使用，配置护格辅助并限定不触发根本破格的上限</x:v>
      </x:c>
      <x:c r="X49" s="84" t="str">
        <x:v>主药伤格替代</x:v>
      </x:c>
      <x:c r="Y49" s="84" t="str">
        <x:v>冲突主题：病药主药与格局硬冲突。裁决结果为“替代药路优先”；优先采用：替代药路优先；降级处理：伤格主药降为条件性喜神、条件性忌神或不采用。同时控制副作用：若必须使用，配置护格辅助并限定不触发根本破格的上限。</x:v>
      </x:c>
      <x:c r="Z49" s="82" t="str">
        <x:v>较高</x:v>
      </x:c>
      <x:c r="AA49" s="82" t="str">
        <x:v>现代综合</x:v>
      </x:c>
      <x:c r="AB4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9" s="68" t="str">
        <x:v>当“某主药可治旺衰或调候病，却会使格神失效、制化链断裂或特殊格局破格”成立，且硬约束与主次证据清晰时，可按本规则裁决。</x:v>
      </x:c>
      <x:c r="AD49" s="90" t="str">
        <x:v>若冲突双方并未同时有效，或“其中一方只是名义候选、已经失效或不作用于主要矛盾”成立，不得套用本规则制造假冲突。</x:v>
      </x:c>
      <x:c r="AE49" s="82" t="str">
        <x:v>采用</x:v>
      </x:c>
      <x:c r="AF49" s="82" t="str">
        <x:v>初审</x:v>
      </x:c>
      <x:c r="AG49" s="87" t="n">
        <x:v>46260</x:v>
      </x:c>
    </x:row>
    <x:row r="50">
      <x:c r="A50" s="72" t="str">
        <x:f>IF(OR(C50="",D50=""),"",B50&amp;"-"&amp;UPPER(C50)&amp;"-"&amp;TEXT(D50,"0000")&amp;"-"&amp;E50)</x:f>
        <x:v>M18-MED-0044-V1.0</x:v>
      </x:c>
      <x:c r="B50" s="74" t="str">
        <x:v>M18</x:v>
      </x:c>
      <x:c r="C50" s="74" t="str">
        <x:v>MED</x:v>
      </x:c>
      <x:c r="D50" s="215" t="n">
        <x:v>44</x:v>
      </x:c>
      <x:c r="E50" s="74" t="str">
        <x:v>V1.0</x:v>
      </x:c>
      <x:c r="F50" s="68" t="str">
        <x:v>治一病而产生更严重的新病时否决该药</x:v>
      </x:c>
      <x:c r="G50" s="82" t="str">
        <x:v>综合层</x:v>
      </x:c>
      <x:c r="H50" s="68" t="str">
        <x:v>病药收益与新病风险冲突</x:v>
      </x:c>
      <x:c r="I50" s="68" t="str">
        <x:v>M16-DOSE-0091-V1.0</x:v>
      </x:c>
      <x:c r="J50" s="68" t="str">
        <x:v>药力过量或方向冲突可形成反向新病</x:v>
      </x:c>
      <x:c r="K50" s="68" t="str">
        <x:v>M17-BINGYAO-0061-V1.0</x:v>
      </x:c>
      <x:c r="L50" s="68" t="str">
        <x:v>药神适量治病、过量成病时应条件化</x:v>
      </x:c>
      <x:c r="M50" s="68" t="str">
        <x:v>候选药神能治原病，但会制造严重度更高的身弱、破格、寒湿、热燥或流通病</x:v>
      </x:c>
      <x:c r="N50" s="68" t="str">
        <x:v>新病严重度高于原病或触发根本破格时构成否决</x:v>
      </x:c>
      <x:c r="O50" s="68" t="str">
        <x:v>按净严重度而非单项疗效判断</x:v>
      </x:c>
      <x:c r="P50" s="68" t="str">
        <x:v>无同级新病的替代药优先</x:v>
      </x:c>
      <x:c r="Q50" s="68" t="str">
        <x:v>该药定为不采用、忌神或条件性忌神</x:v>
      </x:c>
      <x:c r="R50" s="84" t="str">
        <x:v>更重药害否决</x:v>
      </x:c>
      <x:c r="S50" s="68" t="str">
        <x:v>冲突双方均有有效证据且作用于同一原局</x:v>
      </x:c>
      <x:c r="T50" s="68" t="str">
        <x:v>其中一方只是名义候选、已经失效或不作用于主要矛盾</x:v>
      </x:c>
      <x:c r="U50" s="68" t="str">
        <x:v>若被降级一方实际承担不可替代功能，应重新进入本规则复审</x:v>
      </x:c>
      <x:c r="V50" s="68" t="str">
        <x:v>证据接近或存在流派争议时保留并列候选并降低置信度</x:v>
      </x:c>
      <x:c r="W50" s="90" t="str">
        <x:v>列明原病收益、新病类型和转害阈值</x:v>
      </x:c>
      <x:c r="X50" s="84" t="str">
        <x:v>治病生重病否决</x:v>
      </x:c>
      <x:c r="Y50" s="84" t="str">
        <x:v>冲突主题：病药收益与新病风险冲突。裁决结果为“更重药害否决”；优先采用：无同级新病的替代药优先；降级处理：该药定为不采用、忌神或条件性忌神。同时控制副作用：列明原病收益、新病类型和转害阈值。</x:v>
      </x:c>
      <x:c r="Z50" s="82" t="str">
        <x:v>较高</x:v>
      </x:c>
      <x:c r="AA50" s="82" t="str">
        <x:v>现代综合</x:v>
      </x:c>
      <x:c r="AB5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0" s="68" t="str">
        <x:v>当“候选药神能治原病，但会制造严重度更高的身弱、破格、寒湿、热燥或流通病”成立，且硬约束与主次证据清晰时，可按本规则裁决。</x:v>
      </x:c>
      <x:c r="AD50" s="90" t="str">
        <x:v>若冲突双方并未同时有效，或“其中一方只是名义候选、已经失效或不作用于主要矛盾”成立，不得套用本规则制造假冲突。</x:v>
      </x:c>
      <x:c r="AE50" s="82" t="str">
        <x:v>采用</x:v>
      </x:c>
      <x:c r="AF50" s="82" t="str">
        <x:v>初审</x:v>
      </x:c>
      <x:c r="AG50" s="87" t="n">
        <x:v>46260</x:v>
      </x:c>
    </x:row>
    <x:row r="51">
      <x:c r="A51" s="72" t="str">
        <x:f>IF(OR(C51="",D51=""),"",B51&amp;"-"&amp;UPPER(C51)&amp;"-"&amp;TEXT(D51,"0000")&amp;"-"&amp;E51)</x:f>
        <x:v>M18-MED-0045-V1.0</x:v>
      </x:c>
      <x:c r="B51" s="74" t="str">
        <x:v>M18</x:v>
      </x:c>
      <x:c r="C51" s="74" t="str">
        <x:v>MED</x:v>
      </x:c>
      <x:c r="D51" s="215" t="n">
        <x:v>45</x:v>
      </x:c>
      <x:c r="E51" s="74" t="str">
        <x:v>V1.0</x:v>
      </x:c>
      <x:c r="F51" s="68" t="str">
        <x:v>一药多效且证据独立时可升级为主用</x:v>
      </x:c>
      <x:c r="G51" s="82" t="str">
        <x:v>综合层</x:v>
      </x:c>
      <x:c r="H51" s="68" t="str">
        <x:v>多维一致与主用升级</x:v>
      </x:c>
      <x:c r="I51" s="68" t="str">
        <x:v>M17-BINGYAO-0059-V1.0</x:v>
      </x:c>
      <x:c r="J51" s="68" t="str">
        <x:v>一药多效且无硬冲突时可由喜神升级为主用</x:v>
      </x:c>
      <x:c r="K51" s="68" t="str">
        <x:v>M18-GEN-0006-V1.0</x:v>
      </x:c>
      <x:c r="L51" s="68" t="str">
        <x:v>同源证据不得重复计数</x:v>
      </x:c>
      <x:c r="M51" s="68" t="str">
        <x:v>同一五行同时治疗根本病、修复主路径并维护格局或调候</x:v>
      </x:c>
      <x:c r="N51" s="68" t="str">
        <x:v>至少两个关键收益必须来自独立病位或独立作用链</x:v>
      </x:c>
      <x:c r="O51" s="68" t="str">
        <x:v>独立多效提高不可替代性，但仍须通过硬约束与药量审查</x:v>
      </x:c>
      <x:c r="P51" s="68" t="str">
        <x:v>覆盖根本病且减少药路冲突者优先</x:v>
      </x:c>
      <x:c r="Q51" s="68" t="str">
        <x:v>证据同源或副作用明显者只列喜神、辅助或条件性</x:v>
      </x:c>
      <x:c r="R51" s="84" t="str">
        <x:v>多效升级</x:v>
      </x:c>
      <x:c r="S51" s="68" t="str">
        <x:v>冲突双方均有有效证据且作用于同一原局</x:v>
      </x:c>
      <x:c r="T51" s="68" t="str">
        <x:v>其中一方只是名义候选、已经失效或不作用于主要矛盾</x:v>
      </x:c>
      <x:c r="U51" s="68" t="str">
        <x:v>若被降级一方实际承担不可替代功能，应重新进入本规则复审</x:v>
      </x:c>
      <x:c r="V51" s="68" t="str">
        <x:v>证据接近或存在流派争议时保留并列候选并降低置信度</x:v>
      </x:c>
      <x:c r="W51" s="90" t="str">
        <x:v>防止药效集中后过量，设置主辅与强度边界</x:v>
      </x:c>
      <x:c r="X51" s="84" t="str">
        <x:v>一药多效升级</x:v>
      </x:c>
      <x:c r="Y51" s="84" t="str">
        <x:v>冲突主题：多维一致与主用升级。裁决结果为“多效升级”；优先采用：覆盖根本病且减少药路冲突者优先；降级处理：证据同源或副作用明显者只列喜神、辅助或条件性。同时控制副作用：防止药效集中后过量，设置主辅与强度边界。</x:v>
      </x:c>
      <x:c r="Z51" s="82" t="str">
        <x:v>较高</x:v>
      </x:c>
      <x:c r="AA51" s="82" t="str">
        <x:v>现代综合</x:v>
      </x:c>
      <x:c r="AB5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1" s="68" t="str">
        <x:v>当“同一五行同时治疗根本病、修复主路径并维护格局或调候”成立，且硬约束与主次证据清晰时，可按本规则裁决。</x:v>
      </x:c>
      <x:c r="AD51" s="90" t="str">
        <x:v>若冲突双方并未同时有效，或“其中一方只是名义候选、已经失效或不作用于主要矛盾”成立，不得套用本规则制造假冲突。</x:v>
      </x:c>
      <x:c r="AE51" s="82" t="str">
        <x:v>采用</x:v>
      </x:c>
      <x:c r="AF51" s="82" t="str">
        <x:v>初审</x:v>
      </x:c>
      <x:c r="AG51" s="87" t="n">
        <x:v>46260</x:v>
      </x:c>
    </x:row>
    <x:row r="52">
      <x:c r="A52" s="72" t="str">
        <x:f>IF(OR(C52="",D52=""),"",B52&amp;"-"&amp;UPPER(C52)&amp;"-"&amp;TEXT(D52,"0000")&amp;"-"&amp;E52)</x:f>
        <x:v>M18-MED-0046-V1.0</x:v>
      </x:c>
      <x:c r="B52" s="74" t="str">
        <x:v>M18</x:v>
      </x:c>
      <x:c r="C52" s="74" t="str">
        <x:v>MED</x:v>
      </x:c>
      <x:c r="D52" s="215" t="n">
        <x:v>46</x:v>
      </x:c>
      <x:c r="E52" s="74" t="str">
        <x:v>V1.0</x:v>
      </x:c>
      <x:c r="F52" s="68" t="str">
        <x:v>药神无根受制时不得承担主用职责</x:v>
      </x:c>
      <x:c r="G52" s="82" t="str">
        <x:v>综合层</x:v>
      </x:c>
      <x:c r="H52" s="68" t="str">
        <x:v>病药方向正确与药力不足冲突</x:v>
      </x:c>
      <x:c r="I52" s="68" t="str">
        <x:v>M17-BINGYAO-0057-V1.0</x:v>
      </x:c>
      <x:c r="J52" s="68" t="str">
        <x:v>药神无根无源时不得列无条件主用</x:v>
      </x:c>
      <x:c r="K52" s="68" t="str">
        <x:v>M16-DOSE-0087-V1.0</x:v>
      </x:c>
      <x:c r="L52" s="68" t="str">
        <x:v>药神无根无源只能形成名义药力</x:v>
      </x:c>
      <x:c r="M52" s="68" t="str">
        <x:v>候选药理正确，但药神极弱、受克、合绊或依赖失效桥梁</x:v>
      </x:c>
      <x:c r="N52" s="68" t="str">
        <x:v>主用神必须具备可达病位的实际药力</x:v>
      </x:c>
      <x:c r="O52" s="68" t="str">
        <x:v>方向正确不等于能够执行</x:v>
      </x:c>
      <x:c r="P52" s="68" t="str">
        <x:v>先增强药神或改用有力替代药路</x:v>
      </x:c>
      <x:c r="Q52" s="68" t="str">
        <x:v>原候选降为条件性喜神或待定</x:v>
      </x:c>
      <x:c r="R52" s="84" t="str">
        <x:v>药力不足降级</x:v>
      </x:c>
      <x:c r="S52" s="68" t="str">
        <x:v>冲突双方均有有效证据且作用于同一原局</x:v>
      </x:c>
      <x:c r="T52" s="68" t="str">
        <x:v>其中一方只是名义候选、已经失效或不作用于主要矛盾</x:v>
      </x:c>
      <x:c r="U52" s="68" t="str">
        <x:v>若被降级一方实际承担不可替代功能，应重新进入本规则复审</x:v>
      </x:c>
      <x:c r="V52" s="68" t="str">
        <x:v>证据接近或存在流派争议时保留并列候选并降低置信度</x:v>
      </x:c>
      <x:c r="W52" s="90" t="str">
        <x:v>将生扶药神或解除制约者列辅助用神，并防辅助过强</x:v>
      </x:c>
      <x:c r="X52" s="84" t="str">
        <x:v>药力不足降级</x:v>
      </x:c>
      <x:c r="Y52" s="84" t="str">
        <x:v>冲突主题：病药方向正确与药力不足冲突。裁决结果为“药力不足降级”；优先采用：先增强药神或改用有力替代药路；降级处理：原候选降为条件性喜神或待定。同时控制副作用：将生扶药神或解除制约者列辅助用神，并防辅助过强。</x:v>
      </x:c>
      <x:c r="Z52" s="82" t="str">
        <x:v>较高</x:v>
      </x:c>
      <x:c r="AA52" s="82" t="str">
        <x:v>现代综合</x:v>
      </x:c>
      <x:c r="AB5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2" s="68" t="str">
        <x:v>当“候选药理正确，但药神极弱、受克、合绊或依赖失效桥梁”成立，且硬约束与主次证据清晰时，可按本规则裁决。</x:v>
      </x:c>
      <x:c r="AD52" s="90" t="str">
        <x:v>若冲突双方并未同时有效，或“其中一方只是名义候选、已经失效或不作用于主要矛盾”成立，不得套用本规则制造假冲突。</x:v>
      </x:c>
      <x:c r="AE52" s="82" t="str">
        <x:v>采用</x:v>
      </x:c>
      <x:c r="AF52" s="82" t="str">
        <x:v>初审</x:v>
      </x:c>
      <x:c r="AG52" s="87" t="n">
        <x:v>46260</x:v>
      </x:c>
    </x:row>
    <x:row r="53">
      <x:c r="A53" s="72" t="str">
        <x:f>IF(OR(C53="",D53=""),"",B53&amp;"-"&amp;UPPER(C53)&amp;"-"&amp;TEXT(D53,"0000")&amp;"-"&amp;E53)</x:f>
        <x:v>M18-MED-0047-V1.0</x:v>
      </x:c>
      <x:c r="B53" s="74" t="str">
        <x:v>M18</x:v>
      </x:c>
      <x:c r="C53" s="74" t="str">
        <x:v>MED</x:v>
      </x:c>
      <x:c r="D53" s="215" t="n">
        <x:v>47</x:v>
      </x:c>
      <x:c r="E53" s="74" t="str">
        <x:v>V1.0</x:v>
      </x:c>
      <x:c r="F53" s="68" t="str">
        <x:v>主病优先于次病，次病药不得干扰主药</x:v>
      </x:c>
      <x:c r="G53" s="82" t="str">
        <x:v>综合层</x:v>
      </x:c>
      <x:c r="H53" s="68" t="str">
        <x:v>主病与次病优先级冲突</x:v>
      </x:c>
      <x:c r="I53" s="68" t="str">
        <x:v>M16-RANK-0101-V1.0</x:v>
      </x:c>
      <x:c r="J53" s="68" t="str">
        <x:v>同一原局原则上输出一个主病和一至三个次病</x:v>
      </x:c>
      <x:c r="K53" s="68" t="str">
        <x:v>M17-BINGYAO-0060-V1.0</x:v>
      </x:c>
      <x:c r="L53" s="68" t="str">
        <x:v>只治疗次病的药神列喜神或辅助</x:v>
      </x:c>
      <x:c r="M53" s="68" t="str">
        <x:v>主病与次病分别需要不同甚至相反五行</x:v>
      </x:c>
      <x:c r="N53" s="68" t="str">
        <x:v>主病必须已按共同根因、严重度和核心路径确定</x:v>
      </x:c>
      <x:c r="O53" s="68" t="str">
        <x:v>先确保主病药路不被破坏，再处理次病</x:v>
      </x:c>
      <x:c r="P53" s="68" t="str">
        <x:v>主病直接药列主用</x:v>
      </x:c>
      <x:c r="Q53" s="68" t="str">
        <x:v>次病药列辅助、第三顺位或条件性，若妨碍主药则不采用</x:v>
      </x:c>
      <x:c r="R53" s="84" t="str">
        <x:v>主病优先</x:v>
      </x:c>
      <x:c r="S53" s="68" t="str">
        <x:v>冲突双方均有有效证据且作用于同一原局</x:v>
      </x:c>
      <x:c r="T53" s="68" t="str">
        <x:v>其中一方只是名义候选、已经失效或不作用于主要矛盾</x:v>
      </x:c>
      <x:c r="U53" s="68" t="str">
        <x:v>若被降级一方实际承担不可替代功能，应重新进入本规则复审</x:v>
      </x:c>
      <x:c r="V53" s="68" t="str">
        <x:v>证据接近或存在流派争议时保留并列候选并降低置信度</x:v>
      </x:c>
      <x:c r="W53" s="90" t="str">
        <x:v>主病受控后重新评估次病是否仍存在，避免过度用药</x:v>
      </x:c>
      <x:c r="X53" s="84" t="str">
        <x:v>主病优先裁决</x:v>
      </x:c>
      <x:c r="Y53" s="84" t="str">
        <x:v>冲突主题：主病与次病优先级冲突。裁决结果为“主病优先”；优先采用：主病直接药列主用；降级处理：次病药列辅助、第三顺位或条件性，若妨碍主药则不采用。同时控制副作用：主病受控后重新评估次病是否仍存在，避免过度用药。</x:v>
      </x:c>
      <x:c r="Z53" s="82" t="str">
        <x:v>较高</x:v>
      </x:c>
      <x:c r="AA53" s="82" t="str">
        <x:v>现代综合</x:v>
      </x:c>
      <x:c r="AB5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3" s="68" t="str">
        <x:v>当“主病与次病分别需要不同甚至相反五行”成立，且硬约束与主次证据清晰时，可按本规则裁决。</x:v>
      </x:c>
      <x:c r="AD53" s="90" t="str">
        <x:v>若冲突双方并未同时有效，或“其中一方只是名义候选、已经失效或不作用于主要矛盾”成立，不得套用本规则制造假冲突。</x:v>
      </x:c>
      <x:c r="AE53" s="82" t="str">
        <x:v>采用</x:v>
      </x:c>
      <x:c r="AF53" s="82" t="str">
        <x:v>初审</x:v>
      </x:c>
      <x:c r="AG53" s="87" t="n">
        <x:v>46260</x:v>
      </x:c>
    </x:row>
    <x:row r="54">
      <x:c r="A54" s="72" t="str">
        <x:f>IF(OR(C54="",D54=""),"",B54&amp;"-"&amp;UPPER(C54)&amp;"-"&amp;TEXT(D54,"0000")&amp;"-"&amp;E54)</x:f>
        <x:v>M18-MED-0048-V1.0</x:v>
      </x:c>
      <x:c r="B54" s="74" t="str">
        <x:v>M18</x:v>
      </x:c>
      <x:c r="C54" s="74" t="str">
        <x:v>MED</x:v>
      </x:c>
      <x:c r="D54" s="215" t="n">
        <x:v>48</x:v>
      </x:c>
      <x:c r="E54" s="74" t="str">
        <x:v>V1.0</x:v>
      </x:c>
      <x:c r="F54" s="68" t="str">
        <x:v>同一病位存在多条药路时按净收益择一主路线</x:v>
      </x:c>
      <x:c r="G54" s="82" t="str">
        <x:v>综合层</x:v>
      </x:c>
      <x:c r="H54" s="68" t="str">
        <x:v>多病药路线冲突</x:v>
      </x:c>
      <x:c r="I54" s="68" t="str">
        <x:v>M16-MED-0082-V1.0</x:v>
      </x:c>
      <x:c r="J54" s="68" t="str">
        <x:v>制杀宜印还是宜食须按承载与格局择路</x:v>
      </x:c>
      <x:c r="K54" s="68" t="str">
        <x:v>M17-BINGYAO-0064-V1.0</x:v>
      </x:c>
      <x:c r="L54" s="68" t="str">
        <x:v>相反主药候选应并列并转M18裁决</x:v>
      </x:c>
      <x:c r="M54" s="68" t="str">
        <x:v>同一根本病可用两种不同药理修复，但两路线相互竞争或副作用相反</x:v>
      </x:c>
      <x:c r="N54" s="68" t="str">
        <x:v>两路线都必须具备实际药力和真实作用路径</x:v>
      </x:c>
      <x:c r="O54" s="68" t="str">
        <x:v>比较日主承载、格局主轴、作用直接性、药量风险和新病</x:v>
      </x:c>
      <x:c r="P54" s="68" t="str">
        <x:v>净收益更高且副作用可控者定主路线</x:v>
      </x:c>
      <x:c r="Q54" s="68" t="str">
        <x:v>次路线降为替代候选或不采用，不默认同时增强</x:v>
      </x:c>
      <x:c r="R54" s="84" t="str">
        <x:v>主药路线择一</x:v>
      </x:c>
      <x:c r="S54" s="68" t="str">
        <x:v>冲突双方均有有效证据且作用于同一原局</x:v>
      </x:c>
      <x:c r="T54" s="68" t="str">
        <x:v>其中一方只是名义候选、已经失效或不作用于主要矛盾</x:v>
      </x:c>
      <x:c r="U54" s="68" t="str">
        <x:v>若被降级一方实际承担不可替代功能，应重新进入本规则复审</x:v>
      </x:c>
      <x:c r="V54" s="68" t="str">
        <x:v>证据接近或存在流派争议时保留并列候选并降低置信度</x:v>
      </x:c>
      <x:c r="W54" s="90" t="str">
        <x:v>若两路线可协同且容量充足，可主辅配置；否则避免制化两立</x:v>
      </x:c>
      <x:c r="X54" s="84" t="str">
        <x:v>同病多药择路</x:v>
      </x:c>
      <x:c r="Y54" s="84" t="str">
        <x:v>冲突主题：多病药路线冲突。裁决结果为“主药路线择一”；优先采用：净收益更高且副作用可控者定主路线；降级处理：次路线降为替代候选或不采用，不默认同时增强。同时控制副作用：若两路线可协同且容量充足，可主辅配置；否则避免制化两立。</x:v>
      </x:c>
      <x:c r="Z54" s="82" t="str">
        <x:v>较高</x:v>
      </x:c>
      <x:c r="AA54" s="82" t="str">
        <x:v>现代综合</x:v>
      </x:c>
      <x:c r="AB5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4" s="68" t="str">
        <x:v>当“同一根本病可用两种不同药理修复，但两路线相互竞争或副作用相反”成立，且硬约束与主次证据清晰时，可按本规则裁决。</x:v>
      </x:c>
      <x:c r="AD54" s="90" t="str">
        <x:v>若冲突双方并未同时有效，或“其中一方只是名义候选、已经失效或不作用于主要矛盾”成立，不得套用本规则制造假冲突。</x:v>
      </x:c>
      <x:c r="AE54" s="82" t="str">
        <x:v>采用</x:v>
      </x:c>
      <x:c r="AF54" s="82" t="str">
        <x:v>初审</x:v>
      </x:c>
      <x:c r="AG54" s="87" t="n">
        <x:v>46260</x:v>
      </x:c>
    </x:row>
    <x:row r="55">
      <x:c r="A55" s="72" t="str">
        <x:f>IF(OR(C55="",D55=""),"",B55&amp;"-"&amp;UPPER(C55)&amp;"-"&amp;TEXT(D55,"0000")&amp;"-"&amp;E55)</x:f>
        <x:v>M18-MED-0049-V1.0</x:v>
      </x:c>
      <x:c r="B55" s="74" t="str">
        <x:v>M18</x:v>
      </x:c>
      <x:c r="C55" s="74" t="str">
        <x:v>MED</x:v>
      </x:c>
      <x:c r="D55" s="215" t="n">
        <x:v>49</x:v>
      </x:c>
      <x:c r="E55" s="74" t="str">
        <x:v>V1.0</x:v>
      </x:c>
      <x:c r="F55" s="68" t="str">
        <x:v>生助忌神、克制主用或破坏救应者定仇神</x:v>
      </x:c>
      <x:c r="G55" s="82" t="str">
        <x:v>综合层</x:v>
      </x:c>
      <x:c r="H55" s="68" t="str">
        <x:v>间接有害链与仇神定位</x:v>
      </x:c>
      <x:c r="I55" s="68" t="str">
        <x:v>M17-RANK-0092-V1.0</x:v>
      </x:c>
      <x:c r="J55" s="68" t="str">
        <x:v>仇神通过生忌、克用、坏药或阻救间接为害</x:v>
      </x:c>
      <x:c r="K55" s="68" t="str">
        <x:v>M17-RANK-0091-V1.0</x:v>
      </x:c>
      <x:c r="L55" s="68" t="str">
        <x:v>忌神直接加重根本病或破坏核心结构</x:v>
      </x:c>
      <x:c r="M55" s="68" t="str">
        <x:v>某五行自身不是直接根本病，却稳定强化忌神或削弱主辅用神</x:v>
      </x:c>
      <x:c r="N55" s="68" t="str">
        <x:v>必须明确完整的生克链和被伤害对象</x:v>
      </x:c>
      <x:c r="O55" s="68" t="str">
        <x:v>直接病因定忌，间接助害者定仇</x:v>
      </x:c>
      <x:c r="P55" s="68" t="str">
        <x:v>保护主用、切断助忌链的方案优先</x:v>
      </x:c>
      <x:c r="Q55" s="68" t="str">
        <x:v>该五行不进入任何喜用排序</x:v>
      </x:c>
      <x:c r="R55" s="84" t="str">
        <x:v>仇神定位</x:v>
      </x:c>
      <x:c r="S55" s="68" t="str">
        <x:v>冲突双方均有有效证据且作用于同一原局</x:v>
      </x:c>
      <x:c r="T55" s="68" t="str">
        <x:v>其中一方只是名义候选、已经失效或不作用于主要矛盾</x:v>
      </x:c>
      <x:c r="U55" s="68" t="str">
        <x:v>若被降级一方实际承担不可替代功能，应重新进入本规则复审</x:v>
      </x:c>
      <x:c r="V55" s="68" t="str">
        <x:v>证据接近或存在流派争议时保留并列候选并降低置信度</x:v>
      </x:c>
      <x:c r="W55" s="90" t="str">
        <x:v>若其另有不可替代正向功能，则降为条件性仇神并写明例外</x:v>
      </x:c>
      <x:c r="X55" s="84" t="str">
        <x:v>助忌伤用定仇</x:v>
      </x:c>
      <x:c r="Y55" s="84" t="str">
        <x:v>冲突主题：间接有害链与仇神定位。裁决结果为“仇神定位”；优先采用：保护主用、切断助忌链的方案优先；降级处理：该五行不进入任何喜用排序。同时控制副作用：若其另有不可替代正向功能，则降为条件性仇神并写明例外。</x:v>
      </x:c>
      <x:c r="Z55" s="82" t="str">
        <x:v>较高</x:v>
      </x:c>
      <x:c r="AA55" s="82" t="str">
        <x:v>现代综合</x:v>
      </x:c>
      <x:c r="AB5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5" s="68" t="str">
        <x:v>当“某五行自身不是直接根本病，却稳定强化忌神或削弱主辅用神”成立，且硬约束与主次证据清晰时，可按本规则裁决。</x:v>
      </x:c>
      <x:c r="AD55" s="90" t="str">
        <x:v>若冲突双方并未同时有效，或“其中一方只是名义候选、已经失效或不作用于主要矛盾”成立，不得套用本规则制造假冲突。</x:v>
      </x:c>
      <x:c r="AE55" s="82" t="str">
        <x:v>采用</x:v>
      </x:c>
      <x:c r="AF55" s="82" t="str">
        <x:v>初审</x:v>
      </x:c>
      <x:c r="AG55" s="87" t="n">
        <x:v>46260</x:v>
      </x:c>
    </x:row>
    <x:row r="56">
      <x:c r="A56" s="72" t="str">
        <x:f>IF(OR(C56="",D56=""),"",B56&amp;"-"&amp;UPPER(C56)&amp;"-"&amp;TEXT(D56,"0000")&amp;"-"&amp;E56)</x:f>
        <x:v>M18-MED-0050-V1.0</x:v>
      </x:c>
      <x:c r="B56" s="74" t="str">
        <x:v>M18</x:v>
      </x:c>
      <x:c r="C56" s="74" t="str">
        <x:v>MED</x:v>
      </x:c>
      <x:c r="D56" s="215" t="n">
        <x:v>50</x:v>
      </x:c>
      <x:c r="E56" s="74" t="str">
        <x:v>V1.0</x:v>
      </x:c>
      <x:c r="F56" s="68" t="str">
        <x:v>无真实病位时不设病药主用</x:v>
      </x:c>
      <x:c r="G56" s="82" t="str">
        <x:v>综合层</x:v>
      </x:c>
      <x:c r="H56" s="68" t="str">
        <x:v>无病与强行设药冲突</x:v>
      </x:c>
      <x:c r="I56" s="68" t="str">
        <x:v>M17-BINGYAO-0063-V1.0</x:v>
      </x:c>
      <x:c r="J56" s="68" t="str">
        <x:v>无病位时不应强行指定病药用神</x:v>
      </x:c>
      <x:c r="K56" s="68" t="str">
        <x:v>M17-RANK-0085-V1.0</x:v>
      </x:c>
      <x:c r="L56" s="68" t="str">
        <x:v>主用神必须解决根本主病或最高优先级硬约束</x:v>
      </x:c>
      <x:c r="M56" s="68" t="str">
        <x:v>命局结构基本正常，却为了完整喜用列表人为指定药神</x:v>
      </x:c>
      <x:c r="N56" s="68" t="str">
        <x:v>M16未立根本病，或只有轻微偏差且无功能障碍</x:v>
      </x:c>
      <x:c r="O56" s="68" t="str">
        <x:v>无病不设药；仍可从格局、通关或调候其他来源取用</x:v>
      </x:c>
      <x:c r="P56" s="68" t="str">
        <x:v>真实存在的格局或主路径需求优先</x:v>
      </x:c>
      <x:c r="Q56" s="68" t="str">
        <x:v>病药维度退出，该候选五行按其他维度重评</x:v>
      </x:c>
      <x:c r="R56" s="84" t="str">
        <x:v>取消病药来源</x:v>
      </x:c>
      <x:c r="S56" s="68" t="str">
        <x:v>冲突双方均有有效证据且作用于同一原局</x:v>
      </x:c>
      <x:c r="T56" s="68" t="str">
        <x:v>其中一方只是名义候选、已经失效或不作用于主要矛盾</x:v>
      </x:c>
      <x:c r="U56" s="68" t="str">
        <x:v>若被降级一方实际承担不可替代功能，应重新进入本规则复审</x:v>
      </x:c>
      <x:c r="V56" s="68" t="str">
        <x:v>证据接近或存在流派争议时保留并列候选并降低置信度</x:v>
      </x:c>
      <x:c r="W56" s="90" t="str">
        <x:v>避免无必要用药打破原局平衡</x:v>
      </x:c>
      <x:c r="X56" s="84" t="str">
        <x:v>无病不设药</x:v>
      </x:c>
      <x:c r="Y56" s="84" t="str">
        <x:v>冲突主题：无病与强行设药冲突。裁决结果为“取消病药来源”；优先采用：真实存在的格局或主路径需求优先；降级处理：病药维度退出，该候选五行按其他维度重评。同时控制副作用：避免无必要用药打破原局平衡。</x:v>
      </x:c>
      <x:c r="Z56" s="82" t="str">
        <x:v>较高</x:v>
      </x:c>
      <x:c r="AA56" s="82" t="str">
        <x:v>现代综合</x:v>
      </x:c>
      <x:c r="AB5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6" s="68" t="str">
        <x:v>当“命局结构基本正常，却为了完整喜用列表人为指定药神”成立，且硬约束与主次证据清晰时，可按本规则裁决。</x:v>
      </x:c>
      <x:c r="AD56" s="90" t="str">
        <x:v>若冲突双方并未同时有效，或“其中一方只是名义候选、已经失效或不作用于主要矛盾”成立，不得套用本规则制造假冲突。</x:v>
      </x:c>
      <x:c r="AE56" s="82" t="str">
        <x:v>采用</x:v>
      </x:c>
      <x:c r="AF56" s="82" t="str">
        <x:v>初审</x:v>
      </x:c>
      <x:c r="AG56" s="87" t="n">
        <x:v>46260</x:v>
      </x:c>
    </x:row>
    <x:row r="57">
      <x:c r="A57" s="72" t="str">
        <x:f>IF(OR(C57="",D57=""),"",B57&amp;"-"&amp;UPPER(C57)&amp;"-"&amp;TEXT(D57,"0000")&amp;"-"&amp;E57)</x:f>
        <x:v>M18-ROUTE-0051-V1.0</x:v>
      </x:c>
      <x:c r="B57" s="74" t="str">
        <x:v>M18</x:v>
      </x:c>
      <x:c r="C57" s="74" t="str">
        <x:v>ROUTE</x:v>
      </x:c>
      <x:c r="D57" s="215" t="n">
        <x:v>51</x:v>
      </x:c>
      <x:c r="E57" s="74" t="str">
        <x:v>V1.0</x:v>
      </x:c>
      <x:c r="F57" s="68" t="str">
        <x:v>印化杀与食神制杀冲突时按日主承载和破坏因素择路</x:v>
      </x:c>
      <x:c r="G57" s="82" t="str">
        <x:v>综合层</x:v>
      </x:c>
      <x:c r="H57" s="68" t="str">
        <x:v>印化杀与食制杀路线冲突</x:v>
      </x:c>
      <x:c r="I57" s="68" t="str">
        <x:v>M16-CONTROL-0039-V1.0</x:v>
      </x:c>
      <x:c r="J57" s="68" t="str">
        <x:v>七杀无制无化需选印化或食制主路线</x:v>
      </x:c>
      <x:c r="K57" s="68" t="str">
        <x:v>M16-MED-0082-V1.0</x:v>
      </x:c>
      <x:c r="L57" s="68" t="str">
        <x:v>制杀宜印还是宜食须按日主承载与格局择路</x:v>
      </x:c>
      <x:c r="M57" s="68" t="str">
        <x:v>印星与食神都可处理七杀，但印会夺食、食会泄身，且两者可能争夺同一杀气</x:v>
      </x:c>
      <x:c r="N57" s="68" t="str">
        <x:v>日主弱且食神再泄明显时优先印化；食神为格神且印会枭夺食时优先食制</x:v>
      </x:c>
      <x:c r="O57" s="68" t="str">
        <x:v>比较身强弱、财坏印、枭夺食、制杀比例和格局主轴</x:v>
      </x:c>
      <x:c r="P57" s="68" t="str">
        <x:v>能稳定处理杀压且副作用更小的一条路线优先</x:v>
      </x:c>
      <x:c r="Q57" s="68" t="str">
        <x:v>另一条路线降为替代候选或辅助，不默认同时加强</x:v>
      </x:c>
      <x:c r="R57" s="84" t="str">
        <x:v>制杀路线择一</x:v>
      </x:c>
      <x:c r="S57" s="68" t="str">
        <x:v>冲突双方均有有效证据且作用于同一原局</x:v>
      </x:c>
      <x:c r="T57" s="68" t="str">
        <x:v>其中一方只是名义候选、已经失效或不作用于主要矛盾</x:v>
      </x:c>
      <x:c r="U57" s="68" t="str">
        <x:v>若被降级一方实际承担不可替代功能，应重新进入本规则复审</x:v>
      </x:c>
      <x:c r="V57" s="68" t="str">
        <x:v>证据接近或存在流派争议时保留并列候选并降低置信度</x:v>
      </x:c>
      <x:c r="W57" s="90" t="str">
        <x:v>防止制杀太过、印多身滞和制化两立</x:v>
      </x:c>
      <x:c r="X57" s="84" t="str">
        <x:v>印食制杀择路</x:v>
      </x:c>
      <x:c r="Y57" s="84" t="str">
        <x:v>冲突主题：印化杀与食制杀路线冲突。裁决结果为“制杀路线择一”；优先采用：能稳定处理杀压且副作用更小的一条路线优先；降级处理：另一条路线降为替代候选或辅助，不默认同时加强。同时控制副作用：防止制杀太过、印多身滞和制化两立。</x:v>
      </x:c>
      <x:c r="Z57" s="82" t="str">
        <x:v>较高</x:v>
      </x:c>
      <x:c r="AA57" s="82" t="str">
        <x:v>现代综合</x:v>
      </x:c>
      <x:c r="AB5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7" s="68" t="str">
        <x:v>当“印星与食神都可处理七杀，但印会夺食、食会泄身，且两者可能争夺同一杀气”成立，且硬约束与主次证据清晰时，可按本规则裁决。</x:v>
      </x:c>
      <x:c r="AD57" s="90" t="str">
        <x:v>若冲突双方并未同时有效，或“其中一方只是名义候选、已经失效或不作用于主要矛盾”成立，不得套用本规则制造假冲突。</x:v>
      </x:c>
      <x:c r="AE57" s="82" t="str">
        <x:v>采用</x:v>
      </x:c>
      <x:c r="AF57" s="82" t="str">
        <x:v>初审</x:v>
      </x:c>
      <x:c r="AG57" s="87" t="n">
        <x:v>46260</x:v>
      </x:c>
    </x:row>
    <x:row r="58">
      <x:c r="A58" s="72" t="str">
        <x:f>IF(OR(C58="",D58=""),"",B58&amp;"-"&amp;UPPER(C58)&amp;"-"&amp;TEXT(D58,"0000")&amp;"-"&amp;E58)</x:f>
        <x:v>M18-ROUTE-0052-V1.0</x:v>
      </x:c>
      <x:c r="B58" s="74" t="str">
        <x:v>M18</x:v>
      </x:c>
      <x:c r="C58" s="74" t="str">
        <x:v>ROUTE</x:v>
      </x:c>
      <x:c r="D58" s="215" t="n">
        <x:v>52</x:v>
      </x:c>
      <x:c r="E58" s="74" t="str">
        <x:v>V1.0</x:v>
      </x:c>
      <x:c r="F58" s="68" t="str">
        <x:v>伤官配印与伤官生财冲突时按日主与格局择路</x:v>
      </x:c>
      <x:c r="G58" s="82" t="str">
        <x:v>综合层</x:v>
      </x:c>
      <x:c r="H58" s="68" t="str">
        <x:v>伤官生财与伤官配印路线冲突</x:v>
      </x:c>
      <x:c r="I58" s="68" t="str">
        <x:v>M17-GEJU-0028-V1.0</x:v>
      </x:c>
      <x:c r="J58" s="68" t="str">
        <x:v>伤官格以生财或配印的稳定路线为用神</x:v>
      </x:c>
      <x:c r="K58" s="68" t="str">
        <x:v>M16-CONTROL-0044-V1.0</x:v>
      </x:c>
      <x:c r="L58" s="68" t="str">
        <x:v>配印不足时需增强印或改走财通关</x:v>
      </x:c>
      <x:c r="M58" s="68" t="str">
        <x:v>财与印分别为伤官提供出口和约束，但财会坏印、印会制伤并生身</x:v>
      </x:c>
      <x:c r="N58" s="68" t="str">
        <x:v>身弱伤旺、伤官克官时偏向配印；身旺伤旺且财能承接时偏向生财</x:v>
      </x:c>
      <x:c r="O58" s="68" t="str">
        <x:v>比较日主承载、正官是否关键、财坏印风险和输出终点</x:v>
      </x:c>
      <x:c r="P58" s="68" t="str">
        <x:v>与日主和主格更匹配者优先</x:v>
      </x:c>
      <x:c r="Q58" s="68" t="str">
        <x:v>次路线降为辅助或条件性，避免财印同时强冲</x:v>
      </x:c>
      <x:c r="R58" s="84" t="str">
        <x:v>伤官路线择一</x:v>
      </x:c>
      <x:c r="S58" s="68" t="str">
        <x:v>冲突双方均有有效证据且作用于同一原局</x:v>
      </x:c>
      <x:c r="T58" s="68" t="str">
        <x:v>其中一方只是名义候选、已经失效或不作用于主要矛盾</x:v>
      </x:c>
      <x:c r="U58" s="68" t="str">
        <x:v>若被降级一方实际承担不可替代功能，应重新进入本规则复审</x:v>
      </x:c>
      <x:c r="V58" s="68" t="str">
        <x:v>证据接近或存在流派争议时保留并列候选并降低置信度</x:v>
      </x:c>
      <x:c r="W58" s="90" t="str">
        <x:v>防止印制太过或财耗身、坏印过度</x:v>
      </x:c>
      <x:c r="X58" s="84" t="str">
        <x:v>伤官财印择路</x:v>
      </x:c>
      <x:c r="Y58" s="84" t="str">
        <x:v>冲突主题：伤官生财与伤官配印路线冲突。裁决结果为“伤官路线择一”；优先采用：与日主和主格更匹配者优先；降级处理：次路线降为辅助或条件性，避免财印同时强冲。同时控制副作用：防止印制太过或财耗身、坏印过度。</x:v>
      </x:c>
      <x:c r="Z58" s="82" t="str">
        <x:v>较高</x:v>
      </x:c>
      <x:c r="AA58" s="82" t="str">
        <x:v>现代综合</x:v>
      </x:c>
      <x:c r="AB5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8" s="68" t="str">
        <x:v>当“财与印分别为伤官提供出口和约束，但财会坏印、印会制伤并生身”成立，且硬约束与主次证据清晰时，可按本规则裁决。</x:v>
      </x:c>
      <x:c r="AD58" s="90" t="str">
        <x:v>若冲突双方并未同时有效，或“其中一方只是名义候选、已经失效或不作用于主要矛盾”成立，不得套用本规则制造假冲突。</x:v>
      </x:c>
      <x:c r="AE58" s="82" t="str">
        <x:v>采用</x:v>
      </x:c>
      <x:c r="AF58" s="82" t="str">
        <x:v>初审</x:v>
      </x:c>
      <x:c r="AG58" s="87" t="n">
        <x:v>46260</x:v>
      </x:c>
    </x:row>
    <x:row r="59">
      <x:c r="A59" s="72" t="str">
        <x:f>IF(OR(C59="",D59=""),"",B59&amp;"-"&amp;UPPER(C59)&amp;"-"&amp;TEXT(D59,"0000")&amp;"-"&amp;E59)</x:f>
        <x:v>M18-ROUTE-0053-V1.0</x:v>
      </x:c>
      <x:c r="B59" s="74" t="str">
        <x:v>M18</x:v>
      </x:c>
      <x:c r="C59" s="74" t="str">
        <x:v>ROUTE</x:v>
      </x:c>
      <x:c r="D59" s="215" t="n">
        <x:v>53</x:v>
      </x:c>
      <x:c r="E59" s="74" t="str">
        <x:v>V1.0</x:v>
      </x:c>
      <x:c r="F59" s="68" t="str">
        <x:v>建禄身旺的泄、制、耗三路线按主路径择一</x:v>
      </x:c>
      <x:c r="G59" s="82" t="str">
        <x:v>综合层</x:v>
      </x:c>
      <x:c r="H59" s="68" t="str">
        <x:v>建禄格泄制耗路线冲突</x:v>
      </x:c>
      <x:c r="I59" s="68" t="str">
        <x:v>M17-GEJU-0029-V1.0</x:v>
      </x:c>
      <x:c r="J59" s="68" t="str">
        <x:v>建禄格需在食伤泄、官杀制、财星耗中选择主出口</x:v>
      </x:c>
      <x:c r="K59" s="68" t="str">
        <x:v>M16-STRONG-0023-V1.0</x:v>
      </x:c>
      <x:c r="L59" s="68" t="str">
        <x:v>过旺宜泄还是宜制须服从格局和流通</x:v>
      </x:c>
      <x:c r="M59" s="68" t="str">
        <x:v>食伤、官杀、财星都可处理强身，但三者对格局、调候和承载副作用不同</x:v>
      </x:c>
      <x:c r="N59" s="68" t="str">
        <x:v>必须先确认日主实际旺度、主要卡点和现有格局主轴</x:v>
      </x:c>
      <x:c r="O59" s="68" t="str">
        <x:v>有稳定食伤财链则优先泄；官杀有权且日主可承则可制；财星有承接且不坏印时可耗</x:v>
      </x:c>
      <x:c r="P59" s="68" t="str">
        <x:v>能形成最短主路径且副作用最小的路线优先</x:v>
      </x:c>
      <x:c r="Q59" s="68" t="str">
        <x:v>其他路线列辅助或不采用，避免泄制耗叠加过度</x:v>
      </x:c>
      <x:c r="R59" s="84" t="str">
        <x:v>建禄出口择一</x:v>
      </x:c>
      <x:c r="S59" s="68" t="str">
        <x:v>冲突双方均有有效证据且作用于同一原局</x:v>
      </x:c>
      <x:c r="T59" s="68" t="str">
        <x:v>其中一方只是名义候选、已经失效或不作用于主要矛盾</x:v>
      </x:c>
      <x:c r="U59" s="68" t="str">
        <x:v>若被降级一方实际承担不可替代功能，应重新进入本规则复审</x:v>
      </x:c>
      <x:c r="V59" s="68" t="str">
        <x:v>证据接近或存在流派争议时保留并列候选并降低置信度</x:v>
      </x:c>
      <x:c r="W59" s="90" t="str">
        <x:v>防止由旺转弱、伤官见官、财坏印或官杀压身</x:v>
      </x:c>
      <x:c r="X59" s="84" t="str">
        <x:v>建禄泄制耗择路</x:v>
      </x:c>
      <x:c r="Y59" s="84" t="str">
        <x:v>冲突主题：建禄格泄制耗路线冲突。裁决结果为“建禄出口择一”；优先采用：能形成最短主路径且副作用最小的路线优先；降级处理：其他路线列辅助或不采用，避免泄制耗叠加过度。同时控制副作用：防止由旺转弱、伤官见官、财坏印或官杀压身。</x:v>
      </x:c>
      <x:c r="Z59" s="82" t="str">
        <x:v>较高</x:v>
      </x:c>
      <x:c r="AA59" s="82" t="str">
        <x:v>现代综合</x:v>
      </x:c>
      <x:c r="AB5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9" s="68" t="str">
        <x:v>当“食伤、官杀、财星都可处理强身，但三者对格局、调候和承载副作用不同”成立，且硬约束与主次证据清晰时，可按本规则裁决。</x:v>
      </x:c>
      <x:c r="AD59" s="90" t="str">
        <x:v>若冲突双方并未同时有效，或“其中一方只是名义候选、已经失效或不作用于主要矛盾”成立，不得套用本规则制造假冲突。</x:v>
      </x:c>
      <x:c r="AE59" s="82" t="str">
        <x:v>采用</x:v>
      </x:c>
      <x:c r="AF59" s="82" t="str">
        <x:v>初审</x:v>
      </x:c>
      <x:c r="AG59" s="87" t="n">
        <x:v>46260</x:v>
      </x:c>
    </x:row>
    <x:row r="60">
      <x:c r="A60" s="72" t="str">
        <x:f>IF(OR(C60="",D60=""),"",B60&amp;"-"&amp;UPPER(C60)&amp;"-"&amp;TEXT(D60,"0000")&amp;"-"&amp;E60)</x:f>
        <x:v>M18-ROUTE-0054-V1.0</x:v>
      </x:c>
      <x:c r="B60" s="74" t="str">
        <x:v>M18</x:v>
      </x:c>
      <x:c r="C60" s="74" t="str">
        <x:v>ROUTE</x:v>
      </x:c>
      <x:c r="D60" s="215" t="n">
        <x:v>54</x:v>
      </x:c>
      <x:c r="E60" s="74" t="str">
        <x:v>V1.0</x:v>
      </x:c>
      <x:c r="F60" s="68" t="str">
        <x:v>羊刃驾杀与食伤泄刃冲突时按杀权和承载择路</x:v>
      </x:c>
      <x:c r="G60" s="82" t="str">
        <x:v>综合层</x:v>
      </x:c>
      <x:c r="H60" s="68" t="str">
        <x:v>羊刃制刃与泄刃路线冲突</x:v>
      </x:c>
      <x:c r="I60" s="68" t="str">
        <x:v>M17-GEJU-0030-V1.0</x:v>
      </x:c>
      <x:c r="J60" s="68" t="str">
        <x:v>羊刃格可用官杀制刃或食伤泄刃</x:v>
      </x:c>
      <x:c r="K60" s="68" t="str">
        <x:v>M16-CONTROL-0053-V1.0</x:v>
      </x:c>
      <x:c r="L60" s="68" t="str">
        <x:v>羊刃强而无制需制刃或泄刃</x:v>
      </x:c>
      <x:c r="M60" s="68" t="str">
        <x:v>七杀与食伤都能处理强刃，但七杀过强压身，食伤过强泄身或伤官</x:v>
      </x:c>
      <x:c r="N60" s="68" t="str">
        <x:v>杀有权且身能承时可驾杀；杀弱或有伤官见官风险时优先泄刃</x:v>
      </x:c>
      <x:c r="O60" s="68" t="str">
        <x:v>比较杀权、食伤有效性、日主承载和格局清纯度</x:v>
      </x:c>
      <x:c r="P60" s="68" t="str">
        <x:v>制泄比例最接近稳定平衡者优先</x:v>
      </x:c>
      <x:c r="Q60" s="68" t="str">
        <x:v>另一方案降为辅助或替代，不同时强力使用</x:v>
      </x:c>
      <x:c r="R60" s="84" t="str">
        <x:v>制刃路线择一</x:v>
      </x:c>
      <x:c r="S60" s="68" t="str">
        <x:v>冲突双方均有有效证据且作用于同一原局</x:v>
      </x:c>
      <x:c r="T60" s="68" t="str">
        <x:v>其中一方只是名义候选、已经失效或不作用于主要矛盾</x:v>
      </x:c>
      <x:c r="U60" s="68" t="str">
        <x:v>若被降级一方实际承担不可替代功能，应重新进入本规则复审</x:v>
      </x:c>
      <x:c r="V60" s="68" t="str">
        <x:v>证据接近或存在流派争议时保留并列候选并降低置信度</x:v>
      </x:c>
      <x:c r="W60" s="90" t="str">
        <x:v>防止制刃太过、泄身过度和官伤冲突</x:v>
      </x:c>
      <x:c r="X60" s="84" t="str">
        <x:v>羊刃制泄择路</x:v>
      </x:c>
      <x:c r="Y60" s="84" t="str">
        <x:v>冲突主题：羊刃制刃与泄刃路线冲突。裁决结果为“制刃路线择一”；优先采用：制泄比例最接近稳定平衡者优先；降级处理：另一方案降为辅助或替代，不同时强力使用。同时控制副作用：防止制刃太过、泄身过度和官伤冲突。</x:v>
      </x:c>
      <x:c r="Z60" s="82" t="str">
        <x:v>较高</x:v>
      </x:c>
      <x:c r="AA60" s="82" t="str">
        <x:v>现代综合</x:v>
      </x:c>
      <x:c r="AB6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0" s="68" t="str">
        <x:v>当“七杀与食伤都能处理强刃，但七杀过强压身，食伤过强泄身或伤官”成立，且硬约束与主次证据清晰时，可按本规则裁决。</x:v>
      </x:c>
      <x:c r="AD60" s="90" t="str">
        <x:v>若冲突双方并未同时有效，或“其中一方只是名义候选、已经失效或不作用于主要矛盾”成立，不得套用本规则制造假冲突。</x:v>
      </x:c>
      <x:c r="AE60" s="82" t="str">
        <x:v>采用</x:v>
      </x:c>
      <x:c r="AF60" s="82" t="str">
        <x:v>初审</x:v>
      </x:c>
      <x:c r="AG60" s="87" t="n">
        <x:v>46260</x:v>
      </x:c>
    </x:row>
    <x:row r="61">
      <x:c r="A61" s="72" t="str">
        <x:f>IF(OR(C61="",D61=""),"",B61&amp;"-"&amp;UPPER(C61)&amp;"-"&amp;TEXT(D61,"0000")&amp;"-"&amp;E61)</x:f>
        <x:v>M18-ROUTE-0055-V1.0</x:v>
      </x:c>
      <x:c r="B61" s="74" t="str">
        <x:v>M18</x:v>
      </x:c>
      <x:c r="C61" s="74" t="str">
        <x:v>ROUTE</x:v>
      </x:c>
      <x:c r="D61" s="215" t="n">
        <x:v>55</x:v>
      </x:c>
      <x:c r="E61" s="74" t="str">
        <x:v>V1.0</x:v>
      </x:c>
      <x:c r="F61" s="68" t="str">
        <x:v>财多身弱时印扶与比劫制财按格局副作用择路</x:v>
      </x:c>
      <x:c r="G61" s="82" t="str">
        <x:v>综合层</x:v>
      </x:c>
      <x:c r="H61" s="68" t="str">
        <x:v>财多身弱的印比路线冲突</x:v>
      </x:c>
      <x:c r="I61" s="68" t="str">
        <x:v>M17-FUYI-0011-V1.0</x:v>
      </x:c>
      <x:c r="J61" s="68" t="str">
        <x:v>正印可扶身并补承载</x:v>
      </x:c>
      <x:c r="K61" s="68" t="str">
        <x:v>M17-FUYI-0014-V1.0</x:v>
      </x:c>
      <x:c r="L61" s="68" t="str">
        <x:v>劫财可扶身并制财但可能破财格</x:v>
      </x:c>
      <x:c r="M61" s="68" t="str">
        <x:v>印星和比劫都能缓解财耗，但印可能阻食伤生财，比劫会直接克财</x:v>
      </x:c>
      <x:c r="N61" s="68" t="str">
        <x:v>财格清纯且财不可损时优先印扶；印被财重破且财非核心时可用比劫制财</x:v>
      </x:c>
      <x:c r="O61" s="68" t="str">
        <x:v>比较财格主导性、印有效性、食伤生财链和比劫夺财风险</x:v>
      </x:c>
      <x:c r="P61" s="68" t="str">
        <x:v>对主格伤害更小且能稳定扶身者优先</x:v>
      </x:c>
      <x:c r="Q61" s="68" t="str">
        <x:v>次路线列辅助或条件性喜神</x:v>
      </x:c>
      <x:c r="R61" s="84" t="str">
        <x:v>财弱身扶路线择一</x:v>
      </x:c>
      <x:c r="S61" s="68" t="str">
        <x:v>冲突双方均有有效证据且作用于同一原局</x:v>
      </x:c>
      <x:c r="T61" s="68" t="str">
        <x:v>其中一方只是名义候选、已经失效或不作用于主要矛盾</x:v>
      </x:c>
      <x:c r="U61" s="68" t="str">
        <x:v>若被降级一方实际承担不可替代功能，应重新进入本规则复审</x:v>
      </x:c>
      <x:c r="V61" s="68" t="str">
        <x:v>证据接近或存在流派争议时保留并列候选并降低置信度</x:v>
      </x:c>
      <x:c r="W61" s="90" t="str">
        <x:v>防止印多身滞或比劫夺财</x:v>
      </x:c>
      <x:c r="X61" s="84" t="str">
        <x:v>财多身弱印比择路</x:v>
      </x:c>
      <x:c r="Y61" s="84" t="str">
        <x:v>冲突主题：财多身弱的印比路线冲突。裁决结果为“财弱身扶路线择一”；优先采用：对主格伤害更小且能稳定扶身者优先；降级处理：次路线列辅助或条件性喜神。同时控制副作用：防止印多身滞或比劫夺财。</x:v>
      </x:c>
      <x:c r="Z61" s="82" t="str">
        <x:v>较高</x:v>
      </x:c>
      <x:c r="AA61" s="82" t="str">
        <x:v>现代综合</x:v>
      </x:c>
      <x:c r="AB6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1" s="68" t="str">
        <x:v>当“印星和比劫都能缓解财耗，但印可能阻食伤生财，比劫会直接克财”成立，且硬约束与主次证据清晰时，可按本规则裁决。</x:v>
      </x:c>
      <x:c r="AD61" s="90" t="str">
        <x:v>若冲突双方并未同时有效，或“其中一方只是名义候选、已经失效或不作用于主要矛盾”成立，不得套用本规则制造假冲突。</x:v>
      </x:c>
      <x:c r="AE61" s="82" t="str">
        <x:v>采用</x:v>
      </x:c>
      <x:c r="AF61" s="82" t="str">
        <x:v>初审</x:v>
      </x:c>
      <x:c r="AG61" s="87" t="n">
        <x:v>46260</x:v>
      </x:c>
    </x:row>
    <x:row r="62">
      <x:c r="A62" s="72" t="str">
        <x:f>IF(OR(C62="",D62=""),"",B62&amp;"-"&amp;UPPER(C62)&amp;"-"&amp;TEXT(D62,"0000")&amp;"-"&amp;E62)</x:f>
        <x:v>M18-ROUTE-0056-V1.0</x:v>
      </x:c>
      <x:c r="B62" s="74" t="str">
        <x:v>M18</x:v>
      </x:c>
      <x:c r="C62" s="74" t="str">
        <x:v>ROUTE</x:v>
      </x:c>
      <x:c r="D62" s="215" t="n">
        <x:v>56</x:v>
      </x:c>
      <x:c r="E62" s="74" t="str">
        <x:v>V1.0</x:v>
      </x:c>
      <x:c r="F62" s="68" t="str">
        <x:v>枭夺食时财制枭优先于单纯生扶食神</x:v>
      </x:c>
      <x:c r="G62" s="82" t="str">
        <x:v>综合层</x:v>
      </x:c>
      <x:c r="H62" s="68" t="str">
        <x:v>枭夺食救应路线冲突</x:v>
      </x:c>
      <x:c r="I62" s="68" t="str">
        <x:v>M16-CONTROL-0045-V1.0</x:v>
      </x:c>
      <x:c r="J62" s="68" t="str">
        <x:v>枭神夺食的直接病因是偏印克食神</x:v>
      </x:c>
      <x:c r="K62" s="68" t="str">
        <x:v>M17-BINGYAO-0056-V1.0</x:v>
      </x:c>
      <x:c r="L62" s="68" t="str">
        <x:v>辅助药可增强主药或保护关键节点</x:v>
      </x:c>
      <x:c r="M62" s="68" t="str">
        <x:v>可直接用财制枭，也可用比劫生食或其他方式增强食神</x:v>
      </x:c>
      <x:c r="N62" s="68" t="str">
        <x:v>若偏印持续强克，单纯生食不能解除根因</x:v>
      </x:c>
      <x:c r="O62" s="68" t="str">
        <x:v>先制去克食之枭，再考虑补充食神来源</x:v>
      </x:c>
      <x:c r="P62" s="68" t="str">
        <x:v>财制枭列主药，比劫生食列辅助</x:v>
      </x:c>
      <x:c r="Q62" s="68" t="str">
        <x:v>不能解除枭制的单纯生食方案降为辅助或无效</x:v>
      </x:c>
      <x:c r="R62" s="84" t="str">
        <x:v>先制枭后生食</x:v>
      </x:c>
      <x:c r="S62" s="68" t="str">
        <x:v>冲突双方均有有效证据且作用于同一原局</x:v>
      </x:c>
      <x:c r="T62" s="68" t="str">
        <x:v>其中一方只是名义候选、已经失效或不作用于主要矛盾</x:v>
      </x:c>
      <x:c r="U62" s="68" t="str">
        <x:v>若被降级一方实际承担不可替代功能，应重新进入本规则复审</x:v>
      </x:c>
      <x:c r="V62" s="68" t="str">
        <x:v>证据接近或存在流派争议时保留并列候选并降低置信度</x:v>
      </x:c>
      <x:c r="W62" s="90" t="str">
        <x:v>财星过强会财坏印、财多身弱或财滋杀，需限定强度</x:v>
      </x:c>
      <x:c r="X62" s="84" t="str">
        <x:v>枭夺食救应择路</x:v>
      </x:c>
      <x:c r="Y62" s="84" t="str">
        <x:v>冲突主题：枭夺食救应路线冲突。裁决结果为“先制枭后生食”；优先采用：财制枭列主药，比劫生食列辅助；降级处理：不能解除枭制的单纯生食方案降为辅助或无效。同时控制副作用：财星过强会财坏印、财多身弱或财滋杀，需限定强度。</x:v>
      </x:c>
      <x:c r="Z62" s="82" t="str">
        <x:v>较高</x:v>
      </x:c>
      <x:c r="AA62" s="82" t="str">
        <x:v>现代综合</x:v>
      </x:c>
      <x:c r="AB6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2" s="68" t="str">
        <x:v>当“可直接用财制枭，也可用比劫生食或其他方式增强食神”成立，且硬约束与主次证据清晰时，可按本规则裁决。</x:v>
      </x:c>
      <x:c r="AD62" s="90" t="str">
        <x:v>若冲突双方并未同时有效，或“其中一方只是名义候选、已经失效或不作用于主要矛盾”成立，不得套用本规则制造假冲突。</x:v>
      </x:c>
      <x:c r="AE62" s="82" t="str">
        <x:v>采用</x:v>
      </x:c>
      <x:c r="AF62" s="82" t="str">
        <x:v>初审</x:v>
      </x:c>
      <x:c r="AG62" s="87" t="n">
        <x:v>46260</x:v>
      </x:c>
    </x:row>
    <x:row r="63">
      <x:c r="A63" s="72" t="str">
        <x:f>IF(OR(C63="",D63=""),"",B63&amp;"-"&amp;UPPER(C63)&amp;"-"&amp;TEXT(D63,"0000")&amp;"-"&amp;E63)</x:f>
        <x:v>M18-ROUTE-0057-V1.0</x:v>
      </x:c>
      <x:c r="B63" s="74" t="str">
        <x:v>M18</x:v>
      </x:c>
      <x:c r="C63" s="74" t="str">
        <x:v>ROUTE</x:v>
      </x:c>
      <x:c r="D63" s="215" t="n">
        <x:v>57</x:v>
      </x:c>
      <x:c r="E63" s="74" t="str">
        <x:v>V1.0</x:v>
      </x:c>
      <x:c r="F63" s="68" t="str">
        <x:v>财坏印时先制财还是扶印取决于克制强度</x:v>
      </x:c>
      <x:c r="G63" s="82" t="str">
        <x:v>综合层</x:v>
      </x:c>
      <x:c r="H63" s="68" t="str">
        <x:v>财坏印救应路线冲突</x:v>
      </x:c>
      <x:c r="I63" s="68" t="str">
        <x:v>M16-CONTROL-0046-V1.0</x:v>
      </x:c>
      <x:c r="J63" s="68" t="str">
        <x:v>财坏印破坏关键生身或化杀功能</x:v>
      </x:c>
      <x:c r="K63" s="68" t="str">
        <x:v>M17-FUYI-0011-V1.0</x:v>
      </x:c>
      <x:c r="L63" s="68" t="str">
        <x:v>印星可生身并恢复承载</x:v>
      </x:c>
      <x:c r="M63" s="68" t="str">
        <x:v>比劫制财能处理病因，直接扶印能增强受损一方，但两者副作用不同</x:v>
      </x:c>
      <x:c r="N63" s="68" t="str">
        <x:v>财克印明显且持续时，单纯扶印可能被继续消耗</x:v>
      </x:c>
      <x:c r="O63" s="68" t="str">
        <x:v>病因强则先制财，印弱但财压一般则可扶印；必要时主辅配合</x:v>
      </x:c>
      <x:c r="P63" s="68" t="str">
        <x:v>直接解除主要克制的一方优先</x:v>
      </x:c>
      <x:c r="Q63" s="68" t="str">
        <x:v>次路线列辅助用神</x:v>
      </x:c>
      <x:c r="R63" s="84" t="str">
        <x:v>财印救应择路</x:v>
      </x:c>
      <x:c r="S63" s="68" t="str">
        <x:v>冲突双方均有有效证据且作用于同一原局</x:v>
      </x:c>
      <x:c r="T63" s="68" t="str">
        <x:v>其中一方只是名义候选、已经失效或不作用于主要矛盾</x:v>
      </x:c>
      <x:c r="U63" s="68" t="str">
        <x:v>若被降级一方实际承担不可替代功能，应重新进入本规则复审</x:v>
      </x:c>
      <x:c r="V63" s="68" t="str">
        <x:v>证据接近或存在流派争议时保留并列候选并降低置信度</x:v>
      </x:c>
      <x:c r="W63" s="90" t="str">
        <x:v>比劫过强会夺财，印过强会身滞或夺食</x:v>
      </x:c>
      <x:c r="X63" s="84" t="str">
        <x:v>财坏印制扶择路</x:v>
      </x:c>
      <x:c r="Y63" s="84" t="str">
        <x:v>冲突主题：财坏印救应路线冲突。裁决结果为“财印救应择路”；优先采用：直接解除主要克制的一方优先；降级处理：次路线列辅助用神。同时控制副作用：比劫过强会夺财，印过强会身滞或夺食。</x:v>
      </x:c>
      <x:c r="Z63" s="82" t="str">
        <x:v>较高</x:v>
      </x:c>
      <x:c r="AA63" s="82" t="str">
        <x:v>现代综合</x:v>
      </x:c>
      <x:c r="AB6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3" s="68" t="str">
        <x:v>当“比劫制财能处理病因，直接扶印能增强受损一方，但两者副作用不同”成立，且硬约束与主次证据清晰时，可按本规则裁决。</x:v>
      </x:c>
      <x:c r="AD63" s="90" t="str">
        <x:v>若冲突双方并未同时有效，或“其中一方只是名义候选、已经失效或不作用于主要矛盾”成立，不得套用本规则制造假冲突。</x:v>
      </x:c>
      <x:c r="AE63" s="82" t="str">
        <x:v>采用</x:v>
      </x:c>
      <x:c r="AF63" s="82" t="str">
        <x:v>初审</x:v>
      </x:c>
      <x:c r="AG63" s="87" t="n">
        <x:v>46260</x:v>
      </x:c>
    </x:row>
    <x:row r="64">
      <x:c r="A64" s="72" t="str">
        <x:f>IF(OR(C64="",D64=""),"",B64&amp;"-"&amp;UPPER(C64)&amp;"-"&amp;TEXT(D64,"0000")&amp;"-"&amp;E64)</x:f>
        <x:v>M18-ROUTE-0058-V1.0</x:v>
      </x:c>
      <x:c r="B64" s="74" t="str">
        <x:v>M18</x:v>
      </x:c>
      <x:c r="C64" s="74" t="str">
        <x:v>ROUTE</x:v>
      </x:c>
      <x:c r="D64" s="215" t="n">
        <x:v>58</x:v>
      </x:c>
      <x:c r="E64" s="74" t="str">
        <x:v>V1.0</x:v>
      </x:c>
      <x:c r="F64" s="68" t="str">
        <x:v>比劫夺财时官杀制比与食伤生财按承载择路</x:v>
      </x:c>
      <x:c r="G64" s="82" t="str">
        <x:v>综合层</x:v>
      </x:c>
      <x:c r="H64" s="68" t="str">
        <x:v>比劫夺财救应路线冲突</x:v>
      </x:c>
      <x:c r="I64" s="68" t="str">
        <x:v>M16-CONTROL-0047-V1.0</x:v>
      </x:c>
      <x:c r="J64" s="68" t="str">
        <x:v>比劫夺财可用官杀制比或食伤通关生财</x:v>
      </x:c>
      <x:c r="K64" s="68" t="str">
        <x:v>M17-GEJU-0026-V1.0</x:v>
      </x:c>
      <x:c r="L64" s="68" t="str">
        <x:v>财格需保护财星并维持日主任财</x:v>
      </x:c>
      <x:c r="M64" s="68" t="str">
        <x:v>官杀制比直接，食伤生财间接补源；官杀可能攻身，食伤可能泄身</x:v>
      </x:c>
      <x:c r="N64" s="68" t="str">
        <x:v>日主强可承官杀时优先制比；日主偏弱且食伤有源时可考虑生财补源</x:v>
      </x:c>
      <x:c r="O64" s="68" t="str">
        <x:v>比较日主承载、官杀有效性、食伤源头和财星恢复程度</x:v>
      </x:c>
      <x:c r="P64" s="68" t="str">
        <x:v>能护财且不制造更严重身弱者优先</x:v>
      </x:c>
      <x:c r="Q64" s="68" t="str">
        <x:v>次路线列辅助或替代</x:v>
      </x:c>
      <x:c r="R64" s="84" t="str">
        <x:v>护财路线择一</x:v>
      </x:c>
      <x:c r="S64" s="68" t="str">
        <x:v>冲突双方均有有效证据且作用于同一原局</x:v>
      </x:c>
      <x:c r="T64" s="68" t="str">
        <x:v>其中一方只是名义候选、已经失效或不作用于主要矛盾</x:v>
      </x:c>
      <x:c r="U64" s="68" t="str">
        <x:v>若被降级一方实际承担不可替代功能，应重新进入本规则复审</x:v>
      </x:c>
      <x:c r="V64" s="68" t="str">
        <x:v>证据接近或存在流派争议时保留并列候选并降低置信度</x:v>
      </x:c>
      <x:c r="W64" s="90" t="str">
        <x:v>防止官杀压身或食伤过泄</x:v>
      </x:c>
      <x:c r="X64" s="84" t="str">
        <x:v>比劫夺财救应择路</x:v>
      </x:c>
      <x:c r="Y64" s="84" t="str">
        <x:v>冲突主题：比劫夺财救应路线冲突。裁决结果为“护财路线择一”；优先采用：能护财且不制造更严重身弱者优先；降级处理：次路线列辅助或替代。同时控制副作用：防止官杀压身或食伤过泄。</x:v>
      </x:c>
      <x:c r="Z64" s="82" t="str">
        <x:v>较高</x:v>
      </x:c>
      <x:c r="AA64" s="82" t="str">
        <x:v>现代综合</x:v>
      </x:c>
      <x:c r="AB6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4" s="68" t="str">
        <x:v>当“官杀制比直接，食伤生财间接补源；官杀可能攻身，食伤可能泄身”成立，且硬约束与主次证据清晰时，可按本规则裁决。</x:v>
      </x:c>
      <x:c r="AD64" s="90" t="str">
        <x:v>若冲突双方并未同时有效，或“其中一方只是名义候选、已经失效或不作用于主要矛盾”成立，不得套用本规则制造假冲突。</x:v>
      </x:c>
      <x:c r="AE64" s="82" t="str">
        <x:v>采用</x:v>
      </x:c>
      <x:c r="AF64" s="82" t="str">
        <x:v>初审</x:v>
      </x:c>
      <x:c r="AG64" s="87" t="n">
        <x:v>46260</x:v>
      </x:c>
    </x:row>
    <x:row r="65">
      <x:c r="A65" s="72" t="str">
        <x:f>IF(OR(C65="",D65=""),"",B65&amp;"-"&amp;UPPER(C65)&amp;"-"&amp;TEXT(D65,"0000")&amp;"-"&amp;E65)</x:f>
        <x:v>M18-ROUTE-0059-V1.0</x:v>
      </x:c>
      <x:c r="B65" s="74" t="str">
        <x:v>M18</x:v>
      </x:c>
      <x:c r="C65" s="74" t="str">
        <x:v>ROUTE</x:v>
      </x:c>
      <x:c r="D65" s="215" t="n">
        <x:v>59</x:v>
      </x:c>
      <x:c r="E65" s="74" t="str">
        <x:v>V1.0</x:v>
      </x:c>
      <x:c r="F65" s="68" t="str">
        <x:v>官杀混杂时清一留一优先于同时制化两端</x:v>
      </x:c>
      <x:c r="G65" s="82" t="str">
        <x:v>综合层</x:v>
      </x:c>
      <x:c r="H65" s="68" t="str">
        <x:v>官杀混杂清化路线冲突</x:v>
      </x:c>
      <x:c r="I65" s="68" t="str">
        <x:v>M16-CONTROL-0048-V1.0</x:v>
      </x:c>
      <x:c r="J65" s="68" t="str">
        <x:v>官杀混杂需清一留一或建立明确主从</x:v>
      </x:c>
      <x:c r="K65" s="68" t="str">
        <x:v>M17-GEJU-0024-V1.0</x:v>
      </x:c>
      <x:c r="L65" s="68" t="str">
        <x:v>七杀格以制杀或化杀主路线运行</x:v>
      </x:c>
      <x:c r="M65" s="68" t="str">
        <x:v>正官、七杀均有力，可选择合制一方、印化主要一方或食神制杀</x:v>
      </x:c>
      <x:c r="N65" s="68" t="str">
        <x:v>先确认月令主格和哪一方承担不可替代功能</x:v>
      </x:c>
      <x:c r="O65" s="68" t="str">
        <x:v>优先保留主格所需一方，清除或降级另一方；不默认同时强化两端</x:v>
      </x:c>
      <x:c r="P65" s="68" t="str">
        <x:v>去留清晰且主格稳定的方案优先</x:v>
      </x:c>
      <x:c r="Q65" s="68" t="str">
        <x:v>无法清化时格局降为有杂/混杂，用神保持条件性</x:v>
      </x:c>
      <x:c r="R65" s="84" t="str">
        <x:v>官杀去留裁决</x:v>
      </x:c>
      <x:c r="S65" s="68" t="str">
        <x:v>冲突双方均有有效证据且作用于同一原局</x:v>
      </x:c>
      <x:c r="T65" s="68" t="str">
        <x:v>其中一方只是名义候选、已经失效或不作用于主要矛盾</x:v>
      </x:c>
      <x:c r="U65" s="68" t="str">
        <x:v>若被降级一方实际承担不可替代功能，应重新进入本规则复审</x:v>
      </x:c>
      <x:c r="V65" s="68" t="str">
        <x:v>证据接近或存在流派争议时保留并列候选并降低置信度</x:v>
      </x:c>
      <x:c r="W65" s="90" t="str">
        <x:v>防止去错主神或把必要制衡全部消除</x:v>
      </x:c>
      <x:c r="X65" s="84" t="str">
        <x:v>官杀清一留一</x:v>
      </x:c>
      <x:c r="Y65" s="84" t="str">
        <x:v>冲突主题：官杀混杂清化路线冲突。裁决结果为“官杀去留裁决”；优先采用：去留清晰且主格稳定的方案优先；降级处理：无法清化时格局降为有杂/混杂，用神保持条件性。同时控制副作用：防止去错主神或把必要制衡全部消除。</x:v>
      </x:c>
      <x:c r="Z65" s="82" t="str">
        <x:v>较高</x:v>
      </x:c>
      <x:c r="AA65" s="82" t="str">
        <x:v>现代综合</x:v>
      </x:c>
      <x:c r="AB6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5" s="68" t="str">
        <x:v>当“正官、七杀均有力，可选择合制一方、印化主要一方或食神制杀”成立，且硬约束与主次证据清晰时，可按本规则裁决。</x:v>
      </x:c>
      <x:c r="AD65" s="90" t="str">
        <x:v>若冲突双方并未同时有效，或“其中一方只是名义候选、已经失效或不作用于主要矛盾”成立，不得套用本规则制造假冲突。</x:v>
      </x:c>
      <x:c r="AE65" s="82" t="str">
        <x:v>采用</x:v>
      </x:c>
      <x:c r="AF65" s="82" t="str">
        <x:v>初审</x:v>
      </x:c>
      <x:c r="AG65" s="87" t="n">
        <x:v>46260</x:v>
      </x:c>
    </x:row>
    <x:row r="66">
      <x:c r="A66" s="72" t="str">
        <x:f>IF(OR(C66="",D66=""),"",B66&amp;"-"&amp;UPPER(C66)&amp;"-"&amp;TEXT(D66,"0000")&amp;"-"&amp;E66)</x:f>
        <x:v>M18-ROUTE-0060-V1.0</x:v>
      </x:c>
      <x:c r="B66" s="74" t="str">
        <x:v>M18</x:v>
      </x:c>
      <x:c r="C66" s="74" t="str">
        <x:v>ROUTE</x:v>
      </x:c>
      <x:c r="D66" s="215" t="n">
        <x:v>60</x:v>
      </x:c>
      <x:c r="E66" s="74" t="str">
        <x:v>V1.0</x:v>
      </x:c>
      <x:c r="F66" s="68" t="str">
        <x:v>寒燥火水路线以根本轴定主辅并防直接相战</x:v>
      </x:c>
      <x:c r="G66" s="82" t="str">
        <x:v>综合层</x:v>
      </x:c>
      <x:c r="H66" s="68" t="str">
        <x:v>寒燥火水主辅路线</x:v>
      </x:c>
      <x:c r="I66" s="68" t="str">
        <x:v>M18-CLIMATE-0031-V1.0</x:v>
      </x:c>
      <x:c r="J66" s="68" t="str">
        <x:v>寒燥必须先判断温度轴与湿度轴的主次</x:v>
      </x:c>
      <x:c r="K66" s="68" t="str">
        <x:v>M17-TIAOHOU-0049-V1.0</x:v>
      </x:c>
      <x:c r="L66" s="68" t="str">
        <x:v>火暖、水润需要主辅控制</x:v>
      </x:c>
      <x:c r="M66" s="68" t="str">
        <x:v>火水均为调候候选且作用方向相反</x:v>
      </x:c>
      <x:c r="N66" s="68" t="str">
        <x:v>主药必须对应导致更多功能障碍的根本轴</x:v>
      </x:c>
      <x:c r="O66" s="68" t="str">
        <x:v>主轴药神列主用，次轴药神列辅助，并尽量通过木等桥梁协调</x:v>
      </x:c>
      <x:c r="P66" s="68" t="str">
        <x:v>根本轴药优先</x:v>
      </x:c>
      <x:c r="Q66" s="68" t="str">
        <x:v>次轴药降为辅助或条件性喜神</x:v>
      </x:c>
      <x:c r="R66" s="84" t="str">
        <x:v>寒燥主辅确定</x:v>
      </x:c>
      <x:c r="S66" s="68" t="str">
        <x:v>冲突双方均有有效证据且作用于同一原局</x:v>
      </x:c>
      <x:c r="T66" s="68" t="str">
        <x:v>其中一方只是名义候选、已经失效或不作用于主要矛盾</x:v>
      </x:c>
      <x:c r="U66" s="68" t="str">
        <x:v>若被降级一方实际承担不可替代功能，应重新进入本规则复审</x:v>
      </x:c>
      <x:c r="V66" s="68" t="str">
        <x:v>证据接近或存在流派争议时保留并列候选并降低置信度</x:v>
      </x:c>
      <x:c r="W66" s="90" t="str">
        <x:v>限制火水强度，避免直接水火相战和双向过量</x:v>
      </x:c>
      <x:c r="X66" s="84" t="str">
        <x:v>寒燥火水主辅路线</x:v>
      </x:c>
      <x:c r="Y66" s="84" t="str">
        <x:v>冲突主题：寒燥火水主辅路线。裁决结果为“寒燥主辅确定”；优先采用：根本轴药优先；降级处理：次轴药降为辅助或条件性喜神。同时控制副作用：限制火水强度，避免直接水火相战和双向过量。</x:v>
      </x:c>
      <x:c r="Z66" s="82" t="str">
        <x:v>较高</x:v>
      </x:c>
      <x:c r="AA66" s="82" t="str">
        <x:v>现代综合</x:v>
      </x:c>
      <x:c r="AB6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6" s="68" t="str">
        <x:v>当“火水均为调候候选且作用方向相反”成立，且硬约束与主次证据清晰时，可按本规则裁决。</x:v>
      </x:c>
      <x:c r="AD66" s="90" t="str">
        <x:v>若冲突双方并未同时有效，或“其中一方只是名义候选、已经失效或不作用于主要矛盾”成立，不得套用本规则制造假冲突。</x:v>
      </x:c>
      <x:c r="AE66" s="82" t="str">
        <x:v>采用</x:v>
      </x:c>
      <x:c r="AF66" s="82" t="str">
        <x:v>初审</x:v>
      </x:c>
      <x:c r="AG66" s="87" t="n">
        <x:v>46260</x:v>
      </x:c>
    </x:row>
    <x:row r="67">
      <x:c r="A67" s="72" t="str">
        <x:f>IF(OR(C67="",D67=""),"",B67&amp;"-"&amp;UPPER(C67)&amp;"-"&amp;TEXT(D67,"0000")&amp;"-"&amp;E67)</x:f>
        <x:v>M18-DOSE-0061-V1.0</x:v>
      </x:c>
      <x:c r="B67" s="74" t="str">
        <x:v>M18</x:v>
      </x:c>
      <x:c r="C67" s="74" t="str">
        <x:v>DOSE</x:v>
      </x:c>
      <x:c r="D67" s="215" t="n">
        <x:v>61</x:v>
      </x:c>
      <x:c r="E67" s="74" t="str">
        <x:v>V1.0</x:v>
      </x:c>
      <x:c r="F67" s="68" t="str">
        <x:v>药神达到最小有效强度后才具备正向定位</x:v>
      </x:c>
      <x:c r="G67" s="82" t="str">
        <x:v>综合层</x:v>
      </x:c>
      <x:c r="H67" s="68" t="str">
        <x:v>理论有利与有效剂量冲突</x:v>
      </x:c>
      <x:c r="I67" s="68" t="str">
        <x:v>M16-MED-0080-V1.0</x:v>
      </x:c>
      <x:c r="J67" s="68" t="str">
        <x:v>药神必须有根有源并能进入病位</x:v>
      </x:c>
      <x:c r="K67" s="68" t="str">
        <x:v>M17-BINGYAO-0057-V1.0</x:v>
      </x:c>
      <x:c r="L67" s="68" t="str">
        <x:v>无根无源药神不得列无条件主用</x:v>
      </x:c>
      <x:c r="M67" s="68" t="str">
        <x:v>候选五行方向正确，但力量不足以改变病位、格局或主路径</x:v>
      </x:c>
      <x:c r="N67" s="68" t="str">
        <x:v>必须达到能够产生实际净修复的最低药力门槛</x:v>
      </x:c>
      <x:c r="O67" s="68" t="str">
        <x:v>方向、路径和剂量三者同时成立才算有效</x:v>
      </x:c>
      <x:c r="P67" s="68" t="str">
        <x:v>达到最小有效剂量且副作用仍低者优先</x:v>
      </x:c>
      <x:c r="Q67" s="68" t="str">
        <x:v>未达门槛者降为条件性喜神、待定或仅保留潜在方向</x:v>
      </x:c>
      <x:c r="R67" s="84" t="str">
        <x:v>最小有效剂量裁决</x:v>
      </x:c>
      <x:c r="S67" s="68" t="str">
        <x:v>冲突双方均有有效证据且作用于同一原局</x:v>
      </x:c>
      <x:c r="T67" s="68" t="str">
        <x:v>其中一方只是名义候选、已经失效或不作用于主要矛盾</x:v>
      </x:c>
      <x:c r="U67" s="68" t="str">
        <x:v>若被降级一方实际承担不可替代功能，应重新进入本规则复审</x:v>
      </x:c>
      <x:c r="V67" s="68" t="str">
        <x:v>证据接近或存在流派争议时保留并列候选并降低置信度</x:v>
      </x:c>
      <x:c r="W67" s="90" t="str">
        <x:v>增强药神时同步监测格局、调候和承载是否越界</x:v>
      </x:c>
      <x:c r="X67" s="84" t="str">
        <x:v>最小有效药力</x:v>
      </x:c>
      <x:c r="Y67" s="84" t="str">
        <x:v>冲突主题：理论有利与有效剂量冲突。裁决结果为“最小有效剂量裁决”；优先采用：达到最小有效剂量且副作用仍低者优先；降级处理：未达门槛者降为条件性喜神、待定或仅保留潜在方向。同时控制副作用：增强药神时同步监测格局、调候和承载是否越界。</x:v>
      </x:c>
      <x:c r="Z67" s="82" t="str">
        <x:v>较高</x:v>
      </x:c>
      <x:c r="AA67" s="82" t="str">
        <x:v>现代综合</x:v>
      </x:c>
      <x:c r="AB6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7" s="68" t="str">
        <x:v>当“候选五行方向正确，但力量不足以改变病位、格局或主路径”成立，且硬约束与主次证据清晰时，可按本规则裁决。</x:v>
      </x:c>
      <x:c r="AD67" s="90" t="str">
        <x:v>若冲突双方并未同时有效，或“其中一方只是名义候选、已经失效或不作用于主要矛盾”成立，不得套用本规则制造假冲突。</x:v>
      </x:c>
      <x:c r="AE67" s="82" t="str">
        <x:v>采用</x:v>
      </x:c>
      <x:c r="AF67" s="82" t="str">
        <x:v>初审</x:v>
      </x:c>
      <x:c r="AG67" s="87" t="n">
        <x:v>46260</x:v>
      </x:c>
    </x:row>
    <x:row r="68">
      <x:c r="A68" s="72" t="str">
        <x:f>IF(OR(C68="",D68=""),"",B68&amp;"-"&amp;UPPER(C68)&amp;"-"&amp;TEXT(D68,"0000")&amp;"-"&amp;E68)</x:f>
        <x:v>M18-DOSE-0062-V1.0</x:v>
      </x:c>
      <x:c r="B68" s="74" t="str">
        <x:v>M18</x:v>
      </x:c>
      <x:c r="C68" s="74" t="str">
        <x:v>DOSE</x:v>
      </x:c>
      <x:c r="D68" s="215" t="n">
        <x:v>62</x:v>
      </x:c>
      <x:c r="E68" s="74" t="str">
        <x:v>V1.0</x:v>
      </x:c>
      <x:c r="F68" s="68" t="str">
        <x:v>药力超过修复需要后喜神可转条件性忌神或忌神</x:v>
      </x:c>
      <x:c r="G68" s="82" t="str">
        <x:v>综合层</x:v>
      </x:c>
      <x:c r="H68" s="68" t="str">
        <x:v>药量与反向病冲突</x:v>
      </x:c>
      <x:c r="I68" s="68" t="str">
        <x:v>M16-DOSE-0091-V1.0</x:v>
      </x:c>
      <x:c r="J68" s="68" t="str">
        <x:v>药力过量会跨越平衡形成反向病</x:v>
      </x:c>
      <x:c r="K68" s="68" t="str">
        <x:v>M17-RANK-0088-V1.0</x:v>
      </x:c>
      <x:c r="L68" s="68" t="str">
        <x:v>条件性喜神只有在限定强度下有利</x:v>
      </x:c>
      <x:c r="M68" s="68" t="str">
        <x:v>原药已完成扶抑、通关、调候或救格，继续增强开始损伤另一端</x:v>
      </x:c>
      <x:c r="N68" s="68" t="str">
        <x:v>出现新的功能障碍、根本破格或严重反向调候时必须转性</x:v>
      </x:c>
      <x:c r="O68" s="68" t="str">
        <x:v>喜忌定位随有效强度和结构条件变化</x:v>
      </x:c>
      <x:c r="P68" s="68" t="str">
        <x:v>维持接近平衡和格局稳定的强度优先</x:v>
      </x:c>
      <x:c r="Q68" s="68" t="str">
        <x:v>由主用/喜神降为中性、条件性忌神或忌神</x:v>
      </x:c>
      <x:c r="R68" s="84" t="str">
        <x:v>药过转忌</x:v>
      </x:c>
      <x:c r="S68" s="68" t="str">
        <x:v>冲突双方均有有效证据且作用于同一原局</x:v>
      </x:c>
      <x:c r="T68" s="68" t="str">
        <x:v>其中一方只是名义候选、已经失效或不作用于主要矛盾</x:v>
      </x:c>
      <x:c r="U68" s="68" t="str">
        <x:v>若被降级一方实际承担不可替代功能，应重新进入本规则复审</x:v>
      </x:c>
      <x:c r="V68" s="68" t="str">
        <x:v>证据接近或存在流派争议时保留并列候选并降低置信度</x:v>
      </x:c>
      <x:c r="W68" s="90" t="str">
        <x:v>标准输出明确转忌阈值与首先受损的对象</x:v>
      </x:c>
      <x:c r="X68" s="84" t="str">
        <x:v>药过转忌</x:v>
      </x:c>
      <x:c r="Y68" s="84" t="str">
        <x:v>冲突主题：药量与反向病冲突。裁决结果为“药过转忌”；优先采用：维持接近平衡和格局稳定的强度优先；降级处理：由主用/喜神降为中性、条件性忌神或忌神。同时控制副作用：标准输出明确转忌阈值与首先受损的对象。</x:v>
      </x:c>
      <x:c r="Z68" s="82" t="str">
        <x:v>较高</x:v>
      </x:c>
      <x:c r="AA68" s="82" t="str">
        <x:v>现代综合</x:v>
      </x:c>
      <x:c r="AB6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8" s="68" t="str">
        <x:v>当“原药已完成扶抑、通关、调候或救格，继续增强开始损伤另一端”成立，且硬约束与主次证据清晰时，可按本规则裁决。</x:v>
      </x:c>
      <x:c r="AD68" s="90" t="str">
        <x:v>若冲突双方并未同时有效，或“其中一方只是名义候选、已经失效或不作用于主要矛盾”成立，不得套用本规则制造假冲突。</x:v>
      </x:c>
      <x:c r="AE68" s="82" t="str">
        <x:v>采用</x:v>
      </x:c>
      <x:c r="AF68" s="82" t="str">
        <x:v>初审</x:v>
      </x:c>
      <x:c r="AG68" s="87" t="n">
        <x:v>46260</x:v>
      </x:c>
    </x:row>
    <x:row r="69">
      <x:c r="A69" s="72" t="str">
        <x:f>IF(OR(C69="",D69=""),"",B69&amp;"-"&amp;UPPER(C69)&amp;"-"&amp;TEXT(D69,"0000")&amp;"-"&amp;E69)</x:f>
        <x:v>M18-DOSE-0063-V1.0</x:v>
      </x:c>
      <x:c r="B69" s="74" t="str">
        <x:v>M18</x:v>
      </x:c>
      <x:c r="C69" s="74" t="str">
        <x:v>DOSE</x:v>
      </x:c>
      <x:c r="D69" s="215" t="n">
        <x:v>63</x:v>
      </x:c>
      <x:c r="E69" s="74" t="str">
        <x:v>V1.0</x:v>
      </x:c>
      <x:c r="F69" s="68" t="str">
        <x:v>药力弱只能作为辅助或条件性候选</x:v>
      </x:c>
      <x:c r="G69" s="82" t="str">
        <x:v>综合层</x:v>
      </x:c>
      <x:c r="H69" s="68" t="str">
        <x:v>药力不足与主次定位冲突</x:v>
      </x:c>
      <x:c r="I69" s="68" t="str">
        <x:v>M16-DOSE-0087-V1.0</x:v>
      </x:c>
      <x:c r="J69" s="68" t="str">
        <x:v>药神无根无源只能形成名义药力</x:v>
      </x:c>
      <x:c r="K69" s="68" t="str">
        <x:v>M17-RANK-0085-V1.0</x:v>
      </x:c>
      <x:c r="L69" s="68" t="str">
        <x:v>主用神必须解决根本主病或最高硬约束</x:v>
      </x:c>
      <x:c r="M69" s="68" t="str">
        <x:v>某五行理论能治根本病，但实际只具弱救应或局部作用</x:v>
      </x:c>
      <x:c r="N69" s="68" t="str">
        <x:v>主用要求能够实际修复根本病的主要部分</x:v>
      </x:c>
      <x:c r="O69" s="68" t="str">
        <x:v>按实际药效而不是理论药理定主次</x:v>
      </x:c>
      <x:c r="P69" s="68" t="str">
        <x:v>有力直接药神优先</x:v>
      </x:c>
      <x:c r="Q69" s="68" t="str">
        <x:v>弱药降为辅助用神、条件性喜神或待定</x:v>
      </x:c>
      <x:c r="R69" s="84" t="str">
        <x:v>弱药降级</x:v>
      </x:c>
      <x:c r="S69" s="68" t="str">
        <x:v>冲突双方均有有效证据且作用于同一原局</x:v>
      </x:c>
      <x:c r="T69" s="68" t="str">
        <x:v>其中一方只是名义候选、已经失效或不作用于主要矛盾</x:v>
      </x:c>
      <x:c r="U69" s="68" t="str">
        <x:v>若被降级一方实际承担不可替代功能，应重新进入本规则复审</x:v>
      </x:c>
      <x:c r="V69" s="68" t="str">
        <x:v>证据接近或存在流派争议时保留并列候选并降低置信度</x:v>
      </x:c>
      <x:c r="W69" s="90" t="str">
        <x:v>如需另一五行生扶弱药，明确主药与辅助药角色，避免主次倒置</x:v>
      </x:c>
      <x:c r="X69" s="84" t="str">
        <x:v>弱药降级</x:v>
      </x:c>
      <x:c r="Y69" s="84" t="str">
        <x:v>冲突主题：药力不足与主次定位冲突。裁决结果为“弱药降级”；优先采用：有力直接药神优先；降级处理：弱药降为辅助用神、条件性喜神或待定。同时控制副作用：如需另一五行生扶弱药，明确主药与辅助药角色，避免主次倒置。</x:v>
      </x:c>
      <x:c r="Z69" s="82" t="str">
        <x:v>较高</x:v>
      </x:c>
      <x:c r="AA69" s="82" t="str">
        <x:v>现代综合</x:v>
      </x:c>
      <x:c r="AB6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9" s="68" t="str">
        <x:v>当“某五行理论能治根本病，但实际只具弱救应或局部作用”成立，且硬约束与主次证据清晰时，可按本规则裁决。</x:v>
      </x:c>
      <x:c r="AD69" s="90" t="str">
        <x:v>若冲突双方并未同时有效，或“其中一方只是名义候选、已经失效或不作用于主要矛盾”成立，不得套用本规则制造假冲突。</x:v>
      </x:c>
      <x:c r="AE69" s="82" t="str">
        <x:v>采用</x:v>
      </x:c>
      <x:c r="AF69" s="82" t="str">
        <x:v>初审</x:v>
      </x:c>
      <x:c r="AG69" s="87" t="n">
        <x:v>46260</x:v>
      </x:c>
    </x:row>
    <x:row r="70">
      <x:c r="A70" s="72" t="str">
        <x:f>IF(OR(C70="",D70=""),"",B70&amp;"-"&amp;UPPER(C70)&amp;"-"&amp;TEXT(D70,"0000")&amp;"-"&amp;E70)</x:f>
        <x:v>M18-DOSE-0064-V1.0</x:v>
      </x:c>
      <x:c r="B70" s="74" t="str">
        <x:v>M18</x:v>
      </x:c>
      <x:c r="C70" s="74" t="str">
        <x:v>DOSE</x:v>
      </x:c>
      <x:c r="D70" s="215" t="n">
        <x:v>64</x:v>
      </x:c>
      <x:c r="E70" s="74" t="str">
        <x:v>V1.0</x:v>
      </x:c>
      <x:c r="F70" s="68" t="str">
        <x:v>辅助药强于主药并改变主轴时应重新定主辅</x:v>
      </x:c>
      <x:c r="G70" s="82" t="str">
        <x:v>综合层</x:v>
      </x:c>
      <x:c r="H70" s="68" t="str">
        <x:v>主辅容量和路线协同</x:v>
      </x:c>
      <x:c r="I70" s="68" t="str">
        <x:v>M17-RANK-0086-V1.0</x:v>
      </x:c>
      <x:c r="J70" s="68" t="str">
        <x:v>辅助用神应服务主用而不得反客为主</x:v>
      </x:c>
      <x:c r="K70" s="68" t="str">
        <x:v>M16-PATTERN-0061-V1.0</x:v>
      </x:c>
      <x:c r="L70" s="68" t="str">
        <x:v>救应过度会破坏格局比例</x:v>
      </x:c>
      <x:c r="M70" s="68" t="str">
        <x:v>辅助药力量过强，开始主导全局、压制主药或改变格局方向</x:v>
      </x:c>
      <x:c r="N70" s="68" t="str">
        <x:v>辅助药不能制造比原病更严重的新主病或夺取核心格神地位</x:v>
      </x:c>
      <x:c r="O70" s="68" t="str">
        <x:v>主辅角色按实际功能和力量重新判定，而非沿用名称</x:v>
      </x:c>
      <x:c r="P70" s="68" t="str">
        <x:v>真正解决根本病的一方保留主用地位</x:v>
      </x:c>
      <x:c r="Q70" s="68" t="str">
        <x:v>过强辅助药降级、限量，或重定为新主用并重新计算全局</x:v>
      </x:c>
      <x:c r="R70" s="84" t="str">
        <x:v>主辅重定</x:v>
      </x:c>
      <x:c r="S70" s="68" t="str">
        <x:v>冲突双方均有有效证据且作用于同一原局</x:v>
      </x:c>
      <x:c r="T70" s="68" t="str">
        <x:v>其中一方只是名义候选、已经失效或不作用于主要矛盾</x:v>
      </x:c>
      <x:c r="U70" s="68" t="str">
        <x:v>若被降级一方实际承担不可替代功能，应重新进入本规则复审</x:v>
      </x:c>
      <x:c r="V70" s="68" t="str">
        <x:v>证据接近或存在流派争议时保留并列候选并降低置信度</x:v>
      </x:c>
      <x:c r="W70" s="90" t="str">
        <x:v>检查辅助药过强后的制化、旺衰和格局改写</x:v>
      </x:c>
      <x:c r="X70" s="84" t="str">
        <x:v>辅助反客重定</x:v>
      </x:c>
      <x:c r="Y70" s="84" t="str">
        <x:v>冲突主题：主辅容量和路线协同。裁决结果为“主辅重定”；优先采用：真正解决根本病的一方保留主用地位；降级处理：过强辅助药降级、限量，或重定为新主用并重新计算全局。同时控制副作用：检查辅助药过强后的制化、旺衰和格局改写。</x:v>
      </x:c>
      <x:c r="Z70" s="82" t="str">
        <x:v>较高</x:v>
      </x:c>
      <x:c r="AA70" s="82" t="str">
        <x:v>现代综合</x:v>
      </x:c>
      <x:c r="AB7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0" s="68" t="str">
        <x:v>当“辅助药力量过强，开始主导全局、压制主药或改变格局方向”成立，且硬约束与主次证据清晰时，可按本规则裁决。</x:v>
      </x:c>
      <x:c r="AD70" s="90" t="str">
        <x:v>若冲突双方并未同时有效，或“其中一方只是名义候选、已经失效或不作用于主要矛盾”成立，不得套用本规则制造假冲突。</x:v>
      </x:c>
      <x:c r="AE70" s="82" t="str">
        <x:v>采用</x:v>
      </x:c>
      <x:c r="AF70" s="82" t="str">
        <x:v>初审</x:v>
      </x:c>
      <x:c r="AG70" s="87" t="n">
        <x:v>46260</x:v>
      </x:c>
    </x:row>
    <x:row r="71">
      <x:c r="A71" s="72" t="str">
        <x:f>IF(OR(C71="",D71=""),"",B71&amp;"-"&amp;UPPER(C71)&amp;"-"&amp;TEXT(D71,"0000")&amp;"-"&amp;E71)</x:f>
        <x:v>M18-DOSE-0065-V1.0</x:v>
      </x:c>
      <x:c r="B71" s="74" t="str">
        <x:v>M18</x:v>
      </x:c>
      <x:c r="C71" s="74" t="str">
        <x:v>DOSE</x:v>
      </x:c>
      <x:c r="D71" s="215" t="n">
        <x:v>65</x:v>
      </x:c>
      <x:c r="E71" s="74" t="str">
        <x:v>V1.0</x:v>
      </x:c>
      <x:c r="F71" s="68" t="str">
        <x:v>多药争夺同一节点时优先保留主路线</x:v>
      </x:c>
      <x:c r="G71" s="82" t="str">
        <x:v>综合层</x:v>
      </x:c>
      <x:c r="H71" s="68" t="str">
        <x:v>多药容量竞争</x:v>
      </x:c>
      <x:c r="I71" s="68" t="str">
        <x:v>M16-DOSE-0095-V1.0</x:v>
      </x:c>
      <x:c r="J71" s="68" t="str">
        <x:v>多药同时作用同一节点会发生容量竞争</x:v>
      </x:c>
      <x:c r="K71" s="68" t="str">
        <x:v>M18-MED-0048-V1.0</x:v>
      </x:c>
      <x:c r="L71" s="68" t="str">
        <x:v>同一病位多条药路应择一主路线</x:v>
      </x:c>
      <x:c r="M71" s="68" t="str">
        <x:v>两个以上药神或药理共享同一印、食、财、官杀或桥梁节点</x:v>
      </x:c>
      <x:c r="N71" s="68" t="str">
        <x:v>共享节点的有效容量不能被多条路线重复全额调用</x:v>
      </x:c>
      <x:c r="O71" s="68" t="str">
        <x:v>优先保留直接治疗根本病且副作用较小的主路线</x:v>
      </x:c>
      <x:c r="P71" s="68" t="str">
        <x:v>主路线药神优先</x:v>
      </x:c>
      <x:c r="Q71" s="68" t="str">
        <x:v>次路线降为辅助、替代或不采用</x:v>
      </x:c>
      <x:c r="R71" s="84" t="str">
        <x:v>药路去重</x:v>
      </x:c>
      <x:c r="S71" s="68" t="str">
        <x:v>冲突双方均有有效证据且作用于同一原局</x:v>
      </x:c>
      <x:c r="T71" s="68" t="str">
        <x:v>其中一方只是名义候选、已经失效或不作用于主要矛盾</x:v>
      </x:c>
      <x:c r="U71" s="68" t="str">
        <x:v>若被降级一方实际承担不可替代功能，应重新进入本规则复审</x:v>
      </x:c>
      <x:c r="V71" s="68" t="str">
        <x:v>证据接近或存在流派争议时保留并列候选并降低置信度</x:v>
      </x:c>
      <x:c r="W71" s="90" t="str">
        <x:v>防止制化两立、桥梁过载和药力分散</x:v>
      </x:c>
      <x:c r="X71" s="84" t="str">
        <x:v>多药容量去重</x:v>
      </x:c>
      <x:c r="Y71" s="84" t="str">
        <x:v>冲突主题：多药容量竞争。裁决结果为“药路去重”；优先采用：主路线药神优先；降级处理：次路线降为辅助、替代或不采用。同时控制副作用：防止制化两立、桥梁过载和药力分散。</x:v>
      </x:c>
      <x:c r="Z71" s="82" t="str">
        <x:v>较高</x:v>
      </x:c>
      <x:c r="AA71" s="82" t="str">
        <x:v>现代综合</x:v>
      </x:c>
      <x:c r="AB7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1" s="68" t="str">
        <x:v>当“两个以上药神或药理共享同一印、食、财、官杀或桥梁节点”成立，且硬约束与主次证据清晰时，可按本规则裁决。</x:v>
      </x:c>
      <x:c r="AD71" s="90" t="str">
        <x:v>若冲突双方并未同时有效，或“其中一方只是名义候选、已经失效或不作用于主要矛盾”成立，不得套用本规则制造假冲突。</x:v>
      </x:c>
      <x:c r="AE71" s="82" t="str">
        <x:v>采用</x:v>
      </x:c>
      <x:c r="AF71" s="82" t="str">
        <x:v>初审</x:v>
      </x:c>
      <x:c r="AG71" s="87" t="n">
        <x:v>46260</x:v>
      </x:c>
    </x:row>
    <x:row r="72">
      <x:c r="A72" s="72" t="str">
        <x:f>IF(OR(C72="",D72=""),"",B72&amp;"-"&amp;UPPER(C72)&amp;"-"&amp;TEXT(D72,"0000")&amp;"-"&amp;E72)</x:f>
        <x:v>M18-DOSE-0066-V1.0</x:v>
      </x:c>
      <x:c r="B72" s="74" t="str">
        <x:v>M18</x:v>
      </x:c>
      <x:c r="C72" s="74" t="str">
        <x:v>DOSE</x:v>
      </x:c>
      <x:c r="D72" s="215" t="n">
        <x:v>66</x:v>
      </x:c>
      <x:c r="E72" s="74" t="str">
        <x:v>V1.0</x:v>
      </x:c>
      <x:c r="F72" s="68" t="str">
        <x:v>一药多效升级后必须设置总药量上限</x:v>
      </x:c>
      <x:c r="G72" s="82" t="str">
        <x:v>综合层</x:v>
      </x:c>
      <x:c r="H72" s="68" t="str">
        <x:v>多维同向与药力集中冲突</x:v>
      </x:c>
      <x:c r="I72" s="68" t="str">
        <x:v>M18-MED-0045-V1.0</x:v>
      </x:c>
      <x:c r="J72" s="68" t="str">
        <x:v>一药多效且证据独立时可升级主用</x:v>
      </x:c>
      <x:c r="K72" s="68" t="str">
        <x:v>M16-DOSE-0091-V1.0</x:v>
      </x:c>
      <x:c r="L72" s="68" t="str">
        <x:v>药力过量会形成反向病</x:v>
      </x:c>
      <x:c r="M72" s="68" t="str">
        <x:v>同一五行同时承担扶抑、格局、通关、调候和病药多项职责</x:v>
      </x:c>
      <x:c r="N72" s="68" t="str">
        <x:v>多项职责共享同一药力，不等于需要按职责数量叠加剂量</x:v>
      </x:c>
      <x:c r="O72" s="68" t="str">
        <x:v>一药多效提高优先级，不提高无上限的强度</x:v>
      </x:c>
      <x:c r="P72" s="68" t="str">
        <x:v>最小能够覆盖核心职责的有效强度优先</x:v>
      </x:c>
      <x:c r="Q72" s="68" t="str">
        <x:v>超过总药量上限后转条件性、减量或由喜转忌</x:v>
      </x:c>
      <x:c r="R72" s="84" t="str">
        <x:v>多效限量</x:v>
      </x:c>
      <x:c r="S72" s="68" t="str">
        <x:v>冲突双方均有有效证据且作用于同一原局</x:v>
      </x:c>
      <x:c r="T72" s="68" t="str">
        <x:v>其中一方只是名义候选、已经失效或不作用于主要矛盾</x:v>
      </x:c>
      <x:c r="U72" s="68" t="str">
        <x:v>若被降级一方实际承担不可替代功能，应重新进入本规则复审</x:v>
      </x:c>
      <x:c r="V72" s="68" t="str">
        <x:v>证据接近或存在流派争议时保留并列候选并降低置信度</x:v>
      </x:c>
      <x:c r="W72" s="90" t="str">
        <x:v>按最敏感副作用设置上限，而不是按收益数量加码</x:v>
      </x:c>
      <x:c r="X72" s="84" t="str">
        <x:v>一药多效剂量控制</x:v>
      </x:c>
      <x:c r="Y72" s="84" t="str">
        <x:v>冲突主题：多维同向与药力集中冲突。裁决结果为“多效限量”；优先采用：最小能够覆盖核心职责的有效强度优先；降级处理：超过总药量上限后转条件性、减量或由喜转忌。同时控制副作用：按最敏感副作用设置上限，而不是按收益数量加码。</x:v>
      </x:c>
      <x:c r="Z72" s="82" t="str">
        <x:v>较高</x:v>
      </x:c>
      <x:c r="AA72" s="82" t="str">
        <x:v>现代综合</x:v>
      </x:c>
      <x:c r="AB7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2" s="68" t="str">
        <x:v>当“同一五行同时承担扶抑、格局、通关、调候和病药多项职责”成立，且硬约束与主次证据清晰时，可按本规则裁决。</x:v>
      </x:c>
      <x:c r="AD72" s="90" t="str">
        <x:v>若冲突双方并未同时有效，或“其中一方只是名义候选、已经失效或不作用于主要矛盾”成立，不得套用本规则制造假冲突。</x:v>
      </x:c>
      <x:c r="AE72" s="82" t="str">
        <x:v>采用</x:v>
      </x:c>
      <x:c r="AF72" s="82" t="str">
        <x:v>初审</x:v>
      </x:c>
      <x:c r="AG72" s="87" t="n">
        <x:v>46260</x:v>
      </x:c>
    </x:row>
    <x:row r="73">
      <x:c r="A73" s="72" t="str">
        <x:f>IF(OR(C73="",D73=""),"",B73&amp;"-"&amp;UPPER(C73)&amp;"-"&amp;TEXT(D73,"0000")&amp;"-"&amp;E73)</x:f>
        <x:v>M18-DOSE-0067-V1.0</x:v>
      </x:c>
      <x:c r="B73" s="74" t="str">
        <x:v>M18</x:v>
      </x:c>
      <x:c r="C73" s="74" t="str">
        <x:v>DOSE</x:v>
      </x:c>
      <x:c r="D73" s="215" t="n">
        <x:v>67</x:v>
      </x:c>
      <x:c r="E73" s="74" t="str">
        <x:v>V1.0</x:v>
      </x:c>
      <x:c r="F73" s="68" t="str">
        <x:v>治一病同时产生同级新病时只可条件采用</x:v>
      </x:c>
      <x:c r="G73" s="82" t="str">
        <x:v>综合层</x:v>
      </x:c>
      <x:c r="H73" s="68" t="str">
        <x:v>治病收益与同级新病冲突</x:v>
      </x:c>
      <x:c r="I73" s="68" t="str">
        <x:v>M17-GEN-0007-V1.0</x:v>
      </x:c>
      <x:c r="J73" s="68" t="str">
        <x:v>能治病但制造同级新病时保持条件性</x:v>
      </x:c>
      <x:c r="K73" s="68" t="str">
        <x:v>M16-DOSE-0093-V1.0</x:v>
      </x:c>
      <x:c r="L73" s="68" t="str">
        <x:v>药神可能解决一病却恶化另一维度</x:v>
      </x:c>
      <x:c r="M73" s="68" t="str">
        <x:v>原病与新病严重度接近，且没有完全无副作用的替代方案</x:v>
      </x:c>
      <x:c r="N73" s="68" t="str">
        <x:v>必须能通过剂量、辅助药或路径限制控制新病</x:v>
      </x:c>
      <x:c r="O73" s="68" t="str">
        <x:v>按可控净收益决定是否条件采用</x:v>
      </x:c>
      <x:c r="P73" s="68" t="str">
        <x:v>新病可控且原病更直接者优先</x:v>
      </x:c>
      <x:c r="Q73" s="68" t="str">
        <x:v>定为条件性喜神或条件性辅助，不列无条件主用</x:v>
      </x:c>
      <x:c r="R73" s="84" t="str">
        <x:v>同级新病条件裁决</x:v>
      </x:c>
      <x:c r="S73" s="68" t="str">
        <x:v>冲突双方均有有效证据且作用于同一原局</x:v>
      </x:c>
      <x:c r="T73" s="68" t="str">
        <x:v>其中一方只是名义候选、已经失效或不作用于主要矛盾</x:v>
      </x:c>
      <x:c r="U73" s="68" t="str">
        <x:v>若被降级一方实际承担不可替代功能，应重新进入本规则复审</x:v>
      </x:c>
      <x:c r="V73" s="68" t="str">
        <x:v>证据接近或存在流派争议时保留并列候选并降低置信度</x:v>
      </x:c>
      <x:c r="W73" s="90" t="str">
        <x:v>明确新病监测对象、转忌阈值和替代方案</x:v>
      </x:c>
      <x:c r="X73" s="84" t="str">
        <x:v>同级药害条件化</x:v>
      </x:c>
      <x:c r="Y73" s="84" t="str">
        <x:v>冲突主题：治病收益与同级新病冲突。裁决结果为“同级新病条件裁决”；优先采用：新病可控且原病更直接者优先；降级处理：定为条件性喜神或条件性辅助，不列无条件主用。同时控制副作用：明确新病监测对象、转忌阈值和替代方案。</x:v>
      </x:c>
      <x:c r="Z73" s="82" t="str">
        <x:v>较高</x:v>
      </x:c>
      <x:c r="AA73" s="82" t="str">
        <x:v>现代综合</x:v>
      </x:c>
      <x:c r="AB7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3" s="68" t="str">
        <x:v>当“原病与新病严重度接近，且没有完全无副作用的替代方案”成立，且硬约束与主次证据清晰时，可按本规则裁决。</x:v>
      </x:c>
      <x:c r="AD73" s="90" t="str">
        <x:v>若冲突双方并未同时有效，或“其中一方只是名义候选、已经失效或不作用于主要矛盾”成立，不得套用本规则制造假冲突。</x:v>
      </x:c>
      <x:c r="AE73" s="82" t="str">
        <x:v>采用</x:v>
      </x:c>
      <x:c r="AF73" s="82" t="str">
        <x:v>初审</x:v>
      </x:c>
      <x:c r="AG73" s="87" t="n">
        <x:v>46260</x:v>
      </x:c>
    </x:row>
    <x:row r="74">
      <x:c r="A74" s="72" t="str">
        <x:f>IF(OR(C74="",D74=""),"",B74&amp;"-"&amp;UPPER(C74)&amp;"-"&amp;TEXT(D74,"0000")&amp;"-"&amp;E74)</x:f>
        <x:v>M18-DOSE-0068-V1.0</x:v>
      </x:c>
      <x:c r="B74" s="74" t="str">
        <x:v>M18</x:v>
      </x:c>
      <x:c r="C74" s="74" t="str">
        <x:v>DOSE</x:v>
      </x:c>
      <x:c r="D74" s="215" t="n">
        <x:v>68</x:v>
      </x:c>
      <x:c r="E74" s="74" t="str">
        <x:v>V1.0</x:v>
      </x:c>
      <x:c r="F74" s="68" t="str">
        <x:v>新病严重度高于原病时直接否决原药</x:v>
      </x:c>
      <x:c r="G74" s="82" t="str">
        <x:v>综合层</x:v>
      </x:c>
      <x:c r="H74" s="68" t="str">
        <x:v>治病收益与更严重药害冲突</x:v>
      </x:c>
      <x:c r="I74" s="68" t="str">
        <x:v>M18-MED-0044-V1.0</x:v>
      </x:c>
      <x:c r="J74" s="68" t="str">
        <x:v>治一病而产生更严重的新病时否决该药</x:v>
      </x:c>
      <x:c r="K74" s="68" t="str">
        <x:v>M17-RANK-0091-V1.0</x:v>
      </x:c>
      <x:c r="L74" s="68" t="str">
        <x:v>稳定加重根本病或破坏核心结构者为忌神</x:v>
      </x:c>
      <x:c r="M74" s="68" t="str">
        <x:v>候选药神的副作用触发根本破格、首要调候病、严重承载病或主路径崩溃</x:v>
      </x:c>
      <x:c r="N74" s="68" t="str">
        <x:v>更严重的新病或根本破格属于否决条件</x:v>
      </x:c>
      <x:c r="O74" s="68" t="str">
        <x:v>不以较小局部收益交换更大结构损害</x:v>
      </x:c>
      <x:c r="P74" s="68" t="str">
        <x:v>寻找替代药路或接受原次病而保护主结构</x:v>
      </x:c>
      <x:c r="Q74" s="68" t="str">
        <x:v>该药定为忌神；若还生助其他忌神则可定仇神</x:v>
      </x:c>
      <x:c r="R74" s="84" t="str">
        <x:v>严重药害否决</x:v>
      </x:c>
      <x:c r="S74" s="68" t="str">
        <x:v>冲突双方均有有效证据且作用于同一原局</x:v>
      </x:c>
      <x:c r="T74" s="68" t="str">
        <x:v>其中一方只是名义候选、已经失效或不作用于主要矛盾</x:v>
      </x:c>
      <x:c r="U74" s="68" t="str">
        <x:v>若被降级一方实际承担不可替代功能，应重新进入本规则复审</x:v>
      </x:c>
      <x:c r="V74" s="68" t="str">
        <x:v>证据接近或存在流派争议时保留并列候选并降低置信度</x:v>
      </x:c>
      <x:c r="W74" s="90" t="str">
        <x:v>记录为什么宁可保留原次病，也不采用该药</x:v>
      </x:c>
      <x:c r="X74" s="84" t="str">
        <x:v>更重药害定忌</x:v>
      </x:c>
      <x:c r="Y74" s="84" t="str">
        <x:v>冲突主题：治病收益与更严重药害冲突。裁决结果为“严重药害否决”；优先采用：寻找替代药路或接受原次病而保护主结构；降级处理：该药定为忌神；若还生助其他忌神则可定仇神。同时控制副作用：记录为什么宁可保留原次病，也不采用该药。</x:v>
      </x:c>
      <x:c r="Z74" s="82" t="str">
        <x:v>较高</x:v>
      </x:c>
      <x:c r="AA74" s="82" t="str">
        <x:v>现代综合</x:v>
      </x:c>
      <x:c r="AB7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4" s="68" t="str">
        <x:v>当“候选药神的副作用触发根本破格、首要调候病、严重承载病或主路径崩溃”成立，且硬约束与主次证据清晰时，可按本规则裁决。</x:v>
      </x:c>
      <x:c r="AD74" s="90" t="str">
        <x:v>若冲突双方并未同时有效，或“其中一方只是名义候选、已经失效或不作用于主要矛盾”成立，不得套用本规则制造假冲突。</x:v>
      </x:c>
      <x:c r="AE74" s="82" t="str">
        <x:v>采用</x:v>
      </x:c>
      <x:c r="AF74" s="82" t="str">
        <x:v>初审</x:v>
      </x:c>
      <x:c r="AG74" s="87" t="n">
        <x:v>46260</x:v>
      </x:c>
    </x:row>
    <x:row r="75">
      <x:c r="A75" s="72" t="str">
        <x:f>IF(OR(C75="",D75=""),"",B75&amp;"-"&amp;UPPER(C75)&amp;"-"&amp;TEXT(D75,"0000")&amp;"-"&amp;E75)</x:f>
        <x:v>M18-RANK-0069-V1.0</x:v>
      </x:c>
      <x:c r="B75" s="74" t="str">
        <x:v>M18</x:v>
      </x:c>
      <x:c r="C75" s="74" t="str">
        <x:v>RANK</x:v>
      </x:c>
      <x:c r="D75" s="215" t="n">
        <x:v>69</x:v>
      </x:c>
      <x:c r="E75" s="74" t="str">
        <x:v>V1.0</x:v>
      </x:c>
      <x:c r="F75" s="68" t="str">
        <x:v>主用神须通过无硬否决的最终审查</x:v>
      </x:c>
      <x:c r="G75" s="82" t="str">
        <x:v>综合层</x:v>
      </x:c>
      <x:c r="H75" s="68" t="str">
        <x:v>最终主用需确认无硬否决</x:v>
      </x:c>
      <x:c r="I75" s="68" t="str">
        <x:v>M17-RANK-0085-V1.0</x:v>
      </x:c>
      <x:c r="J75" s="68" t="str">
        <x:v>主用神必须解决根本主病或最高优先级硬约束</x:v>
      </x:c>
      <x:c r="K75" s="68" t="str">
        <x:v>M18-GEN-0001-V1.0</x:v>
      </x:c>
      <x:c r="L75" s="68" t="str">
        <x:v>硬约束优先于一般收益</x:v>
      </x:c>
      <x:c r="M75" s="68" t="str">
        <x:v>M17已提出主用候选，但尚有格局、调候、药害或特殊格局冲突</x:v>
      </x:c>
      <x:c r="N75" s="68" t="str">
        <x:v>不得触发根本破格、更严重的新病或药力失效</x:v>
      </x:c>
      <x:c r="O75" s="68" t="str">
        <x:v>主用候选需通过硬约束、药力、净收益和剂量四项审查</x:v>
      </x:c>
      <x:c r="P75" s="68" t="str">
        <x:v>通过全部审查且不可替代者确认为第一顺位</x:v>
      </x:c>
      <x:c r="Q75" s="68" t="str">
        <x:v>未通过者降为辅助、条件性喜神、待定或忌神</x:v>
      </x:c>
      <x:c r="R75" s="84" t="str">
        <x:v>主用最终确认</x:v>
      </x:c>
      <x:c r="S75" s="68" t="str">
        <x:v>冲突双方均有有效证据且作用于同一原局</x:v>
      </x:c>
      <x:c r="T75" s="68" t="str">
        <x:v>其中一方只是名义候选、已经失效或不作用于主要矛盾</x:v>
      </x:c>
      <x:c r="U75" s="68" t="str">
        <x:v>若被降级一方实际承担不可替代功能，应重新进入本规则复审</x:v>
      </x:c>
      <x:c r="V75" s="68" t="str">
        <x:v>证据接近或存在流派争议时保留并列候选并降低置信度</x:v>
      </x:c>
      <x:c r="W75" s="90" t="str">
        <x:v>输出主用成立条件、转忌条件和替代方案</x:v>
      </x:c>
      <x:c r="X75" s="84" t="str">
        <x:v>主用最终审查</x:v>
      </x:c>
      <x:c r="Y75" s="84" t="str">
        <x:v>冲突主题：最终主用需确认无硬否决。裁决结果为“主用最终确认”；优先采用：通过全部审查且不可替代者确认为第一顺位；降级处理：未通过者降为辅助、条件性喜神、待定或忌神。同时控制副作用：输出主用成立条件、转忌条件和替代方案。</x:v>
      </x:c>
      <x:c r="Z75" s="82" t="str">
        <x:v>较高</x:v>
      </x:c>
      <x:c r="AA75" s="82" t="str">
        <x:v>现代综合</x:v>
      </x:c>
      <x:c r="AB7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5" s="68" t="str">
        <x:v>当“M17已提出主用候选，但尚有格局、调候、药害或特殊格局冲突”成立，且硬约束与主次证据清晰时，可按本规则裁决。</x:v>
      </x:c>
      <x:c r="AD75" s="90" t="str">
        <x:v>若冲突双方并未同时有效，或“其中一方只是名义候选、已经失效或不作用于主要矛盾”成立，不得套用本规则制造假冲突。</x:v>
      </x:c>
      <x:c r="AE75" s="82" t="str">
        <x:v>采用</x:v>
      </x:c>
      <x:c r="AF75" s="82" t="str">
        <x:v>初审</x:v>
      </x:c>
      <x:c r="AG75" s="87" t="n">
        <x:v>46260</x:v>
      </x:c>
    </x:row>
    <x:row r="76">
      <x:c r="A76" s="72" t="str">
        <x:f>IF(OR(C76="",D76=""),"",B76&amp;"-"&amp;UPPER(C76)&amp;"-"&amp;TEXT(D76,"0000")&amp;"-"&amp;E76)</x:f>
        <x:v>M18-RANK-0070-V1.0</x:v>
      </x:c>
      <x:c r="B76" s="74" t="str">
        <x:v>M18</x:v>
      </x:c>
      <x:c r="C76" s="74" t="str">
        <x:v>RANK</x:v>
      </x:c>
      <x:c r="D76" s="215" t="n">
        <x:v>70</x:v>
      </x:c>
      <x:c r="E76" s="74" t="str">
        <x:v>V1.0</x:v>
      </x:c>
      <x:c r="F76" s="68" t="str">
        <x:v>辅助用神按协同与容量确定第二顺位</x:v>
      </x:c>
      <x:c r="G76" s="82" t="str">
        <x:v>综合层</x:v>
      </x:c>
      <x:c r="H76" s="68" t="str">
        <x:v>主辅容量和路线协同</x:v>
      </x:c>
      <x:c r="I76" s="68" t="str">
        <x:v>M17-RANK-0086-V1.0</x:v>
      </x:c>
      <x:c r="J76" s="68" t="str">
        <x:v>辅助用神应服务主用并完成次级关键环节</x:v>
      </x:c>
      <x:c r="K76" s="68" t="str">
        <x:v>M18-DOSE-0064-V1.0</x:v>
      </x:c>
      <x:c r="L76" s="68" t="str">
        <x:v>辅助药反客为主时需重定主辅</x:v>
      </x:c>
      <x:c r="M76" s="68" t="str">
        <x:v>多个候选都可帮助主用，但协同路径、容量和副作用不同</x:v>
      </x:c>
      <x:c r="N76" s="68" t="str">
        <x:v>辅助必须与主用有直接协同，不得破坏主药或核心格局</x:v>
      </x:c>
      <x:c r="O76" s="68" t="str">
        <x:v>按护药、补桥、承载和副作用控制的必要性排序</x:v>
      </x:c>
      <x:c r="P76" s="68" t="str">
        <x:v>不可替代且药力适中的协同者列第二顺位</x:v>
      </x:c>
      <x:c r="Q76" s="68" t="str">
        <x:v>可替代、弱效或副作用大的候选降为喜神或不采用</x:v>
      </x:c>
      <x:c r="R76" s="84" t="str">
        <x:v>辅助用神确认</x:v>
      </x:c>
      <x:c r="S76" s="68" t="str">
        <x:v>冲突双方均有有效证据且作用于同一原局</x:v>
      </x:c>
      <x:c r="T76" s="68" t="str">
        <x:v>其中一方只是名义候选、已经失效或不作用于主要矛盾</x:v>
      </x:c>
      <x:c r="U76" s="68" t="str">
        <x:v>若被降级一方实际承担不可替代功能，应重新进入本规则复审</x:v>
      </x:c>
      <x:c r="V76" s="68" t="str">
        <x:v>证据接近或存在流派争议时保留并列候选并降低置信度</x:v>
      </x:c>
      <x:c r="W76" s="90" t="str">
        <x:v>限制辅助强度并避免多个辅助共享节点过载</x:v>
      </x:c>
      <x:c r="X76" s="84" t="str">
        <x:v>辅助用神最终审查</x:v>
      </x:c>
      <x:c r="Y76" s="84" t="str">
        <x:v>冲突主题：主辅容量和路线协同。裁决结果为“辅助用神确认”；优先采用：不可替代且药力适中的协同者列第二顺位；降级处理：可替代、弱效或副作用大的候选降为喜神或不采用。同时控制副作用：限制辅助强度并避免多个辅助共享节点过载。</x:v>
      </x:c>
      <x:c r="Z76" s="82" t="str">
        <x:v>较高</x:v>
      </x:c>
      <x:c r="AA76" s="82" t="str">
        <x:v>现代综合</x:v>
      </x:c>
      <x:c r="AB7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6" s="68" t="str">
        <x:v>当“多个候选都可帮助主用，但协同路径、容量和副作用不同”成立，且硬约束与主次证据清晰时，可按本规则裁决。</x:v>
      </x:c>
      <x:c r="AD76" s="90" t="str">
        <x:v>若冲突双方并未同时有效，或“其中一方只是名义候选、已经失效或不作用于主要矛盾”成立，不得套用本规则制造假冲突。</x:v>
      </x:c>
      <x:c r="AE76" s="82" t="str">
        <x:v>采用</x:v>
      </x:c>
      <x:c r="AF76" s="82" t="str">
        <x:v>初审</x:v>
      </x:c>
      <x:c r="AG76" s="87" t="n">
        <x:v>46260</x:v>
      </x:c>
    </x:row>
    <x:row r="77">
      <x:c r="A77" s="72" t="str">
        <x:f>IF(OR(C77="",D77=""),"",B77&amp;"-"&amp;UPPER(C77)&amp;"-"&amp;TEXT(D77,"0000")&amp;"-"&amp;E77)</x:f>
        <x:v>M18-RANK-0071-V1.0</x:v>
      </x:c>
      <x:c r="B77" s="74" t="str">
        <x:v>M18</x:v>
      </x:c>
      <x:c r="C77" s="74" t="str">
        <x:v>RANK</x:v>
      </x:c>
      <x:c r="D77" s="215" t="n">
        <x:v>71</x:v>
      </x:c>
      <x:c r="E77" s="74" t="str">
        <x:v>V1.0</x:v>
      </x:c>
      <x:c r="F77" s="68" t="str">
        <x:v>喜神按一般净收益确定第三顺位</x:v>
      </x:c>
      <x:c r="G77" s="82" t="str">
        <x:v>综合层</x:v>
      </x:c>
      <x:c r="H77" s="68" t="str">
        <x:v>一般净收益判断</x:v>
      </x:c>
      <x:c r="I77" s="68" t="str">
        <x:v>M17-RANK-0087-V1.0</x:v>
      </x:c>
      <x:c r="J77" s="68" t="str">
        <x:v>喜神有稳定净收益但不承担根本主药职责</x:v>
      </x:c>
      <x:c r="K77" s="68" t="str">
        <x:v>M18-GEN-0005-V1.0</x:v>
      </x:c>
      <x:c r="L77" s="68" t="str">
        <x:v>局部收益不能抵消更严重伤害</x:v>
      </x:c>
      <x:c r="M77" s="68" t="str">
        <x:v>某五行改善次级结构，其他维度无严重反对，但并非不可替代</x:v>
      </x:c>
      <x:c r="N77" s="68" t="str">
        <x:v>不存在根本破格、严重药害或主病冲突</x:v>
      </x:c>
      <x:c r="O77" s="68" t="str">
        <x:v>稳定正收益且副作用小者列喜神</x:v>
      </x:c>
      <x:c r="P77" s="68" t="str">
        <x:v>在主用和辅助之后列第三顺位</x:v>
      </x:c>
      <x:c r="Q77" s="68" t="str">
        <x:v>收益依赖条件或药量者降为条件性喜神</x:v>
      </x:c>
      <x:c r="R77" s="84" t="str">
        <x:v>喜神确认</x:v>
      </x:c>
      <x:c r="S77" s="68" t="str">
        <x:v>冲突双方均有有效证据且作用于同一原局</x:v>
      </x:c>
      <x:c r="T77" s="68" t="str">
        <x:v>其中一方只是名义候选、已经失效或不作用于主要矛盾</x:v>
      </x:c>
      <x:c r="U77" s="68" t="str">
        <x:v>若被降级一方实际承担不可替代功能，应重新进入本规则复审</x:v>
      </x:c>
      <x:c r="V77" s="68" t="str">
        <x:v>证据接近或存在流派争议时保留并列候选并降低置信度</x:v>
      </x:c>
      <x:c r="W77" s="90" t="str">
        <x:v>注明其改善的次级问题，避免与主用混淆</x:v>
      </x:c>
      <x:c r="X77" s="84" t="str">
        <x:v>喜神最终审查</x:v>
      </x:c>
      <x:c r="Y77" s="84" t="str">
        <x:v>冲突主题：一般净收益判断。裁决结果为“喜神确认”；优先采用：在主用和辅助之后列第三顺位；降级处理：收益依赖条件或药量者降为条件性喜神。同时控制副作用：注明其改善的次级问题，避免与主用混淆。</x:v>
      </x:c>
      <x:c r="Z77" s="82" t="str">
        <x:v>较高</x:v>
      </x:c>
      <x:c r="AA77" s="82" t="str">
        <x:v>现代综合</x:v>
      </x:c>
      <x:c r="AB7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7" s="68" t="str">
        <x:v>当“某五行改善次级结构，其他维度无严重反对，但并非不可替代”成立，且硬约束与主次证据清晰时，可按本规则裁决。</x:v>
      </x:c>
      <x:c r="AD77" s="90" t="str">
        <x:v>若冲突双方并未同时有效，或“其中一方只是名义候选、已经失效或不作用于主要矛盾”成立，不得套用本规则制造假冲突。</x:v>
      </x:c>
      <x:c r="AE77" s="82" t="str">
        <x:v>采用</x:v>
      </x:c>
      <x:c r="AF77" s="82" t="str">
        <x:v>初审</x:v>
      </x:c>
      <x:c r="AG77" s="87" t="n">
        <x:v>46260</x:v>
      </x:c>
    </x:row>
    <x:row r="78">
      <x:c r="A78" s="72" t="str">
        <x:f>IF(OR(C78="",D78=""),"",B78&amp;"-"&amp;UPPER(C78)&amp;"-"&amp;TEXT(D78,"0000")&amp;"-"&amp;E78)</x:f>
        <x:v>M18-RANK-0072-V1.0</x:v>
      </x:c>
      <x:c r="B78" s="74" t="str">
        <x:v>M18</x:v>
      </x:c>
      <x:c r="C78" s="74" t="str">
        <x:v>RANK</x:v>
      </x:c>
      <x:c r="D78" s="215" t="n">
        <x:v>72</x:v>
      </x:c>
      <x:c r="E78" s="74" t="str">
        <x:v>V1.0</x:v>
      </x:c>
      <x:c r="F78" s="68" t="str">
        <x:v>条件性喜神必须能够明确写出触发条件</x:v>
      </x:c>
      <x:c r="G78" s="82" t="str">
        <x:v>综合层</x:v>
      </x:c>
      <x:c r="H78" s="68" t="str">
        <x:v>多维条件化</x:v>
      </x:c>
      <x:c r="I78" s="68" t="str">
        <x:v>M17-RANK-0088-V1.0</x:v>
      </x:c>
      <x:c r="J78" s="68" t="str">
        <x:v>条件性喜神仅在限定结构和剂量下有利</x:v>
      </x:c>
      <x:c r="K78" s="68" t="str">
        <x:v>M18-DOSE-0062-V1.0</x:v>
      </x:c>
      <x:c r="L78" s="68" t="str">
        <x:v>药过平衡点后喜可转忌</x:v>
      </x:c>
      <x:c r="M78" s="68" t="str">
        <x:v>某五行有实质收益，但药力、格局、调候或承载条件变化会使其失效或转害</x:v>
      </x:c>
      <x:c r="N78" s="68" t="str">
        <x:v>必须可明确列出有利条件、不适用条件和转忌阈值</x:v>
      </x:c>
      <x:c r="O78" s="68" t="str">
        <x:v>无法描述条件边界的候选不得模糊标记条件性喜神</x:v>
      </x:c>
      <x:c r="P78" s="68" t="str">
        <x:v>条件满足时按条件顺位采用</x:v>
      </x:c>
      <x:c r="Q78" s="68" t="str">
        <x:v>条件不满足时转中性、条件性忌神或忌神</x:v>
      </x:c>
      <x:c r="R78" s="84" t="str">
        <x:v>条件性喜神确认</x:v>
      </x:c>
      <x:c r="S78" s="68" t="str">
        <x:v>冲突双方均有有效证据且作用于同一原局</x:v>
      </x:c>
      <x:c r="T78" s="68" t="str">
        <x:v>其中一方只是名义候选、已经失效或不作用于主要矛盾</x:v>
      </x:c>
      <x:c r="U78" s="68" t="str">
        <x:v>若被降级一方实际承担不可替代功能，应重新进入本规则复审</x:v>
      </x:c>
      <x:c r="V78" s="68" t="str">
        <x:v>证据接近或存在流派争议时保留并列候选并降低置信度</x:v>
      </x:c>
      <x:c r="W78" s="90" t="str">
        <x:v>标准输出同步写明何时有利、何时转忌</x:v>
      </x:c>
      <x:c r="X78" s="84" t="str">
        <x:v>条件性喜神最终审查</x:v>
      </x:c>
      <x:c r="Y78" s="84" t="str">
        <x:v>冲突主题：多维条件化。裁决结果为“条件性喜神确认”；优先采用：条件满足时按条件顺位采用；降级处理：条件不满足时转中性、条件性忌神或忌神。同时控制副作用：标准输出同步写明何时有利、何时转忌。</x:v>
      </x:c>
      <x:c r="Z78" s="82" t="str">
        <x:v>较高</x:v>
      </x:c>
      <x:c r="AA78" s="82" t="str">
        <x:v>现代综合</x:v>
      </x:c>
      <x:c r="AB7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8" s="68" t="str">
        <x:v>当“某五行有实质收益，但药力、格局、调候或承载条件变化会使其失效或转害”成立，且硬约束与主次证据清晰时，可按本规则裁决。</x:v>
      </x:c>
      <x:c r="AD78" s="90" t="str">
        <x:v>若冲突双方并未同时有效，或“其中一方只是名义候选、已经失效或不作用于主要矛盾”成立，不得套用本规则制造假冲突。</x:v>
      </x:c>
      <x:c r="AE78" s="82" t="str">
        <x:v>采用</x:v>
      </x:c>
      <x:c r="AF78" s="82" t="str">
        <x:v>初审</x:v>
      </x:c>
      <x:c r="AG78" s="87" t="n">
        <x:v>46260</x:v>
      </x:c>
    </x:row>
    <x:row r="79">
      <x:c r="A79" s="72" t="str">
        <x:f>IF(OR(C79="",D79=""),"",B79&amp;"-"&amp;UPPER(C79)&amp;"-"&amp;TEXT(D79,"0000")&amp;"-"&amp;E79)</x:f>
        <x:v>M18-RANK-0073-V1.0</x:v>
      </x:c>
      <x:c r="B79" s="74" t="str">
        <x:v>M18</x:v>
      </x:c>
      <x:c r="C79" s="74" t="str">
        <x:v>RANK</x:v>
      </x:c>
      <x:c r="D79" s="215" t="n">
        <x:v>73</x:v>
      </x:c>
      <x:c r="E79" s="74" t="str">
        <x:v>V1.0</x:v>
      </x:c>
      <x:c r="F79" s="68" t="str">
        <x:v>五维净作用接近零时定位中性</x:v>
      </x:c>
      <x:c r="G79" s="82" t="str">
        <x:v>综合层</x:v>
      </x:c>
      <x:c r="H79" s="68" t="str">
        <x:v>中性定位与强行喜忌冲突</x:v>
      </x:c>
      <x:c r="I79" s="68" t="str">
        <x:v>M17-RANK-0089-V1.0</x:v>
      </x:c>
      <x:c r="J79" s="68" t="str">
        <x:v>中性五行不进入主要喜忌排序</x:v>
      </x:c>
      <x:c r="K79" s="68" t="str">
        <x:v>M17-BOUND-0093-V1.0</x:v>
      </x:c>
      <x:c r="L79" s="68" t="str">
        <x:v>旺衰事实不直接决定喜忌</x:v>
      </x:c>
      <x:c r="M79" s="68" t="str">
        <x:v>某五行虽旺、弱或缺失，但不承担格局、通关、调候或病药关键功能</x:v>
      </x:c>
      <x:c r="N79" s="68" t="str">
        <x:v>不存在明确核心收益或稳定核心伤害</x:v>
      </x:c>
      <x:c r="O79" s="68" t="str">
        <x:v>无实质净作用则保持中性</x:v>
      </x:c>
      <x:c r="P79" s="68" t="str">
        <x:v>不采用、不列主要排序</x:v>
      </x:c>
      <x:c r="Q79" s="68" t="str">
        <x:v>后续若岁运引动或结构条件变化再动态重评</x:v>
      </x:c>
      <x:c r="R79" s="84" t="str">
        <x:v>中性确认</x:v>
      </x:c>
      <x:c r="S79" s="68" t="str">
        <x:v>冲突双方均有有效证据且作用于同一原局</x:v>
      </x:c>
      <x:c r="T79" s="68" t="str">
        <x:v>其中一方只是名义候选、已经失效或不作用于主要矛盾</x:v>
      </x:c>
      <x:c r="U79" s="68" t="str">
        <x:v>若被降级一方实际承担不可替代功能，应重新进入本规则复审</x:v>
      </x:c>
      <x:c r="V79" s="68" t="str">
        <x:v>证据接近或存在流派争议时保留并列候选并降低置信度</x:v>
      </x:c>
      <x:c r="W79" s="90" t="str">
        <x:v>避免为了五行齐全或列表完整强行定喜忌</x:v>
      </x:c>
      <x:c r="X79" s="84" t="str">
        <x:v>中性最终审查</x:v>
      </x:c>
      <x:c r="Y79" s="84" t="str">
        <x:v>冲突主题：中性定位与强行喜忌冲突。裁决结果为“中性确认”；优先采用：不采用、不列主要排序；降级处理：后续若岁运引动或结构条件变化再动态重评。同时控制副作用：避免为了五行齐全或列表完整强行定喜忌。</x:v>
      </x:c>
      <x:c r="Z79" s="82" t="str">
        <x:v>较高</x:v>
      </x:c>
      <x:c r="AA79" s="82" t="str">
        <x:v>现代综合</x:v>
      </x:c>
      <x:c r="AB7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9" s="68" t="str">
        <x:v>当“某五行虽旺、弱或缺失，但不承担格局、通关、调候或病药关键功能”成立，且硬约束与主次证据清晰时，可按本规则裁决。</x:v>
      </x:c>
      <x:c r="AD79" s="90" t="str">
        <x:v>若冲突双方并未同时有效，或“其中一方只是名义候选、已经失效或不作用于主要矛盾”成立，不得套用本规则制造假冲突。</x:v>
      </x:c>
      <x:c r="AE79" s="82" t="str">
        <x:v>采用</x:v>
      </x:c>
      <x:c r="AF79" s="82" t="str">
        <x:v>初审</x:v>
      </x:c>
      <x:c r="AG79" s="87" t="n">
        <x:v>46260</x:v>
      </x:c>
    </x:row>
    <x:row r="80">
      <x:c r="A80" s="72" t="str">
        <x:f>IF(OR(C80="",D80=""),"",B80&amp;"-"&amp;UPPER(C80)&amp;"-"&amp;TEXT(D80,"0000")&amp;"-"&amp;E80)</x:f>
        <x:v>M18-RANK-0074-V1.0</x:v>
      </x:c>
      <x:c r="B80" s="74" t="str">
        <x:v>M18</x:v>
      </x:c>
      <x:c r="C80" s="74" t="str">
        <x:v>RANK</x:v>
      </x:c>
      <x:c r="D80" s="215" t="n">
        <x:v>74</x:v>
      </x:c>
      <x:c r="E80" s="74" t="str">
        <x:v>V1.0</x:v>
      </x:c>
      <x:c r="F80" s="68" t="str">
        <x:v>正负条件切换明显时定位条件性忌神</x:v>
      </x:c>
      <x:c r="G80" s="82" t="str">
        <x:v>综合层</x:v>
      </x:c>
      <x:c r="H80" s="68" t="str">
        <x:v>正负条件切换</x:v>
      </x:c>
      <x:c r="I80" s="68" t="str">
        <x:v>M17-RANK-0090-V1.0</x:v>
      </x:c>
      <x:c r="J80" s="68" t="str">
        <x:v>条件性忌神在特定结构或强度下加重主要矛盾</x:v>
      </x:c>
      <x:c r="K80" s="68" t="str">
        <x:v>M18-DOSE-0062-V1.0</x:v>
      </x:c>
      <x:c r="L80" s="68" t="str">
        <x:v>药量越界后喜可转忌</x:v>
      </x:c>
      <x:c r="M80" s="68" t="str">
        <x:v>某五行在低量或特定位置有用，但增强、成势或触发特定组合后明显为害</x:v>
      </x:c>
      <x:c r="N80" s="68" t="str">
        <x:v>负面作用依赖可识别的强度、位置、格局或组合条件</x:v>
      </x:c>
      <x:c r="O80" s="68" t="str">
        <x:v>以条件切换而非绝对善恶描述该五行</x:v>
      </x:c>
      <x:c r="P80" s="68" t="str">
        <x:v>不主动采用，必要时仅在安全条件内有限使用</x:v>
      </x:c>
      <x:c r="Q80" s="68" t="str">
        <x:v>触发忌性条件后列不采用</x:v>
      </x:c>
      <x:c r="R80" s="84" t="str">
        <x:v>条件性忌神确认</x:v>
      </x:c>
      <x:c r="S80" s="68" t="str">
        <x:v>冲突双方均有有效证据且作用于同一原局</x:v>
      </x:c>
      <x:c r="T80" s="68" t="str">
        <x:v>其中一方只是名义候选、已经失效或不作用于主要矛盾</x:v>
      </x:c>
      <x:c r="U80" s="68" t="str">
        <x:v>若被降级一方实际承担不可替代功能，应重新进入本规则复审</x:v>
      </x:c>
      <x:c r="V80" s="68" t="str">
        <x:v>证据接近或存在流派争议时保留并列候选并降低置信度</x:v>
      </x:c>
      <x:c r="W80" s="90" t="str">
        <x:v>写明触发忌性的具体阈值和少数例外用途</x:v>
      </x:c>
      <x:c r="X80" s="84" t="str">
        <x:v>条件性忌神最终审查</x:v>
      </x:c>
      <x:c r="Y80" s="84" t="str">
        <x:v>冲突主题：正负条件切换。裁决结果为“条件性忌神确认”；优先采用：不主动采用，必要时仅在安全条件内有限使用；降级处理：触发忌性条件后列不采用。同时控制副作用：写明触发忌性的具体阈值和少数例外用途。</x:v>
      </x:c>
      <x:c r="Z80" s="82" t="str">
        <x:v>较高</x:v>
      </x:c>
      <x:c r="AA80" s="82" t="str">
        <x:v>现代综合</x:v>
      </x:c>
      <x:c r="AB8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0" s="68" t="str">
        <x:v>当“某五行在低量或特定位置有用，但增强、成势或触发特定组合后明显为害”成立，且硬约束与主次证据清晰时，可按本规则裁决。</x:v>
      </x:c>
      <x:c r="AD80" s="90" t="str">
        <x:v>若冲突双方并未同时有效，或“其中一方只是名义候选、已经失效或不作用于主要矛盾”成立，不得套用本规则制造假冲突。</x:v>
      </x:c>
      <x:c r="AE80" s="82" t="str">
        <x:v>采用</x:v>
      </x:c>
      <x:c r="AF80" s="82" t="str">
        <x:v>初审</x:v>
      </x:c>
      <x:c r="AG80" s="87" t="n">
        <x:v>46260</x:v>
      </x:c>
    </x:row>
    <x:row r="81">
      <x:c r="A81" s="72" t="str">
        <x:f>IF(OR(C81="",D81=""),"",B81&amp;"-"&amp;UPPER(C81)&amp;"-"&amp;TEXT(D81,"0000")&amp;"-"&amp;E81)</x:f>
        <x:v>M18-RANK-0075-V1.0</x:v>
      </x:c>
      <x:c r="B81" s="74" t="str">
        <x:v>M18</x:v>
      </x:c>
      <x:c r="C81" s="74" t="str">
        <x:v>RANK</x:v>
      </x:c>
      <x:c r="D81" s="215" t="n">
        <x:v>75</x:v>
      </x:c>
      <x:c r="E81" s="74" t="str">
        <x:v>V1.0</x:v>
      </x:c>
      <x:c r="F81" s="68" t="str">
        <x:v>稳定加重根本病或破格者定位忌神</x:v>
      </x:c>
      <x:c r="G81" s="82" t="str">
        <x:v>综合层</x:v>
      </x:c>
      <x:c r="H81" s="68" t="str">
        <x:v>负向主导</x:v>
      </x:c>
      <x:c r="I81" s="68" t="str">
        <x:v>M17-RANK-0091-V1.0</x:v>
      </x:c>
      <x:c r="J81" s="68" t="str">
        <x:v>忌神稳定加重根本病或直接破坏核心结构</x:v>
      </x:c>
      <x:c r="K81" s="68" t="str">
        <x:v>M18-GEN-0005-V1.0</x:v>
      </x:c>
      <x:c r="L81" s="68" t="str">
        <x:v>更严重伤害可否决局部收益</x:v>
      </x:c>
      <x:c r="M81" s="68" t="str">
        <x:v>某五行在核心维度持续负向，局部收益不足以抵消</x:v>
      </x:c>
      <x:c r="N81" s="68" t="str">
        <x:v>负向作用必须真实、稳定且指向根本病、格神或主路径</x:v>
      </x:c>
      <x:c r="O81" s="68" t="str">
        <x:v>按负向净效应定位，而非按五行旺弱或传统标签</x:v>
      </x:c>
      <x:c r="P81" s="68" t="str">
        <x:v>列不采用，并优先保护其伤害对象</x:v>
      </x:c>
      <x:c r="Q81" s="68" t="str">
        <x:v>若负面只在特定条件下成立，则降为条件性忌神</x:v>
      </x:c>
      <x:c r="R81" s="84" t="str">
        <x:v>忌神确认</x:v>
      </x:c>
      <x:c r="S81" s="68" t="str">
        <x:v>冲突双方均有有效证据且作用于同一原局</x:v>
      </x:c>
      <x:c r="T81" s="68" t="str">
        <x:v>其中一方只是名义候选、已经失效或不作用于主要矛盾</x:v>
      </x:c>
      <x:c r="U81" s="68" t="str">
        <x:v>若被降级一方实际承担不可替代功能，应重新进入本规则复审</x:v>
      </x:c>
      <x:c r="V81" s="68" t="str">
        <x:v>证据接近或存在流派争议时保留并列候选并降低置信度</x:v>
      </x:c>
      <x:c r="W81" s="90" t="str">
        <x:v>明确忌神伤害链和是否存在剂量/位置例外</x:v>
      </x:c>
      <x:c r="X81" s="84" t="str">
        <x:v>忌神最终审查</x:v>
      </x:c>
      <x:c r="Y81" s="84" t="str">
        <x:v>冲突主题：负向主导。裁决结果为“忌神确认”；优先采用：列不采用，并优先保护其伤害对象；降级处理：若负面只在特定条件下成立，则降为条件性忌神。同时控制副作用：明确忌神伤害链和是否存在剂量/位置例外。</x:v>
      </x:c>
      <x:c r="Z81" s="82" t="str">
        <x:v>较高</x:v>
      </x:c>
      <x:c r="AA81" s="82" t="str">
        <x:v>现代综合</x:v>
      </x:c>
      <x:c r="AB8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1" s="68" t="str">
        <x:v>当“某五行在核心维度持续负向，局部收益不足以抵消”成立，且硬约束与主次证据清晰时，可按本规则裁决。</x:v>
      </x:c>
      <x:c r="AD81" s="90" t="str">
        <x:v>若冲突双方并未同时有效，或“其中一方只是名义候选、已经失效或不作用于主要矛盾”成立，不得套用本规则制造假冲突。</x:v>
      </x:c>
      <x:c r="AE81" s="82" t="str">
        <x:v>采用</x:v>
      </x:c>
      <x:c r="AF81" s="82" t="str">
        <x:v>初审</x:v>
      </x:c>
      <x:c r="AG81" s="87" t="n">
        <x:v>46260</x:v>
      </x:c>
    </x:row>
    <x:row r="82">
      <x:c r="A82" s="72" t="str">
        <x:f>IF(OR(C82="",D82=""),"",B82&amp;"-"&amp;UPPER(C82)&amp;"-"&amp;TEXT(D82,"0000")&amp;"-"&amp;E82)</x:f>
        <x:v>M18-RANK-0076-V1.0</x:v>
      </x:c>
      <x:c r="B82" s="74" t="str">
        <x:v>M18</x:v>
      </x:c>
      <x:c r="C82" s="74" t="str">
        <x:v>RANK</x:v>
      </x:c>
      <x:c r="D82" s="215" t="n">
        <x:v>76</x:v>
      </x:c>
      <x:c r="E82" s="74" t="str">
        <x:v>V1.0</x:v>
      </x:c>
      <x:c r="F82" s="68" t="str">
        <x:v>间接生忌克用坏药者定位仇神</x:v>
      </x:c>
      <x:c r="G82" s="82" t="str">
        <x:v>综合层</x:v>
      </x:c>
      <x:c r="H82" s="68" t="str">
        <x:v>间接有害链</x:v>
      </x:c>
      <x:c r="I82" s="68" t="str">
        <x:v>M17-RANK-0092-V1.0</x:v>
      </x:c>
      <x:c r="J82" s="68" t="str">
        <x:v>仇神通过生忌、克用、坏药或阻救间接为害</x:v>
      </x:c>
      <x:c r="K82" s="68" t="str">
        <x:v>M18-MED-0049-V1.0</x:v>
      </x:c>
      <x:c r="L82" s="68" t="str">
        <x:v>直接病因定忌，间接助害者定仇</x:v>
      </x:c>
      <x:c r="M82" s="68" t="str">
        <x:v>某五行自身不是直接根本病，但稳定帮助忌神或削弱主辅用神</x:v>
      </x:c>
      <x:c r="N82" s="68" t="str">
        <x:v>必须存在明确连续的间接有害链</x:v>
      </x:c>
      <x:c r="O82" s="68" t="str">
        <x:v>区分直接病因和间接助害者</x:v>
      </x:c>
      <x:c r="P82" s="68" t="str">
        <x:v>切断仇神—忌神或仇神—用神作用链</x:v>
      </x:c>
      <x:c r="Q82" s="68" t="str">
        <x:v>若其另有不可替代正向功能，则标条件性仇神并降低置信度</x:v>
      </x:c>
      <x:c r="R82" s="84" t="str">
        <x:v>仇神确认</x:v>
      </x:c>
      <x:c r="S82" s="68" t="str">
        <x:v>冲突双方均有有效证据且作用于同一原局</x:v>
      </x:c>
      <x:c r="T82" s="68" t="str">
        <x:v>其中一方只是名义候选、已经失效或不作用于主要矛盾</x:v>
      </x:c>
      <x:c r="U82" s="68" t="str">
        <x:v>若被降级一方实际承担不可替代功能，应重新进入本规则复审</x:v>
      </x:c>
      <x:c r="V82" s="68" t="str">
        <x:v>证据接近或存在流派争议时保留并列候选并降低置信度</x:v>
      </x:c>
      <x:c r="W82" s="90" t="str">
        <x:v>说明其助忌伤用的具体对象与路径</x:v>
      </x:c>
      <x:c r="X82" s="84" t="str">
        <x:v>仇神最终审查</x:v>
      </x:c>
      <x:c r="Y82" s="84" t="str">
        <x:v>冲突主题：间接有害链。裁决结果为“仇神确认”；优先采用：切断仇神—忌神或仇神—用神作用链；降级处理：若其另有不可替代正向功能，则标条件性仇神并降低置信度。同时控制副作用：说明其助忌伤用的具体对象与路径。</x:v>
      </x:c>
      <x:c r="Z82" s="82" t="str">
        <x:v>较高</x:v>
      </x:c>
      <x:c r="AA82" s="82" t="str">
        <x:v>现代综合</x:v>
      </x:c>
      <x:c r="AB8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2" s="68" t="str">
        <x:v>当“某五行自身不是直接根本病，但稳定帮助忌神或削弱主辅用神”成立，且硬约束与主次证据清晰时，可按本规则裁决。</x:v>
      </x:c>
      <x:c r="AD82" s="90" t="str">
        <x:v>若冲突双方并未同时有效，或“其中一方只是名义候选、已经失效或不作用于主要矛盾”成立，不得套用本规则制造假冲突。</x:v>
      </x:c>
      <x:c r="AE82" s="82" t="str">
        <x:v>采用</x:v>
      </x:c>
      <x:c r="AF82" s="82" t="str">
        <x:v>初审</x:v>
      </x:c>
      <x:c r="AG82" s="87" t="n">
        <x:v>46260</x:v>
      </x:c>
    </x:row>
    <x:row r="83">
      <x:c r="A83" s="72" t="str">
        <x:f>IF(OR(C83="",D83=""),"",B83&amp;"-"&amp;UPPER(C83)&amp;"-"&amp;TEXT(D83,"0000")&amp;"-"&amp;E83)</x:f>
        <x:v>M18-BOUND-0077-V1.0</x:v>
      </x:c>
      <x:c r="B83" s="74" t="str">
        <x:v>M18</x:v>
      </x:c>
      <x:c r="C83" s="74" t="str">
        <x:v>BOUND</x:v>
      </x:c>
      <x:c r="D83" s="215" t="n">
        <x:v>77</x:v>
      </x:c>
      <x:c r="E83" s="74" t="str">
        <x:v>V1.0</x:v>
      </x:c>
      <x:c r="F83" s="68" t="str">
        <x:v>最终输出必须说明为何优先及为何降级其他候选</x:v>
      </x:c>
      <x:c r="G83" s="82" t="str">
        <x:v>综合层</x:v>
      </x:c>
      <x:c r="H83" s="68" t="str">
        <x:v>裁决输出完整性</x:v>
      </x:c>
      <x:c r="I83" s="68" t="str">
        <x:v>M17-BOUND-0100-V1.0</x:v>
      </x:c>
      <x:c r="J83" s="68" t="str">
        <x:v>M17需输出五行全表、冲突、定位和条件</x:v>
      </x:c>
      <x:c r="K83" s="68" t="str">
        <x:v>M18-RANK-0069-V1.0</x:v>
      </x:c>
      <x:c r="L83" s="68" t="str">
        <x:v>主用候选需通过最终硬约束审查</x:v>
      </x:c>
      <x:c r="M83" s="68" t="str">
        <x:v>完成跨模块裁决并确定主用、辅助、喜忌</x:v>
      </x:c>
      <x:c r="N83" s="68" t="str">
        <x:v>每个最终定位都必须可回溯到规则、病位、路径和副作用</x:v>
      </x:c>
      <x:c r="O83" s="68" t="str">
        <x:v>不仅给答案，还保留被排除方案的理由和反向证据</x:v>
      </x:c>
      <x:c r="P83" s="68" t="str">
        <x:v>输出主用、辅助、喜、忌、仇及待定项的裁决链</x:v>
      </x:c>
      <x:c r="Q83" s="68" t="str">
        <x:v>证据不足者不得伪装成确定结论</x:v>
      </x:c>
      <x:c r="R83" s="84" t="str">
        <x:v>结构化裁决输出</x:v>
      </x:c>
      <x:c r="S83" s="68" t="str">
        <x:v>冲突双方均有有效证据且作用于同一原局</x:v>
      </x:c>
      <x:c r="T83" s="68" t="str">
        <x:v>其中一方只是名义候选、已经失效或不作用于主要矛盾</x:v>
      </x:c>
      <x:c r="U83" s="68" t="str">
        <x:v>若被降级一方实际承担不可替代功能，应重新进入本规则复审</x:v>
      </x:c>
      <x:c r="V83" s="68" t="str">
        <x:v>证据接近或存在流派争议时保留并列候选并降低置信度</x:v>
      </x:c>
      <x:c r="W83" s="90" t="str">
        <x:v>明确条件性结论的触发与转性边界</x:v>
      </x:c>
      <x:c r="X83" s="84" t="str">
        <x:v>M18标准输出</x:v>
      </x:c>
      <x:c r="Y83" s="84" t="str">
        <x:v>M18最终输出：冲突双方、硬约束、优先规则、被降级候选、裁决结果、适用/不适用条件、反向证据、例外、副作用控制、置信度及引用Rule_ID。</x:v>
      </x:c>
      <x:c r="Z83" s="82" t="str">
        <x:v>较高</x:v>
      </x:c>
      <x:c r="AA83" s="82" t="str">
        <x:v>现代综合</x:v>
      </x:c>
      <x:c r="AB8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3" s="68" t="str">
        <x:v>当“完成跨模块裁决并确定主用、辅助、喜忌”成立，且硬约束与主次证据清晰时，可按本规则裁决。</x:v>
      </x:c>
      <x:c r="AD83" s="90" t="str">
        <x:v>若冲突双方并未同时有效，或“其中一方只是名义候选、已经失效或不作用于主要矛盾”成立，不得套用本规则制造假冲突。</x:v>
      </x:c>
      <x:c r="AE83" s="82" t="str">
        <x:v>采用</x:v>
      </x:c>
      <x:c r="AF83" s="82" t="str">
        <x:v>初审</x:v>
      </x:c>
      <x:c r="AG83" s="87" t="n">
        <x:v>46260</x:v>
      </x:c>
    </x:row>
    <x:row r="84">
      <x:c r="A84" s="72" t="str">
        <x:f>IF(OR(C84="",D84=""),"",B84&amp;"-"&amp;UPPER(C84)&amp;"-"&amp;TEXT(D84,"0000")&amp;"-"&amp;E84)</x:f>
        <x:v>M18-BOUND-0078-V1.0</x:v>
      </x:c>
      <x:c r="B84" s="74" t="str">
        <x:v>M18</x:v>
      </x:c>
      <x:c r="C84" s="74" t="str">
        <x:v>BOUND</x:v>
      </x:c>
      <x:c r="D84" s="215" t="n">
        <x:v>78</x:v>
      </x:c>
      <x:c r="E84" s="74" t="str">
        <x:v>V1.0</x:v>
      </x:c>
      <x:c r="F84" s="68" t="str">
        <x:v>冲突裁决不采用固定模块顺序或机械总分</x:v>
      </x:c>
      <x:c r="G84" s="82" t="str">
        <x:v>综合层</x:v>
      </x:c>
      <x:c r="H84" s="68" t="str">
        <x:v>固定优先级与条件裁决冲突</x:v>
      </x:c>
      <x:c r="I84" s="68" t="str">
        <x:v>M17-GEN-0010-V1.0</x:v>
      </x:c>
      <x:c r="J84" s="68" t="str">
        <x:v>最终用神不使用固定总分</x:v>
      </x:c>
      <x:c r="K84" s="68" t="str">
        <x:v>M18-GEN-0002-V1.0</x:v>
      </x:c>
      <x:c r="L84" s="68" t="str">
        <x:v>只有严格成立条件才具硬约束资格</x:v>
      </x:c>
      <x:c r="M84" s="68" t="str">
        <x:v>试图用“格局永远高于调候”或“病药永远高于扶抑”等固定口诀裁决所有命局</x:v>
      </x:c>
      <x:c r="N84" s="68" t="str">
        <x:v>优先级必须建立在严格成立、根本病、主路径和严重度事实之上</x:v>
      </x:c>
      <x:c r="O84" s="68" t="str">
        <x:v>模块没有无条件恒定顺序，只有条件化硬约束和净收益</x:v>
      </x:c>
      <x:c r="P84" s="68" t="str">
        <x:v>当前命局中不可替代且严重度更高的问题优先</x:v>
      </x:c>
      <x:c r="Q84" s="68" t="str">
        <x:v>固定口诀结论降为待验证或流派标签，不作跨库硬规则</x:v>
      </x:c>
      <x:c r="R84" s="84" t="str">
        <x:v>条件优先级</x:v>
      </x:c>
      <x:c r="S84" s="68" t="str">
        <x:v>冲突双方均有有效证据且作用于同一原局</x:v>
      </x:c>
      <x:c r="T84" s="68" t="str">
        <x:v>其中一方只是名义候选、已经失效或不作用于主要矛盾</x:v>
      </x:c>
      <x:c r="U84" s="68" t="str">
        <x:v>若被降级一方实际承担不可替代功能，应重新进入本规则复审</x:v>
      </x:c>
      <x:c r="V84" s="68" t="str">
        <x:v>证据接近或存在流派争议时保留并列候选并降低置信度</x:v>
      </x:c>
      <x:c r="W84" s="90" t="str">
        <x:v>出现流派分歧时转M21登记，不伪装成共识</x:v>
      </x:c>
      <x:c r="X84" s="84" t="str">
        <x:v>非固定优先级</x:v>
      </x:c>
      <x:c r="Y84" s="84" t="str">
        <x:v>冲突主题：固定优先级与条件裁决冲突。裁决结果为“条件优先级”；优先采用：当前命局中不可替代且严重度更高的问题优先；降级处理：固定口诀结论降为待验证或流派标签，不作跨库硬规则。同时控制副作用：出现流派分歧时转M21登记，不伪装成共识。</x:v>
      </x:c>
      <x:c r="Z84" s="82" t="str">
        <x:v>较高</x:v>
      </x:c>
      <x:c r="AA84" s="82" t="str">
        <x:v>现代综合</x:v>
      </x:c>
      <x:c r="AB8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4" s="68" t="str">
        <x:v>当“试图用“格局永远高于调候”或“病药永远高于扶抑”等固定口诀裁决所有命局”成立，且硬约束与主次证据清晰时，可按本规则裁决。</x:v>
      </x:c>
      <x:c r="AD84" s="90" t="str">
        <x:v>若冲突双方并未同时有效，或“其中一方只是名义候选、已经失效或不作用于主要矛盾”成立，不得套用本规则制造假冲突。</x:v>
      </x:c>
      <x:c r="AE84" s="82" t="str">
        <x:v>采用</x:v>
      </x:c>
      <x:c r="AF84" s="82" t="str">
        <x:v>初审</x:v>
      </x:c>
      <x:c r="AG84" s="87" t="n">
        <x:v>46260</x:v>
      </x:c>
    </x:row>
    <x:row r="85">
      <x:c r="A85" s="72" t="str">
        <x:f>IF(OR(C85="",D85=""),"",B85&amp;"-"&amp;UPPER(C85)&amp;"-"&amp;TEXT(D85,"0000")&amp;"-"&amp;E85)</x:f>
        <x:v>M18-BOUND-0079-V1.0</x:v>
      </x:c>
      <x:c r="B85" s="74" t="str">
        <x:v>M18</x:v>
      </x:c>
      <x:c r="C85" s="74" t="str">
        <x:v>BOUND</x:v>
      </x:c>
      <x:c r="D85" s="215" t="n">
        <x:v>79</x:v>
      </x:c>
      <x:c r="E85" s="74" t="str">
        <x:v>V1.0</x:v>
      </x:c>
      <x:c r="F85" s="68" t="str">
        <x:v>原局静态裁决与岁运动态变化必须分开</x:v>
      </x:c>
      <x:c r="G85" s="82" t="str">
        <x:v>综合层</x:v>
      </x:c>
      <x:c r="H85" s="68" t="str">
        <x:v>静态喜忌与动态引动冲突</x:v>
      </x:c>
      <x:c r="I85" s="68" t="str">
        <x:v>M17-BOUND-0098-V1.0</x:v>
      </x:c>
      <x:c r="J85" s="68" t="str">
        <x:v>M17只判断原局静态喜忌</x:v>
      </x:c>
      <x:c r="K85" s="68" t="str">
        <x:v>M16-BOUND-0108-V1.0</x:v>
      </x:c>
      <x:c r="L85" s="68" t="str">
        <x:v>未来岁运补药或加病不改写原局事实</x:v>
      </x:c>
      <x:c r="M85" s="68" t="str">
        <x:v>某五行原局为条件性喜神，但在特定岁运中可能过量、被合冲或破格</x:v>
      </x:c>
      <x:c r="N85" s="68" t="str">
        <x:v>M18只裁决原局静态结构下的优先级</x:v>
      </x:c>
      <x:c r="O85" s="68" t="str">
        <x:v>动态进入后重新计算力量、路径、格局、病药和剂量</x:v>
      </x:c>
      <x:c r="P85" s="68" t="str">
        <x:v>原局裁决作为D0动态模型的基准输入</x:v>
      </x:c>
      <x:c r="Q85" s="68" t="str">
        <x:v>不得把某五行原局喜用直接等同所有岁运均吉</x:v>
      </x:c>
      <x:c r="R85" s="84" t="str">
        <x:v>静动态分层</x:v>
      </x:c>
      <x:c r="S85" s="68" t="str">
        <x:v>冲突双方均有有效证据且作用于同一原局</x:v>
      </x:c>
      <x:c r="T85" s="68" t="str">
        <x:v>其中一方只是名义候选、已经失效或不作用于主要矛盾</x:v>
      </x:c>
      <x:c r="U85" s="68" t="str">
        <x:v>若被降级一方实际承担不可替代功能，应重新进入本规则复审</x:v>
      </x:c>
      <x:c r="V85" s="68" t="str">
        <x:v>证据接近或存在流派争议时保留并列候选并降低置信度</x:v>
      </x:c>
      <x:c r="W85" s="90" t="str">
        <x:v>标准输出注明动态重算条件</x:v>
      </x:c>
      <x:c r="X85" s="84" t="str">
        <x:v>裁决静动态边界</x:v>
      </x:c>
      <x:c r="Y85" s="84" t="str">
        <x:v>冲突主题：静态喜忌与动态引动冲突。裁决结果为“静动态分层”；优先采用：原局裁决作为D0动态模型的基准输入；降级处理：不得把某五行原局喜用直接等同所有岁运均吉。同时控制副作用：标准输出注明动态重算条件。</x:v>
      </x:c>
      <x:c r="Z85" s="82" t="str">
        <x:v>较高</x:v>
      </x:c>
      <x:c r="AA85" s="82" t="str">
        <x:v>现代综合</x:v>
      </x:c>
      <x:c r="AB8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5" s="68" t="str">
        <x:v>当“某五行原局为条件性喜神，但在特定岁运中可能过量、被合冲或破格”成立，且硬约束与主次证据清晰时，可按本规则裁决。</x:v>
      </x:c>
      <x:c r="AD85" s="90" t="str">
        <x:v>若冲突双方并未同时有效，或“其中一方只是名义候选、已经失效或不作用于主要矛盾”成立，不得套用本规则制造假冲突。</x:v>
      </x:c>
      <x:c r="AE85" s="82" t="str">
        <x:v>采用</x:v>
      </x:c>
      <x:c r="AF85" s="82" t="str">
        <x:v>初审</x:v>
      </x:c>
      <x:c r="AG85" s="87" t="n">
        <x:v>46260</x:v>
      </x:c>
    </x:row>
    <x:row r="86">
      <x:c r="A86" s="72" t="str">
        <x:f>IF(OR(C86="",D86=""),"",B86&amp;"-"&amp;UPPER(C86)&amp;"-"&amp;TEXT(D86,"0000")&amp;"-"&amp;E86)</x:f>
        <x:v>M18-BOUND-0080-V1.0</x:v>
      </x:c>
      <x:c r="B86" s="74" t="str">
        <x:v>M18</x:v>
      </x:c>
      <x:c r="C86" s="74" t="str">
        <x:v>BOUND</x:v>
      </x:c>
      <x:c r="D86" s="215" t="n">
        <x:v>80</x:v>
      </x:c>
      <x:c r="E86" s="74" t="str">
        <x:v>V1.0</x:v>
      </x:c>
      <x:c r="F86" s="68" t="str">
        <x:v>证据不足、流派争议或案例反证应转测试与版本治理</x:v>
      </x:c>
      <x:c r="G86" s="82" t="str">
        <x:v>综合层</x:v>
      </x:c>
      <x:c r="H86" s="68" t="str">
        <x:v>不确定性与规则治理</x:v>
      </x:c>
      <x:c r="I86" s="68" t="str">
        <x:v>M18-GEN-0008-V1.0</x:v>
      </x:c>
      <x:c r="J86" s="68" t="str">
        <x:v>证据接近时应并列待定并降低置信度</x:v>
      </x:c>
      <x:c r="K86" s="68" t="str">
        <x:v>M17-GEN-0009-V1.0</x:v>
      </x:c>
      <x:c r="L86" s="68" t="str">
        <x:v>多维正反接近时保持待定</x:v>
      </x:c>
      <x:c r="M86" s="68" t="str">
        <x:v>冲突无法被现有规则稳定裁决，或不同流派对硬门槛、权重和例外存在显著分歧</x:v>
      </x:c>
      <x:c r="N86" s="68" t="str">
        <x:v>不得用模糊语言伪装为确定结论</x:v>
      </x:c>
      <x:c r="O86" s="68" t="str">
        <x:v>保留候选、反证和触发条件，进入M20边界/争议测试及M21治理</x:v>
      </x:c>
      <x:c r="P86" s="68" t="str">
        <x:v>证据透明和可回归验证优先</x:v>
      </x:c>
      <x:c r="Q86" s="68" t="str">
        <x:v>结论标记待定或条件性，置信度降为中等/低</x:v>
      </x:c>
      <x:c r="R86" s="84" t="str">
        <x:v>治理转交</x:v>
      </x:c>
      <x:c r="S86" s="68" t="str">
        <x:v>冲突双方均有有效证据且作用于同一原局</x:v>
      </x:c>
      <x:c r="T86" s="68" t="str">
        <x:v>其中一方只是名义候选、已经失效或不作用于主要矛盾</x:v>
      </x:c>
      <x:c r="U86" s="68" t="str">
        <x:v>若被降级一方实际承担不可替代功能，应重新进入本规则复审</x:v>
      </x:c>
      <x:c r="V86" s="68" t="str">
        <x:v>证据接近或存在流派争议时保留并列候选并降低置信度</x:v>
      </x:c>
      <x:c r="W86" s="90" t="str">
        <x:v>记录影响模块、争议点、预期测试案例和版本变更需求</x:v>
      </x:c>
      <x:c r="X86" s="84" t="str">
        <x:v>冲突争议治理</x:v>
      </x:c>
      <x:c r="Y86" s="84" t="str">
        <x:v>冲突主题：不确定性与规则治理。裁决结果为“治理转交”；优先采用：证据透明和可回归验证优先；降级处理：结论标记待定或条件性，置信度降为中等/低。同时控制副作用：记录影响模块、争议点、预期测试案例和版本变更需求。</x:v>
      </x:c>
      <x:c r="Z86" s="82" t="str">
        <x:v>中等</x:v>
      </x:c>
      <x:c r="AA86" s="82" t="str">
        <x:v>现代综合</x:v>
      </x:c>
      <x:c r="AB8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6" s="68" t="str">
        <x:v>当“冲突无法被现有规则稳定裁决，或不同流派对硬门槛、权重和例外存在显著分歧”成立，且硬约束与主次证据清晰时，可按本规则裁决。</x:v>
      </x:c>
      <x:c r="AD86" s="90" t="str">
        <x:v>若冲突双方并未同时有效，或“其中一方只是名义候选、已经失效或不作用于主要矛盾”成立，不得套用本规则制造假冲突。</x:v>
      </x:c>
      <x:c r="AE86" s="82" t="str">
        <x:v>待验证</x:v>
      </x:c>
      <x:c r="AF86" s="82" t="str">
        <x:v>初审</x:v>
      </x:c>
      <x:c r="AG86" s="87" t="n">
        <x:v>46260</x:v>
      </x:c>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'99_下拉选项'!$BG$4:$BG$22</x:formula1>
    </x:dataValidation>
    <x:dataValidation type="list" sqref="G7:G86">
      <x:formula1>'99_下拉选项'!$F$4:$F$7</x:formula1>
    </x:dataValidation>
    <x:dataValidation type="list" sqref="Z7:Z86">
      <x:formula1>'99_下拉选项'!$Q$4:$Q$8</x:formula1>
    </x:dataValidation>
    <x:dataValidation type="list" sqref="AA7:AA86">
      <x:formula1>'99_下拉选项'!$R$4:$R$11</x:formula1>
    </x:dataValidation>
    <x:dataValidation type="list" sqref="AE7:AE86">
      <x:formula1>'99_下拉选项'!$S$4:$S$9</x:formula1>
    </x:dataValidation>
    <x:dataValidation type="list" sqref="AF7:AF86">
      <x:formula1>'99_下拉选项'!$T$4:$T$8</x:formula1>
    </x:dataValidation>
  </x:dataValidations>
  <x:pageMargins left="0.7" right="0.7" top="0.75" bottom="0.75" header="0.3" footer="0.3"/>
  <x:tableParts count="1">
    <x:tablePart xmlns:r="http://schemas.openxmlformats.org/officeDocument/2006/relationships" r:id="R27692e6dda7f4c32"/>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规定M0分析必须输出的章节、字段、数据来源、内部分析表达与用户表达。V1.7按“内部推理—分析师输出—用户表达”三层组织45个正式字段，并强制保留来源、冲突、空值和置信度处理。</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v>M19-META-0001-V1.0</x:v>
      </x:c>
      <x:c r="B7" s="74" t="str">
        <x:v>M19</x:v>
      </x:c>
      <x:c r="C7" s="74" t="str">
        <x:v>META</x:v>
      </x:c>
      <x:c r="D7" s="215" t="n">
        <x:v>1</x:v>
      </x:c>
      <x:c r="E7" s="74" t="str">
        <x:v>V1.0</x:v>
      </x:c>
      <x:c r="F7" s="68" t="str">
        <x:v>报告信息</x:v>
      </x:c>
      <x:c r="G7" s="98" t="n">
        <x:v>1</x:v>
      </x:c>
      <x:c r="H7" s="68" t="str">
        <x:v>输入完整度与交节核验</x:v>
      </x:c>
      <x:c r="I7" s="68" t="str">
        <x:v>记录出生日期、时刻、时区、历法转换、节气交界及四柱输入是否足以支撑后续判断。</x:v>
      </x:c>
      <x:c r="J7" s="68" t="str">
        <x:v>M02/M03</x:v>
      </x:c>
      <x:c r="K7" s="68" t="str">
        <x:v>四柱输入；日主；月令节气边界；出生时区；资料缺失项</x:v>
      </x:c>
      <x:c r="L7" s="82" t="str">
        <x:v>内部字段</x:v>
      </x:c>
      <x:c r="M7" s="82" t="str">
        <x:v>内部推理</x:v>
      </x:c>
      <x:c r="N7" s="82" t="str">
        <x:v>布尔/条件</x:v>
      </x:c>
      <x:c r="O7" s="68" t="str">
        <x:v>核验项｜结果｜缺失/风险｜是否可继续</x:v>
      </x:c>
      <x:c r="P7" s="68" t="str">
        <x:v>四柱：【…】；时区：【…】；交节核验：【通过/待核】；缺失项：【…】；影响模块：【…】；可继续层级：【…】。</x:v>
      </x:c>
      <x:c r="Q7" s="68" t="str">
        <x:v>不直接展示核验表；若资料影响结论，仅说明：“出生时间接近交节/资料尚不完整，部分判断需要保留条件。”</x:v>
      </x:c>
      <x:c r="R7" s="68" t="str">
        <x:v>任一关键出生资料缺失时，不得输出确定月令、日主旺衰、格局和喜忌；只输出待核查范围。</x:v>
      </x:c>
      <x:c r="S7" s="68" t="str">
        <x:v>历法或交节结果冲突时停止下游结论，回到M02/M03核验，不用M18强行裁决。</x:v>
      </x:c>
      <x:c r="T7" s="68" t="str">
        <x:v>交节核验通过；四柱完整；可进入M02—M18全流程。</x:v>
      </x:c>
      <x:c r="U7" s="68" t="str">
        <x:v>这是质量闸门，不是用户断语。</x:v>
      </x:c>
      <x:c r="V7" s="82" t="str">
        <x:v>采用</x:v>
      </x:c>
      <x:c r="W7" s="82" t="str">
        <x:v>初审</x:v>
      </x:c>
      <x:c r="X7" s="87" t="n">
        <x:v>46260</x:v>
      </x:c>
    </x:row>
    <x:row r="8">
      <x:c r="A8" s="72" t="str">
        <x:f>IF(OR(C8="",D8=""),"",B8&amp;"-"&amp;UPPER(C8)&amp;"-"&amp;TEXT(D8,"0000")&amp;"-"&amp;E8)</x:f>
        <x:v>M19-META-0002-V1.0</x:v>
      </x:c>
      <x:c r="B8" s="74" t="str">
        <x:v>M19</x:v>
      </x:c>
      <x:c r="C8" s="74" t="str">
        <x:v>META</x:v>
      </x:c>
      <x:c r="D8" s="215" t="n">
        <x:v>2</x:v>
      </x:c>
      <x:c r="E8" s="74" t="str">
        <x:v>V1.0</x:v>
      </x:c>
      <x:c r="F8" s="68" t="str">
        <x:v>报告信息</x:v>
      </x:c>
      <x:c r="G8" s="98" t="n">
        <x:v>1</x:v>
      </x:c>
      <x:c r="H8" s="68" t="str">
        <x:v>分析适用范围与模型边界</x:v>
      </x:c>
      <x:c r="I8" s="68" t="str">
        <x:v>说明本报告只处理原局静态结构，并界定不包含岁运、具体事件、医学诊断和生活化补救。</x:v>
      </x:c>
      <x:c r="J8" s="68" t="str">
        <x:v>M00/M16/M17/M18</x:v>
      </x:c>
      <x:c r="K8" s="68" t="str">
        <x:v>M16-BOUND；M17-BOUND；M18-BOUND</x:v>
      </x:c>
      <x:c r="L8" s="82" t="str">
        <x:v>必填</x:v>
      </x:c>
      <x:c r="M8" s="82" t="str">
        <x:v>三层通用</x:v>
      </x:c>
      <x:c r="N8" s="82" t="str">
        <x:v>长文本</x:v>
      </x:c>
      <x:c r="O8" s="68" t="str">
        <x:v>3—5条边界说明</x:v>
      </x:c>
      <x:c r="P8" s="68" t="str">
        <x:v>本报告范围：【原局静态结构】；不含：【大运流年/具体事件】；病药含义：【结构比喻】；喜用含义：【结构方向】。</x:v>
      </x:c>
      <x:c r="Q8" s="68" t="str">
        <x:v>以下结论只讨论原局本身的结构，不包含具体大运流年，也不直接等同某件事情一定会发生；“病药”是结构比喻，喜用神也不是简单的颜色、方位或物品建议。</x:v>
      </x:c>
      <x:c r="R8" s="68" t="str">
        <x:v>不得省略；所有用户版报告必须保留至少一句范围说明。</x:v>
      </x:c>
      <x:c r="S8" s="68" t="str">
        <x:v>若用户问题超出M0边界，保留M0结论并标记需转上层模型或动态模型。</x:v>
      </x:c>
      <x:c r="T8" s="68" t="str">
        <x:v>本报告仅分析原局结构；岁运和具体婚恋、职业事件需另行判断。</x:v>
      </x:c>
      <x:c r="U8" s="68" t="str">
        <x:v>防止底层知识库被越级用于断事。</x:v>
      </x:c>
      <x:c r="V8" s="82" t="str">
        <x:v>采用</x:v>
      </x:c>
      <x:c r="W8" s="82" t="str">
        <x:v>初审</x:v>
      </x:c>
      <x:c r="X8" s="87" t="n">
        <x:v>46260</x:v>
      </x:c>
    </x:row>
    <x:row r="9">
      <x:c r="A9" s="72" t="str">
        <x:f>IF(OR(C9="",D9=""),"",B9&amp;"-"&amp;UPPER(C9)&amp;"-"&amp;TEXT(D9,"0000")&amp;"-"&amp;E9)</x:f>
        <x:v>M19-META-0003-V1.0</x:v>
      </x:c>
      <x:c r="B9" s="74" t="str">
        <x:v>M19</x:v>
      </x:c>
      <x:c r="C9" s="74" t="str">
        <x:v>META</x:v>
      </x:c>
      <x:c r="D9" s="215" t="n">
        <x:v>3</x:v>
      </x:c>
      <x:c r="E9" s="74" t="str">
        <x:v>V1.0</x:v>
      </x:c>
      <x:c r="F9" s="68" t="str">
        <x:v>报告信息</x:v>
      </x:c>
      <x:c r="G9" s="98" t="n">
        <x:v>1</x:v>
      </x:c>
      <x:c r="H9" s="68" t="str">
        <x:v>总体置信度与待核查项</x:v>
      </x:c>
      <x:c r="I9" s="68" t="str">
        <x:v>汇总M02—M18的低置信度、待定、流派争议和输入风险，给出总体置信等级。</x:v>
      </x:c>
      <x:c r="J9" s="68" t="str">
        <x:v>M02-M18</x:v>
      </x:c>
      <x:c r="K9" s="68" t="str">
        <x:v>各模块置信等级；待验证规则；M18-GEN-0008-V1.0；M18-BOUND-0080-V1.0</x:v>
      </x:c>
      <x:c r="L9" s="82" t="str">
        <x:v>必填</x:v>
      </x:c>
      <x:c r="M9" s="82" t="str">
        <x:v>三层通用</x:v>
      </x:c>
      <x:c r="N9" s="82" t="str">
        <x:v>枚举</x:v>
      </x:c>
      <x:c r="O9" s="68" t="str">
        <x:v>置信等级＋待核查项＋影响范围</x:v>
      </x:c>
      <x:c r="P9" s="68" t="str">
        <x:v>总体置信度：【高/较高/中等/低】；主要不确定项：【…】；影响结论：【…】；不受影响结论：【…】。</x:v>
      </x:c>
      <x:c r="Q9" s="68" t="str">
        <x:v>本次分析的总体置信度为【…】。仍需保留的条件是【…】，它主要影响【…】，但不影响【…】。</x:v>
      </x:c>
      <x:c r="R9" s="68" t="str">
        <x:v>无争议也要写“未发现重大待核查项”，不得留空。</x:v>
      </x:c>
      <x:c r="S9" s="68" t="str">
        <x:v>正反证据接近时按M18-GEN-0008-V1.0并列保留，不强行提高置信度。</x:v>
      </x:c>
      <x:c r="T9" s="68" t="str">
        <x:v>总体置信度较高；四季月细分权重仍待案例回归，主要影响旺衰边界。</x:v>
      </x:c>
      <x:c r="U9" s="68" t="str">
        <x:v>总体置信度不能高于最关键结论链中最低的决定性环节。</x:v>
      </x:c>
      <x:c r="V9" s="82" t="str">
        <x:v>采用</x:v>
      </x:c>
      <x:c r="W9" s="82" t="str">
        <x:v>初审</x:v>
      </x:c>
      <x:c r="X9" s="87" t="n">
        <x:v>46260</x:v>
      </x:c>
    </x:row>
    <x:row r="10">
      <x:c r="A10" s="72" t="str">
        <x:f>IF(OR(C10="",D10=""),"",B10&amp;"-"&amp;UPPER(C10)&amp;"-"&amp;TEXT(D10,"0000")&amp;"-"&amp;E10)</x:f>
        <x:v>M19-BASE-0004-V1.0</x:v>
      </x:c>
      <x:c r="B10" s="74" t="str">
        <x:v>M19</x:v>
      </x:c>
      <x:c r="C10" s="74" t="str">
        <x:v>BASE</x:v>
      </x:c>
      <x:c r="D10" s="215" t="n">
        <x:v>4</x:v>
      </x:c>
      <x:c r="E10" s="74" t="str">
        <x:v>V1.0</x:v>
      </x:c>
      <x:c r="F10" s="68" t="str">
        <x:v>基础结构</x:v>
      </x:c>
      <x:c r="G10" s="98" t="n">
        <x:v>2</x:v>
      </x:c>
      <x:c r="H10" s="68" t="str">
        <x:v>日主与月令</x:v>
      </x:c>
      <x:c r="I10" s="68" t="str">
        <x:v>输出日主天干、阴阳五行、出生月令及月令的季节基础倾向。</x:v>
      </x:c>
      <x:c r="J10" s="68" t="str">
        <x:v>M02/M03/M09</x:v>
      </x:c>
      <x:c r="K10" s="68" t="str">
        <x:v>日主；月支；节气边界；月令五行；季令状态</x:v>
      </x:c>
      <x:c r="L10" s="82" t="str">
        <x:v>必填</x:v>
      </x:c>
      <x:c r="M10" s="82" t="str">
        <x:v>三层通用</x:v>
      </x:c>
      <x:c r="N10" s="82" t="str">
        <x:v>短文本</x:v>
      </x:c>
      <x:c r="O10" s="68" t="str">
        <x:v>日主｜月令｜季节倾向</x:v>
      </x:c>
      <x:c r="P10" s="68" t="str">
        <x:v>日主：【天干/阴阳/五行】；月令：【地支/节气区间】；季节倾向：【旺相休囚死/气候基准】。</x:v>
      </x:c>
      <x:c r="Q10" s="68" t="str">
        <x:v>你的日主是【…】，出生在【…月】。这个季节首先给命局带来【…】的基础倾向，但最终强弱仍需结合根气、透干和全局作用。</x:v>
      </x:c>
      <x:c r="R10" s="68" t="str">
        <x:v>日主或月令未核准时停止旺衰、格局和喜忌输出。</x:v>
      </x:c>
      <x:c r="S10" s="68" t="str">
        <x:v>月令边界冲突回M03复核；不得用公历月份或农历月名替代节气月令。</x:v>
      </x:c>
      <x:c r="T10" s="68" t="str">
        <x:v>日主甲木；生于申月；季节上木失令、金当令。</x:v>
      </x:c>
      <x:c r="U10" s="68" t="str">
        <x:v>用户版避免只凭季节一句话定旺衰。</x:v>
      </x:c>
      <x:c r="V10" s="82" t="str">
        <x:v>采用</x:v>
      </x:c>
      <x:c r="W10" s="82" t="str">
        <x:v>初审</x:v>
      </x:c>
      <x:c r="X10" s="87" t="n">
        <x:v>46260</x:v>
      </x:c>
    </x:row>
    <x:row r="11">
      <x:c r="A11" s="72" t="str">
        <x:f>IF(OR(C11="",D11=""),"",B11&amp;"-"&amp;UPPER(C11)&amp;"-"&amp;TEXT(D11,"0000")&amp;"-"&amp;E11)</x:f>
        <x:v>M19-BASE-0005-V1.0</x:v>
      </x:c>
      <x:c r="B11" s="74" t="str">
        <x:v>M19</x:v>
      </x:c>
      <x:c r="C11" s="74" t="str">
        <x:v>BASE</x:v>
      </x:c>
      <x:c r="D11" s="215" t="n">
        <x:v>5</x:v>
      </x:c>
      <x:c r="E11" s="74" t="str">
        <x:v>V1.0</x:v>
      </x:c>
      <x:c r="F11" s="68" t="str">
        <x:v>基础结构</x:v>
      </x:c>
      <x:c r="G11" s="98" t="n">
        <x:v>2</x:v>
      </x:c>
      <x:c r="H11" s="68" t="str">
        <x:v>四柱五行与十神映射</x:v>
      </x:c>
      <x:c r="I11" s="68" t="str">
        <x:v>逐柱记录天干、地支、藏干、阴阳五行及相对日主的十神映射。</x:v>
      </x:c>
      <x:c r="J11" s="68" t="str">
        <x:v>M02/M10</x:v>
      </x:c>
      <x:c r="K11" s="68" t="str">
        <x:v>十干十二支映射；藏干层级；十神映射</x:v>
      </x:c>
      <x:c r="L11" s="82" t="str">
        <x:v>内部字段</x:v>
      </x:c>
      <x:c r="M11" s="82" t="str">
        <x:v>内部推理</x:v>
      </x:c>
      <x:c r="N11" s="82" t="str">
        <x:v>多值标签</x:v>
      </x:c>
      <x:c r="O11" s="68" t="str">
        <x:v>年/月/日/时逐柱映射表</x:v>
      </x:c>
      <x:c r="P11" s="68" t="str">
        <x:v>【柱位】：天干【…/五行/十神】；地支【…/五行】；藏干【本气/中气/余气及十神】。</x:v>
      </x:c>
      <x:c r="Q11" s="68" t="str">
        <x:v>通常不逐项展示完整映射；如需解释，只说明与结论直接相关的十神和五行。</x:v>
      </x:c>
      <x:c r="R11" s="68" t="str">
        <x:v>藏干和十神映射不完整时，不得进入M10组合、格局和喜忌判断。</x:v>
      </x:c>
      <x:c r="S11" s="68" t="str">
        <x:v>映射冲突回M02，不在M19修改基础事实。</x:v>
      </x:c>
      <x:c r="T11" s="68" t="str">
        <x:v>月柱庚申：庚为七杀；申本气庚、中气壬、余气戊。</x:v>
      </x:c>
      <x:c r="U11" s="68" t="str">
        <x:v>避免把地支整体直接固定成一个十神。</x:v>
      </x:c>
      <x:c r="V11" s="82" t="str">
        <x:v>采用</x:v>
      </x:c>
      <x:c r="W11" s="82" t="str">
        <x:v>初审</x:v>
      </x:c>
      <x:c r="X11" s="87" t="n">
        <x:v>46260</x:v>
      </x:c>
    </x:row>
    <x:row r="12">
      <x:c r="A12" s="72" t="str">
        <x:f>IF(OR(C12="",D12=""),"",B12&amp;"-"&amp;UPPER(C12)&amp;"-"&amp;TEXT(D12,"0000")&amp;"-"&amp;E12)</x:f>
        <x:v>M19-BASE-0006-V1.0</x:v>
      </x:c>
      <x:c r="B12" s="74" t="str">
        <x:v>M19</x:v>
      </x:c>
      <x:c r="C12" s="74" t="str">
        <x:v>BASE</x:v>
      </x:c>
      <x:c r="D12" s="215" t="n">
        <x:v>6</x:v>
      </x:c>
      <x:c r="E12" s="74" t="str">
        <x:v>V1.0</x:v>
      </x:c>
      <x:c r="F12" s="68" t="str">
        <x:v>基础结构</x:v>
      </x:c>
      <x:c r="G12" s="98" t="n">
        <x:v>2</x:v>
      </x:c>
      <x:c r="H12" s="68" t="str">
        <x:v>主要根气与透干</x:v>
      </x:c>
      <x:c r="I12" s="68" t="str">
        <x:v>汇总日主及关键五行/格神的根气位置、层级、透干和有效性。</x:v>
      </x:c>
      <x:c r="J12" s="68" t="str">
        <x:v>M03/M07/M08</x:v>
      </x:c>
      <x:c r="K12" s="68" t="str">
        <x:v>原始根型；有效根等级；透干状态；生源；根气修正</x:v>
      </x:c>
      <x:c r="L12" s="82" t="str">
        <x:v>必填</x:v>
      </x:c>
      <x:c r="M12" s="82" t="str">
        <x:v>分析师输出</x:v>
      </x:c>
      <x:c r="N12" s="82" t="str">
        <x:v>长文本</x:v>
      </x:c>
      <x:c r="O12" s="68" t="str">
        <x:v>对象｜根位｜根型｜透干｜有效性｜修正原因</x:v>
      </x:c>
      <x:c r="P12" s="68" t="str">
        <x:v>对象：【…】；原始根：【…】；透干：【…】；增强：【…】；削弱：【…】；有效根力：【…】。</x:v>
      </x:c>
      <x:c r="Q12" s="68" t="str">
        <x:v>命局中【日主/关键五行】主要依靠【…】落根，天干上【…】透出；这些根气目前【稳定/受限/仍可用】，原因是【…】。</x:v>
      </x:c>
      <x:c r="R12" s="68" t="str">
        <x:v>无根时明确写“无有效根”，不得用空白代替；有根但受限也需保留原始根事实。</x:v>
      </x:c>
      <x:c r="S12" s="68" t="str">
        <x:v>合冲刑害对根气的争议回M06/M08；禁止见冲即写拔根。</x:v>
      </x:c>
      <x:c r="T12" s="68" t="str">
        <x:v>甲木在寅有本气根；受申冲但得令有透，仍保留中等以上有效根力。</x:v>
      </x:c>
      <x:c r="U12" s="68" t="str">
        <x:v>用户版只保留直接支持最终结论的根气。</x:v>
      </x:c>
      <x:c r="V12" s="82" t="str">
        <x:v>采用</x:v>
      </x:c>
      <x:c r="W12" s="82" t="str">
        <x:v>初审</x:v>
      </x:c>
      <x:c r="X12" s="87" t="n">
        <x:v>46260</x:v>
      </x:c>
    </x:row>
    <x:row r="13">
      <x:c r="A13" s="72" t="str">
        <x:f>IF(OR(C13="",D13=""),"",B13&amp;"-"&amp;UPPER(C13)&amp;"-"&amp;TEXT(D13,"0000")&amp;"-"&amp;E13)</x:f>
        <x:v>M19-BASE-0007-V1.0</x:v>
      </x:c>
      <x:c r="B13" s="74" t="str">
        <x:v>M19</x:v>
      </x:c>
      <x:c r="C13" s="74" t="str">
        <x:v>BASE</x:v>
      </x:c>
      <x:c r="D13" s="215" t="n">
        <x:v>7</x:v>
      </x:c>
      <x:c r="E13" s="74" t="str">
        <x:v>V1.0</x:v>
      </x:c>
      <x:c r="F13" s="68" t="str">
        <x:v>基础结构</x:v>
      </x:c>
      <x:c r="G13" s="98" t="n">
        <x:v>2</x:v>
      </x:c>
      <x:c r="H13" s="68" t="str">
        <x:v>原局结构总览</x:v>
      </x:c>
      <x:c r="I13" s="68" t="str">
        <x:v>用3—5条概括原局的主势、核心关系、主要功能轴和最显著矛盾。</x:v>
      </x:c>
      <x:c r="J13" s="68" t="str">
        <x:v>M02-M08/M10-M13</x:v>
      </x:c>
      <x:c r="K13" s="68" t="str">
        <x:v>五行有效力量；主要关系效应；主流通路径；气候基准</x:v>
      </x:c>
      <x:c r="L13" s="82" t="str">
        <x:v>必填</x:v>
      </x:c>
      <x:c r="M13" s="82" t="str">
        <x:v>三层通用</x:v>
      </x:c>
      <x:c r="N13" s="82" t="str">
        <x:v>长文本</x:v>
      </x:c>
      <x:c r="O13" s="68" t="str">
        <x:v>3—5条编号摘要</x:v>
      </x:c>
      <x:c r="P13" s="68" t="str">
        <x:v>①主势：【…】；②核心作用轴：【…】；③主要矛盾：【…】；④流通/调候特点：【…】；⑤待定项：【…】。</x:v>
      </x:c>
      <x:c r="Q13" s="68" t="str">
        <x:v>这个命局最核心的结构可以概括为：第一，【…】；第二，【…】；第三，【…】。后面的格局和喜忌判断都以这些主线为基础。</x:v>
      </x:c>
      <x:c r="R13" s="68" t="str">
        <x:v>必须输出；证据不足时写“结构主线暂定为…，受…影响需保留条件”。</x:v>
      </x:c>
      <x:c r="S13" s="68" t="str">
        <x:v>多个主势竞争时按M18-GEN-0001-V1.0、M18-GEN-0004-V1.0、M18-GEN-0006-V1.0排序并去重。</x:v>
      </x:c>
      <x:c r="T13" s="68" t="str">
        <x:v>金旺成势；木有根但受制；金木之间缺少稳定水桥梁；调候偏燥。</x:v>
      </x:c>
      <x:c r="U13" s="68" t="str">
        <x:v>不得在总览中提前给出具体吉凶事件。</x:v>
      </x:c>
      <x:c r="V13" s="82" t="str">
        <x:v>采用</x:v>
      </x:c>
      <x:c r="W13" s="82" t="str">
        <x:v>初审</x:v>
      </x:c>
      <x:c r="X13" s="87" t="n">
        <x:v>46260</x:v>
      </x:c>
    </x:row>
    <x:row r="14">
      <x:c r="A14" s="72" t="str">
        <x:f>IF(OR(C14="",D14=""),"",B14&amp;"-"&amp;UPPER(C14)&amp;"-"&amp;TEXT(D14,"0000")&amp;"-"&amp;E14)</x:f>
        <x:v>M19-REL-0008-V1.0</x:v>
      </x:c>
      <x:c r="B14" s="74" t="str">
        <x:v>M19</x:v>
      </x:c>
      <x:c r="C14" s="74" t="str">
        <x:v>REL</x:v>
      </x:c>
      <x:c r="D14" s="215" t="n">
        <x:v>8</x:v>
      </x:c>
      <x:c r="E14" s="74" t="str">
        <x:v>V1.0</x:v>
      </x:c>
      <x:c r="F14" s="68" t="str">
        <x:v>干支关系</x:v>
      </x:c>
      <x:c r="G14" s="98" t="n">
        <x:v>3</x:v>
      </x:c>
      <x:c r="H14" s="68" t="str">
        <x:v>已成立关系清单</x:v>
      </x:c>
      <x:c r="I14" s="68" t="str">
        <x:v>列出原局天干地支中客观成立的合、冲、刑、害、破、三合、三会等关系及参与柱位。</x:v>
      </x:c>
      <x:c r="J14" s="68" t="str">
        <x:v>M04/M05</x:v>
      </x:c>
      <x:c r="K14" s="68" t="str">
        <x:v>关系类型；参与干支；柱位；完整度；重叠关系</x:v>
      </x:c>
      <x:c r="L14" s="82" t="str">
        <x:v>必填</x:v>
      </x:c>
      <x:c r="M14" s="82" t="str">
        <x:v>分析师输出</x:v>
      </x:c>
      <x:c r="N14" s="82" t="str">
        <x:v>多值标签</x:v>
      </x:c>
      <x:c r="O14" s="68" t="str">
        <x:v>关系｜参与对象｜柱位｜完整度</x:v>
      </x:c>
      <x:c r="P14" s="68" t="str">
        <x:v>关系实例：【…】；对象：【…】；柱位：【…】；完整/局部：【…】；重叠关系：【…】。</x:v>
      </x:c>
      <x:c r="Q14" s="68" t="str">
        <x:v>原局中较关键的干支互动有【…】。这些只是结构关系，真正带来什么影响，还要看双方强弱和后续效应。</x:v>
      </x:c>
      <x:c r="R14" s="68" t="str">
        <x:v>无明显关系时写“未见需要重点处理的干支关系”，不得空白。</x:v>
      </x:c>
      <x:c r="S14" s="68" t="str">
        <x:v>同一对象多重关系全部保留，不用一个关系覆盖另一个关系。</x:v>
      </x:c>
      <x:c r="T14" s="68" t="str">
        <x:v>寅巳申三刑完整；同时有寅申冲、寅巳害、巳申合与破。</x:v>
      </x:c>
      <x:c r="U14" s="68" t="str">
        <x:v>本字段只列关系，不直接写增减力。</x:v>
      </x:c>
      <x:c r="V14" s="82" t="str">
        <x:v>采用</x:v>
      </x:c>
      <x:c r="W14" s="82" t="str">
        <x:v>初审</x:v>
      </x:c>
      <x:c r="X14" s="87" t="n">
        <x:v>46260</x:v>
      </x:c>
    </x:row>
    <x:row r="15">
      <x:c r="A15" s="72" t="str">
        <x:f>IF(OR(C15="",D15=""),"",B15&amp;"-"&amp;UPPER(C15)&amp;"-"&amp;TEXT(D15,"0000")&amp;"-"&amp;E15)</x:f>
        <x:v>M19-REL-0009-V1.0</x:v>
      </x:c>
      <x:c r="B15" s="74" t="str">
        <x:v>M19</x:v>
      </x:c>
      <x:c r="C15" s="74" t="str">
        <x:v>REL</x:v>
      </x:c>
      <x:c r="D15" s="215" t="n">
        <x:v>9</x:v>
      </x:c>
      <x:c r="E15" s="74" t="str">
        <x:v>V1.0</x:v>
      </x:c>
      <x:c r="F15" s="68" t="str">
        <x:v>干支关系</x:v>
      </x:c>
      <x:c r="G15" s="98" t="n">
        <x:v>3</x:v>
      </x:c>
      <x:c r="H15" s="68" t="str">
        <x:v>关系实际效应</x:v>
      </x:c>
      <x:c r="I15" s="68" t="str">
        <x:v>将已成立关系转化为逐对象的合动、合绊、冲动、冲弱、冲散、刑动、改性及流通影响。</x:v>
      </x:c>
      <x:c r="J15" s="68" t="str">
        <x:v>M06/M08/M12</x:v>
      </x:c>
      <x:c r="K15" s="68" t="str">
        <x:v>效应类型；作用对象；强度；根气/透达/流通影响</x:v>
      </x:c>
      <x:c r="L15" s="82" t="str">
        <x:v>必填</x:v>
      </x:c>
      <x:c r="M15" s="82" t="str">
        <x:v>三层通用</x:v>
      </x:c>
      <x:c r="N15" s="82" t="str">
        <x:v>长文本</x:v>
      </x:c>
      <x:c r="O15" s="68" t="str">
        <x:v>对象｜实际效应｜强度｜结构后果</x:v>
      </x:c>
      <x:c r="P15" s="68" t="str">
        <x:v>【关系】对【对象A】产生【…】，对【对象B】产生【…】；效应等级：【…】；影响模块：【M08/M12/…】。</x:v>
      </x:c>
      <x:c r="Q15" s="68" t="str">
        <x:v>这些关系真正产生的作用是：【…】被引动/牵制，【…】的根气或功能受到【轻微/明显】影响；不能简单理解成某个字被“冲没”或“刑掉”。</x:v>
      </x:c>
      <x:c r="R15" s="68" t="str">
        <x:v>关系存在但效应不足时写“作用有限/仅形成结构象”，不得强行赋予减力。</x:v>
      </x:c>
      <x:c r="S15" s="68" t="str">
        <x:v>多重效应共享同一节点时按M18-GEN-0006-V1.0去重，并保留主效应和次效应。</x:v>
      </x:c>
      <x:c r="T15" s="68" t="str">
        <x:v>申冲寅主要表现为寅木被引动并受制；因寅得令有根，不能判木根归零。</x:v>
      </x:c>
      <x:c r="U15" s="68" t="str">
        <x:v>用户版避免堆砌刑冲合会术语。</x:v>
      </x:c>
      <x:c r="V15" s="82" t="str">
        <x:v>采用</x:v>
      </x:c>
      <x:c r="W15" s="82" t="str">
        <x:v>初审</x:v>
      </x:c>
      <x:c r="X15" s="87" t="n">
        <x:v>46260</x:v>
      </x:c>
    </x:row>
    <x:row r="16">
      <x:c r="A16" s="72" t="str">
        <x:f>IF(OR(C16="",D16=""),"",B16&amp;"-"&amp;UPPER(C16)&amp;"-"&amp;TEXT(D16,"0000")&amp;"-"&amp;E16)</x:f>
        <x:v>M19-REL-0010-V1.0</x:v>
      </x:c>
      <x:c r="B16" s="74" t="str">
        <x:v>M19</x:v>
      </x:c>
      <x:c r="C16" s="74" t="str">
        <x:v>REL</x:v>
      </x:c>
      <x:c r="D16" s="215" t="n">
        <x:v>10</x:v>
      </x:c>
      <x:c r="E16" s="74" t="str">
        <x:v>V1.0</x:v>
      </x:c>
      <x:c r="F16" s="68" t="str">
        <x:v>干支关系</x:v>
      </x:c>
      <x:c r="G16" s="98" t="n">
        <x:v>3</x:v>
      </x:c>
      <x:c r="H16" s="68" t="str">
        <x:v>未成立与待定关系</x:v>
      </x:c>
      <x:c r="I16" s="68" t="str">
        <x:v>记录看似存在但未达到合化、成局、冲散、开库等严格条件的候选及否决原因。</x:v>
      </x:c>
      <x:c r="J16" s="68" t="str">
        <x:v>M04/M05/M06</x:v>
      </x:c>
      <x:c r="K16" s="68" t="str">
        <x:v>候选关系；必要条件；否决条件；待验证项</x:v>
      </x:c>
      <x:c r="L16" s="82" t="str">
        <x:v>条件必填</x:v>
      </x:c>
      <x:c r="M16" s="82" t="str">
        <x:v>内部推理</x:v>
      </x:c>
      <x:c r="N16" s="82" t="str">
        <x:v>长文本</x:v>
      </x:c>
      <x:c r="O16" s="68" t="str">
        <x:v>候选｜缺失条件｜否决/待定原因</x:v>
      </x:c>
      <x:c r="P16" s="68" t="str">
        <x:v>候选：【…】；已满足：【…】；未满足：【…】；当前状态：【不成立/待定】；影响：【…】。</x:v>
      </x:c>
      <x:c r="Q16" s="68" t="str">
        <x:v>通常不逐项展示；若该候选影响用户关心的结论，再说明“虽然有【…】迹象，但尚不满足【…】，因此不能按完整结构处理”。</x:v>
      </x:c>
      <x:c r="R16" s="68" t="str">
        <x:v>无候选时写“无”；不得把未成立关系从记录中删除。</x:v>
      </x:c>
      <x:c r="S16" s="68" t="str">
        <x:v>证据接近时按M18-GEN-0008-V1.0标待定，并转M20边界案例。</x:v>
      </x:c>
      <x:c r="T16" s="68" t="str">
        <x:v>甲己有合意，但化神土未得势、甲仍有强根，因此合化不成立。</x:v>
      </x:c>
      <x:c r="U16" s="68" t="str">
        <x:v>用于防止口诀式越级判断。</x:v>
      </x:c>
      <x:c r="V16" s="82" t="str">
        <x:v>采用</x:v>
      </x:c>
      <x:c r="W16" s="82" t="str">
        <x:v>初审</x:v>
      </x:c>
      <x:c r="X16" s="87" t="n">
        <x:v>46260</x:v>
      </x:c>
    </x:row>
    <x:row r="17">
      <x:c r="A17" s="72" t="str">
        <x:f>IF(OR(C17="",D17=""),"",B17&amp;"-"&amp;UPPER(C17)&amp;"-"&amp;TEXT(D17,"0000")&amp;"-"&amp;E17)</x:f>
        <x:v>M19-ELEM-0011-V1.0</x:v>
      </x:c>
      <x:c r="B17" s="74" t="str">
        <x:v>M19</x:v>
      </x:c>
      <x:c r="C17" s="74" t="str">
        <x:v>ELEM</x:v>
      </x:c>
      <x:c r="D17" s="215" t="n">
        <x:v>11</x:v>
      </x:c>
      <x:c r="E17" s="74" t="str">
        <x:v>V1.0</x:v>
      </x:c>
      <x:c r="F17" s="68" t="str">
        <x:v>五行有效旺衰</x:v>
      </x:c>
      <x:c r="G17" s="98" t="n">
        <x:v>4</x:v>
      </x:c>
      <x:c r="H17" s="68" t="str">
        <x:v>五行有效旺衰矩阵</x:v>
      </x:c>
      <x:c r="I17" s="68" t="str">
        <x:v>分别输出木火土金水经月令、根气、透干、生源、合冲刑害、寒燥和流通修正后的有效旺衰。</x:v>
      </x:c>
      <x:c r="J17" s="68" t="str">
        <x:v>M08</x:v>
      </x:c>
      <x:c r="K17" s="68" t="str">
        <x:v>五行有效旺衰；有效根气；透达；主要生源；主要制约；功能可用性</x:v>
      </x:c>
      <x:c r="L17" s="82" t="str">
        <x:v>必填</x:v>
      </x:c>
      <x:c r="M17" s="82" t="str">
        <x:v>分析师输出</x:v>
      </x:c>
      <x:c r="N17" s="82" t="str">
        <x:v>多值标签</x:v>
      </x:c>
      <x:c r="O17" s="68" t="str">
        <x:v>五行｜有效等级｜主要支持｜主要制约｜功能状态</x:v>
      </x:c>
      <x:c r="P17" s="68" t="str">
        <x:v>木：【等级/支持/制约/功能】；火：【…】；土：【…】；金：【…】；水：【…】。</x:v>
      </x:c>
      <x:c r="Q17" s="68" t="str">
        <x:v>从实际能发挥的力量看，木【…】、火【…】、土【…】、金【…】、水【…】。这里判断的是有效力量，不是简单数五行个数。</x:v>
      </x:c>
      <x:c r="R17" s="68" t="str">
        <x:v>五个五行必须全部输出；不现者写“极弱/原局不现”，并说明是否构成卡点。</x:v>
      </x:c>
      <x:c r="S17" s="68" t="str">
        <x:v>同一证据在月令、根气、成势等维度重复时按M18-GEN-0006-V1.0去重。</x:v>
      </x:c>
      <x:c r="T17" s="68" t="str">
        <x:v>木中和偏弱；火弱；土中和；金旺；水中和偏弱。</x:v>
      </x:c>
      <x:c r="U17" s="68" t="str">
        <x:v>旺衰与喜忌必须分开，不能在本字段直接写喜忌。</x:v>
      </x:c>
      <x:c r="V17" s="82" t="str">
        <x:v>采用</x:v>
      </x:c>
      <x:c r="W17" s="82" t="str">
        <x:v>初审</x:v>
      </x:c>
      <x:c r="X17" s="87" t="n">
        <x:v>46260</x:v>
      </x:c>
    </x:row>
    <x:row r="18">
      <x:c r="A18" s="72" t="str">
        <x:f>IF(OR(C18="",D18=""),"",B18&amp;"-"&amp;UPPER(C18)&amp;"-"&amp;TEXT(D18,"0000")&amp;"-"&amp;E18)</x:f>
        <x:v>M19-ELEM-0012-V1.0</x:v>
      </x:c>
      <x:c r="B18" s="74" t="str">
        <x:v>M19</x:v>
      </x:c>
      <x:c r="C18" s="74" t="str">
        <x:v>ELEM</x:v>
      </x:c>
      <x:c r="D18" s="215" t="n">
        <x:v>12</x:v>
      </x:c>
      <x:c r="E18" s="74" t="str">
        <x:v>V1.0</x:v>
      </x:c>
      <x:c r="F18" s="68" t="str">
        <x:v>五行有效旺衰</x:v>
      </x:c>
      <x:c r="G18" s="98" t="n">
        <x:v>4</x:v>
      </x:c>
      <x:c r="H18" s="68" t="str">
        <x:v>五行旺衰排序与主导气势</x:v>
      </x:c>
      <x:c r="I18" s="68" t="str">
        <x:v>给出五行有效力量的相对排序，并判断是否成势、聚势或存在两强对战。</x:v>
      </x:c>
      <x:c r="J18" s="68" t="str">
        <x:v>M08/M12</x:v>
      </x:c>
      <x:c r="K18" s="68" t="str">
        <x:v>七级旺衰；成势候选；主导方向；两强相战</x:v>
      </x:c>
      <x:c r="L18" s="82" t="str">
        <x:v>必填</x:v>
      </x:c>
      <x:c r="M18" s="82" t="str">
        <x:v>三层通用</x:v>
      </x:c>
      <x:c r="N18" s="82" t="str">
        <x:v>短文本</x:v>
      </x:c>
      <x:c r="O18" s="68" t="str">
        <x:v>排序＋主导气势＋特殊说明</x:v>
      </x:c>
      <x:c r="P18" s="68" t="str">
        <x:v>有效排序：【…＞…＞…】；主导五行/集团：【…】；成势等级：【…】；对战结构：【…】。</x:v>
      </x:c>
      <x:c r="Q18" s="68" t="str">
        <x:v>整体力量大致排序为【…】。其中【…】是当前最主导的气势；【…】虽然不弱，但主要受到【…】制约。</x:v>
      </x:c>
      <x:c r="R18" s="68" t="str">
        <x:v>力量接近时写“并列/接近”，不得强行排出唯一顺序。</x:v>
      </x:c>
      <x:c r="S18" s="68" t="str">
        <x:v>排序证据接近时按M18-GEN-0008-V1.0并列保留并降低置信度。</x:v>
      </x:c>
      <x:c r="T18" s="68" t="str">
        <x:v>金最旺，土次之；木与水接近；火最弱。金形成主导气势。</x:v>
      </x:c>
      <x:c r="U18" s="68" t="str">
        <x:v>排序只用于展示相对力量，不等于价值排序。</x:v>
      </x:c>
      <x:c r="V18" s="82" t="str">
        <x:v>采用</x:v>
      </x:c>
      <x:c r="W18" s="82" t="str">
        <x:v>初审</x:v>
      </x:c>
      <x:c r="X18" s="87" t="n">
        <x:v>46260</x:v>
      </x:c>
    </x:row>
    <x:row r="19">
      <x:c r="A19" s="72" t="str">
        <x:f>IF(OR(C19="",D19=""),"",B19&amp;"-"&amp;UPPER(C19)&amp;"-"&amp;TEXT(D19,"0000")&amp;"-"&amp;E19)</x:f>
        <x:v>M19-ELEM-0013-V1.0</x:v>
      </x:c>
      <x:c r="B19" s="74" t="str">
        <x:v>M19</x:v>
      </x:c>
      <x:c r="C19" s="74" t="str">
        <x:v>ELEM</x:v>
      </x:c>
      <x:c r="D19" s="215" t="n">
        <x:v>13</x:v>
      </x:c>
      <x:c r="E19" s="74" t="str">
        <x:v>V1.0</x:v>
      </x:c>
      <x:c r="F19" s="68" t="str">
        <x:v>五行有效旺衰</x:v>
      </x:c>
      <x:c r="G19" s="98" t="n">
        <x:v>4</x:v>
      </x:c>
      <x:c r="H19" s="68" t="str">
        <x:v>关键力量修正原因</x:v>
      </x:c>
      <x:c r="I19" s="68" t="str">
        <x:v>说明五行从原始旺衰到有效旺衰发生变化的关键原因。</x:v>
      </x:c>
      <x:c r="J19" s="68" t="str">
        <x:v>M06/M07/M08</x:v>
      </x:c>
      <x:c r="K19" s="68" t="str">
        <x:v>原始旺衰；合冲刑害效应；根气修正；生克泄耗；寒凝燥枯</x:v>
      </x:c>
      <x:c r="L19" s="82" t="str">
        <x:v>条件必填</x:v>
      </x:c>
      <x:c r="M19" s="82" t="str">
        <x:v>内部推理</x:v>
      </x:c>
      <x:c r="N19" s="82" t="str">
        <x:v>长文本</x:v>
      </x:c>
      <x:c r="O19" s="68" t="str">
        <x:v>五行｜原始等级→有效等级｜修正原因</x:v>
      </x:c>
      <x:c r="P19" s="68" t="str">
        <x:v>【五行】：原始【…】→有效【…】；上调因【…】；下调因【…】；未采用证据：【…】。</x:v>
      </x:c>
      <x:c r="Q19" s="68" t="str">
        <x:v>如需解释旺衰变化，可说：“【…】表面数量不少，但因为【…】，实际功能被下调；【…】虽然数量少，却因【…】仍有作用。”</x:v>
      </x:c>
      <x:c r="R19" s="68" t="str">
        <x:v>无明显修正时写“原始与有效等级一致”，不得留空。</x:v>
      </x:c>
      <x:c r="S19" s="68" t="str">
        <x:v>关系名称不能直接等同固定扣分；按M18-GEN-0006-V1.0与M06逐对象效应处理。</x:v>
      </x:c>
      <x:c r="T19" s="68" t="str">
        <x:v>木原始中和，因根受强金制且生源受阻，有效下调为中和偏弱。</x:v>
      </x:c>
      <x:c r="U19" s="68" t="str">
        <x:v>用于审计旺衰结论的中间步骤。</x:v>
      </x:c>
      <x:c r="V19" s="82" t="str">
        <x:v>采用</x:v>
      </x:c>
      <x:c r="W19" s="82" t="str">
        <x:v>初审</x:v>
      </x:c>
      <x:c r="X19" s="87" t="n">
        <x:v>46260</x:v>
      </x:c>
    </x:row>
    <x:row r="20">
      <x:c r="A20" s="72" t="str">
        <x:f>IF(OR(C20="",D20=""),"",B20&amp;"-"&amp;UPPER(C20)&amp;"-"&amp;TEXT(D20,"0000")&amp;"-"&amp;E20)</x:f>
        <x:v>M19-DM-0014-V1.0</x:v>
      </x:c>
      <x:c r="B20" s="74" t="str">
        <x:v>M19</x:v>
      </x:c>
      <x:c r="C20" s="74" t="str">
        <x:v>DM</x:v>
      </x:c>
      <x:c r="D20" s="215" t="n">
        <x:v>14</x:v>
      </x:c>
      <x:c r="E20" s="74" t="str">
        <x:v>V1.0</x:v>
      </x:c>
      <x:c r="F20" s="68" t="str">
        <x:v>日主状态</x:v>
      </x:c>
      <x:c r="G20" s="98" t="n">
        <x:v>5</x:v>
      </x:c>
      <x:c r="H20" s="68" t="str">
        <x:v>日主旺衰等级</x:v>
      </x:c>
      <x:c r="I20" s="68" t="str">
        <x:v>输出M09综合裁定的七级日主旺衰结论。</x:v>
      </x:c>
      <x:c r="J20" s="68" t="str">
        <x:v>M09</x:v>
      </x:c>
      <x:c r="K20" s="68" t="str">
        <x:v>旺衰候选；最终等级；M09七级分级；置信等级</x:v>
      </x:c>
      <x:c r="L20" s="82" t="str">
        <x:v>必填</x:v>
      </x:c>
      <x:c r="M20" s="82" t="str">
        <x:v>三层通用</x:v>
      </x:c>
      <x:c r="N20" s="82" t="str">
        <x:v>枚举</x:v>
      </x:c>
      <x:c r="O20" s="68" t="str">
        <x:v>极弱/弱/中和偏弱/中和/中和偏旺/旺/极旺</x:v>
      </x:c>
      <x:c r="P20" s="68" t="str">
        <x:v>日主最终等级：【…】；净优势方向：【扶身侧/负荷侧/接近平衡】。</x:v>
      </x:c>
      <x:c r="Q20" s="68" t="str">
        <x:v>综合来看，日主处于【…】。这个结论不是只看月令或数量，而是把根气、生扶、制泄耗和全局气势一起比较后的结果。</x:v>
      </x:c>
      <x:c r="R20" s="68" t="str">
        <x:v>缺M09最终结论时禁止输出格局病药和喜忌；写“待完成日主旺衰裁定”。</x:v>
      </x:c>
      <x:c r="S20" s="68" t="str">
        <x:v>相邻等级证据接近时按M18-GEN-0008-V1.0保留边界状态并降低置信度。</x:v>
      </x:c>
      <x:c r="T20" s="68" t="str">
        <x:v>日主中和偏弱。</x:v>
      </x:c>
      <x:c r="U20" s="68" t="str">
        <x:v>不得在字段内直接等同身弱必喜印比。</x:v>
      </x:c>
      <x:c r="V20" s="82" t="str">
        <x:v>采用</x:v>
      </x:c>
      <x:c r="W20" s="82" t="str">
        <x:v>初审</x:v>
      </x:c>
      <x:c r="X20" s="87" t="n">
        <x:v>46260</x:v>
      </x:c>
    </x:row>
    <x:row r="21">
      <x:c r="A21" s="72" t="str">
        <x:f>IF(OR(C21="",D21=""),"",B21&amp;"-"&amp;UPPER(C21)&amp;"-"&amp;TEXT(D21,"0000")&amp;"-"&amp;E21)</x:f>
        <x:v>M19-DM-0015-V1.0</x:v>
      </x:c>
      <x:c r="B21" s="74" t="str">
        <x:v>M19</x:v>
      </x:c>
      <x:c r="C21" s="74" t="str">
        <x:v>DM</x:v>
      </x:c>
      <x:c r="D21" s="215" t="n">
        <x:v>15</x:v>
      </x:c>
      <x:c r="E21" s="74" t="str">
        <x:v>V1.0</x:v>
      </x:c>
      <x:c r="F21" s="68" t="str">
        <x:v>日主状态</x:v>
      </x:c>
      <x:c r="G21" s="98" t="n">
        <x:v>5</x:v>
      </x:c>
      <x:c r="H21" s="68" t="str">
        <x:v>扶身侧核心证据</x:v>
      </x:c>
      <x:c r="I21" s="68" t="str">
        <x:v>汇总日主得令、得地、得势、得生和有效印比等主要正向证据。</x:v>
      </x:c>
      <x:c r="J21" s="68" t="str">
        <x:v>M03/M08/M09</x:v>
      </x:c>
      <x:c r="K21" s="68" t="str">
        <x:v>得令；得地；得势；得生；有效印比；根气状态</x:v>
      </x:c>
      <x:c r="L21" s="82" t="str">
        <x:v>必填</x:v>
      </x:c>
      <x:c r="M21" s="82" t="str">
        <x:v>分析师输出</x:v>
      </x:c>
      <x:c r="N21" s="82" t="str">
        <x:v>多值标签</x:v>
      </x:c>
      <x:c r="O21" s="68" t="str">
        <x:v>3—5条独立强证据</x:v>
      </x:c>
      <x:c r="P21" s="68" t="str">
        <x:v>扶身证据①【…】；②【…】；③【…】；同源去重：【…】；有效性：【…】。</x:v>
      </x:c>
      <x:c r="Q21" s="68" t="str">
        <x:v>支持日主的主要因素是【…】。其中最关键的是【…】，而不是单纯因为命局里同类字多。</x:v>
      </x:c>
      <x:c r="R21" s="68" t="str">
        <x:v>无明显扶身证据时写“扶身侧缺少有效强证据”，不得空白。</x:v>
      </x:c>
      <x:c r="S21" s="68" t="str">
        <x:v>同源月令、根气、透干证据按M18-GEN-0006-V1.0去重。</x:v>
      </x:c>
      <x:c r="T21" s="68" t="str">
        <x:v>日主有一处本气根，印星有源但受财制，扶身证据中等。</x:v>
      </x:c>
      <x:c r="U21" s="68" t="str">
        <x:v>内部保留全部证据，用户版只选最关键2—3条。</x:v>
      </x:c>
      <x:c r="V21" s="82" t="str">
        <x:v>采用</x:v>
      </x:c>
      <x:c r="W21" s="82" t="str">
        <x:v>初审</x:v>
      </x:c>
      <x:c r="X21" s="87" t="n">
        <x:v>46260</x:v>
      </x:c>
    </x:row>
    <x:row r="22">
      <x:c r="A22" s="72" t="str">
        <x:f>IF(OR(C22="",D22=""),"",B22&amp;"-"&amp;UPPER(C22)&amp;"-"&amp;TEXT(D22,"0000")&amp;"-"&amp;E22)</x:f>
        <x:v>M19-DM-0016-V1.0</x:v>
      </x:c>
      <x:c r="B22" s="74" t="str">
        <x:v>M19</x:v>
      </x:c>
      <x:c r="C22" s="74" t="str">
        <x:v>DM</x:v>
      </x:c>
      <x:c r="D22" s="215" t="n">
        <x:v>16</x:v>
      </x:c>
      <x:c r="E22" s="74" t="str">
        <x:v>V1.0</x:v>
      </x:c>
      <x:c r="F22" s="68" t="str">
        <x:v>日主状态</x:v>
      </x:c>
      <x:c r="G22" s="98" t="n">
        <x:v>5</x:v>
      </x:c>
      <x:c r="H22" s="68" t="str">
        <x:v>负荷侧核心证据</x:v>
      </x:c>
      <x:c r="I22" s="68" t="str">
        <x:v>汇总官杀制身、食伤泄身、财星耗身及根损等主要负向证据。</x:v>
      </x:c>
      <x:c r="J22" s="68" t="str">
        <x:v>M08/M09/M10</x:v>
      </x:c>
      <x:c r="K22" s="68" t="str">
        <x:v>受制；受泄；受耗；根气受损；负荷集团</x:v>
      </x:c>
      <x:c r="L22" s="82" t="str">
        <x:v>必填</x:v>
      </x:c>
      <x:c r="M22" s="82" t="str">
        <x:v>分析师输出</x:v>
      </x:c>
      <x:c r="N22" s="82" t="str">
        <x:v>多值标签</x:v>
      </x:c>
      <x:c r="O22" s="68" t="str">
        <x:v>3—5条独立强证据</x:v>
      </x:c>
      <x:c r="P22" s="68" t="str">
        <x:v>负荷证据①【…】；②【…】；③【…】；主要直接作用链：【…】；有效性：【…】。</x:v>
      </x:c>
      <x:c r="Q22" s="68" t="str">
        <x:v>对日主形成压力的主要因素是【…】。其中【…】属于直接作用，【…】则是间接加重。</x:v>
      </x:c>
      <x:c r="R22" s="68" t="str">
        <x:v>无明显负荷时写“未见持续有效的制泄耗压力”。</x:v>
      </x:c>
      <x:c r="S22" s="68" t="str">
        <x:v>名义官杀、食伤、财星若功能失效不得计入；冲突按M18-GEN-0005-V1.0裁定。</x:v>
      </x:c>
      <x:c r="T22" s="68" t="str">
        <x:v>七杀有力直接制身；财星又生杀；食伤泄身一般。</x:v>
      </x:c>
      <x:c r="U22" s="68" t="str">
        <x:v>用户版避免将十神名称直接写成现实事件。</x:v>
      </x:c>
      <x:c r="V22" s="82" t="str">
        <x:v>采用</x:v>
      </x:c>
      <x:c r="W22" s="82" t="str">
        <x:v>初审</x:v>
      </x:c>
      <x:c r="X22" s="87" t="n">
        <x:v>46260</x:v>
      </x:c>
    </x:row>
    <x:row r="23">
      <x:c r="A23" s="72" t="str">
        <x:f>IF(OR(C23="",D23=""),"",B23&amp;"-"&amp;UPPER(C23)&amp;"-"&amp;TEXT(D23,"0000")&amp;"-"&amp;E23)</x:f>
        <x:v>M19-DM-0017-V1.0</x:v>
      </x:c>
      <x:c r="B23" s="74" t="str">
        <x:v>M19</x:v>
      </x:c>
      <x:c r="C23" s="74" t="str">
        <x:v>DM</x:v>
      </x:c>
      <x:c r="D23" s="215" t="n">
        <x:v>17</x:v>
      </x:c>
      <x:c r="E23" s="74" t="str">
        <x:v>V1.0</x:v>
      </x:c>
      <x:c r="F23" s="68" t="str">
        <x:v>日主状态</x:v>
      </x:c>
      <x:c r="G23" s="98" t="n">
        <x:v>5</x:v>
      </x:c>
      <x:c r="H23" s="68" t="str">
        <x:v>相邻等级排除与结论置信度</x:v>
      </x:c>
      <x:c r="I23" s="68" t="str">
        <x:v>说明为什么未判为相邻的更旺或更弱等级，并记录反向证据和置信度。</x:v>
      </x:c>
      <x:c r="J23" s="68" t="str">
        <x:v>M09/M18</x:v>
      </x:c>
      <x:c r="K23" s="68" t="str">
        <x:v>相邻等级否决；反向证据；M18-GEN-0008-V1.0</x:v>
      </x:c>
      <x:c r="L23" s="82" t="str">
        <x:v>必填</x:v>
      </x:c>
      <x:c r="M23" s="82" t="str">
        <x:v>三层通用</x:v>
      </x:c>
      <x:c r="N23" s="82" t="str">
        <x:v>长文本</x:v>
      </x:c>
      <x:c r="O23" s="68" t="str">
        <x:v>主结论＋为何非上一级＋为何非下一级＋置信度</x:v>
      </x:c>
      <x:c r="P23" s="68" t="str">
        <x:v>主结论：【…】；未判【更旺等级】因：【…】；未判【更弱等级】因：【…】；反向证据：【…】；置信度：【…】。</x:v>
      </x:c>
      <x:c r="Q23" s="68" t="str">
        <x:v>它更接近【…】而不是【…】，主要因为【…】；同时也没有弱到/旺到【…】，因为仍有【…】。因此置信度为【…】。</x:v>
      </x:c>
      <x:c r="R23" s="68" t="str">
        <x:v>必须输出至少一个相邻等级排除理由；证据不足时标“中等/低”。</x:v>
      </x:c>
      <x:c r="S23" s="68" t="str">
        <x:v>正反接近时按M18-GEN-0008-V1.0，不凭感觉强行唯一化。</x:v>
      </x:c>
      <x:c r="T23" s="68" t="str">
        <x:v>判中和偏弱而非弱：仍有有效根和印生；未判中和：官杀财星负荷略占优势。</x:v>
      </x:c>
      <x:c r="U23" s="68" t="str">
        <x:v>这是日主旺衰可解释性的核心字段。</x:v>
      </x:c>
      <x:c r="V23" s="82" t="str">
        <x:v>采用</x:v>
      </x:c>
      <x:c r="W23" s="82" t="str">
        <x:v>初审</x:v>
      </x:c>
      <x:c r="X23" s="87" t="n">
        <x:v>46260</x:v>
      </x:c>
    </x:row>
    <x:row r="24">
      <x:c r="A24" s="72" t="str">
        <x:f>IF(OR(C24="",D24=""),"",B24&amp;"-"&amp;UPPER(C24)&amp;"-"&amp;TEXT(D24,"0000")&amp;"-"&amp;E24)</x:f>
        <x:v>M19-TEN-0018-V1.0</x:v>
      </x:c>
      <x:c r="B24" s="74" t="str">
        <x:v>M19</x:v>
      </x:c>
      <x:c r="C24" s="74" t="str">
        <x:v>TEN</x:v>
      </x:c>
      <x:c r="D24" s="215" t="n">
        <x:v>18</x:v>
      </x:c>
      <x:c r="E24" s="74" t="str">
        <x:v>V1.0</x:v>
      </x:c>
      <x:c r="F24" s="68" t="str">
        <x:v>十神功能</x:v>
      </x:c>
      <x:c r="G24" s="98" t="n">
        <x:v>6</x:v>
      </x:c>
      <x:c r="H24" s="68" t="str">
        <x:v>十神状态总表</x:v>
      </x:c>
      <x:c r="I24" s="68" t="str">
        <x:v>按比劫、印星、食伤、财星、官杀分组输出存在方式、有效力量、清纯度和功能状态。</x:v>
      </x:c>
      <x:c r="J24" s="68" t="str">
        <x:v>M10</x:v>
      </x:c>
      <x:c r="K24" s="68" t="str">
        <x:v>存在方式；有效力量；清纯程度；生源；制约；功能状态；格局接口</x:v>
      </x:c>
      <x:c r="L24" s="82" t="str">
        <x:v>必填</x:v>
      </x:c>
      <x:c r="M24" s="82" t="str">
        <x:v>分析师输出</x:v>
      </x:c>
      <x:c r="N24" s="82" t="str">
        <x:v>多值标签</x:v>
      </x:c>
      <x:c r="O24" s="68" t="str">
        <x:v>十神组｜存在｜力量｜清纯｜功能｜主要制约</x:v>
      </x:c>
      <x:c r="P24" s="68" t="str">
        <x:v>比劫：【…】；印星：【…】；食伤：【…】；财星：【…】；官杀：【…】。</x:v>
      </x:c>
      <x:c r="Q24" s="68" t="str">
        <x:v>从十神功能看，最明显的是【…】；【…】虽然出现，但实际作用有限；【…】处于【清/杂】状态。</x:v>
      </x:c>
      <x:c r="R24" s="68" t="str">
        <x:v>五组必须全部记录；完全不现写“不现”，不能删除。</x:v>
      </x:c>
      <x:c r="S24" s="68" t="str">
        <x:v>十神力量与喜忌分离；同一节点多功能按M18-GEN-0006-V1.0去重。</x:v>
      </x:c>
      <x:c r="T24" s="68" t="str">
        <x:v>官杀旺而有制；印星中和但受财制；食伤偏弱；财星中和偏旺；比劫偏弱。</x:v>
      </x:c>
      <x:c r="U24" s="68" t="str">
        <x:v>不将十神旺弱直接等同吉凶或人物。</x:v>
      </x:c>
      <x:c r="V24" s="82" t="str">
        <x:v>采用</x:v>
      </x:c>
      <x:c r="W24" s="82" t="str">
        <x:v>初审</x:v>
      </x:c>
      <x:c r="X24" s="87" t="n">
        <x:v>46260</x:v>
      </x:c>
    </x:row>
    <x:row r="25">
      <x:c r="A25" s="72" t="str">
        <x:f>IF(OR(C25="",D25=""),"",B25&amp;"-"&amp;UPPER(C25)&amp;"-"&amp;TEXT(D25,"0000")&amp;"-"&amp;E25)</x:f>
        <x:v>M19-TEN-0019-V1.0</x:v>
      </x:c>
      <x:c r="B25" s="74" t="str">
        <x:v>M19</x:v>
      </x:c>
      <x:c r="C25" s="74" t="str">
        <x:v>TEN</x:v>
      </x:c>
      <x:c r="D25" s="215" t="n">
        <x:v>19</x:v>
      </x:c>
      <x:c r="E25" s="74" t="str">
        <x:v>V1.0</x:v>
      </x:c>
      <x:c r="F25" s="68" t="str">
        <x:v>十神功能</x:v>
      </x:c>
      <x:c r="G25" s="98" t="n">
        <x:v>6</x:v>
      </x:c>
      <x:c r="H25" s="68" t="str">
        <x:v>主要有力十神及其功能</x:v>
      </x:c>
      <x:c r="I25" s="68" t="str">
        <x:v>列出对全局作用最明显的1—3个十神，说明其有效功能和作用对象。</x:v>
      </x:c>
      <x:c r="J25" s="68" t="str">
        <x:v>M10/M14/M15</x:v>
      </x:c>
      <x:c r="K25" s="68" t="str">
        <x:v>有效力量；正常发挥/制化平衡；格局功能；对日主作用</x:v>
      </x:c>
      <x:c r="L25" s="82" t="str">
        <x:v>必填</x:v>
      </x:c>
      <x:c r="M25" s="82" t="str">
        <x:v>三层通用</x:v>
      </x:c>
      <x:c r="N25" s="82" t="str">
        <x:v>长文本</x:v>
      </x:c>
      <x:c r="O25" s="68" t="str">
        <x:v>十神｜力量｜主要功能｜作用对象</x:v>
      </x:c>
      <x:c r="P25" s="68" t="str">
        <x:v>主十神①【…】：力量【…】，功能【…】，作用对象【…】；②【…】。</x:v>
      </x:c>
      <x:c r="Q25" s="68" t="str">
        <x:v>命局里最有力、最能主导结构的功能是【…】。它主要负责【…】，并影响【…】。</x:v>
      </x:c>
      <x:c r="R25" s="68" t="str">
        <x:v>没有明显主导十神时写“十神力量分散，无单一主导者”。</x:v>
      </x:c>
      <x:c r="S25" s="68" t="str">
        <x:v>多个十神竞争主导时按M18-PATTERN-0024-V1.0排序。</x:v>
      </x:c>
      <x:c r="T25" s="68" t="str">
        <x:v>七杀最有力，主要制身；印星承接部分杀气，形成化杀接口。</x:v>
      </x:c>
      <x:c r="U25" s="68" t="str">
        <x:v>用户版优先讲功能，不堆叠正偏十神术语。</x:v>
      </x:c>
      <x:c r="V25" s="82" t="str">
        <x:v>采用</x:v>
      </x:c>
      <x:c r="W25" s="82" t="str">
        <x:v>初审</x:v>
      </x:c>
      <x:c r="X25" s="87" t="n">
        <x:v>46260</x:v>
      </x:c>
    </x:row>
    <x:row r="26">
      <x:c r="A26" s="72" t="str">
        <x:f>IF(OR(C26="",D26=""),"",B26&amp;"-"&amp;UPPER(C26)&amp;"-"&amp;TEXT(D26,"0000")&amp;"-"&amp;E26)</x:f>
        <x:v>M19-TEN-0020-V1.0</x:v>
      </x:c>
      <x:c r="B26" s="74" t="str">
        <x:v>M19</x:v>
      </x:c>
      <x:c r="C26" s="74" t="str">
        <x:v>TEN</x:v>
      </x:c>
      <x:c r="D26" s="215" t="n">
        <x:v>20</x:v>
      </x:c>
      <x:c r="E26" s="74" t="str">
        <x:v>V1.0</x:v>
      </x:c>
      <x:c r="F26" s="68" t="str">
        <x:v>十神功能</x:v>
      </x:c>
      <x:c r="G26" s="98" t="n">
        <x:v>6</x:v>
      </x:c>
      <x:c r="H26" s="68" t="str">
        <x:v>受限、失效或过度十神</x:v>
      </x:c>
      <x:c r="I26" s="68" t="str">
        <x:v>记录力量虽存在但功能受限、转化、失效、过度或制化失衡的十神。</x:v>
      </x:c>
      <x:c r="J26" s="68" t="str">
        <x:v>M10/M11/M16</x:v>
      </x:c>
      <x:c r="K26" s="68" t="str">
        <x:v>功能状态；制约原因；功能副作用；病位</x:v>
      </x:c>
      <x:c r="L26" s="82" t="str">
        <x:v>必填</x:v>
      </x:c>
      <x:c r="M26" s="82" t="str">
        <x:v>三层通用</x:v>
      </x:c>
      <x:c r="N26" s="82" t="str">
        <x:v>长文本</x:v>
      </x:c>
      <x:c r="O26" s="68" t="str">
        <x:v>十神｜状态｜原因｜后果</x:v>
      </x:c>
      <x:c r="P26" s="68" t="str">
        <x:v>【十神】：状态【受限/失效/过度/转化】；原因【…】；影响【组合/流通/格局/病药】。</x:v>
      </x:c>
      <x:c r="Q26" s="68" t="str">
        <x:v>【…】虽然在命局中出现，但目前功能【受限/过度】。关键原因是【…】，所以不能只看它“有”或“旺”。</x:v>
      </x:c>
      <x:c r="R26" s="68" t="str">
        <x:v>无受限项时写“未见关键十神明显失效或过度”。</x:v>
      </x:c>
      <x:c r="S26" s="68" t="str">
        <x:v>功能过度与格局需要冲突时按M18-GEN-0005-V1.0、M18-PATTERN-0022-V1.0裁决。</x:v>
      </x:c>
      <x:c r="T26" s="68" t="str">
        <x:v>食神有根但受偏印强制，制杀和生财功能均受限。</x:v>
      </x:c>
      <x:c r="U26" s="68" t="str">
        <x:v>用于解释十神存在、力量和功能为什么不一致。</x:v>
      </x:c>
      <x:c r="V26" s="82" t="str">
        <x:v>采用</x:v>
      </x:c>
      <x:c r="W26" s="82" t="str">
        <x:v>初审</x:v>
      </x:c>
      <x:c r="X26" s="87" t="n">
        <x:v>46260</x:v>
      </x:c>
    </x:row>
    <x:row r="27">
      <x:c r="A27" s="72" t="str">
        <x:f>IF(OR(C27="",D27=""),"",B27&amp;"-"&amp;UPPER(C27)&amp;"-"&amp;TEXT(D27,"0000")&amp;"-"&amp;E27)</x:f>
        <x:v>M19-TEN-0021-V1.0</x:v>
      </x:c>
      <x:c r="B27" s="74" t="str">
        <x:v>M19</x:v>
      </x:c>
      <x:c r="C27" s="74" t="str">
        <x:v>TEN</x:v>
      </x:c>
      <x:c r="D27" s="215" t="n">
        <x:v>21</x:v>
      </x:c>
      <x:c r="E27" s="74" t="str">
        <x:v>V1.0</x:v>
      </x:c>
      <x:c r="F27" s="68" t="str">
        <x:v>十神功能</x:v>
      </x:c>
      <x:c r="G27" s="98" t="n">
        <x:v>6</x:v>
      </x:c>
      <x:c r="H27" s="68" t="str">
        <x:v>十神清纯度与混杂</x:v>
      </x:c>
      <x:c r="I27" s="68" t="str">
        <x:v>判断官杀、食伤、印枭、正偏财等是否清纯、有杂、混杂及主从关系。</x:v>
      </x:c>
      <x:c r="J27" s="68" t="str">
        <x:v>M10/M11/M15</x:v>
      </x:c>
      <x:c r="K27" s="68" t="str">
        <x:v>清纯程度；正偏并见；主从；清化；混杂影响</x:v>
      </x:c>
      <x:c r="L27" s="82" t="str">
        <x:v>必填</x:v>
      </x:c>
      <x:c r="M27" s="82" t="str">
        <x:v>分析师输出</x:v>
      </x:c>
      <x:c r="N27" s="82" t="str">
        <x:v>枚举</x:v>
      </x:c>
      <x:c r="O27" s="68" t="str">
        <x:v>清纯等级＋混杂对象＋主从/清化结论</x:v>
      </x:c>
      <x:c r="P27" s="68" t="str">
        <x:v>清纯度：【…】；混杂组：【…】；主导者：【…】；次级者：【…】；清化条件：【…】。</x:v>
      </x:c>
      <x:c r="Q27" s="68" t="str">
        <x:v>十神结构整体【较清/有杂/混杂】。主要是【…】同时存在，但【…】更主导；是否构成问题取决于【…】。</x:v>
      </x:c>
      <x:c r="R27" s="68" t="str">
        <x:v>无同类正偏并见时写“较清/清纯”；不得空白。</x:v>
      </x:c>
      <x:c r="S27" s="68" t="str">
        <x:v>混杂是否影响格局按M18-PATTERN-0024-V1.0与M18-ROUTE-0059-V1.0裁决。</x:v>
      </x:c>
      <x:c r="T27" s="68" t="str">
        <x:v>官杀并见但正官弱、七杀主导，属于有杂而非严重混杂。</x:v>
      </x:c>
      <x:c r="U27" s="68" t="str">
        <x:v>混杂不自动等同凶，必须说明是否影响功能。</x:v>
      </x:c>
      <x:c r="V27" s="82" t="str">
        <x:v>采用</x:v>
      </x:c>
      <x:c r="W27" s="82" t="str">
        <x:v>初审</x:v>
      </x:c>
      <x:c r="X27" s="87" t="n">
        <x:v>46260</x:v>
      </x:c>
    </x:row>
    <x:row r="28">
      <x:c r="A28" s="72" t="str">
        <x:f>IF(OR(C28="",D28=""),"",B28&amp;"-"&amp;UPPER(C28)&amp;"-"&amp;TEXT(D28,"0000")&amp;"-"&amp;E28)</x:f>
        <x:v>M19-COMBO-0022-V1.0</x:v>
      </x:c>
      <x:c r="B28" s="74" t="str">
        <x:v>M19</x:v>
      </x:c>
      <x:c r="C28" s="74" t="str">
        <x:v>COMBO</x:v>
      </x:c>
      <x:c r="D28" s="215" t="n">
        <x:v>22</x:v>
      </x:c>
      <x:c r="E28" s="74" t="str">
        <x:v>V1.0</x:v>
      </x:c>
      <x:c r="F28" s="68" t="str">
        <x:v>十神组合</x:v>
      </x:c>
      <x:c r="G28" s="98" t="n">
        <x:v>7</x:v>
      </x:c>
      <x:c r="H28" s="68" t="str">
        <x:v>已成立十神组合</x:v>
      </x:c>
      <x:c r="I28" s="68" t="str">
        <x:v>输出达到弱成立以上的生化、制化、平衡承载或冲突组合及成立等级。</x:v>
      </x:c>
      <x:c r="J28" s="68" t="str">
        <x:v>M11</x:v>
      </x:c>
      <x:c r="K28" s="68" t="str">
        <x:v>组合名称；核心十神；作用路径；成立等级；实际功能；破坏；救应</x:v>
      </x:c>
      <x:c r="L28" s="82" t="str">
        <x:v>必填</x:v>
      </x:c>
      <x:c r="M28" s="82" t="str">
        <x:v>三层通用</x:v>
      </x:c>
      <x:c r="N28" s="82" t="str">
        <x:v>多值标签</x:v>
      </x:c>
      <x:c r="O28" s="68" t="str">
        <x:v>组合｜成立等级｜作用路径｜实际功能</x:v>
      </x:c>
      <x:c r="P28" s="68" t="str">
        <x:v>组合①【…】：等级【…】；路径【…】；功能【…】；破坏【…】；救应【…】。</x:v>
      </x:c>
      <x:c r="Q28" s="68" t="str">
        <x:v>当前真正能够成立的组合是【…】，成立程度为【…】。它主要让【…】通过【…】发挥作用。</x:v>
      </x:c>
      <x:c r="R28" s="68" t="str">
        <x:v>无组合达到弱成立时写“未见可稳定成立的十神组合”。</x:v>
      </x:c>
      <x:c r="S28" s="68" t="str">
        <x:v>多个组合共享节点时按M18-GEN-0006-V1.0和M18-DOSE-0065-V1.0处理容量。</x:v>
      </x:c>
      <x:c r="T28" s="68" t="str">
        <x:v>杀印相生基本成立：七杀生印，印再生日主；财坏印使其稳定性下降。</x:v>
      </x:c>
      <x:c r="U28" s="68" t="str">
        <x:v>组合成立不等于格局成立。</x:v>
      </x:c>
      <x:c r="V28" s="82" t="str">
        <x:v>采用</x:v>
      </x:c>
      <x:c r="W28" s="82" t="str">
        <x:v>初审</x:v>
      </x:c>
      <x:c r="X28" s="87" t="n">
        <x:v>46260</x:v>
      </x:c>
    </x:row>
    <x:row r="29">
      <x:c r="A29" s="72" t="str">
        <x:f>IF(OR(C29="",D29=""),"",B29&amp;"-"&amp;UPPER(C29)&amp;"-"&amp;TEXT(D29,"0000")&amp;"-"&amp;E29)</x:f>
        <x:v>M19-COMBO-0023-V1.0</x:v>
      </x:c>
      <x:c r="B29" s="74" t="str">
        <x:v>M19</x:v>
      </x:c>
      <x:c r="C29" s="74" t="str">
        <x:v>COMBO</x:v>
      </x:c>
      <x:c r="D29" s="215" t="n">
        <x:v>23</x:v>
      </x:c>
      <x:c r="E29" s="74" t="str">
        <x:v>V1.0</x:v>
      </x:c>
      <x:c r="F29" s="68" t="str">
        <x:v>十神组合</x:v>
      </x:c>
      <x:c r="G29" s="98" t="n">
        <x:v>7</x:v>
      </x:c>
      <x:c r="H29" s="68" t="str">
        <x:v>弱成立、不成立与被否决组合</x:v>
      </x:c>
      <x:c r="I29" s="68" t="str">
        <x:v>记录表面十神齐全但因力量、位置、承载、破坏或救应不足而降级的组合。</x:v>
      </x:c>
      <x:c r="J29" s="68" t="str">
        <x:v>M11</x:v>
      </x:c>
      <x:c r="K29" s="68" t="str">
        <x:v>最低成立标准；破坏条件；否决条件；弱成立/不成立原因</x:v>
      </x:c>
      <x:c r="L29" s="82" t="str">
        <x:v>条件必填</x:v>
      </x:c>
      <x:c r="M29" s="82" t="str">
        <x:v>内部推理</x:v>
      </x:c>
      <x:c r="N29" s="82" t="str">
        <x:v>长文本</x:v>
      </x:c>
      <x:c r="O29" s="68" t="str">
        <x:v>组合｜状态｜未满足条件｜否决Rule_ID</x:v>
      </x:c>
      <x:c r="P29" s="68" t="str">
        <x:v>候选：【…】；状态：【弱成立/不成立】；缺失条件：【…】；决定性否决：【…】；替代解释：【…】。</x:v>
      </x:c>
      <x:c r="Q29" s="68" t="str">
        <x:v>如该组合影响用户问题，可说：“虽然同时出现【…】，但【…】不足/受制，因此不能按完整的【组合名】处理。”</x:v>
      </x:c>
      <x:c r="R29" s="68" t="str">
        <x:v>无被否决候选时写“无”。</x:v>
      </x:c>
      <x:c r="S29" s="68" t="str">
        <x:v>证据接近时按M18-GEN-0008-V1.0保留弱成立和不成立两种条件。</x:v>
      </x:c>
      <x:c r="T29" s="68" t="str">
        <x:v>食神制杀不成立：食神弱且受枭制，无法稳定制约七杀。</x:v>
      </x:c>
      <x:c r="U29" s="68" t="str">
        <x:v>用于防止“两个十神同时出现＝组合成立”。</x:v>
      </x:c>
      <x:c r="V29" s="82" t="str">
        <x:v>采用</x:v>
      </x:c>
      <x:c r="W29" s="82" t="str">
        <x:v>初审</x:v>
      </x:c>
      <x:c r="X29" s="87" t="n">
        <x:v>46260</x:v>
      </x:c>
    </x:row>
    <x:row r="30">
      <x:c r="A30" s="72" t="str">
        <x:f>IF(OR(C30="",D30=""),"",B30&amp;"-"&amp;UPPER(C30)&amp;"-"&amp;TEXT(D30,"0000")&amp;"-"&amp;E30)</x:f>
        <x:v>M19-COMBO-0024-V1.0</x:v>
      </x:c>
      <x:c r="B30" s="74" t="str">
        <x:v>M19</x:v>
      </x:c>
      <x:c r="C30" s="74" t="str">
        <x:v>COMBO</x:v>
      </x:c>
      <x:c r="D30" s="215" t="n">
        <x:v>24</x:v>
      </x:c>
      <x:c r="E30" s="74" t="str">
        <x:v>V1.0</x:v>
      </x:c>
      <x:c r="F30" s="68" t="str">
        <x:v>十神组合</x:v>
      </x:c>
      <x:c r="G30" s="98" t="n">
        <x:v>7</x:v>
      </x:c>
      <x:c r="H30" s="68" t="str">
        <x:v>主导生化、制化与承载功能</x:v>
      </x:c>
      <x:c r="I30" s="68" t="str">
        <x:v>从全部组合中提取覆盖全局最广、对格局和病药最关键的主导功能轴。</x:v>
      </x:c>
      <x:c r="J30" s="68" t="str">
        <x:v>M11/M12/M15/M16</x:v>
      </x:c>
      <x:c r="K30" s="68" t="str">
        <x:v>主组合；作用路径；格局支持；病位修复；共享节点</x:v>
      </x:c>
      <x:c r="L30" s="82" t="str">
        <x:v>必填</x:v>
      </x:c>
      <x:c r="M30" s="82" t="str">
        <x:v>三层通用</x:v>
      </x:c>
      <x:c r="N30" s="82" t="str">
        <x:v>长文本</x:v>
      </x:c>
      <x:c r="O30" s="68" t="str">
        <x:v>主功能轴＋次功能轴＋主次依据</x:v>
      </x:c>
      <x:c r="P30" s="68" t="str">
        <x:v>主轴：【…→…→…】；功能：【生/制/化/泄/护】；覆盖模块：【…】；次轴：【…】；主次依据：【…】。</x:v>
      </x:c>
      <x:c r="Q30" s="68" t="str">
        <x:v>全局最主要的运行方式是【…】。简单说，就是【…】先作用于【…】，再把力量导向【…】。</x:v>
      </x:c>
      <x:c r="R30" s="68" t="str">
        <x:v>无稳定主组合时写“当前以单点作用为主，未形成连续主导组合”。</x:v>
      </x:c>
      <x:c r="S30" s="68" t="str">
        <x:v>多路线竞争按M18-ROUTE-0051-V1.0—M18-ROUTE-0060-V1.0择主路线；证据同源需去重。</x:v>
      </x:c>
      <x:c r="T30" s="68" t="str">
        <x:v>主轴为杀→印→身；次轴为身→食伤→财，但后者桥梁较弱。</x:v>
      </x:c>
      <x:c r="U30" s="68" t="str">
        <x:v>这是流通、格局和病药之间的接口字段。</x:v>
      </x:c>
      <x:c r="V30" s="82" t="str">
        <x:v>采用</x:v>
      </x:c>
      <x:c r="W30" s="82" t="str">
        <x:v>初审</x:v>
      </x:c>
      <x:c r="X30" s="87" t="n">
        <x:v>46260</x:v>
      </x:c>
    </x:row>
    <x:row r="31">
      <x:c r="A31" s="72" t="str">
        <x:f>IF(OR(C31="",D31=""),"",B31&amp;"-"&amp;UPPER(C31)&amp;"-"&amp;TEXT(D31,"0000")&amp;"-"&amp;E31)</x:f>
        <x:v>M19-FLOW-0025-V1.0</x:v>
      </x:c>
      <x:c r="B31" s="74" t="str">
        <x:v>M19</x:v>
      </x:c>
      <x:c r="C31" s="74" t="str">
        <x:v>FLOW</x:v>
      </x:c>
      <x:c r="D31" s="215" t="n">
        <x:v>25</x:v>
      </x:c>
      <x:c r="E31" s="74" t="str">
        <x:v>V1.0</x:v>
      </x:c>
      <x:c r="F31" s="68" t="str">
        <x:v>五行流通</x:v>
      </x:c>
      <x:c r="G31" s="98" t="n">
        <x:v>8</x:v>
      </x:c>
      <x:c r="H31" s="68" t="str">
        <x:v>主流通路径</x:v>
      </x:c>
      <x:c r="I31" s="68" t="str">
        <x:v>输出覆盖核心五行、十神组合和格局功能的1—3条主要起点—桥梁—终点路径。</x:v>
      </x:c>
      <x:c r="J31" s="68" t="str">
        <x:v>M12</x:v>
      </x:c>
      <x:c r="K31" s="68" t="str">
        <x:v>主流通路径；起点强度；桥梁状态；终点承载；流通状态</x:v>
      </x:c>
      <x:c r="L31" s="82" t="str">
        <x:v>必填</x:v>
      </x:c>
      <x:c r="M31" s="82" t="str">
        <x:v>三层通用</x:v>
      </x:c>
      <x:c r="N31" s="82" t="str">
        <x:v>长文本</x:v>
      </x:c>
      <x:c r="O31" s="68" t="str">
        <x:v>起点→桥梁→终点｜状态｜承担功能</x:v>
      </x:c>
      <x:c r="P31" s="68" t="str">
        <x:v>主路径①【起点】→【桥梁】→【终点】；连续性【…】；流通状态【…】；承担功能【…】。</x:v>
      </x:c>
      <x:c r="Q31" s="68" t="str">
        <x:v>命局主要力量沿着【起点→桥梁→终点】传递。当前这条路径【通畅/受阻】，它决定了【…】能否真正发挥。</x:v>
      </x:c>
      <x:c r="R31" s="68" t="str">
        <x:v>没有完整路径时写“未形成完整连续主路径”，并说明最接近的候选链。</x:v>
      </x:c>
      <x:c r="S31" s="68" t="str">
        <x:v>多条路径竞争时按M18-FLOW-0037-V1.0与M18-GEN-0004-V1.0排序主次。</x:v>
      </x:c>
      <x:c r="T31" s="68" t="str">
        <x:v>官杀→印→日主为主路径，连续性基本通畅。</x:v>
      </x:c>
      <x:c r="U31" s="68" t="str">
        <x:v>不得只写五行相生顺序，必须说明桥梁是否有效。</x:v>
      </x:c>
      <x:c r="V31" s="82" t="str">
        <x:v>采用</x:v>
      </x:c>
      <x:c r="W31" s="82" t="str">
        <x:v>初审</x:v>
      </x:c>
      <x:c r="X31" s="87" t="n">
        <x:v>46260</x:v>
      </x:c>
    </x:row>
    <x:row r="32">
      <x:c r="A32" s="72" t="str">
        <x:f>IF(OR(C32="",D32=""),"",B32&amp;"-"&amp;UPPER(C32)&amp;"-"&amp;TEXT(D32,"0000")&amp;"-"&amp;E32)</x:f>
        <x:v>M19-FLOW-0026-V1.0</x:v>
      </x:c>
      <x:c r="B32" s="74" t="str">
        <x:v>M19</x:v>
      </x:c>
      <x:c r="C32" s="74" t="str">
        <x:v>FLOW</x:v>
      </x:c>
      <x:c r="D32" s="215" t="n">
        <x:v>26</x:v>
      </x:c>
      <x:c r="E32" s="74" t="str">
        <x:v>V1.0</x:v>
      </x:c>
      <x:c r="F32" s="68" t="str">
        <x:v>五行流通</x:v>
      </x:c>
      <x:c r="G32" s="98" t="n">
        <x:v>8</x:v>
      </x:c>
      <x:c r="H32" s="68" t="str">
        <x:v>主卡点</x:v>
      </x:c>
      <x:c r="I32" s="68" t="str">
        <x:v>指出对全局影响最大、阻断主路径或核心组合的首要卡点及根因。</x:v>
      </x:c>
      <x:c r="J32" s="68" t="str">
        <x:v>M12/M16</x:v>
      </x:c>
      <x:c r="K32" s="68" t="str">
        <x:v>卡点类型；卡点位置；卡点原因；严重度；共同根因</x:v>
      </x:c>
      <x:c r="L32" s="82" t="str">
        <x:v>必填</x:v>
      </x:c>
      <x:c r="M32" s="82" t="str">
        <x:v>三层通用</x:v>
      </x:c>
      <x:c r="N32" s="82" t="str">
        <x:v>长文本</x:v>
      </x:c>
      <x:c r="O32" s="68" t="str">
        <x:v>位置｜类型｜根因｜影响范围｜严重度</x:v>
      </x:c>
      <x:c r="P32" s="68" t="str">
        <x:v>主卡点：【…】；位置：【…】；根因：【…】；影响路径/组合：【…】；严重度：【…】。</x:v>
      </x:c>
      <x:c r="Q32" s="68" t="str">
        <x:v>命局目前最大的卡点在【…】。问题不只是【表面现象】，而是【根本原因】，它会影响【…】的正常运行。</x:v>
      </x:c>
      <x:c r="R32" s="68" t="str">
        <x:v>无明显卡点时写“主路径基本通畅，未见需要列为根本问题的卡点”。</x:v>
      </x:c>
      <x:c r="S32" s="68" t="str">
        <x:v>多个卡点并存按M18-GEN-0003-V1.0、M18-FLOW-0033-V1.0与M16主病排序。</x:v>
      </x:c>
      <x:c r="T32" s="68" t="str">
        <x:v>主卡点在印星桥梁：印受财制，导致杀→印→身链不能完整运行。</x:v>
      </x:c>
      <x:c r="U32" s="68" t="str">
        <x:v>主卡点应与M16根本病相互校验。</x:v>
      </x:c>
      <x:c r="V32" s="82" t="str">
        <x:v>采用</x:v>
      </x:c>
      <x:c r="W32" s="82" t="str">
        <x:v>初审</x:v>
      </x:c>
      <x:c r="X32" s="87" t="n">
        <x:v>46260</x:v>
      </x:c>
    </x:row>
    <x:row r="33">
      <x:c r="A33" s="72" t="str">
        <x:f>IF(OR(C33="",D33=""),"",B33&amp;"-"&amp;UPPER(C33)&amp;"-"&amp;TEXT(D33,"0000")&amp;"-"&amp;E33)</x:f>
        <x:v>M19-FLOW-0027-V1.0</x:v>
      </x:c>
      <x:c r="B33" s="74" t="str">
        <x:v>M19</x:v>
      </x:c>
      <x:c r="C33" s="74" t="str">
        <x:v>FLOW</x:v>
      </x:c>
      <x:c r="D33" s="215" t="n">
        <x:v>27</x:v>
      </x:c>
      <x:c r="E33" s="74" t="str">
        <x:v>V1.0</x:v>
      </x:c>
      <x:c r="F33" s="68" t="str">
        <x:v>五行流通</x:v>
      </x:c>
      <x:c r="G33" s="98" t="n">
        <x:v>8</x:v>
      </x:c>
      <x:c r="H33" s="68" t="str">
        <x:v>次级卡点与替代路径</x:v>
      </x:c>
      <x:c r="I33" s="68" t="str">
        <x:v>记录1—3个次级卡点、它们与主卡点的关系及可用替代路径。</x:v>
      </x:c>
      <x:c r="J33" s="68" t="str">
        <x:v>M12/M16/M18</x:v>
      </x:c>
      <x:c r="K33" s="68" t="str">
        <x:v>次级卡点；替代桥梁；下游次生卡点；M18-FLOW-0037-V1.0—M18-FLOW-0040-V1.0</x:v>
      </x:c>
      <x:c r="L33" s="82" t="str">
        <x:v>条件必填</x:v>
      </x:c>
      <x:c r="M33" s="82" t="str">
        <x:v>分析师输出</x:v>
      </x:c>
      <x:c r="N33" s="82" t="str">
        <x:v>长文本</x:v>
      </x:c>
      <x:c r="O33" s="68" t="str">
        <x:v>次卡点｜与主病关系｜替代路径｜限制</x:v>
      </x:c>
      <x:c r="P33" s="68" t="str">
        <x:v>次卡点①【…】；由主卡点引发/独立：【…】；替代路径：【…】；限制：【…】。</x:v>
      </x:c>
      <x:c r="Q33" s="68" t="str">
        <x:v>除了主卡点外，次要问题还有【…】。它可能在主问题缓解后才显现，替代路径是【…】，但前提是【…】。</x:v>
      </x:c>
      <x:c r="R33" s="68" t="str">
        <x:v>无次级卡点时写“无明显独立次级卡点”。</x:v>
      </x:c>
      <x:c r="S33" s="68" t="str">
        <x:v>表层弱点若由主卡点自动引发，按M18-GEN-0003-V1.0降为次级，不重复立病。</x:v>
      </x:c>
      <x:c r="T33" s="68" t="str">
        <x:v>次卡点为财星终点承载不足；需先修复食伤桥梁，再判断是否补财。</x:v>
      </x:c>
      <x:c r="U33" s="68" t="str">
        <x:v>防止同时对所有弱点用药。</x:v>
      </x:c>
      <x:c r="V33" s="82" t="str">
        <x:v>采用</x:v>
      </x:c>
      <x:c r="W33" s="82" t="str">
        <x:v>初审</x:v>
      </x:c>
      <x:c r="X33" s="87" t="n">
        <x:v>46260</x:v>
      </x:c>
    </x:row>
    <x:row r="34">
      <x:c r="A34" s="72" t="str">
        <x:f>IF(OR(C34="",D34=""),"",B34&amp;"-"&amp;UPPER(C34)&amp;"-"&amp;TEXT(D34,"0000")&amp;"-"&amp;E34)</x:f>
        <x:v>M19-FLOW-0028-V1.0</x:v>
      </x:c>
      <x:c r="B34" s="74" t="str">
        <x:v>M19</x:v>
      </x:c>
      <x:c r="C34" s="74" t="str">
        <x:v>FLOW</x:v>
      </x:c>
      <x:c r="D34" s="215" t="n">
        <x:v>28</x:v>
      </x:c>
      <x:c r="E34" s="74" t="str">
        <x:v>V1.0</x:v>
      </x:c>
      <x:c r="F34" s="68" t="str">
        <x:v>五行流通</x:v>
      </x:c>
      <x:c r="G34" s="98" t="n">
        <x:v>8</x:v>
      </x:c>
      <x:c r="H34" s="68" t="str">
        <x:v>通关候选、有效性与副作用</x:v>
      </x:c>
      <x:c r="I34" s="68" t="str">
        <x:v>列出通关五行、双向作用条件、实际药力、适用边界及可能的格局调候副作用。</x:v>
      </x:c>
      <x:c r="J34" s="68" t="str">
        <x:v>M12/M13/M16/M17/M18</x:v>
      </x:c>
      <x:c r="K34" s="68" t="str">
        <x:v>通关五行；通关条件；药力；主要副作用；M18-FLOW-0034-V1.0—M18-FLOW-0039-V1.0</x:v>
      </x:c>
      <x:c r="L34" s="82" t="str">
        <x:v>必填</x:v>
      </x:c>
      <x:c r="M34" s="82" t="str">
        <x:v>分析师输出</x:v>
      </x:c>
      <x:c r="N34" s="82" t="str">
        <x:v>长文本</x:v>
      </x:c>
      <x:c r="O34" s="68" t="str">
        <x:v>候选｜泄上游/生下游｜药力｜副作用｜定位</x:v>
      </x:c>
      <x:c r="P34" s="68" t="str">
        <x:v>通关候选：【…】；双向机制：【泄…/生…】；有效性：【…】；副作用：【…】；M17定位：【…】。</x:v>
      </x:c>
      <x:c r="Q34" s="68" t="str">
        <x:v>【…】可以作为通关候选，因为它既能【…】，又能【…】。但只有在【…】时才有利；过强会带来【…】。</x:v>
      </x:c>
      <x:c r="R34" s="68" t="str">
        <x:v>无真实两强相战或不可替代缺桥时写“无须设置专门通关用神”。</x:v>
      </x:c>
      <x:c r="S34" s="68" t="str">
        <x:v>按M18-FLOW-0034-V1.0—M18-FLOW-0039-V1.0、M18-CLIMATE-0027-V1.0和M18-PATTERN-0021-V1.0裁决。</x:v>
      </x:c>
      <x:c r="T34" s="68" t="str">
        <x:v>水可通金木，但原局偏寒，故只能列条件性喜神，需有火或暖局保护。</x:v>
      </x:c>
      <x:c r="U34" s="68" t="str">
        <x:v>通关候选不自动等于最终主用神。</x:v>
      </x:c>
      <x:c r="V34" s="82" t="str">
        <x:v>采用</x:v>
      </x:c>
      <x:c r="W34" s="82" t="str">
        <x:v>初审</x:v>
      </x:c>
      <x:c r="X34" s="87" t="n">
        <x:v>46260</x:v>
      </x:c>
    </x:row>
    <x:row r="35">
      <x:c r="A35" s="72" t="str">
        <x:f>IF(OR(C35="",D35=""),"",B35&amp;"-"&amp;UPPER(C35)&amp;"-"&amp;TEXT(D35,"0000")&amp;"-"&amp;E35)</x:f>
        <x:v>M19-CLIMATE-0029-V1.0</x:v>
      </x:c>
      <x:c r="B35" s="74" t="str">
        <x:v>M19</x:v>
      </x:c>
      <x:c r="C35" s="74" t="str">
        <x:v>CLIMATE</x:v>
      </x:c>
      <x:c r="D35" s="215" t="n">
        <x:v>29</x:v>
      </x:c>
      <x:c r="E35" s="74" t="str">
        <x:v>V1.0</x:v>
      </x:c>
      <x:c r="F35" s="68" t="str">
        <x:v>寒暖燥湿</x:v>
      </x:c>
      <x:c r="G35" s="98" t="n">
        <x:v>9</x:v>
      </x:c>
      <x:c r="H35" s="68" t="str">
        <x:v>温度状态</x:v>
      </x:c>
      <x:c r="I35" s="68" t="str">
        <x:v>输出经月令和全局火水有效力量修正后的温度轴等级。</x:v>
      </x:c>
      <x:c r="J35" s="68" t="str">
        <x:v>M13</x:v>
      </x:c>
      <x:c r="K35" s="68" t="str">
        <x:v>月令气候基准；温度修正；温度状态；反向证据</x:v>
      </x:c>
      <x:c r="L35" s="82" t="str">
        <x:v>必填</x:v>
      </x:c>
      <x:c r="M35" s="82" t="str">
        <x:v>三层通用</x:v>
      </x:c>
      <x:c r="N35" s="82" t="str">
        <x:v>枚举</x:v>
      </x:c>
      <x:c r="O35" s="68" t="str">
        <x:v>极寒/偏寒/平衡/偏暖/极热＋主要证据</x:v>
      </x:c>
      <x:c r="P35" s="68" t="str">
        <x:v>温度状态：【…】；月令基准：【…】；升温证据：【…】；降温证据：【…】；置信度：【…】。</x:v>
      </x:c>
      <x:c r="Q35" s="68" t="str">
        <x:v>从寒暖看，命局整体【…】。主要因为【…】，同时【…】又对温度做了部分修正。</x:v>
      </x:c>
      <x:c r="R35" s="68" t="str">
        <x:v>必须输出；证据接近时写“接近平衡/偏向…”，并降低置信度。</x:v>
      </x:c>
      <x:c r="S35" s="68" t="str">
        <x:v>双向证据接近按M18-CLIMATE-0028-V1.0与M18-GEN-0008-V1.0处理。</x:v>
      </x:c>
      <x:c r="T35" s="68" t="str">
        <x:v>温度偏寒；子月为寒基准，火有根但不足以完全暖局。</x:v>
      </x:c>
      <x:c r="U35" s="68" t="str">
        <x:v>冬月不自动等于极寒，夏月不自动等于极热。</x:v>
      </x:c>
      <x:c r="V35" s="82" t="str">
        <x:v>采用</x:v>
      </x:c>
      <x:c r="W35" s="82" t="str">
        <x:v>初审</x:v>
      </x:c>
      <x:c r="X35" s="87" t="n">
        <x:v>46260</x:v>
      </x:c>
    </x:row>
    <x:row r="36">
      <x:c r="A36" s="72" t="str">
        <x:f>IF(OR(C36="",D36=""),"",B36&amp;"-"&amp;UPPER(C36)&amp;"-"&amp;TEXT(D36,"0000")&amp;"-"&amp;E36)</x:f>
        <x:v>M19-CLIMATE-0030-V1.0</x:v>
      </x:c>
      <x:c r="B36" s="74" t="str">
        <x:v>M19</x:v>
      </x:c>
      <x:c r="C36" s="74" t="str">
        <x:v>CLIMATE</x:v>
      </x:c>
      <x:c r="D36" s="215" t="n">
        <x:v>30</x:v>
      </x:c>
      <x:c r="E36" s="74" t="str">
        <x:v>V1.0</x:v>
      </x:c>
      <x:c r="F36" s="68" t="str">
        <x:v>寒暖燥湿</x:v>
      </x:c>
      <x:c r="G36" s="98" t="n">
        <x:v>9</x:v>
      </x:c>
      <x:c r="H36" s="68" t="str">
        <x:v>湿度状态</x:v>
      </x:c>
      <x:c r="I36" s="68" t="str">
        <x:v>输出经水势、湿土、燥土、火势和木疏土作用修正后的湿度轴等级。</x:v>
      </x:c>
      <x:c r="J36" s="68" t="str">
        <x:v>M13</x:v>
      </x:c>
      <x:c r="K36" s="68" t="str">
        <x:v>湿度修正；湿土/燥土有效性；湿度状态；反向证据</x:v>
      </x:c>
      <x:c r="L36" s="82" t="str">
        <x:v>必填</x:v>
      </x:c>
      <x:c r="M36" s="82" t="str">
        <x:v>三层通用</x:v>
      </x:c>
      <x:c r="N36" s="82" t="str">
        <x:v>枚举</x:v>
      </x:c>
      <x:c r="O36" s="68" t="str">
        <x:v>极湿/偏湿/平衡/偏燥/极燥＋主要证据</x:v>
      </x:c>
      <x:c r="P36" s="68" t="str">
        <x:v>湿度状态：【…】；增湿证据：【…】；增燥证据：【…】；土性修正：【…】；置信度：【…】。</x:v>
      </x:c>
      <x:c r="Q36" s="68" t="str">
        <x:v>从燥湿看，命局整体【…】。关键不是只看水多不多，而是【水势/湿土/燥土/火势】是否真正形成作用。</x:v>
      </x:c>
      <x:c r="R36" s="68" t="str">
        <x:v>必须输出；土性不明时写“湿燥倾向待定”，并说明争议。</x:v>
      </x:c>
      <x:c r="S36" s="68" t="str">
        <x:v>湿土燥土与全局修正冲突按M18-CLIMATE-0028-V1.0和M17土性分型规则处理。</x:v>
      </x:c>
      <x:c r="T36" s="68" t="str">
        <x:v>湿度偏燥；未戌燥土与火势同向，水弱不足润燥。</x:v>
      </x:c>
      <x:c r="U36" s="68" t="str">
        <x:v>寒暖与燥湿必须分开表述。</x:v>
      </x:c>
      <x:c r="V36" s="82" t="str">
        <x:v>采用</x:v>
      </x:c>
      <x:c r="W36" s="82" t="str">
        <x:v>初审</x:v>
      </x:c>
      <x:c r="X36" s="87" t="n">
        <x:v>46260</x:v>
      </x:c>
    </x:row>
    <x:row r="37">
      <x:c r="A37" s="72" t="str">
        <x:f>IF(OR(C37="",D37=""),"",B37&amp;"-"&amp;UPPER(C37)&amp;"-"&amp;TEXT(D37,"0000")&amp;"-"&amp;E37)</x:f>
        <x:v>M19-CLIMATE-0031-V1.0</x:v>
      </x:c>
      <x:c r="B37" s="74" t="str">
        <x:v>M19</x:v>
      </x:c>
      <x:c r="C37" s="74" t="str">
        <x:v>CLIMATE</x:v>
      </x:c>
      <x:c r="D37" s="215" t="n">
        <x:v>31</x:v>
      </x:c>
      <x:c r="E37" s="74" t="str">
        <x:v>V1.0</x:v>
      </x:c>
      <x:c r="F37" s="68" t="str">
        <x:v>寒暖燥湿</x:v>
      </x:c>
      <x:c r="G37" s="98" t="n">
        <x:v>9</x:v>
      </x:c>
      <x:c r="H37" s="68" t="str">
        <x:v>主要气候问题与调候紧急度</x:v>
      </x:c>
      <x:c r="I37" s="68" t="str">
        <x:v>判断寒凝、火炎、湿滞、燥枯是否已形成实际功能障碍及其优先级。</x:v>
      </x:c>
      <x:c r="J37" s="68" t="str">
        <x:v>M13/M16</x:v>
      </x:c>
      <x:c r="K37" s="68" t="str">
        <x:v>主要气候问题；调候紧急度；M12气候型卡点；M16调候病</x:v>
      </x:c>
      <x:c r="L37" s="82" t="str">
        <x:v>必填</x:v>
      </x:c>
      <x:c r="M37" s="82" t="str">
        <x:v>三层通用</x:v>
      </x:c>
      <x:c r="N37" s="82" t="str">
        <x:v>长文本</x:v>
      </x:c>
      <x:c r="O37" s="68" t="str">
        <x:v>气候问题｜功能影响｜紧急度｜是否根本病</x:v>
      </x:c>
      <x:c r="P37" s="68" t="str">
        <x:v>主要问题：【…】；影响节点：【…】；流通后果：【…】；紧急度：【低/中/高/首要】；是否主病：【…】。</x:v>
      </x:c>
      <x:c r="Q37" s="68" t="str">
        <x:v>主要气候问题是【…】。它已经影响到【…】的生化/流通，因此紧急度为【…】；如果只是轻微偏性，则不会把调候放在所有问题之前。</x:v>
      </x:c>
      <x:c r="R37" s="68" t="str">
        <x:v>无实际功能障碍时写“无首要调候病，气候仅为一般背景”。</x:v>
      </x:c>
      <x:c r="S37" s="68" t="str">
        <x:v>是否升为首要问题按M18-CLIMATE-0025-V1.0、M18-CLIMATE-0026-V1.0与0027裁决。</x:v>
      </x:c>
      <x:c r="T37" s="68" t="str">
        <x:v>寒湿导致印星桥梁和木火生化受阻，调候紧急度高，但尚未达到首要。</x:v>
      </x:c>
      <x:c r="U37" s="68" t="str">
        <x:v>调候紧急度必须由功能后果支撑。</x:v>
      </x:c>
      <x:c r="V37" s="82" t="str">
        <x:v>采用</x:v>
      </x:c>
      <x:c r="W37" s="82" t="str">
        <x:v>初审</x:v>
      </x:c>
      <x:c r="X37" s="87" t="n">
        <x:v>46260</x:v>
      </x:c>
    </x:row>
    <x:row r="38">
      <x:c r="A38" s="72" t="str">
        <x:f>IF(OR(C38="",D38=""),"",B38&amp;"-"&amp;UPPER(C38)&amp;"-"&amp;TEXT(D38,"0000")&amp;"-"&amp;E38)</x:f>
        <x:v>M19-CLIMATE-0032-V1.0</x:v>
      </x:c>
      <x:c r="B38" s="74" t="str">
        <x:v>M19</x:v>
      </x:c>
      <x:c r="C38" s="74" t="str">
        <x:v>CLIMATE</x:v>
      </x:c>
      <x:c r="D38" s="215" t="n">
        <x:v>32</x:v>
      </x:c>
      <x:c r="E38" s="74" t="str">
        <x:v>V1.0</x:v>
      </x:c>
      <x:c r="F38" s="68" t="str">
        <x:v>寒暖燥湿</x:v>
      </x:c>
      <x:c r="G38" s="98" t="n">
        <x:v>9</x:v>
      </x:c>
      <x:c r="H38" s="68" t="str">
        <x:v>调候候选、有效性与跨模块冲突</x:v>
      </x:c>
      <x:c r="I38" s="68" t="str">
        <x:v>输出调候五行的存在性、有效性、主辅关系及其与扶抑、格局、通关的冲突。</x:v>
      </x:c>
      <x:c r="J38" s="68" t="str">
        <x:v>M13/M17/M18</x:v>
      </x:c>
      <x:c r="K38" s="68" t="str">
        <x:v>调候候选五行；存在性；有效性；与扶抑/格局冲突；M18-CLIMATE</x:v>
      </x:c>
      <x:c r="L38" s="82" t="str">
        <x:v>必填</x:v>
      </x:c>
      <x:c r="M38" s="82" t="str">
        <x:v>分析师输出</x:v>
      </x:c>
      <x:c r="N38" s="82" t="str">
        <x:v>长文本</x:v>
      </x:c>
      <x:c r="O38" s="68" t="str">
        <x:v>候选｜机制｜存在/有效｜主辅｜冲突｜定位</x:v>
      </x:c>
      <x:c r="P38" s="68" t="str">
        <x:v>主调候候选：【…】；辅助：【…】；存在性：【…】；有效性：【…】；冲突：【…】；M17定位：【…】。</x:v>
      </x:c>
      <x:c r="Q38" s="68" t="str">
        <x:v>调候上，【…】最有帮助，作用是【…】；【…】可以辅助。但它是否真正为喜，还取决于【日主承载/格局/药量】，因此当前定位为【…】。</x:v>
      </x:c>
      <x:c r="R38" s="68" t="str">
        <x:v>双轴平衡时写“无须设置专门调候用神”。</x:v>
      </x:c>
      <x:c r="S38" s="68" t="str">
        <x:v>按M18-CLIMATE-0028-V1.0—M18-CLIMATE-0032-V1.0、M18-SPECIAL-0011-V1.0和M18-PATTERN-0020-V1.0裁决。</x:v>
      </x:c>
      <x:c r="T38" s="68" t="str">
        <x:v>火为主调候候选，木辅助生火；因日主偏弱且火会泄身，火列条件性喜神。</x:v>
      </x:c>
      <x:c r="U38" s="68" t="str">
        <x:v>用户版必须说明调候候选并非越多越好。</x:v>
      </x:c>
      <x:c r="V38" s="82" t="str">
        <x:v>采用</x:v>
      </x:c>
      <x:c r="W38" s="82" t="str">
        <x:v>初审</x:v>
      </x:c>
      <x:c r="X38" s="87" t="n">
        <x:v>46260</x:v>
      </x:c>
    </x:row>
    <x:row r="39">
      <x:c r="A39" s="72" t="str">
        <x:f>IF(OR(C39="",D39=""),"",B39&amp;"-"&amp;UPPER(C39)&amp;"-"&amp;TEXT(D39,"0000")&amp;"-"&amp;E39)</x:f>
        <x:v>M19-PATTERN-0033-V1.0</x:v>
      </x:c>
      <x:c r="B39" s="74" t="str">
        <x:v>M19</x:v>
      </x:c>
      <x:c r="C39" s="74" t="str">
        <x:v>PATTERN</x:v>
      </x:c>
      <x:c r="D39" s="215" t="n">
        <x:v>33</x:v>
      </x:c>
      <x:c r="E39" s="74" t="str">
        <x:v>V1.0</x:v>
      </x:c>
      <x:c r="F39" s="68" t="str">
        <x:v>格局成败</x:v>
      </x:c>
      <x:c r="G39" s="98" t="n">
        <x:v>10</x:v>
      </x:c>
      <x:c r="H39" s="68" t="str">
        <x:v>格局候选清单与排序</x:v>
      </x:c>
      <x:c r="I39" s="68" t="str">
        <x:v>输出M14生成的1—3个核心候选、类别、月令依据、候选状态和排序理由。</x:v>
      </x:c>
      <x:c r="J39" s="68" t="str">
        <x:v>M14</x:v>
      </x:c>
      <x:c r="K39" s="68" t="str">
        <x:v>候选名称；格局类别；月令依据；格神有效性；候选状态；替代候选</x:v>
      </x:c>
      <x:c r="L39" s="82" t="str">
        <x:v>必填</x:v>
      </x:c>
      <x:c r="M39" s="82" t="str">
        <x:v>分析师输出</x:v>
      </x:c>
      <x:c r="N39" s="82" t="str">
        <x:v>多值标签</x:v>
      </x:c>
      <x:c r="O39" s="68" t="str">
        <x:v>顺位｜候选｜依据｜状态｜排除因素</x:v>
      </x:c>
      <x:c r="P39" s="68" t="str">
        <x:v>第一候选：【…】；依据【…】；状态【…】。第二候选：【…】；依据【…】；差距【…】。</x:v>
      </x:c>
      <x:c r="Q39" s="68" t="str">
        <x:v>格局上首先考虑【…】，其次是【…】。前者更优先，是因为【月令/格神/主导性】更完整。</x:v>
      </x:c>
      <x:c r="R39" s="68" t="str">
        <x:v>无稳定候选时写“格局候选分散，暂以功能结构而非单一格名表达”。</x:v>
      </x:c>
      <x:c r="S39" s="68" t="str">
        <x:v>多个候选冲突按M18-PATTERN-0024-V1.0排序，不用月令一字机械定格。</x:v>
      </x:c>
      <x:c r="T39" s="68" t="str">
        <x:v>第一候选七杀格；第二候选杀印相生型印格。七杀得令且主导制身，故优先。</x:v>
      </x:c>
      <x:c r="U39" s="68" t="str">
        <x:v>候选不等于最终成格。</x:v>
      </x:c>
      <x:c r="V39" s="82" t="str">
        <x:v>采用</x:v>
      </x:c>
      <x:c r="W39" s="82" t="str">
        <x:v>初审</x:v>
      </x:c>
      <x:c r="X39" s="87" t="n">
        <x:v>46260</x:v>
      </x:c>
    </x:row>
    <x:row r="40">
      <x:c r="A40" s="72" t="str">
        <x:f>IF(OR(C40="",D40=""),"",B40&amp;"-"&amp;UPPER(C40)&amp;"-"&amp;TEXT(D40,"0000")&amp;"-"&amp;E40)</x:f>
        <x:v>M19-PATTERN-0034-V1.0</x:v>
      </x:c>
      <x:c r="B40" s="74" t="str">
        <x:v>M19</x:v>
      </x:c>
      <x:c r="C40" s="74" t="str">
        <x:v>PATTERN</x:v>
      </x:c>
      <x:c r="D40" s="215" t="n">
        <x:v>34</x:v>
      </x:c>
      <x:c r="E40" s="74" t="str">
        <x:v>V1.0</x:v>
      </x:c>
      <x:c r="F40" s="68" t="str">
        <x:v>格局成败</x:v>
      </x:c>
      <x:c r="G40" s="98" t="n">
        <x:v>10</x:v>
      </x:c>
      <x:c r="H40" s="68" t="str">
        <x:v>最终格局与格局状态</x:v>
      </x:c>
      <x:c r="I40" s="68" t="str">
        <x:v>输出M15最终确定的格局名称及不成立、基本成立、成立但有破、有破有救、清纯成立或特殊格局严格成立状态。</x:v>
      </x:c>
      <x:c r="J40" s="68" t="str">
        <x:v>M15</x:v>
      </x:c>
      <x:c r="K40" s="68" t="str">
        <x:v>最终格局；格局状态；关联候选；M18最终裁决</x:v>
      </x:c>
      <x:c r="L40" s="82" t="str">
        <x:v>必填</x:v>
      </x:c>
      <x:c r="M40" s="82" t="str">
        <x:v>三层通用</x:v>
      </x:c>
      <x:c r="N40" s="82" t="str">
        <x:v>枚举</x:v>
      </x:c>
      <x:c r="O40" s="68" t="str">
        <x:v>格局名称＋状态</x:v>
      </x:c>
      <x:c r="P40" s="68" t="str">
        <x:v>最终格局：【…】；状态：【…】；主格Rule_ID：【…】；次结构：【…】。</x:v>
      </x:c>
      <x:c r="Q40" s="68" t="str">
        <x:v>综合判断，这个命局以【…】为主，当前状态是【基本成立/有破有救/清纯成立/…】。这说明的是结构能否运行，不直接等同现实成就高低。</x:v>
      </x:c>
      <x:c r="R40" s="68" t="str">
        <x:v>格局不成立时写“未形成稳定单一格局，以【主要功能结构】表达”。</x:v>
      </x:c>
      <x:c r="S40" s="68" t="str">
        <x:v>最终主格按M18-PATTERN-0024-V1.0；特殊格局须通过M18-SPECIAL硬约束审查。</x:v>
      </x:c>
      <x:c r="T40" s="68" t="str">
        <x:v>最终以七杀格为主，状态为有破有救。</x:v>
      </x:c>
      <x:c r="U40" s="68" t="str">
        <x:v>格局成立和层次高低必须分开。</x:v>
      </x:c>
      <x:c r="V40" s="82" t="str">
        <x:v>采用</x:v>
      </x:c>
      <x:c r="W40" s="82" t="str">
        <x:v>初审</x:v>
      </x:c>
      <x:c r="X40" s="87" t="n">
        <x:v>46260</x:v>
      </x:c>
    </x:row>
    <x:row r="41">
      <x:c r="A41" s="72" t="str">
        <x:f>IF(OR(C41="",D41=""),"",B41&amp;"-"&amp;UPPER(C41)&amp;"-"&amp;TEXT(D41,"0000")&amp;"-"&amp;E41)</x:f>
        <x:v>M19-PATTERN-0035-V1.0</x:v>
      </x:c>
      <x:c r="B41" s="74" t="str">
        <x:v>M19</x:v>
      </x:c>
      <x:c r="C41" s="74" t="str">
        <x:v>PATTERN</x:v>
      </x:c>
      <x:c r="D41" s="215" t="n">
        <x:v>35</x:v>
      </x:c>
      <x:c r="E41" s="74" t="str">
        <x:v>V1.0</x:v>
      </x:c>
      <x:c r="F41" s="68" t="str">
        <x:v>格局成败</x:v>
      </x:c>
      <x:c r="G41" s="98" t="n">
        <x:v>10</x:v>
      </x:c>
      <x:c r="H41" s="68" t="str">
        <x:v>成格证据、清纯度与层次</x:v>
      </x:c>
      <x:c r="I41" s="68" t="str">
        <x:v>说明格局成立的关键证据、清纯程度及运行质量层次。</x:v>
      </x:c>
      <x:c r="J41" s="68" t="str">
        <x:v>M15</x:v>
      </x:c>
      <x:c r="K41" s="68" t="str">
        <x:v>成格条件；成格证据；清纯程度；层次判断</x:v>
      </x:c>
      <x:c r="L41" s="82" t="str">
        <x:v>必填</x:v>
      </x:c>
      <x:c r="M41" s="82" t="str">
        <x:v>分析师输出</x:v>
      </x:c>
      <x:c r="N41" s="82" t="str">
        <x:v>长文本</x:v>
      </x:c>
      <x:c r="O41" s="68" t="str">
        <x:v>3—5条成格证据＋清纯度＋层次</x:v>
      </x:c>
      <x:c r="P41" s="68" t="str">
        <x:v>成格证据①【…】；②【…】；③【…】；清纯度：【…】；层次限制：【…】。</x:v>
      </x:c>
      <x:c r="Q41" s="68" t="str">
        <x:v>这个格局能够成立，主要因为【…】。结构整体【清纯/有杂/混杂】，运行层次受到【…】影响。</x:v>
      </x:c>
      <x:c r="R41" s="68" t="str">
        <x:v>格局不成立时改写为“不成立的决定性原因”，不硬填成格证据。</x:v>
      </x:c>
      <x:c r="S41" s="68" t="str">
        <x:v>成立与层次冲突按M18-GEN-0001-V1.0、M18-PATTERN-0024-V1.0；证据同源去重。</x:v>
      </x:c>
      <x:c r="T41" s="68" t="str">
        <x:v>七杀得令有根，印星可承杀生日主；但财星破印，使清纯度下降。</x:v>
      </x:c>
      <x:c r="U41" s="68" t="str">
        <x:v>不由格局层次直接推出富贵贫贱。</x:v>
      </x:c>
      <x:c r="V41" s="82" t="str">
        <x:v>采用</x:v>
      </x:c>
      <x:c r="W41" s="82" t="str">
        <x:v>初审</x:v>
      </x:c>
      <x:c r="X41" s="87" t="n">
        <x:v>46260</x:v>
      </x:c>
    </x:row>
    <x:row r="42">
      <x:c r="A42" s="72" t="str">
        <x:f>IF(OR(C42="",D42=""),"",B42&amp;"-"&amp;UPPER(C42)&amp;"-"&amp;TEXT(D42,"0000")&amp;"-"&amp;E42)</x:f>
        <x:v>M19-PATTERN-0036-V1.0</x:v>
      </x:c>
      <x:c r="B42" s="74" t="str">
        <x:v>M19</x:v>
      </x:c>
      <x:c r="C42" s="74" t="str">
        <x:v>PATTERN</x:v>
      </x:c>
      <x:c r="D42" s="215" t="n">
        <x:v>36</x:v>
      </x:c>
      <x:c r="E42" s="74" t="str">
        <x:v>V1.0</x:v>
      </x:c>
      <x:c r="F42" s="68" t="str">
        <x:v>格局成败</x:v>
      </x:c>
      <x:c r="G42" s="98" t="n">
        <x:v>10</x:v>
      </x:c>
      <x:c r="H42" s="68" t="str">
        <x:v>破格因素与破格等级</x:v>
      </x:c>
      <x:c r="I42" s="68" t="str">
        <x:v>输出直接影响格神或核心结构的破格因素、作用对象和轻微至根本破格等级。</x:v>
      </x:c>
      <x:c r="J42" s="68" t="str">
        <x:v>M15/M16</x:v>
      </x:c>
      <x:c r="K42" s="68" t="str">
        <x:v>破格因素；破格等级；受损格神；根本格局病</x:v>
      </x:c>
      <x:c r="L42" s="82" t="str">
        <x:v>必填</x:v>
      </x:c>
      <x:c r="M42" s="82" t="str">
        <x:v>三层通用</x:v>
      </x:c>
      <x:c r="N42" s="82" t="str">
        <x:v>长文本</x:v>
      </x:c>
      <x:c r="O42" s="68" t="str">
        <x:v>破格因素｜作用对象｜等级｜结构后果</x:v>
      </x:c>
      <x:c r="P42" s="68" t="str">
        <x:v>破格因素：【…】；对象：【…】；作用路径：【…】；等级：【…】；是否否决格局：【…】。</x:v>
      </x:c>
      <x:c r="Q42" s="68" t="str">
        <x:v>格局受到影响的地方在【…】。它主要损伤【…】，破格程度为【…】；若只是轻微/一般，并不等于格局完全不成立。</x:v>
      </x:c>
      <x:c r="R42" s="68" t="str">
        <x:v>无破时写“未见实质破格因素”，不得空白。</x:v>
      </x:c>
      <x:c r="S42" s="68" t="str">
        <x:v>局部收益与破格冲突按M18-GEN-0005-V1.0、M18-PATTERN-0017-V1.0和M18-MED-0043-V1.0裁决。</x:v>
      </x:c>
      <x:c r="T42" s="68" t="str">
        <x:v>财星重克关键印星，构成一般至严重破格；印尚有余根，未到根本破格。</x:v>
      </x:c>
      <x:c r="U42" s="68" t="str">
        <x:v>破格等级须对应实际功能损伤。</x:v>
      </x:c>
      <x:c r="V42" s="82" t="str">
        <x:v>采用</x:v>
      </x:c>
      <x:c r="W42" s="82" t="str">
        <x:v>初审</x:v>
      </x:c>
      <x:c r="X42" s="87" t="n">
        <x:v>46260</x:v>
      </x:c>
    </x:row>
    <x:row r="43">
      <x:c r="A43" s="72" t="str">
        <x:f>IF(OR(C43="",D43=""),"",B43&amp;"-"&amp;UPPER(C43)&amp;"-"&amp;TEXT(D43,"0000")&amp;"-"&amp;E43)</x:f>
        <x:v>M19-PATTERN-0037-V1.0</x:v>
      </x:c>
      <x:c r="B43" s="74" t="str">
        <x:v>M19</x:v>
      </x:c>
      <x:c r="C43" s="74" t="str">
        <x:v>PATTERN</x:v>
      </x:c>
      <x:c r="D43" s="215" t="n">
        <x:v>37</x:v>
      </x:c>
      <x:c r="E43" s="74" t="str">
        <x:v>V1.0</x:v>
      </x:c>
      <x:c r="F43" s="68" t="str">
        <x:v>格局成败</x:v>
      </x:c>
      <x:c r="G43" s="98" t="n">
        <x:v>10</x:v>
      </x:c>
      <x:c r="H43" s="68" t="str">
        <x:v>救应、有效性与替代候选说明</x:v>
      </x:c>
      <x:c r="I43" s="68" t="str">
        <x:v>记录救应力量、直接修复对象、有效程度，并解释为何其他候选未成为最终格局。</x:v>
      </x:c>
      <x:c r="J43" s="68" t="str">
        <x:v>M15/M18</x:v>
      </x:c>
      <x:c r="K43" s="68" t="str">
        <x:v>救应因素；救应有效性；被降级候选；替代结构；M18-PATTERN/MED</x:v>
      </x:c>
      <x:c r="L43" s="82" t="str">
        <x:v>必填</x:v>
      </x:c>
      <x:c r="M43" s="82" t="str">
        <x:v>三层通用</x:v>
      </x:c>
      <x:c r="N43" s="82" t="str">
        <x:v>长文本</x:v>
      </x:c>
      <x:c r="O43" s="68" t="str">
        <x:v>救应｜修复对象｜有效性｜副作用｜为何非其他格</x:v>
      </x:c>
      <x:c r="P43" s="68" t="str">
        <x:v>救应：【…】；对象：【…】；有效性：【…】；剩余破损：【…】；替代候选未采用因：【…】。</x:v>
      </x:c>
      <x:c r="Q43" s="68" t="str">
        <x:v>命局里有【…】作为救应，它能够修复【…】，有效程度为【…】。因此格局并非完全失效；没有定为【其他格】的原因是【…】。</x:v>
      </x:c>
      <x:c r="R43" s="68" t="str">
        <x:v>无救应时写“未见能直接修复该破格的有效救应”。</x:v>
      </x:c>
      <x:c r="S43" s="68" t="str">
        <x:v>救应与副作用按M18-PATTERN-0019-V1.0、M18-MED-0043-V1.0和M18-DOSE-0064-V1.0裁决。</x:v>
      </x:c>
      <x:c r="T43" s="68" t="str">
        <x:v>比劫制财可部分护印，属于明显有效救应；但比劫过强可能再伤财。</x:v>
      </x:c>
      <x:c r="U43" s="68" t="str">
        <x:v>有破有救不能改写成原局天然无破。</x:v>
      </x:c>
      <x:c r="V43" s="82" t="str">
        <x:v>采用</x:v>
      </x:c>
      <x:c r="W43" s="82" t="str">
        <x:v>初审</x:v>
      </x:c>
      <x:c r="X43" s="87" t="n">
        <x:v>46260</x:v>
      </x:c>
    </x:row>
    <x:row r="44">
      <x:c r="A44" s="72" t="str">
        <x:f>IF(OR(C44="",D44=""),"",B44&amp;"-"&amp;UPPER(C44)&amp;"-"&amp;TEXT(D44,"0000")&amp;"-"&amp;E44)</x:f>
        <x:v>M19-MED-0038-V1.0</x:v>
      </x:c>
      <x:c r="B44" s="74" t="str">
        <x:v>M19</x:v>
      </x:c>
      <x:c r="C44" s="74" t="str">
        <x:v>MED</x:v>
      </x:c>
      <x:c r="D44" s="215" t="n">
        <x:v>38</x:v>
      </x:c>
      <x:c r="E44" s="74" t="str">
        <x:v>V1.0</x:v>
      </x:c>
      <x:c r="F44" s="68" t="str">
        <x:v>病药模型</x:v>
      </x:c>
      <x:c r="G44" s="98" t="n">
        <x:v>11</x:v>
      </x:c>
      <x:c r="H44" s="68" t="str">
        <x:v>根本主病</x:v>
      </x:c>
      <x:c r="I44" s="68" t="str">
        <x:v>输出一个能够解释最多跨模块问题的根本病位、病性、根因、表层表现和严重度。</x:v>
      </x:c>
      <x:c r="J44" s="68" t="str">
        <x:v>M16</x:v>
      </x:c>
      <x:c r="K44" s="68" t="str">
        <x:v>根本主病；病位；病性；根本原因；表层表现；严重程度</x:v>
      </x:c>
      <x:c r="L44" s="82" t="str">
        <x:v>必填</x:v>
      </x:c>
      <x:c r="M44" s="82" t="str">
        <x:v>三层通用</x:v>
      </x:c>
      <x:c r="N44" s="82" t="str">
        <x:v>长文本</x:v>
      </x:c>
      <x:c r="O44" s="68" t="str">
        <x:v>病类｜病位｜根因｜表象｜严重度</x:v>
      </x:c>
      <x:c r="P44" s="68" t="str">
        <x:v>主病：【病类】；病位：【…】；病性：【…】；根因：【…】；表象：【…】；严重度：【…】。</x:v>
      </x:c>
      <x:c r="Q44" s="68" t="str">
        <x:v>命局最核心的问题并不是简单的“【某五行旺/弱】”，而是【根本原因】。它发生在【病位】，表面表现为【…】，严重度为【…】。</x:v>
      </x:c>
      <x:c r="R44" s="68" t="str">
        <x:v>无结构性主病时写“未发现需要立为根本病的功能障碍”。</x:v>
      </x:c>
      <x:c r="S44" s="68" t="str">
        <x:v>根本病与表层病按M18-GEN-0003-V1.0、M18-MED-0041-V1.0与M18-MED-0050-V1.0裁决。</x:v>
      </x:c>
      <x:c r="T44" s="68" t="str">
        <x:v>根本病为财坏印：印星桥梁受损，使杀印相生和日主承载同时下降。</x:v>
      </x:c>
      <x:c r="U44" s="68" t="str">
        <x:v>“病”仅为命理结构概念，不是医学诊断。</x:v>
      </x:c>
      <x:c r="V44" s="82" t="str">
        <x:v>采用</x:v>
      </x:c>
      <x:c r="W44" s="82" t="str">
        <x:v>初审</x:v>
      </x:c>
      <x:c r="X44" s="87" t="n">
        <x:v>46260</x:v>
      </x:c>
    </x:row>
    <x:row r="45">
      <x:c r="A45" s="72" t="str">
        <x:f>IF(OR(C45="",D45=""),"",B45&amp;"-"&amp;UPPER(C45)&amp;"-"&amp;TEXT(D45,"0000")&amp;"-"&amp;E45)</x:f>
        <x:v>M19-MED-0039-V1.0</x:v>
      </x:c>
      <x:c r="B45" s="74" t="str">
        <x:v>M19</x:v>
      </x:c>
      <x:c r="C45" s="74" t="str">
        <x:v>MED</x:v>
      </x:c>
      <x:c r="D45" s="215" t="n">
        <x:v>39</x:v>
      </x:c>
      <x:c r="E45" s="74" t="str">
        <x:v>V1.0</x:v>
      </x:c>
      <x:c r="F45" s="68" t="str">
        <x:v>病药模型</x:v>
      </x:c>
      <x:c r="G45" s="98" t="n">
        <x:v>11</x:v>
      </x:c>
      <x:c r="H45" s="68" t="str">
        <x:v>次级病及其与主病的关系</x:v>
      </x:c>
      <x:c r="I45" s="68" t="str">
        <x:v>输出1—3个次级病，并说明是由主病引发、独立存在还是主病修复后才会显现。</x:v>
      </x:c>
      <x:c r="J45" s="68" t="str">
        <x:v>M16</x:v>
      </x:c>
      <x:c r="K45" s="68" t="str">
        <x:v>次级病；病位主次；表层病降级；复合病</x:v>
      </x:c>
      <x:c r="L45" s="82" t="str">
        <x:v>必填</x:v>
      </x:c>
      <x:c r="M45" s="82" t="str">
        <x:v>分析师输出</x:v>
      </x:c>
      <x:c r="N45" s="82" t="str">
        <x:v>多值标签</x:v>
      </x:c>
      <x:c r="O45" s="68" t="str">
        <x:v>次病｜严重度｜与主病关系｜是否独立用药</x:v>
      </x:c>
      <x:c r="P45" s="68" t="str">
        <x:v>次病①【…】；严重度【…】；与主病关系【因果/并列/下游】；是否需独立药【…】。</x:v>
      </x:c>
      <x:c r="Q45" s="68" t="str">
        <x:v>次要问题还有【…】。它与主问题的关系是【由主病引发/相对独立】，所以处理顺序应当是【…】。</x:v>
      </x:c>
      <x:c r="R45" s="68" t="str">
        <x:v>无次级病时写“无独立次级病”。</x:v>
      </x:c>
      <x:c r="S45" s="68" t="str">
        <x:v>主病与次病冲突按M18-MED-0047-V1.0，表层病自动降级不重复计权。</x:v>
      </x:c>
      <x:c r="T45" s="68" t="str">
        <x:v>次病为日主中和偏弱，主要由印星受损引发，主病修复后需重新评估。</x:v>
      </x:c>
      <x:c r="U45" s="68" t="str">
        <x:v>原则上不超过3个次病。</x:v>
      </x:c>
      <x:c r="V45" s="82" t="str">
        <x:v>采用</x:v>
      </x:c>
      <x:c r="W45" s="82" t="str">
        <x:v>初审</x:v>
      </x:c>
      <x:c r="X45" s="87" t="n">
        <x:v>46260</x:v>
      </x:c>
    </x:row>
    <x:row r="46">
      <x:c r="A46" s="72" t="str">
        <x:f>IF(OR(C46="",D46=""),"",B46&amp;"-"&amp;UPPER(C46)&amp;"-"&amp;TEXT(D46,"0000")&amp;"-"&amp;E46)</x:f>
        <x:v>M19-MED-0040-V1.0</x:v>
      </x:c>
      <x:c r="B46" s="74" t="str">
        <x:v>M19</x:v>
      </x:c>
      <x:c r="C46" s="74" t="str">
        <x:v>MED</x:v>
      </x:c>
      <x:c r="D46" s="215" t="n">
        <x:v>40</x:v>
      </x:c>
      <x:c r="E46" s="74" t="str">
        <x:v>V1.0</x:v>
      </x:c>
      <x:c r="F46" s="68" t="str">
        <x:v>病药模型</x:v>
      </x:c>
      <x:c r="G46" s="98" t="n">
        <x:v>11</x:v>
      </x:c>
      <x:c r="H46" s="68" t="str">
        <x:v>主药、辅助药与药理</x:v>
      </x:c>
      <x:c r="I46" s="68" t="str">
        <x:v>输出直接修复根本病的主药、服务主药或次病的辅助药、作用路径和主辅顺位。</x:v>
      </x:c>
      <x:c r="J46" s="68" t="str">
        <x:v>M16/M17/M18</x:v>
      </x:c>
      <x:c r="K46" s="68" t="str">
        <x:v>主药；辅助药；药理；作用对象；M17定位；M18主药路线</x:v>
      </x:c>
      <x:c r="L46" s="82" t="str">
        <x:v>必填</x:v>
      </x:c>
      <x:c r="M46" s="82" t="str">
        <x:v>三层通用</x:v>
      </x:c>
      <x:c r="N46" s="82" t="str">
        <x:v>长文本</x:v>
      </x:c>
      <x:c r="O46" s="68" t="str">
        <x:v>主药｜药理｜对象｜辅助药｜主辅关系</x:v>
      </x:c>
      <x:c r="P46" s="68" t="str">
        <x:v>主药：【五行/十神】；药理：【…】；病位路径：【…】；辅助药：【…】；辅助机制：【…】；M17定位：【…】。</x:v>
      </x:c>
      <x:c r="Q46" s="68" t="str">
        <x:v>对应的主要修复方向是【…】，它通过【药理】直接作用于【病位】；【…】作为辅助，负责【保护主药/补桥/承载】。</x:v>
      </x:c>
      <x:c r="R46" s="68" t="str">
        <x:v>无病位时写“无须设置病药主药”；多个主药接近时列主候选与替代候选。</x:v>
      </x:c>
      <x:c r="S46" s="68" t="str">
        <x:v>按M18-MED-0041-V1.0—M18-MED-0048-V1.0、M18-ROUTE-0051-V1.0—M18-ROUTE-0060-V1.0和M18-RANK-0069-V1.0、M18-RANK-0070-V1.0裁决。</x:v>
      </x:c>
      <x:c r="T46" s="68" t="str">
        <x:v>主药为印星，药理是化杀生身；比劫为辅助，用于制财护印。</x:v>
      </x:c>
      <x:c r="U46" s="68" t="str">
        <x:v>用户版可用“修复方向”替代过多“药”字。</x:v>
      </x:c>
      <x:c r="V46" s="82" t="str">
        <x:v>采用</x:v>
      </x:c>
      <x:c r="W46" s="82" t="str">
        <x:v>初审</x:v>
      </x:c>
      <x:c r="X46" s="87" t="n">
        <x:v>46260</x:v>
      </x:c>
    </x:row>
    <x:row r="47">
      <x:c r="A47" s="72" t="str">
        <x:f>IF(OR(C47="",D47=""),"",B47&amp;"-"&amp;UPPER(C47)&amp;"-"&amp;TEXT(D47,"0000")&amp;"-"&amp;E47)</x:f>
        <x:v>M19-MED-0041-V1.0</x:v>
      </x:c>
      <x:c r="B47" s="74" t="str">
        <x:v>M19</x:v>
      </x:c>
      <x:c r="C47" s="74" t="str">
        <x:v>MED</x:v>
      </x:c>
      <x:c r="D47" s="215" t="n">
        <x:v>41</x:v>
      </x:c>
      <x:c r="E47" s="74" t="str">
        <x:v>V1.0</x:v>
      </x:c>
      <x:c r="F47" s="68" t="str">
        <x:v>病药模型</x:v>
      </x:c>
      <x:c r="G47" s="98" t="n">
        <x:v>11</x:v>
      </x:c>
      <x:c r="H47" s="68" t="str">
        <x:v>药力不足、过量、伤格与新病风险</x:v>
      </x:c>
      <x:c r="I47" s="68" t="str">
        <x:v>记录主辅药的有效性、药力不足后果、过量转性、是否伤格及可能产生的新病。</x:v>
      </x:c>
      <x:c r="J47" s="68" t="str">
        <x:v>M16/M18</x:v>
      </x:c>
      <x:c r="K47" s="68" t="str">
        <x:v>药神有效性；药力不足；药力过度；是否伤害格局；新病类型；剂量裁决</x:v>
      </x:c>
      <x:c r="L47" s="82" t="str">
        <x:v>必填</x:v>
      </x:c>
      <x:c r="M47" s="82" t="str">
        <x:v>三层通用</x:v>
      </x:c>
      <x:c r="N47" s="82" t="str">
        <x:v>长文本</x:v>
      </x:c>
      <x:c r="O47" s="68" t="str">
        <x:v>风险项｜触发条件｜后果｜控制方式</x:v>
      </x:c>
      <x:c r="P47" s="68" t="str">
        <x:v>药力不足：【…】；过量后果：【…】；伤格风险：【…】；新病：【…】；安全边界：【…】。</x:v>
      </x:c>
      <x:c r="Q47" s="68" t="str">
        <x:v>需要注意的是，【主药】并不是越多越好。力量不足时【…】；过强时可能【…】。因此有利条件是【…】，转为不利的条件是【…】。</x:v>
      </x:c>
      <x:c r="R47" s="68" t="str">
        <x:v>风险较低也写“未见重大药害，但仍需遵守有效强度边界”。</x:v>
      </x:c>
      <x:c r="S47" s="68" t="str">
        <x:v>按M18-DOSE-0061-V1.0—M18-DOSE-0068-V1.0和M18-MED-0044-V1.0裁决；更严重药害直接否决。</x:v>
      </x:c>
      <x:c r="T47" s="68" t="str">
        <x:v>印星不足则化杀不及；印过强会枭夺食、印多身滞。</x:v>
      </x:c>
      <x:c r="U47" s="68" t="str">
        <x:v>这是条件性喜神和条件性忌神的重要来源。</x:v>
      </x:c>
      <x:c r="V47" s="82" t="str">
        <x:v>采用</x:v>
      </x:c>
      <x:c r="W47" s="82" t="str">
        <x:v>初审</x:v>
      </x:c>
      <x:c r="X47" s="87" t="n">
        <x:v>46260</x:v>
      </x:c>
    </x:row>
    <x:row r="48">
      <x:c r="A48" s="72" t="str">
        <x:f>IF(OR(C48="",D48=""),"",B48&amp;"-"&amp;UPPER(C48)&amp;"-"&amp;TEXT(D48,"0000")&amp;"-"&amp;E48)</x:f>
        <x:v>M19-USE-0042-V1.0</x:v>
      </x:c>
      <x:c r="B48" s="74" t="str">
        <x:v>M19</x:v>
      </x:c>
      <x:c r="C48" s="74" t="str">
        <x:v>USE</x:v>
      </x:c>
      <x:c r="D48" s="215" t="n">
        <x:v>42</x:v>
      </x:c>
      <x:c r="E48" s="74" t="str">
        <x:v>V1.0</x:v>
      </x:c>
      <x:c r="F48" s="68" t="str">
        <x:v>喜忌用神与综合结论</x:v>
      </x:c>
      <x:c r="G48" s="98" t="n">
        <x:v>12</x:v>
      </x:c>
      <x:c r="H48" s="68" t="str">
        <x:v>木火土金水五维用神矩阵</x:v>
      </x:c>
      <x:c r="I48" s="68" t="str">
        <x:v>按扶抑、格局、通关、调候、病药五维记录五行收益、副作用、条件和M18裁决。</x:v>
      </x:c>
      <x:c r="J48" s="68" t="str">
        <x:v>M17/M18</x:v>
      </x:c>
      <x:c r="K48" s="68" t="str">
        <x:v>M17五行矩阵；综合定位；冲突Rule_ID；M18裁决结果</x:v>
      </x:c>
      <x:c r="L48" s="82" t="str">
        <x:v>必填</x:v>
      </x:c>
      <x:c r="M48" s="82" t="str">
        <x:v>分析师输出</x:v>
      </x:c>
      <x:c r="N48" s="82" t="str">
        <x:v>多值标签</x:v>
      </x:c>
      <x:c r="O48" s="68" t="str">
        <x:v>五行｜扶抑｜格局｜通关｜调候｜病药｜副作用｜定位</x:v>
      </x:c>
      <x:c r="P48" s="68" t="str">
        <x:v>木：【五维作用/收益/副作用/定位】；火：【…】；土：【…】；金：【…】；水：【…】。</x:v>
      </x:c>
      <x:c r="Q48" s="68" t="str">
        <x:v>综合五个维度来看：木【…】、火【…】、土【…】、金【…】、水【…】。这里的定位来自整体作用，不是简单看哪一行多或少。</x:v>
      </x:c>
      <x:c r="R48" s="68" t="str">
        <x:v>五行必须全部输出；证据不足者标待定，不得遗漏。</x:v>
      </x:c>
      <x:c r="S48" s="68" t="str">
        <x:v>调用M17对应冲突Rule_ID与M18-RANK-0069-V1.0—M18-RANK-0076-V1.0完成最终定位。</x:v>
      </x:c>
      <x:c r="T48" s="68" t="str">
        <x:v>木条件性喜；火主用候选；土中性；金忌；水辅助用候选。</x:v>
      </x:c>
      <x:c r="U48" s="68" t="str">
        <x:v>这是全库最终五行价值总表。</x:v>
      </x:c>
      <x:c r="V48" s="82" t="str">
        <x:v>采用</x:v>
      </x:c>
      <x:c r="W48" s="82" t="str">
        <x:v>初审</x:v>
      </x:c>
      <x:c r="X48" s="87" t="n">
        <x:v>46260</x:v>
      </x:c>
    </x:row>
    <x:row r="49">
      <x:c r="A49" s="72" t="str">
        <x:f>IF(OR(C49="",D49=""),"",B49&amp;"-"&amp;UPPER(C49)&amp;"-"&amp;TEXT(D49,"0000")&amp;"-"&amp;E49)</x:f>
        <x:v>M19-USE-0043-V1.0</x:v>
      </x:c>
      <x:c r="B49" s="74" t="str">
        <x:v>M19</x:v>
      </x:c>
      <x:c r="C49" s="74" t="str">
        <x:v>USE</x:v>
      </x:c>
      <x:c r="D49" s="215" t="n">
        <x:v>43</x:v>
      </x:c>
      <x:c r="E49" s="74" t="str">
        <x:v>V1.0</x:v>
      </x:c>
      <x:c r="F49" s="68" t="str">
        <x:v>喜忌用神与综合结论</x:v>
      </x:c>
      <x:c r="G49" s="98" t="n">
        <x:v>12</x:v>
      </x:c>
      <x:c r="H49" s="68" t="str">
        <x:v>主用神与辅助用神</x:v>
      </x:c>
      <x:c r="I49" s="68" t="str">
        <x:v>输出经过M18无硬否决审查后的主用神、辅助用神、解决对象、主次顺位和成立条件。</x:v>
      </x:c>
      <x:c r="J49" s="68" t="str">
        <x:v>M17/M18</x:v>
      </x:c>
      <x:c r="K49" s="68" t="str">
        <x:v>主用神；辅助用神；第一/第二顺位；成立条件；替代方案；M18-RANK-0069-V1.0、M18-RANK-0070-V1.0</x:v>
      </x:c>
      <x:c r="L49" s="82" t="str">
        <x:v>必填</x:v>
      </x:c>
      <x:c r="M49" s="82" t="str">
        <x:v>三层通用</x:v>
      </x:c>
      <x:c r="N49" s="82" t="str">
        <x:v>长文本</x:v>
      </x:c>
      <x:c r="O49" s="68" t="str">
        <x:v>主用｜解决问题｜路径｜条件｜辅助｜辅助机制</x:v>
      </x:c>
      <x:c r="P49" s="68" t="str">
        <x:v>主用：【…】；解决【…】；路径【…】；第一顺位依据【…】；辅助【…】；辅助机制【…】；硬否决审查【通过/未通过】。</x:v>
      </x:c>
      <x:c r="Q49" s="68" t="str">
        <x:v>综合裁决后，主用方向是【…】，它最直接解决【…】；辅助方向是【…】，主要负责【…】。主用成立的前提是【…】。</x:v>
      </x:c>
      <x:c r="R49" s="68" t="str">
        <x:v>无单一主用时写“主用候选并列”，列条件和置信度；不得强行唯一化。</x:v>
      </x:c>
      <x:c r="S49" s="68" t="str">
        <x:v>严格按M18-RANK-0069-V1.0、M18-RANK-0070-V1.0；证据接近转M18-GEN-0008-V1.0。</x:v>
      </x:c>
      <x:c r="T49" s="68" t="str">
        <x:v>主用火：暖局并解除寒凝；辅助木：生火并疏湿。</x:v>
      </x:c>
      <x:c r="U49" s="68" t="str">
        <x:v>主用必须说明不可替代性，辅助必须说明服务对象。</x:v>
      </x:c>
      <x:c r="V49" s="82" t="str">
        <x:v>采用</x:v>
      </x:c>
      <x:c r="W49" s="82" t="str">
        <x:v>初审</x:v>
      </x:c>
      <x:c r="X49" s="87" t="n">
        <x:v>46260</x:v>
      </x:c>
    </x:row>
    <x:row r="50">
      <x:c r="A50" s="72" t="str">
        <x:f>IF(OR(C50="",D50=""),"",B50&amp;"-"&amp;UPPER(C50)&amp;"-"&amp;TEXT(D50,"0000")&amp;"-"&amp;E50)</x:f>
        <x:v>M19-USE-0044-V1.0</x:v>
      </x:c>
      <x:c r="B50" s="74" t="str">
        <x:v>M19</x:v>
      </x:c>
      <x:c r="C50" s="74" t="str">
        <x:v>USE</x:v>
      </x:c>
      <x:c r="D50" s="215" t="n">
        <x:v>44</x:v>
      </x:c>
      <x:c r="E50" s="74" t="str">
        <x:v>V1.0</x:v>
      </x:c>
      <x:c r="F50" s="68" t="str">
        <x:v>喜忌用神与综合结论</x:v>
      </x:c>
      <x:c r="G50" s="98" t="n">
        <x:v>12</x:v>
      </x:c>
      <x:c r="H50" s="68" t="str">
        <x:v>喜神、条件性喜神、中性、忌神与仇神</x:v>
      </x:c>
      <x:c r="I50" s="68" t="str">
        <x:v>完整输出除主辅用神外的五行定位、转性条件、伤害对象及间接有害链。</x:v>
      </x:c>
      <x:c r="J50" s="68" t="str">
        <x:v>M17/M18</x:v>
      </x:c>
      <x:c r="K50" s="68" t="str">
        <x:v>喜神；条件性喜神；中性；条件性忌神；忌神；仇神；M18-RANK-0071-V1.0—M18-RANK-0076-V1.0</x:v>
      </x:c>
      <x:c r="L50" s="82" t="str">
        <x:v>必填</x:v>
      </x:c>
      <x:c r="M50" s="82" t="str">
        <x:v>三层通用</x:v>
      </x:c>
      <x:c r="N50" s="82" t="str">
        <x:v>多值标签</x:v>
      </x:c>
      <x:c r="O50" s="68" t="str">
        <x:v>定位类别｜五行｜作用｜条件/伤害链</x:v>
      </x:c>
      <x:c r="P50" s="68" t="str">
        <x:v>喜神：【…】；条件喜：【…/条件】；中性：【…】；条件忌：【…/触发】；忌神：【…/伤害对象】；仇神：【…/助忌伤用链】。</x:v>
      </x:c>
      <x:c r="Q50" s="68" t="str">
        <x:v>喜神为【…】；【…】只有在【条件】下有利；【…】整体中性；忌神为【…】，主要会加重【…】；【…】会生助忌神或削弱主用，因此列为仇神。</x:v>
      </x:c>
      <x:c r="R50" s="68" t="str">
        <x:v>某类别无对应五行时写“无”，不得为了凑齐类别强行指定。</x:v>
      </x:c>
      <x:c r="S50" s="68" t="str">
        <x:v>按M18-RANK-0071-V1.0—M18-RANK-0076-V1.0；条件切换必须写清触发和转忌边界。</x:v>
      </x:c>
      <x:c r="T50" s="68" t="str">
        <x:v>喜神木；条件喜水；土中性；金忌；生金的土在特定结构下为条件性仇神。</x:v>
      </x:c>
      <x:c r="U50" s="68" t="str">
        <x:v>仇神必须有明确间接有害链，不可随意扩大。</x:v>
      </x:c>
      <x:c r="V50" s="82" t="str">
        <x:v>采用</x:v>
      </x:c>
      <x:c r="W50" s="82" t="str">
        <x:v>初审</x:v>
      </x:c>
      <x:c r="X50" s="87" t="n">
        <x:v>46260</x:v>
      </x:c>
    </x:row>
    <x:row r="51">
      <x:c r="A51" s="72" t="str">
        <x:f>IF(OR(C51="",D51=""),"",B51&amp;"-"&amp;UPPER(C51)&amp;"-"&amp;TEXT(D51,"0000")&amp;"-"&amp;E51)</x:f>
        <x:v>M19-USE-0045-V1.0</x:v>
      </x:c>
      <x:c r="B51" s="74" t="str">
        <x:v>M19</x:v>
      </x:c>
      <x:c r="C51" s="74" t="str">
        <x:v>USE</x:v>
      </x:c>
      <x:c r="D51" s="215" t="n">
        <x:v>45</x:v>
      </x:c>
      <x:c r="E51" s="74" t="str">
        <x:v>V1.0</x:v>
      </x:c>
      <x:c r="F51" s="68" t="str">
        <x:v>喜忌用神与综合结论</x:v>
      </x:c>
      <x:c r="G51" s="98" t="n">
        <x:v>12</x:v>
      </x:c>
      <x:c r="H51" s="68" t="str">
        <x:v>最终结构摘要、条件边界与下游接口</x:v>
      </x:c>
      <x:c r="I51" s="68" t="str">
        <x:v>用5—8句总结原局主势、日主、主组合、流通、调候、格局、病药和用神，并输出供上层模型调用的结构化标签。</x:v>
      </x:c>
      <x:c r="J51" s="68" t="str">
        <x:v>M02-M18</x:v>
      </x:c>
      <x:c r="K51" s="68" t="str">
        <x:v>M18-BOUND-0077-V1.0；M17-BOUND-0100-V1.0；各模块最终结论</x:v>
      </x:c>
      <x:c r="L51" s="82" t="str">
        <x:v>必填</x:v>
      </x:c>
      <x:c r="M51" s="82" t="str">
        <x:v>三层通用</x:v>
      </x:c>
      <x:c r="N51" s="82" t="str">
        <x:v>长文本</x:v>
      </x:c>
      <x:c r="O51" s="68" t="str">
        <x:v>用户摘要＋内部标签清单/JSON键值</x:v>
      </x:c>
      <x:c r="P51" s="68" t="str">
        <x:v>摘要：【主势】；【日主等级】；【主组合/路径】；【主卡点】；【调候】；【最终格局】；【根本病药】；【主辅喜忌】。下游标签：【…】。</x:v>
      </x:c>
      <x:c r="Q51" s="68" t="str">
        <x:v>整体来看，这个命局的主线是【…】。日主处于【…】，主要通过【…】运行；最大的卡点是【…】。格局以【…】为主，根本需要解决的是【…】。因此主用为【…】，辅助为【…】；需要避免【…】。这些结论只适用于原局静态结构，具体岁运和主题问题需另行分析。</x:v>
      </x:c>
      <x:c r="R51" s="68" t="str">
        <x:v>必须输出；任何待定项以条件句呈现，不得隐去不确定性。</x:v>
      </x:c>
      <x:c r="S51" s="68" t="str">
        <x:v>最终摘要必须引用M18-BOUND-0077-V1.0的裁决链；不确定项按M18-BOUND-0080-V1.0治理。</x:v>
      </x:c>
      <x:c r="T51" s="68" t="str">
        <x:v>主线为杀印相生但印受财制；日主中和偏弱；主病为财坏印；主用比劫制财，辅助印星；火为条件喜，金为忌。</x:v>
      </x:c>
      <x:c r="U51" s="68" t="str">
        <x:v>下游标签用于婚恋、事业、财富、健康与D0岁运模型，不直接包含事件断语。</x:v>
      </x:c>
      <x:c r="V51" s="82" t="str">
        <x:v>采用</x:v>
      </x:c>
      <x:c r="W51" s="82" t="str">
        <x:v>初审</x:v>
      </x:c>
      <x:c r="X51" s="87" t="n">
        <x:v>46260</x:v>
      </x:c>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13">
    <x:dataValidation type="list" sqref="E6:E105">
      <x:formula1>'99_下拉选项'!$BG$4:$BG$12</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 type="list" sqref="E6:E130">
      <x:formula1>'99_下拉选项'!$BG$4:$BG$14</x:formula1>
    </x:dataValidation>
    <x:dataValidation type="list" sqref="E7:E105">
      <x:formula1>'99_下拉选项'!$BG$4:$BG$22</x:formula1>
    </x:dataValidation>
    <x:dataValidation type="list" sqref="L7:L51">
      <x:formula1>'99_下拉选项'!$AT$4:$AT$7</x:formula1>
    </x:dataValidation>
    <x:dataValidation type="list" sqref="M7:M51">
      <x:formula1>'99_下拉选项'!$AU$4:$AU$7</x:formula1>
    </x:dataValidation>
    <x:dataValidation type="list" sqref="N7:N51">
      <x:formula1>'99_下拉选项'!$AV$4:$AV$12</x:formula1>
    </x:dataValidation>
    <x:dataValidation type="list" sqref="V7:V51">
      <x:formula1>'99_下拉选项'!$S$4:$S$9</x:formula1>
    </x:dataValidation>
    <x:dataValidation type="list" sqref="W7:W51">
      <x:formula1>'99_下拉选项'!$T$4:$T$8</x:formula1>
    </x:dataValidation>
  </x:dataValidations>
  <x:pageMargins left="0.7" right="0.7" top="0.75" bottom="0.75" header="0.3" footer="0.3"/>
  <x:tableParts count="1">
    <x:tablePart xmlns:r="http://schemas.openxmlformats.org/officeDocument/2006/relationships" r:id="R4688479ef3274d32"/>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 min="31" max="31" width="14" hidden="0" customWidth="1"/>
    <x:col min="32" max="32" width="10" hidden="0" customWidth="1"/>
    <x:col min="33" max="33" width="10" hidden="0" customWidth="1"/>
    <x:col min="34" max="34" width="14" hidden="0" customWidth="1"/>
    <x:col min="35" max="35" width="10" hidden="0" customWidth="1"/>
    <x:col min="36" max="36" width="3" hidden="0" customWidth="1"/>
    <x:col min="37" max="37" width="14" hidden="0" customWidth="1"/>
    <x:col min="38" max="38" width="10" hidden="0" customWidth="1"/>
    <x:col min="39" max="39" width="3" hidden="0" customWidth="1"/>
  </x:cols>
  <x:sheetData>
    <x:row r="1" ht="24"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E1" s="221" t="str">
        <x:v>M20｜测试覆盖与执行摘要</x:v>
      </x:c>
      <x:c r="AF1" s="221"/>
      <x:c r="AG1" s="221"/>
      <x:c r="AH1" s="221"/>
      <x:c r="AI1" s="221"/>
      <x:c r="AJ1" s="221"/>
      <x:c r="AK1" s="221"/>
      <x:c r="AL1" s="221"/>
      <x:c r="AM1" s="221"/>
    </x:row>
    <x:row r="2" ht="36" customHeight="1">
      <x:c r="A2" s="39" t="str">
        <x:v>保存150个合成规则测试：正例、反例、边界、回归、争议与综合案例。每条测试均保留输入事实、识别、效应、结构、综合结果、差异、根因和修订建议；合成命例不替代真实命例外部验证。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E3" s="225" t="str">
        <x:v>总案例数</x:v>
      </x:c>
      <x:c r="AF3" s="229" t="n">
        <x:f>COUNTA($A$7:$A$156)</x:f>
        <x:v>150</x:v>
      </x:c>
      <x:c r="AH3" s="225" t="str">
        <x:v>已测试</x:v>
      </x:c>
      <x:c r="AI3" s="229" t="n">
        <x:f>COUNTIF($T$7:$T$156,"&lt;&gt;未测试")</x:f>
        <x:v>150</x:v>
      </x:c>
      <x:c r="AK3" s="225" t="str">
        <x:v>通过</x:v>
      </x:c>
      <x:c r="AL3" s="229" t="n">
        <x:f>COUNTIF($T$7:$T$156,"通过")</x:f>
        <x:v>144</x:v>
      </x:c>
    </x:row>
    <x:row r="4" ht="34" customHeight="1">
      <x:c r="A4" s="54" t="str">
        <x:v>填写约束：一行一个测试场景；必须写目标Rule_ID和中间预期，不得只保存最终喜忌。测试类型、实际结果、差异、根因、修订建议和复测状态均需可追溯。</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E4" s="225" t="str">
        <x:v>部分通过</x:v>
      </x:c>
      <x:c r="AF4" s="229" t="n">
        <x:f>COUNTIF($T$7:$T$156,"部分通过")</x:f>
        <x:v>4</x:v>
      </x:c>
      <x:c r="AH4" s="225" t="str">
        <x:v>未通过</x:v>
      </x:c>
      <x:c r="AI4" s="229" t="n">
        <x:f>COUNTIF($T$7:$T$156,"未通过")</x:f>
        <x:v>0</x:v>
      </x:c>
      <x:c r="AK4" s="225" t="str">
        <x:v>待复核</x:v>
      </x:c>
      <x:c r="AL4" s="229" t="n">
        <x:f>COUNTIF($T$7:$T$156,"待复核")</x:f>
        <x:v>2</x:v>
      </x:c>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c r="AE5" s="225" t="str">
        <x:v>通过率</x:v>
      </x:c>
      <x:c r="AF5" s="231" t="n">
        <x:f>IF(SUM($AL$3,$AF$4,$AI$4)=0,0,$AL$3/SUM($AL$3,$AF$4,$AI$4))</x:f>
        <x:v>0.972972972972973</x:v>
      </x:c>
      <x:c r="AH5" s="225" t="str">
        <x:v>覆盖模块</x:v>
      </x:c>
      <x:c r="AI5" s="230" t="n">
        <x:f>COUNTIF($AF$15:$AF$32,"&gt;0")</x:f>
        <x:v>18</x:v>
      </x:c>
      <x:c r="AK5" s="225" t="str">
        <x:v>目标引用行数</x:v>
      </x:c>
      <x:c r="AL5" s="229" t="n">
        <x:f>COUNTA($M$7:$M$156)</x:f>
        <x:v>150</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c r="AE6" s="225" t="str">
        <x:v>正例</x:v>
      </x:c>
      <x:c r="AF6" s="229" t="n">
        <x:f>COUNTIF($K$7:$K$156,"正例")</x:f>
        <x:v>76</x:v>
      </x:c>
      <x:c r="AH6" s="225" t="str">
        <x:v>反例</x:v>
      </x:c>
      <x:c r="AI6" s="229" t="n">
        <x:f>COUNTIF($K$7:$K$156,"反例")</x:f>
        <x:v>29</x:v>
      </x:c>
      <x:c r="AK6" s="225" t="str">
        <x:v>边界案例</x:v>
      </x:c>
      <x:c r="AL6" s="229" t="n">
        <x:f>COUNTIF($K$7:$K$156,"边界案例")</x:f>
        <x:v>25</x:v>
      </x:c>
    </x:row>
    <x:row r="7">
      <x:c r="A7" s="72" t="str">
        <x:f>IF(OR(C7="",D7=""),"",B7&amp;"-"&amp;UPPER(C7)&amp;"-"&amp;TEXT(D7,"0000")&amp;"-"&amp;E7)</x:f>
        <x:v>M20-BASE-0001-V1.0</x:v>
      </x:c>
      <x:c r="B7" s="74" t="str">
        <x:v>M20</x:v>
      </x:c>
      <x:c r="C7" s="74" t="str">
        <x:v>BASE</x:v>
      </x:c>
      <x:c r="D7" s="215" t="n">
        <x:v>1</x:v>
      </x:c>
      <x:c r="E7" s="74" t="str">
        <x:v>V1.0</x:v>
      </x:c>
      <x:c r="F7" s="68" t="str">
        <x:v>阳支与藏干阴阳必须分开</x:v>
      </x:c>
      <x:c r="G7" s="68" t="str">
        <x:v>甲子 丙寅 戊辰 庚午</x:v>
      </x:c>
      <x:c r="H7" s="82" t="str">
        <x:v>未知/不适用</x:v>
      </x:c>
      <x:c r="I7" s="68" t="str">
        <x:v>合成命例；不用于历法排盘；月令按月支与输入事实假设</x:v>
      </x:c>
      <x:c r="J7" s="68" t="str">
        <x:v>内部合成规则测试</x:v>
      </x:c>
      <x:c r="K7" s="82" t="str">
        <x:v>正例</x:v>
      </x:c>
      <x:c r="L7" s="68" t="str">
        <x:v>M02</x:v>
      </x:c>
      <x:c r="M7" s="68" t="str">
        <x:v>M02-META-0039-V1.0</x:v>
      </x:c>
      <x:c r="N7" s="68" t="str">
        <x:v>年支为子；子按地支阴阳属阳支，藏干仅癸，癸为阴水。</x:v>
      </x:c>
      <x:c r="O7" s="68" t="str">
        <x:v>识别子为阳支；癸为阴水藏干，两个维度独立记录。</x:v>
      </x:c>
      <x:c r="P7" s="68" t="str">
        <x:v>不涉及力量增减；只建立基础映射。</x:v>
      </x:c>
      <x:c r="Q7" s="68" t="str">
        <x:v>后续十神映射使用癸自身阴阳，不以子为阳支替代。</x:v>
      </x:c>
      <x:c r="R7" s="68" t="str">
        <x:v>子支阳、藏癸阴的分层识别成立。</x:v>
      </x:c>
      <x:c r="S7" s="68" t="str">
        <x:v>子支阳、藏癸阴的分层识别成立。</x:v>
      </x:c>
      <x:c r="T7" s="82" t="str">
        <x:f>IF(S7="","未测试",IF(S7=R7,"通过",IF(LEFT(S7,4)="部分符合","部分通过",IF(LEFT(S7,3)="失败","未通过","待复核"))))</x:f>
        <x:v>通过</x:v>
      </x:c>
      <x:c r="U7" s="68" t="str">
        <x:v>无；人工逐层复核结果与预期一致。</x:v>
      </x:c>
      <x:c r="V7" s="68" t="str">
        <x:v>无</x:v>
      </x:c>
      <x:c r="W7" s="68" t="str">
        <x:v>无需修改；保留为回归基线。</x:v>
      </x:c>
      <x:c r="X7" s="82" t="str">
        <x:v>未测试</x:v>
      </x:c>
      <x:c r="Y7" s="68" t="str">
        <x:v>OpenAI_M20规则回归</x:v>
      </x:c>
      <x:c r="Z7" s="68" t="str">
        <x:v>待人工复核</x:v>
      </x:c>
      <x:c r="AA7" s="87" t="n">
        <x:v>46260</x:v>
      </x:c>
      <x:c r="AB7" s="68" t="str">
        <x:v>V1.7</x:v>
      </x:c>
      <x:c r="AC7" s="68" t="str">
        <x:v>合成命例仅用于规则单元/集成测试，不替代真实命例外部验证。</x:v>
      </x:c>
      <x:c r="AE7" s="225" t="str">
        <x:v>回归测试</x:v>
      </x:c>
      <x:c r="AF7" s="230" t="n">
        <x:f>COUNTIF($K$7:$K$156,"回归测试")</x:f>
        <x:v>8</x:v>
      </x:c>
      <x:c r="AH7" s="225" t="str">
        <x:v>综合案例</x:v>
      </x:c>
      <x:c r="AI7" s="229" t="n">
        <x:f>COUNTIF($K$7:$K$156,"综合案例")</x:f>
        <x:v>10</x:v>
      </x:c>
      <x:c r="AK7" s="225" t="str">
        <x:v>争议测试</x:v>
      </x:c>
      <x:c r="AL7" s="229" t="n">
        <x:f>COUNTIF($K$7:$K$156,"争议测试")</x:f>
        <x:v>2</x:v>
      </x:c>
    </x:row>
    <x:row r="8">
      <x:c r="A8" s="72" t="str">
        <x:f>IF(OR(C8="",D8=""),"",B8&amp;"-"&amp;UPPER(C8)&amp;"-"&amp;TEXT(D8,"0000")&amp;"-"&amp;E8)</x:f>
        <x:v>M20-BASE-0002-V1.0</x:v>
      </x:c>
      <x:c r="B8" s="74" t="str">
        <x:v>M20</x:v>
      </x:c>
      <x:c r="C8" s="74" t="str">
        <x:v>BASE</x:v>
      </x:c>
      <x:c r="D8" s="215" t="n">
        <x:v>2</x:v>
      </x:c>
      <x:c r="E8" s="74" t="str">
        <x:v>V1.0</x:v>
      </x:c>
      <x:c r="F8" s="68" t="str">
        <x:v>同一庚干对甲日主映射七杀</x:v>
      </x:c>
      <x:c r="G8" s="68" t="str">
        <x:v>庚子 乙卯 甲辰 丙午</x:v>
      </x:c>
      <x:c r="H8" s="82" t="str">
        <x:v>未知/不适用</x:v>
      </x:c>
      <x:c r="I8" s="68" t="str">
        <x:v>合成命例；不用于历法排盘；月令按月支与输入事实假设</x:v>
      </x:c>
      <x:c r="J8" s="68" t="str">
        <x:v>内部合成规则测试</x:v>
      </x:c>
      <x:c r="K8" s="82" t="str">
        <x:v>正例</x:v>
      </x:c>
      <x:c r="L8" s="68" t="str">
        <x:v>M02</x:v>
      </x:c>
      <x:c r="M8" s="68" t="str">
        <x:v>M02-SS-0034-V1.0</x:v>
      </x:c>
      <x:c r="N8" s="68" t="str">
        <x:v>日主甲木；年干庚金与甲同为阳性，庚克甲。</x:v>
      </x:c>
      <x:c r="O8" s="68" t="str">
        <x:v>庚相对甲日主映射为七杀。</x:v>
      </x:c>
      <x:c r="P8" s="68" t="str">
        <x:v>七杀存在性成立；旺衰功能另转M10。</x:v>
      </x:c>
      <x:c r="Q8" s="68" t="str">
        <x:v>不得把庚固定标为正官；本例应输出七杀。</x:v>
      </x:c>
      <x:c r="R8" s="68" t="str">
        <x:v>庚对甲日主为七杀。</x:v>
      </x:c>
      <x:c r="S8" s="68" t="str">
        <x:v>庚对甲日主为七杀。</x:v>
      </x:c>
      <x:c r="T8" s="82" t="str">
        <x:f>IF(S8="","未测试",IF(S8=R8,"通过",IF(LEFT(S8,4)="部分符合","部分通过",IF(LEFT(S8,3)="失败","未通过","待复核"))))</x:f>
        <x:v>通过</x:v>
      </x:c>
      <x:c r="U8" s="68" t="str">
        <x:v>无；人工逐层复核结果与预期一致。</x:v>
      </x:c>
      <x:c r="V8" s="68" t="str">
        <x:v>无</x:v>
      </x:c>
      <x:c r="W8" s="68" t="str">
        <x:v>无需修改；保留为回归基线。</x:v>
      </x:c>
      <x:c r="X8" s="82" t="str">
        <x:v>未测试</x:v>
      </x:c>
      <x:c r="Y8" s="68" t="str">
        <x:v>OpenAI_M20规则回归</x:v>
      </x:c>
      <x:c r="Z8" s="68" t="str">
        <x:v>待人工复核</x:v>
      </x:c>
      <x:c r="AA8" s="87" t="n">
        <x:v>46260</x:v>
      </x:c>
      <x:c r="AB8" s="68" t="str">
        <x:v>V1.7</x:v>
      </x:c>
      <x:c r="AC8" s="68" t="str">
        <x:v>合成命例仅用于规则单元/集成测试，不替代真实命例外部验证。</x:v>
      </x:c>
    </x:row>
    <x:row r="9">
      <x:c r="A9" s="72" t="str">
        <x:f>IF(OR(C9="",D9=""),"",B9&amp;"-"&amp;UPPER(C9)&amp;"-"&amp;TEXT(D9,"0000")&amp;"-"&amp;E9)</x:f>
        <x:v>M20-BASE-0003-V1.0</x:v>
      </x:c>
      <x:c r="B9" s="74" t="str">
        <x:v>M20</x:v>
      </x:c>
      <x:c r="C9" s="74" t="str">
        <x:v>BASE</x:v>
      </x:c>
      <x:c r="D9" s="215" t="n">
        <x:v>3</x:v>
      </x:c>
      <x:c r="E9" s="74" t="str">
        <x:v>V1.0</x:v>
      </x:c>
      <x:c r="F9" s="68" t="str">
        <x:v>同一庚干对乙日主映射正官</x:v>
      </x:c>
      <x:c r="G9" s="68" t="str">
        <x:v>庚子 甲寅 乙辰 丙午</x:v>
      </x:c>
      <x:c r="H9" s="82" t="str">
        <x:v>未知/不适用</x:v>
      </x:c>
      <x:c r="I9" s="68" t="str">
        <x:v>合成命例；不用于历法排盘；月令按月支与输入事实假设</x:v>
      </x:c>
      <x:c r="J9" s="68" t="str">
        <x:v>内部合成规则测试</x:v>
      </x:c>
      <x:c r="K9" s="82" t="str">
        <x:v>正例</x:v>
      </x:c>
      <x:c r="L9" s="68" t="str">
        <x:v>M02</x:v>
      </x:c>
      <x:c r="M9" s="68" t="str">
        <x:v>M02-SS-0035-V1.0</x:v>
      </x:c>
      <x:c r="N9" s="68" t="str">
        <x:v>日主乙木；庚金克乙木，阴阳相异。</x:v>
      </x:c>
      <x:c r="O9" s="68" t="str">
        <x:v>庚相对乙日主映射为正官。</x:v>
      </x:c>
      <x:c r="P9" s="68" t="str">
        <x:v>正官存在性成立；力量和功能另判。</x:v>
      </x:c>
      <x:c r="Q9" s="68" t="str">
        <x:v>证明十神是相对关系，不是天干固定标签。</x:v>
      </x:c>
      <x:c r="R9" s="68" t="str">
        <x:v>庚对乙日主为正官。</x:v>
      </x:c>
      <x:c r="S9" s="68" t="str">
        <x:v>庚对乙日主为正官。</x:v>
      </x:c>
      <x:c r="T9" s="82" t="str">
        <x:f>IF(S9="","未测试",IF(S9=R9,"通过",IF(LEFT(S9,4)="部分符合","部分通过",IF(LEFT(S9,3)="失败","未通过","待复核"))))</x:f>
        <x:v>通过</x:v>
      </x:c>
      <x:c r="U9" s="68" t="str">
        <x:v>无；人工逐层复核结果与预期一致。</x:v>
      </x:c>
      <x:c r="V9" s="68" t="str">
        <x:v>无</x:v>
      </x:c>
      <x:c r="W9" s="68" t="str">
        <x:v>无需修改；保留为回归基线。</x:v>
      </x:c>
      <x:c r="X9" s="82" t="str">
        <x:v>未测试</x:v>
      </x:c>
      <x:c r="Y9" s="68" t="str">
        <x:v>OpenAI_M20规则回归</x:v>
      </x:c>
      <x:c r="Z9" s="68" t="str">
        <x:v>待人工复核</x:v>
      </x:c>
      <x:c r="AA9" s="87" t="n">
        <x:v>46260</x:v>
      </x:c>
      <x:c r="AB9" s="68" t="str">
        <x:v>V1.7</x:v>
      </x:c>
      <x:c r="AC9" s="68" t="str">
        <x:v>合成命例仅用于规则单元/集成测试，不替代真实命例外部验证。</x:v>
      </x:c>
    </x:row>
    <x:row r="10">
      <x:c r="A10" s="72" t="str">
        <x:f>IF(OR(C10="",D10=""),"",B10&amp;"-"&amp;UPPER(C10)&amp;"-"&amp;TEXT(D10,"0000")&amp;"-"&amp;E10)</x:f>
        <x:v>M20-BASE-0004-V1.0</x:v>
      </x:c>
      <x:c r="B10" s="74" t="str">
        <x:v>M20</x:v>
      </x:c>
      <x:c r="C10" s="74" t="str">
        <x:v>BASE</x:v>
      </x:c>
      <x:c r="D10" s="215" t="n">
        <x:v>4</x:v>
      </x:c>
      <x:c r="E10" s="74" t="str">
        <x:v>V1.0</x:v>
      </x:c>
      <x:c r="F10" s="68" t="str">
        <x:v>藏干存在不等于已经透干</x:v>
      </x:c>
      <x:c r="G10" s="68" t="str">
        <x:v>甲子 乙丑 丙寅 丁卯</x:v>
      </x:c>
      <x:c r="H10" s="82" t="str">
        <x:v>未知/不适用</x:v>
      </x:c>
      <x:c r="I10" s="68" t="str">
        <x:v>合成命例；不用于历法排盘；月令按月支与输入事实假设</x:v>
      </x:c>
      <x:c r="J10" s="68" t="str">
        <x:v>内部合成规则测试</x:v>
      </x:c>
      <x:c r="K10" s="82" t="str">
        <x:v>反例</x:v>
      </x:c>
      <x:c r="L10" s="68" t="str">
        <x:v>M02</x:v>
      </x:c>
      <x:c r="M10" s="68" t="str">
        <x:v>M02-META-0038-V1.0</x:v>
      </x:c>
      <x:c r="N10" s="68" t="str">
        <x:v>丑中藏己、癸、辛；四柱天干无己、癸、辛。</x:v>
      </x:c>
      <x:c r="O10" s="68" t="str">
        <x:v>三枚藏干均登记存在，但透干状态均为否。</x:v>
      </x:c>
      <x:c r="P10" s="68" t="str">
        <x:v>藏干可提供隐性根源或十神节点，不能按显性透干调用。</x:v>
      </x:c>
      <x:c r="Q10" s="68" t="str">
        <x:v>不得因丑藏辛便说辛金已经透出。</x:v>
      </x:c>
      <x:c r="R10" s="68" t="str">
        <x:v>藏干存在与透干分离；辛癸己均未透。</x:v>
      </x:c>
      <x:c r="S10" s="68" t="str">
        <x:v>藏干存在与透干分离；辛癸己均未透。</x:v>
      </x:c>
      <x:c r="T10" s="82" t="str">
        <x:f>IF(S10="","未测试",IF(S10=R10,"通过",IF(LEFT(S10,4)="部分符合","部分通过",IF(LEFT(S10,3)="失败","未通过","待复核"))))</x:f>
        <x:v>通过</x:v>
      </x:c>
      <x:c r="U10" s="68" t="str">
        <x:v>无；人工逐层复核结果与预期一致。</x:v>
      </x:c>
      <x:c r="V10" s="68" t="str">
        <x:v>无</x:v>
      </x:c>
      <x:c r="W10" s="68" t="str">
        <x:v>无需修改；保留为回归基线。</x:v>
      </x:c>
      <x:c r="X10" s="82" t="str">
        <x:v>未测试</x:v>
      </x:c>
      <x:c r="Y10" s="68" t="str">
        <x:v>OpenAI_M20规则回归</x:v>
      </x:c>
      <x:c r="Z10" s="68" t="str">
        <x:v>待人工复核</x:v>
      </x:c>
      <x:c r="AA10" s="87" t="n">
        <x:v>46260</x:v>
      </x:c>
      <x:c r="AB10" s="68" t="str">
        <x:v>V1.7</x:v>
      </x:c>
      <x:c r="AC10" s="68" t="str">
        <x:v>合成命例仅用于规则单元/集成测试，不替代真实命例外部验证。</x:v>
      </x:c>
    </x:row>
    <x:row r="11">
      <x:c r="A11" s="72" t="str">
        <x:f>IF(OR(C11="",D11=""),"",B11&amp;"-"&amp;UPPER(C11)&amp;"-"&amp;TEXT(D11,"0000")&amp;"-"&amp;E11)</x:f>
        <x:v>M20-BASE-0005-V1.0</x:v>
      </x:c>
      <x:c r="B11" s="74" t="str">
        <x:v>M20</x:v>
      </x:c>
      <x:c r="C11" s="74" t="str">
        <x:v>BASE</x:v>
      </x:c>
      <x:c r="D11" s="215" t="n">
        <x:v>5</x:v>
      </x:c>
      <x:c r="E11" s="74" t="str">
        <x:v>V1.0</x:v>
      </x:c>
      <x:c r="F11" s="68" t="str">
        <x:v>交节一分钟边界不得直接定月令</x:v>
      </x:c>
      <x:c r="G11" s="68" t="str">
        <x:v>边界双盘：甲子 丙寅/丁卯 戊辰 庚午</x:v>
      </x:c>
      <x:c r="H11" s="82" t="str">
        <x:v>未知/不适用</x:v>
      </x:c>
      <x:c r="I11" s="68" t="str">
        <x:v>合成命例；不用于历法排盘；月令按月支与输入事实假设</x:v>
      </x:c>
      <x:c r="J11" s="68" t="str">
        <x:v>内部合成规则测试</x:v>
      </x:c>
      <x:c r="K11" s="82" t="str">
        <x:v>边界案例</x:v>
      </x:c>
      <x:c r="L11" s="68" t="str">
        <x:v>M03</x:v>
      </x:c>
      <x:c r="M11" s="68" t="str">
        <x:v>M03-PROC-0019-V1.0</x:v>
      </x:c>
      <x:c r="N11" s="68" t="str">
        <x:v>出生时刻距离惊蛰交节约1分钟；时区和精确交节时刻尚未核准。</x:v>
      </x:c>
      <x:c r="O11" s="68" t="str">
        <x:v>月令只能列寅月/卯月双候选，禁止先定。</x:v>
      </x:c>
      <x:c r="P11" s="68" t="str">
        <x:v>根气、旺衰、调候和格局均需双盘保留。</x:v>
      </x:c>
      <x:c r="Q11" s="68" t="str">
        <x:v>资料未核准前，不输出唯一日主旺衰、格局和喜忌。</x:v>
      </x:c>
      <x:c r="R11" s="68" t="str">
        <x:v>交节边界需精确核验；当前只允许双盘候选。</x:v>
      </x:c>
      <x:c r="S11" s="68" t="str">
        <x:v>部分符合：交节边界需精确核验；当前只允许双盘候选。</x:v>
      </x:c>
      <x:c r="T11" s="82" t="str">
        <x:f>IF(S11="","未测试",IF(S11=R11,"通过",IF(LEFT(S11,4)="部分符合","部分通过",IF(LEFT(S11,3)="失败","未通过","待复核"))))</x:f>
        <x:v>部分通过</x:v>
      </x:c>
      <x:c r="U11" s="68" t="str">
        <x:v>核心方向符合，但边界条件、权重或唯一化结论仍不足。</x:v>
      </x:c>
      <x:c r="V11" s="68" t="str">
        <x:v>精确时区与交节时刻缺失</x:v>
      </x:c>
      <x:c r="W11" s="68" t="str">
        <x:v>M21-CASE-0048-V1.0已登记：保留双盘和输入质量闸门；待补真实交节时刻样本。</x:v>
      </x:c>
      <x:c r="X11" s="82" t="str">
        <x:v>待复核</x:v>
      </x:c>
      <x:c r="Y11" s="68" t="str">
        <x:v>OpenAI_M20规则回归</x:v>
      </x:c>
      <x:c r="Z11" s="68" t="str">
        <x:v>待人工复核</x:v>
      </x:c>
      <x:c r="AA11" s="87" t="n">
        <x:v>46260</x:v>
      </x:c>
      <x:c r="AB11" s="68" t="str">
        <x:v>V1.7</x:v>
      </x:c>
      <x:c r="AC11" s="68" t="str">
        <x:v>合成命例仅用于规则单元/集成测试，不替代真实命例外部验证。</x:v>
      </x:c>
    </x:row>
    <x:row r="12">
      <x:c r="A12" s="72" t="str">
        <x:f>IF(OR(C12="",D12=""),"",B12&amp;"-"&amp;UPPER(C12)&amp;"-"&amp;TEXT(D12,"0000")&amp;"-"&amp;E12)</x:f>
        <x:v>M20-BASE-0006-V1.0</x:v>
      </x:c>
      <x:c r="B12" s="74" t="str">
        <x:v>M20</x:v>
      </x:c>
      <x:c r="C12" s="74" t="str">
        <x:v>BASE</x:v>
      </x:c>
      <x:c r="D12" s="215" t="n">
        <x:v>6</x:v>
      </x:c>
      <x:c r="E12" s="74" t="str">
        <x:v>V1.0</x:v>
      </x:c>
      <x:c r="F12" s="68" t="str">
        <x:v>本气同干默认强根</x:v>
      </x:c>
      <x:c r="G12" s="68" t="str">
        <x:v>庚子 戊寅 甲辰 丙午</x:v>
      </x:c>
      <x:c r="H12" s="82" t="str">
        <x:v>未知/不适用</x:v>
      </x:c>
      <x:c r="I12" s="68" t="str">
        <x:v>合成命例；不用于历法排盘；月令按月支与输入事实假设</x:v>
      </x:c>
      <x:c r="J12" s="68" t="str">
        <x:v>内部合成规则测试</x:v>
      </x:c>
      <x:c r="K12" s="82" t="str">
        <x:v>正例</x:v>
      </x:c>
      <x:c r="L12" s="68" t="str">
        <x:v>M03</x:v>
      </x:c>
      <x:c r="M12" s="68" t="str">
        <x:v>M03-RTLV-0034-V1.0</x:v>
      </x:c>
      <x:c r="N12" s="68" t="str">
        <x:v>日主甲木；月支寅本气甲，与日主同干。</x:v>
      </x:c>
      <x:c r="O12" s="68" t="str">
        <x:v>识别甲在寅有本气直接根。</x:v>
      </x:c>
      <x:c r="P12" s="68" t="str">
        <x:v>原始根级起点为强根；有效性仍需合冲和季令修正。</x:v>
      </x:c>
      <x:c r="Q12" s="68" t="str">
        <x:v>不能仅由强根直接推出日主最终身旺。</x:v>
      </x:c>
      <x:c r="R12" s="68" t="str">
        <x:v>甲在寅有本气直接强根。</x:v>
      </x:c>
      <x:c r="S12" s="68" t="str">
        <x:v>甲在寅有本气直接强根。</x:v>
      </x:c>
      <x:c r="T12" s="82" t="str">
        <x:f>IF(S12="","未测试",IF(S12=R12,"通过",IF(LEFT(S12,4)="部分符合","部分通过",IF(LEFT(S12,3)="失败","未通过","待复核"))))</x:f>
        <x:v>通过</x:v>
      </x:c>
      <x:c r="U12" s="68" t="str">
        <x:v>无；人工逐层复核结果与预期一致。</x:v>
      </x:c>
      <x:c r="V12" s="68" t="str">
        <x:v>无</x:v>
      </x:c>
      <x:c r="W12" s="68" t="str">
        <x:v>无需修改；保留为回归基线。</x:v>
      </x:c>
      <x:c r="X12" s="82" t="str">
        <x:v>未测试</x:v>
      </x:c>
      <x:c r="Y12" s="68" t="str">
        <x:v>OpenAI_M20规则回归</x:v>
      </x:c>
      <x:c r="Z12" s="68" t="str">
        <x:v>待人工复核</x:v>
      </x:c>
      <x:c r="AA12" s="87" t="n">
        <x:v>46260</x:v>
      </x:c>
      <x:c r="AB12" s="68" t="str">
        <x:v>V1.7</x:v>
      </x:c>
      <x:c r="AC12" s="68" t="str">
        <x:v>合成命例仅用于规则单元/集成测试，不替代真实命例外部验证。</x:v>
      </x:c>
    </x:row>
    <x:row r="13">
      <x:c r="A13" s="72" t="str">
        <x:f>IF(OR(C13="",D13=""),"",B13&amp;"-"&amp;UPPER(C13)&amp;"-"&amp;TEXT(D13,"0000")&amp;"-"&amp;E13)</x:f>
        <x:v>M20-BASE-0007-V1.0</x:v>
      </x:c>
      <x:c r="B13" s="74" t="str">
        <x:v>M20</x:v>
      </x:c>
      <x:c r="C13" s="74" t="str">
        <x:v>BASE</x:v>
      </x:c>
      <x:c r="D13" s="215" t="n">
        <x:v>7</x:v>
      </x:c>
      <x:c r="E13" s="74" t="str">
        <x:v>V1.0</x:v>
      </x:c>
      <x:c r="F13" s="68" t="str">
        <x:v>余气同干只列弱根</x:v>
      </x:c>
      <x:c r="G13" s="68" t="str">
        <x:v>壬子 戊辰 癸酉 甲寅</x:v>
      </x:c>
      <x:c r="H13" s="82" t="str">
        <x:v>未知/不适用</x:v>
      </x:c>
      <x:c r="I13" s="68" t="str">
        <x:v>合成命例；不用于历法排盘；月令按月支与输入事实假设</x:v>
      </x:c>
      <x:c r="J13" s="68" t="str">
        <x:v>内部合成规则测试</x:v>
      </x:c>
      <x:c r="K13" s="82" t="str">
        <x:v>正例</x:v>
      </x:c>
      <x:c r="L13" s="68" t="str">
        <x:v>M03</x:v>
      </x:c>
      <x:c r="M13" s="68" t="str">
        <x:v>M03-RTLV-0036-V1.0</x:v>
      </x:c>
      <x:c r="N13" s="68" t="str">
        <x:v>日主癸水；辰藏戊、乙、癸，癸为余气。</x:v>
      </x:c>
      <x:c r="O13" s="68" t="str">
        <x:v>识别癸在辰有余气直接根。</x:v>
      </x:c>
      <x:c r="P13" s="68" t="str">
        <x:v>原始根级起点为弱根，主要用于否定完全无根。</x:v>
      </x:c>
      <x:c r="Q13" s="68" t="str">
        <x:v>不得把辰中余气癸与子中本气癸等权。</x:v>
      </x:c>
      <x:c r="R13" s="68" t="str">
        <x:v>癸在辰仅有余气弱根。</x:v>
      </x:c>
      <x:c r="S13" s="68" t="str">
        <x:v>癸在辰仅有余气弱根。</x:v>
      </x:c>
      <x:c r="T13" s="82" t="str">
        <x:f>IF(S13="","未测试",IF(S13=R13,"通过",IF(LEFT(S13,4)="部分符合","部分通过",IF(LEFT(S13,3)="失败","未通过","待复核"))))</x:f>
        <x:v>通过</x:v>
      </x:c>
      <x:c r="U13" s="68" t="str">
        <x:v>无；人工逐层复核结果与预期一致。</x:v>
      </x:c>
      <x:c r="V13" s="68" t="str">
        <x:v>无</x:v>
      </x:c>
      <x:c r="W13" s="68" t="str">
        <x:v>无需修改；保留为回归基线。</x:v>
      </x:c>
      <x:c r="X13" s="82" t="str">
        <x:v>未测试</x:v>
      </x:c>
      <x:c r="Y13" s="68" t="str">
        <x:v>OpenAI_M20规则回归</x:v>
      </x:c>
      <x:c r="Z13" s="68" t="str">
        <x:v>待人工复核</x:v>
      </x:c>
      <x:c r="AA13" s="87" t="n">
        <x:v>46260</x:v>
      </x:c>
      <x:c r="AB13" s="68" t="str">
        <x:v>V1.7</x:v>
      </x:c>
      <x:c r="AC13" s="68" t="str">
        <x:v>合成命例仅用于规则单元/集成测试，不替代真实命例外部验证。</x:v>
      </x:c>
    </x:row>
    <x:row r="14">
      <x:c r="A14" s="72" t="str">
        <x:f>IF(OR(C14="",D14=""),"",B14&amp;"-"&amp;UPPER(C14)&amp;"-"&amp;TEXT(D14,"0000")&amp;"-"&amp;E14)</x:f>
        <x:v>M20-BASE-0008-V1.0</x:v>
      </x:c>
      <x:c r="B14" s="74" t="str">
        <x:v>M20</x:v>
      </x:c>
      <x:c r="C14" s="74" t="str">
        <x:v>BASE</x:v>
      </x:c>
      <x:c r="D14" s="215" t="n">
        <x:v>8</x:v>
      </x:c>
      <x:c r="E14" s="74" t="str">
        <x:v>V1.0</x:v>
      </x:c>
      <x:c r="F14" s="68" t="str">
        <x:v>同五行异阴阳属于同类根而非直接根</x:v>
      </x:c>
      <x:c r="G14" s="68" t="str">
        <x:v>庚子 乙卯 甲辰 丙午</x:v>
      </x:c>
      <x:c r="H14" s="82" t="str">
        <x:v>未知/不适用</x:v>
      </x:c>
      <x:c r="I14" s="68" t="str">
        <x:v>合成命例；不用于历法排盘；月令按月支与输入事实假设</x:v>
      </x:c>
      <x:c r="J14" s="68" t="str">
        <x:v>内部合成规则测试</x:v>
      </x:c>
      <x:c r="K14" s="82" t="str">
        <x:v>边界案例</x:v>
      </x:c>
      <x:c r="L14" s="68" t="str">
        <x:v>M03</x:v>
      </x:c>
      <x:c r="M14" s="68" t="str">
        <x:v>M03-RTLV-0037-V1.0；M03-RTLV-0038-V1.0</x:v>
      </x:c>
      <x:c r="N14" s="68" t="str">
        <x:v>日主甲木；月支卯本气乙木，与甲同五行但阴阳不同。</x:v>
      </x:c>
      <x:c r="O14" s="68" t="str">
        <x:v>识别卯为甲木的同类根，不标甲的直接同干根。</x:v>
      </x:c>
      <x:c r="P14" s="68" t="str">
        <x:v>同类根提供得地支持，但强度不得照搬本气直接根。</x:v>
      </x:c>
      <x:c r="Q14" s="68" t="str">
        <x:v>输出必须同时写明“木根存在”与“甲无同干直接根”。</x:v>
      </x:c>
      <x:c r="R14" s="68" t="str">
        <x:v>卯对甲提供同类根，不是甲的直接根。</x:v>
      </x:c>
      <x:c r="S14" s="68" t="str">
        <x:v>卯对甲提供同类根，不是甲的直接根。</x:v>
      </x:c>
      <x:c r="T14" s="82" t="str">
        <x:f>IF(S14="","未测试",IF(S14=R14,"通过",IF(LEFT(S14,4)="部分符合","部分通过",IF(LEFT(S14,3)="失败","未通过","待复核"))))</x:f>
        <x:v>通过</x:v>
      </x:c>
      <x:c r="U14" s="68" t="str">
        <x:v>无；人工逐层复核结果与预期一致。</x:v>
      </x:c>
      <x:c r="V14" s="68" t="str">
        <x:v>无</x:v>
      </x:c>
      <x:c r="W14" s="68" t="str">
        <x:v>无需修改；保留为回归基线。</x:v>
      </x:c>
      <x:c r="X14" s="82" t="str">
        <x:v>未测试</x:v>
      </x:c>
      <x:c r="Y14" s="68" t="str">
        <x:v>OpenAI_M20规则回归</x:v>
      </x:c>
      <x:c r="Z14" s="68" t="str">
        <x:v>待人工复核</x:v>
      </x:c>
      <x:c r="AA14" s="87" t="n">
        <x:v>46260</x:v>
      </x:c>
      <x:c r="AB14" s="68" t="str">
        <x:v>V1.7</x:v>
      </x:c>
      <x:c r="AC14" s="68" t="str">
        <x:v>合成命例仅用于规则单元/集成测试，不替代真实命例外部验证。</x:v>
      </x:c>
      <x:c r="AE14" s="235" t="str">
        <x:v>目标模块</x:v>
      </x:c>
      <x:c r="AF14" s="235" t="str">
        <x:v>案例数</x:v>
      </x:c>
      <x:c r="AG14" s="235" t="str">
        <x:v>占比</x:v>
      </x:c>
    </x:row>
    <x:row r="15">
      <x:c r="A15" s="72" t="str">
        <x:f>IF(OR(C15="",D15=""),"",B15&amp;"-"&amp;UPPER(C15)&amp;"-"&amp;TEXT(D15,"0000")&amp;"-"&amp;E15)</x:f>
        <x:v>M20-BASE-0009-V1.0</x:v>
      </x:c>
      <x:c r="B15" s="74" t="str">
        <x:v>M20</x:v>
      </x:c>
      <x:c r="C15" s="74" t="str">
        <x:v>BASE</x:v>
      </x:c>
      <x:c r="D15" s="215" t="n">
        <x:v>9</x:v>
      </x:c>
      <x:c r="E15" s="74" t="str">
        <x:v>V1.0</x:v>
      </x:c>
      <x:c r="F15" s="68" t="str">
        <x:v>有根不等于最终身旺</x:v>
      </x:c>
      <x:c r="G15" s="68" t="str">
        <x:v>庚申 壬申 甲寅 戊辰</x:v>
      </x:c>
      <x:c r="H15" s="82" t="str">
        <x:v>未知/不适用</x:v>
      </x:c>
      <x:c r="I15" s="68" t="str">
        <x:v>合成命例；不用于历法排盘；月令按月支与输入事实假设</x:v>
      </x:c>
      <x:c r="J15" s="68" t="str">
        <x:v>内部合成规则测试</x:v>
      </x:c>
      <x:c r="K15" s="82" t="str">
        <x:v>反例</x:v>
      </x:c>
      <x:c r="L15" s="68" t="str">
        <x:v>M03</x:v>
      </x:c>
      <x:c r="M15" s="68" t="str">
        <x:v>M03-EDGE-0059-V1.0</x:v>
      </x:c>
      <x:c r="N15" s="68" t="str">
        <x:v>甲日主有寅本气根；但申月金当令，庚壬申金水及财杀压力需综合。</x:v>
      </x:c>
      <x:c r="O15" s="68" t="str">
        <x:v>识别甲有根，不得删除。</x:v>
      </x:c>
      <x:c r="P15" s="68" t="str">
        <x:v>有根只证明得地；最终旺衰需比较季令、印比、官杀财食。</x:v>
      </x:c>
      <x:c r="Q15" s="68" t="str">
        <x:v>本例不能仅凭寅根判甲木身旺。</x:v>
      </x:c>
      <x:c r="R15" s="68" t="str">
        <x:v>甲有根，但“有根＝身旺”的推导被否决。</x:v>
      </x:c>
      <x:c r="S15" s="68" t="str">
        <x:v>甲有根，但“有根＝身旺”的推导被否决。</x:v>
      </x:c>
      <x:c r="T15" s="82" t="str">
        <x:f>IF(S15="","未测试",IF(S15=R15,"通过",IF(LEFT(S15,4)="部分符合","部分通过",IF(LEFT(S15,3)="失败","未通过","待复核"))))</x:f>
        <x:v>通过</x:v>
      </x:c>
      <x:c r="U15" s="68" t="str">
        <x:v>无；人工逐层复核结果与预期一致。</x:v>
      </x:c>
      <x:c r="V15" s="68" t="str">
        <x:v>无</x:v>
      </x:c>
      <x:c r="W15" s="68" t="str">
        <x:v>无需修改；保留为回归基线。</x:v>
      </x:c>
      <x:c r="X15" s="82" t="str">
        <x:v>未测试</x:v>
      </x:c>
      <x:c r="Y15" s="68" t="str">
        <x:v>OpenAI_M20规则回归</x:v>
      </x:c>
      <x:c r="Z15" s="68" t="str">
        <x:v>待人工复核</x:v>
      </x:c>
      <x:c r="AA15" s="87" t="n">
        <x:v>46260</x:v>
      </x:c>
      <x:c r="AB15" s="68" t="str">
        <x:v>V1.7</x:v>
      </x:c>
      <x:c r="AC15" s="68" t="str">
        <x:v>合成命例仅用于规则单元/集成测试，不替代真实命例外部验证。</x:v>
      </x:c>
      <x:c r="AE15" s="237" t="str">
        <x:v>M02</x:v>
      </x:c>
      <x:c r="AF15" s="238" t="n">
        <x:f>COUNTIF($L$7:$L$156,"M02")</x:f>
        <x:v>4</x:v>
      </x:c>
      <x:c r="AG15" s="239" t="n">
        <x:f>IF($AF$3=0,0,AF15/$AF$3)</x:f>
        <x:v>0.02666666666666667</x:v>
      </x:c>
    </x:row>
    <x:row r="16">
      <x:c r="A16" s="72" t="str">
        <x:f>IF(OR(C16="",D16=""),"",B16&amp;"-"&amp;UPPER(C16)&amp;"-"&amp;TEXT(D16,"0000")&amp;"-"&amp;E16)</x:f>
        <x:v>M20-BASE-0010-V1.0</x:v>
      </x:c>
      <x:c r="B16" s="74" t="str">
        <x:v>M20</x:v>
      </x:c>
      <x:c r="C16" s="74" t="str">
        <x:v>BASE</x:v>
      </x:c>
      <x:c r="D16" s="215" t="n">
        <x:v>10</x:v>
      </x:c>
      <x:c r="E16" s="74" t="str">
        <x:v>V1.0</x:v>
      </x:c>
      <x:c r="F16" s="68" t="str">
        <x:v>无直接根不等于最终身弱</x:v>
      </x:c>
      <x:c r="G16" s="68" t="str">
        <x:v>壬子 癸丑 甲午 乙酉</x:v>
      </x:c>
      <x:c r="H16" s="82" t="str">
        <x:v>未知/不适用</x:v>
      </x:c>
      <x:c r="I16" s="68" t="str">
        <x:v>合成命例；不用于历法排盘；月令按月支与输入事实假设</x:v>
      </x:c>
      <x:c r="J16" s="68" t="str">
        <x:v>内部合成规则测试</x:v>
      </x:c>
      <x:c r="K16" s="82" t="str">
        <x:v>反例</x:v>
      </x:c>
      <x:c r="L16" s="68" t="str">
        <x:v>M03</x:v>
      </x:c>
      <x:c r="M16" s="68" t="str">
        <x:v>M03-EDGE-0058-V1.0</x:v>
      </x:c>
      <x:c r="N16" s="68" t="str">
        <x:v>甲日主地支无甲同干根；天干壬癸印、乙劫财均能提供生扶。</x:v>
      </x:c>
      <x:c r="O16" s="68" t="str">
        <x:v>识别甲无直接根，同时保留印比有效生扶。</x:v>
      </x:c>
      <x:c r="P16" s="68" t="str">
        <x:v>无根是得地不足，不足以单独判身弱。</x:v>
      </x:c>
      <x:c r="Q16" s="68" t="str">
        <x:v>最终旺衰仍需M09比较扶身侧与财官食伤负荷。</x:v>
      </x:c>
      <x:c r="R16" s="68" t="str">
        <x:v>无直接根不能自动推出甲木身弱。</x:v>
      </x:c>
      <x:c r="S16" s="68" t="str">
        <x:v>无直接根不能自动推出甲木身弱。</x:v>
      </x:c>
      <x:c r="T16" s="82" t="str">
        <x:f>IF(S16="","未测试",IF(S16=R16,"通过",IF(LEFT(S16,4)="部分符合","部分通过",IF(LEFT(S16,3)="失败","未通过","待复核"))))</x:f>
        <x:v>通过</x:v>
      </x:c>
      <x:c r="U16" s="68" t="str">
        <x:v>无；人工逐层复核结果与预期一致。</x:v>
      </x:c>
      <x:c r="V16" s="68" t="str">
        <x:v>无</x:v>
      </x:c>
      <x:c r="W16" s="68" t="str">
        <x:v>无需修改；保留为回归基线。</x:v>
      </x:c>
      <x:c r="X16" s="82" t="str">
        <x:v>未测试</x:v>
      </x:c>
      <x:c r="Y16" s="68" t="str">
        <x:v>OpenAI_M20规则回归</x:v>
      </x:c>
      <x:c r="Z16" s="68" t="str">
        <x:v>待人工复核</x:v>
      </x:c>
      <x:c r="AA16" s="87" t="n">
        <x:v>46260</x:v>
      </x:c>
      <x:c r="AB16" s="68" t="str">
        <x:v>V1.7</x:v>
      </x:c>
      <x:c r="AC16" s="68" t="str">
        <x:v>合成命例仅用于规则单元/集成测试，不替代真实命例外部验证。</x:v>
      </x:c>
      <x:c r="AE16" s="237" t="str">
        <x:v>M03</x:v>
      </x:c>
      <x:c r="AF16" s="238" t="n">
        <x:f>COUNTIF($L$7:$L$156,"M03")</x:f>
        <x:v>6</x:v>
      </x:c>
      <x:c r="AG16" s="239" t="n">
        <x:f>IF($AF$3=0,0,AF16/$AF$3)</x:f>
        <x:v>0.04</x:v>
      </x:c>
    </x:row>
    <x:row r="17">
      <x:c r="A17" s="72" t="str">
        <x:f>IF(OR(C17="",D17=""),"",B17&amp;"-"&amp;UPPER(C17)&amp;"-"&amp;TEXT(D17,"0000")&amp;"-"&amp;E17)</x:f>
        <x:v>M20-REL-0011-V1.0</x:v>
      </x:c>
      <x:c r="B17" s="74" t="str">
        <x:v>M20</x:v>
      </x:c>
      <x:c r="C17" s="74" t="str">
        <x:v>REL</x:v>
      </x:c>
      <x:c r="D17" s="215" t="n">
        <x:v>11</x:v>
      </x:c>
      <x:c r="E17" s="74" t="str">
        <x:v>V1.0</x:v>
      </x:c>
      <x:c r="F17" s="68" t="str">
        <x:v>甲己天干五合识别</x:v>
      </x:c>
      <x:c r="G17" s="68" t="str">
        <x:v>甲子 己丑 丙寅 丁卯</x:v>
      </x:c>
      <x:c r="H17" s="82" t="str">
        <x:v>未知/不适用</x:v>
      </x:c>
      <x:c r="I17" s="68" t="str">
        <x:v>合成命例；不用于历法排盘；月令按月支与输入事实假设</x:v>
      </x:c>
      <x:c r="J17" s="68" t="str">
        <x:v>内部合成规则测试</x:v>
      </x:c>
      <x:c r="K17" s="82" t="str">
        <x:v>正例</x:v>
      </x:c>
      <x:c r="L17" s="68" t="str">
        <x:v>M04</x:v>
      </x:c>
      <x:c r="M17" s="68" t="str">
        <x:v>M04-HE-0001-V1.0</x:v>
      </x:c>
      <x:c r="N17" s="68" t="str">
        <x:v>甲、己明干同时出现；只测试识别层，不预设化神。</x:v>
      </x:c>
      <x:c r="O17" s="68" t="str">
        <x:v>甲己合候选成立，记录柱位和关系实例。</x:v>
      </x:c>
      <x:c r="P17" s="68" t="str">
        <x:v>识别层不裁定合绊、合住或合化。</x:v>
      </x:c>
      <x:c r="Q17" s="68" t="str">
        <x:v>后续转M06检验实际效应。</x:v>
      </x:c>
      <x:c r="R17" s="68" t="str">
        <x:v>甲己合候选被正确识别。</x:v>
      </x:c>
      <x:c r="S17" s="68" t="str">
        <x:v>甲己合候选被正确识别。</x:v>
      </x:c>
      <x:c r="T17" s="82" t="str">
        <x:f>IF(S17="","未测试",IF(S17=R17,"通过",IF(LEFT(S17,4)="部分符合","部分通过",IF(LEFT(S17,3)="失败","未通过","待复核"))))</x:f>
        <x:v>通过</x:v>
      </x:c>
      <x:c r="U17" s="68" t="str">
        <x:v>无；人工逐层复核结果与预期一致。</x:v>
      </x:c>
      <x:c r="V17" s="68" t="str">
        <x:v>无</x:v>
      </x:c>
      <x:c r="W17" s="68" t="str">
        <x:v>无需修改；保留为回归基线。</x:v>
      </x:c>
      <x:c r="X17" s="82" t="str">
        <x:v>未测试</x:v>
      </x:c>
      <x:c r="Y17" s="68" t="str">
        <x:v>OpenAI_M20规则回归</x:v>
      </x:c>
      <x:c r="Z17" s="68" t="str">
        <x:v>待人工复核</x:v>
      </x:c>
      <x:c r="AA17" s="87" t="n">
        <x:v>46260</x:v>
      </x:c>
      <x:c r="AB17" s="68" t="str">
        <x:v>V1.7</x:v>
      </x:c>
      <x:c r="AC17" s="68" t="str">
        <x:v>合成命例仅用于规则单元/集成测试，不替代真实命例外部验证。</x:v>
      </x:c>
      <x:c r="AE17" s="240" t="str">
        <x:v>M04</x:v>
      </x:c>
      <x:c r="AF17" s="241" t="n">
        <x:f>COUNTIF($L$7:$L$156,"M04")</x:f>
        <x:v>8</x:v>
      </x:c>
      <x:c r="AG17" s="242" t="n">
        <x:f>IF($AF$3=0,0,AF17/$AF$3)</x:f>
        <x:v>0.05333333333333334</x:v>
      </x:c>
    </x:row>
    <x:row r="18">
      <x:c r="A18" s="72" t="str">
        <x:f>IF(OR(C18="",D18=""),"",B18&amp;"-"&amp;UPPER(C18)&amp;"-"&amp;TEXT(D18,"0000")&amp;"-"&amp;E18)</x:f>
        <x:v>M20-REL-0012-V1.0</x:v>
      </x:c>
      <x:c r="B18" s="74" t="str">
        <x:v>M20</x:v>
      </x:c>
      <x:c r="C18" s="74" t="str">
        <x:v>REL</x:v>
      </x:c>
      <x:c r="D18" s="215" t="n">
        <x:v>12</x:v>
      </x:c>
      <x:c r="E18" s="74" t="str">
        <x:v>V1.0</x:v>
      </x:c>
      <x:c r="F18" s="68" t="str">
        <x:v>乙庚天干五合识别</x:v>
      </x:c>
      <x:c r="G18" s="68" t="str">
        <x:v>乙子 庚丑 丙寅 丁卯</x:v>
      </x:c>
      <x:c r="H18" s="82" t="str">
        <x:v>未知/不适用</x:v>
      </x:c>
      <x:c r="I18" s="68" t="str">
        <x:v>合成命例；不用于历法排盘；月令按月支与输入事实假设</x:v>
      </x:c>
      <x:c r="J18" s="68" t="str">
        <x:v>内部合成规则测试</x:v>
      </x:c>
      <x:c r="K18" s="82" t="str">
        <x:v>正例</x:v>
      </x:c>
      <x:c r="L18" s="68" t="str">
        <x:v>M04</x:v>
      </x:c>
      <x:c r="M18" s="68" t="str">
        <x:v>M04-HE-0002-V1.0</x:v>
      </x:c>
      <x:c r="N18" s="68" t="str">
        <x:v>乙、庚明干同时出现；只测试识别层，不预设化神。</x:v>
      </x:c>
      <x:c r="O18" s="68" t="str">
        <x:v>乙庚合候选成立，记录柱位和关系实例。</x:v>
      </x:c>
      <x:c r="P18" s="68" t="str">
        <x:v>识别层不裁定合绊、合住或合化。</x:v>
      </x:c>
      <x:c r="Q18" s="68" t="str">
        <x:v>后续转M06检验实际效应。</x:v>
      </x:c>
      <x:c r="R18" s="68" t="str">
        <x:v>乙庚合候选被正确识别。</x:v>
      </x:c>
      <x:c r="S18" s="68" t="str">
        <x:v>乙庚合候选被正确识别。</x:v>
      </x:c>
      <x:c r="T18" s="82" t="str">
        <x:f>IF(S18="","未测试",IF(S18=R18,"通过",IF(LEFT(S18,4)="部分符合","部分通过",IF(LEFT(S18,3)="失败","未通过","待复核"))))</x:f>
        <x:v>通过</x:v>
      </x:c>
      <x:c r="U18" s="68" t="str">
        <x:v>无；人工逐层复核结果与预期一致。</x:v>
      </x:c>
      <x:c r="V18" s="68" t="str">
        <x:v>无</x:v>
      </x:c>
      <x:c r="W18" s="68" t="str">
        <x:v>无需修改；保留为回归基线。</x:v>
      </x:c>
      <x:c r="X18" s="82" t="str">
        <x:v>未测试</x:v>
      </x:c>
      <x:c r="Y18" s="68" t="str">
        <x:v>OpenAI_M20规则回归</x:v>
      </x:c>
      <x:c r="Z18" s="68" t="str">
        <x:v>待人工复核</x:v>
      </x:c>
      <x:c r="AA18" s="87" t="n">
        <x:v>46260</x:v>
      </x:c>
      <x:c r="AB18" s="68" t="str">
        <x:v>V1.7</x:v>
      </x:c>
      <x:c r="AC18" s="68" t="str">
        <x:v>合成命例仅用于规则单元/集成测试，不替代真实命例外部验证。</x:v>
      </x:c>
      <x:c r="AE18" s="240" t="str">
        <x:v>M05</x:v>
      </x:c>
      <x:c r="AF18" s="241" t="n">
        <x:f>COUNTIF($L$7:$L$156,"M05")</x:f>
        <x:v>11</x:v>
      </x:c>
      <x:c r="AG18" s="242" t="n">
        <x:f>IF($AF$3=0,0,AF18/$AF$3)</x:f>
        <x:v>0.07333333333333333</x:v>
      </x:c>
    </x:row>
    <x:row r="19">
      <x:c r="A19" s="72" t="str">
        <x:f>IF(OR(C19="",D19=""),"",B19&amp;"-"&amp;UPPER(C19)&amp;"-"&amp;TEXT(D19,"0000")&amp;"-"&amp;E19)</x:f>
        <x:v>M20-REL-0013-V1.0</x:v>
      </x:c>
      <x:c r="B19" s="74" t="str">
        <x:v>M20</x:v>
      </x:c>
      <x:c r="C19" s="74" t="str">
        <x:v>REL</x:v>
      </x:c>
      <x:c r="D19" s="215" t="n">
        <x:v>13</x:v>
      </x:c>
      <x:c r="E19" s="74" t="str">
        <x:v>V1.0</x:v>
      </x:c>
      <x:c r="F19" s="68" t="str">
        <x:v>丙辛天干五合识别</x:v>
      </x:c>
      <x:c r="G19" s="68" t="str">
        <x:v>丙子 辛丑 甲寅 丁卯</x:v>
      </x:c>
      <x:c r="H19" s="82" t="str">
        <x:v>未知/不适用</x:v>
      </x:c>
      <x:c r="I19" s="68" t="str">
        <x:v>合成命例；不用于历法排盘；月令按月支与输入事实假设</x:v>
      </x:c>
      <x:c r="J19" s="68" t="str">
        <x:v>内部合成规则测试</x:v>
      </x:c>
      <x:c r="K19" s="82" t="str">
        <x:v>正例</x:v>
      </x:c>
      <x:c r="L19" s="68" t="str">
        <x:v>M04</x:v>
      </x:c>
      <x:c r="M19" s="68" t="str">
        <x:v>M04-HE-0003-V1.0</x:v>
      </x:c>
      <x:c r="N19" s="68" t="str">
        <x:v>丙、辛明干同时出现；只测试识别层，不预设化神。</x:v>
      </x:c>
      <x:c r="O19" s="68" t="str">
        <x:v>丙辛合候选成立，记录柱位和关系实例。</x:v>
      </x:c>
      <x:c r="P19" s="68" t="str">
        <x:v>识别层不裁定合绊、合住或合化。</x:v>
      </x:c>
      <x:c r="Q19" s="68" t="str">
        <x:v>后续转M06检验实际效应。</x:v>
      </x:c>
      <x:c r="R19" s="68" t="str">
        <x:v>丙辛合候选被正确识别。</x:v>
      </x:c>
      <x:c r="S19" s="68" t="str">
        <x:v>丙辛合候选被正确识别。</x:v>
      </x:c>
      <x:c r="T19" s="82" t="str">
        <x:f>IF(S19="","未测试",IF(S19=R19,"通过",IF(LEFT(S19,4)="部分符合","部分通过",IF(LEFT(S19,3)="失败","未通过","待复核"))))</x:f>
        <x:v>通过</x:v>
      </x:c>
      <x:c r="U19" s="68" t="str">
        <x:v>无；人工逐层复核结果与预期一致。</x:v>
      </x:c>
      <x:c r="V19" s="68" t="str">
        <x:v>无</x:v>
      </x:c>
      <x:c r="W19" s="68" t="str">
        <x:v>无需修改；保留为回归基线。</x:v>
      </x:c>
      <x:c r="X19" s="82" t="str">
        <x:v>未测试</x:v>
      </x:c>
      <x:c r="Y19" s="68" t="str">
        <x:v>OpenAI_M20规则回归</x:v>
      </x:c>
      <x:c r="Z19" s="68" t="str">
        <x:v>待人工复核</x:v>
      </x:c>
      <x:c r="AA19" s="87" t="n">
        <x:v>46260</x:v>
      </x:c>
      <x:c r="AB19" s="68" t="str">
        <x:v>V1.7</x:v>
      </x:c>
      <x:c r="AC19" s="68" t="str">
        <x:v>合成命例仅用于规则单元/集成测试，不替代真实命例外部验证。</x:v>
      </x:c>
      <x:c r="AE19" s="240" t="str">
        <x:v>M06</x:v>
      </x:c>
      <x:c r="AF19" s="241" t="n">
        <x:f>COUNTIF($L$7:$L$156,"M06")</x:f>
        <x:v>15</x:v>
      </x:c>
      <x:c r="AG19" s="242" t="n">
        <x:f>IF($AF$3=0,0,AF19/$AF$3)</x:f>
        <x:v>0.1</x:v>
      </x:c>
    </x:row>
    <x:row r="20">
      <x:c r="A20" s="72" t="str">
        <x:f>IF(OR(C20="",D20=""),"",B20&amp;"-"&amp;UPPER(C20)&amp;"-"&amp;TEXT(D20,"0000")&amp;"-"&amp;E20)</x:f>
        <x:v>M20-REL-0014-V1.0</x:v>
      </x:c>
      <x:c r="B20" s="74" t="str">
        <x:v>M20</x:v>
      </x:c>
      <x:c r="C20" s="74" t="str">
        <x:v>REL</x:v>
      </x:c>
      <x:c r="D20" s="215" t="n">
        <x:v>14</x:v>
      </x:c>
      <x:c r="E20" s="74" t="str">
        <x:v>V1.0</x:v>
      </x:c>
      <x:c r="F20" s="68" t="str">
        <x:v>丁壬天干五合识别</x:v>
      </x:c>
      <x:c r="G20" s="68" t="str">
        <x:v>丁子 壬丑 甲寅 丙卯</x:v>
      </x:c>
      <x:c r="H20" s="82" t="str">
        <x:v>未知/不适用</x:v>
      </x:c>
      <x:c r="I20" s="68" t="str">
        <x:v>合成命例；不用于历法排盘；月令按月支与输入事实假设</x:v>
      </x:c>
      <x:c r="J20" s="68" t="str">
        <x:v>内部合成规则测试</x:v>
      </x:c>
      <x:c r="K20" s="82" t="str">
        <x:v>正例</x:v>
      </x:c>
      <x:c r="L20" s="68" t="str">
        <x:v>M04</x:v>
      </x:c>
      <x:c r="M20" s="68" t="str">
        <x:v>M04-HE-0004-V1.0</x:v>
      </x:c>
      <x:c r="N20" s="68" t="str">
        <x:v>丁、壬明干同时出现；只测试识别层，不预设化神。</x:v>
      </x:c>
      <x:c r="O20" s="68" t="str">
        <x:v>丁壬合候选成立，记录柱位和关系实例。</x:v>
      </x:c>
      <x:c r="P20" s="68" t="str">
        <x:v>识别层不裁定合绊、合住或合化。</x:v>
      </x:c>
      <x:c r="Q20" s="68" t="str">
        <x:v>后续转M06检验实际效应。</x:v>
      </x:c>
      <x:c r="R20" s="68" t="str">
        <x:v>丁壬合候选被正确识别。</x:v>
      </x:c>
      <x:c r="S20" s="68" t="str">
        <x:v>丁壬合候选被正确识别。</x:v>
      </x:c>
      <x:c r="T20" s="82" t="str">
        <x:f>IF(S20="","未测试",IF(S20=R20,"通过",IF(LEFT(S20,4)="部分符合","部分通过",IF(LEFT(S20,3)="失败","未通过","待复核"))))</x:f>
        <x:v>通过</x:v>
      </x:c>
      <x:c r="U20" s="68" t="str">
        <x:v>无；人工逐层复核结果与预期一致。</x:v>
      </x:c>
      <x:c r="V20" s="68" t="str">
        <x:v>无</x:v>
      </x:c>
      <x:c r="W20" s="68" t="str">
        <x:v>无需修改；保留为回归基线。</x:v>
      </x:c>
      <x:c r="X20" s="82" t="str">
        <x:v>未测试</x:v>
      </x:c>
      <x:c r="Y20" s="68" t="str">
        <x:v>OpenAI_M20规则回归</x:v>
      </x:c>
      <x:c r="Z20" s="68" t="str">
        <x:v>待人工复核</x:v>
      </x:c>
      <x:c r="AA20" s="87" t="n">
        <x:v>46260</x:v>
      </x:c>
      <x:c r="AB20" s="68" t="str">
        <x:v>V1.7</x:v>
      </x:c>
      <x:c r="AC20" s="68" t="str">
        <x:v>合成命例仅用于规则单元/集成测试，不替代真实命例外部验证。</x:v>
      </x:c>
      <x:c r="AE20" s="240" t="str">
        <x:v>M07</x:v>
      </x:c>
      <x:c r="AF20" s="241" t="n">
        <x:f>COUNTIF($L$7:$L$156,"M07")</x:f>
        <x:v>5</x:v>
      </x:c>
      <x:c r="AG20" s="242" t="n">
        <x:f>IF($AF$3=0,0,AF20/$AF$3)</x:f>
        <x:v>0.03333333333333333</x:v>
      </x:c>
    </x:row>
    <x:row r="21">
      <x:c r="A21" s="72" t="str">
        <x:f>IF(OR(C21="",D21=""),"",B21&amp;"-"&amp;UPPER(C21)&amp;"-"&amp;TEXT(D21,"0000")&amp;"-"&amp;E21)</x:f>
        <x:v>M20-REL-0015-V1.0</x:v>
      </x:c>
      <x:c r="B21" s="74" t="str">
        <x:v>M20</x:v>
      </x:c>
      <x:c r="C21" s="74" t="str">
        <x:v>REL</x:v>
      </x:c>
      <x:c r="D21" s="215" t="n">
        <x:v>15</x:v>
      </x:c>
      <x:c r="E21" s="74" t="str">
        <x:v>V1.0</x:v>
      </x:c>
      <x:c r="F21" s="68" t="str">
        <x:v>戊癸天干五合识别</x:v>
      </x:c>
      <x:c r="G21" s="68" t="str">
        <x:v>戊子 癸丑 甲寅 丙卯</x:v>
      </x:c>
      <x:c r="H21" s="82" t="str">
        <x:v>未知/不适用</x:v>
      </x:c>
      <x:c r="I21" s="68" t="str">
        <x:v>合成命例；不用于历法排盘；月令按月支与输入事实假设</x:v>
      </x:c>
      <x:c r="J21" s="68" t="str">
        <x:v>内部合成规则测试</x:v>
      </x:c>
      <x:c r="K21" s="82" t="str">
        <x:v>正例</x:v>
      </x:c>
      <x:c r="L21" s="68" t="str">
        <x:v>M04</x:v>
      </x:c>
      <x:c r="M21" s="68" t="str">
        <x:v>M04-HE-0005-V1.0</x:v>
      </x:c>
      <x:c r="N21" s="68" t="str">
        <x:v>戊、癸明干同时出现；只测试识别层，不预设化神。</x:v>
      </x:c>
      <x:c r="O21" s="68" t="str">
        <x:v>戊癸合候选成立，记录柱位和关系实例。</x:v>
      </x:c>
      <x:c r="P21" s="68" t="str">
        <x:v>识别层不裁定合绊、合住或合化。</x:v>
      </x:c>
      <x:c r="Q21" s="68" t="str">
        <x:v>后续转M06检验实际效应。</x:v>
      </x:c>
      <x:c r="R21" s="68" t="str">
        <x:v>戊癸合候选被正确识别。</x:v>
      </x:c>
      <x:c r="S21" s="68" t="str">
        <x:v>戊癸合候选被正确识别。</x:v>
      </x:c>
      <x:c r="T21" s="82" t="str">
        <x:f>IF(S21="","未测试",IF(S21=R21,"通过",IF(LEFT(S21,4)="部分符合","部分通过",IF(LEFT(S21,3)="失败","未通过","待复核"))))</x:f>
        <x:v>通过</x:v>
      </x:c>
      <x:c r="U21" s="68" t="str">
        <x:v>无；人工逐层复核结果与预期一致。</x:v>
      </x:c>
      <x:c r="V21" s="68" t="str">
        <x:v>无</x:v>
      </x:c>
      <x:c r="W21" s="68" t="str">
        <x:v>无需修改；保留为回归基线。</x:v>
      </x:c>
      <x:c r="X21" s="82" t="str">
        <x:v>未测试</x:v>
      </x:c>
      <x:c r="Y21" s="68" t="str">
        <x:v>OpenAI_M20规则回归</x:v>
      </x:c>
      <x:c r="Z21" s="68" t="str">
        <x:v>待人工复核</x:v>
      </x:c>
      <x:c r="AA21" s="87" t="n">
        <x:v>46260</x:v>
      </x:c>
      <x:c r="AB21" s="68" t="str">
        <x:v>V1.7</x:v>
      </x:c>
      <x:c r="AC21" s="68" t="str">
        <x:v>合成命例仅用于规则单元/集成测试，不替代真实命例外部验证。</x:v>
      </x:c>
      <x:c r="AE21" s="240" t="str">
        <x:v>M08</x:v>
      </x:c>
      <x:c r="AF21" s="241" t="n">
        <x:f>COUNTIF($L$7:$L$156,"M08")</x:f>
        <x:v>4</x:v>
      </x:c>
      <x:c r="AG21" s="242" t="n">
        <x:f>IF($AF$3=0,0,AF21/$AF$3)</x:f>
        <x:v>0.02666666666666667</x:v>
      </x:c>
    </x:row>
    <x:row r="22">
      <x:c r="A22" s="72" t="str">
        <x:f>IF(OR(C22="",D22=""),"",B22&amp;"-"&amp;UPPER(C22)&amp;"-"&amp;TEXT(D22,"0000")&amp;"-"&amp;E22)</x:f>
        <x:v>M20-REL-0016-V1.0</x:v>
      </x:c>
      <x:c r="B22" s="74" t="str">
        <x:v>M20</x:v>
      </x:c>
      <x:c r="C22" s="74" t="str">
        <x:v>REL</x:v>
      </x:c>
      <x:c r="D22" s="215" t="n">
        <x:v>16</x:v>
      </x:c>
      <x:c r="E22" s="74" t="str">
        <x:v>V1.0</x:v>
      </x:c>
      <x:c r="F22" s="68" t="str">
        <x:v>藏干不能替代明干建立甲己合</x:v>
      </x:c>
      <x:c r="G22" s="68" t="str">
        <x:v>甲子 乙丑 丙寅 丁卯</x:v>
      </x:c>
      <x:c r="H22" s="82" t="str">
        <x:v>未知/不适用</x:v>
      </x:c>
      <x:c r="I22" s="68" t="str">
        <x:v>合成命例；不用于历法排盘；月令按月支与输入事实假设</x:v>
      </x:c>
      <x:c r="J22" s="68" t="str">
        <x:v>内部合成规则测试</x:v>
      </x:c>
      <x:c r="K22" s="82" t="str">
        <x:v>反例</x:v>
      </x:c>
      <x:c r="L22" s="68" t="str">
        <x:v>M04</x:v>
      </x:c>
      <x:c r="M22" s="68" t="str">
        <x:v>M04-BOUND-0047-V1.0</x:v>
      </x:c>
      <x:c r="N22" s="68" t="str">
        <x:v>甲为年干；己仅藏于丑中，四柱天干无己。</x:v>
      </x:c>
      <x:c r="O22" s="68" t="str">
        <x:v>不识别甲己天干五合。</x:v>
      </x:c>
      <x:c r="P22" s="68" t="str">
        <x:v>丑中己仍保留藏干存在，但不能形成明干合。</x:v>
      </x:c>
      <x:c r="Q22" s="68" t="str">
        <x:v>甲己合候选被否决。</x:v>
      </x:c>
      <x:c r="R22" s="68" t="str">
        <x:v>仅藏己不能与明甲建立天干五合。</x:v>
      </x:c>
      <x:c r="S22" s="68" t="str">
        <x:v>仅藏己不能与明甲建立天干五合。</x:v>
      </x:c>
      <x:c r="T22" s="82" t="str">
        <x:f>IF(S22="","未测试",IF(S22=R22,"通过",IF(LEFT(S22,4)="部分符合","部分通过",IF(LEFT(S22,3)="失败","未通过","待复核"))))</x:f>
        <x:v>通过</x:v>
      </x:c>
      <x:c r="U22" s="68" t="str">
        <x:v>无；人工逐层复核结果与预期一致。</x:v>
      </x:c>
      <x:c r="V22" s="68" t="str">
        <x:v>无</x:v>
      </x:c>
      <x:c r="W22" s="68" t="str">
        <x:v>无需修改；保留为回归基线。</x:v>
      </x:c>
      <x:c r="X22" s="82" t="str">
        <x:v>未测试</x:v>
      </x:c>
      <x:c r="Y22" s="68" t="str">
        <x:v>OpenAI_M20规则回归</x:v>
      </x:c>
      <x:c r="Z22" s="68" t="str">
        <x:v>待人工复核</x:v>
      </x:c>
      <x:c r="AA22" s="87" t="n">
        <x:v>46260</x:v>
      </x:c>
      <x:c r="AB22" s="68" t="str">
        <x:v>V1.7</x:v>
      </x:c>
      <x:c r="AC22" s="68" t="str">
        <x:v>合成命例仅用于规则单元/集成测试，不替代真实命例外部验证。</x:v>
      </x:c>
      <x:c r="AE22" s="240" t="str">
        <x:v>M09</x:v>
      </x:c>
      <x:c r="AF22" s="241" t="n">
        <x:f>COUNTIF($L$7:$L$156,"M09")</x:f>
        <x:v>6</x:v>
      </x:c>
      <x:c r="AG22" s="242" t="n">
        <x:f>IF($AF$3=0,0,AF22/$AF$3)</x:f>
        <x:v>0.04</x:v>
      </x:c>
    </x:row>
    <x:row r="23">
      <x:c r="A23" s="72" t="str">
        <x:f>IF(OR(C23="",D23=""),"",B23&amp;"-"&amp;UPPER(C23)&amp;"-"&amp;TEXT(D23,"0000")&amp;"-"&amp;E23)</x:f>
        <x:v>M20-REL-0017-V1.0</x:v>
      </x:c>
      <x:c r="B23" s="74" t="str">
        <x:v>M20</x:v>
      </x:c>
      <x:c r="C23" s="74" t="str">
        <x:v>REL</x:v>
      </x:c>
      <x:c r="D23" s="215" t="n">
        <x:v>17</x:v>
      </x:c>
      <x:c r="E23" s="74" t="str">
        <x:v>V1.0</x:v>
      </x:c>
      <x:c r="F23" s="68" t="str">
        <x:v>一己两甲生成争合候选</x:v>
      </x:c>
      <x:c r="G23" s="68" t="str">
        <x:v>甲子 己丑 甲寅 丁卯</x:v>
      </x:c>
      <x:c r="H23" s="82" t="str">
        <x:v>未知/不适用</x:v>
      </x:c>
      <x:c r="I23" s="68" t="str">
        <x:v>合成命例；不用于历法排盘；月令按月支与输入事实假设</x:v>
      </x:c>
      <x:c r="J23" s="68" t="str">
        <x:v>内部合成规则测试</x:v>
      </x:c>
      <x:c r="K23" s="82" t="str">
        <x:v>边界案例</x:v>
      </x:c>
      <x:c r="L23" s="68" t="str">
        <x:v>M04</x:v>
      </x:c>
      <x:c r="M23" s="68" t="str">
        <x:v>M04-ZHENG-0037-V1.0；M04-ZHENG-0042-V1.0</x:v>
      </x:c>
      <x:c r="N23" s="68" t="str">
        <x:v>年干甲、月干己、日干甲；己分别与两甲形成固定配对。</x:v>
      </x:c>
      <x:c r="O23" s="68" t="str">
        <x:v>登记年甲—月己、日甲—月己两个独立合实例，并生成争合候选。</x:v>
      </x:c>
      <x:c r="P23" s="68" t="str">
        <x:v>识别层不判哪一甲合得更牢。</x:v>
      </x:c>
      <x:c r="Q23" s="68" t="str">
        <x:v>M06应下调单一合关系稳定性。</x:v>
      </x:c>
      <x:c r="R23" s="68" t="str">
        <x:v>甲己争合候选与两个柱位实例均被保留。</x:v>
      </x:c>
      <x:c r="S23" s="68" t="str">
        <x:v>甲己争合候选与两个柱位实例均被保留。</x:v>
      </x:c>
      <x:c r="T23" s="82" t="str">
        <x:f>IF(S23="","未测试",IF(S23=R23,"通过",IF(LEFT(S23,4)="部分符合","部分通过",IF(LEFT(S23,3)="失败","未通过","待复核"))))</x:f>
        <x:v>通过</x:v>
      </x:c>
      <x:c r="U23" s="68" t="str">
        <x:v>无；人工逐层复核结果与预期一致。</x:v>
      </x:c>
      <x:c r="V23" s="68" t="str">
        <x:v>无</x:v>
      </x:c>
      <x:c r="W23" s="68" t="str">
        <x:v>无需修改；保留为回归基线。</x:v>
      </x:c>
      <x:c r="X23" s="82" t="str">
        <x:v>未测试</x:v>
      </x:c>
      <x:c r="Y23" s="68" t="str">
        <x:v>OpenAI_M20规则回归</x:v>
      </x:c>
      <x:c r="Z23" s="68" t="str">
        <x:v>待人工复核</x:v>
      </x:c>
      <x:c r="AA23" s="87" t="n">
        <x:v>46260</x:v>
      </x:c>
      <x:c r="AB23" s="68" t="str">
        <x:v>V1.7</x:v>
      </x:c>
      <x:c r="AC23" s="68" t="str">
        <x:v>合成命例仅用于规则单元/集成测试，不替代真实命例外部验证。</x:v>
      </x:c>
      <x:c r="AE23" s="240" t="str">
        <x:v>M10</x:v>
      </x:c>
      <x:c r="AF23" s="241" t="n">
        <x:f>COUNTIF($L$7:$L$156,"M10")</x:f>
        <x:v>7</x:v>
      </x:c>
      <x:c r="AG23" s="242" t="n">
        <x:f>IF($AF$3=0,0,AF23/$AF$3)</x:f>
        <x:v>0.04666666666666667</x:v>
      </x:c>
    </x:row>
    <x:row r="24">
      <x:c r="A24" s="72" t="str">
        <x:f>IF(OR(C24="",D24=""),"",B24&amp;"-"&amp;UPPER(C24)&amp;"-"&amp;TEXT(D24,"0000")&amp;"-"&amp;E24)</x:f>
        <x:v>M20-REL-0018-V1.0</x:v>
      </x:c>
      <x:c r="B24" s="74" t="str">
        <x:v>M20</x:v>
      </x:c>
      <x:c r="C24" s="74" t="str">
        <x:v>REL</x:v>
      </x:c>
      <x:c r="D24" s="215" t="n">
        <x:v>18</x:v>
      </x:c>
      <x:c r="E24" s="74" t="str">
        <x:v>V1.0</x:v>
      </x:c>
      <x:c r="F24" s="68" t="str">
        <x:v>甲己合与甲克己需同时列出</x:v>
      </x:c>
      <x:c r="G24" s="68" t="str">
        <x:v>甲子 己丑 丙寅 丁卯</x:v>
      </x:c>
      <x:c r="H24" s="82" t="str">
        <x:v>未知/不适用</x:v>
      </x:c>
      <x:c r="I24" s="68" t="str">
        <x:v>合成命例；不用于历法排盘；月令按月支与输入事实假设</x:v>
      </x:c>
      <x:c r="J24" s="68" t="str">
        <x:v>内部合成规则测试</x:v>
      </x:c>
      <x:c r="K24" s="82" t="str">
        <x:v>边界案例</x:v>
      </x:c>
      <x:c r="L24" s="68" t="str">
        <x:v>M04</x:v>
      </x:c>
      <x:c r="M24" s="68" t="str">
        <x:v>M04-OVER-0046-V1.0</x:v>
      </x:c>
      <x:c r="N24" s="68" t="str">
        <x:v>甲与己既是五合固定配对，又存在甲木克己土的生克路径。</x:v>
      </x:c>
      <x:c r="O24" s="68" t="str">
        <x:v>独立登记甲己合和甲克己两个关系。</x:v>
      </x:c>
      <x:c r="P24" s="68" t="str">
        <x:v>效应层再判断合意、合绊与克制净效应。</x:v>
      </x:c>
      <x:c r="Q24" s="68" t="str">
        <x:v>不得因合而删除克，也不得因克而删除合。</x:v>
      </x:c>
      <x:c r="R24" s="68" t="str">
        <x:v>甲己合克并见被正确拆分。</x:v>
      </x:c>
      <x:c r="S24" s="68" t="str">
        <x:v>甲己合克并见被正确拆分。</x:v>
      </x:c>
      <x:c r="T24" s="82" t="str">
        <x:f>IF(S24="","未测试",IF(S24=R24,"通过",IF(LEFT(S24,4)="部分符合","部分通过",IF(LEFT(S24,3)="失败","未通过","待复核"))))</x:f>
        <x:v>通过</x:v>
      </x:c>
      <x:c r="U24" s="68" t="str">
        <x:v>无；人工逐层复核结果与预期一致。</x:v>
      </x:c>
      <x:c r="V24" s="68" t="str">
        <x:v>无</x:v>
      </x:c>
      <x:c r="W24" s="68" t="str">
        <x:v>无需修改；保留为回归基线。</x:v>
      </x:c>
      <x:c r="X24" s="82" t="str">
        <x:v>未测试</x:v>
      </x:c>
      <x:c r="Y24" s="68" t="str">
        <x:v>OpenAI_M20规则回归</x:v>
      </x:c>
      <x:c r="Z24" s="68" t="str">
        <x:v>待人工复核</x:v>
      </x:c>
      <x:c r="AA24" s="87" t="n">
        <x:v>46260</x:v>
      </x:c>
      <x:c r="AB24" s="68" t="str">
        <x:v>V1.7</x:v>
      </x:c>
      <x:c r="AC24" s="68" t="str">
        <x:v>合成命例仅用于规则单元/集成测试，不替代真实命例外部验证。</x:v>
      </x:c>
      <x:c r="AE24" s="240" t="str">
        <x:v>M11</x:v>
      </x:c>
      <x:c r="AF24" s="241" t="n">
        <x:f>COUNTIF($L$7:$L$156,"M11")</x:f>
        <x:v>13</x:v>
      </x:c>
      <x:c r="AG24" s="242" t="n">
        <x:f>IF($AF$3=0,0,AF24/$AF$3)</x:f>
        <x:v>0.08666666666666667</x:v>
      </x:c>
    </x:row>
    <x:row r="25">
      <x:c r="A25" s="72" t="str">
        <x:f>IF(OR(C25="",D25=""),"",B25&amp;"-"&amp;UPPER(C25)&amp;"-"&amp;TEXT(D25,"0000")&amp;"-"&amp;E25)</x:f>
        <x:v>M20-REL-0019-V1.0</x:v>
      </x:c>
      <x:c r="B25" s="74" t="str">
        <x:v>M20</x:v>
      </x:c>
      <x:c r="C25" s="74" t="str">
        <x:v>REL</x:v>
      </x:c>
      <x:c r="D25" s="215" t="n">
        <x:v>19</x:v>
      </x:c>
      <x:c r="E25" s="74" t="str">
        <x:v>V1.0</x:v>
      </x:c>
      <x:c r="F25" s="68" t="str">
        <x:v>子丑六合客观识别</x:v>
      </x:c>
      <x:c r="G25" s="68" t="str">
        <x:v>甲子 乙丑 丙寅 丁卯</x:v>
      </x:c>
      <x:c r="H25" s="82" t="str">
        <x:v>未知/不适用</x:v>
      </x:c>
      <x:c r="I25" s="68" t="str">
        <x:v>合成命例；不用于历法排盘；月令按月支与输入事实假设</x:v>
      </x:c>
      <x:c r="J25" s="68" t="str">
        <x:v>内部合成规则测试</x:v>
      </x:c>
      <x:c r="K25" s="82" t="str">
        <x:v>正例</x:v>
      </x:c>
      <x:c r="L25" s="68" t="str">
        <x:v>M05</x:v>
      </x:c>
      <x:c r="M25" s="68" t="str">
        <x:v>M05-LIUHE-0001-V1.0；M05-BOUND-0074-V1.0</x:v>
      </x:c>
      <x:c r="N25" s="68" t="str">
        <x:v>原局地支同时见子、丑。</x:v>
      </x:c>
      <x:c r="O25" s="68" t="str">
        <x:v>识别子丑六合并记录柱位。</x:v>
      </x:c>
      <x:c r="P25" s="68" t="str">
        <x:v>不预设合化、合住或双方减力。</x:v>
      </x:c>
      <x:c r="Q25" s="68" t="str">
        <x:v>六合仅进入M06效应判断。</x:v>
      </x:c>
      <x:c r="R25" s="68" t="str">
        <x:v>子丑六合成立，但合化未被越级认定。</x:v>
      </x:c>
      <x:c r="S25" s="68" t="str">
        <x:v>子丑六合成立，但合化未被越级认定。</x:v>
      </x:c>
      <x:c r="T25" s="82" t="str">
        <x:f>IF(S25="","未测试",IF(S25=R25,"通过",IF(LEFT(S25,4)="部分符合","部分通过",IF(LEFT(S25,3)="失败","未通过","待复核"))))</x:f>
        <x:v>通过</x:v>
      </x:c>
      <x:c r="U25" s="68" t="str">
        <x:v>无；人工逐层复核结果与预期一致。</x:v>
      </x:c>
      <x:c r="V25" s="68" t="str">
        <x:v>无</x:v>
      </x:c>
      <x:c r="W25" s="68" t="str">
        <x:v>无需修改；保留为回归基线。</x:v>
      </x:c>
      <x:c r="X25" s="82" t="str">
        <x:v>未测试</x:v>
      </x:c>
      <x:c r="Y25" s="68" t="str">
        <x:v>OpenAI_M20规则回归</x:v>
      </x:c>
      <x:c r="Z25" s="68" t="str">
        <x:v>待人工复核</x:v>
      </x:c>
      <x:c r="AA25" s="87" t="n">
        <x:v>46260</x:v>
      </x:c>
      <x:c r="AB25" s="68" t="str">
        <x:v>V1.7</x:v>
      </x:c>
      <x:c r="AC25" s="68" t="str">
        <x:v>合成命例仅用于规则单元/集成测试，不替代真实命例外部验证。</x:v>
      </x:c>
      <x:c r="AE25" s="240" t="str">
        <x:v>M12</x:v>
      </x:c>
      <x:c r="AF25" s="241" t="n">
        <x:f>COUNTIF($L$7:$L$156,"M12")</x:f>
        <x:v>12</x:v>
      </x:c>
      <x:c r="AG25" s="242" t="n">
        <x:f>IF($AF$3=0,0,AF25/$AF$3)</x:f>
        <x:v>0.08</x:v>
      </x:c>
    </x:row>
    <x:row r="26">
      <x:c r="A26" s="72" t="str">
        <x:f>IF(OR(C26="",D26=""),"",B26&amp;"-"&amp;UPPER(C26)&amp;"-"&amp;TEXT(D26,"0000")&amp;"-"&amp;E26)</x:f>
        <x:v>M20-REL-0020-V1.0</x:v>
      </x:c>
      <x:c r="B26" s="74" t="str">
        <x:v>M20</x:v>
      </x:c>
      <x:c r="C26" s="74" t="str">
        <x:v>REL</x:v>
      </x:c>
      <x:c r="D26" s="215" t="n">
        <x:v>20</x:v>
      </x:c>
      <x:c r="E26" s="74" t="str">
        <x:v>V1.0</x:v>
      </x:c>
      <x:c r="F26" s="68" t="str">
        <x:v>申子辰三合结构完整识别</x:v>
      </x:c>
      <x:c r="G26" s="68" t="str">
        <x:v>庚申 壬子 甲辰 丙午</x:v>
      </x:c>
      <x:c r="H26" s="82" t="str">
        <x:v>未知/不适用</x:v>
      </x:c>
      <x:c r="I26" s="68" t="str">
        <x:v>合成命例；不用于历法排盘；月令按月支与输入事实假设</x:v>
      </x:c>
      <x:c r="J26" s="68" t="str">
        <x:v>内部合成规则测试</x:v>
      </x:c>
      <x:c r="K26" s="82" t="str">
        <x:v>正例</x:v>
      </x:c>
      <x:c r="L26" s="68" t="str">
        <x:v>M05</x:v>
      </x:c>
      <x:c r="M26" s="68" t="str">
        <x:v>M05-SANHE-0007-V1.0；M05-BOUND-0075-V1.0</x:v>
      </x:c>
      <x:c r="N26" s="68" t="str">
        <x:v>原局地支申、子、辰三支齐全。</x:v>
      </x:c>
      <x:c r="O26" s="68" t="str">
        <x:v>识别申子辰三合结构完整。</x:v>
      </x:c>
      <x:c r="P26" s="68" t="str">
        <x:v>完整结构不等于水局已经成局。</x:v>
      </x:c>
      <x:c r="Q26" s="68" t="str">
        <x:v>转M06检查中神、月令、透干、破局和全局气势。</x:v>
      </x:c>
      <x:c r="R26" s="68" t="str">
        <x:v>三合完整被识别，成局结论被保留待审。</x:v>
      </x:c>
      <x:c r="S26" s="68" t="str">
        <x:v>三合完整被识别，成局结论被保留待审。</x:v>
      </x:c>
      <x:c r="T26" s="82" t="str">
        <x:f>IF(S26="","未测试",IF(S26=R26,"通过",IF(LEFT(S26,4)="部分符合","部分通过",IF(LEFT(S26,3)="失败","未通过","待复核"))))</x:f>
        <x:v>通过</x:v>
      </x:c>
      <x:c r="U26" s="68" t="str">
        <x:v>无；人工逐层复核结果与预期一致。</x:v>
      </x:c>
      <x:c r="V26" s="68" t="str">
        <x:v>无</x:v>
      </x:c>
      <x:c r="W26" s="68" t="str">
        <x:v>无需修改；保留为回归基线。</x:v>
      </x:c>
      <x:c r="X26" s="82" t="str">
        <x:v>未测试</x:v>
      </x:c>
      <x:c r="Y26" s="68" t="str">
        <x:v>OpenAI_M20规则回归</x:v>
      </x:c>
      <x:c r="Z26" s="68" t="str">
        <x:v>待人工复核</x:v>
      </x:c>
      <x:c r="AA26" s="87" t="n">
        <x:v>46260</x:v>
      </x:c>
      <x:c r="AB26" s="68" t="str">
        <x:v>V1.7</x:v>
      </x:c>
      <x:c r="AC26" s="68" t="str">
        <x:v>合成命例仅用于规则单元/集成测试，不替代真实命例外部验证。</x:v>
      </x:c>
      <x:c r="AE26" s="240" t="str">
        <x:v>M13</x:v>
      </x:c>
      <x:c r="AF26" s="241" t="n">
        <x:f>COUNTIF($L$7:$L$156,"M13")</x:f>
        <x:v>12</x:v>
      </x:c>
      <x:c r="AG26" s="242" t="n">
        <x:f>IF($AF$3=0,0,AF26/$AF$3)</x:f>
        <x:v>0.08</x:v>
      </x:c>
    </x:row>
    <x:row r="27">
      <x:c r="A27" s="72" t="str">
        <x:f>IF(OR(C27="",D27=""),"",B27&amp;"-"&amp;UPPER(C27)&amp;"-"&amp;TEXT(D27,"0000")&amp;"-"&amp;E27)</x:f>
        <x:v>M20-REL-0021-V1.0</x:v>
      </x:c>
      <x:c r="B27" s="74" t="str">
        <x:v>M20</x:v>
      </x:c>
      <x:c r="C27" s="74" t="str">
        <x:v>REL</x:v>
      </x:c>
      <x:c r="D27" s="215" t="n">
        <x:v>21</x:v>
      </x:c>
      <x:c r="E27" s="74" t="str">
        <x:v>V1.0</x:v>
      </x:c>
      <x:c r="F27" s="68" t="str">
        <x:v>申子属于半合而非完整三合</x:v>
      </x:c>
      <x:c r="G27" s="68" t="str">
        <x:v>庚申 壬子 甲午 丙寅</x:v>
      </x:c>
      <x:c r="H27" s="82" t="str">
        <x:v>未知/不适用</x:v>
      </x:c>
      <x:c r="I27" s="68" t="str">
        <x:v>合成命例；不用于历法排盘；月令按月支与输入事实假设</x:v>
      </x:c>
      <x:c r="J27" s="68" t="str">
        <x:v>内部合成规则测试</x:v>
      </x:c>
      <x:c r="K27" s="82" t="str">
        <x:v>正例</x:v>
      </x:c>
      <x:c r="L27" s="68" t="str">
        <x:v>M05</x:v>
      </x:c>
      <x:c r="M27" s="68" t="str">
        <x:v>M05-BANHE-0011-V1.0；M05-BOUND-0070-V1.0</x:v>
      </x:c>
      <x:c r="N27" s="68" t="str">
        <x:v>地支见申、子，不见辰。</x:v>
      </x:c>
      <x:c r="O27" s="68" t="str">
        <x:v>识别申子半合，不识别申子辰三合完整。</x:v>
      </x:c>
      <x:c r="P27" s="68" t="str">
        <x:v>半合效应另转M06，不能套完整局气。</x:v>
      </x:c>
      <x:c r="Q27" s="68" t="str">
        <x:v>结构状态为局部候选。</x:v>
      </x:c>
      <x:c r="R27" s="68" t="str">
        <x:v>申子半合成立，完整三合被否决。</x:v>
      </x:c>
      <x:c r="S27" s="68" t="str">
        <x:v>申子半合成立，完整三合被否决。</x:v>
      </x:c>
      <x:c r="T27" s="82" t="str">
        <x:f>IF(S27="","未测试",IF(S27=R27,"通过",IF(LEFT(S27,4)="部分符合","部分通过",IF(LEFT(S27,3)="失败","未通过","待复核"))))</x:f>
        <x:v>通过</x:v>
      </x:c>
      <x:c r="U27" s="68" t="str">
        <x:v>无；人工逐层复核结果与预期一致。</x:v>
      </x:c>
      <x:c r="V27" s="68" t="str">
        <x:v>无</x:v>
      </x:c>
      <x:c r="W27" s="68" t="str">
        <x:v>无需修改；保留为回归基线。</x:v>
      </x:c>
      <x:c r="X27" s="82" t="str">
        <x:v>未测试</x:v>
      </x:c>
      <x:c r="Y27" s="68" t="str">
        <x:v>OpenAI_M20规则回归</x:v>
      </x:c>
      <x:c r="Z27" s="68" t="str">
        <x:v>待人工复核</x:v>
      </x:c>
      <x:c r="AA27" s="87" t="n">
        <x:v>46260</x:v>
      </x:c>
      <x:c r="AB27" s="68" t="str">
        <x:v>V1.7</x:v>
      </x:c>
      <x:c r="AC27" s="68" t="str">
        <x:v>合成命例仅用于规则单元/集成测试，不替代真实命例外部验证。</x:v>
      </x:c>
      <x:c r="AE27" s="240" t="str">
        <x:v>M14</x:v>
      </x:c>
      <x:c r="AF27" s="241" t="n">
        <x:f>COUNTIF($L$7:$L$156,"M14")</x:f>
        <x:v>17</x:v>
      </x:c>
      <x:c r="AG27" s="242" t="n">
        <x:f>IF($AF$3=0,0,AF27/$AF$3)</x:f>
        <x:v>0.11333333333333333</x:v>
      </x:c>
    </x:row>
    <x:row r="28">
      <x:c r="A28" s="72" t="str">
        <x:f>IF(OR(C28="",D28=""),"",B28&amp;"-"&amp;UPPER(C28)&amp;"-"&amp;TEXT(D28,"0000")&amp;"-"&amp;E28)</x:f>
        <x:v>M20-REL-0022-V1.0</x:v>
      </x:c>
      <x:c r="B28" s="74" t="str">
        <x:v>M20</x:v>
      </x:c>
      <x:c r="C28" s="74" t="str">
        <x:v>REL</x:v>
      </x:c>
      <x:c r="D28" s="215" t="n">
        <x:v>22</x:v>
      </x:c>
      <x:c r="E28" s="74" t="str">
        <x:v>V1.0</x:v>
      </x:c>
      <x:c r="F28" s="68" t="str">
        <x:v>申辰无子属于拱合而非半合</x:v>
      </x:c>
      <x:c r="G28" s="68" t="str">
        <x:v>庚申 戊辰 甲午 丙寅</x:v>
      </x:c>
      <x:c r="H28" s="82" t="str">
        <x:v>未知/不适用</x:v>
      </x:c>
      <x:c r="I28" s="68" t="str">
        <x:v>合成命例；不用于历法排盘；月令按月支与输入事实假设</x:v>
      </x:c>
      <x:c r="J28" s="68" t="str">
        <x:v>内部合成规则测试</x:v>
      </x:c>
      <x:c r="K28" s="82" t="str">
        <x:v>边界案例</x:v>
      </x:c>
      <x:c r="L28" s="68" t="str">
        <x:v>M05</x:v>
      </x:c>
      <x:c r="M28" s="68" t="str">
        <x:v>M05-GONGHE-0019-V1.0；M05-BOUND-0087-V1.0</x:v>
      </x:c>
      <x:c r="N28" s="68" t="str">
        <x:v>三合两端申、辰齐全，中神子缺失。</x:v>
      </x:c>
      <x:c r="O28" s="68" t="str">
        <x:v>识别申辰拱合，不标半合。</x:v>
      </x:c>
      <x:c r="P28" s="68" t="str">
        <x:v>只生成拱水候选，岁运补子另作动态判断。</x:v>
      </x:c>
      <x:c r="Q28" s="68" t="str">
        <x:v>原局不能按申子辰水局处理。</x:v>
      </x:c>
      <x:c r="R28" s="68" t="str">
        <x:v>申辰被正确分类为拱合。</x:v>
      </x:c>
      <x:c r="S28" s="68" t="str">
        <x:v>申辰被正确分类为拱合。</x:v>
      </x:c>
      <x:c r="T28" s="82" t="str">
        <x:f>IF(S28="","未测试",IF(S28=R28,"通过",IF(LEFT(S28,4)="部分符合","部分通过",IF(LEFT(S28,3)="失败","未通过","待复核"))))</x:f>
        <x:v>通过</x:v>
      </x:c>
      <x:c r="U28" s="68" t="str">
        <x:v>无；人工逐层复核结果与预期一致。</x:v>
      </x:c>
      <x:c r="V28" s="68" t="str">
        <x:v>无</x:v>
      </x:c>
      <x:c r="W28" s="68" t="str">
        <x:v>无需修改；保留为回归基线。</x:v>
      </x:c>
      <x:c r="X28" s="82" t="str">
        <x:v>未测试</x:v>
      </x:c>
      <x:c r="Y28" s="68" t="str">
        <x:v>OpenAI_M20规则回归</x:v>
      </x:c>
      <x:c r="Z28" s="68" t="str">
        <x:v>待人工复核</x:v>
      </x:c>
      <x:c r="AA28" s="87" t="n">
        <x:v>46260</x:v>
      </x:c>
      <x:c r="AB28" s="68" t="str">
        <x:v>V1.7</x:v>
      </x:c>
      <x:c r="AC28" s="68" t="str">
        <x:v>合成命例仅用于规则单元/集成测试，不替代真实命例外部验证。</x:v>
      </x:c>
      <x:c r="AE28" s="240" t="str">
        <x:v>M15</x:v>
      </x:c>
      <x:c r="AF28" s="241" t="n">
        <x:f>COUNTIF($L$7:$L$156,"M15")</x:f>
        <x:v>4</x:v>
      </x:c>
      <x:c r="AG28" s="242" t="n">
        <x:f>IF($AF$3=0,0,AF28/$AF$3)</x:f>
        <x:v>0.02666666666666667</x:v>
      </x:c>
    </x:row>
    <x:row r="29">
      <x:c r="A29" s="72" t="str">
        <x:f>IF(OR(C29="",D29=""),"",B29&amp;"-"&amp;UPPER(C29)&amp;"-"&amp;TEXT(D29,"0000")&amp;"-"&amp;E29)</x:f>
        <x:v>M20-REL-0023-V1.0</x:v>
      </x:c>
      <x:c r="B29" s="74" t="str">
        <x:v>M20</x:v>
      </x:c>
      <x:c r="C29" s="74" t="str">
        <x:v>REL</x:v>
      </x:c>
      <x:c r="D29" s="215" t="n">
        <x:v>23</x:v>
      </x:c>
      <x:c r="E29" s="74" t="str">
        <x:v>V1.0</x:v>
      </x:c>
      <x:c r="F29" s="68" t="str">
        <x:v>寅卯辰三会结构完整识别</x:v>
      </x:c>
      <x:c r="G29" s="68" t="str">
        <x:v>甲寅 乙卯 丙辰 丁午</x:v>
      </x:c>
      <x:c r="H29" s="82" t="str">
        <x:v>未知/不适用</x:v>
      </x:c>
      <x:c r="I29" s="68" t="str">
        <x:v>合成命例；不用于历法排盘；月令按月支与输入事实假设</x:v>
      </x:c>
      <x:c r="J29" s="68" t="str">
        <x:v>内部合成规则测试</x:v>
      </x:c>
      <x:c r="K29" s="82" t="str">
        <x:v>正例</x:v>
      </x:c>
      <x:c r="L29" s="68" t="str">
        <x:v>M05</x:v>
      </x:c>
      <x:c r="M29" s="68" t="str">
        <x:v>M05-SANHUI-0024-V1.0；M05-BOUND-0076-V1.0</x:v>
      </x:c>
      <x:c r="N29" s="68" t="str">
        <x:v>地支寅、卯、辰齐全。</x:v>
      </x:c>
      <x:c r="O29" s="68" t="str">
        <x:v>识别寅卯辰三会结构完整。</x:v>
      </x:c>
      <x:c r="P29" s="68" t="str">
        <x:v>完整不等于木方局已经成势。</x:v>
      </x:c>
      <x:c r="Q29" s="68" t="str">
        <x:v>转M06判断得令、透干、根气和破坏因素。</x:v>
      </x:c>
      <x:c r="R29" s="68" t="str">
        <x:v>三会完整被识别，成局效应未越级。</x:v>
      </x:c>
      <x:c r="S29" s="68" t="str">
        <x:v>三会完整被识别，成局效应未越级。</x:v>
      </x:c>
      <x:c r="T29" s="82" t="str">
        <x:f>IF(S29="","未测试",IF(S29=R29,"通过",IF(LEFT(S29,4)="部分符合","部分通过",IF(LEFT(S29,3)="失败","未通过","待复核"))))</x:f>
        <x:v>通过</x:v>
      </x:c>
      <x:c r="U29" s="68" t="str">
        <x:v>无；人工逐层复核结果与预期一致。</x:v>
      </x:c>
      <x:c r="V29" s="68" t="str">
        <x:v>无</x:v>
      </x:c>
      <x:c r="W29" s="68" t="str">
        <x:v>无需修改；保留为回归基线。</x:v>
      </x:c>
      <x:c r="X29" s="82" t="str">
        <x:v>未测试</x:v>
      </x:c>
      <x:c r="Y29" s="68" t="str">
        <x:v>OpenAI_M20规则回归</x:v>
      </x:c>
      <x:c r="Z29" s="68" t="str">
        <x:v>待人工复核</x:v>
      </x:c>
      <x:c r="AA29" s="87" t="n">
        <x:v>46260</x:v>
      </x:c>
      <x:c r="AB29" s="68" t="str">
        <x:v>V1.7</x:v>
      </x:c>
      <x:c r="AC29" s="68" t="str">
        <x:v>合成命例仅用于规则单元/集成测试，不替代真实命例外部验证。</x:v>
      </x:c>
      <x:c r="AE29" s="240" t="str">
        <x:v>M16</x:v>
      </x:c>
      <x:c r="AF29" s="241" t="n">
        <x:f>COUNTIF($L$7:$L$156,"M16")</x:f>
        <x:v>11</x:v>
      </x:c>
      <x:c r="AG29" s="242" t="n">
        <x:f>IF($AF$3=0,0,AF29/$AF$3)</x:f>
        <x:v>0.07333333333333333</x:v>
      </x:c>
    </x:row>
    <x:row r="30">
      <x:c r="A30" s="72" t="str">
        <x:f>IF(OR(C30="",D30=""),"",B30&amp;"-"&amp;UPPER(C30)&amp;"-"&amp;TEXT(D30,"0000")&amp;"-"&amp;E30)</x:f>
        <x:v>M20-REL-0024-V1.0</x:v>
      </x:c>
      <x:c r="B30" s="74" t="str">
        <x:v>M20</x:v>
      </x:c>
      <x:c r="C30" s="74" t="str">
        <x:v>REL</x:v>
      </x:c>
      <x:c r="D30" s="215" t="n">
        <x:v>24</x:v>
      </x:c>
      <x:c r="E30" s="74" t="str">
        <x:v>V1.0</x:v>
      </x:c>
      <x:c r="F30" s="68" t="str">
        <x:v>寅申六冲客观识别</x:v>
      </x:c>
      <x:c r="G30" s="68" t="str">
        <x:v>庚申 戊寅 甲辰 丙午</x:v>
      </x:c>
      <x:c r="H30" s="82" t="str">
        <x:v>未知/不适用</x:v>
      </x:c>
      <x:c r="I30" s="68" t="str">
        <x:v>合成命例；不用于历法排盘；月令按月支与输入事实假设</x:v>
      </x:c>
      <x:c r="J30" s="68" t="str">
        <x:v>内部合成规则测试</x:v>
      </x:c>
      <x:c r="K30" s="82" t="str">
        <x:v>正例</x:v>
      </x:c>
      <x:c r="L30" s="68" t="str">
        <x:v>M05</x:v>
      </x:c>
      <x:c r="M30" s="68" t="str">
        <x:v>M05-CHONG-0029-V1.0；M05-BOUND-0077-V1.0</x:v>
      </x:c>
      <x:c r="N30" s="68" t="str">
        <x:v>地支同时见寅、申。</x:v>
      </x:c>
      <x:c r="O30" s="68" t="str">
        <x:v>识别寅申冲并记录柱位。</x:v>
      </x:c>
      <x:c r="P30" s="68" t="str">
        <x:v>不预设冲散、冲去或拔根。</x:v>
      </x:c>
      <x:c r="Q30" s="68" t="str">
        <x:v>实际双方增减和根气影响转M06。</x:v>
      </x:c>
      <x:c r="R30" s="68" t="str">
        <x:v>寅申冲成立，力量后果未越级。</x:v>
      </x:c>
      <x:c r="S30" s="68" t="str">
        <x:v>寅申冲成立，力量后果未越级。</x:v>
      </x:c>
      <x:c r="T30" s="82" t="str">
        <x:f>IF(S30="","未测试",IF(S30=R30,"通过",IF(LEFT(S30,4)="部分符合","部分通过",IF(LEFT(S30,3)="失败","未通过","待复核"))))</x:f>
        <x:v>通过</x:v>
      </x:c>
      <x:c r="U30" s="68" t="str">
        <x:v>无；人工逐层复核结果与预期一致。</x:v>
      </x:c>
      <x:c r="V30" s="68" t="str">
        <x:v>无</x:v>
      </x:c>
      <x:c r="W30" s="68" t="str">
        <x:v>无需修改；保留为回归基线。</x:v>
      </x:c>
      <x:c r="X30" s="82" t="str">
        <x:v>未测试</x:v>
      </x:c>
      <x:c r="Y30" s="68" t="str">
        <x:v>OpenAI_M20规则回归</x:v>
      </x:c>
      <x:c r="Z30" s="68" t="str">
        <x:v>待人工复核</x:v>
      </x:c>
      <x:c r="AA30" s="87" t="n">
        <x:v>46260</x:v>
      </x:c>
      <x:c r="AB30" s="68" t="str">
        <x:v>V1.7</x:v>
      </x:c>
      <x:c r="AC30" s="68" t="str">
        <x:v>合成命例仅用于规则单元/集成测试，不替代真实命例外部验证。</x:v>
      </x:c>
      <x:c r="AE30" s="240" t="str">
        <x:v>M17</x:v>
      </x:c>
      <x:c r="AF30" s="241" t="n">
        <x:f>COUNTIF($L$7:$L$156,"M17")</x:f>
        <x:v>4</x:v>
      </x:c>
      <x:c r="AG30" s="242" t="n">
        <x:f>IF($AF$3=0,0,AF30/$AF$3)</x:f>
        <x:v>0.02666666666666667</x:v>
      </x:c>
    </x:row>
    <x:row r="31">
      <x:c r="A31" s="72" t="str">
        <x:f>IF(OR(C31="",D31=""),"",B31&amp;"-"&amp;UPPER(C31)&amp;"-"&amp;TEXT(D31,"0000")&amp;"-"&amp;E31)</x:f>
        <x:v>M20-REL-0025-V1.0</x:v>
      </x:c>
      <x:c r="B31" s="74" t="str">
        <x:v>M20</x:v>
      </x:c>
      <x:c r="C31" s="74" t="str">
        <x:v>REL</x:v>
      </x:c>
      <x:c r="D31" s="215" t="n">
        <x:v>25</x:v>
      </x:c>
      <x:c r="E31" s="74" t="str">
        <x:v>V1.0</x:v>
      </x:c>
      <x:c r="F31" s="68" t="str">
        <x:v>寅巳申三刑结构完整识别</x:v>
      </x:c>
      <x:c r="G31" s="68" t="str">
        <x:v>甲寅 丁巳 戊申 庚子</x:v>
      </x:c>
      <x:c r="H31" s="82" t="str">
        <x:v>未知/不适用</x:v>
      </x:c>
      <x:c r="I31" s="68" t="str">
        <x:v>合成命例；不用于历法排盘；月令按月支与输入事实假设</x:v>
      </x:c>
      <x:c r="J31" s="68" t="str">
        <x:v>内部合成规则测试</x:v>
      </x:c>
      <x:c r="K31" s="82" t="str">
        <x:v>正例</x:v>
      </x:c>
      <x:c r="L31" s="68" t="str">
        <x:v>M05</x:v>
      </x:c>
      <x:c r="M31" s="68" t="str">
        <x:v>M05-XING-0036-V1.0；M05-BOUND-0078-V1.0</x:v>
      </x:c>
      <x:c r="N31" s="68" t="str">
        <x:v>寅、巳、申三支齐全。</x:v>
      </x:c>
      <x:c r="O31" s="68" t="str">
        <x:v>识别完整三刑，同时保留其他重叠关系候选。</x:v>
      </x:c>
      <x:c r="P31" s="68" t="str">
        <x:v>不预设三支同步减力。</x:v>
      </x:c>
      <x:c r="Q31" s="68" t="str">
        <x:v>M06逐支判断刑动、刑伤和重叠效应。</x:v>
      </x:c>
      <x:c r="R31" s="68" t="str">
        <x:v>完整三刑被识别，固定减力被否决。</x:v>
      </x:c>
      <x:c r="S31" s="68" t="str">
        <x:v>完整三刑被识别，固定减力被否决。</x:v>
      </x:c>
      <x:c r="T31" s="82" t="str">
        <x:f>IF(S31="","未测试",IF(S31=R31,"通过",IF(LEFT(S31,4)="部分符合","部分通过",IF(LEFT(S31,3)="失败","未通过","待复核"))))</x:f>
        <x:v>通过</x:v>
      </x:c>
      <x:c r="U31" s="68" t="str">
        <x:v>无；人工逐层复核结果与预期一致。</x:v>
      </x:c>
      <x:c r="V31" s="68" t="str">
        <x:v>无</x:v>
      </x:c>
      <x:c r="W31" s="68" t="str">
        <x:v>无需修改；保留为回归基线。</x:v>
      </x:c>
      <x:c r="X31" s="82" t="str">
        <x:v>未测试</x:v>
      </x:c>
      <x:c r="Y31" s="68" t="str">
        <x:v>OpenAI_M20规则回归</x:v>
      </x:c>
      <x:c r="Z31" s="68" t="str">
        <x:v>待人工复核</x:v>
      </x:c>
      <x:c r="AA31" s="87" t="n">
        <x:v>46260</x:v>
      </x:c>
      <x:c r="AB31" s="68" t="str">
        <x:v>V1.7</x:v>
      </x:c>
      <x:c r="AC31" s="68" t="str">
        <x:v>合成命例仅用于规则单元/集成测试，不替代真实命例外部验证。</x:v>
      </x:c>
      <x:c r="AE31" s="240" t="str">
        <x:v>M18</x:v>
      </x:c>
      <x:c r="AF31" s="241" t="n">
        <x:f>COUNTIF($L$7:$L$156,"M18")</x:f>
        <x:v>6</x:v>
      </x:c>
      <x:c r="AG31" s="242" t="n">
        <x:f>IF($AF$3=0,0,AF31/$AF$3)</x:f>
        <x:v>0.04</x:v>
      </x:c>
    </x:row>
    <x:row r="32">
      <x:c r="A32" s="72" t="str">
        <x:f>IF(OR(C32="",D32=""),"",B32&amp;"-"&amp;UPPER(C32)&amp;"-"&amp;TEXT(D32,"0000")&amp;"-"&amp;E32)</x:f>
        <x:v>M20-REL-0026-V1.0</x:v>
      </x:c>
      <x:c r="B32" s="74" t="str">
        <x:v>M20</x:v>
      </x:c>
      <x:c r="C32" s="74" t="str">
        <x:v>REL</x:v>
      </x:c>
      <x:c r="D32" s="215" t="n">
        <x:v>26</x:v>
      </x:c>
      <x:c r="E32" s="74" t="str">
        <x:v>V1.0</x:v>
      </x:c>
      <x:c r="F32" s="68" t="str">
        <x:v>寅巳两支不得标完整三刑</x:v>
      </x:c>
      <x:c r="G32" s="68" t="str">
        <x:v>甲寅 丁巳 戊午 庚子</x:v>
      </x:c>
      <x:c r="H32" s="82" t="str">
        <x:v>未知/不适用</x:v>
      </x:c>
      <x:c r="I32" s="68" t="str">
        <x:v>合成命例；不用于历法排盘；月令按月支与输入事实假设</x:v>
      </x:c>
      <x:c r="J32" s="68" t="str">
        <x:v>内部合成规则测试</x:v>
      </x:c>
      <x:c r="K32" s="82" t="str">
        <x:v>反例</x:v>
      </x:c>
      <x:c r="L32" s="68" t="str">
        <x:v>M05</x:v>
      </x:c>
      <x:c r="M32" s="68" t="str">
        <x:v>M05-BOUND-0070-V1.0</x:v>
      </x:c>
      <x:c r="N32" s="68" t="str">
        <x:v>原局有寅、巳，无申。</x:v>
      </x:c>
      <x:c r="O32" s="68" t="str">
        <x:v>只识别寅巳局部刑与寅巳害，不标寅巳申完整三刑。</x:v>
      </x:c>
      <x:c r="P32" s="68" t="str">
        <x:v>局部关系效应另判。</x:v>
      </x:c>
      <x:c r="Q32" s="68" t="str">
        <x:v>岁运未来补申不能提前写入原局。</x:v>
      </x:c>
      <x:c r="R32" s="68" t="str">
        <x:v>缺申时完整三刑被正确否决。</x:v>
      </x:c>
      <x:c r="S32" s="68" t="str">
        <x:v>缺申时完整三刑被正确否决。</x:v>
      </x:c>
      <x:c r="T32" s="82" t="str">
        <x:f>IF(S32="","未测试",IF(S32=R32,"通过",IF(LEFT(S32,4)="部分符合","部分通过",IF(LEFT(S32,3)="失败","未通过","待复核"))))</x:f>
        <x:v>通过</x:v>
      </x:c>
      <x:c r="U32" s="68" t="str">
        <x:v>无；人工逐层复核结果与预期一致。</x:v>
      </x:c>
      <x:c r="V32" s="68" t="str">
        <x:v>无</x:v>
      </x:c>
      <x:c r="W32" s="68" t="str">
        <x:v>无需修改；保留为回归基线。</x:v>
      </x:c>
      <x:c r="X32" s="82" t="str">
        <x:v>未测试</x:v>
      </x:c>
      <x:c r="Y32" s="68" t="str">
        <x:v>OpenAI_M20规则回归</x:v>
      </x:c>
      <x:c r="Z32" s="68" t="str">
        <x:v>待人工复核</x:v>
      </x:c>
      <x:c r="AA32" s="87" t="n">
        <x:v>46260</x:v>
      </x:c>
      <x:c r="AB32" s="68" t="str">
        <x:v>V1.7</x:v>
      </x:c>
      <x:c r="AC32" s="68" t="str">
        <x:v>合成命例仅用于规则单元/集成测试，不替代真实命例外部验证。</x:v>
      </x:c>
      <x:c r="AE32" s="243" t="str">
        <x:v>M19</x:v>
      </x:c>
      <x:c r="AF32" s="244" t="n">
        <x:f>COUNTIF($L$7:$L$156,"M19")</x:f>
        <x:v>5</x:v>
      </x:c>
      <x:c r="AG32" s="245" t="n">
        <x:f>IF($AF$3=0,0,AF32/$AF$3)</x:f>
        <x:v>0.03333333333333333</x:v>
      </x:c>
    </x:row>
    <x:row r="33">
      <x:c r="A33" s="72" t="str">
        <x:f>IF(OR(C33="",D33=""),"",B33&amp;"-"&amp;UPPER(C33)&amp;"-"&amp;TEXT(D33,"0000")&amp;"-"&amp;E33)</x:f>
        <x:v>M20-REL-0027-V1.0</x:v>
      </x:c>
      <x:c r="B33" s="74" t="str">
        <x:v>M20</x:v>
      </x:c>
      <x:c r="C33" s="74" t="str">
        <x:v>REL</x:v>
      </x:c>
      <x:c r="D33" s="215" t="n">
        <x:v>27</x:v>
      </x:c>
      <x:c r="E33" s="74" t="str">
        <x:v>V1.0</x:v>
      </x:c>
      <x:c r="F33" s="68" t="str">
        <x:v>巳申合刑破三重关系独立识别</x:v>
      </x:c>
      <x:c r="G33" s="68" t="str">
        <x:v>甲子 丁巳 戊申 庚寅</x:v>
      </x:c>
      <x:c r="H33" s="82" t="str">
        <x:v>未知/不适用</x:v>
      </x:c>
      <x:c r="I33" s="68" t="str">
        <x:v>合成命例；不用于历法排盘；月令按月支与输入事实假设</x:v>
      </x:c>
      <x:c r="J33" s="68" t="str">
        <x:v>内部合成规则测试</x:v>
      </x:c>
      <x:c r="K33" s="82" t="str">
        <x:v>边界案例</x:v>
      </x:c>
      <x:c r="L33" s="68" t="str">
        <x:v>M05</x:v>
      </x:c>
      <x:c r="M33" s="68" t="str">
        <x:v>M05-OVER-0081-V1.0</x:v>
      </x:c>
      <x:c r="N33" s="68" t="str">
        <x:v>地支巳、申同现。</x:v>
      </x:c>
      <x:c r="O33" s="68" t="str">
        <x:v>同时登记巳申六合、巳申刑、巳申破。</x:v>
      </x:c>
      <x:c r="P33" s="68" t="str">
        <x:v>识别层不先定哪一种关系优先。</x:v>
      </x:c>
      <x:c r="Q33" s="68" t="str">
        <x:v>M06分别判断主效应、次效应和共享节点容量。</x:v>
      </x:c>
      <x:c r="R33" s="68" t="str">
        <x:v>巳申三重关系均被保留。</x:v>
      </x:c>
      <x:c r="S33" s="68" t="str">
        <x:v>巳申三重关系均被保留。</x:v>
      </x:c>
      <x:c r="T33" s="82" t="str">
        <x:f>IF(S33="","未测试",IF(S33=R33,"通过",IF(LEFT(S33,4)="部分符合","部分通过",IF(LEFT(S33,3)="失败","未通过","待复核"))))</x:f>
        <x:v>通过</x:v>
      </x:c>
      <x:c r="U33" s="68" t="str">
        <x:v>无；人工逐层复核结果与预期一致。</x:v>
      </x:c>
      <x:c r="V33" s="68" t="str">
        <x:v>无</x:v>
      </x:c>
      <x:c r="W33" s="68" t="str">
        <x:v>无需修改；保留为回归基线。</x:v>
      </x:c>
      <x:c r="X33" s="82" t="str">
        <x:v>未测试</x:v>
      </x:c>
      <x:c r="Y33" s="68" t="str">
        <x:v>OpenAI_M20规则回归</x:v>
      </x:c>
      <x:c r="Z33" s="68" t="str">
        <x:v>待人工复核</x:v>
      </x:c>
      <x:c r="AA33" s="87" t="n">
        <x:v>46260</x:v>
      </x:c>
      <x:c r="AB33" s="68" t="str">
        <x:v>V1.7</x:v>
      </x:c>
      <x:c r="AC33" s="68" t="str">
        <x:v>合成命例仅用于规则单元/集成测试，不替代真实命例外部验证。</x:v>
      </x:c>
      <x:c r="AE33" s="243"/>
      <x:c r="AF33" s="244"/>
      <x:c r="AG33" s="245"/>
    </x:row>
    <x:row r="34">
      <x:c r="A34" s="72" t="str">
        <x:f>IF(OR(C34="",D34=""),"",B34&amp;"-"&amp;UPPER(C34)&amp;"-"&amp;TEXT(D34,"0000")&amp;"-"&amp;E34)</x:f>
        <x:v>M20-REL-0028-V1.0</x:v>
      </x:c>
      <x:c r="B34" s="74" t="str">
        <x:v>M20</x:v>
      </x:c>
      <x:c r="C34" s="74" t="str">
        <x:v>REL</x:v>
      </x:c>
      <x:c r="D34" s="215" t="n">
        <x:v>28</x:v>
      </x:c>
      <x:c r="E34" s="74" t="str">
        <x:v>V1.0</x:v>
      </x:c>
      <x:c r="F34" s="68" t="str">
        <x:v>重复寅不能替代缺失申补全三刑</x:v>
      </x:c>
      <x:c r="G34" s="68" t="str">
        <x:v>甲寅 乙寅 丙巳 丁午</x:v>
      </x:c>
      <x:c r="H34" s="82" t="str">
        <x:v>未知/不适用</x:v>
      </x:c>
      <x:c r="I34" s="68" t="str">
        <x:v>合成命例；不用于历法排盘；月令按月支与输入事实假设</x:v>
      </x:c>
      <x:c r="J34" s="68" t="str">
        <x:v>内部合成规则测试</x:v>
      </x:c>
      <x:c r="K34" s="82" t="str">
        <x:v>反例</x:v>
      </x:c>
      <x:c r="L34" s="68" t="str">
        <x:v>M05</x:v>
      </x:c>
      <x:c r="M34" s="68" t="str">
        <x:v>M05-BOUND-0089-V1.0</x:v>
      </x:c>
      <x:c r="N34" s="68" t="str">
        <x:v>地支有两个寅和一个巳，但无申。</x:v>
      </x:c>
      <x:c r="O34" s="68" t="str">
        <x:v>识别两个寅节点及寅巳局部刑害；不识别完整三刑。</x:v>
      </x:c>
      <x:c r="P34" s="68" t="str">
        <x:v>重复同支不能充当另一缺失成员。</x:v>
      </x:c>
      <x:c r="Q34" s="68" t="str">
        <x:v>原局完整寅巳申三刑被否决。</x:v>
      </x:c>
      <x:c r="R34" s="68" t="str">
        <x:v>重复寅未被错误当作申。</x:v>
      </x:c>
      <x:c r="S34" s="68" t="str">
        <x:v>重复寅未被错误当作申。</x:v>
      </x:c>
      <x:c r="T34" s="82" t="str">
        <x:f>IF(S34="","未测试",IF(S34=R34,"通过",IF(LEFT(S34,4)="部分符合","部分通过",IF(LEFT(S34,3)="失败","未通过","待复核"))))</x:f>
        <x:v>通过</x:v>
      </x:c>
      <x:c r="U34" s="68" t="str">
        <x:v>无；人工逐层复核结果与预期一致。</x:v>
      </x:c>
      <x:c r="V34" s="68" t="str">
        <x:v>无</x:v>
      </x:c>
      <x:c r="W34" s="68" t="str">
        <x:v>无需修改；保留为回归基线。</x:v>
      </x:c>
      <x:c r="X34" s="82" t="str">
        <x:v>未测试</x:v>
      </x:c>
      <x:c r="Y34" s="68" t="str">
        <x:v>OpenAI_M20规则回归</x:v>
      </x:c>
      <x:c r="Z34" s="68" t="str">
        <x:v>待人工复核</x:v>
      </x:c>
      <x:c r="AA34" s="87" t="n">
        <x:v>46260</x:v>
      </x:c>
      <x:c r="AB34" s="68" t="str">
        <x:v>V1.7</x:v>
      </x:c>
      <x:c r="AC34" s="68" t="str">
        <x:v>合成命例仅用于规则单元/集成测试，不替代真实命例外部验证。</x:v>
      </x:c>
    </x:row>
    <x:row r="35">
      <x:c r="A35" s="72" t="str">
        <x:f>IF(OR(C35="",D35=""),"",B35&amp;"-"&amp;UPPER(C35)&amp;"-"&amp;TEXT(D35,"0000")&amp;"-"&amp;E35)</x:f>
        <x:v>M20-EFFECT-0029-V1.0</x:v>
      </x:c>
      <x:c r="B35" s="74" t="str">
        <x:v>M20</x:v>
      </x:c>
      <x:c r="C35" s="74" t="str">
        <x:v>EFFECT</x:v>
      </x:c>
      <x:c r="D35" s="215" t="n">
        <x:v>29</x:v>
      </x:c>
      <x:c r="E35" s="74" t="str">
        <x:v>V1.0</x:v>
      </x:c>
      <x:c r="F35" s="68" t="str">
        <x:v>甲己有合意但不满足合化</x:v>
      </x:c>
      <x:c r="G35" s="68" t="str">
        <x:v>庚申 己未 甲寅 丁卯</x:v>
      </x:c>
      <x:c r="H35" s="82" t="str">
        <x:v>未知/不适用</x:v>
      </x:c>
      <x:c r="I35" s="68" t="str">
        <x:v>合成命例；不用于历法排盘；月令按月支与输入事实假设</x:v>
      </x:c>
      <x:c r="J35" s="68" t="str">
        <x:v>内部合成规则测试</x:v>
      </x:c>
      <x:c r="K35" s="82" t="str">
        <x:v>边界案例</x:v>
      </x:c>
      <x:c r="L35" s="68" t="str">
        <x:v>M06</x:v>
      </x:c>
      <x:c r="M35" s="68" t="str">
        <x:v>M06-TGHE-0001-V1.0；M06-TGHUA-0011-V1.0</x:v>
      </x:c>
      <x:c r="N35" s="68" t="str">
        <x:v>甲己明干相合；甲在寅卯有强根，木气不愿弃本；土化神未形成全局主势。</x:v>
      </x:c>
      <x:c r="O35" s="68" t="str">
        <x:v>M04识别甲己合候选。</x:v>
      </x:c>
      <x:c r="P35" s="68" t="str">
        <x:v>先判合意/牵引，合化四项门槛不齐。</x:v>
      </x:c>
      <x:c r="Q35" s="68" t="str">
        <x:v>甲己仍按原五行参与后续力量，可能合绊但不改性。</x:v>
      </x:c>
      <x:c r="R35" s="68" t="str">
        <x:v>甲己有合意，合化不成立。</x:v>
      </x:c>
      <x:c r="S35" s="68" t="str">
        <x:v>甲己有合意，合化不成立。</x:v>
      </x:c>
      <x:c r="T35" s="82" t="str">
        <x:f>IF(S35="","未测试",IF(S35=R35,"通过",IF(LEFT(S35,4)="部分符合","部分通过",IF(LEFT(S35,3)="失败","未通过","待复核"))))</x:f>
        <x:v>通过</x:v>
      </x:c>
      <x:c r="U35" s="68" t="str">
        <x:v>无；人工逐层复核结果与预期一致。</x:v>
      </x:c>
      <x:c r="V35" s="68" t="str">
        <x:v>无</x:v>
      </x:c>
      <x:c r="W35" s="68" t="str">
        <x:v>无需修改；保留为回归基线。</x:v>
      </x:c>
      <x:c r="X35" s="82" t="str">
        <x:v>未测试</x:v>
      </x:c>
      <x:c r="Y35" s="68" t="str">
        <x:v>OpenAI_M20规则回归</x:v>
      </x:c>
      <x:c r="Z35" s="68" t="str">
        <x:v>待人工复核</x:v>
      </x:c>
      <x:c r="AA35" s="87" t="n">
        <x:v>46260</x:v>
      </x:c>
      <x:c r="AB35" s="68" t="str">
        <x:v>V1.7</x:v>
      </x:c>
      <x:c r="AC35" s="68" t="str">
        <x:v>合成命例仅用于规则单元/集成测试，不替代真实命例外部验证。</x:v>
      </x:c>
    </x:row>
    <x:row r="36">
      <x:c r="A36" s="72" t="str">
        <x:f>IF(OR(C36="",D36=""),"",B36&amp;"-"&amp;UPPER(C36)&amp;"-"&amp;TEXT(D36,"0000")&amp;"-"&amp;E36)</x:f>
        <x:v>M20-EFFECT-0030-V1.0</x:v>
      </x:c>
      <x:c r="B36" s="74" t="str">
        <x:v>M20</x:v>
      </x:c>
      <x:c r="C36" s="74" t="str">
        <x:v>EFFECT</x:v>
      </x:c>
      <x:c r="D36" s="215" t="n">
        <x:v>30</x:v>
      </x:c>
      <x:c r="E36" s="74" t="str">
        <x:v>V1.0</x:v>
      </x:c>
      <x:c r="F36" s="68" t="str">
        <x:v>一强一弱时弱干更易受合绊</x:v>
      </x:c>
      <x:c r="G36" s="68" t="str">
        <x:v>甲寅 己酉 甲子 丙午</x:v>
      </x:c>
      <x:c r="H36" s="82" t="str">
        <x:v>未知/不适用</x:v>
      </x:c>
      <x:c r="I36" s="68" t="str">
        <x:v>合成命例；不用于历法排盘；月令按月支与输入事实假设</x:v>
      </x:c>
      <x:c r="J36" s="68" t="str">
        <x:v>内部合成规则测试</x:v>
      </x:c>
      <x:c r="K36" s="82" t="str">
        <x:v>正例</x:v>
      </x:c>
      <x:c r="L36" s="68" t="str">
        <x:v>M06</x:v>
      </x:c>
      <x:c r="M36" s="68" t="str">
        <x:v>M06-TGHE-0005-V1.0</x:v>
      </x:c>
      <x:c r="N36" s="68" t="str">
        <x:v>甲得寅根、同党强；己失令无根且孤立；两干相合。</x:v>
      </x:c>
      <x:c r="O36" s="68" t="str">
        <x:v>识别甲己合。</x:v>
      </x:c>
      <x:c r="P36" s="68" t="str">
        <x:v>己更易被牵制，原主动克耗功能明显下降；甲保留主要本气。</x:v>
      </x:c>
      <x:c r="Q36" s="68" t="str">
        <x:v>有效力量修正以己功能受限为主，不作双方等量扣减。</x:v>
      </x:c>
      <x:c r="R36" s="68" t="str">
        <x:v>弱己受合绊强于甲，逐对象效应成立。</x:v>
      </x:c>
      <x:c r="S36" s="68" t="str">
        <x:v>弱己受合绊强于甲，逐对象效应成立。</x:v>
      </x:c>
      <x:c r="T36" s="82" t="str">
        <x:f>IF(S36="","未测试",IF(S36=R36,"通过",IF(LEFT(S36,4)="部分符合","部分通过",IF(LEFT(S36,3)="失败","未通过","待复核"))))</x:f>
        <x:v>通过</x:v>
      </x:c>
      <x:c r="U36" s="68" t="str">
        <x:v>无；人工逐层复核结果与预期一致。</x:v>
      </x:c>
      <x:c r="V36" s="68" t="str">
        <x:v>无</x:v>
      </x:c>
      <x:c r="W36" s="68" t="str">
        <x:v>无需修改；保留为回归基线。</x:v>
      </x:c>
      <x:c r="X36" s="82" t="str">
        <x:v>未测试</x:v>
      </x:c>
      <x:c r="Y36" s="68" t="str">
        <x:v>OpenAI_M20规则回归</x:v>
      </x:c>
      <x:c r="Z36" s="68" t="str">
        <x:v>待人工复核</x:v>
      </x:c>
      <x:c r="AA36" s="87" t="n">
        <x:v>46260</x:v>
      </x:c>
      <x:c r="AB36" s="68" t="str">
        <x:v>V1.7</x:v>
      </x:c>
      <x:c r="AC36" s="68" t="str">
        <x:v>合成命例仅用于规则单元/集成测试，不替代真实命例外部验证。</x:v>
      </x:c>
      <x:c r="AE36" s="248" t="str">
        <x:v>测试类型</x:v>
      </x:c>
      <x:c r="AF36" s="248" t="str">
        <x:v>数量</x:v>
      </x:c>
      <x:c r="AG36" s="248" t="str">
        <x:v>占比</x:v>
      </x:c>
    </x:row>
    <x:row r="37">
      <x:c r="A37" s="72" t="str">
        <x:f>IF(OR(C37="",D37=""),"",B37&amp;"-"&amp;UPPER(C37)&amp;"-"&amp;TEXT(D37,"0000")&amp;"-"&amp;E37)</x:f>
        <x:v>M20-EFFECT-0031-V1.0</x:v>
      </x:c>
      <x:c r="B37" s="74" t="str">
        <x:v>M20</x:v>
      </x:c>
      <x:c r="C37" s="74" t="str">
        <x:v>EFFECT</x:v>
      </x:c>
      <x:c r="D37" s="215" t="n">
        <x:v>31</x:v>
      </x:c>
      <x:c r="E37" s="74" t="str">
        <x:v>V1.0</x:v>
      </x:c>
      <x:c r="F37" s="68" t="str">
        <x:v>甲己化土满足联合门槛</x:v>
      </x:c>
      <x:c r="G37" s="68" t="str">
        <x:v>戊辰 己丑 甲戌 丁未</x:v>
      </x:c>
      <x:c r="H37" s="82" t="str">
        <x:v>未知/不适用</x:v>
      </x:c>
      <x:c r="I37" s="68" t="str">
        <x:v>合成命例；不用于历法排盘；月令按月支与输入事实假设</x:v>
      </x:c>
      <x:c r="J37" s="68" t="str">
        <x:v>内部合成规则测试</x:v>
      </x:c>
      <x:c r="K37" s="82" t="str">
        <x:v>正例</x:v>
      </x:c>
      <x:c r="L37" s="68" t="str">
        <x:v>M06</x:v>
      </x:c>
      <x:c r="M37" s="68" t="str">
        <x:v>M06-TGHUA-0011-V1.0</x:v>
      </x:c>
      <x:c r="N37" s="68" t="str">
        <x:v>甲己相合；辰丑戌未土势集中；甲无寅卯亥强根；化神土有根有势；无争合强破。</x:v>
      </x:c>
      <x:c r="O37" s="68" t="str">
        <x:v>识别甲己合化候选。</x:v>
      </x:c>
      <x:c r="P37" s="68" t="str">
        <x:v>化神得势、原气不自立、无关键破化，判实质合化。</x:v>
      </x:c>
      <x:c r="Q37" s="68" t="str">
        <x:v>M08按土重分配力量，甲木原十神功能不再全额调用。</x:v>
      </x:c>
      <x:c r="R37" s="68" t="str">
        <x:v>甲己化土成立，需按化神重算。</x:v>
      </x:c>
      <x:c r="S37" s="68" t="str">
        <x:v>甲己化土成立，需按化神重算。</x:v>
      </x:c>
      <x:c r="T37" s="82" t="str">
        <x:f>IF(S37="","未测试",IF(S37=R37,"通过",IF(LEFT(S37,4)="部分符合","部分通过",IF(LEFT(S37,3)="失败","未通过","待复核"))))</x:f>
        <x:v>通过</x:v>
      </x:c>
      <x:c r="U37" s="68" t="str">
        <x:v>无；人工逐层复核结果与预期一致。</x:v>
      </x:c>
      <x:c r="V37" s="68" t="str">
        <x:v>无</x:v>
      </x:c>
      <x:c r="W37" s="68" t="str">
        <x:v>无需修改；保留为回归基线。</x:v>
      </x:c>
      <x:c r="X37" s="82" t="str">
        <x:v>未测试</x:v>
      </x:c>
      <x:c r="Y37" s="68" t="str">
        <x:v>OpenAI_M20规则回归</x:v>
      </x:c>
      <x:c r="Z37" s="68" t="str">
        <x:v>待人工复核</x:v>
      </x:c>
      <x:c r="AA37" s="87" t="n">
        <x:v>46260</x:v>
      </x:c>
      <x:c r="AB37" s="68" t="str">
        <x:v>V1.7</x:v>
      </x:c>
      <x:c r="AC37" s="68" t="str">
        <x:v>合成命例仅用于规则单元/集成测试，不替代真实命例外部验证。</x:v>
      </x:c>
      <x:c r="AE37" t="str">
        <x:v>正例</x:v>
      </x:c>
      <x:c r="AF37" t="n">
        <x:f>COUNTIF($K$7:$K$156,AE37)</x:f>
        <x:v>76</x:v>
      </x:c>
      <x:c r="AG37" s="236" t="n">
        <x:f>IF($AF$3=0,0,AF37/$AF$3)</x:f>
        <x:v>0.5066666666666667</x:v>
      </x:c>
    </x:row>
    <x:row r="38">
      <x:c r="A38" s="72" t="str">
        <x:f>IF(OR(C38="",D38=""),"",B38&amp;"-"&amp;UPPER(C38)&amp;"-"&amp;TEXT(D38,"0000")&amp;"-"&amp;E38)</x:f>
        <x:v>M20-EFFECT-0032-V1.0</x:v>
      </x:c>
      <x:c r="B38" s="74" t="str">
        <x:v>M20</x:v>
      </x:c>
      <x:c r="C38" s="74" t="str">
        <x:v>EFFECT</x:v>
      </x:c>
      <x:c r="D38" s="215" t="n">
        <x:v>32</x:v>
      </x:c>
      <x:c r="E38" s="74" t="str">
        <x:v>V1.0</x:v>
      </x:c>
      <x:c r="F38" s="68" t="str">
        <x:v>争合降低单一化神归属</x:v>
      </x:c>
      <x:c r="G38" s="68" t="str">
        <x:v>甲寅 己丑 甲辰 戊戌</x:v>
      </x:c>
      <x:c r="H38" s="82" t="str">
        <x:v>未知/不适用</x:v>
      </x:c>
      <x:c r="I38" s="68" t="str">
        <x:v>合成命例；不用于历法排盘；月令按月支与输入事实假设</x:v>
      </x:c>
      <x:c r="J38" s="68" t="str">
        <x:v>内部合成规则测试</x:v>
      </x:c>
      <x:c r="K38" s="82" t="str">
        <x:v>边界案例</x:v>
      </x:c>
      <x:c r="L38" s="68" t="str">
        <x:v>M06</x:v>
      </x:c>
      <x:c r="M38" s="68" t="str">
        <x:v>M06-TGHE-0010-V1.0；M06-TGHUA-0020-V1.0</x:v>
      </x:c>
      <x:c r="N38" s="68" t="str">
        <x:v>两甲争一己；虽土多，但两甲均有根或同党，合神归属不专。</x:v>
      </x:c>
      <x:c r="O38" s="68" t="str">
        <x:v>识别两个甲己合实例与争合候选。</x:v>
      </x:c>
      <x:c r="P38" s="68" t="str">
        <x:v>争合削弱单一合关系稳定性，并破坏化神归属。</x:v>
      </x:c>
      <x:c r="Q38" s="68" t="str">
        <x:v>不得仅凭土多宣布甲己真化。</x:v>
      </x:c>
      <x:c r="R38" s="68" t="str">
        <x:v>争合使合化降级为合意/合绊候选。</x:v>
      </x:c>
      <x:c r="S38" s="68" t="str">
        <x:v>争合使合化降级为合意/合绊候选。</x:v>
      </x:c>
      <x:c r="T38" s="82" t="str">
        <x:f>IF(S38="","未测试",IF(S38=R38,"通过",IF(LEFT(S38,4)="部分符合","部分通过",IF(LEFT(S38,3)="失败","未通过","待复核"))))</x:f>
        <x:v>通过</x:v>
      </x:c>
      <x:c r="U38" s="68" t="str">
        <x:v>无；人工逐层复核结果与预期一致。</x:v>
      </x:c>
      <x:c r="V38" s="68" t="str">
        <x:v>无</x:v>
      </x:c>
      <x:c r="W38" s="68" t="str">
        <x:v>无需修改；保留为回归基线。</x:v>
      </x:c>
      <x:c r="X38" s="82" t="str">
        <x:v>未测试</x:v>
      </x:c>
      <x:c r="Y38" s="68" t="str">
        <x:v>OpenAI_M20规则回归</x:v>
      </x:c>
      <x:c r="Z38" s="68" t="str">
        <x:v>待人工复核</x:v>
      </x:c>
      <x:c r="AA38" s="87" t="n">
        <x:v>46260</x:v>
      </x:c>
      <x:c r="AB38" s="68" t="str">
        <x:v>V1.7</x:v>
      </x:c>
      <x:c r="AC38" s="68" t="str">
        <x:v>合成命例仅用于规则单元/集成测试，不替代真实命例外部验证。</x:v>
      </x:c>
      <x:c r="AE38" t="str">
        <x:v>反例</x:v>
      </x:c>
      <x:c r="AF38" t="n">
        <x:f>COUNTIF($K$7:$K$156,AE38)</x:f>
        <x:v>29</x:v>
      </x:c>
      <x:c r="AG38" s="236" t="n">
        <x:f>IF($AF$3=0,0,AF38/$AF$3)</x:f>
        <x:v>0.19333333333333333</x:v>
      </x:c>
    </x:row>
    <x:row r="39">
      <x:c r="A39" s="72" t="str">
        <x:f>IF(OR(C39="",D39=""),"",B39&amp;"-"&amp;UPPER(C39)&amp;"-"&amp;TEXT(D39,"0000")&amp;"-"&amp;E39)</x:f>
        <x:v>M20-EFFECT-0033-V1.0</x:v>
      </x:c>
      <x:c r="B39" s="74" t="str">
        <x:v>M20</x:v>
      </x:c>
      <x:c r="C39" s="74" t="str">
        <x:v>EFFECT</x:v>
      </x:c>
      <x:c r="D39" s="215" t="n">
        <x:v>33</x:v>
      </x:c>
      <x:c r="E39" s="74" t="str">
        <x:v>V1.0</x:v>
      </x:c>
      <x:c r="F39" s="68" t="str">
        <x:v>六合双方均强时优先合绊不判消失</x:v>
      </x:c>
      <x:c r="G39" s="68" t="str">
        <x:v>壬子 己丑 癸亥 戊辰</x:v>
      </x:c>
      <x:c r="H39" s="82" t="str">
        <x:v>未知/不适用</x:v>
      </x:c>
      <x:c r="I39" s="68" t="str">
        <x:v>合成命例；不用于历法排盘；月令按月支与输入事实假设</x:v>
      </x:c>
      <x:c r="J39" s="68" t="str">
        <x:v>内部合成规则测试</x:v>
      </x:c>
      <x:c r="K39" s="82" t="str">
        <x:v>正例</x:v>
      </x:c>
      <x:c r="L39" s="68" t="str">
        <x:v>M06</x:v>
      </x:c>
      <x:c r="M39" s="68" t="str">
        <x:v>M06-LIUHE-0034-V1.0</x:v>
      </x:c>
      <x:c r="N39" s="68" t="str">
        <x:v>子水得亥子根势；丑土得辰丑同党；子丑六合双方都有有效力量。</x:v>
      </x:c>
      <x:c r="O39" s="68" t="str">
        <x:v>识别子丑六合。</x:v>
      </x:c>
      <x:c r="P39" s="68" t="str">
        <x:v>双方相互牵制、连接路径改变，但均保留本气。</x:v>
      </x:c>
      <x:c r="Q39" s="68" t="str">
        <x:v>水土功能受限而非任一地支归零。</x:v>
      </x:c>
      <x:c r="R39" s="68" t="str">
        <x:v>强强六合以合绊为主，不判消失。</x:v>
      </x:c>
      <x:c r="S39" s="68" t="str">
        <x:v>强强六合以合绊为主，不判消失。</x:v>
      </x:c>
      <x:c r="T39" s="82" t="str">
        <x:f>IF(S39="","未测试",IF(S39=R39,"通过",IF(LEFT(S39,4)="部分符合","部分通过",IF(LEFT(S39,3)="失败","未通过","待复核"))))</x:f>
        <x:v>通过</x:v>
      </x:c>
      <x:c r="U39" s="68" t="str">
        <x:v>无；人工逐层复核结果与预期一致。</x:v>
      </x:c>
      <x:c r="V39" s="68" t="str">
        <x:v>无</x:v>
      </x:c>
      <x:c r="W39" s="68" t="str">
        <x:v>无需修改；保留为回归基线。</x:v>
      </x:c>
      <x:c r="X39" s="82" t="str">
        <x:v>未测试</x:v>
      </x:c>
      <x:c r="Y39" s="68" t="str">
        <x:v>OpenAI_M20规则回归</x:v>
      </x:c>
      <x:c r="Z39" s="68" t="str">
        <x:v>待人工复核</x:v>
      </x:c>
      <x:c r="AA39" s="87" t="n">
        <x:v>46260</x:v>
      </x:c>
      <x:c r="AB39" s="68" t="str">
        <x:v>V1.7</x:v>
      </x:c>
      <x:c r="AC39" s="68" t="str">
        <x:v>合成命例仅用于规则单元/集成测试，不替代真实命例外部验证。</x:v>
      </x:c>
      <x:c r="AE39" t="str">
        <x:v>边界案例</x:v>
      </x:c>
      <x:c r="AF39" t="n">
        <x:f>COUNTIF($K$7:$K$156,AE39)</x:f>
        <x:v>25</x:v>
      </x:c>
      <x:c r="AG39" s="236" t="n">
        <x:f>IF($AF$3=0,0,AF39/$AF$3)</x:f>
        <x:v>0.16666666666666666</x:v>
      </x:c>
    </x:row>
    <x:row r="40">
      <x:c r="A40" s="72" t="str">
        <x:f>IF(OR(C40="",D40=""),"",B40&amp;"-"&amp;UPPER(C40)&amp;"-"&amp;TEXT(D40,"0000")&amp;"-"&amp;E40)</x:f>
        <x:v>M20-EFFECT-0034-V1.0</x:v>
      </x:c>
      <x:c r="B40" s="74" t="str">
        <x:v>M20</x:v>
      </x:c>
      <x:c r="C40" s="74" t="str">
        <x:v>EFFECT</x:v>
      </x:c>
      <x:c r="D40" s="215" t="n">
        <x:v>34</x:v>
      </x:c>
      <x:c r="E40" s="74" t="str">
        <x:v>V1.0</x:v>
      </x:c>
      <x:c r="F40" s="68" t="str">
        <x:v>六冲至少引动但不自动减力</x:v>
      </x:c>
      <x:c r="G40" s="68" t="str">
        <x:v>庚申 戊寅 甲辰 丙午</x:v>
      </x:c>
      <x:c r="H40" s="82" t="str">
        <x:v>未知/不适用</x:v>
      </x:c>
      <x:c r="I40" s="68" t="str">
        <x:v>合成命例；不用于历法排盘；月令按月支与输入事实假设</x:v>
      </x:c>
      <x:c r="J40" s="68" t="str">
        <x:v>内部合成规则测试</x:v>
      </x:c>
      <x:c r="K40" s="82" t="str">
        <x:v>回归测试</x:v>
      </x:c>
      <x:c r="L40" s="68" t="str">
        <x:v>M06</x:v>
      </x:c>
      <x:c r="M40" s="68" t="str">
        <x:v>M06-CHONG-0065-V1.0</x:v>
      </x:c>
      <x:c r="N40" s="68" t="str">
        <x:v>寅申冲成立；双方强弱尚未完成比较。</x:v>
      </x:c>
      <x:c r="O40" s="68" t="str">
        <x:v>识别寅申冲。</x:v>
      </x:c>
      <x:c r="P40" s="68" t="str">
        <x:v>最低效应为双方被引动，不能直接写双方减力。</x:v>
      </x:c>
      <x:c r="Q40" s="68" t="str">
        <x:v>根气和有效旺衰须等M08综合。</x:v>
      </x:c>
      <x:c r="R40" s="68" t="str">
        <x:v>六冲先判冲动，自动减力被否决。</x:v>
      </x:c>
      <x:c r="S40" s="68" t="str">
        <x:v>六冲先判冲动，自动减力被否决。</x:v>
      </x:c>
      <x:c r="T40" s="82" t="str">
        <x:f>IF(S40="","未测试",IF(S40=R40,"通过",IF(LEFT(S40,4)="部分符合","部分通过",IF(LEFT(S40,3)="失败","未通过","待复核"))))</x:f>
        <x:v>通过</x:v>
      </x:c>
      <x:c r="U40" s="68" t="str">
        <x:v>无；人工逐层复核结果与预期一致。</x:v>
      </x:c>
      <x:c r="V40" s="68" t="str">
        <x:v>无</x:v>
      </x:c>
      <x:c r="W40" s="68" t="str">
        <x:v>无需修改；保留为回归基线。</x:v>
      </x:c>
      <x:c r="X40" s="82" t="str">
        <x:v>通过</x:v>
      </x:c>
      <x:c r="Y40" s="68" t="str">
        <x:v>OpenAI_M20规则回归</x:v>
      </x:c>
      <x:c r="Z40" s="68" t="str">
        <x:v>待人工复核</x:v>
      </x:c>
      <x:c r="AA40" s="87" t="n">
        <x:v>46260</x:v>
      </x:c>
      <x:c r="AB40" s="68" t="str">
        <x:v>V1.7</x:v>
      </x:c>
      <x:c r="AC40" s="68" t="str">
        <x:v>合成命例仅用于规则单元/集成测试，不替代真实命例外部验证。</x:v>
      </x:c>
      <x:c r="AE40" t="str">
        <x:v>回归测试</x:v>
      </x:c>
      <x:c r="AF40" t="n">
        <x:f>COUNTIF($K$7:$K$156,AE40)</x:f>
        <x:v>8</x:v>
      </x:c>
      <x:c r="AG40" s="236" t="n">
        <x:f>IF($AF$3=0,0,AF40/$AF$3)</x:f>
        <x:v>0.05333333333333334</x:v>
      </x:c>
    </x:row>
    <x:row r="41">
      <x:c r="A41" s="72" t="str">
        <x:f>IF(OR(C41="",D41=""),"",B41&amp;"-"&amp;UPPER(C41)&amp;"-"&amp;TEXT(D41,"0000")&amp;"-"&amp;E41)</x:f>
        <x:v>M20-EFFECT-0035-V1.0</x:v>
      </x:c>
      <x:c r="B41" s="74" t="str">
        <x:v>M20</x:v>
      </x:c>
      <x:c r="C41" s="74" t="str">
        <x:v>EFFECT</x:v>
      </x:c>
      <x:c r="D41" s="215" t="n">
        <x:v>35</x:v>
      </x:c>
      <x:c r="E41" s="74" t="str">
        <x:v>V1.0</x:v>
      </x:c>
      <x:c r="F41" s="68" t="str">
        <x:v>旺申冲孤弱寅可实质损根</x:v>
      </x:c>
      <x:c r="G41" s="68" t="str">
        <x:v>庚申 壬申 甲寅 辛酉</x:v>
      </x:c>
      <x:c r="H41" s="82" t="str">
        <x:v>未知/不适用</x:v>
      </x:c>
      <x:c r="I41" s="68" t="str">
        <x:v>合成命例；不用于历法排盘；月令按月支与输入事实假设</x:v>
      </x:c>
      <x:c r="J41" s="68" t="str">
        <x:v>内部合成规则测试</x:v>
      </x:c>
      <x:c r="K41" s="82" t="str">
        <x:v>正例</x:v>
      </x:c>
      <x:c r="L41" s="68" t="str">
        <x:v>M06</x:v>
      </x:c>
      <x:c r="M41" s="68" t="str">
        <x:v>M06-CHONG-0066-V1.0；M06-CHONG-0071-V1.0</x:v>
      </x:c>
      <x:c r="N41" s="68" t="str">
        <x:v>申酉金得令成势；寅为甲木唯一根，失令、无木援，受双申强冲。</x:v>
      </x:c>
      <x:c r="O41" s="68" t="str">
        <x:v>识别寅申冲及唯一根事实。</x:v>
      </x:c>
      <x:c r="P41" s="68" t="str">
        <x:v>旺金冲孤弱寅，寅根可判明显受损，申金保持主势。</x:v>
      </x:c>
      <x:c r="Q41" s="68" t="str">
        <x:v>M08下调甲木有效根气，但仍保留原始根存在记录。</x:v>
      </x:c>
      <x:c r="R41" s="68" t="str">
        <x:v>孤弱寅被强冲，唯一根实质受损。</x:v>
      </x:c>
      <x:c r="S41" s="68" t="str">
        <x:v>孤弱寅被强冲，唯一根实质受损。</x:v>
      </x:c>
      <x:c r="T41" s="82" t="str">
        <x:f>IF(S41="","未测试",IF(S41=R41,"通过",IF(LEFT(S41,4)="部分符合","部分通过",IF(LEFT(S41,3)="失败","未通过","待复核"))))</x:f>
        <x:v>通过</x:v>
      </x:c>
      <x:c r="U41" s="68" t="str">
        <x:v>无；人工逐层复核结果与预期一致。</x:v>
      </x:c>
      <x:c r="V41" s="68" t="str">
        <x:v>无</x:v>
      </x:c>
      <x:c r="W41" s="68" t="str">
        <x:v>无需修改；保留为回归基线。</x:v>
      </x:c>
      <x:c r="X41" s="82" t="str">
        <x:v>未测试</x:v>
      </x:c>
      <x:c r="Y41" s="68" t="str">
        <x:v>OpenAI_M20规则回归</x:v>
      </x:c>
      <x:c r="Z41" s="68" t="str">
        <x:v>待人工复核</x:v>
      </x:c>
      <x:c r="AA41" s="87" t="n">
        <x:v>46260</x:v>
      </x:c>
      <x:c r="AB41" s="68" t="str">
        <x:v>V1.7</x:v>
      </x:c>
      <x:c r="AC41" s="68" t="str">
        <x:v>合成命例仅用于规则单元/集成测试，不替代真实命例外部验证。</x:v>
      </x:c>
      <x:c r="AE41" t="str">
        <x:v>争议测试</x:v>
      </x:c>
      <x:c r="AF41" t="n">
        <x:f>COUNTIF($K$7:$K$156,AE41)</x:f>
        <x:v>2</x:v>
      </x:c>
      <x:c r="AG41" s="236" t="n">
        <x:f>IF($AF$3=0,0,AF41/$AF$3)</x:f>
        <x:v>0.013333333333333334</x:v>
      </x:c>
    </x:row>
    <x:row r="42">
      <x:c r="A42" s="72" t="str">
        <x:f>IF(OR(C42="",D42=""),"",B42&amp;"-"&amp;UPPER(C42)&amp;"-"&amp;TEXT(D42,"0000")&amp;"-"&amp;E42)</x:f>
        <x:v>M20-EFFECT-0036-V1.0</x:v>
      </x:c>
      <x:c r="B42" s="74" t="str">
        <x:v>M20</x:v>
      </x:c>
      <x:c r="C42" s="74" t="str">
        <x:v>EFFECT</x:v>
      </x:c>
      <x:c r="D42" s="215" t="n">
        <x:v>36</x:v>
      </x:c>
      <x:c r="E42" s="74" t="str">
        <x:v>V1.0</x:v>
      </x:c>
      <x:c r="F42" s="68" t="str">
        <x:v>弱申冲旺寅时旺寅多被激发</x:v>
      </x:c>
      <x:c r="G42" s="68" t="str">
        <x:v>甲寅 乙卯 丙申 丁亥</x:v>
      </x:c>
      <x:c r="H42" s="82" t="str">
        <x:v>未知/不适用</x:v>
      </x:c>
      <x:c r="I42" s="68" t="str">
        <x:v>合成命例；不用于历法排盘；月令按月支与输入事实假设</x:v>
      </x:c>
      <x:c r="J42" s="68" t="str">
        <x:v>内部合成规则测试</x:v>
      </x:c>
      <x:c r="K42" s="82" t="str">
        <x:v>正例</x:v>
      </x:c>
      <x:c r="L42" s="68" t="str">
        <x:v>M06</x:v>
      </x:c>
      <x:c r="M42" s="68" t="str">
        <x:v>M06-CHONG-0067-V1.0</x:v>
      </x:c>
      <x:c r="N42" s="68" t="str">
        <x:v>寅卯木得令成势；申金失令孤弱；寅申冲。</x:v>
      </x:c>
      <x:c r="O42" s="68" t="str">
        <x:v>识别寅申冲。</x:v>
      </x:c>
      <x:c r="P42" s="68" t="str">
        <x:v>旺寅被冲动并增强外显，弱申受制更明显。</x:v>
      </x:c>
      <x:c r="Q42" s="68" t="str">
        <x:v>不得以冲关系对寅申等量扣减。</x:v>
      </x:c>
      <x:c r="R42" s="68" t="str">
        <x:v>弱申冲旺寅，寅以激发为主。</x:v>
      </x:c>
      <x:c r="S42" s="68" t="str">
        <x:v>弱申冲旺寅，寅以激发为主。</x:v>
      </x:c>
      <x:c r="T42" s="82" t="str">
        <x:f>IF(S42="","未测试",IF(S42=R42,"通过",IF(LEFT(S42,4)="部分符合","部分通过",IF(LEFT(S42,3)="失败","未通过","待复核"))))</x:f>
        <x:v>通过</x:v>
      </x:c>
      <x:c r="U42" s="68" t="str">
        <x:v>无；人工逐层复核结果与预期一致。</x:v>
      </x:c>
      <x:c r="V42" s="68" t="str">
        <x:v>无</x:v>
      </x:c>
      <x:c r="W42" s="68" t="str">
        <x:v>无需修改；保留为回归基线。</x:v>
      </x:c>
      <x:c r="X42" s="82" t="str">
        <x:v>未测试</x:v>
      </x:c>
      <x:c r="Y42" s="68" t="str">
        <x:v>OpenAI_M20规则回归</x:v>
      </x:c>
      <x:c r="Z42" s="68" t="str">
        <x:v>待人工复核</x:v>
      </x:c>
      <x:c r="AA42" s="87" t="n">
        <x:v>46260</x:v>
      </x:c>
      <x:c r="AB42" s="68" t="str">
        <x:v>V1.7</x:v>
      </x:c>
      <x:c r="AC42" s="68" t="str">
        <x:v>合成命例仅用于规则单元/集成测试，不替代真实命例外部验证。</x:v>
      </x:c>
      <x:c r="AE42" t="str">
        <x:v>综合案例</x:v>
      </x:c>
      <x:c r="AF42" t="n">
        <x:f>COUNTIF($K$7:$K$156,AE42)</x:f>
        <x:v>10</x:v>
      </x:c>
      <x:c r="AG42" s="236" t="n">
        <x:f>IF($AF$3=0,0,AF42/$AF$3)</x:f>
        <x:v>0.06666666666666667</x:v>
      </x:c>
    </x:row>
    <x:row r="43">
      <x:c r="A43" s="72" t="str">
        <x:f>IF(OR(C43="",D43=""),"",B43&amp;"-"&amp;UPPER(C43)&amp;"-"&amp;TEXT(D43,"0000")&amp;"-"&amp;E43)</x:f>
        <x:v>M20-EFFECT-0037-V1.0</x:v>
      </x:c>
      <x:c r="B43" s="74" t="str">
        <x:v>M20</x:v>
      </x:c>
      <x:c r="C43" s="74" t="str">
        <x:v>EFFECT</x:v>
      </x:c>
      <x:c r="D43" s="215" t="n">
        <x:v>37</x:v>
      </x:c>
      <x:c r="E43" s="74" t="str">
        <x:v>V1.0</x:v>
      </x:c>
      <x:c r="F43" s="68" t="str">
        <x:v>辰戌冲只生成开库候选</x:v>
      </x:c>
      <x:c r="G43" s="68" t="str">
        <x:v>甲辰 丙戌 戊午 庚申</x:v>
      </x:c>
      <x:c r="H43" s="82" t="str">
        <x:v>未知/不适用</x:v>
      </x:c>
      <x:c r="I43" s="68" t="str">
        <x:v>合成命例；不用于历法排盘；月令按月支与输入事实假设</x:v>
      </x:c>
      <x:c r="J43" s="68" t="str">
        <x:v>内部合成规则测试</x:v>
      </x:c>
      <x:c r="K43" s="82" t="str">
        <x:v>边界案例</x:v>
      </x:c>
      <x:c r="L43" s="68" t="str">
        <x:v>M06</x:v>
      </x:c>
      <x:c r="M43" s="68" t="str">
        <x:v>M06-CHONG-0078-V1.0</x:v>
      </x:c>
      <x:c r="N43" s="68" t="str">
        <x:v>地支辰戌相冲；尚未证明库中之物有用、透达和终点承接。</x:v>
      </x:c>
      <x:c r="O43" s="68" t="str">
        <x:v>识别辰戌冲。</x:v>
      </x:c>
      <x:c r="P43" s="68" t="str">
        <x:v>生成开库候选，同时保留冲坏/库气扰动可能。</x:v>
      </x:c>
      <x:c r="Q43" s="68" t="str">
        <x:v>不能自动输出“开库得用”。</x:v>
      </x:c>
      <x:c r="R43" s="68" t="str">
        <x:v>辰戌冲仅生成开库候选。</x:v>
      </x:c>
      <x:c r="S43" s="68" t="str">
        <x:v>辰戌冲仅生成开库候选。</x:v>
      </x:c>
      <x:c r="T43" s="82" t="str">
        <x:f>IF(S43="","未测试",IF(S43=R43,"通过",IF(LEFT(S43,4)="部分符合","部分通过",IF(LEFT(S43,3)="失败","未通过","待复核"))))</x:f>
        <x:v>通过</x:v>
      </x:c>
      <x:c r="U43" s="68" t="str">
        <x:v>无；人工逐层复核结果与预期一致。</x:v>
      </x:c>
      <x:c r="V43" s="68" t="str">
        <x:v>无</x:v>
      </x:c>
      <x:c r="W43" s="68" t="str">
        <x:v>无需修改；保留为回归基线。</x:v>
      </x:c>
      <x:c r="X43" s="82" t="str">
        <x:v>未测试</x:v>
      </x:c>
      <x:c r="Y43" s="68" t="str">
        <x:v>OpenAI_M20规则回归</x:v>
      </x:c>
      <x:c r="Z43" s="68" t="str">
        <x:v>待人工复核</x:v>
      </x:c>
      <x:c r="AA43" s="87" t="n">
        <x:v>46260</x:v>
      </x:c>
      <x:c r="AB43" s="68" t="str">
        <x:v>V1.7</x:v>
      </x:c>
      <x:c r="AC43" s="68" t="str">
        <x:v>合成命例仅用于规则单元/集成测试，不替代真实命例外部验证。</x:v>
      </x:c>
    </x:row>
    <x:row r="44">
      <x:c r="A44" s="72" t="str">
        <x:f>IF(OR(C44="",D44=""),"",B44&amp;"-"&amp;UPPER(C44)&amp;"-"&amp;TEXT(D44,"0000")&amp;"-"&amp;E44)</x:f>
        <x:v>M20-EFFECT-0038-V1.0</x:v>
      </x:c>
      <x:c r="B44" s="74" t="str">
        <x:v>M20</x:v>
      </x:c>
      <x:c r="C44" s="74" t="str">
        <x:v>EFFECT</x:v>
      </x:c>
      <x:c r="D44" s="215" t="n">
        <x:v>38</x:v>
      </x:c>
      <x:c r="E44" s="74" t="str">
        <x:v>V1.0</x:v>
      </x:c>
      <x:c r="F44" s="68" t="str">
        <x:v>有库物、透达和承接时开库可成立</x:v>
      </x:c>
      <x:c r="G44" s="68" t="str">
        <x:v>壬辰 丙戌 癸亥 甲寅</x:v>
      </x:c>
      <x:c r="H44" s="82" t="str">
        <x:v>未知/不适用</x:v>
      </x:c>
      <x:c r="I44" s="68" t="str">
        <x:v>合成命例；不用于历法排盘；月令按月支与输入事实假设</x:v>
      </x:c>
      <x:c r="J44" s="68" t="str">
        <x:v>内部合成规则测试</x:v>
      </x:c>
      <x:c r="K44" s="82" t="str">
        <x:v>正例</x:v>
      </x:c>
      <x:c r="L44" s="68" t="str">
        <x:v>M06</x:v>
      </x:c>
      <x:c r="M44" s="68" t="str">
        <x:v>M06-CHONG-0079-V1.0</x:v>
      </x:c>
      <x:c r="N44" s="68" t="str">
        <x:v>辰戌冲；辰中癸水与日主同类，癸壬透出，亥为水根；冲力适中，水有承接路径。</x:v>
      </x:c>
      <x:c r="O44" s="68" t="str">
        <x:v>识别辰戌冲与开库候选。</x:v>
      </x:c>
      <x:c r="P44" s="68" t="str">
        <x:v>库中水气有用、有透达、有根承接，开库效应可成立；仍需防土战副作用。</x:v>
      </x:c>
      <x:c r="Q44" s="68" t="str">
        <x:v>M08可上调水的可调用性，但不把辰戌全部化水。</x:v>
      </x:c>
      <x:c r="R44" s="68" t="str">
        <x:v>开库条件满足，水气得到释放。</x:v>
      </x:c>
      <x:c r="S44" s="68" t="str">
        <x:v>开库条件满足，水气得到释放。</x:v>
      </x:c>
      <x:c r="T44" s="82" t="str">
        <x:f>IF(S44="","未测试",IF(S44=R44,"通过",IF(LEFT(S44,4)="部分符合","部分通过",IF(LEFT(S44,3)="失败","未通过","待复核"))))</x:f>
        <x:v>通过</x:v>
      </x:c>
      <x:c r="U44" s="68" t="str">
        <x:v>无；人工逐层复核结果与预期一致。</x:v>
      </x:c>
      <x:c r="V44" s="68" t="str">
        <x:v>无</x:v>
      </x:c>
      <x:c r="W44" s="68" t="str">
        <x:v>无需修改；保留为回归基线。</x:v>
      </x:c>
      <x:c r="X44" s="82" t="str">
        <x:v>未测试</x:v>
      </x:c>
      <x:c r="Y44" s="68" t="str">
        <x:v>OpenAI_M20规则回归</x:v>
      </x:c>
      <x:c r="Z44" s="68" t="str">
        <x:v>待人工复核</x:v>
      </x:c>
      <x:c r="AA44" s="87" t="n">
        <x:v>46260</x:v>
      </x:c>
      <x:c r="AB44" s="68" t="str">
        <x:v>V1.7</x:v>
      </x:c>
      <x:c r="AC44" s="68" t="str">
        <x:v>合成命例仅用于规则单元/集成测试，不替代真实命例外部验证。</x:v>
      </x:c>
    </x:row>
    <x:row r="45">
      <x:c r="A45" s="72" t="str">
        <x:f>IF(OR(C45="",D45=""),"",B45&amp;"-"&amp;UPPER(C45)&amp;"-"&amp;TEXT(D45,"0000")&amp;"-"&amp;E45)</x:f>
        <x:v>M20-EFFECT-0039-V1.0</x:v>
      </x:c>
      <x:c r="B45" s="74" t="str">
        <x:v>M20</x:v>
      </x:c>
      <x:c r="C45" s="74" t="str">
        <x:v>EFFECT</x:v>
      </x:c>
      <x:c r="D45" s="215" t="n">
        <x:v>39</x:v>
      </x:c>
      <x:c r="E45" s="74" t="str">
        <x:v>V1.0</x:v>
      </x:c>
      <x:c r="F45" s="68" t="str">
        <x:v>三刑只生成刑动刑伤候选</x:v>
      </x:c>
      <x:c r="G45" s="68" t="str">
        <x:v>甲寅 丁巳 戊申 庚子</x:v>
      </x:c>
      <x:c r="H45" s="82" t="str">
        <x:v>未知/不适用</x:v>
      </x:c>
      <x:c r="I45" s="68" t="str">
        <x:v>合成命例；不用于历法排盘；月令按月支与输入事实假设</x:v>
      </x:c>
      <x:c r="J45" s="68" t="str">
        <x:v>内部合成规则测试</x:v>
      </x:c>
      <x:c r="K45" s="82" t="str">
        <x:v>回归测试</x:v>
      </x:c>
      <x:c r="L45" s="68" t="str">
        <x:v>M06</x:v>
      </x:c>
      <x:c r="M45" s="68" t="str">
        <x:v>M06-XING-0083-V1.0</x:v>
      </x:c>
      <x:c r="N45" s="68" t="str">
        <x:v>寅巳申三刑完整；各支得令、根气、透干尚不相同。</x:v>
      </x:c>
      <x:c r="O45" s="68" t="str">
        <x:v>识别完整三刑。</x:v>
      </x:c>
      <x:c r="P45" s="68" t="str">
        <x:v>逐支生成刑动/刑伤候选，不使用统一扣分。</x:v>
      </x:c>
      <x:c r="Q45" s="68" t="str">
        <x:v>M08分别修正木火金，不得写三支同步减弱。</x:v>
      </x:c>
      <x:c r="R45" s="68" t="str">
        <x:v>三刑固定减力逻辑被否决。</x:v>
      </x:c>
      <x:c r="S45" s="68" t="str">
        <x:v>三刑固定减力逻辑被否决。</x:v>
      </x:c>
      <x:c r="T45" s="82" t="str">
        <x:f>IF(S45="","未测试",IF(S45=R45,"通过",IF(LEFT(S45,4)="部分符合","部分通过",IF(LEFT(S45,3)="失败","未通过","待复核"))))</x:f>
        <x:v>通过</x:v>
      </x:c>
      <x:c r="U45" s="68" t="str">
        <x:v>无；人工逐层复核结果与预期一致。</x:v>
      </x:c>
      <x:c r="V45" s="68" t="str">
        <x:v>无</x:v>
      </x:c>
      <x:c r="W45" s="68" t="str">
        <x:v>无需修改；保留为回归基线。</x:v>
      </x:c>
      <x:c r="X45" s="82" t="str">
        <x:v>通过</x:v>
      </x:c>
      <x:c r="Y45" s="68" t="str">
        <x:v>OpenAI_M20规则回归</x:v>
      </x:c>
      <x:c r="Z45" s="68" t="str">
        <x:v>待人工复核</x:v>
      </x:c>
      <x:c r="AA45" s="87" t="n">
        <x:v>46260</x:v>
      </x:c>
      <x:c r="AB45" s="68" t="str">
        <x:v>V1.7</x:v>
      </x:c>
      <x:c r="AC45" s="68" t="str">
        <x:v>合成命例仅用于规则单元/集成测试，不替代真实命例外部验证。</x:v>
      </x:c>
    </x:row>
    <x:row r="46">
      <x:c r="A46" s="72" t="str">
        <x:f>IF(OR(C46="",D46=""),"",B46&amp;"-"&amp;UPPER(C46)&amp;"-"&amp;TEXT(D46,"0000")&amp;"-"&amp;E46)</x:f>
        <x:v>M20-EFFECT-0040-V1.0</x:v>
      </x:c>
      <x:c r="B46" s="74" t="str">
        <x:v>M20</x:v>
      </x:c>
      <x:c r="C46" s="74" t="str">
        <x:v>EFFECT</x:v>
      </x:c>
      <x:c r="D46" s="215" t="n">
        <x:v>40</x:v>
      </x:c>
      <x:c r="E46" s="74" t="str">
        <x:v>V1.0</x:v>
      </x:c>
      <x:c r="F46" s="68" t="str">
        <x:v>寅巳申完整三刑应保留全部重叠效应</x:v>
      </x:c>
      <x:c r="G46" s="68" t="str">
        <x:v>甲寅 丁巳 戊申 庚亥</x:v>
      </x:c>
      <x:c r="H46" s="82" t="str">
        <x:v>未知/不适用</x:v>
      </x:c>
      <x:c r="I46" s="68" t="str">
        <x:v>合成命例；不用于历法排盘；月令按月支与输入事实假设</x:v>
      </x:c>
      <x:c r="J46" s="68" t="str">
        <x:v>内部合成规则测试</x:v>
      </x:c>
      <x:c r="K46" s="82" t="str">
        <x:v>正例</x:v>
      </x:c>
      <x:c r="L46" s="68" t="str">
        <x:v>M06</x:v>
      </x:c>
      <x:c r="M46" s="68" t="str">
        <x:v>M06-XING-0084-V1.0；M06-XING-0085-V1.0</x:v>
      </x:c>
      <x:c r="N46" s="68" t="str">
        <x:v>寅巳申齐全；另有寅申冲、寅巳害、巳申合破。</x:v>
      </x:c>
      <x:c r="O46" s="68" t="str">
        <x:v>识别完整三刑及全部重叠关系。</x:v>
      </x:c>
      <x:c r="P46" s="68" t="str">
        <x:v>结构复杂度和作用竞争上升，主次由月令根气和透干决定。</x:v>
      </x:c>
      <x:c r="Q46" s="68" t="str">
        <x:v>不能用“三刑”一个标签覆盖冲合害破。</x:v>
      </x:c>
      <x:c r="R46" s="68" t="str">
        <x:v>完整三刑被拆成逐支、多关系效应。</x:v>
      </x:c>
      <x:c r="S46" s="68" t="str">
        <x:v>完整三刑被拆成逐支、多关系效应。</x:v>
      </x:c>
      <x:c r="T46" s="82" t="str">
        <x:f>IF(S46="","未测试",IF(S46=R46,"通过",IF(LEFT(S46,4)="部分符合","部分通过",IF(LEFT(S46,3)="失败","未通过","待复核"))))</x:f>
        <x:v>通过</x:v>
      </x:c>
      <x:c r="U46" s="68" t="str">
        <x:v>无；人工逐层复核结果与预期一致。</x:v>
      </x:c>
      <x:c r="V46" s="68" t="str">
        <x:v>无</x:v>
      </x:c>
      <x:c r="W46" s="68" t="str">
        <x:v>无需修改；保留为回归基线。</x:v>
      </x:c>
      <x:c r="X46" s="82" t="str">
        <x:v>未测试</x:v>
      </x:c>
      <x:c r="Y46" s="68" t="str">
        <x:v>OpenAI_M20规则回归</x:v>
      </x:c>
      <x:c r="Z46" s="68" t="str">
        <x:v>待人工复核</x:v>
      </x:c>
      <x:c r="AA46" s="87" t="n">
        <x:v>46260</x:v>
      </x:c>
      <x:c r="AB46" s="68" t="str">
        <x:v>V1.7</x:v>
      </x:c>
      <x:c r="AC46" s="68" t="str">
        <x:v>合成命例仅用于规则单元/集成测试，不替代真实命例外部验证。</x:v>
      </x:c>
    </x:row>
    <x:row r="47">
      <x:c r="A47" s="72" t="str">
        <x:f>IF(OR(C47="",D47=""),"",B47&amp;"-"&amp;UPPER(C47)&amp;"-"&amp;TEXT(D47,"0000")&amp;"-"&amp;E47)</x:f>
        <x:v>M20-EFFECT-0041-V1.0</x:v>
      </x:c>
      <x:c r="B47" s="74" t="str">
        <x:v>M20</x:v>
      </x:c>
      <x:c r="C47" s="74" t="str">
        <x:v>EFFECT</x:v>
      </x:c>
      <x:c r="D47" s="215" t="n">
        <x:v>41</x:v>
      </x:c>
      <x:c r="E47" s="74" t="str">
        <x:v>V1.0</x:v>
      </x:c>
      <x:c r="F47" s="68" t="str">
        <x:v>巳申合刑破必须拆分三种效应</x:v>
      </x:c>
      <x:c r="G47" s="68" t="str">
        <x:v>甲寅 丁巳 戊申 庚子</x:v>
      </x:c>
      <x:c r="H47" s="82" t="str">
        <x:v>未知/不适用</x:v>
      </x:c>
      <x:c r="I47" s="68" t="str">
        <x:v>合成命例；不用于历法排盘；月令按月支与输入事实假设</x:v>
      </x:c>
      <x:c r="J47" s="68" t="str">
        <x:v>内部合成规则测试</x:v>
      </x:c>
      <x:c r="K47" s="82" t="str">
        <x:v>正例</x:v>
      </x:c>
      <x:c r="L47" s="68" t="str">
        <x:v>M06</x:v>
      </x:c>
      <x:c r="M47" s="68" t="str">
        <x:v>M06-OVER-0105-V1.0</x:v>
      </x:c>
      <x:c r="N47" s="68" t="str">
        <x:v>巳申同时为六合、刑、破，共享同一对地支。</x:v>
      </x:c>
      <x:c r="O47" s="68" t="str">
        <x:v>识别三种关系实例。</x:v>
      </x:c>
      <x:c r="P47" s="68" t="str">
        <x:v>分别评估牵引、刑动和连接松动；同一节点容量不得重复全额调用。</x:v>
      </x:c>
      <x:c r="Q47" s="68" t="str">
        <x:v>输出主效应与次效应，不删除任何候选。</x:v>
      </x:c>
      <x:c r="R47" s="68" t="str">
        <x:v>巳申三重效应被独立保留并统一裁决。</x:v>
      </x:c>
      <x:c r="S47" s="68" t="str">
        <x:v>巳申三重效应被独立保留并统一裁决。</x:v>
      </x:c>
      <x:c r="T47" s="82" t="str">
        <x:f>IF(S47="","未测试",IF(S47=R47,"通过",IF(LEFT(S47,4)="部分符合","部分通过",IF(LEFT(S47,3)="失败","未通过","待复核"))))</x:f>
        <x:v>通过</x:v>
      </x:c>
      <x:c r="U47" s="68" t="str">
        <x:v>无；人工逐层复核结果与预期一致。</x:v>
      </x:c>
      <x:c r="V47" s="68" t="str">
        <x:v>无</x:v>
      </x:c>
      <x:c r="W47" s="68" t="str">
        <x:v>无需修改；保留为回归基线。</x:v>
      </x:c>
      <x:c r="X47" s="82" t="str">
        <x:v>未测试</x:v>
      </x:c>
      <x:c r="Y47" s="68" t="str">
        <x:v>OpenAI_M20规则回归</x:v>
      </x:c>
      <x:c r="Z47" s="68" t="str">
        <x:v>待人工复核</x:v>
      </x:c>
      <x:c r="AA47" s="87" t="n">
        <x:v>46260</x:v>
      </x:c>
      <x:c r="AB47" s="68" t="str">
        <x:v>V1.7</x:v>
      </x:c>
      <x:c r="AC47" s="68" t="str">
        <x:v>合成命例仅用于规则单元/集成测试，不替代真实命例外部验证。</x:v>
      </x:c>
    </x:row>
    <x:row r="48">
      <x:c r="A48" s="72" t="str">
        <x:f>IF(OR(C48="",D48=""),"",B48&amp;"-"&amp;UPPER(C48)&amp;"-"&amp;TEXT(D48,"0000")&amp;"-"&amp;E48)</x:f>
        <x:v>M20-EFFECT-0042-V1.0</x:v>
      </x:c>
      <x:c r="B48" s="74" t="str">
        <x:v>M20</x:v>
      </x:c>
      <x:c r="C48" s="74" t="str">
        <x:v>EFFECT</x:v>
      </x:c>
      <x:c r="D48" s="215" t="n">
        <x:v>42</x:v>
      </x:c>
      <x:c r="E48" s="74" t="str">
        <x:v>V1.0</x:v>
      </x:c>
      <x:c r="F48" s="68" t="str">
        <x:v>关系效应层不得直接定喜忌用神</x:v>
      </x:c>
      <x:c r="G48" s="68" t="str">
        <x:v>庚申 戊寅 甲辰 丙午</x:v>
      </x:c>
      <x:c r="H48" s="82" t="str">
        <x:v>未知/不适用</x:v>
      </x:c>
      <x:c r="I48" s="68" t="str">
        <x:v>合成命例；不用于历法排盘；月令按月支与输入事实假设</x:v>
      </x:c>
      <x:c r="J48" s="68" t="str">
        <x:v>内部合成规则测试</x:v>
      </x:c>
      <x:c r="K48" s="82" t="str">
        <x:v>反例</x:v>
      </x:c>
      <x:c r="L48" s="68" t="str">
        <x:v>M06</x:v>
      </x:c>
      <x:c r="M48" s="68" t="str">
        <x:v>M06-BOUND-0120-V1.0</x:v>
      </x:c>
      <x:c r="N48" s="68" t="str">
        <x:v>寅申冲效应已识别，但日主旺衰、格局、调候、病药尚未完成。</x:v>
      </x:c>
      <x:c r="O48" s="68" t="str">
        <x:v>识别寅申冲。</x:v>
      </x:c>
      <x:c r="P48" s="68" t="str">
        <x:v>只能输出冲动、强弱与根气/流通修正。</x:v>
      </x:c>
      <x:c r="Q48" s="68" t="str">
        <x:v>禁止从“寅被冲”直接跳到喜金或忌金。</x:v>
      </x:c>
      <x:c r="R48" s="68" t="str">
        <x:v>M06停留在效应修正，不越级定喜忌。</x:v>
      </x:c>
      <x:c r="S48" s="68" t="str">
        <x:v>M06停留在效应修正，不越级定喜忌。</x:v>
      </x:c>
      <x:c r="T48" s="82" t="str">
        <x:f>IF(S48="","未测试",IF(S48=R48,"通过",IF(LEFT(S48,4)="部分符合","部分通过",IF(LEFT(S48,3)="失败","未通过","待复核"))))</x:f>
        <x:v>通过</x:v>
      </x:c>
      <x:c r="U48" s="68" t="str">
        <x:v>无；人工逐层复核结果与预期一致。</x:v>
      </x:c>
      <x:c r="V48" s="68" t="str">
        <x:v>无</x:v>
      </x:c>
      <x:c r="W48" s="68" t="str">
        <x:v>无需修改；保留为回归基线。</x:v>
      </x:c>
      <x:c r="X48" s="82" t="str">
        <x:v>未测试</x:v>
      </x:c>
      <x:c r="Y48" s="68" t="str">
        <x:v>OpenAI_M20规则回归</x:v>
      </x:c>
      <x:c r="Z48" s="68" t="str">
        <x:v>待人工复核</x:v>
      </x:c>
      <x:c r="AA48" s="87" t="n">
        <x:v>46260</x:v>
      </x:c>
      <x:c r="AB48" s="68" t="str">
        <x:v>V1.7</x:v>
      </x:c>
      <x:c r="AC48" s="68" t="str">
        <x:v>合成命例仅用于规则单元/集成测试，不替代真实命例外部验证。</x:v>
      </x:c>
    </x:row>
    <x:row r="49">
      <x:c r="A49" s="72" t="str">
        <x:f>IF(OR(C49="",D49=""),"",B49&amp;"-"&amp;UPPER(C49)&amp;"-"&amp;TEXT(D49,"0000")&amp;"-"&amp;E49)</x:f>
        <x:v>M20-WANG-0043-V1.0</x:v>
      </x:c>
      <x:c r="B49" s="74" t="str">
        <x:v>M20</x:v>
      </x:c>
      <x:c r="C49" s="74" t="str">
        <x:v>WANG</x:v>
      </x:c>
      <x:c r="D49" s="215" t="n">
        <x:v>43</x:v>
      </x:c>
      <x:c r="E49" s="74" t="str">
        <x:v>V1.0</x:v>
      </x:c>
      <x:c r="F49" s="68" t="str">
        <x:v>月令本气同类构成强季令支持</x:v>
      </x:c>
      <x:c r="G49" s="68" t="str">
        <x:v>甲寅 乙卯 丙辰 丁午</x:v>
      </x:c>
      <x:c r="H49" s="82" t="str">
        <x:v>未知/不适用</x:v>
      </x:c>
      <x:c r="I49" s="68" t="str">
        <x:v>合成命例；不用于历法排盘；月令按月支与输入事实假设</x:v>
      </x:c>
      <x:c r="J49" s="68" t="str">
        <x:v>内部合成规则测试</x:v>
      </x:c>
      <x:c r="K49" s="82" t="str">
        <x:v>正例</x:v>
      </x:c>
      <x:c r="L49" s="68" t="str">
        <x:v>M07</x:v>
      </x:c>
      <x:c r="M49" s="68" t="str">
        <x:v>M07-SEAS-0001-V1.0</x:v>
      </x:c>
      <x:c r="N49" s="68" t="str">
        <x:v>测试木五行；卯月本气木，寅卯又有木根。</x:v>
      </x:c>
      <x:c r="O49" s="68" t="str">
        <x:v>月令本气同类被识别为最高等级季令支持。</x:v>
      </x:c>
      <x:c r="P49" s="68" t="str">
        <x:v>木原始力量获得强正向季令证据。</x:v>
      </x:c>
      <x:c r="Q49" s="68" t="str">
        <x:v>仍需根气、透干、生源和后续效应综合。</x:v>
      </x:c>
      <x:c r="R49" s="68" t="str">
        <x:v>木获得强季令支持，但未越级定最终喜忌。</x:v>
      </x:c>
      <x:c r="S49" s="68" t="str">
        <x:v>木获得强季令支持，但未越级定最终喜忌。</x:v>
      </x:c>
      <x:c r="T49" s="82" t="str">
        <x:f>IF(S49="","未测试",IF(S49=R49,"通过",IF(LEFT(S49,4)="部分符合","部分通过",IF(LEFT(S49,3)="失败","未通过","待复核"))))</x:f>
        <x:v>通过</x:v>
      </x:c>
      <x:c r="U49" s="68" t="str">
        <x:v>无；人工逐层复核结果与预期一致。</x:v>
      </x:c>
      <x:c r="V49" s="68" t="str">
        <x:v>无</x:v>
      </x:c>
      <x:c r="W49" s="68" t="str">
        <x:v>无需修改；保留为回归基线。</x:v>
      </x:c>
      <x:c r="X49" s="82" t="str">
        <x:v>未测试</x:v>
      </x:c>
      <x:c r="Y49" s="68" t="str">
        <x:v>OpenAI_M20规则回归</x:v>
      </x:c>
      <x:c r="Z49" s="68" t="str">
        <x:v>待人工复核</x:v>
      </x:c>
      <x:c r="AA49" s="87" t="n">
        <x:v>46260</x:v>
      </x:c>
      <x:c r="AB49" s="68" t="str">
        <x:v>V1.7</x:v>
      </x:c>
      <x:c r="AC49" s="68" t="str">
        <x:v>合成命例仅用于规则单元/集成测试，不替代真实命例外部验证。</x:v>
      </x:c>
    </x:row>
    <x:row r="50">
      <x:c r="A50" s="72" t="str">
        <x:f>IF(OR(C50="",D50=""),"",B50&amp;"-"&amp;UPPER(C50)&amp;"-"&amp;TEXT(D50,"0000")&amp;"-"&amp;E50)</x:f>
        <x:v>M20-WANG-0044-V1.0</x:v>
      </x:c>
      <x:c r="B50" s="74" t="str">
        <x:v>M20</x:v>
      </x:c>
      <x:c r="C50" s="74" t="str">
        <x:v>WANG</x:v>
      </x:c>
      <x:c r="D50" s="215" t="n">
        <x:v>44</x:v>
      </x:c>
      <x:c r="E50" s="74" t="str">
        <x:v>V1.0</x:v>
      </x:c>
      <x:c r="F50" s="68" t="str">
        <x:v>同党数量不能覆盖失令无根反证</x:v>
      </x:c>
      <x:c r="G50" s="68" t="str">
        <x:v>甲申 乙酉 甲午 乙丑</x:v>
      </x:c>
      <x:c r="H50" s="82" t="str">
        <x:v>未知/不适用</x:v>
      </x:c>
      <x:c r="I50" s="68" t="str">
        <x:v>合成命例；不用于历法排盘；月令按月支与输入事实假设</x:v>
      </x:c>
      <x:c r="J50" s="68" t="str">
        <x:v>内部合成规则测试</x:v>
      </x:c>
      <x:c r="K50" s="82" t="str">
        <x:v>反例</x:v>
      </x:c>
      <x:c r="L50" s="68" t="str">
        <x:v>M07</x:v>
      </x:c>
      <x:c r="M50" s="68" t="str">
        <x:v>M07-ALLY-0056-V1.0</x:v>
      </x:c>
      <x:c r="N50" s="68" t="str">
        <x:v>天干四木同党明显，但生于酉月，地支无木根，水生源弱。</x:v>
      </x:c>
      <x:c r="O50" s="68" t="str">
        <x:v>识别多枚木同党。</x:v>
      </x:c>
      <x:c r="P50" s="68" t="str">
        <x:v>同党数量采用边际递减，不能覆盖失令、无根、无源。</x:v>
      </x:c>
      <x:c r="Q50" s="68" t="str">
        <x:v>木只列数量优势，不得仅凭四透判旺。</x:v>
      </x:c>
      <x:c r="R50" s="68" t="str">
        <x:v>多透木不等于木原始必旺。</x:v>
      </x:c>
      <x:c r="S50" s="68" t="str">
        <x:v>多透木不等于木原始必旺。</x:v>
      </x:c>
      <x:c r="T50" s="82" t="str">
        <x:f>IF(S50="","未测试",IF(S50=R50,"通过",IF(LEFT(S50,4)="部分符合","部分通过",IF(LEFT(S50,3)="失败","未通过","待复核"))))</x:f>
        <x:v>通过</x:v>
      </x:c>
      <x:c r="U50" s="68" t="str">
        <x:v>无；人工逐层复核结果与预期一致。</x:v>
      </x:c>
      <x:c r="V50" s="68" t="str">
        <x:v>无</x:v>
      </x:c>
      <x:c r="W50" s="68" t="str">
        <x:v>无需修改；保留为回归基线。</x:v>
      </x:c>
      <x:c r="X50" s="82" t="str">
        <x:v>未测试</x:v>
      </x:c>
      <x:c r="Y50" s="68" t="str">
        <x:v>OpenAI_M20规则回归</x:v>
      </x:c>
      <x:c r="Z50" s="68" t="str">
        <x:v>待人工复核</x:v>
      </x:c>
      <x:c r="AA50" s="87" t="n">
        <x:v>46260</x:v>
      </x:c>
      <x:c r="AB50" s="68" t="str">
        <x:v>V1.7</x:v>
      </x:c>
      <x:c r="AC50" s="68" t="str">
        <x:v>合成命例仅用于规则单元/集成测试，不替代真实命例外部验证。</x:v>
      </x:c>
    </x:row>
    <x:row r="51">
      <x:c r="A51" s="72" t="str">
        <x:f>IF(OR(C51="",D51=""),"",B51&amp;"-"&amp;UPPER(C51)&amp;"-"&amp;TEXT(D51,"0000")&amp;"-"&amp;E51)</x:f>
        <x:v>M20-WANG-0045-V1.0</x:v>
      </x:c>
      <x:c r="B51" s="74" t="str">
        <x:v>M20</x:v>
      </x:c>
      <x:c r="C51" s="74" t="str">
        <x:v>WANG</x:v>
      </x:c>
      <x:c r="D51" s="215" t="n">
        <x:v>45</x:v>
      </x:c>
      <x:c r="E51" s="74" t="str">
        <x:v>V1.0</x:v>
      </x:c>
      <x:c r="F51" s="68" t="str">
        <x:v>弱生源不能无限抬高目标五行</x:v>
      </x:c>
      <x:c r="G51" s="68" t="str">
        <x:v>庚酉 辛丑 甲午 癸未</x:v>
      </x:c>
      <x:c r="H51" s="82" t="str">
        <x:v>未知/不适用</x:v>
      </x:c>
      <x:c r="I51" s="68" t="str">
        <x:v>合成命例；不用于历法排盘；月令按月支与输入事实假设</x:v>
      </x:c>
      <x:c r="J51" s="68" t="str">
        <x:v>内部合成规则测试</x:v>
      </x:c>
      <x:c r="K51" s="82" t="str">
        <x:v>边界案例</x:v>
      </x:c>
      <x:c r="L51" s="68" t="str">
        <x:v>M07</x:v>
      </x:c>
      <x:c r="M51" s="68" t="str">
        <x:v>M07-SOURCE-0046-V1.0</x:v>
      </x:c>
      <x:c r="N51" s="68" t="str">
        <x:v>甲木只有一枚癸水生源；癸无根、受旺土金制耗。</x:v>
      </x:c>
      <x:c r="O51" s="68" t="str">
        <x:v>识别癸可生甲的名义路径。</x:v>
      </x:c>
      <x:c r="P51" s="68" t="str">
        <x:v>生源支持以上限为癸自身弱级，不能按“有水生木”满额加权。</x:v>
      </x:c>
      <x:c r="Q51" s="68" t="str">
        <x:v>甲木原始力量仅获得低等级生源证据。</x:v>
      </x:c>
      <x:c r="R51" s="68" t="str">
        <x:v>弱癸只能弱生甲，生源上限规则成立。</x:v>
      </x:c>
      <x:c r="S51" s="68" t="str">
        <x:v>弱癸只能弱生甲，生源上限规则成立。</x:v>
      </x:c>
      <x:c r="T51" s="82" t="str">
        <x:f>IF(S51="","未测试",IF(S51=R51,"通过",IF(LEFT(S51,4)="部分符合","部分通过",IF(LEFT(S51,3)="失败","未通过","待复核"))))</x:f>
        <x:v>通过</x:v>
      </x:c>
      <x:c r="U51" s="68" t="str">
        <x:v>无；人工逐层复核结果与预期一致。</x:v>
      </x:c>
      <x:c r="V51" s="68" t="str">
        <x:v>无</x:v>
      </x:c>
      <x:c r="W51" s="68" t="str">
        <x:v>无需修改；保留为回归基线。</x:v>
      </x:c>
      <x:c r="X51" s="82" t="str">
        <x:v>未测试</x:v>
      </x:c>
      <x:c r="Y51" s="68" t="str">
        <x:v>OpenAI_M20规则回归</x:v>
      </x:c>
      <x:c r="Z51" s="68" t="str">
        <x:v>待人工复核</x:v>
      </x:c>
      <x:c r="AA51" s="87" t="n">
        <x:v>46260</x:v>
      </x:c>
      <x:c r="AB51" s="68" t="str">
        <x:v>V1.7</x:v>
      </x:c>
      <x:c r="AC51" s="68" t="str">
        <x:v>合成命例仅用于规则单元/集成测试，不替代真实命例外部验证。</x:v>
      </x:c>
    </x:row>
    <x:row r="52">
      <x:c r="A52" s="72" t="str">
        <x:f>IF(OR(C52="",D52=""),"",B52&amp;"-"&amp;UPPER(C52)&amp;"-"&amp;TEXT(D52,"0000")&amp;"-"&amp;E52)</x:f>
        <x:v>M20-WANG-0046-V1.0</x:v>
      </x:c>
      <x:c r="B52" s="74" t="str">
        <x:v>M20</x:v>
      </x:c>
      <x:c r="C52" s="74" t="str">
        <x:v>WANG</x:v>
      </x:c>
      <x:c r="D52" s="215" t="n">
        <x:v>46</x:v>
      </x:c>
      <x:c r="E52" s="74" t="str">
        <x:v>V1.0</x:v>
      </x:c>
      <x:c r="F52" s="68" t="str">
        <x:v>得令多根透干汇合形成成势候选</x:v>
      </x:c>
      <x:c r="G52" s="68" t="str">
        <x:v>甲寅 乙卯 甲辰 壬亥</x:v>
      </x:c>
      <x:c r="H52" s="82" t="str">
        <x:v>未知/不适用</x:v>
      </x:c>
      <x:c r="I52" s="68" t="str">
        <x:v>合成命例；不用于历法排盘；月令按月支与输入事实假设</x:v>
      </x:c>
      <x:c r="J52" s="68" t="str">
        <x:v>内部合成规则测试</x:v>
      </x:c>
      <x:c r="K52" s="82" t="str">
        <x:v>正例</x:v>
      </x:c>
      <x:c r="L52" s="68" t="str">
        <x:v>M07</x:v>
      </x:c>
      <x:c r="M52" s="68" t="str">
        <x:v>M07-MOMENT-0057-V1.0</x:v>
      </x:c>
      <x:c r="N52" s="68" t="str">
        <x:v>木得卯令，寅卯辰亥提供多根/同党，甲乙透干，壬水生木。</x:v>
      </x:c>
      <x:c r="O52" s="68" t="str">
        <x:v>识别季令、根气、透干、生源多类独立证据。</x:v>
      </x:c>
      <x:c r="P52" s="68" t="str">
        <x:v>木形成明显成势候选。</x:v>
      </x:c>
      <x:c r="Q52" s="68" t="str">
        <x:v>M08再检查合冲制化后决定有效成势。</x:v>
      </x:c>
      <x:c r="R52" s="68" t="str">
        <x:v>木原始层成势候选成立。</x:v>
      </x:c>
      <x:c r="S52" s="68" t="str">
        <x:v>木原始层成势候选成立。</x:v>
      </x:c>
      <x:c r="T52" s="82" t="str">
        <x:f>IF(S52="","未测试",IF(S52=R52,"通过",IF(LEFT(S52,4)="部分符合","部分通过",IF(LEFT(S52,3)="失败","未通过","待复核"))))</x:f>
        <x:v>通过</x:v>
      </x:c>
      <x:c r="U52" s="68" t="str">
        <x:v>无；人工逐层复核结果与预期一致。</x:v>
      </x:c>
      <x:c r="V52" s="68" t="str">
        <x:v>无</x:v>
      </x:c>
      <x:c r="W52" s="68" t="str">
        <x:v>无需修改；保留为回归基线。</x:v>
      </x:c>
      <x:c r="X52" s="82" t="str">
        <x:v>未测试</x:v>
      </x:c>
      <x:c r="Y52" s="68" t="str">
        <x:v>OpenAI_M20规则回归</x:v>
      </x:c>
      <x:c r="Z52" s="68" t="str">
        <x:v>待人工复核</x:v>
      </x:c>
      <x:c r="AA52" s="87" t="n">
        <x:v>46260</x:v>
      </x:c>
      <x:c r="AB52" s="68" t="str">
        <x:v>V1.7</x:v>
      </x:c>
      <x:c r="AC52" s="68" t="str">
        <x:v>合成命例仅用于规则单元/集成测试，不替代真实命例外部验证。</x:v>
      </x:c>
    </x:row>
    <x:row r="53">
      <x:c r="A53" s="72" t="str">
        <x:f>IF(OR(C53="",D53=""),"",B53&amp;"-"&amp;UPPER(C53)&amp;"-"&amp;TEXT(D53,"0000")&amp;"-"&amp;E53)</x:f>
        <x:v>M20-WANG-0047-V1.0</x:v>
      </x:c>
      <x:c r="B53" s="74" t="str">
        <x:v>M20</x:v>
      </x:c>
      <x:c r="C53" s="74" t="str">
        <x:v>WANG</x:v>
      </x:c>
      <x:c r="D53" s="215" t="n">
        <x:v>47</x:v>
      </x:c>
      <x:c r="E53" s="74" t="str">
        <x:v>V1.0</x:v>
      </x:c>
      <x:c r="F53" s="68" t="str">
        <x:v>唯一强根未被实质破坏时仍保留承载</x:v>
      </x:c>
      <x:c r="G53" s="68" t="str">
        <x:v>庚申 戊寅 甲辰 丙午</x:v>
      </x:c>
      <x:c r="H53" s="82" t="str">
        <x:v>未知/不适用</x:v>
      </x:c>
      <x:c r="I53" s="68" t="str">
        <x:v>合成命例；不用于历法排盘；月令按月支与输入事实假设</x:v>
      </x:c>
      <x:c r="J53" s="68" t="str">
        <x:v>内部合成规则测试</x:v>
      </x:c>
      <x:c r="K53" s="82" t="str">
        <x:v>回归测试</x:v>
      </x:c>
      <x:c r="L53" s="68" t="str">
        <x:v>M08</x:v>
      </x:c>
      <x:c r="M53" s="68" t="str">
        <x:v>M08-ROOT-0001-V1.0</x:v>
      </x:c>
      <x:c r="N53" s="68" t="str">
        <x:v>甲木唯一寅根受申冲；寅有根源和透干支持，M06仅判冲动/受制，未判冲散。</x:v>
      </x:c>
      <x:c r="O53" s="68" t="str">
        <x:v>原始层识别寅本气根。</x:v>
      </x:c>
      <x:c r="P53" s="68" t="str">
        <x:v>有效层仍保留主要承载，只作条件性下调。</x:v>
      </x:c>
      <x:c r="Q53" s="68" t="str">
        <x:v>不能把甲木直接判无根。</x:v>
      </x:c>
      <x:c r="R53" s="68" t="str">
        <x:v>唯一寅根未被实质破坏，承载仍保留。</x:v>
      </x:c>
      <x:c r="S53" s="68" t="str">
        <x:v>唯一寅根未被实质破坏，承载仍保留。</x:v>
      </x:c>
      <x:c r="T53" s="82" t="str">
        <x:f>IF(S53="","未测试",IF(S53=R53,"通过",IF(LEFT(S53,4)="部分符合","部分通过",IF(LEFT(S53,3)="失败","未通过","待复核"))))</x:f>
        <x:v>通过</x:v>
      </x:c>
      <x:c r="U53" s="68" t="str">
        <x:v>无；人工逐层复核结果与预期一致。</x:v>
      </x:c>
      <x:c r="V53" s="68" t="str">
        <x:v>无</x:v>
      </x:c>
      <x:c r="W53" s="68" t="str">
        <x:v>无需修改；保留为回归基线。</x:v>
      </x:c>
      <x:c r="X53" s="82" t="str">
        <x:v>通过</x:v>
      </x:c>
      <x:c r="Y53" s="68" t="str">
        <x:v>OpenAI_M20规则回归</x:v>
      </x:c>
      <x:c r="Z53" s="68" t="str">
        <x:v>待人工复核</x:v>
      </x:c>
      <x:c r="AA53" s="87" t="n">
        <x:v>46260</x:v>
      </x:c>
      <x:c r="AB53" s="68" t="str">
        <x:v>V1.7</x:v>
      </x:c>
      <x:c r="AC53" s="68" t="str">
        <x:v>合成命例仅用于规则单元/集成测试，不替代真实命例外部验证。</x:v>
      </x:c>
    </x:row>
    <x:row r="54">
      <x:c r="A54" s="72" t="str">
        <x:f>IF(OR(C54="",D54=""),"",B54&amp;"-"&amp;UPPER(C54)&amp;"-"&amp;TEXT(D54,"0000")&amp;"-"&amp;E54)</x:f>
        <x:v>M20-WANG-0048-V1.0</x:v>
      </x:c>
      <x:c r="B54" s="74" t="str">
        <x:v>M20</x:v>
      </x:c>
      <x:c r="C54" s="74" t="str">
        <x:v>WANG</x:v>
      </x:c>
      <x:c r="D54" s="215" t="n">
        <x:v>48</x:v>
      </x:c>
      <x:c r="E54" s="74" t="str">
        <x:v>V1.0</x:v>
      </x:c>
      <x:c r="F54" s="68" t="str">
        <x:v>透干被合绊只下调显露功能不删除本体</x:v>
      </x:c>
      <x:c r="G54" s="68" t="str">
        <x:v>甲寅 己丑 甲辰 丙午</x:v>
      </x:c>
      <x:c r="H54" s="82" t="str">
        <x:v>未知/不适用</x:v>
      </x:c>
      <x:c r="I54" s="68" t="str">
        <x:v>合成命例；不用于历法排盘；月令按月支与输入事实假设</x:v>
      </x:c>
      <x:c r="J54" s="68" t="str">
        <x:v>内部合成规则测试</x:v>
      </x:c>
      <x:c r="K54" s="82" t="str">
        <x:v>正例</x:v>
      </x:c>
      <x:c r="L54" s="68" t="str">
        <x:v>M08</x:v>
      </x:c>
      <x:c r="M54" s="68" t="str">
        <x:v>M08-STEM-0030-V1.0</x:v>
      </x:c>
      <x:c r="N54" s="68" t="str">
        <x:v>甲己相合；甲另有寅根与日干同党。</x:v>
      </x:c>
      <x:c r="O54" s="68" t="str">
        <x:v>识别甲透干、甲己合。</x:v>
      </x:c>
      <x:c r="P54" s="68" t="str">
        <x:v>甲的显露和主动作用受合绊，但木本体及根气仍存在。</x:v>
      </x:c>
      <x:c r="Q54" s="68" t="str">
        <x:v>有效力量按功能受限修正，不归零。</x:v>
      </x:c>
      <x:c r="R54" s="68" t="str">
        <x:v>被合绊的甲仍保留木本体与根气。</x:v>
      </x:c>
      <x:c r="S54" s="68" t="str">
        <x:v>被合绊的甲仍保留木本体与根气。</x:v>
      </x:c>
      <x:c r="T54" s="82" t="str">
        <x:f>IF(S54="","未测试",IF(S54=R54,"通过",IF(LEFT(S54,4)="部分符合","部分通过",IF(LEFT(S54,3)="失败","未通过","待复核"))))</x:f>
        <x:v>通过</x:v>
      </x:c>
      <x:c r="U54" s="68" t="str">
        <x:v>无；人工逐层复核结果与预期一致。</x:v>
      </x:c>
      <x:c r="V54" s="68" t="str">
        <x:v>无</x:v>
      </x:c>
      <x:c r="W54" s="68" t="str">
        <x:v>无需修改；保留为回归基线。</x:v>
      </x:c>
      <x:c r="X54" s="82" t="str">
        <x:v>未测试</x:v>
      </x:c>
      <x:c r="Y54" s="68" t="str">
        <x:v>OpenAI_M20规则回归</x:v>
      </x:c>
      <x:c r="Z54" s="68" t="str">
        <x:v>待人工复核</x:v>
      </x:c>
      <x:c r="AA54" s="87" t="n">
        <x:v>46260</x:v>
      </x:c>
      <x:c r="AB54" s="68" t="str">
        <x:v>V1.7</x:v>
      </x:c>
      <x:c r="AC54" s="68" t="str">
        <x:v>合成命例仅用于规则单元/集成测试，不替代真实命例外部验证。</x:v>
      </x:c>
    </x:row>
    <x:row r="55">
      <x:c r="A55" s="72" t="str">
        <x:f>IF(OR(C55="",D55=""),"",B55&amp;"-"&amp;UPPER(C55)&amp;"-"&amp;TEXT(D55,"0000")&amp;"-"&amp;E55)</x:f>
        <x:v>M20-WANG-0049-V1.0</x:v>
      </x:c>
      <x:c r="B55" s="74" t="str">
        <x:v>M20</x:v>
      </x:c>
      <x:c r="C55" s="74" t="str">
        <x:v>WANG</x:v>
      </x:c>
      <x:c r="D55" s="215" t="n">
        <x:v>49</x:v>
      </x:c>
      <x:c r="E55" s="74" t="str">
        <x:v>V1.0</x:v>
      </x:c>
      <x:c r="F55" s="68" t="str">
        <x:v>关键桥梁被合绊会降低流通效率</x:v>
      </x:c>
      <x:c r="G55" s="68" t="str">
        <x:v>庚申 癸丑 甲寅 己巳</x:v>
      </x:c>
      <x:c r="H55" s="82" t="str">
        <x:v>未知/不适用</x:v>
      </x:c>
      <x:c r="I55" s="68" t="str">
        <x:v>合成命例；不用于历法排盘；月令按月支与输入事实假设</x:v>
      </x:c>
      <x:c r="J55" s="68" t="str">
        <x:v>内部合成规则测试</x:v>
      </x:c>
      <x:c r="K55" s="82" t="str">
        <x:v>正例</x:v>
      </x:c>
      <x:c r="L55" s="68" t="str">
        <x:v>M08</x:v>
      </x:c>
      <x:c r="M55" s="68" t="str">
        <x:v>M08-FLOW-0097-V1.0</x:v>
      </x:c>
      <x:c r="N55" s="68" t="str">
        <x:v>金→水→木为候选路径；癸水与戊己土作用并受子丑/干合类牵制，桥梁水功能下降。</x:v>
      </x:c>
      <x:c r="O55" s="68" t="str">
        <x:v>识别金水木路径与水桥梁受限事实。</x:v>
      </x:c>
      <x:c r="P55" s="68" t="str">
        <x:v>流通效率下调，但水的五行存在性不删除。</x:v>
      </x:c>
      <x:c r="Q55" s="68" t="str">
        <x:v>M12将水标为受限桥梁/卡点。</x:v>
      </x:c>
      <x:c r="R55" s="68" t="str">
        <x:v>桥梁受合绊或强克时流通效率下降。</x:v>
      </x:c>
      <x:c r="S55" s="68" t="str">
        <x:v>桥梁受合绊或强克时流通效率下降。</x:v>
      </x:c>
      <x:c r="T55" s="82" t="str">
        <x:f>IF(S55="","未测试",IF(S55=R55,"通过",IF(LEFT(S55,4)="部分符合","部分通过",IF(LEFT(S55,3)="失败","未通过","待复核"))))</x:f>
        <x:v>通过</x:v>
      </x:c>
      <x:c r="U55" s="68" t="str">
        <x:v>无；人工逐层复核结果与预期一致。</x:v>
      </x:c>
      <x:c r="V55" s="68" t="str">
        <x:v>无</x:v>
      </x:c>
      <x:c r="W55" s="68" t="str">
        <x:v>无需修改；保留为回归基线。</x:v>
      </x:c>
      <x:c r="X55" s="82" t="str">
        <x:v>未测试</x:v>
      </x:c>
      <x:c r="Y55" s="68" t="str">
        <x:v>OpenAI_M20规则回归</x:v>
      </x:c>
      <x:c r="Z55" s="68" t="str">
        <x:v>待人工复核</x:v>
      </x:c>
      <x:c r="AA55" s="87" t="n">
        <x:v>46260</x:v>
      </x:c>
      <x:c r="AB55" s="68" t="str">
        <x:v>V1.7</x:v>
      </x:c>
      <x:c r="AC55" s="68" t="str">
        <x:v>合成命例仅用于规则单元/集成测试，不替代真实命例外部验证。</x:v>
      </x:c>
    </x:row>
    <x:row r="56">
      <x:c r="A56" s="72" t="str">
        <x:f>IF(OR(C56="",D56=""),"",B56&amp;"-"&amp;UPPER(C56)&amp;"-"&amp;TEXT(D56,"0000")&amp;"-"&amp;E56)</x:f>
        <x:v>M20-WANG-0050-V1.0</x:v>
      </x:c>
      <x:c r="B56" s="74" t="str">
        <x:v>M20</x:v>
      </x:c>
      <x:c r="C56" s="74" t="str">
        <x:v>WANG</x:v>
      </x:c>
      <x:c r="D56" s="215" t="n">
        <x:v>50</x:v>
      </x:c>
      <x:c r="E56" s="74" t="str">
        <x:v>V1.0</x:v>
      </x:c>
      <x:c r="F56" s="68" t="str">
        <x:v>固定百分比不能替代有效旺衰裁决</x:v>
      </x:c>
      <x:c r="G56" s="68" t="str">
        <x:v>甲寅 丁巳 戊申 庚子</x:v>
      </x:c>
      <x:c r="H56" s="82" t="str">
        <x:v>未知/不适用</x:v>
      </x:c>
      <x:c r="I56" s="68" t="str">
        <x:v>合成命例；不用于历法排盘；月令按月支与输入事实假设</x:v>
      </x:c>
      <x:c r="J56" s="68" t="str">
        <x:v>内部合成规则测试</x:v>
      </x:c>
      <x:c r="K56" s="82" t="str">
        <x:v>反例</x:v>
      </x:c>
      <x:c r="L56" s="68" t="str">
        <x:v>M08</x:v>
      </x:c>
      <x:c r="M56" s="68" t="str">
        <x:v>M08-BOUND-0109-V1.0</x:v>
      </x:c>
      <x:c r="N56" s="68" t="str">
        <x:v>三刑、冲、合、破多重关系并存，若每种关系固定扣20%会重复调用同一节点。</x:v>
      </x:c>
      <x:c r="O56" s="68" t="str">
        <x:v>识别全部关系和共享节点。</x:v>
      </x:c>
      <x:c r="P56" s="68" t="str">
        <x:v>必须逐对象、逐路径比较，禁止固定百分比相加。</x:v>
      </x:c>
      <x:c r="Q56" s="68" t="str">
        <x:v>有效旺衰以证据和净效应输出。</x:v>
      </x:c>
      <x:c r="R56" s="68" t="str">
        <x:v>固定百分比扣分法被否决。</x:v>
      </x:c>
      <x:c r="S56" s="68" t="str">
        <x:v>固定百分比扣分法被否决。</x:v>
      </x:c>
      <x:c r="T56" s="82" t="str">
        <x:f>IF(S56="","未测试",IF(S56=R56,"通过",IF(LEFT(S56,4)="部分符合","部分通过",IF(LEFT(S56,3)="失败","未通过","待复核"))))</x:f>
        <x:v>通过</x:v>
      </x:c>
      <x:c r="U56" s="68" t="str">
        <x:v>无；人工逐层复核结果与预期一致。</x:v>
      </x:c>
      <x:c r="V56" s="68" t="str">
        <x:v>无</x:v>
      </x:c>
      <x:c r="W56" s="68" t="str">
        <x:v>无需修改；保留为回归基线。</x:v>
      </x:c>
      <x:c r="X56" s="82" t="str">
        <x:v>未测试</x:v>
      </x:c>
      <x:c r="Y56" s="68" t="str">
        <x:v>OpenAI_M20规则回归</x:v>
      </x:c>
      <x:c r="Z56" s="68" t="str">
        <x:v>待人工复核</x:v>
      </x:c>
      <x:c r="AA56" s="87" t="n">
        <x:v>46260</x:v>
      </x:c>
      <x:c r="AB56" s="68" t="str">
        <x:v>V1.7</x:v>
      </x:c>
      <x:c r="AC56" s="68" t="str">
        <x:v>合成命例仅用于规则单元/集成测试，不替代真实命例外部验证。</x:v>
      </x:c>
    </x:row>
    <x:row r="57">
      <x:c r="A57" s="72" t="str">
        <x:f>IF(OR(C57="",D57=""),"",B57&amp;"-"&amp;UPPER(C57)&amp;"-"&amp;TEXT(D57,"0000")&amp;"-"&amp;E57)</x:f>
        <x:v>M20-WANG-0051-V1.0</x:v>
      </x:c>
      <x:c r="B57" s="74" t="str">
        <x:v>M20</x:v>
      </x:c>
      <x:c r="C57" s="74" t="str">
        <x:v>WANG</x:v>
      </x:c>
      <x:c r="D57" s="215" t="n">
        <x:v>51</x:v>
      </x:c>
      <x:c r="E57" s="74" t="str">
        <x:v>V1.0</x:v>
      </x:c>
      <x:c r="F57" s="68" t="str">
        <x:v>得令但无有效根不能自动判身旺</x:v>
      </x:c>
      <x:c r="G57" s="68" t="str">
        <x:v>丙午 丁巳 丙子 壬申</x:v>
      </x:c>
      <x:c r="H57" s="82" t="str">
        <x:v>未知/不适用</x:v>
      </x:c>
      <x:c r="I57" s="68" t="str">
        <x:v>合成命例；不用于历法排盘；月令按月支与输入事实假设</x:v>
      </x:c>
      <x:c r="J57" s="68" t="str">
        <x:v>内部合成规则测试</x:v>
      </x:c>
      <x:c r="K57" s="82" t="str">
        <x:v>边界案例</x:v>
      </x:c>
      <x:c r="L57" s="68" t="str">
        <x:v>M09</x:v>
      </x:c>
      <x:c r="M57" s="68" t="str">
        <x:v>M09-LING-0004-V1.0</x:v>
      </x:c>
      <x:c r="N57" s="68" t="str">
        <x:v>丙火生巳月得令；地支火根受子水冲，天干壬水有根，火的持续承载需核查。</x:v>
      </x:c>
      <x:c r="O57" s="68" t="str">
        <x:v>识别日主得令。</x:v>
      </x:c>
      <x:c r="P57" s="68" t="str">
        <x:v>得令为强证据，但无稳定有效根或受强制时不能单独定旺。</x:v>
      </x:c>
      <x:c r="Q57" s="68" t="str">
        <x:v>输出需保留“得令强、根与制约弱”的边界状态。</x:v>
      </x:c>
      <x:c r="R57" s="68" t="str">
        <x:v>丙火得令但承载未稳，不自动判旺。</x:v>
      </x:c>
      <x:c r="S57" s="68" t="str">
        <x:v>丙火得令但承载未稳，不自动判旺。</x:v>
      </x:c>
      <x:c r="T57" s="82" t="str">
        <x:f>IF(S57="","未测试",IF(S57=R57,"通过",IF(LEFT(S57,4)="部分符合","部分通过",IF(LEFT(S57,3)="失败","未通过","待复核"))))</x:f>
        <x:v>通过</x:v>
      </x:c>
      <x:c r="U57" s="68" t="str">
        <x:v>无；人工逐层复核结果与预期一致。</x:v>
      </x:c>
      <x:c r="V57" s="68" t="str">
        <x:v>无</x:v>
      </x:c>
      <x:c r="W57" s="68" t="str">
        <x:v>无需修改；保留为回归基线。</x:v>
      </x:c>
      <x:c r="X57" s="82" t="str">
        <x:v>未测试</x:v>
      </x:c>
      <x:c r="Y57" s="68" t="str">
        <x:v>OpenAI_M20规则回归</x:v>
      </x:c>
      <x:c r="Z57" s="68" t="str">
        <x:v>待人工复核</x:v>
      </x:c>
      <x:c r="AA57" s="87" t="n">
        <x:v>46260</x:v>
      </x:c>
      <x:c r="AB57" s="68" t="str">
        <x:v>V1.7</x:v>
      </x:c>
      <x:c r="AC57" s="68" t="str">
        <x:v>合成命例仅用于规则单元/集成测试，不替代真实命例外部验证。</x:v>
      </x:c>
    </x:row>
    <x:row r="58">
      <x:c r="A58" s="72" t="str">
        <x:f>IF(OR(C58="",D58=""),"",B58&amp;"-"&amp;UPPER(C58)&amp;"-"&amp;TEXT(D58,"0000")&amp;"-"&amp;E58)</x:f>
        <x:v>M20-WANG-0052-V1.0</x:v>
      </x:c>
      <x:c r="B58" s="74" t="str">
        <x:v>M20</x:v>
      </x:c>
      <x:c r="C58" s="74" t="str">
        <x:v>WANG</x:v>
      </x:c>
      <x:c r="D58" s="215" t="n">
        <x:v>52</x:v>
      </x:c>
      <x:c r="E58" s="74" t="str">
        <x:v>V1.0</x:v>
      </x:c>
      <x:c r="F58" s="68" t="str">
        <x:v>失令但根深印比成势可反转季节劣势</x:v>
      </x:c>
      <x:c r="G58" s="68" t="str">
        <x:v>甲寅 乙卯 甲申 壬亥</x:v>
      </x:c>
      <x:c r="H58" s="82" t="str">
        <x:v>未知/不适用</x:v>
      </x:c>
      <x:c r="I58" s="68" t="str">
        <x:v>合成命例；不用于历法排盘；月令按月支与输入事实假设</x:v>
      </x:c>
      <x:c r="J58" s="68" t="str">
        <x:v>内部合成规则测试</x:v>
      </x:c>
      <x:c r="K58" s="82" t="str">
        <x:v>正例</x:v>
      </x:c>
      <x:c r="L58" s="68" t="str">
        <x:v>M09</x:v>
      </x:c>
      <x:c r="M58" s="68" t="str">
        <x:v>M09-LING-0005-V1.0</x:v>
      </x:c>
      <x:c r="N58" s="68" t="str">
        <x:v>甲木生申月失令；但寅卯多根，甲乙同党，壬亥印生有力。</x:v>
      </x:c>
      <x:c r="O58" s="68" t="str">
        <x:v>识别失令与多重扶身证据。</x:v>
      </x:c>
      <x:c r="P58" s="68" t="str">
        <x:v>根深、印比成势可以反转季节劣势。</x:v>
      </x:c>
      <x:c r="Q58" s="68" t="str">
        <x:v>日主可达到中和偏旺或旺，不能因申月固定判弱。</x:v>
      </x:c>
      <x:c r="R58" s="68" t="str">
        <x:v>失令木因根印比成势反转为偏强。</x:v>
      </x:c>
      <x:c r="S58" s="68" t="str">
        <x:v>失令木因根印比成势反转为偏强。</x:v>
      </x:c>
      <x:c r="T58" s="82" t="str">
        <x:f>IF(S58="","未测试",IF(S58=R58,"通过",IF(LEFT(S58,4)="部分符合","部分通过",IF(LEFT(S58,3)="失败","未通过","待复核"))))</x:f>
        <x:v>通过</x:v>
      </x:c>
      <x:c r="U58" s="68" t="str">
        <x:v>无；人工逐层复核结果与预期一致。</x:v>
      </x:c>
      <x:c r="V58" s="68" t="str">
        <x:v>无</x:v>
      </x:c>
      <x:c r="W58" s="68" t="str">
        <x:v>无需修改；保留为回归基线。</x:v>
      </x:c>
      <x:c r="X58" s="82" t="str">
        <x:v>未测试</x:v>
      </x:c>
      <x:c r="Y58" s="68" t="str">
        <x:v>OpenAI_M20规则回归</x:v>
      </x:c>
      <x:c r="Z58" s="68" t="str">
        <x:v>待人工复核</x:v>
      </x:c>
      <x:c r="AA58" s="87" t="n">
        <x:v>46260</x:v>
      </x:c>
      <x:c r="AB58" s="68" t="str">
        <x:v>V1.7</x:v>
      </x:c>
      <x:c r="AC58" s="68" t="str">
        <x:v>合成命例仅用于规则单元/集成测试，不替代真实命例外部验证。</x:v>
      </x:c>
    </x:row>
    <x:row r="59">
      <x:c r="A59" s="72" t="str">
        <x:f>IF(OR(C59="",D59=""),"",B59&amp;"-"&amp;UPPER(C59)&amp;"-"&amp;TEXT(D59,"0000")&amp;"-"&amp;E59)</x:f>
        <x:v>M20-WANG-0053-V1.0</x:v>
      </x:c>
      <x:c r="B59" s="74" t="str">
        <x:v>M20</x:v>
      </x:c>
      <x:c r="C59" s="74" t="str">
        <x:v>WANG</x:v>
      </x:c>
      <x:c r="D59" s="215" t="n">
        <x:v>53</x:v>
      </x:c>
      <x:c r="E59" s="74" t="str">
        <x:v>V1.0</x:v>
      </x:c>
      <x:c r="F59" s="68" t="str">
        <x:v>印多不自动等于日主身旺</x:v>
      </x:c>
      <x:c r="G59" s="68" t="str">
        <x:v>壬子 癸丑 甲午 壬申</x:v>
      </x:c>
      <x:c r="H59" s="82" t="str">
        <x:v>未知/不适用</x:v>
      </x:c>
      <x:c r="I59" s="68" t="str">
        <x:v>合成命例；不用于历法排盘；月令按月支与输入事实假设</x:v>
      </x:c>
      <x:c r="J59" s="68" t="str">
        <x:v>内部合成规则测试</x:v>
      </x:c>
      <x:c r="K59" s="82" t="str">
        <x:v>反例</x:v>
      </x:c>
      <x:c r="L59" s="68" t="str">
        <x:v>M09</x:v>
      </x:c>
      <x:c r="M59" s="68" t="str">
        <x:v>M09-SHENG-0040-V1.0</x:v>
      </x:c>
      <x:c r="N59" s="68" t="str">
        <x:v>天干三水印星，但部分无根、受丑土与午火制耗；甲木无直接根。</x:v>
      </x:c>
      <x:c r="O59" s="68" t="str">
        <x:v>识别印星数量多。</x:v>
      </x:c>
      <x:c r="P59" s="68" t="str">
        <x:v>需检查印自身有效性和能否真正生日主。</x:v>
      </x:c>
      <x:c r="Q59" s="68" t="str">
        <x:v>不能按印星个数直接判甲身旺。</x:v>
      </x:c>
      <x:c r="R59" s="68" t="str">
        <x:v>印多仅是数量事实，身旺结论被否决。</x:v>
      </x:c>
      <x:c r="S59" s="68" t="str">
        <x:v>印多仅是数量事实，身旺结论被否决。</x:v>
      </x:c>
      <x:c r="T59" s="82" t="str">
        <x:f>IF(S59="","未测试",IF(S59=R59,"通过",IF(LEFT(S59,4)="部分符合","部分通过",IF(LEFT(S59,3)="失败","未通过","待复核"))))</x:f>
        <x:v>通过</x:v>
      </x:c>
      <x:c r="U59" s="68" t="str">
        <x:v>无；人工逐层复核结果与预期一致。</x:v>
      </x:c>
      <x:c r="V59" s="68" t="str">
        <x:v>无</x:v>
      </x:c>
      <x:c r="W59" s="68" t="str">
        <x:v>无需修改；保留为回归基线。</x:v>
      </x:c>
      <x:c r="X59" s="82" t="str">
        <x:v>未测试</x:v>
      </x:c>
      <x:c r="Y59" s="68" t="str">
        <x:v>OpenAI_M20规则回归</x:v>
      </x:c>
      <x:c r="Z59" s="68" t="str">
        <x:v>待人工复核</x:v>
      </x:c>
      <x:c r="AA59" s="87" t="n">
        <x:v>46260</x:v>
      </x:c>
      <x:c r="AB59" s="68" t="str">
        <x:v>V1.7</x:v>
      </x:c>
      <x:c r="AC59" s="68" t="str">
        <x:v>合成命例仅用于规则单元/集成测试，不替代真实命例外部验证。</x:v>
      </x:c>
    </x:row>
    <x:row r="60">
      <x:c r="A60" s="72" t="str">
        <x:f>IF(OR(C60="",D60=""),"",B60&amp;"-"&amp;UPPER(C60)&amp;"-"&amp;TEXT(D60,"0000")&amp;"-"&amp;E60)</x:f>
        <x:v>M20-WANG-0054-V1.0</x:v>
      </x:c>
      <x:c r="B60" s="74" t="str">
        <x:v>M20</x:v>
      </x:c>
      <x:c r="C60" s="74" t="str">
        <x:v>WANG</x:v>
      </x:c>
      <x:c r="D60" s="215" t="n">
        <x:v>54</x:v>
      </x:c>
      <x:c r="E60" s="74" t="str">
        <x:v>V1.0</x:v>
      </x:c>
      <x:c r="F60" s="68" t="str">
        <x:v>财官食伤多不自动等于日主身弱</x:v>
      </x:c>
      <x:c r="G60" s="68" t="str">
        <x:v>戊辰 庚申 甲寅 壬子</x:v>
      </x:c>
      <x:c r="H60" s="82" t="str">
        <x:v>未知/不适用</x:v>
      </x:c>
      <x:c r="I60" s="68" t="str">
        <x:v>合成命例；不用于历法排盘；月令按月支与输入事实假设</x:v>
      </x:c>
      <x:c r="J60" s="68" t="str">
        <x:v>内部合成规则测试</x:v>
      </x:c>
      <x:c r="K60" s="82" t="str">
        <x:v>反例</x:v>
      </x:c>
      <x:c r="L60" s="68" t="str">
        <x:v>M09</x:v>
      </x:c>
      <x:c r="M60" s="68" t="str">
        <x:v>M09-HAO-0062-V1.0</x:v>
      </x:c>
      <x:c r="N60" s="68" t="str">
        <x:v>甲日主同时见财戊、杀庚、食神丙藏；但有寅强根、壬子印生。</x:v>
      </x:c>
      <x:c r="O60" s="68" t="str">
        <x:v>识别负荷端十神较多。</x:v>
      </x:c>
      <x:c r="P60" s="68" t="str">
        <x:v>负荷须按有效功能和日主承载比较，不能按数量定弱。</x:v>
      </x:c>
      <x:c r="Q60" s="68" t="str">
        <x:v>日主可能中和或中和偏弱，不能直接判弱。</x:v>
      </x:c>
      <x:c r="R60" s="68" t="str">
        <x:v>财官食伤多不构成身弱充分条件。</x:v>
      </x:c>
      <x:c r="S60" s="68" t="str">
        <x:v>财官食伤多不构成身弱充分条件。</x:v>
      </x:c>
      <x:c r="T60" s="82" t="str">
        <x:f>IF(S60="","未测试",IF(S60=R60,"通过",IF(LEFT(S60,4)="部分符合","部分通过",IF(LEFT(S60,3)="失败","未通过","待复核"))))</x:f>
        <x:v>通过</x:v>
      </x:c>
      <x:c r="U60" s="68" t="str">
        <x:v>无；人工逐层复核结果与预期一致。</x:v>
      </x:c>
      <x:c r="V60" s="68" t="str">
        <x:v>无</x:v>
      </x:c>
      <x:c r="W60" s="68" t="str">
        <x:v>无需修改；保留为回归基线。</x:v>
      </x:c>
      <x:c r="X60" s="82" t="str">
        <x:v>未测试</x:v>
      </x:c>
      <x:c r="Y60" s="68" t="str">
        <x:v>OpenAI_M20规则回归</x:v>
      </x:c>
      <x:c r="Z60" s="68" t="str">
        <x:v>待人工复核</x:v>
      </x:c>
      <x:c r="AA60" s="87" t="n">
        <x:v>46260</x:v>
      </x:c>
      <x:c r="AB60" s="68" t="str">
        <x:v>V1.7</x:v>
      </x:c>
      <x:c r="AC60" s="68" t="str">
        <x:v>合成命例仅用于规则单元/集成测试，不替代真实命例外部验证。</x:v>
      </x:c>
    </x:row>
    <x:row r="61">
      <x:c r="A61" s="72" t="str">
        <x:f>IF(OR(C61="",D61=""),"",B61&amp;"-"&amp;UPPER(C61)&amp;"-"&amp;TEXT(D61,"0000")&amp;"-"&amp;E61)</x:f>
        <x:v>M20-WANG-0055-V1.0</x:v>
      </x:c>
      <x:c r="B61" s="74" t="str">
        <x:v>M20</x:v>
      </x:c>
      <x:c r="C61" s="74" t="str">
        <x:v>WANG</x:v>
      </x:c>
      <x:c r="D61" s="215" t="n">
        <x:v>55</x:v>
      </x:c>
      <x:c r="E61" s="74" t="str">
        <x:v>V1.0</x:v>
      </x:c>
      <x:c r="F61" s="68" t="str">
        <x:v>极弱要求扶身侧近乎失效</x:v>
      </x:c>
      <x:c r="G61" s="68" t="str">
        <x:v>庚申 辛酉 甲午 戊戌</x:v>
      </x:c>
      <x:c r="H61" s="82" t="str">
        <x:v>未知/不适用</x:v>
      </x:c>
      <x:c r="I61" s="68" t="str">
        <x:v>合成命例；不用于历法排盘；月令按月支与输入事实假设</x:v>
      </x:c>
      <x:c r="J61" s="68" t="str">
        <x:v>内部合成规则测试</x:v>
      </x:c>
      <x:c r="K61" s="82" t="str">
        <x:v>正例</x:v>
      </x:c>
      <x:c r="L61" s="68" t="str">
        <x:v>M09</x:v>
      </x:c>
      <x:c r="M61" s="68" t="str">
        <x:v>M09-GRADE-0073-V1.0；M09-BOUND-0084-V1.0</x:v>
      </x:c>
      <x:c r="N61" s="68" t="str">
        <x:v>甲木失令，无木根、无水印、无比劫；金官杀成势，土财耗，火泄。</x:v>
      </x:c>
      <x:c r="O61" s="68" t="str">
        <x:v>识别扶身侧近乎无效，负荷侧单向主导。</x:v>
      </x:c>
      <x:c r="P61" s="68" t="str">
        <x:v>日主可判极弱。</x:v>
      </x:c>
      <x:c r="Q61" s="68" t="str">
        <x:v>M09只生成从格候选，不能在此直接确认从格。</x:v>
      </x:c>
      <x:c r="R61" s="68" t="str">
        <x:v>甲木达到极弱门槛，但从格仍转M14/M15。</x:v>
      </x:c>
      <x:c r="S61" s="68" t="str">
        <x:v>甲木达到极弱门槛，但从格仍转M14/M15。</x:v>
      </x:c>
      <x:c r="T61" s="82" t="str">
        <x:f>IF(S61="","未测试",IF(S61=R61,"通过",IF(LEFT(S61,4)="部分符合","部分通过",IF(LEFT(S61,3)="失败","未通过","待复核"))))</x:f>
        <x:v>通过</x:v>
      </x:c>
      <x:c r="U61" s="68" t="str">
        <x:v>无；人工逐层复核结果与预期一致。</x:v>
      </x:c>
      <x:c r="V61" s="68" t="str">
        <x:v>无</x:v>
      </x:c>
      <x:c r="W61" s="68" t="str">
        <x:v>无需修改；保留为回归基线。</x:v>
      </x:c>
      <x:c r="X61" s="82" t="str">
        <x:v>未测试</x:v>
      </x:c>
      <x:c r="Y61" s="68" t="str">
        <x:v>OpenAI_M20规则回归</x:v>
      </x:c>
      <x:c r="Z61" s="68" t="str">
        <x:v>待人工复核</x:v>
      </x:c>
      <x:c r="AA61" s="87" t="n">
        <x:v>46260</x:v>
      </x:c>
      <x:c r="AB61" s="68" t="str">
        <x:v>V1.7</x:v>
      </x:c>
      <x:c r="AC61" s="68" t="str">
        <x:v>合成命例仅用于规则单元/集成测试，不替代真实命例外部验证。</x:v>
      </x:c>
    </x:row>
    <x:row r="62">
      <x:c r="A62" s="72" t="str">
        <x:f>IF(OR(C62="",D62=""),"",B62&amp;"-"&amp;UPPER(C62)&amp;"-"&amp;TEXT(D62,"0000")&amp;"-"&amp;E62)</x:f>
        <x:v>M20-WANG-0056-V1.0</x:v>
      </x:c>
      <x:c r="B62" s="74" t="str">
        <x:v>M20</x:v>
      </x:c>
      <x:c r="C62" s="74" t="str">
        <x:v>WANG</x:v>
      </x:c>
      <x:c r="D62" s="215" t="n">
        <x:v>56</x:v>
      </x:c>
      <x:c r="E62" s="74" t="str">
        <x:v>V1.0</x:v>
      </x:c>
      <x:c r="F62" s="68" t="str">
        <x:v>极旺要求扶身侧高度集中且无有效制衡</x:v>
      </x:c>
      <x:c r="G62" s="68" t="str">
        <x:v>甲寅 乙卯 甲辰 壬亥</x:v>
      </x:c>
      <x:c r="H62" s="82" t="str">
        <x:v>未知/不适用</x:v>
      </x:c>
      <x:c r="I62" s="68" t="str">
        <x:v>合成命例；不用于历法排盘；月令按月支与输入事实假设</x:v>
      </x:c>
      <x:c r="J62" s="68" t="str">
        <x:v>内部合成规则测试</x:v>
      </x:c>
      <x:c r="K62" s="82" t="str">
        <x:v>正例</x:v>
      </x:c>
      <x:c r="L62" s="68" t="str">
        <x:v>M09</x:v>
      </x:c>
      <x:c r="M62" s="68" t="str">
        <x:v>M09-GRADE-0079-V1.0；M09-BOUND-0084-V1.0</x:v>
      </x:c>
      <x:c r="N62" s="68" t="str">
        <x:v>甲木得令，多根，同党透干，壬亥印生；金官杀无力，财食不足制泄。</x:v>
      </x:c>
      <x:c r="O62" s="68" t="str">
        <x:v>识别扶身侧高度集中。</x:v>
      </x:c>
      <x:c r="P62" s="68" t="str">
        <x:v>日主可判极旺。</x:v>
      </x:c>
      <x:c r="Q62" s="68" t="str">
        <x:v>M09只生成从旺/专旺候选，最终特殊格局转M14/M15。</x:v>
      </x:c>
      <x:c r="R62" s="68" t="str">
        <x:v>甲木达到极旺门槛，但特殊格局未在M09越级确认。</x:v>
      </x:c>
      <x:c r="S62" s="68" t="str">
        <x:v>甲木达到极旺门槛，但特殊格局未在M09越级确认。</x:v>
      </x:c>
      <x:c r="T62" s="82" t="str">
        <x:f>IF(S62="","未测试",IF(S62=R62,"通过",IF(LEFT(S62,4)="部分符合","部分通过",IF(LEFT(S62,3)="失败","未通过","待复核"))))</x:f>
        <x:v>通过</x:v>
      </x:c>
      <x:c r="U62" s="68" t="str">
        <x:v>无；人工逐层复核结果与预期一致。</x:v>
      </x:c>
      <x:c r="V62" s="68" t="str">
        <x:v>无</x:v>
      </x:c>
      <x:c r="W62" s="68" t="str">
        <x:v>无需修改；保留为回归基线。</x:v>
      </x:c>
      <x:c r="X62" s="82" t="str">
        <x:v>未测试</x:v>
      </x:c>
      <x:c r="Y62" s="68" t="str">
        <x:v>OpenAI_M20规则回归</x:v>
      </x:c>
      <x:c r="Z62" s="68" t="str">
        <x:v>待人工复核</x:v>
      </x:c>
      <x:c r="AA62" s="87" t="n">
        <x:v>46260</x:v>
      </x:c>
      <x:c r="AB62" s="68" t="str">
        <x:v>V1.7</x:v>
      </x:c>
      <x:c r="AC62" s="68" t="str">
        <x:v>合成命例仅用于规则单元/集成测试，不替代真实命例外部验证。</x:v>
      </x:c>
    </x:row>
    <x:row r="63">
      <x:c r="A63" s="72" t="str">
        <x:f>IF(OR(C63="",D63=""),"",B63&amp;"-"&amp;UPPER(C63)&amp;"-"&amp;TEXT(D63,"0000")&amp;"-"&amp;E63)</x:f>
        <x:v>M20-TEN-0057-V1.0</x:v>
      </x:c>
      <x:c r="B63" s="74" t="str">
        <x:v>M20</x:v>
      </x:c>
      <x:c r="C63" s="74" t="str">
        <x:v>TEN</x:v>
      </x:c>
      <x:c r="D63" s="215" t="n">
        <x:v>57</x:v>
      </x:c>
      <x:c r="E63" s="74" t="str">
        <x:v>V1.0</x:v>
      </x:c>
      <x:c r="F63" s="68" t="str">
        <x:v>七杀透干属于显性存在</x:v>
      </x:c>
      <x:c r="G63" s="68" t="str">
        <x:v>庚申 癸丑 甲寅 丙午</x:v>
      </x:c>
      <x:c r="H63" s="82" t="str">
        <x:v>未知/不适用</x:v>
      </x:c>
      <x:c r="I63" s="68" t="str">
        <x:v>合成命例；不用于历法排盘；月令按月支与输入事实假设</x:v>
      </x:c>
      <x:c r="J63" s="68" t="str">
        <x:v>内部合成规则测试</x:v>
      </x:c>
      <x:c r="K63" s="82" t="str">
        <x:v>正例</x:v>
      </x:c>
      <x:c r="L63" s="68" t="str">
        <x:v>M10</x:v>
      </x:c>
      <x:c r="M63" s="68" t="str">
        <x:v>M10-PRES-0001-V1.0</x:v>
      </x:c>
      <x:c r="N63" s="68" t="str">
        <x:v>甲日主；年干庚为七杀，明透于天干。</x:v>
      </x:c>
      <x:c r="O63" s="68" t="str">
        <x:v>七杀按透干方式明确存在。</x:v>
      </x:c>
      <x:c r="P63" s="68" t="str">
        <x:v>力量继承金的M08结果，功能另审制化。</x:v>
      </x:c>
      <x:c r="Q63" s="68" t="str">
        <x:v>不得由“透七杀”直接推出七杀旺或为害。</x:v>
      </x:c>
      <x:c r="R63" s="68" t="str">
        <x:v>七杀显性存在成立，旺衰与喜忌未越级。</x:v>
      </x:c>
      <x:c r="S63" s="68" t="str">
        <x:v>七杀显性存在成立，旺衰与喜忌未越级。</x:v>
      </x:c>
      <x:c r="T63" s="82" t="str">
        <x:f>IF(S63="","未测试",IF(S63=R63,"通过",IF(LEFT(S63,4)="部分符合","部分通过",IF(LEFT(S63,3)="失败","未通过","待复核"))))</x:f>
        <x:v>通过</x:v>
      </x:c>
      <x:c r="U63" s="68" t="str">
        <x:v>无；人工逐层复核结果与预期一致。</x:v>
      </x:c>
      <x:c r="V63" s="68" t="str">
        <x:v>无</x:v>
      </x:c>
      <x:c r="W63" s="68" t="str">
        <x:v>无需修改；保留为回归基线。</x:v>
      </x:c>
      <x:c r="X63" s="82" t="str">
        <x:v>未测试</x:v>
      </x:c>
      <x:c r="Y63" s="68" t="str">
        <x:v>OpenAI_M20规则回归</x:v>
      </x:c>
      <x:c r="Z63" s="68" t="str">
        <x:v>待人工复核</x:v>
      </x:c>
      <x:c r="AA63" s="87" t="n">
        <x:v>46260</x:v>
      </x:c>
      <x:c r="AB63" s="68" t="str">
        <x:v>V1.7</x:v>
      </x:c>
      <x:c r="AC63" s="68" t="str">
        <x:v>合成命例仅用于规则单元/集成测试，不替代真实命例外部验证。</x:v>
      </x:c>
    </x:row>
    <x:row r="64">
      <x:c r="A64" s="72" t="str">
        <x:f>IF(OR(C64="",D64=""),"",B64&amp;"-"&amp;UPPER(C64)&amp;"-"&amp;TEXT(D64,"0000")&amp;"-"&amp;E64)</x:f>
        <x:v>M20-TEN-0058-V1.0</x:v>
      </x:c>
      <x:c r="B64" s="74" t="str">
        <x:v>M20</x:v>
      </x:c>
      <x:c r="C64" s="74" t="str">
        <x:v>TEN</x:v>
      </x:c>
      <x:c r="D64" s="215" t="n">
        <x:v>58</x:v>
      </x:c>
      <x:c r="E64" s="74" t="str">
        <x:v>V1.0</x:v>
      </x:c>
      <x:c r="F64" s="68" t="str">
        <x:v>正官藏而不透仍属于原局存在</x:v>
      </x:c>
      <x:c r="G64" s="68" t="str">
        <x:v>甲子 己丑 甲寅 丙午</x:v>
      </x:c>
      <x:c r="H64" s="82" t="str">
        <x:v>未知/不适用</x:v>
      </x:c>
      <x:c r="I64" s="68" t="str">
        <x:v>合成命例；不用于历法排盘；月令按月支与输入事实假设</x:v>
      </x:c>
      <x:c r="J64" s="68" t="str">
        <x:v>内部合成规则测试</x:v>
      </x:c>
      <x:c r="K64" s="82" t="str">
        <x:v>正例</x:v>
      </x:c>
      <x:c r="L64" s="68" t="str">
        <x:v>M10</x:v>
      </x:c>
      <x:c r="M64" s="68" t="str">
        <x:v>M10-PRES-0008-V1.0</x:v>
      </x:c>
      <x:c r="N64" s="68" t="str">
        <x:v>甲日主；丑中藏辛为正官，天干无辛。</x:v>
      </x:c>
      <x:c r="O64" s="68" t="str">
        <x:v>正官按藏支方式存在，透干状态为否。</x:v>
      </x:c>
      <x:c r="P64" s="68" t="str">
        <x:v>官星显性作用较弱，但不能写完全不现。</x:v>
      </x:c>
      <x:c r="Q64" s="68" t="str">
        <x:v>正官存在性与透达性分开。</x:v>
      </x:c>
      <x:c r="R64" s="68" t="str">
        <x:v>藏辛正官存在，但未透干。</x:v>
      </x:c>
      <x:c r="S64" s="68" t="str">
        <x:v>藏辛正官存在，但未透干。</x:v>
      </x:c>
      <x:c r="T64" s="82" t="str">
        <x:f>IF(S64="","未测试",IF(S64=R64,"通过",IF(LEFT(S64,4)="部分符合","部分通过",IF(LEFT(S64,3)="失败","未通过","待复核"))))</x:f>
        <x:v>通过</x:v>
      </x:c>
      <x:c r="U64" s="68" t="str">
        <x:v>无；人工逐层复核结果与预期一致。</x:v>
      </x:c>
      <x:c r="V64" s="68" t="str">
        <x:v>无</x:v>
      </x:c>
      <x:c r="W64" s="68" t="str">
        <x:v>无需修改；保留为回归基线。</x:v>
      </x:c>
      <x:c r="X64" s="82" t="str">
        <x:v>未测试</x:v>
      </x:c>
      <x:c r="Y64" s="68" t="str">
        <x:v>OpenAI_M20规则回归</x:v>
      </x:c>
      <x:c r="Z64" s="68" t="str">
        <x:v>待人工复核</x:v>
      </x:c>
      <x:c r="AA64" s="87" t="n">
        <x:v>46260</x:v>
      </x:c>
      <x:c r="AB64" s="68" t="str">
        <x:v>V1.7</x:v>
      </x:c>
      <x:c r="AC64" s="68" t="str">
        <x:v>合成命例仅用于规则单元/集成测试，不替代真实命例外部验证。</x:v>
      </x:c>
    </x:row>
    <x:row r="65">
      <x:c r="A65" s="72" t="str">
        <x:f>IF(OR(C65="",D65=""),"",B65&amp;"-"&amp;UPPER(C65)&amp;"-"&amp;TEXT(D65,"0000")&amp;"-"&amp;E65)</x:f>
        <x:v>M20-TEN-0059-V1.0</x:v>
      </x:c>
      <x:c r="B65" s="74" t="str">
        <x:v>M20</x:v>
      </x:c>
      <x:c r="C65" s="74" t="str">
        <x:v>TEN</x:v>
      </x:c>
      <x:c r="D65" s="215" t="n">
        <x:v>59</x:v>
      </x:c>
      <x:c r="E65" s="74" t="str">
        <x:v>V1.0</x:v>
      </x:c>
      <x:c r="F65" s="68" t="str">
        <x:v>多枚七杀节点不按次数线性计旺</x:v>
      </x:c>
      <x:c r="G65" s="68" t="str">
        <x:v>庚申 庚申 甲寅 辛酉</x:v>
      </x:c>
      <x:c r="H65" s="82" t="str">
        <x:v>未知/不适用</x:v>
      </x:c>
      <x:c r="I65" s="68" t="str">
        <x:v>合成命例；不用于历法排盘；月令按月支与输入事实假设</x:v>
      </x:c>
      <x:c r="J65" s="68" t="str">
        <x:v>内部合成规则测试</x:v>
      </x:c>
      <x:c r="K65" s="82" t="str">
        <x:v>反例</x:v>
      </x:c>
      <x:c r="L65" s="68" t="str">
        <x:v>M10</x:v>
      </x:c>
      <x:c r="M65" s="68" t="str">
        <x:v>M10-POWER-0015-V1.0</x:v>
      </x:c>
      <x:c r="N65" s="68" t="str">
        <x:v>甲日主；两个庚干、两个申金节点，另有辛酉正官。</x:v>
      </x:c>
      <x:c r="O65" s="68" t="str">
        <x:v>识别多个独立官杀节点。</x:v>
      </x:c>
      <x:c r="P65" s="68" t="str">
        <x:v>按季令、根气、透达和共享节点汇总，不按出现三次就固定三级加分。</x:v>
      </x:c>
      <x:c r="Q65" s="68" t="str">
        <x:v>七杀可旺，但结论来自有效节点质量而非次数。</x:v>
      </x:c>
      <x:c r="R65" s="68" t="str">
        <x:v>多节点官杀采用独立汇总，不线性计数。</x:v>
      </x:c>
      <x:c r="S65" s="68" t="str">
        <x:v>多节点官杀采用独立汇总，不线性计数。</x:v>
      </x:c>
      <x:c r="T65" s="82" t="str">
        <x:f>IF(S65="","未测试",IF(S65=R65,"通过",IF(LEFT(S65,4)="部分符合","部分通过",IF(LEFT(S65,3)="失败","未通过","待复核"))))</x:f>
        <x:v>通过</x:v>
      </x:c>
      <x:c r="U65" s="68" t="str">
        <x:v>无；人工逐层复核结果与预期一致。</x:v>
      </x:c>
      <x:c r="V65" s="68" t="str">
        <x:v>无</x:v>
      </x:c>
      <x:c r="W65" s="68" t="str">
        <x:v>无需修改；保留为回归基线。</x:v>
      </x:c>
      <x:c r="X65" s="82" t="str">
        <x:v>未测试</x:v>
      </x:c>
      <x:c r="Y65" s="68" t="str">
        <x:v>OpenAI_M20规则回归</x:v>
      </x:c>
      <x:c r="Z65" s="68" t="str">
        <x:v>待人工复核</x:v>
      </x:c>
      <x:c r="AA65" s="87" t="n">
        <x:v>46260</x:v>
      </x:c>
      <x:c r="AB65" s="68" t="str">
        <x:v>V1.7</x:v>
      </x:c>
      <x:c r="AC65" s="68" t="str">
        <x:v>合成命例仅用于规则单元/集成测试，不替代真实命例外部验证。</x:v>
      </x:c>
    </x:row>
    <x:row r="66">
      <x:c r="A66" s="72" t="str">
        <x:f>IF(OR(C66="",D66=""),"",B66&amp;"-"&amp;UPPER(C66)&amp;"-"&amp;TEXT(D66,"0000")&amp;"-"&amp;E66)</x:f>
        <x:v>M20-TEN-0060-V1.0</x:v>
      </x:c>
      <x:c r="B66" s="74" t="str">
        <x:v>M20</x:v>
      </x:c>
      <x:c r="C66" s="74" t="str">
        <x:v>TEN</x:v>
      </x:c>
      <x:c r="D66" s="215" t="n">
        <x:v>60</x:v>
      </x:c>
      <x:c r="E66" s="74" t="str">
        <x:v>V1.0</x:v>
      </x:c>
      <x:c r="F66" s="68" t="str">
        <x:v>七杀主导而正官失效不按严重混杂</x:v>
      </x:c>
      <x:c r="G66" s="68" t="str">
        <x:v>庚申 癸丑 甲寅 辛未</x:v>
      </x:c>
      <x:c r="H66" s="82" t="str">
        <x:v>未知/不适用</x:v>
      </x:c>
      <x:c r="I66" s="68" t="str">
        <x:v>合成命例；不用于历法排盘；月令按月支与输入事实假设</x:v>
      </x:c>
      <x:c r="J66" s="68" t="str">
        <x:v>内部合成规则测试</x:v>
      </x:c>
      <x:c r="K66" s="82" t="str">
        <x:v>边界案例</x:v>
      </x:c>
      <x:c r="L66" s="68" t="str">
        <x:v>M10</x:v>
      </x:c>
      <x:c r="M66" s="68" t="str">
        <x:v>M10-PURE-0026-V1.0</x:v>
      </x:c>
      <x:c r="N66" s="68" t="str">
        <x:v>七杀庚申得令有根；正官辛虽透但无根、受丙丁火制且功能弱。</x:v>
      </x:c>
      <x:c r="O66" s="68" t="str">
        <x:v>官杀并见，生成有杂候选。</x:v>
      </x:c>
      <x:c r="P66" s="68" t="str">
        <x:v>因七杀有效主导、正官失效，清纯度可判较清而非严重混杂。</x:v>
      </x:c>
      <x:c r="Q66" s="68" t="str">
        <x:v>后续组合以七杀为主轴。</x:v>
      </x:c>
      <x:c r="R66" s="68" t="str">
        <x:v>官杀有杂但主从清楚，不按严重混杂。</x:v>
      </x:c>
      <x:c r="S66" s="68" t="str">
        <x:v>官杀有杂但主从清楚，不按严重混杂。</x:v>
      </x:c>
      <x:c r="T66" s="82" t="str">
        <x:f>IF(S66="","未测试",IF(S66=R66,"通过",IF(LEFT(S66,4)="部分符合","部分通过",IF(LEFT(S66,3)="失败","未通过","待复核"))))</x:f>
        <x:v>通过</x:v>
      </x:c>
      <x:c r="U66" s="68" t="str">
        <x:v>无；人工逐层复核结果与预期一致。</x:v>
      </x:c>
      <x:c r="V66" s="68" t="str">
        <x:v>无</x:v>
      </x:c>
      <x:c r="W66" s="68" t="str">
        <x:v>无需修改；保留为回归基线。</x:v>
      </x:c>
      <x:c r="X66" s="82" t="str">
        <x:v>未测试</x:v>
      </x:c>
      <x:c r="Y66" s="68" t="str">
        <x:v>OpenAI_M20规则回归</x:v>
      </x:c>
      <x:c r="Z66" s="68" t="str">
        <x:v>待人工复核</x:v>
      </x:c>
      <x:c r="AA66" s="87" t="n">
        <x:v>46260</x:v>
      </x:c>
      <x:c r="AB66" s="68" t="str">
        <x:v>V1.7</x:v>
      </x:c>
      <x:c r="AC66" s="68" t="str">
        <x:v>合成命例仅用于规则单元/集成测试，不替代真实命例外部验证。</x:v>
      </x:c>
    </x:row>
    <x:row r="67">
      <x:c r="A67" s="72" t="str">
        <x:f>IF(OR(C67="",D67=""),"",B67&amp;"-"&amp;UPPER(C67)&amp;"-"&amp;TEXT(D67,"0000")&amp;"-"&amp;E67)</x:f>
        <x:v>M20-TEN-0061-V1.0</x:v>
      </x:c>
      <x:c r="B67" s="74" t="str">
        <x:v>M20</x:v>
      </x:c>
      <x:c r="C67" s="74" t="str">
        <x:v>TEN</x:v>
      </x:c>
      <x:c r="D67" s="215" t="n">
        <x:v>61</x:v>
      </x:c>
      <x:c r="E67" s="74" t="str">
        <x:v>V1.0</x:v>
      </x:c>
      <x:c r="F67" s="68" t="str">
        <x:v>有效比肩首先提供同类扶身</x:v>
      </x:c>
      <x:c r="G67" s="68" t="str">
        <x:v>壬子 庚申 甲寅 甲辰</x:v>
      </x:c>
      <x:c r="H67" s="82" t="str">
        <x:v>未知/不适用</x:v>
      </x:c>
      <x:c r="I67" s="68" t="str">
        <x:v>合成命例；不用于历法排盘；月令按月支与输入事实假设</x:v>
      </x:c>
      <x:c r="J67" s="68" t="str">
        <x:v>内部合成规则测试</x:v>
      </x:c>
      <x:c r="K67" s="82" t="str">
        <x:v>正例</x:v>
      </x:c>
      <x:c r="L67" s="68" t="str">
        <x:v>M10</x:v>
      </x:c>
      <x:c r="M67" s="68" t="str">
        <x:v>M10-BIJIE-0033-V1.0</x:v>
      </x:c>
      <x:c r="N67" s="68" t="str">
        <x:v>甲日主偏弱；时干甲有寅根并未受重制。</x:v>
      </x:c>
      <x:c r="O67" s="68" t="str">
        <x:v>比肩显性存在且有效。</x:v>
      </x:c>
      <x:c r="P67" s="68" t="str">
        <x:v>比肩增强同类承载，并帮助分担庚杀压力。</x:v>
      </x:c>
      <x:c r="Q67" s="68" t="str">
        <x:v>比肩是否最终为喜仍需结合财星与格局。</x:v>
      </x:c>
      <x:c r="R67" s="68" t="str">
        <x:v>有效甲比肩提供扶身功能。</x:v>
      </x:c>
      <x:c r="S67" s="68" t="str">
        <x:v>有效甲比肩提供扶身功能。</x:v>
      </x:c>
      <x:c r="T67" s="82" t="str">
        <x:f>IF(S67="","未测试",IF(S67=R67,"通过",IF(LEFT(S67,4)="部分符合","部分通过",IF(LEFT(S67,3)="失败","未通过","待复核"))))</x:f>
        <x:v>通过</x:v>
      </x:c>
      <x:c r="U67" s="68" t="str">
        <x:v>无；人工逐层复核结果与预期一致。</x:v>
      </x:c>
      <x:c r="V67" s="68" t="str">
        <x:v>无</x:v>
      </x:c>
      <x:c r="W67" s="68" t="str">
        <x:v>无需修改；保留为回归基线。</x:v>
      </x:c>
      <x:c r="X67" s="82" t="str">
        <x:v>未测试</x:v>
      </x:c>
      <x:c r="Y67" s="68" t="str">
        <x:v>OpenAI_M20规则回归</x:v>
      </x:c>
      <x:c r="Z67" s="68" t="str">
        <x:v>待人工复核</x:v>
      </x:c>
      <x:c r="AA67" s="87" t="n">
        <x:v>46260</x:v>
      </x:c>
      <x:c r="AB67" s="68" t="str">
        <x:v>V1.7</x:v>
      </x:c>
      <x:c r="AC67" s="68" t="str">
        <x:v>合成命例仅用于规则单元/集成测试，不替代真实命例外部验证。</x:v>
      </x:c>
    </x:row>
    <x:row r="68">
      <x:c r="A68" s="72" t="str">
        <x:f>IF(OR(C68="",D68=""),"",B68&amp;"-"&amp;UPPER(C68)&amp;"-"&amp;TEXT(D68,"0000")&amp;"-"&amp;E68)</x:f>
        <x:v>M20-TEN-0062-V1.0</x:v>
      </x:c>
      <x:c r="B68" s="74" t="str">
        <x:v>M20</x:v>
      </x:c>
      <x:c r="C68" s="74" t="str">
        <x:v>TEN</x:v>
      </x:c>
      <x:c r="D68" s="215" t="n">
        <x:v>62</x:v>
      </x:c>
      <x:c r="E68" s="74" t="str">
        <x:v>V1.0</x:v>
      </x:c>
      <x:c r="F68" s="68" t="str">
        <x:v>劫财同时扶身并分财</x:v>
      </x:c>
      <x:c r="G68" s="68" t="str">
        <x:v>乙卯 戊辰 甲申 己未</x:v>
      </x:c>
      <x:c r="H68" s="82" t="str">
        <x:v>未知/不适用</x:v>
      </x:c>
      <x:c r="I68" s="68" t="str">
        <x:v>合成命例；不用于历法排盘；月令按月支与输入事实假设</x:v>
      </x:c>
      <x:c r="J68" s="68" t="str">
        <x:v>内部合成规则测试</x:v>
      </x:c>
      <x:c r="K68" s="82" t="str">
        <x:v>边界案例</x:v>
      </x:c>
      <x:c r="L68" s="68" t="str">
        <x:v>M10</x:v>
      </x:c>
      <x:c r="M68" s="68" t="str">
        <x:v>M10-BIJIE-0034-V1.0；M10-BIJIE-0042-V1.0</x:v>
      </x:c>
      <x:c r="N68" s="68" t="str">
        <x:v>甲日主；乙木为劫财有卯根；戊己财星同时有效。</x:v>
      </x:c>
      <x:c r="O68" s="68" t="str">
        <x:v>劫财与财星均存在。</x:v>
      </x:c>
      <x:c r="P68" s="68" t="str">
        <x:v>乙一方面扶甲，一方面克制/竞争财星。</x:v>
      </x:c>
      <x:c r="Q68" s="68" t="str">
        <x:v>必须同时记录扶身收益和分财副作用，不能只写吉或凶。</x:v>
      </x:c>
      <x:c r="R68" s="68" t="str">
        <x:v>劫财双重功能成立，喜忌保持条件性。</x:v>
      </x:c>
      <x:c r="S68" s="68" t="str">
        <x:v>劫财双重功能成立，喜忌保持条件性。</x:v>
      </x:c>
      <x:c r="T68" s="82" t="str">
        <x:f>IF(S68="","未测试",IF(S68=R68,"通过",IF(LEFT(S68,4)="部分符合","部分通过",IF(LEFT(S68,3)="失败","未通过","待复核"))))</x:f>
        <x:v>通过</x:v>
      </x:c>
      <x:c r="U68" s="68" t="str">
        <x:v>无；人工逐层复核结果与预期一致。</x:v>
      </x:c>
      <x:c r="V68" s="68" t="str">
        <x:v>无</x:v>
      </x:c>
      <x:c r="W68" s="68" t="str">
        <x:v>无需修改；保留为回归基线。</x:v>
      </x:c>
      <x:c r="X68" s="82" t="str">
        <x:v>未测试</x:v>
      </x:c>
      <x:c r="Y68" s="68" t="str">
        <x:v>OpenAI_M20规则回归</x:v>
      </x:c>
      <x:c r="Z68" s="68" t="str">
        <x:v>待人工复核</x:v>
      </x:c>
      <x:c r="AA68" s="87" t="n">
        <x:v>46260</x:v>
      </x:c>
      <x:c r="AB68" s="68" t="str">
        <x:v>V1.7</x:v>
      </x:c>
      <x:c r="AC68" s="68" t="str">
        <x:v>合成命例仅用于规则单元/集成测试，不替代真实命例外部验证。</x:v>
      </x:c>
    </x:row>
    <x:row r="69">
      <x:c r="A69" s="72" t="str">
        <x:f>IF(OR(C69="",D69=""),"",B69&amp;"-"&amp;UPPER(C69)&amp;"-"&amp;TEXT(D69,"0000")&amp;"-"&amp;E69)</x:f>
        <x:v>M20-TEN-0063-V1.0</x:v>
      </x:c>
      <x:c r="B69" s="74" t="str">
        <x:v>M20</x:v>
      </x:c>
      <x:c r="C69" s="74" t="str">
        <x:v>TEN</x:v>
      </x:c>
      <x:c r="D69" s="215" t="n">
        <x:v>63</x:v>
      </x:c>
      <x:c r="E69" s="74" t="str">
        <x:v>V1.0</x:v>
      </x:c>
      <x:c r="F69" s="68" t="str">
        <x:v>偏印制食必须有真实克制路径</x:v>
      </x:c>
      <x:c r="G69" s="68" t="str">
        <x:v>壬子 丙午 甲寅 庚申</x:v>
      </x:c>
      <x:c r="H69" s="82" t="str">
        <x:v>未知/不适用</x:v>
      </x:c>
      <x:c r="I69" s="68" t="str">
        <x:v>合成命例；不用于历法排盘；月令按月支与输入事实假设</x:v>
      </x:c>
      <x:c r="J69" s="68" t="str">
        <x:v>内部合成规则测试</x:v>
      </x:c>
      <x:c r="K69" s="82" t="str">
        <x:v>正例</x:v>
      </x:c>
      <x:c r="L69" s="68" t="str">
        <x:v>M10</x:v>
      </x:c>
      <x:c r="M69" s="68" t="str">
        <x:v>M10-YIN-0046-V1.0</x:v>
      </x:c>
      <x:c r="N69" s="68" t="str">
        <x:v>甲日主；壬为偏印、丙为食神；壬有子根，丙有午根，水火直接相制。</x:v>
      </x:c>
      <x:c r="O69" s="68" t="str">
        <x:v>偏印与食神均有效存在。</x:v>
      </x:c>
      <x:c r="P69" s="68" t="str">
        <x:v>偏印对食神形成真实制约，食神功能下调。</x:v>
      </x:c>
      <x:c r="Q69" s="68" t="str">
        <x:v>可生成枭神夺食候选，但是否病态取决于食神是否关键。</x:v>
      </x:c>
      <x:c r="R69" s="68" t="str">
        <x:v>偏印制食路径真实成立。</x:v>
      </x:c>
      <x:c r="S69" s="68" t="str">
        <x:v>偏印制食路径真实成立。</x:v>
      </x:c>
      <x:c r="T69" s="82" t="str">
        <x:f>IF(S69="","未测试",IF(S69=R69,"通过",IF(LEFT(S69,4)="部分符合","部分通过",IF(LEFT(S69,3)="失败","未通过","待复核"))))</x:f>
        <x:v>通过</x:v>
      </x:c>
      <x:c r="U69" s="68" t="str">
        <x:v>无；人工逐层复核结果与预期一致。</x:v>
      </x:c>
      <x:c r="V69" s="68" t="str">
        <x:v>无</x:v>
      </x:c>
      <x:c r="W69" s="68" t="str">
        <x:v>无需修改；保留为回归基线。</x:v>
      </x:c>
      <x:c r="X69" s="82" t="str">
        <x:v>未测试</x:v>
      </x:c>
      <x:c r="Y69" s="68" t="str">
        <x:v>OpenAI_M20规则回归</x:v>
      </x:c>
      <x:c r="Z69" s="68" t="str">
        <x:v>待人工复核</x:v>
      </x:c>
      <x:c r="AA69" s="87" t="n">
        <x:v>46260</x:v>
      </x:c>
      <x:c r="AB69" s="68" t="str">
        <x:v>V1.7</x:v>
      </x:c>
      <x:c r="AC69" s="68" t="str">
        <x:v>合成命例仅用于规则单元/集成测试，不替代真实命例外部验证。</x:v>
      </x:c>
    </x:row>
    <x:row r="70">
      <x:c r="A70" s="72" t="str">
        <x:f>IF(OR(C70="",D70=""),"",B70&amp;"-"&amp;UPPER(C70)&amp;"-"&amp;TEXT(D70,"0000")&amp;"-"&amp;E70)</x:f>
        <x:v>M20-TEN-0064-V1.0</x:v>
      </x:c>
      <x:c r="B70" s="74" t="str">
        <x:v>M20</x:v>
      </x:c>
      <x:c r="C70" s="74" t="str">
        <x:v>TEN</x:v>
      </x:c>
      <x:c r="D70" s="215" t="n">
        <x:v>64</x:v>
      </x:c>
      <x:c r="E70" s="74" t="str">
        <x:v>V1.0</x:v>
      </x:c>
      <x:c r="F70" s="68" t="str">
        <x:v>食神制杀力量匹配时明显成立</x:v>
      </x:c>
      <x:c r="G70" s="68" t="str">
        <x:v>丙午 庚申 甲寅 壬子</x:v>
      </x:c>
      <x:c r="H70" s="82" t="str">
        <x:v>未知/不适用</x:v>
      </x:c>
      <x:c r="I70" s="68" t="str">
        <x:v>合成命例；不用于历法排盘；月令按月支与输入事实假设</x:v>
      </x:c>
      <x:c r="J70" s="68" t="str">
        <x:v>内部合成规则测试</x:v>
      </x:c>
      <x:c r="K70" s="82" t="str">
        <x:v>正例</x:v>
      </x:c>
      <x:c r="L70" s="68" t="str">
        <x:v>M11</x:v>
      </x:c>
      <x:c r="M70" s="68" t="str">
        <x:v>M11-SHIZHI-0011-V1.0；M11-SHIZHI-0012-V1.0；M11-SHIZHI-0020-V1.0</x:v>
      </x:c>
      <x:c r="N70" s="68" t="str">
        <x:v>甲日主；庚七杀得申根，丙食神得午根；食神可直接制庚，日主有寅根与壬印承载。</x:v>
      </x:c>
      <x:c r="O70" s="68" t="str">
        <x:v>食神、七杀均有效。</x:v>
      </x:c>
      <x:c r="P70" s="68" t="str">
        <x:v>食制杀路径清晰，力量不过与不及，无强枭夺食。</x:v>
      </x:c>
      <x:c r="Q70" s="68" t="str">
        <x:v>食神制杀可判明显成立。</x:v>
      </x:c>
      <x:c r="R70" s="68" t="str">
        <x:v>食神制杀明显成立。</x:v>
      </x:c>
      <x:c r="S70" s="68" t="str">
        <x:v>食神制杀明显成立。</x:v>
      </x:c>
      <x:c r="T70" s="82" t="str">
        <x:f>IF(S70="","未测试",IF(S70=R70,"通过",IF(LEFT(S70,4)="部分符合","部分通过",IF(LEFT(S70,3)="失败","未通过","待复核"))))</x:f>
        <x:v>通过</x:v>
      </x:c>
      <x:c r="U70" s="68" t="str">
        <x:v>无；人工逐层复核结果与预期一致。</x:v>
      </x:c>
      <x:c r="V70" s="68" t="str">
        <x:v>无</x:v>
      </x:c>
      <x:c r="W70" s="68" t="str">
        <x:v>无需修改；保留为回归基线。</x:v>
      </x:c>
      <x:c r="X70" s="82" t="str">
        <x:v>未测试</x:v>
      </x:c>
      <x:c r="Y70" s="68" t="str">
        <x:v>OpenAI_M20规则回归</x:v>
      </x:c>
      <x:c r="Z70" s="68" t="str">
        <x:v>待人工复核</x:v>
      </x:c>
      <x:c r="AA70" s="87" t="n">
        <x:v>46260</x:v>
      </x:c>
      <x:c r="AB70" s="68" t="str">
        <x:v>V1.7</x:v>
      </x:c>
      <x:c r="AC70" s="68" t="str">
        <x:v>合成命例仅用于规则单元/集成测试，不替代真实命例外部验证。</x:v>
      </x:c>
    </x:row>
    <x:row r="71">
      <x:c r="A71" s="72" t="str">
        <x:f>IF(OR(C71="",D71=""),"",B71&amp;"-"&amp;UPPER(C71)&amp;"-"&amp;TEXT(D71,"0000")&amp;"-"&amp;E71)</x:f>
        <x:v>M20-TEN-0065-V1.0</x:v>
      </x:c>
      <x:c r="B71" s="74" t="str">
        <x:v>M20</x:v>
      </x:c>
      <x:c r="C71" s="74" t="str">
        <x:v>TEN</x:v>
      </x:c>
      <x:c r="D71" s="215" t="n">
        <x:v>65</x:v>
      </x:c>
      <x:c r="E71" s="74" t="str">
        <x:v>V1.0</x:v>
      </x:c>
      <x:c r="F71" s="68" t="str">
        <x:v>强枭夺食破坏食神制杀</x:v>
      </x:c>
      <x:c r="G71" s="68" t="str">
        <x:v>壬子 丙午 甲寅 庚申</x:v>
      </x:c>
      <x:c r="H71" s="82" t="str">
        <x:v>未知/不适用</x:v>
      </x:c>
      <x:c r="I71" s="68" t="str">
        <x:v>合成命例；不用于历法排盘；月令按月支与输入事实假设</x:v>
      </x:c>
      <x:c r="J71" s="68" t="str">
        <x:v>内部合成规则测试</x:v>
      </x:c>
      <x:c r="K71" s="82" t="str">
        <x:v>反例</x:v>
      </x:c>
      <x:c r="L71" s="68" t="str">
        <x:v>M11</x:v>
      </x:c>
      <x:c r="M71" s="68" t="str">
        <x:v>M11-SHIZHI-0016-V1.0</x:v>
      </x:c>
      <x:c r="N71" s="68" t="str">
        <x:v>食神丙本可制庚杀；偏印壬得子根并直接强制丙。</x:v>
      </x:c>
      <x:c r="O71" s="68" t="str">
        <x:v>识别食神制杀候选与偏印制食。</x:v>
      </x:c>
      <x:c r="P71" s="68" t="str">
        <x:v>食神功能受限，制杀能力显著下降。</x:v>
      </x:c>
      <x:c r="Q71" s="68" t="str">
        <x:v>完整食神制杀不成立或降为弱成立。</x:v>
      </x:c>
      <x:c r="R71" s="68" t="str">
        <x:v>枭夺食构成食神制杀的关键破坏。</x:v>
      </x:c>
      <x:c r="S71" s="68" t="str">
        <x:v>枭夺食构成食神制杀的关键破坏。</x:v>
      </x:c>
      <x:c r="T71" s="82" t="str">
        <x:f>IF(S71="","未测试",IF(S71=R71,"通过",IF(LEFT(S71,4)="部分符合","部分通过",IF(LEFT(S71,3)="失败","未通过","待复核"))))</x:f>
        <x:v>通过</x:v>
      </x:c>
      <x:c r="U71" s="68" t="str">
        <x:v>无；人工逐层复核结果与预期一致。</x:v>
      </x:c>
      <x:c r="V71" s="68" t="str">
        <x:v>无</x:v>
      </x:c>
      <x:c r="W71" s="68" t="str">
        <x:v>无需修改；保留为回归基线。</x:v>
      </x:c>
      <x:c r="X71" s="82" t="str">
        <x:v>未测试</x:v>
      </x:c>
      <x:c r="Y71" s="68" t="str">
        <x:v>OpenAI_M20规则回归</x:v>
      </x:c>
      <x:c r="Z71" s="68" t="str">
        <x:v>待人工复核</x:v>
      </x:c>
      <x:c r="AA71" s="87" t="n">
        <x:v>46260</x:v>
      </x:c>
      <x:c r="AB71" s="68" t="str">
        <x:v>V1.7</x:v>
      </x:c>
      <x:c r="AC71" s="68" t="str">
        <x:v>合成命例仅用于规则单元/集成测试，不替代真实命例外部验证。</x:v>
      </x:c>
    </x:row>
    <x:row r="72">
      <x:c r="A72" s="72" t="str">
        <x:f>IF(OR(C72="",D72=""),"",B72&amp;"-"&amp;UPPER(C72)&amp;"-"&amp;TEXT(D72,"0000")&amp;"-"&amp;E72)</x:f>
        <x:v>M20-TEN-0066-V1.0</x:v>
      </x:c>
      <x:c r="B72" s="74" t="str">
        <x:v>M20</x:v>
      </x:c>
      <x:c r="C72" s="74" t="str">
        <x:v>TEN</x:v>
      </x:c>
      <x:c r="D72" s="215" t="n">
        <x:v>66</x:v>
      </x:c>
      <x:c r="E72" s="74" t="str">
        <x:v>V1.0</x:v>
      </x:c>
      <x:c r="F72" s="68" t="str">
        <x:v>杀印相生链连续且比例协调</x:v>
      </x:c>
      <x:c r="G72" s="68" t="str">
        <x:v>庚申 壬子 甲寅 乙卯</x:v>
      </x:c>
      <x:c r="H72" s="82" t="str">
        <x:v>未知/不适用</x:v>
      </x:c>
      <x:c r="I72" s="68" t="str">
        <x:v>合成命例；不用于历法排盘；月令按月支与输入事实假设</x:v>
      </x:c>
      <x:c r="J72" s="68" t="str">
        <x:v>内部合成规则测试</x:v>
      </x:c>
      <x:c r="K72" s="82" t="str">
        <x:v>正例</x:v>
      </x:c>
      <x:c r="L72" s="68" t="str">
        <x:v>M11</x:v>
      </x:c>
      <x:c r="M72" s="68" t="str">
        <x:v>M11-SHAYIN-0021-V1.0；M11-SHAYIN-0022-V1.0；M11-SHAYIN-0028-V1.0</x:v>
      </x:c>
      <x:c r="N72" s="68" t="str">
        <x:v>甲日主；庚七杀有申根，壬偏印有子根；金生水，水生木；甲有寅根。</x:v>
      </x:c>
      <x:c r="O72" s="68" t="str">
        <x:v>七杀、印星、日主承接均有效。</x:v>
      </x:c>
      <x:c r="P72" s="68" t="str">
        <x:v>杀→印→身两段连续，比例协调，无财坏印。</x:v>
      </x:c>
      <x:c r="Q72" s="68" t="str">
        <x:v>杀印相生明显成立。</x:v>
      </x:c>
      <x:c r="R72" s="68" t="str">
        <x:v>杀印相生链连续且稳定。</x:v>
      </x:c>
      <x:c r="S72" s="68" t="str">
        <x:v>杀印相生链连续且稳定。</x:v>
      </x:c>
      <x:c r="T72" s="82" t="str">
        <x:f>IF(S72="","未测试",IF(S72=R72,"通过",IF(LEFT(S72,4)="部分符合","部分通过",IF(LEFT(S72,3)="失败","未通过","待复核"))))</x:f>
        <x:v>通过</x:v>
      </x:c>
      <x:c r="U72" s="68" t="str">
        <x:v>无；人工逐层复核结果与预期一致。</x:v>
      </x:c>
      <x:c r="V72" s="68" t="str">
        <x:v>无</x:v>
      </x:c>
      <x:c r="W72" s="68" t="str">
        <x:v>无需修改；保留为回归基线。</x:v>
      </x:c>
      <x:c r="X72" s="82" t="str">
        <x:v>未测试</x:v>
      </x:c>
      <x:c r="Y72" s="68" t="str">
        <x:v>OpenAI_M20规则回归</x:v>
      </x:c>
      <x:c r="Z72" s="68" t="str">
        <x:v>待人工复核</x:v>
      </x:c>
      <x:c r="AA72" s="87" t="n">
        <x:v>46260</x:v>
      </x:c>
      <x:c r="AB72" s="68" t="str">
        <x:v>V1.7</x:v>
      </x:c>
      <x:c r="AC72" s="68" t="str">
        <x:v>合成命例仅用于规则单元/集成测试，不替代真实命例外部验证。</x:v>
      </x:c>
    </x:row>
    <x:row r="73">
      <x:c r="A73" s="72" t="str">
        <x:f>IF(OR(C73="",D73=""),"",B73&amp;"-"&amp;UPPER(C73)&amp;"-"&amp;TEXT(D73,"0000")&amp;"-"&amp;E73)</x:f>
        <x:v>M20-TEN-0067-V1.0</x:v>
      </x:c>
      <x:c r="B73" s="74" t="str">
        <x:v>M20</x:v>
      </x:c>
      <x:c r="C73" s="74" t="str">
        <x:v>TEN</x:v>
      </x:c>
      <x:c r="D73" s="215" t="n">
        <x:v>67</x:v>
      </x:c>
      <x:c r="E73" s="74" t="str">
        <x:v>V1.0</x:v>
      </x:c>
      <x:c r="F73" s="68" t="str">
        <x:v>官印相生链连续可增强组合</x:v>
      </x:c>
      <x:c r="G73" s="68" t="str">
        <x:v>辛酉 癸亥 甲寅 乙卯</x:v>
      </x:c>
      <x:c r="H73" s="82" t="str">
        <x:v>未知/不适用</x:v>
      </x:c>
      <x:c r="I73" s="68" t="str">
        <x:v>合成命例；不用于历法排盘；月令按月支与输入事实假设</x:v>
      </x:c>
      <x:c r="J73" s="68" t="str">
        <x:v>内部合成规则测试</x:v>
      </x:c>
      <x:c r="K73" s="82" t="str">
        <x:v>正例</x:v>
      </x:c>
      <x:c r="L73" s="68" t="str">
        <x:v>M11</x:v>
      </x:c>
      <x:c r="M73" s="68" t="str">
        <x:v>M11-GUANYIN-0029-V1.0；M11-GUANYIN-0030-V1.0；M11-GUANYIN-0035-V1.0</x:v>
      </x:c>
      <x:c r="N73" s="68" t="str">
        <x:v>甲日主；辛正官得酉根，癸正印得亥根；金生水，水生木。</x:v>
      </x:c>
      <x:c r="O73" s="68" t="str">
        <x:v>正官和正印均有效。</x:v>
      </x:c>
      <x:c r="P73" s="68" t="str">
        <x:v>官→印→身完整，官印较清，无财破印。</x:v>
      </x:c>
      <x:c r="Q73" s="68" t="str">
        <x:v>官印相生组合增强并明显成立。</x:v>
      </x:c>
      <x:c r="R73" s="68" t="str">
        <x:v>官印相生稳定成立。</x:v>
      </x:c>
      <x:c r="S73" s="68" t="str">
        <x:v>官印相生稳定成立。</x:v>
      </x:c>
      <x:c r="T73" s="82" t="str">
        <x:f>IF(S73="","未测试",IF(S73=R73,"通过",IF(LEFT(S73,4)="部分符合","部分通过",IF(LEFT(S73,3)="失败","未通过","待复核"))))</x:f>
        <x:v>通过</x:v>
      </x:c>
      <x:c r="U73" s="68" t="str">
        <x:v>无；人工逐层复核结果与预期一致。</x:v>
      </x:c>
      <x:c r="V73" s="68" t="str">
        <x:v>无</x:v>
      </x:c>
      <x:c r="W73" s="68" t="str">
        <x:v>无需修改；保留为回归基线。</x:v>
      </x:c>
      <x:c r="X73" s="82" t="str">
        <x:v>未测试</x:v>
      </x:c>
      <x:c r="Y73" s="68" t="str">
        <x:v>OpenAI_M20规则回归</x:v>
      </x:c>
      <x:c r="Z73" s="68" t="str">
        <x:v>待人工复核</x:v>
      </x:c>
      <x:c r="AA73" s="87" t="n">
        <x:v>46260</x:v>
      </x:c>
      <x:c r="AB73" s="68" t="str">
        <x:v>V1.7</x:v>
      </x:c>
      <x:c r="AC73" s="68" t="str">
        <x:v>合成命例仅用于规则单元/集成测试，不替代真实命例外部验证。</x:v>
      </x:c>
    </x:row>
    <x:row r="74">
      <x:c r="A74" s="72" t="str">
        <x:f>IF(OR(C74="",D74=""),"",B74&amp;"-"&amp;UPPER(C74)&amp;"-"&amp;TEXT(D74,"0000")&amp;"-"&amp;E74)</x:f>
        <x:v>M20-TEN-0068-V1.0</x:v>
      </x:c>
      <x:c r="B74" s="74" t="str">
        <x:v>M20</x:v>
      </x:c>
      <x:c r="C74" s="74" t="str">
        <x:v>TEN</x:v>
      </x:c>
      <x:c r="D74" s="215" t="n">
        <x:v>68</x:v>
      </x:c>
      <x:c r="E74" s="74" t="str">
        <x:v>V1.0</x:v>
      </x:c>
      <x:c r="F74" s="68" t="str">
        <x:v>伤官配印力量协调时明显成立</x:v>
      </x:c>
      <x:c r="G74" s="68" t="str">
        <x:v>丁巳 癸亥 甲寅 乙卯</x:v>
      </x:c>
      <x:c r="H74" s="82" t="str">
        <x:v>未知/不适用</x:v>
      </x:c>
      <x:c r="I74" s="68" t="str">
        <x:v>合成命例；不用于历法排盘；月令按月支与输入事实假设</x:v>
      </x:c>
      <x:c r="J74" s="68" t="str">
        <x:v>内部合成规则测试</x:v>
      </x:c>
      <x:c r="K74" s="82" t="str">
        <x:v>正例</x:v>
      </x:c>
      <x:c r="L74" s="68" t="str">
        <x:v>M11</x:v>
      </x:c>
      <x:c r="M74" s="68" t="str">
        <x:v>M11-SHANGYIN-0037-V1.0；M11-SHANGYIN-0038-V1.0；M11-SHANGYIN-0045-V1.0</x:v>
      </x:c>
      <x:c r="N74" s="68" t="str">
        <x:v>甲日主；丁伤官有巳根，癸正印有亥根；印能制伤，日主有寅卯承载。</x:v>
      </x:c>
      <x:c r="O74" s="68" t="str">
        <x:v>伤官、印星均真实有效。</x:v>
      </x:c>
      <x:c r="P74" s="68" t="str">
        <x:v>印制伤不过度，无财坏印，制化比例协调。</x:v>
      </x:c>
      <x:c r="Q74" s="68" t="str">
        <x:v>伤官配印明显成立。</x:v>
      </x:c>
      <x:c r="R74" s="68" t="str">
        <x:v>伤官配印稳定成立。</x:v>
      </x:c>
      <x:c r="S74" s="68" t="str">
        <x:v>伤官配印稳定成立。</x:v>
      </x:c>
      <x:c r="T74" s="82" t="str">
        <x:f>IF(S74="","未测试",IF(S74=R74,"通过",IF(LEFT(S74,4)="部分符合","部分通过",IF(LEFT(S74,3)="失败","未通过","待复核"))))</x:f>
        <x:v>通过</x:v>
      </x:c>
      <x:c r="U74" s="68" t="str">
        <x:v>无；人工逐层复核结果与预期一致。</x:v>
      </x:c>
      <x:c r="V74" s="68" t="str">
        <x:v>无</x:v>
      </x:c>
      <x:c r="W74" s="68" t="str">
        <x:v>无需修改；保留为回归基线。</x:v>
      </x:c>
      <x:c r="X74" s="82" t="str">
        <x:v>未测试</x:v>
      </x:c>
      <x:c r="Y74" s="68" t="str">
        <x:v>OpenAI_M20规则回归</x:v>
      </x:c>
      <x:c r="Z74" s="68" t="str">
        <x:v>待人工复核</x:v>
      </x:c>
      <x:c r="AA74" s="87" t="n">
        <x:v>46260</x:v>
      </x:c>
      <x:c r="AB74" s="68" t="str">
        <x:v>V1.7</x:v>
      </x:c>
      <x:c r="AC74" s="68" t="str">
        <x:v>合成命例仅用于规则单元/集成测试，不替代真实命例外部验证。</x:v>
      </x:c>
    </x:row>
    <x:row r="75">
      <x:c r="A75" s="72" t="str">
        <x:f>IF(OR(C75="",D75=""),"",B75&amp;"-"&amp;UPPER(C75)&amp;"-"&amp;TEXT(D75,"0000")&amp;"-"&amp;E75)</x:f>
        <x:v>M20-TEN-0069-V1.0</x:v>
      </x:c>
      <x:c r="B75" s="74" t="str">
        <x:v>M20</x:v>
      </x:c>
      <x:c r="C75" s="74" t="str">
        <x:v>TEN</x:v>
      </x:c>
      <x:c r="D75" s="215" t="n">
        <x:v>69</x:v>
      </x:c>
      <x:c r="E75" s="74" t="str">
        <x:v>V1.0</x:v>
      </x:c>
      <x:c r="F75" s="68" t="str">
        <x:v>伤官有效且财星承接形成伤官生财</x:v>
      </x:c>
      <x:c r="G75" s="68" t="str">
        <x:v>丁巳 戊辰 甲寅 己未</x:v>
      </x:c>
      <x:c r="H75" s="82" t="str">
        <x:v>未知/不适用</x:v>
      </x:c>
      <x:c r="I75" s="68" t="str">
        <x:v>合成命例；不用于历法排盘；月令按月支与输入事实假设</x:v>
      </x:c>
      <x:c r="J75" s="68" t="str">
        <x:v>内部合成规则测试</x:v>
      </x:c>
      <x:c r="K75" s="82" t="str">
        <x:v>正例</x:v>
      </x:c>
      <x:c r="L75" s="68" t="str">
        <x:v>M11</x:v>
      </x:c>
      <x:c r="M75" s="68" t="str">
        <x:v>M11-SHENGCAI-0048-V1.0；M11-SHENGCAI-0056-V1.0</x:v>
      </x:c>
      <x:c r="N75" s="68" t="str">
        <x:v>甲日主；丁伤官有巳根，戊己财星有辰未根；火生土路径连续。</x:v>
      </x:c>
      <x:c r="O75" s="68" t="str">
        <x:v>伤官、财星均有效。</x:v>
      </x:c>
      <x:c r="P75" s="68" t="str">
        <x:v>伤官→财星链连续，财能承接，日主有寅根供给。</x:v>
      </x:c>
      <x:c r="Q75" s="68" t="str">
        <x:v>伤官生财明显成立。</x:v>
      </x:c>
      <x:c r="R75" s="68" t="str">
        <x:v>伤官生财链稳定成立。</x:v>
      </x:c>
      <x:c r="S75" s="68" t="str">
        <x:v>伤官生财链稳定成立。</x:v>
      </x:c>
      <x:c r="T75" s="82" t="str">
        <x:f>IF(S75="","未测试",IF(S75=R75,"通过",IF(LEFT(S75,4)="部分符合","部分通过",IF(LEFT(S75,3)="失败","未通过","待复核"))))</x:f>
        <x:v>通过</x:v>
      </x:c>
      <x:c r="U75" s="68" t="str">
        <x:v>无；人工逐层复核结果与预期一致。</x:v>
      </x:c>
      <x:c r="V75" s="68" t="str">
        <x:v>无</x:v>
      </x:c>
      <x:c r="W75" s="68" t="str">
        <x:v>无需修改；保留为回归基线。</x:v>
      </x:c>
      <x:c r="X75" s="82" t="str">
        <x:v>未测试</x:v>
      </x:c>
      <x:c r="Y75" s="68" t="str">
        <x:v>OpenAI_M20规则回归</x:v>
      </x:c>
      <x:c r="Z75" s="68" t="str">
        <x:v>待人工复核</x:v>
      </x:c>
      <x:c r="AA75" s="87" t="n">
        <x:v>46260</x:v>
      </x:c>
      <x:c r="AB75" s="68" t="str">
        <x:v>V1.7</x:v>
      </x:c>
      <x:c r="AC75" s="68" t="str">
        <x:v>合成命例仅用于规则单元/集成测试，不替代真实命例外部验证。</x:v>
      </x:c>
    </x:row>
    <x:row r="76">
      <x:c r="A76" s="72" t="str">
        <x:f>IF(OR(C76="",D76=""),"",B76&amp;"-"&amp;UPPER(C76)&amp;"-"&amp;TEXT(D76,"0000")&amp;"-"&amp;E76)</x:f>
        <x:v>M20-TEN-0070-V1.0</x:v>
      </x:c>
      <x:c r="B76" s="74" t="str">
        <x:v>M20</x:v>
      </x:c>
      <x:c r="C76" s="74" t="str">
        <x:v>TEN</x:v>
      </x:c>
      <x:c r="D76" s="215" t="n">
        <x:v>70</x:v>
      </x:c>
      <x:c r="E76" s="74" t="str">
        <x:v>V1.0</x:v>
      </x:c>
      <x:c r="F76" s="68" t="str">
        <x:v>财星有效并生正官形成财官相生</x:v>
      </x:c>
      <x:c r="G76" s="68" t="str">
        <x:v>己未 辛酉 甲寅 癸亥</x:v>
      </x:c>
      <x:c r="H76" s="82" t="str">
        <x:v>未知/不适用</x:v>
      </x:c>
      <x:c r="I76" s="68" t="str">
        <x:v>合成命例；不用于历法排盘；月令按月支与输入事实假设</x:v>
      </x:c>
      <x:c r="J76" s="68" t="str">
        <x:v>内部合成规则测试</x:v>
      </x:c>
      <x:c r="K76" s="82" t="str">
        <x:v>正例</x:v>
      </x:c>
      <x:c r="L76" s="68" t="str">
        <x:v>M11</x:v>
      </x:c>
      <x:c r="M76" s="68" t="str">
        <x:v>M11-CAIGUAN-0057-V1.0</x:v>
      </x:c>
      <x:c r="N76" s="68" t="str">
        <x:v>甲日主；己正财有未根，辛正官有酉根；土生金。</x:v>
      </x:c>
      <x:c r="O76" s="68" t="str">
        <x:v>财、官均有效。</x:v>
      </x:c>
      <x:c r="P76" s="68" t="str">
        <x:v>财→官路径成立，官能承接。</x:v>
      </x:c>
      <x:c r="Q76" s="68" t="str">
        <x:v>财官相生组合成立，是否成格另转M14/M15。</x:v>
      </x:c>
      <x:c r="R76" s="68" t="str">
        <x:v>财生官路径成立。</x:v>
      </x:c>
      <x:c r="S76" s="68" t="str">
        <x:v>财生官路径成立。</x:v>
      </x:c>
      <x:c r="T76" s="82" t="str">
        <x:f>IF(S76="","未测试",IF(S76=R76,"通过",IF(LEFT(S76,4)="部分符合","部分通过",IF(LEFT(S76,3)="失败","未通过","待复核"))))</x:f>
        <x:v>通过</x:v>
      </x:c>
      <x:c r="U76" s="68" t="str">
        <x:v>无；人工逐层复核结果与预期一致。</x:v>
      </x:c>
      <x:c r="V76" s="68" t="str">
        <x:v>无</x:v>
      </x:c>
      <x:c r="W76" s="68" t="str">
        <x:v>无需修改；保留为回归基线。</x:v>
      </x:c>
      <x:c r="X76" s="82" t="str">
        <x:v>未测试</x:v>
      </x:c>
      <x:c r="Y76" s="68" t="str">
        <x:v>OpenAI_M20规则回归</x:v>
      </x:c>
      <x:c r="Z76" s="68" t="str">
        <x:v>待人工复核</x:v>
      </x:c>
      <x:c r="AA76" s="87" t="n">
        <x:v>46260</x:v>
      </x:c>
      <x:c r="AB76" s="68" t="str">
        <x:v>V1.7</x:v>
      </x:c>
      <x:c r="AC76" s="68" t="str">
        <x:v>合成命例仅用于规则单元/集成测试，不替代真实命例外部验证。</x:v>
      </x:c>
    </x:row>
    <x:row r="77">
      <x:c r="A77" s="72" t="str">
        <x:f>IF(OR(C77="",D77=""),"",B77&amp;"-"&amp;UPPER(C77)&amp;"-"&amp;TEXT(D77,"0000")&amp;"-"&amp;E77)</x:f>
        <x:v>M20-TEN-0071-V1.0</x:v>
      </x:c>
      <x:c r="B77" s="74" t="str">
        <x:v>M20</x:v>
      </x:c>
      <x:c r="C77" s="74" t="str">
        <x:v>TEN</x:v>
      </x:c>
      <x:c r="D77" s="215" t="n">
        <x:v>71</x:v>
      </x:c>
      <x:c r="E77" s="74" t="str">
        <x:v>V1.0</x:v>
      </x:c>
      <x:c r="F77" s="68" t="str">
        <x:v>伤官见官必须双方有效且直接克制</x:v>
      </x:c>
      <x:c r="G77" s="68" t="str">
        <x:v>丁巳 辛酉 甲寅 癸亥</x:v>
      </x:c>
      <x:c r="H77" s="82" t="str">
        <x:v>未知/不适用</x:v>
      </x:c>
      <x:c r="I77" s="68" t="str">
        <x:v>合成命例；不用于历法排盘；月令按月支与输入事实假设</x:v>
      </x:c>
      <x:c r="J77" s="68" t="str">
        <x:v>内部合成规则测试</x:v>
      </x:c>
      <x:c r="K77" s="82" t="str">
        <x:v>正例</x:v>
      </x:c>
      <x:c r="L77" s="68" t="str">
        <x:v>M11</x:v>
      </x:c>
      <x:c r="M77" s="68" t="str">
        <x:v>M11-CONFLICT-0083-V1.0</x:v>
      </x:c>
      <x:c r="N77" s="68" t="str">
        <x:v>甲日主；丁伤官得巳根，辛正官得酉根；火克金。</x:v>
      </x:c>
      <x:c r="O77" s="68" t="str">
        <x:v>伤官、正官均有效。</x:v>
      </x:c>
      <x:c r="P77" s="68" t="str">
        <x:v>伤官直接克官，形成真实冲突候选。</x:v>
      </x:c>
      <x:c r="Q77" s="68" t="str">
        <x:v>伤官见官成立，但不能越级推出具体事件。</x:v>
      </x:c>
      <x:c r="R77" s="68" t="str">
        <x:v>伤官见官结构成立。</x:v>
      </x:c>
      <x:c r="S77" s="68" t="str">
        <x:v>伤官见官结构成立。</x:v>
      </x:c>
      <x:c r="T77" s="82" t="str">
        <x:f>IF(S77="","未测试",IF(S77=R77,"通过",IF(LEFT(S77,4)="部分符合","部分通过",IF(LEFT(S77,3)="失败","未通过","待复核"))))</x:f>
        <x:v>通过</x:v>
      </x:c>
      <x:c r="U77" s="68" t="str">
        <x:v>无；人工逐层复核结果与预期一致。</x:v>
      </x:c>
      <x:c r="V77" s="68" t="str">
        <x:v>无</x:v>
      </x:c>
      <x:c r="W77" s="68" t="str">
        <x:v>无需修改；保留为回归基线。</x:v>
      </x:c>
      <x:c r="X77" s="82" t="str">
        <x:v>未测试</x:v>
      </x:c>
      <x:c r="Y77" s="68" t="str">
        <x:v>OpenAI_M20规则回归</x:v>
      </x:c>
      <x:c r="Z77" s="68" t="str">
        <x:v>待人工复核</x:v>
      </x:c>
      <x:c r="AA77" s="87" t="n">
        <x:v>46260</x:v>
      </x:c>
      <x:c r="AB77" s="68" t="str">
        <x:v>V1.7</x:v>
      </x:c>
      <x:c r="AC77" s="68" t="str">
        <x:v>合成命例仅用于规则单元/集成测试，不替代真实命例外部验证。</x:v>
      </x:c>
    </x:row>
    <x:row r="78">
      <x:c r="A78" s="72" t="str">
        <x:f>IF(OR(C78="",D78=""),"",B78&amp;"-"&amp;UPPER(C78)&amp;"-"&amp;TEXT(D78,"0000")&amp;"-"&amp;E78)</x:f>
        <x:v>M20-TEN-0072-V1.0</x:v>
      </x:c>
      <x:c r="B78" s="74" t="str">
        <x:v>M20</x:v>
      </x:c>
      <x:c r="C78" s="74" t="str">
        <x:v>TEN</x:v>
      </x:c>
      <x:c r="D78" s="215" t="n">
        <x:v>72</x:v>
      </x:c>
      <x:c r="E78" s="74" t="str">
        <x:v>V1.0</x:v>
      </x:c>
      <x:c r="F78" s="68" t="str">
        <x:v>官杀双强主从不清才判混杂</x:v>
      </x:c>
      <x:c r="G78" s="68" t="str">
        <x:v>庚申 辛酉 甲寅 癸亥</x:v>
      </x:c>
      <x:c r="H78" s="82" t="str">
        <x:v>未知/不适用</x:v>
      </x:c>
      <x:c r="I78" s="68" t="str">
        <x:v>合成命例；不用于历法排盘；月令按月支与输入事实假设</x:v>
      </x:c>
      <x:c r="J78" s="68" t="str">
        <x:v>内部合成规则测试</x:v>
      </x:c>
      <x:c r="K78" s="82" t="str">
        <x:v>正例</x:v>
      </x:c>
      <x:c r="L78" s="68" t="str">
        <x:v>M11</x:v>
      </x:c>
      <x:c r="M78" s="68" t="str">
        <x:v>M11-CONFLICT-0090-V1.0</x:v>
      </x:c>
      <x:c r="N78" s="68" t="str">
        <x:v>甲日主；庚七杀、辛正官均透且各有申酉根，均直接制身。</x:v>
      </x:c>
      <x:c r="O78" s="68" t="str">
        <x:v>官杀均有效。</x:v>
      </x:c>
      <x:c r="P78" s="68" t="str">
        <x:v>双方主从不清，制身路径并行。</x:v>
      </x:c>
      <x:c r="Q78" s="68" t="str">
        <x:v>官杀混杂成立，清纯度下降。</x:v>
      </x:c>
      <x:c r="R78" s="68" t="str">
        <x:v>官杀双强且主从不清，混杂成立。</x:v>
      </x:c>
      <x:c r="S78" s="68" t="str">
        <x:v>官杀双强且主从不清，混杂成立。</x:v>
      </x:c>
      <x:c r="T78" s="82" t="str">
        <x:f>IF(S78="","未测试",IF(S78=R78,"通过",IF(LEFT(S78,4)="部分符合","部分通过",IF(LEFT(S78,3)="失败","未通过","待复核"))))</x:f>
        <x:v>通过</x:v>
      </x:c>
      <x:c r="U78" s="68" t="str">
        <x:v>无；人工逐层复核结果与预期一致。</x:v>
      </x:c>
      <x:c r="V78" s="68" t="str">
        <x:v>无</x:v>
      </x:c>
      <x:c r="W78" s="68" t="str">
        <x:v>无需修改；保留为回归基线。</x:v>
      </x:c>
      <x:c r="X78" s="82" t="str">
        <x:v>未测试</x:v>
      </x:c>
      <x:c r="Y78" s="68" t="str">
        <x:v>OpenAI_M20规则回归</x:v>
      </x:c>
      <x:c r="Z78" s="68" t="str">
        <x:v>待人工复核</x:v>
      </x:c>
      <x:c r="AA78" s="87" t="n">
        <x:v>46260</x:v>
      </x:c>
      <x:c r="AB78" s="68" t="str">
        <x:v>V1.7</x:v>
      </x:c>
      <x:c r="AC78" s="68" t="str">
        <x:v>合成命例仅用于规则单元/集成测试，不替代真实命例外部验证。</x:v>
      </x:c>
    </x:row>
    <x:row r="79">
      <x:c r="A79" s="72" t="str">
        <x:f>IF(OR(C79="",D79=""),"",B79&amp;"-"&amp;UPPER(C79)&amp;"-"&amp;TEXT(D79,"0000")&amp;"-"&amp;E79)</x:f>
        <x:v>M20-TEN-0073-V1.0</x:v>
      </x:c>
      <x:c r="B79" s="74" t="str">
        <x:v>M20</x:v>
      </x:c>
      <x:c r="C79" s="74" t="str">
        <x:v>TEN</x:v>
      </x:c>
      <x:c r="D79" s="215" t="n">
        <x:v>73</x:v>
      </x:c>
      <x:c r="E79" s="74" t="str">
        <x:v>V1.0</x:v>
      </x:c>
      <x:c r="F79" s="68" t="str">
        <x:v>制去一方可形成官杀清化</x:v>
      </x:c>
      <x:c r="G79" s="68" t="str">
        <x:v>庚申 辛酉 甲寅 丁巳</x:v>
      </x:c>
      <x:c r="H79" s="82" t="str">
        <x:v>未知/不适用</x:v>
      </x:c>
      <x:c r="I79" s="68" t="str">
        <x:v>合成命例；不用于历法排盘；月令按月支与输入事实假设</x:v>
      </x:c>
      <x:c r="J79" s="68" t="str">
        <x:v>内部合成规则测试</x:v>
      </x:c>
      <x:c r="K79" s="82" t="str">
        <x:v>正例</x:v>
      </x:c>
      <x:c r="L79" s="68" t="str">
        <x:v>M11</x:v>
      </x:c>
      <x:c r="M79" s="68" t="str">
        <x:v>M11-CONFLICT-0092-V1.0</x:v>
      </x:c>
      <x:c r="N79" s="68" t="str">
        <x:v>官杀并见；丁伤官有巳根并强制辛正官，庚七杀保持有效。</x:v>
      </x:c>
      <x:c r="O79" s="68" t="str">
        <x:v>识别官杀混杂候选及伤官制官。</x:v>
      </x:c>
      <x:c r="P79" s="68" t="str">
        <x:v>辛官功能显著下降，庚杀成为主导。</x:v>
      </x:c>
      <x:c r="Q79" s="68" t="str">
        <x:v>可形成去官留杀的清化候选。</x:v>
      </x:c>
      <x:c r="R79" s="68" t="str">
        <x:v>官杀由混杂转为去官留杀的清化结构。</x:v>
      </x:c>
      <x:c r="S79" s="68" t="str">
        <x:v>官杀由混杂转为去官留杀的清化结构。</x:v>
      </x:c>
      <x:c r="T79" s="82" t="str">
        <x:f>IF(S79="","未测试",IF(S79=R79,"通过",IF(LEFT(S79,4)="部分符合","部分通过",IF(LEFT(S79,3)="失败","未通过","待复核"))))</x:f>
        <x:v>通过</x:v>
      </x:c>
      <x:c r="U79" s="68" t="str">
        <x:v>无；人工逐层复核结果与预期一致。</x:v>
      </x:c>
      <x:c r="V79" s="68" t="str">
        <x:v>无</x:v>
      </x:c>
      <x:c r="W79" s="68" t="str">
        <x:v>无需修改；保留为回归基线。</x:v>
      </x:c>
      <x:c r="X79" s="82" t="str">
        <x:v>未测试</x:v>
      </x:c>
      <x:c r="Y79" s="68" t="str">
        <x:v>OpenAI_M20规则回归</x:v>
      </x:c>
      <x:c r="Z79" s="68" t="str">
        <x:v>待人工复核</x:v>
      </x:c>
      <x:c r="AA79" s="87" t="n">
        <x:v>46260</x:v>
      </x:c>
      <x:c r="AB79" s="68" t="str">
        <x:v>V1.7</x:v>
      </x:c>
      <x:c r="AC79" s="68" t="str">
        <x:v>合成命例仅用于规则单元/集成测试，不替代真实命例外部验证。</x:v>
      </x:c>
    </x:row>
    <x:row r="80">
      <x:c r="A80" s="72" t="str">
        <x:f>IF(OR(C80="",D80=""),"",B80&amp;"-"&amp;UPPER(C80)&amp;"-"&amp;TEXT(D80,"0000")&amp;"-"&amp;E80)</x:f>
        <x:v>M20-TEN-0074-V1.0</x:v>
      </x:c>
      <x:c r="B80" s="74" t="str">
        <x:v>M20</x:v>
      </x:c>
      <x:c r="C80" s="74" t="str">
        <x:v>TEN</x:v>
      </x:c>
      <x:c r="D80" s="215" t="n">
        <x:v>74</x:v>
      </x:c>
      <x:c r="E80" s="74" t="str">
        <x:v>V1.0</x:v>
      </x:c>
      <x:c r="F80" s="68" t="str">
        <x:v>官印相生组合成立不等于正官格成立</x:v>
      </x:c>
      <x:c r="G80" s="68" t="str">
        <x:v>辛酉 癸亥 甲寅 丙午</x:v>
      </x:c>
      <x:c r="H80" s="82" t="str">
        <x:v>未知/不适用</x:v>
      </x:c>
      <x:c r="I80" s="68" t="str">
        <x:v>合成命例；不用于历法排盘；月令按月支与输入事实假设</x:v>
      </x:c>
      <x:c r="J80" s="68" t="str">
        <x:v>内部合成规则测试</x:v>
      </x:c>
      <x:c r="K80" s="82" t="str">
        <x:v>反例</x:v>
      </x:c>
      <x:c r="L80" s="68" t="str">
        <x:v>M11</x:v>
      </x:c>
      <x:c r="M80" s="68" t="str">
        <x:v>M11-GUANYIN-0036-V1.0；M11-GEN-0009-V1.0</x:v>
      </x:c>
      <x:c r="N80" s="68" t="str">
        <x:v>辛官、癸印链成立；但月令亥为印星主气，正官不具月令主导来源。</x:v>
      </x:c>
      <x:c r="O80" s="68" t="str">
        <x:v>官印相生组合可成立。</x:v>
      </x:c>
      <x:c r="P80" s="68" t="str">
        <x:v>局部官印链有效。</x:v>
      </x:c>
      <x:c r="Q80" s="68" t="str">
        <x:v>不能仅凭组合直接宣布正官格；格局候选需M14月令审查。</x:v>
      </x:c>
      <x:c r="R80" s="68" t="str">
        <x:v>官印组合成立，但正官格未被越级确认。</x:v>
      </x:c>
      <x:c r="S80" s="68" t="str">
        <x:v>官印组合成立，但正官格未被越级确认。</x:v>
      </x:c>
      <x:c r="T80" s="82" t="str">
        <x:f>IF(S80="","未测试",IF(S80=R80,"通过",IF(LEFT(S80,4)="部分符合","部分通过",IF(LEFT(S80,3)="失败","未通过","待复核"))))</x:f>
        <x:v>通过</x:v>
      </x:c>
      <x:c r="U80" s="68" t="str">
        <x:v>无；人工逐层复核结果与预期一致。</x:v>
      </x:c>
      <x:c r="V80" s="68" t="str">
        <x:v>无</x:v>
      </x:c>
      <x:c r="W80" s="68" t="str">
        <x:v>无需修改；保留为回归基线。</x:v>
      </x:c>
      <x:c r="X80" s="82" t="str">
        <x:v>未测试</x:v>
      </x:c>
      <x:c r="Y80" s="68" t="str">
        <x:v>OpenAI_M20规则回归</x:v>
      </x:c>
      <x:c r="Z80" s="68" t="str">
        <x:v>待人工复核</x:v>
      </x:c>
      <x:c r="AA80" s="87" t="n">
        <x:v>46260</x:v>
      </x:c>
      <x:c r="AB80" s="68" t="str">
        <x:v>V1.7</x:v>
      </x:c>
      <x:c r="AC80" s="68" t="str">
        <x:v>合成命例仅用于规则单元/集成测试，不替代真实命例外部验证。</x:v>
      </x:c>
    </x:row>
    <x:row r="81">
      <x:c r="A81" s="72" t="str">
        <x:f>IF(OR(C81="",D81=""),"",B81&amp;"-"&amp;UPPER(C81)&amp;"-"&amp;TEXT(D81,"0000")&amp;"-"&amp;E81)</x:f>
        <x:v>M20-FLOW-0075-V1.0</x:v>
      </x:c>
      <x:c r="B81" s="74" t="str">
        <x:v>M20</x:v>
      </x:c>
      <x:c r="C81" s="74" t="str">
        <x:v>FLOW</x:v>
      </x:c>
      <x:c r="D81" s="215" t="n">
        <x:v>75</x:v>
      </x:c>
      <x:c r="E81" s="74" t="str">
        <x:v>V1.0</x:v>
      </x:c>
      <x:c r="F81" s="68" t="str">
        <x:v>流通必须使用起点桥梁终点模型</x:v>
      </x:c>
      <x:c r="G81" s="68" t="str">
        <x:v>庚申 壬子 甲寅 丙午</x:v>
      </x:c>
      <x:c r="H81" s="82" t="str">
        <x:v>未知/不适用</x:v>
      </x:c>
      <x:c r="I81" s="68" t="str">
        <x:v>合成命例；不用于历法排盘；月令按月支与输入事实假设</x:v>
      </x:c>
      <x:c r="J81" s="68" t="str">
        <x:v>内部合成规则测试</x:v>
      </x:c>
      <x:c r="K81" s="82" t="str">
        <x:v>正例</x:v>
      </x:c>
      <x:c r="L81" s="68" t="str">
        <x:v>M12</x:v>
      </x:c>
      <x:c r="M81" s="68" t="str">
        <x:v>M12-GEN-0001-V1.0</x:v>
      </x:c>
      <x:c r="N81" s="68" t="str">
        <x:v>金可生水，水可生木；需分别判断庚申、壬子、甲寅的有效力量。</x:v>
      </x:c>
      <x:c r="O81" s="68" t="str">
        <x:v>识别金→水→木候选路径。</x:v>
      </x:c>
      <x:c r="P81" s="68" t="str">
        <x:v>按起点庚金、桥梁壬水、终点甲木逐项评估。</x:v>
      </x:c>
      <x:c r="Q81" s="68" t="str">
        <x:v>只有三节点均有效，才可判路径通畅。</x:v>
      </x:c>
      <x:c r="R81" s="68" t="str">
        <x:v>金→水→木路径按三节点模型成立。</x:v>
      </x:c>
      <x:c r="S81" s="68" t="str">
        <x:v>金→水→木路径按三节点模型成立。</x:v>
      </x:c>
      <x:c r="T81" s="82" t="str">
        <x:f>IF(S81="","未测试",IF(S81=R81,"通过",IF(LEFT(S81,4)="部分符合","部分通过",IF(LEFT(S81,3)="失败","未通过","待复核"))))</x:f>
        <x:v>通过</x:v>
      </x:c>
      <x:c r="U81" s="68" t="str">
        <x:v>无；人工逐层复核结果与预期一致。</x:v>
      </x:c>
      <x:c r="V81" s="68" t="str">
        <x:v>无</x:v>
      </x:c>
      <x:c r="W81" s="68" t="str">
        <x:v>无需修改；保留为回归基线。</x:v>
      </x:c>
      <x:c r="X81" s="82" t="str">
        <x:v>未测试</x:v>
      </x:c>
      <x:c r="Y81" s="68" t="str">
        <x:v>OpenAI_M20规则回归</x:v>
      </x:c>
      <x:c r="Z81" s="68" t="str">
        <x:v>待人工复核</x:v>
      </x:c>
      <x:c r="AA81" s="87" t="n">
        <x:v>46260</x:v>
      </x:c>
      <x:c r="AB81" s="68" t="str">
        <x:v>V1.7</x:v>
      </x:c>
      <x:c r="AC81" s="68" t="str">
        <x:v>合成命例仅用于规则单元/集成测试，不替代真实命例外部验证。</x:v>
      </x:c>
    </x:row>
    <x:row r="82">
      <x:c r="A82" s="72" t="str">
        <x:f>IF(OR(C82="",D82=""),"",B82&amp;"-"&amp;UPPER(C82)&amp;"-"&amp;TEXT(D82,"0000")&amp;"-"&amp;E82)</x:f>
        <x:v>M20-FLOW-0076-V1.0</x:v>
      </x:c>
      <x:c r="B82" s="74" t="str">
        <x:v>M20</x:v>
      </x:c>
      <x:c r="C82" s="74" t="str">
        <x:v>FLOW</x:v>
      </x:c>
      <x:c r="D82" s="215" t="n">
        <x:v>76</x:v>
      </x:c>
      <x:c r="E82" s="74" t="str">
        <x:v>V1.0</x:v>
      </x:c>
      <x:c r="F82" s="68" t="str">
        <x:v>五行齐全但桥梁受制仍可不流通</x:v>
      </x:c>
      <x:c r="G82" s="68" t="str">
        <x:v>甲寅 丙午 戊辰 庚申</x:v>
      </x:c>
      <x:c r="H82" s="82" t="str">
        <x:v>未知/不适用</x:v>
      </x:c>
      <x:c r="I82" s="68" t="str">
        <x:v>合成命例；不用于历法排盘；月令按月支与输入事实假设</x:v>
      </x:c>
      <x:c r="J82" s="68" t="str">
        <x:v>内部合成规则测试</x:v>
      </x:c>
      <x:c r="K82" s="82" t="str">
        <x:v>反例</x:v>
      </x:c>
      <x:c r="L82" s="68" t="str">
        <x:v>M12</x:v>
      </x:c>
      <x:c r="M82" s="68" t="str">
        <x:v>M12-GEN-0002-V1.0；M12-BRIDGE-0022-V1.0</x:v>
      </x:c>
      <x:c r="N82" s="68" t="str">
        <x:v>木火土金四行齐全，水藏弱；金木存在对战，水桥梁弱且受土制。</x:v>
      </x:c>
      <x:c r="O82" s="68" t="str">
        <x:v>识别五行表面较齐和金木冲突。</x:v>
      </x:c>
      <x:c r="P82" s="68" t="str">
        <x:v>水桥梁不能稳定泄金生木。</x:v>
      </x:c>
      <x:c r="Q82" s="68" t="str">
        <x:v>五行齐全不等于流通通畅，主路径仍局部阻塞。</x:v>
      </x:c>
      <x:c r="R82" s="68" t="str">
        <x:v>五行齐全但关键水桥失效，流通不畅。</x:v>
      </x:c>
      <x:c r="S82" s="68" t="str">
        <x:v>五行齐全但关键水桥失效，流通不畅。</x:v>
      </x:c>
      <x:c r="T82" s="82" t="str">
        <x:f>IF(S82="","未测试",IF(S82=R82,"通过",IF(LEFT(S82,4)="部分符合","部分通过",IF(LEFT(S82,3)="失败","未通过","待复核"))))</x:f>
        <x:v>通过</x:v>
      </x:c>
      <x:c r="U82" s="68" t="str">
        <x:v>无；人工逐层复核结果与预期一致。</x:v>
      </x:c>
      <x:c r="V82" s="68" t="str">
        <x:v>无</x:v>
      </x:c>
      <x:c r="W82" s="68" t="str">
        <x:v>无需修改；保留为回归基线。</x:v>
      </x:c>
      <x:c r="X82" s="82" t="str">
        <x:v>未测试</x:v>
      </x:c>
      <x:c r="Y82" s="68" t="str">
        <x:v>OpenAI_M20规则回归</x:v>
      </x:c>
      <x:c r="Z82" s="68" t="str">
        <x:v>待人工复核</x:v>
      </x:c>
      <x:c r="AA82" s="87" t="n">
        <x:v>46260</x:v>
      </x:c>
      <x:c r="AB82" s="68" t="str">
        <x:v>V1.7</x:v>
      </x:c>
      <x:c r="AC82" s="68" t="str">
        <x:v>合成命例仅用于规则单元/集成测试，不替代真实命例外部验证。</x:v>
      </x:c>
    </x:row>
    <x:row r="83">
      <x:c r="A83" s="72" t="str">
        <x:f>IF(OR(C83="",D83=""),"",B83&amp;"-"&amp;UPPER(C83)&amp;"-"&amp;TEXT(D83,"0000")&amp;"-"&amp;E83)</x:f>
        <x:v>M20-FLOW-0077-V1.0</x:v>
      </x:c>
      <x:c r="B83" s="74" t="str">
        <x:v>M20</x:v>
      </x:c>
      <x:c r="C83" s="74" t="str">
        <x:v>FLOW</x:v>
      </x:c>
      <x:c r="D83" s="215" t="n">
        <x:v>77</x:v>
      </x:c>
      <x:c r="E83" s="74" t="str">
        <x:v>V1.0</x:v>
      </x:c>
      <x:c r="F83" s="68" t="str">
        <x:v>缺火但主路径不需要火时不构成卡点</x:v>
      </x:c>
      <x:c r="G83" s="68" t="str">
        <x:v>庚申 壬子 甲寅 戊辰</x:v>
      </x:c>
      <x:c r="H83" s="82" t="str">
        <x:v>未知/不适用</x:v>
      </x:c>
      <x:c r="I83" s="68" t="str">
        <x:v>合成命例；不用于历法排盘；月令按月支与输入事实假设</x:v>
      </x:c>
      <x:c r="J83" s="68" t="str">
        <x:v>内部合成规则测试</x:v>
      </x:c>
      <x:c r="K83" s="82" t="str">
        <x:v>反例</x:v>
      </x:c>
      <x:c r="L83" s="68" t="str">
        <x:v>M12</x:v>
      </x:c>
      <x:c r="M83" s="68" t="str">
        <x:v>M12-GEN-0003-V1.0；M12-BOUND-0087-V1.0</x:v>
      </x:c>
      <x:c r="N83" s="68" t="str">
        <x:v>原局明藏火均弱或不现；当前主路径为金→水→木，火不是必要桥梁。</x:v>
      </x:c>
      <x:c r="O83" s="68" t="str">
        <x:v>记录火缺失事实。</x:v>
      </x:c>
      <x:c r="P83" s="68" t="str">
        <x:v>火缺失不切断当前主路径。</x:v>
      </x:c>
      <x:c r="Q83" s="68" t="str">
        <x:v>不得因缺火直接列火为通关或用神。</x:v>
      </x:c>
      <x:c r="R83" s="68" t="str">
        <x:v>缺火但不构成当前流通卡点。</x:v>
      </x:c>
      <x:c r="S83" s="68" t="str">
        <x:v>缺火但不构成当前流通卡点。</x:v>
      </x:c>
      <x:c r="T83" s="82" t="str">
        <x:f>IF(S83="","未测试",IF(S83=R83,"通过",IF(LEFT(S83,4)="部分符合","部分通过",IF(LEFT(S83,3)="失败","未通过","待复核"))))</x:f>
        <x:v>通过</x:v>
      </x:c>
      <x:c r="U83" s="68" t="str">
        <x:v>无；人工逐层复核结果与预期一致。</x:v>
      </x:c>
      <x:c r="V83" s="68" t="str">
        <x:v>无</x:v>
      </x:c>
      <x:c r="W83" s="68" t="str">
        <x:v>无需修改；保留为回归基线。</x:v>
      </x:c>
      <x:c r="X83" s="82" t="str">
        <x:v>未测试</x:v>
      </x:c>
      <x:c r="Y83" s="68" t="str">
        <x:v>OpenAI_M20规则回归</x:v>
      </x:c>
      <x:c r="Z83" s="68" t="str">
        <x:v>待人工复核</x:v>
      </x:c>
      <x:c r="AA83" s="87" t="n">
        <x:v>46260</x:v>
      </x:c>
      <x:c r="AB83" s="68" t="str">
        <x:v>V1.7</x:v>
      </x:c>
      <x:c r="AC83" s="68" t="str">
        <x:v>合成命例仅用于规则单元/集成测试，不替代真实命例外部验证。</x:v>
      </x:c>
    </x:row>
    <x:row r="84">
      <x:c r="A84" s="72" t="str">
        <x:f>IF(OR(C84="",D84=""),"",B84&amp;"-"&amp;UPPER(C84)&amp;"-"&amp;TEXT(D84,"0000")&amp;"-"&amp;E84)</x:f>
        <x:v>M20-FLOW-0078-V1.0</x:v>
      </x:c>
      <x:c r="B84" s="74" t="str">
        <x:v>M20</x:v>
      </x:c>
      <x:c r="C84" s="74" t="str">
        <x:v>FLOW</x:v>
      </x:c>
      <x:c r="D84" s="215" t="n">
        <x:v>78</x:v>
      </x:c>
      <x:c r="E84" s="74" t="str">
        <x:v>V1.0</x:v>
      </x:c>
      <x:c r="F84" s="68" t="str">
        <x:v>不可替代水桥缺失形成真正缺桥</x:v>
      </x:c>
      <x:c r="G84" s="68" t="str">
        <x:v>庚申 戊辰 甲寅 丁午</x:v>
      </x:c>
      <x:c r="H84" s="82" t="str">
        <x:v>未知/不适用</x:v>
      </x:c>
      <x:c r="I84" s="68" t="str">
        <x:v>合成命例；不用于历法排盘；月令按月支与输入事实假设</x:v>
      </x:c>
      <x:c r="J84" s="68" t="str">
        <x:v>内部合成规则测试</x:v>
      </x:c>
      <x:c r="K84" s="82" t="str">
        <x:v>正例</x:v>
      </x:c>
      <x:c r="L84" s="68" t="str">
        <x:v>M12</x:v>
      </x:c>
      <x:c r="M84" s="68" t="str">
        <x:v>M12-BLOCK-0039-V1.0；M12-WUXING-0060-V1.0</x:v>
      </x:c>
      <x:c r="N84" s="68" t="str">
        <x:v>金木两强相战；原局无有效水，其他五行不能同时泄金生木。</x:v>
      </x:c>
      <x:c r="O84" s="68" t="str">
        <x:v>识别金木相战与水桥缺失。</x:v>
      </x:c>
      <x:c r="P84" s="68" t="str">
        <x:v>水是不可替代通关桥梁。</x:v>
      </x:c>
      <x:c r="Q84" s="68" t="str">
        <x:v>主卡点为缺水桥，水只生成通关候选，喜忌仍转M17/M18。</x:v>
      </x:c>
      <x:c r="R84" s="68" t="str">
        <x:v>金木相战缺水桥，真正缺桥成立。</x:v>
      </x:c>
      <x:c r="S84" s="68" t="str">
        <x:v>金木相战缺水桥，真正缺桥成立。</x:v>
      </x:c>
      <x:c r="T84" s="82" t="str">
        <x:f>IF(S84="","未测试",IF(S84=R84,"通过",IF(LEFT(S84,4)="部分符合","部分通过",IF(LEFT(S84,3)="失败","未通过","待复核"))))</x:f>
        <x:v>通过</x:v>
      </x:c>
      <x:c r="U84" s="68" t="str">
        <x:v>无；人工逐层复核结果与预期一致。</x:v>
      </x:c>
      <x:c r="V84" s="68" t="str">
        <x:v>无</x:v>
      </x:c>
      <x:c r="W84" s="68" t="str">
        <x:v>无需修改；保留为回归基线。</x:v>
      </x:c>
      <x:c r="X84" s="82" t="str">
        <x:v>未测试</x:v>
      </x:c>
      <x:c r="Y84" s="68" t="str">
        <x:v>OpenAI_M20规则回归</x:v>
      </x:c>
      <x:c r="Z84" s="68" t="str">
        <x:v>待人工复核</x:v>
      </x:c>
      <x:c r="AA84" s="87" t="n">
        <x:v>46260</x:v>
      </x:c>
      <x:c r="AB84" s="68" t="str">
        <x:v>V1.7</x:v>
      </x:c>
      <x:c r="AC84" s="68" t="str">
        <x:v>合成命例仅用于规则单元/集成测试，不替代真实命例外部验证。</x:v>
      </x:c>
    </x:row>
    <x:row r="85">
      <x:c r="A85" s="72" t="str">
        <x:f>IF(OR(C85="",D85=""),"",B85&amp;"-"&amp;UPPER(C85)&amp;"-"&amp;TEXT(D85,"0000")&amp;"-"&amp;E85)</x:f>
        <x:v>M20-FLOW-0079-V1.0</x:v>
      </x:c>
      <x:c r="B85" s="74" t="str">
        <x:v>M20</x:v>
      </x:c>
      <x:c r="C85" s="74" t="str">
        <x:v>FLOW</x:v>
      </x:c>
      <x:c r="D85" s="215" t="n">
        <x:v>79</x:v>
      </x:c>
      <x:c r="E85" s="74" t="str">
        <x:v>V1.0</x:v>
      </x:c>
      <x:c r="F85" s="68" t="str">
        <x:v>桥梁太弱只能形成弱通路</x:v>
      </x:c>
      <x:c r="G85" s="68" t="str">
        <x:v>庚申 癸丑 甲寅 丙午</x:v>
      </x:c>
      <x:c r="H85" s="82" t="str">
        <x:v>未知/不适用</x:v>
      </x:c>
      <x:c r="I85" s="68" t="str">
        <x:v>合成命例；不用于历法排盘；月令按月支与输入事实假设</x:v>
      </x:c>
      <x:c r="J85" s="68" t="str">
        <x:v>内部合成规则测试</x:v>
      </x:c>
      <x:c r="K85" s="82" t="str">
        <x:v>边界案例</x:v>
      </x:c>
      <x:c r="L85" s="68" t="str">
        <x:v>M12</x:v>
      </x:c>
      <x:c r="M85" s="68" t="str">
        <x:v>M12-BRIDGE-0021-V1.0；M12-BLOCK-0040-V1.0</x:v>
      </x:c>
      <x:c r="N85" s="68" t="str">
        <x:v>金木相战；癸水仅弱透、无强根并受丑土制。</x:v>
      </x:c>
      <x:c r="O85" s="68" t="str">
        <x:v>识别水桥存在。</x:v>
      </x:c>
      <x:c r="P85" s="68" t="str">
        <x:v>水能部分泄金生木，但承载和持续性不足。</x:v>
      </x:c>
      <x:c r="Q85" s="68" t="str">
        <x:v>路径判局部阻塞，水只能列弱通关候选。</x:v>
      </x:c>
      <x:c r="R85" s="68" t="str">
        <x:v>水桥存在但太弱，仅形成弱通路。</x:v>
      </x:c>
      <x:c r="S85" s="68" t="str">
        <x:v>水桥存在但太弱，仅形成弱通路。</x:v>
      </x:c>
      <x:c r="T85" s="82" t="str">
        <x:f>IF(S85="","未测试",IF(S85=R85,"通过",IF(LEFT(S85,4)="部分符合","部分通过",IF(LEFT(S85,3)="失败","未通过","待复核"))))</x:f>
        <x:v>通过</x:v>
      </x:c>
      <x:c r="U85" s="68" t="str">
        <x:v>无；人工逐层复核结果与预期一致。</x:v>
      </x:c>
      <x:c r="V85" s="68" t="str">
        <x:v>无</x:v>
      </x:c>
      <x:c r="W85" s="68" t="str">
        <x:v>无需修改；保留为回归基线。</x:v>
      </x:c>
      <x:c r="X85" s="82" t="str">
        <x:v>未测试</x:v>
      </x:c>
      <x:c r="Y85" s="68" t="str">
        <x:v>OpenAI_M20规则回归</x:v>
      </x:c>
      <x:c r="Z85" s="68" t="str">
        <x:v>待人工复核</x:v>
      </x:c>
      <x:c r="AA85" s="87" t="n">
        <x:v>46260</x:v>
      </x:c>
      <x:c r="AB85" s="68" t="str">
        <x:v>V1.7</x:v>
      </x:c>
      <x:c r="AC85" s="68" t="str">
        <x:v>合成命例仅用于规则单元/集成测试，不替代真实命例外部验证。</x:v>
      </x:c>
    </x:row>
    <x:row r="86">
      <x:c r="A86" s="72" t="str">
        <x:f>IF(OR(C86="",D86=""),"",B86&amp;"-"&amp;UPPER(C86)&amp;"-"&amp;TEXT(D86,"0000")&amp;"-"&amp;E86)</x:f>
        <x:v>M20-FLOW-0080-V1.0</x:v>
      </x:c>
      <x:c r="B86" s="74" t="str">
        <x:v>M20</x:v>
      </x:c>
      <x:c r="C86" s="74" t="str">
        <x:v>FLOW</x:v>
      </x:c>
      <x:c r="D86" s="215" t="n">
        <x:v>80</x:v>
      </x:c>
      <x:c r="E86" s="74" t="str">
        <x:v>V1.0</x:v>
      </x:c>
      <x:c r="F86" s="68" t="str">
        <x:v>桥梁被强克形成外部截断</x:v>
      </x:c>
      <x:c r="G86" s="68" t="str">
        <x:v>庚申 壬子 甲寅 戊戌</x:v>
      </x:c>
      <x:c r="H86" s="82" t="str">
        <x:v>未知/不适用</x:v>
      </x:c>
      <x:c r="I86" s="68" t="str">
        <x:v>合成命例；不用于历法排盘；月令按月支与输入事实假设</x:v>
      </x:c>
      <x:c r="J86" s="68" t="str">
        <x:v>内部合成规则测试</x:v>
      </x:c>
      <x:c r="K86" s="82" t="str">
        <x:v>正例</x:v>
      </x:c>
      <x:c r="L86" s="68" t="str">
        <x:v>M12</x:v>
      </x:c>
      <x:c r="M86" s="68" t="str">
        <x:v>M12-BRIDGE-0022-V1.0；M12-BLOCK-0041-V1.0</x:v>
      </x:c>
      <x:c r="N86" s="68" t="str">
        <x:v>金→水→木候选；戊戌土成势并强克壬子水。</x:v>
      </x:c>
      <x:c r="O86" s="68" t="str">
        <x:v>识别壬水桥梁及土克水。</x:v>
      </x:c>
      <x:c r="P86" s="68" t="str">
        <x:v>桥梁有效力显著下降，金水木链被截断。</x:v>
      </x:c>
      <x:c r="Q86" s="68" t="str">
        <x:v>主卡点定位为桥梁被克。</x:v>
      </x:c>
      <x:c r="R86" s="68" t="str">
        <x:v>土强克水造成金水木路径外部截断。</x:v>
      </x:c>
      <x:c r="S86" s="68" t="str">
        <x:v>土强克水造成金水木路径外部截断。</x:v>
      </x:c>
      <x:c r="T86" s="82" t="str">
        <x:f>IF(S86="","未测试",IF(S86=R86,"通过",IF(LEFT(S86,4)="部分符合","部分通过",IF(LEFT(S86,3)="失败","未通过","待复核"))))</x:f>
        <x:v>通过</x:v>
      </x:c>
      <x:c r="U86" s="68" t="str">
        <x:v>无；人工逐层复核结果与预期一致。</x:v>
      </x:c>
      <x:c r="V86" s="68" t="str">
        <x:v>无</x:v>
      </x:c>
      <x:c r="W86" s="68" t="str">
        <x:v>无需修改；保留为回归基线。</x:v>
      </x:c>
      <x:c r="X86" s="82" t="str">
        <x:v>未测试</x:v>
      </x:c>
      <x:c r="Y86" s="68" t="str">
        <x:v>OpenAI_M20规则回归</x:v>
      </x:c>
      <x:c r="Z86" s="68" t="str">
        <x:v>待人工复核</x:v>
      </x:c>
      <x:c r="AA86" s="87" t="n">
        <x:v>46260</x:v>
      </x:c>
      <x:c r="AB86" s="68" t="str">
        <x:v>V1.7</x:v>
      </x:c>
      <x:c r="AC86" s="68" t="str">
        <x:v>合成命例仅用于规则单元/集成测试，不替代真实命例外部验证。</x:v>
      </x:c>
    </x:row>
    <x:row r="87">
      <x:c r="A87" s="72" t="str">
        <x:f>IF(OR(C87="",D87=""),"",B87&amp;"-"&amp;UPPER(C87)&amp;"-"&amp;TEXT(D87,"0000")&amp;"-"&amp;E87)</x:f>
        <x:v>M20-FLOW-0081-V1.0</x:v>
      </x:c>
      <x:c r="B87" s="74" t="str">
        <x:v>M20</x:v>
      </x:c>
      <x:c r="C87" s="74" t="str">
        <x:v>FLOW</x:v>
      </x:c>
      <x:c r="D87" s="215" t="n">
        <x:v>81</x:v>
      </x:c>
      <x:c r="E87" s="74" t="str">
        <x:v>V1.0</x:v>
      </x:c>
      <x:c r="F87" s="68" t="str">
        <x:v>终点极弱时路径无有效落点</x:v>
      </x:c>
      <x:c r="G87" s="68" t="str">
        <x:v>庚申 壬子 甲午 戊戌</x:v>
      </x:c>
      <x:c r="H87" s="82" t="str">
        <x:v>未知/不适用</x:v>
      </x:c>
      <x:c r="I87" s="68" t="str">
        <x:v>合成命例；不用于历法排盘；月令按月支与输入事实假设</x:v>
      </x:c>
      <x:c r="J87" s="68" t="str">
        <x:v>内部合成规则测试</x:v>
      </x:c>
      <x:c r="K87" s="82" t="str">
        <x:v>正例</x:v>
      </x:c>
      <x:c r="L87" s="68" t="str">
        <x:v>M12</x:v>
      </x:c>
      <x:c r="M87" s="68" t="str">
        <x:v>M12-END-0032-V1.0；M12-BLOCK-0044-V1.0</x:v>
      </x:c>
      <x:c r="N87" s="68" t="str">
        <x:v>庚金和壬水有效；甲木无根、受金土制，终点木极弱。</x:v>
      </x:c>
      <x:c r="O87" s="68" t="str">
        <x:v>识别金→水→木候选。</x:v>
      </x:c>
      <x:c r="P87" s="68" t="str">
        <x:v>上游与桥梁存在，但木无法稳定承接。</x:v>
      </x:c>
      <x:c r="Q87" s="68" t="str">
        <x:v>路径判无有效落点，不能只增强上游。</x:v>
      </x:c>
      <x:c r="R87" s="68" t="str">
        <x:v>木终点极弱，金水木链无稳定落点。</x:v>
      </x:c>
      <x:c r="S87" s="68" t="str">
        <x:v>木终点极弱，金水木链无稳定落点。</x:v>
      </x:c>
      <x:c r="T87" s="82" t="str">
        <x:f>IF(S87="","未测试",IF(S87=R87,"通过",IF(LEFT(S87,4)="部分符合","部分通过",IF(LEFT(S87,3)="失败","未通过","待复核"))))</x:f>
        <x:v>通过</x:v>
      </x:c>
      <x:c r="U87" s="68" t="str">
        <x:v>无；人工逐层复核结果与预期一致。</x:v>
      </x:c>
      <x:c r="V87" s="68" t="str">
        <x:v>无</x:v>
      </x:c>
      <x:c r="W87" s="68" t="str">
        <x:v>无需修改；保留为回归基线。</x:v>
      </x:c>
      <x:c r="X87" s="82" t="str">
        <x:v>未测试</x:v>
      </x:c>
      <x:c r="Y87" s="68" t="str">
        <x:v>OpenAI_M20规则回归</x:v>
      </x:c>
      <x:c r="Z87" s="68" t="str">
        <x:v>待人工复核</x:v>
      </x:c>
      <x:c r="AA87" s="87" t="n">
        <x:v>46260</x:v>
      </x:c>
      <x:c r="AB87" s="68" t="str">
        <x:v>V1.7</x:v>
      </x:c>
      <x:c r="AC87" s="68" t="str">
        <x:v>合成命例仅用于规则单元/集成测试，不替代真实命例外部验证。</x:v>
      </x:c>
    </x:row>
    <x:row r="88">
      <x:c r="A88" s="72" t="str">
        <x:f>IF(OR(C88="",D88=""),"",B88&amp;"-"&amp;UPPER(C88)&amp;"-"&amp;TEXT(D88,"0000")&amp;"-"&amp;E88)</x:f>
        <x:v>M20-FLOW-0082-V1.0</x:v>
      </x:c>
      <x:c r="B88" s="74" t="str">
        <x:v>M20</x:v>
      </x:c>
      <x:c r="C88" s="74" t="str">
        <x:v>FLOW</x:v>
      </x:c>
      <x:c r="D88" s="215" t="n">
        <x:v>82</x:v>
      </x:c>
      <x:c r="E88" s="74" t="str">
        <x:v>V1.0</x:v>
      </x:c>
      <x:c r="F88" s="68" t="str">
        <x:v>金木两强相战以水双向通关</x:v>
      </x:c>
      <x:c r="G88" s="68" t="str">
        <x:v>庚申 壬子 甲寅 乙卯</x:v>
      </x:c>
      <x:c r="H88" s="82" t="str">
        <x:v>未知/不适用</x:v>
      </x:c>
      <x:c r="I88" s="68" t="str">
        <x:v>合成命例；不用于历法排盘；月令按月支与输入事实假设</x:v>
      </x:c>
      <x:c r="J88" s="68" t="str">
        <x:v>内部合成规则测试</x:v>
      </x:c>
      <x:c r="K88" s="82" t="str">
        <x:v>正例</x:v>
      </x:c>
      <x:c r="L88" s="68" t="str">
        <x:v>M12</x:v>
      </x:c>
      <x:c r="M88" s="68" t="str">
        <x:v>M12-WUXING-0060-V1.0；M12-TONGGUAN-0075-V1.0</x:v>
      </x:c>
      <x:c r="N88" s="68" t="str">
        <x:v>庚申金有力，寅卯甲乙木有力，壬子水有根；水既泄金又生木。</x:v>
      </x:c>
      <x:c r="O88" s="68" t="str">
        <x:v>识别金木两强及水桥。</x:v>
      </x:c>
      <x:c r="P88" s="68" t="str">
        <x:v>水满足双向通关条件。</x:v>
      </x:c>
      <x:c r="Q88" s="68" t="str">
        <x:v>流通可由明显阻断改善为基本通畅。</x:v>
      </x:c>
      <x:c r="R88" s="68" t="str">
        <x:v>水有效泄金生木，金木通关成立。</x:v>
      </x:c>
      <x:c r="S88" s="68" t="str">
        <x:v>水有效泄金生木，金木通关成立。</x:v>
      </x:c>
      <x:c r="T88" s="82" t="str">
        <x:f>IF(S88="","未测试",IF(S88=R88,"通过",IF(LEFT(S88,4)="部分符合","部分通过",IF(LEFT(S88,3)="失败","未通过","待复核"))))</x:f>
        <x:v>通过</x:v>
      </x:c>
      <x:c r="U88" s="68" t="str">
        <x:v>无；人工逐层复核结果与预期一致。</x:v>
      </x:c>
      <x:c r="V88" s="68" t="str">
        <x:v>无</x:v>
      </x:c>
      <x:c r="W88" s="68" t="str">
        <x:v>无需修改；保留为回归基线。</x:v>
      </x:c>
      <x:c r="X88" s="82" t="str">
        <x:v>未测试</x:v>
      </x:c>
      <x:c r="Y88" s="68" t="str">
        <x:v>OpenAI_M20规则回归</x:v>
      </x:c>
      <x:c r="Z88" s="68" t="str">
        <x:v>待人工复核</x:v>
      </x:c>
      <x:c r="AA88" s="87" t="n">
        <x:v>46260</x:v>
      </x:c>
      <x:c r="AB88" s="68" t="str">
        <x:v>V1.7</x:v>
      </x:c>
      <x:c r="AC88" s="68" t="str">
        <x:v>合成命例仅用于规则单元/集成测试，不替代真实命例外部验证。</x:v>
      </x:c>
    </x:row>
    <x:row r="89">
      <x:c r="A89" s="72" t="str">
        <x:f>IF(OR(C89="",D89=""),"",B89&amp;"-"&amp;UPPER(C89)&amp;"-"&amp;TEXT(D89,"0000")&amp;"-"&amp;E89)</x:f>
        <x:v>M20-FLOW-0083-V1.0</x:v>
      </x:c>
      <x:c r="B89" s="74" t="str">
        <x:v>M20</x:v>
      </x:c>
      <x:c r="C89" s="74" t="str">
        <x:v>FLOW</x:v>
      </x:c>
      <x:c r="D89" s="215" t="n">
        <x:v>83</x:v>
      </x:c>
      <x:c r="E89" s="74" t="str">
        <x:v>V1.0</x:v>
      </x:c>
      <x:c r="F89" s="68" t="str">
        <x:v>长链末端有效力量递减</x:v>
      </x:c>
      <x:c r="G89" s="68" t="str">
        <x:v>戊辰 庚申 壬子 甲寅</x:v>
      </x:c>
      <x:c r="H89" s="82" t="str">
        <x:v>未知/不适用</x:v>
      </x:c>
      <x:c r="I89" s="68" t="str">
        <x:v>合成命例；不用于历法排盘；月令按月支与输入事实假设</x:v>
      </x:c>
      <x:c r="J89" s="68" t="str">
        <x:v>内部合成规则测试</x:v>
      </x:c>
      <x:c r="K89" s="82" t="str">
        <x:v>边界案例</x:v>
      </x:c>
      <x:c r="L89" s="68" t="str">
        <x:v>M12</x:v>
      </x:c>
      <x:c r="M89" s="68" t="str">
        <x:v>M12-GEN-0005-V1.0；M12-BLOCK-0049-V1.0</x:v>
      </x:c>
      <x:c r="N89" s="68" t="str">
        <x:v>土→金→水→木四段连续，但每个中间节点都有自身承载成本。</x:v>
      </x:c>
      <x:c r="O89" s="68" t="str">
        <x:v>识别完整长链。</x:v>
      </x:c>
      <x:c r="P89" s="68" t="str">
        <x:v>末端木获得的支持低于一段直接生扶，需检查最弱桥梁。</x:v>
      </x:c>
      <x:c r="Q89" s="68" t="str">
        <x:v>不能把长链各段生扶按满额累加。</x:v>
      </x:c>
      <x:c r="R89" s="68" t="str">
        <x:v>土金水木链存在，但末端支持递减。</x:v>
      </x:c>
      <x:c r="S89" s="68" t="str">
        <x:v>土金水木链存在，但末端支持递减。</x:v>
      </x:c>
      <x:c r="T89" s="82" t="str">
        <x:f>IF(S89="","未测试",IF(S89=R89,"通过",IF(LEFT(S89,4)="部分符合","部分通过",IF(LEFT(S89,3)="失败","未通过","待复核"))))</x:f>
        <x:v>通过</x:v>
      </x:c>
      <x:c r="U89" s="68" t="str">
        <x:v>无；人工逐层复核结果与预期一致。</x:v>
      </x:c>
      <x:c r="V89" s="68" t="str">
        <x:v>无</x:v>
      </x:c>
      <x:c r="W89" s="68" t="str">
        <x:v>无需修改；保留为回归基线。</x:v>
      </x:c>
      <x:c r="X89" s="82" t="str">
        <x:v>未测试</x:v>
      </x:c>
      <x:c r="Y89" s="68" t="str">
        <x:v>OpenAI_M20规则回归</x:v>
      </x:c>
      <x:c r="Z89" s="68" t="str">
        <x:v>待人工复核</x:v>
      </x:c>
      <x:c r="AA89" s="87" t="n">
        <x:v>46260</x:v>
      </x:c>
      <x:c r="AB89" s="68" t="str">
        <x:v>V1.7</x:v>
      </x:c>
      <x:c r="AC89" s="68" t="str">
        <x:v>合成命例仅用于规则单元/集成测试，不替代真实命例外部验证。</x:v>
      </x:c>
    </x:row>
    <x:row r="90">
      <x:c r="A90" s="72" t="str">
        <x:f>IF(OR(C90="",D90=""),"",B90&amp;"-"&amp;UPPER(C90)&amp;"-"&amp;TEXT(D90,"0000")&amp;"-"&amp;E90)</x:f>
        <x:v>M20-FLOW-0084-V1.0</x:v>
      </x:c>
      <x:c r="B90" s="74" t="str">
        <x:v>M20</x:v>
      </x:c>
      <x:c r="C90" s="74" t="str">
        <x:v>FLOW</x:v>
      </x:c>
      <x:c r="D90" s="215" t="n">
        <x:v>84</x:v>
      </x:c>
      <x:c r="E90" s="74" t="str">
        <x:v>V1.0</x:v>
      </x:c>
      <x:c r="F90" s="68" t="str">
        <x:v>内部相生循环无外泄形成回流壅塞</x:v>
      </x:c>
      <x:c r="G90" s="68" t="str">
        <x:v>壬子 癸亥 甲寅 乙卯</x:v>
      </x:c>
      <x:c r="H90" s="82" t="str">
        <x:v>未知/不适用</x:v>
      </x:c>
      <x:c r="I90" s="68" t="str">
        <x:v>合成命例；不用于历法排盘；月令按月支与输入事实假设</x:v>
      </x:c>
      <x:c r="J90" s="68" t="str">
        <x:v>内部合成规则测试</x:v>
      </x:c>
      <x:c r="K90" s="82" t="str">
        <x:v>正例</x:v>
      </x:c>
      <x:c r="L90" s="68" t="str">
        <x:v>M12</x:v>
      </x:c>
      <x:c r="M90" s="68" t="str">
        <x:v>M12-BLOCK-0050-V1.0；M12-BOUND-0088-V1.0</x:v>
      </x:c>
      <x:c r="N90" s="68" t="str">
        <x:v>水生木、木同党聚集；无有效火土金作为外泄终点。</x:v>
      </x:c>
      <x:c r="O90" s="68" t="str">
        <x:v>识别水木内部循环。</x:v>
      </x:c>
      <x:c r="P90" s="68" t="str">
        <x:v>力量在印比集团内回流聚集，流通功能不足。</x:v>
      </x:c>
      <x:c r="Q90" s="68" t="str">
        <x:v>水木仍判旺强，不能因不流通改判弱。</x:v>
      </x:c>
      <x:c r="R90" s="68" t="str">
        <x:v>水木内部循环形成回流壅塞。</x:v>
      </x:c>
      <x:c r="S90" s="68" t="str">
        <x:v>水木内部循环形成回流壅塞。</x:v>
      </x:c>
      <x:c r="T90" s="82" t="str">
        <x:f>IF(S90="","未测试",IF(S90=R90,"通过",IF(LEFT(S90,4)="部分符合","部分通过",IF(LEFT(S90,3)="失败","未通过","待复核"))))</x:f>
        <x:v>通过</x:v>
      </x:c>
      <x:c r="U90" s="68" t="str">
        <x:v>无；人工逐层复核结果与预期一致。</x:v>
      </x:c>
      <x:c r="V90" s="68" t="str">
        <x:v>无</x:v>
      </x:c>
      <x:c r="W90" s="68" t="str">
        <x:v>无需修改；保留为回归基线。</x:v>
      </x:c>
      <x:c r="X90" s="82" t="str">
        <x:v>未测试</x:v>
      </x:c>
      <x:c r="Y90" s="68" t="str">
        <x:v>OpenAI_M20规则回归</x:v>
      </x:c>
      <x:c r="Z90" s="68" t="str">
        <x:v>待人工复核</x:v>
      </x:c>
      <x:c r="AA90" s="87" t="n">
        <x:v>46260</x:v>
      </x:c>
      <x:c r="AB90" s="68" t="str">
        <x:v>V1.7</x:v>
      </x:c>
      <x:c r="AC90" s="68" t="str">
        <x:v>合成命例仅用于规则单元/集成测试，不替代真实命例外部验证。</x:v>
      </x:c>
    </x:row>
    <x:row r="91">
      <x:c r="A91" s="72" t="str">
        <x:f>IF(OR(C91="",D91=""),"",B91&amp;"-"&amp;UPPER(C91)&amp;"-"&amp;TEXT(D91,"0000")&amp;"-"&amp;E91)</x:f>
        <x:v>M20-CLIMATE-0085-V1.0</x:v>
      </x:c>
      <x:c r="B91" s="74" t="str">
        <x:v>M20</x:v>
      </x:c>
      <x:c r="C91" s="74" t="str">
        <x:v>CLIMATE</x:v>
      </x:c>
      <x:c r="D91" s="215" t="n">
        <x:v>85</x:v>
      </x:c>
      <x:c r="E91" s="74" t="str">
        <x:v>V1.0</x:v>
      </x:c>
      <x:c r="F91" s="68" t="str">
        <x:v>冬月有强火时不自动判极寒</x:v>
      </x:c>
      <x:c r="G91" s="68" t="str">
        <x:v>丙午 丁巳 甲子 乙卯</x:v>
      </x:c>
      <x:c r="H91" s="82" t="str">
        <x:v>未知/不适用</x:v>
      </x:c>
      <x:c r="I91" s="68" t="str">
        <x:v>合成命例；不用于历法排盘；月令按月支与输入事实假设</x:v>
      </x:c>
      <x:c r="J91" s="68" t="str">
        <x:v>内部合成规则测试</x:v>
      </x:c>
      <x:c r="K91" s="82" t="str">
        <x:v>反例</x:v>
      </x:c>
      <x:c r="L91" s="68" t="str">
        <x:v>M13</x:v>
      </x:c>
      <x:c r="M91" s="68" t="str">
        <x:v>M13-BOUND-0065-V1.0；M13-TEMP-0021-V1.0</x:v>
      </x:c>
      <x:c r="N91" s="68" t="str">
        <x:v>子月提供极寒基准；丙丁透干，巳午有根成势，木又生火。</x:v>
      </x:c>
      <x:c r="O91" s="68" t="str">
        <x:v>月令先给寒基准。</x:v>
      </x:c>
      <x:c r="P91" s="68" t="str">
        <x:v>强火显著升温，可修正到偏寒、平衡或偏暖。</x:v>
      </x:c>
      <x:c r="Q91" s="68" t="str">
        <x:v>不得只因子月直接判极寒。</x:v>
      </x:c>
      <x:c r="R91" s="68" t="str">
        <x:v>冬月经强火修正后不属自动极寒。</x:v>
      </x:c>
      <x:c r="S91" s="68" t="str">
        <x:v>冬月经强火修正后不属自动极寒。</x:v>
      </x:c>
      <x:c r="T91" s="82" t="str">
        <x:f>IF(S91="","未测试",IF(S91=R91,"通过",IF(LEFT(S91,4)="部分符合","部分通过",IF(LEFT(S91,3)="失败","未通过","待复核"))))</x:f>
        <x:v>通过</x:v>
      </x:c>
      <x:c r="U91" s="68" t="str">
        <x:v>无；人工逐层复核结果与预期一致。</x:v>
      </x:c>
      <x:c r="V91" s="68" t="str">
        <x:v>无</x:v>
      </x:c>
      <x:c r="W91" s="68" t="str">
        <x:v>无需修改；保留为回归基线。</x:v>
      </x:c>
      <x:c r="X91" s="82" t="str">
        <x:v>未测试</x:v>
      </x:c>
      <x:c r="Y91" s="68" t="str">
        <x:v>OpenAI_M20规则回归</x:v>
      </x:c>
      <x:c r="Z91" s="68" t="str">
        <x:v>待人工复核</x:v>
      </x:c>
      <x:c r="AA91" s="87" t="n">
        <x:v>46260</x:v>
      </x:c>
      <x:c r="AB91" s="68" t="str">
        <x:v>V1.7</x:v>
      </x:c>
      <x:c r="AC91" s="68" t="str">
        <x:v>合成命例仅用于规则单元/集成测试，不替代真实命例外部验证。</x:v>
      </x:c>
    </x:row>
    <x:row r="92">
      <x:c r="A92" s="72" t="str">
        <x:f>IF(OR(C92="",D92=""),"",B92&amp;"-"&amp;UPPER(C92)&amp;"-"&amp;TEXT(D92,"0000")&amp;"-"&amp;E92)</x:f>
        <x:v>M20-CLIMATE-0086-V1.0</x:v>
      </x:c>
      <x:c r="B92" s="74" t="str">
        <x:v>M20</x:v>
      </x:c>
      <x:c r="C92" s="74" t="str">
        <x:v>CLIMATE</x:v>
      </x:c>
      <x:c r="D92" s="215" t="n">
        <x:v>86</x:v>
      </x:c>
      <x:c r="E92" s="74" t="str">
        <x:v>V1.0</x:v>
      </x:c>
      <x:c r="F92" s="68" t="str">
        <x:v>夏月有强水时不自动判极热</x:v>
      </x:c>
      <x:c r="G92" s="68" t="str">
        <x:v>壬子 癸亥 丙午 庚申</x:v>
      </x:c>
      <x:c r="H92" s="82" t="str">
        <x:v>未知/不适用</x:v>
      </x:c>
      <x:c r="I92" s="68" t="str">
        <x:v>合成命例；不用于历法排盘；月令按月支与输入事实假设</x:v>
      </x:c>
      <x:c r="J92" s="68" t="str">
        <x:v>内部合成规则测试</x:v>
      </x:c>
      <x:c r="K92" s="82" t="str">
        <x:v>反例</x:v>
      </x:c>
      <x:c r="L92" s="68" t="str">
        <x:v>M13</x:v>
      </x:c>
      <x:c r="M92" s="68" t="str">
        <x:v>M13-BOUND-0066-V1.0；M13-TEMP-0023-V1.0</x:v>
      </x:c>
      <x:c r="N92" s="68" t="str">
        <x:v>午月为极热基准；壬癸透、亥子有根，水势强。</x:v>
      </x:c>
      <x:c r="O92" s="68" t="str">
        <x:v>识别夏季热基准和强水降温证据。</x:v>
      </x:c>
      <x:c r="P92" s="68" t="str">
        <x:v>温度可由极热修正为偏暖或接近平衡。</x:v>
      </x:c>
      <x:c r="Q92" s="68" t="str">
        <x:v>不得只因午月固定判极热。</x:v>
      </x:c>
      <x:c r="R92" s="68" t="str">
        <x:v>夏月经强水修正后不自动极热。</x:v>
      </x:c>
      <x:c r="S92" s="68" t="str">
        <x:v>夏月经强水修正后不自动极热。</x:v>
      </x:c>
      <x:c r="T92" s="82" t="str">
        <x:f>IF(S92="","未测试",IF(S92=R92,"通过",IF(LEFT(S92,4)="部分符合","部分通过",IF(LEFT(S92,3)="失败","未通过","待复核"))))</x:f>
        <x:v>通过</x:v>
      </x:c>
      <x:c r="U92" s="68" t="str">
        <x:v>无；人工逐层复核结果与预期一致。</x:v>
      </x:c>
      <x:c r="V92" s="68" t="str">
        <x:v>无</x:v>
      </x:c>
      <x:c r="W92" s="68" t="str">
        <x:v>无需修改；保留为回归基线。</x:v>
      </x:c>
      <x:c r="X92" s="82" t="str">
        <x:v>未测试</x:v>
      </x:c>
      <x:c r="Y92" s="68" t="str">
        <x:v>OpenAI_M20规则回归</x:v>
      </x:c>
      <x:c r="Z92" s="68" t="str">
        <x:v>待人工复核</x:v>
      </x:c>
      <x:c r="AA92" s="87" t="n">
        <x:v>46260</x:v>
      </x:c>
      <x:c r="AB92" s="68" t="str">
        <x:v>V1.7</x:v>
      </x:c>
      <x:c r="AC92" s="68" t="str">
        <x:v>合成命例仅用于规则单元/集成测试，不替代真实命例外部验证。</x:v>
      </x:c>
    </x:row>
    <x:row r="93">
      <x:c r="A93" s="72" t="str">
        <x:f>IF(OR(C93="",D93=""),"",B93&amp;"-"&amp;UPPER(C93)&amp;"-"&amp;TEXT(D93,"0000")&amp;"-"&amp;E93)</x:f>
        <x:v>M20-CLIMATE-0087-V1.0</x:v>
      </x:c>
      <x:c r="B93" s="74" t="str">
        <x:v>M20</x:v>
      </x:c>
      <x:c r="C93" s="74" t="str">
        <x:v>CLIMATE</x:v>
      </x:c>
      <x:c r="D93" s="215" t="n">
        <x:v>87</x:v>
      </x:c>
      <x:c r="E93" s="74" t="str">
        <x:v>V1.0</x:v>
      </x:c>
      <x:c r="F93" s="68" t="str">
        <x:v>寒湿必须双轴同时成立</x:v>
      </x:c>
      <x:c r="G93" s="68" t="str">
        <x:v>壬子 癸亥 戊丑 甲辰</x:v>
      </x:c>
      <x:c r="H93" s="82" t="str">
        <x:v>未知/不适用</x:v>
      </x:c>
      <x:c r="I93" s="68" t="str">
        <x:v>合成命例；不用于历法排盘；月令按月支与输入事实假设</x:v>
      </x:c>
      <x:c r="J93" s="68" t="str">
        <x:v>内部合成规则测试</x:v>
      </x:c>
      <x:c r="K93" s="82" t="str">
        <x:v>正例</x:v>
      </x:c>
      <x:c r="L93" s="68" t="str">
        <x:v>M13</x:v>
      </x:c>
      <x:c r="M93" s="68" t="str">
        <x:v>M13-COMBO-0041-V1.0；M13-HUMID-0031-V1.0</x:v>
      </x:c>
      <x:c r="N93" s="68" t="str">
        <x:v>亥子水旺，丑辰湿土有力，火弱不现。</x:v>
      </x:c>
      <x:c r="O93" s="68" t="str">
        <x:v>温度轴偏寒，湿度轴偏湿或极湿。</x:v>
      </x:c>
      <x:c r="P93" s="68" t="str">
        <x:v>寒与湿共同造成水湿壅滞。</x:v>
      </x:c>
      <x:c r="Q93" s="68" t="str">
        <x:v>可生成火暖湿、木疏湿候选。</x:v>
      </x:c>
      <x:c r="R93" s="68" t="str">
        <x:v>寒湿双轴状态成立。</x:v>
      </x:c>
      <x:c r="S93" s="68" t="str">
        <x:v>寒湿双轴状态成立。</x:v>
      </x:c>
      <x:c r="T93" s="82" t="str">
        <x:f>IF(S93="","未测试",IF(S93=R93,"通过",IF(LEFT(S93,4)="部分符合","部分通过",IF(LEFT(S93,3)="失败","未通过","待复核"))))</x:f>
        <x:v>通过</x:v>
      </x:c>
      <x:c r="U93" s="68" t="str">
        <x:v>无；人工逐层复核结果与预期一致。</x:v>
      </x:c>
      <x:c r="V93" s="68" t="str">
        <x:v>无</x:v>
      </x:c>
      <x:c r="W93" s="68" t="str">
        <x:v>无需修改；保留为回归基线。</x:v>
      </x:c>
      <x:c r="X93" s="82" t="str">
        <x:v>未测试</x:v>
      </x:c>
      <x:c r="Y93" s="68" t="str">
        <x:v>OpenAI_M20规则回归</x:v>
      </x:c>
      <x:c r="Z93" s="68" t="str">
        <x:v>待人工复核</x:v>
      </x:c>
      <x:c r="AA93" s="87" t="n">
        <x:v>46260</x:v>
      </x:c>
      <x:c r="AB93" s="68" t="str">
        <x:v>V1.7</x:v>
      </x:c>
      <x:c r="AC93" s="68" t="str">
        <x:v>合成命例仅用于规则单元/集成测试，不替代真实命例外部验证。</x:v>
      </x:c>
    </x:row>
    <x:row r="94">
      <x:c r="A94" s="72" t="str">
        <x:f>IF(OR(C94="",D94=""),"",B94&amp;"-"&amp;UPPER(C94)&amp;"-"&amp;TEXT(D94,"0000")&amp;"-"&amp;E94)</x:f>
        <x:v>M20-CLIMATE-0088-V1.0</x:v>
      </x:c>
      <x:c r="B94" s="74" t="str">
        <x:v>M20</x:v>
      </x:c>
      <x:c r="C94" s="74" t="str">
        <x:v>CLIMATE</x:v>
      </x:c>
      <x:c r="D94" s="215" t="n">
        <x:v>88</x:v>
      </x:c>
      <x:c r="E94" s="74" t="str">
        <x:v>V1.0</x:v>
      </x:c>
      <x:c r="F94" s="68" t="str">
        <x:v>寒燥不能只用火或只用水</x:v>
      </x:c>
      <x:c r="G94" s="68" t="str">
        <x:v>辛酉 庚戌 癸丑 丁巳</x:v>
      </x:c>
      <x:c r="H94" s="82" t="str">
        <x:v>未知/不适用</x:v>
      </x:c>
      <x:c r="I94" s="68" t="str">
        <x:v>合成命例；不用于历法排盘；月令按月支与输入事实假设</x:v>
      </x:c>
      <x:c r="J94" s="68" t="str">
        <x:v>内部合成规则测试</x:v>
      </x:c>
      <x:c r="K94" s="82" t="str">
        <x:v>边界案例</x:v>
      </x:c>
      <x:c r="L94" s="68" t="str">
        <x:v>M13</x:v>
      </x:c>
      <x:c r="M94" s="68" t="str">
        <x:v>M13-COMBO-0042-V1.0</x:v>
      </x:c>
      <x:c r="N94" s="68" t="str">
        <x:v>秋冬交界偏寒；戌燥土、金燥明显；水虽有癸丑但润力有限。</x:v>
      </x:c>
      <x:c r="O94" s="68" t="str">
        <x:v>温度轴偏寒，湿度轴偏燥。</x:v>
      </x:c>
      <x:c r="P94" s="68" t="str">
        <x:v>火能暖但会增燥，水能润但会增寒。</x:v>
      </x:c>
      <x:c r="Q94" s="68" t="str">
        <x:v>调候需火水主辅并控制比例。</x:v>
      </x:c>
      <x:c r="R94" s="68" t="str">
        <x:v>寒燥状态成立，火水不能无序同增。</x:v>
      </x:c>
      <x:c r="S94" s="68" t="str">
        <x:v>寒燥状态成立，火水不能无序同增。</x:v>
      </x:c>
      <x:c r="T94" s="82" t="str">
        <x:f>IF(S94="","未测试",IF(S94=R94,"通过",IF(LEFT(S94,4)="部分符合","部分通过",IF(LEFT(S94,3)="失败","未通过","待复核"))))</x:f>
        <x:v>通过</x:v>
      </x:c>
      <x:c r="U94" s="68" t="str">
        <x:v>无；人工逐层复核结果与预期一致。</x:v>
      </x:c>
      <x:c r="V94" s="68" t="str">
        <x:v>无</x:v>
      </x:c>
      <x:c r="W94" s="68" t="str">
        <x:v>无需修改；保留为回归基线。</x:v>
      </x:c>
      <x:c r="X94" s="82" t="str">
        <x:v>未测试</x:v>
      </x:c>
      <x:c r="Y94" s="68" t="str">
        <x:v>OpenAI_M20规则回归</x:v>
      </x:c>
      <x:c r="Z94" s="68" t="str">
        <x:v>待人工复核</x:v>
      </x:c>
      <x:c r="AA94" s="87" t="n">
        <x:v>46260</x:v>
      </x:c>
      <x:c r="AB94" s="68" t="str">
        <x:v>V1.7</x:v>
      </x:c>
      <x:c r="AC94" s="68" t="str">
        <x:v>合成命例仅用于规则单元/集成测试，不替代真实命例外部验证。</x:v>
      </x:c>
    </x:row>
    <x:row r="95">
      <x:c r="A95" s="72" t="str">
        <x:f>IF(OR(C95="",D95=""),"",B95&amp;"-"&amp;UPPER(C95)&amp;"-"&amp;TEXT(D95,"0000")&amp;"-"&amp;E95)</x:f>
        <x:v>M20-CLIMATE-0089-V1.0</x:v>
      </x:c>
      <x:c r="B95" s="74" t="str">
        <x:v>M20</x:v>
      </x:c>
      <x:c r="C95" s="74" t="str">
        <x:v>CLIMATE</x:v>
      </x:c>
      <x:c r="D95" s="215" t="n">
        <x:v>89</x:v>
      </x:c>
      <x:c r="E95" s="74" t="str">
        <x:v>V1.0</x:v>
      </x:c>
      <x:c r="F95" s="68" t="str">
        <x:v>暖湿应优先疏湿而非继续强火</x:v>
      </x:c>
      <x:c r="G95" s="68" t="str">
        <x:v>丙午 戊辰 甲寅 癸丑</x:v>
      </x:c>
      <x:c r="H95" s="82" t="str">
        <x:v>未知/不适用</x:v>
      </x:c>
      <x:c r="I95" s="68" t="str">
        <x:v>合成命例；不用于历法排盘；月令按月支与输入事实假设</x:v>
      </x:c>
      <x:c r="J95" s="68" t="str">
        <x:v>内部合成规则测试</x:v>
      </x:c>
      <x:c r="K95" s="82" t="str">
        <x:v>正例</x:v>
      </x:c>
      <x:c r="L95" s="68" t="str">
        <x:v>M13</x:v>
      </x:c>
      <x:c r="M95" s="68" t="str">
        <x:v>M13-COMBO-0043-V1.0；M13-HUMID-0038-V1.0</x:v>
      </x:c>
      <x:c r="N95" s="68" t="str">
        <x:v>火使温度偏暖；辰丑湿土与癸水使湿度偏湿；木有生发条件。</x:v>
      </x:c>
      <x:c r="O95" s="68" t="str">
        <x:v>识别暖湿双轴。</x:v>
      </x:c>
      <x:c r="P95" s="68" t="str">
        <x:v>木可疏湿土，强火继续增加会过热。</x:v>
      </x:c>
      <x:c r="Q95" s="68" t="str">
        <x:v>木列疏湿候选，火只能适度辅助。</x:v>
      </x:c>
      <x:c r="R95" s="68" t="str">
        <x:v>暖湿以木疏湿为主。</x:v>
      </x:c>
      <x:c r="S95" s="68" t="str">
        <x:v>暖湿以木疏湿为主。</x:v>
      </x:c>
      <x:c r="T95" s="82" t="str">
        <x:f>IF(S95="","未测试",IF(S95=R95,"通过",IF(LEFT(S95,4)="部分符合","部分通过",IF(LEFT(S95,3)="失败","未通过","待复核"))))</x:f>
        <x:v>通过</x:v>
      </x:c>
      <x:c r="U95" s="68" t="str">
        <x:v>无；人工逐层复核结果与预期一致。</x:v>
      </x:c>
      <x:c r="V95" s="68" t="str">
        <x:v>无</x:v>
      </x:c>
      <x:c r="W95" s="68" t="str">
        <x:v>无需修改；保留为回归基线。</x:v>
      </x:c>
      <x:c r="X95" s="82" t="str">
        <x:v>未测试</x:v>
      </x:c>
      <x:c r="Y95" s="68" t="str">
        <x:v>OpenAI_M20规则回归</x:v>
      </x:c>
      <x:c r="Z95" s="68" t="str">
        <x:v>待人工复核</x:v>
      </x:c>
      <x:c r="AA95" s="87" t="n">
        <x:v>46260</x:v>
      </x:c>
      <x:c r="AB95" s="68" t="str">
        <x:v>V1.7</x:v>
      </x:c>
      <x:c r="AC95" s="68" t="str">
        <x:v>合成命例仅用于规则单元/集成测试，不替代真实命例外部验证。</x:v>
      </x:c>
    </x:row>
    <x:row r="96">
      <x:c r="A96" s="72" t="str">
        <x:f>IF(OR(C96="",D96=""),"",B96&amp;"-"&amp;UPPER(C96)&amp;"-"&amp;TEXT(D96,"0000")&amp;"-"&amp;E96)</x:f>
        <x:v>M20-CLIMATE-0090-V1.0</x:v>
      </x:c>
      <x:c r="B96" s="74" t="str">
        <x:v>M20</x:v>
      </x:c>
      <x:c r="C96" s="74" t="str">
        <x:v>CLIMATE</x:v>
      </x:c>
      <x:c r="D96" s="215" t="n">
        <x:v>90</x:v>
      </x:c>
      <x:c r="E96" s="74" t="str">
        <x:v>V1.0</x:v>
      </x:c>
      <x:c r="F96" s="68" t="str">
        <x:v>暖燥并重时水可降温润燥</x:v>
      </x:c>
      <x:c r="G96" s="68" t="str">
        <x:v>丙午 丁巳 戊戌 甲寅</x:v>
      </x:c>
      <x:c r="H96" s="82" t="str">
        <x:v>未知/不适用</x:v>
      </x:c>
      <x:c r="I96" s="68" t="str">
        <x:v>合成命例；不用于历法排盘；月令按月支与输入事实假设</x:v>
      </x:c>
      <x:c r="J96" s="68" t="str">
        <x:v>内部合成规则测试</x:v>
      </x:c>
      <x:c r="K96" s="82" t="str">
        <x:v>正例</x:v>
      </x:c>
      <x:c r="L96" s="68" t="str">
        <x:v>M13</x:v>
      </x:c>
      <x:c r="M96" s="68" t="str">
        <x:v>M13-COMBO-0044-V1.0；M13-HUMID-0035-V1.0</x:v>
      </x:c>
      <x:c r="N96" s="68" t="str">
        <x:v>巳午火旺，戌燥土有力，水不现。</x:v>
      </x:c>
      <x:c r="O96" s="68" t="str">
        <x:v>温度轴偏暖/极热，湿度轴偏燥/极燥。</x:v>
      </x:c>
      <x:c r="P96" s="68" t="str">
        <x:v>热燥叠加，木水失养。</x:v>
      </x:c>
      <x:c r="Q96" s="68" t="str">
        <x:v>水成为降温润燥候选，但需检查格局冲突。</x:v>
      </x:c>
      <x:c r="R96" s="68" t="str">
        <x:v>暖燥状态成立，水为主要调候候选。</x:v>
      </x:c>
      <x:c r="S96" s="68" t="str">
        <x:v>暖燥状态成立，水为主要调候候选。</x:v>
      </x:c>
      <x:c r="T96" s="82" t="str">
        <x:f>IF(S96="","未测试",IF(S96=R96,"通过",IF(LEFT(S96,4)="部分符合","部分通过",IF(LEFT(S96,3)="失败","未通过","待复核"))))</x:f>
        <x:v>通过</x:v>
      </x:c>
      <x:c r="U96" s="68" t="str">
        <x:v>无；人工逐层复核结果与预期一致。</x:v>
      </x:c>
      <x:c r="V96" s="68" t="str">
        <x:v>无</x:v>
      </x:c>
      <x:c r="W96" s="68" t="str">
        <x:v>无需修改；保留为回归基线。</x:v>
      </x:c>
      <x:c r="X96" s="82" t="str">
        <x:v>未测试</x:v>
      </x:c>
      <x:c r="Y96" s="68" t="str">
        <x:v>OpenAI_M20规则回归</x:v>
      </x:c>
      <x:c r="Z96" s="68" t="str">
        <x:v>待人工复核</x:v>
      </x:c>
      <x:c r="AA96" s="87" t="n">
        <x:v>46260</x:v>
      </x:c>
      <x:c r="AB96" s="68" t="str">
        <x:v>V1.7</x:v>
      </x:c>
      <x:c r="AC96" s="68" t="str">
        <x:v>合成命例仅用于规则单元/集成测试，不替代真实命例外部验证。</x:v>
      </x:c>
    </x:row>
    <x:row r="97">
      <x:c r="A97" s="72" t="str">
        <x:f>IF(OR(C97="",D97=""),"",B97&amp;"-"&amp;UPPER(C97)&amp;"-"&amp;TEXT(D97,"0000")&amp;"-"&amp;E97)</x:f>
        <x:v>M20-CLIMATE-0091-V1.0</x:v>
      </x:c>
      <x:c r="B97" s="74" t="str">
        <x:v>M20</x:v>
      </x:c>
      <x:c r="C97" s="74" t="str">
        <x:v>CLIMATE</x:v>
      </x:c>
      <x:c r="D97" s="215" t="n">
        <x:v>91</x:v>
      </x:c>
      <x:c r="E97" s="74" t="str">
        <x:v>V1.0</x:v>
      </x:c>
      <x:c r="F97" s="68" t="str">
        <x:v>调候火虽出现但无根时有效性低</x:v>
      </x:c>
      <x:c r="G97" s="68" t="str">
        <x:v>丙申 壬子 甲辰 癸亥</x:v>
      </x:c>
      <x:c r="H97" s="82" t="str">
        <x:v>未知/不适用</x:v>
      </x:c>
      <x:c r="I97" s="68" t="str">
        <x:v>合成命例；不用于历法排盘；月令按月支与输入事实假设</x:v>
      </x:c>
      <x:c r="J97" s="68" t="str">
        <x:v>内部合成规则测试</x:v>
      </x:c>
      <x:c r="K97" s="82" t="str">
        <x:v>边界案例</x:v>
      </x:c>
      <x:c r="L97" s="68" t="str">
        <x:v>M13</x:v>
      </x:c>
      <x:c r="M97" s="68" t="str">
        <x:v>M13-EFFECT-0050-V1.0；M13-TEMP-0022-V1.0</x:v>
      </x:c>
      <x:c r="N97" s="68" t="str">
        <x:v>子月寒水成势；丙火孤透、无巳午根，又受壬癸水制。</x:v>
      </x:c>
      <x:c r="O97" s="68" t="str">
        <x:v>识别火存在。</x:v>
      </x:c>
      <x:c r="P97" s="68" t="str">
        <x:v>火的调候有效性受限，不能改变极寒/偏寒主状态。</x:v>
      </x:c>
      <x:c r="Q97" s="68" t="str">
        <x:v>输出“有火但无力”，不得写已调候。</x:v>
      </x:c>
      <x:c r="R97" s="68" t="str">
        <x:v>名义有丙火，但暖局药力不足。</x:v>
      </x:c>
      <x:c r="S97" s="68" t="str">
        <x:v>名义有丙火，但暖局药力不足。</x:v>
      </x:c>
      <x:c r="T97" s="82" t="str">
        <x:f>IF(S97="","未测试",IF(S97=R97,"通过",IF(LEFT(S97,4)="部分符合","部分通过",IF(LEFT(S97,3)="失败","未通过","待复核"))))</x:f>
        <x:v>通过</x:v>
      </x:c>
      <x:c r="U97" s="68" t="str">
        <x:v>无；人工逐层复核结果与预期一致。</x:v>
      </x:c>
      <x:c r="V97" s="68" t="str">
        <x:v>无</x:v>
      </x:c>
      <x:c r="W97" s="68" t="str">
        <x:v>无需修改；保留为回归基线。</x:v>
      </x:c>
      <x:c r="X97" s="82" t="str">
        <x:v>未测试</x:v>
      </x:c>
      <x:c r="Y97" s="68" t="str">
        <x:v>OpenAI_M20规则回归</x:v>
      </x:c>
      <x:c r="Z97" s="68" t="str">
        <x:v>待人工复核</x:v>
      </x:c>
      <x:c r="AA97" s="87" t="n">
        <x:v>46260</x:v>
      </x:c>
      <x:c r="AB97" s="68" t="str">
        <x:v>V1.7</x:v>
      </x:c>
      <x:c r="AC97" s="68" t="str">
        <x:v>合成命例仅用于规则单元/集成测试，不替代真实命例外部验证。</x:v>
      </x:c>
    </x:row>
    <x:row r="98">
      <x:c r="A98" s="72" t="str">
        <x:f>IF(OR(C98="",D98=""),"",B98&amp;"-"&amp;UPPER(C98)&amp;"-"&amp;TEXT(D98,"0000")&amp;"-"&amp;E98)</x:f>
        <x:v>M20-CLIMATE-0092-V1.0</x:v>
      </x:c>
      <x:c r="B98" s="74" t="str">
        <x:v>M20</x:v>
      </x:c>
      <x:c r="C98" s="74" t="str">
        <x:v>CLIMATE</x:v>
      </x:c>
      <x:c r="D98" s="215" t="n">
        <x:v>92</x:v>
      </x:c>
      <x:c r="E98" s="74" t="str">
        <x:v>V1.0</x:v>
      </x:c>
      <x:c r="F98" s="68" t="str">
        <x:v>调候水过强会由润燥转湿病</x:v>
      </x:c>
      <x:c r="G98" s="68" t="str">
        <x:v>壬子 癸亥 丙午 戊戌</x:v>
      </x:c>
      <x:c r="H98" s="82" t="str">
        <x:v>未知/不适用</x:v>
      </x:c>
      <x:c r="I98" s="68" t="str">
        <x:v>合成命例；不用于历法排盘；月令按月支与输入事实假设</x:v>
      </x:c>
      <x:c r="J98" s="68" t="str">
        <x:v>内部合成规则测试</x:v>
      </x:c>
      <x:c r="K98" s="82" t="str">
        <x:v>边界案例</x:v>
      </x:c>
      <x:c r="L98" s="68" t="str">
        <x:v>M13</x:v>
      </x:c>
      <x:c r="M98" s="68" t="str">
        <x:v>M13-HUMID-0036-V1.0；M13-EFFECT-0055-V1.0</x:v>
      </x:c>
      <x:c r="N98" s="68" t="str">
        <x:v>原局有燥热，需要水；但壬癸亥子水已经旺强。</x:v>
      </x:c>
      <x:c r="O98" s="68" t="str">
        <x:v>识别水可润燥。</x:v>
      </x:c>
      <x:c r="P98" s="68" t="str">
        <x:v>继续增水会越过平衡，转为寒湿或水火相战。</x:v>
      </x:c>
      <x:c r="Q98" s="68" t="str">
        <x:v>水只能条件性使用，不是越多越好。</x:v>
      </x:c>
      <x:c r="R98" s="68" t="str">
        <x:v>调候水过量会由药转病。</x:v>
      </x:c>
      <x:c r="S98" s="68" t="str">
        <x:v>调候水过量会由药转病。</x:v>
      </x:c>
      <x:c r="T98" s="82" t="str">
        <x:f>IF(S98="","未测试",IF(S98=R98,"通过",IF(LEFT(S98,4)="部分符合","部分通过",IF(LEFT(S98,3)="失败","未通过","待复核"))))</x:f>
        <x:v>通过</x:v>
      </x:c>
      <x:c r="U98" s="68" t="str">
        <x:v>无；人工逐层复核结果与预期一致。</x:v>
      </x:c>
      <x:c r="V98" s="68" t="str">
        <x:v>无</x:v>
      </x:c>
      <x:c r="W98" s="68" t="str">
        <x:v>无需修改；保留为回归基线。</x:v>
      </x:c>
      <x:c r="X98" s="82" t="str">
        <x:v>未测试</x:v>
      </x:c>
      <x:c r="Y98" s="68" t="str">
        <x:v>OpenAI_M20规则回归</x:v>
      </x:c>
      <x:c r="Z98" s="68" t="str">
        <x:v>待人工复核</x:v>
      </x:c>
      <x:c r="AA98" s="87" t="n">
        <x:v>46260</x:v>
      </x:c>
      <x:c r="AB98" s="68" t="str">
        <x:v>V1.7</x:v>
      </x:c>
      <x:c r="AC98" s="68" t="str">
        <x:v>合成命例仅用于规则单元/集成测试，不替代真实命例外部验证。</x:v>
      </x:c>
    </x:row>
    <x:row r="99">
      <x:c r="A99" s="72" t="str">
        <x:f>IF(OR(C99="",D99=""),"",B99&amp;"-"&amp;UPPER(C99)&amp;"-"&amp;TEXT(D99,"0000")&amp;"-"&amp;E99)</x:f>
        <x:v>M20-CLIMATE-0093-V1.0</x:v>
      </x:c>
      <x:c r="B99" s="74" t="str">
        <x:v>M20</x:v>
      </x:c>
      <x:c r="C99" s="74" t="str">
        <x:v>CLIMATE</x:v>
      </x:c>
      <x:c r="D99" s="215" t="n">
        <x:v>93</x:v>
      </x:c>
      <x:c r="E99" s="74" t="str">
        <x:v>V1.0</x:v>
      </x:c>
      <x:c r="F99" s="68" t="str">
        <x:v>调候火与扶抑方向冲突时必须条件化</x:v>
      </x:c>
      <x:c r="G99" s="68" t="str">
        <x:v>丙午 丁巳 癸亥 壬子</x:v>
      </x:c>
      <x:c r="H99" s="82" t="str">
        <x:v>未知/不适用</x:v>
      </x:c>
      <x:c r="I99" s="68" t="str">
        <x:v>合成命例；不用于历法排盘；月令按月支与输入事实假设</x:v>
      </x:c>
      <x:c r="J99" s="68" t="str">
        <x:v>内部合成规则测试</x:v>
      </x:c>
      <x:c r="K99" s="82" t="str">
        <x:v>边界案例</x:v>
      </x:c>
      <x:c r="L99" s="68" t="str">
        <x:v>M13</x:v>
      </x:c>
      <x:c r="M99" s="68" t="str">
        <x:v>M13-CONFLICT-0058-V1.0</x:v>
      </x:c>
      <x:c r="N99" s="68" t="str">
        <x:v>癸水日主偏弱且冬寒需火暖；但火对癸为财，继续耗身。</x:v>
      </x:c>
      <x:c r="O99" s="68" t="str">
        <x:v>识别火的调候收益和耗身副作用。</x:v>
      </x:c>
      <x:c r="P99" s="68" t="str">
        <x:v>调候与扶抑方向冲突。</x:v>
      </x:c>
      <x:c r="Q99" s="68" t="str">
        <x:v>火只能按最小有效强度列条件性候选，并需印比保护。</x:v>
      </x:c>
      <x:c r="R99" s="68" t="str">
        <x:v>火暖局但耗弱水，定位必须条件化。</x:v>
      </x:c>
      <x:c r="S99" s="68" t="str">
        <x:v>火暖局但耗弱水，定位必须条件化。</x:v>
      </x:c>
      <x:c r="T99" s="82" t="str">
        <x:f>IF(S99="","未测试",IF(S99=R99,"通过",IF(LEFT(S99,4)="部分符合","部分通过",IF(LEFT(S99,3)="失败","未通过","待复核"))))</x:f>
        <x:v>通过</x:v>
      </x:c>
      <x:c r="U99" s="68" t="str">
        <x:v>无；人工逐层复核结果与预期一致。</x:v>
      </x:c>
      <x:c r="V99" s="68" t="str">
        <x:v>无</x:v>
      </x:c>
      <x:c r="W99" s="68" t="str">
        <x:v>无需修改；保留为回归基线。</x:v>
      </x:c>
      <x:c r="X99" s="82" t="str">
        <x:v>未测试</x:v>
      </x:c>
      <x:c r="Y99" s="68" t="str">
        <x:v>OpenAI_M20规则回归</x:v>
      </x:c>
      <x:c r="Z99" s="68" t="str">
        <x:v>待人工复核</x:v>
      </x:c>
      <x:c r="AA99" s="87" t="n">
        <x:v>46260</x:v>
      </x:c>
      <x:c r="AB99" s="68" t="str">
        <x:v>V1.7</x:v>
      </x:c>
      <x:c r="AC99" s="68" t="str">
        <x:v>合成命例仅用于规则单元/集成测试，不替代真实命例外部验证。</x:v>
      </x:c>
    </x:row>
    <x:row r="100">
      <x:c r="A100" s="72" t="str">
        <x:f>IF(OR(C100="",D100=""),"",B100&amp;"-"&amp;UPPER(C100)&amp;"-"&amp;TEXT(D100,"0000")&amp;"-"&amp;E100)</x:f>
        <x:v>M20-CLIMATE-0094-V1.0</x:v>
      </x:c>
      <x:c r="B100" s="74" t="str">
        <x:v>M20</x:v>
      </x:c>
      <x:c r="C100" s="74" t="str">
        <x:v>CLIMATE</x:v>
      </x:c>
      <x:c r="D100" s="215" t="n">
        <x:v>94</x:v>
      </x:c>
      <x:c r="E100" s="74" t="str">
        <x:v>V1.0</x:v>
      </x:c>
      <x:c r="F100" s="68" t="str">
        <x:v>双轴平衡时不立调候主病</x:v>
      </x:c>
      <x:c r="G100" s="68" t="str">
        <x:v>壬子 丙午 甲寅 庚申</x:v>
      </x:c>
      <x:c r="H100" s="82" t="str">
        <x:v>未知/不适用</x:v>
      </x:c>
      <x:c r="I100" s="68" t="str">
        <x:v>合成命例；不用于历法排盘；月令按月支与输入事实假设</x:v>
      </x:c>
      <x:c r="J100" s="68" t="str">
        <x:v>内部合成规则测试</x:v>
      </x:c>
      <x:c r="K100" s="82" t="str">
        <x:v>正例</x:v>
      </x:c>
      <x:c r="L100" s="68" t="str">
        <x:v>M13</x:v>
      </x:c>
      <x:c r="M100" s="68" t="str">
        <x:v>M13-GEN-0006-V1.0；M13-TEMP-0029-V1.0；M13-HUMID-0039-V1.0</x:v>
      </x:c>
      <x:c r="N100" s="68" t="str">
        <x:v>水火各有根且相对制衡，湿土燥土均未成势，流通无寒凝燥枯。</x:v>
      </x:c>
      <x:c r="O100" s="68" t="str">
        <x:v>温度与湿度分别评估。</x:v>
      </x:c>
      <x:c r="P100" s="68" t="str">
        <x:v>双轴接近平衡，无实际气候型功能障碍。</x:v>
      </x:c>
      <x:c r="Q100" s="68" t="str">
        <x:v>调候维度退出主用排序。</x:v>
      </x:c>
      <x:c r="R100" s="68" t="str">
        <x:v>寒暖燥湿平衡，不立调候病。</x:v>
      </x:c>
      <x:c r="S100" s="68" t="str">
        <x:v>寒暖燥湿平衡，不立调候病。</x:v>
      </x:c>
      <x:c r="T100" s="82" t="str">
        <x:f>IF(S100="","未测试",IF(S100=R100,"通过",IF(LEFT(S100,4)="部分符合","部分通过",IF(LEFT(S100,3)="失败","未通过","待复核"))))</x:f>
        <x:v>通过</x:v>
      </x:c>
      <x:c r="U100" s="68" t="str">
        <x:v>无；人工逐层复核结果与预期一致。</x:v>
      </x:c>
      <x:c r="V100" s="68" t="str">
        <x:v>无</x:v>
      </x:c>
      <x:c r="W100" s="68" t="str">
        <x:v>无需修改；保留为回归基线。</x:v>
      </x:c>
      <x:c r="X100" s="82" t="str">
        <x:v>未测试</x:v>
      </x:c>
      <x:c r="Y100" s="68" t="str">
        <x:v>OpenAI_M20规则回归</x:v>
      </x:c>
      <x:c r="Z100" s="68" t="str">
        <x:v>待人工复核</x:v>
      </x:c>
      <x:c r="AA100" s="87" t="n">
        <x:v>46260</x:v>
      </x:c>
      <x:c r="AB100" s="68" t="str">
        <x:v>V1.7</x:v>
      </x:c>
      <x:c r="AC100" s="68" t="str">
        <x:v>合成命例仅用于规则单元/集成测试，不替代真实命例外部验证。</x:v>
      </x:c>
    </x:row>
    <x:row r="101">
      <x:c r="A101" s="72" t="str">
        <x:f>IF(OR(C101="",D101=""),"",B101&amp;"-"&amp;UPPER(C101)&amp;"-"&amp;TEXT(D101,"0000")&amp;"-"&amp;E101)</x:f>
        <x:v>M20-PATTERN-0095-V1.0</x:v>
      </x:c>
      <x:c r="B101" s="74" t="str">
        <x:v>M20</x:v>
      </x:c>
      <x:c r="C101" s="74" t="str">
        <x:v>PATTERN</x:v>
      </x:c>
      <x:c r="D101" s="215" t="n">
        <x:v>95</x:v>
      </x:c>
      <x:c r="E101" s="74" t="str">
        <x:v>V1.0</x:v>
      </x:c>
      <x:c r="F101" s="68" t="str">
        <x:v>酉月正官有根并得印承接形成正官格</x:v>
      </x:c>
      <x:c r="G101" s="68" t="str">
        <x:v>己未 辛酉 甲寅 癸亥</x:v>
      </x:c>
      <x:c r="H101" s="82" t="str">
        <x:v>未知/不适用</x:v>
      </x:c>
      <x:c r="I101" s="68" t="str">
        <x:v>合成命例；不用于历法排盘；月令按月支与输入事实假设</x:v>
      </x:c>
      <x:c r="J101" s="68" t="str">
        <x:v>内部合成规则测试</x:v>
      </x:c>
      <x:c r="K101" s="82" t="str">
        <x:v>正例</x:v>
      </x:c>
      <x:c r="L101" s="68" t="str">
        <x:v>M14</x:v>
      </x:c>
      <x:c r="M101" s="68" t="str">
        <x:v>M14-GUAN-0009-V1.0；M15-GUAN-0011-V1.0</x:v>
      </x:c>
      <x:c r="N101" s="68" t="str">
        <x:v>甲日主；酉月辛金正官当令，辛透有酉根；癸亥正印承官生日主，甲有寅根。</x:v>
      </x:c>
      <x:c r="O101" s="68" t="str">
        <x:v>M14生成正官格第一候选。</x:v>
      </x:c>
      <x:c r="P101" s="68" t="str">
        <x:v>官印链有效，日主能承官，无伤官重克。</x:v>
      </x:c>
      <x:c r="Q101" s="68" t="str">
        <x:v>M15判正官格基本成立或较清成立。</x:v>
      </x:c>
      <x:c r="R101" s="68" t="str">
        <x:v>正官格成立，官印相生为主要成格证据。</x:v>
      </x:c>
      <x:c r="S101" s="68" t="str">
        <x:v>正官格成立，官印相生为主要成格证据。</x:v>
      </x:c>
      <x:c r="T101" s="82" t="str">
        <x:f>IF(S101="","未测试",IF(S101=R101,"通过",IF(LEFT(S101,4)="部分符合","部分通过",IF(LEFT(S101,3)="失败","未通过","待复核"))))</x:f>
        <x:v>通过</x:v>
      </x:c>
      <x:c r="U101" s="68" t="str">
        <x:v>无；人工逐层复核结果与预期一致。</x:v>
      </x:c>
      <x:c r="V101" s="68" t="str">
        <x:v>无</x:v>
      </x:c>
      <x:c r="W101" s="68" t="str">
        <x:v>无需修改；保留为回归基线。</x:v>
      </x:c>
      <x:c r="X101" s="82" t="str">
        <x:v>未测试</x:v>
      </x:c>
      <x:c r="Y101" s="68" t="str">
        <x:v>OpenAI_M20规则回归</x:v>
      </x:c>
      <x:c r="Z101" s="68" t="str">
        <x:v>待人工复核</x:v>
      </x:c>
      <x:c r="AA101" s="87" t="n">
        <x:v>46260</x:v>
      </x:c>
      <x:c r="AB101" s="68" t="str">
        <x:v>V1.7</x:v>
      </x:c>
      <x:c r="AC101" s="68" t="str">
        <x:v>合成命例仅用于规则单元/集成测试，不替代真实命例外部验证。</x:v>
      </x:c>
    </x:row>
    <x:row r="102">
      <x:c r="A102" s="72" t="str">
        <x:f>IF(OR(C102="",D102=""),"",B102&amp;"-"&amp;UPPER(C102)&amp;"-"&amp;TEXT(D102,"0000")&amp;"-"&amp;E102)</x:f>
        <x:v>M20-PATTERN-0096-V1.0</x:v>
      </x:c>
      <x:c r="B102" s="74" t="str">
        <x:v>M20</x:v>
      </x:c>
      <x:c r="C102" s="74" t="str">
        <x:v>PATTERN</x:v>
      </x:c>
      <x:c r="D102" s="215" t="n">
        <x:v>96</x:v>
      </x:c>
      <x:c r="E102" s="74" t="str">
        <x:v>V1.0</x:v>
      </x:c>
      <x:c r="F102" s="68" t="str">
        <x:v>伤官见官无救应使正官格严重破格</x:v>
      </x:c>
      <x:c r="G102" s="68" t="str">
        <x:v>丁巳 辛酉 甲寅 戊辰</x:v>
      </x:c>
      <x:c r="H102" s="82" t="str">
        <x:v>未知/不适用</x:v>
      </x:c>
      <x:c r="I102" s="68" t="str">
        <x:v>合成命例；不用于历法排盘；月令按月支与输入事实假设</x:v>
      </x:c>
      <x:c r="J102" s="68" t="str">
        <x:v>内部合成规则测试</x:v>
      </x:c>
      <x:c r="K102" s="82" t="str">
        <x:v>反例</x:v>
      </x:c>
      <x:c r="L102" s="68" t="str">
        <x:v>M14</x:v>
      </x:c>
      <x:c r="M102" s="68" t="str">
        <x:v>M14-GUAN-0013-V1.0；M15-GUAN-0014-V1.0</x:v>
      </x:c>
      <x:c r="N102" s="68" t="str">
        <x:v>酉月正官得令；丁伤官得巳根直接克辛；无有力印星制伤，财通关不足。</x:v>
      </x:c>
      <x:c r="O102" s="68" t="str">
        <x:v>正官格候选生成。</x:v>
      </x:c>
      <x:c r="P102" s="68" t="str">
        <x:v>伤官重克正官，官星主导功能受损。</x:v>
      </x:c>
      <x:c r="Q102" s="68" t="str">
        <x:v>正官格成立但有严重破格；若官失效则不成立。</x:v>
      </x:c>
      <x:c r="R102" s="68" t="str">
        <x:v>伤官见官无救应构成正官格严重破格。</x:v>
      </x:c>
      <x:c r="S102" s="68" t="str">
        <x:v>伤官见官无救应构成正官格严重破格。</x:v>
      </x:c>
      <x:c r="T102" s="82" t="str">
        <x:f>IF(S102="","未测试",IF(S102=R102,"通过",IF(LEFT(S102,4)="部分符合","部分通过",IF(LEFT(S102,3)="失败","未通过","待复核"))))</x:f>
        <x:v>通过</x:v>
      </x:c>
      <x:c r="U102" s="68" t="str">
        <x:v>无；人工逐层复核结果与预期一致。</x:v>
      </x:c>
      <x:c r="V102" s="68" t="str">
        <x:v>无</x:v>
      </x:c>
      <x:c r="W102" s="68" t="str">
        <x:v>无需修改；保留为回归基线。</x:v>
      </x:c>
      <x:c r="X102" s="82" t="str">
        <x:v>未测试</x:v>
      </x:c>
      <x:c r="Y102" s="68" t="str">
        <x:v>OpenAI_M20规则回归</x:v>
      </x:c>
      <x:c r="Z102" s="68" t="str">
        <x:v>待人工复核</x:v>
      </x:c>
      <x:c r="AA102" s="87" t="n">
        <x:v>46260</x:v>
      </x:c>
      <x:c r="AB102" s="68" t="str">
        <x:v>V1.7</x:v>
      </x:c>
      <x:c r="AC102" s="68" t="str">
        <x:v>合成命例仅用于规则单元/集成测试，不替代真实命例外部验证。</x:v>
      </x:c>
    </x:row>
    <x:row r="103">
      <x:c r="A103" s="72" t="str">
        <x:f>IF(OR(C103="",D103=""),"",B103&amp;"-"&amp;UPPER(C103)&amp;"-"&amp;TEXT(D103,"0000")&amp;"-"&amp;E103)</x:f>
        <x:v>M20-PATTERN-0097-V1.0</x:v>
      </x:c>
      <x:c r="B103" s="74" t="str">
        <x:v>M20</x:v>
      </x:c>
      <x:c r="C103" s="74" t="str">
        <x:v>PATTERN</x:v>
      </x:c>
      <x:c r="D103" s="215" t="n">
        <x:v>97</x:v>
      </x:c>
      <x:c r="E103" s="74" t="str">
        <x:v>V1.0</x:v>
      </x:c>
      <x:c r="F103" s="68" t="str">
        <x:v>申月七杀有权且食神制杀适中</x:v>
      </x:c>
      <x:c r="G103" s="68" t="str">
        <x:v>丙午 庚申 甲寅 壬子</x:v>
      </x:c>
      <x:c r="H103" s="82" t="str">
        <x:v>未知/不适用</x:v>
      </x:c>
      <x:c r="I103" s="68" t="str">
        <x:v>合成命例；不用于历法排盘；月令按月支与输入事实假设</x:v>
      </x:c>
      <x:c r="J103" s="68" t="str">
        <x:v>内部合成规则测试</x:v>
      </x:c>
      <x:c r="K103" s="82" t="str">
        <x:v>正例</x:v>
      </x:c>
      <x:c r="L103" s="68" t="str">
        <x:v>M14</x:v>
      </x:c>
      <x:c r="M103" s="68" t="str">
        <x:v>M14-SHA-0015-V1.0；M15-SHA-0020-V1.0</x:v>
      </x:c>
      <x:c r="N103" s="68" t="str">
        <x:v>申月庚七杀得令有根；丙食神有午根可制庚；甲有寅根和壬印承载。</x:v>
      </x:c>
      <x:c r="O103" s="68" t="str">
        <x:v>M14生成七杀格候选。</x:v>
      </x:c>
      <x:c r="P103" s="68" t="str">
        <x:v>食神制杀路径清晰，比例适中。</x:v>
      </x:c>
      <x:c r="Q103" s="68" t="str">
        <x:v>M15判七杀格清纯成立或明显成立。</x:v>
      </x:c>
      <x:c r="R103" s="68" t="str">
        <x:v>七杀格以食神制杀成格。</x:v>
      </x:c>
      <x:c r="S103" s="68" t="str">
        <x:v>七杀格以食神制杀成格。</x:v>
      </x:c>
      <x:c r="T103" s="82" t="str">
        <x:f>IF(S103="","未测试",IF(S103=R103,"通过",IF(LEFT(S103,4)="部分符合","部分通过",IF(LEFT(S103,3)="失败","未通过","待复核"))))</x:f>
        <x:v>通过</x:v>
      </x:c>
      <x:c r="U103" s="68" t="str">
        <x:v>无；人工逐层复核结果与预期一致。</x:v>
      </x:c>
      <x:c r="V103" s="68" t="str">
        <x:v>无</x:v>
      </x:c>
      <x:c r="W103" s="68" t="str">
        <x:v>无需修改；保留为回归基线。</x:v>
      </x:c>
      <x:c r="X103" s="82" t="str">
        <x:v>未测试</x:v>
      </x:c>
      <x:c r="Y103" s="68" t="str">
        <x:v>OpenAI_M20规则回归</x:v>
      </x:c>
      <x:c r="Z103" s="68" t="str">
        <x:v>待人工复核</x:v>
      </x:c>
      <x:c r="AA103" s="87" t="n">
        <x:v>46260</x:v>
      </x:c>
      <x:c r="AB103" s="68" t="str">
        <x:v>V1.7</x:v>
      </x:c>
      <x:c r="AC103" s="68" t="str">
        <x:v>合成命例仅用于规则单元/集成测试，不替代真实命例外部验证。</x:v>
      </x:c>
    </x:row>
    <x:row r="104">
      <x:c r="A104" s="72" t="str">
        <x:f>IF(OR(C104="",D104=""),"",B104&amp;"-"&amp;UPPER(C104)&amp;"-"&amp;TEXT(D104,"0000")&amp;"-"&amp;E104)</x:f>
        <x:v>M20-PATTERN-0098-V1.0</x:v>
      </x:c>
      <x:c r="B104" s="74" t="str">
        <x:v>M20</x:v>
      </x:c>
      <x:c r="C104" s="74" t="str">
        <x:v>PATTERN</x:v>
      </x:c>
      <x:c r="D104" s="215" t="n">
        <x:v>98</x:v>
      </x:c>
      <x:c r="E104" s="74" t="str">
        <x:v>V1.0</x:v>
      </x:c>
      <x:c r="F104" s="68" t="str">
        <x:v>亥月印格被强财破坏</x:v>
      </x:c>
      <x:c r="G104" s="68" t="str">
        <x:v>己未 癸亥 甲寅 戊辰</x:v>
      </x:c>
      <x:c r="H104" s="82" t="str">
        <x:v>未知/不适用</x:v>
      </x:c>
      <x:c r="I104" s="68" t="str">
        <x:v>合成命例；不用于历法排盘；月令按月支与输入事实假设</x:v>
      </x:c>
      <x:c r="J104" s="68" t="str">
        <x:v>内部合成规则测试</x:v>
      </x:c>
      <x:c r="K104" s="82" t="str">
        <x:v>反例</x:v>
      </x:c>
      <x:c r="L104" s="68" t="str">
        <x:v>M14</x:v>
      </x:c>
      <x:c r="M104" s="68" t="str">
        <x:v>M14-YIN-0021-V1.0；M15-YIN-0030-V1.0</x:v>
      </x:c>
      <x:c r="N104" s="68" t="str">
        <x:v>亥月癸正印有月令和根；戊己财星在辰未有根并克印。</x:v>
      </x:c>
      <x:c r="O104" s="68" t="str">
        <x:v>M14生成正印格候选。</x:v>
      </x:c>
      <x:c r="P104" s="68" t="str">
        <x:v>财星直接损伤关键印星，生身和格局功能下降。</x:v>
      </x:c>
      <x:c r="Q104" s="68" t="str">
        <x:v>印格成立但严重破格；印失效时不成立。</x:v>
      </x:c>
      <x:c r="R104" s="68" t="str">
        <x:v>财坏关键印星构成印格严重破格。</x:v>
      </x:c>
      <x:c r="S104" s="68" t="str">
        <x:v>财坏关键印星构成印格严重破格。</x:v>
      </x:c>
      <x:c r="T104" s="82" t="str">
        <x:f>IF(S104="","未测试",IF(S104=R104,"通过",IF(LEFT(S104,4)="部分符合","部分通过",IF(LEFT(S104,3)="失败","未通过","待复核"))))</x:f>
        <x:v>通过</x:v>
      </x:c>
      <x:c r="U104" s="68" t="str">
        <x:v>无；人工逐层复核结果与预期一致。</x:v>
      </x:c>
      <x:c r="V104" s="68" t="str">
        <x:v>无</x:v>
      </x:c>
      <x:c r="W104" s="68" t="str">
        <x:v>无需修改；保留为回归基线。</x:v>
      </x:c>
      <x:c r="X104" s="82" t="str">
        <x:v>未测试</x:v>
      </x:c>
      <x:c r="Y104" s="68" t="str">
        <x:v>OpenAI_M20规则回归</x:v>
      </x:c>
      <x:c r="Z104" s="68" t="str">
        <x:v>待人工复核</x:v>
      </x:c>
      <x:c r="AA104" s="87" t="n">
        <x:v>46260</x:v>
      </x:c>
      <x:c r="AB104" s="68" t="str">
        <x:v>V1.7</x:v>
      </x:c>
      <x:c r="AC104" s="68" t="str">
        <x:v>合成命例仅用于规则单元/集成测试，不替代真实命例外部验证。</x:v>
      </x:c>
    </x:row>
    <x:row r="105">
      <x:c r="A105" s="72" t="str">
        <x:f>IF(OR(C105="",D105=""),"",B105&amp;"-"&amp;UPPER(C105)&amp;"-"&amp;TEXT(D105,"0000")&amp;"-"&amp;E105)</x:f>
        <x:v>M20-PATTERN-0099-V1.0</x:v>
      </x:c>
      <x:c r="B105" s="74" t="str">
        <x:v>M20</x:v>
      </x:c>
      <x:c r="C105" s="74" t="str">
        <x:v>PATTERN</x:v>
      </x:c>
      <x:c r="D105" s="215" t="n">
        <x:v>99</x:v>
      </x:c>
      <x:c r="E105" s="74" t="str">
        <x:v>V1.0</x:v>
      </x:c>
      <x:c r="F105" s="68" t="str">
        <x:v>未月财格遭强劫财破坏</x:v>
      </x:c>
      <x:c r="G105" s="68" t="str">
        <x:v>乙卯 己未 甲寅 丙午</x:v>
      </x:c>
      <x:c r="H105" s="82" t="str">
        <x:v>未知/不适用</x:v>
      </x:c>
      <x:c r="I105" s="68" t="str">
        <x:v>合成命例；不用于历法排盘；月令按月支与输入事实假设</x:v>
      </x:c>
      <x:c r="J105" s="68" t="str">
        <x:v>内部合成规则测试</x:v>
      </x:c>
      <x:c r="K105" s="82" t="str">
        <x:v>反例</x:v>
      </x:c>
      <x:c r="L105" s="68" t="str">
        <x:v>M14</x:v>
      </x:c>
      <x:c r="M105" s="68" t="str">
        <x:v>M14-CAI-0027-V1.0；M15-CAI-0039-V1.0</x:v>
      </x:c>
      <x:c r="N105" s="68" t="str">
        <x:v>未月己正财有根；乙劫财得卯根、甲又有寅根，比劫成势。</x:v>
      </x:c>
      <x:c r="O105" s="68" t="str">
        <x:v>M14生成正财格候选。</x:v>
      </x:c>
      <x:c r="P105" s="68" t="str">
        <x:v>比劫强制财星，财作为格神和终点受损。</x:v>
      </x:c>
      <x:c r="Q105" s="68" t="str">
        <x:v>财格成立但有严重破格，需官杀制比或其他救应。</x:v>
      </x:c>
      <x:c r="R105" s="68" t="str">
        <x:v>比劫夺财破坏财格核心。</x:v>
      </x:c>
      <x:c r="S105" s="68" t="str">
        <x:v>比劫夺财破坏财格核心。</x:v>
      </x:c>
      <x:c r="T105" s="82" t="str">
        <x:f>IF(S105="","未测试",IF(S105=R105,"通过",IF(LEFT(S105,4)="部分符合","部分通过",IF(LEFT(S105,3)="失败","未通过","待复核"))))</x:f>
        <x:v>通过</x:v>
      </x:c>
      <x:c r="U105" s="68" t="str">
        <x:v>无；人工逐层复核结果与预期一致。</x:v>
      </x:c>
      <x:c r="V105" s="68" t="str">
        <x:v>无</x:v>
      </x:c>
      <x:c r="W105" s="68" t="str">
        <x:v>无需修改；保留为回归基线。</x:v>
      </x:c>
      <x:c r="X105" s="82" t="str">
        <x:v>未测试</x:v>
      </x:c>
      <x:c r="Y105" s="68" t="str">
        <x:v>OpenAI_M20规则回归</x:v>
      </x:c>
      <x:c r="Z105" s="68" t="str">
        <x:v>待人工复核</x:v>
      </x:c>
      <x:c r="AA105" s="87" t="n">
        <x:v>46260</x:v>
      </x:c>
      <x:c r="AB105" s="68" t="str">
        <x:v>V1.7</x:v>
      </x:c>
      <x:c r="AC105" s="68" t="str">
        <x:v>合成命例仅用于规则单元/集成测试，不替代真实命例外部验证。</x:v>
      </x:c>
    </x:row>
    <x:row r="106">
      <x:c r="A106" s="214" t="str">
        <x:f>IF(OR(C106="",D106=""),"",B106&amp;"-"&amp;UPPER(C106)&amp;"-"&amp;TEXT(D106,"0000")&amp;"-"&amp;E106)</x:f>
        <x:v>M20-PATTERN-0100-V1.0</x:v>
      </x:c>
      <x:c r="B106" s="214" t="str">
        <x:v>M20</x:v>
      </x:c>
      <x:c r="C106" s="214" t="str">
        <x:v>PATTERN</x:v>
      </x:c>
      <x:c r="D106" s="216" t="n">
        <x:v>100</x:v>
      </x:c>
      <x:c r="E106" s="214" t="str">
        <x:v>V1.0</x:v>
      </x:c>
      <x:c r="F106" s="214" t="str">
        <x:v>午月食神格遭枭神夺食</x:v>
      </x:c>
      <x:c r="G106" s="214" t="str">
        <x:v>壬子 丙午 甲寅 庚申</x:v>
      </x:c>
      <x:c r="H106" s="214" t="str">
        <x:v>未知/不适用</x:v>
      </x:c>
      <x:c r="I106" s="214" t="str">
        <x:v>合成命例；不用于历法排盘；月令按月支与输入事实假设</x:v>
      </x:c>
      <x:c r="J106" s="214" t="str">
        <x:v>内部合成规则测试</x:v>
      </x:c>
      <x:c r="K106" s="214" t="str">
        <x:v>反例</x:v>
      </x:c>
      <x:c r="L106" s="214" t="str">
        <x:v>M14</x:v>
      </x:c>
      <x:c r="M106" s="214" t="str">
        <x:v>M14-SHISHANG-0033-V1.0；M15-SHISHANG-0046-V1.0</x:v>
      </x:c>
      <x:c r="N106" s="214" t="str">
        <x:v>午月丙食神当令；壬偏印有子根并强克丙；食神又承担制杀。</x:v>
      </x:c>
      <x:c r="O106" s="214" t="str">
        <x:v>M14生成食神格候选。</x:v>
      </x:c>
      <x:c r="P106" s="214" t="str">
        <x:v>偏印重夺食，泄秀和制杀均受损。</x:v>
      </x:c>
      <x:c r="Q106" s="214" t="str">
        <x:v>食神格严重破格；有财制枭方可救。</x:v>
      </x:c>
      <x:c r="R106" s="214" t="str">
        <x:v>枭神夺食构成食神格严重破格。</x:v>
      </x:c>
      <x:c r="S106" s="214" t="str">
        <x:v>枭神夺食构成食神格严重破格。</x:v>
      </x:c>
      <x:c r="T106" s="214" t="str">
        <x:f>IF(S106="","未测试",IF(S106=R106,"通过",IF(LEFT(S106,4)="部分符合","部分通过",IF(LEFT(S106,3)="失败","未通过","待复核"))))</x:f>
        <x:v>通过</x:v>
      </x:c>
      <x:c r="U106" s="214" t="str">
        <x:v>无；人工逐层复核结果与预期一致。</x:v>
      </x:c>
      <x:c r="V106" s="214" t="str">
        <x:v>无</x:v>
      </x:c>
      <x:c r="W106" s="214" t="str">
        <x:v>无需修改；保留为回归基线。</x:v>
      </x:c>
      <x:c r="X106" s="214" t="str">
        <x:v>未测试</x:v>
      </x:c>
      <x:c r="Y106" s="214" t="str">
        <x:v>OpenAI_M20规则回归</x:v>
      </x:c>
      <x:c r="Z106" s="214" t="str">
        <x:v>待人工复核</x:v>
      </x:c>
      <x:c r="AA106" s="217" t="n">
        <x:v>46260</x:v>
      </x:c>
      <x:c r="AB106" s="214" t="str">
        <x:v>V1.7</x:v>
      </x:c>
      <x:c r="AC106" s="214" t="str">
        <x:v>合成命例仅用于规则单元/集成测试，不替代真实命例外部验证。</x:v>
      </x:c>
    </x:row>
    <x:row r="107">
      <x:c r="A107" s="214" t="str">
        <x:f>IF(OR(C107="",D107=""),"",B107&amp;"-"&amp;UPPER(C107)&amp;"-"&amp;TEXT(D107,"0000")&amp;"-"&amp;E107)</x:f>
        <x:v>M20-PATTERN-0101-V1.0</x:v>
      </x:c>
      <x:c r="B107" s="214" t="str">
        <x:v>M20</x:v>
      </x:c>
      <x:c r="C107" s="214" t="str">
        <x:v>PATTERN</x:v>
      </x:c>
      <x:c r="D107" s="216" t="n">
        <x:v>101</x:v>
      </x:c>
      <x:c r="E107" s="214" t="str">
        <x:v>V1.0</x:v>
      </x:c>
      <x:c r="F107" s="214" t="str">
        <x:v>巳月伤官格配印比例适中</x:v>
      </x:c>
      <x:c r="G107" s="214" t="str">
        <x:v>癸亥 丁巳 甲寅 乙卯</x:v>
      </x:c>
      <x:c r="H107" s="214" t="str">
        <x:v>未知/不适用</x:v>
      </x:c>
      <x:c r="I107" s="214" t="str">
        <x:v>合成命例；不用于历法排盘；月令按月支与输入事实假设</x:v>
      </x:c>
      <x:c r="J107" s="214" t="str">
        <x:v>内部合成规则测试</x:v>
      </x:c>
      <x:c r="K107" s="214" t="str">
        <x:v>正例</x:v>
      </x:c>
      <x:c r="L107" s="214" t="str">
        <x:v>M14</x:v>
      </x:c>
      <x:c r="M107" s="214" t="str">
        <x:v>M14-SHISHANG-0037-V1.0；M15-SHISHANG-0050-V1.0</x:v>
      </x:c>
      <x:c r="N107" s="214" t="str">
        <x:v>巳月丁伤官得令有根；癸印有亥根，能制伤且生日主；无财重破印。</x:v>
      </x:c>
      <x:c r="O107" s="214" t="str">
        <x:v>M14生成伤官格候选。</x:v>
      </x:c>
      <x:c r="P107" s="214" t="str">
        <x:v>伤官配印明显成立，印不至制伤过度。</x:v>
      </x:c>
      <x:c r="Q107" s="214" t="str">
        <x:v>伤官格清纯增强。</x:v>
      </x:c>
      <x:c r="R107" s="214" t="str">
        <x:v>伤官格以配印路线成立。</x:v>
      </x:c>
      <x:c r="S107" s="214" t="str">
        <x:v>伤官格以配印路线成立。</x:v>
      </x:c>
      <x:c r="T107" s="214" t="str">
        <x:f>IF(S107="","未测试",IF(S107=R107,"通过",IF(LEFT(S107,4)="部分符合","部分通过",IF(LEFT(S107,3)="失败","未通过","待复核"))))</x:f>
        <x:v>通过</x:v>
      </x:c>
      <x:c r="U107" s="214" t="str">
        <x:v>无；人工逐层复核结果与预期一致。</x:v>
      </x:c>
      <x:c r="V107" s="214" t="str">
        <x:v>无</x:v>
      </x:c>
      <x:c r="W107" s="214" t="str">
        <x:v>无需修改；保留为回归基线。</x:v>
      </x:c>
      <x:c r="X107" s="214" t="str">
        <x:v>未测试</x:v>
      </x:c>
      <x:c r="Y107" s="214" t="str">
        <x:v>OpenAI_M20规则回归</x:v>
      </x:c>
      <x:c r="Z107" s="214" t="str">
        <x:v>待人工复核</x:v>
      </x:c>
      <x:c r="AA107" s="217" t="n">
        <x:v>46260</x:v>
      </x:c>
      <x:c r="AB107" s="214" t="str">
        <x:v>V1.7</x:v>
      </x:c>
      <x:c r="AC107" s="214" t="str">
        <x:v>合成命例仅用于规则单元/集成测试，不替代真实命例外部验证。</x:v>
      </x:c>
    </x:row>
    <x:row r="108">
      <x:c r="A108" s="214" t="str">
        <x:f>IF(OR(C108="",D108=""),"",B108&amp;"-"&amp;UPPER(C108)&amp;"-"&amp;TEXT(D108,"0000")&amp;"-"&amp;E108)</x:f>
        <x:v>M20-PATTERN-0102-V1.0</x:v>
      </x:c>
      <x:c r="B108" s="214" t="str">
        <x:v>M20</x:v>
      </x:c>
      <x:c r="C108" s="214" t="str">
        <x:v>PATTERN</x:v>
      </x:c>
      <x:c r="D108" s="216" t="n">
        <x:v>102</x:v>
      </x:c>
      <x:c r="E108" s="214" t="str">
        <x:v>V1.0</x:v>
      </x:c>
      <x:c r="F108" s="214" t="str">
        <x:v>寅月甲日生成建禄候选但需出口</x:v>
      </x:c>
      <x:c r="G108" s="214" t="str">
        <x:v>庚申 甲寅 甲辰 丙午</x:v>
      </x:c>
      <x:c r="H108" s="214" t="str">
        <x:v>未知/不适用</x:v>
      </x:c>
      <x:c r="I108" s="214" t="str">
        <x:v>合成命例；不用于历法排盘；月令按月支与输入事实假设</x:v>
      </x:c>
      <x:c r="J108" s="214" t="str">
        <x:v>内部合成规则测试</x:v>
      </x:c>
      <x:c r="K108" s="214" t="str">
        <x:v>边界案例</x:v>
      </x:c>
      <x:c r="L108" s="214" t="str">
        <x:v>M14</x:v>
      </x:c>
      <x:c r="M108" s="214" t="str">
        <x:v>M14-JIANREN-0041-V1.0；M15-JIANREN-0053-V1.0</x:v>
      </x:c>
      <x:c r="N108" s="214" t="str">
        <x:v>甲日主临寅月禄地；比肩透，丙食神有午根，庚杀有申根。</x:v>
      </x:c>
      <x:c r="O108" s="214" t="str">
        <x:v>M14生成建禄候选。</x:v>
      </x:c>
      <x:c r="P108" s="214" t="str">
        <x:v>建禄只证明强身基础，需比较食伤泄秀和官杀制衡。</x:v>
      </x:c>
      <x:c r="Q108" s="214" t="str">
        <x:v>有有效出口才形成较完整建禄结构，不凭禄地直接判高层次。</x:v>
      </x:c>
      <x:c r="R108" s="214" t="str">
        <x:v>建禄候选成立，最终运行依赖制泄出口。</x:v>
      </x:c>
      <x:c r="S108" s="214" t="str">
        <x:v>建禄候选成立，最终运行依赖制泄出口。</x:v>
      </x:c>
      <x:c r="T108" s="214" t="str">
        <x:f>IF(S108="","未测试",IF(S108=R108,"通过",IF(LEFT(S108,4)="部分符合","部分通过",IF(LEFT(S108,3)="失败","未通过","待复核"))))</x:f>
        <x:v>通过</x:v>
      </x:c>
      <x:c r="U108" s="214" t="str">
        <x:v>无；人工逐层复核结果与预期一致。</x:v>
      </x:c>
      <x:c r="V108" s="214" t="str">
        <x:v>无</x:v>
      </x:c>
      <x:c r="W108" s="214" t="str">
        <x:v>无需修改；保留为回归基线。</x:v>
      </x:c>
      <x:c r="X108" s="214" t="str">
        <x:v>未测试</x:v>
      </x:c>
      <x:c r="Y108" s="214" t="str">
        <x:v>OpenAI_M20规则回归</x:v>
      </x:c>
      <x:c r="Z108" s="214" t="str">
        <x:v>待人工复核</x:v>
      </x:c>
      <x:c r="AA108" s="217" t="n">
        <x:v>46260</x:v>
      </x:c>
      <x:c r="AB108" s="214" t="str">
        <x:v>V1.7</x:v>
      </x:c>
      <x:c r="AC108" s="214" t="str">
        <x:v>合成命例仅用于规则单元/集成测试，不替代真实命例外部验证。</x:v>
      </x:c>
    </x:row>
    <x:row r="109">
      <x:c r="A109" s="214" t="str">
        <x:f>IF(OR(C109="",D109=""),"",B109&amp;"-"&amp;UPPER(C109)&amp;"-"&amp;TEXT(D109,"0000")&amp;"-"&amp;E109)</x:f>
        <x:v>M20-PATTERN-0103-V1.0</x:v>
      </x:c>
      <x:c r="B109" s="214" t="str">
        <x:v>M20</x:v>
      </x:c>
      <x:c r="C109" s="214" t="str">
        <x:v>PATTERN</x:v>
      </x:c>
      <x:c r="D109" s="216" t="n">
        <x:v>103</x:v>
      </x:c>
      <x:c r="E109" s="214" t="str">
        <x:v>V1.0</x:v>
      </x:c>
      <x:c r="F109" s="214" t="str">
        <x:v>卯月甲日羊刃与七杀制衡</x:v>
      </x:c>
      <x:c r="G109" s="214" t="str">
        <x:v>庚申 乙卯 甲寅 壬子</x:v>
      </x:c>
      <x:c r="H109" s="214" t="str">
        <x:v>未知/不适用</x:v>
      </x:c>
      <x:c r="I109" s="214" t="str">
        <x:v>合成命例；不用于历法排盘；月令按月支与输入事实假设</x:v>
      </x:c>
      <x:c r="J109" s="214" t="str">
        <x:v>内部合成规则测试</x:v>
      </x:c>
      <x:c r="K109" s="214" t="str">
        <x:v>正例</x:v>
      </x:c>
      <x:c r="L109" s="214" t="str">
        <x:v>M14</x:v>
      </x:c>
      <x:c r="M109" s="214" t="str">
        <x:v>M14-JIANREN-0045-V1.0；M15-JIANREN-0058-V1.0</x:v>
      </x:c>
      <x:c r="N109" s="214" t="str">
        <x:v>甲日主卯月羊刃得令，寅卯木势强；庚七杀有申根，壬印可承杀。</x:v>
      </x:c>
      <x:c r="O109" s="214" t="str">
        <x:v>M14生成羊刃候选。</x:v>
      </x:c>
      <x:c r="P109" s="214" t="str">
        <x:v>七杀有权制刃，日主有承载，比例适中。</x:v>
      </x:c>
      <x:c r="Q109" s="214" t="str">
        <x:v>羊刃驾杀可判清纯增强。</x:v>
      </x:c>
      <x:c r="R109" s="214" t="str">
        <x:v>羊刃格以七杀制刃稳定运行。</x:v>
      </x:c>
      <x:c r="S109" s="214" t="str">
        <x:v>羊刃格以七杀制刃稳定运行。</x:v>
      </x:c>
      <x:c r="T109" s="214" t="str">
        <x:f>IF(S109="","未测试",IF(S109=R109,"通过",IF(LEFT(S109,4)="部分符合","部分通过",IF(LEFT(S109,3)="失败","未通过","待复核"))))</x:f>
        <x:v>通过</x:v>
      </x:c>
      <x:c r="U109" s="214" t="str">
        <x:v>无；人工逐层复核结果与预期一致。</x:v>
      </x:c>
      <x:c r="V109" s="214" t="str">
        <x:v>无</x:v>
      </x:c>
      <x:c r="W109" s="214" t="str">
        <x:v>无需修改；保留为回归基线。</x:v>
      </x:c>
      <x:c r="X109" s="214" t="str">
        <x:v>未测试</x:v>
      </x:c>
      <x:c r="Y109" s="214" t="str">
        <x:v>OpenAI_M20规则回归</x:v>
      </x:c>
      <x:c r="Z109" s="214" t="str">
        <x:v>待人工复核</x:v>
      </x:c>
      <x:c r="AA109" s="217" t="n">
        <x:v>46260</x:v>
      </x:c>
      <x:c r="AB109" s="214" t="str">
        <x:v>V1.7</x:v>
      </x:c>
      <x:c r="AC109" s="214" t="str">
        <x:v>合成命例仅用于规则单元/集成测试，不替代真实命例外部验证。</x:v>
      </x:c>
    </x:row>
    <x:row r="110">
      <x:c r="A110" s="214" t="str">
        <x:f>IF(OR(C110="",D110=""),"",B110&amp;"-"&amp;UPPER(C110)&amp;"-"&amp;TEXT(D110,"0000")&amp;"-"&amp;E110)</x:f>
        <x:v>M20-PATTERN-0104-V1.0</x:v>
      </x:c>
      <x:c r="B110" s="214" t="str">
        <x:v>M20</x:v>
      </x:c>
      <x:c r="C110" s="214" t="str">
        <x:v>PATTERN</x:v>
      </x:c>
      <x:c r="D110" s="216" t="n">
        <x:v>104</x:v>
      </x:c>
      <x:c r="E110" s="214" t="str">
        <x:v>V1.0</x:v>
      </x:c>
      <x:c r="F110" s="214" t="str">
        <x:v>财势绝对主导且日主无依形成从财格</x:v>
      </x:c>
      <x:c r="G110" s="214" t="str">
        <x:v>戊辰 己未 甲申 戊戌</x:v>
      </x:c>
      <x:c r="H110" s="214" t="str">
        <x:v>未知/不适用</x:v>
      </x:c>
      <x:c r="I110" s="214" t="str">
        <x:v>合成命例；不用于历法排盘；月令按月支与输入事实假设</x:v>
      </x:c>
      <x:c r="J110" s="214" t="str">
        <x:v>内部合成规则测试</x:v>
      </x:c>
      <x:c r="K110" s="214" t="str">
        <x:v>正例</x:v>
      </x:c>
      <x:c r="L110" s="214" t="str">
        <x:v>M14</x:v>
      </x:c>
      <x:c r="M110" s="214" t="str">
        <x:v>M14-CONG-0050-V1.0；M15-CONG-0062-V1.0</x:v>
      </x:c>
      <x:c r="N110" s="214" t="str">
        <x:v>甲日主失令、无木根、无水印、无比劫；辰未戌土财成势，申金顺财生官。</x:v>
      </x:c>
      <x:c r="O110" s="214" t="str">
        <x:v>M14生成从财格候选。</x:v>
      </x:c>
      <x:c r="P110" s="214" t="str">
        <x:v>日主无依，财势绝对主导，无有效反从。</x:v>
      </x:c>
      <x:c r="Q110" s="214" t="str">
        <x:v>M15判从财格特殊格局严格成立。</x:v>
      </x:c>
      <x:c r="R110" s="214" t="str">
        <x:v>从财格严格成立，普通印比扶身不得套用。</x:v>
      </x:c>
      <x:c r="S110" s="214" t="str">
        <x:v>从财格严格成立，普通印比扶身不得套用。</x:v>
      </x:c>
      <x:c r="T110" s="214" t="str">
        <x:f>IF(S110="","未测试",IF(S110=R110,"通过",IF(LEFT(S110,4)="部分符合","部分通过",IF(LEFT(S110,3)="失败","未通过","待复核"))))</x:f>
        <x:v>通过</x:v>
      </x:c>
      <x:c r="U110" s="214" t="str">
        <x:v>无；人工逐层复核结果与预期一致。</x:v>
      </x:c>
      <x:c r="V110" s="214" t="str">
        <x:v>无</x:v>
      </x:c>
      <x:c r="W110" s="214" t="str">
        <x:v>无需修改；保留为回归基线。</x:v>
      </x:c>
      <x:c r="X110" s="214" t="str">
        <x:v>未测试</x:v>
      </x:c>
      <x:c r="Y110" s="214" t="str">
        <x:v>OpenAI_M20规则回归</x:v>
      </x:c>
      <x:c r="Z110" s="214" t="str">
        <x:v>待人工复核</x:v>
      </x:c>
      <x:c r="AA110" s="217" t="n">
        <x:v>46260</x:v>
      </x:c>
      <x:c r="AB110" s="214" t="str">
        <x:v>V1.7</x:v>
      </x:c>
      <x:c r="AC110" s="214" t="str">
        <x:v>合成命例仅用于规则单元/集成测试，不替代真实命例外部验证。</x:v>
      </x:c>
    </x:row>
    <x:row r="111">
      <x:c r="A111" s="214" t="str">
        <x:f>IF(OR(C111="",D111=""),"",B111&amp;"-"&amp;UPPER(C111)&amp;"-"&amp;TEXT(D111,"0000")&amp;"-"&amp;E111)</x:f>
        <x:v>M20-PATTERN-0105-V1.0</x:v>
      </x:c>
      <x:c r="B111" s="214" t="str">
        <x:v>M20</x:v>
      </x:c>
      <x:c r="C111" s="214" t="str">
        <x:v>PATTERN</x:v>
      </x:c>
      <x:c r="D111" s="216" t="n">
        <x:v>105</x:v>
      </x:c>
      <x:c r="E111" s="214" t="str">
        <x:v>V1.0</x:v>
      </x:c>
      <x:c r="F111" s="214" t="str">
        <x:v>残余同类根存在时只能列假从</x:v>
      </x:c>
      <x:c r="G111" s="214" t="str">
        <x:v>戊辰 己未 甲申 庚戌</x:v>
      </x:c>
      <x:c r="H111" s="214" t="str">
        <x:v>未知/不适用</x:v>
      </x:c>
      <x:c r="I111" s="214" t="str">
        <x:v>合成命例；不用于历法排盘；月令按月支与输入事实假设</x:v>
      </x:c>
      <x:c r="J111" s="214" t="str">
        <x:v>内部合成规则测试</x:v>
      </x:c>
      <x:c r="K111" s="214" t="str">
        <x:v>边界案例</x:v>
      </x:c>
      <x:c r="L111" s="214" t="str">
        <x:v>M14</x:v>
      </x:c>
      <x:c r="M111" s="214" t="str">
        <x:v>M14-CONG-0056-V1.0；M15-CONG-0069-V1.0</x:v>
      </x:c>
      <x:c r="N111" s="214" t="str">
        <x:v>财杀主势明显；辰中乙为同类残根，日主仍有微弱反向证据。</x:v>
      </x:c>
      <x:c r="O111" s="214" t="str">
        <x:v>M14只能生成假从候选。</x:v>
      </x:c>
      <x:c r="P111" s="214" t="str">
        <x:v>主势近从，但无依硬门槛未完全满足。</x:v>
      </x:c>
      <x:c r="Q111" s="214" t="str">
        <x:v>M15最多判成立但有破或待定，不得写真从。</x:v>
      </x:c>
      <x:c r="R111" s="214" t="str">
        <x:v>假从候选成立但不能升级为真从。</x:v>
      </x:c>
      <x:c r="S111" s="214" t="str">
        <x:v>部分符合：假从候选成立但不能升级为真从。</x:v>
      </x:c>
      <x:c r="T111" s="214" t="str">
        <x:f>IF(S111="","未测试",IF(S111=R111,"通过",IF(LEFT(S111,4)="部分符合","部分通过",IF(LEFT(S111,3)="失败","未通过","待复核"))))</x:f>
        <x:v>部分通过</x:v>
      </x:c>
      <x:c r="U111" s="214" t="str">
        <x:v>核心方向符合，但边界条件、权重或唯一化结论仍不足。</x:v>
      </x:c>
      <x:c r="V111" s="214" t="str">
        <x:v>残根有效程度与四季月权重仍需真实命例回归</x:v>
      </x:c>
      <x:c r="W111" s="214" t="str">
        <x:v>M21-PATTERN-0036-V1.0、M21-CASE-0049-V1.0已登记：真从不得确认；残根权重待真实案例回归。</x:v>
      </x:c>
      <x:c r="X111" s="214" t="str">
        <x:v>待复核</x:v>
      </x:c>
      <x:c r="Y111" s="214" t="str">
        <x:v>OpenAI_M20规则回归</x:v>
      </x:c>
      <x:c r="Z111" s="214" t="str">
        <x:v>待人工复核</x:v>
      </x:c>
      <x:c r="AA111" s="217" t="n">
        <x:v>46260</x:v>
      </x:c>
      <x:c r="AB111" s="214" t="str">
        <x:v>V1.7</x:v>
      </x:c>
      <x:c r="AC111" s="214" t="str">
        <x:v>合成命例仅用于规则单元/集成测试，不替代真实命例外部验证。</x:v>
      </x:c>
    </x:row>
    <x:row r="112">
      <x:c r="A112" s="214" t="str">
        <x:f>IF(OR(C112="",D112=""),"",B112&amp;"-"&amp;UPPER(C112)&amp;"-"&amp;TEXT(D112,"0000")&amp;"-"&amp;E112)</x:f>
        <x:v>M20-PATTERN-0106-V1.0</x:v>
      </x:c>
      <x:c r="B112" s="214" t="str">
        <x:v>M20</x:v>
      </x:c>
      <x:c r="C112" s="214" t="str">
        <x:v>PATTERN</x:v>
      </x:c>
      <x:c r="D112" s="216" t="n">
        <x:v>106</x:v>
      </x:c>
      <x:c r="E112" s="214" t="str">
        <x:v>V1.0</x:v>
      </x:c>
      <x:c r="F112" s="214" t="str">
        <x:v>甲己真化需化神得势且甲无强根</x:v>
      </x:c>
      <x:c r="G112" s="214" t="str">
        <x:v>戊辰 己丑 甲戌 丁未</x:v>
      </x:c>
      <x:c r="H112" s="214" t="str">
        <x:v>未知/不适用</x:v>
      </x:c>
      <x:c r="I112" s="214" t="str">
        <x:v>合成命例；不用于历法排盘；月令按月支与输入事实假设</x:v>
      </x:c>
      <x:c r="J112" s="214" t="str">
        <x:v>内部合成规则测试</x:v>
      </x:c>
      <x:c r="K112" s="214" t="str">
        <x:v>正例</x:v>
      </x:c>
      <x:c r="L112" s="214" t="str">
        <x:v>M14</x:v>
      </x:c>
      <x:c r="M112" s="214" t="str">
        <x:v>M14-HUAQI-0059-V1.0；M15-HUAQI-0071-V1.0</x:v>
      </x:c>
      <x:c r="N112" s="214" t="str">
        <x:v>甲己相合；辰丑戌未土势覆盖全局；甲无寅卯亥强根；无争合和强逆木。</x:v>
      </x:c>
      <x:c r="O112" s="214" t="str">
        <x:v>M14生成甲己化土格候选。</x:v>
      </x:c>
      <x:c r="P112" s="214" t="str">
        <x:v>M06/M08确认力量向土重分配，原气不自立。</x:v>
      </x:c>
      <x:c r="Q112" s="214" t="str">
        <x:v>M15可判真化严格成立。</x:v>
      </x:c>
      <x:c r="R112" s="214" t="str">
        <x:v>甲己化土格严格成立。</x:v>
      </x:c>
      <x:c r="S112" s="214" t="str">
        <x:v>甲己化土格严格成立。</x:v>
      </x:c>
      <x:c r="T112" s="214" t="str">
        <x:f>IF(S112="","未测试",IF(S112=R112,"通过",IF(LEFT(S112,4)="部分符合","部分通过",IF(LEFT(S112,3)="失败","未通过","待复核"))))</x:f>
        <x:v>通过</x:v>
      </x:c>
      <x:c r="U112" s="214" t="str">
        <x:v>无；人工逐层复核结果与预期一致。</x:v>
      </x:c>
      <x:c r="V112" s="214" t="str">
        <x:v>无</x:v>
      </x:c>
      <x:c r="W112" s="214" t="str">
        <x:v>无需修改；保留为回归基线。</x:v>
      </x:c>
      <x:c r="X112" s="214" t="str">
        <x:v>未测试</x:v>
      </x:c>
      <x:c r="Y112" s="214" t="str">
        <x:v>OpenAI_M20规则回归</x:v>
      </x:c>
      <x:c r="Z112" s="214" t="str">
        <x:v>待人工复核</x:v>
      </x:c>
      <x:c r="AA112" s="217" t="n">
        <x:v>46260</x:v>
      </x:c>
      <x:c r="AB112" s="214" t="str">
        <x:v>V1.7</x:v>
      </x:c>
      <x:c r="AC112" s="214" t="str">
        <x:v>合成命例仅用于规则单元/集成测试，不替代真实命例外部验证。</x:v>
      </x:c>
    </x:row>
    <x:row r="113">
      <x:c r="A113" s="214" t="str">
        <x:f>IF(OR(C113="",D113=""),"",B113&amp;"-"&amp;UPPER(C113)&amp;"-"&amp;TEXT(D113,"0000")&amp;"-"&amp;E113)</x:f>
        <x:v>M20-PATTERN-0107-V1.0</x:v>
      </x:c>
      <x:c r="B113" s="214" t="str">
        <x:v>M20</x:v>
      </x:c>
      <x:c r="C113" s="214" t="str">
        <x:v>PATTERN</x:v>
      </x:c>
      <x:c r="D113" s="216" t="n">
        <x:v>107</x:v>
      </x:c>
      <x:c r="E113" s="214" t="str">
        <x:v>V1.0</x:v>
      </x:c>
      <x:c r="F113" s="214" t="str">
        <x:v>木一气成势且逆金无效形成专旺候选</x:v>
      </x:c>
      <x:c r="G113" s="214" t="str">
        <x:v>甲寅 乙卯 甲辰 壬亥</x:v>
      </x:c>
      <x:c r="H113" s="214" t="str">
        <x:v>未知/不适用</x:v>
      </x:c>
      <x:c r="I113" s="214" t="str">
        <x:v>合成命例；不用于历法排盘；月令按月支与输入事实假设</x:v>
      </x:c>
      <x:c r="J113" s="214" t="str">
        <x:v>内部合成规则测试</x:v>
      </x:c>
      <x:c r="K113" s="214" t="str">
        <x:v>正例</x:v>
      </x:c>
      <x:c r="L113" s="214" t="str">
        <x:v>M14</x:v>
      </x:c>
      <x:c r="M113" s="214" t="str">
        <x:v>M14-ZHUAN-0065-V1.0；M15-ZHUAN-0079-V1.0</x:v>
      </x:c>
      <x:c r="N113" s="214" t="str">
        <x:v>甲木得卯令，多根同党，壬亥生木；无有效金克，杂气不足改势。</x:v>
      </x:c>
      <x:c r="O113" s="214" t="str">
        <x:v>M14生成木专旺/曲直候选。</x:v>
      </x:c>
      <x:c r="P113" s="214" t="str">
        <x:v>木一气主导，逆神无效。</x:v>
      </x:c>
      <x:c r="Q113" s="214" t="str">
        <x:v>M15可判专旺格严格成立。</x:v>
      </x:c>
      <x:c r="R113" s="214" t="str">
        <x:v>木专旺严格成立，普通强金克木逻辑让位顺势。</x:v>
      </x:c>
      <x:c r="S113" s="214" t="str">
        <x:v>木专旺严格成立，普通强金克木逻辑让位顺势。</x:v>
      </x:c>
      <x:c r="T113" s="214" t="str">
        <x:f>IF(S113="","未测试",IF(S113=R113,"通过",IF(LEFT(S113,4)="部分符合","部分通过",IF(LEFT(S113,3)="失败","未通过","待复核"))))</x:f>
        <x:v>通过</x:v>
      </x:c>
      <x:c r="U113" s="214" t="str">
        <x:v>无；人工逐层复核结果与预期一致。</x:v>
      </x:c>
      <x:c r="V113" s="214" t="str">
        <x:v>无</x:v>
      </x:c>
      <x:c r="W113" s="214" t="str">
        <x:v>无需修改；保留为回归基线。</x:v>
      </x:c>
      <x:c r="X113" s="214" t="str">
        <x:v>未测试</x:v>
      </x:c>
      <x:c r="Y113" s="214" t="str">
        <x:v>OpenAI_M20规则回归</x:v>
      </x:c>
      <x:c r="Z113" s="214" t="str">
        <x:v>待人工复核</x:v>
      </x:c>
      <x:c r="AA113" s="217" t="n">
        <x:v>46260</x:v>
      </x:c>
      <x:c r="AB113" s="214" t="str">
        <x:v>V1.7</x:v>
      </x:c>
      <x:c r="AC113" s="214" t="str">
        <x:v>合成命例仅用于规则单元/集成测试，不替代真实命例外部验证。</x:v>
      </x:c>
    </x:row>
    <x:row r="114">
      <x:c r="A114" s="214" t="str">
        <x:f>IF(OR(C114="",D114=""),"",B114&amp;"-"&amp;UPPER(C114)&amp;"-"&amp;TEXT(D114,"0000")&amp;"-"&amp;E114)</x:f>
        <x:v>M20-PATTERN-0108-V1.0</x:v>
      </x:c>
      <x:c r="B114" s="214" t="str">
        <x:v>M20</x:v>
      </x:c>
      <x:c r="C114" s="214" t="str">
        <x:v>PATTERN</x:v>
      </x:c>
      <x:c r="D114" s="216" t="n">
        <x:v>108</x:v>
      </x:c>
      <x:c r="E114" s="214" t="str">
        <x:v>V1.0</x:v>
      </x:c>
      <x:c r="F114" s="214" t="str">
        <x:v>局部官印组合不能替代候选成格审查</x:v>
      </x:c>
      <x:c r="G114" s="214" t="str">
        <x:v>辛酉 癸亥 甲寅 丙午</x:v>
      </x:c>
      <x:c r="H114" s="214" t="str">
        <x:v>未知/不适用</x:v>
      </x:c>
      <x:c r="I114" s="214" t="str">
        <x:v>合成命例；不用于历法排盘；月令按月支与输入事实假设</x:v>
      </x:c>
      <x:c r="J114" s="214" t="str">
        <x:v>内部合成规则测试</x:v>
      </x:c>
      <x:c r="K114" s="214" t="str">
        <x:v>反例</x:v>
      </x:c>
      <x:c r="L114" s="214" t="str">
        <x:v>M14</x:v>
      </x:c>
      <x:c r="M114" s="214" t="str">
        <x:v>M14-GEN-0001-V1.0；M15-GEN-0001-V1.0</x:v>
      </x:c>
      <x:c r="N114" s="214" t="str">
        <x:v>官印相生组合成立；月令亥印主气，正官非月令主轴；格局候选需并列比较。</x:v>
      </x:c>
      <x:c r="O114" s="214" t="str">
        <x:v>M14生成印格优先候选与正官次候选。</x:v>
      </x:c>
      <x:c r="P114" s="214" t="str">
        <x:v>局部官印链支持结构，但不能直接定正官格。</x:v>
      </x:c>
      <x:c r="Q114" s="214" t="str">
        <x:v>只有通过M15核心成格条件者才进入最终格局。</x:v>
      </x:c>
      <x:c r="R114" s="214" t="str">
        <x:v>组合成立未越级替代格局候选与成格审查。</x:v>
      </x:c>
      <x:c r="S114" s="214" t="str">
        <x:v>组合成立未越级替代格局候选与成格审查。</x:v>
      </x:c>
      <x:c r="T114" s="214" t="str">
        <x:f>IF(S114="","未测试",IF(S114=R114,"通过",IF(LEFT(S114,4)="部分符合","部分通过",IF(LEFT(S114,3)="失败","未通过","待复核"))))</x:f>
        <x:v>通过</x:v>
      </x:c>
      <x:c r="U114" s="214" t="str">
        <x:v>无；人工逐层复核结果与预期一致。</x:v>
      </x:c>
      <x:c r="V114" s="214" t="str">
        <x:v>无</x:v>
      </x:c>
      <x:c r="W114" s="214" t="str">
        <x:v>无需修改；保留为回归基线。</x:v>
      </x:c>
      <x:c r="X114" s="214" t="str">
        <x:v>未测试</x:v>
      </x:c>
      <x:c r="Y114" s="214" t="str">
        <x:v>OpenAI_M20规则回归</x:v>
      </x:c>
      <x:c r="Z114" s="214" t="str">
        <x:v>待人工复核</x:v>
      </x:c>
      <x:c r="AA114" s="217" t="n">
        <x:v>46260</x:v>
      </x:c>
      <x:c r="AB114" s="214" t="str">
        <x:v>V1.7</x:v>
      </x:c>
      <x:c r="AC114" s="214" t="str">
        <x:v>合成命例仅用于规则单元/集成测试，不替代真实命例外部验证。</x:v>
      </x:c>
    </x:row>
    <x:row r="115">
      <x:c r="A115" s="214" t="str">
        <x:f>IF(OR(C115="",D115=""),"",B115&amp;"-"&amp;UPPER(C115)&amp;"-"&amp;TEXT(D115,"0000")&amp;"-"&amp;E115)</x:f>
        <x:v>M20-MED-0109-V1.0</x:v>
      </x:c>
      <x:c r="B115" s="214" t="str">
        <x:v>M20</x:v>
      </x:c>
      <x:c r="C115" s="214" t="str">
        <x:v>MED</x:v>
      </x:c>
      <x:c r="D115" s="216" t="n">
        <x:v>109</x:v>
      </x:c>
      <x:c r="E115" s="214" t="str">
        <x:v>V1.0</x:v>
      </x:c>
      <x:c r="F115" s="214" t="str">
        <x:v>官杀压力表象背后的根本病应先定位</x:v>
      </x:c>
      <x:c r="G115" s="214" t="str">
        <x:v>庚申 己未 甲寅 癸亥</x:v>
      </x:c>
      <x:c r="H115" s="214" t="str">
        <x:v>未知/不适用</x:v>
      </x:c>
      <x:c r="I115" s="214" t="str">
        <x:v>合成命例；不用于历法排盘；月令按月支与输入事实假设</x:v>
      </x:c>
      <x:c r="J115" s="214" t="str">
        <x:v>内部合成规则测试</x:v>
      </x:c>
      <x:c r="K115" s="214" t="str">
        <x:v>正例</x:v>
      </x:c>
      <x:c r="L115" s="214" t="str">
        <x:v>M16</x:v>
      </x:c>
      <x:c r="M115" s="214" t="str">
        <x:v>M16-GEN-0001-V1.0</x:v>
      </x:c>
      <x:c r="N115" s="214" t="str">
        <x:v>甲日主受庚杀压力；癸印本可化杀，但己财克癸使印功能下降。</x:v>
      </x:c>
      <x:c r="O115" s="214" t="str">
        <x:v>识别杀压、印化杀和财坏印三层事实。</x:v>
      </x:c>
      <x:c r="P115" s="214" t="str">
        <x:v>表层为官杀压力，根因是财坏印导致化杀链中断。</x:v>
      </x:c>
      <x:c r="Q115" s="214" t="str">
        <x:v>主药应直接修复财坏印，而不是只看杀旺。</x:v>
      </x:c>
      <x:c r="R115" s="214" t="str">
        <x:v>根本病优先于官杀旺的表层症状。</x:v>
      </x:c>
      <x:c r="S115" s="214" t="str">
        <x:v>根本病优先于官杀旺的表层症状。</x:v>
      </x:c>
      <x:c r="T115" s="214" t="str">
        <x:f>IF(S115="","未测试",IF(S115=R115,"通过",IF(LEFT(S115,4)="部分符合","部分通过",IF(LEFT(S115,3)="失败","未通过","待复核"))))</x:f>
        <x:v>通过</x:v>
      </x:c>
      <x:c r="U115" s="214" t="str">
        <x:v>无；人工逐层复核结果与预期一致。</x:v>
      </x:c>
      <x:c r="V115" s="214" t="str">
        <x:v>无</x:v>
      </x:c>
      <x:c r="W115" s="214" t="str">
        <x:v>无需修改；保留为回归基线。</x:v>
      </x:c>
      <x:c r="X115" s="214" t="str">
        <x:v>未测试</x:v>
      </x:c>
      <x:c r="Y115" s="214" t="str">
        <x:v>OpenAI_M20规则回归</x:v>
      </x:c>
      <x:c r="Z115" s="214" t="str">
        <x:v>待人工复核</x:v>
      </x:c>
      <x:c r="AA115" s="217" t="n">
        <x:v>46260</x:v>
      </x:c>
      <x:c r="AB115" s="214" t="str">
        <x:v>V1.7</x:v>
      </x:c>
      <x:c r="AC115" s="214" t="str">
        <x:v>合成命例仅用于规则单元/集成测试，不替代真实命例外部验证。</x:v>
      </x:c>
    </x:row>
    <x:row r="116">
      <x:c r="A116" s="214" t="str">
        <x:f>IF(OR(C116="",D116=""),"",B116&amp;"-"&amp;UPPER(C116)&amp;"-"&amp;TEXT(D116,"0000")&amp;"-"&amp;E116)</x:f>
        <x:v>M20-MED-0110-V1.0</x:v>
      </x:c>
      <x:c r="B116" s="214" t="str">
        <x:v>M20</x:v>
      </x:c>
      <x:c r="C116" s="214" t="str">
        <x:v>MED</x:v>
      </x:c>
      <x:c r="D116" s="216" t="n">
        <x:v>110</x:v>
      </x:c>
      <x:c r="E116" s="214" t="str">
        <x:v>V1.0</x:v>
      </x:c>
      <x:c r="F116" s="214" t="str">
        <x:v>日主无根无印比形成基础承载病</x:v>
      </x:c>
      <x:c r="G116" s="214" t="str">
        <x:v>庚申 辛酉 甲午 戊戌</x:v>
      </x:c>
      <x:c r="H116" s="214" t="str">
        <x:v>未知/不适用</x:v>
      </x:c>
      <x:c r="I116" s="214" t="str">
        <x:v>合成命例；不用于历法排盘；月令按月支与输入事实假设</x:v>
      </x:c>
      <x:c r="J116" s="214" t="str">
        <x:v>内部合成规则测试</x:v>
      </x:c>
      <x:c r="K116" s="214" t="str">
        <x:v>正例</x:v>
      </x:c>
      <x:c r="L116" s="214" t="str">
        <x:v>M16</x:v>
      </x:c>
      <x:c r="M116" s="214" t="str">
        <x:v>M16-WEAK-0009-V1.0</x:v>
      </x:c>
      <x:c r="N116" s="214" t="str">
        <x:v>甲日主无木根、无水印、无比劫；官杀财食负荷持续。</x:v>
      </x:c>
      <x:c r="O116" s="214" t="str">
        <x:v>识别日主极弱且非从格条件待审。</x:v>
      </x:c>
      <x:c r="P116" s="214" t="str">
        <x:v>基础承载不足构成旺衰病。</x:v>
      </x:c>
      <x:c r="Q116" s="214" t="str">
        <x:v>主药候选为印比；若从格严格成立则须重审。</x:v>
      </x:c>
      <x:c r="R116" s="214" t="str">
        <x:v>身弱无依病成立。</x:v>
      </x:c>
      <x:c r="S116" s="214" t="str">
        <x:v>身弱无依病成立。</x:v>
      </x:c>
      <x:c r="T116" s="214" t="str">
        <x:f>IF(S116="","未测试",IF(S116=R116,"通过",IF(LEFT(S116,4)="部分符合","部分通过",IF(LEFT(S116,3)="失败","未通过","待复核"))))</x:f>
        <x:v>通过</x:v>
      </x:c>
      <x:c r="U116" s="214" t="str">
        <x:v>无；人工逐层复核结果与预期一致。</x:v>
      </x:c>
      <x:c r="V116" s="214" t="str">
        <x:v>无</x:v>
      </x:c>
      <x:c r="W116" s="214" t="str">
        <x:v>无需修改；保留为回归基线。</x:v>
      </x:c>
      <x:c r="X116" s="214" t="str">
        <x:v>未测试</x:v>
      </x:c>
      <x:c r="Y116" s="214" t="str">
        <x:v>OpenAI_M20规则回归</x:v>
      </x:c>
      <x:c r="Z116" s="214" t="str">
        <x:v>待人工复核</x:v>
      </x:c>
      <x:c r="AA116" s="217" t="n">
        <x:v>46260</x:v>
      </x:c>
      <x:c r="AB116" s="214" t="str">
        <x:v>V1.7</x:v>
      </x:c>
      <x:c r="AC116" s="214" t="str">
        <x:v>合成命例仅用于规则单元/集成测试，不替代真实命例外部验证。</x:v>
      </x:c>
    </x:row>
    <x:row r="117">
      <x:c r="A117" s="214" t="str">
        <x:f>IF(OR(C117="",D117=""),"",B117&amp;"-"&amp;UPPER(C117)&amp;"-"&amp;TEXT(D117,"0000")&amp;"-"&amp;E117)</x:f>
        <x:v>M20-MED-0111-V1.0</x:v>
      </x:c>
      <x:c r="B117" s="214" t="str">
        <x:v>M20</x:v>
      </x:c>
      <x:c r="C117" s="214" t="str">
        <x:v>MED</x:v>
      </x:c>
      <x:c r="D117" s="216" t="n">
        <x:v>111</x:v>
      </x:c>
      <x:c r="E117" s="214" t="str">
        <x:v>V1.0</x:v>
      </x:c>
      <x:c r="F117" s="214" t="str">
        <x:v>旺而流通良好且承担格局功能不立旺病</x:v>
      </x:c>
      <x:c r="G117" s="214" t="str">
        <x:v>甲寅 丙午 戊辰 庚申</x:v>
      </x:c>
      <x:c r="H117" s="214" t="str">
        <x:v>未知/不适用</x:v>
      </x:c>
      <x:c r="I117" s="214" t="str">
        <x:v>合成命例；不用于历法排盘；月令按月支与输入事实假设</x:v>
      </x:c>
      <x:c r="J117" s="214" t="str">
        <x:v>内部合成规则测试</x:v>
      </x:c>
      <x:c r="K117" s="214" t="str">
        <x:v>反例</x:v>
      </x:c>
      <x:c r="L117" s="214" t="str">
        <x:v>M16</x:v>
      </x:c>
      <x:c r="M117" s="214" t="str">
        <x:v>M16-STRONG-0021-V1.0</x:v>
      </x:c>
      <x:c r="N117" s="214" t="str">
        <x:v>木火土金连续生化，木虽旺但有火泄、土承、金终点；格局需要木作为源头。</x:v>
      </x:c>
      <x:c r="O117" s="214" t="str">
        <x:v>识别木旺。</x:v>
      </x:c>
      <x:c r="P117" s="214" t="str">
        <x:v>旺势有稳定出口和格局职责。</x:v>
      </x:c>
      <x:c r="Q117" s="214" t="str">
        <x:v>不立木旺病，不指定强抑木药。</x:v>
      </x:c>
      <x:c r="R117" s="214" t="str">
        <x:v>木旺而有用，不作为病。</x:v>
      </x:c>
      <x:c r="S117" s="214" t="str">
        <x:v>木旺而有用，不作为病。</x:v>
      </x:c>
      <x:c r="T117" s="214" t="str">
        <x:f>IF(S117="","未测试",IF(S117=R117,"通过",IF(LEFT(S117,4)="部分符合","部分通过",IF(LEFT(S117,3)="失败","未通过","待复核"))))</x:f>
        <x:v>通过</x:v>
      </x:c>
      <x:c r="U117" s="214" t="str">
        <x:v>无；人工逐层复核结果与预期一致。</x:v>
      </x:c>
      <x:c r="V117" s="214" t="str">
        <x:v>无</x:v>
      </x:c>
      <x:c r="W117" s="214" t="str">
        <x:v>无需修改；保留为回归基线。</x:v>
      </x:c>
      <x:c r="X117" s="214" t="str">
        <x:v>未测试</x:v>
      </x:c>
      <x:c r="Y117" s="214" t="str">
        <x:v>OpenAI_M20规则回归</x:v>
      </x:c>
      <x:c r="Z117" s="214" t="str">
        <x:v>待人工复核</x:v>
      </x:c>
      <x:c r="AA117" s="217" t="n">
        <x:v>46260</x:v>
      </x:c>
      <x:c r="AB117" s="214" t="str">
        <x:v>V1.7</x:v>
      </x:c>
      <x:c r="AC117" s="214" t="str">
        <x:v>合成命例仅用于规则单元/集成测试，不替代真实命例外部验证。</x:v>
      </x:c>
    </x:row>
    <x:row r="118">
      <x:c r="A118" s="214" t="str">
        <x:f>IF(OR(C118="",D118=""),"",B118&amp;"-"&amp;UPPER(C118)&amp;"-"&amp;TEXT(D118,"0000")&amp;"-"&amp;E118)</x:f>
        <x:v>M20-MED-0112-V1.0</x:v>
      </x:c>
      <x:c r="B118" s="214" t="str">
        <x:v>M20</x:v>
      </x:c>
      <x:c r="C118" s="214" t="str">
        <x:v>MED</x:v>
      </x:c>
      <x:c r="D118" s="216" t="n">
        <x:v>112</x:v>
      </x:c>
      <x:c r="E118" s="214" t="str">
        <x:v>V1.0</x:v>
      </x:c>
      <x:c r="F118" s="214" t="str">
        <x:v>不可替代水桥缺失构成流通病</x:v>
      </x:c>
      <x:c r="G118" s="214" t="str">
        <x:v>庚申 戊辰 甲寅 丁午</x:v>
      </x:c>
      <x:c r="H118" s="214" t="str">
        <x:v>未知/不适用</x:v>
      </x:c>
      <x:c r="I118" s="214" t="str">
        <x:v>合成命例；不用于历法排盘；月令按月支与输入事实假设</x:v>
      </x:c>
      <x:c r="J118" s="214" t="str">
        <x:v>内部合成规则测试</x:v>
      </x:c>
      <x:c r="K118" s="214" t="str">
        <x:v>正例</x:v>
      </x:c>
      <x:c r="L118" s="214" t="str">
        <x:v>M16</x:v>
      </x:c>
      <x:c r="M118" s="214" t="str">
        <x:v>M16-FLOW-0025-V1.0</x:v>
      </x:c>
      <x:c r="N118" s="214" t="str">
        <x:v>金木两强相战，无有效水桥，其他路径不能同时泄金生木。</x:v>
      </x:c>
      <x:c r="O118" s="214" t="str">
        <x:v>M12确认真正缺桥。</x:v>
      </x:c>
      <x:c r="P118" s="214" t="str">
        <x:v>病位在金木之间的水桥梁。</x:v>
      </x:c>
      <x:c r="Q118" s="214" t="str">
        <x:v>主药候选为水，仍需审寒湿和格局副作用。</x:v>
      </x:c>
      <x:c r="R118" s="214" t="str">
        <x:v>缺水桥构成流通病。</x:v>
      </x:c>
      <x:c r="S118" s="214" t="str">
        <x:v>缺水桥构成流通病。</x:v>
      </x:c>
      <x:c r="T118" s="214" t="str">
        <x:f>IF(S118="","未测试",IF(S118=R118,"通过",IF(LEFT(S118,4)="部分符合","部分通过",IF(LEFT(S118,3)="失败","未通过","待复核"))))</x:f>
        <x:v>通过</x:v>
      </x:c>
      <x:c r="U118" s="214" t="str">
        <x:v>无；人工逐层复核结果与预期一致。</x:v>
      </x:c>
      <x:c r="V118" s="214" t="str">
        <x:v>无</x:v>
      </x:c>
      <x:c r="W118" s="214" t="str">
        <x:v>无需修改；保留为回归基线。</x:v>
      </x:c>
      <x:c r="X118" s="214" t="str">
        <x:v>未测试</x:v>
      </x:c>
      <x:c r="Y118" s="214" t="str">
        <x:v>OpenAI_M20规则回归</x:v>
      </x:c>
      <x:c r="Z118" s="214" t="str">
        <x:v>待人工复核</x:v>
      </x:c>
      <x:c r="AA118" s="217" t="n">
        <x:v>46260</x:v>
      </x:c>
      <x:c r="AB118" s="214" t="str">
        <x:v>V1.7</x:v>
      </x:c>
      <x:c r="AC118" s="214" t="str">
        <x:v>合成命例仅用于规则单元/集成测试，不替代真实命例外部验证。</x:v>
      </x:c>
    </x:row>
    <x:row r="119">
      <x:c r="A119" s="214" t="str">
        <x:f>IF(OR(C119="",D119=""),"",B119&amp;"-"&amp;UPPER(C119)&amp;"-"&amp;TEXT(D119,"0000")&amp;"-"&amp;E119)</x:f>
        <x:v>M20-MED-0113-V1.0</x:v>
      </x:c>
      <x:c r="B119" s="214" t="str">
        <x:v>M20</x:v>
      </x:c>
      <x:c r="C119" s="214" t="str">
        <x:v>MED</x:v>
      </x:c>
      <x:c r="D119" s="216" t="n">
        <x:v>113</x:v>
      </x:c>
      <x:c r="E119" s="214" t="str">
        <x:v>V1.0</x:v>
      </x:c>
      <x:c r="F119" s="214" t="str">
        <x:v>七杀无制无化形成直接攻身病</x:v>
      </x:c>
      <x:c r="G119" s="214" t="str">
        <x:v>庚申 辛酉 甲午 戊戌</x:v>
      </x:c>
      <x:c r="H119" s="214" t="str">
        <x:v>未知/不适用</x:v>
      </x:c>
      <x:c r="I119" s="214" t="str">
        <x:v>合成命例；不用于历法排盘；月令按月支与输入事实假设</x:v>
      </x:c>
      <x:c r="J119" s="214" t="str">
        <x:v>内部合成规则测试</x:v>
      </x:c>
      <x:c r="K119" s="214" t="str">
        <x:v>正例</x:v>
      </x:c>
      <x:c r="L119" s="214" t="str">
        <x:v>M16</x:v>
      </x:c>
      <x:c r="M119" s="214" t="str">
        <x:v>M16-CONTROL-0039-V1.0</x:v>
      </x:c>
      <x:c r="N119" s="214" t="str">
        <x:v>七杀庚有申根；日主甲无根；食神弱、印星不现，不能制化。</x:v>
      </x:c>
      <x:c r="O119" s="214" t="str">
        <x:v>识别杀有权、身无承载。</x:v>
      </x:c>
      <x:c r="P119" s="214" t="str">
        <x:v>七杀压力直接落身。</x:v>
      </x:c>
      <x:c r="Q119" s="214" t="str">
        <x:v>主药需在印化杀或食制杀中择一，但本例先补承载更直接。</x:v>
      </x:c>
      <x:c r="R119" s="214" t="str">
        <x:v>杀无制无化病成立。</x:v>
      </x:c>
      <x:c r="S119" s="214" t="str">
        <x:v>杀无制无化病成立。</x:v>
      </x:c>
      <x:c r="T119" s="214" t="str">
        <x:f>IF(S119="","未测试",IF(S119=R119,"通过",IF(LEFT(S119,4)="部分符合","部分通过",IF(LEFT(S119,3)="失败","未通过","待复核"))))</x:f>
        <x:v>通过</x:v>
      </x:c>
      <x:c r="U119" s="214" t="str">
        <x:v>无；人工逐层复核结果与预期一致。</x:v>
      </x:c>
      <x:c r="V119" s="214" t="str">
        <x:v>无</x:v>
      </x:c>
      <x:c r="W119" s="214" t="str">
        <x:v>无需修改；保留为回归基线。</x:v>
      </x:c>
      <x:c r="X119" s="214" t="str">
        <x:v>未测试</x:v>
      </x:c>
      <x:c r="Y119" s="214" t="str">
        <x:v>OpenAI_M20规则回归</x:v>
      </x:c>
      <x:c r="Z119" s="214" t="str">
        <x:v>待人工复核</x:v>
      </x:c>
      <x:c r="AA119" s="217" t="n">
        <x:v>46260</x:v>
      </x:c>
      <x:c r="AB119" s="214" t="str">
        <x:v>V1.7</x:v>
      </x:c>
      <x:c r="AC119" s="214" t="str">
        <x:v>合成命例仅用于规则单元/集成测试，不替代真实命例外部验证。</x:v>
      </x:c>
    </x:row>
    <x:row r="120">
      <x:c r="A120" s="214" t="str">
        <x:f>IF(OR(C120="",D120=""),"",B120&amp;"-"&amp;UPPER(C120)&amp;"-"&amp;TEXT(D120,"0000")&amp;"-"&amp;E120)</x:f>
        <x:v>M20-MED-0114-V1.0</x:v>
      </x:c>
      <x:c r="B120" s="214" t="str">
        <x:v>M20</x:v>
      </x:c>
      <x:c r="C120" s="214" t="str">
        <x:v>MED</x:v>
      </x:c>
      <x:c r="D120" s="216" t="n">
        <x:v>114</x:v>
      </x:c>
      <x:c r="E120" s="214" t="str">
        <x:v>V1.0</x:v>
      </x:c>
      <x:c r="F120" s="214" t="str">
        <x:v>财坏印是杀印链中断的直接病因</x:v>
      </x:c>
      <x:c r="G120" s="214" t="str">
        <x:v>庚申 己未 甲寅 癸亥</x:v>
      </x:c>
      <x:c r="H120" s="214" t="str">
        <x:v>未知/不适用</x:v>
      </x:c>
      <x:c r="I120" s="214" t="str">
        <x:v>合成命例；不用于历法排盘；月令按月支与输入事实假设</x:v>
      </x:c>
      <x:c r="J120" s="214" t="str">
        <x:v>内部合成规则测试</x:v>
      </x:c>
      <x:c r="K120" s="214" t="str">
        <x:v>正例</x:v>
      </x:c>
      <x:c r="L120" s="214" t="str">
        <x:v>M16</x:v>
      </x:c>
      <x:c r="M120" s="214" t="str">
        <x:v>M16-CONTROL-0046-V1.0</x:v>
      </x:c>
      <x:c r="N120" s="214" t="str">
        <x:v>庚杀生癸印，癸印生日主；己财有未根并克癸印。</x:v>
      </x:c>
      <x:c r="O120" s="214" t="str">
        <x:v>识别杀印链与财克印。</x:v>
      </x:c>
      <x:c r="P120" s="214" t="str">
        <x:v>财星破坏关键印桥，日主承载和化杀同时下降。</x:v>
      </x:c>
      <x:c r="Q120" s="214" t="str">
        <x:v>主药候选为比劫制财护印，印为辅助恢复。</x:v>
      </x:c>
      <x:c r="R120" s="214" t="str">
        <x:v>财坏印构成根本制化病。</x:v>
      </x:c>
      <x:c r="S120" s="214" t="str">
        <x:v>财坏印构成根本制化病。</x:v>
      </x:c>
      <x:c r="T120" s="214" t="str">
        <x:f>IF(S120="","未测试",IF(S120=R120,"通过",IF(LEFT(S120,4)="部分符合","部分通过",IF(LEFT(S120,3)="失败","未通过","待复核"))))</x:f>
        <x:v>通过</x:v>
      </x:c>
      <x:c r="U120" s="214" t="str">
        <x:v>无；人工逐层复核结果与预期一致。</x:v>
      </x:c>
      <x:c r="V120" s="214" t="str">
        <x:v>无</x:v>
      </x:c>
      <x:c r="W120" s="214" t="str">
        <x:v>无需修改；保留为回归基线。</x:v>
      </x:c>
      <x:c r="X120" s="214" t="str">
        <x:v>未测试</x:v>
      </x:c>
      <x:c r="Y120" s="214" t="str">
        <x:v>OpenAI_M20规则回归</x:v>
      </x:c>
      <x:c r="Z120" s="214" t="str">
        <x:v>待人工复核</x:v>
      </x:c>
      <x:c r="AA120" s="217" t="n">
        <x:v>46260</x:v>
      </x:c>
      <x:c r="AB120" s="214" t="str">
        <x:v>V1.7</x:v>
      </x:c>
      <x:c r="AC120" s="214" t="str">
        <x:v>合成命例仅用于规则单元/集成测试，不替代真实命例外部验证。</x:v>
      </x:c>
    </x:row>
    <x:row r="121">
      <x:c r="A121" s="214" t="str">
        <x:f>IF(OR(C121="",D121=""),"",B121&amp;"-"&amp;UPPER(C121)&amp;"-"&amp;TEXT(D121,"0000")&amp;"-"&amp;E121)</x:f>
        <x:v>M20-MED-0115-V1.0</x:v>
      </x:c>
      <x:c r="B121" s="214" t="str">
        <x:v>M20</x:v>
      </x:c>
      <x:c r="C121" s="214" t="str">
        <x:v>MED</x:v>
      </x:c>
      <x:c r="D121" s="216" t="n">
        <x:v>115</x:v>
      </x:c>
      <x:c r="E121" s="214" t="str">
        <x:v>V1.0</x:v>
      </x:c>
      <x:c r="F121" s="214" t="str">
        <x:v>寒湿并重且阻断流通形成调候主病</x:v>
      </x:c>
      <x:c r="G121" s="214" t="str">
        <x:v>壬子 癸亥 戊丑 甲辰</x:v>
      </x:c>
      <x:c r="H121" s="214" t="str">
        <x:v>未知/不适用</x:v>
      </x:c>
      <x:c r="I121" s="214" t="str">
        <x:v>合成命例；不用于历法排盘；月令按月支与输入事实假设</x:v>
      </x:c>
      <x:c r="J121" s="214" t="str">
        <x:v>内部合成规则测试</x:v>
      </x:c>
      <x:c r="K121" s="214" t="str">
        <x:v>正例</x:v>
      </x:c>
      <x:c r="L121" s="214" t="str">
        <x:v>M16</x:v>
      </x:c>
      <x:c r="M121" s="214" t="str">
        <x:v>M16-CLIMATE-0068-V1.0</x:v>
      </x:c>
      <x:c r="N121" s="214" t="str">
        <x:v>寒水与湿土成势，火不现，木火生化和湿土流动均受阻。</x:v>
      </x:c>
      <x:c r="O121" s="214" t="str">
        <x:v>M13判寒湿，M12出现寒凝湿滞卡点。</x:v>
      </x:c>
      <x:c r="P121" s="214" t="str">
        <x:v>寒湿是多个功能障碍的共同根因。</x:v>
      </x:c>
      <x:c r="Q121" s="214" t="str">
        <x:v>火为主药、木为辅助候选。</x:v>
      </x:c>
      <x:c r="R121" s="214" t="str">
        <x:v>寒湿调候病成立。</x:v>
      </x:c>
      <x:c r="S121" s="214" t="str">
        <x:v>寒湿调候病成立。</x:v>
      </x:c>
      <x:c r="T121" s="214" t="str">
        <x:f>IF(S121="","未测试",IF(S121=R121,"通过",IF(LEFT(S121,4)="部分符合","部分通过",IF(LEFT(S121,3)="失败","未通过","待复核"))))</x:f>
        <x:v>通过</x:v>
      </x:c>
      <x:c r="U121" s="214" t="str">
        <x:v>无；人工逐层复核结果与预期一致。</x:v>
      </x:c>
      <x:c r="V121" s="214" t="str">
        <x:v>无</x:v>
      </x:c>
      <x:c r="W121" s="214" t="str">
        <x:v>无需修改；保留为回归基线。</x:v>
      </x:c>
      <x:c r="X121" s="214" t="str">
        <x:v>未测试</x:v>
      </x:c>
      <x:c r="Y121" s="214" t="str">
        <x:v>OpenAI_M20规则回归</x:v>
      </x:c>
      <x:c r="Z121" s="214" t="str">
        <x:v>待人工复核</x:v>
      </x:c>
      <x:c r="AA121" s="217" t="n">
        <x:v>46260</x:v>
      </x:c>
      <x:c r="AB121" s="214" t="str">
        <x:v>V1.7</x:v>
      </x:c>
      <x:c r="AC121" s="214" t="str">
        <x:v>合成命例仅用于规则单元/集成测试，不替代真实命例外部验证。</x:v>
      </x:c>
    </x:row>
    <x:row r="122">
      <x:c r="A122" s="214" t="str">
        <x:f>IF(OR(C122="",D122=""),"",B122&amp;"-"&amp;UPPER(C122)&amp;"-"&amp;TEXT(D122,"0000")&amp;"-"&amp;E122)</x:f>
        <x:v>M20-MED-0116-V1.0</x:v>
      </x:c>
      <x:c r="B122" s="214" t="str">
        <x:v>M20</x:v>
      </x:c>
      <x:c r="C122" s="214" t="str">
        <x:v>MED</x:v>
      </x:c>
      <x:c r="D122" s="216" t="n">
        <x:v>116</x:v>
      </x:c>
      <x:c r="E122" s="214" t="str">
        <x:v>V1.0</x:v>
      </x:c>
      <x:c r="F122" s="214" t="str">
        <x:v>一药同时暖局与通关时优先级提高</x:v>
      </x:c>
      <x:c r="G122" s="214" t="str">
        <x:v>庚申 戊辰 甲寅 丁午</x:v>
      </x:c>
      <x:c r="H122" s="214" t="str">
        <x:v>未知/不适用</x:v>
      </x:c>
      <x:c r="I122" s="214" t="str">
        <x:v>合成命例；不用于历法排盘；月令按月支与输入事实假设</x:v>
      </x:c>
      <x:c r="J122" s="214" t="str">
        <x:v>内部合成规则测试</x:v>
      </x:c>
      <x:c r="K122" s="214" t="str">
        <x:v>正例</x:v>
      </x:c>
      <x:c r="L122" s="214" t="str">
        <x:v>M16</x:v>
      </x:c>
      <x:c r="M122" s="214" t="str">
        <x:v>M16-MED-0078-V1.0</x:v>
      </x:c>
      <x:c r="N122" s="214" t="str">
        <x:v>命局偏寒，金木相战缺桥；假设水通关会更寒，而火可暖局并泄木生土形成替代主路径。</x:v>
      </x:c>
      <x:c r="O122" s="214" t="str">
        <x:v>识别多个病位和候选药路。</x:v>
      </x:c>
      <x:c r="P122" s="214" t="str">
        <x:v>同一火若能同时改善气候与主要流通，形成一药多效。</x:v>
      </x:c>
      <x:c r="Q122" s="214" t="str">
        <x:v>火可提高为主药候选，但需核查是否真正覆盖金木冲突。</x:v>
      </x:c>
      <x:c r="R122" s="214" t="str">
        <x:v>一药多效可提高优先级，仍需M18净收益裁决。</x:v>
      </x:c>
      <x:c r="S122" s="214" t="str">
        <x:v>部分符合：一药多效可提高优先级，仍需M18净收益裁决。</x:v>
      </x:c>
      <x:c r="T122" s="214" t="str">
        <x:f>IF(S122="","未测试",IF(S122=R122,"通过",IF(LEFT(S122,4)="部分符合","部分通过",IF(LEFT(S122,3)="失败","未通过","待复核"))))</x:f>
        <x:v>部分通过</x:v>
      </x:c>
      <x:c r="U122" s="214" t="str">
        <x:v>核心方向符合，但边界条件、权重或唯一化结论仍不足。</x:v>
      </x:c>
      <x:c r="V122" s="214" t="str">
        <x:v>替代流通路径是否足以覆盖原金木主冲突需更多完整案例</x:v>
      </x:c>
      <x:c r="W122" s="214" t="str">
        <x:v>M21-CASE-0050-V1.0已登记：允许复合候选，但不得在未覆盖主冲突前升级确定主用。</x:v>
      </x:c>
      <x:c r="X122" s="214" t="str">
        <x:v>待复核</x:v>
      </x:c>
      <x:c r="Y122" s="214" t="str">
        <x:v>OpenAI_M20规则回归</x:v>
      </x:c>
      <x:c r="Z122" s="214" t="str">
        <x:v>待人工复核</x:v>
      </x:c>
      <x:c r="AA122" s="217" t="n">
        <x:v>46260</x:v>
      </x:c>
      <x:c r="AB122" s="214" t="str">
        <x:v>V1.7</x:v>
      </x:c>
      <x:c r="AC122" s="214" t="str">
        <x:v>合成命例仅用于规则单元/集成测试，不替代真实命例外部验证。</x:v>
      </x:c>
    </x:row>
    <x:row r="123">
      <x:c r="A123" s="214" t="str">
        <x:f>IF(OR(C123="",D123=""),"",B123&amp;"-"&amp;UPPER(C123)&amp;"-"&amp;TEXT(D123,"0000")&amp;"-"&amp;E123)</x:f>
        <x:v>M20-MED-0117-V1.0</x:v>
      </x:c>
      <x:c r="B123" s="214" t="str">
        <x:v>M20</x:v>
      </x:c>
      <x:c r="C123" s="214" t="str">
        <x:v>MED</x:v>
      </x:c>
      <x:c r="D123" s="216" t="n">
        <x:v>117</x:v>
      </x:c>
      <x:c r="E123" s="214" t="str">
        <x:v>V1.0</x:v>
      </x:c>
      <x:c r="F123" s="214" t="str">
        <x:v>药力过量会由暖局转为热燥新病</x:v>
      </x:c>
      <x:c r="G123" s="214" t="str">
        <x:v>丙午 丁巳 癸亥 壬子</x:v>
      </x:c>
      <x:c r="H123" s="214" t="str">
        <x:v>未知/不适用</x:v>
      </x:c>
      <x:c r="I123" s="214" t="str">
        <x:v>合成命例；不用于历法排盘；月令按月支与输入事实假设</x:v>
      </x:c>
      <x:c r="J123" s="214" t="str">
        <x:v>内部合成规则测试</x:v>
      </x:c>
      <x:c r="K123" s="214" t="str">
        <x:v>边界案例</x:v>
      </x:c>
      <x:c r="L123" s="214" t="str">
        <x:v>M16</x:v>
      </x:c>
      <x:c r="M123" s="214" t="str">
        <x:v>M16-DOSE-0091-V1.0</x:v>
      </x:c>
      <x:c r="N123" s="214" t="str">
        <x:v>原局冬寒需要适量火；假设继续强化巳午丙丁，温度越过平衡并耗水。</x:v>
      </x:c>
      <x:c r="O123" s="214" t="str">
        <x:v>识别火为调候药。</x:v>
      </x:c>
      <x:c r="P123" s="214" t="str">
        <x:v>适量暖局，过量形成极热燥并加重癸水承载。</x:v>
      </x:c>
      <x:c r="Q123" s="214" t="str">
        <x:v>火的定位随剂量由喜转条件性忌。</x:v>
      </x:c>
      <x:c r="R123" s="214" t="str">
        <x:v>药过平衡点形成反向新病。</x:v>
      </x:c>
      <x:c r="S123" s="214" t="str">
        <x:v>药过平衡点形成反向新病。</x:v>
      </x:c>
      <x:c r="T123" s="214" t="str">
        <x:f>IF(S123="","未测试",IF(S123=R123,"通过",IF(LEFT(S123,4)="部分符合","部分通过",IF(LEFT(S123,3)="失败","未通过","待复核"))))</x:f>
        <x:v>通过</x:v>
      </x:c>
      <x:c r="U123" s="214" t="str">
        <x:v>无；人工逐层复核结果与预期一致。</x:v>
      </x:c>
      <x:c r="V123" s="214" t="str">
        <x:v>无</x:v>
      </x:c>
      <x:c r="W123" s="214" t="str">
        <x:v>无需修改；保留为回归基线。</x:v>
      </x:c>
      <x:c r="X123" s="214" t="str">
        <x:v>未测试</x:v>
      </x:c>
      <x:c r="Y123" s="214" t="str">
        <x:v>OpenAI_M20规则回归</x:v>
      </x:c>
      <x:c r="Z123" s="214" t="str">
        <x:v>待人工复核</x:v>
      </x:c>
      <x:c r="AA123" s="217" t="n">
        <x:v>46260</x:v>
      </x:c>
      <x:c r="AB123" s="214" t="str">
        <x:v>V1.7</x:v>
      </x:c>
      <x:c r="AC123" s="214" t="str">
        <x:v>合成命例仅用于规则单元/集成测试，不替代真实命例外部验证。</x:v>
      </x:c>
    </x:row>
    <x:row r="124">
      <x:c r="A124" s="214" t="str">
        <x:f>IF(OR(C124="",D124=""),"",B124&amp;"-"&amp;UPPER(C124)&amp;"-"&amp;TEXT(D124,"0000")&amp;"-"&amp;E124)</x:f>
        <x:v>M20-MED-0118-V1.0</x:v>
      </x:c>
      <x:c r="B124" s="214" t="str">
        <x:v>M20</x:v>
      </x:c>
      <x:c r="C124" s="214" t="str">
        <x:v>MED</x:v>
      </x:c>
      <x:c r="D124" s="216" t="n">
        <x:v>118</x:v>
      </x:c>
      <x:c r="E124" s="214" t="str">
        <x:v>V1.0</x:v>
      </x:c>
      <x:c r="F124" s="214" t="str">
        <x:v>双轴平衡且结构正常时不立调候病</x:v>
      </x:c>
      <x:c r="G124" s="214" t="str">
        <x:v>壬子 丙午 甲寅 庚申</x:v>
      </x:c>
      <x:c r="H124" s="214" t="str">
        <x:v>未知/不适用</x:v>
      </x:c>
      <x:c r="I124" s="214" t="str">
        <x:v>合成命例；不用于历法排盘；月令按月支与输入事实假设</x:v>
      </x:c>
      <x:c r="J124" s="214" t="str">
        <x:v>内部合成规则测试</x:v>
      </x:c>
      <x:c r="K124" s="214" t="str">
        <x:v>反例</x:v>
      </x:c>
      <x:c r="L124" s="214" t="str">
        <x:v>M16</x:v>
      </x:c>
      <x:c r="M124" s="214" t="str">
        <x:v>M16-CLIMATE-0076-V1.0</x:v>
      </x:c>
      <x:c r="N124" s="214" t="str">
        <x:v>水火有根相制，双轴平衡；M12无寒凝燥枯卡点。</x:v>
      </x:c>
      <x:c r="O124" s="214" t="str">
        <x:v>识别气候平衡。</x:v>
      </x:c>
      <x:c r="P124" s="214" t="str">
        <x:v>无实际调候功能障碍。</x:v>
      </x:c>
      <x:c r="Q124" s="214" t="str">
        <x:v>不得为了完整病药列表强行设调候主药。</x:v>
      </x:c>
      <x:c r="R124" s="214" t="str">
        <x:v>寒暖燥湿平衡，不立调候病。</x:v>
      </x:c>
      <x:c r="S124" s="214" t="str">
        <x:v>寒暖燥湿平衡，不立调候病。</x:v>
      </x:c>
      <x:c r="T124" s="214" t="str">
        <x:f>IF(S124="","未测试",IF(S124=R124,"通过",IF(LEFT(S124,4)="部分符合","部分通过",IF(LEFT(S124,3)="失败","未通过","待复核"))))</x:f>
        <x:v>通过</x:v>
      </x:c>
      <x:c r="U124" s="214" t="str">
        <x:v>无；人工逐层复核结果与预期一致。</x:v>
      </x:c>
      <x:c r="V124" s="214" t="str">
        <x:v>无</x:v>
      </x:c>
      <x:c r="W124" s="214" t="str">
        <x:v>无需修改；保留为回归基线。</x:v>
      </x:c>
      <x:c r="X124" s="214" t="str">
        <x:v>未测试</x:v>
      </x:c>
      <x:c r="Y124" s="214" t="str">
        <x:v>OpenAI_M20规则回归</x:v>
      </x:c>
      <x:c r="Z124" s="214" t="str">
        <x:v>待人工复核</x:v>
      </x:c>
      <x:c r="AA124" s="217" t="n">
        <x:v>46260</x:v>
      </x:c>
      <x:c r="AB124" s="214" t="str">
        <x:v>V1.7</x:v>
      </x:c>
      <x:c r="AC124" s="214" t="str">
        <x:v>合成命例仅用于规则单元/集成测试，不替代真实命例外部验证。</x:v>
      </x:c>
    </x:row>
    <x:row r="125">
      <x:c r="A125" s="214" t="str">
        <x:f>IF(OR(C125="",D125=""),"",B125&amp;"-"&amp;UPPER(C125)&amp;"-"&amp;TEXT(D125,"0000")&amp;"-"&amp;E125)</x:f>
        <x:v>M20-USE-0119-V1.0</x:v>
      </x:c>
      <x:c r="B125" s="214" t="str">
        <x:v>M20</x:v>
      </x:c>
      <x:c r="C125" s="214" t="str">
        <x:v>USE</x:v>
      </x:c>
      <x:c r="D125" s="216" t="n">
        <x:v>119</x:v>
      </x:c>
      <x:c r="E125" s="214" t="str">
        <x:v>V1.0</x:v>
      </x:c>
      <x:c r="F125" s="214" t="str">
        <x:v>候选五行必须逐项进入五维矩阵</x:v>
      </x:c>
      <x:c r="G125" s="214" t="str">
        <x:v>庚申 己未 甲寅 癸亥</x:v>
      </x:c>
      <x:c r="H125" s="214" t="str">
        <x:v>未知/不适用</x:v>
      </x:c>
      <x:c r="I125" s="214" t="str">
        <x:v>合成命例；不用于历法排盘；月令按月支与输入事实假设</x:v>
      </x:c>
      <x:c r="J125" s="214" t="str">
        <x:v>内部合成规则测试</x:v>
      </x:c>
      <x:c r="K125" s="214" t="str">
        <x:v>正例</x:v>
      </x:c>
      <x:c r="L125" s="214" t="str">
        <x:v>M17</x:v>
      </x:c>
      <x:c r="M125" s="214" t="str">
        <x:v>M17-GEN-0001-V1.0</x:v>
      </x:c>
      <x:c r="N125" s="214" t="str">
        <x:v>候选木、火、土、金、水分别对日主、格局、流通、调候和财坏印病产生不同作用。</x:v>
      </x:c>
      <x:c r="O125" s="214" t="str">
        <x:v>识别五个维度的输入结论。</x:v>
      </x:c>
      <x:c r="P125" s="214" t="str">
        <x:v>逐五行记录收益、副作用和条件。</x:v>
      </x:c>
      <x:c r="Q125" s="214" t="str">
        <x:v>不允许仅凭身弱或调候单项直接定主用。</x:v>
      </x:c>
      <x:c r="R125" s="214" t="str">
        <x:v>五维用神矩阵被完整调用。</x:v>
      </x:c>
      <x:c r="S125" s="214" t="str">
        <x:v>五维用神矩阵被完整调用。</x:v>
      </x:c>
      <x:c r="T125" s="214" t="str">
        <x:f>IF(S125="","未测试",IF(S125=R125,"通过",IF(LEFT(S125,4)="部分符合","部分通过",IF(LEFT(S125,3)="失败","未通过","待复核"))))</x:f>
        <x:v>通过</x:v>
      </x:c>
      <x:c r="U125" s="214" t="str">
        <x:v>无；人工逐层复核结果与预期一致。</x:v>
      </x:c>
      <x:c r="V125" s="214" t="str">
        <x:v>无</x:v>
      </x:c>
      <x:c r="W125" s="214" t="str">
        <x:v>无需修改；保留为回归基线。</x:v>
      </x:c>
      <x:c r="X125" s="214" t="str">
        <x:v>未测试</x:v>
      </x:c>
      <x:c r="Y125" s="214" t="str">
        <x:v>OpenAI_M20规则回归</x:v>
      </x:c>
      <x:c r="Z125" s="214" t="str">
        <x:v>待人工复核</x:v>
      </x:c>
      <x:c r="AA125" s="217" t="n">
        <x:v>46260</x:v>
      </x:c>
      <x:c r="AB125" s="214" t="str">
        <x:v>V1.7</x:v>
      </x:c>
      <x:c r="AC125" s="214" t="str">
        <x:v>合成命例仅用于规则单元/集成测试，不替代真实命例外部验证。</x:v>
      </x:c>
    </x:row>
    <x:row r="126">
      <x:c r="A126" s="214" t="str">
        <x:f>IF(OR(C126="",D126=""),"",B126&amp;"-"&amp;UPPER(C126)&amp;"-"&amp;TEXT(D126,"0000")&amp;"-"&amp;E126)</x:f>
        <x:v>M20-USE-0120-V1.0</x:v>
      </x:c>
      <x:c r="B126" s="214" t="str">
        <x:v>M20</x:v>
      </x:c>
      <x:c r="C126" s="214" t="str">
        <x:v>USE</x:v>
      </x:c>
      <x:c r="D126" s="216" t="n">
        <x:v>120</x:v>
      </x:c>
      <x:c r="E126" s="214" t="str">
        <x:v>V1.0</x:v>
      </x:c>
      <x:c r="F126" s="214" t="str">
        <x:v>只有调候一维有利不能直接升主用</x:v>
      </x:c>
      <x:c r="G126" s="214" t="str">
        <x:v>丙申 壬子 甲辰 癸亥</x:v>
      </x:c>
      <x:c r="H126" s="214" t="str">
        <x:v>未知/不适用</x:v>
      </x:c>
      <x:c r="I126" s="214" t="str">
        <x:v>合成命例；不用于历法排盘；月令按月支与输入事实假设</x:v>
      </x:c>
      <x:c r="J126" s="214" t="str">
        <x:v>内部合成规则测试</x:v>
      </x:c>
      <x:c r="K126" s="214" t="str">
        <x:v>反例</x:v>
      </x:c>
      <x:c r="L126" s="214" t="str">
        <x:v>M17</x:v>
      </x:c>
      <x:c r="M126" s="214" t="str">
        <x:v>M17-GEN-0002-V1.0</x:v>
      </x:c>
      <x:c r="N126" s="214" t="str">
        <x:v>火可暖寒局；但火无根、会泄弱甲木，且可能伤印格。</x:v>
      </x:c>
      <x:c r="O126" s="214" t="str">
        <x:v>识别火的调候正向。</x:v>
      </x:c>
      <x:c r="P126" s="214" t="str">
        <x:v>其他维度未支持或存在反向证据。</x:v>
      </x:c>
      <x:c r="Q126" s="214" t="str">
        <x:v>火最多列条件性喜神，不能列无条件主用。</x:v>
      </x:c>
      <x:c r="R126" s="214" t="str">
        <x:v>单一调候收益未被越级升级。</x:v>
      </x:c>
      <x:c r="S126" s="214" t="str">
        <x:v>单一调候收益未被越级升级。</x:v>
      </x:c>
      <x:c r="T126" s="214" t="str">
        <x:f>IF(S126="","未测试",IF(S126=R126,"通过",IF(LEFT(S126,4)="部分符合","部分通过",IF(LEFT(S126,3)="失败","未通过","待复核"))))</x:f>
        <x:v>通过</x:v>
      </x:c>
      <x:c r="U126" s="214" t="str">
        <x:v>无；人工逐层复核结果与预期一致。</x:v>
      </x:c>
      <x:c r="V126" s="214" t="str">
        <x:v>无</x:v>
      </x:c>
      <x:c r="W126" s="214" t="str">
        <x:v>无需修改；保留为回归基线。</x:v>
      </x:c>
      <x:c r="X126" s="214" t="str">
        <x:v>未测试</x:v>
      </x:c>
      <x:c r="Y126" s="214" t="str">
        <x:v>OpenAI_M20规则回归</x:v>
      </x:c>
      <x:c r="Z126" s="214" t="str">
        <x:v>待人工复核</x:v>
      </x:c>
      <x:c r="AA126" s="217" t="n">
        <x:v>46260</x:v>
      </x:c>
      <x:c r="AB126" s="214" t="str">
        <x:v>V1.7</x:v>
      </x:c>
      <x:c r="AC126" s="214" t="str">
        <x:v>合成命例仅用于规则单元/集成测试，不替代真实命例外部验证。</x:v>
      </x:c>
    </x:row>
    <x:row r="127">
      <x:c r="A127" s="214" t="str">
        <x:f>IF(OR(C127="",D127=""),"",B127&amp;"-"&amp;UPPER(C127)&amp;"-"&amp;TEXT(D127,"0000")&amp;"-"&amp;E127)</x:f>
        <x:v>M20-USE-0121-V1.0</x:v>
      </x:c>
      <x:c r="B127" s="214" t="str">
        <x:v>M20</x:v>
      </x:c>
      <x:c r="C127" s="214" t="str">
        <x:v>USE</x:v>
      </x:c>
      <x:c r="D127" s="216" t="n">
        <x:v>121</x:v>
      </x:c>
      <x:c r="E127" s="214" t="str">
        <x:v>V1.0</x:v>
      </x:c>
      <x:c r="F127" s="214" t="str">
        <x:v>病药与格局同向可升级主用候选</x:v>
      </x:c>
      <x:c r="G127" s="214" t="str">
        <x:v>庚申 己未 甲寅 癸亥</x:v>
      </x:c>
      <x:c r="H127" s="214" t="str">
        <x:v>未知/不适用</x:v>
      </x:c>
      <x:c r="I127" s="214" t="str">
        <x:v>合成命例；不用于历法排盘；月令按月支与输入事实假设</x:v>
      </x:c>
      <x:c r="J127" s="214" t="str">
        <x:v>内部合成规则测试</x:v>
      </x:c>
      <x:c r="K127" s="214" t="str">
        <x:v>正例</x:v>
      </x:c>
      <x:c r="L127" s="214" t="str">
        <x:v>M17</x:v>
      </x:c>
      <x:c r="M127" s="214" t="str">
        <x:v>M17-GEN-0004-V1.0；M18-MED-0042-V1.0</x:v>
      </x:c>
      <x:c r="N127" s="214" t="str">
        <x:v>七杀格依赖印化杀；根本病为财坏印；比劫可制财护印并扶身。</x:v>
      </x:c>
      <x:c r="O127" s="214" t="str">
        <x:v>识别格局病、病药和扶抑多维同向。</x:v>
      </x:c>
      <x:c r="P127" s="214" t="str">
        <x:v>比劫同时救格、治病、扶身。</x:v>
      </x:c>
      <x:c r="Q127" s="214" t="str">
        <x:v>经硬约束和副作用审查后可列主用候选。</x:v>
      </x:c>
      <x:c r="R127" s="214" t="str">
        <x:v>比劫因病格同向升级为主用候选。</x:v>
      </x:c>
      <x:c r="S127" s="214" t="str">
        <x:v>比劫因病格同向升级为主用候选。</x:v>
      </x:c>
      <x:c r="T127" s="214" t="str">
        <x:f>IF(S127="","未测试",IF(S127=R127,"通过",IF(LEFT(S127,4)="部分符合","部分通过",IF(LEFT(S127,3)="失败","未通过","待复核"))))</x:f>
        <x:v>通过</x:v>
      </x:c>
      <x:c r="U127" s="214" t="str">
        <x:v>无；人工逐层复核结果与预期一致。</x:v>
      </x:c>
      <x:c r="V127" s="214" t="str">
        <x:v>无</x:v>
      </x:c>
      <x:c r="W127" s="214" t="str">
        <x:v>无需修改；保留为回归基线。</x:v>
      </x:c>
      <x:c r="X127" s="214" t="str">
        <x:v>未测试</x:v>
      </x:c>
      <x:c r="Y127" s="214" t="str">
        <x:v>OpenAI_M20规则回归</x:v>
      </x:c>
      <x:c r="Z127" s="214" t="str">
        <x:v>待人工复核</x:v>
      </x:c>
      <x:c r="AA127" s="217" t="n">
        <x:v>46260</x:v>
      </x:c>
      <x:c r="AB127" s="214" t="str">
        <x:v>V1.7</x:v>
      </x:c>
      <x:c r="AC127" s="214" t="str">
        <x:v>合成命例仅用于规则单元/集成测试，不替代真实命例外部验证。</x:v>
      </x:c>
    </x:row>
    <x:row r="128">
      <x:c r="A128" s="214" t="str">
        <x:f>IF(OR(C128="",D128=""),"",B128&amp;"-"&amp;UPPER(C128)&amp;"-"&amp;TEXT(D128,"0000")&amp;"-"&amp;E128)</x:f>
        <x:v>M20-USE-0122-V1.0</x:v>
      </x:c>
      <x:c r="B128" s="214" t="str">
        <x:v>M20</x:v>
      </x:c>
      <x:c r="C128" s="214" t="str">
        <x:v>USE</x:v>
      </x:c>
      <x:c r="D128" s="216" t="n">
        <x:v>122</x:v>
      </x:c>
      <x:c r="E128" s="214" t="str">
        <x:v>V1.0</x:v>
      </x:c>
      <x:c r="F128" s="214" t="str">
        <x:v>真从格成立时普通扶身候选必须让位</x:v>
      </x:c>
      <x:c r="G128" s="214" t="str">
        <x:v>戊辰 己未 甲申 戊戌</x:v>
      </x:c>
      <x:c r="H128" s="214" t="str">
        <x:v>未知/不适用</x:v>
      </x:c>
      <x:c r="I128" s="214" t="str">
        <x:v>合成命例；不用于历法排盘；月令按月支与输入事实假设</x:v>
      </x:c>
      <x:c r="J128" s="214" t="str">
        <x:v>内部合成规则测试</x:v>
      </x:c>
      <x:c r="K128" s="214" t="str">
        <x:v>正例</x:v>
      </x:c>
      <x:c r="L128" s="214" t="str">
        <x:v>M18</x:v>
      </x:c>
      <x:c r="M128" s="214" t="str">
        <x:v>M18-SPECIAL-0009-V1.0；M18-SPECIAL-0014-V1.0</x:v>
      </x:c>
      <x:c r="N128" s="214" t="str">
        <x:v>M15确认从财格严格成立；印比扶身会使甲木重新自立。</x:v>
      </x:c>
      <x:c r="O128" s="214" t="str">
        <x:v>识别特殊格局硬约束。</x:v>
      </x:c>
      <x:c r="P128" s="214" t="str">
        <x:v>顺财势方案优先，普通印比扶身构成破从。</x:v>
      </x:c>
      <x:c r="Q128" s="214" t="str">
        <x:v>财及顺势五行列用，印比列忌或仇。</x:v>
      </x:c>
      <x:c r="R128" s="214" t="str">
        <x:v>严格从财格压过普通身弱扶身逻辑。</x:v>
      </x:c>
      <x:c r="S128" s="214" t="str">
        <x:v>严格从财格压过普通身弱扶身逻辑。</x:v>
      </x:c>
      <x:c r="T128" s="214" t="str">
        <x:f>IF(S128="","未测试",IF(S128=R128,"通过",IF(LEFT(S128,4)="部分符合","部分通过",IF(LEFT(S128,3)="失败","未通过","待复核"))))</x:f>
        <x:v>通过</x:v>
      </x:c>
      <x:c r="U128" s="214" t="str">
        <x:v>无；人工逐层复核结果与预期一致。</x:v>
      </x:c>
      <x:c r="V128" s="214" t="str">
        <x:v>无</x:v>
      </x:c>
      <x:c r="W128" s="214" t="str">
        <x:v>无需修改；保留为回归基线。</x:v>
      </x:c>
      <x:c r="X128" s="214" t="str">
        <x:v>未测试</x:v>
      </x:c>
      <x:c r="Y128" s="214" t="str">
        <x:v>OpenAI_M20规则回归</x:v>
      </x:c>
      <x:c r="Z128" s="214" t="str">
        <x:v>待人工复核</x:v>
      </x:c>
      <x:c r="AA128" s="217" t="n">
        <x:v>46260</x:v>
      </x:c>
      <x:c r="AB128" s="214" t="str">
        <x:v>V1.7</x:v>
      </x:c>
      <x:c r="AC128" s="214" t="str">
        <x:v>合成命例仅用于规则单元/集成测试，不替代真实命例外部验证。</x:v>
      </x:c>
    </x:row>
    <x:row r="129">
      <x:c r="A129" s="214" t="str">
        <x:f>IF(OR(C129="",D129=""),"",B129&amp;"-"&amp;UPPER(C129)&amp;"-"&amp;TEXT(D129,"0000")&amp;"-"&amp;E129)</x:f>
        <x:v>M20-USE-0123-V1.0</x:v>
      </x:c>
      <x:c r="B129" s="214" t="str">
        <x:v>M20</x:v>
      </x:c>
      <x:c r="C129" s="214" t="str">
        <x:v>USE</x:v>
      </x:c>
      <x:c r="D129" s="216" t="n">
        <x:v>123</x:v>
      </x:c>
      <x:c r="E129" s="214" t="str">
        <x:v>V1.0</x:v>
      </x:c>
      <x:c r="F129" s="214" t="str">
        <x:v>局部扶抑有利但伤核心格局必须降级</x:v>
      </x:c>
      <x:c r="G129" s="214" t="str">
        <x:v>丁巳 辛酉 甲寅 癸亥</x:v>
      </x:c>
      <x:c r="H129" s="214" t="str">
        <x:v>未知/不适用</x:v>
      </x:c>
      <x:c r="I129" s="214" t="str">
        <x:v>合成命例；不用于历法排盘；月令按月支与输入事实假设</x:v>
      </x:c>
      <x:c r="J129" s="214" t="str">
        <x:v>内部合成规则测试</x:v>
      </x:c>
      <x:c r="K129" s="214" t="str">
        <x:v>边界案例</x:v>
      </x:c>
      <x:c r="L129" s="214" t="str">
        <x:v>M17</x:v>
      </x:c>
      <x:c r="M129" s="214" t="str">
        <x:v>M17-GEN-0006-V1.0；M18-PATTERN-0017-V1.0</x:v>
      </x:c>
      <x:c r="N129" s="214" t="str">
        <x:v>甲日主偏旺，丁伤官可泄身；但辛正官为核心格神，丁直接伤官见官。</x:v>
      </x:c>
      <x:c r="O129" s="214" t="str">
        <x:v>识别泄身收益和破官格损害。</x:v>
      </x:c>
      <x:c r="P129" s="214" t="str">
        <x:v>根本破格风险高于一般扶抑收益。</x:v>
      </x:c>
      <x:c r="Q129" s="214" t="str">
        <x:v>丁火由泄身候选降为条件性忌神或不采用。</x:v>
      </x:c>
      <x:c r="R129" s="214" t="str">
        <x:v>伤格副作用使局部有利五行降级。</x:v>
      </x:c>
      <x:c r="S129" s="214" t="str">
        <x:v>伤格副作用使局部有利五行降级。</x:v>
      </x:c>
      <x:c r="T129" s="214" t="str">
        <x:f>IF(S129="","未测试",IF(S129=R129,"通过",IF(LEFT(S129,4)="部分符合","部分通过",IF(LEFT(S129,3)="失败","未通过","待复核"))))</x:f>
        <x:v>通过</x:v>
      </x:c>
      <x:c r="U129" s="214" t="str">
        <x:v>无；人工逐层复核结果与预期一致。</x:v>
      </x:c>
      <x:c r="V129" s="214" t="str">
        <x:v>无</x:v>
      </x:c>
      <x:c r="W129" s="214" t="str">
        <x:v>无需修改；保留为回归基线。</x:v>
      </x:c>
      <x:c r="X129" s="214" t="str">
        <x:v>未测试</x:v>
      </x:c>
      <x:c r="Y129" s="214" t="str">
        <x:v>OpenAI_M20规则回归</x:v>
      </x:c>
      <x:c r="Z129" s="214" t="str">
        <x:v>待人工复核</x:v>
      </x:c>
      <x:c r="AA129" s="217" t="n">
        <x:v>46260</x:v>
      </x:c>
      <x:c r="AB129" s="214" t="str">
        <x:v>V1.7</x:v>
      </x:c>
      <x:c r="AC129" s="214" t="str">
        <x:v>合成命例仅用于规则单元/集成测试，不替代真实命例外部验证。</x:v>
      </x:c>
    </x:row>
    <x:row r="130">
      <x:c r="A130" s="214" t="str">
        <x:f>IF(OR(C130="",D130=""),"",B130&amp;"-"&amp;UPPER(C130)&amp;"-"&amp;TEXT(D130,"0000")&amp;"-"&amp;E130)</x:f>
        <x:v>M20-USE-0124-V1.0</x:v>
      </x:c>
      <x:c r="B130" s="214" t="str">
        <x:v>M20</x:v>
      </x:c>
      <x:c r="C130" s="214" t="str">
        <x:v>USE</x:v>
      </x:c>
      <x:c r="D130" s="216" t="n">
        <x:v>124</x:v>
      </x:c>
      <x:c r="E130" s="214" t="str">
        <x:v>V1.0</x:v>
      </x:c>
      <x:c r="F130" s="214" t="str">
        <x:v>适量有利过量转害时定位条件性喜神</x:v>
      </x:c>
      <x:c r="G130" s="214" t="str">
        <x:v>丙午 癸亥 甲寅 壬子</x:v>
      </x:c>
      <x:c r="H130" s="214" t="str">
        <x:v>未知/不适用</x:v>
      </x:c>
      <x:c r="I130" s="214" t="str">
        <x:v>合成命例；不用于历法排盘；月令按月支与输入事实假设</x:v>
      </x:c>
      <x:c r="J130" s="214" t="str">
        <x:v>内部合成规则测试</x:v>
      </x:c>
      <x:c r="K130" s="214" t="str">
        <x:v>正例</x:v>
      </x:c>
      <x:c r="L130" s="214" t="str">
        <x:v>M18</x:v>
      </x:c>
      <x:c r="M130" s="214" t="str">
        <x:v>M18-RANK-0072-V1.0；M18-DOSE-0062-V1.0</x:v>
      </x:c>
      <x:c r="N130" s="214" t="str">
        <x:v>火可暖寒湿，但过强会耗水、泄甲并转热燥。</x:v>
      </x:c>
      <x:c r="O130" s="214" t="str">
        <x:v>识别火的双向剂量作用。</x:v>
      </x:c>
      <x:c r="P130" s="214" t="str">
        <x:v>火在最小有效强度内有利，越界转害。</x:v>
      </x:c>
      <x:c r="Q130" s="214" t="str">
        <x:v>综合定位为条件性喜神，必须写明转忌阈值。</x:v>
      </x:c>
      <x:c r="R130" s="214" t="str">
        <x:v>火被正确定位为剂量型条件性喜神。</x:v>
      </x:c>
      <x:c r="S130" s="214" t="str">
        <x:v>火被正确定位为剂量型条件性喜神。</x:v>
      </x:c>
      <x:c r="T130" s="214" t="str">
        <x:f>IF(S130="","未测试",IF(S130=R130,"通过",IF(LEFT(S130,4)="部分符合","部分通过",IF(LEFT(S130,3)="失败","未通过","待复核"))))</x:f>
        <x:v>通过</x:v>
      </x:c>
      <x:c r="U130" s="214" t="str">
        <x:v>无；人工逐层复核结果与预期一致。</x:v>
      </x:c>
      <x:c r="V130" s="214" t="str">
        <x:v>无</x:v>
      </x:c>
      <x:c r="W130" s="214" t="str">
        <x:v>无需修改；保留为回归基线。</x:v>
      </x:c>
      <x:c r="X130" s="214" t="str">
        <x:v>未测试</x:v>
      </x:c>
      <x:c r="Y130" s="214" t="str">
        <x:v>OpenAI_M20规则回归</x:v>
      </x:c>
      <x:c r="Z130" s="214" t="str">
        <x:v>待人工复核</x:v>
      </x:c>
      <x:c r="AA130" s="217" t="n">
        <x:v>46260</x:v>
      </x:c>
      <x:c r="AB130" s="214" t="str">
        <x:v>V1.7</x:v>
      </x:c>
      <x:c r="AC130" s="214" t="str">
        <x:v>合成命例仅用于规则单元/集成测试，不替代真实命例外部验证。</x:v>
      </x:c>
    </x:row>
    <x:row r="131">
      <x:c r="A131" s="214" t="str">
        <x:f>IF(OR(C131="",D131=""),"",B131&amp;"-"&amp;UPPER(C131)&amp;"-"&amp;TEXT(D131,"0000")&amp;"-"&amp;E131)</x:f>
        <x:v>M20-USE-0125-V1.0</x:v>
      </x:c>
      <x:c r="B131" s="214" t="str">
        <x:v>M20</x:v>
      </x:c>
      <x:c r="C131" s="214" t="str">
        <x:v>USE</x:v>
      </x:c>
      <x:c r="D131" s="216" t="n">
        <x:v>125</x:v>
      </x:c>
      <x:c r="E131" s="214" t="str">
        <x:v>V1.0</x:v>
      </x:c>
      <x:c r="F131" s="214" t="str">
        <x:v>生助忌神并克制主用者定位仇神</x:v>
      </x:c>
      <x:c r="G131" s="214" t="str">
        <x:v>庚申 戊戌 甲寅 壬子</x:v>
      </x:c>
      <x:c r="H131" s="214" t="str">
        <x:v>未知/不适用</x:v>
      </x:c>
      <x:c r="I131" s="214" t="str">
        <x:v>合成命例；不用于历法排盘；月令按月支与输入事实假设</x:v>
      </x:c>
      <x:c r="J131" s="214" t="str">
        <x:v>内部合成规则测试</x:v>
      </x:c>
      <x:c r="K131" s="214" t="str">
        <x:v>正例</x:v>
      </x:c>
      <x:c r="L131" s="214" t="str">
        <x:v>M18</x:v>
      </x:c>
      <x:c r="M131" s="214" t="str">
        <x:v>M18-RANK-0076-V1.0；M18-MED-0049-V1.0</x:v>
      </x:c>
      <x:c r="N131" s="214" t="str">
        <x:v>主病为土克水桥，水为主用；火生土并耗水，火本身不是直接病位。</x:v>
      </x:c>
      <x:c r="O131" s="214" t="str">
        <x:v>识别土为直接忌神、火为间接助害者。</x:v>
      </x:c>
      <x:c r="P131" s="214" t="str">
        <x:v>火通过生土、耗水削弱主用。</x:v>
      </x:c>
      <x:c r="Q131" s="214" t="str">
        <x:v>火定位仇神而非直接忌神。</x:v>
      </x:c>
      <x:c r="R131" s="214" t="str">
        <x:v>间接生忌克用链成立，火为仇神。</x:v>
      </x:c>
      <x:c r="S131" s="214" t="str">
        <x:v>间接生忌克用链成立，火为仇神。</x:v>
      </x:c>
      <x:c r="T131" s="214" t="str">
        <x:f>IF(S131="","未测试",IF(S131=R131,"通过",IF(LEFT(S131,4)="部分符合","部分通过",IF(LEFT(S131,3)="失败","未通过","待复核"))))</x:f>
        <x:v>通过</x:v>
      </x:c>
      <x:c r="U131" s="214" t="str">
        <x:v>无；人工逐层复核结果与预期一致。</x:v>
      </x:c>
      <x:c r="V131" s="214" t="str">
        <x:v>无</x:v>
      </x:c>
      <x:c r="W131" s="214" t="str">
        <x:v>无需修改；保留为回归基线。</x:v>
      </x:c>
      <x:c r="X131" s="214" t="str">
        <x:v>未测试</x:v>
      </x:c>
      <x:c r="Y131" s="214" t="str">
        <x:v>OpenAI_M20规则回归</x:v>
      </x:c>
      <x:c r="Z131" s="214" t="str">
        <x:v>待人工复核</x:v>
      </x:c>
      <x:c r="AA131" s="217" t="n">
        <x:v>46260</x:v>
      </x:c>
      <x:c r="AB131" s="214" t="str">
        <x:v>V1.7</x:v>
      </x:c>
      <x:c r="AC131" s="214" t="str">
        <x:v>合成命例仅用于规则单元/集成测试，不替代真实命例外部验证。</x:v>
      </x:c>
    </x:row>
    <x:row r="132">
      <x:c r="A132" s="214" t="str">
        <x:f>IF(OR(C132="",D132=""),"",B132&amp;"-"&amp;UPPER(C132)&amp;"-"&amp;TEXT(D132,"0000")&amp;"-"&amp;E132)</x:f>
        <x:v>M20-USE-0126-V1.0</x:v>
      </x:c>
      <x:c r="B132" s="214" t="str">
        <x:v>M20</x:v>
      </x:c>
      <x:c r="C132" s="214" t="str">
        <x:v>USE</x:v>
      </x:c>
      <x:c r="D132" s="216" t="n">
        <x:v>126</x:v>
      </x:c>
      <x:c r="E132" s="214" t="str">
        <x:v>V1.0</x:v>
      </x:c>
      <x:c r="F132" s="214" t="str">
        <x:v>直接短药路优先于依赖多层弱桥的长药路</x:v>
      </x:c>
      <x:c r="G132" s="214" t="str">
        <x:v>庚申 戊戌 甲寅 壬子</x:v>
      </x:c>
      <x:c r="H132" s="214" t="str">
        <x:v>未知/不适用</x:v>
      </x:c>
      <x:c r="I132" s="214" t="str">
        <x:v>合成命例；不用于历法排盘；月令按月支与输入事实假设</x:v>
      </x:c>
      <x:c r="J132" s="214" t="str">
        <x:v>内部合成规则测试</x:v>
      </x:c>
      <x:c r="K132" s="214" t="str">
        <x:v>正例</x:v>
      </x:c>
      <x:c r="L132" s="214" t="str">
        <x:v>M18</x:v>
      </x:c>
      <x:c r="M132" s="214" t="str">
        <x:v>M18-GEN-0007-V1.0</x:v>
      </x:c>
      <x:c r="N132" s="214" t="str">
        <x:v>病位为土强克水；候选A比劫直接制财土，候选B经火土金水长链间接恢复水。</x:v>
      </x:c>
      <x:c r="O132" s="214" t="str">
        <x:v>识别两条理论药路。</x:v>
      </x:c>
      <x:c r="P132" s="214" t="str">
        <x:v>A路径更短直接且桥梁更少。</x:v>
      </x:c>
      <x:c r="Q132" s="214" t="str">
        <x:v>若副作用相近，A优先列主药，B降替代。</x:v>
      </x:c>
      <x:c r="R132" s="214" t="str">
        <x:v>直接药路优先于不稳定长链。</x:v>
      </x:c>
      <x:c r="S132" s="214" t="str">
        <x:v>直接药路优先于不稳定长链。</x:v>
      </x:c>
      <x:c r="T132" s="214" t="str">
        <x:f>IF(S132="","未测试",IF(S132=R132,"通过",IF(LEFT(S132,4)="部分符合","部分通过",IF(LEFT(S132,3)="失败","未通过","待复核"))))</x:f>
        <x:v>通过</x:v>
      </x:c>
      <x:c r="U132" s="214" t="str">
        <x:v>无；人工逐层复核结果与预期一致。</x:v>
      </x:c>
      <x:c r="V132" s="214" t="str">
        <x:v>无</x:v>
      </x:c>
      <x:c r="W132" s="214" t="str">
        <x:v>无需修改；保留为回归基线。</x:v>
      </x:c>
      <x:c r="X132" s="214" t="str">
        <x:v>未测试</x:v>
      </x:c>
      <x:c r="Y132" s="214" t="str">
        <x:v>OpenAI_M20规则回归</x:v>
      </x:c>
      <x:c r="Z132" s="214" t="str">
        <x:v>待人工复核</x:v>
      </x:c>
      <x:c r="AA132" s="217" t="n">
        <x:v>46260</x:v>
      </x:c>
      <x:c r="AB132" s="214" t="str">
        <x:v>V1.7</x:v>
      </x:c>
      <x:c r="AC132" s="214" t="str">
        <x:v>合成命例仅用于规则单元/集成测试，不替代真实命例外部验证。</x:v>
      </x:c>
    </x:row>
    <x:row r="133">
      <x:c r="A133" s="214" t="str">
        <x:f>IF(OR(C133="",D133=""),"",B133&amp;"-"&amp;UPPER(C133)&amp;"-"&amp;TEXT(D133,"0000")&amp;"-"&amp;E133)</x:f>
        <x:v>M20-USE-0127-V1.0</x:v>
      </x:c>
      <x:c r="B133" s="214" t="str">
        <x:v>M20</x:v>
      </x:c>
      <x:c r="C133" s="214" t="str">
        <x:v>USE</x:v>
      </x:c>
      <x:c r="D133" s="216" t="n">
        <x:v>127</x:v>
      </x:c>
      <x:c r="E133" s="214" t="str">
        <x:v>V1.0</x:v>
      </x:c>
      <x:c r="F133" s="214" t="str">
        <x:v>达到最小有效剂量前不具备主用资格</x:v>
      </x:c>
      <x:c r="G133" s="214" t="str">
        <x:v>丙申 壬子 甲辰 癸亥</x:v>
      </x:c>
      <x:c r="H133" s="214" t="str">
        <x:v>未知/不适用</x:v>
      </x:c>
      <x:c r="I133" s="214" t="str">
        <x:v>合成命例；不用于历法排盘；月令按月支与输入事实假设</x:v>
      </x:c>
      <x:c r="J133" s="214" t="str">
        <x:v>内部合成规则测试</x:v>
      </x:c>
      <x:c r="K133" s="214" t="str">
        <x:v>边界案例</x:v>
      </x:c>
      <x:c r="L133" s="214" t="str">
        <x:v>M18</x:v>
      </x:c>
      <x:c r="M133" s="214" t="str">
        <x:v>M18-DOSE-0061-V1.0</x:v>
      </x:c>
      <x:c r="N133" s="214" t="str">
        <x:v>火方向能暖寒局，但孤透无根、受水制，不能改变主病。</x:v>
      </x:c>
      <x:c r="O133" s="214" t="str">
        <x:v>识别火的理论药理。</x:v>
      </x:c>
      <x:c r="P133" s="214" t="str">
        <x:v>药力未达到最小有效门槛。</x:v>
      </x:c>
      <x:c r="Q133" s="214" t="str">
        <x:v>火降为条件性候选，需木生火或巳午根后再评。</x:v>
      </x:c>
      <x:c r="R133" s="214" t="str">
        <x:v>方向正确但药力不足，不能列主用。</x:v>
      </x:c>
      <x:c r="S133" s="214" t="str">
        <x:v>方向正确但药力不足，不能列主用。</x:v>
      </x:c>
      <x:c r="T133" s="214" t="str">
        <x:f>IF(S133="","未测试",IF(S133=R133,"通过",IF(LEFT(S133,4)="部分符合","部分通过",IF(LEFT(S133,3)="失败","未通过","待复核"))))</x:f>
        <x:v>通过</x:v>
      </x:c>
      <x:c r="U133" s="214" t="str">
        <x:v>无；人工逐层复核结果与预期一致。</x:v>
      </x:c>
      <x:c r="V133" s="214" t="str">
        <x:v>无</x:v>
      </x:c>
      <x:c r="W133" s="214" t="str">
        <x:v>无需修改；保留为回归基线。</x:v>
      </x:c>
      <x:c r="X133" s="214" t="str">
        <x:v>未测试</x:v>
      </x:c>
      <x:c r="Y133" s="214" t="str">
        <x:v>OpenAI_M20规则回归</x:v>
      </x:c>
      <x:c r="Z133" s="214" t="str">
        <x:v>待人工复核</x:v>
      </x:c>
      <x:c r="AA133" s="217" t="n">
        <x:v>46260</x:v>
      </x:c>
      <x:c r="AB133" s="214" t="str">
        <x:v>V1.7</x:v>
      </x:c>
      <x:c r="AC133" s="214" t="str">
        <x:v>合成命例仅用于规则单元/集成测试，不替代真实命例外部验证。</x:v>
      </x:c>
    </x:row>
    <x:row r="134">
      <x:c r="A134" s="214" t="str">
        <x:f>IF(OR(C134="",D134=""),"",B134&amp;"-"&amp;UPPER(C134)&amp;"-"&amp;TEXT(D134,"0000")&amp;"-"&amp;E134)</x:f>
        <x:v>M20-USE-0128-V1.0</x:v>
      </x:c>
      <x:c r="B134" s="214" t="str">
        <x:v>M20</x:v>
      </x:c>
      <x:c r="C134" s="214" t="str">
        <x:v>USE</x:v>
      </x:c>
      <x:c r="D134" s="216" t="n">
        <x:v>128</x:v>
      </x:c>
      <x:c r="E134" s="214" t="str">
        <x:v>V1.0</x:v>
      </x:c>
      <x:c r="F134" s="214" t="str">
        <x:v>冲突裁决不采用固定总分或固定模块顺序</x:v>
      </x:c>
      <x:c r="G134" s="214" t="str">
        <x:v>庚申 己未 甲寅 癸亥</x:v>
      </x:c>
      <x:c r="H134" s="214" t="str">
        <x:v>未知/不适用</x:v>
      </x:c>
      <x:c r="I134" s="214" t="str">
        <x:v>合成命例；不用于历法排盘；月令按月支与输入事实假设</x:v>
      </x:c>
      <x:c r="J134" s="214" t="str">
        <x:v>内部合成规则测试</x:v>
      </x:c>
      <x:c r="K134" s="214" t="str">
        <x:v>反例</x:v>
      </x:c>
      <x:c r="L134" s="214" t="str">
        <x:v>M18</x:v>
      </x:c>
      <x:c r="M134" s="214" t="str">
        <x:v>M18-BOUND-0078-V1.0；M17-GEN-0010-V1.0</x:v>
      </x:c>
      <x:c r="N134" s="214" t="str">
        <x:v>扶抑、格局、病药和调候给出不同方向；若机械按模块各加1分会掩盖财坏印根本病。</x:v>
      </x:c>
      <x:c r="O134" s="214" t="str">
        <x:v>识别多维冲突。</x:v>
      </x:c>
      <x:c r="P134" s="214" t="str">
        <x:v>按硬约束、根本病、主路径、直接药路和副作用裁决。</x:v>
      </x:c>
      <x:c r="Q134" s="214" t="str">
        <x:v>禁止用固定总分或‘格局永远第一’口诀。</x:v>
      </x:c>
      <x:c r="R134" s="214" t="str">
        <x:v>条件优先级替代机械总分。</x:v>
      </x:c>
      <x:c r="S134" s="214" t="str">
        <x:v>条件优先级替代机械总分。</x:v>
      </x:c>
      <x:c r="T134" s="214" t="str">
        <x:f>IF(S134="","未测试",IF(S134=R134,"通过",IF(LEFT(S134,4)="部分符合","部分通过",IF(LEFT(S134,3)="失败","未通过","待复核"))))</x:f>
        <x:v>通过</x:v>
      </x:c>
      <x:c r="U134" s="214" t="str">
        <x:v>无；人工逐层复核结果与预期一致。</x:v>
      </x:c>
      <x:c r="V134" s="214" t="str">
        <x:v>无</x:v>
      </x:c>
      <x:c r="W134" s="214" t="str">
        <x:v>无需修改；保留为回归基线。</x:v>
      </x:c>
      <x:c r="X134" s="214" t="str">
        <x:v>未测试</x:v>
      </x:c>
      <x:c r="Y134" s="214" t="str">
        <x:v>OpenAI_M20规则回归</x:v>
      </x:c>
      <x:c r="Z134" s="214" t="str">
        <x:v>待人工复核</x:v>
      </x:c>
      <x:c r="AA134" s="217" t="n">
        <x:v>46260</x:v>
      </x:c>
      <x:c r="AB134" s="214" t="str">
        <x:v>V1.7</x:v>
      </x:c>
      <x:c r="AC134" s="214" t="str">
        <x:v>合成命例仅用于规则单元/集成测试，不替代真实命例外部验证。</x:v>
      </x:c>
    </x:row>
    <x:row r="135">
      <x:c r="A135" s="214" t="str">
        <x:f>IF(OR(C135="",D135=""),"",B135&amp;"-"&amp;UPPER(C135)&amp;"-"&amp;TEXT(D135,"0000")&amp;"-"&amp;E135)</x:f>
        <x:v>M20-OUTPUT-0129-V1.0</x:v>
      </x:c>
      <x:c r="B135" s="214" t="str">
        <x:v>M20</x:v>
      </x:c>
      <x:c r="C135" s="214" t="str">
        <x:v>OUTPUT</x:v>
      </x:c>
      <x:c r="D135" s="216" t="n">
        <x:v>129</x:v>
      </x:c>
      <x:c r="E135" s="214" t="str">
        <x:v>V1.0</x:v>
      </x:c>
      <x:c r="F135" s="214" t="str">
        <x:v>出生资料不完整时触发输出质量闸门</x:v>
      </x:c>
      <x:c r="G135" s="214" t="str">
        <x:v>待定四柱：出生时刻接近交节，时区未知</x:v>
      </x:c>
      <x:c r="H135" s="214" t="str">
        <x:v>未知/不适用</x:v>
      </x:c>
      <x:c r="I135" s="214" t="str">
        <x:v>资料不完整；用于M19空值与质量闸门测试</x:v>
      </x:c>
      <x:c r="J135" s="214" t="str">
        <x:v>内部合成规则测试</x:v>
      </x:c>
      <x:c r="K135" s="214" t="str">
        <x:v>反例</x:v>
      </x:c>
      <x:c r="L135" s="214" t="str">
        <x:v>M19</x:v>
      </x:c>
      <x:c r="M135" s="214" t="str">
        <x:v>M19-META-0001-V1.0</x:v>
      </x:c>
      <x:c r="N135" s="214" t="str">
        <x:v>时区、精确出生时刻和交节时刻均缺失，月令可能跨寅卯。</x:v>
      </x:c>
      <x:c r="O135" s="214" t="str">
        <x:v>输入完整度判不通过，只能保留双盘。</x:v>
      </x:c>
      <x:c r="P135" s="214" t="str">
        <x:v>下游旺衰、格局、病药和喜忌均停止唯一化。</x:v>
      </x:c>
      <x:c r="Q135" s="214" t="str">
        <x:v>用户版只能说明待核查范围，禁止输出确定喜忌。</x:v>
      </x:c>
      <x:c r="R135" s="214" t="str">
        <x:v>输入闸门阻止了不可靠的唯一结论。</x:v>
      </x:c>
      <x:c r="S135" s="214" t="str">
        <x:v>输入闸门阻止了不可靠的唯一结论。</x:v>
      </x:c>
      <x:c r="T135" s="214" t="str">
        <x:f>IF(S135="","未测试",IF(S135=R135,"通过",IF(LEFT(S135,4)="部分符合","部分通过",IF(LEFT(S135,3)="失败","未通过","待复核"))))</x:f>
        <x:v>通过</x:v>
      </x:c>
      <x:c r="U135" s="214" t="str">
        <x:v>无；人工逐层复核结果与预期一致。</x:v>
      </x:c>
      <x:c r="V135" s="214" t="str">
        <x:v>无</x:v>
      </x:c>
      <x:c r="W135" s="214" t="str">
        <x:v>无需修改；保留为回归基线。</x:v>
      </x:c>
      <x:c r="X135" s="214" t="str">
        <x:v>未测试</x:v>
      </x:c>
      <x:c r="Y135" s="214" t="str">
        <x:v>OpenAI_M20规则回归</x:v>
      </x:c>
      <x:c r="Z135" s="214" t="str">
        <x:v>待人工复核</x:v>
      </x:c>
      <x:c r="AA135" s="217" t="n">
        <x:v>46260</x:v>
      </x:c>
      <x:c r="AB135" s="214" t="str">
        <x:v>V1.7</x:v>
      </x:c>
      <x:c r="AC135" s="214" t="str">
        <x:v>合成命例仅用于规则单元/集成测试，不替代真实命例外部验证。</x:v>
      </x:c>
    </x:row>
    <x:row r="136">
      <x:c r="A136" s="214" t="str">
        <x:f>IF(OR(C136="",D136=""),"",B136&amp;"-"&amp;UPPER(C136)&amp;"-"&amp;TEXT(D136,"0000")&amp;"-"&amp;E136)</x:f>
        <x:v>M20-OUTPUT-0130-V1.0</x:v>
      </x:c>
      <x:c r="B136" s="214" t="str">
        <x:v>M20</x:v>
      </x:c>
      <x:c r="C136" s="214" t="str">
        <x:v>OUTPUT</x:v>
      </x:c>
      <x:c r="D136" s="216" t="n">
        <x:v>130</x:v>
      </x:c>
      <x:c r="E136" s="214" t="str">
        <x:v>V1.0</x:v>
      </x:c>
      <x:c r="F136" s="214" t="str">
        <x:v>内部四柱映射不应原样堆给用户</x:v>
      </x:c>
      <x:c r="G136" s="214" t="str">
        <x:v>庚申 癸亥 甲寅 丙午</x:v>
      </x:c>
      <x:c r="H136" s="214" t="str">
        <x:v>未知/不适用</x:v>
      </x:c>
      <x:c r="I136" s="214" t="str">
        <x:v>合成命例；不用于历法排盘；月令按月支与输入事实假设</x:v>
      </x:c>
      <x:c r="J136" s="214" t="str">
        <x:v>内部合成规则测试</x:v>
      </x:c>
      <x:c r="K136" s="214" t="str">
        <x:v>正例</x:v>
      </x:c>
      <x:c r="L136" s="214" t="str">
        <x:v>M19</x:v>
      </x:c>
      <x:c r="M136" s="214" t="str">
        <x:v>M19-BASE-0005-V1.0；M19-META-0002-V1.0</x:v>
      </x:c>
      <x:c r="N136" s="214" t="str">
        <x:v>内部需要逐柱记录藏干、十神和Rule_ID；用户只需要与结论直接相关的结构解释。</x:v>
      </x:c>
      <x:c r="O136" s="214" t="str">
        <x:v>内部映射表完整保留。</x:v>
      </x:c>
      <x:c r="P136" s="214" t="str">
        <x:v>分析师版保留关键十神功能。</x:v>
      </x:c>
      <x:c r="Q136" s="214" t="str">
        <x:v>用户版改写为主导功能和核心原因，不展示整表和Rule_ID。</x:v>
      </x:c>
      <x:c r="R136" s="214" t="str">
        <x:v>三层输出成功分离内部推理与用户表达。</x:v>
      </x:c>
      <x:c r="S136" s="214" t="str">
        <x:v>三层输出成功分离内部推理与用户表达。</x:v>
      </x:c>
      <x:c r="T136" s="214" t="str">
        <x:f>IF(S136="","未测试",IF(S136=R136,"通过",IF(LEFT(S136,4)="部分符合","部分通过",IF(LEFT(S136,3)="失败","未通过","待复核"))))</x:f>
        <x:v>通过</x:v>
      </x:c>
      <x:c r="U136" s="214" t="str">
        <x:v>无；人工逐层复核结果与预期一致。</x:v>
      </x:c>
      <x:c r="V136" s="214" t="str">
        <x:v>无</x:v>
      </x:c>
      <x:c r="W136" s="214" t="str">
        <x:v>无需修改；保留为回归基线。</x:v>
      </x:c>
      <x:c r="X136" s="214" t="str">
        <x:v>未测试</x:v>
      </x:c>
      <x:c r="Y136" s="214" t="str">
        <x:v>OpenAI_M20规则回归</x:v>
      </x:c>
      <x:c r="Z136" s="214" t="str">
        <x:v>待人工复核</x:v>
      </x:c>
      <x:c r="AA136" s="217" t="n">
        <x:v>46260</x:v>
      </x:c>
      <x:c r="AB136" s="214" t="str">
        <x:v>V1.7</x:v>
      </x:c>
      <x:c r="AC136" s="214" t="str">
        <x:v>合成命例仅用于规则单元/集成测试，不替代真实命例外部验证。</x:v>
      </x:c>
    </x:row>
    <x:row r="137">
      <x:c r="A137" s="214" t="str">
        <x:f>IF(OR(C137="",D137=""),"",B137&amp;"-"&amp;UPPER(C137)&amp;"-"&amp;TEXT(D137,"0000")&amp;"-"&amp;E137)</x:f>
        <x:v>M20-OUTPUT-0131-V1.0</x:v>
      </x:c>
      <x:c r="B137" s="214" t="str">
        <x:v>M20</x:v>
      </x:c>
      <x:c r="C137" s="214" t="str">
        <x:v>OUTPUT</x:v>
      </x:c>
      <x:c r="D137" s="216" t="n">
        <x:v>131</x:v>
      </x:c>
      <x:c r="E137" s="214" t="str">
        <x:v>V1.0</x:v>
      </x:c>
      <x:c r="F137" s="214" t="str">
        <x:v>没有成立组合时必须输出明确空值语句</x:v>
      </x:c>
      <x:c r="G137" s="214" t="str">
        <x:v>甲子 乙丑 丙寅 丁卯</x:v>
      </x:c>
      <x:c r="H137" s="214" t="str">
        <x:v>未知/不适用</x:v>
      </x:c>
      <x:c r="I137" s="214" t="str">
        <x:v>合成命例；不用于历法排盘；月令按月支与输入事实假设</x:v>
      </x:c>
      <x:c r="J137" s="214" t="str">
        <x:v>内部合成规则测试</x:v>
      </x:c>
      <x:c r="K137" s="214" t="str">
        <x:v>正例</x:v>
      </x:c>
      <x:c r="L137" s="214" t="str">
        <x:v>M19</x:v>
      </x:c>
      <x:c r="M137" s="214" t="str">
        <x:v>M19-COMBO-0022-V1.0；M19-COMBO-0023-V1.0</x:v>
      </x:c>
      <x:c r="N137" s="214" t="str">
        <x:v>M11未发现达到弱成立的稳定十神组合。</x:v>
      </x:c>
      <x:c r="O137" s="214" t="str">
        <x:v>组合清单为空。</x:v>
      </x:c>
      <x:c r="P137" s="214" t="str">
        <x:v>不以空白代替无结果。</x:v>
      </x:c>
      <x:c r="Q137" s="214" t="str">
        <x:v>输出“未见可稳定成立的十神组合”；被否决候选另列原因。</x:v>
      </x:c>
      <x:c r="R137" s="214" t="str">
        <x:v>M19空值处理按规范输出，无静默缺失。</x:v>
      </x:c>
      <x:c r="S137" s="214" t="str">
        <x:v>M19空值处理按规范输出，无静默缺失。</x:v>
      </x:c>
      <x:c r="T137" s="214" t="str">
        <x:f>IF(S137="","未测试",IF(S137=R137,"通过",IF(LEFT(S137,4)="部分符合","部分通过",IF(LEFT(S137,3)="失败","未通过","待复核"))))</x:f>
        <x:v>通过</x:v>
      </x:c>
      <x:c r="U137" s="214" t="str">
        <x:v>无；人工逐层复核结果与预期一致。</x:v>
      </x:c>
      <x:c r="V137" s="214" t="str">
        <x:v>无</x:v>
      </x:c>
      <x:c r="W137" s="214" t="str">
        <x:v>无需修改；保留为回归基线。</x:v>
      </x:c>
      <x:c r="X137" s="214" t="str">
        <x:v>未测试</x:v>
      </x:c>
      <x:c r="Y137" s="214" t="str">
        <x:v>OpenAI_M20规则回归</x:v>
      </x:c>
      <x:c r="Z137" s="214" t="str">
        <x:v>待人工复核</x:v>
      </x:c>
      <x:c r="AA137" s="217" t="n">
        <x:v>46260</x:v>
      </x:c>
      <x:c r="AB137" s="214" t="str">
        <x:v>V1.7</x:v>
      </x:c>
      <x:c r="AC137" s="214" t="str">
        <x:v>合成命例仅用于规则单元/集成测试，不替代真实命例外部验证。</x:v>
      </x:c>
    </x:row>
    <x:row r="138">
      <x:c r="A138" s="214" t="str">
        <x:f>IF(OR(C138="",D138=""),"",B138&amp;"-"&amp;UPPER(C138)&amp;"-"&amp;TEXT(D138,"0000")&amp;"-"&amp;E138)</x:f>
        <x:v>M20-OUTPUT-0132-V1.0</x:v>
      </x:c>
      <x:c r="B138" s="214" t="str">
        <x:v>M20</x:v>
      </x:c>
      <x:c r="C138" s="214" t="str">
        <x:v>OUTPUT</x:v>
      </x:c>
      <x:c r="D138" s="216" t="n">
        <x:v>132</x:v>
      </x:c>
      <x:c r="E138" s="214" t="str">
        <x:v>V1.0</x:v>
      </x:c>
      <x:c r="F138" s="214" t="str">
        <x:v>日主边界结论必须解释为何非相邻等级</x:v>
      </x:c>
      <x:c r="G138" s="214" t="str">
        <x:v>庚申 壬子 甲寅 戊辰</x:v>
      </x:c>
      <x:c r="H138" s="214" t="str">
        <x:v>未知/不适用</x:v>
      </x:c>
      <x:c r="I138" s="214" t="str">
        <x:v>合成命例；不用于历法排盘；月令按月支与输入事实假设</x:v>
      </x:c>
      <x:c r="J138" s="214" t="str">
        <x:v>内部合成规则测试</x:v>
      </x:c>
      <x:c r="K138" s="214" t="str">
        <x:v>边界案例</x:v>
      </x:c>
      <x:c r="L138" s="214" t="str">
        <x:v>M19</x:v>
      </x:c>
      <x:c r="M138" s="214" t="str">
        <x:v>M19-DM-0017-V1.0</x:v>
      </x:c>
      <x:c r="N138" s="214" t="str">
        <x:v>扶身侧与负荷侧接近，结论落在中和偏弱边界。</x:v>
      </x:c>
      <x:c r="O138" s="214" t="str">
        <x:v>输出主结论及正反证据。</x:v>
      </x:c>
      <x:c r="P138" s="214" t="str">
        <x:v>必须说明为何未判中和、为何未判弱。</x:v>
      </x:c>
      <x:c r="Q138" s="214" t="str">
        <x:v>置信度随边界证据下降，不只写“身弱”。</x:v>
      </x:c>
      <x:c r="R138" s="214" t="str">
        <x:v>相邻等级排除和置信度字段完整输出。</x:v>
      </x:c>
      <x:c r="S138" s="214" t="str">
        <x:v>相邻等级排除和置信度字段完整输出。</x:v>
      </x:c>
      <x:c r="T138" s="214" t="str">
        <x:f>IF(S138="","未测试",IF(S138=R138,"通过",IF(LEFT(S138,4)="部分符合","部分通过",IF(LEFT(S138,3)="失败","未通过","待复核"))))</x:f>
        <x:v>通过</x:v>
      </x:c>
      <x:c r="U138" s="214" t="str">
        <x:v>无；人工逐层复核结果与预期一致。</x:v>
      </x:c>
      <x:c r="V138" s="214" t="str">
        <x:v>无</x:v>
      </x:c>
      <x:c r="W138" s="214" t="str">
        <x:v>无需修改；保留为回归基线。</x:v>
      </x:c>
      <x:c r="X138" s="214" t="str">
        <x:v>未测试</x:v>
      </x:c>
      <x:c r="Y138" s="214" t="str">
        <x:v>OpenAI_M20规则回归</x:v>
      </x:c>
      <x:c r="Z138" s="214" t="str">
        <x:v>待人工复核</x:v>
      </x:c>
      <x:c r="AA138" s="217" t="n">
        <x:v>46260</x:v>
      </x:c>
      <x:c r="AB138" s="214" t="str">
        <x:v>V1.7</x:v>
      </x:c>
      <x:c r="AC138" s="214" t="str">
        <x:v>合成命例仅用于规则单元/集成测试，不替代真实命例外部验证。</x:v>
      </x:c>
    </x:row>
    <x:row r="139">
      <x:c r="A139" s="214" t="str">
        <x:f>IF(OR(C139="",D139=""),"",B139&amp;"-"&amp;UPPER(C139)&amp;"-"&amp;TEXT(D139,"0000")&amp;"-"&amp;E139)</x:f>
        <x:v>M20-OUTPUT-0133-V1.0</x:v>
      </x:c>
      <x:c r="B139" s="214" t="str">
        <x:v>M20</x:v>
      </x:c>
      <x:c r="C139" s="214" t="str">
        <x:v>OUTPUT</x:v>
      </x:c>
      <x:c r="D139" s="216" t="n">
        <x:v>133</x:v>
      </x:c>
      <x:c r="E139" s="214" t="str">
        <x:v>V1.0</x:v>
      </x:c>
      <x:c r="F139" s="214" t="str">
        <x:v>最终摘要不得越级断岁运和具体事件</x:v>
      </x:c>
      <x:c r="G139" s="214" t="str">
        <x:v>己未 庚申 甲寅 癸亥</x:v>
      </x:c>
      <x:c r="H139" s="214" t="str">
        <x:v>未知/不适用</x:v>
      </x:c>
      <x:c r="I139" s="214" t="str">
        <x:v>合成命例；不用于历法排盘；月令按月支与输入事实假设</x:v>
      </x:c>
      <x:c r="J139" s="214" t="str">
        <x:v>内部合成规则测试</x:v>
      </x:c>
      <x:c r="K139" s="214" t="str">
        <x:v>反例</x:v>
      </x:c>
      <x:c r="L139" s="214" t="str">
        <x:v>M19</x:v>
      </x:c>
      <x:c r="M139" s="214" t="str">
        <x:v>M19-USE-0045-V1.0；M19-META-0002-V1.0</x:v>
      </x:c>
      <x:c r="N139" s="214" t="str">
        <x:v>M02—M18已完成原局结构；用户未提供大运流年。</x:v>
      </x:c>
      <x:c r="O139" s="214" t="str">
        <x:v>输出原局主势、格局、病药和喜忌。</x:v>
      </x:c>
      <x:c r="P139" s="214" t="str">
        <x:v>不生成某年婚姻、财富、疾病或职业事件。</x:v>
      </x:c>
      <x:c r="Q139" s="214" t="str">
        <x:v>摘要明确静态边界，并把动态问题转D0。</x:v>
      </x:c>
      <x:c r="R139" s="214" t="str">
        <x:v>最终摘要保持原局边界，不越级断事。</x:v>
      </x:c>
      <x:c r="S139" s="214" t="str">
        <x:v>最终摘要保持原局边界，不越级断事。</x:v>
      </x:c>
      <x:c r="T139" s="214" t="str">
        <x:f>IF(S139="","未测试",IF(S139=R139,"通过",IF(LEFT(S139,4)="部分符合","部分通过",IF(LEFT(S139,3)="失败","未通过","待复核"))))</x:f>
        <x:v>通过</x:v>
      </x:c>
      <x:c r="U139" s="214" t="str">
        <x:v>无；人工逐层复核结果与预期一致。</x:v>
      </x:c>
      <x:c r="V139" s="214" t="str">
        <x:v>无</x:v>
      </x:c>
      <x:c r="W139" s="214" t="str">
        <x:v>无需修改；保留为回归基线。</x:v>
      </x:c>
      <x:c r="X139" s="214" t="str">
        <x:v>未测试</x:v>
      </x:c>
      <x:c r="Y139" s="214" t="str">
        <x:v>OpenAI_M20规则回归</x:v>
      </x:c>
      <x:c r="Z139" s="214" t="str">
        <x:v>待人工复核</x:v>
      </x:c>
      <x:c r="AA139" s="217" t="n">
        <x:v>46260</x:v>
      </x:c>
      <x:c r="AB139" s="214" t="str">
        <x:v>V1.7</x:v>
      </x:c>
      <x:c r="AC139" s="214" t="str">
        <x:v>合成命例仅用于规则单元/集成测试，不替代真实命例外部验证。</x:v>
      </x:c>
    </x:row>
    <x:row r="140">
      <x:c r="A140" s="214" t="str">
        <x:f>IF(OR(C140="",D140=""),"",B140&amp;"-"&amp;UPPER(C140)&amp;"-"&amp;TEXT(D140,"0000")&amp;"-"&amp;E140)</x:f>
        <x:v>M20-INTEGRATION-0134-V1.0</x:v>
      </x:c>
      <x:c r="B140" s="214" t="str">
        <x:v>M20</x:v>
      </x:c>
      <x:c r="C140" s="214" t="str">
        <x:v>INTEGRATION</x:v>
      </x:c>
      <x:c r="D140" s="216" t="n">
        <x:v>134</x:v>
      </x:c>
      <x:c r="E140" s="214" t="str">
        <x:v>V1.0</x:v>
      </x:c>
      <x:c r="F140" s="214" t="str">
        <x:v>申月甲木七杀格中财坏印的完整链</x:v>
      </x:c>
      <x:c r="G140" s="214" t="str">
        <x:v>己未 庚申 甲寅 癸亥</x:v>
      </x:c>
      <x:c r="H140" s="214" t="str">
        <x:v>未知/不适用</x:v>
      </x:c>
      <x:c r="I140" s="214" t="str">
        <x:v>合成命例；不用于历法排盘；月令按月支与输入事实假设</x:v>
      </x:c>
      <x:c r="J140" s="214" t="str">
        <x:v>内部合成规则测试</x:v>
      </x:c>
      <x:c r="K140" s="214" t="str">
        <x:v>综合案例</x:v>
      </x:c>
      <x:c r="L140" s="214" t="str">
        <x:v>M15</x:v>
      </x:c>
      <x:c r="M140" s="214" t="str">
        <x:v>M15-SHA-0021-V1.0；M16-CONTROL-0046-V1.0；M17-BINGYAO-0055-V1.0；M19-USE-0045-V1.0</x:v>
      </x:c>
      <x:c r="N140" s="214" t="str">
        <x:v>甲日主申月；庚杀得令，癸印有亥根，己财有未根克癸，甲有寅根。</x:v>
      </x:c>
      <x:c r="O140" s="214" t="str">
        <x:v>识别七杀、正印、正财及申寅冲；杀印链和财坏印同时存在。</x:v>
      </x:c>
      <x:c r="P140" s="214" t="str">
        <x:v>寅根受冲但未归零；财克印使化杀功能下降。</x:v>
      </x:c>
      <x:c r="Q140" s="214" t="str">
        <x:v>日主中和偏弱；七杀格成立但有破有救；根本病为财坏印。</x:v>
      </x:c>
      <x:c r="R140" s="214" t="str">
        <x:v>主用木比劫制财并扶身，辅助水印恢复化杀；土为忌，结论置信度较高。</x:v>
      </x:c>
      <x:c r="S140" s="214" t="str">
        <x:v>主用木比劫制财并扶身，辅助水印恢复化杀；土为忌，结论置信度较高。</x:v>
      </x:c>
      <x:c r="T140" s="214" t="str">
        <x:f>IF(S140="","未测试",IF(S140=R140,"通过",IF(LEFT(S140,4)="部分符合","部分通过",IF(LEFT(S140,3)="失败","未通过","待复核"))))</x:f>
        <x:v>通过</x:v>
      </x:c>
      <x:c r="U140" s="214" t="str">
        <x:v>无；人工逐层复核结果与预期一致。</x:v>
      </x:c>
      <x:c r="V140" s="214" t="str">
        <x:v>无</x:v>
      </x:c>
      <x:c r="W140" s="214" t="str">
        <x:v>无需修改；保留为回归基线。</x:v>
      </x:c>
      <x:c r="X140" s="214" t="str">
        <x:v>未测试</x:v>
      </x:c>
      <x:c r="Y140" s="214" t="str">
        <x:v>OpenAI_M20规则回归</x:v>
      </x:c>
      <x:c r="Z140" s="214" t="str">
        <x:v>待人工复核</x:v>
      </x:c>
      <x:c r="AA140" s="217" t="n">
        <x:v>46260</x:v>
      </x:c>
      <x:c r="AB140" s="214" t="str">
        <x:v>V1.7</x:v>
      </x:c>
      <x:c r="AC140" s="214" t="str">
        <x:v>合成命例仅用于规则单元/集成测试，不替代真实命例外部验证。</x:v>
      </x:c>
    </x:row>
    <x:row r="141">
      <x:c r="A141" s="214" t="str">
        <x:f>IF(OR(C141="",D141=""),"",B141&amp;"-"&amp;UPPER(C141)&amp;"-"&amp;TEXT(D141,"0000")&amp;"-"&amp;E141)</x:f>
        <x:v>M20-INTEGRATION-0135-V1.0</x:v>
      </x:c>
      <x:c r="B141" s="214" t="str">
        <x:v>M20</x:v>
      </x:c>
      <x:c r="C141" s="214" t="str">
        <x:v>INTEGRATION</x:v>
      </x:c>
      <x:c r="D141" s="216" t="n">
        <x:v>135</x:v>
      </x:c>
      <x:c r="E141" s="214" t="str">
        <x:v>V1.0</x:v>
      </x:c>
      <x:c r="F141" s="214" t="str">
        <x:v>子月丁火寒湿官杀并见的主辅用神</x:v>
      </x:c>
      <x:c r="G141" s="214" t="str">
        <x:v>甲寅 壬子 丁巳 癸亥</x:v>
      </x:c>
      <x:c r="H141" s="214" t="str">
        <x:v>未知/不适用</x:v>
      </x:c>
      <x:c r="I141" s="214" t="str">
        <x:v>合成命例；不用于历法排盘；月令按月支与输入事实假设</x:v>
      </x:c>
      <x:c r="J141" s="214" t="str">
        <x:v>内部合成规则测试</x:v>
      </x:c>
      <x:c r="K141" s="214" t="str">
        <x:v>综合案例</x:v>
      </x:c>
      <x:c r="L141" s="214" t="str">
        <x:v>M13</x:v>
      </x:c>
      <x:c r="M141" s="214" t="str">
        <x:v>M13-COMBO-0041-V1.0；M16-CLIMATE-0068-V1.0；M18-CLIMATE-0029-V1.0；M19-USE-0045-V1.0</x:v>
      </x:c>
      <x:c r="N141" s="214" t="str">
        <x:v>丁火子月；亥子水旺，壬癸官杀并见；丁有巳根，甲印可生火。</x:v>
      </x:c>
      <x:c r="O141" s="214" t="str">
        <x:v>识别偏寒偏湿、官杀压力、甲印和巳火根。</x:v>
      </x:c>
      <x:c r="P141" s="214" t="str">
        <x:v>水火对战，木为印源和水火桥梁；火能暖局但需防耗印。</x:v>
      </x:c>
      <x:c r="Q141" s="214" t="str">
        <x:v>日主中和偏弱；寒湿是主病，官杀混杂为次病。</x:v>
      </x:c>
      <x:c r="R141" s="214" t="str">
        <x:v>主用火取最小有效强度暖局，辅助木生火并疏湿；水为条件性忌神。</x:v>
      </x:c>
      <x:c r="S141" s="214" t="str">
        <x:v>主用火取最小有效强度暖局，辅助木生火并疏湿；水为条件性忌神。</x:v>
      </x:c>
      <x:c r="T141" s="214" t="str">
        <x:f>IF(S141="","未测试",IF(S141=R141,"通过",IF(LEFT(S141,4)="部分符合","部分通过",IF(LEFT(S141,3)="失败","未通过","待复核"))))</x:f>
        <x:v>通过</x:v>
      </x:c>
      <x:c r="U141" s="214" t="str">
        <x:v>无；人工逐层复核结果与预期一致。</x:v>
      </x:c>
      <x:c r="V141" s="214" t="str">
        <x:v>无</x:v>
      </x:c>
      <x:c r="W141" s="214" t="str">
        <x:v>无需修改；保留为回归基线。</x:v>
      </x:c>
      <x:c r="X141" s="214" t="str">
        <x:v>未测试</x:v>
      </x:c>
      <x:c r="Y141" s="214" t="str">
        <x:v>OpenAI_M20规则回归</x:v>
      </x:c>
      <x:c r="Z141" s="214" t="str">
        <x:v>待人工复核</x:v>
      </x:c>
      <x:c r="AA141" s="217" t="n">
        <x:v>46260</x:v>
      </x:c>
      <x:c r="AB141" s="214" t="str">
        <x:v>V1.7</x:v>
      </x:c>
      <x:c r="AC141" s="214" t="str">
        <x:v>合成命例仅用于规则单元/集成测试，不替代真实命例外部验证。</x:v>
      </x:c>
    </x:row>
    <x:row r="142">
      <x:c r="A142" s="214" t="str">
        <x:f>IF(OR(C142="",D142=""),"",B142&amp;"-"&amp;UPPER(C142)&amp;"-"&amp;TEXT(D142,"0000")&amp;"-"&amp;E142)</x:f>
        <x:v>M20-INTEGRATION-0136-V1.0</x:v>
      </x:c>
      <x:c r="B142" s="214" t="str">
        <x:v>M20</x:v>
      </x:c>
      <x:c r="C142" s="214" t="str">
        <x:v>INTEGRATION</x:v>
      </x:c>
      <x:c r="D142" s="216" t="n">
        <x:v>136</x:v>
      </x:c>
      <x:c r="E142" s="214" t="str">
        <x:v>V1.0</x:v>
      </x:c>
      <x:c r="F142" s="214" t="str">
        <x:v>午月庚金七杀受食神制的清晰结构</x:v>
      </x:c>
      <x:c r="G142" s="214" t="str">
        <x:v>壬子 丙午 庚申 甲寅</x:v>
      </x:c>
      <x:c r="H142" s="214" t="str">
        <x:v>未知/不适用</x:v>
      </x:c>
      <x:c r="I142" s="214" t="str">
        <x:v>合成命例；不用于历法排盘；月令按月支与输入事实假设</x:v>
      </x:c>
      <x:c r="J142" s="214" t="str">
        <x:v>内部合成规则测试</x:v>
      </x:c>
      <x:c r="K142" s="214" t="str">
        <x:v>综合案例</x:v>
      </x:c>
      <x:c r="L142" s="214" t="str">
        <x:v>M11</x:v>
      </x:c>
      <x:c r="M142" s="214" t="str">
        <x:v>M11-SHIZHI-0020-V1.0；M15-SHA-0020-V1.0；M17-GEJU-0024-V1.0；M19-USE-0045-V1.0</x:v>
      </x:c>
      <x:c r="N142" s="214" t="str">
        <x:v>庚日主午月；丙七杀当令，壬食神有子根，庚有申根，甲财有寅根。</x:v>
      </x:c>
      <x:c r="O142" s="214" t="str">
        <x:v>识别七杀格候选、食神制杀和食神生财接口。</x:v>
      </x:c>
      <x:c r="P142" s="214" t="str">
        <x:v>壬水制丙火，力量匹配；日主有申根承载。</x:v>
      </x:c>
      <x:c r="Q142" s="214" t="str">
        <x:v>七杀格清纯成立，主轴为食神制杀，气候偏暖但水可调节。</x:v>
      </x:c>
      <x:c r="R142" s="214" t="str">
        <x:v>主用水食神制杀兼降温，辅助金比劫护身；火不宜再增。</x:v>
      </x:c>
      <x:c r="S142" s="214" t="str">
        <x:v>主用水食神制杀兼降温，辅助金比劫护身；火不宜再增。</x:v>
      </x:c>
      <x:c r="T142" s="214" t="str">
        <x:f>IF(S142="","未测试",IF(S142=R142,"通过",IF(LEFT(S142,4)="部分符合","部分通过",IF(LEFT(S142,3)="失败","未通过","待复核"))))</x:f>
        <x:v>通过</x:v>
      </x:c>
      <x:c r="U142" s="214" t="str">
        <x:v>无；人工逐层复核结果与预期一致。</x:v>
      </x:c>
      <x:c r="V142" s="214" t="str">
        <x:v>无</x:v>
      </x:c>
      <x:c r="W142" s="214" t="str">
        <x:v>无需修改；保留为回归基线。</x:v>
      </x:c>
      <x:c r="X142" s="214" t="str">
        <x:v>未测试</x:v>
      </x:c>
      <x:c r="Y142" s="214" t="str">
        <x:v>OpenAI_M20规则回归</x:v>
      </x:c>
      <x:c r="Z142" s="214" t="str">
        <x:v>待人工复核</x:v>
      </x:c>
      <x:c r="AA142" s="217" t="n">
        <x:v>46260</x:v>
      </x:c>
      <x:c r="AB142" s="214" t="str">
        <x:v>V1.7</x:v>
      </x:c>
      <x:c r="AC142" s="214" t="str">
        <x:v>合成命例仅用于规则单元/集成测试，不替代真实命例外部验证。</x:v>
      </x:c>
    </x:row>
    <x:row r="143">
      <x:c r="A143" s="214" t="str">
        <x:f>IF(OR(C143="",D143=""),"",B143&amp;"-"&amp;UPPER(C143)&amp;"-"&amp;TEXT(D143,"0000")&amp;"-"&amp;E143)</x:f>
        <x:v>M20-INTEGRATION-0137-V1.0</x:v>
      </x:c>
      <x:c r="B143" s="214" t="str">
        <x:v>M20</x:v>
      </x:c>
      <x:c r="C143" s="214" t="str">
        <x:v>INTEGRATION</x:v>
      </x:c>
      <x:c r="D143" s="216" t="n">
        <x:v>137</x:v>
      </x:c>
      <x:c r="E143" s="214" t="str">
        <x:v>V1.0</x:v>
      </x:c>
      <x:c r="F143" s="214" t="str">
        <x:v>酉月正官格伤官见官但有印救</x:v>
      </x:c>
      <x:c r="G143" s="214" t="str">
        <x:v>丁巳 辛酉 甲寅 癸亥</x:v>
      </x:c>
      <x:c r="H143" s="214" t="str">
        <x:v>未知/不适用</x:v>
      </x:c>
      <x:c r="I143" s="214" t="str">
        <x:v>合成命例；不用于历法排盘；月令按月支与输入事实假设</x:v>
      </x:c>
      <x:c r="J143" s="214" t="str">
        <x:v>内部合成规则测试</x:v>
      </x:c>
      <x:c r="K143" s="214" t="str">
        <x:v>综合案例</x:v>
      </x:c>
      <x:c r="L143" s="214" t="str">
        <x:v>M15</x:v>
      </x:c>
      <x:c r="M143" s="214" t="str">
        <x:v>M15-GUAN-0014-V1.0；M15-GUAN-0015-V1.0；M18-PATTERN-0019-V1.0；M19-USE-0045-V1.0</x:v>
      </x:c>
      <x:c r="N143" s="214" t="str">
        <x:v>甲日主酉月；辛官得令，丁伤官有巳根克辛，癸印有亥根制丁并生甲。</x:v>
      </x:c>
      <x:c r="O143" s="214" t="str">
        <x:v>识别正官格、伤官见官和印制伤救应。</x:v>
      </x:c>
      <x:c r="P143" s="214" t="str">
        <x:v>官受伤，印直接制伤并恢复官星；甲有寅根。</x:v>
      </x:c>
      <x:c r="Q143" s="214" t="str">
        <x:v>正官格有破有救，根本病为伤官克官，救应明显有效。</x:v>
      </x:c>
      <x:c r="R143" s="214" t="str">
        <x:v>主用水印制伤护官，辅助金维护官星；火为条件性忌神。</x:v>
      </x:c>
      <x:c r="S143" s="214" t="str">
        <x:v>主用水印制伤护官，辅助金维护官星；火为条件性忌神。</x:v>
      </x:c>
      <x:c r="T143" s="214" t="str">
        <x:f>IF(S143="","未测试",IF(S143=R143,"通过",IF(LEFT(S143,4)="部分符合","部分通过",IF(LEFT(S143,3)="失败","未通过","待复核"))))</x:f>
        <x:v>通过</x:v>
      </x:c>
      <x:c r="U143" s="214" t="str">
        <x:v>无；人工逐层复核结果与预期一致。</x:v>
      </x:c>
      <x:c r="V143" s="214" t="str">
        <x:v>无</x:v>
      </x:c>
      <x:c r="W143" s="214" t="str">
        <x:v>无需修改；保留为回归基线。</x:v>
      </x:c>
      <x:c r="X143" s="214" t="str">
        <x:v>未测试</x:v>
      </x:c>
      <x:c r="Y143" s="214" t="str">
        <x:v>OpenAI_M20规则回归</x:v>
      </x:c>
      <x:c r="Z143" s="214" t="str">
        <x:v>待人工复核</x:v>
      </x:c>
      <x:c r="AA143" s="217" t="n">
        <x:v>46260</x:v>
      </x:c>
      <x:c r="AB143" s="214" t="str">
        <x:v>V1.7</x:v>
      </x:c>
      <x:c r="AC143" s="214" t="str">
        <x:v>合成命例仅用于规则单元/集成测试，不替代真实命例外部验证。</x:v>
      </x:c>
    </x:row>
    <x:row r="144">
      <x:c r="A144" s="214" t="str">
        <x:f>IF(OR(C144="",D144=""),"",B144&amp;"-"&amp;UPPER(C144)&amp;"-"&amp;TEXT(D144,"0000")&amp;"-"&amp;E144)</x:f>
        <x:v>M20-INTEGRATION-0138-V1.0</x:v>
      </x:c>
      <x:c r="B144" s="214" t="str">
        <x:v>M20</x:v>
      </x:c>
      <x:c r="C144" s="214" t="str">
        <x:v>INTEGRATION</x:v>
      </x:c>
      <x:c r="D144" s="216" t="n">
        <x:v>138</x:v>
      </x:c>
      <x:c r="E144" s="214" t="str">
        <x:v>V1.0</x:v>
      </x:c>
      <x:c r="F144" s="214" t="str">
        <x:v>午月甲木食神生财的连续主轴</x:v>
      </x:c>
      <x:c r="G144" s="214" t="str">
        <x:v>乙卯 丙午 甲寅 戊辰</x:v>
      </x:c>
      <x:c r="H144" s="214" t="str">
        <x:v>未知/不适用</x:v>
      </x:c>
      <x:c r="I144" s="214" t="str">
        <x:v>合成命例；不用于历法排盘；月令按月支与输入事实假设</x:v>
      </x:c>
      <x:c r="J144" s="214" t="str">
        <x:v>内部合成规则测试</x:v>
      </x:c>
      <x:c r="K144" s="214" t="str">
        <x:v>综合案例</x:v>
      </x:c>
      <x:c r="L144" s="214" t="str">
        <x:v>M11</x:v>
      </x:c>
      <x:c r="M144" s="214" t="str">
        <x:v>M11-SHENGCAI-0056-V1.0；M15-SHISHANG-0044-V1.0；M17-GEJU-0027-V1.0；M19-USE-0045-V1.0</x:v>
      </x:c>
      <x:c r="N144" s="214" t="str">
        <x:v>甲日主有寅卯强根；午月丙食神当令，戊财有辰根。</x:v>
      </x:c>
      <x:c r="O144" s="214" t="str">
        <x:v>识别身旺、食神格候选和食神生财完整链。</x:v>
      </x:c>
      <x:c r="P144" s="214" t="str">
        <x:v>木→火→土连续，财终点可承接；无强枭夺食。</x:v>
      </x:c>
      <x:c r="Q144" s="214" t="str">
        <x:v>食神格清纯成立，日主中和偏旺，主病较轻。</x:v>
      </x:c>
      <x:c r="R144" s="214" t="str">
        <x:v>主用火食神泄秀生财，辅助土承财；水印过强会制食，列条件性忌神。</x:v>
      </x:c>
      <x:c r="S144" s="214" t="str">
        <x:v>主用火食神泄秀生财，辅助土承财；水印过强会制食，列条件性忌神。</x:v>
      </x:c>
      <x:c r="T144" s="214" t="str">
        <x:f>IF(S144="","未测试",IF(S144=R144,"通过",IF(LEFT(S144,4)="部分符合","部分通过",IF(LEFT(S144,3)="失败","未通过","待复核"))))</x:f>
        <x:v>通过</x:v>
      </x:c>
      <x:c r="U144" s="214" t="str">
        <x:v>无；人工逐层复核结果与预期一致。</x:v>
      </x:c>
      <x:c r="V144" s="214" t="str">
        <x:v>无</x:v>
      </x:c>
      <x:c r="W144" s="214" t="str">
        <x:v>无需修改；保留为回归基线。</x:v>
      </x:c>
      <x:c r="X144" s="214" t="str">
        <x:v>未测试</x:v>
      </x:c>
      <x:c r="Y144" s="214" t="str">
        <x:v>OpenAI_M20规则回归</x:v>
      </x:c>
      <x:c r="Z144" s="214" t="str">
        <x:v>待人工复核</x:v>
      </x:c>
      <x:c r="AA144" s="217" t="n">
        <x:v>46260</x:v>
      </x:c>
      <x:c r="AB144" s="214" t="str">
        <x:v>V1.7</x:v>
      </x:c>
      <x:c r="AC144" s="214" t="str">
        <x:v>合成命例仅用于规则单元/集成测试，不替代真实命例外部验证。</x:v>
      </x:c>
    </x:row>
    <x:row r="145">
      <x:c r="A145" s="214" t="str">
        <x:f>IF(OR(C145="",D145=""),"",B145&amp;"-"&amp;UPPER(C145)&amp;"-"&amp;TEXT(D145,"0000")&amp;"-"&amp;E145)</x:f>
        <x:v>M20-INTEGRATION-0139-V1.0</x:v>
      </x:c>
      <x:c r="B145" s="214" t="str">
        <x:v>M20</x:v>
      </x:c>
      <x:c r="C145" s="214" t="str">
        <x:v>INTEGRATION</x:v>
      </x:c>
      <x:c r="D145" s="216" t="n">
        <x:v>139</x:v>
      </x:c>
      <x:c r="E145" s="214" t="str">
        <x:v>V1.0</x:v>
      </x:c>
      <x:c r="F145" s="214" t="str">
        <x:v>木一气专旺的全库顺势输出</x:v>
      </x:c>
      <x:c r="G145" s="214" t="str">
        <x:v>甲寅 乙卯 甲辰 壬亥</x:v>
      </x:c>
      <x:c r="H145" s="214" t="str">
        <x:v>未知/不适用</x:v>
      </x:c>
      <x:c r="I145" s="214" t="str">
        <x:v>合成命例；不用于历法排盘；月令按月支与输入事实假设</x:v>
      </x:c>
      <x:c r="J145" s="214" t="str">
        <x:v>内部合成规则测试</x:v>
      </x:c>
      <x:c r="K145" s="214" t="str">
        <x:v>综合案例</x:v>
      </x:c>
      <x:c r="L145" s="214" t="str">
        <x:v>M15</x:v>
      </x:c>
      <x:c r="M145" s="214" t="str">
        <x:v>M15-ZHUAN-0079-V1.0；M18-SPECIAL-0016-V1.0；M17-GEJU-0033-V1.0；M19-USE-0045-V1.0</x:v>
      </x:c>
      <x:c r="N145" s="214" t="str">
        <x:v>甲木卯月，多根同党，壬亥生木，无有效金逆神。</x:v>
      </x:c>
      <x:c r="O145" s="214" t="str">
        <x:v>识别木极旺、寅卯辰会木候选和曲直/专旺结构。</x:v>
      </x:c>
      <x:c r="P145" s="214" t="str">
        <x:v>全局顺木势，水木主路径通畅；普通金克木会破专。</x:v>
      </x:c>
      <x:c r="Q145" s="214" t="str">
        <x:v>木专旺格严格成立，普通身旺用官杀逻辑让位。</x:v>
      </x:c>
      <x:c r="R145" s="214" t="str">
        <x:v>主用木维护主势，水为辅助生木；金为忌，生金助逆者为条件性仇神。</x:v>
      </x:c>
      <x:c r="S145" s="214" t="str">
        <x:v>主用木维护主势，水为辅助生木；金为忌，生金助逆者为条件性仇神。</x:v>
      </x:c>
      <x:c r="T145" s="214" t="str">
        <x:f>IF(S145="","未测试",IF(S145=R145,"通过",IF(LEFT(S145,4)="部分符合","部分通过",IF(LEFT(S145,3)="失败","未通过","待复核"))))</x:f>
        <x:v>通过</x:v>
      </x:c>
      <x:c r="U145" s="214" t="str">
        <x:v>无；人工逐层复核结果与预期一致。</x:v>
      </x:c>
      <x:c r="V145" s="214" t="str">
        <x:v>无</x:v>
      </x:c>
      <x:c r="W145" s="214" t="str">
        <x:v>无需修改；保留为回归基线。</x:v>
      </x:c>
      <x:c r="X145" s="214" t="str">
        <x:v>未测试</x:v>
      </x:c>
      <x:c r="Y145" s="214" t="str">
        <x:v>OpenAI_M20规则回归</x:v>
      </x:c>
      <x:c r="Z145" s="214" t="str">
        <x:v>待人工复核</x:v>
      </x:c>
      <x:c r="AA145" s="217" t="n">
        <x:v>46260</x:v>
      </x:c>
      <x:c r="AB145" s="214" t="str">
        <x:v>V1.7</x:v>
      </x:c>
      <x:c r="AC145" s="214" t="str">
        <x:v>合成命例仅用于规则单元/集成测试，不替代真实命例外部验证。</x:v>
      </x:c>
    </x:row>
    <x:row r="146">
      <x:c r="A146" s="214" t="str">
        <x:f>IF(OR(C146="",D146=""),"",B146&amp;"-"&amp;UPPER(C146)&amp;"-"&amp;TEXT(D146,"0000")&amp;"-"&amp;E146)</x:f>
        <x:v>M20-INTEGRATION-0140-V1.0</x:v>
      </x:c>
      <x:c r="B146" s="214" t="str">
        <x:v>M20</x:v>
      </x:c>
      <x:c r="C146" s="214" t="str">
        <x:v>INTEGRATION</x:v>
      </x:c>
      <x:c r="D146" s="216" t="n">
        <x:v>140</x:v>
      </x:c>
      <x:c r="E146" s="214" t="str">
        <x:v>V1.0</x:v>
      </x:c>
      <x:c r="F146" s="214" t="str">
        <x:v>甲木从财格的顺势喜忌输出</x:v>
      </x:c>
      <x:c r="G146" s="214" t="str">
        <x:v>戊辰 己未 甲申 戊戌</x:v>
      </x:c>
      <x:c r="H146" s="214" t="str">
        <x:v>未知/不适用</x:v>
      </x:c>
      <x:c r="I146" s="214" t="str">
        <x:v>合成命例；不用于历法排盘；月令按月支与输入事实假设</x:v>
      </x:c>
      <x:c r="J146" s="214" t="str">
        <x:v>内部合成规则测试</x:v>
      </x:c>
      <x:c r="K146" s="214" t="str">
        <x:v>综合案例</x:v>
      </x:c>
      <x:c r="L146" s="214" t="str">
        <x:v>M15</x:v>
      </x:c>
      <x:c r="M146" s="214" t="str">
        <x:v>M15-CONG-0062-V1.0；M18-SPECIAL-0014-V1.0；M17-GEJU-0031-V1.0；M19-USE-0045-V1.0</x:v>
      </x:c>
      <x:c r="N146" s="214" t="str">
        <x:v>甲日主无木根无印比；辰未戌土财成势，申金顺财生官。</x:v>
      </x:c>
      <x:c r="O146" s="214" t="str">
        <x:v>识别日主极弱、财势绝对主导和从财候选。</x:v>
      </x:c>
      <x:c r="P146" s="214" t="str">
        <x:v>无有效反从，流通顺财→官。</x:v>
      </x:c>
      <x:c r="Q146" s="214" t="str">
        <x:v>从财格严格成立；普通身弱不是病。</x:v>
      </x:c>
      <x:c r="R146" s="214" t="str">
        <x:v>主用土顺财势，火生财为喜，金为辅助顺财生官；水木印比为忌。</x:v>
      </x:c>
      <x:c r="S146" s="214" t="str">
        <x:v>主用土顺财势，火生财为喜，金为辅助顺财生官；水木印比为忌。</x:v>
      </x:c>
      <x:c r="T146" s="214" t="str">
        <x:f>IF(S146="","未测试",IF(S146=R146,"通过",IF(LEFT(S146,4)="部分符合","部分通过",IF(LEFT(S146,3)="失败","未通过","待复核"))))</x:f>
        <x:v>通过</x:v>
      </x:c>
      <x:c r="U146" s="214" t="str">
        <x:v>无；人工逐层复核结果与预期一致。</x:v>
      </x:c>
      <x:c r="V146" s="214" t="str">
        <x:v>无</x:v>
      </x:c>
      <x:c r="W146" s="214" t="str">
        <x:v>无需修改；保留为回归基线。</x:v>
      </x:c>
      <x:c r="X146" s="214" t="str">
        <x:v>未测试</x:v>
      </x:c>
      <x:c r="Y146" s="214" t="str">
        <x:v>OpenAI_M20规则回归</x:v>
      </x:c>
      <x:c r="Z146" s="214" t="str">
        <x:v>待人工复核</x:v>
      </x:c>
      <x:c r="AA146" s="217" t="n">
        <x:v>46260</x:v>
      </x:c>
      <x:c r="AB146" s="214" t="str">
        <x:v>V1.7</x:v>
      </x:c>
      <x:c r="AC146" s="214" t="str">
        <x:v>合成命例仅用于规则单元/集成测试，不替代真实命例外部验证。</x:v>
      </x:c>
    </x:row>
    <x:row r="147">
      <x:c r="A147" s="214" t="str">
        <x:f>IF(OR(C147="",D147=""),"",B147&amp;"-"&amp;UPPER(C147)&amp;"-"&amp;TEXT(D147,"0000")&amp;"-"&amp;E147)</x:f>
        <x:v>M20-INTEGRATION-0141-V1.0</x:v>
      </x:c>
      <x:c r="B147" s="214" t="str">
        <x:v>M20</x:v>
      </x:c>
      <x:c r="C147" s="214" t="str">
        <x:v>INTEGRATION</x:v>
      </x:c>
      <x:c r="D147" s="216" t="n">
        <x:v>141</x:v>
      </x:c>
      <x:c r="E147" s="214" t="str">
        <x:v>V1.0</x:v>
      </x:c>
      <x:c r="F147" s="214" t="str">
        <x:v>假从边界应保留双重结构与条件性结论</x:v>
      </x:c>
      <x:c r="G147" s="214" t="str">
        <x:v>戊辰 己未 甲申 庚戌</x:v>
      </x:c>
      <x:c r="H147" s="214" t="str">
        <x:v>未知/不适用</x:v>
      </x:c>
      <x:c r="I147" s="214" t="str">
        <x:v>合成命例；不用于历法排盘；月令按月支与输入事实假设</x:v>
      </x:c>
      <x:c r="J147" s="214" t="str">
        <x:v>内部合成规则测试</x:v>
      </x:c>
      <x:c r="K147" s="214" t="str">
        <x:v>综合案例</x:v>
      </x:c>
      <x:c r="L147" s="214" t="str">
        <x:v>M14</x:v>
      </x:c>
      <x:c r="M147" s="214" t="str">
        <x:v>M14-CONG-0056-V1.0；M15-CONG-0069-V1.0；M18-SPECIAL-0010-V1.0；M19-USE-0045-V1.0</x:v>
      </x:c>
      <x:c r="N147" s="214" t="str">
        <x:v>财杀主势明显；辰中乙为同类残根，甲仍可能保留低效自立。</x:v>
      </x:c>
      <x:c r="O147" s="214" t="str">
        <x:v>识别从势/从财候选与残根反证。</x:v>
      </x:c>
      <x:c r="P147" s="214" t="str">
        <x:v>大势近从，但真从无依硬门槛不足。</x:v>
      </x:c>
      <x:c r="Q147" s="214" t="str">
        <x:v>假从成立但有破或待定；普通财多身弱逻辑不能完全取消。</x:v>
      </x:c>
      <x:c r="R147" s="214" t="str">
        <x:v>土金顺势与水木扶身均只能条件性表达，最终置信度中等。</x:v>
      </x:c>
      <x:c r="S147" s="214" t="str">
        <x:v>部分符合：土金顺势与水木扶身均只能条件性表达，最终置信度中等。</x:v>
      </x:c>
      <x:c r="T147" s="214" t="str">
        <x:f>IF(S147="","未测试",IF(S147=R147,"通过",IF(LEFT(S147,4)="部分符合","部分通过",IF(LEFT(S147,3)="失败","未通过","待复核"))))</x:f>
        <x:v>部分通过</x:v>
      </x:c>
      <x:c r="U147" s="214" t="str">
        <x:v>核心方向符合，但边界条件、权重或唯一化结论仍不足。</x:v>
      </x:c>
      <x:c r="V147" s="214" t="str">
        <x:v>残根有效性处于真从与普通身弱分界</x:v>
      </x:c>
      <x:c r="W147" s="214" t="str">
        <x:v>M21-PATTERN-0036-V1.0、M21-CASE-0049-V1.0已登记：用户输出保留顺势与扶身双条件。</x:v>
      </x:c>
      <x:c r="X147" s="214" t="str">
        <x:v>待复核</x:v>
      </x:c>
      <x:c r="Y147" s="214" t="str">
        <x:v>OpenAI_M20规则回归</x:v>
      </x:c>
      <x:c r="Z147" s="214" t="str">
        <x:v>待人工复核</x:v>
      </x:c>
      <x:c r="AA147" s="217" t="n">
        <x:v>46260</x:v>
      </x:c>
      <x:c r="AB147" s="214" t="str">
        <x:v>V1.7</x:v>
      </x:c>
      <x:c r="AC147" s="214" t="str">
        <x:v>合成命例仅用于规则单元/集成测试，不替代真实命例外部验证。</x:v>
      </x:c>
    </x:row>
    <x:row r="148">
      <x:c r="A148" s="214" t="str">
        <x:f>IF(OR(C148="",D148=""),"",B148&amp;"-"&amp;UPPER(C148)&amp;"-"&amp;TEXT(D148,"0000")&amp;"-"&amp;E148)</x:f>
        <x:v>M20-INTEGRATION-0142-V1.0</x:v>
      </x:c>
      <x:c r="B148" s="214" t="str">
        <x:v>M20</x:v>
      </x:c>
      <x:c r="C148" s="214" t="str">
        <x:v>INTEGRATION</x:v>
      </x:c>
      <x:c r="D148" s="216" t="n">
        <x:v>142</x:v>
      </x:c>
      <x:c r="E148" s="214" t="str">
        <x:v>V1.0</x:v>
      </x:c>
      <x:c r="F148" s="214" t="str">
        <x:v>金木双强有水桥的通关用神综合裁决</x:v>
      </x:c>
      <x:c r="G148" s="214" t="str">
        <x:v>庚申 壬子 甲寅 乙卯</x:v>
      </x:c>
      <x:c r="H148" s="214" t="str">
        <x:v>未知/不适用</x:v>
      </x:c>
      <x:c r="I148" s="214" t="str">
        <x:v>合成命例；不用于历法排盘；月令按月支与输入事实假设</x:v>
      </x:c>
      <x:c r="J148" s="214" t="str">
        <x:v>内部合成规则测试</x:v>
      </x:c>
      <x:c r="K148" s="214" t="str">
        <x:v>综合案例</x:v>
      </x:c>
      <x:c r="L148" s="214" t="str">
        <x:v>M12</x:v>
      </x:c>
      <x:c r="M148" s="214" t="str">
        <x:v>M12-WUXING-0060-V1.0；M17-TONGGUAN-0040-V1.0；M18-FLOW-0039-V1.0；M19-USE-0045-V1.0</x:v>
      </x:c>
      <x:c r="N148" s="214" t="str">
        <x:v>申金有力，寅卯甲乙木有力，壬子水有根；温度不极寒。</x:v>
      </x:c>
      <x:c r="O148" s="214" t="str">
        <x:v>识别金木两强、水桥有效。</x:v>
      </x:c>
      <x:c r="P148" s="214" t="str">
        <x:v>水泄金生木，路径短且稳定；日主甲也得印生。</x:v>
      </x:c>
      <x:c r="Q148" s="214" t="str">
        <x:v>主卡点由金木对战转为基本通畅，无核心格局被水破坏。</x:v>
      </x:c>
      <x:c r="R148" s="214" t="str">
        <x:v>水因通关、扶身和病药同向升级为主用；木为喜，金为条件性忌。</x:v>
      </x:c>
      <x:c r="S148" s="214" t="str">
        <x:v>水因通关、扶身和病药同向升级为主用；木为喜，金为条件性忌。</x:v>
      </x:c>
      <x:c r="T148" s="214" t="str">
        <x:f>IF(S148="","未测试",IF(S148=R148,"通过",IF(LEFT(S148,4)="部分符合","部分通过",IF(LEFT(S148,3)="失败","未通过","待复核"))))</x:f>
        <x:v>通过</x:v>
      </x:c>
      <x:c r="U148" s="214" t="str">
        <x:v>无；人工逐层复核结果与预期一致。</x:v>
      </x:c>
      <x:c r="V148" s="214" t="str">
        <x:v>无</x:v>
      </x:c>
      <x:c r="W148" s="214" t="str">
        <x:v>无需修改；保留为回归基线。</x:v>
      </x:c>
      <x:c r="X148" s="214" t="str">
        <x:v>未测试</x:v>
      </x:c>
      <x:c r="Y148" s="214" t="str">
        <x:v>OpenAI_M20规则回归</x:v>
      </x:c>
      <x:c r="Z148" s="214" t="str">
        <x:v>待人工复核</x:v>
      </x:c>
      <x:c r="AA148" s="217" t="n">
        <x:v>46260</x:v>
      </x:c>
      <x:c r="AB148" s="214" t="str">
        <x:v>V1.7</x:v>
      </x:c>
      <x:c r="AC148" s="214" t="str">
        <x:v>合成命例仅用于规则单元/集成测试，不替代真实命例外部验证。</x:v>
      </x:c>
    </x:row>
    <x:row r="149">
      <x:c r="A149" s="214" t="str">
        <x:f>IF(OR(C149="",D149=""),"",B149&amp;"-"&amp;UPPER(C149)&amp;"-"&amp;TEXT(D149,"0000")&amp;"-"&amp;E149)</x:f>
        <x:v>M20-INTEGRATION-0143-V1.0</x:v>
      </x:c>
      <x:c r="B149" s="214" t="str">
        <x:v>M20</x:v>
      </x:c>
      <x:c r="C149" s="214" t="str">
        <x:v>INTEGRATION</x:v>
      </x:c>
      <x:c r="D149" s="216" t="n">
        <x:v>143</x:v>
      </x:c>
      <x:c r="E149" s="214" t="str">
        <x:v>V1.0</x:v>
      </x:c>
      <x:c r="F149" s="214" t="str">
        <x:v>水火双强缺木桥但木会加热的条件裁决</x:v>
      </x:c>
      <x:c r="G149" s="214" t="str">
        <x:v>丙午 丁巳 癸亥 壬子</x:v>
      </x:c>
      <x:c r="H149" s="214" t="str">
        <x:v>未知/不适用</x:v>
      </x:c>
      <x:c r="I149" s="214" t="str">
        <x:v>合成命例；不用于历法排盘；月令按月支与输入事实假设</x:v>
      </x:c>
      <x:c r="J149" s="214" t="str">
        <x:v>内部合成规则测试</x:v>
      </x:c>
      <x:c r="K149" s="214" t="str">
        <x:v>综合案例</x:v>
      </x:c>
      <x:c r="L149" s="214" t="str">
        <x:v>M12</x:v>
      </x:c>
      <x:c r="M149" s="214" t="str">
        <x:v>M12-WUXING-0063-V1.0；M13-CONFLICT-0063-V1.0；M18-FLOW-0036-V1.0；M19-USE-0045-V1.0</x:v>
      </x:c>
      <x:c r="N149" s="214" t="str">
        <x:v>巳午火旺，亥子壬癸水旺，木不现；温度偏暖，水火直接相战。</x:v>
      </x:c>
      <x:c r="O149" s="214" t="str">
        <x:v>识别水火两强与木桥缺失。</x:v>
      </x:c>
      <x:c r="P149" s="214" t="str">
        <x:v>木理论可泄水生火，但会继续增强已旺火势，调候副作用明显。</x:v>
      </x:c>
      <x:c r="Q149" s="214" t="str">
        <x:v>木通关候选需降级；优先寻找限量木与水火强度控制的兼容方案。</x:v>
      </x:c>
      <x:c r="R149" s="214" t="str">
        <x:v>木仅列条件性喜神，成立条件是不过度生火；无单一无条件主用。</x:v>
      </x:c>
      <x:c r="S149" s="214" t="str">
        <x:v>木仅列条件性喜神，成立条件是不过度生火；无单一无条件主用。</x:v>
      </x:c>
      <x:c r="T149" s="214" t="str">
        <x:f>IF(S149="","未测试",IF(S149=R149,"通过",IF(LEFT(S149,4)="部分符合","部分通过",IF(LEFT(S149,3)="失败","未通过","待复核"))))</x:f>
        <x:v>通过</x:v>
      </x:c>
      <x:c r="U149" s="214" t="str">
        <x:v>无；人工逐层复核结果与预期一致。</x:v>
      </x:c>
      <x:c r="V149" s="214" t="str">
        <x:v>无</x:v>
      </x:c>
      <x:c r="W149" s="214" t="str">
        <x:v>无需修改；保留为回归基线。</x:v>
      </x:c>
      <x:c r="X149" s="214" t="str">
        <x:v>未测试</x:v>
      </x:c>
      <x:c r="Y149" s="214" t="str">
        <x:v>OpenAI_M20规则回归</x:v>
      </x:c>
      <x:c r="Z149" s="214" t="str">
        <x:v>待人工复核</x:v>
      </x:c>
      <x:c r="AA149" s="217" t="n">
        <x:v>46260</x:v>
      </x:c>
      <x:c r="AB149" s="214" t="str">
        <x:v>V1.7</x:v>
      </x:c>
      <x:c r="AC149" s="214" t="str">
        <x:v>合成命例仅用于规则单元/集成测试，不替代真实命例外部验证。</x:v>
      </x:c>
    </x:row>
    <x:row r="150">
      <x:c r="A150" s="214" t="str">
        <x:f>IF(OR(C150="",D150=""),"",B150&amp;"-"&amp;UPPER(C150)&amp;"-"&amp;TEXT(D150,"0000")&amp;"-"&amp;E150)</x:f>
        <x:v>M20-REGRESSION-0144-V1.0</x:v>
      </x:c>
      <x:c r="B150" s="214" t="str">
        <x:v>M20</x:v>
      </x:c>
      <x:c r="C150" s="214" t="str">
        <x:v>REGRESSION</x:v>
      </x:c>
      <x:c r="D150" s="216" t="n">
        <x:v>144</x:v>
      </x:c>
      <x:c r="E150" s="214" t="str">
        <x:v>V1.0</x:v>
      </x:c>
      <x:c r="F150" s="214" t="str">
        <x:v>回归：寅巳申三刑不自动判巳火减弱</x:v>
      </x:c>
      <x:c r="G150" s="214" t="str">
        <x:v>甲寅 丁巳 戊申 丙午</x:v>
      </x:c>
      <x:c r="H150" s="214" t="str">
        <x:v>未知/不适用</x:v>
      </x:c>
      <x:c r="I150" s="214" t="str">
        <x:v>合成命例；不用于历法排盘；月令按月支与输入事实假设</x:v>
      </x:c>
      <x:c r="J150" s="214" t="str">
        <x:v>内部合成规则测试</x:v>
      </x:c>
      <x:c r="K150" s="214" t="str">
        <x:v>回归测试</x:v>
      </x:c>
      <x:c r="L150" s="214" t="str">
        <x:v>M05</x:v>
      </x:c>
      <x:c r="M150" s="214" t="str">
        <x:v>M05-XING-0036-V1.0；M06-XING-0084-V1.0；M08-BOUND-0109-V1.0</x:v>
      </x:c>
      <x:c r="N150" s="214" t="str">
        <x:v>寅巳申三刑完整；巳火得午援、丙丁透，火有根有源。</x:v>
      </x:c>
      <x:c r="O150" s="214" t="str">
        <x:v>识别完整三刑及重叠冲合害破。</x:v>
      </x:c>
      <x:c r="P150" s="214" t="str">
        <x:v>逐支判断；巳火可能刑动但不因三刑自动减力。</x:v>
      </x:c>
      <x:c r="Q150" s="214" t="str">
        <x:v>火有效力量由得令根源与实际受制综合，禁止固定扣分。</x:v>
      </x:c>
      <x:c r="R150" s="214" t="str">
        <x:v>巳火未被自动下调，历史错误回归通过。</x:v>
      </x:c>
      <x:c r="S150" s="214" t="str">
        <x:v>巳火未被自动下调，历史错误回归通过。</x:v>
      </x:c>
      <x:c r="T150" s="214" t="str">
        <x:f>IF(S150="","未测试",IF(S150=R150,"通过",IF(LEFT(S150,4)="部分符合","部分通过",IF(LEFT(S150,3)="失败","未通过","待复核"))))</x:f>
        <x:v>通过</x:v>
      </x:c>
      <x:c r="U150" s="214" t="str">
        <x:v>无；人工逐层复核结果与预期一致。</x:v>
      </x:c>
      <x:c r="V150" s="214" t="str">
        <x:v>无</x:v>
      </x:c>
      <x:c r="W150" s="214" t="str">
        <x:v>无需修改；保留为回归基线。</x:v>
      </x:c>
      <x:c r="X150" s="214" t="str">
        <x:v>通过</x:v>
      </x:c>
      <x:c r="Y150" s="214" t="str">
        <x:v>OpenAI_M20规则回归</x:v>
      </x:c>
      <x:c r="Z150" s="214" t="str">
        <x:v>待人工复核</x:v>
      </x:c>
      <x:c r="AA150" s="217" t="n">
        <x:v>46260</x:v>
      </x:c>
      <x:c r="AB150" s="214" t="str">
        <x:v>V1.7</x:v>
      </x:c>
      <x:c r="AC150" s="214" t="str">
        <x:v>合成命例仅用于规则单元/集成测试，不替代真实命例外部验证。</x:v>
      </x:c>
    </x:row>
    <x:row r="151">
      <x:c r="A151" s="214" t="str">
        <x:f>IF(OR(C151="",D151=""),"",B151&amp;"-"&amp;UPPER(C151)&amp;"-"&amp;TEXT(D151,"0000")&amp;"-"&amp;E151)</x:f>
        <x:v>M20-REGRESSION-0145-V1.0</x:v>
      </x:c>
      <x:c r="B151" s="214" t="str">
        <x:v>M20</x:v>
      </x:c>
      <x:c r="C151" s="214" t="str">
        <x:v>REGRESSION</x:v>
      </x:c>
      <x:c r="D151" s="216" t="n">
        <x:v>145</x:v>
      </x:c>
      <x:c r="E151" s="214" t="str">
        <x:v>V1.0</x:v>
      </x:c>
      <x:c r="F151" s="214" t="str">
        <x:v>回归：相冲不等于根气归零</x:v>
      </x:c>
      <x:c r="G151" s="214" t="str">
        <x:v>庚申 戊寅 甲辰 丙午</x:v>
      </x:c>
      <x:c r="H151" s="214" t="str">
        <x:v>未知/不适用</x:v>
      </x:c>
      <x:c r="I151" s="214" t="str">
        <x:v>合成命例；不用于历法排盘；月令按月支与输入事实假设</x:v>
      </x:c>
      <x:c r="J151" s="214" t="str">
        <x:v>内部合成规则测试</x:v>
      </x:c>
      <x:c r="K151" s="214" t="str">
        <x:v>回归测试</x:v>
      </x:c>
      <x:c r="L151" s="214" t="str">
        <x:v>M06</x:v>
      </x:c>
      <x:c r="M151" s="214" t="str">
        <x:v>M06-CHONG-0065-V1.0；M08-ROOT-0001-V1.0</x:v>
      </x:c>
      <x:c r="N151" s="214" t="str">
        <x:v>甲木寅根受申冲；寅有透干和生源，M06未判冲散。</x:v>
      </x:c>
      <x:c r="O151" s="214" t="str">
        <x:v>识别寅申冲和寅本气根。</x:v>
      </x:c>
      <x:c r="P151" s="214" t="str">
        <x:v>寅被引动受制，但根气仍保留。</x:v>
      </x:c>
      <x:c r="Q151" s="214" t="str">
        <x:v>甲木不能因一冲直接判无根。</x:v>
      </x:c>
      <x:c r="R151" s="214" t="str">
        <x:v>受冲根未归零，历史错误回归通过。</x:v>
      </x:c>
      <x:c r="S151" s="214" t="str">
        <x:v>受冲根未归零，历史错误回归通过。</x:v>
      </x:c>
      <x:c r="T151" s="214" t="str">
        <x:f>IF(S151="","未测试",IF(S151=R151,"通过",IF(LEFT(S151,4)="部分符合","部分通过",IF(LEFT(S151,3)="失败","未通过","待复核"))))</x:f>
        <x:v>通过</x:v>
      </x:c>
      <x:c r="U151" s="214" t="str">
        <x:v>无；人工逐层复核结果与预期一致。</x:v>
      </x:c>
      <x:c r="V151" s="214" t="str">
        <x:v>无</x:v>
      </x:c>
      <x:c r="W151" s="214" t="str">
        <x:v>无需修改；保留为回归基线。</x:v>
      </x:c>
      <x:c r="X151" s="214" t="str">
        <x:v>通过</x:v>
      </x:c>
      <x:c r="Y151" s="214" t="str">
        <x:v>OpenAI_M20规则回归</x:v>
      </x:c>
      <x:c r="Z151" s="214" t="str">
        <x:v>待人工复核</x:v>
      </x:c>
      <x:c r="AA151" s="217" t="n">
        <x:v>46260</x:v>
      </x:c>
      <x:c r="AB151" s="214" t="str">
        <x:v>V1.7</x:v>
      </x:c>
      <x:c r="AC151" s="214" t="str">
        <x:v>合成命例仅用于规则单元/集成测试，不替代真实命例外部验证。</x:v>
      </x:c>
    </x:row>
    <x:row r="152">
      <x:c r="A152" s="214" t="str">
        <x:f>IF(OR(C152="",D152=""),"",B152&amp;"-"&amp;UPPER(C152)&amp;"-"&amp;TEXT(D152,"0000")&amp;"-"&amp;E152)</x:f>
        <x:v>M20-REGRESSION-0146-V1.0</x:v>
      </x:c>
      <x:c r="B152" s="214" t="str">
        <x:v>M20</x:v>
      </x:c>
      <x:c r="C152" s="214" t="str">
        <x:v>REGRESSION</x:v>
      </x:c>
      <x:c r="D152" s="216" t="n">
        <x:v>146</x:v>
      </x:c>
      <x:c r="E152" s="214" t="str">
        <x:v>V1.0</x:v>
      </x:c>
      <x:c r="F152" s="214" t="str">
        <x:v>回归：最弱五行不自动成为喜神</x:v>
      </x:c>
      <x:c r="G152" s="214" t="str">
        <x:v>庚申 辛酉 甲寅 丙午</x:v>
      </x:c>
      <x:c r="H152" s="214" t="str">
        <x:v>未知/不适用</x:v>
      </x:c>
      <x:c r="I152" s="214" t="str">
        <x:v>合成命例；不用于历法排盘；月令按月支与输入事实假设</x:v>
      </x:c>
      <x:c r="J152" s="214" t="str">
        <x:v>内部合成规则测试</x:v>
      </x:c>
      <x:c r="K152" s="214" t="str">
        <x:v>回归测试</x:v>
      </x:c>
      <x:c r="L152" s="214" t="str">
        <x:v>M07</x:v>
      </x:c>
      <x:c r="M152" s="214" t="str">
        <x:v>M07-BOUND-0079-V1.0；M17-BOUND-0093-V1.0</x:v>
      </x:c>
      <x:c r="N152" s="214" t="str">
        <x:v>水为全局最弱或不现，但主结构未必需要水，补水可能加寒或破火食神。</x:v>
      </x:c>
      <x:c r="O152" s="214" t="str">
        <x:v>记录水弱事实。</x:v>
      </x:c>
      <x:c r="P152" s="214" t="str">
        <x:v>检查水是否为桥梁、调候或药神；若均否则不列喜。</x:v>
      </x:c>
      <x:c r="Q152" s="214" t="str">
        <x:v>水可定位中性而非因最弱自动喜。</x:v>
      </x:c>
      <x:c r="R152" s="214" t="str">
        <x:v>弱五行未被自动判喜，回归通过。</x:v>
      </x:c>
      <x:c r="S152" s="214" t="str">
        <x:v>弱五行未被自动判喜，回归通过。</x:v>
      </x:c>
      <x:c r="T152" s="214" t="str">
        <x:f>IF(S152="","未测试",IF(S152=R152,"通过",IF(LEFT(S152,4)="部分符合","部分通过",IF(LEFT(S152,3)="失败","未通过","待复核"))))</x:f>
        <x:v>通过</x:v>
      </x:c>
      <x:c r="U152" s="214" t="str">
        <x:v>无；人工逐层复核结果与预期一致。</x:v>
      </x:c>
      <x:c r="V152" s="214" t="str">
        <x:v>无</x:v>
      </x:c>
      <x:c r="W152" s="214" t="str">
        <x:v>无需修改；保留为回归基线。</x:v>
      </x:c>
      <x:c r="X152" s="214" t="str">
        <x:v>通过</x:v>
      </x:c>
      <x:c r="Y152" s="214" t="str">
        <x:v>OpenAI_M20规则回归</x:v>
      </x:c>
      <x:c r="Z152" s="214" t="str">
        <x:v>待人工复核</x:v>
      </x:c>
      <x:c r="AA152" s="217" t="n">
        <x:v>46260</x:v>
      </x:c>
      <x:c r="AB152" s="214" t="str">
        <x:v>V1.7</x:v>
      </x:c>
      <x:c r="AC152" s="214" t="str">
        <x:v>合成命例仅用于规则单元/集成测试，不替代真实命例外部验证。</x:v>
      </x:c>
    </x:row>
    <x:row r="153">
      <x:c r="A153" s="214" t="str">
        <x:f>IF(OR(C153="",D153=""),"",B153&amp;"-"&amp;UPPER(C153)&amp;"-"&amp;TEXT(D153,"0000")&amp;"-"&amp;E153)</x:f>
        <x:v>M20-REGRESSION-0147-V1.0</x:v>
      </x:c>
      <x:c r="B153" s="214" t="str">
        <x:v>M20</x:v>
      </x:c>
      <x:c r="C153" s="214" t="str">
        <x:v>REGRESSION</x:v>
      </x:c>
      <x:c r="D153" s="216" t="n">
        <x:v>147</x:v>
      </x:c>
      <x:c r="E153" s="214" t="str">
        <x:v>V1.0</x:v>
      </x:c>
      <x:c r="F153" s="214" t="str">
        <x:v>回归：格局候选不等于最终成格</x:v>
      </x:c>
      <x:c r="G153" s="214" t="str">
        <x:v>辛酉 癸亥 甲寅 丙午</x:v>
      </x:c>
      <x:c r="H153" s="214" t="str">
        <x:v>未知/不适用</x:v>
      </x:c>
      <x:c r="I153" s="214" t="str">
        <x:v>合成命例；不用于历法排盘；月令按月支与输入事实假设</x:v>
      </x:c>
      <x:c r="J153" s="214" t="str">
        <x:v>内部合成规则测试</x:v>
      </x:c>
      <x:c r="K153" s="214" t="str">
        <x:v>回归测试</x:v>
      </x:c>
      <x:c r="L153" s="214" t="str">
        <x:v>M14</x:v>
      </x:c>
      <x:c r="M153" s="214" t="str">
        <x:v>M14-GEN-0001-V1.0；M15-GEN-0001-V1.0</x:v>
      </x:c>
      <x:c r="N153" s="214" t="str">
        <x:v>官印组合存在，正官和印格均可能生成候选。</x:v>
      </x:c>
      <x:c r="O153" s="214" t="str">
        <x:v>M14并列候选并排序。</x:v>
      </x:c>
      <x:c r="P153" s="214" t="str">
        <x:v>M15审月令、格神和主导性后确定最终格局。</x:v>
      </x:c>
      <x:c r="Q153" s="214" t="str">
        <x:v>不得把第一眼候选直接写成清纯成格。</x:v>
      </x:c>
      <x:c r="R153" s="214" t="str">
        <x:v>候选与成格分层回归通过。</x:v>
      </x:c>
      <x:c r="S153" s="214" t="str">
        <x:v>候选与成格分层回归通过。</x:v>
      </x:c>
      <x:c r="T153" s="214" t="str">
        <x:f>IF(S153="","未测试",IF(S153=R153,"通过",IF(LEFT(S153,4)="部分符合","部分通过",IF(LEFT(S153,3)="失败","未通过","待复核"))))</x:f>
        <x:v>通过</x:v>
      </x:c>
      <x:c r="U153" s="214" t="str">
        <x:v>无；人工逐层复核结果与预期一致。</x:v>
      </x:c>
      <x:c r="V153" s="214" t="str">
        <x:v>无</x:v>
      </x:c>
      <x:c r="W153" s="214" t="str">
        <x:v>无需修改；保留为回归基线。</x:v>
      </x:c>
      <x:c r="X153" s="214" t="str">
        <x:v>通过</x:v>
      </x:c>
      <x:c r="Y153" s="214" t="str">
        <x:v>OpenAI_M20规则回归</x:v>
      </x:c>
      <x:c r="Z153" s="214" t="str">
        <x:v>待人工复核</x:v>
      </x:c>
      <x:c r="AA153" s="217" t="n">
        <x:v>46260</x:v>
      </x:c>
      <x:c r="AB153" s="214" t="str">
        <x:v>V1.7</x:v>
      </x:c>
      <x:c r="AC153" s="214" t="str">
        <x:v>合成命例仅用于规则单元/集成测试，不替代真实命例外部验证。</x:v>
      </x:c>
    </x:row>
    <x:row r="154">
      <x:c r="A154" s="214" t="str">
        <x:f>IF(OR(C154="",D154=""),"",B154&amp;"-"&amp;UPPER(C154)&amp;"-"&amp;TEXT(D154,"0000")&amp;"-"&amp;E154)</x:f>
        <x:v>M20-REGRESSION-0148-V1.0</x:v>
      </x:c>
      <x:c r="B154" s="214" t="str">
        <x:v>M20</x:v>
      </x:c>
      <x:c r="C154" s="214" t="str">
        <x:v>REGRESSION</x:v>
      </x:c>
      <x:c r="D154" s="216" t="n">
        <x:v>148</x:v>
      </x:c>
      <x:c r="E154" s="214" t="str">
        <x:v>V1.0</x:v>
      </x:c>
      <x:c r="F154" s="214" t="str">
        <x:v>回归：药神有利不等于越多越好</x:v>
      </x:c>
      <x:c r="G154" s="214" t="str">
        <x:v>丙午 丁巳 癸亥 壬子</x:v>
      </x:c>
      <x:c r="H154" s="214" t="str">
        <x:v>未知/不适用</x:v>
      </x:c>
      <x:c r="I154" s="214" t="str">
        <x:v>合成命例；不用于历法排盘；月令按月支与输入事实假设</x:v>
      </x:c>
      <x:c r="J154" s="214" t="str">
        <x:v>内部合成规则测试</x:v>
      </x:c>
      <x:c r="K154" s="214" t="str">
        <x:v>回归测试</x:v>
      </x:c>
      <x:c r="L154" s="214" t="str">
        <x:v>M16</x:v>
      </x:c>
      <x:c r="M154" s="214" t="str">
        <x:v>M16-DOSE-0091-V1.0；M18-DOSE-0062-V1.0</x:v>
      </x:c>
      <x:c r="N154" s="214" t="str">
        <x:v>火可暖寒或调节水势，但火继续增强会耗水并形成热燥。</x:v>
      </x:c>
      <x:c r="O154" s="214" t="str">
        <x:v>识别火的正向药理。</x:v>
      </x:c>
      <x:c r="P154" s="214" t="str">
        <x:v>按最小有效剂量使用，越界后转反向病。</x:v>
      </x:c>
      <x:c r="Q154" s="214" t="str">
        <x:v>火由喜神转条件性忌神的剂量边界被保留。</x:v>
      </x:c>
      <x:c r="R154" s="214" t="str">
        <x:v>药过转忌规则回归通过。</x:v>
      </x:c>
      <x:c r="S154" s="214" t="str">
        <x:v>药过转忌规则回归通过。</x:v>
      </x:c>
      <x:c r="T154" s="214" t="str">
        <x:f>IF(S154="","未测试",IF(S154=R154,"通过",IF(LEFT(S154,4)="部分符合","部分通过",IF(LEFT(S154,3)="失败","未通过","待复核"))))</x:f>
        <x:v>通过</x:v>
      </x:c>
      <x:c r="U154" s="214" t="str">
        <x:v>无；人工逐层复核结果与预期一致。</x:v>
      </x:c>
      <x:c r="V154" s="214" t="str">
        <x:v>无</x:v>
      </x:c>
      <x:c r="W154" s="214" t="str">
        <x:v>无需修改；保留为回归基线。</x:v>
      </x:c>
      <x:c r="X154" s="214" t="str">
        <x:v>通过</x:v>
      </x:c>
      <x:c r="Y154" s="214" t="str">
        <x:v>OpenAI_M20规则回归</x:v>
      </x:c>
      <x:c r="Z154" s="214" t="str">
        <x:v>待人工复核</x:v>
      </x:c>
      <x:c r="AA154" s="217" t="n">
        <x:v>46260</x:v>
      </x:c>
      <x:c r="AB154" s="214" t="str">
        <x:v>V1.7</x:v>
      </x:c>
      <x:c r="AC154" s="214" t="str">
        <x:v>合成命例仅用于规则单元/集成测试，不替代真实命例外部验证。</x:v>
      </x:c>
    </x:row>
    <x:row r="155">
      <x:c r="A155" s="214" t="str">
        <x:f>IF(OR(C155="",D155=""),"",B155&amp;"-"&amp;UPPER(C155)&amp;"-"&amp;TEXT(D155,"0000")&amp;"-"&amp;E155)</x:f>
        <x:v>M20-DISPUTE-0149-V1.0</x:v>
      </x:c>
      <x:c r="B155" s="214" t="str">
        <x:v>M20</x:v>
      </x:c>
      <x:c r="C155" s="214" t="str">
        <x:v>DISPUTE</x:v>
      </x:c>
      <x:c r="D155" s="216" t="n">
        <x:v>149</x:v>
      </x:c>
      <x:c r="E155" s="214" t="str">
        <x:v>V1.0</x:v>
      </x:c>
      <x:c r="F155" s="214" t="str">
        <x:v>争议：阴干羊刃映射与是否取刃格</x:v>
      </x:c>
      <x:c r="G155" s="214" t="str">
        <x:v>辛酉 乙卯 乙巳 庚申</x:v>
      </x:c>
      <x:c r="H155" s="214" t="str">
        <x:v>未知/不适用</x:v>
      </x:c>
      <x:c r="I155" s="214" t="str">
        <x:v>合成命例；不用于历法排盘；月令按月支与输入事实假设</x:v>
      </x:c>
      <x:c r="J155" s="214" t="str">
        <x:v>内部合成规则测试</x:v>
      </x:c>
      <x:c r="K155" s="214" t="str">
        <x:v>争议测试</x:v>
      </x:c>
      <x:c r="L155" s="214" t="str">
        <x:v>M14</x:v>
      </x:c>
      <x:c r="M155" s="214" t="str">
        <x:v>M14-JIANREN-0048-V1.0</x:v>
      </x:c>
      <x:c r="N155" s="214" t="str">
        <x:v>日主乙木；涉及阴干羊刃地取法，不同流派对是否以寅/卯等取刃及是否入格存在分歧。</x:v>
      </x:c>
      <x:c r="O155" s="214" t="str">
        <x:v>只在选定流派口径下生成候选。</x:v>
      </x:c>
      <x:c r="P155" s="214" t="str">
        <x:v>不得将争议映射作为跨流派硬规则。</x:v>
      </x:c>
      <x:c r="Q155" s="214" t="str">
        <x:v>当前结论标待定，转M21登记观点、依据和影响范围。</x:v>
      </x:c>
      <x:c r="R155" s="214" t="str">
        <x:v>阴干羊刃不作无条件共识，等待流派治理。</x:v>
      </x:c>
      <x:c r="S155" s="214" t="str">
        <x:v>待复核：阴干羊刃不作无条件共识，等待流派治理。</x:v>
      </x:c>
      <x:c r="T155" s="214" t="str">
        <x:f>IF(S155="","未测试",IF(S155=R155,"通过",IF(LEFT(S155,4)="部分符合","部分通过",IF(LEFT(S155,3)="失败","未通过","待复核"))))</x:f>
        <x:v>待复核</x:v>
      </x:c>
      <x:c r="U155" s="214" t="str">
        <x:v>现有规则可生成候选，但缺少跨流派共识或外部案例证据。</x:v>
      </x:c>
      <x:c r="V155" s="214" t="str">
        <x:v>阴干羊刃取法存在稳定流派分歧</x:v>
      </x:c>
      <x:c r="W155" s="214" t="str">
        <x:v>M21-PATTERN-0040-V1.0已登记：阴干羊刃不作跨流派硬规则，待参数化比较。</x:v>
      </x:c>
      <x:c r="X155" s="214" t="str">
        <x:v>待复核</x:v>
      </x:c>
      <x:c r="Y155" s="214" t="str">
        <x:v>OpenAI_M20规则回归</x:v>
      </x:c>
      <x:c r="Z155" s="214" t="str">
        <x:v>待人工复核</x:v>
      </x:c>
      <x:c r="AA155" s="217" t="n">
        <x:v>46260</x:v>
      </x:c>
      <x:c r="AB155" s="214" t="str">
        <x:v>V1.7</x:v>
      </x:c>
      <x:c r="AC155" s="214" t="str">
        <x:v>合成命例仅用于规则单元/集成测试，不替代真实命例外部验证。</x:v>
      </x:c>
    </x:row>
    <x:row r="156">
      <x:c r="A156" s="214" t="str">
        <x:f>IF(OR(C156="",D156=""),"",B156&amp;"-"&amp;UPPER(C156)&amp;"-"&amp;TEXT(D156,"0000")&amp;"-"&amp;E156)</x:f>
        <x:v>M20-DISPUTE-0150-V1.0</x:v>
      </x:c>
      <x:c r="B156" s="214" t="str">
        <x:v>M20</x:v>
      </x:c>
      <x:c r="C156" s="214" t="str">
        <x:v>DISPUTE</x:v>
      </x:c>
      <x:c r="D156" s="216" t="n">
        <x:v>150</x:v>
      </x:c>
      <x:c r="E156" s="214" t="str">
        <x:v>V1.0</x:v>
      </x:c>
      <x:c r="F156" s="214" t="str">
        <x:v>争议：四季土月湿燥标签与权重</x:v>
      </x:c>
      <x:c r="G156" s="214" t="str">
        <x:v>戊辰 己未 庚戌 癸丑</x:v>
      </x:c>
      <x:c r="H156" s="214" t="str">
        <x:v>未知/不适用</x:v>
      </x:c>
      <x:c r="I156" s="214" t="str">
        <x:v>合成命例；不用于历法排盘；月令按月支与输入事实假设</x:v>
      </x:c>
      <x:c r="J156" s="214" t="str">
        <x:v>内部合成规则测试</x:v>
      </x:c>
      <x:c r="K156" s="214" t="str">
        <x:v>争议测试</x:v>
      </x:c>
      <x:c r="L156" s="214" t="str">
        <x:v>M13</x:v>
      </x:c>
      <x:c r="M156" s="214" t="str">
        <x:v>M13-BOUND-0068-V1.0</x:v>
      </x:c>
      <x:c r="N156" s="214" t="str">
        <x:v>辰丑常称湿土、未戌常称燥土，但四支同现且受火水、月令、合冲影响。</x:v>
      </x:c>
      <x:c r="O156" s="214" t="str">
        <x:v>先识别各土支基础属性。</x:v>
      </x:c>
      <x:c r="P156" s="214" t="str">
        <x:v>实际湿燥必须由全局水火、季令和关系效应修正。</x:v>
      </x:c>
      <x:c r="Q156" s="214" t="str">
        <x:v>不得用固定湿燥标签直接定调候；权重需M21与真实案例回归。</x:v>
      </x:c>
      <x:c r="R156" s="214" t="str">
        <x:v>四季土湿燥结论保持条件性并转争议治理。</x:v>
      </x:c>
      <x:c r="S156" s="214" t="str">
        <x:v>待复核：四季土湿燥结论保持条件性并转争议治理。</x:v>
      </x:c>
      <x:c r="T156" s="214" t="str">
        <x:f>IF(S156="","未测试",IF(S156=R156,"通过",IF(LEFT(S156,4)="部分符合","部分通过",IF(LEFT(S156,3)="失败","未通过","待复核"))))</x:f>
        <x:v>待复核</x:v>
      </x:c>
      <x:c r="U156" s="214" t="str">
        <x:v>现有规则可生成候选，但缺少跨流派共识或外部案例证据。</x:v>
      </x:c>
      <x:c r="V156" s="214" t="str">
        <x:v>四季土湿燥权重和季节修正缺少跨流派统一标准</x:v>
      </x:c>
      <x:c r="W156" s="214" t="str">
        <x:v>M21-CLIMATE-0042-V1.0已登记：四季土湿燥只保留基础倾向，权重待成组回归。</x:v>
      </x:c>
      <x:c r="X156" s="214" t="str">
        <x:v>待复核</x:v>
      </x:c>
      <x:c r="Y156" s="214" t="str">
        <x:v>OpenAI_M20规则回归</x:v>
      </x:c>
      <x:c r="Z156" s="214" t="str">
        <x:v>待人工复核</x:v>
      </x:c>
      <x:c r="AA156" s="217" t="n">
        <x:v>46260</x:v>
      </x:c>
      <x:c r="AB156" s="214" t="str">
        <x:v>V1.7</x:v>
      </x:c>
      <x:c r="AC156" s="214" t="str">
        <x:v>合成命例仅用于规则单元/集成测试，不替代真实命例外部验证。</x:v>
      </x:c>
    </x:row>
  </x:sheetData>
  <x:mergeCells>
    <x:mergeCell ref="A1:O1"/>
    <x:mergeCell ref="A2:O2"/>
    <x:mergeCell ref="A3:O3"/>
    <x:mergeCell ref="A4:O4"/>
    <x:mergeCell ref="AE1:AM1"/>
  </x:mergeCells>
  <x:conditionalFormatting sqref="A6:A105">
    <x:cfRule type="expression" dxfId="18" priority="1">
      <x:formula>AND(A6&lt;&gt;"",COUNTIF($A$6:$A$105,A6)&gt;1)</x:formula>
    </x:cfRule>
  </x:conditionalFormatting>
  <x:conditionalFormatting sqref="T7:T156">
    <x:cfRule type="expression" dxfId="20" priority="2">
      <x:formula>T7="通过"</x:formula>
    </x:cfRule>
    <x:cfRule type="expression" dxfId="21" priority="3">
      <x:formula>T7="部分通过"</x:formula>
    </x:cfRule>
    <x:cfRule type="expression" dxfId="22" priority="4">
      <x:formula>T7="未通过"</x:formula>
    </x:cfRule>
    <x:cfRule type="expression" dxfId="23" priority="5">
      <x:formula>T7="待复核"</x:formula>
    </x:cfRule>
    <x:cfRule type="expression" dxfId="24" priority="6">
      <x:formula>T7="未测试"</x:formula>
    </x:cfRule>
  </x:conditionalFormatting>
  <x:conditionalFormatting sqref="X7:X156">
    <x:cfRule type="expression" dxfId="25" priority="7">
      <x:formula>X7="通过"</x:formula>
    </x:cfRule>
    <x:cfRule type="expression" dxfId="26" priority="8">
      <x:formula>OR(X7="待复核",X7="未测试")</x:formula>
    </x:cfRule>
  </x:conditionalFormatting>
  <x:conditionalFormatting sqref="AF16:AF33">
    <x:cfRule type="dataBar" priority="9">
      <x:dataBar>
        <x:cfvo type="min"/>
        <x:cfvo type="max"/>
        <x:color rgb="FFA02B93"/>
      </x:dataBar>
      <x:extLst>
        <x:ext xmlns:x14="http://schemas.microsoft.com/office/spreadsheetml/2009/9/main" uri="{B025F937-C7B1-47D3-B67F-A62EFF666E3E}">
          <x14:id>{D41C9204-E528-7E72-0347-82DE6639B38B}</x14:id>
        </x:ext>
      </x:extLst>
    </x:cfRule>
  </x:conditionalFormatting>
  <x:conditionalFormatting sqref="AF15:AF32">
    <x:cfRule type="dataBar" priority="10">
      <x:dataBar>
        <x:cfvo type="min"/>
        <x:cfvo type="max"/>
        <x:color rgb="FFA02B93"/>
      </x:dataBar>
      <x:extLst>
        <x:ext xmlns:x14="http://schemas.microsoft.com/office/spreadsheetml/2009/9/main" uri="{B025F937-C7B1-47D3-B67F-A62EFF666E3E}">
          <x14:id>{A51DA716-4A74-2A7C-6F7A-F844711B0461}</x14:id>
        </x:ext>
      </x:extLst>
    </x:cfRule>
  </x:conditionalFormatting>
  <x:dataValidations count="12">
    <x:dataValidation type="list" sqref="E6:E105">
      <x:formula1>'99_下拉选项'!$BG$4:$BG$12</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 type="list" sqref="E6:E130">
      <x:formula1>'99_下拉选项'!$BG$4:$BG$14</x:formula1>
    </x:dataValidation>
    <x:dataValidation type="list" sqref="E7:E105">
      <x:formula1>'99_下拉选项'!$BG$4:$BG$20</x:formula1>
    </x:dataValidation>
    <x:dataValidation type="list" sqref="E7:E156">
      <x:formula1>'99_下拉选项'!$BG$4:$BG$22</x:formula1>
    </x:dataValidation>
    <x:dataValidation type="list" sqref="H7:H156">
      <x:formula1>'99_下拉选项'!$AW$4:$AW$6</x:formula1>
    </x:dataValidation>
    <x:dataValidation type="list" sqref="K7:K156">
      <x:formula1>'99_下拉选项'!$AX$4:$AX$9</x:formula1>
    </x:dataValidation>
    <x:dataValidation type="list" sqref="T7:T156">
      <x:formula1>'99_下拉选项'!$AY$4:$AY$8</x:formula1>
    </x:dataValidation>
    <x:dataValidation type="list" sqref="X7:X156">
      <x:formula1>'99_下拉选项'!$AY$4:$AY$8</x:formula1>
    </x:dataValidation>
  </x:dataValidations>
  <x:pageMargins left="0.7" right="0.7" top="0.75" bottom="0.75" header="0.3" footer="0.3"/>
  <x:drawing xmlns:r="http://schemas.openxmlformats.org/officeDocument/2006/relationships" r:id="R34793b93f7fa4138"/>
  <x:tableParts count="1">
    <x:tablePart xmlns:r="http://schemas.openxmlformats.org/officeDocument/2006/relationships" r:id="Rdebba6e54c1d4769"/>
  </x:tableParts>
  <x:extLst>
    <x:ext xmlns:x14="http://schemas.microsoft.com/office/spreadsheetml/2009/9/main" xmlns:xm="http://schemas.microsoft.com/office/excel/2006/main" uri="{78C0D931-6437-407d-A8EE-F0AAD7539E65}">
      <x14:conditionalFormattings>
        <x14:conditionalFormatting>
          <x14:cfRule type="dataBar" priority="9" id="{D41C9204-E528-7E72-0347-82DE6639B38B}">
            <x14:dataBar gradient="1">
              <x14:cfvo type="min"/>
              <x14:cfvo type="max"/>
              <x14:fillColor rgb="FFA02B93"/>
            </x14:dataBar>
          </x14:cfRule>
          <xm:sqref>AF16:AF33</xm:sqref>
        </x14:conditionalFormatting>
        <x14:conditionalFormatting>
          <x14:cfRule type="dataBar" priority="10" id="{A51DA716-4A74-2A7C-6F7A-F844711B0461}">
            <x14:dataBar gradient="1">
              <x14:cfvo type="min"/>
              <x14:cfvo type="max"/>
              <x14:fillColor rgb="FFA02B93"/>
            </x14:dataBar>
          </x14:cfRule>
          <xm:sqref>AF15:AF32</xm:sqref>
        </x14:conditionalFormatting>
      </x14:conditionalFormattings>
    </x:ext>
  </x:extLst>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 min="26" max="26" width="14" hidden="0" customWidth="1"/>
    <x:col min="27" max="27" width="10" hidden="0" customWidth="1"/>
    <x:col min="28" max="28" width="10" hidden="0" customWidth="1"/>
    <x:col min="29" max="29" width="14" hidden="0" customWidth="1"/>
    <x:col min="30" max="30" width="20" hidden="0" customWidth="1"/>
    <x:col min="31" max="31" width="10" hidden="0" customWidth="1"/>
    <x:col min="32" max="32" width="12" hidden="0" customWidth="1"/>
    <x:col min="33" max="33" width="34" hidden="0" customWidth="1"/>
  </x:cols>
  <x:sheetData>
    <x:row r="1" ht="24"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c r="Z1" s="257" t="str">
        <x:v>M21｜版本与争议治理摘要</x:v>
      </x:c>
      <x:c r="AA1" s="257"/>
      <x:c r="AB1" s="257"/>
      <x:c r="AC1" s="257"/>
      <x:c r="AD1" s="257"/>
      <x:c r="AE1" s="257"/>
      <x:c r="AF1" s="257"/>
      <x:c r="AG1" s="257"/>
    </x:row>
    <x:row r="2" ht="36" customHeight="1">
      <x:c r="A2" s="39" t="str">
        <x:v>记录50条正式治理记录：统一采用口径、反向证据、争议级别、影响范围、版本历史和待验证事项。已采用规则与跨流派共识分开；未解决问题必须保留回归要求。</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主要输出：争议裁决、版本历史、适用边界与回归要求　｜　直接下游：所有模块　｜　建设阶段：第五阶段_版本治理闭环</x:v>
      </x:c>
      <x:c r="B3" s="47"/>
      <x:c r="C3" s="47"/>
      <x:c r="D3" s="47"/>
      <x:c r="E3" s="47"/>
      <x:c r="F3" s="47"/>
      <x:c r="G3" s="47"/>
      <x:c r="H3" s="47"/>
      <x:c r="I3" s="47"/>
      <x:c r="J3" s="47"/>
      <x:c r="K3" s="47"/>
      <x:c r="L3" s="47"/>
      <x:c r="M3" s="47"/>
      <x:c r="N3" s="47"/>
      <x:c r="O3" s="47"/>
      <x:c r="P3" s="47"/>
      <x:c r="Q3" s="47"/>
      <x:c r="R3" s="47"/>
      <x:c r="S3" s="47"/>
      <x:c r="T3" s="47"/>
      <x:c r="U3" s="47"/>
      <x:c r="V3" s="47"/>
      <x:c r="W3" s="47"/>
      <x:c r="X3" s="47"/>
      <x:c r="Y3" s="47"/>
      <x:c r="Z3" s="261" t="str">
        <x:v>治理记录</x:v>
      </x:c>
      <x:c r="AA3" s="265" t="n">
        <x:f>COUNTA($A$7:$A$56)</x:f>
        <x:v>50</x:v>
      </x:c>
      <x:c r="AC3" s="261" t="str">
        <x:v>已生效</x:v>
      </x:c>
      <x:c r="AD3" s="265" t="n">
        <x:f>COUNTIF($V$7:$V$56,"已生效")</x:f>
        <x:v>44</x:v>
      </x:c>
      <x:c r="AF3" s="261" t="str">
        <x:v>待验证</x:v>
      </x:c>
      <x:c r="AG3" s="265" t="n">
        <x:f>COUNTIF($V$7:$V$56,"待验证")</x:f>
        <x:v>6</x:v>
      </x:c>
    </x:row>
    <x:row r="4" ht="34" customHeight="1">
      <x:c r="A4" s="54" t="str">
        <x:v>填写约束：一行一条议题或版本变更；采用规则、反对证据、处理状态和影响范围必须完整。待验证议题不得填写生效日期，也不得被上层模型当作无条件共识。</x:v>
      </x:c>
      <x:c r="B4" s="54"/>
      <x:c r="C4" s="54"/>
      <x:c r="D4" s="54"/>
      <x:c r="E4" s="54"/>
      <x:c r="F4" s="54"/>
      <x:c r="G4" s="54"/>
      <x:c r="H4" s="54"/>
      <x:c r="I4" s="54"/>
      <x:c r="J4" s="54"/>
      <x:c r="K4" s="54"/>
      <x:c r="L4" s="54"/>
      <x:c r="M4" s="54"/>
      <x:c r="N4" s="54"/>
      <x:c r="O4" s="54"/>
      <x:c r="P4" s="54"/>
      <x:c r="Q4" s="54"/>
      <x:c r="R4" s="54"/>
      <x:c r="S4" s="54"/>
      <x:c r="T4" s="54"/>
      <x:c r="U4" s="54"/>
      <x:c r="V4" s="54"/>
      <x:c r="W4" s="54"/>
      <x:c r="X4" s="54"/>
      <x:c r="Y4" s="54"/>
      <x:c r="Z4" s="261" t="str">
        <x:v>高争议</x:v>
      </x:c>
      <x:c r="AA4" s="265" t="n">
        <x:f>COUNTIF($Q$7:$Q$56,"高")</x:f>
        <x:v>29</x:v>
      </x:c>
      <x:c r="AC4" s="261" t="str">
        <x:v>中争议</x:v>
      </x:c>
      <x:c r="AD4" s="265" t="n">
        <x:f>COUNTIF($Q$7:$Q$56,"中")</x:f>
        <x:v>11</x:v>
      </x:c>
      <x:c r="AF4" s="261" t="str">
        <x:v>版本变更</x:v>
      </x:c>
      <x:c r="AG4" s="265" t="n">
        <x:f>COUNTIF($H$7:$H$56,"版本变更")</x:f>
        <x:v>11</x:v>
      </x:c>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c r="Z5" s="261" t="str">
        <x:v>采用覆盖率</x:v>
      </x:c>
      <x:c r="AA5" s="266" t="n">
        <x:f>IF($AA$3=0,0,$AD$3/$AA$3)</x:f>
        <x:v>0.88</x:v>
      </x:c>
      <x:c r="AB5" s="236"/>
      <x:c r="AC5" s="267" t="str">
        <x:v>待验证率</x:v>
      </x:c>
      <x:c r="AD5" s="266" t="n">
        <x:f>IF($AA$3=0,0,$AG$3/$AA$3)</x:f>
        <x:v>0.12</x:v>
      </x:c>
      <x:c r="AF5" s="261" t="str">
        <x:v>当前版本</x:v>
      </x:c>
      <x:c r="AG5" s="265" t="str">
        <x:v>V1.9</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c r="Z6" s="261" t="str">
        <x:v>关联模块数</x:v>
      </x:c>
      <x:c r="AA6" s="265" t="n">
        <x:f>COUNTIF($AA$19:$AA$38,"&gt;0")</x:f>
        <x:v>20</x:v>
      </x:c>
      <x:c r="AC6" s="261" t="str">
        <x:v>M20未闭环</x:v>
      </x:c>
      <x:c r="AD6" s="265" t="n">
        <x:f>COUNTIF('20_案例测试'!$T$7:$T$156,"&lt;&gt;通过")</x:f>
        <x:v>6</x:v>
      </x:c>
      <x:c r="AF6" s="261" t="str">
        <x:v>全库填充率</x:v>
      </x:c>
      <x:c r="AG6" s="266" t="n">
        <x:f>1</x:f>
        <x:v>1</x:v>
      </x:c>
    </x:row>
    <x:row r="7">
      <x:c r="A7" s="72" t="str">
        <x:f>IF(OR(C7="",D7=""),"",B7&amp;"-"&amp;UPPER(C7)&amp;"-"&amp;TEXT(D7,"0000")&amp;"-"&amp;E7)</x:f>
        <x:v>M21-GOV-0001-V1.0</x:v>
      </x:c>
      <x:c r="B7" s="74" t="str">
        <x:v>M21</x:v>
      </x:c>
      <x:c r="C7" s="74" t="str">
        <x:v>GOV</x:v>
      </x:c>
      <x:c r="D7" s="215" t="n">
        <x:v>1</x:v>
      </x:c>
      <x:c r="E7" s="74" t="str">
        <x:v>V1.0</x:v>
      </x:c>
      <x:c r="F7" s="68" t="str">
        <x:v>M04-BOUND-0050-V1.0；M06-BOUND-0120-V1.0；M17-BOUND-0093-V1.0</x:v>
      </x:c>
      <x:c r="G7" s="68" t="str">
        <x:v>M04/M05/M06/M08/M17</x:v>
      </x:c>
      <x:c r="H7" s="82" t="str">
        <x:v>定义修订</x:v>
      </x:c>
      <x:c r="I7" s="68" t="str">
        <x:v>识别、效应、结构与价值判断必须分层</x:v>
      </x:c>
      <x:c r="J7" s="68" t="str">
        <x:v>口诀直断法</x:v>
      </x:c>
      <x:c r="K7" s="68" t="str">
        <x:v>一识别到合冲刑害或旺弱标签，即可直接推出力量、格局和喜忌。</x:v>
      </x:c>
      <x:c r="L7" s="68" t="str">
        <x:v>分层证据法</x:v>
      </x:c>
      <x:c r="M7" s="68" t="str">
        <x:v>先识别客观关系，再判断逐对象效应、有效力量、结构功能与最终价值。</x:v>
      </x:c>
      <x:c r="N7" s="68" t="str">
        <x:v>采用四层分离：识别层不得替代效应层，效应层不得直接替代旺衰、格局和喜忌。</x:v>
      </x:c>
      <x:c r="O7" s="68" t="str">
        <x:v>可避免“见冲即拔根、见刑即减力、见旺即忌”等越级错误，并使每个结论可追溯。</x:v>
      </x:c>
      <x:c r="P7" s="90" t="str">
        <x:v>若未来实证显示某一关系在严格限定条件下具有稳定直接后果，可新增条件性快捷规则，但不得取消分层主链。</x:v>
      </x:c>
      <x:c r="Q7" s="82" t="str">
        <x:v>高</x:v>
      </x:c>
      <x:c r="R7" s="68" t="str">
        <x:v>M04-M18及所有上层输出</x:v>
      </x:c>
      <x:c r="S7" s="68" t="str">
        <x:v>V1.8</x:v>
      </x:c>
      <x:c r="T7" s="68" t="str">
        <x:v>V1.9</x:v>
      </x:c>
      <x:c r="U7" s="82" t="str">
        <x:v>新增</x:v>
      </x:c>
      <x:c r="V7" s="82" t="str">
        <x:v>已生效</x:v>
      </x:c>
      <x:c r="W7" s="68" t="str">
        <x:v>OpenAI_M0初审；待人工终审</x:v>
      </x:c>
      <x:c r="X7" s="87" t="n">
        <x:v>46261</x:v>
      </x:c>
      <x:c r="Y7" s="68" t="str">
        <x:v>内部体系治理；M20-REGRESSION-0144-V1.0、M20-REGRESSION-0145-V1.0、M20-REGRESSION-0146-V1.0</x:v>
      </x:c>
    </x:row>
    <x:row r="8">
      <x:c r="A8" s="72" t="str">
        <x:f>IF(OR(C8="",D8=""),"",B8&amp;"-"&amp;UPPER(C8)&amp;"-"&amp;TEXT(D8,"0000")&amp;"-"&amp;E8)</x:f>
        <x:v>M21-GOV-0002-V1.0</x:v>
      </x:c>
      <x:c r="B8" s="74" t="str">
        <x:v>M21</x:v>
      </x:c>
      <x:c r="C8" s="74" t="str">
        <x:v>GOV</x:v>
      </x:c>
      <x:c r="D8" s="215" t="n">
        <x:v>2</x:v>
      </x:c>
      <x:c r="E8" s="74" t="str">
        <x:v>V1.0</x:v>
      </x:c>
      <x:c r="F8" s="68" t="str">
        <x:v>M18-GEN-0002-V1.0；M15-GEN-0006-V1.0</x:v>
      </x:c>
      <x:c r="G8" s="68" t="str">
        <x:v>M14/M15/M18</x:v>
      </x:c>
      <x:c r="H8" s="82" t="str">
        <x:v>规则冲突</x:v>
      </x:c>
      <x:c r="I8" s="68" t="str">
        <x:v>只有严格成立的条件才具备硬约束资格</x:v>
      </x:c>
      <x:c r="J8" s="68" t="str">
        <x:v>名称优先法</x:v>
      </x:c>
      <x:c r="K8" s="68" t="str">
        <x:v>从格、化气、专旺或某格局一旦出现候选名称，即优先压过普通旺衰和调候。</x:v>
      </x:c>
      <x:c r="L8" s="68" t="str">
        <x:v>资格审查法</x:v>
      </x:c>
      <x:c r="M8" s="68" t="str">
        <x:v>只有M15确认严格成立、清纯成立或不可替代核心结构，才可作为硬约束。</x:v>
      </x:c>
      <x:c r="N8" s="68" t="str">
        <x:v>先审查格局资格；候选、假从、假化和证据不足者不得享有无条件优先级。</x:v>
      </x:c>
      <x:c r="O8" s="68" t="str">
        <x:v>防止特殊格局名称提前锁死用神方向，也防止普通扶抑破坏真正严格成立的特殊格局。</x:v>
      </x:c>
      <x:c r="P8" s="90" t="str">
        <x:v>当M15严格条件本身依赖争议规则时，硬约束资格必须同步降级并转待验证。</x:v>
      </x:c>
      <x:c r="Q8" s="82" t="str">
        <x:v>高</x:v>
      </x:c>
      <x:c r="R8" s="68" t="str">
        <x:v>M14/M15/M17/M18</x:v>
      </x:c>
      <x:c r="S8" s="68" t="str">
        <x:v>V1.8</x:v>
      </x:c>
      <x:c r="T8" s="68" t="str">
        <x:v>V1.9</x:v>
      </x:c>
      <x:c r="U8" s="82" t="str">
        <x:v>新增</x:v>
      </x:c>
      <x:c r="V8" s="82" t="str">
        <x:v>已生效</x:v>
      </x:c>
      <x:c r="W8" s="68" t="str">
        <x:v>OpenAI_M0初审；待人工终审</x:v>
      </x:c>
      <x:c r="X8" s="87" t="n">
        <x:v>46261</x:v>
      </x:c>
      <x:c r="Y8" s="68" t="str">
        <x:v>内部裁决规则；https://zh.wikisource.org/wiki/%E6%BB%B4%E5%A4%A9%E9%AB%93%E9%97%A1%E5%BE%AE ; https://zh.wikisource.org/zh-hans/%E6%B7%B5%E6%B5%B7%E5%AD%90%E5%B9%B3</x:v>
      </x:c>
    </x:row>
    <x:row r="9">
      <x:c r="A9" s="72" t="str">
        <x:f>IF(OR(C9="",D9=""),"",B9&amp;"-"&amp;UPPER(C9)&amp;"-"&amp;TEXT(D9,"0000")&amp;"-"&amp;E9)</x:f>
        <x:v>M21-GOV-0003-V1.0</x:v>
      </x:c>
      <x:c r="B9" s="74" t="str">
        <x:v>M21</x:v>
      </x:c>
      <x:c r="C9" s="74" t="str">
        <x:v>GOV</x:v>
      </x:c>
      <x:c r="D9" s="215" t="n">
        <x:v>3</x:v>
      </x:c>
      <x:c r="E9" s="74" t="str">
        <x:v>V1.0</x:v>
      </x:c>
      <x:c r="F9" s="68" t="str">
        <x:v>M07-BOUND-0080-V1.0；M11-GEN-0006-V1.0；M18-GEN-0006-V1.0</x:v>
      </x:c>
      <x:c r="G9" s="68" t="str">
        <x:v>M07/M08/M11/M12/M17/M18</x:v>
      </x:c>
      <x:c r="H9" s="82" t="str">
        <x:v>权重修订</x:v>
      </x:c>
      <x:c r="I9" s="68" t="str">
        <x:v>共源证据与共享节点必须去重</x:v>
      </x:c>
      <x:c r="J9" s="68" t="str">
        <x:v>标签累加法</x:v>
      </x:c>
      <x:c r="K9" s="68" t="str">
        <x:v>得令、月支通根、透干、同党、组合和格局支持可分别全额计入。</x:v>
      </x:c>
      <x:c r="L9" s="68" t="str">
        <x:v>共源去重法</x:v>
      </x:c>
      <x:c r="M9" s="68" t="str">
        <x:v>同一月令节点或同一五行节点在多条证据链中只能按实际容量调用。</x:v>
      </x:c>
      <x:c r="N9" s="68" t="str">
        <x:v>同源事实只计一个主权重；共享桥梁、印食财官等节点必须进行容量分配。</x:v>
      </x:c>
      <x:c r="O9" s="68" t="str">
        <x:v>避免重复加权使旺衰、组合和用神被虚高，也能解释多路线同时存在却都只能部分运行。</x:v>
      </x:c>
      <x:c r="P9" s="90" t="str">
        <x:v>若多个节点在柱位、根源和作用对象上真实独立，可分别计入，但须说明独立性。</x:v>
      </x:c>
      <x:c r="Q9" s="82" t="str">
        <x:v>高</x:v>
      </x:c>
      <x:c r="R9" s="68" t="str">
        <x:v>M07-M18</x:v>
      </x:c>
      <x:c r="S9" s="68" t="str">
        <x:v>V1.8</x:v>
      </x:c>
      <x:c r="T9" s="68" t="str">
        <x:v>V1.9</x:v>
      </x:c>
      <x:c r="U9" s="82" t="str">
        <x:v>新增</x:v>
      </x:c>
      <x:c r="V9" s="82" t="str">
        <x:v>已生效</x:v>
      </x:c>
      <x:c r="W9" s="68" t="str">
        <x:v>OpenAI_M0初审；待人工终审</x:v>
      </x:c>
      <x:c r="X9" s="87" t="n">
        <x:v>46261</x:v>
      </x:c>
      <x:c r="Y9" s="68" t="str">
        <x:v>内部证据治理；M20中多节点、长链与多药容量案例</x:v>
      </x:c>
      <x:c r="Z9" s="270" t="str">
        <x:v>处理状态</x:v>
      </x:c>
      <x:c r="AA9" s="270" t="str">
        <x:v>数量</x:v>
      </x:c>
      <x:c r="AB9" s="270" t="str">
        <x:v>占比</x:v>
      </x:c>
      <x:c r="AD9" s="273" t="str">
        <x:v>议题类型</x:v>
      </x:c>
      <x:c r="AE9" s="273" t="str">
        <x:v>数量</x:v>
      </x:c>
      <x:c r="AF9" s="273" t="str">
        <x:v>占比</x:v>
      </x:c>
    </x:row>
    <x:row r="10">
      <x:c r="A10" s="72" t="str">
        <x:f>IF(OR(C10="",D10=""),"",B10&amp;"-"&amp;UPPER(C10)&amp;"-"&amp;TEXT(D10,"0000")&amp;"-"&amp;E10)</x:f>
        <x:v>M21-GOV-0004-V1.0</x:v>
      </x:c>
      <x:c r="B10" s="74" t="str">
        <x:v>M21</x:v>
      </x:c>
      <x:c r="C10" s="74" t="str">
        <x:v>GOV</x:v>
      </x:c>
      <x:c r="D10" s="215" t="n">
        <x:v>4</x:v>
      </x:c>
      <x:c r="E10" s="74" t="str">
        <x:v>V1.0</x:v>
      </x:c>
      <x:c r="F10" s="68" t="str">
        <x:v>M18-GEN-0008-V1.0；M18-BOUND-0080-V1.0；M19-META-0003-V1.0</x:v>
      </x:c>
      <x:c r="G10" s="68" t="str">
        <x:v>M09/M14/M15/M17/M18/M19/M20</x:v>
      </x:c>
      <x:c r="H10" s="82" t="str">
        <x:v>例外补充</x:v>
      </x:c>
      <x:c r="I10" s="68" t="str">
        <x:v>证据接近时必须保留条件性与不确定性</x:v>
      </x:c>
      <x:c r="J10" s="68" t="str">
        <x:v>唯一结论法</x:v>
      </x:c>
      <x:c r="K10" s="68" t="str">
        <x:v>分析必须给出唯一旺衰、唯一格局和唯一用神，否则视为没有完成。</x:v>
      </x:c>
      <x:c r="L10" s="68" t="str">
        <x:v>不确定性治理法</x:v>
      </x:c>
      <x:c r="M10" s="68" t="str">
        <x:v>当正反证据接近、输入不足或流派分歧明显时，保留并列候选、条件和置信度。</x:v>
      </x:c>
      <x:c r="N10" s="68" t="str">
        <x:v>不强行唯一化；输出主候选、替代候选、成立条件、反向证据和待核查项。</x:v>
      </x:c>
      <x:c r="O10" s="68" t="str">
        <x:v>可避免把边界案例伪装为确定结论，并为M20回归与M21版本修订提供清晰入口。</x:v>
      </x:c>
      <x:c r="P10" s="90" t="str">
        <x:v>若后续获得更精确出生资料、真实案例或明确硬约束，可从待定升级为确定结论。</x:v>
      </x:c>
      <x:c r="Q10" s="82" t="str">
        <x:v>中</x:v>
      </x:c>
      <x:c r="R10" s="68" t="str">
        <x:v>M09/M14-M21</x:v>
      </x:c>
      <x:c r="S10" s="68" t="str">
        <x:v>V1.8</x:v>
      </x:c>
      <x:c r="T10" s="68" t="str">
        <x:v>V1.9</x:v>
      </x:c>
      <x:c r="U10" s="82" t="str">
        <x:v>新增</x:v>
      </x:c>
      <x:c r="V10" s="82" t="str">
        <x:v>已生效</x:v>
      </x:c>
      <x:c r="W10" s="68" t="str">
        <x:v>OpenAI_M0初审；待人工终审</x:v>
      </x:c>
      <x:c r="X10" s="87" t="n">
        <x:v>46261</x:v>
      </x:c>
      <x:c r="Y10" s="68" t="str">
        <x:v>M20部分通过与待复核案例；M19总体置信度字段</x:v>
      </x:c>
      <x:c r="Z10" t="str">
        <x:v>已生效</x:v>
      </x:c>
      <x:c r="AA10" t="n">
        <x:f>COUNTIF($V$7:$V$56,Z10)</x:f>
        <x:v>44</x:v>
      </x:c>
      <x:c r="AB10" s="236" t="n">
        <x:f>IF($AA$3=0,0,AA10/$AA$3)</x:f>
        <x:v>0.88</x:v>
      </x:c>
      <x:c r="AD10" t="str">
        <x:v>流派争议</x:v>
      </x:c>
      <x:c r="AE10" t="n">
        <x:f>COUNTIF($H$7:$H$56,AD10)</x:f>
        <x:v>11</x:v>
      </x:c>
      <x:c r="AF10" s="236" t="n">
        <x:f>IF($AA$3=0,0,AE10/$AA$3)</x:f>
        <x:v>0.22</x:v>
      </x:c>
    </x:row>
    <x:row r="11">
      <x:c r="A11" s="72" t="str">
        <x:f>IF(OR(C11="",D11=""),"",B11&amp;"-"&amp;UPPER(C11)&amp;"-"&amp;TEXT(D11,"0000")&amp;"-"&amp;E11)</x:f>
        <x:v>M21-GOV-0005-V1.0</x:v>
      </x:c>
      <x:c r="B11" s="74" t="str">
        <x:v>M21</x:v>
      </x:c>
      <x:c r="C11" s="74" t="str">
        <x:v>GOV</x:v>
      </x:c>
      <x:c r="D11" s="215" t="n">
        <x:v>5</x:v>
      </x:c>
      <x:c r="E11" s="74" t="str">
        <x:v>V1.0</x:v>
      </x:c>
      <x:c r="F11" s="68" t="str">
        <x:v>M15-BOUND-0100-V1.0；M17-BOUND-0098-V1.0；M18-BOUND-0079-V1.0</x:v>
      </x:c>
      <x:c r="G11" s="68" t="str">
        <x:v>M05/M10/M15-M19</x:v>
      </x:c>
      <x:c r="H11" s="82" t="str">
        <x:v>定义修订</x:v>
      </x:c>
      <x:c r="I11" s="68" t="str">
        <x:v>原局静态结论与岁运动态结果必须分开</x:v>
      </x:c>
      <x:c r="J11" s="68" t="str">
        <x:v>潜在补成法</x:v>
      </x:c>
      <x:c r="K11" s="68" t="str">
        <x:v>未来岁运可能补齐某关系、格局或用神，因此可提前视为原局已经成立。</x:v>
      </x:c>
      <x:c r="L11" s="68" t="str">
        <x:v>静动态分层法</x:v>
      </x:c>
      <x:c r="M11" s="68" t="str">
        <x:v>原局只记录已有结构；岁运补齐、破格、救格和药量变化必须动态重算。</x:v>
      </x:c>
      <x:c r="N11" s="68" t="str">
        <x:v>M0只输出原局静态基准；任何岁运成局、开库、救格或喜忌转性均转D0动态模型。</x:v>
      </x:c>
      <x:c r="O11" s="68" t="str">
        <x:v>防止未来可能性倒灌原局，也避免把原局喜神误写成所有岁运都吉。</x:v>
      </x:c>
      <x:c r="P11" s="90" t="str">
        <x:v>若用户明确要求动态分析，应以M0为基准输入重新计算，而非简单叠加流年五行。</x:v>
      </x:c>
      <x:c r="Q11" s="82" t="str">
        <x:v>高</x:v>
      </x:c>
      <x:c r="R11" s="68" t="str">
        <x:v>M05/M10/M14-M19/D0</x:v>
      </x:c>
      <x:c r="S11" s="68" t="str">
        <x:v>V1.8</x:v>
      </x:c>
      <x:c r="T11" s="68" t="str">
        <x:v>V1.9</x:v>
      </x:c>
      <x:c r="U11" s="82" t="str">
        <x:v>新增</x:v>
      </x:c>
      <x:c r="V11" s="82" t="str">
        <x:v>已生效</x:v>
      </x:c>
      <x:c r="W11" s="68" t="str">
        <x:v>OpenAI_M0初审；待人工终审</x:v>
      </x:c>
      <x:c r="X11" s="87" t="n">
        <x:v>46261</x:v>
      </x:c>
      <x:c r="Y11" s="68" t="str">
        <x:v>内部静动态边界规则</x:v>
      </x:c>
      <x:c r="Z11" t="str">
        <x:v>已采纳</x:v>
      </x:c>
      <x:c r="AA11" t="n">
        <x:f>COUNTIF($V$7:$V$56,Z11)</x:f>
        <x:v>0</x:v>
      </x:c>
      <x:c r="AB11" s="236" t="n">
        <x:f>IF($AA$3=0,0,AA11/$AA$3)</x:f>
        <x:v>0</x:v>
      </x:c>
      <x:c r="AD11" t="str">
        <x:v>规则冲突</x:v>
      </x:c>
      <x:c r="AE11" t="n">
        <x:f>COUNTIF($H$7:$H$56,AD11)</x:f>
        <x:v>6</x:v>
      </x:c>
      <x:c r="AF11" s="236" t="n">
        <x:f>IF($AA$3=0,0,AE11/$AA$3)</x:f>
        <x:v>0.12</x:v>
      </x:c>
    </x:row>
    <x:row r="12">
      <x:c r="A12" s="72" t="str">
        <x:f>IF(OR(C12="",D12=""),"",B12&amp;"-"&amp;UPPER(C12)&amp;"-"&amp;TEXT(D12,"0000")&amp;"-"&amp;E12)</x:f>
        <x:v>M21-GOV-0006-V1.0</x:v>
      </x:c>
      <x:c r="B12" s="74" t="str">
        <x:v>M21</x:v>
      </x:c>
      <x:c r="C12" s="74" t="str">
        <x:v>GOV</x:v>
      </x:c>
      <x:c r="D12" s="215" t="n">
        <x:v>6</x:v>
      </x:c>
      <x:c r="E12" s="74" t="str">
        <x:v>V1.0</x:v>
      </x:c>
      <x:c r="F12" s="68" t="str">
        <x:v>M18-BOUND-0080-V1.0；M20-REGRESSION-0144-V1.0；M20-REGRESSION-0148-V1.0</x:v>
      </x:c>
      <x:c r="G12" s="68" t="str">
        <x:v>M20/M21/全库</x:v>
      </x:c>
      <x:c r="H12" s="82" t="str">
        <x:v>版本变更</x:v>
      </x:c>
      <x:c r="I12" s="68" t="str">
        <x:v>任何规则修订必须绑定回归测试与版本关系</x:v>
      </x:c>
      <x:c r="J12" s="68" t="str">
        <x:v>直接覆盖法</x:v>
      </x:c>
      <x:c r="K12" s="68" t="str">
        <x:v>发现新观点或反例后直接修改原规则，不保留旧口径和测试结果。</x:v>
      </x:c>
      <x:c r="L12" s="68" t="str">
        <x:v>版本治理法</x:v>
      </x:c>
      <x:c r="M12" s="68" t="str">
        <x:v>记录旧版本、新版本、变更类型、反证、影响模块和必须重跑的回归案例。</x:v>
      </x:c>
      <x:c r="N12" s="68" t="str">
        <x:v>所有新增、修订、拆分、合并、停用与恢复均进入M21，并至少重跑相关M20回归与综合案例。</x:v>
      </x:c>
      <x:c r="O12" s="68" t="str">
        <x:v>确保规则演进可审计，避免某处修改造成下游旺衰、格局、病药和输出静默漂移。</x:v>
      </x:c>
      <x:c r="P12" s="90" t="str">
        <x:v>仅文字优化且不改变逻辑、条件和输出时，可标“仅文字优化”，但仍保留版本记录。</x:v>
      </x:c>
      <x:c r="Q12" s="82" t="str">
        <x:v>高</x:v>
      </x:c>
      <x:c r="R12" s="68" t="str">
        <x:v>M02-M21及所有下游模型</x:v>
      </x:c>
      <x:c r="S12" s="68" t="str">
        <x:v>V1.8</x:v>
      </x:c>
      <x:c r="T12" s="68" t="str">
        <x:v>V1.9</x:v>
      </x:c>
      <x:c r="U12" s="82" t="str">
        <x:v>新增</x:v>
      </x:c>
      <x:c r="V12" s="82" t="str">
        <x:v>已生效</x:v>
      </x:c>
      <x:c r="W12" s="68" t="str">
        <x:v>OpenAI_M0初审；待人工终审</x:v>
      </x:c>
      <x:c r="X12" s="87" t="n">
        <x:v>46261</x:v>
      </x:c>
      <x:c r="Y12" s="68" t="str">
        <x:v>M20测试闭环与M21治理设计</x:v>
      </x:c>
      <x:c r="Z12" t="str">
        <x:v>待验证</x:v>
      </x:c>
      <x:c r="AA12" t="n">
        <x:f>COUNTIF($V$7:$V$56,Z12)</x:f>
        <x:v>6</x:v>
      </x:c>
      <x:c r="AB12" s="236" t="n">
        <x:f>IF($AA$3=0,0,AA12/$AA$3)</x:f>
        <x:v>0.12</x:v>
      </x:c>
      <x:c r="AD12" t="str">
        <x:v>案例反证</x:v>
      </x:c>
      <x:c r="AE12" t="n">
        <x:f>COUNTIF($H$7:$H$56,AD12)</x:f>
        <x:v>3</x:v>
      </x:c>
      <x:c r="AF12" s="236" t="n">
        <x:f>IF($AA$3=0,0,AE12/$AA$3)</x:f>
        <x:v>0.06</x:v>
      </x:c>
    </x:row>
    <x:row r="13">
      <x:c r="A13" s="72" t="str">
        <x:f>IF(OR(C13="",D13=""),"",B13&amp;"-"&amp;UPPER(C13)&amp;"-"&amp;TEXT(D13,"0000")&amp;"-"&amp;E13)</x:f>
        <x:v>M21-HIST-0007-V1.0</x:v>
      </x:c>
      <x:c r="B13" s="74" t="str">
        <x:v>M21</x:v>
      </x:c>
      <x:c r="C13" s="74" t="str">
        <x:v>HIST</x:v>
      </x:c>
      <x:c r="D13" s="215" t="n">
        <x:v>7</x:v>
      </x:c>
      <x:c r="E13" s="74" t="str">
        <x:v>V1.0</x:v>
      </x:c>
      <x:c r="F13" s="68" t="str">
        <x:v>M12-AGG-0086-V1.0</x:v>
      </x:c>
      <x:c r="G13" s="68" t="str">
        <x:v>M12</x:v>
      </x:c>
      <x:c r="H13" s="82" t="str">
        <x:v>版本变更</x:v>
      </x:c>
      <x:c r="I13" s="68" t="str">
        <x:v>V1.0 五行流通卡点规则版</x:v>
      </x:c>
      <x:c r="J13" s="68" t="str">
        <x:v>旧版口径</x:v>
      </x:c>
      <x:c r="K13" s="68" t="str">
        <x:v>旧版以旺衰和组合为主，缺少统一的起点—桥梁—终点流通模型。</x:v>
      </x:c>
      <x:c r="L13" s="68" t="str">
        <x:v>新版口径</x:v>
      </x:c>
      <x:c r="M13" s="68" t="str">
        <x:v>新增M12流通路径、卡点、五组通关和副作用边界。</x:v>
      </x:c>
      <x:c r="N13" s="68" t="str">
        <x:v>新增M12流通路径、卡点、五组通关和副作用边界。</x:v>
      </x:c>
      <x:c r="O13" s="68" t="str">
        <x:v>补齐上一版本缺失的独立推理层，并保持与既有模块的可追溯接口。</x:v>
      </x:c>
      <x:c r="P13" s="90" t="str">
        <x:v>若后续真实案例显示新模块的边界或权重不稳定，应通过M20回归和M21修订，而不是删除历史。</x:v>
      </x:c>
      <x:c r="Q13" s="82" t="str">
        <x:v>无</x:v>
      </x:c>
      <x:c r="R13" s="68" t="str">
        <x:v>M12及其全部下游</x:v>
      </x:c>
      <x:c r="S13" s="68" t="str">
        <x:v>V0.9</x:v>
      </x:c>
      <x:c r="T13" s="68" t="str">
        <x:v>V1.0</x:v>
      </x:c>
      <x:c r="U13" s="82" t="str">
        <x:v>新增</x:v>
      </x:c>
      <x:c r="V13" s="82" t="str">
        <x:v>已生效</x:v>
      </x:c>
      <x:c r="W13" s="68" t="str">
        <x:v>OpenAI_M0初审；待人工终审</x:v>
      </x:c>
      <x:c r="X13" s="87" t="n">
        <x:v>46255</x:v>
      </x:c>
      <x:c r="Y13" s="68" t="str">
        <x:v>版本文件与00_使用说明；V1.0 五行流通卡点规则版</x:v>
      </x:c>
      <x:c r="Z13" t="str">
        <x:v>待讨论</x:v>
      </x:c>
      <x:c r="AA13" t="n">
        <x:f>COUNTIF($V$7:$V$56,Z13)</x:f>
        <x:v>0</x:v>
      </x:c>
      <x:c r="AB13" s="236" t="n">
        <x:f>IF($AA$3=0,0,AA13/$AA$3)</x:f>
        <x:v>0</x:v>
      </x:c>
      <x:c r="AD13" t="str">
        <x:v>定义修订</x:v>
      </x:c>
      <x:c r="AE13" t="n">
        <x:f>COUNTIF($H$7:$H$56,AD13)</x:f>
        <x:v>12</x:v>
      </x:c>
      <x:c r="AF13" s="236" t="n">
        <x:f>IF($AA$3=0,0,AE13/$AA$3)</x:f>
        <x:v>0.24</x:v>
      </x:c>
    </x:row>
    <x:row r="14">
      <x:c r="A14" s="72" t="str">
        <x:f>IF(OR(C14="",D14=""),"",B14&amp;"-"&amp;UPPER(C14)&amp;"-"&amp;TEXT(D14,"0000")&amp;"-"&amp;E14)</x:f>
        <x:v>M21-HIST-0008-V1.0</x:v>
      </x:c>
      <x:c r="B14" s="74" t="str">
        <x:v>M21</x:v>
      </x:c>
      <x:c r="C14" s="74" t="str">
        <x:v>HIST</x:v>
      </x:c>
      <x:c r="D14" s="215" t="n">
        <x:v>8</x:v>
      </x:c>
      <x:c r="E14" s="74" t="str">
        <x:v>V1.0</x:v>
      </x:c>
      <x:c r="F14" s="68" t="str">
        <x:v>M13-BOUND-0070-V1.0</x:v>
      </x:c>
      <x:c r="G14" s="68" t="str">
        <x:v>M13</x:v>
      </x:c>
      <x:c r="H14" s="82" t="str">
        <x:v>版本变更</x:v>
      </x:c>
      <x:c r="I14" s="68" t="str">
        <x:v>V1.1 寒暖燥湿规则版</x:v>
      </x:c>
      <x:c r="J14" s="68" t="str">
        <x:v>旧版口径</x:v>
      </x:c>
      <x:c r="K14" s="68" t="str">
        <x:v>旧版没有独立温度轴与湿度轴，容易把寒湿、暖燥合并为单一标签。</x:v>
      </x:c>
      <x:c r="L14" s="68" t="str">
        <x:v>新版口径</x:v>
      </x:c>
      <x:c r="M14" s="68" t="str">
        <x:v>新增M13双轴调候、十二月令基准、有效性和跨模块冲突。</x:v>
      </x:c>
      <x:c r="N14" s="68" t="str">
        <x:v>新增M13双轴调候、十二月令基准、有效性和跨模块冲突。</x:v>
      </x:c>
      <x:c r="O14" s="68" t="str">
        <x:v>补齐上一版本缺失的独立推理层，并保持与既有模块的可追溯接口。</x:v>
      </x:c>
      <x:c r="P14" s="90" t="str">
        <x:v>若后续真实案例显示新模块的边界或权重不稳定，应通过M20回归和M21修订，而不是删除历史。</x:v>
      </x:c>
      <x:c r="Q14" s="82" t="str">
        <x:v>无</x:v>
      </x:c>
      <x:c r="R14" s="68" t="str">
        <x:v>M13及其全部下游</x:v>
      </x:c>
      <x:c r="S14" s="68" t="str">
        <x:v>V1.0</x:v>
      </x:c>
      <x:c r="T14" s="68" t="str">
        <x:v>V1.1</x:v>
      </x:c>
      <x:c r="U14" s="82" t="str">
        <x:v>新增</x:v>
      </x:c>
      <x:c r="V14" s="82" t="str">
        <x:v>已生效</x:v>
      </x:c>
      <x:c r="W14" s="68" t="str">
        <x:v>OpenAI_M0初审；待人工终审</x:v>
      </x:c>
      <x:c r="X14" s="87" t="n">
        <x:v>46255</x:v>
      </x:c>
      <x:c r="Y14" s="68" t="str">
        <x:v>版本文件与00_使用说明；V1.1 寒暖燥湿规则版</x:v>
      </x:c>
      <x:c r="Z14" t="str">
        <x:v>不采纳</x:v>
      </x:c>
      <x:c r="AA14" t="n">
        <x:f>COUNTIF($V$7:$V$56,Z14)</x:f>
        <x:v>0</x:v>
      </x:c>
      <x:c r="AB14" s="236" t="n">
        <x:f>IF($AA$3=0,0,AA14/$AA$3)</x:f>
        <x:v>0</x:v>
      </x:c>
      <x:c r="AD14" t="str">
        <x:v>权重修订</x:v>
      </x:c>
      <x:c r="AE14" t="n">
        <x:f>COUNTIF($H$7:$H$56,AD14)</x:f>
        <x:v>6</x:v>
      </x:c>
      <x:c r="AF14" s="236" t="n">
        <x:f>IF($AA$3=0,0,AE14/$AA$3)</x:f>
        <x:v>0.12</x:v>
      </x:c>
    </x:row>
    <x:row r="15">
      <x:c r="A15" s="72" t="str">
        <x:f>IF(OR(C15="",D15=""),"",B15&amp;"-"&amp;UPPER(C15)&amp;"-"&amp;TEXT(D15,"0000")&amp;"-"&amp;E15)</x:f>
        <x:v>M21-HIST-0009-V1.0</x:v>
      </x:c>
      <x:c r="B15" s="74" t="str">
        <x:v>M21</x:v>
      </x:c>
      <x:c r="C15" s="74" t="str">
        <x:v>HIST</x:v>
      </x:c>
      <x:c r="D15" s="215" t="n">
        <x:v>9</x:v>
      </x:c>
      <x:c r="E15" s="74" t="str">
        <x:v>V1.0</x:v>
      </x:c>
      <x:c r="F15" s="68" t="str">
        <x:v>M14-RANK-0076-V1.0</x:v>
      </x:c>
      <x:c r="G15" s="68" t="str">
        <x:v>M14</x:v>
      </x:c>
      <x:c r="H15" s="82" t="str">
        <x:v>版本变更</x:v>
      </x:c>
      <x:c r="I15" s="68" t="str">
        <x:v>V1.2 格局候选判断规则版</x:v>
      </x:c>
      <x:c r="J15" s="68" t="str">
        <x:v>旧版口径</x:v>
      </x:c>
      <x:c r="K15" s="68" t="str">
        <x:v>旧版可识别组合，但缺少先生成候选再淘汰的格局层。</x:v>
      </x:c>
      <x:c r="L15" s="68" t="str">
        <x:v>新版口径</x:v>
      </x:c>
      <x:c r="M15" s="68" t="str">
        <x:v>新增M14普通格、建禄羊刃、从化专旺候选及排序。</x:v>
      </x:c>
      <x:c r="N15" s="68" t="str">
        <x:v>新增M14普通格、建禄羊刃、从化专旺候选及排序。</x:v>
      </x:c>
      <x:c r="O15" s="68" t="str">
        <x:v>补齐上一版本缺失的独立推理层，并保持与既有模块的可追溯接口。</x:v>
      </x:c>
      <x:c r="P15" s="90" t="str">
        <x:v>若后续真实案例显示新模块的边界或权重不稳定，应通过M20回归和M21修订，而不是删除历史。</x:v>
      </x:c>
      <x:c r="Q15" s="82" t="str">
        <x:v>无</x:v>
      </x:c>
      <x:c r="R15" s="68" t="str">
        <x:v>M14及其全部下游</x:v>
      </x:c>
      <x:c r="S15" s="68" t="str">
        <x:v>V1.1</x:v>
      </x:c>
      <x:c r="T15" s="68" t="str">
        <x:v>V1.2</x:v>
      </x:c>
      <x:c r="U15" s="82" t="str">
        <x:v>新增</x:v>
      </x:c>
      <x:c r="V15" s="82" t="str">
        <x:v>已生效</x:v>
      </x:c>
      <x:c r="W15" s="68" t="str">
        <x:v>OpenAI_M0初审；待人工终审</x:v>
      </x:c>
      <x:c r="X15" s="87" t="n">
        <x:v>46260</x:v>
      </x:c>
      <x:c r="Y15" s="68" t="str">
        <x:v>版本文件与00_使用说明；V1.2 格局候选判断规则版</x:v>
      </x:c>
      <x:c r="Z15" t="str">
        <x:v>延期</x:v>
      </x:c>
      <x:c r="AA15" t="n">
        <x:f>COUNTIF($V$7:$V$56,Z15)</x:f>
        <x:v>0</x:v>
      </x:c>
      <x:c r="AB15" s="236" t="n">
        <x:f>IF($AA$3=0,0,AA15/$AA$3)</x:f>
        <x:v>0</x:v>
      </x:c>
      <x:c r="AD15" t="str">
        <x:v>例外补充</x:v>
      </x:c>
      <x:c r="AE15" t="n">
        <x:f>COUNTIF($H$7:$H$56,AD15)</x:f>
        <x:v>1</x:v>
      </x:c>
      <x:c r="AF15" s="236" t="n">
        <x:f>IF($AA$3=0,0,AE15/$AA$3)</x:f>
        <x:v>0.02</x:v>
      </x:c>
    </x:row>
    <x:row r="16">
      <x:c r="A16" s="72" t="str">
        <x:f>IF(OR(C16="",D16=""),"",B16&amp;"-"&amp;UPPER(C16)&amp;"-"&amp;TEXT(D16,"0000")&amp;"-"&amp;E16)</x:f>
        <x:v>M21-HIST-0010-V1.0</x:v>
      </x:c>
      <x:c r="B16" s="74" t="str">
        <x:v>M21</x:v>
      </x:c>
      <x:c r="C16" s="74" t="str">
        <x:v>HIST</x:v>
      </x:c>
      <x:c r="D16" s="215" t="n">
        <x:v>10</x:v>
      </x:c>
      <x:c r="E16" s="74" t="str">
        <x:v>V1.0</x:v>
      </x:c>
      <x:c r="F16" s="68" t="str">
        <x:v>M15-BOUND-0100-V1.0</x:v>
      </x:c>
      <x:c r="G16" s="68" t="str">
        <x:v>M15</x:v>
      </x:c>
      <x:c r="H16" s="82" t="str">
        <x:v>版本变更</x:v>
      </x:c>
      <x:c r="I16" s="68" t="str">
        <x:v>V1.3 格局成败救应规则版</x:v>
      </x:c>
      <x:c r="J16" s="68" t="str">
        <x:v>旧版口径</x:v>
      </x:c>
      <x:c r="K16" s="68" t="str">
        <x:v>旧版只有格局候选，未区分成格、破格、救应、清纯度和层次。</x:v>
      </x:c>
      <x:c r="L16" s="68" t="str">
        <x:v>新版口径</x:v>
      </x:c>
      <x:c r="M16" s="68" t="str">
        <x:v>新增M15七级格局状态、破格等级和救应有效性。</x:v>
      </x:c>
      <x:c r="N16" s="68" t="str">
        <x:v>新增M15七级格局状态、破格等级和救应有效性。</x:v>
      </x:c>
      <x:c r="O16" s="68" t="str">
        <x:v>补齐上一版本缺失的独立推理层，并保持与既有模块的可追溯接口。</x:v>
      </x:c>
      <x:c r="P16" s="90" t="str">
        <x:v>若后续真实案例显示新模块的边界或权重不稳定，应通过M20回归和M21修订，而不是删除历史。</x:v>
      </x:c>
      <x:c r="Q16" s="82" t="str">
        <x:v>无</x:v>
      </x:c>
      <x:c r="R16" s="68" t="str">
        <x:v>M15及其全部下游</x:v>
      </x:c>
      <x:c r="S16" s="68" t="str">
        <x:v>V1.2</x:v>
      </x:c>
      <x:c r="T16" s="68" t="str">
        <x:v>V1.3</x:v>
      </x:c>
      <x:c r="U16" s="82" t="str">
        <x:v>新增</x:v>
      </x:c>
      <x:c r="V16" s="82" t="str">
        <x:v>已生效</x:v>
      </x:c>
      <x:c r="W16" s="68" t="str">
        <x:v>OpenAI_M0初审；待人工终审</x:v>
      </x:c>
      <x:c r="X16" s="87" t="n">
        <x:v>46260</x:v>
      </x:c>
      <x:c r="Y16" s="68" t="str">
        <x:v>版本文件与00_使用说明；V1.3 格局成败救应规则版</x:v>
      </x:c>
      <x:c r="AD16" t="str">
        <x:v>版本变更</x:v>
      </x:c>
      <x:c r="AE16" t="n">
        <x:f>COUNTIF($H$7:$H$56,AD16)</x:f>
        <x:v>11</x:v>
      </x:c>
      <x:c r="AF16" s="236" t="n">
        <x:f>IF($AA$3=0,0,AE16/$AA$3)</x:f>
        <x:v>0.22</x:v>
      </x:c>
    </x:row>
    <x:row r="17">
      <x:c r="A17" s="72" t="str">
        <x:f>IF(OR(C17="",D17=""),"",B17&amp;"-"&amp;UPPER(C17)&amp;"-"&amp;TEXT(D17,"0000")&amp;"-"&amp;E17)</x:f>
        <x:v>M21-HIST-0011-V1.0</x:v>
      </x:c>
      <x:c r="B17" s="74" t="str">
        <x:v>M21</x:v>
      </x:c>
      <x:c r="C17" s="74" t="str">
        <x:v>HIST</x:v>
      </x:c>
      <x:c r="D17" s="215" t="n">
        <x:v>11</x:v>
      </x:c>
      <x:c r="E17" s="74" t="str">
        <x:v>V1.0</x:v>
      </x:c>
      <x:c r="F17" s="68" t="str">
        <x:v>M16-BOUND-0110-V1.0</x:v>
      </x:c>
      <x:c r="G17" s="68" t="str">
        <x:v>M16</x:v>
      </x:c>
      <x:c r="H17" s="82" t="str">
        <x:v>版本变更</x:v>
      </x:c>
      <x:c r="I17" s="68" t="str">
        <x:v>V1.4 病药模型规则版</x:v>
      </x:c>
      <x:c r="J17" s="68" t="str">
        <x:v>旧版口径</x:v>
      </x:c>
      <x:c r="K17" s="68" t="str">
        <x:v>旧版能描述结构问题，但缺少根本病、表层病和主辅药机制。</x:v>
      </x:c>
      <x:c r="L17" s="68" t="str">
        <x:v>新版口径</x:v>
      </x:c>
      <x:c r="M17" s="68" t="str">
        <x:v>新增M16旺衰病、流通病、制化病、格局病、调候病和药量风险。</x:v>
      </x:c>
      <x:c r="N17" s="68" t="str">
        <x:v>新增M16旺衰病、流通病、制化病、格局病、调候病和药量风险。</x:v>
      </x:c>
      <x:c r="O17" s="68" t="str">
        <x:v>补齐上一版本缺失的独立推理层，并保持与既有模块的可追溯接口。</x:v>
      </x:c>
      <x:c r="P17" s="90" t="str">
        <x:v>若后续真实案例显示新模块的边界或权重不稳定，应通过M20回归和M21修订，而不是删除历史。</x:v>
      </x:c>
      <x:c r="Q17" s="82" t="str">
        <x:v>无</x:v>
      </x:c>
      <x:c r="R17" s="68" t="str">
        <x:v>M16及其全部下游</x:v>
      </x:c>
      <x:c r="S17" s="68" t="str">
        <x:v>V1.3</x:v>
      </x:c>
      <x:c r="T17" s="68" t="str">
        <x:v>V1.4</x:v>
      </x:c>
      <x:c r="U17" s="82" t="str">
        <x:v>新增</x:v>
      </x:c>
      <x:c r="V17" s="82" t="str">
        <x:v>已生效</x:v>
      </x:c>
      <x:c r="W17" s="68" t="str">
        <x:v>OpenAI_M0初审；待人工终审</x:v>
      </x:c>
      <x:c r="X17" s="87" t="n">
        <x:v>46260</x:v>
      </x:c>
      <x:c r="Y17" s="68" t="str">
        <x:v>版本文件与00_使用说明；V1.4 病药模型规则版</x:v>
      </x:c>
    </x:row>
    <x:row r="18">
      <x:c r="A18" s="72" t="str">
        <x:f>IF(OR(C18="",D18=""),"",B18&amp;"-"&amp;UPPER(C18)&amp;"-"&amp;TEXT(D18,"0000")&amp;"-"&amp;E18)</x:f>
        <x:v>M21-HIST-0012-V1.0</x:v>
      </x:c>
      <x:c r="B18" s="74" t="str">
        <x:v>M21</x:v>
      </x:c>
      <x:c r="C18" s="74" t="str">
        <x:v>HIST</x:v>
      </x:c>
      <x:c r="D18" s="215" t="n">
        <x:v>12</x:v>
      </x:c>
      <x:c r="E18" s="74" t="str">
        <x:v>V1.0</x:v>
      </x:c>
      <x:c r="F18" s="68" t="str">
        <x:v>M17-BOUND-0100-V1.0</x:v>
      </x:c>
      <x:c r="G18" s="68" t="str">
        <x:v>M17</x:v>
      </x:c>
      <x:c r="H18" s="82" t="str">
        <x:v>版本变更</x:v>
      </x:c>
      <x:c r="I18" s="68" t="str">
        <x:v>V1.5 喜忌用神矩阵规则版</x:v>
      </x:c>
      <x:c r="J18" s="68" t="str">
        <x:v>旧版口径</x:v>
      </x:c>
      <x:c r="K18" s="68" t="str">
        <x:v>旧版药神和格局需求尚未统一转换为木火土金水的最终价值。</x:v>
      </x:c>
      <x:c r="L18" s="68" t="str">
        <x:v>新版口径</x:v>
      </x:c>
      <x:c r="M18" s="68" t="str">
        <x:v>新增M17扶抑、格局、通关、调候、病药五维矩阵和八级定位。</x:v>
      </x:c>
      <x:c r="N18" s="68" t="str">
        <x:v>新增M17扶抑、格局、通关、调候、病药五维矩阵和八级定位。</x:v>
      </x:c>
      <x:c r="O18" s="68" t="str">
        <x:v>补齐上一版本缺失的独立推理层，并保持与既有模块的可追溯接口。</x:v>
      </x:c>
      <x:c r="P18" s="90" t="str">
        <x:v>若后续真实案例显示新模块的边界或权重不稳定，应通过M20回归和M21修订，而不是删除历史。</x:v>
      </x:c>
      <x:c r="Q18" s="82" t="str">
        <x:v>无</x:v>
      </x:c>
      <x:c r="R18" s="68" t="str">
        <x:v>M17及其全部下游</x:v>
      </x:c>
      <x:c r="S18" s="68" t="str">
        <x:v>V1.4</x:v>
      </x:c>
      <x:c r="T18" s="68" t="str">
        <x:v>V1.5</x:v>
      </x:c>
      <x:c r="U18" s="82" t="str">
        <x:v>新增</x:v>
      </x:c>
      <x:c r="V18" s="82" t="str">
        <x:v>已生效</x:v>
      </x:c>
      <x:c r="W18" s="68" t="str">
        <x:v>OpenAI_M0初审；待人工终审</x:v>
      </x:c>
      <x:c r="X18" s="87" t="n">
        <x:v>46260</x:v>
      </x:c>
      <x:c r="Y18" s="68" t="str">
        <x:v>版本文件与00_使用说明；V1.5 喜忌用神矩阵规则版</x:v>
      </x:c>
      <x:c r="Z18" s="276" t="str">
        <x:v>影响模块</x:v>
      </x:c>
      <x:c r="AA18" s="276" t="str">
        <x:v>记录数</x:v>
      </x:c>
      <x:c r="AB18" s="276" t="str">
        <x:v>占比</x:v>
      </x:c>
    </x:row>
    <x:row r="19">
      <x:c r="A19" s="72" t="str">
        <x:f>IF(OR(C19="",D19=""),"",B19&amp;"-"&amp;UPPER(C19)&amp;"-"&amp;TEXT(D19,"0000")&amp;"-"&amp;E19)</x:f>
        <x:v>M21-HIST-0013-V1.0</x:v>
      </x:c>
      <x:c r="B19" s="74" t="str">
        <x:v>M21</x:v>
      </x:c>
      <x:c r="C19" s="74" t="str">
        <x:v>HIST</x:v>
      </x:c>
      <x:c r="D19" s="215" t="n">
        <x:v>13</x:v>
      </x:c>
      <x:c r="E19" s="74" t="str">
        <x:v>V1.0</x:v>
      </x:c>
      <x:c r="F19" s="68" t="str">
        <x:v>M18-BOUND-0080-V1.0</x:v>
      </x:c>
      <x:c r="G19" s="68" t="str">
        <x:v>M18</x:v>
      </x:c>
      <x:c r="H19" s="82" t="str">
        <x:v>版本变更</x:v>
      </x:c>
      <x:c r="I19" s="68" t="str">
        <x:v>V1.6 冲突裁决规则版</x:v>
      </x:c>
      <x:c r="J19" s="68" t="str">
        <x:v>旧版口径</x:v>
      </x:c>
      <x:c r="K19" s="68" t="str">
        <x:v>旧版可生成多维候选，但缺少硬约束、药路择一和剂量裁决。</x:v>
      </x:c>
      <x:c r="L19" s="68" t="str">
        <x:v>新版口径</x:v>
      </x:c>
      <x:c r="M19" s="68" t="str">
        <x:v>新增M18跨模块冲突、特殊格局、主辅容量、最终定位与治理边界。</x:v>
      </x:c>
      <x:c r="N19" s="68" t="str">
        <x:v>新增M18跨模块冲突、特殊格局、主辅容量、最终定位与治理边界。</x:v>
      </x:c>
      <x:c r="O19" s="68" t="str">
        <x:v>补齐上一版本缺失的独立推理层，并保持与既有模块的可追溯接口。</x:v>
      </x:c>
      <x:c r="P19" s="90" t="str">
        <x:v>若后续真实案例显示新模块的边界或权重不稳定，应通过M20回归和M21修订，而不是删除历史。</x:v>
      </x:c>
      <x:c r="Q19" s="82" t="str">
        <x:v>无</x:v>
      </x:c>
      <x:c r="R19" s="68" t="str">
        <x:v>M18及其全部下游</x:v>
      </x:c>
      <x:c r="S19" s="68" t="str">
        <x:v>V1.5</x:v>
      </x:c>
      <x:c r="T19" s="68" t="str">
        <x:v>V1.6</x:v>
      </x:c>
      <x:c r="U19" s="82" t="str">
        <x:v>新增</x:v>
      </x:c>
      <x:c r="V19" s="82" t="str">
        <x:v>已生效</x:v>
      </x:c>
      <x:c r="W19" s="68" t="str">
        <x:v>OpenAI_M0初审；待人工终审</x:v>
      </x:c>
      <x:c r="X19" s="87" t="n">
        <x:v>46260</x:v>
      </x:c>
      <x:c r="Y19" s="68" t="str">
        <x:v>版本文件与00_使用说明；V1.6 冲突裁决规则版</x:v>
      </x:c>
      <x:c r="Z19" t="str">
        <x:v>M02</x:v>
      </x:c>
      <x:c r="AA19" t="n">
        <x:v>2</x:v>
      </x:c>
      <x:c r="AB19" s="236" t="n">
        <x:f>IF($AA$3=0,0,AA19/$AA$3)</x:f>
        <x:v>0.04</x:v>
      </x:c>
      <x:c r="AD19" s="279" t="str">
        <x:v>待验证Change_ID</x:v>
      </x:c>
      <x:c r="AE19" s="279" t="str">
        <x:v>争议主题</x:v>
      </x:c>
      <x:c r="AF19" s="279" t="str">
        <x:v>影响范围</x:v>
      </x:c>
      <x:c r="AG19" s="279" t="str">
        <x:v>来源/回归</x:v>
      </x:c>
    </x:row>
    <x:row r="20">
      <x:c r="A20" s="72" t="str">
        <x:f>IF(OR(C20="",D20=""),"",B20&amp;"-"&amp;UPPER(C20)&amp;"-"&amp;TEXT(D20,"0000")&amp;"-"&amp;E20)</x:f>
        <x:v>M21-HIST-0014-V1.0</x:v>
      </x:c>
      <x:c r="B20" s="74" t="str">
        <x:v>M21</x:v>
      </x:c>
      <x:c r="C20" s="74" t="str">
        <x:v>HIST</x:v>
      </x:c>
      <x:c r="D20" s="215" t="n">
        <x:v>14</x:v>
      </x:c>
      <x:c r="E20" s="74" t="str">
        <x:v>V1.0</x:v>
      </x:c>
      <x:c r="F20" s="68" t="str">
        <x:v>M19-USE-0045-V1.0</x:v>
      </x:c>
      <x:c r="G20" s="68" t="str">
        <x:v>M19</x:v>
      </x:c>
      <x:c r="H20" s="82" t="str">
        <x:v>版本变更</x:v>
      </x:c>
      <x:c r="I20" s="68" t="str">
        <x:v>V1.7 综合输出模板版</x:v>
      </x:c>
      <x:c r="J20" s="68" t="str">
        <x:v>旧版口径</x:v>
      </x:c>
      <x:c r="K20" s="68" t="str">
        <x:v>旧版内部规则完整，但尚未统一内部推理、分析师速查与用户表达。</x:v>
      </x:c>
      <x:c r="L20" s="68" t="str">
        <x:v>新版口径</x:v>
      </x:c>
      <x:c r="M20" s="68" t="str">
        <x:v>新增M19十二章节、45个正式输出字段、空值与冲突处理。</x:v>
      </x:c>
      <x:c r="N20" s="68" t="str">
        <x:v>新增M19十二章节、45个正式输出字段、空值与冲突处理。</x:v>
      </x:c>
      <x:c r="O20" s="68" t="str">
        <x:v>补齐上一版本缺失的独立推理层，并保持与既有模块的可追溯接口。</x:v>
      </x:c>
      <x:c r="P20" s="90" t="str">
        <x:v>若后续真实案例显示新模块的边界或权重不稳定，应通过M20回归和M21修订，而不是删除历史。</x:v>
      </x:c>
      <x:c r="Q20" s="82" t="str">
        <x:v>无</x:v>
      </x:c>
      <x:c r="R20" s="68" t="str">
        <x:v>M19及其全部下游</x:v>
      </x:c>
      <x:c r="S20" s="68" t="str">
        <x:v>V1.6</x:v>
      </x:c>
      <x:c r="T20" s="68" t="str">
        <x:v>V1.7</x:v>
      </x:c>
      <x:c r="U20" s="82" t="str">
        <x:v>新增</x:v>
      </x:c>
      <x:c r="V20" s="82" t="str">
        <x:v>已生效</x:v>
      </x:c>
      <x:c r="W20" s="68" t="str">
        <x:v>OpenAI_M0初审；待人工终审</x:v>
      </x:c>
      <x:c r="X20" s="87" t="n">
        <x:v>46260</x:v>
      </x:c>
      <x:c r="Y20" s="68" t="str">
        <x:v>版本文件与00_使用说明；V1.7 综合输出模板版</x:v>
      </x:c>
      <x:c r="Z20" t="str">
        <x:v>M03</x:v>
      </x:c>
      <x:c r="AA20" t="n">
        <x:v>9</x:v>
      </x:c>
      <x:c r="AB20" s="236" t="n">
        <x:f>IF($AA$3=0,0,AA20/$AA$3)</x:f>
        <x:v>0.18</x:v>
      </x:c>
      <x:c r="AD20" s="214" t="str">
        <x:v>M21-PATTERN-0036-V1.0</x:v>
      </x:c>
      <x:c r="AE20" s="214" t="str">
        <x:v>真从与假从的残根有效性边界</x:v>
      </x:c>
      <x:c r="AF20" s="214" t="str">
        <x:v>M08/M09/M14/M15/M17/M18/M19</x:v>
      </x:c>
      <x:c r="AG20" s="214" t="str">
        <x:v>M20-PATTERN-0105-V1.0、M20-INTEGRATION-0141-V1.0；需真实案例回归</x:v>
      </x:c>
    </x:row>
    <x:row r="21">
      <x:c r="A21" s="72" t="str">
        <x:f>IF(OR(C21="",D21=""),"",B21&amp;"-"&amp;UPPER(C21)&amp;"-"&amp;TEXT(D21,"0000")&amp;"-"&amp;E21)</x:f>
        <x:v>M21-HIST-0015-V1.0</x:v>
      </x:c>
      <x:c r="B21" s="74" t="str">
        <x:v>M21</x:v>
      </x:c>
      <x:c r="C21" s="74" t="str">
        <x:v>HIST</x:v>
      </x:c>
      <x:c r="D21" s="215" t="n">
        <x:v>15</x:v>
      </x:c>
      <x:c r="E21" s="74" t="str">
        <x:v>V1.0</x:v>
      </x:c>
      <x:c r="F21" s="68" t="str">
        <x:v>M18-BOUND-0080-V1.0</x:v>
      </x:c>
      <x:c r="G21" s="68" t="str">
        <x:v>M20</x:v>
      </x:c>
      <x:c r="H21" s="82" t="str">
        <x:v>版本变更</x:v>
      </x:c>
      <x:c r="I21" s="68" t="str">
        <x:v>V1.8 案例测试集版</x:v>
      </x:c>
      <x:c r="J21" s="68" t="str">
        <x:v>旧版口径</x:v>
      </x:c>
      <x:c r="K21" s="68" t="str">
        <x:v>旧版缺少系统化正例、反例、边界、综合与回归测试。</x:v>
      </x:c>
      <x:c r="L21" s="68" t="str">
        <x:v>新版口径</x:v>
      </x:c>
      <x:c r="M21" s="68" t="str">
        <x:v>新增M20共150个合成测试、253次目标引用、自动结果和覆盖看板。</x:v>
      </x:c>
      <x:c r="N21" s="68" t="str">
        <x:v>新增M20共150个合成测试、253次目标引用、自动结果和覆盖看板。</x:v>
      </x:c>
      <x:c r="O21" s="68" t="str">
        <x:v>补齐上一版本缺失的独立推理层，并保持与既有模块的可追溯接口。</x:v>
      </x:c>
      <x:c r="P21" s="90" t="str">
        <x:v>若后续真实案例显示新模块的边界或权重不稳定，应通过M20回归和M21修订，而不是删除历史。</x:v>
      </x:c>
      <x:c r="Q21" s="82" t="str">
        <x:v>无</x:v>
      </x:c>
      <x:c r="R21" s="68" t="str">
        <x:v>M20及其全部下游</x:v>
      </x:c>
      <x:c r="S21" s="68" t="str">
        <x:v>V1.7</x:v>
      </x:c>
      <x:c r="T21" s="68" t="str">
        <x:v>V1.8</x:v>
      </x:c>
      <x:c r="U21" s="82" t="str">
        <x:v>新增</x:v>
      </x:c>
      <x:c r="V21" s="82" t="str">
        <x:v>已生效</x:v>
      </x:c>
      <x:c r="W21" s="68" t="str">
        <x:v>OpenAI_M0初审；待人工终审</x:v>
      </x:c>
      <x:c r="X21" s="87" t="n">
        <x:v>46260</x:v>
      </x:c>
      <x:c r="Y21" s="68" t="str">
        <x:v>版本文件与00_使用说明；V1.8 案例测试集版</x:v>
      </x:c>
      <x:c r="Z21" t="str">
        <x:v>M04</x:v>
      </x:c>
      <x:c r="AA21" t="n">
        <x:v>2</x:v>
      </x:c>
      <x:c r="AB21" s="236" t="n">
        <x:f>IF($AA$3=0,0,AA21/$AA$3)</x:f>
        <x:v>0.04</x:v>
      </x:c>
      <x:c r="AD21" s="214" t="str">
        <x:v>M21-PATTERN-0040-V1.0</x:v>
      </x:c>
      <x:c r="AE21" s="214" t="str">
        <x:v>阴干羊刃地与是否取羊刃格</x:v>
      </x:c>
      <x:c r="AF21" s="214" t="str">
        <x:v>M03/M09/M14/M15/M17/M20</x:v>
      </x:c>
      <x:c r="AG21" s="214" t="str">
        <x:v>M20-DISPUTE-0149-V1.0；https://zh.wikisource.org/wiki/%E6%BB%B4%E5%A4%A9%E9%AB%93%E9%97%A1%E5%BE%AE ; https://zh.wikisource.org/zh-hans/%E6%B7%B5%E6%B5%B7%E5%AD%90%E5%B9%B3</x:v>
      </x:c>
    </x:row>
    <x:row r="22">
      <x:c r="A22" s="72" t="str">
        <x:f>IF(OR(C22="",D22=""),"",B22&amp;"-"&amp;UPPER(C22)&amp;"-"&amp;TEXT(D22,"0000")&amp;"-"&amp;E22)</x:f>
        <x:v>M21-HIST-0016-V1.0</x:v>
      </x:c>
      <x:c r="B22" s="74" t="str">
        <x:v>M21</x:v>
      </x:c>
      <x:c r="C22" s="74" t="str">
        <x:v>HIST</x:v>
      </x:c>
      <x:c r="D22" s="215" t="n">
        <x:v>16</x:v>
      </x:c>
      <x:c r="E22" s="74" t="str">
        <x:v>V1.0</x:v>
      </x:c>
      <x:c r="F22" s="68" t="str">
        <x:v>M18-BOUND-0080-V1.0；M19-USE-0045-V1.0</x:v>
      </x:c>
      <x:c r="G22" s="68" t="str">
        <x:v>M21</x:v>
      </x:c>
      <x:c r="H22" s="82" t="str">
        <x:v>版本变更</x:v>
      </x:c>
      <x:c r="I22" s="68" t="str">
        <x:v>V1.9 版本与争议治理闭环版</x:v>
      </x:c>
      <x:c r="J22" s="68" t="str">
        <x:v>旧版口径</x:v>
      </x:c>
      <x:c r="K22" s="68" t="str">
        <x:v>旧版已有测试结果，但部分通过、待复核、流派争议和版本历史尚未集中治理。</x:v>
      </x:c>
      <x:c r="L22" s="68" t="str">
        <x:v>新版口径</x:v>
      </x:c>
      <x:c r="M22" s="68" t="str">
        <x:v>新增M21共50条版本、争议、采用口径、反证和回归要求，并完成全库闭环。</x:v>
      </x:c>
      <x:c r="N22" s="68" t="str">
        <x:v>新增M21共50条版本、争议、采用口径、反证和回归要求，并完成全库闭环。</x:v>
      </x:c>
      <x:c r="O22" s="68" t="str">
        <x:v>补齐上一版本缺失的独立推理层，并保持与既有模块的可追溯接口。</x:v>
      </x:c>
      <x:c r="P22" s="90" t="str">
        <x:v>若后续真实案例显示新模块的边界或权重不稳定，应通过M20回归和M21修订，而不是删除历史。</x:v>
      </x:c>
      <x:c r="Q22" s="82" t="str">
        <x:v>无</x:v>
      </x:c>
      <x:c r="R22" s="68" t="str">
        <x:v>M21及其全部下游</x:v>
      </x:c>
      <x:c r="S22" s="68" t="str">
        <x:v>V1.8</x:v>
      </x:c>
      <x:c r="T22" s="68" t="str">
        <x:v>V1.9</x:v>
      </x:c>
      <x:c r="U22" s="82" t="str">
        <x:v>新增</x:v>
      </x:c>
      <x:c r="V22" s="82" t="str">
        <x:v>已生效</x:v>
      </x:c>
      <x:c r="W22" s="68" t="str">
        <x:v>OpenAI_M0初审；待人工终审</x:v>
      </x:c>
      <x:c r="X22" s="87" t="n">
        <x:v>46261</x:v>
      </x:c>
      <x:c r="Y22" s="68" t="str">
        <x:v>版本文件与00_使用说明；V1.9 版本与争议治理闭环版</x:v>
      </x:c>
      <x:c r="Z22" t="str">
        <x:v>M05</x:v>
      </x:c>
      <x:c r="AA22" t="n">
        <x:v>5</x:v>
      </x:c>
      <x:c r="AB22" s="236" t="n">
        <x:f>IF($AA$3=0,0,AA22/$AA$3)</x:f>
        <x:v>0.1</x:v>
      </x:c>
      <x:c r="AD22" s="214" t="str">
        <x:v>M21-CLIMATE-0042-V1.0</x:v>
      </x:c>
      <x:c r="AE22" s="214" t="str">
        <x:v>辰丑湿土、未戌燥土是否使用固定标签和权重</x:v>
      </x:c>
      <x:c r="AF22" s="214" t="str">
        <x:v>M03/M08/M13/M16/M17/M20</x:v>
      </x:c>
      <x:c r="AG22" s="214" t="str">
        <x:v>M20-DISPUTE-0150-V1.0；https://zh.wikisource.org/wiki/%E6%BB%B4%E5%A4%A9%E9%AB%93%E9%97%A1%E5%BE%AE ; https://zh.wikisource.org/zh-hans/%E6%B7%B5%E6%B5%B7%E5%AD%90%E5%B9%B3</x:v>
      </x:c>
    </x:row>
    <x:row r="23">
      <x:c r="A23" s="72" t="str">
        <x:f>IF(OR(C23="",D23=""),"",B23&amp;"-"&amp;UPPER(C23)&amp;"-"&amp;TEXT(D23,"0000")&amp;"-"&amp;E23)</x:f>
        <x:v>M21-REL-0017-V1.0</x:v>
      </x:c>
      <x:c r="B23" s="74" t="str">
        <x:v>M21</x:v>
      </x:c>
      <x:c r="C23" s="74" t="str">
        <x:v>REL</x:v>
      </x:c>
      <x:c r="D23" s="215" t="n">
        <x:v>17</x:v>
      </x:c>
      <x:c r="E23" s="74" t="str">
        <x:v>V1.0</x:v>
      </x:c>
      <x:c r="F23" s="68" t="str">
        <x:v>M05-BOUND-0078-V1.0；M06-XING-0083-V1.0；M06-XING-0084-V1.0</x:v>
      </x:c>
      <x:c r="G23" s="68" t="str">
        <x:v>M05/M06/M08/M09</x:v>
      </x:c>
      <x:c r="H23" s="82" t="str">
        <x:v>流派争议</x:v>
      </x:c>
      <x:c r="I23" s="68" t="str">
        <x:v>刑是否必然按固定比例减力</x:v>
      </x:c>
      <x:c r="J23" s="68" t="str">
        <x:v>固定减力法</x:v>
      </x:c>
      <x:c r="K23" s="68" t="str">
        <x:v>见三刑、自刑即对参与支统一减力，或按预设比例扣分。</x:v>
      </x:c>
      <x:c r="L23" s="68" t="str">
        <x:v>结构效应法</x:v>
      </x:c>
      <x:c r="M23" s="68" t="str">
        <x:v>刑先识别，再按月令、强弱、根气、透干、叠加关系逐支判断刑动与刑伤。</x:v>
      </x:c>
      <x:c r="N23" s="68" t="str">
        <x:v>不设统一固定减力；三刑提高结构复杂度，是否减力取决于具体对象和实际功能损伤。</x:v>
      </x:c>
      <x:c r="O23" s="68" t="str">
        <x:v>同一三刑中不同支的季令、根气和透达可能完全不同，统一扣分会重复计算并产生错误旺衰。</x:v>
      </x:c>
      <x:c r="P23" s="90" t="str">
        <x:v>若未来大样本显示某一严格子类型具有稳定量化区间，可新增限定规则，不推广至所有刑。</x:v>
      </x:c>
      <x:c r="Q23" s="82" t="str">
        <x:v>高</x:v>
      </x:c>
      <x:c r="R23" s="68" t="str">
        <x:v>M05/M06/M08/M09/M20</x:v>
      </x:c>
      <x:c r="S23" s="68" t="str">
        <x:v>V1.8</x:v>
      </x:c>
      <x:c r="T23" s="68" t="str">
        <x:v>V1.9</x:v>
      </x:c>
      <x:c r="U23" s="82" t="str">
        <x:v>新增</x:v>
      </x:c>
      <x:c r="V23" s="82" t="str">
        <x:v>已生效</x:v>
      </x:c>
      <x:c r="W23" s="68" t="str">
        <x:v>OpenAI_M0初审；待人工终审</x:v>
      </x:c>
      <x:c r="X23" s="87" t="n">
        <x:v>46261</x:v>
      </x:c>
      <x:c r="Y23" s="68" t="str">
        <x:v>M20-REGRESSION-0144-V1.0；https://zh.wikisource.org/wiki/%E6%BB%B4%E5%A4%A9%E9%AB%93%E9%97%A1%E5%BE%AE ; https://zh.wikisource.org/zh-hans/%E6%B7%B5%E6%B5%B7%E5%AD%90%E5%B9%B3</x:v>
      </x:c>
      <x:c r="Z23" t="str">
        <x:v>M06</x:v>
      </x:c>
      <x:c r="AA23" t="n">
        <x:v>7</x:v>
      </x:c>
      <x:c r="AB23" s="236" t="n">
        <x:f>IF($AA$3=0,0,AA23/$AA$3)</x:f>
        <x:v>0.14</x:v>
      </x:c>
      <x:c r="AD23" s="214" t="str">
        <x:v>M21-CASE-0048-V1.0</x:v>
      </x:c>
      <x:c r="AE23" s="214" t="str">
        <x:v>交节临界但缺精确时区和交节时刻时的输出闸门</x:v>
      </x:c>
      <x:c r="AF23" s="214" t="str">
        <x:v>M03/M07-M19</x:v>
      </x:c>
      <x:c r="AG23" s="214" t="str">
        <x:v>M20-BASE-0005-V1.0；需补真实交节时刻样本</x:v>
      </x:c>
    </x:row>
    <x:row r="24">
      <x:c r="A24" s="72" t="str">
        <x:f>IF(OR(C24="",D24=""),"",B24&amp;"-"&amp;UPPER(C24)&amp;"-"&amp;TEXT(D24,"0000")&amp;"-"&amp;E24)</x:f>
        <x:v>M21-REL-0018-V1.0</x:v>
      </x:c>
      <x:c r="B24" s="74" t="str">
        <x:v>M21</x:v>
      </x:c>
      <x:c r="C24" s="74" t="str">
        <x:v>REL</x:v>
      </x:c>
      <x:c r="D24" s="215" t="n">
        <x:v>18</x:v>
      </x:c>
      <x:c r="E24" s="74" t="str">
        <x:v>V1.0</x:v>
      </x:c>
      <x:c r="F24" s="68" t="str">
        <x:v>M03-RTEF-0047-V1.0；M06-CHONG-0065-V1.0；M08-ROOT-0001-V1.0</x:v>
      </x:c>
      <x:c r="G24" s="68" t="str">
        <x:v>M03/M06/M08/M09</x:v>
      </x:c>
      <x:c r="H24" s="82" t="str">
        <x:v>流派争议</x:v>
      </x:c>
      <x:c r="I24" s="68" t="str">
        <x:v>相冲是否等于拔根、冲去或双方减力</x:v>
      </x:c>
      <x:c r="J24" s="68" t="str">
        <x:v>冲去法</x:v>
      </x:c>
      <x:c r="K24" s="68" t="str">
        <x:v>受冲地支或其中根气自动归零，双方均按冲关系减力。</x:v>
      </x:c>
      <x:c r="L24" s="68" t="str">
        <x:v>强弱效应法</x:v>
      </x:c>
      <x:c r="M24" s="68" t="str">
        <x:v>冲至少引动；旺冲衰、衰冲旺、唯一根受强冲和势均冲战必须分开。</x:v>
      </x:c>
      <x:c r="N24" s="68" t="str">
        <x:v>保留原始根存在；只有强冲命中孤弱唯一根并造成实际功能损伤时，才下调有效根。</x:v>
      </x:c>
      <x:c r="O24" s="68" t="str">
        <x:v>能解释旺支被激发、弱支被冲拔和受冲但仍有承载等不同结果。</x:v>
      </x:c>
      <x:c r="P24" s="90" t="str">
        <x:v>若目标支已失令无源、唯一根且被多重强冲，允许判实质受损，但仍不得删除历史根记录。</x:v>
      </x:c>
      <x:c r="Q24" s="82" t="str">
        <x:v>高</x:v>
      </x:c>
      <x:c r="R24" s="68" t="str">
        <x:v>M03/M06/M08/M09/M14/M15</x:v>
      </x:c>
      <x:c r="S24" s="68" t="str">
        <x:v>V1.8</x:v>
      </x:c>
      <x:c r="T24" s="68" t="str">
        <x:v>V1.9</x:v>
      </x:c>
      <x:c r="U24" s="82" t="str">
        <x:v>新增</x:v>
      </x:c>
      <x:c r="V24" s="82" t="str">
        <x:v>已生效</x:v>
      </x:c>
      <x:c r="W24" s="68" t="str">
        <x:v>OpenAI_M0初审；待人工终审</x:v>
      </x:c>
      <x:c r="X24" s="87" t="n">
        <x:v>46261</x:v>
      </x:c>
      <x:c r="Y24" s="68" t="str">
        <x:v>M20-REGRESSION-0145-V1.0；https://zh.wikisource.org/wiki/%E6%BB%B4%E5%A4%A9%E9%AB%93%E9%97%A1%E5%BE%AE ; https://zh.wikisource.org/zh-hans/%E6%B7%B5%E6%B5%B7%E5%AD%90%E5%B9%B3</x:v>
      </x:c>
      <x:c r="Z24" t="str">
        <x:v>M07</x:v>
      </x:c>
      <x:c r="AA24" t="n">
        <x:v>8</x:v>
      </x:c>
      <x:c r="AB24" s="236" t="n">
        <x:f>IF($AA$3=0,0,AA24/$AA$3)</x:f>
        <x:v>0.16</x:v>
      </x:c>
      <x:c r="AD24" s="214" t="str">
        <x:v>M21-CASE-0049-V1.0</x:v>
      </x:c>
      <x:c r="AE24" s="214" t="str">
        <x:v>残根假从边界的真实案例回归要求</x:v>
      </x:c>
      <x:c r="AF24" s="214" t="str">
        <x:v>M08/M09/M14/M15/M17/M18/M19</x:v>
      </x:c>
      <x:c r="AG24" s="214" t="str">
        <x:v>M20-PATTERN-0105-V1.0；M20-INTEGRATION-0141-V1.0</x:v>
      </x:c>
    </x:row>
    <x:row r="25">
      <x:c r="A25" s="72" t="str">
        <x:f>IF(OR(C25="",D25=""),"",B25&amp;"-"&amp;UPPER(C25)&amp;"-"&amp;TEXT(D25,"0000")&amp;"-"&amp;E25)</x:f>
        <x:v>M21-REL-0019-V1.0</x:v>
      </x:c>
      <x:c r="B25" s="74" t="str">
        <x:v>M21</x:v>
      </x:c>
      <x:c r="C25" s="74" t="str">
        <x:v>REL</x:v>
      </x:c>
      <x:c r="D25" s="215" t="n">
        <x:v>19</x:v>
      </x:c>
      <x:c r="E25" s="74" t="str">
        <x:v>V1.0</x:v>
      </x:c>
      <x:c r="F25" s="68" t="str">
        <x:v>M05-BOUND-0074-V1.0；M06-TGHUA-0011-V1.0；M06-LIUHE-0034-V1.0</x:v>
      </x:c>
      <x:c r="G25" s="68" t="str">
        <x:v>M04/M05/M06/M08</x:v>
      </x:c>
      <x:c r="H25" s="82" t="str">
        <x:v>流派争议</x:v>
      </x:c>
      <x:c r="I25" s="68" t="str">
        <x:v>天干五合或六合是否出现即自动合化</x:v>
      </x:c>
      <x:c r="J25" s="68" t="str">
        <x:v>见合即化法</x:v>
      </x:c>
      <x:c r="K25" s="68" t="str">
        <x:v>固定配对同时出现即可按化神改性，或直接视为一方消失。</x:v>
      </x:c>
      <x:c r="L25" s="68" t="str">
        <x:v>联合门槛法</x:v>
      </x:c>
      <x:c r="M25" s="68" t="str">
        <x:v>先判合意、牵引和合绊；实质合化必须审化神得势、原气能否自立、争合与破化。</x:v>
      </x:c>
      <x:c r="N25" s="68" t="str">
        <x:v>合关系存在不等于合化；合化仅在四项联合门槛满足时成立，其他情况保留原五行。</x:v>
      </x:c>
      <x:c r="O25" s="68" t="str">
        <x:v>避免把有根强干、争合或无化神支持的结构错误改性。</x:v>
      </x:c>
      <x:c r="P25" s="90" t="str">
        <x:v>部分流派另强调特定月令或辰等引化条件，保留为增强证据而非机械充分条件。</x:v>
      </x:c>
      <x:c r="Q25" s="82" t="str">
        <x:v>高</x:v>
      </x:c>
      <x:c r="R25" s="68" t="str">
        <x:v>M04/M05/M06/M08/M14/M15</x:v>
      </x:c>
      <x:c r="S25" s="68" t="str">
        <x:v>V1.8</x:v>
      </x:c>
      <x:c r="T25" s="68" t="str">
        <x:v>V1.9</x:v>
      </x:c>
      <x:c r="U25" s="82" t="str">
        <x:v>新增</x:v>
      </x:c>
      <x:c r="V25" s="82" t="str">
        <x:v>已生效</x:v>
      </x:c>
      <x:c r="W25" s="68" t="str">
        <x:v>OpenAI_M0初审；待人工终审</x:v>
      </x:c>
      <x:c r="X25" s="87" t="n">
        <x:v>46261</x:v>
      </x:c>
      <x:c r="Y25" s="68" t="str">
        <x:v>M20-EFFECT-0029-V1.0至M20-EFFECT-0032-V1.0；https://zh.wikisource.org/wiki/%E6%BB%B4%E5%A4%A9%E9%AB%93%E9%97%A1%E5%BE%AE ; https://zh.wikisource.org/zh-hans/%E6%B7%B5%E6%B5%B7%E5%AD%90%E5%B9%B3</x:v>
      </x:c>
      <x:c r="Z25" t="str">
        <x:v>M08</x:v>
      </x:c>
      <x:c r="AA25" t="n">
        <x:v>17</x:v>
      </x:c>
      <x:c r="AB25" s="236" t="n">
        <x:f>IF($AA$3=0,0,AA25/$AA$3)</x:f>
        <x:v>0.34</x:v>
      </x:c>
      <x:c r="AD25" s="214" t="str">
        <x:v>M21-CASE-0050-V1.0</x:v>
      </x:c>
      <x:c r="AE25" s="214" t="str">
        <x:v>非标准通关但一药多效是否足以升级主用</x:v>
      </x:c>
      <x:c r="AF25" s="214" t="str">
        <x:v>M12/M13/M16/M17/M18/M20</x:v>
      </x:c>
      <x:c r="AG25" s="214" t="str">
        <x:v>M20-MED-0116-V1.0</x:v>
      </x:c>
    </x:row>
    <x:row r="26">
      <x:c r="A26" s="72" t="str">
        <x:f>IF(OR(C26="",D26=""),"",B26&amp;"-"&amp;UPPER(C26)&amp;"-"&amp;TEXT(D26,"0000")&amp;"-"&amp;E26)</x:f>
        <x:v>M21-REL-0020-V1.0</x:v>
      </x:c>
      <x:c r="B26" s="74" t="str">
        <x:v>M21</x:v>
      </x:c>
      <x:c r="C26" s="74" t="str">
        <x:v>REL</x:v>
      </x:c>
      <x:c r="D26" s="215" t="n">
        <x:v>20</x:v>
      </x:c>
      <x:c r="E26" s="74" t="str">
        <x:v>V1.0</x:v>
      </x:c>
      <x:c r="F26" s="68" t="str">
        <x:v>M05-BOUND-0075-V1.0；M05-BOUND-0076-V1.0；M06-SANHE-0050-V1.0</x:v>
      </x:c>
      <x:c r="G26" s="68" t="str">
        <x:v>M05/M06/M07/M08</x:v>
      </x:c>
      <x:c r="H26" s="82" t="str">
        <x:v>定义修订</x:v>
      </x:c>
      <x:c r="I26" s="68" t="str">
        <x:v>三合三会结构完整是否等于已经成局</x:v>
      </x:c>
      <x:c r="J26" s="68" t="str">
        <x:v>齐支成局法</x:v>
      </x:c>
      <x:c r="K26" s="68" t="str">
        <x:v>三支齐全即按局气处理，成员原气可直接让位。</x:v>
      </x:c>
      <x:c r="L26" s="68" t="str">
        <x:v>完整候选法</x:v>
      </x:c>
      <x:c r="M26" s="68" t="str">
        <x:v>三支齐全只完成识别；成局还需月令、透干、根气、局气连续和破坏因素。</x:v>
      </x:c>
      <x:c r="N26" s="68" t="str">
        <x:v>区分“结构完整”和“实质成局”；完整结构只生成高等级候选。</x:v>
      </x:c>
      <x:c r="O26" s="68" t="str">
        <x:v>能够处理三支齐全但中神弱、成员被强冲强合牵走或全局主势不从局的边界案例。</x:v>
      </x:c>
      <x:c r="P26" s="90" t="str">
        <x:v>当月令、透干、根气和全局主势高度同向时，可确认成局并重算力量归属。</x:v>
      </x:c>
      <x:c r="Q26" s="82" t="str">
        <x:v>中</x:v>
      </x:c>
      <x:c r="R26" s="68" t="str">
        <x:v>M05/M06/M07/M08/M14</x:v>
      </x:c>
      <x:c r="S26" s="68" t="str">
        <x:v>V1.8</x:v>
      </x:c>
      <x:c r="T26" s="68" t="str">
        <x:v>V1.9</x:v>
      </x:c>
      <x:c r="U26" s="82" t="str">
        <x:v>新增</x:v>
      </x:c>
      <x:c r="V26" s="82" t="str">
        <x:v>已生效</x:v>
      </x:c>
      <x:c r="W26" s="68" t="str">
        <x:v>OpenAI_M0初审；待人工终审</x:v>
      </x:c>
      <x:c r="X26" s="87" t="n">
        <x:v>46261</x:v>
      </x:c>
      <x:c r="Y26" s="68" t="str">
        <x:v>M20-REL-0018-V1.0、M20-REL-0021-V1.0；https://zh.wikisource.org/wiki/%E6%BB%B4%E5%A4%A9%E9%AB%93%E9%97%A1%E5%BE%AE ; https://zh.wikisource.org/zh-hans/%E6%B7%B5%E6%B5%B7%E5%AD%90%E5%B9%B3</x:v>
      </x:c>
      <x:c r="Z26" t="str">
        <x:v>M09</x:v>
      </x:c>
      <x:c r="AA26" t="n">
        <x:v>11</x:v>
      </x:c>
      <x:c r="AB26" s="236" t="n">
        <x:f>IF($AA$3=0,0,AA26/$AA$3)</x:f>
        <x:v>0.22</x:v>
      </x:c>
    </x:row>
    <x:row r="27">
      <x:c r="A27" s="72" t="str">
        <x:f>IF(OR(C27="",D27=""),"",B27&amp;"-"&amp;UPPER(C27)&amp;"-"&amp;TEXT(D27,"0000")&amp;"-"&amp;E27)</x:f>
        <x:v>M21-REL-0021-V1.0</x:v>
      </x:c>
      <x:c r="B27" s="74" t="str">
        <x:v>M21</x:v>
      </x:c>
      <x:c r="C27" s="74" t="str">
        <x:v>REL</x:v>
      </x:c>
      <x:c r="D27" s="215" t="n">
        <x:v>21</x:v>
      </x:c>
      <x:c r="E27" s="74" t="str">
        <x:v>V1.0</x:v>
      </x:c>
      <x:c r="F27" s="68" t="str">
        <x:v>M06-CHONG-0078-V1.0；M06-CHONG-0079-V1.0</x:v>
      </x:c>
      <x:c r="G27" s="68" t="str">
        <x:v>M06/M08/M12</x:v>
      </x:c>
      <x:c r="H27" s="82" t="str">
        <x:v>流派争议</x:v>
      </x:c>
      <x:c r="I27" s="68" t="str">
        <x:v>四库相冲是否必然开库得用</x:v>
      </x:c>
      <x:c r="J27" s="68" t="str">
        <x:v>逢冲必开法</x:v>
      </x:c>
      <x:c r="K27" s="68" t="str">
        <x:v>辰戌丑未相冲即可把库中藏干全部释放并视为可用。</x:v>
      </x:c>
      <x:c r="L27" s="68" t="str">
        <x:v>条件开库法</x:v>
      </x:c>
      <x:c r="M27" s="68" t="str">
        <x:v>先生成开库候选，再审库物是否存在、有用、可透达、有承接且未被冲毁。</x:v>
      </x:c>
      <x:c r="N27" s="68" t="str">
        <x:v>四库冲只生成候选；有库物、承接与非毁损条件同时满足时才确认开库。</x:v>
      </x:c>
      <x:c r="O27" s="68" t="str">
        <x:v>可区分开库、冲坏、土气交战与库物无承接等不同结构。</x:v>
      </x:c>
      <x:c r="P27" s="90" t="str">
        <x:v>不同流派对墓、库与开库术语界定仍有差异，相关案例须在M20记录具体口径。</x:v>
      </x:c>
      <x:c r="Q27" s="82" t="str">
        <x:v>中</x:v>
      </x:c>
      <x:c r="R27" s="68" t="str">
        <x:v>M06/M08/M12/M20</x:v>
      </x:c>
      <x:c r="S27" s="68" t="str">
        <x:v>V1.8</x:v>
      </x:c>
      <x:c r="T27" s="68" t="str">
        <x:v>V1.9</x:v>
      </x:c>
      <x:c r="U27" s="82" t="str">
        <x:v>新增</x:v>
      </x:c>
      <x:c r="V27" s="82" t="str">
        <x:v>已生效</x:v>
      </x:c>
      <x:c r="W27" s="68" t="str">
        <x:v>OpenAI_M0初审；待人工终审</x:v>
      </x:c>
      <x:c r="X27" s="87" t="n">
        <x:v>46261</x:v>
      </x:c>
      <x:c r="Y27" s="68" t="str">
        <x:v>M20-EFFECT-0036-V1.0、M20-EFFECT-0037-V1.0；https://zh.wikisource.org/wiki/%E6%BB%B4%E5%A4%A9%E9%AB%93%E9%97%A1%E5%BE%AE ; https://zh.wikisource.org/zh-hans/%E6%B7%B5%E6%B5%B7%E5%AD%90%E5%B9%B3</x:v>
      </x:c>
      <x:c r="Z27" t="str">
        <x:v>M10</x:v>
      </x:c>
      <x:c r="AA27" t="n">
        <x:v>9</x:v>
      </x:c>
      <x:c r="AB27" s="236" t="n">
        <x:f>IF($AA$3=0,0,AA27/$AA$3)</x:f>
        <x:v>0.18</x:v>
      </x:c>
    </x:row>
    <x:row r="28">
      <x:c r="A28" s="72" t="str">
        <x:f>IF(OR(C28="",D28=""),"",B28&amp;"-"&amp;UPPER(C28)&amp;"-"&amp;TEXT(D28,"0000")&amp;"-"&amp;E28)</x:f>
        <x:v>M21-REL-0022-V1.0</x:v>
      </x:c>
      <x:c r="B28" s="74" t="str">
        <x:v>M21</x:v>
      </x:c>
      <x:c r="C28" s="74" t="str">
        <x:v>REL</x:v>
      </x:c>
      <x:c r="D28" s="215" t="n">
        <x:v>22</x:v>
      </x:c>
      <x:c r="E28" s="74" t="str">
        <x:v>V1.0</x:v>
      </x:c>
      <x:c r="F28" s="68" t="str">
        <x:v>M05-OVER-0068-V1.0；M06-OVER-0104-V1.0；M06-OVER-0105-V1.0</x:v>
      </x:c>
      <x:c r="G28" s="68" t="str">
        <x:v>M05/M06/M08/M12</x:v>
      </x:c>
      <x:c r="H28" s="82" t="str">
        <x:v>规则冲突</x:v>
      </x:c>
      <x:c r="I28" s="68" t="str">
        <x:v>同一地支多重关系是否允许一项关系覆盖其余关系</x:v>
      </x:c>
      <x:c r="J28" s="68" t="str">
        <x:v>单一优先关系法</x:v>
      </x:c>
      <x:c r="K28" s="68" t="str">
        <x:v>同一对地支若合冲刑害破并见，只保留被认为最强的一项。</x:v>
      </x:c>
      <x:c r="L28" s="68" t="str">
        <x:v>并列候选后裁决法</x:v>
      </x:c>
      <x:c r="M28" s="68" t="str">
        <x:v>所有客观关系独立实例化，再按月令、强弱、路径和共享节点容量判断主次。</x:v>
      </x:c>
      <x:c r="N28" s="68" t="str">
        <x:v>关系识别全部保留；效应层输出主效应、次效应和被压制效应，不静默删除。</x:v>
      </x:c>
      <x:c r="O28" s="68" t="str">
        <x:v>巳申、寅申、寅巳等组合具有多重真实关系，单一覆盖会丢失解释力。</x:v>
      </x:c>
      <x:c r="P28" s="90" t="str">
        <x:v>若某一关系因对象失效而完全没有实际作用，可在效应层降为无效，但识别记录仍保留。</x:v>
      </x:c>
      <x:c r="Q28" s="82" t="str">
        <x:v>中</x:v>
      </x:c>
      <x:c r="R28" s="68" t="str">
        <x:v>M05/M06/M08/M12/M20</x:v>
      </x:c>
      <x:c r="S28" s="68" t="str">
        <x:v>V1.8</x:v>
      </x:c>
      <x:c r="T28" s="68" t="str">
        <x:v>V1.9</x:v>
      </x:c>
      <x:c r="U28" s="82" t="str">
        <x:v>新增</x:v>
      </x:c>
      <x:c r="V28" s="82" t="str">
        <x:v>已生效</x:v>
      </x:c>
      <x:c r="W28" s="68" t="str">
        <x:v>OpenAI_M0初审；待人工终审</x:v>
      </x:c>
      <x:c r="X28" s="87" t="n">
        <x:v>46261</x:v>
      </x:c>
      <x:c r="Y28" s="68" t="str">
        <x:v>M20-REL-0025-V1.0、M20-EFFECT-0039-V1.0</x:v>
      </x:c>
      <x:c r="Z28" t="str">
        <x:v>M11</x:v>
      </x:c>
      <x:c r="AA28" t="n">
        <x:v>6</x:v>
      </x:c>
      <x:c r="AB28" s="236" t="n">
        <x:f>IF($AA$3=0,0,AA28/$AA$3)</x:f>
        <x:v>0.12</x:v>
      </x:c>
    </x:row>
    <x:row r="29">
      <x:c r="A29" s="72" t="str">
        <x:f>IF(OR(C29="",D29=""),"",B29&amp;"-"&amp;UPPER(C29)&amp;"-"&amp;TEXT(D29,"0000")&amp;"-"&amp;E29)</x:f>
        <x:v>M21-WANG-0023-V1.0</x:v>
      </x:c>
      <x:c r="B29" s="74" t="str">
        <x:v>M21</x:v>
      </x:c>
      <x:c r="C29" s="74" t="str">
        <x:v>WANG</x:v>
      </x:c>
      <x:c r="D29" s="215" t="n">
        <x:v>23</x:v>
      </x:c>
      <x:c r="E29" s="74" t="str">
        <x:v>V1.0</x:v>
      </x:c>
      <x:c r="F29" s="68" t="str">
        <x:v>M03-PROC-0020-V1.0；M09-LING-0001-V1.0；M09-LING-0005-V1.0</x:v>
      </x:c>
      <x:c r="G29" s="68" t="str">
        <x:v>M03/M07/M08/M09</x:v>
      </x:c>
      <x:c r="H29" s="82" t="str">
        <x:v>权重修订</x:v>
      </x:c>
      <x:c r="I29" s="68" t="str">
        <x:v>月令是否可以一票决定日主或五行旺衰</x:v>
      </x:c>
      <x:c r="J29" s="68" t="str">
        <x:v>月令一票法</x:v>
      </x:c>
      <x:c r="K29" s="68" t="str">
        <x:v>得令即旺、失令即弱，其他证据只作微调。</x:v>
      </x:c>
      <x:c r="L29" s="68" t="str">
        <x:v>多维净效应法</x:v>
      </x:c>
      <x:c r="M29" s="68" t="str">
        <x:v>月令是高权重起点，但必须与根气、印比、透干、生源、制泄耗和成势共同裁决。</x:v>
      </x:c>
      <x:c r="N29" s="68" t="str">
        <x:v>月令高权重但非充分条件；允许失令而根深印比成势反转，也允许得令无根受制而承载不足。</x:v>
      </x:c>
      <x:c r="O29" s="68" t="str">
        <x:v>能够解释大量得令不旺、失令不弱和四季月边界案例。</x:v>
      </x:c>
      <x:c r="P29" s="90" t="str">
        <x:v>月令仍是首要季节背景，不得因强调综合而把月令降为普通同权证据。</x:v>
      </x:c>
      <x:c r="Q29" s="82" t="str">
        <x:v>高</x:v>
      </x:c>
      <x:c r="R29" s="68" t="str">
        <x:v>M03/M07/M08/M09/M14</x:v>
      </x:c>
      <x:c r="S29" s="68" t="str">
        <x:v>V1.8</x:v>
      </x:c>
      <x:c r="T29" s="68" t="str">
        <x:v>V1.9</x:v>
      </x:c>
      <x:c r="U29" s="82" t="str">
        <x:v>新增</x:v>
      </x:c>
      <x:c r="V29" s="82" t="str">
        <x:v>已生效</x:v>
      </x:c>
      <x:c r="W29" s="68" t="str">
        <x:v>OpenAI_M0初审；待人工终审</x:v>
      </x:c>
      <x:c r="X29" s="87" t="n">
        <x:v>46261</x:v>
      </x:c>
      <x:c r="Y29" s="68" t="str">
        <x:v>M20-WANG-0049-V1.0、M20-WANG-0050-V1.0；https://zh.wikisource.org/wiki/%E6%BB%B4%E5%A4%A9%E9%AB%93%E9%97%A1%E5%BE%AE ; https://zh.wikisource.org/zh-hans/%E6%B7%B5%E6%B5%B7%E5%AD%90%E5%B9%B3</x:v>
      </x:c>
      <x:c r="Z29" t="str">
        <x:v>M12</x:v>
      </x:c>
      <x:c r="AA29" t="n">
        <x:v>4</x:v>
      </x:c>
      <x:c r="AB29" s="236" t="n">
        <x:f>IF($AA$3=0,0,AA29/$AA$3)</x:f>
        <x:v>0.08</x:v>
      </x:c>
    </x:row>
    <x:row r="30">
      <x:c r="A30" s="72" t="str">
        <x:f>IF(OR(C30="",D30=""),"",B30&amp;"-"&amp;UPPER(C30)&amp;"-"&amp;TEXT(D30,"0000")&amp;"-"&amp;E30)</x:f>
        <x:v>M21-WANG-0024-V1.0</x:v>
      </x:c>
      <x:c r="B30" s="74" t="str">
        <x:v>M21</x:v>
      </x:c>
      <x:c r="C30" s="74" t="str">
        <x:v>WANG</x:v>
      </x:c>
      <x:c r="D30" s="215" t="n">
        <x:v>24</x:v>
      </x:c>
      <x:c r="E30" s="74" t="str">
        <x:v>V1.0</x:v>
      </x:c>
      <x:c r="F30" s="68" t="str">
        <x:v>M03-PROC-0022-V1.0；M08-BOUND-0109-V1.0</x:v>
      </x:c>
      <x:c r="G30" s="68" t="str">
        <x:v>M02/M03/M07/M08</x:v>
      </x:c>
      <x:c r="H30" s="82" t="str">
        <x:v>流派争议</x:v>
      </x:c>
      <x:c r="I30" s="68" t="str">
        <x:v>藏干是否按固定百分比分配力量</x:v>
      </x:c>
      <x:c r="J30" s="68" t="str">
        <x:v>固定百分比法</x:v>
      </x:c>
      <x:c r="K30" s="68" t="str">
        <x:v>本气、中气、余气分别按固定百分比换算，跨月份通用。</x:v>
      </x:c>
      <x:c r="L30" s="68" t="str">
        <x:v>层级条件法</x:v>
      </x:c>
      <x:c r="M30" s="68" t="str">
        <x:v>本中余气只提供层级起点，实际作用受月令、透干、根气、合冲和气候修正。</x:v>
      </x:c>
      <x:c r="N30" s="68" t="str">
        <x:v>保留本气/中气/余气强中弱层级，不采用跨命局固定百分比。</x:v>
      </x:c>
      <x:c r="O30" s="68" t="str">
        <x:v>固定比例难以处理透干、有源、受制、合化和不同季节下的有效性变化。</x:v>
      </x:c>
      <x:c r="P30" s="90" t="str">
        <x:v>若某研究口径有稳定样本，可作为流派参数而非全库默认值，并须独立版本化。</x:v>
      </x:c>
      <x:c r="Q30" s="82" t="str">
        <x:v>高</x:v>
      </x:c>
      <x:c r="R30" s="68" t="str">
        <x:v>M02/M03/M07/M08/M10</x:v>
      </x:c>
      <x:c r="S30" s="68" t="str">
        <x:v>V1.8</x:v>
      </x:c>
      <x:c r="T30" s="68" t="str">
        <x:v>V1.9</x:v>
      </x:c>
      <x:c r="U30" s="82" t="str">
        <x:v>新增</x:v>
      </x:c>
      <x:c r="V30" s="82" t="str">
        <x:v>已生效</x:v>
      </x:c>
      <x:c r="W30" s="68" t="str">
        <x:v>OpenAI_M0初审；待人工终审</x:v>
      </x:c>
      <x:c r="X30" s="87" t="n">
        <x:v>46261</x:v>
      </x:c>
      <x:c r="Y30" s="68" t="str">
        <x:v>M20-BASE-0007-V1.0；内部规则归纳</x:v>
      </x:c>
      <x:c r="Z30" t="str">
        <x:v>M13</x:v>
      </x:c>
      <x:c r="AA30" t="n">
        <x:v>6</x:v>
      </x:c>
      <x:c r="AB30" s="236" t="n">
        <x:f>IF($AA$3=0,0,AA30/$AA$3)</x:f>
        <x:v>0.12</x:v>
      </x:c>
    </x:row>
    <x:row r="31">
      <x:c r="A31" s="72" t="str">
        <x:f>IF(OR(C31="",D31=""),"",B31&amp;"-"&amp;UPPER(C31)&amp;"-"&amp;TEXT(D31,"0000")&amp;"-"&amp;E31)</x:f>
        <x:v>M21-WANG-0025-V1.0</x:v>
      </x:c>
      <x:c r="B31" s="74" t="str">
        <x:v>M21</x:v>
      </x:c>
      <x:c r="C31" s="74" t="str">
        <x:v>WANG</x:v>
      </x:c>
      <x:c r="D31" s="215" t="n">
        <x:v>25</x:v>
      </x:c>
      <x:c r="E31" s="74" t="str">
        <x:v>V1.0</x:v>
      </x:c>
      <x:c r="F31" s="68" t="str">
        <x:v>M03-RTCT-0041-V1.0；M07-ALLY-0051-V1.0；M07-BOUND-0080-V1.0</x:v>
      </x:c>
      <x:c r="G31" s="68" t="str">
        <x:v>M03/M07/M08/M09</x:v>
      </x:c>
      <x:c r="H31" s="82" t="str">
        <x:v>权重修订</x:v>
      </x:c>
      <x:c r="I31" s="68" t="str">
        <x:v>多根、同党和透干是否可以线性相加</x:v>
      </x:c>
      <x:c r="J31" s="68" t="str">
        <x:v>数量线性法</x:v>
      </x:c>
      <x:c r="K31" s="68" t="str">
        <x:v>每增加一根、一透或一同党即固定增加同等分值。</x:v>
      </x:c>
      <x:c r="L31" s="68" t="str">
        <x:v>边际递减与容量法</x:v>
      </x:c>
      <x:c r="M31" s="68" t="str">
        <x:v>独立节点可累积，但同源、共享月令和同一根支不能重复全额调用。</x:v>
      </x:c>
      <x:c r="N31" s="68" t="str">
        <x:v>采用独立节点汇总、同源去重和边际递减；数量不能覆盖失令、无根和无源反证。</x:v>
      </x:c>
      <x:c r="O31" s="68" t="str">
        <x:v>防止多透无根或同一根支支持多个天干时力量被虚高。</x:v>
      </x:c>
      <x:c r="P31" s="90" t="str">
        <x:v>若多个节点柱位独立、各自有根有源且作用对象不同，可提高稳定性，但仍不做线性计分。</x:v>
      </x:c>
      <x:c r="Q31" s="82" t="str">
        <x:v>中</x:v>
      </x:c>
      <x:c r="R31" s="68" t="str">
        <x:v>M03/M07/M08/M09/M10</x:v>
      </x:c>
      <x:c r="S31" s="68" t="str">
        <x:v>V1.8</x:v>
      </x:c>
      <x:c r="T31" s="68" t="str">
        <x:v>V1.9</x:v>
      </x:c>
      <x:c r="U31" s="82" t="str">
        <x:v>新增</x:v>
      </x:c>
      <x:c r="V31" s="82" t="str">
        <x:v>已生效</x:v>
      </x:c>
      <x:c r="W31" s="68" t="str">
        <x:v>OpenAI_M0初审；待人工终审</x:v>
      </x:c>
      <x:c r="X31" s="87" t="n">
        <x:v>46261</x:v>
      </x:c>
      <x:c r="Y31" s="68" t="str">
        <x:v>M20-WANG-0046-V1.0、M20-TEN-0059-V1.0</x:v>
      </x:c>
      <x:c r="Z31" t="str">
        <x:v>M14</x:v>
      </x:c>
      <x:c r="AA31" t="n">
        <x:v>23</x:v>
      </x:c>
      <x:c r="AB31" s="236" t="n">
        <x:f>IF($AA$3=0,0,AA31/$AA$3)</x:f>
        <x:v>0.46</x:v>
      </x:c>
    </x:row>
    <x:row r="32">
      <x:c r="A32" s="72" t="str">
        <x:f>IF(OR(C32="",D32=""),"",B32&amp;"-"&amp;UPPER(C32)&amp;"-"&amp;TEXT(D32,"0000")&amp;"-"&amp;E32)</x:f>
        <x:v>M21-WANG-0026-V1.0</x:v>
      </x:c>
      <x:c r="B32" s="74" t="str">
        <x:v>M21</x:v>
      </x:c>
      <x:c r="C32" s="74" t="str">
        <x:v>WANG</x:v>
      </x:c>
      <x:c r="D32" s="215" t="n">
        <x:v>26</x:v>
      </x:c>
      <x:c r="E32" s="74" t="str">
        <x:v>V1.0</x:v>
      </x:c>
      <x:c r="F32" s="68" t="str">
        <x:v>M03-EDGE-0058-V1.0；M03-EDGE-0059-V1.0；M09-DI-0019-V1.0</x:v>
      </x:c>
      <x:c r="G32" s="68" t="str">
        <x:v>M03/M08/M09</x:v>
      </x:c>
      <x:c r="H32" s="82" t="str">
        <x:v>定义修订</x:v>
      </x:c>
      <x:c r="I32" s="68" t="str">
        <x:v>无根是否必弱、有根是否必旺</x:v>
      </x:c>
      <x:c r="J32" s="68" t="str">
        <x:v>根气绝对法</x:v>
      </x:c>
      <x:c r="K32" s="68" t="str">
        <x:v>无根即身弱，有一强根即身旺。</x:v>
      </x:c>
      <x:c r="L32" s="68" t="str">
        <x:v>维度分离法</x:v>
      </x:c>
      <x:c r="M32" s="68" t="str">
        <x:v>根气只回答得地与持续承载，最终旺衰还需月令、得势、得生和负荷侧。</x:v>
      </x:c>
      <x:c r="N32" s="68" t="str">
        <x:v>无根不自动等于弱，有根不自动等于旺；必须同时输出原始根和有效根。</x:v>
      </x:c>
      <x:c r="O32" s="68" t="str">
        <x:v>能保留印比生扶但无直接根，以及有根却受官杀财食重压的结构。</x:v>
      </x:c>
      <x:c r="P32" s="90" t="str">
        <x:v>在其他证据都弱或都强时，根气可成为决定性转折，但仍需说明为何。</x:v>
      </x:c>
      <x:c r="Q32" s="82" t="str">
        <x:v>高</x:v>
      </x:c>
      <x:c r="R32" s="68" t="str">
        <x:v>M03/M08/M09/M14/M16</x:v>
      </x:c>
      <x:c r="S32" s="68" t="str">
        <x:v>V1.8</x:v>
      </x:c>
      <x:c r="T32" s="68" t="str">
        <x:v>V1.9</x:v>
      </x:c>
      <x:c r="U32" s="82" t="str">
        <x:v>新增</x:v>
      </x:c>
      <x:c r="V32" s="82" t="str">
        <x:v>已生效</x:v>
      </x:c>
      <x:c r="W32" s="68" t="str">
        <x:v>OpenAI_M0初审；待人工终审</x:v>
      </x:c>
      <x:c r="X32" s="87" t="n">
        <x:v>46261</x:v>
      </x:c>
      <x:c r="Y32" s="68" t="str">
        <x:v>M20-BASE-0009-V1.0、M20-BASE-0010-V1.0</x:v>
      </x:c>
      <x:c r="Z32" t="str">
        <x:v>M15</x:v>
      </x:c>
      <x:c r="AA32" t="n">
        <x:v>17</x:v>
      </x:c>
      <x:c r="AB32" s="236" t="n">
        <x:f>IF($AA$3=0,0,AA32/$AA$3)</x:f>
        <x:v>0.34</x:v>
      </x:c>
    </x:row>
    <x:row r="33">
      <x:c r="A33" s="72" t="str">
        <x:f>IF(OR(C33="",D33=""),"",B33&amp;"-"&amp;UPPER(C33)&amp;"-"&amp;TEXT(D33,"0000")&amp;"-"&amp;E33)</x:f>
        <x:v>M21-WANG-0027-V1.0</x:v>
      </x:c>
      <x:c r="B33" s="74" t="str">
        <x:v>M21</x:v>
      </x:c>
      <x:c r="C33" s="74" t="str">
        <x:v>WANG</x:v>
      </x:c>
      <x:c r="D33" s="215" t="n">
        <x:v>27</x:v>
      </x:c>
      <x:c r="E33" s="74" t="str">
        <x:v>V1.0</x:v>
      </x:c>
      <x:c r="F33" s="68" t="str">
        <x:v>M03-EDGE-0060-V1.0；M10-POWER-0014-V1.0；M08-BOUND-0109-V1.0</x:v>
      </x:c>
      <x:c r="G33" s="68" t="str">
        <x:v>M03/M07/M08/M10</x:v>
      </x:c>
      <x:c r="H33" s="82" t="str">
        <x:v>定义修订</x:v>
      </x:c>
      <x:c r="I33" s="68" t="str">
        <x:v>原始旺衰与有效旺衰是否需要分开</x:v>
      </x:c>
      <x:c r="J33" s="68" t="str">
        <x:v>单一旺衰标签法</x:v>
      </x:c>
      <x:c r="K33" s="68" t="str">
        <x:v>识别得令、根气和数量后直接给一个最终旺衰，不保留修正过程。</x:v>
      </x:c>
      <x:c r="L33" s="68" t="str">
        <x:v>双层旺衰法</x:v>
      </x:c>
      <x:c r="M33" s="68" t="str">
        <x:v>M07记录未受关系和功能修正的原始力量，M08再计算可调用的有效力量。</x:v>
      </x:c>
      <x:c r="N33" s="68" t="str">
        <x:v>强制保留原始旺衰与有效旺衰两套输出，并列明上调、下调和未采纳证据。</x:v>
      </x:c>
      <x:c r="O33" s="68" t="str">
        <x:v>可解释“数量多但被合绊”“有根但功能受寒凝”“旺而不流通”等结构。</x:v>
      </x:c>
      <x:c r="P33" s="90" t="str">
        <x:v>若原始与有效等级完全一致，可简写一致，但不得取消双层模型。</x:v>
      </x:c>
      <x:c r="Q33" s="82" t="str">
        <x:v>高</x:v>
      </x:c>
      <x:c r="R33" s="68" t="str">
        <x:v>M03/M07/M08/M10/M19</x:v>
      </x:c>
      <x:c r="S33" s="68" t="str">
        <x:v>V1.8</x:v>
      </x:c>
      <x:c r="T33" s="68" t="str">
        <x:v>V1.9</x:v>
      </x:c>
      <x:c r="U33" s="82" t="str">
        <x:v>新增</x:v>
      </x:c>
      <x:c r="V33" s="82" t="str">
        <x:v>已生效</x:v>
      </x:c>
      <x:c r="W33" s="68" t="str">
        <x:v>OpenAI_M0初审；待人工终审</x:v>
      </x:c>
      <x:c r="X33" s="87" t="n">
        <x:v>46261</x:v>
      </x:c>
      <x:c r="Y33" s="68" t="str">
        <x:v>M19-ELEM-0011-V1.0至M19-ELEM-0013-V1.0</x:v>
      </x:c>
      <x:c r="Z33" t="str">
        <x:v>M16</x:v>
      </x:c>
      <x:c r="AA33" t="n">
        <x:v>10</x:v>
      </x:c>
      <x:c r="AB33" s="236" t="n">
        <x:f>IF($AA$3=0,0,AA33/$AA$3)</x:f>
        <x:v>0.2</x:v>
      </x:c>
    </x:row>
    <x:row r="34">
      <x:c r="A34" s="72" t="str">
        <x:f>IF(OR(C34="",D34=""),"",B34&amp;"-"&amp;UPPER(C34)&amp;"-"&amp;TEXT(D34,"0000")&amp;"-"&amp;E34)</x:f>
        <x:v>M21-WANG-0028-V1.0</x:v>
      </x:c>
      <x:c r="B34" s="74" t="str">
        <x:v>M21</x:v>
      </x:c>
      <x:c r="C34" s="74" t="str">
        <x:v>WANG</x:v>
      </x:c>
      <x:c r="D34" s="215" t="n">
        <x:v>28</x:v>
      </x:c>
      <x:c r="E34" s="74" t="str">
        <x:v>V1.0</x:v>
      </x:c>
      <x:c r="F34" s="68" t="str">
        <x:v>M07-ALLY-0056-V1.0；M10-POWER-0015-V1.0；M10-PRES-0005-V1.0</x:v>
      </x:c>
      <x:c r="G34" s="68" t="str">
        <x:v>M07/M08/M10/M11</x:v>
      </x:c>
      <x:c r="H34" s="82" t="str">
        <x:v>定义修订</x:v>
      </x:c>
      <x:c r="I34" s="68" t="str">
        <x:v>五行或十神数量是否等于有效力量与功能</x:v>
      </x:c>
      <x:c r="J34" s="68" t="str">
        <x:v>数量计数法</x:v>
      </x:c>
      <x:c r="K34" s="68" t="str">
        <x:v>同一五行或十神出现越多就必然越旺、功能越强。</x:v>
      </x:c>
      <x:c r="L34" s="68" t="str">
        <x:v>节点质量法</x:v>
      </x:c>
      <x:c r="M34" s="68" t="str">
        <x:v>数量只说明节点增多，必须审得令、根气、透达、生源、受制和路径。</x:v>
      </x:c>
      <x:c r="N34" s="68" t="str">
        <x:v>数量与力量、功能、清纯度分开；多个无根受制节点不能覆盖一个有权根源节点。</x:v>
      </x:c>
      <x:c r="O34" s="68" t="str">
        <x:v>避免“印多即旺、官杀多即混杂、财多即有财格”等机械判断。</x:v>
      </x:c>
      <x:c r="P34" s="90" t="str">
        <x:v>数量在其他条件相近时可提高稳定性，但只作为次级增强证据。</x:v>
      </x:c>
      <x:c r="Q34" s="82" t="str">
        <x:v>中</x:v>
      </x:c>
      <x:c r="R34" s="68" t="str">
        <x:v>M07/M08/M10/M11/M14</x:v>
      </x:c>
      <x:c r="S34" s="68" t="str">
        <x:v>V1.8</x:v>
      </x:c>
      <x:c r="T34" s="68" t="str">
        <x:v>V1.9</x:v>
      </x:c>
      <x:c r="U34" s="82" t="str">
        <x:v>新增</x:v>
      </x:c>
      <x:c r="V34" s="82" t="str">
        <x:v>已生效</x:v>
      </x:c>
      <x:c r="W34" s="68" t="str">
        <x:v>OpenAI_M0初审；待人工终审</x:v>
      </x:c>
      <x:c r="X34" s="87" t="n">
        <x:v>46261</x:v>
      </x:c>
      <x:c r="Y34" s="68" t="str">
        <x:v>M20-WANG-0051-V1.0、M20-TEN-0059-V1.0</x:v>
      </x:c>
      <x:c r="Z34" t="str">
        <x:v>M17</x:v>
      </x:c>
      <x:c r="AA34" t="n">
        <x:v>14</x:v>
      </x:c>
      <x:c r="AB34" s="236" t="n">
        <x:f>IF($AA$3=0,0,AA34/$AA$3)</x:f>
        <x:v>0.28</x:v>
      </x:c>
    </x:row>
    <x:row r="35">
      <x:c r="A35" s="72" t="str">
        <x:f>IF(OR(C35="",D35=""),"",B35&amp;"-"&amp;UPPER(C35)&amp;"-"&amp;TEXT(D35,"0000")&amp;"-"&amp;E35)</x:f>
        <x:v>M21-TEN-0029-V1.0</x:v>
      </x:c>
      <x:c r="B35" s="74" t="str">
        <x:v>M21</x:v>
      </x:c>
      <x:c r="C35" s="74" t="str">
        <x:v>TEN</x:v>
      </x:c>
      <x:c r="D35" s="215" t="n">
        <x:v>29</x:v>
      </x:c>
      <x:c r="E35" s="74" t="str">
        <x:v>V1.0</x:v>
      </x:c>
      <x:c r="F35" s="68" t="str">
        <x:v>M10-PRES-0008-V1.0；M10-POWER-0018-V1.0；M10-POWER-0020-V1.0</x:v>
      </x:c>
      <x:c r="G35" s="68" t="str">
        <x:v>M10/M11</x:v>
      </x:c>
      <x:c r="H35" s="82" t="str">
        <x:v>定义修订</x:v>
      </x:c>
      <x:c r="I35" s="68" t="str">
        <x:v>十神出现是否等于十神能够发挥功能</x:v>
      </x:c>
      <x:c r="J35" s="68" t="str">
        <x:v>有字即有功能法</x:v>
      </x:c>
      <x:c r="K35" s="68" t="str">
        <x:v>十神明藏出现即可按完整功能和象义判断。</x:v>
      </x:c>
      <x:c r="L35" s="68" t="str">
        <x:v>存在—力量—功能分离法</x:v>
      </x:c>
      <x:c r="M35" s="68" t="str">
        <x:v>先记存在方式，再审有效力量、受制、合化、透达和作用对象。</x:v>
      </x:c>
      <x:c r="N35" s="68" t="str">
        <x:v>十神存在不等于旺，也不等于功能正常；必须输出显性/隐性、有效等级和功能状态。</x:v>
      </x:c>
      <x:c r="O35" s="68" t="str">
        <x:v>可处理藏而不透、无根透干、受财破印和被合化改性的节点。</x:v>
      </x:c>
      <x:c r="P35" s="90" t="str">
        <x:v>存在本身仍是候选入口，不能因功能弱而删除原局节点。</x:v>
      </x:c>
      <x:c r="Q35" s="82" t="str">
        <x:v>高</x:v>
      </x:c>
      <x:c r="R35" s="68" t="str">
        <x:v>M10/M11/M14/M16</x:v>
      </x:c>
      <x:c r="S35" s="68" t="str">
        <x:v>V1.8</x:v>
      </x:c>
      <x:c r="T35" s="68" t="str">
        <x:v>V1.9</x:v>
      </x:c>
      <x:c r="U35" s="82" t="str">
        <x:v>新增</x:v>
      </x:c>
      <x:c r="V35" s="82" t="str">
        <x:v>已生效</x:v>
      </x:c>
      <x:c r="W35" s="68" t="str">
        <x:v>OpenAI_M0初审；待人工终审</x:v>
      </x:c>
      <x:c r="X35" s="87" t="n">
        <x:v>46261</x:v>
      </x:c>
      <x:c r="Y35" s="68" t="str">
        <x:v>M20-TEN-0057-V1.0、M20-TEN-0058-V1.0</x:v>
      </x:c>
      <x:c r="Z35" t="str">
        <x:v>M18</x:v>
      </x:c>
      <x:c r="AA35" t="n">
        <x:v>17</x:v>
      </x:c>
      <x:c r="AB35" s="236" t="n">
        <x:f>IF($AA$3=0,0,AA35/$AA$3)</x:f>
        <x:v>0.34</x:v>
      </x:c>
    </x:row>
    <x:row r="36">
      <x:c r="A36" s="72" t="str">
        <x:f>IF(OR(C36="",D36=""),"",B36&amp;"-"&amp;UPPER(C36)&amp;"-"&amp;TEXT(D36,"0000")&amp;"-"&amp;E36)</x:f>
        <x:v>M21-TEN-0030-V1.0</x:v>
      </x:c>
      <x:c r="B36" s="74" t="str">
        <x:v>M21</x:v>
      </x:c>
      <x:c r="C36" s="74" t="str">
        <x:v>TEN</x:v>
      </x:c>
      <x:c r="D36" s="215" t="n">
        <x:v>30</x:v>
      </x:c>
      <x:c r="E36" s="74" t="str">
        <x:v>V1.0</x:v>
      </x:c>
      <x:c r="F36" s="68" t="str">
        <x:v>M10-PRES-0005-V1.0；M10-POWER-0015-V1.0；M10-PURE-0031-V1.0</x:v>
      </x:c>
      <x:c r="G36" s="68" t="str">
        <x:v>M10</x:v>
      </x:c>
      <x:c r="H36" s="82" t="str">
        <x:v>权重修订</x:v>
      </x:c>
      <x:c r="I36" s="68" t="str">
        <x:v>同一十神多处出现是否按次数判断旺衰</x:v>
      </x:c>
      <x:c r="J36" s="68" t="str">
        <x:v>次数加权法</x:v>
      </x:c>
      <x:c r="K36" s="68" t="str">
        <x:v>十神每多出现一次即固定提高旺衰和作用级别。</x:v>
      </x:c>
      <x:c r="L36" s="68" t="str">
        <x:v>独立节点汇总法</x:v>
      </x:c>
      <x:c r="M36" s="68" t="str">
        <x:v>多处出现只证明节点增多，需按各自根气、季令、透达和共享来源汇总。</x:v>
      </x:c>
      <x:c r="N36" s="68" t="str">
        <x:v>采用独立节点质量汇总，不用次数线性计分；同一十神多处出现不等于清纯度变化。</x:v>
      </x:c>
      <x:c r="O36" s="68" t="str">
        <x:v>防止多个无根透干虚高，也区分数量问题与正偏混杂问题。</x:v>
      </x:c>
      <x:c r="P36" s="90" t="str">
        <x:v>多个真正独立有根节点可提高持续性，但须说明其独立来源。</x:v>
      </x:c>
      <x:c r="Q36" s="82" t="str">
        <x:v>中</x:v>
      </x:c>
      <x:c r="R36" s="68" t="str">
        <x:v>M10/M11/M14</x:v>
      </x:c>
      <x:c r="S36" s="68" t="str">
        <x:v>V1.8</x:v>
      </x:c>
      <x:c r="T36" s="68" t="str">
        <x:v>V1.9</x:v>
      </x:c>
      <x:c r="U36" s="82" t="str">
        <x:v>新增</x:v>
      </x:c>
      <x:c r="V36" s="82" t="str">
        <x:v>已生效</x:v>
      </x:c>
      <x:c r="W36" s="68" t="str">
        <x:v>OpenAI_M0初审；待人工终审</x:v>
      </x:c>
      <x:c r="X36" s="87" t="n">
        <x:v>46261</x:v>
      </x:c>
      <x:c r="Y36" s="68" t="str">
        <x:v>M20-TEN-0059-V1.0</x:v>
      </x:c>
      <x:c r="Z36" t="str">
        <x:v>M19</x:v>
      </x:c>
      <x:c r="AA36" t="n">
        <x:v>11</x:v>
      </x:c>
      <x:c r="AB36" s="236" t="n">
        <x:f>IF($AA$3=0,0,AA36/$AA$3)</x:f>
        <x:v>0.22</x:v>
      </x:c>
    </x:row>
    <x:row r="37">
      <x:c r="A37" s="72" t="str">
        <x:f>IF(OR(C37="",D37=""),"",B37&amp;"-"&amp;UPPER(C37)&amp;"-"&amp;TEXT(D37,"0000")&amp;"-"&amp;E37)</x:f>
        <x:v>M21-TEN-0031-V1.0</x:v>
      </x:c>
      <x:c r="B37" s="74" t="str">
        <x:v>M21</x:v>
      </x:c>
      <x:c r="C37" s="74" t="str">
        <x:v>TEN</x:v>
      </x:c>
      <x:c r="D37" s="215" t="n">
        <x:v>31</x:v>
      </x:c>
      <x:c r="E37" s="74" t="str">
        <x:v>V1.0</x:v>
      </x:c>
      <x:c r="F37" s="68" t="str">
        <x:v>M11-GEN-0002-V1.0；M11-GEN-0003-V1.0；M11-GEN-0004-V1.0</x:v>
      </x:c>
      <x:c r="G37" s="68" t="str">
        <x:v>M10/M11</x:v>
      </x:c>
      <x:c r="H37" s="82" t="str">
        <x:v>定义修订</x:v>
      </x:c>
      <x:c r="I37" s="68" t="str">
        <x:v>两个或多个十神同时出现是否等于组合成立</x:v>
      </x:c>
      <x:c r="J37" s="68" t="str">
        <x:v>同现成组法</x:v>
      </x:c>
      <x:c r="K37" s="68" t="str">
        <x:v>食神和七杀、官和印、伤官和印同时出现，即可按组合断。</x:v>
      </x:c>
      <x:c r="L37" s="68" t="str">
        <x:v>路径门槛法</x:v>
      </x:c>
      <x:c r="M37" s="68" t="str">
        <x:v>同时出现只生成候选；组合还需双方有效、作用路径、力量比例、日主承载和无强破坏。</x:v>
      </x:c>
      <x:c r="N37" s="68" t="str">
        <x:v>组合按不成立、弱成立、基本成立、明显成立分级，并保留否决和救应。</x:v>
      </x:c>
      <x:c r="O37" s="68" t="str">
        <x:v>避免名义食神制杀、杀印相生和伤官配印被直接套用。</x:v>
      </x:c>
      <x:c r="P37" s="90" t="str">
        <x:v>若两个十神均透达有根、路径直接且比例协调，可快速升级，但仍须记录证据。</x:v>
      </x:c>
      <x:c r="Q37" s="82" t="str">
        <x:v>高</x:v>
      </x:c>
      <x:c r="R37" s="68" t="str">
        <x:v>M10/M11/M14/M15/M16</x:v>
      </x:c>
      <x:c r="S37" s="68" t="str">
        <x:v>V1.8</x:v>
      </x:c>
      <x:c r="T37" s="68" t="str">
        <x:v>V1.9</x:v>
      </x:c>
      <x:c r="U37" s="82" t="str">
        <x:v>新增</x:v>
      </x:c>
      <x:c r="V37" s="82" t="str">
        <x:v>已生效</x:v>
      </x:c>
      <x:c r="W37" s="68" t="str">
        <x:v>OpenAI_M0初审；待人工终审</x:v>
      </x:c>
      <x:c r="X37" s="87" t="n">
        <x:v>46261</x:v>
      </x:c>
      <x:c r="Y37" s="68" t="str">
        <x:v>M20-TEN-0064-V1.0至M20-TEN-0073-V1.0</x:v>
      </x:c>
      <x:c r="Z37" t="str">
        <x:v>M20</x:v>
      </x:c>
      <x:c r="AA37" t="n">
        <x:v>7</x:v>
      </x:c>
      <x:c r="AB37" s="236" t="n">
        <x:f>IF($AA$3=0,0,AA37/$AA$3)</x:f>
        <x:v>0.14</x:v>
      </x:c>
    </x:row>
    <x:row r="38">
      <x:c r="A38" s="72" t="str">
        <x:f>IF(OR(C38="",D38=""),"",B38&amp;"-"&amp;UPPER(C38)&amp;"-"&amp;TEXT(D38,"0000")&amp;"-"&amp;E38)</x:f>
        <x:v>M21-TEN-0032-V1.0</x:v>
      </x:c>
      <x:c r="B38" s="74" t="str">
        <x:v>M21</x:v>
      </x:c>
      <x:c r="C38" s="74" t="str">
        <x:v>TEN</x:v>
      </x:c>
      <x:c r="D38" s="215" t="n">
        <x:v>32</x:v>
      </x:c>
      <x:c r="E38" s="74" t="str">
        <x:v>V1.0</x:v>
      </x:c>
      <x:c r="F38" s="68" t="str">
        <x:v>M11-GEN-0009-V1.0；M11-GUANYIN-0036-V1.0；M14-GEN-0001-V1.0</x:v>
      </x:c>
      <x:c r="G38" s="68" t="str">
        <x:v>M11/M14/M15</x:v>
      </x:c>
      <x:c r="H38" s="82" t="str">
        <x:v>规则冲突</x:v>
      </x:c>
      <x:c r="I38" s="68" t="str">
        <x:v>十神组合成立是否等于格局成立</x:v>
      </x:c>
      <x:c r="J38" s="68" t="str">
        <x:v>组合即格局法</x:v>
      </x:c>
      <x:c r="K38" s="68" t="str">
        <x:v>官印相生、食神制杀等组合一旦成立，即直接定相应格局。</x:v>
      </x:c>
      <x:c r="L38" s="68" t="str">
        <x:v>组合格局分层法</x:v>
      </x:c>
      <x:c r="M38" s="68" t="str">
        <x:v>组合是局部功能链，格局还需月令来源、格神主导、日主配合和全局成败。</x:v>
      </x:c>
      <x:c r="N38" s="68" t="str">
        <x:v>M11只判组合，M14生成格局候选，M15再判成格、破格和救应。</x:v>
      </x:c>
      <x:c r="O38" s="68" t="str">
        <x:v>同一组合可存在于不同月令和不同主格中，不能替代全局结构分类。</x:v>
      </x:c>
      <x:c r="P38" s="90" t="str">
        <x:v>组合与月令格神完全同向时可增强格局候选，但仍不越级。</x:v>
      </x:c>
      <x:c r="Q38" s="82" t="str">
        <x:v>高</x:v>
      </x:c>
      <x:c r="R38" s="68" t="str">
        <x:v>M11/M14/M15/M19</x:v>
      </x:c>
      <x:c r="S38" s="68" t="str">
        <x:v>V1.8</x:v>
      </x:c>
      <x:c r="T38" s="68" t="str">
        <x:v>V1.9</x:v>
      </x:c>
      <x:c r="U38" s="82" t="str">
        <x:v>新增</x:v>
      </x:c>
      <x:c r="V38" s="82" t="str">
        <x:v>已生效</x:v>
      </x:c>
      <x:c r="W38" s="68" t="str">
        <x:v>OpenAI_M0初审；待人工终审</x:v>
      </x:c>
      <x:c r="X38" s="87" t="n">
        <x:v>46261</x:v>
      </x:c>
      <x:c r="Y38" s="68" t="str">
        <x:v>M20-TEN-0074-V1.0、M20-REGRESSION-0147-V1.0</x:v>
      </x:c>
      <x:c r="Z38" t="str">
        <x:v>M21</x:v>
      </x:c>
      <x:c r="AA38" t="n">
        <x:v>3</x:v>
      </x:c>
      <x:c r="AB38" s="236" t="n">
        <x:f>IF($AA$3=0,0,AA38/$AA$3)</x:f>
        <x:v>0.06</x:v>
      </x:c>
    </x:row>
    <x:row r="39">
      <x:c r="A39" s="72" t="str">
        <x:f>IF(OR(C39="",D39=""),"",B39&amp;"-"&amp;UPPER(C39)&amp;"-"&amp;TEXT(D39,"0000")&amp;"-"&amp;E39)</x:f>
        <x:v>M21-TEN-0033-V1.0</x:v>
      </x:c>
      <x:c r="B39" s="74" t="str">
        <x:v>M21</x:v>
      </x:c>
      <x:c r="C39" s="74" t="str">
        <x:v>TEN</x:v>
      </x:c>
      <x:c r="D39" s="215" t="n">
        <x:v>33</x:v>
      </x:c>
      <x:c r="E39" s="74" t="str">
        <x:v>V1.0</x:v>
      </x:c>
      <x:c r="F39" s="68" t="str">
        <x:v>M10-PURE-0026-V1.0；M11-CONFLICT-0090-V1.0；M11-CONFLICT-0091-V1.0</x:v>
      </x:c>
      <x:c r="G39" s="68" t="str">
        <x:v>M10/M11/M14/M15</x:v>
      </x:c>
      <x:c r="H39" s="82" t="str">
        <x:v>流派争议</x:v>
      </x:c>
      <x:c r="I39" s="68" t="str">
        <x:v>官杀、食伤、印枭并见是否自动视为严重混杂</x:v>
      </x:c>
      <x:c r="J39" s="68" t="str">
        <x:v>并见即混杂法</x:v>
      </x:c>
      <x:c r="K39" s="68" t="str">
        <x:v>正偏同类十神同时出现即一律混杂并降低层次。</x:v>
      </x:c>
      <x:c r="L39" s="68" t="str">
        <x:v>有效主从法</x:v>
      </x:c>
      <x:c r="M39" s="68" t="str">
        <x:v>只有双方都有效且主从不清、功能竞争时才判明显混杂；弱方失效可仅记有杂。</x:v>
      </x:c>
      <x:c r="N39" s="68" t="str">
        <x:v>先生成混杂候选，再按有效性、主从、清化和格局功能定清纯度。</x:v>
      </x:c>
      <x:c r="O39" s="68" t="str">
        <x:v>避免一枚弱官或弱偏印把主导清晰的七杀格、正印格机械降级。</x:v>
      </x:c>
      <x:c r="P39" s="90" t="str">
        <x:v>即使一方较弱，若位于关键路径并能破坏主格，仍可作为重要杂气。</x:v>
      </x:c>
      <x:c r="Q39" s="82" t="str">
        <x:v>中</x:v>
      </x:c>
      <x:c r="R39" s="68" t="str">
        <x:v>M10/M11/M14/M15</x:v>
      </x:c>
      <x:c r="S39" s="68" t="str">
        <x:v>V1.8</x:v>
      </x:c>
      <x:c r="T39" s="68" t="str">
        <x:v>V1.9</x:v>
      </x:c>
      <x:c r="U39" s="82" t="str">
        <x:v>新增</x:v>
      </x:c>
      <x:c r="V39" s="82" t="str">
        <x:v>已生效</x:v>
      </x:c>
      <x:c r="W39" s="68" t="str">
        <x:v>OpenAI_M0初审；待人工终审</x:v>
      </x:c>
      <x:c r="X39" s="87" t="n">
        <x:v>46261</x:v>
      </x:c>
      <x:c r="Y39" s="68" t="str">
        <x:v>M20-TEN-0060-V1.0、M20-TEN-0072-V1.0、M20-TEN-0073-V1.0</x:v>
      </x:c>
    </x:row>
    <x:row r="40">
      <x:c r="A40" s="72" t="str">
        <x:f>IF(OR(C40="",D40=""),"",B40&amp;"-"&amp;UPPER(C40)&amp;"-"&amp;TEXT(D40,"0000")&amp;"-"&amp;E40)</x:f>
        <x:v>M21-PATTERN-0034-V1.0</x:v>
      </x:c>
      <x:c r="B40" s="74" t="str">
        <x:v>M21</x:v>
      </x:c>
      <x:c r="C40" s="74" t="str">
        <x:v>PATTERN</x:v>
      </x:c>
      <x:c r="D40" s="215" t="n">
        <x:v>34</x:v>
      </x:c>
      <x:c r="E40" s="74" t="str">
        <x:v>V1.0</x:v>
      </x:c>
      <x:c r="F40" s="68" t="str">
        <x:v>M14-GEN-0002-V1.0；M14-BOUND-0078-V1.0；M14-RANK-0073-V1.0</x:v>
      </x:c>
      <x:c r="G40" s="68" t="str">
        <x:v>M14/M15</x:v>
      </x:c>
      <x:c r="H40" s="82" t="str">
        <x:v>流派争议</x:v>
      </x:c>
      <x:c r="I40" s="68" t="str">
        <x:v>是否可以只凭月令一个字机械定格</x:v>
      </x:c>
      <x:c r="J40" s="68" t="str">
        <x:v>月令一字定格法</x:v>
      </x:c>
      <x:c r="K40" s="68" t="str">
        <x:v>月支本气映射某十神，即直接确定格局。</x:v>
      </x:c>
      <x:c r="L40" s="68" t="str">
        <x:v>候选淘汰法</x:v>
      </x:c>
      <x:c r="M40" s="68" t="str">
        <x:v>月令主气是首要候选来源，但格神有效性、透干根气、日主配合和全局主导性决定排序。</x:v>
      </x:c>
      <x:c r="N40" s="68" t="str">
        <x:v>M14同时生成1—3个候选并记录排除理由；M15才确认最终格局。</x:v>
      </x:c>
      <x:c r="O40" s="68" t="str">
        <x:v>能处理月令格神失效、中余气透干主导和局部组合不等于主格等情况。</x:v>
      </x:c>
      <x:c r="P40" s="90" t="str">
        <x:v>月令主气有效且覆盖全局时通常仍为第一候选，不应过度削弱月令权重。</x:v>
      </x:c>
      <x:c r="Q40" s="82" t="str">
        <x:v>高</x:v>
      </x:c>
      <x:c r="R40" s="68" t="str">
        <x:v>M14/M15/M19</x:v>
      </x:c>
      <x:c r="S40" s="68" t="str">
        <x:v>V1.8</x:v>
      </x:c>
      <x:c r="T40" s="68" t="str">
        <x:v>V1.9</x:v>
      </x:c>
      <x:c r="U40" s="82" t="str">
        <x:v>新增</x:v>
      </x:c>
      <x:c r="V40" s="82" t="str">
        <x:v>已生效</x:v>
      </x:c>
      <x:c r="W40" s="68" t="str">
        <x:v>OpenAI_M0初审；待人工终审</x:v>
      </x:c>
      <x:c r="X40" s="87" t="n">
        <x:v>46261</x:v>
      </x:c>
      <x:c r="Y40" s="68" t="str">
        <x:v>M20-PATTERN-0108-V1.0、M20-REGRESSION-0147-V1.0；https://zh.wikisource.org/wiki/%E6%BB%B4%E5%A4%A9%E9%AB%93%E9%97%A1%E5%BE%AE ; https://zh.wikisource.org/zh-hans/%E6%B7%B5%E6%B5%B7%E5%AD%90%E5%B9%B3</x:v>
      </x:c>
    </x:row>
    <x:row r="41">
      <x:c r="A41" s="72" t="str">
        <x:f>IF(OR(C41="",D41=""),"",B41&amp;"-"&amp;UPPER(C41)&amp;"-"&amp;TEXT(D41,"0000")&amp;"-"&amp;E41)</x:f>
        <x:v>M21-PATTERN-0035-V1.0</x:v>
      </x:c>
      <x:c r="B41" s="74" t="str">
        <x:v>M21</x:v>
      </x:c>
      <x:c r="C41" s="74" t="str">
        <x:v>PATTERN</x:v>
      </x:c>
      <x:c r="D41" s="215" t="n">
        <x:v>35</x:v>
      </x:c>
      <x:c r="E41" s="74" t="str">
        <x:v>V1.0</x:v>
      </x:c>
      <x:c r="F41" s="68" t="str">
        <x:v>M14-RANK-0072-V1.0；M15-CONG-0061-V1.0；M18-SPECIAL-0009-V1.0</x:v>
      </x:c>
      <x:c r="G41" s="68" t="str">
        <x:v>M14/M15/M17/M18</x:v>
      </x:c>
      <x:c r="H41" s="82" t="str">
        <x:v>规则冲突</x:v>
      </x:c>
      <x:c r="I41" s="68" t="str">
        <x:v>特殊格局是否因名称特殊而自动优先</x:v>
      </x:c>
      <x:c r="J41" s="68" t="str">
        <x:v>特殊格优先法</x:v>
      </x:c>
      <x:c r="K41" s="68" t="str">
        <x:v>只要出现从、化、专旺迹象，即压过普通格局和扶抑。</x:v>
      </x:c>
      <x:c r="L41" s="68" t="str">
        <x:v>严格门槛法</x:v>
      </x:c>
      <x:c r="M41" s="68" t="str">
        <x:v>特殊格局必须同时满足无依、化神得势、一气主导和逆神无效等硬条件。</x:v>
      </x:c>
      <x:c r="N41" s="68" t="str">
        <x:v>严格成立时作为硬约束；仅候选、假从、假化或有有效逆神时退回普通综合。</x:v>
      </x:c>
      <x:c r="O41" s="68" t="str">
        <x:v>防止特殊格局泛化，也保护真正严格成立格局不被普通平衡法破坏。</x:v>
      </x:c>
      <x:c r="P41" s="90" t="str">
        <x:v>特殊格局门槛本身存在流派差异时，应降低置信度并在M21登记具体口径。</x:v>
      </x:c>
      <x:c r="Q41" s="82" t="str">
        <x:v>高</x:v>
      </x:c>
      <x:c r="R41" s="68" t="str">
        <x:v>M14/M15/M17/M18</x:v>
      </x:c>
      <x:c r="S41" s="68" t="str">
        <x:v>V1.8</x:v>
      </x:c>
      <x:c r="T41" s="68" t="str">
        <x:v>V1.9</x:v>
      </x:c>
      <x:c r="U41" s="82" t="str">
        <x:v>新增</x:v>
      </x:c>
      <x:c r="V41" s="82" t="str">
        <x:v>已生效</x:v>
      </x:c>
      <x:c r="W41" s="68" t="str">
        <x:v>OpenAI_M0初审；待人工终审</x:v>
      </x:c>
      <x:c r="X41" s="87" t="n">
        <x:v>46261</x:v>
      </x:c>
      <x:c r="Y41" s="68" t="str">
        <x:v>https://zh.wikisource.org/wiki/%E6%BB%B4%E5%A4%A9%E9%AB%93%E9%97%A1%E5%BE%AE ; https://zh.wikisource.org/zh-hans/%E6%B7%B5%E6%B5%B7%E5%AD%90%E5%B9%B3；M20-INTEGRATION-0139-V1.0至M20-INTEGRATION-0141-V1.0</x:v>
      </x:c>
    </x:row>
    <x:row r="42">
      <x:c r="A42" s="72" t="str">
        <x:f>IF(OR(C42="",D42=""),"",B42&amp;"-"&amp;UPPER(C42)&amp;"-"&amp;TEXT(D42,"0000")&amp;"-"&amp;E42)</x:f>
        <x:v>M21-PATTERN-0036-V1.0</x:v>
      </x:c>
      <x:c r="B42" s="74" t="str">
        <x:v>M21</x:v>
      </x:c>
      <x:c r="C42" s="74" t="str">
        <x:v>PATTERN</x:v>
      </x:c>
      <x:c r="D42" s="215" t="n">
        <x:v>36</x:v>
      </x:c>
      <x:c r="E42" s="74" t="str">
        <x:v>V1.0</x:v>
      </x:c>
      <x:c r="F42" s="68" t="str">
        <x:v>M14-CONG-0056-V1.0；M15-CONG-0069-V1.0；M18-SPECIAL-0010-V1.0</x:v>
      </x:c>
      <x:c r="G42" s="68" t="str">
        <x:v>M08/M09/M14/M15/M18</x:v>
      </x:c>
      <x:c r="H42" s="82" t="str">
        <x:v>权重修订</x:v>
      </x:c>
      <x:c r="I42" s="68" t="str">
        <x:v>真从与假从的残根有效性边界</x:v>
      </x:c>
      <x:c r="J42" s="68" t="str">
        <x:v>见残根即不从法</x:v>
      </x:c>
      <x:c r="K42" s="68" t="str">
        <x:v>只要地支藏有日主同类或印比，即一律否决从格。</x:v>
      </x:c>
      <x:c r="L42" s="68" t="str">
        <x:v>有效残根法</x:v>
      </x:c>
      <x:c r="M42" s="68" t="str">
        <x:v>残根需审层级、季令、透达、生源、受制和是否足以使日主自立。</x:v>
      </x:c>
      <x:c r="N42" s="68" t="str">
        <x:v>强有效根否决真从；低效残根使结构降为假从或待定，不直接等同普通身弱。</x:v>
      </x:c>
      <x:c r="O42" s="68" t="str">
        <x:v>兼顾真从硬门槛与四季月余气、受损根等边界事实。</x:v>
      </x:c>
      <x:c r="P42" s="90" t="str">
        <x:v>残根具体权重缺少足够真实命例回归，当前不得把假从升级为确定真从。</x:v>
      </x:c>
      <x:c r="Q42" s="82" t="str">
        <x:v>高</x:v>
      </x:c>
      <x:c r="R42" s="68" t="str">
        <x:v>M08/M09/M14/M15/M17/M18/M19</x:v>
      </x:c>
      <x:c r="S42" s="68" t="str">
        <x:v>V1.8</x:v>
      </x:c>
      <x:c r="T42" s="68" t="str">
        <x:v>V1.9</x:v>
      </x:c>
      <x:c r="U42" s="82" t="str">
        <x:v>修订</x:v>
      </x:c>
      <x:c r="V42" s="82" t="str">
        <x:v>待验证</x:v>
      </x:c>
      <x:c r="W42" s="68" t="str">
        <x:v>OpenAI_M0初审；待人工终审</x:v>
      </x:c>
      <x:c r="X42" s="87"/>
      <x:c r="Y42" s="68" t="str">
        <x:v>M20-PATTERN-0105-V1.0、M20-INTEGRATION-0141-V1.0；需真实案例回归</x:v>
      </x:c>
    </x:row>
    <x:row r="43">
      <x:c r="A43" s="72" t="str">
        <x:f>IF(OR(C43="",D43=""),"",B43&amp;"-"&amp;UPPER(C43)&amp;"-"&amp;TEXT(D43,"0000")&amp;"-"&amp;E43)</x:f>
        <x:v>M21-PATTERN-0037-V1.0</x:v>
      </x:c>
      <x:c r="B43" s="74" t="str">
        <x:v>M21</x:v>
      </x:c>
      <x:c r="C43" s="74" t="str">
        <x:v>PATTERN</x:v>
      </x:c>
      <x:c r="D43" s="215" t="n">
        <x:v>37</x:v>
      </x:c>
      <x:c r="E43" s="74" t="str">
        <x:v>V1.0</x:v>
      </x:c>
      <x:c r="F43" s="68" t="str">
        <x:v>M14-HUAQI-0059-V1.0；M15-HUAQI-0071-V1.0；M15-HUAQI-0073-V1.0</x:v>
      </x:c>
      <x:c r="G43" s="68" t="str">
        <x:v>M06/M08/M14/M15</x:v>
      </x:c>
      <x:c r="H43" s="82" t="str">
        <x:v>流派争议</x:v>
      </x:c>
      <x:c r="I43" s="68" t="str">
        <x:v>天干相合是否足以成立化气格</x:v>
      </x:c>
      <x:c r="J43" s="68" t="str">
        <x:v>合即化气格法</x:v>
      </x:c>
      <x:c r="K43" s="68" t="str">
        <x:v>日主参与五合且化神出现，即可定化气格。</x:v>
      </x:c>
      <x:c r="L43" s="68" t="str">
        <x:v>真化硬门槛法</x:v>
      </x:c>
      <x:c r="M43" s="68" t="str">
        <x:v>必须化神得令得势、原气不自立、全局顺化且无争合强破。</x:v>
      </x:c>
      <x:c r="N43" s="68" t="str">
        <x:v>M06先确认实质化势，M08重分配力量，M14生成候选，M15最终判真化、假化或不成立。</x:v>
      </x:c>
      <x:c r="O43" s="68" t="str">
        <x:v>避免普通合绊、合意和原气强根结构被误定化气。</x:v>
      </x:c>
      <x:c r="P43" s="90" t="str">
        <x:v>部分流派强调辰等引化条件，当前仅作增强证据，尚不设机械充分条件。</x:v>
      </x:c>
      <x:c r="Q43" s="82" t="str">
        <x:v>高</x:v>
      </x:c>
      <x:c r="R43" s="68" t="str">
        <x:v>M06/M08/M14/M15/M18</x:v>
      </x:c>
      <x:c r="S43" s="68" t="str">
        <x:v>V1.8</x:v>
      </x:c>
      <x:c r="T43" s="68" t="str">
        <x:v>V1.9</x:v>
      </x:c>
      <x:c r="U43" s="82" t="str">
        <x:v>新增</x:v>
      </x:c>
      <x:c r="V43" s="82" t="str">
        <x:v>已生效</x:v>
      </x:c>
      <x:c r="W43" s="68" t="str">
        <x:v>OpenAI_M0初审；待人工终审</x:v>
      </x:c>
      <x:c r="X43" s="87" t="n">
        <x:v>46261</x:v>
      </x:c>
      <x:c r="Y43" s="68" t="str">
        <x:v>https://zh.wikisource.org/wiki/%E6%BB%B4%E5%A4%A9%E9%AB%93%E9%97%A1%E5%BE%AE ; https://zh.wikisource.org/zh-hans/%E6%B7%B5%E6%B5%B7%E5%AD%90%E5%B9%B3；M20-PATTERN-0106-V1.0</x:v>
      </x:c>
    </x:row>
    <x:row r="44">
      <x:c r="A44" s="72" t="str">
        <x:f>IF(OR(C44="",D44=""),"",B44&amp;"-"&amp;UPPER(C44)&amp;"-"&amp;TEXT(D44,"0000")&amp;"-"&amp;E44)</x:f>
        <x:v>M21-PATTERN-0038-V1.0</x:v>
      </x:c>
      <x:c r="B44" s="74" t="str">
        <x:v>M21</x:v>
      </x:c>
      <x:c r="C44" s="74" t="str">
        <x:v>PATTERN</x:v>
      </x:c>
      <x:c r="D44" s="215" t="n">
        <x:v>38</x:v>
      </x:c>
      <x:c r="E44" s="74" t="str">
        <x:v>V1.0</x:v>
      </x:c>
      <x:c r="F44" s="68" t="str">
        <x:v>M14-ZHUAN-0065-V1.0；M15-ZHUAN-0079-V1.0</x:v>
      </x:c>
      <x:c r="G44" s="68" t="str">
        <x:v>M08/M09/M14/M15</x:v>
      </x:c>
      <x:c r="H44" s="82" t="str">
        <x:v>定义修订</x:v>
      </x:c>
      <x:c r="I44" s="68" t="str">
        <x:v>同一五行数量多是否足以成立专旺格</x:v>
      </x:c>
      <x:c r="J44" s="68" t="str">
        <x:v>数量专旺法</x:v>
      </x:c>
      <x:c r="K44" s="68" t="str">
        <x:v>同一五行字数明显多即可定曲直、炎上、稼穑、从革或润下。</x:v>
      </x:c>
      <x:c r="L44" s="68" t="str">
        <x:v>一气主导法</x:v>
      </x:c>
      <x:c r="M44" s="68" t="str">
        <x:v>必须得令、多根、透干成党、全局顺势，且有效逆神不能形成独立集团。</x:v>
      </x:c>
      <x:c r="N44" s="68" t="str">
        <x:v>数量只是候选证据；专旺严格成立以一气主导和逆神无效为核心。</x:v>
      </x:c>
      <x:c r="O44" s="68" t="str">
        <x:v>可区分普通身旺、从旺、从强和真正专旺。</x:v>
      </x:c>
      <x:c r="P44" s="90" t="str">
        <x:v>某些专旺结构可以有少量顺势杂气，但杂气若位居关键路径仍可破格。</x:v>
      </x:c>
      <x:c r="Q44" s="82" t="str">
        <x:v>高</x:v>
      </x:c>
      <x:c r="R44" s="68" t="str">
        <x:v>M08/M09/M14/M15/M18</x:v>
      </x:c>
      <x:c r="S44" s="68" t="str">
        <x:v>V1.8</x:v>
      </x:c>
      <x:c r="T44" s="68" t="str">
        <x:v>V1.9</x:v>
      </x:c>
      <x:c r="U44" s="82" t="str">
        <x:v>新增</x:v>
      </x:c>
      <x:c r="V44" s="82" t="str">
        <x:v>已生效</x:v>
      </x:c>
      <x:c r="W44" s="68" t="str">
        <x:v>OpenAI_M0初审；待人工终审</x:v>
      </x:c>
      <x:c r="X44" s="87" t="n">
        <x:v>46261</x:v>
      </x:c>
      <x:c r="Y44" s="68" t="str">
        <x:v>https://zh.wikisource.org/wiki/%E6%BB%B4%E5%A4%A9%E9%AB%93%E9%97%A1%E5%BE%AE ; https://zh.wikisource.org/zh-hans/%E6%B7%B5%E6%B5%B7%E5%AD%90%E5%B9%B3；M20-PATTERN-0107-V1.0、M20-INTEGRATION-0138-V1.0</x:v>
      </x:c>
    </x:row>
    <x:row r="45">
      <x:c r="A45" s="72" t="str">
        <x:f>IF(OR(C45="",D45=""),"",B45&amp;"-"&amp;UPPER(C45)&amp;"-"&amp;TEXT(D45,"0000")&amp;"-"&amp;E45)</x:f>
        <x:v>M21-PATTERN-0039-V1.0</x:v>
      </x:c>
      <x:c r="B45" s="74" t="str">
        <x:v>M21</x:v>
      </x:c>
      <x:c r="C45" s="74" t="str">
        <x:v>PATTERN</x:v>
      </x:c>
      <x:c r="D45" s="215" t="n">
        <x:v>39</x:v>
      </x:c>
      <x:c r="E45" s="74" t="str">
        <x:v>V1.0</x:v>
      </x:c>
      <x:c r="F45" s="68" t="str">
        <x:v>M14-JIANREN-0042-V1.0；M15-JIANREN-0053-V1.0；M15-JIANREN-0057-V1.0</x:v>
      </x:c>
      <x:c r="G45" s="68" t="str">
        <x:v>M09/M14/M15/M17</x:v>
      </x:c>
      <x:c r="H45" s="82" t="str">
        <x:v>定义修订</x:v>
      </x:c>
      <x:c r="I45" s="68" t="str">
        <x:v>建禄、羊刃本身是否等于高层次格局</x:v>
      </x:c>
      <x:c r="J45" s="68" t="str">
        <x:v>禄刃即强格法</x:v>
      </x:c>
      <x:c r="K45" s="68" t="str">
        <x:v>日主临禄或羊刃月令，即直接判身旺、格高并固定取官杀。</x:v>
      </x:c>
      <x:c r="L45" s="68" t="str">
        <x:v>强身基础法</x:v>
      </x:c>
      <x:c r="M45" s="68" t="str">
        <x:v>禄刃只提供高权重得令得地，格局运行仍需财官食伤出口、制刃比例和日主承载。</x:v>
      </x:c>
      <x:c r="N45" s="68" t="str">
        <x:v>建禄需制泄耗出口；羊刃需有效制化，且防杀弱不能驾刃或制刃太过。</x:v>
      </x:c>
      <x:c r="O45" s="68" t="str">
        <x:v>能够区分强身壅塞、羊刃驾杀、食伤泄秀和特殊从旺结构。</x:v>
      </x:c>
      <x:c r="P45" s="90" t="str">
        <x:v>禄刃确实提高强身概率，但不能绕过M09和M15的完整审查。</x:v>
      </x:c>
      <x:c r="Q45" s="82" t="str">
        <x:v>中</x:v>
      </x:c>
      <x:c r="R45" s="68" t="str">
        <x:v>M09/M14/M15/M17/M18</x:v>
      </x:c>
      <x:c r="S45" s="68" t="str">
        <x:v>V1.8</x:v>
      </x:c>
      <x:c r="T45" s="68" t="str">
        <x:v>V1.9</x:v>
      </x:c>
      <x:c r="U45" s="82" t="str">
        <x:v>新增</x:v>
      </x:c>
      <x:c r="V45" s="82" t="str">
        <x:v>已生效</x:v>
      </x:c>
      <x:c r="W45" s="68" t="str">
        <x:v>OpenAI_M0初审；待人工终审</x:v>
      </x:c>
      <x:c r="X45" s="87" t="n">
        <x:v>46261</x:v>
      </x:c>
      <x:c r="Y45" s="68" t="str">
        <x:v>https://zh.wikisource.org/wiki/%E6%BB%B4%E5%A4%A9%E9%AB%93%E9%97%A1%E5%BE%AE ; https://zh.wikisource.org/zh-hans/%E6%B7%B5%E6%B5%B7%E5%AD%90%E5%B9%B3；M20-PATTERN-0103-V1.0、M20-PATTERN-0104-V1.0</x:v>
      </x:c>
    </x:row>
    <x:row r="46">
      <x:c r="A46" s="72" t="str">
        <x:f>IF(OR(C46="",D46=""),"",B46&amp;"-"&amp;UPPER(C46)&amp;"-"&amp;TEXT(D46,"0000")&amp;"-"&amp;E46)</x:f>
        <x:v>M21-PATTERN-0040-V1.0</x:v>
      </x:c>
      <x:c r="B46" s="74" t="str">
        <x:v>M21</x:v>
      </x:c>
      <x:c r="C46" s="74" t="str">
        <x:v>PATTERN</x:v>
      </x:c>
      <x:c r="D46" s="215" t="n">
        <x:v>40</x:v>
      </x:c>
      <x:c r="E46" s="74" t="str">
        <x:v>V1.0</x:v>
      </x:c>
      <x:c r="F46" s="68" t="str">
        <x:v>M14-JIANREN-0048-V1.0</x:v>
      </x:c>
      <x:c r="G46" s="68" t="str">
        <x:v>M03/M09/M14/M15/M17</x:v>
      </x:c>
      <x:c r="H46" s="82" t="str">
        <x:v>流派争议</x:v>
      </x:c>
      <x:c r="I46" s="68" t="str">
        <x:v>阴干羊刃地与是否取羊刃格</x:v>
      </x:c>
      <x:c r="J46" s="68" t="str">
        <x:v>阴阳干同取刃法</x:v>
      </x:c>
      <x:c r="K46" s="68" t="str">
        <x:v>乙、丁、己、辛、癸也按固定刃地映射，并可据此取羊刃格。</x:v>
      </x:c>
      <x:c r="L46" s="68" t="str">
        <x:v>阳干主刃或阴干另议法</x:v>
      </x:c>
      <x:c r="M46" s="68" t="str">
        <x:v>羊刃格主要用于阳干，阴干取法、地支映射和是否入格另有多种口径。</x:v>
      </x:c>
      <x:c r="N46" s="68" t="str">
        <x:v>当前不设跨流派统一阴干羊刃硬规则；只在明确选定的流派参数下生成候选。</x:v>
      </x:c>
      <x:c r="O46" s="68" t="str">
        <x:v>避免争议映射直接改变日主旺衰、建禄羊刃格局和用神方向。</x:v>
      </x:c>
      <x:c r="P46" s="90" t="str">
        <x:v>需要至少两套明确流派映射、经典出处和同盘对比案例后再决定是否参数化。</x:v>
      </x:c>
      <x:c r="Q46" s="82" t="str">
        <x:v>高</x:v>
      </x:c>
      <x:c r="R46" s="68" t="str">
        <x:v>M03/M09/M14/M15/M17/M20</x:v>
      </x:c>
      <x:c r="S46" s="68" t="str">
        <x:v>V1.8</x:v>
      </x:c>
      <x:c r="T46" s="68" t="str">
        <x:v>V1.9</x:v>
      </x:c>
      <x:c r="U46" s="82" t="str">
        <x:v>拆分</x:v>
      </x:c>
      <x:c r="V46" s="82" t="str">
        <x:v>待验证</x:v>
      </x:c>
      <x:c r="W46" s="68" t="str">
        <x:v>OpenAI_M0初审；待人工终审</x:v>
      </x:c>
      <x:c r="X46" s="87"/>
      <x:c r="Y46" s="68" t="str">
        <x:v>M20-DISPUTE-0149-V1.0；https://zh.wikisource.org/wiki/%E6%BB%B4%E5%A4%A9%E9%AB%93%E9%97%A1%E5%BE%AE ; https://zh.wikisource.org/zh-hans/%E6%B7%B5%E6%B5%B7%E5%AD%90%E5%B9%B3</x:v>
      </x:c>
    </x:row>
    <x:row r="47">
      <x:c r="A47" s="72" t="str">
        <x:f>IF(OR(C47="",D47=""),"",B47&amp;"-"&amp;UPPER(C47)&amp;"-"&amp;TEXT(D47,"0000")&amp;"-"&amp;E47)</x:f>
        <x:v>M21-CLIMATE-0041-V1.0</x:v>
      </x:c>
      <x:c r="B47" s="74" t="str">
        <x:v>M21</x:v>
      </x:c>
      <x:c r="C47" s="74" t="str">
        <x:v>CLIMATE</x:v>
      </x:c>
      <x:c r="D47" s="215" t="n">
        <x:v>41</x:v>
      </x:c>
      <x:c r="E47" s="74" t="str">
        <x:v>V1.0</x:v>
      </x:c>
      <x:c r="F47" s="68" t="str">
        <x:v>M13-BOUND-0065-V1.0；M13-BOUND-0066-V1.0；M13-GEN-0002-V1.0</x:v>
      </x:c>
      <x:c r="G47" s="68" t="str">
        <x:v>M13/M16/M17</x:v>
      </x:c>
      <x:c r="H47" s="82" t="str">
        <x:v>定义修订</x:v>
      </x:c>
      <x:c r="I47" s="68" t="str">
        <x:v>冬月是否自动极寒、夏月是否自动极热</x:v>
      </x:c>
      <x:c r="J47" s="68" t="str">
        <x:v>月份固定气候法</x:v>
      </x:c>
      <x:c r="K47" s="68" t="str">
        <x:v>亥子丑月一律极寒，巳午未月一律极热。</x:v>
      </x:c>
      <x:c r="L47" s="68" t="str">
        <x:v>月令基准修正法</x:v>
      </x:c>
      <x:c r="M47" s="68" t="str">
        <x:v>月令只给初始气候，最终温度由有效火水、木生火、湿土晦火和全局成势修正。</x:v>
      </x:c>
      <x:c r="N47" s="68" t="str">
        <x:v>冬夏只提供高权重基准，不自动等于极端；必须输出修正证据。</x:v>
      </x:c>
      <x:c r="O47" s="68" t="str">
        <x:v>可解释冬月火旺不寒、夏月水旺不热以及寒暖平衡边界。</x:v>
      </x:c>
      <x:c r="P47" s="90" t="str">
        <x:v>月令仍是温度轴起点，不能因全局修正而忽略季节背景。</x:v>
      </x:c>
      <x:c r="Q47" s="82" t="str">
        <x:v>中</x:v>
      </x:c>
      <x:c r="R47" s="68" t="str">
        <x:v>M13/M16/M17/M18</x:v>
      </x:c>
      <x:c r="S47" s="68" t="str">
        <x:v>V1.8</x:v>
      </x:c>
      <x:c r="T47" s="68" t="str">
        <x:v>V1.9</x:v>
      </x:c>
      <x:c r="U47" s="82" t="str">
        <x:v>新增</x:v>
      </x:c>
      <x:c r="V47" s="82" t="str">
        <x:v>已生效</x:v>
      </x:c>
      <x:c r="W47" s="68" t="str">
        <x:v>OpenAI_M0初审；待人工终审</x:v>
      </x:c>
      <x:c r="X47" s="87" t="n">
        <x:v>46261</x:v>
      </x:c>
      <x:c r="Y47" s="68" t="str">
        <x:v>M20-CLIMATE-0085-V1.0、M20-CLIMATE-0086-V1.0</x:v>
      </x:c>
    </x:row>
    <x:row r="48">
      <x:c r="A48" s="72" t="str">
        <x:f>IF(OR(C48="",D48=""),"",B48&amp;"-"&amp;UPPER(C48)&amp;"-"&amp;TEXT(D48,"0000")&amp;"-"&amp;E48)</x:f>
        <x:v>M21-CLIMATE-0042-V1.0</x:v>
      </x:c>
      <x:c r="B48" s="74" t="str">
        <x:v>M21</x:v>
      </x:c>
      <x:c r="C48" s="74" t="str">
        <x:v>CLIMATE</x:v>
      </x:c>
      <x:c r="D48" s="215" t="n">
        <x:v>42</x:v>
      </x:c>
      <x:c r="E48" s="74" t="str">
        <x:v>V1.0</x:v>
      </x:c>
      <x:c r="F48" s="68" t="str">
        <x:v>M13-BOUND-0068-V1.0；M13-HUMID-0033-V1.0；M13-HUMID-0034-V1.0</x:v>
      </x:c>
      <x:c r="G48" s="68" t="str">
        <x:v>M03/M08/M13/M16</x:v>
      </x:c>
      <x:c r="H48" s="82" t="str">
        <x:v>流派争议</x:v>
      </x:c>
      <x:c r="I48" s="68" t="str">
        <x:v>辰丑湿土、未戌燥土是否使用固定标签和权重</x:v>
      </x:c>
      <x:c r="J48" s="68" t="str">
        <x:v>土性固定法</x:v>
      </x:c>
      <x:c r="K48" s="68" t="str">
        <x:v>辰丑永远按湿土、未戌永远按燥土，并赋固定调候权重。</x:v>
      </x:c>
      <x:c r="L48" s="68" t="str">
        <x:v>基础属性加全局修正法</x:v>
      </x:c>
      <x:c r="M48" s="68" t="str">
        <x:v>土支提供湿燥初始倾向，最终状态受月令、水火、合化、成势和实际功能修正。</x:v>
      </x:c>
      <x:c r="N48" s="68" t="str">
        <x:v>保留辰丑增湿、未戌增燥的基础证据，但不采用固定跨命局权重。</x:v>
      </x:c>
      <x:c r="O48" s="68" t="str">
        <x:v>四季土同现、强火燥化、强水浸湿和合化时，固定标签会给出相反调候结论。</x:v>
      </x:c>
      <x:c r="P48" s="90" t="str">
        <x:v>湿燥修正的相对权重仍缺真实成组案例和跨流派统一标准。</x:v>
      </x:c>
      <x:c r="Q48" s="82" t="str">
        <x:v>高</x:v>
      </x:c>
      <x:c r="R48" s="68" t="str">
        <x:v>M03/M08/M13/M16/M17/M20</x:v>
      </x:c>
      <x:c r="S48" s="68" t="str">
        <x:v>V1.8</x:v>
      </x:c>
      <x:c r="T48" s="68" t="str">
        <x:v>V1.9</x:v>
      </x:c>
      <x:c r="U48" s="82" t="str">
        <x:v>修订</x:v>
      </x:c>
      <x:c r="V48" s="82" t="str">
        <x:v>待验证</x:v>
      </x:c>
      <x:c r="W48" s="68" t="str">
        <x:v>OpenAI_M0初审；待人工终审</x:v>
      </x:c>
      <x:c r="X48" s="87"/>
      <x:c r="Y48" s="68" t="str">
        <x:v>M20-DISPUTE-0150-V1.0；https://zh.wikisource.org/wiki/%E6%BB%B4%E5%A4%A9%E9%AB%93%E9%97%A1%E5%BE%AE ; https://zh.wikisource.org/zh-hans/%E6%B7%B5%E6%B5%B7%E5%AD%90%E5%B9%B3</x:v>
      </x:c>
    </x:row>
    <x:row r="49">
      <x:c r="A49" s="72" t="str">
        <x:f>IF(OR(C49="",D49=""),"",B49&amp;"-"&amp;UPPER(C49)&amp;"-"&amp;TEXT(D49,"0000")&amp;"-"&amp;E49)</x:f>
        <x:v>M21-CLIMATE-0043-V1.0</x:v>
      </x:c>
      <x:c r="B49" s="74" t="str">
        <x:v>M21</x:v>
      </x:c>
      <x:c r="C49" s="74" t="str">
        <x:v>CLIMATE</x:v>
      </x:c>
      <x:c r="D49" s="215" t="n">
        <x:v>43</x:v>
      </x:c>
      <x:c r="E49" s="74" t="str">
        <x:v>V1.0</x:v>
      </x:c>
      <x:c r="F49" s="68" t="str">
        <x:v>M13-GEN-0008-V1.0；M13-CONFLICT-0064-V1.0；M18-CLIMATE-0025-V1.0</x:v>
      </x:c>
      <x:c r="G49" s="68" t="str">
        <x:v>M13/M15/M16/M17/M18</x:v>
      </x:c>
      <x:c r="H49" s="82" t="str">
        <x:v>规则冲突</x:v>
      </x:c>
      <x:c r="I49" s="68" t="str">
        <x:v>调候是否在所有命局中无条件优先</x:v>
      </x:c>
      <x:c r="J49" s="68" t="str">
        <x:v>调候恒优先法</x:v>
      </x:c>
      <x:c r="K49" s="68" t="str">
        <x:v>无论功能是否受阻，只要季节偏寒偏热，调候都高于格局和扶抑。</x:v>
      </x:c>
      <x:c r="L49" s="68" t="str">
        <x:v>功能门槛法</x:v>
      </x:c>
      <x:c r="M49" s="68" t="str">
        <x:v>只有极端气候已造成寒凝、燥枯、湿滞、火炎和多个主路径阻断时，调候才升为首要。</x:v>
      </x:c>
      <x:c r="N49" s="68" t="str">
        <x:v>轻度气候偏差降权；根本气候病优先恢复最低生化环境，同时接受特殊格局硬约束。</x:v>
      </x:c>
      <x:c r="O49" s="68" t="str">
        <x:v>避免为了追求抽象温度平衡而破坏清晰格局或日主基本承载。</x:v>
      </x:c>
      <x:c r="P49" s="90" t="str">
        <x:v>当不调候则格局和流通本身不能运行时，调候可压过一般扶抑优化。</x:v>
      </x:c>
      <x:c r="Q49" s="82" t="str">
        <x:v>高</x:v>
      </x:c>
      <x:c r="R49" s="68" t="str">
        <x:v>M13/M15-M18</x:v>
      </x:c>
      <x:c r="S49" s="68" t="str">
        <x:v>V1.8</x:v>
      </x:c>
      <x:c r="T49" s="68" t="str">
        <x:v>V1.9</x:v>
      </x:c>
      <x:c r="U49" s="82" t="str">
        <x:v>新增</x:v>
      </x:c>
      <x:c r="V49" s="82" t="str">
        <x:v>已生效</x:v>
      </x:c>
      <x:c r="W49" s="68" t="str">
        <x:v>OpenAI_M0初审；待人工终审</x:v>
      </x:c>
      <x:c r="X49" s="87" t="n">
        <x:v>46261</x:v>
      </x:c>
      <x:c r="Y49" s="68" t="str">
        <x:v>M20-CLIMATE-0093-V1.0、M20-MED-0115-V1.0</x:v>
      </x:c>
    </x:row>
    <x:row r="50">
      <x:c r="A50" s="72" t="str">
        <x:f>IF(OR(C50="",D50=""),"",B50&amp;"-"&amp;UPPER(C50)&amp;"-"&amp;TEXT(D50,"0000")&amp;"-"&amp;E50)</x:f>
        <x:v>M21-CLIMATE-0044-V1.0</x:v>
      </x:c>
      <x:c r="B50" s="74" t="str">
        <x:v>M21</x:v>
      </x:c>
      <x:c r="C50" s="74" t="str">
        <x:v>CLIMATE</x:v>
      </x:c>
      <x:c r="D50" s="215" t="n">
        <x:v>44</x:v>
      </x:c>
      <x:c r="E50" s="74" t="str">
        <x:v>V1.0</x:v>
      </x:c>
      <x:c r="F50" s="68" t="str">
        <x:v>M13-BOUND-0067-V1.0；M13-EFFECT-0055-V1.0；M18-DOSE-0062-V1.0</x:v>
      </x:c>
      <x:c r="G50" s="68" t="str">
        <x:v>M13/M16/M17/M18</x:v>
      </x:c>
      <x:c r="H50" s="82" t="str">
        <x:v>权重修订</x:v>
      </x:c>
      <x:c r="I50" s="68" t="str">
        <x:v>调候所需五行是否越多越好</x:v>
      </x:c>
      <x:c r="J50" s="68" t="str">
        <x:v>补足强化法</x:v>
      </x:c>
      <x:c r="K50" s="68" t="str">
        <x:v>既然火可暖寒、水可润燥，就应持续增加该五行。</x:v>
      </x:c>
      <x:c r="L50" s="68" t="str">
        <x:v>最小有效剂量法</x:v>
      </x:c>
      <x:c r="M50" s="68" t="str">
        <x:v>调候药只在病位存在、药力不足至平衡阈值前为喜，越界后可转成反向新病。</x:v>
      </x:c>
      <x:c r="N50" s="68" t="str">
        <x:v>明确最小有效强度、平衡点和转忌条件；适量有利不等于无上限。</x:v>
      </x:c>
      <x:c r="O50" s="68" t="str">
        <x:v>可解释由寒转热、由湿转燥、水火相战和药神伤格等药量问题。</x:v>
      </x:c>
      <x:c r="P50" s="90" t="str">
        <x:v>原局药神极弱时仍需先达到有效门槛，不能因防过量而否定必要调候。</x:v>
      </x:c>
      <x:c r="Q50" s="82" t="str">
        <x:v>高</x:v>
      </x:c>
      <x:c r="R50" s="68" t="str">
        <x:v>M13/M16/M17/M18/M19</x:v>
      </x:c>
      <x:c r="S50" s="68" t="str">
        <x:v>V1.8</x:v>
      </x:c>
      <x:c r="T50" s="68" t="str">
        <x:v>V1.9</x:v>
      </x:c>
      <x:c r="U50" s="82" t="str">
        <x:v>新增</x:v>
      </x:c>
      <x:c r="V50" s="82" t="str">
        <x:v>已生效</x:v>
      </x:c>
      <x:c r="W50" s="68" t="str">
        <x:v>OpenAI_M0初审；待人工终审</x:v>
      </x:c>
      <x:c r="X50" s="87" t="n">
        <x:v>46261</x:v>
      </x:c>
      <x:c r="Y50" s="68" t="str">
        <x:v>M20-REGRESSION-0148-V1.0</x:v>
      </x:c>
    </x:row>
    <x:row r="51">
      <x:c r="A51" s="72" t="str">
        <x:f>IF(OR(C51="",D51=""),"",B51&amp;"-"&amp;UPPER(C51)&amp;"-"&amp;TEXT(D51,"0000")&amp;"-"&amp;E51)</x:f>
        <x:v>M21-MEDUSE-0045-V1.0</x:v>
      </x:c>
      <x:c r="B51" s="74" t="str">
        <x:v>M21</x:v>
      </x:c>
      <x:c r="C51" s="74" t="str">
        <x:v>MEDUSE</x:v>
      </x:c>
      <x:c r="D51" s="215" t="n">
        <x:v>45</x:v>
      </x:c>
      <x:c r="E51" s="74" t="str">
        <x:v>V1.0</x:v>
      </x:c>
      <x:c r="F51" s="68" t="str">
        <x:v>M16-GEN-0001-V1.0；M16-MED-0077-V1.0；M18-MED-0041-V1.0</x:v>
      </x:c>
      <x:c r="G51" s="68" t="str">
        <x:v>M16/M17/M18</x:v>
      </x:c>
      <x:c r="H51" s="82" t="str">
        <x:v>定义修订</x:v>
      </x:c>
      <x:c r="I51" s="68" t="str">
        <x:v>主药是否应按最显眼或最旺弱五行选择</x:v>
      </x:c>
      <x:c r="J51" s="68" t="str">
        <x:v>显象择药法</x:v>
      </x:c>
      <x:c r="K51" s="68" t="str">
        <x:v>看到官杀旺、日主弱或某五行最弱，即直接选制杀、扶身或补弱之神。</x:v>
      </x:c>
      <x:c r="L51" s="68" t="str">
        <x:v>根因择药法</x:v>
      </x:c>
      <x:c r="M51" s="68" t="str">
        <x:v>先定位根本病、表层病和病位，再选能够直接修复根因的药神。</x:v>
      </x:c>
      <x:c r="N51" s="68" t="str">
        <x:v>主药按根本病位、作用路径和不可替代性确定；只治表象者降为辅助或喜神。</x:v>
      </x:c>
      <x:c r="O51" s="68" t="str">
        <x:v>同一官杀压力可能源于身弱无依、财坏印或枭夺食，药路完全不同。</x:v>
      </x:c>
      <x:c r="P51" s="90" t="str">
        <x:v>当表象本身就是根本病且作用直接时，可由表象药升级，但必须证明。</x:v>
      </x:c>
      <x:c r="Q51" s="82" t="str">
        <x:v>高</x:v>
      </x:c>
      <x:c r="R51" s="68" t="str">
        <x:v>M16/M17/M18/M19</x:v>
      </x:c>
      <x:c r="S51" s="68" t="str">
        <x:v>V1.8</x:v>
      </x:c>
      <x:c r="T51" s="68" t="str">
        <x:v>V1.9</x:v>
      </x:c>
      <x:c r="U51" s="82" t="str">
        <x:v>新增</x:v>
      </x:c>
      <x:c r="V51" s="82" t="str">
        <x:v>已生效</x:v>
      </x:c>
      <x:c r="W51" s="68" t="str">
        <x:v>OpenAI_M0初审；待人工终审</x:v>
      </x:c>
      <x:c r="X51" s="87" t="n">
        <x:v>46261</x:v>
      </x:c>
      <x:c r="Y51" s="68" t="str">
        <x:v>M20-MED-0109-V1.0、M20-MED-0114-V1.0</x:v>
      </x:c>
    </x:row>
    <x:row r="52">
      <x:c r="A52" s="72" t="str">
        <x:f>IF(OR(C52="",D52=""),"",B52&amp;"-"&amp;UPPER(C52)&amp;"-"&amp;TEXT(D52,"0000")&amp;"-"&amp;E52)</x:f>
        <x:v>M21-MEDUSE-0046-V1.0</x:v>
      </x:c>
      <x:c r="B52" s="74" t="str">
        <x:v>M21</x:v>
      </x:c>
      <x:c r="C52" s="74" t="str">
        <x:v>MEDUSE</x:v>
      </x:c>
      <x:c r="D52" s="215" t="n">
        <x:v>46</x:v>
      </x:c>
      <x:c r="E52" s="74" t="str">
        <x:v>V1.0</x:v>
      </x:c>
      <x:c r="F52" s="68" t="str">
        <x:v>M17-GEN-0002-V1.0；M17-GEN-0004-V1.0；M18-RANK-0069-V1.0</x:v>
      </x:c>
      <x:c r="G52" s="68" t="str">
        <x:v>M17/M18</x:v>
      </x:c>
      <x:c r="H52" s="82" t="str">
        <x:v>规则冲突</x:v>
      </x:c>
      <x:c r="I52" s="68" t="str">
        <x:v>单一维度有利是否可以直接定主用神</x:v>
      </x:c>
      <x:c r="J52" s="68" t="str">
        <x:v>单因定用法</x:v>
      </x:c>
      <x:c r="K52" s="68" t="str">
        <x:v>身弱喜印比、寒局喜火、金木战喜水等单一结论可直接定主用。</x:v>
      </x:c>
      <x:c r="L52" s="68" t="str">
        <x:v>五维矩阵法</x:v>
      </x:c>
      <x:c r="M52" s="68" t="str">
        <x:v>扶抑、格局、通关、调候和病药必须共同审查收益、副作用、药力和硬约束。</x:v>
      </x:c>
      <x:c r="N52" s="68" t="str">
        <x:v>单维正向只生成候选；解决根本病或最高硬约束且通过无硬否决审查者才可定主用。</x:v>
      </x:c>
      <x:c r="O52" s="68" t="str">
        <x:v>避免调候有利却破格、通关有利却加重寒湿、扶身有利却破从等冲突。</x:v>
      </x:c>
      <x:c r="P52" s="90" t="str">
        <x:v>一神多效且多个独立关键维度同向时，可升级主用，但仍须限量。</x:v>
      </x:c>
      <x:c r="Q52" s="82" t="str">
        <x:v>高</x:v>
      </x:c>
      <x:c r="R52" s="68" t="str">
        <x:v>M17/M18/M19</x:v>
      </x:c>
      <x:c r="S52" s="68" t="str">
        <x:v>V1.8</x:v>
      </x:c>
      <x:c r="T52" s="68" t="str">
        <x:v>V1.9</x:v>
      </x:c>
      <x:c r="U52" s="82" t="str">
        <x:v>新增</x:v>
      </x:c>
      <x:c r="V52" s="82" t="str">
        <x:v>已生效</x:v>
      </x:c>
      <x:c r="W52" s="68" t="str">
        <x:v>OpenAI_M0初审；待人工终审</x:v>
      </x:c>
      <x:c r="X52" s="87" t="n">
        <x:v>46261</x:v>
      </x:c>
      <x:c r="Y52" s="68" t="str">
        <x:v>M20-USE-0119-V1.0、M20-USE-0120-V1.0</x:v>
      </x:c>
    </x:row>
    <x:row r="53">
      <x:c r="A53" s="72" t="str">
        <x:f>IF(OR(C53="",D53=""),"",B53&amp;"-"&amp;UPPER(C53)&amp;"-"&amp;TEXT(D53,"0000")&amp;"-"&amp;E53)</x:f>
        <x:v>M21-MEDUSE-0047-V1.0</x:v>
      </x:c>
      <x:c r="B53" s="74" t="str">
        <x:v>M21</x:v>
      </x:c>
      <x:c r="C53" s="74" t="str">
        <x:v>MEDUSE</x:v>
      </x:c>
      <x:c r="D53" s="215" t="n">
        <x:v>47</x:v>
      </x:c>
      <x:c r="E53" s="74" t="str">
        <x:v>V1.0</x:v>
      </x:c>
      <x:c r="F53" s="68" t="str">
        <x:v>M18-GEN-0001-V1.0；M18-BOUND-0078-V1.0</x:v>
      </x:c>
      <x:c r="G53" s="68" t="str">
        <x:v>M15-M18</x:v>
      </x:c>
      <x:c r="H53" s="82" t="str">
        <x:v>流派争议</x:v>
      </x:c>
      <x:c r="I53" s="68" t="str">
        <x:v>格局、病药、调候、通关和扶抑是否存在固定恒定顺序</x:v>
      </x:c>
      <x:c r="J53" s="68" t="str">
        <x:v>固定模块优先法</x:v>
      </x:c>
      <x:c r="K53" s="68" t="str">
        <x:v>格局永远第一、调候永远第一或病药永远第一，按固定口诀裁决所有命局。</x:v>
      </x:c>
      <x:c r="L53" s="68" t="str">
        <x:v>条件硬约束与净收益法</x:v>
      </x:c>
      <x:c r="M53" s="68" t="str">
        <x:v>优先级来自严格成立资格、根本病、主路径、直接药路和新病严重度，不来自模块名称。</x:v>
      </x:c>
      <x:c r="N53" s="68" t="str">
        <x:v>不设无条件固定模块顺序；当前命局中不可替代、严重度更高且不制造更大病者优先。</x:v>
      </x:c>
      <x:c r="O53" s="68" t="str">
        <x:v>同一调候五行在普通格与特殊格、轻度偏寒与寒凝停顿中优先级完全不同。</x:v>
      </x:c>
      <x:c r="P53" s="90" t="str">
        <x:v>某些条件下可形成稳定局部顺序，如严格特殊格局硬约束高于普通扶抑，但必须先通过资格审查。</x:v>
      </x:c>
      <x:c r="Q53" s="82" t="str">
        <x:v>高</x:v>
      </x:c>
      <x:c r="R53" s="68" t="str">
        <x:v>M15/M16/M17/M18</x:v>
      </x:c>
      <x:c r="S53" s="68" t="str">
        <x:v>V1.8</x:v>
      </x:c>
      <x:c r="T53" s="68" t="str">
        <x:v>V1.9</x:v>
      </x:c>
      <x:c r="U53" s="82" t="str">
        <x:v>新增</x:v>
      </x:c>
      <x:c r="V53" s="82" t="str">
        <x:v>已生效</x:v>
      </x:c>
      <x:c r="W53" s="68" t="str">
        <x:v>OpenAI_M0初审；待人工终审</x:v>
      </x:c>
      <x:c r="X53" s="87" t="n">
        <x:v>46261</x:v>
      </x:c>
      <x:c r="Y53" s="68" t="str">
        <x:v>M20-USE-0128-V1.0</x:v>
      </x:c>
    </x:row>
    <x:row r="54">
      <x:c r="A54" s="72" t="str">
        <x:f>IF(OR(C54="",D54=""),"",B54&amp;"-"&amp;UPPER(C54)&amp;"-"&amp;TEXT(D54,"0000")&amp;"-"&amp;E54)</x:f>
        <x:v>M21-CASE-0048-V1.0</x:v>
      </x:c>
      <x:c r="B54" s="74" t="str">
        <x:v>M21</x:v>
      </x:c>
      <x:c r="C54" s="74" t="str">
        <x:v>CASE</x:v>
      </x:c>
      <x:c r="D54" s="215" t="n">
        <x:v>48</x:v>
      </x:c>
      <x:c r="E54" s="74" t="str">
        <x:v>V1.0</x:v>
      </x:c>
      <x:c r="F54" s="68" t="str">
        <x:v>M03-PROC-0019-V1.0；M19-META-0001-V1.0</x:v>
      </x:c>
      <x:c r="G54" s="68" t="str">
        <x:v>M03/M19/M20</x:v>
      </x:c>
      <x:c r="H54" s="82" t="str">
        <x:v>案例反证</x:v>
      </x:c>
      <x:c r="I54" s="68" t="str">
        <x:v>交节临界但缺精确时区和交节时刻时的输出闸门</x:v>
      </x:c>
      <x:c r="J54" s="68" t="str">
        <x:v>近交节经验判月法</x:v>
      </x:c>
      <x:c r="K54" s="68" t="str">
        <x:v>按日期、农历月份或经验分钟阈值直接确定月令。</x:v>
      </x:c>
      <x:c r="L54" s="68" t="str">
        <x:v>精确交节双盘法</x:v>
      </x:c>
      <x:c r="M54" s="68" t="str">
        <x:v>必须核对时区与精确交节时刻；资料不足时保留前后月令双盘并停止下游唯一化。</x:v>
      </x:c>
      <x:c r="N54" s="68" t="str">
        <x:v>不设固定“一分钟/一天”经验阈值；以精确天文交节时刻为准，资料不足触发双盘和输入质量闸门。</x:v>
      </x:c>
      <x:c r="O54" s="68" t="str">
        <x:v>月令变化会连锁影响根气、旺衰、调候、格局和喜忌，错误唯一化代价过高。</x:v>
      </x:c>
      <x:c r="P54" s="90" t="str">
        <x:v>当前M20为合成边界案例，仍需真实出生时间和节气数据验证操作流程。</x:v>
      </x:c>
      <x:c r="Q54" s="82" t="str">
        <x:v>高</x:v>
      </x:c>
      <x:c r="R54" s="68" t="str">
        <x:v>M03/M07-M19</x:v>
      </x:c>
      <x:c r="S54" s="68" t="str">
        <x:v>V1.8</x:v>
      </x:c>
      <x:c r="T54" s="68" t="str">
        <x:v>V1.9</x:v>
      </x:c>
      <x:c r="U54" s="82" t="str">
        <x:v>修订</x:v>
      </x:c>
      <x:c r="V54" s="82" t="str">
        <x:v>待验证</x:v>
      </x:c>
      <x:c r="W54" s="68" t="str">
        <x:v>OpenAI_M0初审；待人工终审</x:v>
      </x:c>
      <x:c r="X54" s="87"/>
      <x:c r="Y54" s="68" t="str">
        <x:v>M20-BASE-0005-V1.0；需补真实交节时刻样本</x:v>
      </x:c>
    </x:row>
    <x:row r="55">
      <x:c r="A55" s="72" t="str">
        <x:f>IF(OR(C55="",D55=""),"",B55&amp;"-"&amp;UPPER(C55)&amp;"-"&amp;TEXT(D55,"0000")&amp;"-"&amp;E55)</x:f>
        <x:v>M21-CASE-0049-V1.0</x:v>
      </x:c>
      <x:c r="B55" s="74" t="str">
        <x:v>M21</x:v>
      </x:c>
      <x:c r="C55" s="74" t="str">
        <x:v>CASE</x:v>
      </x:c>
      <x:c r="D55" s="215" t="n">
        <x:v>49</x:v>
      </x:c>
      <x:c r="E55" s="74" t="str">
        <x:v>V1.0</x:v>
      </x:c>
      <x:c r="F55" s="68" t="str">
        <x:v>M14-CONG-0056-V1.0；M15-CONG-0069-V1.0；M19-USE-0045-V1.0</x:v>
      </x:c>
      <x:c r="G55" s="68" t="str">
        <x:v>M08/M09/M14/M15/M19/M20</x:v>
      </x:c>
      <x:c r="H55" s="82" t="str">
        <x:v>案例反证</x:v>
      </x:c>
      <x:c r="I55" s="68" t="str">
        <x:v>残根假从边界的真实案例回归要求</x:v>
      </x:c>
      <x:c r="J55" s="68" t="str">
        <x:v>残根一票否从法</x:v>
      </x:c>
      <x:c r="K55" s="68" t="str">
        <x:v>任何同类余气或藏干均足以否决从格。</x:v>
      </x:c>
      <x:c r="L55" s="68" t="str">
        <x:v>残根有效性分级法</x:v>
      </x:c>
      <x:c r="M55" s="68" t="str">
        <x:v>弱残根不一定足以自立，但使真从降为假从/待定；用户输出必须保留顺势与扶身双条件。</x:v>
      </x:c>
      <x:c r="N55" s="68" t="str">
        <x:v>当前只确认“不能写真从”；残根具体权重和最终顺势/扶身排序等待真实案例回归。</x:v>
      </x:c>
      <x:c r="O55" s="68" t="str">
        <x:v>M20两个案例均能稳定阻止真从，但无法仅凭合成事实确定残根的现实承载上限。</x:v>
      </x:c>
      <x:c r="P55" s="90" t="str">
        <x:v>若真实案例显示特定四季月余气在透达、有源或受制条件下有稳定权重，可进一步拆分规则。</x:v>
      </x:c>
      <x:c r="Q55" s="82" t="str">
        <x:v>高</x:v>
      </x:c>
      <x:c r="R55" s="68" t="str">
        <x:v>M08/M09/M14/M15/M17/M18/M19</x:v>
      </x:c>
      <x:c r="S55" s="68" t="str">
        <x:v>V1.8</x:v>
      </x:c>
      <x:c r="T55" s="68" t="str">
        <x:v>V1.9</x:v>
      </x:c>
      <x:c r="U55" s="82" t="str">
        <x:v>拆分</x:v>
      </x:c>
      <x:c r="V55" s="82" t="str">
        <x:v>待验证</x:v>
      </x:c>
      <x:c r="W55" s="68" t="str">
        <x:v>OpenAI_M0初审；待人工终审</x:v>
      </x:c>
      <x:c r="X55" s="87"/>
      <x:c r="Y55" s="68" t="str">
        <x:v>M20-PATTERN-0105-V1.0；M20-INTEGRATION-0141-V1.0</x:v>
      </x:c>
    </x:row>
    <x:row r="56">
      <x:c r="A56" s="72" t="str">
        <x:f>IF(OR(C56="",D56=""),"",B56&amp;"-"&amp;UPPER(C56)&amp;"-"&amp;TEXT(D56,"0000")&amp;"-"&amp;E56)</x:f>
        <x:v>M21-CASE-0050-V1.0</x:v>
      </x:c>
      <x:c r="B56" s="74" t="str">
        <x:v>M21</x:v>
      </x:c>
      <x:c r="C56" s="74" t="str">
        <x:v>CASE</x:v>
      </x:c>
      <x:c r="D56" s="215" t="n">
        <x:v>50</x:v>
      </x:c>
      <x:c r="E56" s="74" t="str">
        <x:v>V1.0</x:v>
      </x:c>
      <x:c r="F56" s="68" t="str">
        <x:v>M16-MED-0078-V1.0；M17-BINGYAO-0059-V1.0；M18-MED-0045-V1.0</x:v>
      </x:c>
      <x:c r="G56" s="68" t="str">
        <x:v>M12/M13/M16/M17/M18</x:v>
      </x:c>
      <x:c r="H56" s="82" t="str">
        <x:v>案例反证</x:v>
      </x:c>
      <x:c r="I56" s="68" t="str">
        <x:v>非标准通关但一药多效是否足以升级主用</x:v>
      </x:c>
      <x:c r="J56" s="68" t="str">
        <x:v>标准通关唯一法</x:v>
      </x:c>
      <x:c r="K56" s="68" t="str">
        <x:v>只有五组固定泄上游生下游的桥梁，才能解决流通主病。</x:v>
      </x:c>
      <x:c r="L56" s="68" t="str">
        <x:v>复合净收益法</x:v>
      </x:c>
      <x:c r="M56" s="68" t="str">
        <x:v>某五行虽非标准桥梁，但若能同时改善调候、替代路径和根本病，可提高优先级。</x:v>
      </x:c>
      <x:c r="N56" s="68" t="str">
        <x:v>允许生成复合候选，但在证明其覆盖原主冲突、路径连续且副作用小于标准通关前，不升级为确定主用。</x:v>
      </x:c>
      <x:c r="O56" s="68" t="str">
        <x:v>一药多效可减少药路冲突，但也容易以局部改善误替代尚未解决的核心克战。</x:v>
      </x:c>
      <x:c r="P56" s="90" t="str">
        <x:v>当前M20合成案例只证明方向可能，缺少完整源头—桥梁—终点与真实命例复核。</x:v>
      </x:c>
      <x:c r="Q56" s="82" t="str">
        <x:v>中</x:v>
      </x:c>
      <x:c r="R56" s="68" t="str">
        <x:v>M12/M13/M16/M17/M18/M20</x:v>
      </x:c>
      <x:c r="S56" s="68" t="str">
        <x:v>V1.8</x:v>
      </x:c>
      <x:c r="T56" s="68" t="str">
        <x:v>V1.9</x:v>
      </x:c>
      <x:c r="U56" s="82" t="str">
        <x:v>修订</x:v>
      </x:c>
      <x:c r="V56" s="82" t="str">
        <x:v>待验证</x:v>
      </x:c>
      <x:c r="W56" s="68" t="str">
        <x:v>OpenAI_M0初审；待人工终审</x:v>
      </x:c>
      <x:c r="X56" s="87"/>
      <x:c r="Y56" s="68" t="str">
        <x:v>M20-MED-0116-V1.0</x:v>
      </x:c>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 ref="Z1:AG1"/>
  </x:mergeCells>
  <x:conditionalFormatting sqref="A6:A105">
    <x:cfRule type="expression" dxfId="19" priority="1">
      <x:formula>AND(A6&lt;&gt;"",COUNTIF($A$6:$A$105,A6)&gt;1)</x:formula>
    </x:cfRule>
  </x:conditionalFormatting>
  <x:conditionalFormatting sqref="Q7:Q56">
    <x:cfRule type="expression" dxfId="27" priority="2">
      <x:formula>Q7="高"</x:formula>
    </x:cfRule>
    <x:cfRule type="expression" dxfId="28" priority="3">
      <x:formula>Q7="中"</x:formula>
    </x:cfRule>
    <x:cfRule type="expression" dxfId="29" priority="4">
      <x:formula>Q7="低"</x:formula>
    </x:cfRule>
    <x:cfRule type="expression" dxfId="30" priority="5">
      <x:formula>Q7="无"</x:formula>
    </x:cfRule>
  </x:conditionalFormatting>
  <x:conditionalFormatting sqref="V7:V56">
    <x:cfRule type="expression" dxfId="31" priority="6">
      <x:formula>OR(V7="已生效",V7="已采纳")</x:formula>
    </x:cfRule>
    <x:cfRule type="expression" dxfId="32" priority="7">
      <x:formula>OR(V7="待验证",V7="待讨论")</x:formula>
    </x:cfRule>
    <x:cfRule type="expression" dxfId="33" priority="8">
      <x:formula>V7="不采纳"</x:formula>
    </x:cfRule>
    <x:cfRule type="expression" dxfId="34" priority="9">
      <x:formula>V7="延期"</x:formula>
    </x:cfRule>
  </x:conditionalFormatting>
  <x:conditionalFormatting sqref="AA19:AA38">
    <x:cfRule type="dataBar" priority="10">
      <x:dataBar>
        <x:cfvo type="min"/>
        <x:cfvo type="max"/>
        <x:color rgb="FFA02B93"/>
      </x:dataBar>
      <x:extLst>
        <x:ext xmlns:x14="http://schemas.microsoft.com/office/spreadsheetml/2009/9/main" uri="{B025F937-C7B1-47D3-B67F-A62EFF666E3E}">
          <x14:id>{4B4E95E1-9522-5D39-3AC4-FDAA6037A28A}</x14:id>
        </x:ext>
      </x:extLst>
    </x:cfRule>
  </x:conditionalFormatting>
  <x:dataValidations count="13">
    <x:dataValidation type="list" sqref="E6:E105">
      <x:formula1>'99_下拉选项'!$BG$4:$BG$12</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 type="list" sqref="E6:E130">
      <x:formula1>'99_下拉选项'!$BG$4:$BG$14</x:formula1>
    </x:dataValidation>
    <x:dataValidation type="list" sqref="E7:E105">
      <x:formula1>'99_下拉选项'!$BG$4:$BG$21</x:formula1>
    </x:dataValidation>
    <x:dataValidation type="list" sqref="E7:E56">
      <x:formula1>'99_下拉选项'!$BG$4:$BG$22</x:formula1>
    </x:dataValidation>
    <x:dataValidation type="list" sqref="H7:H56">
      <x:formula1>'99_下拉选项'!$AZ$4:$AZ$10</x:formula1>
    </x:dataValidation>
    <x:dataValidation type="list" sqref="Q7:Q56">
      <x:formula1>'99_下拉选项'!$BA$4:$BA$7</x:formula1>
    </x:dataValidation>
    <x:dataValidation type="list" sqref="S7:T56">
      <x:formula1>'99_下拉选项'!$BG$4:$BG$22</x:formula1>
    </x:dataValidation>
    <x:dataValidation type="list" sqref="U7:U56">
      <x:formula1>'99_下拉选项'!$BB$4:$BB$10</x:formula1>
    </x:dataValidation>
    <x:dataValidation type="list" sqref="V7:V56">
      <x:formula1>'99_下拉选项'!$BC$4:$BC$9</x:formula1>
    </x:dataValidation>
  </x:dataValidations>
  <x:pageMargins left="0.7" right="0.7" top="0.75" bottom="0.75" header="0.3" footer="0.3"/>
  <x:drawing xmlns:r="http://schemas.openxmlformats.org/officeDocument/2006/relationships" r:id="Rf9f448c69ddd4100"/>
  <x:tableParts count="1">
    <x:tablePart xmlns:r="http://schemas.openxmlformats.org/officeDocument/2006/relationships" r:id="Rf24fc9a75c7d4583"/>
  </x:tableParts>
  <x:extLst>
    <x:ext xmlns:x14="http://schemas.microsoft.com/office/spreadsheetml/2009/9/main" xmlns:xm="http://schemas.microsoft.com/office/excel/2006/main" uri="{78C0D931-6437-407d-A8EE-F0AAD7539E65}">
      <x14:conditionalFormattings>
        <x14:conditionalFormatting>
          <x14:cfRule type="dataBar" priority="10" id="{4B4E95E1-9522-5D39-3AC4-FDAA6037A28A}">
            <x14:dataBar gradient="1">
              <x14:cfvo type="min"/>
              <x14:cfvo type="max"/>
              <x14:fillColor rgb="FFA02B93"/>
            </x14:dataBar>
          </x14:cfRule>
          <xm:sqref>AA19:AA38</xm:sqref>
        </x14:conditionalFormatting>
      </x14:conditionalFormattings>
    </x:ext>
  </x:extLst>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E8" t="str">
        <x:v>第五阶段_版本治理闭环</x:v>
      </x:c>
      <x:c r="BF8" s="28" t="str">
        <x:v>已发布</x:v>
      </x:c>
      <x:c r="BG8" s="28" t="str">
        <x:v>V0.5</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V0.6</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V0.7</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V0.8</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c r="BG12" t="str">
        <x:v>V0.9</x:v>
      </x:c>
    </x:row>
    <x:row r="13">
      <x:c r="B13" s="28" t="str">
        <x:v>版本记录</x:v>
      </x:c>
      <x:c r="G13" s="28" t="str">
        <x:v>拱合</x:v>
      </x:c>
      <x:c r="H13" s="28" t="str">
        <x:v>月时</x:v>
      </x:c>
      <x:c r="L13" s="28" t="str">
        <x:v>合化</x:v>
      </x:c>
      <x:c r="Y13" s="28" t="str">
        <x:v>正印</x:v>
      </x:c>
      <x:c r="AJ13" s="28" t="str">
        <x:v>燥湿</x:v>
      </x:c>
      <x:c r="AP13" s="28" t="str">
        <x:v>燥枯</x:v>
      </x:c>
      <x:c r="BG13" t="str">
        <x:v>V1.0</x:v>
      </x:c>
    </x:row>
    <x:row r="14">
      <x:c r="G14" s="28" t="str">
        <x:v>三会</x:v>
      </x:c>
      <x:c r="H14" s="28" t="str">
        <x:v>其他</x:v>
      </x:c>
      <x:c r="L14" s="28" t="str">
        <x:v>冲动</x:v>
      </x:c>
      <x:c r="AJ14" s="28" t="str">
        <x:v>清杂</x:v>
      </x:c>
      <x:c r="AP14" s="28" t="str">
        <x:v>链路过长</x:v>
      </x:c>
      <x:c r="BG14" t="str">
        <x:v>V1.1</x:v>
      </x:c>
    </x:row>
    <x:row r="15">
      <x:c r="G15" s="28" t="str">
        <x:v>六冲</x:v>
      </x:c>
      <x:c r="L15" s="28" t="str">
        <x:v>冲散</x:v>
      </x:c>
      <x:c r="AJ15" s="28" t="str">
        <x:v>护格</x:v>
      </x:c>
      <x:c r="AP15" s="28" t="str">
        <x:v>回流壅塞</x:v>
      </x:c>
      <x:c r="BG15" t="str">
        <x:v>V1.2</x:v>
      </x:c>
    </x:row>
    <x:row r="16">
      <x:c r="G16" s="28" t="str">
        <x:v>三刑</x:v>
      </x:c>
      <x:c r="L16" s="28" t="str">
        <x:v>冲开</x:v>
      </x:c>
      <x:c r="AJ16" s="28" t="str">
        <x:v>救应</x:v>
      </x:c>
      <x:c r="AP16" s="28" t="str">
        <x:v>其他</x:v>
      </x:c>
      <x:c r="BG16" t="str">
        <x:v>V1.3</x:v>
      </x:c>
    </x:row>
    <x:row r="17">
      <x:c r="G17" s="28" t="str">
        <x:v>自刑</x:v>
      </x:c>
      <x:c r="L17" s="28" t="str">
        <x:v>冲旺</x:v>
      </x:c>
      <x:c r="AJ17" s="28" t="str">
        <x:v>复合药理</x:v>
      </x:c>
      <x:c r="BG17" t="str">
        <x:v>V1.4</x:v>
      </x:c>
    </x:row>
    <x:row r="18">
      <x:c r="G18" s="28" t="str">
        <x:v>六害</x:v>
      </x:c>
      <x:c r="L18" s="28" t="str">
        <x:v>冲弱</x:v>
      </x:c>
      <x:c r="AJ18" s="28" t="str">
        <x:v>待定</x:v>
      </x:c>
      <x:c r="BG18" t="str">
        <x:v>V1.5</x:v>
      </x:c>
    </x:row>
    <x:row r="19">
      <x:c r="G19" s="28" t="str">
        <x:v>六破</x:v>
      </x:c>
      <x:c r="L19" s="28" t="str">
        <x:v>冲去</x:v>
      </x:c>
      <x:c r="BG19" t="str">
        <x:v>V1.6</x:v>
      </x:c>
    </x:row>
    <x:row r="20">
      <x:c r="G20" s="28" t="str">
        <x:v>其他</x:v>
      </x:c>
      <x:c r="L20" s="28" t="str">
        <x:v>刑动</x:v>
      </x:c>
      <x:c r="BG20" t="str">
        <x:v>V1.7</x:v>
      </x:c>
    </x:row>
    <x:row r="21">
      <x:c r="L21" s="28" t="str">
        <x:v>刑伤</x:v>
      </x:c>
      <x:c r="BG21" t="str">
        <x:v>V1.8</x:v>
      </x:c>
    </x:row>
    <x:row r="22">
      <x:c r="L22" s="28" t="str">
        <x:v>激活</x:v>
      </x:c>
      <x:c r="BG22" t="str">
        <x:v>V1.9</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